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pporoshinkoukousha77/Desktop/"/>
    </mc:Choice>
  </mc:AlternateContent>
  <xr:revisionPtr revIDLastSave="0" documentId="8_{7F3F3E0E-CE1B-2247-8D5C-985070C1D12F}" xr6:coauthVersionLast="47" xr6:coauthVersionMax="47" xr10:uidLastSave="{00000000-0000-0000-0000-000000000000}"/>
  <bookViews>
    <workbookView xWindow="0" yWindow="660" windowWidth="30240" windowHeight="18980" activeTab="1" xr2:uid="{6E4E4426-308E-024C-BDE4-2DCFB193B06A}"/>
  </bookViews>
  <sheets>
    <sheet name="２０２５.05" sheetId="1" r:id="rId1"/>
    <sheet name="2025.06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66" i="2" l="1"/>
  <c r="AD66" i="2"/>
  <c r="AN62" i="2"/>
  <c r="AF62" i="2"/>
  <c r="Z56" i="2"/>
  <c r="AM56" i="2" s="1"/>
  <c r="S56" i="2"/>
  <c r="AS54" i="2"/>
  <c r="AR54" i="2" s="1"/>
  <c r="AJ47" i="2"/>
  <c r="AK47" i="2" s="1"/>
  <c r="AI47" i="2"/>
  <c r="AH47" i="2"/>
  <c r="AG47" i="2"/>
  <c r="P47" i="2"/>
  <c r="N47" i="2"/>
  <c r="M47" i="2"/>
  <c r="H47" i="2"/>
  <c r="I47" i="2" s="1"/>
  <c r="G47" i="2"/>
  <c r="F47" i="2"/>
  <c r="E47" i="2"/>
  <c r="AJ46" i="2"/>
  <c r="AH46" i="2"/>
  <c r="AG46" i="2"/>
  <c r="AK46" i="2" s="1"/>
  <c r="W46" i="2"/>
  <c r="P46" i="2"/>
  <c r="Q46" i="2" s="1"/>
  <c r="N46" i="2"/>
  <c r="M46" i="2"/>
  <c r="H46" i="2"/>
  <c r="G46" i="2"/>
  <c r="F46" i="2"/>
  <c r="E46" i="2"/>
  <c r="I46" i="2" s="1"/>
  <c r="AJ45" i="2"/>
  <c r="AK45" i="2" s="1"/>
  <c r="AI45" i="2"/>
  <c r="AH45" i="2"/>
  <c r="AG45" i="2"/>
  <c r="S45" i="2"/>
  <c r="P45" i="2"/>
  <c r="Q45" i="2" s="1"/>
  <c r="O45" i="2"/>
  <c r="N45" i="2"/>
  <c r="M45" i="2"/>
  <c r="H45" i="2"/>
  <c r="F45" i="2"/>
  <c r="E45" i="2"/>
  <c r="I45" i="2" s="1"/>
  <c r="AJ44" i="2"/>
  <c r="AK44" i="2" s="1"/>
  <c r="AI44" i="2"/>
  <c r="AH44" i="2"/>
  <c r="AG44" i="2"/>
  <c r="Q44" i="2"/>
  <c r="P44" i="2"/>
  <c r="N44" i="2"/>
  <c r="O44" i="2" s="1"/>
  <c r="M44" i="2"/>
  <c r="H44" i="2"/>
  <c r="I44" i="2" s="1"/>
  <c r="G44" i="2"/>
  <c r="F44" i="2"/>
  <c r="E44" i="2"/>
  <c r="AK43" i="2"/>
  <c r="AJ43" i="2"/>
  <c r="AH43" i="2"/>
  <c r="AG43" i="2"/>
  <c r="P43" i="2"/>
  <c r="Q43" i="2" s="1"/>
  <c r="O43" i="2"/>
  <c r="N43" i="2"/>
  <c r="M43" i="2"/>
  <c r="I43" i="2"/>
  <c r="H43" i="2"/>
  <c r="F43" i="2"/>
  <c r="E43" i="2"/>
  <c r="G43" i="2" s="1"/>
  <c r="AJ42" i="2"/>
  <c r="AH42" i="2"/>
  <c r="AI42" i="2" s="1"/>
  <c r="AG42" i="2"/>
  <c r="P42" i="2"/>
  <c r="N42" i="2"/>
  <c r="O42" i="2" s="1"/>
  <c r="M42" i="2"/>
  <c r="I42" i="2"/>
  <c r="H42" i="2"/>
  <c r="G42" i="2"/>
  <c r="F42" i="2"/>
  <c r="E42" i="2"/>
  <c r="AJ41" i="2"/>
  <c r="AH41" i="2"/>
  <c r="AG41" i="2"/>
  <c r="AK41" i="2" s="1"/>
  <c r="W41" i="2"/>
  <c r="P41" i="2"/>
  <c r="Q41" i="2" s="1"/>
  <c r="N41" i="2"/>
  <c r="O41" i="2" s="1"/>
  <c r="M41" i="2"/>
  <c r="H41" i="2"/>
  <c r="F41" i="2"/>
  <c r="E41" i="2"/>
  <c r="AN39" i="2"/>
  <c r="W38" i="2"/>
  <c r="O38" i="2"/>
  <c r="F38" i="2"/>
  <c r="AH37" i="2"/>
  <c r="AI37" i="2" s="1"/>
  <c r="P37" i="2"/>
  <c r="H37" i="2"/>
  <c r="I37" i="2" s="1"/>
  <c r="F37" i="2"/>
  <c r="G37" i="2" s="1"/>
  <c r="K37" i="2" s="1"/>
  <c r="AY36" i="2"/>
  <c r="AX36" i="2"/>
  <c r="AW36" i="2"/>
  <c r="AV36" i="2"/>
  <c r="AV37" i="2" s="1"/>
  <c r="AU36" i="2"/>
  <c r="AT36" i="2"/>
  <c r="AS36" i="2"/>
  <c r="AJ36" i="2"/>
  <c r="AJ37" i="2" s="1"/>
  <c r="AK37" i="2" s="1"/>
  <c r="AH36" i="2"/>
  <c r="AG36" i="2"/>
  <c r="AF36" i="2"/>
  <c r="P36" i="2"/>
  <c r="N36" i="2"/>
  <c r="N37" i="2" s="1"/>
  <c r="M36" i="2"/>
  <c r="L36" i="2"/>
  <c r="H36" i="2"/>
  <c r="G36" i="2"/>
  <c r="F36" i="2"/>
  <c r="E36" i="2"/>
  <c r="I36" i="2" s="1"/>
  <c r="D36" i="2"/>
  <c r="C36" i="2"/>
  <c r="CE35" i="2"/>
  <c r="CB35" i="2"/>
  <c r="BZ35" i="2"/>
  <c r="BX35" i="2"/>
  <c r="BW35" i="2"/>
  <c r="BY35" i="2" s="1"/>
  <c r="BS35" i="2"/>
  <c r="BQ35" i="2"/>
  <c r="BP35" i="2"/>
  <c r="BO35" i="2"/>
  <c r="CD34" i="2"/>
  <c r="BY34" i="2"/>
  <c r="BX34" i="2"/>
  <c r="BT34" i="2"/>
  <c r="BS34" i="2"/>
  <c r="BQ34" i="2"/>
  <c r="CE34" i="2" s="1"/>
  <c r="BP34" i="2"/>
  <c r="BO34" i="2"/>
  <c r="AZ34" i="2"/>
  <c r="BB34" i="2" s="1"/>
  <c r="AR34" i="2"/>
  <c r="AO34" i="2"/>
  <c r="AN34" i="2"/>
  <c r="AM34" i="2"/>
  <c r="AL34" i="2"/>
  <c r="BC34" i="2" s="1"/>
  <c r="AK34" i="2"/>
  <c r="AI34" i="2"/>
  <c r="AB34" i="2"/>
  <c r="AA34" i="2"/>
  <c r="Z34" i="2"/>
  <c r="Y34" i="2"/>
  <c r="X34" i="2"/>
  <c r="W34" i="2"/>
  <c r="U34" i="2"/>
  <c r="V34" i="2" s="1"/>
  <c r="T34" i="2"/>
  <c r="BW34" i="2" s="1"/>
  <c r="S34" i="2"/>
  <c r="R34" i="2"/>
  <c r="Q34" i="2"/>
  <c r="O34" i="2"/>
  <c r="K34" i="2"/>
  <c r="J34" i="2"/>
  <c r="AD34" i="2" s="1"/>
  <c r="AQ34" i="2" s="1"/>
  <c r="I34" i="2"/>
  <c r="G34" i="2"/>
  <c r="BW33" i="2"/>
  <c r="CD33" i="2" s="1"/>
  <c r="BU33" i="2"/>
  <c r="BV33" i="2" s="1"/>
  <c r="BT33" i="2"/>
  <c r="BS33" i="2"/>
  <c r="BR33" i="2"/>
  <c r="BQ33" i="2"/>
  <c r="BP33" i="2"/>
  <c r="BO33" i="2"/>
  <c r="BC33" i="2"/>
  <c r="BB33" i="2"/>
  <c r="AZ33" i="2"/>
  <c r="AR33" i="2"/>
  <c r="AL33" i="2"/>
  <c r="AM33" i="2" s="1"/>
  <c r="AK33" i="2"/>
  <c r="AI33" i="2"/>
  <c r="AB33" i="2"/>
  <c r="AO33" i="2" s="1"/>
  <c r="W33" i="2"/>
  <c r="V33" i="2"/>
  <c r="U33" i="2"/>
  <c r="T33" i="2"/>
  <c r="S33" i="2"/>
  <c r="R33" i="2"/>
  <c r="Q33" i="2"/>
  <c r="O33" i="2"/>
  <c r="J33" i="2"/>
  <c r="K33" i="2" s="1"/>
  <c r="I33" i="2"/>
  <c r="G33" i="2"/>
  <c r="BX32" i="2"/>
  <c r="BW32" i="2"/>
  <c r="BS32" i="2"/>
  <c r="BR32" i="2"/>
  <c r="BQ32" i="2"/>
  <c r="BP32" i="2"/>
  <c r="BO32" i="2"/>
  <c r="AZ32" i="2"/>
  <c r="AR32" i="2"/>
  <c r="AP32" i="2"/>
  <c r="AO32" i="2"/>
  <c r="AN32" i="2"/>
  <c r="AL32" i="2"/>
  <c r="AM32" i="2" s="1"/>
  <c r="AK32" i="2"/>
  <c r="AI32" i="2"/>
  <c r="AB32" i="2"/>
  <c r="AA32" i="2"/>
  <c r="Y32" i="2"/>
  <c r="Z32" i="2" s="1"/>
  <c r="X32" i="2"/>
  <c r="W32" i="2"/>
  <c r="AC32" i="2" s="1"/>
  <c r="V32" i="2"/>
  <c r="U32" i="2"/>
  <c r="T32" i="2"/>
  <c r="S32" i="2"/>
  <c r="R32" i="2"/>
  <c r="Q32" i="2"/>
  <c r="O32" i="2"/>
  <c r="K32" i="2"/>
  <c r="J32" i="2"/>
  <c r="I32" i="2"/>
  <c r="G32" i="2"/>
  <c r="CE31" i="2"/>
  <c r="CB31" i="2"/>
  <c r="BZ31" i="2"/>
  <c r="BW31" i="2"/>
  <c r="CA31" i="2" s="1"/>
  <c r="BS31" i="2"/>
  <c r="CG31" i="2" s="1"/>
  <c r="BR31" i="2"/>
  <c r="BQ31" i="2"/>
  <c r="BP31" i="2"/>
  <c r="BO31" i="2"/>
  <c r="AZ31" i="2"/>
  <c r="AR31" i="2"/>
  <c r="AP31" i="2"/>
  <c r="AO31" i="2"/>
  <c r="AN31" i="2"/>
  <c r="AM31" i="2"/>
  <c r="AL31" i="2"/>
  <c r="AK31" i="2"/>
  <c r="AI31" i="2"/>
  <c r="AC31" i="2"/>
  <c r="AB31" i="2"/>
  <c r="AA31" i="2"/>
  <c r="Y31" i="2"/>
  <c r="AD31" i="2" s="1"/>
  <c r="AQ31" i="2" s="1"/>
  <c r="W31" i="2"/>
  <c r="X31" i="2" s="1"/>
  <c r="V31" i="2"/>
  <c r="U31" i="2"/>
  <c r="BX31" i="2" s="1"/>
  <c r="T31" i="2"/>
  <c r="S31" i="2"/>
  <c r="R31" i="2"/>
  <c r="Q31" i="2"/>
  <c r="O31" i="2"/>
  <c r="K31" i="2"/>
  <c r="J31" i="2"/>
  <c r="I31" i="2"/>
  <c r="G31" i="2"/>
  <c r="BZ30" i="2"/>
  <c r="BT30" i="2"/>
  <c r="BS30" i="2"/>
  <c r="BQ30" i="2"/>
  <c r="BP30" i="2"/>
  <c r="BO30" i="2"/>
  <c r="AZ30" i="2"/>
  <c r="BB30" i="2" s="1"/>
  <c r="AR30" i="2"/>
  <c r="AN30" i="2"/>
  <c r="AM30" i="2"/>
  <c r="AL30" i="2"/>
  <c r="AK30" i="2"/>
  <c r="AI30" i="2"/>
  <c r="W30" i="2"/>
  <c r="AC30" i="2" s="1"/>
  <c r="AP30" i="2" s="1"/>
  <c r="U30" i="2"/>
  <c r="T30" i="2"/>
  <c r="S30" i="2"/>
  <c r="R30" i="2"/>
  <c r="Q30" i="2"/>
  <c r="O30" i="2"/>
  <c r="J30" i="2"/>
  <c r="I30" i="2"/>
  <c r="G30" i="2"/>
  <c r="CE29" i="2"/>
  <c r="BZ29" i="2"/>
  <c r="BX29" i="2"/>
  <c r="CB29" i="2" s="1"/>
  <c r="BU29" i="2"/>
  <c r="BT29" i="2"/>
  <c r="BS29" i="2"/>
  <c r="BR29" i="2"/>
  <c r="BQ29" i="2"/>
  <c r="BP29" i="2"/>
  <c r="BO29" i="2"/>
  <c r="BC29" i="2"/>
  <c r="AZ29" i="2"/>
  <c r="BB29" i="2" s="1"/>
  <c r="AR29" i="2"/>
  <c r="AP29" i="2"/>
  <c r="AM29" i="2"/>
  <c r="AL29" i="2"/>
  <c r="AK29" i="2"/>
  <c r="AI29" i="2"/>
  <c r="AC29" i="2"/>
  <c r="AB29" i="2"/>
  <c r="AO29" i="2" s="1"/>
  <c r="Y29" i="2"/>
  <c r="W29" i="2"/>
  <c r="U29" i="2"/>
  <c r="T29" i="2"/>
  <c r="S29" i="2"/>
  <c r="R29" i="2"/>
  <c r="Q29" i="2"/>
  <c r="O29" i="2"/>
  <c r="J29" i="2"/>
  <c r="K29" i="2" s="1"/>
  <c r="I29" i="2"/>
  <c r="G29" i="2"/>
  <c r="BW28" i="2"/>
  <c r="CD28" i="2" s="1"/>
  <c r="BS28" i="2"/>
  <c r="BU28" i="2" s="1"/>
  <c r="BV28" i="2" s="1"/>
  <c r="BR28" i="2"/>
  <c r="BQ28" i="2"/>
  <c r="BP28" i="2"/>
  <c r="BO28" i="2"/>
  <c r="BB28" i="2"/>
  <c r="AZ28" i="2"/>
  <c r="BC28" i="2" s="1"/>
  <c r="AR28" i="2"/>
  <c r="AL28" i="2"/>
  <c r="AM28" i="2" s="1"/>
  <c r="AK28" i="2"/>
  <c r="AI28" i="2"/>
  <c r="AA28" i="2"/>
  <c r="W28" i="2"/>
  <c r="U28" i="2"/>
  <c r="T28" i="2"/>
  <c r="S28" i="2"/>
  <c r="R28" i="2"/>
  <c r="Q28" i="2"/>
  <c r="O28" i="2"/>
  <c r="J28" i="2"/>
  <c r="K28" i="2" s="1"/>
  <c r="I28" i="2"/>
  <c r="G28" i="2"/>
  <c r="BW27" i="2"/>
  <c r="BS27" i="2"/>
  <c r="BQ27" i="2"/>
  <c r="BP27" i="2"/>
  <c r="BO27" i="2"/>
  <c r="BC27" i="2"/>
  <c r="BB27" i="2"/>
  <c r="AZ27" i="2"/>
  <c r="AR27" i="2"/>
  <c r="AN27" i="2"/>
  <c r="AL27" i="2"/>
  <c r="AM27" i="2" s="1"/>
  <c r="AK27" i="2"/>
  <c r="AI27" i="2"/>
  <c r="AA27" i="2"/>
  <c r="X27" i="2"/>
  <c r="W27" i="2"/>
  <c r="AC27" i="2" s="1"/>
  <c r="AP27" i="2" s="1"/>
  <c r="V27" i="2"/>
  <c r="U27" i="2"/>
  <c r="T27" i="2"/>
  <c r="S27" i="2"/>
  <c r="R27" i="2"/>
  <c r="Q27" i="2"/>
  <c r="O27" i="2"/>
  <c r="J27" i="2"/>
  <c r="I27" i="2"/>
  <c r="G27" i="2"/>
  <c r="BZ26" i="2"/>
  <c r="CG26" i="2" s="1"/>
  <c r="BW26" i="2"/>
  <c r="CD26" i="2" s="1"/>
  <c r="BV26" i="2"/>
  <c r="BU26" i="2"/>
  <c r="BT26" i="2"/>
  <c r="BS26" i="2"/>
  <c r="BR26" i="2"/>
  <c r="BQ26" i="2"/>
  <c r="BP26" i="2"/>
  <c r="BO26" i="2"/>
  <c r="AZ26" i="2"/>
  <c r="BC26" i="2" s="1"/>
  <c r="AR26" i="2"/>
  <c r="AM26" i="2"/>
  <c r="AL26" i="2"/>
  <c r="AK26" i="2"/>
  <c r="AI26" i="2"/>
  <c r="AC26" i="2"/>
  <c r="AP26" i="2" s="1"/>
  <c r="AB26" i="2"/>
  <c r="AO26" i="2" s="1"/>
  <c r="W26" i="2"/>
  <c r="U26" i="2"/>
  <c r="T26" i="2"/>
  <c r="AA26" i="2" s="1"/>
  <c r="S26" i="2"/>
  <c r="R26" i="2"/>
  <c r="Q26" i="2"/>
  <c r="O26" i="2"/>
  <c r="K26" i="2"/>
  <c r="J26" i="2"/>
  <c r="I26" i="2"/>
  <c r="G26" i="2"/>
  <c r="CG25" i="2"/>
  <c r="CE25" i="2"/>
  <c r="BY25" i="2"/>
  <c r="BX25" i="2"/>
  <c r="BW25" i="2"/>
  <c r="BT25" i="2"/>
  <c r="BS25" i="2"/>
  <c r="BQ25" i="2"/>
  <c r="BP25" i="2"/>
  <c r="BO25" i="2"/>
  <c r="BC25" i="2"/>
  <c r="AZ25" i="2"/>
  <c r="BB25" i="2" s="1"/>
  <c r="AR25" i="2"/>
  <c r="AN25" i="2"/>
  <c r="AL25" i="2"/>
  <c r="AM25" i="2" s="1"/>
  <c r="AK25" i="2"/>
  <c r="AI25" i="2"/>
  <c r="AE25" i="2"/>
  <c r="AD25" i="2"/>
  <c r="AC25" i="2"/>
  <c r="AP25" i="2" s="1"/>
  <c r="Z25" i="2"/>
  <c r="Y25" i="2"/>
  <c r="X25" i="2"/>
  <c r="W25" i="2"/>
  <c r="BZ25" i="2" s="1"/>
  <c r="CA25" i="2" s="1"/>
  <c r="V25" i="2"/>
  <c r="U25" i="2"/>
  <c r="AB25" i="2" s="1"/>
  <c r="AO25" i="2" s="1"/>
  <c r="T25" i="2"/>
  <c r="AA25" i="2" s="1"/>
  <c r="S25" i="2"/>
  <c r="R25" i="2"/>
  <c r="Q25" i="2"/>
  <c r="O25" i="2"/>
  <c r="J25" i="2"/>
  <c r="K25" i="2" s="1"/>
  <c r="I25" i="2"/>
  <c r="G25" i="2"/>
  <c r="BY24" i="2"/>
  <c r="BX24" i="2"/>
  <c r="BS24" i="2"/>
  <c r="BQ24" i="2"/>
  <c r="BU24" i="2" s="1"/>
  <c r="BP24" i="2"/>
  <c r="BO24" i="2"/>
  <c r="AZ24" i="2"/>
  <c r="BB24" i="2" s="1"/>
  <c r="AR24" i="2"/>
  <c r="AO24" i="2"/>
  <c r="AN24" i="2"/>
  <c r="AL24" i="2"/>
  <c r="BC24" i="2" s="1"/>
  <c r="AK24" i="2"/>
  <c r="AI24" i="2"/>
  <c r="AB24" i="2"/>
  <c r="AA24" i="2"/>
  <c r="W24" i="2"/>
  <c r="U24" i="2"/>
  <c r="V24" i="2" s="1"/>
  <c r="T24" i="2"/>
  <c r="BW24" i="2" s="1"/>
  <c r="S24" i="2"/>
  <c r="R24" i="2"/>
  <c r="Q24" i="2"/>
  <c r="O24" i="2"/>
  <c r="J24" i="2"/>
  <c r="K24" i="2" s="1"/>
  <c r="I24" i="2"/>
  <c r="G24" i="2"/>
  <c r="BU23" i="2"/>
  <c r="BV23" i="2" s="1"/>
  <c r="BT23" i="2"/>
  <c r="BS23" i="2"/>
  <c r="BR23" i="2"/>
  <c r="BQ23" i="2"/>
  <c r="BP23" i="2"/>
  <c r="BO23" i="2"/>
  <c r="AZ23" i="2"/>
  <c r="AR23" i="2"/>
  <c r="AL23" i="2"/>
  <c r="AM23" i="2" s="1"/>
  <c r="AK23" i="2"/>
  <c r="AI23" i="2"/>
  <c r="W23" i="2"/>
  <c r="U23" i="2"/>
  <c r="T23" i="2"/>
  <c r="S23" i="2"/>
  <c r="R23" i="2"/>
  <c r="Q23" i="2"/>
  <c r="O23" i="2"/>
  <c r="J23" i="2"/>
  <c r="K23" i="2" s="1"/>
  <c r="I23" i="2"/>
  <c r="G23" i="2"/>
  <c r="BX22" i="2"/>
  <c r="BW22" i="2"/>
  <c r="BY22" i="2" s="1"/>
  <c r="BS22" i="2"/>
  <c r="BT22" i="2" s="1"/>
  <c r="BR22" i="2"/>
  <c r="BQ22" i="2"/>
  <c r="BP22" i="2"/>
  <c r="BO22" i="2"/>
  <c r="AZ22" i="2"/>
  <c r="AR22" i="2"/>
  <c r="AO22" i="2"/>
  <c r="AN22" i="2"/>
  <c r="AM22" i="2"/>
  <c r="AL22" i="2"/>
  <c r="AK22" i="2"/>
  <c r="AI22" i="2"/>
  <c r="AB22" i="2"/>
  <c r="AA22" i="2"/>
  <c r="W22" i="2"/>
  <c r="V22" i="2"/>
  <c r="U22" i="2"/>
  <c r="T22" i="2"/>
  <c r="S22" i="2"/>
  <c r="R22" i="2"/>
  <c r="Q22" i="2"/>
  <c r="O22" i="2"/>
  <c r="J22" i="2"/>
  <c r="I22" i="2"/>
  <c r="G22" i="2"/>
  <c r="CE21" i="2"/>
  <c r="BZ21" i="2"/>
  <c r="BX21" i="2"/>
  <c r="BV21" i="2"/>
  <c r="BU21" i="2"/>
  <c r="BT21" i="2"/>
  <c r="BS21" i="2"/>
  <c r="BQ21" i="2"/>
  <c r="BP21" i="2"/>
  <c r="BR21" i="2" s="1"/>
  <c r="BO21" i="2"/>
  <c r="AZ21" i="2"/>
  <c r="AR21" i="2"/>
  <c r="AQ21" i="2"/>
  <c r="AM21" i="2"/>
  <c r="AL21" i="2"/>
  <c r="AK21" i="2"/>
  <c r="AI21" i="2"/>
  <c r="AD21" i="2"/>
  <c r="AC21" i="2"/>
  <c r="AP21" i="2" s="1"/>
  <c r="AB21" i="2"/>
  <c r="AO21" i="2" s="1"/>
  <c r="AA21" i="2"/>
  <c r="AE21" i="2" s="1"/>
  <c r="Y21" i="2"/>
  <c r="W21" i="2"/>
  <c r="U21" i="2"/>
  <c r="T21" i="2"/>
  <c r="S21" i="2"/>
  <c r="R21" i="2"/>
  <c r="Q21" i="2"/>
  <c r="O21" i="2"/>
  <c r="K21" i="2"/>
  <c r="J21" i="2"/>
  <c r="I21" i="2"/>
  <c r="G21" i="2"/>
  <c r="CE20" i="2"/>
  <c r="BX20" i="2"/>
  <c r="BT20" i="2"/>
  <c r="BS20" i="2"/>
  <c r="BR20" i="2"/>
  <c r="BQ20" i="2"/>
  <c r="BU20" i="2" s="1"/>
  <c r="BV20" i="2" s="1"/>
  <c r="BP20" i="2"/>
  <c r="BO20" i="2"/>
  <c r="BC20" i="2"/>
  <c r="AZ20" i="2"/>
  <c r="BB20" i="2" s="1"/>
  <c r="AR20" i="2"/>
  <c r="AN20" i="2"/>
  <c r="AM20" i="2"/>
  <c r="AL20" i="2"/>
  <c r="AK20" i="2"/>
  <c r="AI20" i="2"/>
  <c r="AC20" i="2"/>
  <c r="AP20" i="2" s="1"/>
  <c r="AA20" i="2"/>
  <c r="Y20" i="2"/>
  <c r="Z20" i="2" s="1"/>
  <c r="X20" i="2"/>
  <c r="W20" i="2"/>
  <c r="BZ20" i="2" s="1"/>
  <c r="CA20" i="2" s="1"/>
  <c r="U20" i="2"/>
  <c r="T20" i="2"/>
  <c r="BW20" i="2" s="1"/>
  <c r="S20" i="2"/>
  <c r="R20" i="2"/>
  <c r="Q20" i="2"/>
  <c r="O20" i="2"/>
  <c r="J20" i="2"/>
  <c r="AD20" i="2" s="1"/>
  <c r="AQ20" i="2" s="1"/>
  <c r="I20" i="2"/>
  <c r="G20" i="2"/>
  <c r="BS19" i="2"/>
  <c r="BT19" i="2" s="1"/>
  <c r="BQ19" i="2"/>
  <c r="BP19" i="2"/>
  <c r="BO19" i="2"/>
  <c r="BC19" i="2"/>
  <c r="AZ19" i="2"/>
  <c r="BB19" i="2" s="1"/>
  <c r="AR19" i="2"/>
  <c r="AM19" i="2"/>
  <c r="AL19" i="2"/>
  <c r="AK19" i="2"/>
  <c r="AI19" i="2"/>
  <c r="AC19" i="2"/>
  <c r="AP19" i="2" s="1"/>
  <c r="Y19" i="2"/>
  <c r="W19" i="2"/>
  <c r="BZ19" i="2" s="1"/>
  <c r="U19" i="2"/>
  <c r="T19" i="2"/>
  <c r="S19" i="2"/>
  <c r="R19" i="2"/>
  <c r="Q19" i="2"/>
  <c r="O19" i="2"/>
  <c r="J19" i="2"/>
  <c r="I19" i="2"/>
  <c r="G19" i="2"/>
  <c r="BT18" i="2"/>
  <c r="BS18" i="2"/>
  <c r="BU18" i="2" s="1"/>
  <c r="BV18" i="2" s="1"/>
  <c r="BR18" i="2"/>
  <c r="BQ18" i="2"/>
  <c r="BP18" i="2"/>
  <c r="BO18" i="2"/>
  <c r="BC18" i="2"/>
  <c r="AZ18" i="2"/>
  <c r="BB18" i="2" s="1"/>
  <c r="AR18" i="2"/>
  <c r="AP18" i="2"/>
  <c r="AM18" i="2"/>
  <c r="AL18" i="2"/>
  <c r="AK18" i="2"/>
  <c r="AI18" i="2"/>
  <c r="AC18" i="2"/>
  <c r="W18" i="2"/>
  <c r="BZ18" i="2" s="1"/>
  <c r="U18" i="2"/>
  <c r="T18" i="2"/>
  <c r="S18" i="2"/>
  <c r="R18" i="2"/>
  <c r="Q18" i="2"/>
  <c r="O18" i="2"/>
  <c r="J18" i="2"/>
  <c r="K18" i="2" s="1"/>
  <c r="I18" i="2"/>
  <c r="G18" i="2"/>
  <c r="BS17" i="2"/>
  <c r="BQ17" i="2"/>
  <c r="BP17" i="2"/>
  <c r="BO17" i="2"/>
  <c r="AZ17" i="2"/>
  <c r="BC17" i="2" s="1"/>
  <c r="AR17" i="2"/>
  <c r="AL17" i="2"/>
  <c r="AM17" i="2" s="1"/>
  <c r="AK17" i="2"/>
  <c r="AI17" i="2"/>
  <c r="W17" i="2"/>
  <c r="AC17" i="2" s="1"/>
  <c r="AP17" i="2" s="1"/>
  <c r="U17" i="2"/>
  <c r="AB17" i="2" s="1"/>
  <c r="AO17" i="2" s="1"/>
  <c r="T17" i="2"/>
  <c r="S17" i="2"/>
  <c r="R17" i="2"/>
  <c r="Q17" i="2"/>
  <c r="O17" i="2"/>
  <c r="K17" i="2"/>
  <c r="J17" i="2"/>
  <c r="I17" i="2"/>
  <c r="G17" i="2"/>
  <c r="BX16" i="2"/>
  <c r="BW16" i="2"/>
  <c r="BT16" i="2"/>
  <c r="BS16" i="2"/>
  <c r="BR16" i="2"/>
  <c r="BQ16" i="2"/>
  <c r="BP16" i="2"/>
  <c r="BO16" i="2"/>
  <c r="BC16" i="2"/>
  <c r="BB16" i="2"/>
  <c r="AZ16" i="2"/>
  <c r="AR16" i="2"/>
  <c r="AO16" i="2"/>
  <c r="AN16" i="2"/>
  <c r="AL16" i="2"/>
  <c r="AM16" i="2" s="1"/>
  <c r="AK16" i="2"/>
  <c r="AI16" i="2"/>
  <c r="AB16" i="2"/>
  <c r="Y16" i="2"/>
  <c r="Z16" i="2" s="1"/>
  <c r="X16" i="2"/>
  <c r="W16" i="2"/>
  <c r="AC16" i="2" s="1"/>
  <c r="AP16" i="2" s="1"/>
  <c r="U16" i="2"/>
  <c r="T16" i="2"/>
  <c r="AA16" i="2" s="1"/>
  <c r="S16" i="2"/>
  <c r="R16" i="2"/>
  <c r="Q16" i="2"/>
  <c r="O16" i="2"/>
  <c r="K16" i="2"/>
  <c r="J16" i="2"/>
  <c r="AD16" i="2" s="1"/>
  <c r="AQ16" i="2" s="1"/>
  <c r="I16" i="2"/>
  <c r="G16" i="2"/>
  <c r="CB15" i="2"/>
  <c r="BX15" i="2"/>
  <c r="BS15" i="2"/>
  <c r="BT15" i="2" s="1"/>
  <c r="BQ15" i="2"/>
  <c r="BU15" i="2" s="1"/>
  <c r="BV15" i="2" s="1"/>
  <c r="BP15" i="2"/>
  <c r="BO15" i="2"/>
  <c r="BC15" i="2"/>
  <c r="BB15" i="2"/>
  <c r="AZ15" i="2"/>
  <c r="AR15" i="2"/>
  <c r="AL15" i="2"/>
  <c r="AM15" i="2" s="1"/>
  <c r="AK15" i="2"/>
  <c r="AI15" i="2"/>
  <c r="AC15" i="2"/>
  <c r="AP15" i="2" s="1"/>
  <c r="W15" i="2"/>
  <c r="BZ15" i="2" s="1"/>
  <c r="U15" i="2"/>
  <c r="T15" i="2"/>
  <c r="BW15" i="2" s="1"/>
  <c r="S15" i="2"/>
  <c r="R15" i="2"/>
  <c r="Q15" i="2"/>
  <c r="O15" i="2"/>
  <c r="K15" i="2"/>
  <c r="J15" i="2"/>
  <c r="I15" i="2"/>
  <c r="G15" i="2"/>
  <c r="BS14" i="2"/>
  <c r="BQ14" i="2"/>
  <c r="BP14" i="2"/>
  <c r="BO14" i="2"/>
  <c r="BB14" i="2"/>
  <c r="AZ14" i="2"/>
  <c r="AR14" i="2"/>
  <c r="AL14" i="2"/>
  <c r="BC14" i="2" s="1"/>
  <c r="AK14" i="2"/>
  <c r="AI14" i="2"/>
  <c r="W14" i="2"/>
  <c r="AC14" i="2" s="1"/>
  <c r="AP14" i="2" s="1"/>
  <c r="U14" i="2"/>
  <c r="AB14" i="2" s="1"/>
  <c r="AO14" i="2" s="1"/>
  <c r="T14" i="2"/>
  <c r="S14" i="2"/>
  <c r="R14" i="2"/>
  <c r="Q14" i="2"/>
  <c r="O14" i="2"/>
  <c r="K14" i="2"/>
  <c r="J14" i="2"/>
  <c r="I14" i="2"/>
  <c r="G14" i="2"/>
  <c r="BZ13" i="2"/>
  <c r="CA13" i="2" s="1"/>
  <c r="BW13" i="2"/>
  <c r="BU13" i="2"/>
  <c r="BS13" i="2"/>
  <c r="BT13" i="2" s="1"/>
  <c r="BR13" i="2"/>
  <c r="BQ13" i="2"/>
  <c r="BP13" i="2"/>
  <c r="BO13" i="2"/>
  <c r="AZ13" i="2"/>
  <c r="BC13" i="2" s="1"/>
  <c r="AR13" i="2"/>
  <c r="AN13" i="2"/>
  <c r="AM13" i="2"/>
  <c r="AL13" i="2"/>
  <c r="AK13" i="2"/>
  <c r="AI13" i="2"/>
  <c r="AC13" i="2"/>
  <c r="AP13" i="2" s="1"/>
  <c r="AA13" i="2"/>
  <c r="AE13" i="2" s="1"/>
  <c r="Y13" i="2"/>
  <c r="Z13" i="2" s="1"/>
  <c r="X13" i="2"/>
  <c r="W13" i="2"/>
  <c r="U13" i="2"/>
  <c r="T13" i="2"/>
  <c r="S13" i="2"/>
  <c r="R13" i="2"/>
  <c r="Q13" i="2"/>
  <c r="O13" i="2"/>
  <c r="K13" i="2"/>
  <c r="J13" i="2"/>
  <c r="AD13" i="2" s="1"/>
  <c r="AQ13" i="2" s="1"/>
  <c r="I13" i="2"/>
  <c r="G13" i="2"/>
  <c r="CE12" i="2"/>
  <c r="CI12" i="2" s="1"/>
  <c r="BZ12" i="2"/>
  <c r="CA12" i="2" s="1"/>
  <c r="BS12" i="2"/>
  <c r="CG12" i="2" s="1"/>
  <c r="CH12" i="2" s="1"/>
  <c r="BQ12" i="2"/>
  <c r="BP12" i="2"/>
  <c r="BO12" i="2"/>
  <c r="AZ12" i="2"/>
  <c r="BB12" i="2" s="1"/>
  <c r="AR12" i="2"/>
  <c r="AL12" i="2"/>
  <c r="AM12" i="2" s="1"/>
  <c r="AK12" i="2"/>
  <c r="AI12" i="2"/>
  <c r="AB12" i="2"/>
  <c r="AO12" i="2" s="1"/>
  <c r="W12" i="2"/>
  <c r="AC12" i="2" s="1"/>
  <c r="AP12" i="2" s="1"/>
  <c r="U12" i="2"/>
  <c r="BX12" i="2" s="1"/>
  <c r="T12" i="2"/>
  <c r="BW12" i="2" s="1"/>
  <c r="CD12" i="2" s="1"/>
  <c r="S12" i="2"/>
  <c r="R12" i="2"/>
  <c r="Q12" i="2"/>
  <c r="O12" i="2"/>
  <c r="K12" i="2"/>
  <c r="J12" i="2"/>
  <c r="I12" i="2"/>
  <c r="G12" i="2"/>
  <c r="BW11" i="2"/>
  <c r="CD11" i="2" s="1"/>
  <c r="BS11" i="2"/>
  <c r="BU11" i="2" s="1"/>
  <c r="BV11" i="2" s="1"/>
  <c r="BR11" i="2"/>
  <c r="BQ11" i="2"/>
  <c r="BP11" i="2"/>
  <c r="BO11" i="2"/>
  <c r="AZ11" i="2"/>
  <c r="BC11" i="2" s="1"/>
  <c r="AR11" i="2"/>
  <c r="AP11" i="2"/>
  <c r="AN11" i="2"/>
  <c r="AL11" i="2"/>
  <c r="AK11" i="2"/>
  <c r="AI11" i="2"/>
  <c r="AC11" i="2"/>
  <c r="AB11" i="2"/>
  <c r="AO11" i="2" s="1"/>
  <c r="AA11" i="2"/>
  <c r="X11" i="2"/>
  <c r="W11" i="2"/>
  <c r="BZ11" i="2" s="1"/>
  <c r="U11" i="2"/>
  <c r="T11" i="2"/>
  <c r="S11" i="2"/>
  <c r="R11" i="2"/>
  <c r="R46" i="2" s="1"/>
  <c r="S46" i="2" s="1"/>
  <c r="Q11" i="2"/>
  <c r="O11" i="2"/>
  <c r="K11" i="2"/>
  <c r="J11" i="2"/>
  <c r="J46" i="2" s="1"/>
  <c r="K46" i="2" s="1"/>
  <c r="I11" i="2"/>
  <c r="G11" i="2"/>
  <c r="BS10" i="2"/>
  <c r="BT10" i="2" s="1"/>
  <c r="BQ10" i="2"/>
  <c r="BP10" i="2"/>
  <c r="BO10" i="2"/>
  <c r="AZ10" i="2"/>
  <c r="BC10" i="2" s="1"/>
  <c r="AR10" i="2"/>
  <c r="AN10" i="2"/>
  <c r="AL10" i="2"/>
  <c r="AL45" i="2" s="1"/>
  <c r="AM45" i="2" s="1"/>
  <c r="AK10" i="2"/>
  <c r="AI10" i="2"/>
  <c r="W10" i="2"/>
  <c r="X10" i="2" s="1"/>
  <c r="V10" i="2"/>
  <c r="U10" i="2"/>
  <c r="U45" i="2" s="1"/>
  <c r="T10" i="2"/>
  <c r="S10" i="2"/>
  <c r="R10" i="2"/>
  <c r="R45" i="2" s="1"/>
  <c r="Q10" i="2"/>
  <c r="O10" i="2"/>
  <c r="K10" i="2"/>
  <c r="J10" i="2"/>
  <c r="J45" i="2" s="1"/>
  <c r="K45" i="2" s="1"/>
  <c r="I10" i="2"/>
  <c r="G10" i="2"/>
  <c r="BZ9" i="2"/>
  <c r="BU9" i="2"/>
  <c r="BS9" i="2"/>
  <c r="BQ9" i="2"/>
  <c r="BP9" i="2"/>
  <c r="BO9" i="2"/>
  <c r="BB9" i="2"/>
  <c r="AZ9" i="2"/>
  <c r="BC9" i="2" s="1"/>
  <c r="AR9" i="2"/>
  <c r="AL9" i="2"/>
  <c r="AM9" i="2" s="1"/>
  <c r="AK9" i="2"/>
  <c r="AI9" i="2"/>
  <c r="AD9" i="2"/>
  <c r="AQ9" i="2" s="1"/>
  <c r="AC9" i="2"/>
  <c r="AP9" i="2" s="1"/>
  <c r="AB9" i="2"/>
  <c r="AO9" i="2" s="1"/>
  <c r="Y9" i="2"/>
  <c r="W9" i="2"/>
  <c r="U9" i="2"/>
  <c r="T9" i="2"/>
  <c r="T44" i="2" s="1"/>
  <c r="S9" i="2"/>
  <c r="R9" i="2"/>
  <c r="R44" i="2" s="1"/>
  <c r="S44" i="2" s="1"/>
  <c r="Q9" i="2"/>
  <c r="O9" i="2"/>
  <c r="K9" i="2"/>
  <c r="J9" i="2"/>
  <c r="I9" i="2"/>
  <c r="G9" i="2"/>
  <c r="BX8" i="2"/>
  <c r="BY8" i="2" s="1"/>
  <c r="BW8" i="2"/>
  <c r="CD8" i="2" s="1"/>
  <c r="BV8" i="2"/>
  <c r="BU8" i="2"/>
  <c r="BT8" i="2"/>
  <c r="BS8" i="2"/>
  <c r="BQ8" i="2"/>
  <c r="BR8" i="2" s="1"/>
  <c r="BP8" i="2"/>
  <c r="BO8" i="2"/>
  <c r="AZ8" i="2"/>
  <c r="BC8" i="2" s="1"/>
  <c r="AR8" i="2"/>
  <c r="AL8" i="2"/>
  <c r="AK8" i="2"/>
  <c r="AI8" i="2"/>
  <c r="AC8" i="2"/>
  <c r="AP8" i="2" s="1"/>
  <c r="AB8" i="2"/>
  <c r="AO8" i="2" s="1"/>
  <c r="X8" i="2"/>
  <c r="W8" i="2"/>
  <c r="U8" i="2"/>
  <c r="T8" i="2"/>
  <c r="S8" i="2"/>
  <c r="R8" i="2"/>
  <c r="Q8" i="2"/>
  <c r="O8" i="2"/>
  <c r="K8" i="2"/>
  <c r="J8" i="2"/>
  <c r="J43" i="2" s="1"/>
  <c r="K43" i="2" s="1"/>
  <c r="I8" i="2"/>
  <c r="G8" i="2"/>
  <c r="BX7" i="2"/>
  <c r="BS7" i="2"/>
  <c r="BR7" i="2"/>
  <c r="BQ7" i="2"/>
  <c r="CE7" i="2" s="1"/>
  <c r="BP7" i="2"/>
  <c r="BO7" i="2"/>
  <c r="BC7" i="2"/>
  <c r="BB7" i="2"/>
  <c r="AZ7" i="2"/>
  <c r="AR7" i="2"/>
  <c r="AP7" i="2"/>
  <c r="AO7" i="2"/>
  <c r="AN7" i="2"/>
  <c r="AM7" i="2"/>
  <c r="AL7" i="2"/>
  <c r="AK7" i="2"/>
  <c r="AI7" i="2"/>
  <c r="AC7" i="2"/>
  <c r="AB7" i="2"/>
  <c r="AA7" i="2"/>
  <c r="Z7" i="2"/>
  <c r="Y7" i="2"/>
  <c r="X7" i="2"/>
  <c r="W7" i="2"/>
  <c r="U7" i="2"/>
  <c r="T7" i="2"/>
  <c r="S7" i="2"/>
  <c r="R7" i="2"/>
  <c r="R42" i="2" s="1"/>
  <c r="S42" i="2" s="1"/>
  <c r="Q7" i="2"/>
  <c r="O7" i="2"/>
  <c r="K7" i="2"/>
  <c r="J7" i="2"/>
  <c r="J42" i="2" s="1"/>
  <c r="K42" i="2" s="1"/>
  <c r="I7" i="2"/>
  <c r="G7" i="2"/>
  <c r="BS6" i="2"/>
  <c r="CG6" i="2" s="1"/>
  <c r="BR6" i="2"/>
  <c r="BQ6" i="2"/>
  <c r="BP6" i="2"/>
  <c r="BO6" i="2"/>
  <c r="AZ6" i="2"/>
  <c r="BC6" i="2" s="1"/>
  <c r="AR6" i="2"/>
  <c r="AP6" i="2"/>
  <c r="AN6" i="2"/>
  <c r="AL6" i="2"/>
  <c r="AK6" i="2"/>
  <c r="AI6" i="2"/>
  <c r="AC6" i="2"/>
  <c r="AB6" i="2"/>
  <c r="AO6" i="2" s="1"/>
  <c r="AA6" i="2"/>
  <c r="X6" i="2"/>
  <c r="W6" i="2"/>
  <c r="BZ6" i="2" s="1"/>
  <c r="U6" i="2"/>
  <c r="T6" i="2"/>
  <c r="T41" i="2" s="1"/>
  <c r="S6" i="2"/>
  <c r="R6" i="2"/>
  <c r="R41" i="2" s="1"/>
  <c r="S41" i="2" s="1"/>
  <c r="Q6" i="2"/>
  <c r="O6" i="2"/>
  <c r="K6" i="2"/>
  <c r="J6" i="2"/>
  <c r="J41" i="2" s="1"/>
  <c r="K41" i="2" s="1"/>
  <c r="I6" i="2"/>
  <c r="G6" i="2"/>
  <c r="CD5" i="2"/>
  <c r="BZ5" i="2"/>
  <c r="BW5" i="2"/>
  <c r="BS5" i="2"/>
  <c r="BT5" i="2" s="1"/>
  <c r="BR5" i="2"/>
  <c r="BQ5" i="2"/>
  <c r="BP5" i="2"/>
  <c r="BO5" i="2"/>
  <c r="AZ5" i="2"/>
  <c r="AR5" i="2"/>
  <c r="AO5" i="2"/>
  <c r="AN5" i="2"/>
  <c r="AM5" i="2"/>
  <c r="AL5" i="2"/>
  <c r="AK5" i="2"/>
  <c r="AI5" i="2"/>
  <c r="AB5" i="2"/>
  <c r="AA5" i="2"/>
  <c r="Z5" i="2"/>
  <c r="Y5" i="2"/>
  <c r="X5" i="2"/>
  <c r="W5" i="2"/>
  <c r="U5" i="2"/>
  <c r="BX5" i="2" s="1"/>
  <c r="T5" i="2"/>
  <c r="S5" i="2"/>
  <c r="R5" i="2"/>
  <c r="Q5" i="2"/>
  <c r="O5" i="2"/>
  <c r="K5" i="2"/>
  <c r="J5" i="2"/>
  <c r="J47" i="2" s="1"/>
  <c r="K47" i="2" s="1"/>
  <c r="I5" i="2"/>
  <c r="G5" i="2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AL65" i="1"/>
  <c r="AD65" i="1"/>
  <c r="AN61" i="1"/>
  <c r="AF61" i="1"/>
  <c r="Z56" i="1"/>
  <c r="AM56" i="1" s="1"/>
  <c r="S56" i="1"/>
  <c r="AS54" i="1"/>
  <c r="AR54" i="1" s="1"/>
  <c r="AD50" i="1"/>
  <c r="AJ47" i="1"/>
  <c r="AH47" i="1"/>
  <c r="AG47" i="1"/>
  <c r="P47" i="1"/>
  <c r="Q47" i="1" s="1"/>
  <c r="O47" i="1"/>
  <c r="N47" i="1"/>
  <c r="M47" i="1"/>
  <c r="H47" i="1"/>
  <c r="F47" i="1"/>
  <c r="G47" i="1" s="1"/>
  <c r="E47" i="1"/>
  <c r="AJ46" i="1"/>
  <c r="AH46" i="1"/>
  <c r="AI46" i="1" s="1"/>
  <c r="AG46" i="1"/>
  <c r="AK46" i="1" s="1"/>
  <c r="P46" i="1"/>
  <c r="N46" i="1"/>
  <c r="O46" i="1" s="1"/>
  <c r="M46" i="1"/>
  <c r="H46" i="1"/>
  <c r="I46" i="1" s="1"/>
  <c r="F46" i="1"/>
  <c r="G46" i="1" s="1"/>
  <c r="E46" i="1"/>
  <c r="AK45" i="1"/>
  <c r="AJ45" i="1"/>
  <c r="AH45" i="1"/>
  <c r="AG45" i="1"/>
  <c r="AI45" i="1" s="1"/>
  <c r="P45" i="1"/>
  <c r="N45" i="1"/>
  <c r="O45" i="1" s="1"/>
  <c r="M45" i="1"/>
  <c r="H45" i="1"/>
  <c r="F45" i="1"/>
  <c r="G45" i="1" s="1"/>
  <c r="E45" i="1"/>
  <c r="I45" i="1" s="1"/>
  <c r="AJ44" i="1"/>
  <c r="AK44" i="1" s="1"/>
  <c r="AI44" i="1"/>
  <c r="AH44" i="1"/>
  <c r="AG44" i="1"/>
  <c r="P44" i="1"/>
  <c r="N44" i="1"/>
  <c r="O44" i="1" s="1"/>
  <c r="M44" i="1"/>
  <c r="Q44" i="1" s="1"/>
  <c r="J44" i="1"/>
  <c r="K44" i="1" s="1"/>
  <c r="I44" i="1"/>
  <c r="H44" i="1"/>
  <c r="G44" i="1"/>
  <c r="F44" i="1"/>
  <c r="E44" i="1"/>
  <c r="AK43" i="1"/>
  <c r="AJ43" i="1"/>
  <c r="AH43" i="1"/>
  <c r="AI43" i="1" s="1"/>
  <c r="AG43" i="1"/>
  <c r="Q43" i="1"/>
  <c r="P43" i="1"/>
  <c r="N43" i="1"/>
  <c r="M43" i="1"/>
  <c r="O43" i="1" s="1"/>
  <c r="H43" i="1"/>
  <c r="I43" i="1" s="1"/>
  <c r="F43" i="1"/>
  <c r="G43" i="1" s="1"/>
  <c r="E43" i="1"/>
  <c r="AJ42" i="1"/>
  <c r="AK42" i="1" s="1"/>
  <c r="AH42" i="1"/>
  <c r="AI42" i="1" s="1"/>
  <c r="AG42" i="1"/>
  <c r="P42" i="1"/>
  <c r="Q42" i="1" s="1"/>
  <c r="O42" i="1"/>
  <c r="N42" i="1"/>
  <c r="M42" i="1"/>
  <c r="H42" i="1"/>
  <c r="I42" i="1" s="1"/>
  <c r="G42" i="1"/>
  <c r="F42" i="1"/>
  <c r="E42" i="1"/>
  <c r="AJ41" i="1"/>
  <c r="AH41" i="1"/>
  <c r="AG41" i="1"/>
  <c r="AK41" i="1" s="1"/>
  <c r="P41" i="1"/>
  <c r="Q41" i="1" s="1"/>
  <c r="N41" i="1"/>
  <c r="M41" i="1"/>
  <c r="O41" i="1" s="1"/>
  <c r="H41" i="1"/>
  <c r="I41" i="1" s="1"/>
  <c r="F41" i="1"/>
  <c r="G41" i="1" s="1"/>
  <c r="E41" i="1"/>
  <c r="AI38" i="1"/>
  <c r="W38" i="1"/>
  <c r="O38" i="1"/>
  <c r="AJ37" i="1"/>
  <c r="AK37" i="1" s="1"/>
  <c r="AH37" i="1"/>
  <c r="AI37" i="1" s="1"/>
  <c r="AY36" i="1"/>
  <c r="AX36" i="1"/>
  <c r="AW36" i="1"/>
  <c r="AV36" i="1"/>
  <c r="AU36" i="1"/>
  <c r="AT36" i="1"/>
  <c r="AS36" i="1"/>
  <c r="AJ36" i="1"/>
  <c r="AH36" i="1"/>
  <c r="AG36" i="1"/>
  <c r="AN39" i="1" s="1"/>
  <c r="AF36" i="1"/>
  <c r="AN49" i="1" s="1"/>
  <c r="P36" i="1"/>
  <c r="P37" i="1" s="1"/>
  <c r="N36" i="1"/>
  <c r="O36" i="1" s="1"/>
  <c r="M36" i="1"/>
  <c r="Q36" i="1" s="1"/>
  <c r="L36" i="1"/>
  <c r="H36" i="1"/>
  <c r="I36" i="1" s="1"/>
  <c r="G36" i="1"/>
  <c r="F36" i="1"/>
  <c r="F37" i="1" s="1"/>
  <c r="G37" i="1" s="1"/>
  <c r="E36" i="1"/>
  <c r="F38" i="1" s="1"/>
  <c r="D36" i="1"/>
  <c r="C36" i="1"/>
  <c r="AZ35" i="1"/>
  <c r="BB35" i="1" s="1"/>
  <c r="AR35" i="1"/>
  <c r="AP35" i="1"/>
  <c r="AO35" i="1"/>
  <c r="AN35" i="1"/>
  <c r="AL35" i="1"/>
  <c r="BC35" i="1" s="1"/>
  <c r="AK35" i="1"/>
  <c r="AI35" i="1"/>
  <c r="AC35" i="1"/>
  <c r="AB35" i="1"/>
  <c r="AA35" i="1"/>
  <c r="Y35" i="1"/>
  <c r="Z35" i="1" s="1"/>
  <c r="X35" i="1"/>
  <c r="W35" i="1"/>
  <c r="U35" i="1"/>
  <c r="T35" i="1"/>
  <c r="S35" i="1"/>
  <c r="R35" i="1"/>
  <c r="Q35" i="1"/>
  <c r="O35" i="1"/>
  <c r="K35" i="1"/>
  <c r="J35" i="1"/>
  <c r="AD35" i="1" s="1"/>
  <c r="AQ35" i="1" s="1"/>
  <c r="I35" i="1"/>
  <c r="G35" i="1"/>
  <c r="AZ34" i="1"/>
  <c r="BC34" i="1" s="1"/>
  <c r="AR34" i="1"/>
  <c r="AM34" i="1"/>
  <c r="AL34" i="1"/>
  <c r="AK34" i="1"/>
  <c r="AI34" i="1"/>
  <c r="AA34" i="1"/>
  <c r="W34" i="1"/>
  <c r="X34" i="1" s="1"/>
  <c r="U34" i="1"/>
  <c r="Y34" i="1" s="1"/>
  <c r="AD34" i="1" s="1"/>
  <c r="AQ34" i="1" s="1"/>
  <c r="T34" i="1"/>
  <c r="S34" i="1"/>
  <c r="R34" i="1"/>
  <c r="Q34" i="1"/>
  <c r="O34" i="1"/>
  <c r="K34" i="1"/>
  <c r="J34" i="1"/>
  <c r="I34" i="1"/>
  <c r="G34" i="1"/>
  <c r="AZ33" i="1"/>
  <c r="BB33" i="1" s="1"/>
  <c r="AR33" i="1"/>
  <c r="AL33" i="1"/>
  <c r="AM33" i="1" s="1"/>
  <c r="AK33" i="1"/>
  <c r="AI33" i="1"/>
  <c r="W33" i="1"/>
  <c r="AC33" i="1" s="1"/>
  <c r="AP33" i="1" s="1"/>
  <c r="U33" i="1"/>
  <c r="AB33" i="1" s="1"/>
  <c r="AO33" i="1" s="1"/>
  <c r="T33" i="1"/>
  <c r="AA33" i="1" s="1"/>
  <c r="S33" i="1"/>
  <c r="R33" i="1"/>
  <c r="Q33" i="1"/>
  <c r="O33" i="1"/>
  <c r="K33" i="1"/>
  <c r="J33" i="1"/>
  <c r="I33" i="1"/>
  <c r="G33" i="1"/>
  <c r="BC32" i="1"/>
  <c r="BB32" i="1"/>
  <c r="AZ32" i="1"/>
  <c r="AR32" i="1"/>
  <c r="AN32" i="1"/>
  <c r="AL32" i="1"/>
  <c r="AM32" i="1" s="1"/>
  <c r="AK32" i="1"/>
  <c r="AI32" i="1"/>
  <c r="AC32" i="1"/>
  <c r="AP32" i="1" s="1"/>
  <c r="AB32" i="1"/>
  <c r="AO32" i="1" s="1"/>
  <c r="AA32" i="1"/>
  <c r="X32" i="1"/>
  <c r="W32" i="1"/>
  <c r="Y32" i="1" s="1"/>
  <c r="Z32" i="1" s="1"/>
  <c r="V32" i="1"/>
  <c r="U32" i="1"/>
  <c r="T32" i="1"/>
  <c r="S32" i="1"/>
  <c r="R32" i="1"/>
  <c r="Q32" i="1"/>
  <c r="O32" i="1"/>
  <c r="K32" i="1"/>
  <c r="J32" i="1"/>
  <c r="I32" i="1"/>
  <c r="G32" i="1"/>
  <c r="AZ31" i="1"/>
  <c r="BC31" i="1" s="1"/>
  <c r="AR31" i="1"/>
  <c r="AM31" i="1"/>
  <c r="AL31" i="1"/>
  <c r="AK31" i="1"/>
  <c r="AI31" i="1"/>
  <c r="AD31" i="1"/>
  <c r="AQ31" i="1" s="1"/>
  <c r="AC31" i="1"/>
  <c r="AP31" i="1" s="1"/>
  <c r="W31" i="1"/>
  <c r="U31" i="1"/>
  <c r="Y31" i="1" s="1"/>
  <c r="T31" i="1"/>
  <c r="X31" i="1" s="1"/>
  <c r="S31" i="1"/>
  <c r="R31" i="1"/>
  <c r="Q31" i="1"/>
  <c r="O31" i="1"/>
  <c r="K31" i="1"/>
  <c r="J31" i="1"/>
  <c r="I31" i="1"/>
  <c r="G31" i="1"/>
  <c r="AZ30" i="1"/>
  <c r="BC30" i="1" s="1"/>
  <c r="AR30" i="1"/>
  <c r="AL30" i="1"/>
  <c r="AM30" i="1" s="1"/>
  <c r="AK30" i="1"/>
  <c r="AI30" i="1"/>
  <c r="AC30" i="1"/>
  <c r="AP30" i="1" s="1"/>
  <c r="Y30" i="1"/>
  <c r="AD30" i="1" s="1"/>
  <c r="AQ30" i="1" s="1"/>
  <c r="W30" i="1"/>
  <c r="U30" i="1"/>
  <c r="AB30" i="1" s="1"/>
  <c r="AO30" i="1" s="1"/>
  <c r="T30" i="1"/>
  <c r="X30" i="1" s="1"/>
  <c r="S30" i="1"/>
  <c r="R30" i="1"/>
  <c r="Q30" i="1"/>
  <c r="O30" i="1"/>
  <c r="K30" i="1"/>
  <c r="J30" i="1"/>
  <c r="I30" i="1"/>
  <c r="G30" i="1"/>
  <c r="BC29" i="1"/>
  <c r="BB29" i="1"/>
  <c r="AZ29" i="1"/>
  <c r="AR29" i="1"/>
  <c r="AP29" i="1"/>
  <c r="AO29" i="1"/>
  <c r="AN29" i="1"/>
  <c r="AL29" i="1"/>
  <c r="AM29" i="1" s="1"/>
  <c r="AK29" i="1"/>
  <c r="AI29" i="1"/>
  <c r="AB29" i="1"/>
  <c r="AA29" i="1"/>
  <c r="Y29" i="1"/>
  <c r="Z29" i="1" s="1"/>
  <c r="X29" i="1"/>
  <c r="W29" i="1"/>
  <c r="AC29" i="1" s="1"/>
  <c r="V29" i="1"/>
  <c r="U29" i="1"/>
  <c r="T29" i="1"/>
  <c r="S29" i="1"/>
  <c r="R29" i="1"/>
  <c r="Q29" i="1"/>
  <c r="O29" i="1"/>
  <c r="K29" i="1"/>
  <c r="J29" i="1"/>
  <c r="AD29" i="1" s="1"/>
  <c r="AQ29" i="1" s="1"/>
  <c r="I29" i="1"/>
  <c r="G29" i="1"/>
  <c r="AZ28" i="1"/>
  <c r="AR28" i="1"/>
  <c r="AO28" i="1"/>
  <c r="AN28" i="1"/>
  <c r="AM28" i="1"/>
  <c r="AL28" i="1"/>
  <c r="AK28" i="1"/>
  <c r="AI28" i="1"/>
  <c r="AC28" i="1"/>
  <c r="AP28" i="1" s="1"/>
  <c r="AB28" i="1"/>
  <c r="AA28" i="1"/>
  <c r="Y28" i="1"/>
  <c r="Z28" i="1" s="1"/>
  <c r="X28" i="1"/>
  <c r="W28" i="1"/>
  <c r="U28" i="1"/>
  <c r="V28" i="1" s="1"/>
  <c r="T28" i="1"/>
  <c r="S28" i="1"/>
  <c r="R28" i="1"/>
  <c r="Q28" i="1"/>
  <c r="O28" i="1"/>
  <c r="K28" i="1"/>
  <c r="J28" i="1"/>
  <c r="AD28" i="1" s="1"/>
  <c r="AQ28" i="1" s="1"/>
  <c r="I28" i="1"/>
  <c r="G28" i="1"/>
  <c r="AZ27" i="1"/>
  <c r="BC27" i="1" s="1"/>
  <c r="AR27" i="1"/>
  <c r="AL27" i="1"/>
  <c r="AM27" i="1" s="1"/>
  <c r="AK27" i="1"/>
  <c r="AI27" i="1"/>
  <c r="AA27" i="1"/>
  <c r="W27" i="1"/>
  <c r="AC27" i="1" s="1"/>
  <c r="AP27" i="1" s="1"/>
  <c r="V27" i="1"/>
  <c r="U27" i="1"/>
  <c r="T27" i="1"/>
  <c r="S27" i="1"/>
  <c r="R27" i="1"/>
  <c r="Q27" i="1"/>
  <c r="O27" i="1"/>
  <c r="K27" i="1"/>
  <c r="J27" i="1"/>
  <c r="I27" i="1"/>
  <c r="G27" i="1"/>
  <c r="AZ26" i="1"/>
  <c r="BC26" i="1" s="1"/>
  <c r="AR26" i="1"/>
  <c r="AN26" i="1"/>
  <c r="AL26" i="1"/>
  <c r="AM26" i="1" s="1"/>
  <c r="AK26" i="1"/>
  <c r="AI26" i="1"/>
  <c r="W26" i="1"/>
  <c r="AC26" i="1" s="1"/>
  <c r="AP26" i="1" s="1"/>
  <c r="U26" i="1"/>
  <c r="AB26" i="1" s="1"/>
  <c r="AO26" i="1" s="1"/>
  <c r="T26" i="1"/>
  <c r="AA26" i="1" s="1"/>
  <c r="S26" i="1"/>
  <c r="R26" i="1"/>
  <c r="Q26" i="1"/>
  <c r="O26" i="1"/>
  <c r="K26" i="1"/>
  <c r="J26" i="1"/>
  <c r="I26" i="1"/>
  <c r="G26" i="1"/>
  <c r="BB25" i="1"/>
  <c r="AZ25" i="1"/>
  <c r="AR25" i="1"/>
  <c r="AO25" i="1"/>
  <c r="AN25" i="1"/>
  <c r="AL25" i="1"/>
  <c r="AM25" i="1" s="1"/>
  <c r="AK25" i="1"/>
  <c r="AI25" i="1"/>
  <c r="AB25" i="1"/>
  <c r="AA25" i="1"/>
  <c r="W25" i="1"/>
  <c r="W43" i="1" s="1"/>
  <c r="U25" i="1"/>
  <c r="T25" i="1"/>
  <c r="V25" i="1" s="1"/>
  <c r="S25" i="1"/>
  <c r="R25" i="1"/>
  <c r="Q25" i="1"/>
  <c r="O25" i="1"/>
  <c r="K25" i="1"/>
  <c r="J25" i="1"/>
  <c r="I25" i="1"/>
  <c r="G25" i="1"/>
  <c r="BC24" i="1"/>
  <c r="BB24" i="1"/>
  <c r="AZ24" i="1"/>
  <c r="AR24" i="1"/>
  <c r="AN24" i="1"/>
  <c r="AM24" i="1"/>
  <c r="AL24" i="1"/>
  <c r="AK24" i="1"/>
  <c r="AI24" i="1"/>
  <c r="AA24" i="1"/>
  <c r="W24" i="1"/>
  <c r="X24" i="1" s="1"/>
  <c r="V24" i="1"/>
  <c r="U24" i="1"/>
  <c r="T24" i="1"/>
  <c r="S24" i="1"/>
  <c r="R24" i="1"/>
  <c r="Q24" i="1"/>
  <c r="O24" i="1"/>
  <c r="K24" i="1"/>
  <c r="J24" i="1"/>
  <c r="I24" i="1"/>
  <c r="G24" i="1"/>
  <c r="AZ23" i="1"/>
  <c r="BC23" i="1" s="1"/>
  <c r="AR23" i="1"/>
  <c r="AN23" i="1"/>
  <c r="AL23" i="1"/>
  <c r="AM23" i="1" s="1"/>
  <c r="AK23" i="1"/>
  <c r="AI23" i="1"/>
  <c r="W23" i="1"/>
  <c r="AC23" i="1" s="1"/>
  <c r="AP23" i="1" s="1"/>
  <c r="U23" i="1"/>
  <c r="AB23" i="1" s="1"/>
  <c r="AO23" i="1" s="1"/>
  <c r="T23" i="1"/>
  <c r="AA23" i="1" s="1"/>
  <c r="S23" i="1"/>
  <c r="R23" i="1"/>
  <c r="Q23" i="1"/>
  <c r="O23" i="1"/>
  <c r="K23" i="1"/>
  <c r="J23" i="1"/>
  <c r="I23" i="1"/>
  <c r="G23" i="1"/>
  <c r="BB22" i="1"/>
  <c r="AZ22" i="1"/>
  <c r="AR22" i="1"/>
  <c r="AO22" i="1"/>
  <c r="AN22" i="1"/>
  <c r="AL22" i="1"/>
  <c r="AM22" i="1" s="1"/>
  <c r="AK22" i="1"/>
  <c r="AI22" i="1"/>
  <c r="AB22" i="1"/>
  <c r="AA22" i="1"/>
  <c r="W22" i="1"/>
  <c r="AC22" i="1" s="1"/>
  <c r="AP22" i="1" s="1"/>
  <c r="V22" i="1"/>
  <c r="U22" i="1"/>
  <c r="T22" i="1"/>
  <c r="S22" i="1"/>
  <c r="R22" i="1"/>
  <c r="Q22" i="1"/>
  <c r="O22" i="1"/>
  <c r="K22" i="1"/>
  <c r="J22" i="1"/>
  <c r="I22" i="1"/>
  <c r="G22" i="1"/>
  <c r="BB21" i="1"/>
  <c r="AZ21" i="1"/>
  <c r="BC21" i="1" s="1"/>
  <c r="AR21" i="1"/>
  <c r="AP21" i="1"/>
  <c r="AN21" i="1"/>
  <c r="AM21" i="1"/>
  <c r="AL21" i="1"/>
  <c r="AK21" i="1"/>
  <c r="AI21" i="1"/>
  <c r="AC21" i="1"/>
  <c r="AA21" i="1"/>
  <c r="Y21" i="1"/>
  <c r="AD21" i="1" s="1"/>
  <c r="AQ21" i="1" s="1"/>
  <c r="W21" i="1"/>
  <c r="V21" i="1"/>
  <c r="U21" i="1"/>
  <c r="AB21" i="1" s="1"/>
  <c r="AO21" i="1" s="1"/>
  <c r="T21" i="1"/>
  <c r="X21" i="1" s="1"/>
  <c r="S21" i="1"/>
  <c r="R21" i="1"/>
  <c r="Q21" i="1"/>
  <c r="O21" i="1"/>
  <c r="K21" i="1"/>
  <c r="J21" i="1"/>
  <c r="I21" i="1"/>
  <c r="G21" i="1"/>
  <c r="AZ20" i="1"/>
  <c r="BC20" i="1" s="1"/>
  <c r="AR20" i="1"/>
  <c r="AL20" i="1"/>
  <c r="AM20" i="1" s="1"/>
  <c r="AK20" i="1"/>
  <c r="AI20" i="1"/>
  <c r="W20" i="1"/>
  <c r="AC20" i="1" s="1"/>
  <c r="AP20" i="1" s="1"/>
  <c r="U20" i="1"/>
  <c r="AB20" i="1" s="1"/>
  <c r="AO20" i="1" s="1"/>
  <c r="T20" i="1"/>
  <c r="S20" i="1"/>
  <c r="R20" i="1"/>
  <c r="Q20" i="1"/>
  <c r="O20" i="1"/>
  <c r="K20" i="1"/>
  <c r="J20" i="1"/>
  <c r="I20" i="1"/>
  <c r="G20" i="1"/>
  <c r="BB19" i="1"/>
  <c r="AZ19" i="1"/>
  <c r="AR19" i="1"/>
  <c r="AN19" i="1"/>
  <c r="AL19" i="1"/>
  <c r="AM19" i="1" s="1"/>
  <c r="AK19" i="1"/>
  <c r="AI19" i="1"/>
  <c r="AA19" i="1"/>
  <c r="W19" i="1"/>
  <c r="AC19" i="1" s="1"/>
  <c r="AP19" i="1" s="1"/>
  <c r="U19" i="1"/>
  <c r="U44" i="1" s="1"/>
  <c r="T19" i="1"/>
  <c r="S19" i="1"/>
  <c r="R19" i="1"/>
  <c r="Q19" i="1"/>
  <c r="O19" i="1"/>
  <c r="K19" i="1"/>
  <c r="J19" i="1"/>
  <c r="I19" i="1"/>
  <c r="G19" i="1"/>
  <c r="AZ18" i="1"/>
  <c r="AR18" i="1"/>
  <c r="AP18" i="1"/>
  <c r="AL18" i="1"/>
  <c r="AL43" i="1" s="1"/>
  <c r="AM43" i="1" s="1"/>
  <c r="AK18" i="1"/>
  <c r="AI18" i="1"/>
  <c r="AC18" i="1"/>
  <c r="X18" i="1"/>
  <c r="W18" i="1"/>
  <c r="U18" i="1"/>
  <c r="V18" i="1" s="1"/>
  <c r="T18" i="1"/>
  <c r="AA18" i="1" s="1"/>
  <c r="S18" i="1"/>
  <c r="R18" i="1"/>
  <c r="Q18" i="1"/>
  <c r="O18" i="1"/>
  <c r="K18" i="1"/>
  <c r="J18" i="1"/>
  <c r="J43" i="1" s="1"/>
  <c r="K43" i="1" s="1"/>
  <c r="I18" i="1"/>
  <c r="G18" i="1"/>
  <c r="BB17" i="1"/>
  <c r="AZ17" i="1"/>
  <c r="AR17" i="1"/>
  <c r="AL17" i="1"/>
  <c r="AM17" i="1" s="1"/>
  <c r="AK17" i="1"/>
  <c r="AI17" i="1"/>
  <c r="W17" i="1"/>
  <c r="AC17" i="1" s="1"/>
  <c r="AP17" i="1" s="1"/>
  <c r="U17" i="1"/>
  <c r="Y17" i="1" s="1"/>
  <c r="T17" i="1"/>
  <c r="S17" i="1"/>
  <c r="R17" i="1"/>
  <c r="Q17" i="1"/>
  <c r="O17" i="1"/>
  <c r="K17" i="1"/>
  <c r="J17" i="1"/>
  <c r="AD17" i="1" s="1"/>
  <c r="AQ17" i="1" s="1"/>
  <c r="I17" i="1"/>
  <c r="G17" i="1"/>
  <c r="BC16" i="1"/>
  <c r="BB16" i="1"/>
  <c r="AZ16" i="1"/>
  <c r="AR16" i="1"/>
  <c r="AL16" i="1"/>
  <c r="AM16" i="1" s="1"/>
  <c r="AK16" i="1"/>
  <c r="AI16" i="1"/>
  <c r="W16" i="1"/>
  <c r="AC16" i="1" s="1"/>
  <c r="AP16" i="1" s="1"/>
  <c r="U16" i="1"/>
  <c r="AB16" i="1" s="1"/>
  <c r="AO16" i="1" s="1"/>
  <c r="T16" i="1"/>
  <c r="AA16" i="1" s="1"/>
  <c r="S16" i="1"/>
  <c r="R16" i="1"/>
  <c r="Q16" i="1"/>
  <c r="O16" i="1"/>
  <c r="K16" i="1"/>
  <c r="J16" i="1"/>
  <c r="I16" i="1"/>
  <c r="G16" i="1"/>
  <c r="BB15" i="1"/>
  <c r="AZ15" i="1"/>
  <c r="AR15" i="1"/>
  <c r="AO15" i="1"/>
  <c r="AM15" i="1"/>
  <c r="AL15" i="1"/>
  <c r="BC15" i="1" s="1"/>
  <c r="AK15" i="1"/>
  <c r="AI15" i="1"/>
  <c r="AB15" i="1"/>
  <c r="W15" i="1"/>
  <c r="AC15" i="1" s="1"/>
  <c r="AP15" i="1" s="1"/>
  <c r="U15" i="1"/>
  <c r="T15" i="1"/>
  <c r="V15" i="1" s="1"/>
  <c r="S15" i="1"/>
  <c r="R15" i="1"/>
  <c r="Q15" i="1"/>
  <c r="O15" i="1"/>
  <c r="K15" i="1"/>
  <c r="J15" i="1"/>
  <c r="I15" i="1"/>
  <c r="G15" i="1"/>
  <c r="BC14" i="1"/>
  <c r="BB14" i="1"/>
  <c r="AZ14" i="1"/>
  <c r="AR14" i="1"/>
  <c r="AM14" i="1"/>
  <c r="AL14" i="1"/>
  <c r="AK14" i="1"/>
  <c r="AI14" i="1"/>
  <c r="W14" i="1"/>
  <c r="U14" i="1"/>
  <c r="Y14" i="1" s="1"/>
  <c r="AD14" i="1" s="1"/>
  <c r="AQ14" i="1" s="1"/>
  <c r="T14" i="1"/>
  <c r="AA14" i="1" s="1"/>
  <c r="S14" i="1"/>
  <c r="R14" i="1"/>
  <c r="Q14" i="1"/>
  <c r="O14" i="1"/>
  <c r="K14" i="1"/>
  <c r="J14" i="1"/>
  <c r="I14" i="1"/>
  <c r="G14" i="1"/>
  <c r="BC13" i="1"/>
  <c r="BB13" i="1"/>
  <c r="AZ13" i="1"/>
  <c r="AR13" i="1"/>
  <c r="AM13" i="1"/>
  <c r="AL13" i="1"/>
  <c r="AK13" i="1"/>
  <c r="AI13" i="1"/>
  <c r="W13" i="1"/>
  <c r="AC13" i="1" s="1"/>
  <c r="AP13" i="1" s="1"/>
  <c r="U13" i="1"/>
  <c r="AB13" i="1" s="1"/>
  <c r="AO13" i="1" s="1"/>
  <c r="T13" i="1"/>
  <c r="AA13" i="1" s="1"/>
  <c r="S13" i="1"/>
  <c r="R13" i="1"/>
  <c r="Q13" i="1"/>
  <c r="O13" i="1"/>
  <c r="K13" i="1"/>
  <c r="J13" i="1"/>
  <c r="I13" i="1"/>
  <c r="G13" i="1"/>
  <c r="BC12" i="1"/>
  <c r="BB12" i="1"/>
  <c r="AZ12" i="1"/>
  <c r="AR12" i="1"/>
  <c r="AO12" i="1"/>
  <c r="AN12" i="1"/>
  <c r="AM12" i="1"/>
  <c r="AL12" i="1"/>
  <c r="AK12" i="1"/>
  <c r="AI12" i="1"/>
  <c r="AB12" i="1"/>
  <c r="AA12" i="1"/>
  <c r="W12" i="1"/>
  <c r="Y12" i="1" s="1"/>
  <c r="Z12" i="1" s="1"/>
  <c r="V12" i="1"/>
  <c r="U12" i="1"/>
  <c r="T12" i="1"/>
  <c r="S12" i="1"/>
  <c r="R12" i="1"/>
  <c r="Q12" i="1"/>
  <c r="O12" i="1"/>
  <c r="K12" i="1"/>
  <c r="J12" i="1"/>
  <c r="I12" i="1"/>
  <c r="G12" i="1"/>
  <c r="AZ11" i="1"/>
  <c r="BC11" i="1" s="1"/>
  <c r="AR11" i="1"/>
  <c r="AM11" i="1"/>
  <c r="AL11" i="1"/>
  <c r="AK11" i="1"/>
  <c r="AI11" i="1"/>
  <c r="AC11" i="1"/>
  <c r="AP11" i="1" s="1"/>
  <c r="W11" i="1"/>
  <c r="U11" i="1"/>
  <c r="U43" i="1" s="1"/>
  <c r="T11" i="1"/>
  <c r="X11" i="1" s="1"/>
  <c r="S11" i="1"/>
  <c r="R11" i="1"/>
  <c r="R43" i="1" s="1"/>
  <c r="S43" i="1" s="1"/>
  <c r="Q11" i="1"/>
  <c r="O11" i="1"/>
  <c r="K11" i="1"/>
  <c r="J11" i="1"/>
  <c r="I11" i="1"/>
  <c r="G11" i="1"/>
  <c r="BC10" i="1"/>
  <c r="BB10" i="1"/>
  <c r="AZ10" i="1"/>
  <c r="AR10" i="1"/>
  <c r="AM10" i="1"/>
  <c r="AL10" i="1"/>
  <c r="AK10" i="1"/>
  <c r="AI10" i="1"/>
  <c r="W10" i="1"/>
  <c r="U10" i="1"/>
  <c r="U42" i="1" s="1"/>
  <c r="T10" i="1"/>
  <c r="S10" i="1"/>
  <c r="R10" i="1"/>
  <c r="R42" i="1" s="1"/>
  <c r="S42" i="1" s="1"/>
  <c r="Q10" i="1"/>
  <c r="O10" i="1"/>
  <c r="K10" i="1"/>
  <c r="J10" i="1"/>
  <c r="J42" i="1" s="1"/>
  <c r="K42" i="1" s="1"/>
  <c r="I10" i="1"/>
  <c r="G10" i="1"/>
  <c r="BC9" i="1"/>
  <c r="BB9" i="1"/>
  <c r="AZ9" i="1"/>
  <c r="AR9" i="1"/>
  <c r="AN9" i="1"/>
  <c r="AM9" i="1"/>
  <c r="AL9" i="1"/>
  <c r="AL41" i="1" s="1"/>
  <c r="AM41" i="1" s="1"/>
  <c r="AK9" i="1"/>
  <c r="AI9" i="1"/>
  <c r="AA9" i="1"/>
  <c r="X9" i="1"/>
  <c r="W9" i="1"/>
  <c r="AC9" i="1" s="1"/>
  <c r="AP9" i="1" s="1"/>
  <c r="U9" i="1"/>
  <c r="AB9" i="1" s="1"/>
  <c r="AO9" i="1" s="1"/>
  <c r="T9" i="1"/>
  <c r="T41" i="1" s="1"/>
  <c r="S9" i="1"/>
  <c r="R9" i="1"/>
  <c r="R41" i="1" s="1"/>
  <c r="S41" i="1" s="1"/>
  <c r="Q9" i="1"/>
  <c r="O9" i="1"/>
  <c r="K9" i="1"/>
  <c r="J9" i="1"/>
  <c r="I9" i="1"/>
  <c r="G9" i="1"/>
  <c r="AZ8" i="1"/>
  <c r="AR8" i="1"/>
  <c r="AM8" i="1"/>
  <c r="AL8" i="1"/>
  <c r="AK8" i="1"/>
  <c r="AI8" i="1"/>
  <c r="AC8" i="1"/>
  <c r="AP8" i="1" s="1"/>
  <c r="W8" i="1"/>
  <c r="U8" i="1"/>
  <c r="T8" i="1"/>
  <c r="S8" i="1"/>
  <c r="R8" i="1"/>
  <c r="R47" i="1" s="1"/>
  <c r="S47" i="1" s="1"/>
  <c r="Q8" i="1"/>
  <c r="O8" i="1"/>
  <c r="K8" i="1"/>
  <c r="J8" i="1"/>
  <c r="I8" i="1"/>
  <c r="G8" i="1"/>
  <c r="BC7" i="1"/>
  <c r="BB7" i="1"/>
  <c r="AZ7" i="1"/>
  <c r="AR7" i="1"/>
  <c r="AM7" i="1"/>
  <c r="AL7" i="1"/>
  <c r="AL46" i="1" s="1"/>
  <c r="AM46" i="1" s="1"/>
  <c r="AK7" i="1"/>
  <c r="AI7" i="1"/>
  <c r="W7" i="1"/>
  <c r="AC7" i="1" s="1"/>
  <c r="AP7" i="1" s="1"/>
  <c r="U7" i="1"/>
  <c r="V7" i="1" s="1"/>
  <c r="T7" i="1"/>
  <c r="S7" i="1"/>
  <c r="R7" i="1"/>
  <c r="R46" i="1" s="1"/>
  <c r="S46" i="1" s="1"/>
  <c r="Q7" i="1"/>
  <c r="O7" i="1"/>
  <c r="K7" i="1"/>
  <c r="J7" i="1"/>
  <c r="I7" i="1"/>
  <c r="G7" i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C6" i="1"/>
  <c r="BB6" i="1"/>
  <c r="AZ6" i="1"/>
  <c r="AR6" i="1"/>
  <c r="AM6" i="1"/>
  <c r="AL6" i="1"/>
  <c r="AL45" i="1" s="1"/>
  <c r="AM45" i="1" s="1"/>
  <c r="AK6" i="1"/>
  <c r="AI6" i="1"/>
  <c r="W6" i="1"/>
  <c r="AC6" i="1" s="1"/>
  <c r="AP6" i="1" s="1"/>
  <c r="U6" i="1"/>
  <c r="AB6" i="1" s="1"/>
  <c r="AO6" i="1" s="1"/>
  <c r="T6" i="1"/>
  <c r="T45" i="1" s="1"/>
  <c r="S6" i="1"/>
  <c r="R6" i="1"/>
  <c r="R45" i="1" s="1"/>
  <c r="S45" i="1" s="1"/>
  <c r="Q6" i="1"/>
  <c r="O6" i="1"/>
  <c r="K6" i="1"/>
  <c r="J6" i="1"/>
  <c r="J45" i="1" s="1"/>
  <c r="K45" i="1" s="1"/>
  <c r="I6" i="1"/>
  <c r="G6" i="1"/>
  <c r="B6" i="1"/>
  <c r="BC5" i="1"/>
  <c r="BB5" i="1"/>
  <c r="AZ5" i="1"/>
  <c r="AZ36" i="1" s="1"/>
  <c r="AR5" i="1"/>
  <c r="AO5" i="1"/>
  <c r="AM5" i="1"/>
  <c r="AL5" i="1"/>
  <c r="AL36" i="1" s="1"/>
  <c r="AK5" i="1"/>
  <c r="AI5" i="1"/>
  <c r="AB5" i="1"/>
  <c r="W5" i="1"/>
  <c r="W36" i="1" s="1"/>
  <c r="U5" i="1"/>
  <c r="T5" i="1"/>
  <c r="S5" i="1"/>
  <c r="R5" i="1"/>
  <c r="R44" i="1" s="1"/>
  <c r="S44" i="1" s="1"/>
  <c r="Q5" i="1"/>
  <c r="O5" i="1"/>
  <c r="K5" i="1"/>
  <c r="J5" i="1"/>
  <c r="I5" i="1"/>
  <c r="G5" i="1"/>
  <c r="B5" i="1"/>
  <c r="BY5" i="2" l="1"/>
  <c r="CB5" i="2"/>
  <c r="CA15" i="2"/>
  <c r="BY15" i="2"/>
  <c r="CD15" i="2"/>
  <c r="CE13" i="2"/>
  <c r="BV14" i="2"/>
  <c r="Y47" i="2"/>
  <c r="Z47" i="2" s="1"/>
  <c r="CJ12" i="2"/>
  <c r="CA9" i="2"/>
  <c r="BY12" i="2"/>
  <c r="CH25" i="2"/>
  <c r="BB8" i="2"/>
  <c r="CE5" i="2"/>
  <c r="T45" i="2"/>
  <c r="V45" i="2" s="1"/>
  <c r="AA10" i="2"/>
  <c r="AA12" i="2"/>
  <c r="AE12" i="2" s="1"/>
  <c r="CG13" i="2"/>
  <c r="CH13" i="2" s="1"/>
  <c r="AA15" i="2"/>
  <c r="AE15" i="2" s="1"/>
  <c r="V19" i="2"/>
  <c r="AB19" i="2"/>
  <c r="AO19" i="2" s="1"/>
  <c r="BZ28" i="2"/>
  <c r="CA28" i="2" s="1"/>
  <c r="AC28" i="2"/>
  <c r="AP28" i="2" s="1"/>
  <c r="X28" i="2"/>
  <c r="AD32" i="2"/>
  <c r="Y33" i="2"/>
  <c r="AD33" i="2" s="1"/>
  <c r="AQ33" i="2" s="1"/>
  <c r="X41" i="2"/>
  <c r="BW9" i="2"/>
  <c r="BW14" i="2"/>
  <c r="AA14" i="2"/>
  <c r="CD14" i="2"/>
  <c r="BV17" i="2"/>
  <c r="CA19" i="2"/>
  <c r="BU22" i="2"/>
  <c r="BV22" i="2" s="1"/>
  <c r="CE22" i="2"/>
  <c r="BV24" i="2"/>
  <c r="CG30" i="2"/>
  <c r="CE10" i="2"/>
  <c r="BR10" i="2"/>
  <c r="BT11" i="2"/>
  <c r="CG11" i="2"/>
  <c r="CH11" i="2" s="1"/>
  <c r="BC12" i="2"/>
  <c r="BU14" i="2"/>
  <c r="AA17" i="2"/>
  <c r="AN17" i="2"/>
  <c r="BR17" i="2"/>
  <c r="CE17" i="2"/>
  <c r="AN18" i="2"/>
  <c r="AA18" i="2"/>
  <c r="X18" i="2"/>
  <c r="K27" i="2"/>
  <c r="BZ33" i="2"/>
  <c r="X33" i="2"/>
  <c r="AC33" i="2"/>
  <c r="AP33" i="2" s="1"/>
  <c r="BU5" i="2"/>
  <c r="CF7" i="2"/>
  <c r="W45" i="2"/>
  <c r="X45" i="2" s="1"/>
  <c r="AC10" i="2"/>
  <c r="AP10" i="2" s="1"/>
  <c r="AM10" i="2"/>
  <c r="V14" i="2"/>
  <c r="AM14" i="2"/>
  <c r="BR14" i="2"/>
  <c r="BT17" i="2"/>
  <c r="AB18" i="2"/>
  <c r="AO18" i="2" s="1"/>
  <c r="Y18" i="2"/>
  <c r="AD18" i="2" s="1"/>
  <c r="AQ18" i="2" s="1"/>
  <c r="CB21" i="2"/>
  <c r="BR24" i="2"/>
  <c r="AA30" i="2"/>
  <c r="AE30" i="2" s="1"/>
  <c r="Z30" i="2"/>
  <c r="BT31" i="2"/>
  <c r="AA36" i="2"/>
  <c r="BT6" i="2"/>
  <c r="BU6" i="2"/>
  <c r="BV6" i="2" s="1"/>
  <c r="K20" i="2"/>
  <c r="CB20" i="2"/>
  <c r="BC21" i="2"/>
  <c r="BB21" i="2"/>
  <c r="BT24" i="2"/>
  <c r="BU27" i="2"/>
  <c r="BV27" i="2" s="1"/>
  <c r="CE27" i="2"/>
  <c r="BR27" i="2"/>
  <c r="AB30" i="2"/>
  <c r="AO30" i="2" s="1"/>
  <c r="Y30" i="2"/>
  <c r="BX30" i="2"/>
  <c r="J36" i="2"/>
  <c r="G41" i="2"/>
  <c r="AL44" i="2"/>
  <c r="AM44" i="2" s="1"/>
  <c r="CG7" i="2"/>
  <c r="CH7" i="2" s="1"/>
  <c r="AD19" i="2"/>
  <c r="AQ19" i="2" s="1"/>
  <c r="AD5" i="2"/>
  <c r="AE5" i="2" s="1"/>
  <c r="AZ36" i="2"/>
  <c r="AZ37" i="2" s="1"/>
  <c r="BU7" i="2"/>
  <c r="BV7" i="2" s="1"/>
  <c r="BV9" i="2"/>
  <c r="Y10" i="2"/>
  <c r="AD11" i="2"/>
  <c r="AQ11" i="2" s="1"/>
  <c r="V12" i="2"/>
  <c r="BR12" i="2"/>
  <c r="CF12" i="2"/>
  <c r="AD14" i="2"/>
  <c r="AQ14" i="2" s="1"/>
  <c r="X14" i="2"/>
  <c r="Y15" i="2"/>
  <c r="AB15" i="2"/>
  <c r="AO15" i="2" s="1"/>
  <c r="CE15" i="2"/>
  <c r="BY16" i="2"/>
  <c r="BW17" i="2"/>
  <c r="CD17" i="2" s="1"/>
  <c r="CA18" i="2"/>
  <c r="CG18" i="2"/>
  <c r="CH18" i="2" s="1"/>
  <c r="BW18" i="2"/>
  <c r="CD18" i="2" s="1"/>
  <c r="AE20" i="2"/>
  <c r="CI20" i="2"/>
  <c r="CG21" i="2"/>
  <c r="AM24" i="2"/>
  <c r="BT28" i="2"/>
  <c r="V30" i="2"/>
  <c r="Z31" i="2"/>
  <c r="AE34" i="2"/>
  <c r="V9" i="2"/>
  <c r="AN14" i="2"/>
  <c r="T47" i="2"/>
  <c r="T36" i="2"/>
  <c r="V38" i="2" s="1"/>
  <c r="BB5" i="2"/>
  <c r="BB6" i="2"/>
  <c r="BW6" i="2"/>
  <c r="CD6" i="2" s="1"/>
  <c r="T42" i="2"/>
  <c r="AD7" i="2"/>
  <c r="AQ7" i="2" s="1"/>
  <c r="BW7" i="2"/>
  <c r="CD7" i="2" s="1"/>
  <c r="AA8" i="2"/>
  <c r="T43" i="2"/>
  <c r="J44" i="2"/>
  <c r="K44" i="2" s="1"/>
  <c r="X9" i="2"/>
  <c r="CD9" i="2"/>
  <c r="Z10" i="2"/>
  <c r="BW10" i="2"/>
  <c r="CD10" i="2" s="1"/>
  <c r="T46" i="2"/>
  <c r="X46" i="2" s="1"/>
  <c r="BB11" i="2"/>
  <c r="BB13" i="2"/>
  <c r="Y14" i="2"/>
  <c r="Y42" i="2" s="1"/>
  <c r="Z42" i="2" s="1"/>
  <c r="BX14" i="2"/>
  <c r="V15" i="2"/>
  <c r="AN15" i="2"/>
  <c r="BR15" i="2"/>
  <c r="CG15" i="2"/>
  <c r="CH15" i="2" s="1"/>
  <c r="BZ16" i="2"/>
  <c r="CA16" i="2" s="1"/>
  <c r="X17" i="2"/>
  <c r="BX17" i="2"/>
  <c r="BX18" i="2"/>
  <c r="BX19" i="2"/>
  <c r="CE19" i="2" s="1"/>
  <c r="CD22" i="2"/>
  <c r="AQ25" i="2"/>
  <c r="CI25" i="2"/>
  <c r="AE31" i="2"/>
  <c r="BT32" i="2"/>
  <c r="CD35" i="2"/>
  <c r="CF35" i="2" s="1"/>
  <c r="R36" i="2"/>
  <c r="R47" i="2"/>
  <c r="S47" i="2" s="1"/>
  <c r="BT7" i="2"/>
  <c r="V18" i="2"/>
  <c r="U47" i="2"/>
  <c r="V47" i="2" s="1"/>
  <c r="U36" i="2"/>
  <c r="BC5" i="2"/>
  <c r="U41" i="2"/>
  <c r="V41" i="2" s="1"/>
  <c r="Y6" i="2"/>
  <c r="Y36" i="2" s="1"/>
  <c r="BX6" i="2"/>
  <c r="U46" i="2"/>
  <c r="V46" i="2" s="1"/>
  <c r="Y11" i="2"/>
  <c r="BX11" i="2"/>
  <c r="CA11" i="2"/>
  <c r="AN12" i="2"/>
  <c r="AN36" i="2" s="1"/>
  <c r="AT38" i="2" s="1"/>
  <c r="BT12" i="2"/>
  <c r="Z14" i="2"/>
  <c r="Y17" i="2"/>
  <c r="Z17" i="2" s="1"/>
  <c r="CG20" i="2"/>
  <c r="AC22" i="2"/>
  <c r="AP22" i="2" s="1"/>
  <c r="BZ22" i="2"/>
  <c r="CA22" i="2" s="1"/>
  <c r="Y22" i="2"/>
  <c r="Z22" i="2" s="1"/>
  <c r="CG22" i="2"/>
  <c r="CH22" i="2" s="1"/>
  <c r="BC23" i="2"/>
  <c r="CD24" i="2"/>
  <c r="BR25" i="2"/>
  <c r="BU25" i="2"/>
  <c r="BV25" i="2" s="1"/>
  <c r="CG28" i="2"/>
  <c r="CH28" i="2" s="1"/>
  <c r="Q36" i="2"/>
  <c r="Q37" i="2"/>
  <c r="CG5" i="2"/>
  <c r="BU10" i="2"/>
  <c r="BV10" i="2" s="1"/>
  <c r="BT14" i="2"/>
  <c r="V17" i="2"/>
  <c r="BU17" i="2"/>
  <c r="U43" i="2"/>
  <c r="Y8" i="2"/>
  <c r="AB10" i="2"/>
  <c r="AO10" i="2" s="1"/>
  <c r="AO36" i="2" s="1"/>
  <c r="AO37" i="2" s="1"/>
  <c r="V5" i="2"/>
  <c r="BO36" i="2"/>
  <c r="V6" i="2"/>
  <c r="V7" i="2"/>
  <c r="V8" i="2"/>
  <c r="AM8" i="2"/>
  <c r="AL43" i="2"/>
  <c r="AM43" i="2" s="1"/>
  <c r="CE8" i="2"/>
  <c r="Z9" i="2"/>
  <c r="CG9" i="2"/>
  <c r="AD10" i="2"/>
  <c r="AQ10" i="2" s="1"/>
  <c r="BB10" i="2"/>
  <c r="V11" i="2"/>
  <c r="Y12" i="2"/>
  <c r="AD12" i="2" s="1"/>
  <c r="AQ12" i="2" s="1"/>
  <c r="BU12" i="2"/>
  <c r="BV12" i="2" s="1"/>
  <c r="BX13" i="2"/>
  <c r="AB13" i="2"/>
  <c r="AO13" i="2" s="1"/>
  <c r="BV13" i="2"/>
  <c r="CD13" i="2"/>
  <c r="BZ14" i="2"/>
  <c r="CA14" i="2" s="1"/>
  <c r="AD15" i="2"/>
  <c r="AQ15" i="2" s="1"/>
  <c r="X15" i="2"/>
  <c r="BV16" i="2"/>
  <c r="BB17" i="2"/>
  <c r="BZ17" i="2"/>
  <c r="X22" i="2"/>
  <c r="AN23" i="2"/>
  <c r="Z23" i="2"/>
  <c r="AA23" i="2"/>
  <c r="AE23" i="2" s="1"/>
  <c r="BW23" i="2"/>
  <c r="CD23" i="2" s="1"/>
  <c r="AC24" i="2"/>
  <c r="AP24" i="2" s="1"/>
  <c r="BZ24" i="2"/>
  <c r="Y24" i="2"/>
  <c r="X24" i="2"/>
  <c r="CE24" i="2"/>
  <c r="BB26" i="2"/>
  <c r="CH26" i="2"/>
  <c r="CD27" i="2"/>
  <c r="BW29" i="2"/>
  <c r="X29" i="2"/>
  <c r="Z29" i="2"/>
  <c r="AA29" i="2"/>
  <c r="AE29" i="2" s="1"/>
  <c r="AN29" i="2"/>
  <c r="CF34" i="2"/>
  <c r="BR35" i="2"/>
  <c r="O37" i="2"/>
  <c r="BQ36" i="2"/>
  <c r="AR36" i="2"/>
  <c r="AR37" i="2" s="1"/>
  <c r="R43" i="2"/>
  <c r="S43" i="2" s="1"/>
  <c r="CB12" i="2"/>
  <c r="BU19" i="2"/>
  <c r="BV19" i="2" s="1"/>
  <c r="BR19" i="2"/>
  <c r="AN9" i="2"/>
  <c r="BR9" i="2"/>
  <c r="BX10" i="2"/>
  <c r="X12" i="2"/>
  <c r="AE16" i="2"/>
  <c r="AC5" i="2"/>
  <c r="W47" i="2"/>
  <c r="X47" i="2" s="1"/>
  <c r="W36" i="2"/>
  <c r="AL47" i="2"/>
  <c r="AM47" i="2" s="1"/>
  <c r="AL36" i="2"/>
  <c r="BP36" i="2"/>
  <c r="CA5" i="2"/>
  <c r="AL41" i="2"/>
  <c r="AM41" i="2" s="1"/>
  <c r="AM6" i="2"/>
  <c r="W42" i="2"/>
  <c r="X42" i="2" s="1"/>
  <c r="AL42" i="2"/>
  <c r="AM42" i="2" s="1"/>
  <c r="BZ7" i="2"/>
  <c r="W43" i="2"/>
  <c r="X43" i="2" s="1"/>
  <c r="BZ8" i="2"/>
  <c r="AN8" i="2"/>
  <c r="AA9" i="2"/>
  <c r="AE9" i="2" s="1"/>
  <c r="BT9" i="2"/>
  <c r="BZ10" i="2"/>
  <c r="AL46" i="2"/>
  <c r="AM46" i="2" s="1"/>
  <c r="AM11" i="2"/>
  <c r="Z12" i="2"/>
  <c r="V13" i="2"/>
  <c r="Z15" i="2"/>
  <c r="V16" i="2"/>
  <c r="BU16" i="2"/>
  <c r="CE16" i="2"/>
  <c r="CD16" i="2"/>
  <c r="BW19" i="2"/>
  <c r="CD19" i="2" s="1"/>
  <c r="X19" i="2"/>
  <c r="AA19" i="2"/>
  <c r="AN19" i="2"/>
  <c r="Z19" i="2"/>
  <c r="AD22" i="2"/>
  <c r="AQ22" i="2" s="1"/>
  <c r="K22" i="2"/>
  <c r="Y23" i="2"/>
  <c r="AD23" i="2" s="1"/>
  <c r="AQ23" i="2" s="1"/>
  <c r="BX23" i="2"/>
  <c r="AB23" i="2"/>
  <c r="AO23" i="2" s="1"/>
  <c r="V23" i="2"/>
  <c r="CA26" i="2"/>
  <c r="Y28" i="2"/>
  <c r="AD28" i="2" s="1"/>
  <c r="BX28" i="2"/>
  <c r="V28" i="2"/>
  <c r="AB28" i="2"/>
  <c r="AO28" i="2" s="1"/>
  <c r="V29" i="2"/>
  <c r="BW30" i="2"/>
  <c r="CA30" i="2" s="1"/>
  <c r="CD31" i="2"/>
  <c r="CH31" i="2" s="1"/>
  <c r="BX33" i="2"/>
  <c r="CG35" i="2"/>
  <c r="CH35" i="2" s="1"/>
  <c r="BT35" i="2"/>
  <c r="BS36" i="2"/>
  <c r="AN33" i="2"/>
  <c r="Z33" i="2"/>
  <c r="AA33" i="2"/>
  <c r="AC34" i="2"/>
  <c r="AP34" i="2" s="1"/>
  <c r="BZ34" i="2"/>
  <c r="CG34" i="2" s="1"/>
  <c r="V21" i="2"/>
  <c r="BW21" i="2"/>
  <c r="CA21" i="2" s="1"/>
  <c r="AI41" i="2"/>
  <c r="AK42" i="2"/>
  <c r="K19" i="2"/>
  <c r="CG19" i="2"/>
  <c r="CH19" i="2" s="1"/>
  <c r="BZ23" i="2"/>
  <c r="X23" i="2"/>
  <c r="BX26" i="2"/>
  <c r="Y26" i="2"/>
  <c r="AD26" i="2" s="1"/>
  <c r="X30" i="2"/>
  <c r="BC30" i="2"/>
  <c r="BC31" i="2"/>
  <c r="BB31" i="2"/>
  <c r="BC32" i="2"/>
  <c r="BY32" i="2"/>
  <c r="O36" i="2"/>
  <c r="Q42" i="2"/>
  <c r="O47" i="2"/>
  <c r="U44" i="2"/>
  <c r="V44" i="2" s="1"/>
  <c r="X21" i="2"/>
  <c r="CD21" i="2"/>
  <c r="CJ21" i="2" s="1"/>
  <c r="BB23" i="2"/>
  <c r="V26" i="2"/>
  <c r="Y27" i="2"/>
  <c r="Z27" i="2" s="1"/>
  <c r="BX27" i="2"/>
  <c r="AB27" i="2"/>
  <c r="AO27" i="2" s="1"/>
  <c r="K30" i="2"/>
  <c r="AD30" i="2"/>
  <c r="AQ30" i="2" s="1"/>
  <c r="BB32" i="2"/>
  <c r="BV34" i="2"/>
  <c r="AI46" i="2"/>
  <c r="Q47" i="2"/>
  <c r="BY20" i="2"/>
  <c r="CI21" i="2"/>
  <c r="BC22" i="2"/>
  <c r="AC23" i="2"/>
  <c r="AP23" i="2" s="1"/>
  <c r="AN26" i="2"/>
  <c r="CD30" i="2"/>
  <c r="BV30" i="2"/>
  <c r="BV31" i="2"/>
  <c r="CI31" i="2"/>
  <c r="BU34" i="2"/>
  <c r="U42" i="2"/>
  <c r="V42" i="2" s="1"/>
  <c r="W44" i="2"/>
  <c r="X44" i="2" s="1"/>
  <c r="BX9" i="2"/>
  <c r="AB20" i="2"/>
  <c r="AO20" i="2" s="1"/>
  <c r="V20" i="2"/>
  <c r="Z21" i="2"/>
  <c r="AN21" i="2"/>
  <c r="CF21" i="2"/>
  <c r="BB22" i="2"/>
  <c r="CB25" i="2"/>
  <c r="Z26" i="2"/>
  <c r="BZ27" i="2"/>
  <c r="AD29" i="2"/>
  <c r="AQ29" i="2" s="1"/>
  <c r="BR30" i="2"/>
  <c r="BU30" i="2"/>
  <c r="BU31" i="2"/>
  <c r="CF31" i="2"/>
  <c r="CD32" i="2"/>
  <c r="BR34" i="2"/>
  <c r="CA35" i="2"/>
  <c r="O46" i="2"/>
  <c r="CG29" i="2"/>
  <c r="CI29" i="2" s="1"/>
  <c r="BY31" i="2"/>
  <c r="BU32" i="2"/>
  <c r="BV32" i="2" s="1"/>
  <c r="CE32" i="2"/>
  <c r="BU35" i="2"/>
  <c r="BV35" i="2" s="1"/>
  <c r="AI43" i="2"/>
  <c r="X26" i="2"/>
  <c r="BT27" i="2"/>
  <c r="BV29" i="2"/>
  <c r="BZ32" i="2"/>
  <c r="CA32" i="2" s="1"/>
  <c r="G45" i="2"/>
  <c r="CD20" i="2"/>
  <c r="CJ20" i="2" s="1"/>
  <c r="BY21" i="2"/>
  <c r="CD25" i="2"/>
  <c r="AN28" i="2"/>
  <c r="Z28" i="2"/>
  <c r="I41" i="2"/>
  <c r="AE14" i="1"/>
  <c r="AD26" i="1"/>
  <c r="AQ26" i="1" s="1"/>
  <c r="AE34" i="1"/>
  <c r="W37" i="1"/>
  <c r="X37" i="1" s="1"/>
  <c r="X36" i="1"/>
  <c r="K37" i="1"/>
  <c r="AE28" i="1"/>
  <c r="AD16" i="1"/>
  <c r="AQ16" i="1" s="1"/>
  <c r="AE21" i="1"/>
  <c r="AD27" i="1"/>
  <c r="AQ27" i="1" s="1"/>
  <c r="AE27" i="1"/>
  <c r="AL37" i="1"/>
  <c r="AM36" i="1"/>
  <c r="AN17" i="1"/>
  <c r="Z17" i="1"/>
  <c r="V8" i="1"/>
  <c r="U47" i="1"/>
  <c r="V47" i="1" s="1"/>
  <c r="W47" i="1"/>
  <c r="X47" i="1" s="1"/>
  <c r="AL42" i="1"/>
  <c r="AM42" i="1" s="1"/>
  <c r="AM18" i="1"/>
  <c r="Y22" i="1"/>
  <c r="Z22" i="1" s="1"/>
  <c r="AC5" i="1"/>
  <c r="AR36" i="1"/>
  <c r="AR37" i="1" s="1"/>
  <c r="AA6" i="1"/>
  <c r="AC12" i="1"/>
  <c r="AP12" i="1" s="1"/>
  <c r="BC17" i="1"/>
  <c r="BC18" i="1"/>
  <c r="BB18" i="1"/>
  <c r="BC19" i="1"/>
  <c r="AA20" i="1"/>
  <c r="AN20" i="1"/>
  <c r="BC22" i="1"/>
  <c r="Y24" i="1"/>
  <c r="BC25" i="1"/>
  <c r="Y27" i="1"/>
  <c r="BC33" i="1"/>
  <c r="AN34" i="1"/>
  <c r="Z34" i="1"/>
  <c r="H37" i="1"/>
  <c r="I37" i="1" s="1"/>
  <c r="W44" i="1"/>
  <c r="W45" i="1"/>
  <c r="X45" i="1" s="1"/>
  <c r="T47" i="1"/>
  <c r="BC8" i="1"/>
  <c r="BB8" i="1"/>
  <c r="AA10" i="1"/>
  <c r="AN10" i="1"/>
  <c r="BB11" i="1"/>
  <c r="BB36" i="1" s="1"/>
  <c r="BC38" i="1" s="1"/>
  <c r="V19" i="1"/>
  <c r="V20" i="1"/>
  <c r="V23" i="1"/>
  <c r="X25" i="1"/>
  <c r="V26" i="1"/>
  <c r="BB30" i="1"/>
  <c r="V34" i="1"/>
  <c r="AI41" i="1"/>
  <c r="AN7" i="1"/>
  <c r="T46" i="1"/>
  <c r="U46" i="1"/>
  <c r="V46" i="1" s="1"/>
  <c r="Y7" i="1"/>
  <c r="U41" i="1"/>
  <c r="V41" i="1" s="1"/>
  <c r="V11" i="1"/>
  <c r="V17" i="1"/>
  <c r="AD22" i="1"/>
  <c r="AQ22" i="1" s="1"/>
  <c r="X22" i="1"/>
  <c r="Y25" i="1"/>
  <c r="Z25" i="1" s="1"/>
  <c r="X27" i="1"/>
  <c r="BB31" i="1"/>
  <c r="AE35" i="1"/>
  <c r="V5" i="1"/>
  <c r="T36" i="1"/>
  <c r="V38" i="1" s="1"/>
  <c r="U36" i="1"/>
  <c r="V14" i="1"/>
  <c r="V10" i="1"/>
  <c r="X14" i="1"/>
  <c r="Y18" i="1"/>
  <c r="X23" i="1"/>
  <c r="X26" i="1"/>
  <c r="AE29" i="1"/>
  <c r="N37" i="1"/>
  <c r="O37" i="1" s="1"/>
  <c r="AD19" i="1"/>
  <c r="AQ19" i="1" s="1"/>
  <c r="X19" i="1"/>
  <c r="X20" i="1"/>
  <c r="Z21" i="1"/>
  <c r="X5" i="1"/>
  <c r="V6" i="1"/>
  <c r="X8" i="1"/>
  <c r="AL47" i="1"/>
  <c r="AM47" i="1" s="1"/>
  <c r="W42" i="1"/>
  <c r="Y11" i="1"/>
  <c r="AD12" i="1"/>
  <c r="AQ12" i="1" s="1"/>
  <c r="X12" i="1"/>
  <c r="Z14" i="1"/>
  <c r="AN14" i="1"/>
  <c r="Y15" i="1"/>
  <c r="AD15" i="1" s="1"/>
  <c r="AQ15" i="1" s="1"/>
  <c r="AN15" i="1"/>
  <c r="X17" i="1"/>
  <c r="Z18" i="1"/>
  <c r="AN18" i="1"/>
  <c r="Y19" i="1"/>
  <c r="Z19" i="1" s="1"/>
  <c r="Y20" i="1"/>
  <c r="Z20" i="1" s="1"/>
  <c r="Y23" i="1"/>
  <c r="Z23" i="1" s="1"/>
  <c r="AB24" i="1"/>
  <c r="AO24" i="1" s="1"/>
  <c r="Y26" i="1"/>
  <c r="Z26" i="1" s="1"/>
  <c r="AB27" i="1"/>
  <c r="AO27" i="1" s="1"/>
  <c r="V31" i="1"/>
  <c r="V33" i="1"/>
  <c r="AB34" i="1"/>
  <c r="AO34" i="1" s="1"/>
  <c r="J36" i="1"/>
  <c r="AN5" i="1"/>
  <c r="J46" i="1"/>
  <c r="K46" i="1" s="1"/>
  <c r="X7" i="1"/>
  <c r="J41" i="1"/>
  <c r="K41" i="1" s="1"/>
  <c r="X10" i="1"/>
  <c r="AN11" i="1"/>
  <c r="X13" i="1"/>
  <c r="AN13" i="1"/>
  <c r="Z15" i="1"/>
  <c r="AN16" i="1"/>
  <c r="AA17" i="1"/>
  <c r="AE17" i="1" s="1"/>
  <c r="AC24" i="1"/>
  <c r="AP24" i="1" s="1"/>
  <c r="AA30" i="1"/>
  <c r="AE30" i="1" s="1"/>
  <c r="AN30" i="1"/>
  <c r="Z30" i="1"/>
  <c r="AD32" i="1"/>
  <c r="AQ32" i="1" s="1"/>
  <c r="AN33" i="1"/>
  <c r="AC34" i="1"/>
  <c r="AP34" i="1" s="1"/>
  <c r="Q37" i="1"/>
  <c r="Q46" i="1"/>
  <c r="V13" i="1"/>
  <c r="X15" i="1"/>
  <c r="J47" i="1"/>
  <c r="K47" i="1" s="1"/>
  <c r="AN6" i="1"/>
  <c r="AA7" i="1"/>
  <c r="AN8" i="1"/>
  <c r="Y10" i="1"/>
  <c r="AA11" i="1"/>
  <c r="AB14" i="1"/>
  <c r="AO14" i="1" s="1"/>
  <c r="Y16" i="1"/>
  <c r="AB17" i="1"/>
  <c r="AO17" i="1" s="1"/>
  <c r="AB18" i="1"/>
  <c r="AO18" i="1" s="1"/>
  <c r="BB27" i="1"/>
  <c r="Z31" i="1"/>
  <c r="X33" i="1"/>
  <c r="W41" i="1"/>
  <c r="X41" i="1" s="1"/>
  <c r="T42" i="1"/>
  <c r="V42" i="1" s="1"/>
  <c r="T43" i="1"/>
  <c r="V43" i="1" s="1"/>
  <c r="T44" i="1"/>
  <c r="V44" i="1" s="1"/>
  <c r="AL44" i="1"/>
  <c r="AM44" i="1" s="1"/>
  <c r="Q45" i="1"/>
  <c r="W46" i="1"/>
  <c r="X46" i="1" s="1"/>
  <c r="V9" i="1"/>
  <c r="X16" i="1"/>
  <c r="Y13" i="1"/>
  <c r="AD13" i="1" s="1"/>
  <c r="AA15" i="1"/>
  <c r="AE15" i="1" s="1"/>
  <c r="AA5" i="1"/>
  <c r="Y6" i="1"/>
  <c r="AB7" i="1"/>
  <c r="AO7" i="1" s="1"/>
  <c r="AA8" i="1"/>
  <c r="AB10" i="1"/>
  <c r="AO10" i="1" s="1"/>
  <c r="AB11" i="1"/>
  <c r="AO11" i="1" s="1"/>
  <c r="AO36" i="1" s="1"/>
  <c r="AO37" i="1" s="1"/>
  <c r="AC14" i="1"/>
  <c r="AP14" i="1" s="1"/>
  <c r="Z16" i="1"/>
  <c r="AB19" i="1"/>
  <c r="AO19" i="1" s="1"/>
  <c r="BB20" i="1"/>
  <c r="BB23" i="1"/>
  <c r="BB26" i="1"/>
  <c r="BC28" i="1"/>
  <c r="BB28" i="1"/>
  <c r="V30" i="1"/>
  <c r="AA31" i="1"/>
  <c r="AE31" i="1" s="1"/>
  <c r="Y33" i="1"/>
  <c r="AD33" i="1" s="1"/>
  <c r="BB34" i="1"/>
  <c r="V35" i="1"/>
  <c r="R36" i="1"/>
  <c r="U45" i="1"/>
  <c r="V45" i="1" s="1"/>
  <c r="I47" i="1"/>
  <c r="AI47" i="1"/>
  <c r="V16" i="1"/>
  <c r="Y5" i="1"/>
  <c r="Y8" i="1"/>
  <c r="Z5" i="1"/>
  <c r="X6" i="1"/>
  <c r="Z8" i="1"/>
  <c r="Y9" i="1"/>
  <c r="AC25" i="1"/>
  <c r="AP25" i="1" s="1"/>
  <c r="AN31" i="1"/>
  <c r="AB8" i="1"/>
  <c r="AO8" i="1" s="1"/>
  <c r="AC10" i="1"/>
  <c r="AP10" i="1" s="1"/>
  <c r="AD18" i="1"/>
  <c r="AQ18" i="1" s="1"/>
  <c r="AN27" i="1"/>
  <c r="Z27" i="1"/>
  <c r="AB31" i="1"/>
  <c r="AO31" i="1" s="1"/>
  <c r="AE32" i="1"/>
  <c r="AM35" i="1"/>
  <c r="AK47" i="1"/>
  <c r="CI19" i="2" l="1"/>
  <c r="CF19" i="2"/>
  <c r="AQ28" i="2"/>
  <c r="AE28" i="2"/>
  <c r="CH34" i="2"/>
  <c r="CI34" i="2"/>
  <c r="CJ34" i="2" s="1"/>
  <c r="Y37" i="2"/>
  <c r="Z36" i="2"/>
  <c r="Z24" i="2"/>
  <c r="AD24" i="2"/>
  <c r="CF17" i="2"/>
  <c r="CI13" i="2"/>
  <c r="CJ13" i="2" s="1"/>
  <c r="CF13" i="2"/>
  <c r="CF27" i="2"/>
  <c r="AE18" i="2"/>
  <c r="CF32" i="2"/>
  <c r="AS55" i="2"/>
  <c r="AT55" i="2"/>
  <c r="AE19" i="2"/>
  <c r="BR36" i="2"/>
  <c r="BQ37" i="2"/>
  <c r="BR37" i="2" s="1"/>
  <c r="CD29" i="2"/>
  <c r="BY29" i="2"/>
  <c r="CA29" i="2"/>
  <c r="CF15" i="2"/>
  <c r="CI15" i="2"/>
  <c r="J37" i="2"/>
  <c r="K36" i="2"/>
  <c r="CA33" i="2"/>
  <c r="CG33" i="2"/>
  <c r="CH33" i="2" s="1"/>
  <c r="CI10" i="2"/>
  <c r="CJ10" i="2" s="1"/>
  <c r="CF10" i="2"/>
  <c r="AQ32" i="2"/>
  <c r="AE32" i="2"/>
  <c r="AE10" i="2"/>
  <c r="AD17" i="2"/>
  <c r="AQ17" i="2" s="1"/>
  <c r="BS37" i="2"/>
  <c r="BT37" i="2" s="1"/>
  <c r="BT36" i="2"/>
  <c r="CB11" i="2"/>
  <c r="BY11" i="2"/>
  <c r="CE11" i="2"/>
  <c r="CH9" i="2"/>
  <c r="CH5" i="2"/>
  <c r="Y46" i="2"/>
  <c r="Z46" i="2" s="1"/>
  <c r="Z11" i="2"/>
  <c r="Y45" i="2"/>
  <c r="Z45" i="2" s="1"/>
  <c r="CE33" i="2"/>
  <c r="CB33" i="2"/>
  <c r="BY33" i="2"/>
  <c r="CF8" i="2"/>
  <c r="Y43" i="2"/>
  <c r="Z43" i="2" s="1"/>
  <c r="AD8" i="2"/>
  <c r="AQ8" i="2" s="1"/>
  <c r="Z8" i="2"/>
  <c r="Y44" i="2"/>
  <c r="Z44" i="2" s="1"/>
  <c r="S36" i="2"/>
  <c r="R37" i="2"/>
  <c r="CF20" i="2"/>
  <c r="BY14" i="2"/>
  <c r="CB14" i="2"/>
  <c r="CB22" i="2"/>
  <c r="AE14" i="2"/>
  <c r="CA8" i="2"/>
  <c r="CG8" i="2"/>
  <c r="CH8" i="2" s="1"/>
  <c r="BZ36" i="2"/>
  <c r="CB8" i="2"/>
  <c r="CJ25" i="2"/>
  <c r="CG16" i="2"/>
  <c r="CH16" i="2" s="1"/>
  <c r="AC36" i="2"/>
  <c r="AC37" i="2" s="1"/>
  <c r="AP5" i="2"/>
  <c r="AP36" i="2" s="1"/>
  <c r="AP37" i="2" s="1"/>
  <c r="BB36" i="2"/>
  <c r="BC38" i="2" s="1"/>
  <c r="CH29" i="2"/>
  <c r="CE9" i="2"/>
  <c r="CB9" i="2"/>
  <c r="BY9" i="2"/>
  <c r="AQ26" i="2"/>
  <c r="AE26" i="2"/>
  <c r="CB32" i="2"/>
  <c r="CJ19" i="2"/>
  <c r="CA10" i="2"/>
  <c r="CB10" i="2"/>
  <c r="BY10" i="2"/>
  <c r="V43" i="2"/>
  <c r="CH20" i="2"/>
  <c r="BY6" i="2"/>
  <c r="CE6" i="2"/>
  <c r="CB6" i="2"/>
  <c r="CI35" i="2"/>
  <c r="CB19" i="2"/>
  <c r="BY19" i="2"/>
  <c r="AE8" i="2"/>
  <c r="CH21" i="2"/>
  <c r="AD6" i="2"/>
  <c r="CB30" i="2"/>
  <c r="CE30" i="2"/>
  <c r="BY30" i="2"/>
  <c r="CF25" i="2"/>
  <c r="CG10" i="2"/>
  <c r="CH10" i="2" s="1"/>
  <c r="CA6" i="2"/>
  <c r="BX36" i="2"/>
  <c r="V36" i="2"/>
  <c r="U37" i="2"/>
  <c r="V37" i="2" s="1"/>
  <c r="CD36" i="2"/>
  <c r="CB24" i="2"/>
  <c r="CA24" i="2"/>
  <c r="Z18" i="2"/>
  <c r="BY28" i="2"/>
  <c r="CE28" i="2"/>
  <c r="CB28" i="2"/>
  <c r="CG24" i="2"/>
  <c r="CH24" i="2" s="1"/>
  <c r="CA27" i="2"/>
  <c r="CG27" i="2"/>
  <c r="CH27" i="2" s="1"/>
  <c r="BY27" i="2"/>
  <c r="CB27" i="2"/>
  <c r="BY26" i="2"/>
  <c r="CB26" i="2"/>
  <c r="CE26" i="2"/>
  <c r="CB34" i="2"/>
  <c r="CA34" i="2"/>
  <c r="CJ31" i="2"/>
  <c r="CB23" i="2"/>
  <c r="BY23" i="2"/>
  <c r="CE23" i="2"/>
  <c r="CB13" i="2"/>
  <c r="BY13" i="2"/>
  <c r="Y41" i="2"/>
  <c r="Z41" i="2" s="1"/>
  <c r="Z6" i="2"/>
  <c r="CJ35" i="2"/>
  <c r="CE18" i="2"/>
  <c r="CB18" i="2"/>
  <c r="BY18" i="2"/>
  <c r="CJ7" i="2"/>
  <c r="BW36" i="2"/>
  <c r="CI5" i="2"/>
  <c r="CF5" i="2"/>
  <c r="AE11" i="2"/>
  <c r="CF22" i="2"/>
  <c r="CI22" i="2"/>
  <c r="CJ22" i="2" s="1"/>
  <c r="BU36" i="2"/>
  <c r="BV5" i="2"/>
  <c r="CF16" i="2"/>
  <c r="CF24" i="2"/>
  <c r="CA17" i="2"/>
  <c r="CG17" i="2"/>
  <c r="CH17" i="2" s="1"/>
  <c r="CB17" i="2"/>
  <c r="BY17" i="2"/>
  <c r="AD27" i="2"/>
  <c r="CH30" i="2"/>
  <c r="BY7" i="2"/>
  <c r="CI7" i="2"/>
  <c r="W37" i="2"/>
  <c r="X37" i="2" s="1"/>
  <c r="X36" i="2"/>
  <c r="CB16" i="2"/>
  <c r="CB7" i="2"/>
  <c r="CB36" i="2" s="1"/>
  <c r="CB37" i="2" s="1"/>
  <c r="CA7" i="2"/>
  <c r="CA23" i="2"/>
  <c r="CG23" i="2"/>
  <c r="CH23" i="2" s="1"/>
  <c r="AE33" i="2"/>
  <c r="AE22" i="2"/>
  <c r="AL37" i="2"/>
  <c r="AM36" i="2"/>
  <c r="CG14" i="2"/>
  <c r="CH14" i="2" s="1"/>
  <c r="CG32" i="2"/>
  <c r="CH32" i="2" s="1"/>
  <c r="AE7" i="2"/>
  <c r="AD36" i="2"/>
  <c r="AQ5" i="2"/>
  <c r="CE14" i="2"/>
  <c r="AB36" i="2"/>
  <c r="AB37" i="2" s="1"/>
  <c r="CJ15" i="2"/>
  <c r="CH6" i="2"/>
  <c r="Y41" i="1"/>
  <c r="Z41" i="1" s="1"/>
  <c r="Z9" i="1"/>
  <c r="Y43" i="1"/>
  <c r="Z43" i="1" s="1"/>
  <c r="AD11" i="1"/>
  <c r="AQ11" i="1" s="1"/>
  <c r="AQ33" i="1"/>
  <c r="AE33" i="1"/>
  <c r="Z13" i="1"/>
  <c r="AB36" i="1"/>
  <c r="AB37" i="1" s="1"/>
  <c r="Y42" i="1"/>
  <c r="Z42" i="1" s="1"/>
  <c r="AD10" i="1"/>
  <c r="AQ10" i="1" s="1"/>
  <c r="AN36" i="1"/>
  <c r="AT38" i="1" s="1"/>
  <c r="K36" i="1"/>
  <c r="J37" i="1"/>
  <c r="AE12" i="1"/>
  <c r="Z11" i="1"/>
  <c r="AD24" i="1"/>
  <c r="Z24" i="1"/>
  <c r="AE6" i="1"/>
  <c r="S36" i="1"/>
  <c r="R37" i="1"/>
  <c r="AA36" i="1"/>
  <c r="X43" i="1"/>
  <c r="Y46" i="1"/>
  <c r="Z46" i="1" s="1"/>
  <c r="AD7" i="1"/>
  <c r="AQ7" i="1" s="1"/>
  <c r="AT55" i="1"/>
  <c r="AS55" i="1"/>
  <c r="AD20" i="1"/>
  <c r="AQ20" i="1" s="1"/>
  <c r="AE26" i="1"/>
  <c r="AD6" i="1"/>
  <c r="AQ6" i="1" s="1"/>
  <c r="Y45" i="1"/>
  <c r="Z45" i="1" s="1"/>
  <c r="Z6" i="1"/>
  <c r="AD9" i="1"/>
  <c r="AC36" i="1"/>
  <c r="AC37" i="1" s="1"/>
  <c r="AP5" i="1"/>
  <c r="AP36" i="1" s="1"/>
  <c r="AP37" i="1" s="1"/>
  <c r="AE19" i="1"/>
  <c r="AE16" i="1"/>
  <c r="AQ13" i="1"/>
  <c r="AE13" i="1"/>
  <c r="V36" i="1"/>
  <c r="U37" i="1"/>
  <c r="V37" i="1" s="1"/>
  <c r="Y47" i="1"/>
  <c r="Z47" i="1" s="1"/>
  <c r="AD8" i="1"/>
  <c r="AQ8" i="1" s="1"/>
  <c r="AE8" i="1"/>
  <c r="AE22" i="1"/>
  <c r="X44" i="1"/>
  <c r="AD23" i="1"/>
  <c r="AE11" i="1"/>
  <c r="Z10" i="1"/>
  <c r="X42" i="1"/>
  <c r="Y44" i="1"/>
  <c r="Z44" i="1" s="1"/>
  <c r="Y36" i="1"/>
  <c r="AD5" i="1"/>
  <c r="Z33" i="1"/>
  <c r="Z7" i="1"/>
  <c r="AE20" i="1"/>
  <c r="AM57" i="1"/>
  <c r="AN38" i="1"/>
  <c r="AM37" i="1"/>
  <c r="AL56" i="1"/>
  <c r="AL57" i="1" s="1"/>
  <c r="AL62" i="1"/>
  <c r="AL63" i="1" s="1"/>
  <c r="AL60" i="1"/>
  <c r="AE18" i="1"/>
  <c r="AD25" i="1"/>
  <c r="CI14" i="2" l="1"/>
  <c r="CJ14" i="2" s="1"/>
  <c r="CF14" i="2"/>
  <c r="BZ37" i="2"/>
  <c r="CA37" i="2" s="1"/>
  <c r="CA36" i="2"/>
  <c r="AQ27" i="2"/>
  <c r="AE27" i="2"/>
  <c r="CF23" i="2"/>
  <c r="CI23" i="2"/>
  <c r="CJ23" i="2" s="1"/>
  <c r="AQ6" i="2"/>
  <c r="AE6" i="2"/>
  <c r="CI9" i="2"/>
  <c r="CJ9" i="2" s="1"/>
  <c r="CF9" i="2"/>
  <c r="R56" i="2"/>
  <c r="R57" i="2" s="1"/>
  <c r="S57" i="2"/>
  <c r="S37" i="2"/>
  <c r="AA38" i="2"/>
  <c r="Z37" i="2"/>
  <c r="Y56" i="2"/>
  <c r="Y57" i="2" s="1"/>
  <c r="Z57" i="2"/>
  <c r="AE36" i="2"/>
  <c r="AD37" i="2"/>
  <c r="BV36" i="2"/>
  <c r="BU37" i="2"/>
  <c r="CF33" i="2"/>
  <c r="CI33" i="2"/>
  <c r="CJ33" i="2" s="1"/>
  <c r="CJ29" i="2"/>
  <c r="CF29" i="2"/>
  <c r="CI27" i="2"/>
  <c r="CJ27" i="2" s="1"/>
  <c r="BV37" i="2"/>
  <c r="CF18" i="2"/>
  <c r="CI18" i="2"/>
  <c r="CJ18" i="2" s="1"/>
  <c r="BX37" i="2"/>
  <c r="BY37" i="2" s="1"/>
  <c r="BY36" i="2"/>
  <c r="J56" i="2"/>
  <c r="J57" i="2" s="1"/>
  <c r="K38" i="2"/>
  <c r="K57" i="2"/>
  <c r="CI24" i="2"/>
  <c r="CJ24" i="2" s="1"/>
  <c r="CF28" i="2"/>
  <c r="CI28" i="2"/>
  <c r="CJ28" i="2" s="1"/>
  <c r="CI17" i="2"/>
  <c r="CJ17" i="2" s="1"/>
  <c r="CJ5" i="2"/>
  <c r="CI26" i="2"/>
  <c r="CJ26" i="2" s="1"/>
  <c r="CF26" i="2"/>
  <c r="CI8" i="2"/>
  <c r="CJ8" i="2" s="1"/>
  <c r="CG36" i="2"/>
  <c r="AM57" i="2"/>
  <c r="AL56" i="2"/>
  <c r="AL57" i="2" s="1"/>
  <c r="AL63" i="2"/>
  <c r="AL64" i="2" s="1"/>
  <c r="AN38" i="2"/>
  <c r="AM37" i="2"/>
  <c r="AL61" i="2"/>
  <c r="CE36" i="2"/>
  <c r="CI6" i="2"/>
  <c r="CJ6" i="2" s="1"/>
  <c r="CF6" i="2"/>
  <c r="AQ24" i="2"/>
  <c r="AQ36" i="2" s="1"/>
  <c r="AE24" i="2"/>
  <c r="CI16" i="2"/>
  <c r="CJ16" i="2" s="1"/>
  <c r="AE17" i="2"/>
  <c r="CI30" i="2"/>
  <c r="CJ30" i="2" s="1"/>
  <c r="CF30" i="2"/>
  <c r="CI11" i="2"/>
  <c r="CJ11" i="2" s="1"/>
  <c r="CF11" i="2"/>
  <c r="CI32" i="2"/>
  <c r="CJ32" i="2" s="1"/>
  <c r="S57" i="1"/>
  <c r="R56" i="1"/>
  <c r="R57" i="1" s="1"/>
  <c r="S37" i="1"/>
  <c r="AQ23" i="1"/>
  <c r="AE23" i="1"/>
  <c r="AQ25" i="1"/>
  <c r="AE25" i="1"/>
  <c r="AQ24" i="1"/>
  <c r="AE24" i="1"/>
  <c r="AD36" i="1"/>
  <c r="AQ5" i="1"/>
  <c r="Z36" i="1"/>
  <c r="Y37" i="1"/>
  <c r="AQ9" i="1"/>
  <c r="AE9" i="1"/>
  <c r="AE10" i="1"/>
  <c r="K38" i="1"/>
  <c r="J56" i="1"/>
  <c r="J57" i="1" s="1"/>
  <c r="K57" i="1"/>
  <c r="AE7" i="1"/>
  <c r="AE5" i="1"/>
  <c r="AQ37" i="2" l="1"/>
  <c r="AR50" i="2"/>
  <c r="AS50" i="2" s="1"/>
  <c r="CG37" i="2"/>
  <c r="CH37" i="2" s="1"/>
  <c r="CH36" i="2"/>
  <c r="CE37" i="2"/>
  <c r="CF37" i="2" s="1"/>
  <c r="CJ37" i="2" s="1"/>
  <c r="CF36" i="2"/>
  <c r="CI36" i="2"/>
  <c r="AD63" i="2"/>
  <c r="AD64" i="2" s="1"/>
  <c r="AD61" i="2"/>
  <c r="AD49" i="2"/>
  <c r="AE37" i="2"/>
  <c r="AE36" i="1"/>
  <c r="AD37" i="1"/>
  <c r="Z37" i="1"/>
  <c r="Z57" i="1"/>
  <c r="AA38" i="1"/>
  <c r="Y56" i="1"/>
  <c r="Y57" i="1" s="1"/>
  <c r="AQ36" i="1"/>
  <c r="CI37" i="2" l="1"/>
  <c r="CJ36" i="2"/>
  <c r="AS56" i="2"/>
  <c r="AR53" i="2"/>
  <c r="AS38" i="2"/>
  <c r="AR55" i="2"/>
  <c r="AR56" i="2" s="1"/>
  <c r="AS49" i="2"/>
  <c r="AR51" i="2"/>
  <c r="AS51" i="2" s="1"/>
  <c r="AQ37" i="1"/>
  <c r="AR50" i="1"/>
  <c r="AS50" i="1" s="1"/>
  <c r="AD62" i="1"/>
  <c r="AD63" i="1" s="1"/>
  <c r="AD60" i="1"/>
  <c r="AE37" i="1"/>
  <c r="AR53" i="1" l="1"/>
  <c r="AR51" i="1"/>
  <c r="AS51" i="1" s="1"/>
  <c r="AS38" i="1"/>
  <c r="AS56" i="1"/>
  <c r="AS49" i="1"/>
  <c r="AR55" i="1"/>
  <c r="AR56" i="1" s="1"/>
</calcChain>
</file>

<file path=xl/sharedStrings.xml><?xml version="1.0" encoding="utf-8"?>
<sst xmlns="http://schemas.openxmlformats.org/spreadsheetml/2006/main" count="366" uniqueCount="86">
  <si>
    <t>※割引反映前</t>
  </si>
  <si>
    <t>金額：(税込)</t>
  </si>
  <si>
    <t>BQ</t>
    <phoneticPr fontId="12"/>
  </si>
  <si>
    <t>LUNCH</t>
  </si>
  <si>
    <t>Afternoon Tea（税込）</t>
    <phoneticPr fontId="16"/>
  </si>
  <si>
    <t>DINNER（計算式あり・入力不要）</t>
  </si>
  <si>
    <t>レストランTOTAL売上（税込）</t>
  </si>
  <si>
    <t>ルスツ羊蹄ぶた（税込）</t>
    <rPh sb="3" eb="5">
      <t>ヨウテイ</t>
    </rPh>
    <phoneticPr fontId="12"/>
  </si>
  <si>
    <t>レストラン＋ルスツ羊蹄ぶた（人数は含まず）</t>
    <rPh sb="9" eb="11">
      <t>ヨウテイ</t>
    </rPh>
    <phoneticPr fontId="12"/>
  </si>
  <si>
    <t>レストラン営業終了後トータル売上（入力用税込）</t>
  </si>
  <si>
    <t>件数</t>
  </si>
  <si>
    <t>人数合計</t>
  </si>
  <si>
    <t>料理売上　　    （税込）</t>
  </si>
  <si>
    <t>料理単価　　           （税抜）</t>
  </si>
  <si>
    <t>飲料売上　　          （税込）</t>
  </si>
  <si>
    <t>飲料単価　　　　（税抜）</t>
  </si>
  <si>
    <t>合計（税込）</t>
  </si>
  <si>
    <t>客単価(Ave.)</t>
  </si>
  <si>
    <t>件数</t>
    <rPh sb="0" eb="2">
      <t>ケンスウ</t>
    </rPh>
    <phoneticPr fontId="12"/>
  </si>
  <si>
    <t>料理売上</t>
  </si>
  <si>
    <t>料理単価</t>
  </si>
  <si>
    <t>飲料売上</t>
  </si>
  <si>
    <t>飲料単価</t>
  </si>
  <si>
    <t>合計</t>
  </si>
  <si>
    <t>人数</t>
  </si>
  <si>
    <t>売上</t>
  </si>
  <si>
    <t>席料+食品物販+花</t>
    <rPh sb="3" eb="5">
      <t>ショクヒン</t>
    </rPh>
    <rPh sb="5" eb="7">
      <t>ブッパン</t>
    </rPh>
    <phoneticPr fontId="12"/>
  </si>
  <si>
    <t>客数</t>
  </si>
  <si>
    <t>料理</t>
  </si>
  <si>
    <t>飲料</t>
  </si>
  <si>
    <t>席料</t>
  </si>
  <si>
    <t>食品物販</t>
    <rPh sb="0" eb="2">
      <t>ショクヒン</t>
    </rPh>
    <rPh sb="2" eb="4">
      <t>ブッパン</t>
    </rPh>
    <phoneticPr fontId="12"/>
  </si>
  <si>
    <t>花束（プラン）</t>
  </si>
  <si>
    <t>招待券・花束             （預り金）</t>
  </si>
  <si>
    <t>売上合計　　　　　（花束預り金除く）</t>
  </si>
  <si>
    <t>ルスツ羊蹄ぶたオープン</t>
    <rPh sb="3" eb="5">
      <t>ヨウテイ</t>
    </rPh>
    <phoneticPr fontId="12"/>
  </si>
  <si>
    <t>税抜金額</t>
  </si>
  <si>
    <t>入客</t>
  </si>
  <si>
    <t>（営業日数）</t>
  </si>
  <si>
    <t>一日平均</t>
  </si>
  <si>
    <t>税抜レストラン+RYB売上単価</t>
    <phoneticPr fontId="12"/>
  </si>
  <si>
    <t>(RYB＋BQ昼夜人数)</t>
    <rPh sb="9" eb="11">
      <t>ニンズウ</t>
    </rPh>
    <phoneticPr fontId="12"/>
  </si>
  <si>
    <t>ランチ</t>
    <phoneticPr fontId="12"/>
  </si>
  <si>
    <t>AT</t>
    <phoneticPr fontId="12"/>
  </si>
  <si>
    <t>ディナー</t>
    <phoneticPr fontId="12"/>
  </si>
  <si>
    <t>RYB</t>
    <phoneticPr fontId="12"/>
  </si>
  <si>
    <t>客数</t>
    <rPh sb="0" eb="2">
      <t>キャクスウ</t>
    </rPh>
    <phoneticPr fontId="12"/>
  </si>
  <si>
    <t>料理売上</t>
    <rPh sb="0" eb="2">
      <t>リョウリ</t>
    </rPh>
    <rPh sb="2" eb="4">
      <t>ウリアゲ</t>
    </rPh>
    <phoneticPr fontId="12"/>
  </si>
  <si>
    <t>料理単価</t>
    <rPh sb="0" eb="2">
      <t>リョウリ</t>
    </rPh>
    <rPh sb="2" eb="4">
      <t>タンカ</t>
    </rPh>
    <phoneticPr fontId="12"/>
  </si>
  <si>
    <t>飲料売上</t>
    <rPh sb="0" eb="2">
      <t>インリョウ</t>
    </rPh>
    <rPh sb="2" eb="4">
      <t>ウリアゲ</t>
    </rPh>
    <phoneticPr fontId="12"/>
  </si>
  <si>
    <t>飲料単価</t>
    <rPh sb="0" eb="2">
      <t>インリョウ</t>
    </rPh>
    <rPh sb="2" eb="4">
      <t>タンカ</t>
    </rPh>
    <phoneticPr fontId="12"/>
  </si>
  <si>
    <t>合計</t>
    <rPh sb="0" eb="2">
      <t>ゴウケイ</t>
    </rPh>
    <phoneticPr fontId="12"/>
  </si>
  <si>
    <t>客単価</t>
    <rPh sb="0" eb="3">
      <t>キャクタンカ</t>
    </rPh>
    <phoneticPr fontId="12"/>
  </si>
  <si>
    <t>月</t>
    <rPh sb="0" eb="1">
      <t>ゲツ</t>
    </rPh>
    <phoneticPr fontId="12"/>
  </si>
  <si>
    <t>火</t>
  </si>
  <si>
    <t>水</t>
  </si>
  <si>
    <t>木</t>
  </si>
  <si>
    <t>金</t>
  </si>
  <si>
    <t>土</t>
  </si>
  <si>
    <t>日</t>
  </si>
  <si>
    <t>■ランチコメント</t>
  </si>
  <si>
    <t>■ATコメント</t>
    <phoneticPr fontId="16"/>
  </si>
  <si>
    <t>■ディナーコメント</t>
  </si>
  <si>
    <t>■RTBコメント</t>
    <phoneticPr fontId="12"/>
  </si>
  <si>
    <t>税抜レストラン+RYB売上</t>
    <phoneticPr fontId="12"/>
  </si>
  <si>
    <t>　1日売上平均（税抜）</t>
  </si>
  <si>
    <t>税込合計</t>
  </si>
  <si>
    <t>　1日売上平均（税込）</t>
  </si>
  <si>
    <t>税抜合計</t>
  </si>
  <si>
    <t>その他予算</t>
  </si>
  <si>
    <t>席料予算</t>
    <rPh sb="0" eb="2">
      <t>セキリョウ</t>
    </rPh>
    <rPh sb="2" eb="4">
      <t>ヨサン</t>
    </rPh>
    <phoneticPr fontId="12"/>
  </si>
  <si>
    <t>その他</t>
    <rPh sb="2" eb="3">
      <t>タ</t>
    </rPh>
    <phoneticPr fontId="12"/>
  </si>
  <si>
    <t>TOTAL予算</t>
  </si>
  <si>
    <t>ランチ予算</t>
  </si>
  <si>
    <t>当月残り日数</t>
  </si>
  <si>
    <t>AT予算</t>
    <phoneticPr fontId="12"/>
  </si>
  <si>
    <t>ディナー予算</t>
  </si>
  <si>
    <t>RYB予算</t>
    <phoneticPr fontId="12"/>
  </si>
  <si>
    <t>予算まで</t>
  </si>
  <si>
    <t>達成まで一日あたり</t>
  </si>
  <si>
    <t>家賃比率</t>
    <rPh sb="0" eb="4">
      <t xml:space="preserve">ヤチンヒリツ </t>
    </rPh>
    <phoneticPr fontId="12"/>
  </si>
  <si>
    <t>坪単価</t>
    <rPh sb="0" eb="3">
      <t xml:space="preserve">ツボタンカ </t>
    </rPh>
    <phoneticPr fontId="12"/>
  </si>
  <si>
    <t>契約率</t>
    <rPh sb="0" eb="2">
      <t xml:space="preserve">ケイヤク </t>
    </rPh>
    <rPh sb="2" eb="3">
      <t xml:space="preserve">リツ </t>
    </rPh>
    <phoneticPr fontId="12"/>
  </si>
  <si>
    <t>差異</t>
    <rPh sb="0" eb="2">
      <t>サイ</t>
    </rPh>
    <phoneticPr fontId="12"/>
  </si>
  <si>
    <t>LUNCH+DINNER</t>
    <phoneticPr fontId="12"/>
  </si>
  <si>
    <t>BQグランドオープン</t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</si>
</sst>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0&quot;年&quot;"/>
    <numFmt numFmtId="177" formatCode="0&quot;月&quot;"/>
    <numFmt numFmtId="178" formatCode="d&quot;日(&quot;ddd\)"/>
    <numFmt numFmtId="179" formatCode="0&quot;件&quot;"/>
    <numFmt numFmtId="180" formatCode="0&quot;名&quot;"/>
    <numFmt numFmtId="181" formatCode="#,##0\ "/>
    <numFmt numFmtId="182" formatCode="#,##0.00\ "/>
    <numFmt numFmtId="183" formatCode="0.0"/>
    <numFmt numFmtId="184" formatCode="\¥#,##0;[Red]&quot;¥-&quot;#,##0"/>
    <numFmt numFmtId="185" formatCode="#,##0.0;[Red]\-#,##0.0"/>
    <numFmt numFmtId="186" formatCode="0.0%"/>
    <numFmt numFmtId="187" formatCode="0.0_ "/>
  </numFmts>
  <fonts count="34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9"/>
      <color rgb="FF000000"/>
      <name val="游ゴシック Medium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游ゴシック Medium"/>
      <family val="3"/>
      <charset val="128"/>
    </font>
    <font>
      <sz val="11"/>
      <color indexed="8"/>
      <name val="游ゴシック"/>
      <family val="3"/>
    </font>
    <font>
      <sz val="9"/>
      <color indexed="8"/>
      <name val="游ゴシック"/>
      <family val="3"/>
      <charset val="128"/>
      <scheme val="minor"/>
    </font>
    <font>
      <sz val="10"/>
      <color rgb="FF000000"/>
      <name val="游ゴシック Medium"/>
      <family val="3"/>
      <charset val="128"/>
    </font>
    <font>
      <sz val="8"/>
      <color rgb="FF000000"/>
      <name val="游ゴシック Medium"/>
      <family val="3"/>
      <charset val="128"/>
    </font>
    <font>
      <b/>
      <sz val="9"/>
      <color rgb="FF000000"/>
      <name val="游ゴシック Medium"/>
      <family val="3"/>
      <charset val="128"/>
    </font>
    <font>
      <b/>
      <sz val="9"/>
      <color indexed="8"/>
      <name val="游ゴシック"/>
      <family val="3"/>
      <charset val="128"/>
      <scheme val="minor"/>
    </font>
    <font>
      <b/>
      <sz val="12"/>
      <color theme="1"/>
      <name val="游ゴシック Medium"/>
      <family val="3"/>
      <charset val="128"/>
    </font>
    <font>
      <sz val="6"/>
      <name val="游ゴシック"/>
      <family val="3"/>
      <charset val="128"/>
      <scheme val="minor"/>
    </font>
    <font>
      <b/>
      <sz val="12"/>
      <color rgb="FF000000"/>
      <name val="游ゴシック Medium"/>
      <family val="3"/>
      <charset val="128"/>
    </font>
    <font>
      <sz val="10"/>
      <name val="游ゴシック Medium"/>
      <family val="3"/>
      <charset val="128"/>
    </font>
    <font>
      <b/>
      <sz val="11"/>
      <color indexed="8"/>
      <name val="游ゴシック"/>
      <family val="3"/>
      <charset val="128"/>
      <scheme val="minor"/>
    </font>
    <font>
      <sz val="6"/>
      <name val="07LogoTypeGothic-Condense"/>
      <family val="3"/>
      <charset val="128"/>
    </font>
    <font>
      <b/>
      <sz val="11"/>
      <color rgb="FF000000"/>
      <name val="游ゴシック Medium"/>
      <family val="3"/>
      <charset val="128"/>
    </font>
    <font>
      <b/>
      <sz val="8"/>
      <color indexed="8"/>
      <name val="游ゴシック"/>
      <family val="3"/>
      <charset val="128"/>
      <scheme val="minor"/>
    </font>
    <font>
      <sz val="9"/>
      <color theme="4"/>
      <name val="游ゴシック Medium"/>
      <family val="3"/>
      <charset val="128"/>
    </font>
    <font>
      <sz val="9"/>
      <color rgb="FFFF0000"/>
      <name val="游ゴシック Medium"/>
      <family val="3"/>
      <charset val="128"/>
    </font>
    <font>
      <b/>
      <sz val="9"/>
      <color theme="1"/>
      <name val="游ゴシック Medium"/>
      <family val="3"/>
      <charset val="128"/>
    </font>
    <font>
      <b/>
      <sz val="8"/>
      <color rgb="FF000000"/>
      <name val="游ゴシック Medium"/>
      <family val="3"/>
      <charset val="128"/>
    </font>
    <font>
      <b/>
      <sz val="7"/>
      <color rgb="FF000000"/>
      <name val="游ゴシック Medium"/>
      <family val="3"/>
      <charset val="128"/>
    </font>
    <font>
      <b/>
      <sz val="10"/>
      <color rgb="FF000000"/>
      <name val="游ゴシック Medium"/>
      <family val="3"/>
      <charset val="128"/>
    </font>
    <font>
      <b/>
      <sz val="6"/>
      <color rgb="FF000000"/>
      <name val="游ゴシック Medium"/>
      <family val="3"/>
      <charset val="128"/>
    </font>
    <font>
      <b/>
      <sz val="10"/>
      <color theme="1"/>
      <name val="游ゴシック Medium"/>
      <family val="3"/>
      <charset val="128"/>
    </font>
    <font>
      <sz val="9"/>
      <color indexed="10"/>
      <name val="游ゴシック"/>
      <family val="3"/>
      <charset val="128"/>
      <scheme val="minor"/>
    </font>
    <font>
      <sz val="11"/>
      <color rgb="FF000000"/>
      <name val="游ゴシック Medium"/>
      <family val="3"/>
      <charset val="128"/>
    </font>
    <font>
      <sz val="11"/>
      <color theme="1"/>
      <name val="游ゴシック Medium"/>
      <family val="3"/>
      <charset val="128"/>
    </font>
    <font>
      <b/>
      <sz val="10"/>
      <color indexed="8"/>
      <name val="游ゴシック"/>
      <family val="3"/>
      <charset val="128"/>
      <scheme val="minor"/>
    </font>
    <font>
      <sz val="12"/>
      <color rgb="FF000000"/>
      <name val="游ゴシック Medium"/>
      <family val="3"/>
      <charset val="128"/>
    </font>
    <font>
      <sz val="11"/>
      <color indexed="8"/>
      <name val="游ゴシック"/>
      <family val="3"/>
      <charset val="128"/>
      <scheme val="minor"/>
    </font>
    <font>
      <sz val="9"/>
      <color rgb="FF0070C0"/>
      <name val="游ゴシック Medium"/>
      <family val="3"/>
      <charset val="128"/>
    </font>
  </fonts>
  <fills count="22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indexed="47"/>
        <bgColor indexed="43"/>
      </patternFill>
    </fill>
    <fill>
      <patternFill patternType="solid">
        <fgColor rgb="FFCCECFF"/>
        <bgColor rgb="FFCCECFF"/>
      </patternFill>
    </fill>
    <fill>
      <patternFill patternType="solid">
        <fgColor rgb="FFFFFF00"/>
        <bgColor rgb="FFFBE5D6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indexed="27"/>
        <bgColor indexed="41"/>
      </patternFill>
    </fill>
    <fill>
      <patternFill patternType="solid">
        <fgColor rgb="FFFFF2CC"/>
        <bgColor rgb="FFFFF2CC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indexed="13"/>
        <bgColor indexed="34"/>
      </patternFill>
    </fill>
    <fill>
      <patternFill patternType="solid">
        <fgColor rgb="FFFBE5D6"/>
        <bgColor rgb="FFFBE5D6"/>
      </patternFill>
    </fill>
    <fill>
      <patternFill patternType="solid">
        <fgColor rgb="FFFBE4D5"/>
        <bgColor rgb="FFFBE4D5"/>
      </patternFill>
    </fill>
    <fill>
      <patternFill patternType="solid">
        <fgColor theme="5" tint="0.79998168889431442"/>
        <bgColor rgb="FFCCECFF"/>
      </patternFill>
    </fill>
    <fill>
      <patternFill patternType="solid">
        <fgColor rgb="FFCCECFF"/>
        <bgColor rgb="FFFFFFCC"/>
      </patternFill>
    </fill>
    <fill>
      <patternFill patternType="solid">
        <fgColor theme="5" tint="0.79998168889431442"/>
        <bgColor rgb="FFFFFFCC"/>
      </patternFill>
    </fill>
    <fill>
      <patternFill patternType="solid">
        <fgColor rgb="FFCCECFF"/>
        <bgColor indexed="64"/>
      </patternFill>
    </fill>
    <fill>
      <patternFill patternType="solid">
        <fgColor theme="5" tint="0.79998168889431442"/>
        <bgColor indexed="64"/>
      </patternFill>
    </fill>
  </fills>
  <borders count="8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8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double">
        <color indexed="64"/>
      </bottom>
      <diagonal/>
    </border>
    <border>
      <left/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rgb="FF000000"/>
      </top>
      <bottom style="double">
        <color indexed="64"/>
      </bottom>
      <diagonal/>
    </border>
    <border>
      <left style="thin">
        <color indexed="8"/>
      </left>
      <right style="thin">
        <color indexed="8"/>
      </right>
      <top/>
      <bottom style="double">
        <color indexed="64"/>
      </bottom>
      <diagonal/>
    </border>
    <border>
      <left/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 style="double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/>
      <top style="double">
        <color indexed="8"/>
      </top>
      <bottom style="thin">
        <color indexed="8"/>
      </bottom>
      <diagonal/>
    </border>
    <border>
      <left/>
      <right/>
      <top style="double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double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double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double">
        <color indexed="64"/>
      </bottom>
      <diagonal/>
    </border>
    <border>
      <left/>
      <right style="thin">
        <color rgb="FF000000"/>
      </right>
      <top/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/>
      <bottom style="double">
        <color indexed="64"/>
      </bottom>
      <diagonal/>
    </border>
    <border>
      <left style="thin">
        <color rgb="FF000000"/>
      </left>
      <right style="medium">
        <color rgb="FF000000"/>
      </right>
      <top/>
      <bottom style="double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double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double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/>
    <xf numFmtId="38" fontId="5" fillId="0" borderId="0"/>
    <xf numFmtId="184" fontId="5" fillId="0" borderId="0"/>
  </cellStyleXfs>
  <cellXfs count="34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center" vertical="center" wrapText="1"/>
    </xf>
    <xf numFmtId="0" fontId="6" fillId="0" borderId="0" xfId="3" applyFont="1" applyAlignment="1">
      <alignment horizontal="center" vertical="center" wrapText="1"/>
    </xf>
    <xf numFmtId="38" fontId="2" fillId="0" borderId="0" xfId="0" applyNumberFormat="1" applyFont="1" applyAlignment="1">
      <alignment horizontal="center" vertical="center" wrapText="1"/>
    </xf>
    <xf numFmtId="0" fontId="7" fillId="0" borderId="0" xfId="0" applyFont="1" applyAlignment="1"/>
    <xf numFmtId="176" fontId="8" fillId="0" borderId="0" xfId="0" applyNumberFormat="1" applyFont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 wrapText="1"/>
    </xf>
    <xf numFmtId="177" fontId="9" fillId="0" borderId="0" xfId="0" applyNumberFormat="1" applyFont="1" applyAlignment="1">
      <alignment horizontal="center" vertical="center" shrinkToFit="1"/>
    </xf>
    <xf numFmtId="0" fontId="9" fillId="0" borderId="0" xfId="0" applyFont="1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177" fontId="11" fillId="0" borderId="1" xfId="0" applyNumberFormat="1" applyFont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 shrinkToFit="1"/>
    </xf>
    <xf numFmtId="0" fontId="13" fillId="2" borderId="2" xfId="0" applyFont="1" applyFill="1" applyBorder="1" applyAlignment="1">
      <alignment horizontal="center" vertical="center" wrapText="1"/>
    </xf>
    <xf numFmtId="0" fontId="14" fillId="0" borderId="2" xfId="0" applyFont="1" applyBorder="1" applyAlignment="1"/>
    <xf numFmtId="0" fontId="15" fillId="3" borderId="3" xfId="3" applyFont="1" applyFill="1" applyBorder="1" applyAlignment="1">
      <alignment horizontal="center" vertical="center" wrapText="1"/>
    </xf>
    <xf numFmtId="0" fontId="15" fillId="3" borderId="4" xfId="3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/>
    <xf numFmtId="0" fontId="17" fillId="0" borderId="9" xfId="0" applyFont="1" applyBorder="1" applyAlignment="1">
      <alignment horizontal="center" vertical="center" wrapText="1"/>
    </xf>
    <xf numFmtId="0" fontId="17" fillId="7" borderId="5" xfId="0" applyFont="1" applyFill="1" applyBorder="1" applyAlignment="1">
      <alignment horizontal="center" vertical="center" wrapText="1"/>
    </xf>
    <xf numFmtId="0" fontId="14" fillId="0" borderId="6" xfId="0" applyFont="1" applyBorder="1" applyAlignment="1"/>
    <xf numFmtId="0" fontId="14" fillId="0" borderId="9" xfId="0" applyFont="1" applyBorder="1" applyAlignment="1"/>
    <xf numFmtId="0" fontId="14" fillId="0" borderId="10" xfId="0" applyFont="1" applyBorder="1" applyAlignment="1"/>
    <xf numFmtId="177" fontId="2" fillId="0" borderId="10" xfId="0" applyNumberFormat="1" applyFont="1" applyBorder="1" applyAlignment="1">
      <alignment horizontal="center" vertical="center" shrinkToFit="1"/>
    </xf>
    <xf numFmtId="0" fontId="2" fillId="0" borderId="11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0" fillId="3" borderId="14" xfId="3" applyFont="1" applyFill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10" fillId="0" borderId="14" xfId="3" applyFont="1" applyBorder="1" applyAlignment="1">
      <alignment horizontal="center" vertical="center" wrapText="1"/>
    </xf>
    <xf numFmtId="0" fontId="10" fillId="0" borderId="15" xfId="3" applyFont="1" applyBorder="1" applyAlignment="1">
      <alignment horizontal="center" vertical="center" wrapText="1"/>
    </xf>
    <xf numFmtId="0" fontId="10" fillId="0" borderId="16" xfId="3" applyFont="1" applyBorder="1" applyAlignment="1">
      <alignment horizontal="center" vertical="center" wrapText="1"/>
    </xf>
    <xf numFmtId="0" fontId="10" fillId="8" borderId="14" xfId="3" applyFont="1" applyFill="1" applyBorder="1" applyAlignment="1">
      <alignment horizontal="center" vertical="center" wrapText="1"/>
    </xf>
    <xf numFmtId="0" fontId="10" fillId="0" borderId="17" xfId="3" applyFont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38" fontId="2" fillId="0" borderId="12" xfId="0" applyNumberFormat="1" applyFont="1" applyBorder="1" applyAlignment="1">
      <alignment horizontal="center" vertical="center" wrapText="1"/>
    </xf>
    <xf numFmtId="0" fontId="2" fillId="0" borderId="0" xfId="0" applyFont="1">
      <alignment vertical="center"/>
    </xf>
    <xf numFmtId="178" fontId="4" fillId="0" borderId="21" xfId="0" applyNumberFormat="1" applyFont="1" applyBorder="1">
      <alignment vertical="center"/>
    </xf>
    <xf numFmtId="38" fontId="4" fillId="0" borderId="21" xfId="0" applyNumberFormat="1" applyFont="1" applyBorder="1" applyAlignment="1">
      <alignment vertical="center" shrinkToFit="1"/>
    </xf>
    <xf numFmtId="179" fontId="2" fillId="0" borderId="22" xfId="0" applyNumberFormat="1" applyFont="1" applyBorder="1">
      <alignment vertical="center"/>
    </xf>
    <xf numFmtId="180" fontId="2" fillId="2" borderId="22" xfId="0" applyNumberFormat="1" applyFont="1" applyFill="1" applyBorder="1">
      <alignment vertical="center"/>
    </xf>
    <xf numFmtId="38" fontId="2" fillId="9" borderId="22" xfId="0" applyNumberFormat="1" applyFont="1" applyFill="1" applyBorder="1">
      <alignment vertical="center"/>
    </xf>
    <xf numFmtId="38" fontId="9" fillId="0" borderId="23" xfId="0" applyNumberFormat="1" applyFont="1" applyBorder="1">
      <alignment vertical="center"/>
    </xf>
    <xf numFmtId="38" fontId="9" fillId="0" borderId="21" xfId="0" applyNumberFormat="1" applyFont="1" applyBorder="1">
      <alignment vertical="center"/>
    </xf>
    <xf numFmtId="38" fontId="17" fillId="2" borderId="22" xfId="0" applyNumberFormat="1" applyFont="1" applyFill="1" applyBorder="1">
      <alignment vertical="center"/>
    </xf>
    <xf numFmtId="181" fontId="2" fillId="0" borderId="24" xfId="0" applyNumberFormat="1" applyFont="1" applyBorder="1">
      <alignment vertical="center"/>
    </xf>
    <xf numFmtId="179" fontId="6" fillId="3" borderId="25" xfId="3" applyNumberFormat="1" applyFont="1" applyFill="1" applyBorder="1" applyAlignment="1">
      <alignment vertical="center"/>
    </xf>
    <xf numFmtId="180" fontId="6" fillId="10" borderId="25" xfId="4" applyNumberFormat="1" applyFont="1" applyFill="1" applyBorder="1" applyAlignment="1">
      <alignment vertical="center"/>
    </xf>
    <xf numFmtId="38" fontId="6" fillId="11" borderId="25" xfId="4" applyFont="1" applyFill="1" applyBorder="1" applyAlignment="1">
      <alignment vertical="center"/>
    </xf>
    <xf numFmtId="38" fontId="10" fillId="0" borderId="26" xfId="4" applyFont="1" applyBorder="1" applyAlignment="1">
      <alignment vertical="center"/>
    </xf>
    <xf numFmtId="38" fontId="10" fillId="0" borderId="27" xfId="4" applyFont="1" applyBorder="1" applyAlignment="1">
      <alignment vertical="center"/>
    </xf>
    <xf numFmtId="38" fontId="6" fillId="8" borderId="25" xfId="4" applyFont="1" applyFill="1" applyBorder="1" applyAlignment="1">
      <alignment vertical="center"/>
    </xf>
    <xf numFmtId="181" fontId="6" fillId="0" borderId="28" xfId="3" applyNumberFormat="1" applyFont="1" applyBorder="1" applyAlignment="1">
      <alignment vertical="center"/>
    </xf>
    <xf numFmtId="180" fontId="2" fillId="4" borderId="22" xfId="0" applyNumberFormat="1" applyFont="1" applyFill="1" applyBorder="1">
      <alignment vertical="center"/>
    </xf>
    <xf numFmtId="38" fontId="2" fillId="0" borderId="22" xfId="0" applyNumberFormat="1" applyFont="1" applyBorder="1">
      <alignment vertical="center"/>
    </xf>
    <xf numFmtId="38" fontId="17" fillId="0" borderId="22" xfId="0" applyNumberFormat="1" applyFont="1" applyBorder="1">
      <alignment vertical="center"/>
    </xf>
    <xf numFmtId="38" fontId="2" fillId="0" borderId="24" xfId="0" applyNumberFormat="1" applyFont="1" applyBorder="1">
      <alignment vertical="center"/>
    </xf>
    <xf numFmtId="180" fontId="2" fillId="0" borderId="29" xfId="0" applyNumberFormat="1" applyFont="1" applyBorder="1">
      <alignment vertical="center"/>
    </xf>
    <xf numFmtId="38" fontId="2" fillId="12" borderId="21" xfId="0" applyNumberFormat="1" applyFont="1" applyFill="1" applyBorder="1">
      <alignment vertical="center"/>
    </xf>
    <xf numFmtId="179" fontId="2" fillId="5" borderId="22" xfId="0" applyNumberFormat="1" applyFont="1" applyFill="1" applyBorder="1">
      <alignment vertical="center"/>
    </xf>
    <xf numFmtId="180" fontId="2" fillId="0" borderId="22" xfId="0" applyNumberFormat="1" applyFont="1" applyBorder="1">
      <alignment vertical="center"/>
    </xf>
    <xf numFmtId="38" fontId="2" fillId="4" borderId="22" xfId="0" applyNumberFormat="1" applyFont="1" applyFill="1" applyBorder="1">
      <alignment vertical="center"/>
    </xf>
    <xf numFmtId="40" fontId="2" fillId="0" borderId="24" xfId="0" applyNumberFormat="1" applyFont="1" applyBorder="1">
      <alignment vertical="center"/>
    </xf>
    <xf numFmtId="38" fontId="17" fillId="0" borderId="21" xfId="0" applyNumberFormat="1" applyFont="1" applyBorder="1">
      <alignment vertical="center"/>
    </xf>
    <xf numFmtId="38" fontId="9" fillId="0" borderId="22" xfId="0" applyNumberFormat="1" applyFont="1" applyBorder="1">
      <alignment vertical="center"/>
    </xf>
    <xf numFmtId="38" fontId="2" fillId="12" borderId="22" xfId="0" applyNumberFormat="1" applyFont="1" applyFill="1" applyBorder="1">
      <alignment vertical="center"/>
    </xf>
    <xf numFmtId="38" fontId="2" fillId="0" borderId="0" xfId="0" applyNumberFormat="1" applyFont="1">
      <alignment vertical="center"/>
    </xf>
    <xf numFmtId="38" fontId="7" fillId="0" borderId="0" xfId="0" applyNumberFormat="1" applyFont="1">
      <alignment vertical="center"/>
    </xf>
    <xf numFmtId="0" fontId="7" fillId="0" borderId="0" xfId="0" applyFont="1">
      <alignment vertical="center"/>
    </xf>
    <xf numFmtId="178" fontId="4" fillId="0" borderId="5" xfId="0" applyNumberFormat="1" applyFont="1" applyBorder="1">
      <alignment vertical="center"/>
    </xf>
    <xf numFmtId="38" fontId="4" fillId="0" borderId="5" xfId="0" applyNumberFormat="1" applyFont="1" applyBorder="1" applyAlignment="1">
      <alignment vertical="center" shrinkToFit="1"/>
    </xf>
    <xf numFmtId="179" fontId="6" fillId="3" borderId="25" xfId="3" applyNumberFormat="1" applyFont="1" applyFill="1" applyBorder="1"/>
    <xf numFmtId="180" fontId="6" fillId="10" borderId="25" xfId="4" applyNumberFormat="1" applyFont="1" applyFill="1" applyBorder="1"/>
    <xf numFmtId="38" fontId="6" fillId="11" borderId="25" xfId="4" applyFont="1" applyFill="1" applyBorder="1"/>
    <xf numFmtId="38" fontId="10" fillId="0" borderId="26" xfId="4" applyFont="1" applyBorder="1"/>
    <xf numFmtId="38" fontId="10" fillId="0" borderId="27" xfId="4" applyFont="1" applyBorder="1"/>
    <xf numFmtId="38" fontId="6" fillId="8" borderId="30" xfId="4" applyFont="1" applyFill="1" applyBorder="1"/>
    <xf numFmtId="181" fontId="6" fillId="0" borderId="28" xfId="3" applyNumberFormat="1" applyFont="1" applyBorder="1"/>
    <xf numFmtId="38" fontId="17" fillId="0" borderId="31" xfId="0" applyNumberFormat="1" applyFont="1" applyBorder="1">
      <alignment vertical="center"/>
    </xf>
    <xf numFmtId="38" fontId="2" fillId="4" borderId="31" xfId="0" applyNumberFormat="1" applyFont="1" applyFill="1" applyBorder="1">
      <alignment vertical="center"/>
    </xf>
    <xf numFmtId="38" fontId="2" fillId="0" borderId="31" xfId="0" applyNumberFormat="1" applyFont="1" applyBorder="1">
      <alignment vertical="center"/>
    </xf>
    <xf numFmtId="38" fontId="9" fillId="0" borderId="31" xfId="0" applyNumberFormat="1" applyFont="1" applyBorder="1">
      <alignment vertical="center"/>
    </xf>
    <xf numFmtId="38" fontId="2" fillId="12" borderId="31" xfId="0" applyNumberFormat="1" applyFont="1" applyFill="1" applyBorder="1">
      <alignment vertical="center"/>
    </xf>
    <xf numFmtId="178" fontId="19" fillId="0" borderId="5" xfId="0" applyNumberFormat="1" applyFont="1" applyBorder="1">
      <alignment vertical="center"/>
    </xf>
    <xf numFmtId="178" fontId="20" fillId="0" borderId="5" xfId="0" applyNumberFormat="1" applyFont="1" applyBorder="1">
      <alignment vertical="center"/>
    </xf>
    <xf numFmtId="38" fontId="17" fillId="13" borderId="21" xfId="0" applyNumberFormat="1" applyFont="1" applyFill="1" applyBorder="1">
      <alignment vertical="center"/>
    </xf>
    <xf numFmtId="180" fontId="2" fillId="0" borderId="32" xfId="0" applyNumberFormat="1" applyFont="1" applyBorder="1">
      <alignment vertical="center"/>
    </xf>
    <xf numFmtId="38" fontId="9" fillId="13" borderId="21" xfId="0" applyNumberFormat="1" applyFont="1" applyFill="1" applyBorder="1">
      <alignment vertical="center"/>
    </xf>
    <xf numFmtId="179" fontId="6" fillId="3" borderId="30" xfId="3" applyNumberFormat="1" applyFont="1" applyFill="1" applyBorder="1"/>
    <xf numFmtId="180" fontId="6" fillId="10" borderId="30" xfId="4" applyNumberFormat="1" applyFont="1" applyFill="1" applyBorder="1"/>
    <xf numFmtId="38" fontId="6" fillId="11" borderId="30" xfId="4" applyFont="1" applyFill="1" applyBorder="1"/>
    <xf numFmtId="179" fontId="6" fillId="3" borderId="33" xfId="3" applyNumberFormat="1" applyFont="1" applyFill="1" applyBorder="1"/>
    <xf numFmtId="180" fontId="6" fillId="10" borderId="33" xfId="4" applyNumberFormat="1" applyFont="1" applyFill="1" applyBorder="1"/>
    <xf numFmtId="38" fontId="6" fillId="11" borderId="33" xfId="4" applyFont="1" applyFill="1" applyBorder="1"/>
    <xf numFmtId="38" fontId="10" fillId="0" borderId="34" xfId="4" applyFont="1" applyBorder="1"/>
    <xf numFmtId="38" fontId="10" fillId="0" borderId="35" xfId="4" applyFont="1" applyBorder="1"/>
    <xf numFmtId="38" fontId="6" fillId="8" borderId="33" xfId="4" applyFont="1" applyFill="1" applyBorder="1"/>
    <xf numFmtId="0" fontId="9" fillId="0" borderId="0" xfId="0" applyFont="1" applyAlignment="1"/>
    <xf numFmtId="0" fontId="21" fillId="0" borderId="36" xfId="0" applyFont="1" applyBorder="1" applyAlignment="1"/>
    <xf numFmtId="38" fontId="9" fillId="0" borderId="37" xfId="0" applyNumberFormat="1" applyFont="1" applyBorder="1" applyAlignment="1">
      <alignment shrinkToFit="1"/>
    </xf>
    <xf numFmtId="179" fontId="9" fillId="0" borderId="38" xfId="0" applyNumberFormat="1" applyFont="1" applyBorder="1" applyAlignment="1"/>
    <xf numFmtId="180" fontId="9" fillId="0" borderId="37" xfId="0" applyNumberFormat="1" applyFont="1" applyBorder="1" applyAlignment="1"/>
    <xf numFmtId="38" fontId="22" fillId="0" borderId="38" xfId="0" applyNumberFormat="1" applyFont="1" applyBorder="1" applyAlignment="1"/>
    <xf numFmtId="38" fontId="9" fillId="0" borderId="38" xfId="0" applyNumberFormat="1" applyFont="1" applyBorder="1" applyAlignment="1"/>
    <xf numFmtId="38" fontId="9" fillId="0" borderId="37" xfId="0" applyNumberFormat="1" applyFont="1" applyBorder="1" applyAlignment="1"/>
    <xf numFmtId="38" fontId="9" fillId="0" borderId="36" xfId="0" applyNumberFormat="1" applyFont="1" applyBorder="1" applyAlignment="1"/>
    <xf numFmtId="38" fontId="9" fillId="7" borderId="37" xfId="0" applyNumberFormat="1" applyFont="1" applyFill="1" applyBorder="1" applyAlignment="1"/>
    <xf numFmtId="181" fontId="9" fillId="0" borderId="37" xfId="0" applyNumberFormat="1" applyFont="1" applyBorder="1" applyAlignment="1">
      <alignment shrinkToFit="1"/>
    </xf>
    <xf numFmtId="179" fontId="10" fillId="0" borderId="39" xfId="3" applyNumberFormat="1" applyFont="1" applyBorder="1"/>
    <xf numFmtId="180" fontId="10" fillId="0" borderId="40" xfId="3" applyNumberFormat="1" applyFont="1" applyBorder="1"/>
    <xf numFmtId="38" fontId="10" fillId="0" borderId="39" xfId="3" applyNumberFormat="1" applyFont="1" applyBorder="1"/>
    <xf numFmtId="38" fontId="10" fillId="0" borderId="40" xfId="3" applyNumberFormat="1" applyFont="1" applyBorder="1"/>
    <xf numFmtId="38" fontId="10" fillId="0" borderId="41" xfId="3" applyNumberFormat="1" applyFont="1" applyBorder="1"/>
    <xf numFmtId="38" fontId="15" fillId="14" borderId="40" xfId="3" applyNumberFormat="1" applyFont="1" applyFill="1" applyBorder="1"/>
    <xf numFmtId="181" fontId="10" fillId="0" borderId="42" xfId="3" applyNumberFormat="1" applyFont="1" applyBorder="1"/>
    <xf numFmtId="38" fontId="22" fillId="0" borderId="37" xfId="0" applyNumberFormat="1" applyFont="1" applyBorder="1" applyAlignment="1"/>
    <xf numFmtId="38" fontId="17" fillId="7" borderId="37" xfId="0" applyNumberFormat="1" applyFont="1" applyFill="1" applyBorder="1" applyAlignment="1"/>
    <xf numFmtId="38" fontId="23" fillId="0" borderId="38" xfId="0" applyNumberFormat="1" applyFont="1" applyBorder="1" applyAlignment="1">
      <alignment shrinkToFit="1"/>
    </xf>
    <xf numFmtId="38" fontId="23" fillId="0" borderId="37" xfId="0" applyNumberFormat="1" applyFont="1" applyBorder="1" applyAlignment="1"/>
    <xf numFmtId="38" fontId="22" fillId="7" borderId="37" xfId="0" applyNumberFormat="1" applyFont="1" applyFill="1" applyBorder="1" applyAlignment="1"/>
    <xf numFmtId="182" fontId="22" fillId="0" borderId="38" xfId="0" applyNumberFormat="1" applyFont="1" applyBorder="1" applyAlignment="1">
      <alignment shrinkToFit="1"/>
    </xf>
    <xf numFmtId="38" fontId="23" fillId="0" borderId="38" xfId="0" applyNumberFormat="1" applyFont="1" applyBorder="1" applyAlignment="1"/>
    <xf numFmtId="38" fontId="24" fillId="7" borderId="37" xfId="0" applyNumberFormat="1" applyFont="1" applyFill="1" applyBorder="1" applyAlignment="1"/>
    <xf numFmtId="182" fontId="22" fillId="0" borderId="38" xfId="0" applyNumberFormat="1" applyFont="1" applyBorder="1" applyAlignment="1"/>
    <xf numFmtId="38" fontId="9" fillId="7" borderId="31" xfId="0" applyNumberFormat="1" applyFont="1" applyFill="1" applyBorder="1" applyAlignment="1"/>
    <xf numFmtId="38" fontId="9" fillId="13" borderId="31" xfId="0" applyNumberFormat="1" applyFont="1" applyFill="1" applyBorder="1" applyAlignment="1"/>
    <xf numFmtId="0" fontId="21" fillId="0" borderId="0" xfId="0" applyFont="1" applyAlignment="1"/>
    <xf numFmtId="0" fontId="9" fillId="0" borderId="0" xfId="0" applyFont="1" applyAlignment="1">
      <alignment shrinkToFit="1"/>
    </xf>
    <xf numFmtId="0" fontId="9" fillId="0" borderId="5" xfId="0" applyFont="1" applyBorder="1" applyAlignment="1"/>
    <xf numFmtId="38" fontId="22" fillId="0" borderId="31" xfId="0" applyNumberFormat="1" applyFont="1" applyBorder="1" applyAlignment="1"/>
    <xf numFmtId="38" fontId="17" fillId="7" borderId="31" xfId="0" applyNumberFormat="1" applyFont="1" applyFill="1" applyBorder="1" applyAlignment="1"/>
    <xf numFmtId="38" fontId="9" fillId="0" borderId="31" xfId="0" applyNumberFormat="1" applyFont="1" applyBorder="1" applyAlignment="1"/>
    <xf numFmtId="181" fontId="9" fillId="0" borderId="0" xfId="0" applyNumberFormat="1" applyFont="1" applyAlignment="1">
      <alignment shrinkToFit="1"/>
    </xf>
    <xf numFmtId="179" fontId="10" fillId="0" borderId="0" xfId="3" applyNumberFormat="1" applyFont="1"/>
    <xf numFmtId="0" fontId="10" fillId="0" borderId="43" xfId="3" applyFont="1" applyBorder="1"/>
    <xf numFmtId="38" fontId="18" fillId="0" borderId="30" xfId="4" applyFont="1" applyBorder="1"/>
    <xf numFmtId="38" fontId="10" fillId="0" borderId="30" xfId="4" applyFont="1" applyBorder="1"/>
    <xf numFmtId="38" fontId="15" fillId="14" borderId="30" xfId="4" applyFont="1" applyFill="1" applyBorder="1"/>
    <xf numFmtId="181" fontId="10" fillId="0" borderId="0" xfId="3" applyNumberFormat="1" applyFont="1"/>
    <xf numFmtId="38" fontId="23" fillId="0" borderId="0" xfId="0" applyNumberFormat="1" applyFont="1" applyAlignment="1"/>
    <xf numFmtId="38" fontId="22" fillId="7" borderId="31" xfId="0" applyNumberFormat="1" applyFont="1" applyFill="1" applyBorder="1" applyAlignment="1"/>
    <xf numFmtId="179" fontId="9" fillId="0" borderId="0" xfId="0" applyNumberFormat="1" applyFont="1" applyAlignment="1"/>
    <xf numFmtId="182" fontId="9" fillId="0" borderId="0" xfId="0" applyNumberFormat="1" applyFont="1" applyAlignment="1"/>
    <xf numFmtId="38" fontId="23" fillId="0" borderId="31" xfId="0" applyNumberFormat="1" applyFont="1" applyBorder="1" applyAlignment="1"/>
    <xf numFmtId="38" fontId="9" fillId="0" borderId="0" xfId="0" applyNumberFormat="1" applyFont="1" applyAlignment="1"/>
    <xf numFmtId="0" fontId="2" fillId="0" borderId="0" xfId="0" applyFont="1" applyAlignment="1"/>
    <xf numFmtId="0" fontId="4" fillId="0" borderId="0" xfId="0" applyFont="1" applyAlignment="1"/>
    <xf numFmtId="0" fontId="2" fillId="0" borderId="0" xfId="0" applyFont="1" applyAlignment="1">
      <alignment shrinkToFit="1"/>
    </xf>
    <xf numFmtId="0" fontId="2" fillId="0" borderId="0" xfId="0" applyFont="1" applyAlignment="1">
      <alignment horizontal="right"/>
    </xf>
    <xf numFmtId="183" fontId="9" fillId="0" borderId="0" xfId="0" applyNumberFormat="1" applyFont="1" applyAlignment="1"/>
    <xf numFmtId="1" fontId="9" fillId="9" borderId="0" xfId="0" applyNumberFormat="1" applyFont="1" applyFill="1" applyAlignment="1"/>
    <xf numFmtId="183" fontId="25" fillId="0" borderId="0" xfId="0" applyNumberFormat="1" applyFont="1" applyAlignment="1"/>
    <xf numFmtId="183" fontId="9" fillId="0" borderId="0" xfId="0" applyNumberFormat="1" applyFont="1" applyAlignment="1">
      <alignment horizontal="right"/>
    </xf>
    <xf numFmtId="184" fontId="22" fillId="0" borderId="0" xfId="0" applyNumberFormat="1" applyFont="1" applyAlignment="1"/>
    <xf numFmtId="38" fontId="2" fillId="0" borderId="0" xfId="0" applyNumberFormat="1" applyFont="1" applyAlignment="1"/>
    <xf numFmtId="0" fontId="6" fillId="0" borderId="0" xfId="3" applyFont="1"/>
    <xf numFmtId="1" fontId="10" fillId="3" borderId="0" xfId="3" applyNumberFormat="1" applyFont="1" applyFill="1"/>
    <xf numFmtId="183" fontId="10" fillId="0" borderId="0" xfId="3" applyNumberFormat="1" applyFont="1"/>
    <xf numFmtId="184" fontId="22" fillId="0" borderId="0" xfId="0" applyNumberFormat="1" applyFont="1" applyAlignment="1">
      <alignment shrinkToFit="1"/>
    </xf>
    <xf numFmtId="184" fontId="10" fillId="0" borderId="0" xfId="5" applyFont="1"/>
    <xf numFmtId="183" fontId="9" fillId="15" borderId="0" xfId="0" applyNumberFormat="1" applyFont="1" applyFill="1" applyAlignment="1"/>
    <xf numFmtId="184" fontId="9" fillId="0" borderId="0" xfId="0" applyNumberFormat="1" applyFont="1" applyAlignment="1"/>
    <xf numFmtId="3" fontId="2" fillId="0" borderId="0" xfId="0" applyNumberFormat="1" applyFont="1" applyAlignment="1"/>
    <xf numFmtId="0" fontId="2" fillId="0" borderId="0" xfId="0" applyFont="1" applyAlignment="1">
      <alignment horizontal="center"/>
    </xf>
    <xf numFmtId="180" fontId="9" fillId="0" borderId="0" xfId="0" applyNumberFormat="1" applyFont="1" applyAlignment="1">
      <alignment horizontal="center"/>
    </xf>
    <xf numFmtId="0" fontId="2" fillId="0" borderId="44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7" fillId="0" borderId="45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38" fontId="9" fillId="0" borderId="0" xfId="1" applyFont="1" applyAlignment="1"/>
    <xf numFmtId="0" fontId="2" fillId="0" borderId="47" xfId="0" applyFont="1" applyBorder="1" applyAlignment="1">
      <alignment horizontal="center"/>
    </xf>
    <xf numFmtId="180" fontId="2" fillId="0" borderId="0" xfId="0" applyNumberFormat="1" applyFont="1" applyAlignment="1"/>
    <xf numFmtId="38" fontId="26" fillId="0" borderId="0" xfId="1" applyFont="1" applyBorder="1" applyAlignment="1"/>
    <xf numFmtId="38" fontId="24" fillId="0" borderId="0" xfId="1" applyFont="1" applyBorder="1" applyAlignment="1"/>
    <xf numFmtId="38" fontId="24" fillId="0" borderId="48" xfId="1" applyFont="1" applyBorder="1" applyAlignment="1"/>
    <xf numFmtId="0" fontId="2" fillId="0" borderId="49" xfId="0" applyFont="1" applyBorder="1" applyAlignment="1">
      <alignment horizontal="center"/>
    </xf>
    <xf numFmtId="180" fontId="2" fillId="0" borderId="50" xfId="0" applyNumberFormat="1" applyFont="1" applyBorder="1" applyAlignment="1"/>
    <xf numFmtId="38" fontId="2" fillId="0" borderId="50" xfId="0" applyNumberFormat="1" applyFont="1" applyBorder="1" applyAlignment="1"/>
    <xf numFmtId="38" fontId="26" fillId="0" borderId="50" xfId="1" applyFont="1" applyBorder="1" applyAlignment="1"/>
    <xf numFmtId="38" fontId="24" fillId="0" borderId="50" xfId="1" applyFont="1" applyBorder="1" applyAlignment="1"/>
    <xf numFmtId="38" fontId="24" fillId="0" borderId="51" xfId="1" applyFont="1" applyBorder="1" applyAlignment="1"/>
    <xf numFmtId="0" fontId="2" fillId="0" borderId="23" xfId="0" applyFont="1" applyBorder="1" applyAlignment="1"/>
    <xf numFmtId="0" fontId="2" fillId="0" borderId="52" xfId="0" applyFont="1" applyBorder="1" applyAlignment="1">
      <alignment horizontal="right"/>
    </xf>
    <xf numFmtId="183" fontId="9" fillId="13" borderId="0" xfId="0" applyNumberFormat="1" applyFont="1" applyFill="1" applyAlignment="1"/>
    <xf numFmtId="0" fontId="6" fillId="0" borderId="53" xfId="3" applyFont="1" applyBorder="1"/>
    <xf numFmtId="0" fontId="2" fillId="0" borderId="54" xfId="0" applyFont="1" applyBorder="1" applyAlignment="1"/>
    <xf numFmtId="185" fontId="2" fillId="0" borderId="0" xfId="0" applyNumberFormat="1" applyFont="1" applyAlignment="1"/>
    <xf numFmtId="0" fontId="2" fillId="0" borderId="54" xfId="0" applyFont="1" applyBorder="1" applyAlignment="1">
      <alignment shrinkToFi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55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4" fillId="0" borderId="57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56" xfId="0" applyFont="1" applyBorder="1" applyAlignment="1">
      <alignment horizontal="center" vertical="top" wrapText="1"/>
    </xf>
    <xf numFmtId="0" fontId="14" fillId="0" borderId="0" xfId="0" applyFont="1" applyAlignment="1"/>
    <xf numFmtId="0" fontId="27" fillId="0" borderId="58" xfId="3" applyFont="1" applyBorder="1" applyAlignment="1">
      <alignment horizontal="center" vertical="top" wrapText="1"/>
    </xf>
    <xf numFmtId="0" fontId="27" fillId="0" borderId="59" xfId="3" applyFont="1" applyBorder="1" applyAlignment="1">
      <alignment horizontal="center" vertical="top" wrapText="1"/>
    </xf>
    <xf numFmtId="0" fontId="27" fillId="0" borderId="34" xfId="3" applyFont="1" applyBorder="1" applyAlignment="1">
      <alignment horizontal="center" vertical="top" wrapText="1"/>
    </xf>
    <xf numFmtId="0" fontId="14" fillId="0" borderId="35" xfId="0" applyFont="1" applyBorder="1" applyAlignment="1"/>
    <xf numFmtId="0" fontId="4" fillId="0" borderId="52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4" xfId="0" applyFont="1" applyBorder="1" applyAlignment="1">
      <alignment horizontal="left" vertical="top" wrapText="1"/>
    </xf>
    <xf numFmtId="0" fontId="2" fillId="0" borderId="5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60" xfId="0" applyFont="1" applyBorder="1" applyAlignment="1">
      <alignment horizontal="center"/>
    </xf>
    <xf numFmtId="0" fontId="4" fillId="0" borderId="6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4" fillId="0" borderId="60" xfId="0" applyFont="1" applyBorder="1" applyAlignment="1">
      <alignment horizontal="center" vertical="top" wrapText="1"/>
    </xf>
    <xf numFmtId="0" fontId="27" fillId="0" borderId="35" xfId="3" applyFont="1" applyBorder="1" applyAlignment="1">
      <alignment horizontal="center" vertical="top" wrapText="1"/>
    </xf>
    <xf numFmtId="0" fontId="27" fillId="0" borderId="0" xfId="3" applyFont="1" applyAlignment="1">
      <alignment horizontal="center" vertical="top" wrapText="1"/>
    </xf>
    <xf numFmtId="0" fontId="27" fillId="0" borderId="53" xfId="3" applyFont="1" applyBorder="1" applyAlignment="1">
      <alignment horizontal="center" vertical="top" wrapText="1"/>
    </xf>
    <xf numFmtId="0" fontId="4" fillId="0" borderId="21" xfId="0" applyFont="1" applyBorder="1" applyAlignment="1">
      <alignment horizontal="left" vertical="top" wrapText="1"/>
    </xf>
    <xf numFmtId="0" fontId="4" fillId="0" borderId="24" xfId="0" applyFont="1" applyBorder="1" applyAlignment="1">
      <alignment horizontal="left" vertical="top" wrapText="1"/>
    </xf>
    <xf numFmtId="0" fontId="4" fillId="0" borderId="23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4" fillId="0" borderId="63" xfId="0" applyFont="1" applyBorder="1" applyAlignment="1">
      <alignment horizontal="center" vertical="top" wrapText="1"/>
    </xf>
    <xf numFmtId="0" fontId="4" fillId="0" borderId="24" xfId="0" applyFont="1" applyBorder="1" applyAlignment="1">
      <alignment horizontal="center" vertical="top" wrapText="1"/>
    </xf>
    <xf numFmtId="0" fontId="4" fillId="0" borderId="62" xfId="0" applyFont="1" applyBorder="1" applyAlignment="1">
      <alignment horizontal="center" vertical="top" wrapText="1"/>
    </xf>
    <xf numFmtId="0" fontId="27" fillId="0" borderId="27" xfId="3" applyFont="1" applyBorder="1" applyAlignment="1">
      <alignment horizontal="center" vertical="top" wrapText="1"/>
    </xf>
    <xf numFmtId="0" fontId="27" fillId="0" borderId="28" xfId="3" applyFont="1" applyBorder="1" applyAlignment="1">
      <alignment horizontal="center" vertical="top" wrapText="1"/>
    </xf>
    <xf numFmtId="0" fontId="27" fillId="0" borderId="26" xfId="3" applyFont="1" applyBorder="1" applyAlignment="1">
      <alignment horizontal="center" vertical="top" wrapText="1"/>
    </xf>
    <xf numFmtId="0" fontId="9" fillId="0" borderId="0" xfId="0" applyFont="1" applyAlignment="1">
      <alignment horizontal="center"/>
    </xf>
    <xf numFmtId="38" fontId="9" fillId="16" borderId="0" xfId="0" applyNumberFormat="1" applyFont="1" applyFill="1" applyAlignment="1">
      <alignment horizontal="right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38" fontId="9" fillId="16" borderId="0" xfId="0" applyNumberFormat="1" applyFont="1" applyFill="1" applyAlignment="1"/>
    <xf numFmtId="0" fontId="9" fillId="0" borderId="0" xfId="0" applyFont="1" applyAlignment="1">
      <alignment horizontal="center" vertical="center" shrinkToFit="1"/>
    </xf>
    <xf numFmtId="0" fontId="10" fillId="0" borderId="0" xfId="3" applyFont="1"/>
    <xf numFmtId="0" fontId="10" fillId="0" borderId="0" xfId="3" applyFont="1" applyAlignment="1">
      <alignment horizontal="center" vertical="center" shrinkToFit="1"/>
    </xf>
    <xf numFmtId="186" fontId="9" fillId="0" borderId="0" xfId="0" applyNumberFormat="1" applyFont="1" applyAlignment="1"/>
    <xf numFmtId="187" fontId="9" fillId="7" borderId="0" xfId="0" applyNumberFormat="1" applyFont="1" applyFill="1" applyAlignment="1"/>
    <xf numFmtId="187" fontId="9" fillId="6" borderId="0" xfId="0" applyNumberFormat="1" applyFont="1" applyFill="1" applyAlignment="1"/>
    <xf numFmtId="0" fontId="9" fillId="6" borderId="0" xfId="0" applyFont="1" applyFill="1" applyAlignment="1"/>
    <xf numFmtId="0" fontId="17" fillId="0" borderId="0" xfId="0" applyFont="1">
      <alignment vertical="center"/>
    </xf>
    <xf numFmtId="0" fontId="17" fillId="0" borderId="0" xfId="0" applyFont="1" applyAlignment="1">
      <alignment horizontal="right" vertical="center"/>
    </xf>
    <xf numFmtId="184" fontId="17" fillId="0" borderId="0" xfId="0" applyNumberFormat="1" applyFont="1">
      <alignment vertical="center"/>
    </xf>
    <xf numFmtId="10" fontId="17" fillId="0" borderId="0" xfId="0" applyNumberFormat="1" applyFont="1">
      <alignment vertical="center"/>
    </xf>
    <xf numFmtId="0" fontId="28" fillId="0" borderId="0" xfId="0" applyFont="1">
      <alignment vertical="center"/>
    </xf>
    <xf numFmtId="0" fontId="29" fillId="0" borderId="0" xfId="0" applyFont="1">
      <alignment vertical="center"/>
    </xf>
    <xf numFmtId="0" fontId="28" fillId="0" borderId="0" xfId="0" applyFont="1" applyAlignment="1">
      <alignment vertical="center" shrinkToFit="1"/>
    </xf>
    <xf numFmtId="0" fontId="17" fillId="0" borderId="0" xfId="0" applyFont="1" applyAlignment="1">
      <alignment horizontal="center" vertical="center"/>
    </xf>
    <xf numFmtId="184" fontId="24" fillId="0" borderId="0" xfId="0" applyNumberFormat="1" applyFont="1">
      <alignment vertical="center"/>
    </xf>
    <xf numFmtId="10" fontId="24" fillId="0" borderId="0" xfId="0" applyNumberFormat="1" applyFont="1">
      <alignment vertical="center"/>
    </xf>
    <xf numFmtId="0" fontId="15" fillId="0" borderId="0" xfId="3" applyFont="1" applyAlignment="1">
      <alignment vertical="center"/>
    </xf>
    <xf numFmtId="10" fontId="30" fillId="0" borderId="0" xfId="2" applyNumberFormat="1" applyFont="1" applyAlignment="1">
      <alignment vertical="center"/>
    </xf>
    <xf numFmtId="38" fontId="28" fillId="0" borderId="0" xfId="0" applyNumberFormat="1" applyFont="1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shrinkToFit="1"/>
    </xf>
    <xf numFmtId="0" fontId="6" fillId="0" borderId="0" xfId="3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38" fontId="2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32" fillId="0" borderId="0" xfId="3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10" fontId="2" fillId="0" borderId="0" xfId="2" applyNumberFormat="1" applyFont="1" applyAlignment="1">
      <alignment horizontal="right" vertical="center"/>
    </xf>
    <xf numFmtId="0" fontId="28" fillId="0" borderId="0" xfId="0" applyFont="1" applyAlignment="1">
      <alignment horizontal="center" vertical="center"/>
    </xf>
    <xf numFmtId="38" fontId="2" fillId="0" borderId="0" xfId="0" applyNumberFormat="1" applyFont="1" applyAlignment="1">
      <alignment horizontal="center" vertical="center"/>
    </xf>
    <xf numFmtId="38" fontId="6" fillId="0" borderId="0" xfId="1" applyFont="1" applyAlignment="1"/>
    <xf numFmtId="38" fontId="2" fillId="0" borderId="0" xfId="1" applyFont="1" applyAlignment="1"/>
    <xf numFmtId="10" fontId="2" fillId="0" borderId="0" xfId="0" applyNumberFormat="1" applyFont="1" applyAlignment="1"/>
    <xf numFmtId="0" fontId="6" fillId="0" borderId="0" xfId="3" applyFont="1" applyAlignment="1">
      <alignment horizontal="center"/>
    </xf>
    <xf numFmtId="0" fontId="7" fillId="0" borderId="0" xfId="0" applyFont="1" applyAlignment="1">
      <alignment shrinkToFit="1"/>
    </xf>
    <xf numFmtId="0" fontId="13" fillId="2" borderId="64" xfId="0" applyFont="1" applyFill="1" applyBorder="1" applyAlignment="1">
      <alignment horizontal="center" vertical="center" wrapText="1"/>
    </xf>
    <xf numFmtId="0" fontId="14" fillId="0" borderId="65" xfId="0" applyFont="1" applyBorder="1" applyAlignment="1"/>
    <xf numFmtId="0" fontId="9" fillId="4" borderId="66" xfId="0" applyFont="1" applyFill="1" applyBorder="1" applyAlignment="1">
      <alignment horizontal="center" vertical="center" wrapText="1"/>
    </xf>
    <xf numFmtId="0" fontId="9" fillId="4" borderId="65" xfId="0" applyFont="1" applyFill="1" applyBorder="1" applyAlignment="1">
      <alignment horizontal="center" vertical="center" wrapText="1"/>
    </xf>
    <xf numFmtId="0" fontId="9" fillId="4" borderId="67" xfId="0" applyFont="1" applyFill="1" applyBorder="1" applyAlignment="1">
      <alignment horizontal="center" vertical="center" wrapText="1"/>
    </xf>
    <xf numFmtId="0" fontId="9" fillId="17" borderId="66" xfId="0" applyFont="1" applyFill="1" applyBorder="1" applyAlignment="1">
      <alignment horizontal="center" vertical="center" wrapText="1"/>
    </xf>
    <xf numFmtId="0" fontId="9" fillId="17" borderId="65" xfId="0" applyFont="1" applyFill="1" applyBorder="1" applyAlignment="1">
      <alignment horizontal="center" vertical="center" wrapText="1"/>
    </xf>
    <xf numFmtId="0" fontId="9" fillId="17" borderId="68" xfId="0" applyFont="1" applyFill="1" applyBorder="1" applyAlignment="1">
      <alignment horizontal="center" vertical="center" wrapText="1"/>
    </xf>
    <xf numFmtId="0" fontId="2" fillId="0" borderId="69" xfId="0" applyFont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0" borderId="70" xfId="0" applyFont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18" borderId="20" xfId="0" applyFont="1" applyFill="1" applyBorder="1" applyAlignment="1">
      <alignment horizontal="center" vertical="center" wrapText="1"/>
    </xf>
    <xf numFmtId="0" fontId="2" fillId="0" borderId="71" xfId="0" applyFont="1" applyBorder="1" applyAlignment="1">
      <alignment horizontal="center" vertical="center" wrapText="1"/>
    </xf>
    <xf numFmtId="0" fontId="2" fillId="17" borderId="19" xfId="0" applyFont="1" applyFill="1" applyBorder="1" applyAlignment="1">
      <alignment horizontal="center" vertical="center" wrapText="1"/>
    </xf>
    <xf numFmtId="0" fontId="2" fillId="19" borderId="20" xfId="0" applyFont="1" applyFill="1" applyBorder="1" applyAlignment="1">
      <alignment horizontal="center" vertical="center" wrapText="1"/>
    </xf>
    <xf numFmtId="0" fontId="2" fillId="0" borderId="72" xfId="0" applyFont="1" applyBorder="1" applyAlignment="1">
      <alignment horizontal="center" vertical="center" wrapText="1"/>
    </xf>
    <xf numFmtId="178" fontId="20" fillId="0" borderId="21" xfId="0" applyNumberFormat="1" applyFont="1" applyBorder="1">
      <alignment vertical="center"/>
    </xf>
    <xf numFmtId="179" fontId="2" fillId="0" borderId="73" xfId="0" applyNumberFormat="1" applyFont="1" applyBorder="1">
      <alignment vertical="center"/>
    </xf>
    <xf numFmtId="180" fontId="2" fillId="4" borderId="29" xfId="0" applyNumberFormat="1" applyFont="1" applyFill="1" applyBorder="1">
      <alignment vertical="center"/>
    </xf>
    <xf numFmtId="38" fontId="17" fillId="20" borderId="22" xfId="0" applyNumberFormat="1" applyFont="1" applyFill="1" applyBorder="1">
      <alignment vertical="center"/>
    </xf>
    <xf numFmtId="38" fontId="2" fillId="0" borderId="74" xfId="0" applyNumberFormat="1" applyFont="1" applyBorder="1">
      <alignment vertical="center"/>
    </xf>
    <xf numFmtId="180" fontId="2" fillId="17" borderId="29" xfId="0" applyNumberFormat="1" applyFont="1" applyFill="1" applyBorder="1">
      <alignment vertical="center"/>
    </xf>
    <xf numFmtId="38" fontId="17" fillId="21" borderId="22" xfId="0" applyNumberFormat="1" applyFont="1" applyFill="1" applyBorder="1">
      <alignment vertical="center"/>
    </xf>
    <xf numFmtId="181" fontId="2" fillId="0" borderId="75" xfId="0" applyNumberFormat="1" applyFont="1" applyBorder="1">
      <alignment vertical="center"/>
    </xf>
    <xf numFmtId="178" fontId="2" fillId="0" borderId="5" xfId="0" applyNumberFormat="1" applyFont="1" applyBorder="1">
      <alignment vertical="center"/>
    </xf>
    <xf numFmtId="178" fontId="33" fillId="0" borderId="5" xfId="0" applyNumberFormat="1" applyFont="1" applyBorder="1">
      <alignment vertical="center"/>
    </xf>
    <xf numFmtId="178" fontId="2" fillId="0" borderId="21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38" fontId="2" fillId="9" borderId="23" xfId="0" applyNumberFormat="1" applyFont="1" applyFill="1" applyBorder="1">
      <alignment vertical="center"/>
    </xf>
    <xf numFmtId="38" fontId="9" fillId="0" borderId="24" xfId="0" applyNumberFormat="1" applyFont="1" applyBorder="1">
      <alignment vertical="center"/>
    </xf>
    <xf numFmtId="179" fontId="6" fillId="3" borderId="26" xfId="3" applyNumberFormat="1" applyFont="1" applyFill="1" applyBorder="1"/>
    <xf numFmtId="38" fontId="6" fillId="11" borderId="26" xfId="4" applyFont="1" applyFill="1" applyBorder="1"/>
    <xf numFmtId="38" fontId="6" fillId="8" borderId="25" xfId="4" applyFont="1" applyFill="1" applyBorder="1"/>
    <xf numFmtId="38" fontId="2" fillId="0" borderId="23" xfId="0" applyNumberFormat="1" applyFont="1" applyBorder="1">
      <alignment vertical="center"/>
    </xf>
    <xf numFmtId="180" fontId="2" fillId="0" borderId="23" xfId="0" applyNumberFormat="1" applyFont="1" applyBorder="1">
      <alignment vertical="center"/>
    </xf>
    <xf numFmtId="179" fontId="2" fillId="5" borderId="23" xfId="0" applyNumberFormat="1" applyFont="1" applyFill="1" applyBorder="1">
      <alignment vertical="center"/>
    </xf>
    <xf numFmtId="179" fontId="9" fillId="0" borderId="76" xfId="0" applyNumberFormat="1" applyFont="1" applyBorder="1" applyAlignment="1"/>
    <xf numFmtId="181" fontId="9" fillId="0" borderId="36" xfId="0" applyNumberFormat="1" applyFont="1" applyBorder="1" applyAlignment="1">
      <alignment shrinkToFit="1"/>
    </xf>
    <xf numFmtId="180" fontId="9" fillId="0" borderId="77" xfId="0" applyNumberFormat="1" applyFont="1" applyBorder="1" applyAlignment="1"/>
    <xf numFmtId="38" fontId="23" fillId="0" borderId="78" xfId="0" applyNumberFormat="1" applyFont="1" applyBorder="1" applyAlignment="1">
      <alignment shrinkToFit="1"/>
    </xf>
    <xf numFmtId="38" fontId="22" fillId="0" borderId="79" xfId="0" applyNumberFormat="1" applyFont="1" applyBorder="1" applyAlignment="1"/>
    <xf numFmtId="0" fontId="9" fillId="0" borderId="80" xfId="0" applyFont="1" applyBorder="1" applyAlignment="1"/>
    <xf numFmtId="0" fontId="9" fillId="0" borderId="81" xfId="0" applyFont="1" applyBorder="1" applyAlignment="1"/>
    <xf numFmtId="38" fontId="22" fillId="0" borderId="82" xfId="0" applyNumberFormat="1" applyFont="1" applyBorder="1" applyAlignment="1"/>
    <xf numFmtId="38" fontId="17" fillId="7" borderId="82" xfId="0" applyNumberFormat="1" applyFont="1" applyFill="1" applyBorder="1" applyAlignment="1"/>
    <xf numFmtId="38" fontId="9" fillId="0" borderId="82" xfId="0" applyNumberFormat="1" applyFont="1" applyBorder="1" applyAlignment="1"/>
    <xf numFmtId="38" fontId="9" fillId="7" borderId="82" xfId="0" applyNumberFormat="1" applyFont="1" applyFill="1" applyBorder="1" applyAlignment="1"/>
    <xf numFmtId="181" fontId="9" fillId="0" borderId="83" xfId="0" applyNumberFormat="1" applyFont="1" applyBorder="1" applyAlignment="1">
      <alignment shrinkToFit="1"/>
    </xf>
    <xf numFmtId="0" fontId="9" fillId="0" borderId="84" xfId="0" applyFont="1" applyBorder="1" applyAlignment="1"/>
    <xf numFmtId="38" fontId="23" fillId="0" borderId="85" xfId="0" applyNumberFormat="1" applyFont="1" applyBorder="1" applyAlignment="1"/>
    <xf numFmtId="181" fontId="9" fillId="0" borderId="86" xfId="0" applyNumberFormat="1" applyFont="1" applyBorder="1" applyAlignment="1">
      <alignment shrinkToFit="1"/>
    </xf>
    <xf numFmtId="0" fontId="14" fillId="0" borderId="55" xfId="0" applyFont="1" applyBorder="1" applyAlignment="1"/>
    <xf numFmtId="0" fontId="14" fillId="0" borderId="52" xfId="0" applyFont="1" applyBorder="1" applyAlignment="1"/>
    <xf numFmtId="0" fontId="7" fillId="0" borderId="0" xfId="0" applyFont="1" applyAlignment="1"/>
    <xf numFmtId="0" fontId="14" fillId="0" borderId="54" xfId="0" applyFont="1" applyBorder="1" applyAlignment="1"/>
    <xf numFmtId="0" fontId="2" fillId="0" borderId="87" xfId="0" applyFont="1" applyBorder="1" applyAlignment="1">
      <alignment horizontal="center"/>
    </xf>
    <xf numFmtId="0" fontId="4" fillId="0" borderId="88" xfId="0" applyFont="1" applyBorder="1" applyAlignment="1">
      <alignment horizontal="center" vertical="top" wrapText="1"/>
    </xf>
    <xf numFmtId="0" fontId="4" fillId="0" borderId="87" xfId="0" applyFont="1" applyBorder="1" applyAlignment="1">
      <alignment horizontal="center" vertical="top" wrapText="1"/>
    </xf>
    <xf numFmtId="0" fontId="14" fillId="0" borderId="21" xfId="0" applyFont="1" applyBorder="1" applyAlignment="1"/>
    <xf numFmtId="0" fontId="14" fillId="0" borderId="24" xfId="0" applyFont="1" applyBorder="1" applyAlignment="1"/>
    <xf numFmtId="0" fontId="14" fillId="0" borderId="23" xfId="0" applyFont="1" applyBorder="1" applyAlignment="1"/>
  </cellXfs>
  <cellStyles count="6">
    <cellStyle name="Excel Built-in Comma [0]" xfId="4" xr:uid="{375CD470-55DD-FC49-9A6E-388E27A4BDF8}"/>
    <cellStyle name="Excel Built-in Currency [0]" xfId="5" xr:uid="{57B2CFD1-FF4A-0745-8EA3-BB13307B8C36}"/>
    <cellStyle name="Excel Built-in Normal 1" xfId="3" xr:uid="{791F63B1-71DD-9E4A-A494-49BC63E752A3}"/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B1F11-C342-884A-886F-08CC780159BB}">
  <dimension ref="A1:BH1000"/>
  <sheetViews>
    <sheetView workbookViewId="0">
      <selection sqref="A1:XFD1048576"/>
    </sheetView>
  </sheetViews>
  <sheetFormatPr baseColWidth="10" defaultColWidth="12.28515625" defaultRowHeight="17"/>
  <cols>
    <col min="1" max="2" width="11.140625" style="7" customWidth="1"/>
    <col min="3" max="3" width="15.85546875" style="285" customWidth="1"/>
    <col min="4" max="4" width="4.140625" style="7" customWidth="1"/>
    <col min="5" max="6" width="7.5703125" style="7" customWidth="1"/>
    <col min="7" max="7" width="11.5703125" style="7" customWidth="1"/>
    <col min="8" max="8" width="7.5703125" style="7" customWidth="1"/>
    <col min="9" max="9" width="8.140625" style="7" customWidth="1"/>
    <col min="10" max="10" width="9.85546875" style="7" customWidth="1"/>
    <col min="11" max="11" width="7.5703125" style="7" customWidth="1"/>
    <col min="12" max="12" width="4.5703125" style="7" customWidth="1"/>
    <col min="13" max="13" width="7.7109375" style="172" customWidth="1"/>
    <col min="14" max="14" width="8.5703125" style="172" customWidth="1"/>
    <col min="15" max="18" width="7.5703125" style="172" customWidth="1"/>
    <col min="19" max="19" width="9.85546875" style="172" customWidth="1"/>
    <col min="20" max="20" width="8.42578125" style="7" customWidth="1"/>
    <col min="21" max="21" width="7.5703125" style="7" customWidth="1"/>
    <col min="22" max="22" width="9.42578125" style="7" bestFit="1" customWidth="1"/>
    <col min="23" max="23" width="11.5703125" style="7" customWidth="1"/>
    <col min="24" max="24" width="9" style="7" bestFit="1" customWidth="1"/>
    <col min="25" max="25" width="11.42578125" style="7" customWidth="1"/>
    <col min="26" max="26" width="12.28515625" style="7"/>
    <col min="27" max="27" width="7.5703125" style="7" customWidth="1"/>
    <col min="28" max="28" width="7.7109375" style="7" bestFit="1" customWidth="1"/>
    <col min="29" max="29" width="9.42578125" style="7" bestFit="1" customWidth="1"/>
    <col min="30" max="30" width="7.5703125" style="7" customWidth="1"/>
    <col min="31" max="31" width="8.42578125" style="7" customWidth="1"/>
    <col min="32" max="32" width="6.42578125" style="172" customWidth="1"/>
    <col min="33" max="33" width="7.140625" style="7" customWidth="1"/>
    <col min="34" max="36" width="7.5703125" style="7" customWidth="1"/>
    <col min="37" max="37" width="9.42578125" style="7" bestFit="1" customWidth="1"/>
    <col min="38" max="38" width="10.5703125" style="7" bestFit="1" customWidth="1"/>
    <col min="39" max="39" width="11.5703125" style="7" bestFit="1" customWidth="1"/>
    <col min="40" max="40" width="11.140625" style="7" bestFit="1" customWidth="1"/>
    <col min="41" max="42" width="7.5703125" style="7" customWidth="1"/>
    <col min="43" max="43" width="10.140625" style="7" customWidth="1"/>
    <col min="44" max="44" width="13.5703125" style="7" customWidth="1"/>
    <col min="45" max="56" width="11.140625" style="7" customWidth="1"/>
    <col min="57" max="16384" width="12.28515625" style="7"/>
  </cols>
  <sheetData>
    <row r="1" spans="1:55" ht="13.5" customHeight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5"/>
      <c r="N1" s="5"/>
      <c r="O1" s="5"/>
      <c r="P1" s="5"/>
      <c r="Q1" s="5"/>
      <c r="R1" s="5"/>
      <c r="S1" s="5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5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6"/>
      <c r="BB1" s="4"/>
      <c r="BC1" s="6"/>
    </row>
    <row r="2" spans="1:55" ht="13.5" customHeight="1">
      <c r="A2" s="8">
        <v>2025</v>
      </c>
      <c r="B2" s="9">
        <v>5</v>
      </c>
      <c r="C2" s="10"/>
      <c r="D2" s="11"/>
      <c r="E2" s="11"/>
      <c r="F2" s="11"/>
      <c r="G2" s="11"/>
      <c r="H2" s="11"/>
      <c r="I2" s="11"/>
      <c r="J2" s="11"/>
      <c r="K2" s="11"/>
      <c r="L2" s="4"/>
      <c r="M2" s="12"/>
      <c r="N2" s="12"/>
      <c r="O2" s="12"/>
      <c r="P2" s="12"/>
      <c r="Q2" s="12"/>
      <c r="R2" s="12"/>
      <c r="S2" s="5"/>
      <c r="T2" s="11"/>
      <c r="U2" s="11"/>
      <c r="V2" s="11"/>
      <c r="W2" s="11"/>
      <c r="X2" s="11"/>
      <c r="Y2" s="11"/>
      <c r="Z2" s="4"/>
      <c r="AA2" s="4"/>
      <c r="AB2" s="4"/>
      <c r="AC2" s="4"/>
      <c r="AD2" s="4"/>
      <c r="AE2" s="4"/>
      <c r="AF2" s="5"/>
      <c r="AG2" s="11"/>
      <c r="AH2" s="11"/>
      <c r="AI2" s="11"/>
      <c r="AJ2" s="11"/>
      <c r="AK2" s="11"/>
      <c r="AL2" s="11"/>
      <c r="AM2" s="4"/>
      <c r="AN2" s="4"/>
      <c r="AO2" s="4"/>
      <c r="AP2" s="4"/>
      <c r="AQ2" s="4"/>
      <c r="AR2" s="4"/>
      <c r="AS2" s="4" t="s">
        <v>1</v>
      </c>
      <c r="AT2" s="4"/>
      <c r="AU2" s="4"/>
      <c r="AV2" s="4"/>
      <c r="AW2" s="4"/>
      <c r="AX2" s="4"/>
      <c r="AY2" s="4"/>
      <c r="AZ2" s="4"/>
      <c r="BA2" s="6"/>
      <c r="BB2" s="4"/>
      <c r="BC2" s="6"/>
    </row>
    <row r="3" spans="1:55" ht="33" customHeight="1">
      <c r="A3" s="13"/>
      <c r="B3" s="14" t="s">
        <v>2</v>
      </c>
      <c r="C3" s="15"/>
      <c r="D3" s="16" t="s">
        <v>3</v>
      </c>
      <c r="E3" s="17"/>
      <c r="F3" s="17"/>
      <c r="G3" s="17"/>
      <c r="H3" s="17"/>
      <c r="I3" s="17"/>
      <c r="J3" s="17"/>
      <c r="K3" s="17"/>
      <c r="L3" s="18" t="s">
        <v>4</v>
      </c>
      <c r="M3" s="18"/>
      <c r="N3" s="18"/>
      <c r="O3" s="18"/>
      <c r="P3" s="18"/>
      <c r="Q3" s="18"/>
      <c r="R3" s="18"/>
      <c r="S3" s="19"/>
      <c r="T3" s="20" t="s">
        <v>5</v>
      </c>
      <c r="U3" s="21"/>
      <c r="V3" s="21"/>
      <c r="W3" s="21"/>
      <c r="X3" s="21"/>
      <c r="Y3" s="21"/>
      <c r="Z3" s="21"/>
      <c r="AA3" s="22" t="s">
        <v>6</v>
      </c>
      <c r="AB3" s="23"/>
      <c r="AC3" s="23"/>
      <c r="AD3" s="23"/>
      <c r="AE3" s="24"/>
      <c r="AF3" s="25" t="s">
        <v>7</v>
      </c>
      <c r="AG3" s="26"/>
      <c r="AH3" s="26"/>
      <c r="AI3" s="26"/>
      <c r="AJ3" s="26"/>
      <c r="AK3" s="26"/>
      <c r="AL3" s="26"/>
      <c r="AM3" s="26"/>
      <c r="AN3" s="22" t="s">
        <v>8</v>
      </c>
      <c r="AO3" s="23"/>
      <c r="AP3" s="23"/>
      <c r="AQ3" s="23"/>
      <c r="AR3" s="27"/>
      <c r="AS3" s="28" t="s">
        <v>9</v>
      </c>
      <c r="AT3" s="29"/>
      <c r="AU3" s="29"/>
      <c r="AV3" s="29"/>
      <c r="AW3" s="29"/>
      <c r="AX3" s="29"/>
      <c r="AY3" s="29"/>
      <c r="AZ3" s="30"/>
      <c r="BA3" s="4"/>
      <c r="BB3" s="6"/>
    </row>
    <row r="4" spans="1:55" ht="53.25" customHeight="1" thickBot="1">
      <c r="A4" s="13"/>
      <c r="B4" s="31"/>
      <c r="C4" s="32"/>
      <c r="D4" s="33" t="s">
        <v>10</v>
      </c>
      <c r="E4" s="34" t="s">
        <v>11</v>
      </c>
      <c r="F4" s="35" t="s">
        <v>12</v>
      </c>
      <c r="G4" s="33" t="s">
        <v>13</v>
      </c>
      <c r="H4" s="35" t="s">
        <v>14</v>
      </c>
      <c r="I4" s="36" t="s">
        <v>15</v>
      </c>
      <c r="J4" s="34" t="s">
        <v>16</v>
      </c>
      <c r="K4" s="35" t="s">
        <v>17</v>
      </c>
      <c r="L4" s="37" t="s">
        <v>18</v>
      </c>
      <c r="M4" s="38" t="s">
        <v>11</v>
      </c>
      <c r="N4" s="39" t="s">
        <v>19</v>
      </c>
      <c r="O4" s="40" t="s">
        <v>20</v>
      </c>
      <c r="P4" s="39" t="s">
        <v>21</v>
      </c>
      <c r="Q4" s="41" t="s">
        <v>22</v>
      </c>
      <c r="R4" s="42" t="s">
        <v>23</v>
      </c>
      <c r="S4" s="43" t="s">
        <v>17</v>
      </c>
      <c r="T4" s="44" t="s">
        <v>11</v>
      </c>
      <c r="U4" s="35" t="s">
        <v>12</v>
      </c>
      <c r="V4" s="33" t="s">
        <v>13</v>
      </c>
      <c r="W4" s="35" t="s">
        <v>14</v>
      </c>
      <c r="X4" s="36" t="s">
        <v>15</v>
      </c>
      <c r="Y4" s="34" t="s">
        <v>16</v>
      </c>
      <c r="Z4" s="45" t="s">
        <v>17</v>
      </c>
      <c r="AA4" s="46" t="s">
        <v>24</v>
      </c>
      <c r="AB4" s="47" t="s">
        <v>19</v>
      </c>
      <c r="AC4" s="47" t="s">
        <v>21</v>
      </c>
      <c r="AD4" s="48" t="s">
        <v>25</v>
      </c>
      <c r="AE4" s="43" t="s">
        <v>17</v>
      </c>
      <c r="AF4" s="49" t="s">
        <v>18</v>
      </c>
      <c r="AG4" s="50" t="s">
        <v>11</v>
      </c>
      <c r="AH4" s="35" t="s">
        <v>19</v>
      </c>
      <c r="AI4" s="33" t="s">
        <v>20</v>
      </c>
      <c r="AJ4" s="35" t="s">
        <v>21</v>
      </c>
      <c r="AK4" s="36" t="s">
        <v>22</v>
      </c>
      <c r="AL4" s="44" t="s">
        <v>23</v>
      </c>
      <c r="AM4" s="51" t="s">
        <v>17</v>
      </c>
      <c r="AN4" s="46" t="s">
        <v>24</v>
      </c>
      <c r="AO4" s="47" t="s">
        <v>19</v>
      </c>
      <c r="AP4" s="47" t="s">
        <v>21</v>
      </c>
      <c r="AQ4" s="48" t="s">
        <v>25</v>
      </c>
      <c r="AR4" s="47" t="s">
        <v>26</v>
      </c>
      <c r="AS4" s="35" t="s">
        <v>27</v>
      </c>
      <c r="AT4" s="35" t="s">
        <v>28</v>
      </c>
      <c r="AU4" s="35" t="s">
        <v>29</v>
      </c>
      <c r="AV4" s="35" t="s">
        <v>30</v>
      </c>
      <c r="AW4" s="35" t="s">
        <v>31</v>
      </c>
      <c r="AX4" s="35" t="s">
        <v>32</v>
      </c>
      <c r="AY4" s="35" t="s">
        <v>33</v>
      </c>
      <c r="AZ4" s="52" t="s">
        <v>34</v>
      </c>
      <c r="BA4" s="4"/>
      <c r="BB4" s="6"/>
    </row>
    <row r="5" spans="1:55" s="85" customFormat="1" ht="13.5" customHeight="1" thickTop="1">
      <c r="A5" s="53"/>
      <c r="B5" s="54">
        <f>DATE($A$2,$B$2,1)</f>
        <v>45778</v>
      </c>
      <c r="C5" s="55"/>
      <c r="D5" s="56"/>
      <c r="E5" s="57"/>
      <c r="F5" s="58"/>
      <c r="G5" s="59" t="e">
        <f t="shared" ref="G5:G35" si="0">ROUNDDOWN(F5/1.1,0)/E5</f>
        <v>#DIV/0!</v>
      </c>
      <c r="H5" s="58"/>
      <c r="I5" s="60" t="e">
        <f t="shared" ref="I5:I35" si="1">ROUNDDOWN(H5/1.1,0)/E5</f>
        <v>#DIV/0!</v>
      </c>
      <c r="J5" s="61">
        <f t="shared" ref="J5:J35" si="2">F5+H5</f>
        <v>0</v>
      </c>
      <c r="K5" s="62" t="str">
        <f t="shared" ref="K5:K35" si="3">IF(E5="","",J5/E5)</f>
        <v/>
      </c>
      <c r="L5" s="63"/>
      <c r="M5" s="64"/>
      <c r="N5" s="65"/>
      <c r="O5" s="66" t="e">
        <f t="shared" ref="O5:O36" si="4">N5/M5</f>
        <v>#DIV/0!</v>
      </c>
      <c r="P5" s="65"/>
      <c r="Q5" s="67" t="e">
        <f t="shared" ref="Q5:Q36" si="5">P5/M5</f>
        <v>#DIV/0!</v>
      </c>
      <c r="R5" s="68">
        <f t="shared" ref="R5" si="6">N5+P5</f>
        <v>0</v>
      </c>
      <c r="S5" s="69" t="str">
        <f t="shared" ref="S5:S35" si="7">IF(M5="","",R5/M5)</f>
        <v/>
      </c>
      <c r="T5" s="70">
        <f t="shared" ref="T5:U35" si="8">AS5-E5</f>
        <v>0</v>
      </c>
      <c r="U5" s="71">
        <f>(AT5+N5)-F5</f>
        <v>0</v>
      </c>
      <c r="V5" s="59" t="e">
        <f t="shared" ref="V5:V35" si="9">ROUNDDOWN(U5/1.1,0)/T5</f>
        <v>#DIV/0!</v>
      </c>
      <c r="W5" s="71">
        <f t="shared" ref="W5:W35" si="10">AU5-H5</f>
        <v>0</v>
      </c>
      <c r="X5" s="60" t="e">
        <f t="shared" ref="X5:X35" si="11">ROUNDDOWN(W5/1.1,0)/T5</f>
        <v>#DIV/0!</v>
      </c>
      <c r="Y5" s="72">
        <f>U5+W5</f>
        <v>0</v>
      </c>
      <c r="Z5" s="73" t="e">
        <f t="shared" ref="Z5:Z35" si="12">IF(T5="","",Y5/T5)</f>
        <v>#DIV/0!</v>
      </c>
      <c r="AA5" s="74">
        <f t="shared" ref="AA5:AB35" si="13">E5+T5</f>
        <v>0</v>
      </c>
      <c r="AB5" s="71">
        <f t="shared" si="13"/>
        <v>0</v>
      </c>
      <c r="AC5" s="71">
        <f t="shared" ref="AC5:AC35" si="14">H5+W5</f>
        <v>0</v>
      </c>
      <c r="AD5" s="75">
        <f t="shared" ref="AD5:AD35" si="15">J5+Y5</f>
        <v>0</v>
      </c>
      <c r="AE5" s="71" t="e">
        <f t="shared" ref="AE5:AE35" si="16">IF(AA5="","",AD5/AA5)</f>
        <v>#DIV/0!</v>
      </c>
      <c r="AF5" s="76"/>
      <c r="AG5" s="77"/>
      <c r="AH5" s="58"/>
      <c r="AI5" s="59" t="e">
        <f t="shared" ref="AI5:AI35" si="17">AH5/AG5</f>
        <v>#DIV/0!</v>
      </c>
      <c r="AJ5" s="58"/>
      <c r="AK5" s="60" t="e">
        <f t="shared" ref="AK5:AK35" si="18">AJ5/AG5</f>
        <v>#DIV/0!</v>
      </c>
      <c r="AL5" s="78">
        <f>AH5+AJ5</f>
        <v>0</v>
      </c>
      <c r="AM5" s="79" t="str">
        <f t="shared" ref="AM5:AM35" si="19">IF(AG5="","",AL5/AG5)</f>
        <v/>
      </c>
      <c r="AN5" s="74">
        <f>SUM(E5,T5,M5)</f>
        <v>0</v>
      </c>
      <c r="AO5" s="71">
        <f t="shared" ref="AO5:AO35" si="20">AB5+AH5</f>
        <v>0</v>
      </c>
      <c r="AP5" s="71">
        <f t="shared" ref="AP5:AP35" si="21">AC5+AJ5</f>
        <v>0</v>
      </c>
      <c r="AQ5" s="80">
        <f t="shared" ref="AQ5:AQ35" si="22">AD5+AL5</f>
        <v>0</v>
      </c>
      <c r="AR5" s="71">
        <f>AV5+AW5+AX5</f>
        <v>0</v>
      </c>
      <c r="AS5" s="71"/>
      <c r="AT5" s="71"/>
      <c r="AU5" s="71"/>
      <c r="AV5" s="81"/>
      <c r="AW5" s="81"/>
      <c r="AX5" s="81"/>
      <c r="AY5" s="81"/>
      <c r="AZ5" s="82">
        <f>SUM(AT5:AX5)</f>
        <v>0</v>
      </c>
      <c r="BA5" s="53">
        <v>1</v>
      </c>
      <c r="BB5" s="83">
        <f>AY5+AZ5</f>
        <v>0</v>
      </c>
      <c r="BC5" s="84">
        <f t="shared" ref="BC5:BC35" si="23">AZ5+AL5</f>
        <v>0</v>
      </c>
    </row>
    <row r="6" spans="1:55" ht="13.5" customHeight="1">
      <c r="A6" s="53"/>
      <c r="B6" s="86">
        <f t="shared" ref="B6:B35" si="24">B5+1</f>
        <v>45779</v>
      </c>
      <c r="C6" s="87"/>
      <c r="D6" s="56"/>
      <c r="E6" s="57"/>
      <c r="F6" s="58"/>
      <c r="G6" s="59" t="e">
        <f t="shared" si="0"/>
        <v>#DIV/0!</v>
      </c>
      <c r="H6" s="58"/>
      <c r="I6" s="60" t="e">
        <f t="shared" si="1"/>
        <v>#DIV/0!</v>
      </c>
      <c r="J6" s="61">
        <f t="shared" si="2"/>
        <v>0</v>
      </c>
      <c r="K6" s="62" t="str">
        <f t="shared" si="3"/>
        <v/>
      </c>
      <c r="L6" s="88"/>
      <c r="M6" s="89"/>
      <c r="N6" s="90"/>
      <c r="O6" s="91" t="e">
        <f t="shared" si="4"/>
        <v>#DIV/0!</v>
      </c>
      <c r="P6" s="90"/>
      <c r="Q6" s="92" t="e">
        <f t="shared" si="5"/>
        <v>#DIV/0!</v>
      </c>
      <c r="R6" s="93">
        <f>N6+P6</f>
        <v>0</v>
      </c>
      <c r="S6" s="94" t="str">
        <f t="shared" si="7"/>
        <v/>
      </c>
      <c r="T6" s="70">
        <f t="shared" si="8"/>
        <v>0</v>
      </c>
      <c r="U6" s="71">
        <f t="shared" si="8"/>
        <v>0</v>
      </c>
      <c r="V6" s="59" t="e">
        <f t="shared" si="9"/>
        <v>#DIV/0!</v>
      </c>
      <c r="W6" s="71">
        <f t="shared" si="10"/>
        <v>0</v>
      </c>
      <c r="X6" s="60" t="e">
        <f t="shared" si="11"/>
        <v>#DIV/0!</v>
      </c>
      <c r="Y6" s="95">
        <f t="shared" ref="Y6:Y35" si="25">U6+W6</f>
        <v>0</v>
      </c>
      <c r="Z6" s="73" t="e">
        <f t="shared" si="12"/>
        <v>#DIV/0!</v>
      </c>
      <c r="AA6" s="74">
        <f t="shared" si="13"/>
        <v>0</v>
      </c>
      <c r="AB6" s="71">
        <f t="shared" si="13"/>
        <v>0</v>
      </c>
      <c r="AC6" s="71">
        <f t="shared" si="14"/>
        <v>0</v>
      </c>
      <c r="AD6" s="75">
        <f t="shared" si="15"/>
        <v>0</v>
      </c>
      <c r="AE6" s="71" t="e">
        <f t="shared" si="16"/>
        <v>#DIV/0!</v>
      </c>
      <c r="AF6" s="76"/>
      <c r="AG6" s="77"/>
      <c r="AH6" s="58"/>
      <c r="AI6" s="59" t="e">
        <f t="shared" si="17"/>
        <v>#DIV/0!</v>
      </c>
      <c r="AJ6" s="58"/>
      <c r="AK6" s="60" t="e">
        <f t="shared" si="18"/>
        <v>#DIV/0!</v>
      </c>
      <c r="AL6" s="96">
        <f t="shared" ref="AL6:AL35" si="26">AH6+AJ6</f>
        <v>0</v>
      </c>
      <c r="AM6" s="79" t="str">
        <f t="shared" si="19"/>
        <v/>
      </c>
      <c r="AN6" s="74">
        <f t="shared" ref="AN6:AN35" si="27">SUM(E6,T6)</f>
        <v>0</v>
      </c>
      <c r="AO6" s="71">
        <f t="shared" si="20"/>
        <v>0</v>
      </c>
      <c r="AP6" s="71">
        <f t="shared" si="21"/>
        <v>0</v>
      </c>
      <c r="AQ6" s="80">
        <f t="shared" si="22"/>
        <v>0</v>
      </c>
      <c r="AR6" s="71">
        <f>AV6+AW6+AX6</f>
        <v>0</v>
      </c>
      <c r="AS6" s="97"/>
      <c r="AT6" s="97"/>
      <c r="AU6" s="97"/>
      <c r="AV6" s="98"/>
      <c r="AW6" s="98"/>
      <c r="AX6" s="98"/>
      <c r="AY6" s="98"/>
      <c r="AZ6" s="99">
        <f t="shared" ref="AZ6:AZ35" si="28">SUM(AT6:AX6)</f>
        <v>0</v>
      </c>
      <c r="BA6" s="53">
        <v>2</v>
      </c>
      <c r="BB6" s="83">
        <f t="shared" ref="BB6:BB35" si="29">AY6+AZ6</f>
        <v>0</v>
      </c>
      <c r="BC6" s="84">
        <f t="shared" si="23"/>
        <v>0</v>
      </c>
    </row>
    <row r="7" spans="1:55" ht="13.5" customHeight="1">
      <c r="A7" s="53"/>
      <c r="B7" s="100">
        <f t="shared" si="24"/>
        <v>45780</v>
      </c>
      <c r="C7" s="87"/>
      <c r="D7" s="56"/>
      <c r="E7" s="57"/>
      <c r="F7" s="58"/>
      <c r="G7" s="59" t="e">
        <f t="shared" si="0"/>
        <v>#DIV/0!</v>
      </c>
      <c r="H7" s="58"/>
      <c r="I7" s="60" t="e">
        <f t="shared" si="1"/>
        <v>#DIV/0!</v>
      </c>
      <c r="J7" s="61">
        <f t="shared" si="2"/>
        <v>0</v>
      </c>
      <c r="K7" s="62" t="str">
        <f t="shared" si="3"/>
        <v/>
      </c>
      <c r="L7" s="88"/>
      <c r="M7" s="89"/>
      <c r="N7" s="90"/>
      <c r="O7" s="91" t="e">
        <f t="shared" si="4"/>
        <v>#DIV/0!</v>
      </c>
      <c r="P7" s="90"/>
      <c r="Q7" s="92" t="e">
        <f t="shared" si="5"/>
        <v>#DIV/0!</v>
      </c>
      <c r="R7" s="93">
        <f t="shared" ref="R7:R35" si="30">N7+P7</f>
        <v>0</v>
      </c>
      <c r="S7" s="94" t="str">
        <f t="shared" si="7"/>
        <v/>
      </c>
      <c r="T7" s="70">
        <f t="shared" si="8"/>
        <v>0</v>
      </c>
      <c r="U7" s="71">
        <f t="shared" si="8"/>
        <v>0</v>
      </c>
      <c r="V7" s="59" t="e">
        <f t="shared" si="9"/>
        <v>#DIV/0!</v>
      </c>
      <c r="W7" s="71">
        <f t="shared" si="10"/>
        <v>0</v>
      </c>
      <c r="X7" s="60" t="e">
        <f t="shared" si="11"/>
        <v>#DIV/0!</v>
      </c>
      <c r="Y7" s="95">
        <f t="shared" si="25"/>
        <v>0</v>
      </c>
      <c r="Z7" s="73" t="e">
        <f t="shared" si="12"/>
        <v>#DIV/0!</v>
      </c>
      <c r="AA7" s="74">
        <f t="shared" si="13"/>
        <v>0</v>
      </c>
      <c r="AB7" s="71">
        <f t="shared" si="13"/>
        <v>0</v>
      </c>
      <c r="AC7" s="71">
        <f t="shared" si="14"/>
        <v>0</v>
      </c>
      <c r="AD7" s="75">
        <f t="shared" si="15"/>
        <v>0</v>
      </c>
      <c r="AE7" s="71" t="e">
        <f t="shared" si="16"/>
        <v>#DIV/0!</v>
      </c>
      <c r="AF7" s="76"/>
      <c r="AG7" s="77"/>
      <c r="AH7" s="58"/>
      <c r="AI7" s="59" t="e">
        <f t="shared" si="17"/>
        <v>#DIV/0!</v>
      </c>
      <c r="AJ7" s="58"/>
      <c r="AK7" s="60" t="e">
        <f t="shared" si="18"/>
        <v>#DIV/0!</v>
      </c>
      <c r="AL7" s="96">
        <f t="shared" si="26"/>
        <v>0</v>
      </c>
      <c r="AM7" s="79" t="str">
        <f t="shared" si="19"/>
        <v/>
      </c>
      <c r="AN7" s="74">
        <f t="shared" si="27"/>
        <v>0</v>
      </c>
      <c r="AO7" s="71">
        <f t="shared" si="20"/>
        <v>0</v>
      </c>
      <c r="AP7" s="71">
        <f t="shared" si="21"/>
        <v>0</v>
      </c>
      <c r="AQ7" s="80">
        <f t="shared" si="22"/>
        <v>0</v>
      </c>
      <c r="AR7" s="71">
        <f t="shared" ref="AR7:AR35" si="31">AV7+AW7+AX7</f>
        <v>0</v>
      </c>
      <c r="AS7" s="97"/>
      <c r="AT7" s="97"/>
      <c r="AU7" s="97"/>
      <c r="AV7" s="98"/>
      <c r="AW7" s="98"/>
      <c r="AX7" s="98"/>
      <c r="AY7" s="98"/>
      <c r="AZ7" s="99">
        <f t="shared" si="28"/>
        <v>0</v>
      </c>
      <c r="BA7" s="53">
        <v>3</v>
      </c>
      <c r="BB7" s="83">
        <f t="shared" si="29"/>
        <v>0</v>
      </c>
      <c r="BC7" s="84">
        <f t="shared" si="23"/>
        <v>0</v>
      </c>
    </row>
    <row r="8" spans="1:55" ht="13.5" customHeight="1">
      <c r="A8" s="53"/>
      <c r="B8" s="101">
        <f t="shared" si="24"/>
        <v>45781</v>
      </c>
      <c r="C8" s="87"/>
      <c r="D8" s="56"/>
      <c r="E8" s="57"/>
      <c r="F8" s="58"/>
      <c r="G8" s="59" t="e">
        <f t="shared" si="0"/>
        <v>#DIV/0!</v>
      </c>
      <c r="H8" s="58"/>
      <c r="I8" s="60" t="e">
        <f t="shared" si="1"/>
        <v>#DIV/0!</v>
      </c>
      <c r="J8" s="61">
        <f t="shared" si="2"/>
        <v>0</v>
      </c>
      <c r="K8" s="62" t="str">
        <f t="shared" si="3"/>
        <v/>
      </c>
      <c r="L8" s="88"/>
      <c r="M8" s="89"/>
      <c r="N8" s="90"/>
      <c r="O8" s="91" t="e">
        <f t="shared" si="4"/>
        <v>#DIV/0!</v>
      </c>
      <c r="P8" s="90"/>
      <c r="Q8" s="92" t="e">
        <f t="shared" si="5"/>
        <v>#DIV/0!</v>
      </c>
      <c r="R8" s="93">
        <f t="shared" si="30"/>
        <v>0</v>
      </c>
      <c r="S8" s="94" t="str">
        <f t="shared" si="7"/>
        <v/>
      </c>
      <c r="T8" s="70">
        <f t="shared" si="8"/>
        <v>0</v>
      </c>
      <c r="U8" s="71">
        <f t="shared" si="8"/>
        <v>0</v>
      </c>
      <c r="V8" s="59" t="e">
        <f t="shared" si="9"/>
        <v>#DIV/0!</v>
      </c>
      <c r="W8" s="71">
        <f t="shared" si="10"/>
        <v>0</v>
      </c>
      <c r="X8" s="60" t="e">
        <f t="shared" si="11"/>
        <v>#DIV/0!</v>
      </c>
      <c r="Y8" s="95">
        <f t="shared" si="25"/>
        <v>0</v>
      </c>
      <c r="Z8" s="73" t="e">
        <f t="shared" si="12"/>
        <v>#DIV/0!</v>
      </c>
      <c r="AA8" s="74">
        <f t="shared" si="13"/>
        <v>0</v>
      </c>
      <c r="AB8" s="71">
        <f t="shared" si="13"/>
        <v>0</v>
      </c>
      <c r="AC8" s="71">
        <f t="shared" si="14"/>
        <v>0</v>
      </c>
      <c r="AD8" s="75">
        <f t="shared" si="15"/>
        <v>0</v>
      </c>
      <c r="AE8" s="71" t="e">
        <f t="shared" si="16"/>
        <v>#DIV/0!</v>
      </c>
      <c r="AF8" s="76"/>
      <c r="AG8" s="77"/>
      <c r="AH8" s="58"/>
      <c r="AI8" s="59" t="e">
        <f t="shared" si="17"/>
        <v>#DIV/0!</v>
      </c>
      <c r="AJ8" s="58"/>
      <c r="AK8" s="60" t="e">
        <f t="shared" si="18"/>
        <v>#DIV/0!</v>
      </c>
      <c r="AL8" s="96">
        <f t="shared" si="26"/>
        <v>0</v>
      </c>
      <c r="AM8" s="79" t="str">
        <f t="shared" si="19"/>
        <v/>
      </c>
      <c r="AN8" s="74">
        <f t="shared" si="27"/>
        <v>0</v>
      </c>
      <c r="AO8" s="71">
        <f t="shared" si="20"/>
        <v>0</v>
      </c>
      <c r="AP8" s="71">
        <f t="shared" si="21"/>
        <v>0</v>
      </c>
      <c r="AQ8" s="102">
        <f t="shared" si="22"/>
        <v>0</v>
      </c>
      <c r="AR8" s="71">
        <f t="shared" si="31"/>
        <v>0</v>
      </c>
      <c r="AS8" s="97"/>
      <c r="AT8" s="97"/>
      <c r="AU8" s="97"/>
      <c r="AV8" s="98"/>
      <c r="AW8" s="98"/>
      <c r="AX8" s="98"/>
      <c r="AY8" s="98"/>
      <c r="AZ8" s="99">
        <f t="shared" si="28"/>
        <v>0</v>
      </c>
      <c r="BA8" s="53">
        <v>4</v>
      </c>
      <c r="BB8" s="83">
        <f t="shared" si="29"/>
        <v>0</v>
      </c>
      <c r="BC8" s="84">
        <f t="shared" si="23"/>
        <v>0</v>
      </c>
    </row>
    <row r="9" spans="1:55" ht="13.5" customHeight="1">
      <c r="A9" s="53"/>
      <c r="B9" s="101">
        <f t="shared" si="24"/>
        <v>45782</v>
      </c>
      <c r="C9" s="87"/>
      <c r="D9" s="56"/>
      <c r="E9" s="57"/>
      <c r="F9" s="58"/>
      <c r="G9" s="59" t="e">
        <f t="shared" si="0"/>
        <v>#DIV/0!</v>
      </c>
      <c r="H9" s="58"/>
      <c r="I9" s="60" t="e">
        <f t="shared" si="1"/>
        <v>#DIV/0!</v>
      </c>
      <c r="J9" s="61">
        <f t="shared" si="2"/>
        <v>0</v>
      </c>
      <c r="K9" s="62" t="str">
        <f t="shared" si="3"/>
        <v/>
      </c>
      <c r="L9" s="88"/>
      <c r="M9" s="89"/>
      <c r="N9" s="90"/>
      <c r="O9" s="91" t="e">
        <f t="shared" si="4"/>
        <v>#DIV/0!</v>
      </c>
      <c r="P9" s="90"/>
      <c r="Q9" s="92" t="e">
        <f t="shared" si="5"/>
        <v>#DIV/0!</v>
      </c>
      <c r="R9" s="93">
        <f t="shared" si="30"/>
        <v>0</v>
      </c>
      <c r="S9" s="94" t="str">
        <f t="shared" si="7"/>
        <v/>
      </c>
      <c r="T9" s="70">
        <f t="shared" si="8"/>
        <v>0</v>
      </c>
      <c r="U9" s="71">
        <f t="shared" si="8"/>
        <v>0</v>
      </c>
      <c r="V9" s="59" t="e">
        <f t="shared" si="9"/>
        <v>#DIV/0!</v>
      </c>
      <c r="W9" s="71">
        <f t="shared" si="10"/>
        <v>0</v>
      </c>
      <c r="X9" s="60" t="e">
        <f t="shared" si="11"/>
        <v>#DIV/0!</v>
      </c>
      <c r="Y9" s="95">
        <f t="shared" si="25"/>
        <v>0</v>
      </c>
      <c r="Z9" s="73" t="e">
        <f t="shared" si="12"/>
        <v>#DIV/0!</v>
      </c>
      <c r="AA9" s="74">
        <f t="shared" si="13"/>
        <v>0</v>
      </c>
      <c r="AB9" s="71">
        <f t="shared" si="13"/>
        <v>0</v>
      </c>
      <c r="AC9" s="71">
        <f t="shared" si="14"/>
        <v>0</v>
      </c>
      <c r="AD9" s="75">
        <f t="shared" si="15"/>
        <v>0</v>
      </c>
      <c r="AE9" s="71" t="e">
        <f t="shared" si="16"/>
        <v>#DIV/0!</v>
      </c>
      <c r="AF9" s="76"/>
      <c r="AG9" s="77"/>
      <c r="AH9" s="58"/>
      <c r="AI9" s="59" t="e">
        <f t="shared" si="17"/>
        <v>#DIV/0!</v>
      </c>
      <c r="AJ9" s="58"/>
      <c r="AK9" s="60" t="e">
        <f t="shared" si="18"/>
        <v>#DIV/0!</v>
      </c>
      <c r="AL9" s="96">
        <f t="shared" si="26"/>
        <v>0</v>
      </c>
      <c r="AM9" s="79" t="str">
        <f t="shared" si="19"/>
        <v/>
      </c>
      <c r="AN9" s="74">
        <f t="shared" si="27"/>
        <v>0</v>
      </c>
      <c r="AO9" s="71">
        <f t="shared" si="20"/>
        <v>0</v>
      </c>
      <c r="AP9" s="71">
        <f t="shared" si="21"/>
        <v>0</v>
      </c>
      <c r="AQ9" s="80">
        <f t="shared" si="22"/>
        <v>0</v>
      </c>
      <c r="AR9" s="71">
        <f t="shared" si="31"/>
        <v>0</v>
      </c>
      <c r="AS9" s="97"/>
      <c r="AT9" s="97"/>
      <c r="AU9" s="97"/>
      <c r="AV9" s="98"/>
      <c r="AW9" s="98"/>
      <c r="AX9" s="98"/>
      <c r="AY9" s="98"/>
      <c r="AZ9" s="99">
        <f t="shared" si="28"/>
        <v>0</v>
      </c>
      <c r="BA9" s="53">
        <v>5</v>
      </c>
      <c r="BB9" s="83">
        <f t="shared" si="29"/>
        <v>0</v>
      </c>
      <c r="BC9" s="84">
        <f t="shared" si="23"/>
        <v>0</v>
      </c>
    </row>
    <row r="10" spans="1:55" ht="13.5" customHeight="1">
      <c r="A10" s="53"/>
      <c r="B10" s="101">
        <f t="shared" si="24"/>
        <v>45783</v>
      </c>
      <c r="C10" s="87"/>
      <c r="D10" s="56"/>
      <c r="E10" s="57"/>
      <c r="F10" s="58"/>
      <c r="G10" s="59" t="e">
        <f t="shared" si="0"/>
        <v>#DIV/0!</v>
      </c>
      <c r="H10" s="58"/>
      <c r="I10" s="60" t="e">
        <f t="shared" si="1"/>
        <v>#DIV/0!</v>
      </c>
      <c r="J10" s="61">
        <f t="shared" si="2"/>
        <v>0</v>
      </c>
      <c r="K10" s="62" t="str">
        <f t="shared" si="3"/>
        <v/>
      </c>
      <c r="L10" s="88"/>
      <c r="M10" s="89"/>
      <c r="N10" s="90"/>
      <c r="O10" s="91" t="e">
        <f t="shared" si="4"/>
        <v>#DIV/0!</v>
      </c>
      <c r="P10" s="90"/>
      <c r="Q10" s="92" t="e">
        <f t="shared" si="5"/>
        <v>#DIV/0!</v>
      </c>
      <c r="R10" s="93">
        <f t="shared" si="30"/>
        <v>0</v>
      </c>
      <c r="S10" s="94" t="str">
        <f t="shared" si="7"/>
        <v/>
      </c>
      <c r="T10" s="70">
        <f t="shared" si="8"/>
        <v>0</v>
      </c>
      <c r="U10" s="71">
        <f t="shared" si="8"/>
        <v>0</v>
      </c>
      <c r="V10" s="59" t="e">
        <f t="shared" si="9"/>
        <v>#DIV/0!</v>
      </c>
      <c r="W10" s="71">
        <f t="shared" si="10"/>
        <v>0</v>
      </c>
      <c r="X10" s="60" t="e">
        <f t="shared" si="11"/>
        <v>#DIV/0!</v>
      </c>
      <c r="Y10" s="95">
        <f t="shared" si="25"/>
        <v>0</v>
      </c>
      <c r="Z10" s="73" t="e">
        <f t="shared" si="12"/>
        <v>#DIV/0!</v>
      </c>
      <c r="AA10" s="74">
        <f t="shared" si="13"/>
        <v>0</v>
      </c>
      <c r="AB10" s="71">
        <f t="shared" si="13"/>
        <v>0</v>
      </c>
      <c r="AC10" s="71">
        <f t="shared" si="14"/>
        <v>0</v>
      </c>
      <c r="AD10" s="75">
        <f t="shared" si="15"/>
        <v>0</v>
      </c>
      <c r="AE10" s="71" t="e">
        <f t="shared" si="16"/>
        <v>#DIV/0!</v>
      </c>
      <c r="AF10" s="76"/>
      <c r="AG10" s="77"/>
      <c r="AH10" s="58"/>
      <c r="AI10" s="59" t="e">
        <f t="shared" si="17"/>
        <v>#DIV/0!</v>
      </c>
      <c r="AJ10" s="58"/>
      <c r="AK10" s="60" t="e">
        <f t="shared" si="18"/>
        <v>#DIV/0!</v>
      </c>
      <c r="AL10" s="96">
        <f t="shared" si="26"/>
        <v>0</v>
      </c>
      <c r="AM10" s="79" t="str">
        <f t="shared" si="19"/>
        <v/>
      </c>
      <c r="AN10" s="103">
        <f t="shared" si="27"/>
        <v>0</v>
      </c>
      <c r="AO10" s="71">
        <f t="shared" si="20"/>
        <v>0</v>
      </c>
      <c r="AP10" s="71">
        <f t="shared" si="21"/>
        <v>0</v>
      </c>
      <c r="AQ10" s="80">
        <f t="shared" si="22"/>
        <v>0</v>
      </c>
      <c r="AR10" s="71">
        <f t="shared" si="31"/>
        <v>0</v>
      </c>
      <c r="AS10" s="97"/>
      <c r="AT10" s="97"/>
      <c r="AU10" s="97"/>
      <c r="AV10" s="98"/>
      <c r="AW10" s="98"/>
      <c r="AX10" s="98"/>
      <c r="AY10" s="98"/>
      <c r="AZ10" s="99">
        <f>SUM(AT10:AX10)</f>
        <v>0</v>
      </c>
      <c r="BA10" s="53">
        <v>6</v>
      </c>
      <c r="BB10" s="83">
        <f t="shared" si="29"/>
        <v>0</v>
      </c>
      <c r="BC10" s="84">
        <f t="shared" si="23"/>
        <v>0</v>
      </c>
    </row>
    <row r="11" spans="1:55" ht="13.5" customHeight="1">
      <c r="A11" s="53"/>
      <c r="B11" s="86">
        <f t="shared" si="24"/>
        <v>45784</v>
      </c>
      <c r="C11" s="87"/>
      <c r="D11" s="56"/>
      <c r="E11" s="57"/>
      <c r="F11" s="58"/>
      <c r="G11" s="59" t="e">
        <f t="shared" si="0"/>
        <v>#DIV/0!</v>
      </c>
      <c r="H11" s="58"/>
      <c r="I11" s="60" t="e">
        <f t="shared" si="1"/>
        <v>#DIV/0!</v>
      </c>
      <c r="J11" s="61">
        <f t="shared" si="2"/>
        <v>0</v>
      </c>
      <c r="K11" s="62" t="str">
        <f t="shared" si="3"/>
        <v/>
      </c>
      <c r="L11" s="88"/>
      <c r="M11" s="89"/>
      <c r="N11" s="90"/>
      <c r="O11" s="91" t="e">
        <f t="shared" si="4"/>
        <v>#DIV/0!</v>
      </c>
      <c r="P11" s="90"/>
      <c r="Q11" s="92" t="e">
        <f t="shared" si="5"/>
        <v>#DIV/0!</v>
      </c>
      <c r="R11" s="93">
        <f t="shared" si="30"/>
        <v>0</v>
      </c>
      <c r="S11" s="94" t="str">
        <f t="shared" si="7"/>
        <v/>
      </c>
      <c r="T11" s="70">
        <f t="shared" si="8"/>
        <v>0</v>
      </c>
      <c r="U11" s="71">
        <f t="shared" si="8"/>
        <v>0</v>
      </c>
      <c r="V11" s="59" t="e">
        <f t="shared" si="9"/>
        <v>#DIV/0!</v>
      </c>
      <c r="W11" s="71">
        <f t="shared" si="10"/>
        <v>0</v>
      </c>
      <c r="X11" s="60" t="e">
        <f t="shared" si="11"/>
        <v>#DIV/0!</v>
      </c>
      <c r="Y11" s="95">
        <f t="shared" si="25"/>
        <v>0</v>
      </c>
      <c r="Z11" s="73" t="e">
        <f t="shared" si="12"/>
        <v>#DIV/0!</v>
      </c>
      <c r="AA11" s="74">
        <f t="shared" si="13"/>
        <v>0</v>
      </c>
      <c r="AB11" s="71">
        <f t="shared" si="13"/>
        <v>0</v>
      </c>
      <c r="AC11" s="71">
        <f t="shared" si="14"/>
        <v>0</v>
      </c>
      <c r="AD11" s="75">
        <f t="shared" si="15"/>
        <v>0</v>
      </c>
      <c r="AE11" s="71" t="e">
        <f t="shared" si="16"/>
        <v>#DIV/0!</v>
      </c>
      <c r="AF11" s="76"/>
      <c r="AG11" s="77"/>
      <c r="AH11" s="58"/>
      <c r="AI11" s="59" t="e">
        <f t="shared" si="17"/>
        <v>#DIV/0!</v>
      </c>
      <c r="AJ11" s="58"/>
      <c r="AK11" s="60" t="e">
        <f t="shared" si="18"/>
        <v>#DIV/0!</v>
      </c>
      <c r="AL11" s="96">
        <f t="shared" si="26"/>
        <v>0</v>
      </c>
      <c r="AM11" s="79" t="str">
        <f t="shared" si="19"/>
        <v/>
      </c>
      <c r="AN11" s="103">
        <f t="shared" si="27"/>
        <v>0</v>
      </c>
      <c r="AO11" s="71">
        <f t="shared" si="20"/>
        <v>0</v>
      </c>
      <c r="AP11" s="71">
        <f t="shared" si="21"/>
        <v>0</v>
      </c>
      <c r="AQ11" s="80">
        <f t="shared" si="22"/>
        <v>0</v>
      </c>
      <c r="AR11" s="71">
        <f t="shared" si="31"/>
        <v>0</v>
      </c>
      <c r="AS11" s="97"/>
      <c r="AT11" s="97"/>
      <c r="AU11" s="97"/>
      <c r="AV11" s="98"/>
      <c r="AW11" s="98"/>
      <c r="AX11" s="98"/>
      <c r="AY11" s="98"/>
      <c r="AZ11" s="99">
        <f t="shared" si="28"/>
        <v>0</v>
      </c>
      <c r="BA11" s="53">
        <v>7</v>
      </c>
      <c r="BB11" s="83">
        <f t="shared" si="29"/>
        <v>0</v>
      </c>
      <c r="BC11" s="84">
        <f t="shared" si="23"/>
        <v>0</v>
      </c>
    </row>
    <row r="12" spans="1:55" ht="13.5" customHeight="1">
      <c r="A12" s="53"/>
      <c r="B12" s="86">
        <f t="shared" si="24"/>
        <v>45785</v>
      </c>
      <c r="C12" s="87"/>
      <c r="D12" s="56"/>
      <c r="E12" s="57"/>
      <c r="F12" s="58"/>
      <c r="G12" s="59" t="e">
        <f t="shared" si="0"/>
        <v>#DIV/0!</v>
      </c>
      <c r="H12" s="58"/>
      <c r="I12" s="60" t="e">
        <f t="shared" si="1"/>
        <v>#DIV/0!</v>
      </c>
      <c r="J12" s="61">
        <f t="shared" si="2"/>
        <v>0</v>
      </c>
      <c r="K12" s="62" t="str">
        <f t="shared" si="3"/>
        <v/>
      </c>
      <c r="L12" s="88"/>
      <c r="M12" s="89"/>
      <c r="N12" s="90"/>
      <c r="O12" s="91" t="e">
        <f t="shared" si="4"/>
        <v>#DIV/0!</v>
      </c>
      <c r="P12" s="90"/>
      <c r="Q12" s="92" t="e">
        <f t="shared" si="5"/>
        <v>#DIV/0!</v>
      </c>
      <c r="R12" s="93">
        <f t="shared" si="30"/>
        <v>0</v>
      </c>
      <c r="S12" s="94" t="str">
        <f t="shared" si="7"/>
        <v/>
      </c>
      <c r="T12" s="70">
        <f t="shared" si="8"/>
        <v>0</v>
      </c>
      <c r="U12" s="71">
        <f t="shared" si="8"/>
        <v>0</v>
      </c>
      <c r="V12" s="59" t="e">
        <f t="shared" si="9"/>
        <v>#DIV/0!</v>
      </c>
      <c r="W12" s="71">
        <f t="shared" si="10"/>
        <v>0</v>
      </c>
      <c r="X12" s="104" t="e">
        <f t="shared" si="11"/>
        <v>#DIV/0!</v>
      </c>
      <c r="Y12" s="95">
        <f t="shared" si="25"/>
        <v>0</v>
      </c>
      <c r="Z12" s="73" t="e">
        <f t="shared" si="12"/>
        <v>#DIV/0!</v>
      </c>
      <c r="AA12" s="74">
        <f t="shared" si="13"/>
        <v>0</v>
      </c>
      <c r="AB12" s="71">
        <f t="shared" si="13"/>
        <v>0</v>
      </c>
      <c r="AC12" s="71">
        <f t="shared" si="14"/>
        <v>0</v>
      </c>
      <c r="AD12" s="75">
        <f t="shared" si="15"/>
        <v>0</v>
      </c>
      <c r="AE12" s="71" t="e">
        <f t="shared" si="16"/>
        <v>#DIV/0!</v>
      </c>
      <c r="AF12" s="76"/>
      <c r="AG12" s="77"/>
      <c r="AH12" s="58"/>
      <c r="AI12" s="59" t="e">
        <f t="shared" si="17"/>
        <v>#DIV/0!</v>
      </c>
      <c r="AJ12" s="58"/>
      <c r="AK12" s="60" t="e">
        <f t="shared" si="18"/>
        <v>#DIV/0!</v>
      </c>
      <c r="AL12" s="96">
        <f t="shared" si="26"/>
        <v>0</v>
      </c>
      <c r="AM12" s="79" t="str">
        <f t="shared" si="19"/>
        <v/>
      </c>
      <c r="AN12" s="103">
        <f t="shared" si="27"/>
        <v>0</v>
      </c>
      <c r="AO12" s="71">
        <f t="shared" si="20"/>
        <v>0</v>
      </c>
      <c r="AP12" s="71">
        <f t="shared" si="21"/>
        <v>0</v>
      </c>
      <c r="AQ12" s="80">
        <f t="shared" si="22"/>
        <v>0</v>
      </c>
      <c r="AR12" s="71">
        <f t="shared" si="31"/>
        <v>0</v>
      </c>
      <c r="AS12" s="97"/>
      <c r="AT12" s="97"/>
      <c r="AU12" s="97"/>
      <c r="AV12" s="98"/>
      <c r="AW12" s="98"/>
      <c r="AX12" s="98"/>
      <c r="AY12" s="98"/>
      <c r="AZ12" s="99">
        <f t="shared" si="28"/>
        <v>0</v>
      </c>
      <c r="BA12" s="53">
        <v>8</v>
      </c>
      <c r="BB12" s="83">
        <f t="shared" si="29"/>
        <v>0</v>
      </c>
      <c r="BC12" s="84">
        <f t="shared" si="23"/>
        <v>0</v>
      </c>
    </row>
    <row r="13" spans="1:55" ht="13.5" customHeight="1">
      <c r="A13" s="53"/>
      <c r="B13" s="86">
        <f t="shared" si="24"/>
        <v>45786</v>
      </c>
      <c r="C13" s="87"/>
      <c r="D13" s="56"/>
      <c r="E13" s="57"/>
      <c r="F13" s="58"/>
      <c r="G13" s="59" t="e">
        <f t="shared" si="0"/>
        <v>#DIV/0!</v>
      </c>
      <c r="H13" s="58"/>
      <c r="I13" s="60" t="e">
        <f t="shared" si="1"/>
        <v>#DIV/0!</v>
      </c>
      <c r="J13" s="61">
        <f t="shared" si="2"/>
        <v>0</v>
      </c>
      <c r="K13" s="62" t="str">
        <f t="shared" si="3"/>
        <v/>
      </c>
      <c r="L13" s="88"/>
      <c r="M13" s="89"/>
      <c r="N13" s="90"/>
      <c r="O13" s="91" t="e">
        <f t="shared" si="4"/>
        <v>#DIV/0!</v>
      </c>
      <c r="P13" s="90"/>
      <c r="Q13" s="92" t="e">
        <f t="shared" si="5"/>
        <v>#DIV/0!</v>
      </c>
      <c r="R13" s="93">
        <f t="shared" si="30"/>
        <v>0</v>
      </c>
      <c r="S13" s="94" t="str">
        <f t="shared" si="7"/>
        <v/>
      </c>
      <c r="T13" s="70">
        <f t="shared" si="8"/>
        <v>0</v>
      </c>
      <c r="U13" s="71">
        <f t="shared" si="8"/>
        <v>0</v>
      </c>
      <c r="V13" s="59" t="e">
        <f t="shared" si="9"/>
        <v>#DIV/0!</v>
      </c>
      <c r="W13" s="71">
        <f t="shared" si="10"/>
        <v>0</v>
      </c>
      <c r="X13" s="60" t="e">
        <f t="shared" si="11"/>
        <v>#DIV/0!</v>
      </c>
      <c r="Y13" s="95">
        <f t="shared" si="25"/>
        <v>0</v>
      </c>
      <c r="Z13" s="73" t="e">
        <f t="shared" si="12"/>
        <v>#DIV/0!</v>
      </c>
      <c r="AA13" s="74">
        <f t="shared" si="13"/>
        <v>0</v>
      </c>
      <c r="AB13" s="71">
        <f t="shared" si="13"/>
        <v>0</v>
      </c>
      <c r="AC13" s="71">
        <f t="shared" si="14"/>
        <v>0</v>
      </c>
      <c r="AD13" s="75">
        <f t="shared" si="15"/>
        <v>0</v>
      </c>
      <c r="AE13" s="71" t="e">
        <f t="shared" si="16"/>
        <v>#DIV/0!</v>
      </c>
      <c r="AF13" s="76"/>
      <c r="AG13" s="77"/>
      <c r="AH13" s="58"/>
      <c r="AI13" s="59" t="e">
        <f t="shared" si="17"/>
        <v>#DIV/0!</v>
      </c>
      <c r="AJ13" s="58"/>
      <c r="AK13" s="60" t="e">
        <f t="shared" si="18"/>
        <v>#DIV/0!</v>
      </c>
      <c r="AL13" s="96">
        <f t="shared" si="26"/>
        <v>0</v>
      </c>
      <c r="AM13" s="79" t="str">
        <f t="shared" si="19"/>
        <v/>
      </c>
      <c r="AN13" s="103">
        <f t="shared" si="27"/>
        <v>0</v>
      </c>
      <c r="AO13" s="71">
        <f t="shared" si="20"/>
        <v>0</v>
      </c>
      <c r="AP13" s="71">
        <f t="shared" si="21"/>
        <v>0</v>
      </c>
      <c r="AQ13" s="80">
        <f t="shared" si="22"/>
        <v>0</v>
      </c>
      <c r="AR13" s="71">
        <f t="shared" si="31"/>
        <v>0</v>
      </c>
      <c r="AS13" s="97"/>
      <c r="AT13" s="97"/>
      <c r="AU13" s="97"/>
      <c r="AV13" s="98"/>
      <c r="AW13" s="98"/>
      <c r="AX13" s="98"/>
      <c r="AY13" s="98"/>
      <c r="AZ13" s="99">
        <f t="shared" si="28"/>
        <v>0</v>
      </c>
      <c r="BA13" s="53">
        <v>9</v>
      </c>
      <c r="BB13" s="83">
        <f t="shared" si="29"/>
        <v>0</v>
      </c>
      <c r="BC13" s="84">
        <f t="shared" si="23"/>
        <v>0</v>
      </c>
    </row>
    <row r="14" spans="1:55" ht="13.5" customHeight="1">
      <c r="A14" s="53"/>
      <c r="B14" s="100">
        <f t="shared" si="24"/>
        <v>45787</v>
      </c>
      <c r="C14" s="87"/>
      <c r="D14" s="56"/>
      <c r="E14" s="57"/>
      <c r="F14" s="58"/>
      <c r="G14" s="59" t="e">
        <f t="shared" si="0"/>
        <v>#DIV/0!</v>
      </c>
      <c r="H14" s="58"/>
      <c r="I14" s="60" t="e">
        <f t="shared" si="1"/>
        <v>#DIV/0!</v>
      </c>
      <c r="J14" s="61">
        <f t="shared" si="2"/>
        <v>0</v>
      </c>
      <c r="K14" s="62" t="str">
        <f t="shared" si="3"/>
        <v/>
      </c>
      <c r="L14" s="88"/>
      <c r="M14" s="89"/>
      <c r="N14" s="90"/>
      <c r="O14" s="91" t="e">
        <f t="shared" si="4"/>
        <v>#DIV/0!</v>
      </c>
      <c r="P14" s="90"/>
      <c r="Q14" s="92" t="e">
        <f t="shared" si="5"/>
        <v>#DIV/0!</v>
      </c>
      <c r="R14" s="93">
        <f t="shared" si="30"/>
        <v>0</v>
      </c>
      <c r="S14" s="94" t="str">
        <f t="shared" si="7"/>
        <v/>
      </c>
      <c r="T14" s="70">
        <f t="shared" si="8"/>
        <v>0</v>
      </c>
      <c r="U14" s="71">
        <f t="shared" si="8"/>
        <v>0</v>
      </c>
      <c r="V14" s="59" t="e">
        <f t="shared" si="9"/>
        <v>#DIV/0!</v>
      </c>
      <c r="W14" s="71">
        <f t="shared" si="10"/>
        <v>0</v>
      </c>
      <c r="X14" s="60" t="e">
        <f t="shared" si="11"/>
        <v>#DIV/0!</v>
      </c>
      <c r="Y14" s="95">
        <f t="shared" si="25"/>
        <v>0</v>
      </c>
      <c r="Z14" s="73" t="e">
        <f t="shared" si="12"/>
        <v>#DIV/0!</v>
      </c>
      <c r="AA14" s="74">
        <f t="shared" si="13"/>
        <v>0</v>
      </c>
      <c r="AB14" s="71">
        <f t="shared" si="13"/>
        <v>0</v>
      </c>
      <c r="AC14" s="71">
        <f t="shared" si="14"/>
        <v>0</v>
      </c>
      <c r="AD14" s="75">
        <f t="shared" si="15"/>
        <v>0</v>
      </c>
      <c r="AE14" s="71" t="e">
        <f t="shared" si="16"/>
        <v>#DIV/0!</v>
      </c>
      <c r="AF14" s="76"/>
      <c r="AG14" s="77"/>
      <c r="AH14" s="58"/>
      <c r="AI14" s="59" t="e">
        <f t="shared" si="17"/>
        <v>#DIV/0!</v>
      </c>
      <c r="AJ14" s="58"/>
      <c r="AK14" s="60" t="e">
        <f t="shared" si="18"/>
        <v>#DIV/0!</v>
      </c>
      <c r="AL14" s="96">
        <f t="shared" si="26"/>
        <v>0</v>
      </c>
      <c r="AM14" s="79" t="str">
        <f t="shared" si="19"/>
        <v/>
      </c>
      <c r="AN14" s="103">
        <f t="shared" si="27"/>
        <v>0</v>
      </c>
      <c r="AO14" s="71">
        <f t="shared" si="20"/>
        <v>0</v>
      </c>
      <c r="AP14" s="71">
        <f t="shared" si="21"/>
        <v>0</v>
      </c>
      <c r="AQ14" s="102">
        <f t="shared" si="22"/>
        <v>0</v>
      </c>
      <c r="AR14" s="71">
        <f t="shared" si="31"/>
        <v>0</v>
      </c>
      <c r="AS14" s="97"/>
      <c r="AT14" s="97"/>
      <c r="AU14" s="97"/>
      <c r="AV14" s="98"/>
      <c r="AW14" s="98"/>
      <c r="AX14" s="98"/>
      <c r="AY14" s="98"/>
      <c r="AZ14" s="99">
        <f t="shared" si="28"/>
        <v>0</v>
      </c>
      <c r="BA14" s="53">
        <v>10</v>
      </c>
      <c r="BB14" s="83">
        <f t="shared" si="29"/>
        <v>0</v>
      </c>
      <c r="BC14" s="84">
        <f t="shared" si="23"/>
        <v>0</v>
      </c>
    </row>
    <row r="15" spans="1:55" ht="13.5" customHeight="1">
      <c r="A15" s="53"/>
      <c r="B15" s="101">
        <f>B14+1</f>
        <v>45788</v>
      </c>
      <c r="C15" s="87"/>
      <c r="D15" s="56"/>
      <c r="E15" s="57"/>
      <c r="F15" s="58"/>
      <c r="G15" s="59" t="e">
        <f t="shared" si="0"/>
        <v>#DIV/0!</v>
      </c>
      <c r="H15" s="58"/>
      <c r="I15" s="60" t="e">
        <f t="shared" si="1"/>
        <v>#DIV/0!</v>
      </c>
      <c r="J15" s="61">
        <f t="shared" si="2"/>
        <v>0</v>
      </c>
      <c r="K15" s="62" t="str">
        <f t="shared" si="3"/>
        <v/>
      </c>
      <c r="L15" s="88"/>
      <c r="M15" s="89"/>
      <c r="N15" s="90"/>
      <c r="O15" s="91" t="e">
        <f t="shared" si="4"/>
        <v>#DIV/0!</v>
      </c>
      <c r="P15" s="90"/>
      <c r="Q15" s="92" t="e">
        <f t="shared" si="5"/>
        <v>#DIV/0!</v>
      </c>
      <c r="R15" s="93">
        <f t="shared" si="30"/>
        <v>0</v>
      </c>
      <c r="S15" s="94" t="str">
        <f t="shared" si="7"/>
        <v/>
      </c>
      <c r="T15" s="70">
        <f t="shared" si="8"/>
        <v>0</v>
      </c>
      <c r="U15" s="71">
        <f t="shared" si="8"/>
        <v>0</v>
      </c>
      <c r="V15" s="59" t="e">
        <f t="shared" si="9"/>
        <v>#DIV/0!</v>
      </c>
      <c r="W15" s="71">
        <f t="shared" si="10"/>
        <v>0</v>
      </c>
      <c r="X15" s="60" t="e">
        <f t="shared" si="11"/>
        <v>#DIV/0!</v>
      </c>
      <c r="Y15" s="95">
        <f t="shared" si="25"/>
        <v>0</v>
      </c>
      <c r="Z15" s="73" t="e">
        <f t="shared" si="12"/>
        <v>#DIV/0!</v>
      </c>
      <c r="AA15" s="74">
        <f t="shared" si="13"/>
        <v>0</v>
      </c>
      <c r="AB15" s="71">
        <f t="shared" si="13"/>
        <v>0</v>
      </c>
      <c r="AC15" s="71">
        <f t="shared" si="14"/>
        <v>0</v>
      </c>
      <c r="AD15" s="75">
        <f t="shared" si="15"/>
        <v>0</v>
      </c>
      <c r="AE15" s="71" t="e">
        <f t="shared" si="16"/>
        <v>#DIV/0!</v>
      </c>
      <c r="AF15" s="76"/>
      <c r="AG15" s="77"/>
      <c r="AH15" s="58"/>
      <c r="AI15" s="59" t="e">
        <f t="shared" si="17"/>
        <v>#DIV/0!</v>
      </c>
      <c r="AJ15" s="58"/>
      <c r="AK15" s="60" t="e">
        <f t="shared" si="18"/>
        <v>#DIV/0!</v>
      </c>
      <c r="AL15" s="96">
        <f t="shared" si="26"/>
        <v>0</v>
      </c>
      <c r="AM15" s="79" t="str">
        <f t="shared" si="19"/>
        <v/>
      </c>
      <c r="AN15" s="103">
        <f t="shared" si="27"/>
        <v>0</v>
      </c>
      <c r="AO15" s="71">
        <f t="shared" si="20"/>
        <v>0</v>
      </c>
      <c r="AP15" s="71">
        <f t="shared" si="21"/>
        <v>0</v>
      </c>
      <c r="AQ15" s="80">
        <f t="shared" si="22"/>
        <v>0</v>
      </c>
      <c r="AR15" s="71">
        <f t="shared" si="31"/>
        <v>0</v>
      </c>
      <c r="AS15" s="97"/>
      <c r="AT15" s="97"/>
      <c r="AU15" s="97"/>
      <c r="AV15" s="98"/>
      <c r="AW15" s="98"/>
      <c r="AX15" s="98"/>
      <c r="AY15" s="98"/>
      <c r="AZ15" s="99">
        <f t="shared" si="28"/>
        <v>0</v>
      </c>
      <c r="BA15" s="53">
        <v>11</v>
      </c>
      <c r="BB15" s="83">
        <f t="shared" si="29"/>
        <v>0</v>
      </c>
      <c r="BC15" s="84">
        <f t="shared" si="23"/>
        <v>0</v>
      </c>
    </row>
    <row r="16" spans="1:55" ht="13.5" customHeight="1">
      <c r="A16" s="53"/>
      <c r="B16" s="86">
        <f t="shared" si="24"/>
        <v>45789</v>
      </c>
      <c r="C16" s="87" t="s">
        <v>35</v>
      </c>
      <c r="D16" s="56"/>
      <c r="E16" s="57"/>
      <c r="F16" s="58"/>
      <c r="G16" s="59" t="e">
        <f t="shared" si="0"/>
        <v>#DIV/0!</v>
      </c>
      <c r="H16" s="58"/>
      <c r="I16" s="60" t="e">
        <f t="shared" si="1"/>
        <v>#DIV/0!</v>
      </c>
      <c r="J16" s="61">
        <f t="shared" si="2"/>
        <v>0</v>
      </c>
      <c r="K16" s="62" t="str">
        <f t="shared" si="3"/>
        <v/>
      </c>
      <c r="L16" s="88"/>
      <c r="M16" s="89"/>
      <c r="N16" s="90"/>
      <c r="O16" s="91" t="e">
        <f t="shared" si="4"/>
        <v>#DIV/0!</v>
      </c>
      <c r="P16" s="90"/>
      <c r="Q16" s="92" t="e">
        <f t="shared" si="5"/>
        <v>#DIV/0!</v>
      </c>
      <c r="R16" s="93">
        <f t="shared" si="30"/>
        <v>0</v>
      </c>
      <c r="S16" s="94" t="str">
        <f t="shared" si="7"/>
        <v/>
      </c>
      <c r="T16" s="70">
        <f t="shared" si="8"/>
        <v>0</v>
      </c>
      <c r="U16" s="71">
        <f t="shared" si="8"/>
        <v>0</v>
      </c>
      <c r="V16" s="59" t="e">
        <f t="shared" si="9"/>
        <v>#DIV/0!</v>
      </c>
      <c r="W16" s="71">
        <f t="shared" si="10"/>
        <v>0</v>
      </c>
      <c r="X16" s="60" t="e">
        <f t="shared" si="11"/>
        <v>#DIV/0!</v>
      </c>
      <c r="Y16" s="95">
        <f t="shared" si="25"/>
        <v>0</v>
      </c>
      <c r="Z16" s="73" t="e">
        <f t="shared" si="12"/>
        <v>#DIV/0!</v>
      </c>
      <c r="AA16" s="74">
        <f t="shared" si="13"/>
        <v>0</v>
      </c>
      <c r="AB16" s="71">
        <f t="shared" si="13"/>
        <v>0</v>
      </c>
      <c r="AC16" s="71">
        <f t="shared" si="14"/>
        <v>0</v>
      </c>
      <c r="AD16" s="75">
        <f t="shared" si="15"/>
        <v>0</v>
      </c>
      <c r="AE16" s="71" t="e">
        <f t="shared" si="16"/>
        <v>#DIV/0!</v>
      </c>
      <c r="AF16" s="76">
        <v>81</v>
      </c>
      <c r="AG16" s="77">
        <v>81</v>
      </c>
      <c r="AH16" s="58">
        <v>118065</v>
      </c>
      <c r="AI16" s="59">
        <f t="shared" si="17"/>
        <v>1457.5925925925926</v>
      </c>
      <c r="AJ16" s="58">
        <v>5800</v>
      </c>
      <c r="AK16" s="60">
        <f t="shared" si="18"/>
        <v>71.604938271604937</v>
      </c>
      <c r="AL16" s="96">
        <f t="shared" si="26"/>
        <v>123865</v>
      </c>
      <c r="AM16" s="79">
        <f t="shared" si="19"/>
        <v>1529.1975308641975</v>
      </c>
      <c r="AN16" s="103">
        <f t="shared" si="27"/>
        <v>0</v>
      </c>
      <c r="AO16" s="71">
        <f t="shared" si="20"/>
        <v>118065</v>
      </c>
      <c r="AP16" s="71">
        <f t="shared" si="21"/>
        <v>5800</v>
      </c>
      <c r="AQ16" s="80">
        <f t="shared" si="22"/>
        <v>123865</v>
      </c>
      <c r="AR16" s="71">
        <f t="shared" si="31"/>
        <v>0</v>
      </c>
      <c r="AS16" s="97"/>
      <c r="AT16" s="97"/>
      <c r="AU16" s="97"/>
      <c r="AV16" s="98"/>
      <c r="AW16" s="98"/>
      <c r="AX16" s="98"/>
      <c r="AY16" s="98"/>
      <c r="AZ16" s="99">
        <f t="shared" si="28"/>
        <v>0</v>
      </c>
      <c r="BA16" s="53">
        <v>12</v>
      </c>
      <c r="BB16" s="83">
        <f t="shared" si="29"/>
        <v>0</v>
      </c>
      <c r="BC16" s="84">
        <f t="shared" si="23"/>
        <v>123865</v>
      </c>
    </row>
    <row r="17" spans="1:55" ht="13.5" customHeight="1">
      <c r="A17" s="53"/>
      <c r="B17" s="86">
        <f t="shared" si="24"/>
        <v>45790</v>
      </c>
      <c r="C17" s="87"/>
      <c r="D17" s="56"/>
      <c r="E17" s="57"/>
      <c r="F17" s="58"/>
      <c r="G17" s="59" t="e">
        <f t="shared" si="0"/>
        <v>#DIV/0!</v>
      </c>
      <c r="H17" s="58"/>
      <c r="I17" s="60" t="e">
        <f t="shared" si="1"/>
        <v>#DIV/0!</v>
      </c>
      <c r="J17" s="61">
        <f t="shared" si="2"/>
        <v>0</v>
      </c>
      <c r="K17" s="62" t="str">
        <f t="shared" si="3"/>
        <v/>
      </c>
      <c r="L17" s="88"/>
      <c r="M17" s="89"/>
      <c r="N17" s="90"/>
      <c r="O17" s="91" t="e">
        <f t="shared" si="4"/>
        <v>#DIV/0!</v>
      </c>
      <c r="P17" s="65"/>
      <c r="Q17" s="92" t="e">
        <f t="shared" si="5"/>
        <v>#DIV/0!</v>
      </c>
      <c r="R17" s="93">
        <f t="shared" si="30"/>
        <v>0</v>
      </c>
      <c r="S17" s="94" t="str">
        <f t="shared" si="7"/>
        <v/>
      </c>
      <c r="T17" s="70">
        <f t="shared" si="8"/>
        <v>0</v>
      </c>
      <c r="U17" s="71">
        <f t="shared" si="8"/>
        <v>0</v>
      </c>
      <c r="V17" s="59" t="e">
        <f t="shared" si="9"/>
        <v>#DIV/0!</v>
      </c>
      <c r="W17" s="71">
        <f t="shared" si="10"/>
        <v>0</v>
      </c>
      <c r="X17" s="60" t="e">
        <f t="shared" si="11"/>
        <v>#DIV/0!</v>
      </c>
      <c r="Y17" s="95">
        <f t="shared" si="25"/>
        <v>0</v>
      </c>
      <c r="Z17" s="73" t="e">
        <f t="shared" si="12"/>
        <v>#DIV/0!</v>
      </c>
      <c r="AA17" s="74">
        <f t="shared" si="13"/>
        <v>0</v>
      </c>
      <c r="AB17" s="71">
        <f t="shared" si="13"/>
        <v>0</v>
      </c>
      <c r="AC17" s="71">
        <f t="shared" si="14"/>
        <v>0</v>
      </c>
      <c r="AD17" s="75">
        <f t="shared" si="15"/>
        <v>0</v>
      </c>
      <c r="AE17" s="71" t="e">
        <f t="shared" si="16"/>
        <v>#DIV/0!</v>
      </c>
      <c r="AF17" s="76">
        <v>74</v>
      </c>
      <c r="AG17" s="77">
        <v>74</v>
      </c>
      <c r="AH17" s="58">
        <v>111350</v>
      </c>
      <c r="AI17" s="59">
        <f t="shared" si="17"/>
        <v>1504.7297297297298</v>
      </c>
      <c r="AJ17" s="58">
        <v>9200</v>
      </c>
      <c r="AK17" s="60">
        <f t="shared" si="18"/>
        <v>124.32432432432432</v>
      </c>
      <c r="AL17" s="96">
        <f t="shared" si="26"/>
        <v>120550</v>
      </c>
      <c r="AM17" s="79">
        <f t="shared" si="19"/>
        <v>1629.0540540540539</v>
      </c>
      <c r="AN17" s="103">
        <f t="shared" si="27"/>
        <v>0</v>
      </c>
      <c r="AO17" s="71">
        <f t="shared" si="20"/>
        <v>111350</v>
      </c>
      <c r="AP17" s="71">
        <f t="shared" si="21"/>
        <v>9200</v>
      </c>
      <c r="AQ17" s="80">
        <f t="shared" si="22"/>
        <v>120550</v>
      </c>
      <c r="AR17" s="71">
        <f t="shared" si="31"/>
        <v>0</v>
      </c>
      <c r="AS17" s="97"/>
      <c r="AT17" s="97"/>
      <c r="AU17" s="97"/>
      <c r="AV17" s="98"/>
      <c r="AW17" s="98"/>
      <c r="AX17" s="98"/>
      <c r="AY17" s="98"/>
      <c r="AZ17" s="99">
        <f t="shared" si="28"/>
        <v>0</v>
      </c>
      <c r="BA17" s="53">
        <v>13</v>
      </c>
      <c r="BB17" s="83">
        <f t="shared" si="29"/>
        <v>0</v>
      </c>
      <c r="BC17" s="84">
        <f t="shared" si="23"/>
        <v>120550</v>
      </c>
    </row>
    <row r="18" spans="1:55" ht="13.5" customHeight="1">
      <c r="A18" s="53"/>
      <c r="B18" s="86">
        <f t="shared" si="24"/>
        <v>45791</v>
      </c>
      <c r="C18" s="87"/>
      <c r="D18" s="56"/>
      <c r="E18" s="57"/>
      <c r="F18" s="58"/>
      <c r="G18" s="59" t="e">
        <f t="shared" si="0"/>
        <v>#DIV/0!</v>
      </c>
      <c r="H18" s="58"/>
      <c r="I18" s="60" t="e">
        <f t="shared" si="1"/>
        <v>#DIV/0!</v>
      </c>
      <c r="J18" s="61">
        <f t="shared" si="2"/>
        <v>0</v>
      </c>
      <c r="K18" s="62" t="str">
        <f t="shared" si="3"/>
        <v/>
      </c>
      <c r="L18" s="88"/>
      <c r="M18" s="89"/>
      <c r="N18" s="90"/>
      <c r="O18" s="91" t="e">
        <f t="shared" si="4"/>
        <v>#DIV/0!</v>
      </c>
      <c r="P18" s="90"/>
      <c r="Q18" s="92" t="e">
        <f t="shared" si="5"/>
        <v>#DIV/0!</v>
      </c>
      <c r="R18" s="93">
        <f t="shared" si="30"/>
        <v>0</v>
      </c>
      <c r="S18" s="94" t="str">
        <f t="shared" si="7"/>
        <v/>
      </c>
      <c r="T18" s="70">
        <f t="shared" si="8"/>
        <v>0</v>
      </c>
      <c r="U18" s="71">
        <f t="shared" si="8"/>
        <v>0</v>
      </c>
      <c r="V18" s="59" t="e">
        <f t="shared" si="9"/>
        <v>#DIV/0!</v>
      </c>
      <c r="W18" s="71">
        <f t="shared" si="10"/>
        <v>0</v>
      </c>
      <c r="X18" s="60" t="e">
        <f t="shared" si="11"/>
        <v>#DIV/0!</v>
      </c>
      <c r="Y18" s="95">
        <f t="shared" si="25"/>
        <v>0</v>
      </c>
      <c r="Z18" s="73" t="e">
        <f t="shared" si="12"/>
        <v>#DIV/0!</v>
      </c>
      <c r="AA18" s="74">
        <f t="shared" si="13"/>
        <v>0</v>
      </c>
      <c r="AB18" s="71">
        <f t="shared" si="13"/>
        <v>0</v>
      </c>
      <c r="AC18" s="71">
        <f t="shared" si="14"/>
        <v>0</v>
      </c>
      <c r="AD18" s="75">
        <f t="shared" si="15"/>
        <v>0</v>
      </c>
      <c r="AE18" s="71" t="e">
        <f t="shared" si="16"/>
        <v>#DIV/0!</v>
      </c>
      <c r="AF18" s="76">
        <v>48</v>
      </c>
      <c r="AG18" s="77">
        <v>48</v>
      </c>
      <c r="AH18" s="58">
        <v>70350</v>
      </c>
      <c r="AI18" s="59">
        <f t="shared" si="17"/>
        <v>1465.625</v>
      </c>
      <c r="AJ18" s="58">
        <v>3600</v>
      </c>
      <c r="AK18" s="60">
        <f t="shared" si="18"/>
        <v>75</v>
      </c>
      <c r="AL18" s="96">
        <f t="shared" si="26"/>
        <v>73950</v>
      </c>
      <c r="AM18" s="79">
        <f t="shared" si="19"/>
        <v>1540.625</v>
      </c>
      <c r="AN18" s="103">
        <f t="shared" si="27"/>
        <v>0</v>
      </c>
      <c r="AO18" s="71">
        <f t="shared" si="20"/>
        <v>70350</v>
      </c>
      <c r="AP18" s="71">
        <f t="shared" si="21"/>
        <v>3600</v>
      </c>
      <c r="AQ18" s="80">
        <f t="shared" si="22"/>
        <v>73950</v>
      </c>
      <c r="AR18" s="71">
        <f t="shared" si="31"/>
        <v>0</v>
      </c>
      <c r="AS18" s="97"/>
      <c r="AT18" s="97"/>
      <c r="AU18" s="97"/>
      <c r="AV18" s="98"/>
      <c r="AW18" s="98"/>
      <c r="AX18" s="98"/>
      <c r="AY18" s="98"/>
      <c r="AZ18" s="99">
        <f t="shared" si="28"/>
        <v>0</v>
      </c>
      <c r="BA18" s="53">
        <v>14</v>
      </c>
      <c r="BB18" s="83">
        <f t="shared" si="29"/>
        <v>0</v>
      </c>
      <c r="BC18" s="84">
        <f t="shared" si="23"/>
        <v>73950</v>
      </c>
    </row>
    <row r="19" spans="1:55" ht="13.5" customHeight="1">
      <c r="A19" s="53"/>
      <c r="B19" s="86">
        <f t="shared" si="24"/>
        <v>45792</v>
      </c>
      <c r="C19" s="87"/>
      <c r="D19" s="56"/>
      <c r="E19" s="57"/>
      <c r="F19" s="58"/>
      <c r="G19" s="59" t="e">
        <f t="shared" si="0"/>
        <v>#DIV/0!</v>
      </c>
      <c r="H19" s="58"/>
      <c r="I19" s="60" t="e">
        <f t="shared" si="1"/>
        <v>#DIV/0!</v>
      </c>
      <c r="J19" s="61">
        <f t="shared" si="2"/>
        <v>0</v>
      </c>
      <c r="K19" s="62" t="str">
        <f t="shared" si="3"/>
        <v/>
      </c>
      <c r="L19" s="88"/>
      <c r="M19" s="89"/>
      <c r="N19" s="90"/>
      <c r="O19" s="91" t="e">
        <f t="shared" si="4"/>
        <v>#DIV/0!</v>
      </c>
      <c r="P19" s="90"/>
      <c r="Q19" s="92" t="e">
        <f t="shared" si="5"/>
        <v>#DIV/0!</v>
      </c>
      <c r="R19" s="93">
        <f t="shared" si="30"/>
        <v>0</v>
      </c>
      <c r="S19" s="94" t="str">
        <f t="shared" si="7"/>
        <v/>
      </c>
      <c r="T19" s="70">
        <f t="shared" si="8"/>
        <v>0</v>
      </c>
      <c r="U19" s="71">
        <f t="shared" si="8"/>
        <v>0</v>
      </c>
      <c r="V19" s="59" t="e">
        <f t="shared" si="9"/>
        <v>#DIV/0!</v>
      </c>
      <c r="W19" s="71">
        <f t="shared" si="10"/>
        <v>0</v>
      </c>
      <c r="X19" s="104" t="e">
        <f t="shared" si="11"/>
        <v>#DIV/0!</v>
      </c>
      <c r="Y19" s="95">
        <f t="shared" si="25"/>
        <v>0</v>
      </c>
      <c r="Z19" s="73" t="e">
        <f t="shared" si="12"/>
        <v>#DIV/0!</v>
      </c>
      <c r="AA19" s="74">
        <f t="shared" si="13"/>
        <v>0</v>
      </c>
      <c r="AB19" s="71">
        <f t="shared" si="13"/>
        <v>0</v>
      </c>
      <c r="AC19" s="71">
        <f t="shared" si="14"/>
        <v>0</v>
      </c>
      <c r="AD19" s="75">
        <f t="shared" si="15"/>
        <v>0</v>
      </c>
      <c r="AE19" s="71" t="e">
        <f t="shared" si="16"/>
        <v>#DIV/0!</v>
      </c>
      <c r="AF19" s="76">
        <v>55</v>
      </c>
      <c r="AG19" s="77">
        <v>55</v>
      </c>
      <c r="AH19" s="58">
        <v>67900</v>
      </c>
      <c r="AI19" s="59">
        <f t="shared" si="17"/>
        <v>1234.5454545454545</v>
      </c>
      <c r="AJ19" s="58">
        <v>7900</v>
      </c>
      <c r="AK19" s="60">
        <f t="shared" si="18"/>
        <v>143.63636363636363</v>
      </c>
      <c r="AL19" s="96">
        <f t="shared" si="26"/>
        <v>75800</v>
      </c>
      <c r="AM19" s="79">
        <f t="shared" si="19"/>
        <v>1378.1818181818182</v>
      </c>
      <c r="AN19" s="103">
        <f t="shared" si="27"/>
        <v>0</v>
      </c>
      <c r="AO19" s="71">
        <f t="shared" si="20"/>
        <v>67900</v>
      </c>
      <c r="AP19" s="71">
        <f t="shared" si="21"/>
        <v>7900</v>
      </c>
      <c r="AQ19" s="80">
        <f t="shared" si="22"/>
        <v>75800</v>
      </c>
      <c r="AR19" s="71">
        <f t="shared" si="31"/>
        <v>0</v>
      </c>
      <c r="AS19" s="97"/>
      <c r="AT19" s="97"/>
      <c r="AU19" s="97"/>
      <c r="AV19" s="98"/>
      <c r="AW19" s="98"/>
      <c r="AX19" s="98"/>
      <c r="AY19" s="98"/>
      <c r="AZ19" s="99">
        <f t="shared" si="28"/>
        <v>0</v>
      </c>
      <c r="BA19" s="53">
        <v>15</v>
      </c>
      <c r="BB19" s="83">
        <f t="shared" si="29"/>
        <v>0</v>
      </c>
      <c r="BC19" s="84">
        <f t="shared" si="23"/>
        <v>75800</v>
      </c>
    </row>
    <row r="20" spans="1:55" ht="13.5" customHeight="1">
      <c r="A20" s="53"/>
      <c r="B20" s="86">
        <f t="shared" si="24"/>
        <v>45793</v>
      </c>
      <c r="C20" s="87"/>
      <c r="D20" s="56"/>
      <c r="E20" s="57"/>
      <c r="F20" s="58"/>
      <c r="G20" s="59" t="e">
        <f t="shared" si="0"/>
        <v>#DIV/0!</v>
      </c>
      <c r="H20" s="58"/>
      <c r="I20" s="59" t="e">
        <f t="shared" si="1"/>
        <v>#DIV/0!</v>
      </c>
      <c r="J20" s="61">
        <f t="shared" si="2"/>
        <v>0</v>
      </c>
      <c r="K20" s="62" t="str">
        <f t="shared" si="3"/>
        <v/>
      </c>
      <c r="L20" s="88"/>
      <c r="M20" s="89"/>
      <c r="N20" s="90"/>
      <c r="O20" s="91" t="e">
        <f t="shared" si="4"/>
        <v>#DIV/0!</v>
      </c>
      <c r="P20" s="90"/>
      <c r="Q20" s="92" t="e">
        <f t="shared" si="5"/>
        <v>#DIV/0!</v>
      </c>
      <c r="R20" s="93">
        <f t="shared" si="30"/>
        <v>0</v>
      </c>
      <c r="S20" s="94" t="str">
        <f t="shared" si="7"/>
        <v/>
      </c>
      <c r="T20" s="70">
        <f t="shared" si="8"/>
        <v>0</v>
      </c>
      <c r="U20" s="71">
        <f t="shared" si="8"/>
        <v>0</v>
      </c>
      <c r="V20" s="59" t="e">
        <f t="shared" si="9"/>
        <v>#DIV/0!</v>
      </c>
      <c r="W20" s="71">
        <f t="shared" si="10"/>
        <v>0</v>
      </c>
      <c r="X20" s="104" t="e">
        <f t="shared" si="11"/>
        <v>#DIV/0!</v>
      </c>
      <c r="Y20" s="95">
        <f t="shared" si="25"/>
        <v>0</v>
      </c>
      <c r="Z20" s="73" t="e">
        <f t="shared" si="12"/>
        <v>#DIV/0!</v>
      </c>
      <c r="AA20" s="74">
        <f t="shared" si="13"/>
        <v>0</v>
      </c>
      <c r="AB20" s="71">
        <f t="shared" si="13"/>
        <v>0</v>
      </c>
      <c r="AC20" s="71">
        <f t="shared" si="14"/>
        <v>0</v>
      </c>
      <c r="AD20" s="75">
        <f t="shared" si="15"/>
        <v>0</v>
      </c>
      <c r="AE20" s="71" t="e">
        <f t="shared" si="16"/>
        <v>#DIV/0!</v>
      </c>
      <c r="AF20" s="76">
        <v>114</v>
      </c>
      <c r="AG20" s="77">
        <v>114</v>
      </c>
      <c r="AH20" s="58">
        <v>103700</v>
      </c>
      <c r="AI20" s="59">
        <f t="shared" si="17"/>
        <v>909.64912280701753</v>
      </c>
      <c r="AJ20" s="58">
        <v>36400</v>
      </c>
      <c r="AK20" s="60">
        <f t="shared" si="18"/>
        <v>319.29824561403507</v>
      </c>
      <c r="AL20" s="96">
        <f t="shared" si="26"/>
        <v>140100</v>
      </c>
      <c r="AM20" s="79">
        <f t="shared" si="19"/>
        <v>1228.9473684210527</v>
      </c>
      <c r="AN20" s="103">
        <f t="shared" si="27"/>
        <v>0</v>
      </c>
      <c r="AO20" s="97">
        <f t="shared" si="20"/>
        <v>103700</v>
      </c>
      <c r="AP20" s="97">
        <f t="shared" si="21"/>
        <v>36400</v>
      </c>
      <c r="AQ20" s="80">
        <f t="shared" si="22"/>
        <v>140100</v>
      </c>
      <c r="AR20" s="71">
        <f t="shared" si="31"/>
        <v>0</v>
      </c>
      <c r="AS20" s="97"/>
      <c r="AT20" s="97"/>
      <c r="AU20" s="97"/>
      <c r="AV20" s="98"/>
      <c r="AW20" s="98"/>
      <c r="AX20" s="98"/>
      <c r="AY20" s="98"/>
      <c r="AZ20" s="99">
        <f t="shared" si="28"/>
        <v>0</v>
      </c>
      <c r="BA20" s="53">
        <v>16</v>
      </c>
      <c r="BB20" s="83">
        <f t="shared" si="29"/>
        <v>0</v>
      </c>
      <c r="BC20" s="84">
        <f t="shared" si="23"/>
        <v>140100</v>
      </c>
    </row>
    <row r="21" spans="1:55" ht="15.75" customHeight="1">
      <c r="A21" s="53"/>
      <c r="B21" s="100">
        <f t="shared" si="24"/>
        <v>45794</v>
      </c>
      <c r="C21" s="87"/>
      <c r="D21" s="56"/>
      <c r="E21" s="57"/>
      <c r="F21" s="58"/>
      <c r="G21" s="59" t="e">
        <f t="shared" si="0"/>
        <v>#DIV/0!</v>
      </c>
      <c r="H21" s="58"/>
      <c r="I21" s="59" t="e">
        <f t="shared" si="1"/>
        <v>#DIV/0!</v>
      </c>
      <c r="J21" s="61">
        <f t="shared" si="2"/>
        <v>0</v>
      </c>
      <c r="K21" s="62" t="str">
        <f t="shared" si="3"/>
        <v/>
      </c>
      <c r="L21" s="88"/>
      <c r="M21" s="89"/>
      <c r="N21" s="90"/>
      <c r="O21" s="91" t="e">
        <f t="shared" si="4"/>
        <v>#DIV/0!</v>
      </c>
      <c r="P21" s="90"/>
      <c r="Q21" s="92" t="e">
        <f t="shared" si="5"/>
        <v>#DIV/0!</v>
      </c>
      <c r="R21" s="93">
        <f t="shared" si="30"/>
        <v>0</v>
      </c>
      <c r="S21" s="94" t="str">
        <f t="shared" si="7"/>
        <v/>
      </c>
      <c r="T21" s="70">
        <f t="shared" si="8"/>
        <v>0</v>
      </c>
      <c r="U21" s="71">
        <f t="shared" si="8"/>
        <v>0</v>
      </c>
      <c r="V21" s="59" t="e">
        <f t="shared" si="9"/>
        <v>#DIV/0!</v>
      </c>
      <c r="W21" s="71">
        <f t="shared" si="10"/>
        <v>0</v>
      </c>
      <c r="X21" s="104" t="e">
        <f t="shared" si="11"/>
        <v>#DIV/0!</v>
      </c>
      <c r="Y21" s="95">
        <f>U21+W21</f>
        <v>0</v>
      </c>
      <c r="Z21" s="73" t="e">
        <f t="shared" si="12"/>
        <v>#DIV/0!</v>
      </c>
      <c r="AA21" s="74">
        <f t="shared" si="13"/>
        <v>0</v>
      </c>
      <c r="AB21" s="71">
        <f t="shared" si="13"/>
        <v>0</v>
      </c>
      <c r="AC21" s="71">
        <f t="shared" si="14"/>
        <v>0</v>
      </c>
      <c r="AD21" s="75">
        <f t="shared" si="15"/>
        <v>0</v>
      </c>
      <c r="AE21" s="71" t="e">
        <f t="shared" si="16"/>
        <v>#DIV/0!</v>
      </c>
      <c r="AF21" s="76">
        <v>79</v>
      </c>
      <c r="AG21" s="77">
        <v>79</v>
      </c>
      <c r="AH21" s="58">
        <v>86200</v>
      </c>
      <c r="AI21" s="59">
        <f t="shared" si="17"/>
        <v>1091.1392405063291</v>
      </c>
      <c r="AJ21" s="58">
        <v>15000</v>
      </c>
      <c r="AK21" s="60">
        <f t="shared" si="18"/>
        <v>189.87341772151899</v>
      </c>
      <c r="AL21" s="96">
        <f t="shared" si="26"/>
        <v>101200</v>
      </c>
      <c r="AM21" s="79">
        <f t="shared" si="19"/>
        <v>1281.0126582278481</v>
      </c>
      <c r="AN21" s="103">
        <f t="shared" si="27"/>
        <v>0</v>
      </c>
      <c r="AO21" s="97">
        <f t="shared" si="20"/>
        <v>86200</v>
      </c>
      <c r="AP21" s="97">
        <f t="shared" si="21"/>
        <v>15000</v>
      </c>
      <c r="AQ21" s="80">
        <f t="shared" si="22"/>
        <v>101200</v>
      </c>
      <c r="AR21" s="71">
        <f>AV21+AW21+AX21</f>
        <v>0</v>
      </c>
      <c r="AS21" s="97"/>
      <c r="AT21" s="97"/>
      <c r="AU21" s="97"/>
      <c r="AV21" s="98"/>
      <c r="AW21" s="98"/>
      <c r="AX21" s="98"/>
      <c r="AY21" s="98"/>
      <c r="AZ21" s="99">
        <f t="shared" si="28"/>
        <v>0</v>
      </c>
      <c r="BA21" s="53">
        <v>17</v>
      </c>
      <c r="BB21" s="83">
        <f t="shared" si="29"/>
        <v>0</v>
      </c>
      <c r="BC21" s="84">
        <f t="shared" si="23"/>
        <v>101200</v>
      </c>
    </row>
    <row r="22" spans="1:55" ht="15.75" customHeight="1">
      <c r="A22" s="53"/>
      <c r="B22" s="101">
        <f t="shared" si="24"/>
        <v>45795</v>
      </c>
      <c r="C22" s="87"/>
      <c r="D22" s="56"/>
      <c r="E22" s="57"/>
      <c r="F22" s="58"/>
      <c r="G22" s="59" t="e">
        <f t="shared" si="0"/>
        <v>#DIV/0!</v>
      </c>
      <c r="H22" s="58"/>
      <c r="I22" s="59" t="e">
        <f t="shared" si="1"/>
        <v>#DIV/0!</v>
      </c>
      <c r="J22" s="61">
        <f t="shared" si="2"/>
        <v>0</v>
      </c>
      <c r="K22" s="62" t="str">
        <f t="shared" si="3"/>
        <v/>
      </c>
      <c r="L22" s="88"/>
      <c r="M22" s="89"/>
      <c r="N22" s="90"/>
      <c r="O22" s="91" t="e">
        <f t="shared" si="4"/>
        <v>#DIV/0!</v>
      </c>
      <c r="P22" s="90"/>
      <c r="Q22" s="92" t="e">
        <f t="shared" si="5"/>
        <v>#DIV/0!</v>
      </c>
      <c r="R22" s="93">
        <f t="shared" si="30"/>
        <v>0</v>
      </c>
      <c r="S22" s="94" t="str">
        <f t="shared" si="7"/>
        <v/>
      </c>
      <c r="T22" s="70">
        <f t="shared" si="8"/>
        <v>0</v>
      </c>
      <c r="U22" s="71">
        <f t="shared" si="8"/>
        <v>0</v>
      </c>
      <c r="V22" s="59" t="e">
        <f t="shared" si="9"/>
        <v>#DIV/0!</v>
      </c>
      <c r="W22" s="71">
        <f t="shared" si="10"/>
        <v>0</v>
      </c>
      <c r="X22" s="104" t="e">
        <f t="shared" si="11"/>
        <v>#DIV/0!</v>
      </c>
      <c r="Y22" s="95">
        <f t="shared" si="25"/>
        <v>0</v>
      </c>
      <c r="Z22" s="73" t="e">
        <f t="shared" si="12"/>
        <v>#DIV/0!</v>
      </c>
      <c r="AA22" s="74">
        <f t="shared" si="13"/>
        <v>0</v>
      </c>
      <c r="AB22" s="71">
        <f t="shared" si="13"/>
        <v>0</v>
      </c>
      <c r="AC22" s="71">
        <f t="shared" si="14"/>
        <v>0</v>
      </c>
      <c r="AD22" s="75">
        <f t="shared" si="15"/>
        <v>0</v>
      </c>
      <c r="AE22" s="71" t="e">
        <f t="shared" si="16"/>
        <v>#DIV/0!</v>
      </c>
      <c r="AF22" s="76">
        <v>86</v>
      </c>
      <c r="AG22" s="77">
        <v>86</v>
      </c>
      <c r="AH22" s="58">
        <v>119000</v>
      </c>
      <c r="AI22" s="59">
        <f t="shared" si="17"/>
        <v>1383.7209302325582</v>
      </c>
      <c r="AJ22" s="58">
        <v>10600</v>
      </c>
      <c r="AK22" s="60">
        <f t="shared" si="18"/>
        <v>123.25581395348837</v>
      </c>
      <c r="AL22" s="96">
        <f t="shared" si="26"/>
        <v>129600</v>
      </c>
      <c r="AM22" s="79">
        <f t="shared" si="19"/>
        <v>1506.9767441860465</v>
      </c>
      <c r="AN22" s="103">
        <f t="shared" si="27"/>
        <v>0</v>
      </c>
      <c r="AO22" s="97">
        <f t="shared" si="20"/>
        <v>119000</v>
      </c>
      <c r="AP22" s="97">
        <f t="shared" si="21"/>
        <v>10600</v>
      </c>
      <c r="AQ22" s="80">
        <f t="shared" si="22"/>
        <v>129600</v>
      </c>
      <c r="AR22" s="71">
        <f t="shared" si="31"/>
        <v>0</v>
      </c>
      <c r="AS22" s="97"/>
      <c r="AT22" s="97"/>
      <c r="AU22" s="97"/>
      <c r="AV22" s="98"/>
      <c r="AW22" s="98"/>
      <c r="AX22" s="98"/>
      <c r="AY22" s="98"/>
      <c r="AZ22" s="99">
        <f t="shared" si="28"/>
        <v>0</v>
      </c>
      <c r="BA22" s="53">
        <v>18</v>
      </c>
      <c r="BB22" s="83">
        <f t="shared" si="29"/>
        <v>0</v>
      </c>
      <c r="BC22" s="84">
        <f t="shared" si="23"/>
        <v>129600</v>
      </c>
    </row>
    <row r="23" spans="1:55" ht="15.75" customHeight="1">
      <c r="A23" s="53"/>
      <c r="B23" s="86">
        <f t="shared" si="24"/>
        <v>45796</v>
      </c>
      <c r="C23" s="87"/>
      <c r="D23" s="56"/>
      <c r="E23" s="57"/>
      <c r="F23" s="58"/>
      <c r="G23" s="59" t="e">
        <f t="shared" si="0"/>
        <v>#DIV/0!</v>
      </c>
      <c r="H23" s="58"/>
      <c r="I23" s="59" t="e">
        <f t="shared" si="1"/>
        <v>#DIV/0!</v>
      </c>
      <c r="J23" s="61">
        <f t="shared" si="2"/>
        <v>0</v>
      </c>
      <c r="K23" s="62" t="str">
        <f t="shared" si="3"/>
        <v/>
      </c>
      <c r="L23" s="88"/>
      <c r="M23" s="89"/>
      <c r="N23" s="90"/>
      <c r="O23" s="91" t="e">
        <f t="shared" si="4"/>
        <v>#DIV/0!</v>
      </c>
      <c r="P23" s="90"/>
      <c r="Q23" s="92" t="e">
        <f t="shared" si="5"/>
        <v>#DIV/0!</v>
      </c>
      <c r="R23" s="93">
        <f t="shared" si="30"/>
        <v>0</v>
      </c>
      <c r="S23" s="94" t="str">
        <f t="shared" si="7"/>
        <v/>
      </c>
      <c r="T23" s="70">
        <f t="shared" si="8"/>
        <v>0</v>
      </c>
      <c r="U23" s="71">
        <f t="shared" si="8"/>
        <v>0</v>
      </c>
      <c r="V23" s="59" t="e">
        <f t="shared" si="9"/>
        <v>#DIV/0!</v>
      </c>
      <c r="W23" s="71">
        <f t="shared" si="10"/>
        <v>0</v>
      </c>
      <c r="X23" s="104" t="e">
        <f t="shared" si="11"/>
        <v>#DIV/0!</v>
      </c>
      <c r="Y23" s="95">
        <f t="shared" si="25"/>
        <v>0</v>
      </c>
      <c r="Z23" s="73" t="e">
        <f t="shared" si="12"/>
        <v>#DIV/0!</v>
      </c>
      <c r="AA23" s="74">
        <f t="shared" si="13"/>
        <v>0</v>
      </c>
      <c r="AB23" s="71">
        <f t="shared" si="13"/>
        <v>0</v>
      </c>
      <c r="AC23" s="71">
        <f t="shared" si="14"/>
        <v>0</v>
      </c>
      <c r="AD23" s="75">
        <f t="shared" si="15"/>
        <v>0</v>
      </c>
      <c r="AE23" s="71" t="e">
        <f t="shared" si="16"/>
        <v>#DIV/0!</v>
      </c>
      <c r="AF23" s="76">
        <v>45</v>
      </c>
      <c r="AG23" s="77">
        <v>45</v>
      </c>
      <c r="AH23" s="58">
        <v>59350</v>
      </c>
      <c r="AI23" s="59">
        <f t="shared" si="17"/>
        <v>1318.8888888888889</v>
      </c>
      <c r="AJ23" s="58">
        <v>2800</v>
      </c>
      <c r="AK23" s="60">
        <f t="shared" si="18"/>
        <v>62.222222222222221</v>
      </c>
      <c r="AL23" s="96">
        <f t="shared" si="26"/>
        <v>62150</v>
      </c>
      <c r="AM23" s="79">
        <f t="shared" si="19"/>
        <v>1381.1111111111111</v>
      </c>
      <c r="AN23" s="103">
        <f t="shared" si="27"/>
        <v>0</v>
      </c>
      <c r="AO23" s="97">
        <f t="shared" si="20"/>
        <v>59350</v>
      </c>
      <c r="AP23" s="97">
        <f t="shared" si="21"/>
        <v>2800</v>
      </c>
      <c r="AQ23" s="80">
        <f t="shared" si="22"/>
        <v>62150</v>
      </c>
      <c r="AR23" s="71">
        <f t="shared" si="31"/>
        <v>0</v>
      </c>
      <c r="AS23" s="97"/>
      <c r="AT23" s="97"/>
      <c r="AU23" s="97"/>
      <c r="AV23" s="98"/>
      <c r="AW23" s="98"/>
      <c r="AX23" s="98"/>
      <c r="AY23" s="98"/>
      <c r="AZ23" s="99">
        <f t="shared" si="28"/>
        <v>0</v>
      </c>
      <c r="BA23" s="53">
        <v>19</v>
      </c>
      <c r="BB23" s="83">
        <f t="shared" si="29"/>
        <v>0</v>
      </c>
      <c r="BC23" s="84">
        <f t="shared" si="23"/>
        <v>62150</v>
      </c>
    </row>
    <row r="24" spans="1:55" ht="15.75" customHeight="1">
      <c r="A24" s="53"/>
      <c r="B24" s="86">
        <f t="shared" si="24"/>
        <v>45797</v>
      </c>
      <c r="C24" s="87"/>
      <c r="D24" s="56"/>
      <c r="E24" s="57"/>
      <c r="F24" s="58"/>
      <c r="G24" s="59" t="e">
        <f t="shared" si="0"/>
        <v>#DIV/0!</v>
      </c>
      <c r="H24" s="58"/>
      <c r="I24" s="59" t="e">
        <f t="shared" si="1"/>
        <v>#DIV/0!</v>
      </c>
      <c r="J24" s="61">
        <f t="shared" si="2"/>
        <v>0</v>
      </c>
      <c r="K24" s="62" t="str">
        <f t="shared" si="3"/>
        <v/>
      </c>
      <c r="L24" s="88"/>
      <c r="M24" s="89"/>
      <c r="N24" s="90"/>
      <c r="O24" s="91" t="e">
        <f t="shared" si="4"/>
        <v>#DIV/0!</v>
      </c>
      <c r="P24" s="90"/>
      <c r="Q24" s="92" t="e">
        <f t="shared" si="5"/>
        <v>#DIV/0!</v>
      </c>
      <c r="R24" s="93">
        <f t="shared" si="30"/>
        <v>0</v>
      </c>
      <c r="S24" s="94" t="str">
        <f t="shared" si="7"/>
        <v/>
      </c>
      <c r="T24" s="70">
        <f t="shared" si="8"/>
        <v>0</v>
      </c>
      <c r="U24" s="71">
        <f t="shared" si="8"/>
        <v>0</v>
      </c>
      <c r="V24" s="59" t="e">
        <f t="shared" si="9"/>
        <v>#DIV/0!</v>
      </c>
      <c r="W24" s="71">
        <f t="shared" si="10"/>
        <v>0</v>
      </c>
      <c r="X24" s="104" t="e">
        <f t="shared" si="11"/>
        <v>#DIV/0!</v>
      </c>
      <c r="Y24" s="95">
        <f t="shared" si="25"/>
        <v>0</v>
      </c>
      <c r="Z24" s="73" t="e">
        <f t="shared" si="12"/>
        <v>#DIV/0!</v>
      </c>
      <c r="AA24" s="74">
        <f t="shared" si="13"/>
        <v>0</v>
      </c>
      <c r="AB24" s="71">
        <f t="shared" si="13"/>
        <v>0</v>
      </c>
      <c r="AC24" s="71">
        <f t="shared" si="14"/>
        <v>0</v>
      </c>
      <c r="AD24" s="75">
        <f t="shared" si="15"/>
        <v>0</v>
      </c>
      <c r="AE24" s="71" t="e">
        <f t="shared" si="16"/>
        <v>#DIV/0!</v>
      </c>
      <c r="AF24" s="76">
        <v>63</v>
      </c>
      <c r="AG24" s="77">
        <v>63</v>
      </c>
      <c r="AH24" s="58">
        <v>98900</v>
      </c>
      <c r="AI24" s="59">
        <f t="shared" si="17"/>
        <v>1569.8412698412699</v>
      </c>
      <c r="AJ24" s="58">
        <v>5000</v>
      </c>
      <c r="AK24" s="60">
        <f t="shared" si="18"/>
        <v>79.365079365079367</v>
      </c>
      <c r="AL24" s="96">
        <f t="shared" si="26"/>
        <v>103900</v>
      </c>
      <c r="AM24" s="79">
        <f t="shared" si="19"/>
        <v>1649.2063492063492</v>
      </c>
      <c r="AN24" s="103">
        <f t="shared" si="27"/>
        <v>0</v>
      </c>
      <c r="AO24" s="97">
        <f t="shared" si="20"/>
        <v>98900</v>
      </c>
      <c r="AP24" s="97">
        <f t="shared" si="21"/>
        <v>5000</v>
      </c>
      <c r="AQ24" s="80">
        <f t="shared" si="22"/>
        <v>103900</v>
      </c>
      <c r="AR24" s="71">
        <f t="shared" si="31"/>
        <v>0</v>
      </c>
      <c r="AS24" s="97"/>
      <c r="AT24" s="97"/>
      <c r="AU24" s="97"/>
      <c r="AV24" s="98"/>
      <c r="AW24" s="98"/>
      <c r="AX24" s="98"/>
      <c r="AY24" s="98"/>
      <c r="AZ24" s="99">
        <f t="shared" si="28"/>
        <v>0</v>
      </c>
      <c r="BA24" s="53">
        <v>20</v>
      </c>
      <c r="BB24" s="83">
        <f t="shared" si="29"/>
        <v>0</v>
      </c>
      <c r="BC24" s="84">
        <f t="shared" si="23"/>
        <v>103900</v>
      </c>
    </row>
    <row r="25" spans="1:55" ht="15.75" customHeight="1">
      <c r="A25" s="53"/>
      <c r="B25" s="86">
        <f t="shared" si="24"/>
        <v>45798</v>
      </c>
      <c r="C25" s="87"/>
      <c r="D25" s="56"/>
      <c r="E25" s="57"/>
      <c r="F25" s="58"/>
      <c r="G25" s="59" t="e">
        <f t="shared" si="0"/>
        <v>#DIV/0!</v>
      </c>
      <c r="H25" s="58"/>
      <c r="I25" s="59" t="e">
        <f t="shared" si="1"/>
        <v>#DIV/0!</v>
      </c>
      <c r="J25" s="61">
        <f t="shared" si="2"/>
        <v>0</v>
      </c>
      <c r="K25" s="62" t="str">
        <f t="shared" si="3"/>
        <v/>
      </c>
      <c r="L25" s="88"/>
      <c r="M25" s="89"/>
      <c r="N25" s="90"/>
      <c r="O25" s="91" t="e">
        <f t="shared" si="4"/>
        <v>#DIV/0!</v>
      </c>
      <c r="P25" s="90"/>
      <c r="Q25" s="92" t="e">
        <f t="shared" si="5"/>
        <v>#DIV/0!</v>
      </c>
      <c r="R25" s="93">
        <f t="shared" si="30"/>
        <v>0</v>
      </c>
      <c r="S25" s="94" t="str">
        <f t="shared" si="7"/>
        <v/>
      </c>
      <c r="T25" s="70">
        <f t="shared" si="8"/>
        <v>0</v>
      </c>
      <c r="U25" s="71">
        <f t="shared" si="8"/>
        <v>0</v>
      </c>
      <c r="V25" s="59" t="e">
        <f t="shared" si="9"/>
        <v>#DIV/0!</v>
      </c>
      <c r="W25" s="71">
        <f t="shared" si="10"/>
        <v>0</v>
      </c>
      <c r="X25" s="104" t="e">
        <f t="shared" si="11"/>
        <v>#DIV/0!</v>
      </c>
      <c r="Y25" s="95">
        <f t="shared" si="25"/>
        <v>0</v>
      </c>
      <c r="Z25" s="73" t="e">
        <f t="shared" si="12"/>
        <v>#DIV/0!</v>
      </c>
      <c r="AA25" s="74">
        <f t="shared" si="13"/>
        <v>0</v>
      </c>
      <c r="AB25" s="71">
        <f t="shared" si="13"/>
        <v>0</v>
      </c>
      <c r="AC25" s="71">
        <f t="shared" si="14"/>
        <v>0</v>
      </c>
      <c r="AD25" s="75">
        <f t="shared" si="15"/>
        <v>0</v>
      </c>
      <c r="AE25" s="71" t="e">
        <f t="shared" si="16"/>
        <v>#DIV/0!</v>
      </c>
      <c r="AF25" s="76">
        <v>59</v>
      </c>
      <c r="AG25" s="77">
        <v>59</v>
      </c>
      <c r="AH25" s="58">
        <v>62050</v>
      </c>
      <c r="AI25" s="59">
        <f t="shared" si="17"/>
        <v>1051.6949152542372</v>
      </c>
      <c r="AJ25" s="58">
        <v>5800</v>
      </c>
      <c r="AK25" s="60">
        <f t="shared" si="18"/>
        <v>98.305084745762713</v>
      </c>
      <c r="AL25" s="96">
        <f t="shared" si="26"/>
        <v>67850</v>
      </c>
      <c r="AM25" s="79">
        <f t="shared" si="19"/>
        <v>1150</v>
      </c>
      <c r="AN25" s="103">
        <f t="shared" si="27"/>
        <v>0</v>
      </c>
      <c r="AO25" s="97">
        <f t="shared" si="20"/>
        <v>62050</v>
      </c>
      <c r="AP25" s="97">
        <f t="shared" si="21"/>
        <v>5800</v>
      </c>
      <c r="AQ25" s="80">
        <f t="shared" si="22"/>
        <v>67850</v>
      </c>
      <c r="AR25" s="71">
        <f t="shared" si="31"/>
        <v>0</v>
      </c>
      <c r="AS25" s="97"/>
      <c r="AT25" s="97"/>
      <c r="AU25" s="97"/>
      <c r="AV25" s="98"/>
      <c r="AW25" s="98"/>
      <c r="AX25" s="98"/>
      <c r="AY25" s="98"/>
      <c r="AZ25" s="99">
        <f t="shared" si="28"/>
        <v>0</v>
      </c>
      <c r="BA25" s="53">
        <v>21</v>
      </c>
      <c r="BB25" s="83">
        <f t="shared" si="29"/>
        <v>0</v>
      </c>
      <c r="BC25" s="84">
        <f t="shared" si="23"/>
        <v>67850</v>
      </c>
    </row>
    <row r="26" spans="1:55" ht="15.75" customHeight="1">
      <c r="A26" s="53"/>
      <c r="B26" s="86">
        <f t="shared" si="24"/>
        <v>45799</v>
      </c>
      <c r="C26" s="87"/>
      <c r="D26" s="56"/>
      <c r="E26" s="57"/>
      <c r="F26" s="58"/>
      <c r="G26" s="59" t="e">
        <f t="shared" si="0"/>
        <v>#DIV/0!</v>
      </c>
      <c r="H26" s="58"/>
      <c r="I26" s="59" t="e">
        <f t="shared" si="1"/>
        <v>#DIV/0!</v>
      </c>
      <c r="J26" s="61">
        <f t="shared" si="2"/>
        <v>0</v>
      </c>
      <c r="K26" s="62" t="str">
        <f t="shared" si="3"/>
        <v/>
      </c>
      <c r="L26" s="88"/>
      <c r="M26" s="89"/>
      <c r="N26" s="90"/>
      <c r="O26" s="91" t="e">
        <f t="shared" si="4"/>
        <v>#DIV/0!</v>
      </c>
      <c r="P26" s="90"/>
      <c r="Q26" s="92" t="e">
        <f t="shared" si="5"/>
        <v>#DIV/0!</v>
      </c>
      <c r="R26" s="93">
        <f t="shared" si="30"/>
        <v>0</v>
      </c>
      <c r="S26" s="94" t="str">
        <f t="shared" si="7"/>
        <v/>
      </c>
      <c r="T26" s="70">
        <f t="shared" si="8"/>
        <v>0</v>
      </c>
      <c r="U26" s="71">
        <f t="shared" si="8"/>
        <v>0</v>
      </c>
      <c r="V26" s="59" t="e">
        <f t="shared" si="9"/>
        <v>#DIV/0!</v>
      </c>
      <c r="W26" s="71">
        <f t="shared" si="10"/>
        <v>0</v>
      </c>
      <c r="X26" s="104" t="e">
        <f t="shared" si="11"/>
        <v>#DIV/0!</v>
      </c>
      <c r="Y26" s="95">
        <f t="shared" si="25"/>
        <v>0</v>
      </c>
      <c r="Z26" s="73" t="e">
        <f t="shared" si="12"/>
        <v>#DIV/0!</v>
      </c>
      <c r="AA26" s="74">
        <f t="shared" si="13"/>
        <v>0</v>
      </c>
      <c r="AB26" s="71">
        <f t="shared" si="13"/>
        <v>0</v>
      </c>
      <c r="AC26" s="71">
        <f t="shared" si="14"/>
        <v>0</v>
      </c>
      <c r="AD26" s="75">
        <f t="shared" si="15"/>
        <v>0</v>
      </c>
      <c r="AE26" s="71" t="e">
        <f t="shared" si="16"/>
        <v>#DIV/0!</v>
      </c>
      <c r="AF26" s="76">
        <v>53</v>
      </c>
      <c r="AG26" s="77">
        <v>53</v>
      </c>
      <c r="AH26" s="58">
        <v>68200</v>
      </c>
      <c r="AI26" s="59">
        <f t="shared" si="17"/>
        <v>1286.7924528301887</v>
      </c>
      <c r="AJ26" s="58">
        <v>1900</v>
      </c>
      <c r="AK26" s="60">
        <f t="shared" si="18"/>
        <v>35.849056603773583</v>
      </c>
      <c r="AL26" s="96">
        <f t="shared" si="26"/>
        <v>70100</v>
      </c>
      <c r="AM26" s="79">
        <f t="shared" si="19"/>
        <v>1322.6415094339623</v>
      </c>
      <c r="AN26" s="103">
        <f t="shared" si="27"/>
        <v>0</v>
      </c>
      <c r="AO26" s="97">
        <f t="shared" si="20"/>
        <v>68200</v>
      </c>
      <c r="AP26" s="97">
        <f t="shared" si="21"/>
        <v>1900</v>
      </c>
      <c r="AQ26" s="80">
        <f t="shared" si="22"/>
        <v>70100</v>
      </c>
      <c r="AR26" s="71">
        <f t="shared" si="31"/>
        <v>0</v>
      </c>
      <c r="AS26" s="97"/>
      <c r="AT26" s="97"/>
      <c r="AU26" s="97"/>
      <c r="AV26" s="98"/>
      <c r="AW26" s="98"/>
      <c r="AX26" s="98"/>
      <c r="AY26" s="98"/>
      <c r="AZ26" s="99">
        <f t="shared" si="28"/>
        <v>0</v>
      </c>
      <c r="BA26" s="53">
        <v>22</v>
      </c>
      <c r="BB26" s="83">
        <f t="shared" si="29"/>
        <v>0</v>
      </c>
      <c r="BC26" s="84">
        <f t="shared" si="23"/>
        <v>70100</v>
      </c>
    </row>
    <row r="27" spans="1:55" ht="15.75" customHeight="1">
      <c r="A27" s="53"/>
      <c r="B27" s="86">
        <f t="shared" si="24"/>
        <v>45800</v>
      </c>
      <c r="C27" s="87"/>
      <c r="D27" s="56"/>
      <c r="E27" s="57"/>
      <c r="F27" s="58"/>
      <c r="G27" s="59" t="e">
        <f t="shared" si="0"/>
        <v>#DIV/0!</v>
      </c>
      <c r="H27" s="58"/>
      <c r="I27" s="59" t="e">
        <f t="shared" si="1"/>
        <v>#DIV/0!</v>
      </c>
      <c r="J27" s="61">
        <f t="shared" si="2"/>
        <v>0</v>
      </c>
      <c r="K27" s="62" t="str">
        <f t="shared" si="3"/>
        <v/>
      </c>
      <c r="L27" s="88"/>
      <c r="M27" s="89"/>
      <c r="N27" s="90"/>
      <c r="O27" s="91" t="e">
        <f t="shared" si="4"/>
        <v>#DIV/0!</v>
      </c>
      <c r="P27" s="90"/>
      <c r="Q27" s="92" t="e">
        <f t="shared" si="5"/>
        <v>#DIV/0!</v>
      </c>
      <c r="R27" s="93">
        <f t="shared" si="30"/>
        <v>0</v>
      </c>
      <c r="S27" s="94" t="str">
        <f t="shared" si="7"/>
        <v/>
      </c>
      <c r="T27" s="70">
        <f t="shared" si="8"/>
        <v>0</v>
      </c>
      <c r="U27" s="71">
        <f t="shared" si="8"/>
        <v>0</v>
      </c>
      <c r="V27" s="59" t="e">
        <f t="shared" si="9"/>
        <v>#DIV/0!</v>
      </c>
      <c r="W27" s="71">
        <f t="shared" si="10"/>
        <v>0</v>
      </c>
      <c r="X27" s="60" t="e">
        <f t="shared" si="11"/>
        <v>#DIV/0!</v>
      </c>
      <c r="Y27" s="95">
        <f t="shared" si="25"/>
        <v>0</v>
      </c>
      <c r="Z27" s="73" t="e">
        <f t="shared" si="12"/>
        <v>#DIV/0!</v>
      </c>
      <c r="AA27" s="74">
        <f t="shared" si="13"/>
        <v>0</v>
      </c>
      <c r="AB27" s="71">
        <f t="shared" si="13"/>
        <v>0</v>
      </c>
      <c r="AC27" s="71">
        <f t="shared" si="14"/>
        <v>0</v>
      </c>
      <c r="AD27" s="75">
        <f t="shared" si="15"/>
        <v>0</v>
      </c>
      <c r="AE27" s="71" t="e">
        <f t="shared" si="16"/>
        <v>#DIV/0!</v>
      </c>
      <c r="AF27" s="76">
        <v>137</v>
      </c>
      <c r="AG27" s="77">
        <v>137</v>
      </c>
      <c r="AH27" s="58">
        <v>92550</v>
      </c>
      <c r="AI27" s="59">
        <f t="shared" si="17"/>
        <v>675.54744525547449</v>
      </c>
      <c r="AJ27" s="58">
        <v>39600</v>
      </c>
      <c r="AK27" s="60">
        <f t="shared" si="18"/>
        <v>289.05109489051097</v>
      </c>
      <c r="AL27" s="96">
        <f t="shared" si="26"/>
        <v>132150</v>
      </c>
      <c r="AM27" s="79">
        <f t="shared" si="19"/>
        <v>964.59854014598545</v>
      </c>
      <c r="AN27" s="103">
        <f t="shared" si="27"/>
        <v>0</v>
      </c>
      <c r="AO27" s="97">
        <f t="shared" si="20"/>
        <v>92550</v>
      </c>
      <c r="AP27" s="97">
        <f t="shared" si="21"/>
        <v>39600</v>
      </c>
      <c r="AQ27" s="80">
        <f t="shared" si="22"/>
        <v>132150</v>
      </c>
      <c r="AR27" s="71">
        <f t="shared" si="31"/>
        <v>0</v>
      </c>
      <c r="AS27" s="97"/>
      <c r="AT27" s="97"/>
      <c r="AU27" s="97"/>
      <c r="AV27" s="98"/>
      <c r="AW27" s="98"/>
      <c r="AX27" s="98"/>
      <c r="AY27" s="98"/>
      <c r="AZ27" s="99">
        <f t="shared" si="28"/>
        <v>0</v>
      </c>
      <c r="BA27" s="53">
        <v>23</v>
      </c>
      <c r="BB27" s="83">
        <f t="shared" si="29"/>
        <v>0</v>
      </c>
      <c r="BC27" s="84">
        <f t="shared" si="23"/>
        <v>132150</v>
      </c>
    </row>
    <row r="28" spans="1:55" ht="15.75" customHeight="1">
      <c r="A28" s="53"/>
      <c r="B28" s="100">
        <f t="shared" si="24"/>
        <v>45801</v>
      </c>
      <c r="C28" s="87"/>
      <c r="D28" s="56"/>
      <c r="E28" s="57"/>
      <c r="F28" s="58"/>
      <c r="G28" s="59" t="e">
        <f t="shared" si="0"/>
        <v>#DIV/0!</v>
      </c>
      <c r="H28" s="58"/>
      <c r="I28" s="59" t="e">
        <f t="shared" si="1"/>
        <v>#DIV/0!</v>
      </c>
      <c r="J28" s="61">
        <f t="shared" si="2"/>
        <v>0</v>
      </c>
      <c r="K28" s="62" t="str">
        <f t="shared" si="3"/>
        <v/>
      </c>
      <c r="L28" s="88"/>
      <c r="M28" s="89"/>
      <c r="N28" s="90"/>
      <c r="O28" s="91" t="e">
        <f t="shared" si="4"/>
        <v>#DIV/0!</v>
      </c>
      <c r="P28" s="90"/>
      <c r="Q28" s="92" t="e">
        <f t="shared" si="5"/>
        <v>#DIV/0!</v>
      </c>
      <c r="R28" s="93">
        <f t="shared" si="30"/>
        <v>0</v>
      </c>
      <c r="S28" s="94" t="str">
        <f t="shared" si="7"/>
        <v/>
      </c>
      <c r="T28" s="70">
        <f t="shared" si="8"/>
        <v>0</v>
      </c>
      <c r="U28" s="71">
        <f t="shared" si="8"/>
        <v>0</v>
      </c>
      <c r="V28" s="59" t="e">
        <f t="shared" si="9"/>
        <v>#DIV/0!</v>
      </c>
      <c r="W28" s="71">
        <f t="shared" si="10"/>
        <v>0</v>
      </c>
      <c r="X28" s="60" t="e">
        <f t="shared" si="11"/>
        <v>#DIV/0!</v>
      </c>
      <c r="Y28" s="95">
        <f t="shared" si="25"/>
        <v>0</v>
      </c>
      <c r="Z28" s="73" t="e">
        <f t="shared" si="12"/>
        <v>#DIV/0!</v>
      </c>
      <c r="AA28" s="74">
        <f t="shared" si="13"/>
        <v>0</v>
      </c>
      <c r="AB28" s="71">
        <f t="shared" si="13"/>
        <v>0</v>
      </c>
      <c r="AC28" s="71">
        <f t="shared" si="14"/>
        <v>0</v>
      </c>
      <c r="AD28" s="75">
        <f t="shared" si="15"/>
        <v>0</v>
      </c>
      <c r="AE28" s="71" t="e">
        <f t="shared" si="16"/>
        <v>#DIV/0!</v>
      </c>
      <c r="AF28" s="76">
        <v>82</v>
      </c>
      <c r="AG28" s="77">
        <v>82</v>
      </c>
      <c r="AH28" s="58">
        <v>91700</v>
      </c>
      <c r="AI28" s="59">
        <f t="shared" si="17"/>
        <v>1118.2926829268292</v>
      </c>
      <c r="AJ28" s="58">
        <v>13900</v>
      </c>
      <c r="AK28" s="60">
        <f t="shared" si="18"/>
        <v>169.51219512195121</v>
      </c>
      <c r="AL28" s="96">
        <f t="shared" si="26"/>
        <v>105600</v>
      </c>
      <c r="AM28" s="79">
        <f t="shared" si="19"/>
        <v>1287.8048780487804</v>
      </c>
      <c r="AN28" s="103">
        <f t="shared" si="27"/>
        <v>0</v>
      </c>
      <c r="AO28" s="97">
        <f t="shared" si="20"/>
        <v>91700</v>
      </c>
      <c r="AP28" s="97">
        <f t="shared" si="21"/>
        <v>13900</v>
      </c>
      <c r="AQ28" s="80">
        <f t="shared" si="22"/>
        <v>105600</v>
      </c>
      <c r="AR28" s="71">
        <f t="shared" si="31"/>
        <v>0</v>
      </c>
      <c r="AS28" s="97"/>
      <c r="AT28" s="97"/>
      <c r="AU28" s="97"/>
      <c r="AV28" s="98"/>
      <c r="AW28" s="98"/>
      <c r="AX28" s="98"/>
      <c r="AY28" s="98"/>
      <c r="AZ28" s="99">
        <f t="shared" si="28"/>
        <v>0</v>
      </c>
      <c r="BA28" s="53">
        <v>24</v>
      </c>
      <c r="BB28" s="83">
        <f t="shared" si="29"/>
        <v>0</v>
      </c>
      <c r="BC28" s="84">
        <f t="shared" si="23"/>
        <v>105600</v>
      </c>
    </row>
    <row r="29" spans="1:55" ht="15.75" customHeight="1">
      <c r="A29" s="53"/>
      <c r="B29" s="101">
        <f t="shared" si="24"/>
        <v>45802</v>
      </c>
      <c r="C29" s="87"/>
      <c r="D29" s="56"/>
      <c r="E29" s="57"/>
      <c r="F29" s="58"/>
      <c r="G29" s="59" t="e">
        <f t="shared" si="0"/>
        <v>#DIV/0!</v>
      </c>
      <c r="H29" s="58"/>
      <c r="I29" s="59" t="e">
        <f t="shared" si="1"/>
        <v>#DIV/0!</v>
      </c>
      <c r="J29" s="61">
        <f t="shared" si="2"/>
        <v>0</v>
      </c>
      <c r="K29" s="62" t="str">
        <f t="shared" si="3"/>
        <v/>
      </c>
      <c r="L29" s="88"/>
      <c r="M29" s="89"/>
      <c r="N29" s="90"/>
      <c r="O29" s="91" t="e">
        <f t="shared" si="4"/>
        <v>#DIV/0!</v>
      </c>
      <c r="P29" s="90"/>
      <c r="Q29" s="92" t="e">
        <f t="shared" si="5"/>
        <v>#DIV/0!</v>
      </c>
      <c r="R29" s="93">
        <f t="shared" si="30"/>
        <v>0</v>
      </c>
      <c r="S29" s="94" t="str">
        <f t="shared" si="7"/>
        <v/>
      </c>
      <c r="T29" s="70">
        <f t="shared" si="8"/>
        <v>0</v>
      </c>
      <c r="U29" s="71">
        <f t="shared" si="8"/>
        <v>0</v>
      </c>
      <c r="V29" s="59" t="e">
        <f t="shared" si="9"/>
        <v>#DIV/0!</v>
      </c>
      <c r="W29" s="71">
        <f t="shared" si="10"/>
        <v>0</v>
      </c>
      <c r="X29" s="60" t="e">
        <f t="shared" si="11"/>
        <v>#DIV/0!</v>
      </c>
      <c r="Y29" s="95">
        <f t="shared" si="25"/>
        <v>0</v>
      </c>
      <c r="Z29" s="73" t="e">
        <f t="shared" si="12"/>
        <v>#DIV/0!</v>
      </c>
      <c r="AA29" s="74">
        <f t="shared" si="13"/>
        <v>0</v>
      </c>
      <c r="AB29" s="71">
        <f t="shared" si="13"/>
        <v>0</v>
      </c>
      <c r="AC29" s="71">
        <f t="shared" si="14"/>
        <v>0</v>
      </c>
      <c r="AD29" s="75">
        <f t="shared" si="15"/>
        <v>0</v>
      </c>
      <c r="AE29" s="71" t="e">
        <f t="shared" si="16"/>
        <v>#DIV/0!</v>
      </c>
      <c r="AF29" s="76">
        <v>79</v>
      </c>
      <c r="AG29" s="77">
        <v>79</v>
      </c>
      <c r="AH29" s="58">
        <v>85250</v>
      </c>
      <c r="AI29" s="59">
        <f t="shared" si="17"/>
        <v>1079.1139240506329</v>
      </c>
      <c r="AJ29" s="58">
        <v>15000</v>
      </c>
      <c r="AK29" s="60">
        <f t="shared" si="18"/>
        <v>189.87341772151899</v>
      </c>
      <c r="AL29" s="96">
        <f t="shared" si="26"/>
        <v>100250</v>
      </c>
      <c r="AM29" s="79">
        <f t="shared" si="19"/>
        <v>1268.9873417721519</v>
      </c>
      <c r="AN29" s="103">
        <f t="shared" si="27"/>
        <v>0</v>
      </c>
      <c r="AO29" s="97">
        <f t="shared" si="20"/>
        <v>85250</v>
      </c>
      <c r="AP29" s="97">
        <f t="shared" si="21"/>
        <v>15000</v>
      </c>
      <c r="AQ29" s="80">
        <f t="shared" si="22"/>
        <v>100250</v>
      </c>
      <c r="AR29" s="71">
        <f t="shared" si="31"/>
        <v>0</v>
      </c>
      <c r="AS29" s="97"/>
      <c r="AT29" s="97"/>
      <c r="AU29" s="97"/>
      <c r="AV29" s="98"/>
      <c r="AW29" s="98"/>
      <c r="AX29" s="98"/>
      <c r="AY29" s="98"/>
      <c r="AZ29" s="99">
        <f t="shared" si="28"/>
        <v>0</v>
      </c>
      <c r="BA29" s="53">
        <v>25</v>
      </c>
      <c r="BB29" s="83">
        <f t="shared" si="29"/>
        <v>0</v>
      </c>
      <c r="BC29" s="84">
        <f t="shared" si="23"/>
        <v>100250</v>
      </c>
    </row>
    <row r="30" spans="1:55" ht="15.75" customHeight="1">
      <c r="A30" s="53"/>
      <c r="B30" s="86">
        <f t="shared" si="24"/>
        <v>45803</v>
      </c>
      <c r="C30" s="87"/>
      <c r="D30" s="56"/>
      <c r="E30" s="57"/>
      <c r="F30" s="58"/>
      <c r="G30" s="59" t="e">
        <f>ROUNDDOWN(F30/1.1,0)/E30</f>
        <v>#DIV/0!</v>
      </c>
      <c r="H30" s="58"/>
      <c r="I30" s="59" t="e">
        <f>ROUNDDOWN(H30/1.1,0)/E30</f>
        <v>#DIV/0!</v>
      </c>
      <c r="J30" s="61">
        <f t="shared" si="2"/>
        <v>0</v>
      </c>
      <c r="K30" s="62" t="str">
        <f>IF(E30="","",J30/E30)</f>
        <v/>
      </c>
      <c r="L30" s="88"/>
      <c r="M30" s="89"/>
      <c r="N30" s="90"/>
      <c r="O30" s="91" t="e">
        <f t="shared" si="4"/>
        <v>#DIV/0!</v>
      </c>
      <c r="P30" s="90"/>
      <c r="Q30" s="92" t="e">
        <f t="shared" si="5"/>
        <v>#DIV/0!</v>
      </c>
      <c r="R30" s="93">
        <f t="shared" si="30"/>
        <v>0</v>
      </c>
      <c r="S30" s="94" t="str">
        <f t="shared" si="7"/>
        <v/>
      </c>
      <c r="T30" s="70">
        <f t="shared" si="8"/>
        <v>0</v>
      </c>
      <c r="U30" s="71">
        <f t="shared" si="8"/>
        <v>0</v>
      </c>
      <c r="V30" s="59" t="e">
        <f t="shared" si="9"/>
        <v>#DIV/0!</v>
      </c>
      <c r="W30" s="71">
        <f t="shared" si="10"/>
        <v>0</v>
      </c>
      <c r="X30" s="59" t="e">
        <f t="shared" si="11"/>
        <v>#DIV/0!</v>
      </c>
      <c r="Y30" s="95">
        <f t="shared" si="25"/>
        <v>0</v>
      </c>
      <c r="Z30" s="73" t="e">
        <f t="shared" si="12"/>
        <v>#DIV/0!</v>
      </c>
      <c r="AA30" s="74">
        <f t="shared" si="13"/>
        <v>0</v>
      </c>
      <c r="AB30" s="71">
        <f t="shared" si="13"/>
        <v>0</v>
      </c>
      <c r="AC30" s="71">
        <f t="shared" si="14"/>
        <v>0</v>
      </c>
      <c r="AD30" s="75">
        <f t="shared" si="15"/>
        <v>0</v>
      </c>
      <c r="AE30" s="71" t="e">
        <f t="shared" si="16"/>
        <v>#DIV/0!</v>
      </c>
      <c r="AF30" s="76">
        <v>49</v>
      </c>
      <c r="AG30" s="77">
        <v>49</v>
      </c>
      <c r="AH30" s="58">
        <v>61750</v>
      </c>
      <c r="AI30" s="59">
        <f t="shared" si="17"/>
        <v>1260.204081632653</v>
      </c>
      <c r="AJ30" s="58">
        <v>4300</v>
      </c>
      <c r="AK30" s="60">
        <f t="shared" si="18"/>
        <v>87.755102040816325</v>
      </c>
      <c r="AL30" s="96">
        <f t="shared" si="26"/>
        <v>66050</v>
      </c>
      <c r="AM30" s="79">
        <f t="shared" si="19"/>
        <v>1347.9591836734694</v>
      </c>
      <c r="AN30" s="103">
        <f t="shared" si="27"/>
        <v>0</v>
      </c>
      <c r="AO30" s="97">
        <f t="shared" si="20"/>
        <v>61750</v>
      </c>
      <c r="AP30" s="97">
        <f t="shared" si="21"/>
        <v>4300</v>
      </c>
      <c r="AQ30" s="80">
        <f t="shared" si="22"/>
        <v>66050</v>
      </c>
      <c r="AR30" s="71">
        <f t="shared" si="31"/>
        <v>0</v>
      </c>
      <c r="AS30" s="97"/>
      <c r="AT30" s="97"/>
      <c r="AU30" s="97"/>
      <c r="AV30" s="98"/>
      <c r="AW30" s="98"/>
      <c r="AX30" s="98"/>
      <c r="AY30" s="98"/>
      <c r="AZ30" s="99">
        <f t="shared" si="28"/>
        <v>0</v>
      </c>
      <c r="BA30" s="53">
        <v>26</v>
      </c>
      <c r="BB30" s="83">
        <f t="shared" si="29"/>
        <v>0</v>
      </c>
      <c r="BC30" s="84">
        <f t="shared" si="23"/>
        <v>66050</v>
      </c>
    </row>
    <row r="31" spans="1:55" ht="15.75" customHeight="1">
      <c r="A31" s="53"/>
      <c r="B31" s="86">
        <f t="shared" si="24"/>
        <v>45804</v>
      </c>
      <c r="C31" s="87"/>
      <c r="D31" s="56"/>
      <c r="E31" s="57"/>
      <c r="F31" s="58"/>
      <c r="G31" s="59" t="e">
        <f>ROUNDDOWN(F31/1.1,0)/E31</f>
        <v>#DIV/0!</v>
      </c>
      <c r="H31" s="58"/>
      <c r="I31" s="59" t="e">
        <f>ROUNDDOWN(H31/1.1,0)/E31</f>
        <v>#DIV/0!</v>
      </c>
      <c r="J31" s="61">
        <f t="shared" si="2"/>
        <v>0</v>
      </c>
      <c r="K31" s="62" t="str">
        <f>IF(E31="","",J31/E31)</f>
        <v/>
      </c>
      <c r="L31" s="88"/>
      <c r="M31" s="89"/>
      <c r="N31" s="90"/>
      <c r="O31" s="91" t="e">
        <f t="shared" si="4"/>
        <v>#DIV/0!</v>
      </c>
      <c r="P31" s="90"/>
      <c r="Q31" s="92" t="e">
        <f t="shared" si="5"/>
        <v>#DIV/0!</v>
      </c>
      <c r="R31" s="93">
        <f t="shared" si="30"/>
        <v>0</v>
      </c>
      <c r="S31" s="94" t="str">
        <f t="shared" si="7"/>
        <v/>
      </c>
      <c r="T31" s="70">
        <f t="shared" si="8"/>
        <v>0</v>
      </c>
      <c r="U31" s="71">
        <f t="shared" si="8"/>
        <v>0</v>
      </c>
      <c r="V31" s="59" t="e">
        <f t="shared" si="9"/>
        <v>#DIV/0!</v>
      </c>
      <c r="W31" s="71">
        <f t="shared" si="10"/>
        <v>0</v>
      </c>
      <c r="X31" s="59" t="e">
        <f t="shared" si="11"/>
        <v>#DIV/0!</v>
      </c>
      <c r="Y31" s="95">
        <f t="shared" si="25"/>
        <v>0</v>
      </c>
      <c r="Z31" s="73" t="e">
        <f t="shared" si="12"/>
        <v>#DIV/0!</v>
      </c>
      <c r="AA31" s="74">
        <f t="shared" si="13"/>
        <v>0</v>
      </c>
      <c r="AB31" s="71">
        <f t="shared" si="13"/>
        <v>0</v>
      </c>
      <c r="AC31" s="71">
        <f t="shared" si="14"/>
        <v>0</v>
      </c>
      <c r="AD31" s="75">
        <f t="shared" si="15"/>
        <v>0</v>
      </c>
      <c r="AE31" s="71" t="e">
        <f t="shared" si="16"/>
        <v>#DIV/0!</v>
      </c>
      <c r="AF31" s="76">
        <v>59</v>
      </c>
      <c r="AG31" s="77">
        <v>59</v>
      </c>
      <c r="AH31" s="58">
        <v>78250</v>
      </c>
      <c r="AI31" s="59">
        <f t="shared" si="17"/>
        <v>1326.2711864406779</v>
      </c>
      <c r="AJ31" s="58">
        <v>3200</v>
      </c>
      <c r="AK31" s="60">
        <f t="shared" si="18"/>
        <v>54.237288135593218</v>
      </c>
      <c r="AL31" s="96">
        <f t="shared" si="26"/>
        <v>81450</v>
      </c>
      <c r="AM31" s="79">
        <f t="shared" si="19"/>
        <v>1380.5084745762713</v>
      </c>
      <c r="AN31" s="103">
        <f t="shared" si="27"/>
        <v>0</v>
      </c>
      <c r="AO31" s="97">
        <f t="shared" si="20"/>
        <v>78250</v>
      </c>
      <c r="AP31" s="97">
        <f t="shared" si="21"/>
        <v>3200</v>
      </c>
      <c r="AQ31" s="80">
        <f t="shared" si="22"/>
        <v>81450</v>
      </c>
      <c r="AR31" s="71">
        <f t="shared" si="31"/>
        <v>0</v>
      </c>
      <c r="AS31" s="97"/>
      <c r="AT31" s="97"/>
      <c r="AU31" s="97"/>
      <c r="AV31" s="98"/>
      <c r="AW31" s="98"/>
      <c r="AX31" s="98"/>
      <c r="AY31" s="98"/>
      <c r="AZ31" s="99">
        <f t="shared" si="28"/>
        <v>0</v>
      </c>
      <c r="BA31" s="53">
        <v>27</v>
      </c>
      <c r="BB31" s="83">
        <f t="shared" si="29"/>
        <v>0</v>
      </c>
      <c r="BC31" s="84">
        <f t="shared" si="23"/>
        <v>81450</v>
      </c>
    </row>
    <row r="32" spans="1:55" ht="15.75" customHeight="1">
      <c r="A32" s="53"/>
      <c r="B32" s="86">
        <f t="shared" si="24"/>
        <v>45805</v>
      </c>
      <c r="C32" s="87"/>
      <c r="D32" s="56"/>
      <c r="E32" s="57"/>
      <c r="F32" s="58"/>
      <c r="G32" s="59" t="e">
        <f>ROUNDDOWN(F32/1.1,0)/E32</f>
        <v>#DIV/0!</v>
      </c>
      <c r="H32" s="58"/>
      <c r="I32" s="59" t="e">
        <f>ROUNDDOWN(H32/1.1,0)/E32</f>
        <v>#DIV/0!</v>
      </c>
      <c r="J32" s="61">
        <f>F32+H32</f>
        <v>0</v>
      </c>
      <c r="K32" s="62" t="str">
        <f>IF(E32="","",J32/E32)</f>
        <v/>
      </c>
      <c r="L32" s="88"/>
      <c r="M32" s="89"/>
      <c r="N32" s="90"/>
      <c r="O32" s="91" t="e">
        <f t="shared" si="4"/>
        <v>#DIV/0!</v>
      </c>
      <c r="P32" s="90"/>
      <c r="Q32" s="92" t="e">
        <f t="shared" si="5"/>
        <v>#DIV/0!</v>
      </c>
      <c r="R32" s="93">
        <f t="shared" si="30"/>
        <v>0</v>
      </c>
      <c r="S32" s="94" t="str">
        <f t="shared" si="7"/>
        <v/>
      </c>
      <c r="T32" s="70">
        <f t="shared" si="8"/>
        <v>0</v>
      </c>
      <c r="U32" s="71">
        <f t="shared" si="8"/>
        <v>0</v>
      </c>
      <c r="V32" s="59" t="e">
        <f>ROUNDDOWN(U32/1.1,0)/T32</f>
        <v>#DIV/0!</v>
      </c>
      <c r="W32" s="71">
        <f t="shared" si="10"/>
        <v>0</v>
      </c>
      <c r="X32" s="59" t="e">
        <f>ROUNDDOWN(W32/1.1,0)/T32</f>
        <v>#DIV/0!</v>
      </c>
      <c r="Y32" s="95">
        <f>U32+W32</f>
        <v>0</v>
      </c>
      <c r="Z32" s="73" t="e">
        <f>IF(T32="","",Y32/T32)</f>
        <v>#DIV/0!</v>
      </c>
      <c r="AA32" s="74">
        <f t="shared" si="13"/>
        <v>0</v>
      </c>
      <c r="AB32" s="71">
        <f t="shared" si="13"/>
        <v>0</v>
      </c>
      <c r="AC32" s="71">
        <f t="shared" si="14"/>
        <v>0</v>
      </c>
      <c r="AD32" s="75">
        <f t="shared" si="15"/>
        <v>0</v>
      </c>
      <c r="AE32" s="71" t="e">
        <f>IF(AA32="","",AD32/AA32)</f>
        <v>#DIV/0!</v>
      </c>
      <c r="AF32" s="76">
        <v>75</v>
      </c>
      <c r="AG32" s="77">
        <v>75</v>
      </c>
      <c r="AH32" s="58">
        <v>93200</v>
      </c>
      <c r="AI32" s="59">
        <f>AH32/AG32</f>
        <v>1242.6666666666667</v>
      </c>
      <c r="AJ32" s="58">
        <v>4000</v>
      </c>
      <c r="AK32" s="60">
        <f>AJ32/AG32</f>
        <v>53.333333333333336</v>
      </c>
      <c r="AL32" s="96">
        <f>AH32+AJ32</f>
        <v>97200</v>
      </c>
      <c r="AM32" s="79">
        <f>IF(AG32="","",AL32/AG32)</f>
        <v>1296</v>
      </c>
      <c r="AN32" s="103">
        <f t="shared" si="27"/>
        <v>0</v>
      </c>
      <c r="AO32" s="97">
        <f t="shared" si="20"/>
        <v>93200</v>
      </c>
      <c r="AP32" s="97">
        <f t="shared" si="21"/>
        <v>4000</v>
      </c>
      <c r="AQ32" s="80">
        <f t="shared" si="22"/>
        <v>97200</v>
      </c>
      <c r="AR32" s="71">
        <f>AV32+AW32+AX32</f>
        <v>0</v>
      </c>
      <c r="AS32" s="97"/>
      <c r="AT32" s="97"/>
      <c r="AU32" s="97"/>
      <c r="AV32" s="98"/>
      <c r="AW32" s="98"/>
      <c r="AX32" s="98"/>
      <c r="AY32" s="98"/>
      <c r="AZ32" s="99">
        <f>SUM(AT32:AX32)</f>
        <v>0</v>
      </c>
      <c r="BA32" s="53">
        <v>26</v>
      </c>
      <c r="BB32" s="83">
        <f>AY32+AZ32</f>
        <v>0</v>
      </c>
      <c r="BC32" s="84">
        <f t="shared" si="23"/>
        <v>97200</v>
      </c>
    </row>
    <row r="33" spans="1:60" ht="15.75" customHeight="1">
      <c r="A33" s="53"/>
      <c r="B33" s="86">
        <f t="shared" si="24"/>
        <v>45806</v>
      </c>
      <c r="C33" s="87"/>
      <c r="D33" s="56"/>
      <c r="E33" s="57"/>
      <c r="F33" s="58"/>
      <c r="G33" s="59" t="e">
        <f>ROUNDDOWN(F33/1.1,0)/E33</f>
        <v>#DIV/0!</v>
      </c>
      <c r="H33" s="58"/>
      <c r="I33" s="59" t="e">
        <f>ROUNDDOWN(H33/1.1,0)/E33</f>
        <v>#DIV/0!</v>
      </c>
      <c r="J33" s="61">
        <f>F33+H33</f>
        <v>0</v>
      </c>
      <c r="K33" s="62" t="str">
        <f>IF(E33="","",J33/E33)</f>
        <v/>
      </c>
      <c r="L33" s="88"/>
      <c r="M33" s="89"/>
      <c r="N33" s="90"/>
      <c r="O33" s="91" t="e">
        <f t="shared" si="4"/>
        <v>#DIV/0!</v>
      </c>
      <c r="P33" s="90"/>
      <c r="Q33" s="92" t="e">
        <f t="shared" si="5"/>
        <v>#DIV/0!</v>
      </c>
      <c r="R33" s="93">
        <f t="shared" si="30"/>
        <v>0</v>
      </c>
      <c r="S33" s="94" t="str">
        <f t="shared" si="7"/>
        <v/>
      </c>
      <c r="T33" s="70">
        <f t="shared" si="8"/>
        <v>0</v>
      </c>
      <c r="U33" s="71">
        <f t="shared" si="8"/>
        <v>0</v>
      </c>
      <c r="V33" s="59" t="e">
        <f>ROUNDDOWN(U33/1.1,0)/T33</f>
        <v>#DIV/0!</v>
      </c>
      <c r="W33" s="71">
        <f t="shared" si="10"/>
        <v>0</v>
      </c>
      <c r="X33" s="59" t="e">
        <f>ROUNDDOWN(W33/1.1,0)/T33</f>
        <v>#DIV/0!</v>
      </c>
      <c r="Y33" s="95">
        <f>U33+W33</f>
        <v>0</v>
      </c>
      <c r="Z33" s="73" t="e">
        <f>IF(T33="","",Y33/T33)</f>
        <v>#DIV/0!</v>
      </c>
      <c r="AA33" s="74">
        <f t="shared" si="13"/>
        <v>0</v>
      </c>
      <c r="AB33" s="71">
        <f t="shared" si="13"/>
        <v>0</v>
      </c>
      <c r="AC33" s="71">
        <f t="shared" si="14"/>
        <v>0</v>
      </c>
      <c r="AD33" s="75">
        <f t="shared" si="15"/>
        <v>0</v>
      </c>
      <c r="AE33" s="71" t="e">
        <f>IF(AA33="","",AD33/AA33)</f>
        <v>#DIV/0!</v>
      </c>
      <c r="AF33" s="76">
        <v>98</v>
      </c>
      <c r="AG33" s="77">
        <v>98</v>
      </c>
      <c r="AH33" s="58">
        <v>112100</v>
      </c>
      <c r="AI33" s="59">
        <f>AH33/AG33</f>
        <v>1143.8775510204082</v>
      </c>
      <c r="AJ33" s="58">
        <v>16300</v>
      </c>
      <c r="AK33" s="60">
        <f>AJ33/AG33</f>
        <v>166.32653061224491</v>
      </c>
      <c r="AL33" s="96">
        <f>AH33+AJ33</f>
        <v>128400</v>
      </c>
      <c r="AM33" s="79">
        <f>IF(AG33="","",AL33/AG33)</f>
        <v>1310.204081632653</v>
      </c>
      <c r="AN33" s="103">
        <f t="shared" si="27"/>
        <v>0</v>
      </c>
      <c r="AO33" s="97">
        <f t="shared" si="20"/>
        <v>112100</v>
      </c>
      <c r="AP33" s="97">
        <f t="shared" si="21"/>
        <v>16300</v>
      </c>
      <c r="AQ33" s="80">
        <f t="shared" si="22"/>
        <v>128400</v>
      </c>
      <c r="AR33" s="71">
        <f>AV33+AW33+AX33</f>
        <v>0</v>
      </c>
      <c r="AS33" s="97"/>
      <c r="AT33" s="97"/>
      <c r="AU33" s="97"/>
      <c r="AV33" s="98"/>
      <c r="AW33" s="98"/>
      <c r="AX33" s="98"/>
      <c r="AY33" s="98"/>
      <c r="AZ33" s="99">
        <f>SUM(AT33:AX33)</f>
        <v>0</v>
      </c>
      <c r="BA33" s="53">
        <v>27</v>
      </c>
      <c r="BB33" s="83">
        <f>AY33+AZ33</f>
        <v>0</v>
      </c>
      <c r="BC33" s="84">
        <f t="shared" si="23"/>
        <v>128400</v>
      </c>
    </row>
    <row r="34" spans="1:60" ht="15.75" customHeight="1">
      <c r="A34" s="53"/>
      <c r="B34" s="86">
        <f t="shared" si="24"/>
        <v>45807</v>
      </c>
      <c r="C34" s="87"/>
      <c r="D34" s="56"/>
      <c r="E34" s="57"/>
      <c r="F34" s="58"/>
      <c r="G34" s="59" t="e">
        <f>ROUNDDOWN(F34/1.1,0)/E34</f>
        <v>#DIV/0!</v>
      </c>
      <c r="H34" s="58"/>
      <c r="I34" s="59" t="e">
        <f>ROUNDDOWN(H34/1.1,0)/E34</f>
        <v>#DIV/0!</v>
      </c>
      <c r="J34" s="61">
        <f>F34+H34</f>
        <v>0</v>
      </c>
      <c r="K34" s="62" t="str">
        <f>IF(E34="","",J34/E34)</f>
        <v/>
      </c>
      <c r="L34" s="105"/>
      <c r="M34" s="106"/>
      <c r="N34" s="107"/>
      <c r="O34" s="91" t="e">
        <f t="shared" si="4"/>
        <v>#DIV/0!</v>
      </c>
      <c r="P34" s="107"/>
      <c r="Q34" s="92" t="e">
        <f t="shared" si="5"/>
        <v>#DIV/0!</v>
      </c>
      <c r="R34" s="93">
        <f t="shared" si="30"/>
        <v>0</v>
      </c>
      <c r="S34" s="94" t="str">
        <f t="shared" si="7"/>
        <v/>
      </c>
      <c r="T34" s="70">
        <f t="shared" si="8"/>
        <v>0</v>
      </c>
      <c r="U34" s="71">
        <f t="shared" si="8"/>
        <v>0</v>
      </c>
      <c r="V34" s="59" t="e">
        <f>ROUNDDOWN(U34/1.1,0)/T34</f>
        <v>#DIV/0!</v>
      </c>
      <c r="W34" s="71">
        <f t="shared" si="10"/>
        <v>0</v>
      </c>
      <c r="X34" s="59" t="e">
        <f>ROUNDDOWN(W34/1.1,0)/T34</f>
        <v>#DIV/0!</v>
      </c>
      <c r="Y34" s="95">
        <f>U34+W34</f>
        <v>0</v>
      </c>
      <c r="Z34" s="73" t="e">
        <f>IF(T34="","",Y34/T34)</f>
        <v>#DIV/0!</v>
      </c>
      <c r="AA34" s="74">
        <f t="shared" si="13"/>
        <v>0</v>
      </c>
      <c r="AB34" s="71">
        <f t="shared" si="13"/>
        <v>0</v>
      </c>
      <c r="AC34" s="71">
        <f t="shared" si="14"/>
        <v>0</v>
      </c>
      <c r="AD34" s="75">
        <f t="shared" si="15"/>
        <v>0</v>
      </c>
      <c r="AE34" s="71" t="e">
        <f>IF(AA34="","",AD34/AA34)</f>
        <v>#DIV/0!</v>
      </c>
      <c r="AF34" s="76">
        <v>158</v>
      </c>
      <c r="AG34" s="77">
        <v>158</v>
      </c>
      <c r="AH34" s="58">
        <v>150300</v>
      </c>
      <c r="AI34" s="59">
        <f>AH34/AG34</f>
        <v>951.2658227848101</v>
      </c>
      <c r="AJ34" s="58">
        <v>49400</v>
      </c>
      <c r="AK34" s="60">
        <f>AJ34/AG34</f>
        <v>312.65822784810126</v>
      </c>
      <c r="AL34" s="96">
        <f>AH34+AJ34</f>
        <v>199700</v>
      </c>
      <c r="AM34" s="79">
        <f>IF(AG34="","",AL34/AG34)</f>
        <v>1263.9240506329113</v>
      </c>
      <c r="AN34" s="103">
        <f t="shared" si="27"/>
        <v>0</v>
      </c>
      <c r="AO34" s="97">
        <f t="shared" si="20"/>
        <v>150300</v>
      </c>
      <c r="AP34" s="97">
        <f t="shared" si="21"/>
        <v>49400</v>
      </c>
      <c r="AQ34" s="80">
        <f t="shared" si="22"/>
        <v>199700</v>
      </c>
      <c r="AR34" s="71">
        <f>AV34+AW34+AX34</f>
        <v>0</v>
      </c>
      <c r="AS34" s="97"/>
      <c r="AT34" s="97"/>
      <c r="AU34" s="97"/>
      <c r="AV34" s="98"/>
      <c r="AW34" s="98"/>
      <c r="AX34" s="98"/>
      <c r="AY34" s="98"/>
      <c r="AZ34" s="99">
        <f>SUM(AT34:AX34)</f>
        <v>0</v>
      </c>
      <c r="BA34" s="53">
        <v>27</v>
      </c>
      <c r="BB34" s="83">
        <f>AY34+AZ34</f>
        <v>0</v>
      </c>
      <c r="BC34" s="84">
        <f t="shared" si="23"/>
        <v>199700</v>
      </c>
    </row>
    <row r="35" spans="1:60" ht="15.75" customHeight="1" thickBot="1">
      <c r="A35" s="53"/>
      <c r="B35" s="100">
        <f t="shared" si="24"/>
        <v>45808</v>
      </c>
      <c r="C35" s="87"/>
      <c r="D35" s="56"/>
      <c r="E35" s="57"/>
      <c r="F35" s="58"/>
      <c r="G35" s="59" t="e">
        <f t="shared" si="0"/>
        <v>#DIV/0!</v>
      </c>
      <c r="H35" s="58"/>
      <c r="I35" s="59" t="e">
        <f t="shared" si="1"/>
        <v>#DIV/0!</v>
      </c>
      <c r="J35" s="61">
        <f t="shared" si="2"/>
        <v>0</v>
      </c>
      <c r="K35" s="62" t="str">
        <f t="shared" si="3"/>
        <v/>
      </c>
      <c r="L35" s="108"/>
      <c r="M35" s="109"/>
      <c r="N35" s="110"/>
      <c r="O35" s="111" t="e">
        <f t="shared" si="4"/>
        <v>#DIV/0!</v>
      </c>
      <c r="P35" s="110"/>
      <c r="Q35" s="112" t="e">
        <f t="shared" si="5"/>
        <v>#DIV/0!</v>
      </c>
      <c r="R35" s="113">
        <f t="shared" si="30"/>
        <v>0</v>
      </c>
      <c r="S35" s="94" t="str">
        <f t="shared" si="7"/>
        <v/>
      </c>
      <c r="T35" s="70">
        <f t="shared" si="8"/>
        <v>0</v>
      </c>
      <c r="U35" s="71">
        <f t="shared" si="8"/>
        <v>0</v>
      </c>
      <c r="V35" s="59" t="e">
        <f t="shared" si="9"/>
        <v>#DIV/0!</v>
      </c>
      <c r="W35" s="71">
        <f t="shared" si="10"/>
        <v>0</v>
      </c>
      <c r="X35" s="59" t="e">
        <f t="shared" si="11"/>
        <v>#DIV/0!</v>
      </c>
      <c r="Y35" s="95">
        <f t="shared" si="25"/>
        <v>0</v>
      </c>
      <c r="Z35" s="73" t="e">
        <f t="shared" si="12"/>
        <v>#DIV/0!</v>
      </c>
      <c r="AA35" s="74">
        <f t="shared" si="13"/>
        <v>0</v>
      </c>
      <c r="AB35" s="71">
        <f t="shared" si="13"/>
        <v>0</v>
      </c>
      <c r="AC35" s="71">
        <f t="shared" si="14"/>
        <v>0</v>
      </c>
      <c r="AD35" s="75">
        <f t="shared" si="15"/>
        <v>0</v>
      </c>
      <c r="AE35" s="71" t="e">
        <f t="shared" si="16"/>
        <v>#DIV/0!</v>
      </c>
      <c r="AF35" s="76">
        <v>81</v>
      </c>
      <c r="AG35" s="77">
        <v>81</v>
      </c>
      <c r="AH35" s="58">
        <v>120300</v>
      </c>
      <c r="AI35" s="59">
        <f t="shared" si="17"/>
        <v>1485.1851851851852</v>
      </c>
      <c r="AJ35" s="58">
        <v>10300</v>
      </c>
      <c r="AK35" s="60">
        <f t="shared" si="18"/>
        <v>127.16049382716049</v>
      </c>
      <c r="AL35" s="96">
        <f t="shared" si="26"/>
        <v>130600</v>
      </c>
      <c r="AM35" s="79">
        <f t="shared" si="19"/>
        <v>1612.3456790123457</v>
      </c>
      <c r="AN35" s="103">
        <f t="shared" si="27"/>
        <v>0</v>
      </c>
      <c r="AO35" s="97">
        <f t="shared" si="20"/>
        <v>120300</v>
      </c>
      <c r="AP35" s="97">
        <f t="shared" si="21"/>
        <v>10300</v>
      </c>
      <c r="AQ35" s="80">
        <f t="shared" si="22"/>
        <v>130600</v>
      </c>
      <c r="AR35" s="71">
        <f t="shared" si="31"/>
        <v>0</v>
      </c>
      <c r="AS35" s="97"/>
      <c r="AT35" s="97"/>
      <c r="AU35" s="97"/>
      <c r="AV35" s="98"/>
      <c r="AW35" s="98"/>
      <c r="AX35" s="98"/>
      <c r="AY35" s="98"/>
      <c r="AZ35" s="99">
        <f t="shared" si="28"/>
        <v>0</v>
      </c>
      <c r="BA35" s="53">
        <v>28</v>
      </c>
      <c r="BB35" s="83">
        <f t="shared" si="29"/>
        <v>0</v>
      </c>
      <c r="BC35" s="84">
        <f t="shared" si="23"/>
        <v>130600</v>
      </c>
    </row>
    <row r="36" spans="1:60" ht="15.75" customHeight="1" thickTop="1" thickBot="1">
      <c r="A36" s="114"/>
      <c r="B36" s="115" t="s">
        <v>23</v>
      </c>
      <c r="C36" s="116">
        <f>SUM(C5:C35)</f>
        <v>0</v>
      </c>
      <c r="D36" s="117">
        <f>SUM(D5:D35)</f>
        <v>0</v>
      </c>
      <c r="E36" s="118">
        <f>SUM(E5:E35)</f>
        <v>0</v>
      </c>
      <c r="F36" s="119">
        <f>SUM(F5:F35)</f>
        <v>0</v>
      </c>
      <c r="G36" s="120" t="e">
        <f>F36/E36</f>
        <v>#DIV/0!</v>
      </c>
      <c r="H36" s="121">
        <f>SUM(H5:H35)</f>
        <v>0</v>
      </c>
      <c r="I36" s="122" t="e">
        <f>H36/E36</f>
        <v>#DIV/0!</v>
      </c>
      <c r="J36" s="123">
        <f>SUM(J5:J35)</f>
        <v>0</v>
      </c>
      <c r="K36" s="124" t="e">
        <f>J36/E36</f>
        <v>#DIV/0!</v>
      </c>
      <c r="L36" s="125">
        <f t="shared" ref="L36:N36" si="32">SUM(L5:L35)</f>
        <v>0</v>
      </c>
      <c r="M36" s="126">
        <f t="shared" si="32"/>
        <v>0</v>
      </c>
      <c r="N36" s="127">
        <f t="shared" si="32"/>
        <v>0</v>
      </c>
      <c r="O36" s="127" t="e">
        <f t="shared" si="4"/>
        <v>#DIV/0!</v>
      </c>
      <c r="P36" s="128">
        <f>SUM(P5:P35)</f>
        <v>0</v>
      </c>
      <c r="Q36" s="129" t="e">
        <f t="shared" si="5"/>
        <v>#DIV/0!</v>
      </c>
      <c r="R36" s="130">
        <f>SUM(R5:R35)</f>
        <v>0</v>
      </c>
      <c r="S36" s="131" t="e">
        <f>R36/M36</f>
        <v>#DIV/0!</v>
      </c>
      <c r="T36" s="118">
        <f>SUM(T5:T35)</f>
        <v>0</v>
      </c>
      <c r="U36" s="119">
        <f>SUM(U5:U35)</f>
        <v>0</v>
      </c>
      <c r="V36" s="120" t="e">
        <f>U36/T36</f>
        <v>#DIV/0!</v>
      </c>
      <c r="W36" s="132">
        <f>SUM(W5:W35)</f>
        <v>0</v>
      </c>
      <c r="X36" s="122" t="e">
        <f>W36/T36</f>
        <v>#DIV/0!</v>
      </c>
      <c r="Y36" s="133">
        <f>SUM(Y5:Y35)</f>
        <v>0</v>
      </c>
      <c r="Z36" s="134" t="e">
        <f>Y36/T36</f>
        <v>#DIV/0!</v>
      </c>
      <c r="AA36" s="118">
        <f>SUM(AA5:AA35)</f>
        <v>0</v>
      </c>
      <c r="AB36" s="135">
        <f>SUM(AB5:AB35)</f>
        <v>0</v>
      </c>
      <c r="AC36" s="132">
        <f>SUM(AC5:AC35)</f>
        <v>0</v>
      </c>
      <c r="AD36" s="136">
        <f>SUM(AD5:AD35)</f>
        <v>0</v>
      </c>
      <c r="AE36" s="137" t="e">
        <f>AD36/AA36</f>
        <v>#DIV/0!</v>
      </c>
      <c r="AF36" s="117">
        <f>SUM(AF5:AF35)</f>
        <v>1575</v>
      </c>
      <c r="AG36" s="118">
        <f>SUM(AG5:AG35)</f>
        <v>1575</v>
      </c>
      <c r="AH36" s="138">
        <f>SUM(AH5:AH35)</f>
        <v>1850465</v>
      </c>
      <c r="AI36" s="120"/>
      <c r="AJ36" s="121">
        <f>SUM(AJ5:AJ35)</f>
        <v>260000</v>
      </c>
      <c r="AK36" s="122"/>
      <c r="AL36" s="139">
        <f>SUM(AL5:AL35)</f>
        <v>2110465</v>
      </c>
      <c r="AM36" s="140">
        <f>AL36/AG36</f>
        <v>1339.9777777777779</v>
      </c>
      <c r="AN36" s="118">
        <f t="shared" ref="AN36:AZ36" si="33">SUM(AN5:AN35)</f>
        <v>0</v>
      </c>
      <c r="AO36" s="135">
        <f t="shared" si="33"/>
        <v>1850465</v>
      </c>
      <c r="AP36" s="132">
        <f t="shared" si="33"/>
        <v>260000</v>
      </c>
      <c r="AQ36" s="133">
        <f t="shared" si="33"/>
        <v>2110465</v>
      </c>
      <c r="AR36" s="121">
        <f t="shared" si="33"/>
        <v>0</v>
      </c>
      <c r="AS36" s="141">
        <f t="shared" si="33"/>
        <v>0</v>
      </c>
      <c r="AT36" s="141">
        <f t="shared" si="33"/>
        <v>0</v>
      </c>
      <c r="AU36" s="141">
        <f t="shared" si="33"/>
        <v>0</v>
      </c>
      <c r="AV36" s="141">
        <f t="shared" si="33"/>
        <v>0</v>
      </c>
      <c r="AW36" s="141">
        <f t="shared" si="33"/>
        <v>0</v>
      </c>
      <c r="AX36" s="141">
        <f t="shared" si="33"/>
        <v>0</v>
      </c>
      <c r="AY36" s="141">
        <f t="shared" si="33"/>
        <v>0</v>
      </c>
      <c r="AZ36" s="141">
        <f t="shared" si="33"/>
        <v>0</v>
      </c>
      <c r="BA36" s="114"/>
      <c r="BB36" s="142">
        <f>SUM(BB5:BB35)</f>
        <v>0</v>
      </c>
    </row>
    <row r="37" spans="1:60" ht="15.75" customHeight="1" thickTop="1">
      <c r="A37" s="114"/>
      <c r="B37" s="143"/>
      <c r="C37" s="144"/>
      <c r="D37" s="114"/>
      <c r="E37" s="145" t="s">
        <v>36</v>
      </c>
      <c r="F37" s="146">
        <f>F36/1.1</f>
        <v>0</v>
      </c>
      <c r="G37" s="147" t="e">
        <f>F37/E36</f>
        <v>#DIV/0!</v>
      </c>
      <c r="H37" s="148">
        <f>H36/1.1</f>
        <v>0</v>
      </c>
      <c r="I37" s="147" t="e">
        <f>H37/E36</f>
        <v>#DIV/0!</v>
      </c>
      <c r="J37" s="141">
        <f>J36/1.1</f>
        <v>0</v>
      </c>
      <c r="K37" s="149" t="e">
        <f>G37+I37</f>
        <v>#DIV/0!</v>
      </c>
      <c r="L37" s="150"/>
      <c r="M37" s="151" t="s">
        <v>36</v>
      </c>
      <c r="N37" s="152">
        <f>N36/1.1</f>
        <v>0</v>
      </c>
      <c r="O37" s="153" t="e">
        <f>N37/M36</f>
        <v>#DIV/0!</v>
      </c>
      <c r="P37" s="153">
        <f>P36/1.1</f>
        <v>0</v>
      </c>
      <c r="Q37" s="153" t="e">
        <f>P37/M36</f>
        <v>#DIV/0!</v>
      </c>
      <c r="R37" s="154">
        <f>R36/1.1</f>
        <v>0</v>
      </c>
      <c r="S37" s="155" t="e">
        <f>R37/M36</f>
        <v>#DIV/0!</v>
      </c>
      <c r="T37" s="145" t="s">
        <v>36</v>
      </c>
      <c r="U37" s="146">
        <f>U36/1.1</f>
        <v>0</v>
      </c>
      <c r="V37" s="147" t="e">
        <f>U37/T36</f>
        <v>#DIV/0!</v>
      </c>
      <c r="W37" s="146">
        <f>W36/1.1</f>
        <v>0</v>
      </c>
      <c r="X37" s="147" t="e">
        <f>W37/T36</f>
        <v>#DIV/0!</v>
      </c>
      <c r="Y37" s="147">
        <f>Y36/1.1</f>
        <v>0</v>
      </c>
      <c r="Z37" s="156" t="e">
        <f>Y37/T36</f>
        <v>#DIV/0!</v>
      </c>
      <c r="AA37" s="145" t="s">
        <v>36</v>
      </c>
      <c r="AB37" s="146">
        <f>AB36/1.1</f>
        <v>0</v>
      </c>
      <c r="AC37" s="146">
        <f>AC36/1.1</f>
        <v>0</v>
      </c>
      <c r="AD37" s="157">
        <f>AD36/1.1</f>
        <v>0</v>
      </c>
      <c r="AE37" s="137" t="e">
        <f>AD37/AA36</f>
        <v>#DIV/0!</v>
      </c>
      <c r="AF37" s="158"/>
      <c r="AG37" s="145" t="s">
        <v>36</v>
      </c>
      <c r="AH37" s="146">
        <f>AH36/1.1</f>
        <v>1682240.9090909089</v>
      </c>
      <c r="AI37" s="148">
        <f>AH37/AG36</f>
        <v>1068.089466089466</v>
      </c>
      <c r="AJ37" s="148">
        <f>AJ36/1.1</f>
        <v>236363.63636363635</v>
      </c>
      <c r="AK37" s="148">
        <f>AJ37/AG36</f>
        <v>150.07215007215007</v>
      </c>
      <c r="AL37" s="147">
        <f>AL36/1.1</f>
        <v>1918604.5454545454</v>
      </c>
      <c r="AM37" s="159">
        <f>AL37/AG36</f>
        <v>1218.1616161616162</v>
      </c>
      <c r="AN37" s="145" t="s">
        <v>36</v>
      </c>
      <c r="AO37" s="160">
        <f>AO36/1.1</f>
        <v>1682240.9090909089</v>
      </c>
      <c r="AP37" s="146">
        <f>AP36/1.1</f>
        <v>236363.63636363635</v>
      </c>
      <c r="AQ37" s="147">
        <f>AQ36/1.1</f>
        <v>1918604.5454545454</v>
      </c>
      <c r="AR37" s="148">
        <f>AR36/1.1</f>
        <v>0</v>
      </c>
      <c r="AS37" s="114"/>
      <c r="AT37" s="114"/>
      <c r="AU37" s="114"/>
      <c r="AV37" s="114"/>
      <c r="AW37" s="161"/>
      <c r="AX37" s="114"/>
      <c r="AY37" s="114"/>
      <c r="AZ37" s="161"/>
      <c r="BA37" s="114"/>
      <c r="BB37" s="161"/>
    </row>
    <row r="38" spans="1:60" ht="15.75" customHeight="1">
      <c r="A38" s="162"/>
      <c r="B38" s="163"/>
      <c r="C38" s="164"/>
      <c r="D38" s="162"/>
      <c r="E38" s="165" t="s">
        <v>37</v>
      </c>
      <c r="F38" s="166">
        <f>E36/G38</f>
        <v>0</v>
      </c>
      <c r="G38" s="167">
        <v>20</v>
      </c>
      <c r="H38" s="168" t="s">
        <v>38</v>
      </c>
      <c r="I38" s="166"/>
      <c r="J38" s="169" t="s">
        <v>39</v>
      </c>
      <c r="K38" s="170">
        <f>J37/G38</f>
        <v>0</v>
      </c>
      <c r="L38" s="171"/>
      <c r="O38" s="173">
        <f>G38</f>
        <v>20</v>
      </c>
      <c r="P38" s="174"/>
      <c r="Q38" s="174"/>
      <c r="R38" s="174"/>
      <c r="S38" s="174"/>
      <c r="T38" s="162"/>
      <c r="U38" s="165" t="s">
        <v>37</v>
      </c>
      <c r="V38" s="166">
        <f>T36/W38</f>
        <v>0</v>
      </c>
      <c r="W38" s="167">
        <f>G38</f>
        <v>20</v>
      </c>
      <c r="X38" s="168" t="s">
        <v>38</v>
      </c>
      <c r="Y38" s="166"/>
      <c r="Z38" s="169" t="s">
        <v>39</v>
      </c>
      <c r="AA38" s="175">
        <f>Y37/W38</f>
        <v>0</v>
      </c>
      <c r="AB38" s="162"/>
      <c r="AC38" s="162"/>
      <c r="AD38" s="162"/>
      <c r="AE38" s="171"/>
      <c r="AF38" s="176"/>
      <c r="AG38" s="162"/>
      <c r="AH38" s="162"/>
      <c r="AI38" s="177">
        <f>G38</f>
        <v>20</v>
      </c>
      <c r="AJ38" s="168" t="s">
        <v>38</v>
      </c>
      <c r="AK38" s="166"/>
      <c r="AL38" s="166"/>
      <c r="AM38" s="169" t="s">
        <v>39</v>
      </c>
      <c r="AN38" s="178">
        <f>AL37/AI38</f>
        <v>95930.227272727265</v>
      </c>
      <c r="AO38" s="162"/>
      <c r="AP38" s="162"/>
      <c r="AQ38" s="162" t="s">
        <v>40</v>
      </c>
      <c r="AR38" s="171"/>
      <c r="AS38" s="171">
        <f>AQ37/AT38</f>
        <v>1218.1616161616162</v>
      </c>
      <c r="AT38" s="179">
        <f>AN36+AG36</f>
        <v>1575</v>
      </c>
      <c r="AU38" s="162" t="s">
        <v>41</v>
      </c>
      <c r="AV38" s="162"/>
      <c r="AW38" s="162"/>
      <c r="AX38" s="171"/>
      <c r="AY38" s="162"/>
      <c r="AZ38" s="162"/>
      <c r="BA38" s="171"/>
      <c r="BB38" s="162"/>
      <c r="BC38" s="171">
        <f>BB36/1.1</f>
        <v>0</v>
      </c>
    </row>
    <row r="39" spans="1:60" ht="15.75" customHeight="1" thickBot="1">
      <c r="A39" s="162"/>
      <c r="B39" s="163"/>
      <c r="C39" s="164"/>
      <c r="D39" s="162" t="s">
        <v>42</v>
      </c>
      <c r="E39" s="162"/>
      <c r="F39" s="162"/>
      <c r="G39" s="162"/>
      <c r="H39" s="162"/>
      <c r="I39" s="162"/>
      <c r="J39" s="162"/>
      <c r="K39" s="162"/>
      <c r="L39" s="162" t="s">
        <v>43</v>
      </c>
      <c r="T39" s="162" t="s">
        <v>44</v>
      </c>
      <c r="U39" s="162"/>
      <c r="V39" s="162"/>
      <c r="W39" s="162"/>
      <c r="X39" s="162"/>
      <c r="Y39" s="162"/>
      <c r="Z39" s="162"/>
      <c r="AA39" s="162"/>
      <c r="AB39" s="162"/>
      <c r="AC39" s="162"/>
      <c r="AD39" s="171"/>
      <c r="AE39" s="180"/>
      <c r="AF39" s="172" t="s">
        <v>45</v>
      </c>
      <c r="AG39" s="162"/>
      <c r="AH39" s="162"/>
      <c r="AI39" s="162"/>
      <c r="AJ39" s="162"/>
      <c r="AK39" s="162"/>
      <c r="AL39" s="166"/>
      <c r="AM39" s="166"/>
      <c r="AN39" s="181">
        <f>AG36/AI38</f>
        <v>78.75</v>
      </c>
      <c r="AO39" s="181"/>
      <c r="AP39" s="162"/>
      <c r="AQ39" s="164"/>
      <c r="AR39" s="162"/>
      <c r="AS39" s="162"/>
      <c r="AT39" s="162"/>
      <c r="AU39" s="162"/>
      <c r="AV39" s="162"/>
      <c r="AW39" s="162"/>
      <c r="AX39" s="162"/>
      <c r="AY39" s="162"/>
      <c r="AZ39" s="162"/>
      <c r="BA39" s="162"/>
      <c r="BB39" s="162"/>
      <c r="BC39" s="162"/>
      <c r="BD39" s="162"/>
      <c r="BE39" s="162"/>
      <c r="BF39" s="171"/>
      <c r="BG39" s="162"/>
      <c r="BH39" s="171"/>
    </row>
    <row r="40" spans="1:60" ht="15.75" customHeight="1">
      <c r="A40" s="162"/>
      <c r="B40" s="163"/>
      <c r="C40" s="164"/>
      <c r="D40" s="182"/>
      <c r="E40" s="183" t="s">
        <v>46</v>
      </c>
      <c r="F40" s="183" t="s">
        <v>47</v>
      </c>
      <c r="G40" s="183" t="s">
        <v>48</v>
      </c>
      <c r="H40" s="183" t="s">
        <v>49</v>
      </c>
      <c r="I40" s="184" t="s">
        <v>50</v>
      </c>
      <c r="J40" s="183" t="s">
        <v>51</v>
      </c>
      <c r="K40" s="185" t="s">
        <v>52</v>
      </c>
      <c r="L40" s="182"/>
      <c r="M40" s="183" t="s">
        <v>46</v>
      </c>
      <c r="N40" s="183" t="s">
        <v>47</v>
      </c>
      <c r="O40" s="183" t="s">
        <v>48</v>
      </c>
      <c r="P40" s="183" t="s">
        <v>49</v>
      </c>
      <c r="Q40" s="184" t="s">
        <v>50</v>
      </c>
      <c r="R40" s="183" t="s">
        <v>51</v>
      </c>
      <c r="S40" s="185" t="s">
        <v>52</v>
      </c>
      <c r="T40" s="183" t="s">
        <v>46</v>
      </c>
      <c r="U40" s="183" t="s">
        <v>47</v>
      </c>
      <c r="V40" s="183" t="s">
        <v>48</v>
      </c>
      <c r="W40" s="183" t="s">
        <v>49</v>
      </c>
      <c r="X40" s="184" t="s">
        <v>50</v>
      </c>
      <c r="Y40" s="183" t="s">
        <v>51</v>
      </c>
      <c r="Z40" s="185" t="s">
        <v>52</v>
      </c>
      <c r="AA40" s="162"/>
      <c r="AB40" s="162"/>
      <c r="AC40" s="162"/>
      <c r="AD40" s="186"/>
      <c r="AE40" s="162"/>
      <c r="AF40" s="182"/>
      <c r="AG40" s="183" t="s">
        <v>46</v>
      </c>
      <c r="AH40" s="183" t="s">
        <v>47</v>
      </c>
      <c r="AI40" s="183" t="s">
        <v>48</v>
      </c>
      <c r="AJ40" s="183" t="s">
        <v>49</v>
      </c>
      <c r="AK40" s="184" t="s">
        <v>50</v>
      </c>
      <c r="AL40" s="183" t="s">
        <v>51</v>
      </c>
      <c r="AM40" s="185" t="s">
        <v>52</v>
      </c>
      <c r="AN40" s="172"/>
      <c r="AO40" s="164"/>
      <c r="AP40" s="162"/>
      <c r="AQ40" s="164"/>
      <c r="AR40" s="162"/>
      <c r="AS40" s="162"/>
      <c r="AT40" s="162"/>
      <c r="AU40" s="162"/>
      <c r="AV40" s="162"/>
      <c r="AW40" s="162"/>
      <c r="AX40" s="162"/>
      <c r="AY40" s="162"/>
      <c r="AZ40" s="162"/>
      <c r="BA40" s="162"/>
      <c r="BB40" s="162"/>
      <c r="BC40" s="162"/>
      <c r="BD40" s="162"/>
      <c r="BE40" s="162"/>
      <c r="BF40" s="171"/>
      <c r="BG40" s="162"/>
      <c r="BH40" s="171"/>
    </row>
    <row r="41" spans="1:60" ht="15.75" customHeight="1">
      <c r="A41" s="162"/>
      <c r="B41" s="163"/>
      <c r="C41" s="164"/>
      <c r="D41" s="187" t="s">
        <v>53</v>
      </c>
      <c r="E41" s="188">
        <f>E9+E16+E23+E30</f>
        <v>0</v>
      </c>
      <c r="F41" s="171">
        <f>F9+F16+F23+F30</f>
        <v>0</v>
      </c>
      <c r="G41" s="189" t="e">
        <f>F41/E41</f>
        <v>#DIV/0!</v>
      </c>
      <c r="H41" s="171">
        <f>H9+H16+H23+H30</f>
        <v>0</v>
      </c>
      <c r="I41" s="190" t="e">
        <f>H41/E41</f>
        <v>#DIV/0!</v>
      </c>
      <c r="J41" s="171">
        <f>J9+J16+J23+J30</f>
        <v>0</v>
      </c>
      <c r="K41" s="191" t="e">
        <f>J41/E41</f>
        <v>#DIV/0!</v>
      </c>
      <c r="L41" s="187" t="s">
        <v>53</v>
      </c>
      <c r="M41" s="188">
        <f>M9+M16+M23+M30</f>
        <v>0</v>
      </c>
      <c r="N41" s="171">
        <f>N9+N16+N23+N30</f>
        <v>0</v>
      </c>
      <c r="O41" s="189" t="e">
        <f>N41/M41</f>
        <v>#DIV/0!</v>
      </c>
      <c r="P41" s="171">
        <f>P9+P16+P23+P30</f>
        <v>0</v>
      </c>
      <c r="Q41" s="190" t="e">
        <f>P41/M41</f>
        <v>#DIV/0!</v>
      </c>
      <c r="R41" s="171">
        <f>R9+R16+R23+R30</f>
        <v>0</v>
      </c>
      <c r="S41" s="191" t="e">
        <f>R41/M41</f>
        <v>#DIV/0!</v>
      </c>
      <c r="T41" s="188">
        <f>T9+T16+T23+T30</f>
        <v>0</v>
      </c>
      <c r="U41" s="171">
        <f>U9+U16+U23+U30</f>
        <v>0</v>
      </c>
      <c r="V41" s="189" t="e">
        <f>U41/T41</f>
        <v>#DIV/0!</v>
      </c>
      <c r="W41" s="171">
        <f>W9+W16+W23+W30</f>
        <v>0</v>
      </c>
      <c r="X41" s="190" t="e">
        <f>W41/T41</f>
        <v>#DIV/0!</v>
      </c>
      <c r="Y41" s="171">
        <f>Y9+Y16+Y23+Y30</f>
        <v>0</v>
      </c>
      <c r="Z41" s="191" t="e">
        <f>Y41/T41</f>
        <v>#DIV/0!</v>
      </c>
      <c r="AA41" s="162"/>
      <c r="AB41" s="162"/>
      <c r="AC41" s="162"/>
      <c r="AD41" s="162"/>
      <c r="AE41" s="162"/>
      <c r="AF41" s="187" t="s">
        <v>53</v>
      </c>
      <c r="AG41" s="188">
        <f>AG9+AG16+AG23+AG30</f>
        <v>175</v>
      </c>
      <c r="AH41" s="171">
        <f>AH9+AH16+AH23+AH30</f>
        <v>239165</v>
      </c>
      <c r="AI41" s="189">
        <f>AH41/AG41</f>
        <v>1366.6571428571428</v>
      </c>
      <c r="AJ41" s="171">
        <f>AJ9+AJ16+AJ23+AJ30</f>
        <v>12900</v>
      </c>
      <c r="AK41" s="190">
        <f>AJ41/AG41</f>
        <v>73.714285714285708</v>
      </c>
      <c r="AL41" s="171">
        <f>AL9+AL16+AL23+AL30</f>
        <v>252065</v>
      </c>
      <c r="AM41" s="191">
        <f>AL41/AG41</f>
        <v>1440.3714285714286</v>
      </c>
      <c r="AN41" s="172"/>
      <c r="AO41" s="164"/>
      <c r="AP41" s="162"/>
      <c r="AQ41" s="164"/>
      <c r="AR41" s="162"/>
      <c r="AS41" s="162"/>
      <c r="AT41" s="162"/>
      <c r="AU41" s="162"/>
      <c r="AV41" s="162"/>
      <c r="AW41" s="162"/>
      <c r="AX41" s="162"/>
      <c r="AY41" s="162"/>
      <c r="AZ41" s="162"/>
      <c r="BA41" s="162"/>
      <c r="BB41" s="162"/>
      <c r="BC41" s="162"/>
      <c r="BD41" s="162"/>
      <c r="BE41" s="162"/>
      <c r="BF41" s="171"/>
      <c r="BG41" s="162"/>
      <c r="BH41" s="171"/>
    </row>
    <row r="42" spans="1:60" ht="15.75" customHeight="1">
      <c r="A42" s="162"/>
      <c r="B42" s="163"/>
      <c r="C42" s="164"/>
      <c r="D42" s="187" t="s">
        <v>54</v>
      </c>
      <c r="E42" s="188">
        <f>E10+E17+E24+E31</f>
        <v>0</v>
      </c>
      <c r="F42" s="171">
        <f t="shared" ref="F42:F43" si="34">F10+F17+F24+F31</f>
        <v>0</v>
      </c>
      <c r="G42" s="189" t="e">
        <f>F42/E42</f>
        <v>#DIV/0!</v>
      </c>
      <c r="H42" s="171">
        <f t="shared" ref="H42:H43" si="35">H10+H17+H24+H31</f>
        <v>0</v>
      </c>
      <c r="I42" s="190" t="e">
        <f t="shared" ref="I42:I47" si="36">H42/E42</f>
        <v>#DIV/0!</v>
      </c>
      <c r="J42" s="171">
        <f t="shared" ref="J42:J43" si="37">J10+J17+J24+J31</f>
        <v>0</v>
      </c>
      <c r="K42" s="191" t="e">
        <f t="shared" ref="K42:K47" si="38">J42/E42</f>
        <v>#DIV/0!</v>
      </c>
      <c r="L42" s="187" t="s">
        <v>54</v>
      </c>
      <c r="M42" s="188">
        <f>M10+M17+M24+M31</f>
        <v>0</v>
      </c>
      <c r="N42" s="171">
        <f t="shared" ref="N42:N43" si="39">N10+N17+N24+N31</f>
        <v>0</v>
      </c>
      <c r="O42" s="189" t="e">
        <f>N42/M42</f>
        <v>#DIV/0!</v>
      </c>
      <c r="P42" s="171">
        <f t="shared" ref="P42:P43" si="40">P10+P17+P24+P31</f>
        <v>0</v>
      </c>
      <c r="Q42" s="190" t="e">
        <f t="shared" ref="Q42:Q47" si="41">P42/M42</f>
        <v>#DIV/0!</v>
      </c>
      <c r="R42" s="171">
        <f t="shared" ref="R42:R43" si="42">R10+R17+R24+R31</f>
        <v>0</v>
      </c>
      <c r="S42" s="191" t="e">
        <f t="shared" ref="S42:S47" si="43">R42/M42</f>
        <v>#DIV/0!</v>
      </c>
      <c r="T42" s="188">
        <f>T10+T17+T24+T31</f>
        <v>0</v>
      </c>
      <c r="U42" s="171">
        <f t="shared" ref="U42:U43" si="44">U10+U17+U24+U31</f>
        <v>0</v>
      </c>
      <c r="V42" s="189" t="e">
        <f>U42/T42</f>
        <v>#DIV/0!</v>
      </c>
      <c r="W42" s="171">
        <f t="shared" ref="W42:W43" si="45">W10+W17+W24+W31</f>
        <v>0</v>
      </c>
      <c r="X42" s="190" t="e">
        <f t="shared" ref="X42:X47" si="46">W42/T42</f>
        <v>#DIV/0!</v>
      </c>
      <c r="Y42" s="171">
        <f t="shared" ref="Y42:Y43" si="47">Y10+Y17+Y24+Y31</f>
        <v>0</v>
      </c>
      <c r="Z42" s="191" t="e">
        <f t="shared" ref="Z42:Z47" si="48">Y42/T42</f>
        <v>#DIV/0!</v>
      </c>
      <c r="AA42" s="162"/>
      <c r="AB42" s="162"/>
      <c r="AC42" s="162"/>
      <c r="AD42" s="162"/>
      <c r="AE42" s="162"/>
      <c r="AF42" s="187" t="s">
        <v>54</v>
      </c>
      <c r="AG42" s="188">
        <f>AG10+AG17+AG24+AG31</f>
        <v>196</v>
      </c>
      <c r="AH42" s="171">
        <f t="shared" ref="AH42:AH43" si="49">AH10+AH17+AH24+AH31</f>
        <v>288500</v>
      </c>
      <c r="AI42" s="189">
        <f>AH42/AG42</f>
        <v>1471.9387755102041</v>
      </c>
      <c r="AJ42" s="171">
        <f t="shared" ref="AJ42:AJ43" si="50">AJ10+AJ17+AJ24+AJ31</f>
        <v>17400</v>
      </c>
      <c r="AK42" s="190">
        <f t="shared" ref="AK42:AK47" si="51">AJ42/AG42</f>
        <v>88.775510204081627</v>
      </c>
      <c r="AL42" s="171">
        <f t="shared" ref="AL42:AL43" si="52">AL10+AL17+AL24+AL31</f>
        <v>305900</v>
      </c>
      <c r="AM42" s="191">
        <f t="shared" ref="AM42:AM47" si="53">AL42/AG42</f>
        <v>1560.7142857142858</v>
      </c>
      <c r="AN42" s="162"/>
      <c r="AO42" s="164"/>
      <c r="AP42" s="162"/>
      <c r="AQ42" s="164"/>
      <c r="AR42" s="162"/>
      <c r="AS42" s="162"/>
      <c r="AT42" s="162"/>
      <c r="AU42" s="162"/>
      <c r="AV42" s="162"/>
      <c r="AW42" s="162"/>
      <c r="AX42" s="162"/>
      <c r="AY42" s="162"/>
      <c r="AZ42" s="162"/>
      <c r="BA42" s="162"/>
      <c r="BB42" s="162"/>
      <c r="BC42" s="162"/>
      <c r="BD42" s="162"/>
      <c r="BE42" s="162"/>
      <c r="BF42" s="171"/>
      <c r="BG42" s="162"/>
      <c r="BH42" s="171"/>
    </row>
    <row r="43" spans="1:60" ht="15.75" customHeight="1">
      <c r="A43" s="162"/>
      <c r="B43" s="163"/>
      <c r="C43" s="164"/>
      <c r="D43" s="187" t="s">
        <v>55</v>
      </c>
      <c r="E43" s="188">
        <f>E11+E18+E25+E32</f>
        <v>0</v>
      </c>
      <c r="F43" s="171">
        <f t="shared" si="34"/>
        <v>0</v>
      </c>
      <c r="G43" s="189" t="e">
        <f>F43/E43</f>
        <v>#DIV/0!</v>
      </c>
      <c r="H43" s="171">
        <f t="shared" si="35"/>
        <v>0</v>
      </c>
      <c r="I43" s="190" t="e">
        <f t="shared" si="36"/>
        <v>#DIV/0!</v>
      </c>
      <c r="J43" s="171">
        <f t="shared" si="37"/>
        <v>0</v>
      </c>
      <c r="K43" s="191" t="e">
        <f t="shared" si="38"/>
        <v>#DIV/0!</v>
      </c>
      <c r="L43" s="187" t="s">
        <v>55</v>
      </c>
      <c r="M43" s="188">
        <f>M11+M18+M25+M32</f>
        <v>0</v>
      </c>
      <c r="N43" s="171">
        <f t="shared" si="39"/>
        <v>0</v>
      </c>
      <c r="O43" s="189" t="e">
        <f>N43/M43</f>
        <v>#DIV/0!</v>
      </c>
      <c r="P43" s="171">
        <f t="shared" si="40"/>
        <v>0</v>
      </c>
      <c r="Q43" s="190" t="e">
        <f t="shared" si="41"/>
        <v>#DIV/0!</v>
      </c>
      <c r="R43" s="171">
        <f t="shared" si="42"/>
        <v>0</v>
      </c>
      <c r="S43" s="191" t="e">
        <f t="shared" si="43"/>
        <v>#DIV/0!</v>
      </c>
      <c r="T43" s="188">
        <f>T11+T18+T25+T32</f>
        <v>0</v>
      </c>
      <c r="U43" s="171">
        <f t="shared" si="44"/>
        <v>0</v>
      </c>
      <c r="V43" s="189" t="e">
        <f>U43/T43</f>
        <v>#DIV/0!</v>
      </c>
      <c r="W43" s="171">
        <f t="shared" si="45"/>
        <v>0</v>
      </c>
      <c r="X43" s="190" t="e">
        <f t="shared" si="46"/>
        <v>#DIV/0!</v>
      </c>
      <c r="Y43" s="171">
        <f t="shared" si="47"/>
        <v>0</v>
      </c>
      <c r="Z43" s="191" t="e">
        <f t="shared" si="48"/>
        <v>#DIV/0!</v>
      </c>
      <c r="AA43" s="162"/>
      <c r="AB43" s="162"/>
      <c r="AC43" s="162"/>
      <c r="AD43" s="162"/>
      <c r="AE43" s="162"/>
      <c r="AF43" s="187" t="s">
        <v>55</v>
      </c>
      <c r="AG43" s="188">
        <f>AG11+AG18+AG25+AG32</f>
        <v>182</v>
      </c>
      <c r="AH43" s="171">
        <f t="shared" si="49"/>
        <v>225600</v>
      </c>
      <c r="AI43" s="189">
        <f>AH43/AG43</f>
        <v>1239.5604395604396</v>
      </c>
      <c r="AJ43" s="171">
        <f t="shared" si="50"/>
        <v>13400</v>
      </c>
      <c r="AK43" s="190">
        <f t="shared" si="51"/>
        <v>73.626373626373621</v>
      </c>
      <c r="AL43" s="171">
        <f t="shared" si="52"/>
        <v>239000</v>
      </c>
      <c r="AM43" s="191">
        <f t="shared" si="53"/>
        <v>1313.1868131868132</v>
      </c>
      <c r="AN43" s="162"/>
      <c r="AO43" s="164"/>
      <c r="AP43" s="162"/>
      <c r="AQ43" s="164"/>
      <c r="AR43" s="162"/>
      <c r="AS43" s="162"/>
      <c r="AT43" s="162"/>
      <c r="AU43" s="162"/>
      <c r="AV43" s="162"/>
      <c r="AW43" s="162"/>
      <c r="AX43" s="162"/>
      <c r="AY43" s="162"/>
      <c r="AZ43" s="162"/>
      <c r="BA43" s="162"/>
      <c r="BB43" s="162"/>
      <c r="BC43" s="162"/>
      <c r="BD43" s="162"/>
      <c r="BE43" s="162"/>
      <c r="BF43" s="171"/>
      <c r="BG43" s="162"/>
      <c r="BH43" s="171"/>
    </row>
    <row r="44" spans="1:60" ht="15.75" customHeight="1">
      <c r="A44" s="162"/>
      <c r="B44" s="163"/>
      <c r="C44" s="164"/>
      <c r="D44" s="187" t="s">
        <v>56</v>
      </c>
      <c r="E44" s="188">
        <f>E5+E12+E19+E26+E33</f>
        <v>0</v>
      </c>
      <c r="F44" s="171">
        <f>F5+F12+F19+F26+F33</f>
        <v>0</v>
      </c>
      <c r="G44" s="189" t="e">
        <f t="shared" ref="G44:G47" si="54">F44/E44</f>
        <v>#DIV/0!</v>
      </c>
      <c r="H44" s="171">
        <f>H5+H12+H19+H26+H33</f>
        <v>0</v>
      </c>
      <c r="I44" s="190" t="e">
        <f t="shared" si="36"/>
        <v>#DIV/0!</v>
      </c>
      <c r="J44" s="171">
        <f>J5+J12+J19+J26+J33</f>
        <v>0</v>
      </c>
      <c r="K44" s="191" t="e">
        <f t="shared" si="38"/>
        <v>#DIV/0!</v>
      </c>
      <c r="L44" s="187" t="s">
        <v>56</v>
      </c>
      <c r="M44" s="188">
        <f>M5+M12+M19+M26+M33</f>
        <v>0</v>
      </c>
      <c r="N44" s="171">
        <f>N5+N12+N19+N26+N33</f>
        <v>0</v>
      </c>
      <c r="O44" s="189" t="e">
        <f t="shared" ref="O44:O47" si="55">N44/M44</f>
        <v>#DIV/0!</v>
      </c>
      <c r="P44" s="171">
        <f>P5+P12+P19+P26+P33</f>
        <v>0</v>
      </c>
      <c r="Q44" s="190" t="e">
        <f t="shared" si="41"/>
        <v>#DIV/0!</v>
      </c>
      <c r="R44" s="171">
        <f>R5+R12+R19+R26+R33</f>
        <v>0</v>
      </c>
      <c r="S44" s="191" t="e">
        <f t="shared" si="43"/>
        <v>#DIV/0!</v>
      </c>
      <c r="T44" s="188">
        <f>T5+T12+T19+T26+T33</f>
        <v>0</v>
      </c>
      <c r="U44" s="171">
        <f>U5+U12+U19+U26+U33</f>
        <v>0</v>
      </c>
      <c r="V44" s="189" t="e">
        <f t="shared" ref="V44:V47" si="56">U44/T44</f>
        <v>#DIV/0!</v>
      </c>
      <c r="W44" s="171">
        <f>W5+W12+W19+W26+W33</f>
        <v>0</v>
      </c>
      <c r="X44" s="190" t="e">
        <f t="shared" si="46"/>
        <v>#DIV/0!</v>
      </c>
      <c r="Y44" s="171">
        <f>Y5+Y12+Y19+Y26+Y33</f>
        <v>0</v>
      </c>
      <c r="Z44" s="191" t="e">
        <f t="shared" si="48"/>
        <v>#DIV/0!</v>
      </c>
      <c r="AA44" s="162"/>
      <c r="AB44" s="162"/>
      <c r="AC44" s="162"/>
      <c r="AD44" s="162"/>
      <c r="AE44" s="162"/>
      <c r="AF44" s="187" t="s">
        <v>56</v>
      </c>
      <c r="AG44" s="188">
        <f>AG5+AG12+AG19+AG26+AG33</f>
        <v>206</v>
      </c>
      <c r="AH44" s="171">
        <f>AH5+AH12+AH19+AH26+AH33</f>
        <v>248200</v>
      </c>
      <c r="AI44" s="189">
        <f t="shared" ref="AI44:AI47" si="57">AH44/AG44</f>
        <v>1204.8543689320388</v>
      </c>
      <c r="AJ44" s="171">
        <f>AJ5+AJ12+AJ19+AJ26+AJ33</f>
        <v>26100</v>
      </c>
      <c r="AK44" s="190">
        <f t="shared" si="51"/>
        <v>126.69902912621359</v>
      </c>
      <c r="AL44" s="171">
        <f>AL5+AL12+AL19+AL26+AL33</f>
        <v>274300</v>
      </c>
      <c r="AM44" s="191">
        <f t="shared" si="53"/>
        <v>1331.5533980582525</v>
      </c>
      <c r="AN44" s="162"/>
      <c r="AO44" s="164"/>
      <c r="AP44" s="162"/>
      <c r="AQ44" s="164"/>
      <c r="AR44" s="162"/>
      <c r="AS44" s="162"/>
      <c r="AT44" s="162"/>
      <c r="AU44" s="162"/>
      <c r="AV44" s="162"/>
      <c r="AW44" s="162"/>
      <c r="AX44" s="162"/>
      <c r="AY44" s="162"/>
      <c r="AZ44" s="162"/>
      <c r="BA44" s="162"/>
      <c r="BB44" s="162"/>
      <c r="BC44" s="162"/>
      <c r="BD44" s="162"/>
      <c r="BE44" s="162"/>
      <c r="BF44" s="171"/>
      <c r="BG44" s="162"/>
      <c r="BH44" s="171"/>
    </row>
    <row r="45" spans="1:60" ht="15.75" customHeight="1">
      <c r="A45" s="162"/>
      <c r="B45" s="163"/>
      <c r="C45" s="164"/>
      <c r="D45" s="187" t="s">
        <v>57</v>
      </c>
      <c r="E45" s="188">
        <f t="shared" ref="E45:F46" si="58">E6+E13+E20+E27+E34</f>
        <v>0</v>
      </c>
      <c r="F45" s="171">
        <f t="shared" si="58"/>
        <v>0</v>
      </c>
      <c r="G45" s="189" t="e">
        <f t="shared" si="54"/>
        <v>#DIV/0!</v>
      </c>
      <c r="H45" s="171">
        <f t="shared" ref="H45:H46" si="59">H6+H13+H20+H27+H34</f>
        <v>0</v>
      </c>
      <c r="I45" s="190" t="e">
        <f t="shared" si="36"/>
        <v>#DIV/0!</v>
      </c>
      <c r="J45" s="171">
        <f t="shared" ref="J45:J46" si="60">J6+J13+J20+J27+J34</f>
        <v>0</v>
      </c>
      <c r="K45" s="191" t="e">
        <f t="shared" si="38"/>
        <v>#DIV/0!</v>
      </c>
      <c r="L45" s="187" t="s">
        <v>57</v>
      </c>
      <c r="M45" s="188">
        <f t="shared" ref="M45:N46" si="61">M6+M13+M20+M27+M34</f>
        <v>0</v>
      </c>
      <c r="N45" s="171">
        <f t="shared" si="61"/>
        <v>0</v>
      </c>
      <c r="O45" s="189" t="e">
        <f t="shared" si="55"/>
        <v>#DIV/0!</v>
      </c>
      <c r="P45" s="171">
        <f t="shared" ref="P45:P46" si="62">P6+P13+P20+P27+P34</f>
        <v>0</v>
      </c>
      <c r="Q45" s="190" t="e">
        <f t="shared" si="41"/>
        <v>#DIV/0!</v>
      </c>
      <c r="R45" s="171">
        <f t="shared" ref="R45:R46" si="63">R6+R13+R20+R27+R34</f>
        <v>0</v>
      </c>
      <c r="S45" s="191" t="e">
        <f t="shared" si="43"/>
        <v>#DIV/0!</v>
      </c>
      <c r="T45" s="188">
        <f t="shared" ref="T45:U46" si="64">T6+T13+T20+T27+T34</f>
        <v>0</v>
      </c>
      <c r="U45" s="171">
        <f t="shared" si="64"/>
        <v>0</v>
      </c>
      <c r="V45" s="189" t="e">
        <f t="shared" si="56"/>
        <v>#DIV/0!</v>
      </c>
      <c r="W45" s="171">
        <f t="shared" ref="W45:W46" si="65">W6+W13+W20+W27+W34</f>
        <v>0</v>
      </c>
      <c r="X45" s="190" t="e">
        <f t="shared" si="46"/>
        <v>#DIV/0!</v>
      </c>
      <c r="Y45" s="171">
        <f t="shared" ref="Y45:Y46" si="66">Y6+Y13+Y20+Y27+Y34</f>
        <v>0</v>
      </c>
      <c r="Z45" s="191" t="e">
        <f t="shared" si="48"/>
        <v>#DIV/0!</v>
      </c>
      <c r="AA45" s="162"/>
      <c r="AB45" s="162"/>
      <c r="AC45" s="162"/>
      <c r="AD45" s="162"/>
      <c r="AE45" s="162"/>
      <c r="AF45" s="187" t="s">
        <v>57</v>
      </c>
      <c r="AG45" s="188">
        <f t="shared" ref="AG45:AH46" si="67">AG6+AG13+AG20+AG27+AG34</f>
        <v>409</v>
      </c>
      <c r="AH45" s="171">
        <f t="shared" si="67"/>
        <v>346550</v>
      </c>
      <c r="AI45" s="189">
        <f t="shared" si="57"/>
        <v>847.31051344743275</v>
      </c>
      <c r="AJ45" s="171">
        <f t="shared" ref="AJ45:AJ46" si="68">AJ6+AJ13+AJ20+AJ27+AJ34</f>
        <v>125400</v>
      </c>
      <c r="AK45" s="190">
        <f t="shared" si="51"/>
        <v>306.60146699266505</v>
      </c>
      <c r="AL45" s="171">
        <f t="shared" ref="AL45:AL46" si="69">AL6+AL13+AL20+AL27+AL34</f>
        <v>471950</v>
      </c>
      <c r="AM45" s="191">
        <f t="shared" si="53"/>
        <v>1153.9119804400978</v>
      </c>
      <c r="AN45" s="162"/>
      <c r="AO45" s="164"/>
      <c r="AP45" s="162"/>
      <c r="AQ45" s="164"/>
      <c r="AR45" s="162"/>
      <c r="AS45" s="162"/>
      <c r="AT45" s="162"/>
      <c r="AU45" s="162"/>
      <c r="AV45" s="162"/>
      <c r="AW45" s="162"/>
      <c r="AX45" s="162"/>
      <c r="AY45" s="162"/>
      <c r="AZ45" s="162"/>
      <c r="BA45" s="162"/>
      <c r="BB45" s="162"/>
      <c r="BC45" s="162"/>
      <c r="BD45" s="162"/>
      <c r="BE45" s="162"/>
      <c r="BF45" s="171"/>
      <c r="BG45" s="162"/>
      <c r="BH45" s="171"/>
    </row>
    <row r="46" spans="1:60" ht="15.75" customHeight="1">
      <c r="A46" s="162"/>
      <c r="B46" s="163"/>
      <c r="C46" s="164"/>
      <c r="D46" s="187" t="s">
        <v>58</v>
      </c>
      <c r="E46" s="188">
        <f t="shared" si="58"/>
        <v>0</v>
      </c>
      <c r="F46" s="171">
        <f t="shared" si="58"/>
        <v>0</v>
      </c>
      <c r="G46" s="189" t="e">
        <f t="shared" si="54"/>
        <v>#DIV/0!</v>
      </c>
      <c r="H46" s="171">
        <f t="shared" si="59"/>
        <v>0</v>
      </c>
      <c r="I46" s="190" t="e">
        <f t="shared" si="36"/>
        <v>#DIV/0!</v>
      </c>
      <c r="J46" s="171">
        <f t="shared" si="60"/>
        <v>0</v>
      </c>
      <c r="K46" s="191" t="e">
        <f t="shared" si="38"/>
        <v>#DIV/0!</v>
      </c>
      <c r="L46" s="187" t="s">
        <v>58</v>
      </c>
      <c r="M46" s="188">
        <f t="shared" si="61"/>
        <v>0</v>
      </c>
      <c r="N46" s="171">
        <f t="shared" si="61"/>
        <v>0</v>
      </c>
      <c r="O46" s="189" t="e">
        <f t="shared" si="55"/>
        <v>#DIV/0!</v>
      </c>
      <c r="P46" s="171">
        <f t="shared" si="62"/>
        <v>0</v>
      </c>
      <c r="Q46" s="190" t="e">
        <f t="shared" si="41"/>
        <v>#DIV/0!</v>
      </c>
      <c r="R46" s="171">
        <f t="shared" si="63"/>
        <v>0</v>
      </c>
      <c r="S46" s="191" t="e">
        <f t="shared" si="43"/>
        <v>#DIV/0!</v>
      </c>
      <c r="T46" s="188">
        <f t="shared" si="64"/>
        <v>0</v>
      </c>
      <c r="U46" s="171">
        <f t="shared" si="64"/>
        <v>0</v>
      </c>
      <c r="V46" s="189" t="e">
        <f t="shared" si="56"/>
        <v>#DIV/0!</v>
      </c>
      <c r="W46" s="171">
        <f t="shared" si="65"/>
        <v>0</v>
      </c>
      <c r="X46" s="190" t="e">
        <f t="shared" si="46"/>
        <v>#DIV/0!</v>
      </c>
      <c r="Y46" s="171">
        <f t="shared" si="66"/>
        <v>0</v>
      </c>
      <c r="Z46" s="191" t="e">
        <f t="shared" si="48"/>
        <v>#DIV/0!</v>
      </c>
      <c r="AA46" s="162"/>
      <c r="AB46" s="162"/>
      <c r="AC46" s="162"/>
      <c r="AD46" s="162"/>
      <c r="AE46" s="162"/>
      <c r="AF46" s="187" t="s">
        <v>58</v>
      </c>
      <c r="AG46" s="188">
        <f>AG7+AG14+AG21+AG28+AG35</f>
        <v>242</v>
      </c>
      <c r="AH46" s="171">
        <f t="shared" si="67"/>
        <v>298200</v>
      </c>
      <c r="AI46" s="189">
        <f t="shared" si="57"/>
        <v>1232.2314049586778</v>
      </c>
      <c r="AJ46" s="171">
        <f t="shared" si="68"/>
        <v>39200</v>
      </c>
      <c r="AK46" s="190">
        <f t="shared" si="51"/>
        <v>161.98347107438016</v>
      </c>
      <c r="AL46" s="171">
        <f t="shared" si="69"/>
        <v>337400</v>
      </c>
      <c r="AM46" s="191">
        <f t="shared" si="53"/>
        <v>1394.2148760330579</v>
      </c>
      <c r="AN46" s="162"/>
      <c r="AO46" s="164"/>
      <c r="AP46" s="162"/>
      <c r="AQ46" s="164"/>
      <c r="AR46" s="162"/>
      <c r="AS46" s="162"/>
      <c r="AT46" s="162"/>
      <c r="AU46" s="162"/>
      <c r="AV46" s="162"/>
      <c r="AW46" s="162"/>
      <c r="AX46" s="162"/>
      <c r="AY46" s="162"/>
      <c r="AZ46" s="162"/>
      <c r="BA46" s="162"/>
      <c r="BB46" s="162"/>
      <c r="BC46" s="162"/>
      <c r="BD46" s="162"/>
      <c r="BE46" s="162"/>
      <c r="BF46" s="171"/>
      <c r="BG46" s="162"/>
      <c r="BH46" s="171"/>
    </row>
    <row r="47" spans="1:60" ht="15.75" customHeight="1" thickBot="1">
      <c r="A47" s="162"/>
      <c r="B47" s="163"/>
      <c r="C47" s="164"/>
      <c r="D47" s="192" t="s">
        <v>59</v>
      </c>
      <c r="E47" s="193">
        <f>E8+E15+E22+E29</f>
        <v>0</v>
      </c>
      <c r="F47" s="194">
        <f>F8+F15+F22+F29</f>
        <v>0</v>
      </c>
      <c r="G47" s="195" t="e">
        <f t="shared" si="54"/>
        <v>#DIV/0!</v>
      </c>
      <c r="H47" s="194">
        <f>H8+H15+H22+H29</f>
        <v>0</v>
      </c>
      <c r="I47" s="196" t="e">
        <f t="shared" si="36"/>
        <v>#DIV/0!</v>
      </c>
      <c r="J47" s="194">
        <f>J8+J15+J22+J29</f>
        <v>0</v>
      </c>
      <c r="K47" s="197" t="e">
        <f t="shared" si="38"/>
        <v>#DIV/0!</v>
      </c>
      <c r="L47" s="192" t="s">
        <v>59</v>
      </c>
      <c r="M47" s="193">
        <f>M8+M15+M22+M29</f>
        <v>0</v>
      </c>
      <c r="N47" s="194">
        <f>N8+N15+N22+N29</f>
        <v>0</v>
      </c>
      <c r="O47" s="195" t="e">
        <f t="shared" si="55"/>
        <v>#DIV/0!</v>
      </c>
      <c r="P47" s="194">
        <f>P8+P15+P22+P29</f>
        <v>0</v>
      </c>
      <c r="Q47" s="196" t="e">
        <f t="shared" si="41"/>
        <v>#DIV/0!</v>
      </c>
      <c r="R47" s="194">
        <f>R8+R15+R22+R29</f>
        <v>0</v>
      </c>
      <c r="S47" s="197" t="e">
        <f t="shared" si="43"/>
        <v>#DIV/0!</v>
      </c>
      <c r="T47" s="193">
        <f>T8+T15+T22+T29</f>
        <v>0</v>
      </c>
      <c r="U47" s="194">
        <f>U8+U15+U22+U29</f>
        <v>0</v>
      </c>
      <c r="V47" s="195" t="e">
        <f t="shared" si="56"/>
        <v>#DIV/0!</v>
      </c>
      <c r="W47" s="194">
        <f>W8+W15+W22+W29</f>
        <v>0</v>
      </c>
      <c r="X47" s="196" t="e">
        <f t="shared" si="46"/>
        <v>#DIV/0!</v>
      </c>
      <c r="Y47" s="194">
        <f>Y8+Y15+Y22+Y29</f>
        <v>0</v>
      </c>
      <c r="Z47" s="197" t="e">
        <f t="shared" si="48"/>
        <v>#DIV/0!</v>
      </c>
      <c r="AA47" s="162"/>
      <c r="AB47" s="162"/>
      <c r="AC47" s="162"/>
      <c r="AD47" s="162"/>
      <c r="AE47" s="162"/>
      <c r="AF47" s="192" t="s">
        <v>59</v>
      </c>
      <c r="AG47" s="193">
        <f>AG8+AG15+AG22+AG29</f>
        <v>165</v>
      </c>
      <c r="AH47" s="194">
        <f>AH8+AH15+AH22+AH29</f>
        <v>204250</v>
      </c>
      <c r="AI47" s="195">
        <f t="shared" si="57"/>
        <v>1237.878787878788</v>
      </c>
      <c r="AJ47" s="194">
        <f>AJ8+AJ15+AJ22+AJ29</f>
        <v>25600</v>
      </c>
      <c r="AK47" s="196">
        <f t="shared" si="51"/>
        <v>155.15151515151516</v>
      </c>
      <c r="AL47" s="194">
        <f>AL8+AL15+AL22+AL29</f>
        <v>229850</v>
      </c>
      <c r="AM47" s="197">
        <f t="shared" si="53"/>
        <v>1393.030303030303</v>
      </c>
      <c r="AN47" s="162"/>
      <c r="AO47" s="164"/>
      <c r="AP47" s="162"/>
      <c r="AQ47" s="164"/>
      <c r="AR47" s="162"/>
      <c r="AS47" s="162"/>
      <c r="AT47" s="162"/>
      <c r="AU47" s="162"/>
      <c r="AV47" s="162"/>
      <c r="AW47" s="162"/>
      <c r="AX47" s="162"/>
      <c r="AY47" s="162"/>
      <c r="AZ47" s="162"/>
      <c r="BA47" s="162"/>
      <c r="BB47" s="162"/>
      <c r="BC47" s="162"/>
      <c r="BD47" s="162"/>
      <c r="BE47" s="162"/>
      <c r="BF47" s="171"/>
      <c r="BG47" s="162"/>
      <c r="BH47" s="171"/>
    </row>
    <row r="48" spans="1:60" ht="15.75" customHeight="1">
      <c r="A48" s="162"/>
      <c r="B48" s="163"/>
      <c r="C48" s="164"/>
      <c r="D48" s="162"/>
      <c r="E48" s="162"/>
      <c r="F48" s="162"/>
      <c r="G48" s="162"/>
      <c r="H48" s="162"/>
      <c r="I48" s="162"/>
      <c r="J48" s="162"/>
      <c r="K48" s="162"/>
      <c r="L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2"/>
      <c r="AD48" s="162"/>
      <c r="AE48" s="162"/>
      <c r="AG48" s="162"/>
      <c r="AH48" s="162"/>
      <c r="AI48" s="162"/>
      <c r="AJ48" s="162"/>
      <c r="AK48" s="162"/>
      <c r="AL48" s="162"/>
      <c r="AM48" s="162"/>
      <c r="AN48" s="162"/>
      <c r="AO48" s="164"/>
      <c r="AP48" s="162"/>
      <c r="AQ48" s="164"/>
      <c r="AR48" s="162"/>
      <c r="AS48" s="162"/>
      <c r="AT48" s="162"/>
      <c r="AU48" s="162"/>
      <c r="AV48" s="162"/>
      <c r="AW48" s="162"/>
      <c r="AX48" s="162"/>
      <c r="AY48" s="162"/>
      <c r="AZ48" s="162"/>
      <c r="BA48" s="162"/>
      <c r="BB48" s="162"/>
      <c r="BC48" s="162"/>
      <c r="BD48" s="162"/>
      <c r="BE48" s="162"/>
      <c r="BF48" s="171"/>
      <c r="BG48" s="162"/>
      <c r="BH48" s="171"/>
    </row>
    <row r="49" spans="1:60" ht="15.75" customHeight="1">
      <c r="A49" s="162"/>
      <c r="B49" s="163"/>
      <c r="C49" s="164"/>
      <c r="D49" s="198" t="s">
        <v>60</v>
      </c>
      <c r="E49" s="199"/>
      <c r="F49" s="166"/>
      <c r="G49" s="200"/>
      <c r="H49" s="166"/>
      <c r="I49" s="166"/>
      <c r="J49" s="169"/>
      <c r="K49" s="178"/>
      <c r="L49" s="171"/>
      <c r="M49" s="201" t="s">
        <v>61</v>
      </c>
      <c r="O49" s="174"/>
      <c r="P49" s="174"/>
      <c r="Q49" s="174"/>
      <c r="R49" s="174"/>
      <c r="S49" s="174"/>
      <c r="T49" s="202" t="s">
        <v>62</v>
      </c>
      <c r="U49" s="165"/>
      <c r="V49" s="166"/>
      <c r="W49" s="166"/>
      <c r="X49" s="166"/>
      <c r="Y49" s="166"/>
      <c r="Z49" s="169"/>
      <c r="AA49" s="178"/>
      <c r="AB49" s="162"/>
      <c r="AC49" s="162"/>
      <c r="AD49" s="162"/>
      <c r="AE49" s="171"/>
      <c r="AF49" s="202" t="s">
        <v>63</v>
      </c>
      <c r="AH49" s="162"/>
      <c r="AI49" s="166"/>
      <c r="AJ49" s="166"/>
      <c r="AK49" s="166"/>
      <c r="AL49" s="166">
        <v>1918604.5454545501</v>
      </c>
      <c r="AM49" s="166"/>
      <c r="AN49" s="178">
        <f>AF36/AI38</f>
        <v>78.75</v>
      </c>
      <c r="AO49" s="162"/>
      <c r="AP49" s="162"/>
      <c r="AQ49" s="162" t="s">
        <v>64</v>
      </c>
      <c r="AS49" s="203">
        <f>AQ37/AI38</f>
        <v>95930.227272727265</v>
      </c>
      <c r="AT49" s="162" t="s">
        <v>65</v>
      </c>
      <c r="AU49" s="162"/>
      <c r="AV49" s="162"/>
      <c r="AW49" s="162"/>
      <c r="AX49" s="171"/>
      <c r="AY49" s="162"/>
      <c r="AZ49" s="162"/>
      <c r="BA49" s="171"/>
      <c r="BB49" s="162"/>
      <c r="BC49" s="171"/>
    </row>
    <row r="50" spans="1:60" ht="21" customHeight="1">
      <c r="A50" s="162"/>
      <c r="B50" s="163"/>
      <c r="C50" s="204"/>
      <c r="D50" s="205"/>
      <c r="E50" s="206"/>
      <c r="F50" s="206"/>
      <c r="G50" s="206"/>
      <c r="H50" s="206"/>
      <c r="I50" s="206"/>
      <c r="J50" s="206"/>
      <c r="K50" s="207"/>
      <c r="L50" s="208"/>
      <c r="M50" s="209"/>
      <c r="N50" s="209"/>
      <c r="O50" s="209"/>
      <c r="P50" s="209"/>
      <c r="Q50" s="209"/>
      <c r="R50" s="209"/>
      <c r="S50" s="210"/>
      <c r="T50" s="211"/>
      <c r="U50" s="212"/>
      <c r="V50" s="212"/>
      <c r="W50" s="212"/>
      <c r="X50" s="212"/>
      <c r="Y50" s="212"/>
      <c r="Z50" s="213"/>
      <c r="AA50" s="214"/>
      <c r="AB50" s="162"/>
      <c r="AC50" s="162">
        <v>128400</v>
      </c>
      <c r="AD50" s="171">
        <f>AC50-AJ33</f>
        <v>112100</v>
      </c>
      <c r="AE50" s="171"/>
      <c r="AF50" s="215"/>
      <c r="AG50" s="216"/>
      <c r="AH50" s="216"/>
      <c r="AI50" s="216"/>
      <c r="AJ50" s="216"/>
      <c r="AK50" s="216"/>
      <c r="AL50" s="216"/>
      <c r="AM50" s="217"/>
      <c r="AN50" s="218"/>
      <c r="AO50" s="162"/>
      <c r="AP50" s="162"/>
      <c r="AQ50" s="162" t="s">
        <v>66</v>
      </c>
      <c r="AR50" s="171">
        <f>AQ36+AR36</f>
        <v>2110465</v>
      </c>
      <c r="AS50" s="203">
        <f>AR50/AI38</f>
        <v>105523.25</v>
      </c>
      <c r="AT50" s="162" t="s">
        <v>67</v>
      </c>
      <c r="AU50" s="162"/>
      <c r="AV50" s="162"/>
      <c r="AW50" s="162"/>
      <c r="AX50" s="162"/>
      <c r="AY50" s="162"/>
      <c r="AZ50" s="162"/>
      <c r="BA50" s="171"/>
      <c r="BB50" s="162"/>
      <c r="BC50" s="171"/>
    </row>
    <row r="51" spans="1:60" ht="21" customHeight="1">
      <c r="A51" s="162"/>
      <c r="B51" s="163"/>
      <c r="C51" s="204"/>
      <c r="D51" s="219"/>
      <c r="E51" s="220"/>
      <c r="F51" s="220"/>
      <c r="G51" s="220"/>
      <c r="H51" s="220"/>
      <c r="I51" s="220"/>
      <c r="J51" s="220"/>
      <c r="K51" s="221"/>
      <c r="L51" s="222"/>
      <c r="M51" s="223"/>
      <c r="N51" s="223"/>
      <c r="O51" s="223"/>
      <c r="P51" s="223"/>
      <c r="Q51" s="223"/>
      <c r="R51" s="223"/>
      <c r="S51" s="224"/>
      <c r="T51" s="225"/>
      <c r="U51" s="226"/>
      <c r="V51" s="226"/>
      <c r="W51" s="226"/>
      <c r="X51" s="226"/>
      <c r="Y51" s="226"/>
      <c r="Z51" s="227"/>
      <c r="AA51" s="214"/>
      <c r="AB51" s="162"/>
      <c r="AC51" s="162">
        <v>11900</v>
      </c>
      <c r="AD51" s="162"/>
      <c r="AE51" s="171"/>
      <c r="AF51" s="228"/>
      <c r="AG51" s="229"/>
      <c r="AH51" s="229"/>
      <c r="AI51" s="229"/>
      <c r="AJ51" s="229"/>
      <c r="AK51" s="229"/>
      <c r="AL51" s="229"/>
      <c r="AM51" s="230"/>
      <c r="AN51" s="218"/>
      <c r="AO51" s="162"/>
      <c r="AP51" s="162"/>
      <c r="AQ51" s="162" t="s">
        <v>68</v>
      </c>
      <c r="AR51" s="161">
        <f>AQ37+AR37</f>
        <v>1918604.5454545454</v>
      </c>
      <c r="AS51" s="203">
        <f>AR51/AI38</f>
        <v>95930.227272727265</v>
      </c>
      <c r="AT51" s="162" t="s">
        <v>65</v>
      </c>
      <c r="AU51" s="162"/>
      <c r="AV51" s="162"/>
      <c r="AW51" s="162"/>
      <c r="AX51" s="162"/>
      <c r="AY51" s="162"/>
      <c r="AZ51" s="162"/>
      <c r="BA51" s="171"/>
      <c r="BB51" s="162"/>
      <c r="BC51" s="171"/>
    </row>
    <row r="52" spans="1:60" ht="21" customHeight="1">
      <c r="A52" s="162"/>
      <c r="B52" s="163"/>
      <c r="C52" s="204"/>
      <c r="D52" s="219"/>
      <c r="E52" s="220"/>
      <c r="F52" s="220"/>
      <c r="G52" s="220"/>
      <c r="H52" s="220"/>
      <c r="I52" s="220"/>
      <c r="J52" s="220"/>
      <c r="K52" s="221"/>
      <c r="L52" s="222"/>
      <c r="M52" s="223"/>
      <c r="N52" s="223"/>
      <c r="O52" s="223"/>
      <c r="P52" s="223"/>
      <c r="Q52" s="223"/>
      <c r="R52" s="223"/>
      <c r="S52" s="224"/>
      <c r="T52" s="225"/>
      <c r="U52" s="226"/>
      <c r="V52" s="226"/>
      <c r="W52" s="226"/>
      <c r="X52" s="226"/>
      <c r="Y52" s="226"/>
      <c r="Z52" s="227"/>
      <c r="AA52" s="214"/>
      <c r="AB52" s="162"/>
      <c r="AC52" s="162">
        <v>4400</v>
      </c>
      <c r="AD52" s="162"/>
      <c r="AE52" s="171"/>
      <c r="AF52" s="228"/>
      <c r="AG52" s="229"/>
      <c r="AH52" s="229"/>
      <c r="AI52" s="229"/>
      <c r="AJ52" s="229"/>
      <c r="AK52" s="229"/>
      <c r="AL52" s="229"/>
      <c r="AM52" s="230"/>
      <c r="AN52" s="218"/>
      <c r="AO52" s="162"/>
      <c r="AP52" s="162"/>
      <c r="AQ52" s="162"/>
      <c r="AR52" s="162"/>
      <c r="AS52" s="162"/>
      <c r="AT52" s="162"/>
      <c r="AU52" s="162"/>
      <c r="AV52" s="162"/>
      <c r="AW52" s="162"/>
      <c r="AX52" s="162"/>
      <c r="AY52" s="162"/>
      <c r="AZ52" s="162"/>
      <c r="BA52" s="162"/>
      <c r="BB52" s="171"/>
      <c r="BC52" s="162"/>
      <c r="BD52" s="171"/>
    </row>
    <row r="53" spans="1:60" ht="21" customHeight="1">
      <c r="A53" s="162"/>
      <c r="B53" s="163"/>
      <c r="C53" s="204"/>
      <c r="D53" s="219"/>
      <c r="E53" s="220"/>
      <c r="F53" s="220"/>
      <c r="G53" s="220"/>
      <c r="H53" s="220"/>
      <c r="I53" s="220"/>
      <c r="J53" s="220"/>
      <c r="K53" s="221"/>
      <c r="L53" s="222"/>
      <c r="M53" s="223"/>
      <c r="N53" s="223"/>
      <c r="O53" s="223"/>
      <c r="P53" s="223"/>
      <c r="Q53" s="223"/>
      <c r="R53" s="223"/>
      <c r="S53" s="224"/>
      <c r="T53" s="225"/>
      <c r="U53" s="226"/>
      <c r="V53" s="226"/>
      <c r="W53" s="226"/>
      <c r="X53" s="226"/>
      <c r="Y53" s="226"/>
      <c r="Z53" s="227"/>
      <c r="AA53" s="214"/>
      <c r="AB53" s="162"/>
      <c r="AC53" s="162"/>
      <c r="AD53" s="162"/>
      <c r="AE53" s="162"/>
      <c r="AF53" s="228"/>
      <c r="AG53" s="229"/>
      <c r="AH53" s="229"/>
      <c r="AI53" s="229"/>
      <c r="AJ53" s="229"/>
      <c r="AK53" s="229"/>
      <c r="AL53" s="229"/>
      <c r="AM53" s="230"/>
      <c r="AN53" s="218"/>
      <c r="AO53" s="162"/>
      <c r="AP53" s="162"/>
      <c r="AQ53" s="162"/>
      <c r="AR53" s="171">
        <f>AQ37+AR37</f>
        <v>1918604.5454545454</v>
      </c>
      <c r="AS53" s="180" t="s">
        <v>69</v>
      </c>
      <c r="AT53" s="180" t="s">
        <v>70</v>
      </c>
      <c r="AU53" s="180" t="s">
        <v>71</v>
      </c>
      <c r="AV53" s="162"/>
      <c r="AW53" s="162"/>
      <c r="AX53" s="162"/>
      <c r="AY53" s="162"/>
      <c r="AZ53" s="162"/>
      <c r="BA53" s="171"/>
      <c r="BB53" s="162"/>
      <c r="BC53" s="171"/>
    </row>
    <row r="54" spans="1:60" ht="21" customHeight="1">
      <c r="A54" s="162"/>
      <c r="B54" s="163"/>
      <c r="C54" s="204"/>
      <c r="D54" s="231"/>
      <c r="E54" s="232"/>
      <c r="F54" s="232"/>
      <c r="G54" s="232"/>
      <c r="H54" s="232"/>
      <c r="I54" s="232"/>
      <c r="J54" s="232"/>
      <c r="K54" s="233"/>
      <c r="L54" s="234"/>
      <c r="M54" s="235"/>
      <c r="N54" s="235"/>
      <c r="O54" s="235"/>
      <c r="P54" s="235"/>
      <c r="Q54" s="235"/>
      <c r="R54" s="235"/>
      <c r="S54" s="236"/>
      <c r="T54" s="237"/>
      <c r="U54" s="238"/>
      <c r="V54" s="238"/>
      <c r="W54" s="238"/>
      <c r="X54" s="238"/>
      <c r="Y54" s="238"/>
      <c r="Z54" s="239"/>
      <c r="AA54" s="214"/>
      <c r="AB54" s="162"/>
      <c r="AC54" s="162"/>
      <c r="AD54" s="162"/>
      <c r="AE54" s="162"/>
      <c r="AF54" s="240"/>
      <c r="AG54" s="241"/>
      <c r="AH54" s="241"/>
      <c r="AI54" s="241"/>
      <c r="AJ54" s="241"/>
      <c r="AK54" s="241"/>
      <c r="AL54" s="241"/>
      <c r="AM54" s="242"/>
      <c r="AN54" s="218"/>
      <c r="AO54" s="162"/>
      <c r="AP54" s="114"/>
      <c r="AQ54" s="243" t="s">
        <v>72</v>
      </c>
      <c r="AR54" s="161">
        <f>J55+R55+Y55+AL55+AS54</f>
        <v>4817200</v>
      </c>
      <c r="AS54" s="244">
        <f>AT54+AU54</f>
        <v>0</v>
      </c>
      <c r="AT54" s="114"/>
      <c r="AU54" s="114"/>
      <c r="AV54" s="162"/>
      <c r="AW54" s="162"/>
      <c r="AX54" s="162"/>
      <c r="AY54" s="162"/>
      <c r="AZ54" s="162"/>
      <c r="BA54" s="171"/>
      <c r="BB54" s="162"/>
      <c r="BC54" s="171"/>
    </row>
    <row r="55" spans="1:60" ht="21" customHeight="1">
      <c r="A55" s="162"/>
      <c r="B55" s="163"/>
      <c r="C55" s="164"/>
      <c r="D55" s="162"/>
      <c r="E55" s="162"/>
      <c r="F55" s="162"/>
      <c r="G55" s="162"/>
      <c r="H55" s="245"/>
      <c r="I55" s="246" t="s">
        <v>73</v>
      </c>
      <c r="J55" s="247">
        <v>0</v>
      </c>
      <c r="K55" s="248" t="s">
        <v>74</v>
      </c>
      <c r="L55" s="114"/>
      <c r="M55" s="249"/>
      <c r="N55" s="249"/>
      <c r="O55" s="162"/>
      <c r="P55" s="245"/>
      <c r="Q55" s="246" t="s">
        <v>75</v>
      </c>
      <c r="R55" s="247">
        <v>0</v>
      </c>
      <c r="S55" s="248" t="s">
        <v>74</v>
      </c>
      <c r="T55" s="114"/>
      <c r="U55" s="114"/>
      <c r="V55" s="114"/>
      <c r="W55" s="114"/>
      <c r="X55" s="246" t="s">
        <v>76</v>
      </c>
      <c r="Y55" s="247"/>
      <c r="Z55" s="248" t="s">
        <v>74</v>
      </c>
      <c r="AB55" s="114"/>
      <c r="AC55" s="114"/>
      <c r="AD55" s="114"/>
      <c r="AE55" s="114"/>
      <c r="AF55" s="250"/>
      <c r="AG55" s="114"/>
      <c r="AH55" s="114"/>
      <c r="AI55" s="114"/>
      <c r="AJ55" s="114"/>
      <c r="AK55" s="245" t="s">
        <v>77</v>
      </c>
      <c r="AL55" s="247">
        <v>4817200</v>
      </c>
      <c r="AM55" s="248" t="s">
        <v>74</v>
      </c>
      <c r="AO55" s="114"/>
      <c r="AP55" s="114"/>
      <c r="AQ55" s="243" t="s">
        <v>78</v>
      </c>
      <c r="AR55" s="161">
        <f>AR54-AQ37-AR37</f>
        <v>2898595.4545454546</v>
      </c>
      <c r="AS55" s="161">
        <f>AS54-AR37</f>
        <v>0</v>
      </c>
      <c r="AT55" s="251" t="e">
        <f>AR37/AS54</f>
        <v>#DIV/0!</v>
      </c>
      <c r="AU55" s="162"/>
      <c r="AV55" s="162"/>
      <c r="AW55" s="162"/>
      <c r="AX55" s="162"/>
      <c r="AY55" s="171"/>
      <c r="AZ55" s="162"/>
      <c r="BA55" s="171"/>
      <c r="BB55" s="162"/>
      <c r="BC55" s="162"/>
    </row>
    <row r="56" spans="1:60" ht="21" customHeight="1">
      <c r="A56" s="162"/>
      <c r="B56" s="163"/>
      <c r="C56" s="164"/>
      <c r="D56" s="162"/>
      <c r="E56" s="162"/>
      <c r="F56" s="162"/>
      <c r="G56" s="162"/>
      <c r="H56" s="245"/>
      <c r="I56" s="245" t="s">
        <v>78</v>
      </c>
      <c r="J56" s="161">
        <f>J55-J37</f>
        <v>0</v>
      </c>
      <c r="K56" s="252">
        <v>0</v>
      </c>
      <c r="L56" s="114"/>
      <c r="M56" s="249"/>
      <c r="N56" s="249"/>
      <c r="O56" s="162"/>
      <c r="P56" s="245"/>
      <c r="Q56" s="245" t="s">
        <v>78</v>
      </c>
      <c r="R56" s="161">
        <f>R55-R37</f>
        <v>0</v>
      </c>
      <c r="S56" s="252">
        <f>K56</f>
        <v>0</v>
      </c>
      <c r="T56" s="114"/>
      <c r="U56" s="114"/>
      <c r="V56" s="114"/>
      <c r="W56" s="114"/>
      <c r="X56" s="245" t="s">
        <v>78</v>
      </c>
      <c r="Y56" s="161">
        <f>Y55-Y37</f>
        <v>0</v>
      </c>
      <c r="Z56" s="253">
        <f>K56</f>
        <v>0</v>
      </c>
      <c r="AB56" s="114"/>
      <c r="AC56" s="114"/>
      <c r="AD56" s="114"/>
      <c r="AE56" s="114"/>
      <c r="AF56" s="249"/>
      <c r="AG56" s="114"/>
      <c r="AH56" s="114"/>
      <c r="AI56" s="114"/>
      <c r="AJ56" s="114"/>
      <c r="AK56" s="245" t="s">
        <v>78</v>
      </c>
      <c r="AL56" s="161">
        <f>AL55-AL37</f>
        <v>2898595.4545454546</v>
      </c>
      <c r="AM56" s="254">
        <f>Z56</f>
        <v>0</v>
      </c>
      <c r="AO56" s="114"/>
      <c r="AP56" s="255"/>
      <c r="AQ56" s="256" t="s">
        <v>79</v>
      </c>
      <c r="AR56" s="257" t="e">
        <f>AR55/Z56</f>
        <v>#DIV/0!</v>
      </c>
      <c r="AS56" s="258">
        <f>(AQ37+AR37)/AR54</f>
        <v>0.39828210276811121</v>
      </c>
      <c r="AT56" s="258"/>
      <c r="AU56" s="255"/>
      <c r="AV56" s="259"/>
      <c r="AW56" s="162"/>
      <c r="AX56" s="162"/>
      <c r="AY56" s="162"/>
      <c r="AZ56" s="171"/>
      <c r="BA56" s="162"/>
      <c r="BB56" s="171"/>
      <c r="BC56" s="162"/>
      <c r="BD56" s="162"/>
    </row>
    <row r="57" spans="1:60" ht="25.5" customHeight="1">
      <c r="A57" s="259"/>
      <c r="B57" s="260"/>
      <c r="C57" s="261"/>
      <c r="D57" s="259"/>
      <c r="E57" s="259"/>
      <c r="F57" s="259"/>
      <c r="G57" s="259"/>
      <c r="H57" s="262"/>
      <c r="I57" s="256" t="s">
        <v>79</v>
      </c>
      <c r="J57" s="263" t="e">
        <f>J56/K56</f>
        <v>#DIV/0!</v>
      </c>
      <c r="K57" s="264" t="e">
        <f>J37/J55</f>
        <v>#DIV/0!</v>
      </c>
      <c r="L57" s="255"/>
      <c r="M57" s="265"/>
      <c r="N57" s="265"/>
      <c r="O57" s="259"/>
      <c r="P57" s="262"/>
      <c r="Q57" s="256" t="s">
        <v>79</v>
      </c>
      <c r="R57" s="263" t="e">
        <f>R56/S56</f>
        <v>#DIV/0!</v>
      </c>
      <c r="S57" s="264" t="e">
        <f>R37/R55</f>
        <v>#DIV/0!</v>
      </c>
      <c r="T57" s="255"/>
      <c r="U57" s="255"/>
      <c r="V57" s="255"/>
      <c r="W57" s="255"/>
      <c r="X57" s="256" t="s">
        <v>79</v>
      </c>
      <c r="Y57" s="257" t="e">
        <f>Y56/Z56</f>
        <v>#DIV/0!</v>
      </c>
      <c r="Z57" s="264" t="e">
        <f>Y37/Y55</f>
        <v>#DIV/0!</v>
      </c>
      <c r="AB57" s="255"/>
      <c r="AC57" s="255"/>
      <c r="AD57" s="255"/>
      <c r="AE57" s="255"/>
      <c r="AF57" s="266"/>
      <c r="AG57" s="255"/>
      <c r="AH57" s="255"/>
      <c r="AI57" s="255"/>
      <c r="AJ57" s="255"/>
      <c r="AK57" s="256" t="s">
        <v>79</v>
      </c>
      <c r="AL57" s="263" t="e">
        <f>AL56/AM56</f>
        <v>#DIV/0!</v>
      </c>
      <c r="AM57" s="264">
        <f>AL37/AL55</f>
        <v>0.39828210276811121</v>
      </c>
      <c r="AO57" s="255"/>
      <c r="AP57" s="162"/>
      <c r="AQ57" s="162"/>
      <c r="AR57" s="171"/>
      <c r="AS57" s="162"/>
      <c r="AT57" s="162"/>
      <c r="AU57" s="162"/>
      <c r="AV57" s="162"/>
      <c r="AW57" s="259"/>
      <c r="AX57" s="259"/>
      <c r="AY57" s="259"/>
      <c r="AZ57" s="267"/>
      <c r="BA57" s="259"/>
      <c r="BB57" s="267"/>
      <c r="BC57" s="259"/>
      <c r="BD57" s="259"/>
    </row>
    <row r="58" spans="1:60" ht="15.75" customHeight="1">
      <c r="A58" s="162"/>
      <c r="B58" s="163"/>
      <c r="C58" s="164"/>
      <c r="D58" s="162"/>
      <c r="E58" s="162"/>
      <c r="F58" s="162"/>
      <c r="G58" s="162"/>
      <c r="H58" s="162"/>
      <c r="I58" s="162"/>
      <c r="J58" s="162"/>
      <c r="K58" s="162"/>
      <c r="L58" s="162"/>
      <c r="T58" s="162"/>
      <c r="U58" s="162"/>
      <c r="V58" s="162"/>
      <c r="W58" s="162"/>
      <c r="X58" s="162"/>
      <c r="Y58" s="162"/>
      <c r="Z58" s="162"/>
      <c r="AA58" s="162"/>
      <c r="AB58" s="162"/>
      <c r="AC58" s="162"/>
      <c r="AD58" s="162"/>
      <c r="AE58" s="162"/>
      <c r="AG58" s="162"/>
      <c r="AH58" s="162"/>
      <c r="AI58" s="162"/>
      <c r="AJ58" s="162"/>
      <c r="AK58" s="162"/>
      <c r="AL58" s="162"/>
      <c r="AM58" s="162"/>
      <c r="AN58" s="162"/>
      <c r="AO58" s="162"/>
      <c r="AP58" s="268"/>
      <c r="AQ58" s="268"/>
      <c r="AR58" s="268"/>
      <c r="AS58" s="268"/>
      <c r="AT58" s="268"/>
      <c r="AU58" s="268"/>
      <c r="AV58" s="268"/>
      <c r="AW58" s="162"/>
      <c r="AX58" s="162"/>
      <c r="AY58" s="162"/>
      <c r="AZ58" s="171"/>
      <c r="BA58" s="162"/>
      <c r="BB58" s="171"/>
      <c r="BC58" s="162"/>
      <c r="BD58" s="162"/>
    </row>
    <row r="59" spans="1:60" ht="36" customHeight="1">
      <c r="A59" s="268"/>
      <c r="B59" s="269"/>
      <c r="C59" s="270"/>
      <c r="D59" s="268"/>
      <c r="E59" s="268"/>
      <c r="F59" s="268"/>
      <c r="G59" s="268"/>
      <c r="H59" s="268"/>
      <c r="I59" s="268"/>
      <c r="J59" s="268"/>
      <c r="K59" s="268"/>
      <c r="L59" s="268"/>
      <c r="M59" s="271"/>
      <c r="N59" s="271"/>
      <c r="O59" s="271"/>
      <c r="P59" s="271"/>
      <c r="Q59" s="271"/>
      <c r="R59" s="271"/>
      <c r="S59" s="271"/>
      <c r="T59" s="272"/>
      <c r="U59" s="162"/>
      <c r="V59" s="162"/>
      <c r="W59" s="162"/>
      <c r="X59" s="162"/>
      <c r="Y59" s="162"/>
      <c r="Z59" s="272"/>
      <c r="AA59" s="268"/>
      <c r="AB59" s="268"/>
      <c r="AC59" s="268"/>
      <c r="AD59" s="1" t="s">
        <v>80</v>
      </c>
      <c r="AE59" s="268"/>
      <c r="AF59" s="271"/>
      <c r="AG59" s="268"/>
      <c r="AH59" s="268"/>
      <c r="AI59" s="268"/>
      <c r="AJ59" s="268"/>
      <c r="AK59" s="268"/>
      <c r="AL59" s="1" t="s">
        <v>80</v>
      </c>
      <c r="AM59" s="268"/>
      <c r="AN59" s="268"/>
      <c r="AO59" s="270"/>
      <c r="AP59" s="268"/>
      <c r="AQ59" s="270"/>
      <c r="AR59" s="268"/>
      <c r="AS59" s="268"/>
      <c r="AT59" s="1"/>
      <c r="AU59" s="1"/>
      <c r="AV59" s="1"/>
      <c r="AW59" s="1"/>
      <c r="AX59" s="1"/>
      <c r="AY59" s="1"/>
      <c r="AZ59" s="1"/>
      <c r="BA59" s="268"/>
      <c r="BB59" s="268"/>
      <c r="BC59" s="268"/>
      <c r="BD59" s="273"/>
      <c r="BE59" s="268"/>
      <c r="BF59" s="273"/>
      <c r="BG59" s="268"/>
      <c r="BH59" s="268"/>
    </row>
    <row r="60" spans="1:60" ht="36" customHeight="1">
      <c r="A60" s="1"/>
      <c r="B60" s="274"/>
      <c r="C60" s="3"/>
      <c r="D60" s="1"/>
      <c r="E60" s="1"/>
      <c r="F60" s="1"/>
      <c r="G60" s="1"/>
      <c r="H60" s="1"/>
      <c r="I60" s="1"/>
      <c r="J60" s="1"/>
      <c r="K60" s="1"/>
      <c r="L60" s="1"/>
      <c r="M60" s="275"/>
      <c r="N60" s="276"/>
      <c r="O60" s="275"/>
      <c r="P60" s="275"/>
      <c r="Q60" s="275"/>
      <c r="R60" s="275"/>
      <c r="S60" s="275"/>
      <c r="T60" s="277"/>
      <c r="U60" s="162"/>
      <c r="V60" s="162"/>
      <c r="W60" s="162"/>
      <c r="X60" s="162"/>
      <c r="Y60" s="162"/>
      <c r="Z60" s="277"/>
      <c r="AA60" s="277"/>
      <c r="AB60" s="1"/>
      <c r="AC60" s="1"/>
      <c r="AD60" s="278" t="e">
        <f>AD61/AD37</f>
        <v>#DIV/0!</v>
      </c>
      <c r="AE60" s="1"/>
      <c r="AF60" s="275" t="s">
        <v>81</v>
      </c>
      <c r="AG60" s="1"/>
      <c r="AH60" s="279"/>
      <c r="AI60" s="1"/>
      <c r="AJ60" s="1"/>
      <c r="AK60" s="1"/>
      <c r="AL60" s="278">
        <f>AL61/AL37</f>
        <v>0.23715152821771507</v>
      </c>
      <c r="AM60" s="1"/>
      <c r="AN60" s="275" t="s">
        <v>81</v>
      </c>
      <c r="AO60" s="3"/>
      <c r="AP60" s="1"/>
      <c r="AQ60" s="3"/>
      <c r="AR60" s="1"/>
      <c r="AS60" s="1"/>
      <c r="AT60" s="268"/>
      <c r="AU60" s="268"/>
      <c r="AV60" s="268"/>
      <c r="AW60" s="268"/>
      <c r="AX60" s="268"/>
      <c r="AY60" s="268"/>
      <c r="AZ60" s="268"/>
      <c r="BA60" s="1"/>
      <c r="BB60" s="1"/>
      <c r="BC60" s="1"/>
      <c r="BD60" s="280"/>
      <c r="BE60" s="1"/>
      <c r="BF60" s="280"/>
      <c r="BG60" s="1"/>
      <c r="BH60" s="1"/>
    </row>
    <row r="61" spans="1:60" ht="15.75" customHeight="1">
      <c r="A61" s="162"/>
      <c r="B61" s="163"/>
      <c r="C61" s="164"/>
      <c r="D61" s="162"/>
      <c r="E61" s="162"/>
      <c r="F61" s="162"/>
      <c r="G61" s="162"/>
      <c r="H61" s="162"/>
      <c r="I61" s="162"/>
      <c r="J61" s="162"/>
      <c r="K61" s="162"/>
      <c r="L61" s="162"/>
      <c r="T61" s="162"/>
      <c r="U61" s="162"/>
      <c r="V61" s="162"/>
      <c r="W61" s="162"/>
      <c r="X61" s="162"/>
      <c r="Y61" s="162"/>
      <c r="Z61" s="162"/>
      <c r="AA61" s="162"/>
      <c r="AB61" s="162"/>
      <c r="AC61" s="162"/>
      <c r="AD61" s="171">
        <v>630000</v>
      </c>
      <c r="AE61" s="162">
        <v>47.75</v>
      </c>
      <c r="AF61" s="281">
        <f>AD61/AE61</f>
        <v>13193.71727748691</v>
      </c>
      <c r="AG61" s="162"/>
      <c r="AH61" s="162"/>
      <c r="AI61" s="162"/>
      <c r="AJ61" s="162"/>
      <c r="AK61" s="162"/>
      <c r="AL61" s="171">
        <v>455000</v>
      </c>
      <c r="AM61" s="162">
        <v>7.07</v>
      </c>
      <c r="AN61" s="281">
        <f>AL61/AM61</f>
        <v>64356.435643564357</v>
      </c>
      <c r="AO61" s="164"/>
      <c r="AP61" s="162"/>
      <c r="AQ61" s="164"/>
      <c r="AR61" s="162"/>
      <c r="AS61" s="162"/>
      <c r="AT61" s="162"/>
      <c r="AU61" s="162"/>
      <c r="AV61" s="162"/>
      <c r="AW61" s="162"/>
      <c r="AX61" s="162"/>
      <c r="AY61" s="162"/>
      <c r="AZ61" s="162"/>
      <c r="BA61" s="162"/>
      <c r="BB61" s="162"/>
      <c r="BC61" s="162"/>
      <c r="BD61" s="162"/>
      <c r="BE61" s="162"/>
      <c r="BF61" s="171"/>
      <c r="BG61" s="162"/>
      <c r="BH61" s="171"/>
    </row>
    <row r="62" spans="1:60" ht="15.75" customHeight="1">
      <c r="A62" s="162"/>
      <c r="B62" s="163"/>
      <c r="C62" s="164"/>
      <c r="D62" s="162"/>
      <c r="E62" s="162"/>
      <c r="F62" s="162"/>
      <c r="G62" s="162"/>
      <c r="H62" s="162"/>
      <c r="I62" s="162"/>
      <c r="J62" s="162"/>
      <c r="K62" s="162"/>
      <c r="L62" s="162"/>
      <c r="T62" s="162"/>
      <c r="U62" s="162"/>
      <c r="V62" s="162"/>
      <c r="W62" s="162"/>
      <c r="X62" s="162"/>
      <c r="Y62" s="162"/>
      <c r="Z62" s="162"/>
      <c r="AA62" s="162"/>
      <c r="AB62" s="162"/>
      <c r="AC62" s="162"/>
      <c r="AD62" s="282">
        <f>AD37*0.105</f>
        <v>0</v>
      </c>
      <c r="AE62" s="283">
        <v>0.105</v>
      </c>
      <c r="AF62" s="284" t="s">
        <v>82</v>
      </c>
      <c r="AG62" s="162"/>
      <c r="AH62" s="162"/>
      <c r="AI62" s="162"/>
      <c r="AJ62" s="162"/>
      <c r="AK62" s="162"/>
      <c r="AL62" s="282">
        <f>AL37*0.105</f>
        <v>201453.47727272726</v>
      </c>
      <c r="AM62" s="283">
        <v>0.13</v>
      </c>
      <c r="AN62" s="172"/>
      <c r="AO62" s="164"/>
      <c r="AP62" s="162"/>
      <c r="AQ62" s="164"/>
      <c r="AR62" s="162"/>
      <c r="AS62" s="162"/>
      <c r="AT62" s="162"/>
      <c r="AU62" s="162"/>
      <c r="AV62" s="162"/>
      <c r="AW62" s="162"/>
      <c r="AX62" s="162"/>
      <c r="AY62" s="162"/>
      <c r="AZ62" s="162"/>
      <c r="BA62" s="162"/>
      <c r="BB62" s="162"/>
      <c r="BC62" s="162"/>
      <c r="BD62" s="162"/>
      <c r="BE62" s="162"/>
      <c r="BF62" s="171"/>
      <c r="BG62" s="162"/>
      <c r="BH62" s="171"/>
    </row>
    <row r="63" spans="1:60" ht="15.75" customHeight="1">
      <c r="A63" s="162"/>
      <c r="B63" s="163"/>
      <c r="C63" s="164"/>
      <c r="D63" s="162"/>
      <c r="E63" s="162"/>
      <c r="F63" s="162"/>
      <c r="G63" s="162"/>
      <c r="H63" s="162"/>
      <c r="I63" s="162"/>
      <c r="J63" s="162"/>
      <c r="K63" s="162"/>
      <c r="L63" s="162"/>
      <c r="T63" s="162"/>
      <c r="U63" s="162"/>
      <c r="V63" s="162"/>
      <c r="W63" s="162"/>
      <c r="X63" s="162"/>
      <c r="Y63" s="162"/>
      <c r="Z63" s="162"/>
      <c r="AA63" s="162"/>
      <c r="AB63" s="162"/>
      <c r="AC63" s="162"/>
      <c r="AD63" s="171">
        <f>AD61-AD62</f>
        <v>630000</v>
      </c>
      <c r="AE63" s="180" t="s">
        <v>83</v>
      </c>
      <c r="AG63" s="162"/>
      <c r="AH63" s="162"/>
      <c r="AI63" s="162"/>
      <c r="AJ63" s="162"/>
      <c r="AK63" s="162"/>
      <c r="AL63" s="171">
        <f>AL61-AL62</f>
        <v>253546.52272727274</v>
      </c>
      <c r="AM63" s="180" t="s">
        <v>83</v>
      </c>
      <c r="AN63" s="172"/>
      <c r="AO63" s="164"/>
      <c r="AP63" s="162"/>
      <c r="AQ63" s="164"/>
      <c r="AR63" s="162"/>
      <c r="AS63" s="162"/>
      <c r="AT63" s="162"/>
      <c r="AU63" s="162"/>
      <c r="AV63" s="162"/>
      <c r="AW63" s="162"/>
      <c r="AX63" s="162"/>
      <c r="AY63" s="162"/>
      <c r="AZ63" s="162"/>
      <c r="BA63" s="162"/>
      <c r="BB63" s="162"/>
      <c r="BC63" s="162"/>
      <c r="BD63" s="162"/>
      <c r="BE63" s="162"/>
      <c r="BF63" s="171"/>
      <c r="BG63" s="162"/>
      <c r="BH63" s="171"/>
    </row>
    <row r="64" spans="1:60" ht="15.75" customHeight="1">
      <c r="A64" s="162"/>
      <c r="B64" s="163"/>
      <c r="C64" s="164"/>
      <c r="D64" s="162"/>
      <c r="E64" s="162"/>
      <c r="F64" s="162"/>
      <c r="G64" s="162"/>
      <c r="H64" s="162"/>
      <c r="I64" s="162"/>
      <c r="J64" s="162"/>
      <c r="K64" s="162"/>
      <c r="L64" s="162"/>
      <c r="T64" s="162"/>
      <c r="U64" s="162"/>
      <c r="V64" s="162"/>
      <c r="W64" s="162"/>
      <c r="X64" s="162"/>
      <c r="Y64" s="162"/>
      <c r="Z64" s="162"/>
      <c r="AA64" s="162"/>
      <c r="AB64" s="162"/>
      <c r="AC64" s="162"/>
      <c r="AD64" s="186">
        <v>6000000</v>
      </c>
      <c r="AE64" s="162"/>
      <c r="AG64" s="162"/>
      <c r="AH64" s="162"/>
      <c r="AI64" s="162"/>
      <c r="AJ64" s="162"/>
      <c r="AK64" s="162"/>
      <c r="AL64" s="186">
        <v>3500000</v>
      </c>
      <c r="AM64" s="162"/>
      <c r="AN64" s="172"/>
      <c r="AO64" s="164"/>
      <c r="AP64" s="162"/>
      <c r="AQ64" s="164"/>
      <c r="AR64" s="162"/>
      <c r="AS64" s="162"/>
      <c r="AT64" s="162"/>
      <c r="AU64" s="162"/>
      <c r="AV64" s="162"/>
      <c r="AW64" s="162"/>
      <c r="AX64" s="162"/>
      <c r="AY64" s="162"/>
      <c r="AZ64" s="162"/>
      <c r="BA64" s="162"/>
      <c r="BB64" s="162"/>
      <c r="BC64" s="162"/>
      <c r="BD64" s="162"/>
      <c r="BE64" s="162"/>
      <c r="BF64" s="171"/>
      <c r="BG64" s="162"/>
      <c r="BH64" s="171"/>
    </row>
    <row r="65" spans="1:60" ht="15.75" customHeight="1">
      <c r="A65" s="162"/>
      <c r="B65" s="163"/>
      <c r="C65" s="164"/>
      <c r="D65" s="162"/>
      <c r="E65" s="162"/>
      <c r="F65" s="162"/>
      <c r="G65" s="162"/>
      <c r="H65" s="162"/>
      <c r="I65" s="162"/>
      <c r="J65" s="162"/>
      <c r="K65" s="162"/>
      <c r="L65" s="162"/>
      <c r="T65" s="162"/>
      <c r="U65" s="162"/>
      <c r="V65" s="162"/>
      <c r="W65" s="162"/>
      <c r="X65" s="162"/>
      <c r="Y65" s="162"/>
      <c r="Z65" s="162"/>
      <c r="AA65" s="162"/>
      <c r="AB65" s="162"/>
      <c r="AC65" s="162"/>
      <c r="AD65" s="162">
        <f>AD61/AD64</f>
        <v>0.105</v>
      </c>
      <c r="AE65" s="162"/>
      <c r="AG65" s="162"/>
      <c r="AH65" s="162"/>
      <c r="AI65" s="162"/>
      <c r="AJ65" s="162"/>
      <c r="AK65" s="162"/>
      <c r="AL65" s="162">
        <f>AL61/AL64</f>
        <v>0.13</v>
      </c>
      <c r="AM65" s="162"/>
      <c r="AN65" s="172"/>
      <c r="AO65" s="164"/>
      <c r="AP65" s="162"/>
      <c r="AQ65" s="164"/>
      <c r="AR65" s="162"/>
      <c r="AS65" s="162"/>
      <c r="AT65" s="162"/>
      <c r="AU65" s="162"/>
      <c r="AV65" s="162"/>
      <c r="AW65" s="162"/>
      <c r="AX65" s="162"/>
      <c r="AY65" s="162"/>
      <c r="AZ65" s="162"/>
      <c r="BA65" s="162"/>
      <c r="BB65" s="162"/>
      <c r="BC65" s="162"/>
      <c r="BD65" s="162"/>
      <c r="BE65" s="162"/>
      <c r="BF65" s="171"/>
      <c r="BG65" s="162"/>
      <c r="BH65" s="171"/>
    </row>
    <row r="66" spans="1:60" ht="15.75" customHeight="1">
      <c r="A66" s="162"/>
      <c r="B66" s="163"/>
      <c r="C66" s="164"/>
      <c r="D66" s="162"/>
      <c r="E66" s="162"/>
      <c r="F66" s="162"/>
      <c r="G66" s="162"/>
      <c r="H66" s="162"/>
      <c r="I66" s="162"/>
      <c r="J66" s="162"/>
      <c r="K66" s="162"/>
      <c r="L66" s="162"/>
      <c r="T66" s="162"/>
      <c r="U66" s="162"/>
      <c r="V66" s="162"/>
      <c r="W66" s="162"/>
      <c r="X66" s="162"/>
      <c r="Y66" s="162"/>
      <c r="Z66" s="162"/>
      <c r="AA66" s="162"/>
      <c r="AB66" s="162"/>
      <c r="AC66" s="162"/>
      <c r="AD66" s="162"/>
      <c r="AE66" s="162"/>
      <c r="AG66" s="162"/>
      <c r="AH66" s="162"/>
      <c r="AI66" s="162"/>
      <c r="AJ66" s="162"/>
      <c r="AK66" s="162"/>
      <c r="AL66" s="162"/>
      <c r="AM66" s="162"/>
      <c r="AN66" s="162"/>
      <c r="AO66" s="162"/>
      <c r="AP66" s="162"/>
      <c r="AQ66" s="162"/>
      <c r="AR66" s="162"/>
      <c r="AS66" s="162"/>
      <c r="AT66" s="162"/>
      <c r="AU66" s="162"/>
      <c r="AV66" s="162"/>
      <c r="AW66" s="162"/>
      <c r="AX66" s="162"/>
      <c r="AY66" s="162"/>
      <c r="AZ66" s="162"/>
      <c r="BA66" s="162"/>
      <c r="BB66" s="171"/>
      <c r="BC66" s="162"/>
      <c r="BD66" s="171"/>
    </row>
    <row r="67" spans="1:60" ht="15.75" customHeight="1">
      <c r="A67" s="162"/>
      <c r="B67" s="163"/>
      <c r="C67" s="164"/>
      <c r="D67" s="162"/>
      <c r="E67" s="162"/>
      <c r="F67" s="162"/>
      <c r="G67" s="162"/>
      <c r="H67" s="162"/>
      <c r="I67" s="162"/>
      <c r="J67" s="162"/>
      <c r="K67" s="162"/>
      <c r="L67" s="162"/>
      <c r="T67" s="162"/>
      <c r="U67" s="162"/>
      <c r="V67" s="162"/>
      <c r="W67" s="162"/>
      <c r="X67" s="162"/>
      <c r="Y67" s="162"/>
      <c r="Z67" s="162"/>
      <c r="AA67" s="162"/>
      <c r="AB67" s="162"/>
      <c r="AC67" s="162"/>
      <c r="AD67" s="162"/>
      <c r="AE67" s="162"/>
      <c r="AG67" s="162"/>
      <c r="AH67" s="162"/>
      <c r="AI67" s="162"/>
      <c r="AJ67" s="162"/>
      <c r="AK67" s="162"/>
      <c r="AL67" s="162"/>
      <c r="AM67" s="162"/>
      <c r="AN67" s="162"/>
      <c r="AO67" s="162"/>
      <c r="AP67" s="162"/>
      <c r="AQ67" s="162"/>
      <c r="AR67" s="162"/>
      <c r="AS67" s="162"/>
      <c r="AT67" s="162"/>
      <c r="AU67" s="162"/>
      <c r="AV67" s="162"/>
      <c r="AW67" s="162"/>
      <c r="AX67" s="162"/>
      <c r="AY67" s="162"/>
      <c r="AZ67" s="162"/>
      <c r="BA67" s="162"/>
      <c r="BB67" s="171"/>
      <c r="BC67" s="162"/>
      <c r="BD67" s="171"/>
    </row>
    <row r="68" spans="1:60" ht="15.75" customHeight="1">
      <c r="A68" s="162"/>
      <c r="B68" s="163"/>
      <c r="C68" s="164"/>
      <c r="D68" s="162"/>
      <c r="E68" s="162"/>
      <c r="F68" s="162"/>
      <c r="G68" s="162"/>
      <c r="H68" s="162"/>
      <c r="I68" s="162"/>
      <c r="J68" s="162"/>
      <c r="K68" s="162"/>
      <c r="L68" s="162"/>
      <c r="T68" s="162"/>
      <c r="U68" s="162"/>
      <c r="V68" s="162"/>
      <c r="W68" s="162"/>
      <c r="X68" s="162"/>
      <c r="Y68" s="162"/>
      <c r="Z68" s="162"/>
      <c r="AA68" s="162"/>
      <c r="AB68" s="162"/>
      <c r="AC68" s="162"/>
      <c r="AD68" s="162"/>
      <c r="AE68" s="162"/>
      <c r="AG68" s="162"/>
      <c r="AH68" s="162"/>
      <c r="AI68" s="162"/>
      <c r="AJ68" s="162"/>
      <c r="AK68" s="162"/>
      <c r="AL68" s="162"/>
      <c r="AM68" s="162"/>
      <c r="AN68" s="162"/>
      <c r="AO68" s="162"/>
      <c r="AP68" s="162"/>
      <c r="AQ68" s="162"/>
      <c r="AR68" s="162"/>
      <c r="AS68" s="162"/>
      <c r="AT68" s="162"/>
      <c r="AU68" s="162"/>
      <c r="AV68" s="162"/>
      <c r="AW68" s="162"/>
      <c r="AX68" s="162"/>
      <c r="AY68" s="162"/>
      <c r="AZ68" s="162"/>
      <c r="BA68" s="162"/>
      <c r="BB68" s="171"/>
      <c r="BC68" s="162"/>
      <c r="BD68" s="171"/>
    </row>
    <row r="69" spans="1:60" ht="15.75" customHeight="1">
      <c r="A69" s="162"/>
      <c r="B69" s="163"/>
      <c r="C69" s="164"/>
      <c r="D69" s="162"/>
      <c r="E69" s="162"/>
      <c r="F69" s="162"/>
      <c r="G69" s="162"/>
      <c r="H69" s="162"/>
      <c r="I69" s="162"/>
      <c r="J69" s="162"/>
      <c r="K69" s="162"/>
      <c r="L69" s="162"/>
      <c r="T69" s="162"/>
      <c r="U69" s="162"/>
      <c r="V69" s="162"/>
      <c r="W69" s="162"/>
      <c r="X69" s="162"/>
      <c r="Y69" s="162"/>
      <c r="Z69" s="162"/>
      <c r="AA69" s="162"/>
      <c r="AB69" s="162"/>
      <c r="AC69" s="162"/>
      <c r="AD69" s="162"/>
      <c r="AE69" s="162"/>
      <c r="AG69" s="162"/>
      <c r="AH69" s="162"/>
      <c r="AI69" s="162"/>
      <c r="AJ69" s="162"/>
      <c r="AK69" s="162"/>
      <c r="AL69" s="162"/>
      <c r="AM69" s="162"/>
      <c r="AN69" s="162"/>
      <c r="AO69" s="162"/>
      <c r="AP69" s="162"/>
      <c r="AQ69" s="162"/>
      <c r="AR69" s="162"/>
      <c r="AS69" s="162"/>
      <c r="AT69" s="162"/>
      <c r="AU69" s="162"/>
      <c r="AV69" s="162"/>
      <c r="AW69" s="162"/>
      <c r="AX69" s="162"/>
      <c r="AY69" s="162"/>
      <c r="AZ69" s="162"/>
      <c r="BA69" s="162"/>
      <c r="BB69" s="171"/>
      <c r="BC69" s="162"/>
      <c r="BD69" s="171"/>
    </row>
    <row r="70" spans="1:60" ht="15.75" customHeight="1">
      <c r="A70" s="162"/>
      <c r="B70" s="163"/>
      <c r="C70" s="164"/>
      <c r="D70" s="162"/>
      <c r="E70" s="162"/>
      <c r="F70" s="162"/>
      <c r="G70" s="162"/>
      <c r="H70" s="162"/>
      <c r="I70" s="162"/>
      <c r="J70" s="162"/>
      <c r="K70" s="162"/>
      <c r="L70" s="162"/>
      <c r="T70" s="162"/>
      <c r="U70" s="162"/>
      <c r="V70" s="162"/>
      <c r="W70" s="162"/>
      <c r="X70" s="162"/>
      <c r="Y70" s="162"/>
      <c r="Z70" s="162"/>
      <c r="AA70" s="162"/>
      <c r="AB70" s="162"/>
      <c r="AC70" s="162"/>
      <c r="AD70" s="162"/>
      <c r="AE70" s="162"/>
      <c r="AG70" s="162"/>
      <c r="AH70" s="162"/>
      <c r="AI70" s="162"/>
      <c r="AJ70" s="162"/>
      <c r="AK70" s="162"/>
      <c r="AL70" s="162"/>
      <c r="AM70" s="162"/>
      <c r="AN70" s="162"/>
      <c r="AO70" s="162"/>
      <c r="AP70" s="162"/>
      <c r="AQ70" s="162"/>
      <c r="AR70" s="162"/>
      <c r="AS70" s="162"/>
      <c r="AT70" s="162"/>
      <c r="AU70" s="162"/>
      <c r="AV70" s="162"/>
      <c r="AW70" s="162"/>
      <c r="AX70" s="162"/>
      <c r="AY70" s="162"/>
      <c r="AZ70" s="162"/>
      <c r="BA70" s="162"/>
      <c r="BB70" s="171"/>
      <c r="BC70" s="162"/>
      <c r="BD70" s="171"/>
    </row>
    <row r="71" spans="1:60" ht="15.75" customHeight="1">
      <c r="A71" s="162"/>
      <c r="B71" s="163"/>
      <c r="C71" s="164"/>
      <c r="D71" s="162"/>
      <c r="E71" s="162"/>
      <c r="F71" s="162"/>
      <c r="G71" s="162"/>
      <c r="H71" s="162"/>
      <c r="I71" s="162"/>
      <c r="J71" s="162"/>
      <c r="K71" s="162"/>
      <c r="L71" s="162"/>
      <c r="T71" s="162"/>
      <c r="U71" s="162"/>
      <c r="V71" s="162"/>
      <c r="W71" s="162"/>
      <c r="X71" s="162"/>
      <c r="Y71" s="162"/>
      <c r="Z71" s="162"/>
      <c r="AA71" s="162"/>
      <c r="AB71" s="162"/>
      <c r="AC71" s="162"/>
      <c r="AD71" s="162"/>
      <c r="AE71" s="162"/>
      <c r="AG71" s="162"/>
      <c r="AH71" s="162"/>
      <c r="AI71" s="162"/>
      <c r="AJ71" s="162"/>
      <c r="AK71" s="162"/>
      <c r="AL71" s="162"/>
      <c r="AM71" s="162"/>
      <c r="AN71" s="162"/>
      <c r="AO71" s="162"/>
      <c r="AP71" s="162"/>
      <c r="AQ71" s="162"/>
      <c r="AR71" s="162"/>
      <c r="AS71" s="162"/>
      <c r="AT71" s="162"/>
      <c r="AU71" s="162"/>
      <c r="AV71" s="162"/>
      <c r="AW71" s="162"/>
      <c r="AX71" s="162"/>
      <c r="AY71" s="162"/>
      <c r="AZ71" s="162"/>
      <c r="BA71" s="162"/>
      <c r="BB71" s="171"/>
      <c r="BC71" s="162"/>
      <c r="BD71" s="171"/>
    </row>
    <row r="72" spans="1:60" ht="15.75" customHeight="1">
      <c r="A72" s="162"/>
      <c r="B72" s="163"/>
      <c r="C72" s="164"/>
      <c r="D72" s="162"/>
      <c r="E72" s="162"/>
      <c r="F72" s="162"/>
      <c r="G72" s="162"/>
      <c r="H72" s="162"/>
      <c r="I72" s="162"/>
      <c r="J72" s="162"/>
      <c r="K72" s="162"/>
      <c r="L72" s="162"/>
      <c r="T72" s="162"/>
      <c r="U72" s="162"/>
      <c r="V72" s="162"/>
      <c r="W72" s="162"/>
      <c r="X72" s="162"/>
      <c r="Y72" s="162"/>
      <c r="Z72" s="162"/>
      <c r="AA72" s="162"/>
      <c r="AB72" s="162"/>
      <c r="AC72" s="162"/>
      <c r="AD72" s="162"/>
      <c r="AE72" s="162"/>
      <c r="AG72" s="162"/>
      <c r="AH72" s="162"/>
      <c r="AI72" s="162"/>
      <c r="AJ72" s="162"/>
      <c r="AK72" s="162"/>
      <c r="AL72" s="162"/>
      <c r="AM72" s="162"/>
      <c r="AN72" s="162"/>
      <c r="AO72" s="162"/>
      <c r="AP72" s="162"/>
      <c r="AQ72" s="162"/>
      <c r="AR72" s="162"/>
      <c r="AS72" s="162"/>
      <c r="AT72" s="162"/>
      <c r="AU72" s="162"/>
      <c r="AV72" s="162"/>
      <c r="AW72" s="162"/>
      <c r="AX72" s="162"/>
      <c r="AY72" s="162"/>
      <c r="AZ72" s="162"/>
      <c r="BA72" s="162"/>
      <c r="BB72" s="171"/>
      <c r="BC72" s="162"/>
      <c r="BD72" s="171"/>
    </row>
    <row r="73" spans="1:60" ht="15.75" customHeight="1">
      <c r="A73" s="162"/>
      <c r="B73" s="163"/>
      <c r="C73" s="164"/>
      <c r="D73" s="162"/>
      <c r="E73" s="162"/>
      <c r="F73" s="162"/>
      <c r="G73" s="162"/>
      <c r="H73" s="162"/>
      <c r="I73" s="162"/>
      <c r="J73" s="162"/>
      <c r="K73" s="162"/>
      <c r="L73" s="162"/>
      <c r="T73" s="162"/>
      <c r="U73" s="162"/>
      <c r="V73" s="162"/>
      <c r="W73" s="162"/>
      <c r="X73" s="162"/>
      <c r="Y73" s="162"/>
      <c r="Z73" s="162"/>
      <c r="AA73" s="162"/>
      <c r="AB73" s="162"/>
      <c r="AC73" s="162"/>
      <c r="AD73" s="162"/>
      <c r="AE73" s="162"/>
      <c r="AG73" s="162"/>
      <c r="AH73" s="162"/>
      <c r="AI73" s="162"/>
      <c r="AJ73" s="162"/>
      <c r="AK73" s="162"/>
      <c r="AL73" s="162"/>
      <c r="AM73" s="162"/>
      <c r="AN73" s="162"/>
      <c r="AO73" s="162"/>
      <c r="AP73" s="162"/>
      <c r="AQ73" s="162"/>
      <c r="AR73" s="162"/>
      <c r="AS73" s="162"/>
      <c r="AT73" s="162"/>
      <c r="AU73" s="162"/>
      <c r="AV73" s="162"/>
      <c r="AW73" s="162"/>
      <c r="AX73" s="162"/>
      <c r="AY73" s="162"/>
      <c r="AZ73" s="162"/>
      <c r="BA73" s="162"/>
      <c r="BB73" s="171"/>
      <c r="BC73" s="162"/>
      <c r="BD73" s="171"/>
    </row>
    <row r="74" spans="1:60" ht="15.75" customHeight="1">
      <c r="A74" s="162"/>
      <c r="B74" s="163"/>
      <c r="C74" s="164"/>
      <c r="D74" s="162"/>
      <c r="E74" s="162"/>
      <c r="F74" s="162"/>
      <c r="G74" s="162"/>
      <c r="H74" s="162"/>
      <c r="I74" s="162"/>
      <c r="J74" s="162"/>
      <c r="K74" s="162"/>
      <c r="L74" s="162"/>
      <c r="T74" s="162"/>
      <c r="U74" s="162"/>
      <c r="V74" s="162"/>
      <c r="W74" s="162"/>
      <c r="X74" s="162"/>
      <c r="Y74" s="162"/>
      <c r="Z74" s="162"/>
      <c r="AA74" s="162"/>
      <c r="AB74" s="162"/>
      <c r="AC74" s="162"/>
      <c r="AD74" s="162"/>
      <c r="AE74" s="162"/>
      <c r="AG74" s="162"/>
      <c r="AH74" s="162"/>
      <c r="AI74" s="162"/>
      <c r="AJ74" s="162"/>
      <c r="AK74" s="162"/>
      <c r="AL74" s="162"/>
      <c r="AM74" s="162"/>
      <c r="AN74" s="162"/>
      <c r="AO74" s="162"/>
      <c r="AP74" s="162"/>
      <c r="AQ74" s="162"/>
      <c r="AR74" s="162"/>
      <c r="AS74" s="162"/>
      <c r="AT74" s="162"/>
      <c r="AU74" s="162"/>
      <c r="AV74" s="162"/>
      <c r="AW74" s="162"/>
      <c r="AX74" s="162"/>
      <c r="AY74" s="162"/>
      <c r="AZ74" s="162"/>
      <c r="BA74" s="162"/>
      <c r="BB74" s="171"/>
      <c r="BC74" s="162"/>
      <c r="BD74" s="171"/>
    </row>
    <row r="75" spans="1:60" ht="15.75" customHeight="1">
      <c r="A75" s="162"/>
      <c r="B75" s="163"/>
      <c r="C75" s="164"/>
      <c r="D75" s="162"/>
      <c r="E75" s="162"/>
      <c r="F75" s="162"/>
      <c r="G75" s="162"/>
      <c r="H75" s="162"/>
      <c r="I75" s="162"/>
      <c r="J75" s="162"/>
      <c r="K75" s="162"/>
      <c r="L75" s="162"/>
      <c r="T75" s="162"/>
      <c r="U75" s="162"/>
      <c r="V75" s="162"/>
      <c r="W75" s="162"/>
      <c r="X75" s="162"/>
      <c r="Y75" s="162"/>
      <c r="Z75" s="162"/>
      <c r="AA75" s="162"/>
      <c r="AB75" s="162"/>
      <c r="AC75" s="162"/>
      <c r="AD75" s="162"/>
      <c r="AE75" s="162"/>
      <c r="AG75" s="162"/>
      <c r="AH75" s="162"/>
      <c r="AI75" s="162"/>
      <c r="AJ75" s="162"/>
      <c r="AK75" s="162"/>
      <c r="AL75" s="162"/>
      <c r="AM75" s="162"/>
      <c r="AN75" s="162"/>
      <c r="AO75" s="162"/>
      <c r="AP75" s="162"/>
      <c r="AQ75" s="162"/>
      <c r="AR75" s="162"/>
      <c r="AS75" s="162"/>
      <c r="AT75" s="162"/>
      <c r="AU75" s="162"/>
      <c r="AV75" s="162"/>
      <c r="AW75" s="162"/>
      <c r="AX75" s="162"/>
      <c r="AY75" s="162"/>
      <c r="AZ75" s="162"/>
      <c r="BA75" s="162"/>
      <c r="BB75" s="171"/>
      <c r="BC75" s="162"/>
      <c r="BD75" s="171"/>
    </row>
    <row r="76" spans="1:60" ht="15.75" customHeight="1">
      <c r="A76" s="162"/>
      <c r="B76" s="163"/>
      <c r="C76" s="164"/>
      <c r="D76" s="162"/>
      <c r="E76" s="162"/>
      <c r="F76" s="162"/>
      <c r="G76" s="162"/>
      <c r="H76" s="162"/>
      <c r="I76" s="162"/>
      <c r="J76" s="162"/>
      <c r="K76" s="162"/>
      <c r="L76" s="162"/>
      <c r="T76" s="162"/>
      <c r="U76" s="162"/>
      <c r="V76" s="162"/>
      <c r="W76" s="162"/>
      <c r="X76" s="162"/>
      <c r="Y76" s="162"/>
      <c r="Z76" s="162"/>
      <c r="AA76" s="162"/>
      <c r="AB76" s="162"/>
      <c r="AC76" s="162"/>
      <c r="AD76" s="162"/>
      <c r="AE76" s="162"/>
      <c r="AG76" s="162"/>
      <c r="AH76" s="162"/>
      <c r="AI76" s="162"/>
      <c r="AJ76" s="162"/>
      <c r="AK76" s="162"/>
      <c r="AL76" s="162"/>
      <c r="AM76" s="162"/>
      <c r="AN76" s="162"/>
      <c r="AO76" s="162"/>
      <c r="AP76" s="162"/>
      <c r="AQ76" s="162"/>
      <c r="AR76" s="162"/>
      <c r="AS76" s="162"/>
      <c r="AT76" s="162"/>
      <c r="AU76" s="162"/>
      <c r="AV76" s="162"/>
      <c r="AW76" s="162"/>
      <c r="AX76" s="162"/>
      <c r="AY76" s="162"/>
      <c r="AZ76" s="162"/>
      <c r="BA76" s="162"/>
      <c r="BB76" s="171"/>
      <c r="BC76" s="162"/>
      <c r="BD76" s="171"/>
    </row>
    <row r="77" spans="1:60" ht="15.75" customHeight="1">
      <c r="A77" s="162"/>
      <c r="B77" s="163"/>
      <c r="C77" s="164"/>
      <c r="D77" s="162"/>
      <c r="E77" s="162"/>
      <c r="F77" s="162"/>
      <c r="G77" s="162"/>
      <c r="H77" s="162"/>
      <c r="I77" s="162"/>
      <c r="J77" s="162"/>
      <c r="K77" s="162"/>
      <c r="L77" s="162"/>
      <c r="T77" s="162"/>
      <c r="U77" s="162"/>
      <c r="V77" s="162"/>
      <c r="W77" s="162"/>
      <c r="X77" s="162"/>
      <c r="Y77" s="162"/>
      <c r="Z77" s="162"/>
      <c r="AA77" s="162"/>
      <c r="AB77" s="162"/>
      <c r="AC77" s="162"/>
      <c r="AD77" s="162"/>
      <c r="AE77" s="162"/>
      <c r="AG77" s="162"/>
      <c r="AH77" s="162"/>
      <c r="AI77" s="162"/>
      <c r="AJ77" s="162"/>
      <c r="AK77" s="162"/>
      <c r="AL77" s="162"/>
      <c r="AM77" s="162"/>
      <c r="AN77" s="162"/>
      <c r="AO77" s="162"/>
      <c r="AP77" s="162"/>
      <c r="AQ77" s="162"/>
      <c r="AR77" s="162"/>
      <c r="AS77" s="162"/>
      <c r="AT77" s="162"/>
      <c r="AU77" s="162"/>
      <c r="AV77" s="162"/>
      <c r="AW77" s="162"/>
      <c r="AX77" s="162"/>
      <c r="AY77" s="162"/>
      <c r="AZ77" s="162"/>
      <c r="BA77" s="162"/>
      <c r="BB77" s="171"/>
      <c r="BC77" s="162"/>
      <c r="BD77" s="171"/>
    </row>
    <row r="78" spans="1:60" ht="15.75" customHeight="1">
      <c r="A78" s="162"/>
      <c r="B78" s="163"/>
      <c r="C78" s="164"/>
      <c r="D78" s="162"/>
      <c r="E78" s="162"/>
      <c r="F78" s="162"/>
      <c r="G78" s="162"/>
      <c r="H78" s="162"/>
      <c r="I78" s="162"/>
      <c r="J78" s="162"/>
      <c r="K78" s="162"/>
      <c r="L78" s="162"/>
      <c r="T78" s="162"/>
      <c r="U78" s="162"/>
      <c r="V78" s="162"/>
      <c r="W78" s="162"/>
      <c r="X78" s="162"/>
      <c r="Y78" s="162"/>
      <c r="Z78" s="162"/>
      <c r="AA78" s="162"/>
      <c r="AB78" s="162"/>
      <c r="AC78" s="162"/>
      <c r="AD78" s="162"/>
      <c r="AE78" s="162"/>
      <c r="AG78" s="162"/>
      <c r="AH78" s="162"/>
      <c r="AI78" s="162"/>
      <c r="AJ78" s="162"/>
      <c r="AK78" s="162"/>
      <c r="AL78" s="162"/>
      <c r="AM78" s="162"/>
      <c r="AN78" s="162"/>
      <c r="AO78" s="162"/>
      <c r="AP78" s="162"/>
      <c r="AQ78" s="162"/>
      <c r="AR78" s="162"/>
      <c r="AS78" s="162"/>
      <c r="AT78" s="162"/>
      <c r="AU78" s="162"/>
      <c r="AV78" s="162"/>
      <c r="AW78" s="162"/>
      <c r="AX78" s="162"/>
      <c r="AY78" s="162"/>
      <c r="AZ78" s="162"/>
      <c r="BA78" s="162"/>
      <c r="BB78" s="171"/>
      <c r="BC78" s="162"/>
      <c r="BD78" s="171"/>
    </row>
    <row r="79" spans="1:60" ht="15.75" customHeight="1">
      <c r="A79" s="162"/>
      <c r="B79" s="163"/>
      <c r="C79" s="164"/>
      <c r="D79" s="162"/>
      <c r="E79" s="162"/>
      <c r="F79" s="162"/>
      <c r="G79" s="162"/>
      <c r="H79" s="162"/>
      <c r="I79" s="162"/>
      <c r="J79" s="162"/>
      <c r="K79" s="162"/>
      <c r="L79" s="162"/>
      <c r="T79" s="162"/>
      <c r="U79" s="162"/>
      <c r="V79" s="162"/>
      <c r="W79" s="162"/>
      <c r="X79" s="162"/>
      <c r="Y79" s="162"/>
      <c r="Z79" s="162"/>
      <c r="AA79" s="162"/>
      <c r="AB79" s="162"/>
      <c r="AC79" s="162"/>
      <c r="AD79" s="162"/>
      <c r="AE79" s="162"/>
      <c r="AG79" s="162"/>
      <c r="AH79" s="162"/>
      <c r="AI79" s="162"/>
      <c r="AJ79" s="162"/>
      <c r="AK79" s="162"/>
      <c r="AL79" s="162"/>
      <c r="AM79" s="162"/>
      <c r="AN79" s="162"/>
      <c r="AO79" s="162"/>
      <c r="AP79" s="162"/>
      <c r="AQ79" s="162"/>
      <c r="AR79" s="162"/>
      <c r="AS79" s="162"/>
      <c r="AT79" s="162"/>
      <c r="AU79" s="162"/>
      <c r="AV79" s="162"/>
      <c r="AW79" s="162"/>
      <c r="AX79" s="162"/>
      <c r="AY79" s="162"/>
      <c r="AZ79" s="162"/>
      <c r="BA79" s="162"/>
      <c r="BB79" s="171"/>
      <c r="BC79" s="162"/>
      <c r="BD79" s="171"/>
    </row>
    <row r="80" spans="1:60" ht="15.75" customHeight="1">
      <c r="A80" s="162"/>
      <c r="B80" s="163"/>
      <c r="C80" s="164"/>
      <c r="D80" s="162"/>
      <c r="E80" s="162"/>
      <c r="F80" s="162"/>
      <c r="G80" s="162"/>
      <c r="H80" s="162"/>
      <c r="I80" s="162"/>
      <c r="J80" s="162"/>
      <c r="K80" s="162"/>
      <c r="L80" s="162"/>
      <c r="T80" s="162"/>
      <c r="U80" s="162"/>
      <c r="V80" s="162"/>
      <c r="W80" s="162"/>
      <c r="X80" s="162"/>
      <c r="Y80" s="162"/>
      <c r="Z80" s="162"/>
      <c r="AA80" s="162"/>
      <c r="AB80" s="162"/>
      <c r="AC80" s="162"/>
      <c r="AD80" s="162"/>
      <c r="AE80" s="162"/>
      <c r="AG80" s="162"/>
      <c r="AH80" s="162"/>
      <c r="AI80" s="162"/>
      <c r="AJ80" s="162"/>
      <c r="AK80" s="162"/>
      <c r="AL80" s="162"/>
      <c r="AM80" s="162"/>
      <c r="AN80" s="162"/>
      <c r="AO80" s="162"/>
      <c r="AP80" s="162"/>
      <c r="AQ80" s="162"/>
      <c r="AR80" s="162"/>
      <c r="AS80" s="162"/>
      <c r="AT80" s="162"/>
      <c r="AU80" s="162"/>
      <c r="AV80" s="162"/>
      <c r="AW80" s="162"/>
      <c r="AX80" s="162"/>
      <c r="AY80" s="162"/>
      <c r="AZ80" s="162"/>
      <c r="BA80" s="162"/>
      <c r="BB80" s="171"/>
      <c r="BC80" s="162"/>
      <c r="BD80" s="171"/>
    </row>
    <row r="81" spans="1:56" ht="15.75" customHeight="1">
      <c r="A81" s="162"/>
      <c r="B81" s="163"/>
      <c r="C81" s="164"/>
      <c r="D81" s="162"/>
      <c r="E81" s="162"/>
      <c r="F81" s="162"/>
      <c r="G81" s="162"/>
      <c r="H81" s="162"/>
      <c r="I81" s="162"/>
      <c r="J81" s="162"/>
      <c r="K81" s="162"/>
      <c r="L81" s="162"/>
      <c r="T81" s="162"/>
      <c r="U81" s="162"/>
      <c r="V81" s="162"/>
      <c r="W81" s="162"/>
      <c r="X81" s="162"/>
      <c r="Y81" s="162"/>
      <c r="Z81" s="162"/>
      <c r="AA81" s="162"/>
      <c r="AB81" s="162"/>
      <c r="AC81" s="162"/>
      <c r="AD81" s="162"/>
      <c r="AE81" s="162"/>
      <c r="AG81" s="162"/>
      <c r="AH81" s="162"/>
      <c r="AI81" s="162"/>
      <c r="AJ81" s="162"/>
      <c r="AK81" s="162"/>
      <c r="AL81" s="162"/>
      <c r="AM81" s="162"/>
      <c r="AN81" s="162"/>
      <c r="AO81" s="162"/>
      <c r="AP81" s="162"/>
      <c r="AQ81" s="162"/>
      <c r="AR81" s="162"/>
      <c r="AS81" s="162"/>
      <c r="AT81" s="162"/>
      <c r="AU81" s="162"/>
      <c r="AV81" s="162"/>
      <c r="AW81" s="162"/>
      <c r="AX81" s="162"/>
      <c r="AY81" s="162"/>
      <c r="AZ81" s="162"/>
      <c r="BA81" s="162"/>
      <c r="BB81" s="171"/>
      <c r="BC81" s="162"/>
      <c r="BD81" s="171"/>
    </row>
    <row r="82" spans="1:56" ht="15.75" customHeight="1">
      <c r="A82" s="162"/>
      <c r="B82" s="163"/>
      <c r="C82" s="164"/>
      <c r="D82" s="162"/>
      <c r="E82" s="162"/>
      <c r="F82" s="162"/>
      <c r="G82" s="162"/>
      <c r="H82" s="162"/>
      <c r="I82" s="162"/>
      <c r="J82" s="162"/>
      <c r="K82" s="162"/>
      <c r="L82" s="162"/>
      <c r="T82" s="162"/>
      <c r="U82" s="162"/>
      <c r="V82" s="162"/>
      <c r="W82" s="162"/>
      <c r="X82" s="162"/>
      <c r="Y82" s="162"/>
      <c r="Z82" s="162"/>
      <c r="AA82" s="162"/>
      <c r="AB82" s="162"/>
      <c r="AC82" s="162"/>
      <c r="AD82" s="162"/>
      <c r="AE82" s="162"/>
      <c r="AG82" s="162"/>
      <c r="AH82" s="162"/>
      <c r="AI82" s="162"/>
      <c r="AJ82" s="162"/>
      <c r="AK82" s="162"/>
      <c r="AL82" s="162"/>
      <c r="AM82" s="162"/>
      <c r="AN82" s="162"/>
      <c r="AO82" s="162"/>
      <c r="AP82" s="162"/>
      <c r="AQ82" s="162"/>
      <c r="AR82" s="162"/>
      <c r="AS82" s="162"/>
      <c r="AT82" s="162"/>
      <c r="AU82" s="162"/>
      <c r="AV82" s="162"/>
      <c r="AW82" s="162"/>
      <c r="AX82" s="162"/>
      <c r="AY82" s="162"/>
      <c r="AZ82" s="162"/>
      <c r="BA82" s="162"/>
      <c r="BB82" s="171"/>
      <c r="BC82" s="162"/>
      <c r="BD82" s="171"/>
    </row>
    <row r="83" spans="1:56" ht="15.75" customHeight="1">
      <c r="A83" s="162"/>
      <c r="B83" s="163"/>
      <c r="C83" s="164"/>
      <c r="D83" s="162"/>
      <c r="E83" s="162"/>
      <c r="F83" s="162"/>
      <c r="G83" s="162"/>
      <c r="H83" s="162"/>
      <c r="I83" s="162"/>
      <c r="J83" s="162"/>
      <c r="K83" s="162"/>
      <c r="L83" s="162"/>
      <c r="T83" s="162"/>
      <c r="U83" s="162"/>
      <c r="V83" s="162"/>
      <c r="W83" s="162"/>
      <c r="X83" s="162"/>
      <c r="Y83" s="162"/>
      <c r="Z83" s="162"/>
      <c r="AA83" s="162"/>
      <c r="AB83" s="162"/>
      <c r="AC83" s="162"/>
      <c r="AD83" s="162"/>
      <c r="AE83" s="162"/>
      <c r="AG83" s="162"/>
      <c r="AH83" s="162"/>
      <c r="AI83" s="162"/>
      <c r="AJ83" s="162"/>
      <c r="AK83" s="162"/>
      <c r="AL83" s="162"/>
      <c r="AM83" s="162"/>
      <c r="AN83" s="162"/>
      <c r="AO83" s="162"/>
      <c r="AP83" s="162"/>
      <c r="AQ83" s="162"/>
      <c r="AR83" s="162"/>
      <c r="AS83" s="162"/>
      <c r="AT83" s="162"/>
      <c r="AU83" s="162"/>
      <c r="AV83" s="162"/>
      <c r="AW83" s="162"/>
      <c r="AX83" s="162"/>
      <c r="AY83" s="162"/>
      <c r="AZ83" s="162"/>
      <c r="BA83" s="162"/>
      <c r="BB83" s="171"/>
      <c r="BC83" s="162"/>
      <c r="BD83" s="171"/>
    </row>
    <row r="84" spans="1:56" ht="15.75" customHeight="1">
      <c r="A84" s="162"/>
      <c r="B84" s="163"/>
      <c r="C84" s="164"/>
      <c r="D84" s="162"/>
      <c r="E84" s="162"/>
      <c r="F84" s="162"/>
      <c r="G84" s="162"/>
      <c r="H84" s="162"/>
      <c r="I84" s="162"/>
      <c r="J84" s="162"/>
      <c r="K84" s="162"/>
      <c r="L84" s="162"/>
      <c r="T84" s="162"/>
      <c r="U84" s="162"/>
      <c r="V84" s="162"/>
      <c r="W84" s="162"/>
      <c r="X84" s="162"/>
      <c r="Y84" s="162"/>
      <c r="Z84" s="162"/>
      <c r="AA84" s="162"/>
      <c r="AB84" s="162"/>
      <c r="AC84" s="162"/>
      <c r="AD84" s="162"/>
      <c r="AE84" s="162"/>
      <c r="AG84" s="162"/>
      <c r="AH84" s="162"/>
      <c r="AI84" s="162"/>
      <c r="AJ84" s="162"/>
      <c r="AK84" s="162"/>
      <c r="AL84" s="162"/>
      <c r="AM84" s="162"/>
      <c r="AN84" s="162"/>
      <c r="AO84" s="162"/>
      <c r="AP84" s="162"/>
      <c r="AQ84" s="162"/>
      <c r="AR84" s="162"/>
      <c r="AS84" s="162"/>
      <c r="AT84" s="162"/>
      <c r="AU84" s="162"/>
      <c r="AV84" s="162"/>
      <c r="AW84" s="162"/>
      <c r="AX84" s="162"/>
      <c r="AY84" s="162"/>
      <c r="AZ84" s="162"/>
      <c r="BA84" s="162"/>
      <c r="BB84" s="171"/>
      <c r="BC84" s="162"/>
      <c r="BD84" s="171"/>
    </row>
    <row r="85" spans="1:56" ht="15.75" customHeight="1">
      <c r="A85" s="162"/>
      <c r="B85" s="163"/>
      <c r="C85" s="164"/>
      <c r="D85" s="162"/>
      <c r="E85" s="162"/>
      <c r="F85" s="162"/>
      <c r="G85" s="162"/>
      <c r="H85" s="162"/>
      <c r="I85" s="162"/>
      <c r="J85" s="162"/>
      <c r="K85" s="162"/>
      <c r="L85" s="162"/>
      <c r="T85" s="162"/>
      <c r="U85" s="162"/>
      <c r="V85" s="162"/>
      <c r="W85" s="162"/>
      <c r="X85" s="162"/>
      <c r="Y85" s="162"/>
      <c r="Z85" s="162"/>
      <c r="AA85" s="162"/>
      <c r="AB85" s="162"/>
      <c r="AC85" s="162"/>
      <c r="AD85" s="162"/>
      <c r="AE85" s="162"/>
      <c r="AG85" s="162"/>
      <c r="AH85" s="162"/>
      <c r="AI85" s="162"/>
      <c r="AJ85" s="162"/>
      <c r="AK85" s="162"/>
      <c r="AL85" s="162"/>
      <c r="AM85" s="162"/>
      <c r="AN85" s="162"/>
      <c r="AO85" s="162"/>
      <c r="AP85" s="162"/>
      <c r="AQ85" s="162"/>
      <c r="AR85" s="162"/>
      <c r="AS85" s="162"/>
      <c r="AT85" s="162"/>
      <c r="AU85" s="162"/>
      <c r="AV85" s="162"/>
      <c r="AW85" s="162"/>
      <c r="AX85" s="162"/>
      <c r="AY85" s="162"/>
      <c r="AZ85" s="162"/>
      <c r="BA85" s="162"/>
      <c r="BB85" s="171"/>
      <c r="BC85" s="162"/>
      <c r="BD85" s="171"/>
    </row>
    <row r="86" spans="1:56" ht="15.75" customHeight="1">
      <c r="A86" s="162"/>
      <c r="B86" s="163"/>
      <c r="C86" s="164"/>
      <c r="D86" s="162"/>
      <c r="E86" s="162"/>
      <c r="F86" s="162"/>
      <c r="G86" s="162"/>
      <c r="H86" s="162"/>
      <c r="I86" s="162"/>
      <c r="J86" s="162"/>
      <c r="K86" s="162"/>
      <c r="L86" s="162"/>
      <c r="T86" s="162"/>
      <c r="U86" s="162"/>
      <c r="V86" s="162"/>
      <c r="W86" s="162"/>
      <c r="X86" s="162"/>
      <c r="Y86" s="162"/>
      <c r="Z86" s="162"/>
      <c r="AA86" s="162"/>
      <c r="AB86" s="162"/>
      <c r="AC86" s="162"/>
      <c r="AD86" s="162"/>
      <c r="AE86" s="162"/>
      <c r="AG86" s="162"/>
      <c r="AH86" s="162"/>
      <c r="AI86" s="162"/>
      <c r="AJ86" s="162"/>
      <c r="AK86" s="162"/>
      <c r="AL86" s="162"/>
      <c r="AM86" s="162"/>
      <c r="AN86" s="162"/>
      <c r="AO86" s="162"/>
      <c r="AP86" s="162"/>
      <c r="AQ86" s="162"/>
      <c r="AR86" s="162"/>
      <c r="AS86" s="162"/>
      <c r="AT86" s="162"/>
      <c r="AU86" s="162"/>
      <c r="AV86" s="162"/>
      <c r="AW86" s="162"/>
      <c r="AX86" s="162"/>
      <c r="AY86" s="162"/>
      <c r="AZ86" s="162"/>
      <c r="BA86" s="162"/>
      <c r="BB86" s="171"/>
      <c r="BC86" s="162"/>
      <c r="BD86" s="171"/>
    </row>
    <row r="87" spans="1:56" ht="15.75" customHeight="1">
      <c r="A87" s="162"/>
      <c r="B87" s="163"/>
      <c r="C87" s="164"/>
      <c r="D87" s="162"/>
      <c r="E87" s="162"/>
      <c r="F87" s="162"/>
      <c r="G87" s="162"/>
      <c r="H87" s="162"/>
      <c r="I87" s="162"/>
      <c r="J87" s="162"/>
      <c r="K87" s="162"/>
      <c r="L87" s="162"/>
      <c r="T87" s="162"/>
      <c r="U87" s="162"/>
      <c r="V87" s="162"/>
      <c r="W87" s="162"/>
      <c r="X87" s="162"/>
      <c r="Y87" s="162"/>
      <c r="Z87" s="162"/>
      <c r="AA87" s="162"/>
      <c r="AB87" s="162"/>
      <c r="AC87" s="162"/>
      <c r="AD87" s="162"/>
      <c r="AE87" s="162"/>
      <c r="AG87" s="162"/>
      <c r="AH87" s="162"/>
      <c r="AI87" s="162"/>
      <c r="AJ87" s="162"/>
      <c r="AK87" s="162"/>
      <c r="AL87" s="162"/>
      <c r="AM87" s="162"/>
      <c r="AN87" s="162"/>
      <c r="AO87" s="162"/>
      <c r="AP87" s="162"/>
      <c r="AQ87" s="162"/>
      <c r="AR87" s="162"/>
      <c r="AS87" s="162"/>
      <c r="AT87" s="162"/>
      <c r="AU87" s="162"/>
      <c r="AV87" s="162"/>
      <c r="AW87" s="162"/>
      <c r="AX87" s="162"/>
      <c r="AY87" s="162"/>
      <c r="AZ87" s="162"/>
      <c r="BA87" s="162"/>
      <c r="BB87" s="171"/>
      <c r="BC87" s="162"/>
      <c r="BD87" s="171"/>
    </row>
    <row r="88" spans="1:56" ht="15.75" customHeight="1">
      <c r="A88" s="162"/>
      <c r="B88" s="163"/>
      <c r="C88" s="164"/>
      <c r="D88" s="162"/>
      <c r="E88" s="162"/>
      <c r="F88" s="162"/>
      <c r="G88" s="162"/>
      <c r="H88" s="162"/>
      <c r="I88" s="162"/>
      <c r="J88" s="162"/>
      <c r="K88" s="162"/>
      <c r="L88" s="162"/>
      <c r="T88" s="162"/>
      <c r="U88" s="162"/>
      <c r="V88" s="162"/>
      <c r="W88" s="162"/>
      <c r="X88" s="162"/>
      <c r="Y88" s="162"/>
      <c r="Z88" s="162"/>
      <c r="AA88" s="162"/>
      <c r="AB88" s="162"/>
      <c r="AC88" s="162"/>
      <c r="AD88" s="162"/>
      <c r="AE88" s="162"/>
      <c r="AG88" s="162"/>
      <c r="AH88" s="162"/>
      <c r="AI88" s="162"/>
      <c r="AJ88" s="162"/>
      <c r="AK88" s="162"/>
      <c r="AL88" s="162"/>
      <c r="AM88" s="162"/>
      <c r="AN88" s="162"/>
      <c r="AO88" s="162"/>
      <c r="AP88" s="162"/>
      <c r="AQ88" s="162"/>
      <c r="AR88" s="162"/>
      <c r="AS88" s="162"/>
      <c r="AT88" s="162"/>
      <c r="AU88" s="162"/>
      <c r="AV88" s="162"/>
      <c r="AW88" s="162"/>
      <c r="AX88" s="162"/>
      <c r="AY88" s="162"/>
      <c r="AZ88" s="162"/>
      <c r="BA88" s="162"/>
      <c r="BB88" s="171"/>
      <c r="BC88" s="162"/>
      <c r="BD88" s="171"/>
    </row>
    <row r="89" spans="1:56" ht="15.75" customHeight="1">
      <c r="A89" s="162"/>
      <c r="B89" s="163"/>
      <c r="C89" s="164"/>
      <c r="D89" s="162"/>
      <c r="E89" s="162"/>
      <c r="F89" s="162"/>
      <c r="G89" s="162"/>
      <c r="H89" s="162"/>
      <c r="I89" s="162"/>
      <c r="J89" s="162"/>
      <c r="K89" s="162"/>
      <c r="L89" s="162"/>
      <c r="T89" s="162"/>
      <c r="U89" s="162"/>
      <c r="V89" s="162"/>
      <c r="W89" s="162"/>
      <c r="X89" s="162"/>
      <c r="Y89" s="162"/>
      <c r="Z89" s="162"/>
      <c r="AA89" s="162"/>
      <c r="AB89" s="162"/>
      <c r="AC89" s="162"/>
      <c r="AD89" s="162"/>
      <c r="AE89" s="162"/>
      <c r="AG89" s="162"/>
      <c r="AH89" s="162"/>
      <c r="AI89" s="162"/>
      <c r="AJ89" s="162"/>
      <c r="AK89" s="162"/>
      <c r="AL89" s="162"/>
      <c r="AM89" s="162"/>
      <c r="AN89" s="162"/>
      <c r="AO89" s="162"/>
      <c r="AP89" s="162"/>
      <c r="AQ89" s="162"/>
      <c r="AR89" s="162"/>
      <c r="AS89" s="162"/>
      <c r="AT89" s="162"/>
      <c r="AU89" s="162"/>
      <c r="AV89" s="162"/>
      <c r="AW89" s="162"/>
      <c r="AX89" s="162"/>
      <c r="AY89" s="162"/>
      <c r="AZ89" s="162"/>
      <c r="BA89" s="162"/>
      <c r="BB89" s="171"/>
      <c r="BC89" s="162"/>
      <c r="BD89" s="171"/>
    </row>
    <row r="90" spans="1:56" ht="15.75" customHeight="1">
      <c r="A90" s="162"/>
      <c r="B90" s="163"/>
      <c r="C90" s="164"/>
      <c r="D90" s="162"/>
      <c r="E90" s="162"/>
      <c r="F90" s="162"/>
      <c r="G90" s="162"/>
      <c r="H90" s="162"/>
      <c r="I90" s="162"/>
      <c r="J90" s="162"/>
      <c r="K90" s="162"/>
      <c r="L90" s="162"/>
      <c r="T90" s="162"/>
      <c r="U90" s="162"/>
      <c r="V90" s="162"/>
      <c r="W90" s="162"/>
      <c r="X90" s="162"/>
      <c r="Y90" s="162"/>
      <c r="Z90" s="162"/>
      <c r="AA90" s="162"/>
      <c r="AB90" s="162"/>
      <c r="AC90" s="162"/>
      <c r="AD90" s="162"/>
      <c r="AE90" s="162"/>
      <c r="AG90" s="162"/>
      <c r="AH90" s="162"/>
      <c r="AI90" s="162"/>
      <c r="AJ90" s="162"/>
      <c r="AK90" s="162"/>
      <c r="AL90" s="162"/>
      <c r="AM90" s="162"/>
      <c r="AN90" s="162"/>
      <c r="AO90" s="162"/>
      <c r="AP90" s="162"/>
      <c r="AQ90" s="162"/>
      <c r="AR90" s="162"/>
      <c r="AS90" s="162"/>
      <c r="AT90" s="162"/>
      <c r="AU90" s="162"/>
      <c r="AV90" s="162"/>
      <c r="AW90" s="162"/>
      <c r="AX90" s="162"/>
      <c r="AY90" s="162"/>
      <c r="AZ90" s="162"/>
      <c r="BA90" s="162"/>
      <c r="BB90" s="171"/>
      <c r="BC90" s="162"/>
      <c r="BD90" s="171"/>
    </row>
    <row r="91" spans="1:56" ht="15.75" customHeight="1">
      <c r="A91" s="162"/>
      <c r="B91" s="163"/>
      <c r="C91" s="164"/>
      <c r="D91" s="162"/>
      <c r="E91" s="162"/>
      <c r="F91" s="162"/>
      <c r="G91" s="162"/>
      <c r="H91" s="162"/>
      <c r="I91" s="162"/>
      <c r="J91" s="162"/>
      <c r="K91" s="162"/>
      <c r="L91" s="162"/>
      <c r="T91" s="162"/>
      <c r="U91" s="162"/>
      <c r="V91" s="162"/>
      <c r="W91" s="162"/>
      <c r="X91" s="162"/>
      <c r="Y91" s="162"/>
      <c r="Z91" s="162"/>
      <c r="AA91" s="162"/>
      <c r="AB91" s="162"/>
      <c r="AC91" s="162"/>
      <c r="AD91" s="162"/>
      <c r="AE91" s="162"/>
      <c r="AG91" s="162"/>
      <c r="AH91" s="162"/>
      <c r="AI91" s="162"/>
      <c r="AJ91" s="162"/>
      <c r="AK91" s="162"/>
      <c r="AL91" s="162"/>
      <c r="AM91" s="162"/>
      <c r="AN91" s="162"/>
      <c r="AO91" s="162"/>
      <c r="AP91" s="162"/>
      <c r="AQ91" s="162"/>
      <c r="AR91" s="162"/>
      <c r="AS91" s="162"/>
      <c r="AT91" s="162"/>
      <c r="AU91" s="162"/>
      <c r="AV91" s="162"/>
      <c r="AW91" s="162"/>
      <c r="AX91" s="162"/>
      <c r="AY91" s="162"/>
      <c r="AZ91" s="162"/>
      <c r="BA91" s="162"/>
      <c r="BB91" s="171"/>
      <c r="BC91" s="162"/>
      <c r="BD91" s="171"/>
    </row>
    <row r="92" spans="1:56" ht="15.75" customHeight="1">
      <c r="A92" s="162"/>
      <c r="B92" s="163"/>
      <c r="C92" s="164"/>
      <c r="D92" s="162"/>
      <c r="E92" s="162"/>
      <c r="F92" s="162"/>
      <c r="G92" s="162"/>
      <c r="H92" s="162"/>
      <c r="I92" s="162"/>
      <c r="J92" s="162"/>
      <c r="K92" s="162"/>
      <c r="L92" s="162"/>
      <c r="T92" s="162"/>
      <c r="U92" s="162"/>
      <c r="V92" s="162"/>
      <c r="W92" s="162"/>
      <c r="X92" s="162"/>
      <c r="Y92" s="162"/>
      <c r="Z92" s="162"/>
      <c r="AA92" s="162"/>
      <c r="AB92" s="162"/>
      <c r="AC92" s="162"/>
      <c r="AD92" s="162"/>
      <c r="AE92" s="162"/>
      <c r="AG92" s="162"/>
      <c r="AH92" s="162"/>
      <c r="AI92" s="162"/>
      <c r="AJ92" s="162"/>
      <c r="AK92" s="162"/>
      <c r="AL92" s="162"/>
      <c r="AM92" s="162"/>
      <c r="AN92" s="162"/>
      <c r="AO92" s="162"/>
      <c r="AP92" s="162"/>
      <c r="AQ92" s="162"/>
      <c r="AR92" s="162"/>
      <c r="AS92" s="162"/>
      <c r="AT92" s="162"/>
      <c r="AU92" s="162"/>
      <c r="AV92" s="162"/>
      <c r="AW92" s="162"/>
      <c r="AX92" s="162"/>
      <c r="AY92" s="162"/>
      <c r="AZ92" s="162"/>
      <c r="BA92" s="162"/>
      <c r="BB92" s="171"/>
      <c r="BC92" s="162"/>
      <c r="BD92" s="171"/>
    </row>
    <row r="93" spans="1:56" ht="15.75" customHeight="1">
      <c r="A93" s="162"/>
      <c r="B93" s="163"/>
      <c r="C93" s="164"/>
      <c r="D93" s="162"/>
      <c r="E93" s="162"/>
      <c r="F93" s="162"/>
      <c r="G93" s="162"/>
      <c r="H93" s="162"/>
      <c r="I93" s="162"/>
      <c r="J93" s="162"/>
      <c r="K93" s="162"/>
      <c r="L93" s="162"/>
      <c r="T93" s="162"/>
      <c r="U93" s="162"/>
      <c r="V93" s="162"/>
      <c r="W93" s="162"/>
      <c r="X93" s="162"/>
      <c r="Y93" s="162"/>
      <c r="Z93" s="162"/>
      <c r="AA93" s="162"/>
      <c r="AB93" s="162"/>
      <c r="AC93" s="162"/>
      <c r="AD93" s="162"/>
      <c r="AE93" s="162"/>
      <c r="AG93" s="162"/>
      <c r="AH93" s="162"/>
      <c r="AI93" s="162"/>
      <c r="AJ93" s="162"/>
      <c r="AK93" s="162"/>
      <c r="AL93" s="162"/>
      <c r="AM93" s="162"/>
      <c r="AN93" s="162"/>
      <c r="AO93" s="162"/>
      <c r="AP93" s="162"/>
      <c r="AQ93" s="162"/>
      <c r="AR93" s="162"/>
      <c r="AS93" s="162"/>
      <c r="AT93" s="162"/>
      <c r="AU93" s="162"/>
      <c r="AV93" s="162"/>
      <c r="AW93" s="162"/>
      <c r="AX93" s="162"/>
      <c r="AY93" s="162"/>
      <c r="AZ93" s="162"/>
      <c r="BA93" s="162"/>
      <c r="BB93" s="171"/>
      <c r="BC93" s="162"/>
      <c r="BD93" s="171"/>
    </row>
    <row r="94" spans="1:56" ht="15.75" customHeight="1">
      <c r="A94" s="162"/>
      <c r="B94" s="163"/>
      <c r="C94" s="164"/>
      <c r="D94" s="162"/>
      <c r="E94" s="162"/>
      <c r="F94" s="162"/>
      <c r="G94" s="162"/>
      <c r="H94" s="162"/>
      <c r="I94" s="162"/>
      <c r="J94" s="162"/>
      <c r="K94" s="162"/>
      <c r="L94" s="162"/>
      <c r="T94" s="162"/>
      <c r="U94" s="162"/>
      <c r="V94" s="162"/>
      <c r="W94" s="162"/>
      <c r="X94" s="162"/>
      <c r="Y94" s="162"/>
      <c r="Z94" s="162"/>
      <c r="AA94" s="162"/>
      <c r="AB94" s="162"/>
      <c r="AC94" s="162"/>
      <c r="AD94" s="162"/>
      <c r="AE94" s="162"/>
      <c r="AG94" s="162"/>
      <c r="AH94" s="162"/>
      <c r="AI94" s="162"/>
      <c r="AJ94" s="162"/>
      <c r="AK94" s="162"/>
      <c r="AL94" s="162"/>
      <c r="AM94" s="162"/>
      <c r="AN94" s="162"/>
      <c r="AO94" s="162"/>
      <c r="AP94" s="162"/>
      <c r="AQ94" s="162"/>
      <c r="AR94" s="162"/>
      <c r="AS94" s="162"/>
      <c r="AT94" s="162"/>
      <c r="AU94" s="162"/>
      <c r="AV94" s="162"/>
      <c r="AW94" s="162"/>
      <c r="AX94" s="162"/>
      <c r="AY94" s="162"/>
      <c r="AZ94" s="162"/>
      <c r="BA94" s="162"/>
      <c r="BB94" s="171"/>
      <c r="BC94" s="162"/>
      <c r="BD94" s="171"/>
    </row>
    <row r="95" spans="1:56" ht="15.75" customHeight="1">
      <c r="A95" s="162"/>
      <c r="B95" s="163"/>
      <c r="C95" s="164"/>
      <c r="D95" s="162"/>
      <c r="E95" s="162"/>
      <c r="F95" s="162"/>
      <c r="G95" s="162"/>
      <c r="H95" s="162"/>
      <c r="I95" s="162"/>
      <c r="J95" s="162"/>
      <c r="K95" s="162"/>
      <c r="L95" s="162"/>
      <c r="T95" s="162"/>
      <c r="U95" s="162"/>
      <c r="V95" s="162"/>
      <c r="W95" s="162"/>
      <c r="X95" s="162"/>
      <c r="Y95" s="162"/>
      <c r="Z95" s="162"/>
      <c r="AA95" s="162"/>
      <c r="AB95" s="162"/>
      <c r="AC95" s="162"/>
      <c r="AD95" s="162"/>
      <c r="AE95" s="162"/>
      <c r="AG95" s="162"/>
      <c r="AH95" s="162"/>
      <c r="AI95" s="162"/>
      <c r="AJ95" s="162"/>
      <c r="AK95" s="162"/>
      <c r="AL95" s="162"/>
      <c r="AM95" s="162"/>
      <c r="AN95" s="162"/>
      <c r="AO95" s="162"/>
      <c r="AP95" s="162"/>
      <c r="AQ95" s="162"/>
      <c r="AR95" s="162"/>
      <c r="AS95" s="162"/>
      <c r="AT95" s="162"/>
      <c r="AU95" s="162"/>
      <c r="AV95" s="162"/>
      <c r="AW95" s="162"/>
      <c r="AX95" s="162"/>
      <c r="AY95" s="162"/>
      <c r="AZ95" s="162"/>
      <c r="BA95" s="162"/>
      <c r="BB95" s="171"/>
      <c r="BC95" s="162"/>
      <c r="BD95" s="171"/>
    </row>
    <row r="96" spans="1:56" ht="15.75" customHeight="1">
      <c r="A96" s="162"/>
      <c r="B96" s="163"/>
      <c r="C96" s="164"/>
      <c r="D96" s="162"/>
      <c r="E96" s="162"/>
      <c r="F96" s="162"/>
      <c r="G96" s="162"/>
      <c r="H96" s="162"/>
      <c r="I96" s="162"/>
      <c r="J96" s="162"/>
      <c r="K96" s="162"/>
      <c r="L96" s="162"/>
      <c r="T96" s="162"/>
      <c r="U96" s="162"/>
      <c r="V96" s="162"/>
      <c r="W96" s="162"/>
      <c r="X96" s="162"/>
      <c r="Y96" s="162"/>
      <c r="Z96" s="162"/>
      <c r="AA96" s="162"/>
      <c r="AB96" s="162"/>
      <c r="AC96" s="162"/>
      <c r="AD96" s="162"/>
      <c r="AE96" s="162"/>
      <c r="AG96" s="162"/>
      <c r="AH96" s="162"/>
      <c r="AI96" s="162"/>
      <c r="AJ96" s="162"/>
      <c r="AK96" s="162"/>
      <c r="AL96" s="162"/>
      <c r="AM96" s="162"/>
      <c r="AN96" s="162"/>
      <c r="AO96" s="162"/>
      <c r="AP96" s="162"/>
      <c r="AQ96" s="162"/>
      <c r="AR96" s="162"/>
      <c r="AS96" s="162"/>
      <c r="AT96" s="162"/>
      <c r="AU96" s="162"/>
      <c r="AV96" s="162"/>
      <c r="AW96" s="162"/>
      <c r="AX96" s="162"/>
      <c r="AY96" s="162"/>
      <c r="AZ96" s="162"/>
      <c r="BA96" s="162"/>
      <c r="BB96" s="171"/>
      <c r="BC96" s="162"/>
      <c r="BD96" s="171"/>
    </row>
    <row r="97" spans="1:56" ht="15.75" customHeight="1">
      <c r="A97" s="162"/>
      <c r="B97" s="163"/>
      <c r="C97" s="164"/>
      <c r="D97" s="162"/>
      <c r="E97" s="162"/>
      <c r="F97" s="162"/>
      <c r="G97" s="162"/>
      <c r="H97" s="162"/>
      <c r="I97" s="162"/>
      <c r="J97" s="162"/>
      <c r="K97" s="162"/>
      <c r="L97" s="162"/>
      <c r="T97" s="162"/>
      <c r="U97" s="162"/>
      <c r="V97" s="162"/>
      <c r="W97" s="162"/>
      <c r="X97" s="162"/>
      <c r="Y97" s="162"/>
      <c r="Z97" s="162"/>
      <c r="AA97" s="162"/>
      <c r="AB97" s="162"/>
      <c r="AC97" s="162"/>
      <c r="AD97" s="162"/>
      <c r="AE97" s="162"/>
      <c r="AG97" s="162"/>
      <c r="AH97" s="162"/>
      <c r="AI97" s="162"/>
      <c r="AJ97" s="162"/>
      <c r="AK97" s="162"/>
      <c r="AL97" s="162"/>
      <c r="AM97" s="162"/>
      <c r="AN97" s="162"/>
      <c r="AO97" s="162"/>
      <c r="AP97" s="162"/>
      <c r="AQ97" s="162"/>
      <c r="AR97" s="162"/>
      <c r="AS97" s="162"/>
      <c r="AT97" s="162"/>
      <c r="AU97" s="162"/>
      <c r="AV97" s="162"/>
      <c r="AW97" s="162"/>
      <c r="AX97" s="162"/>
      <c r="AY97" s="162"/>
      <c r="AZ97" s="162"/>
      <c r="BA97" s="162"/>
      <c r="BB97" s="171"/>
      <c r="BC97" s="162"/>
      <c r="BD97" s="171"/>
    </row>
    <row r="98" spans="1:56" ht="15.75" customHeight="1">
      <c r="A98" s="162"/>
      <c r="B98" s="163"/>
      <c r="C98" s="164"/>
      <c r="D98" s="162"/>
      <c r="E98" s="162"/>
      <c r="F98" s="162"/>
      <c r="G98" s="162"/>
      <c r="H98" s="162"/>
      <c r="I98" s="162"/>
      <c r="J98" s="162"/>
      <c r="K98" s="162"/>
      <c r="L98" s="162"/>
      <c r="T98" s="162"/>
      <c r="U98" s="162"/>
      <c r="V98" s="162"/>
      <c r="W98" s="162"/>
      <c r="X98" s="162"/>
      <c r="Y98" s="162"/>
      <c r="Z98" s="162"/>
      <c r="AA98" s="162"/>
      <c r="AB98" s="162"/>
      <c r="AC98" s="162"/>
      <c r="AD98" s="162"/>
      <c r="AE98" s="162"/>
      <c r="AG98" s="162"/>
      <c r="AH98" s="162"/>
      <c r="AI98" s="162"/>
      <c r="AJ98" s="162"/>
      <c r="AK98" s="162"/>
      <c r="AL98" s="162"/>
      <c r="AM98" s="162"/>
      <c r="AN98" s="162"/>
      <c r="AO98" s="162"/>
      <c r="AP98" s="162"/>
      <c r="AQ98" s="162"/>
      <c r="AR98" s="162"/>
      <c r="AS98" s="162"/>
      <c r="AT98" s="162"/>
      <c r="AU98" s="162"/>
      <c r="AV98" s="162"/>
      <c r="AW98" s="162"/>
      <c r="AX98" s="162"/>
      <c r="AY98" s="162"/>
      <c r="AZ98" s="162"/>
      <c r="BA98" s="162"/>
      <c r="BB98" s="171"/>
      <c r="BC98" s="162"/>
      <c r="BD98" s="171"/>
    </row>
    <row r="99" spans="1:56" ht="15.75" customHeight="1">
      <c r="A99" s="162"/>
      <c r="B99" s="163"/>
      <c r="C99" s="164"/>
      <c r="D99" s="162"/>
      <c r="E99" s="162"/>
      <c r="F99" s="162"/>
      <c r="G99" s="162"/>
      <c r="H99" s="162"/>
      <c r="I99" s="162"/>
      <c r="J99" s="162"/>
      <c r="K99" s="162"/>
      <c r="L99" s="162"/>
      <c r="T99" s="162"/>
      <c r="U99" s="162"/>
      <c r="V99" s="162"/>
      <c r="W99" s="162"/>
      <c r="X99" s="162"/>
      <c r="Y99" s="162"/>
      <c r="Z99" s="162"/>
      <c r="AA99" s="162"/>
      <c r="AB99" s="162"/>
      <c r="AC99" s="162"/>
      <c r="AD99" s="162"/>
      <c r="AE99" s="162"/>
      <c r="AG99" s="162"/>
      <c r="AH99" s="162"/>
      <c r="AI99" s="162"/>
      <c r="AJ99" s="162"/>
      <c r="AK99" s="162"/>
      <c r="AL99" s="162"/>
      <c r="AM99" s="162"/>
      <c r="AN99" s="162"/>
      <c r="AO99" s="162"/>
      <c r="AP99" s="162"/>
      <c r="AQ99" s="162"/>
      <c r="AR99" s="162"/>
      <c r="AS99" s="162"/>
      <c r="AT99" s="162"/>
      <c r="AU99" s="162"/>
      <c r="AV99" s="162"/>
      <c r="AW99" s="162"/>
      <c r="AX99" s="162"/>
      <c r="AY99" s="162"/>
      <c r="AZ99" s="162"/>
      <c r="BA99" s="162"/>
      <c r="BB99" s="171"/>
      <c r="BC99" s="162"/>
      <c r="BD99" s="171"/>
    </row>
    <row r="100" spans="1:56" ht="15.75" customHeight="1">
      <c r="A100" s="162"/>
      <c r="B100" s="163"/>
      <c r="C100" s="164"/>
      <c r="D100" s="162"/>
      <c r="E100" s="162"/>
      <c r="F100" s="162"/>
      <c r="G100" s="162"/>
      <c r="H100" s="162"/>
      <c r="I100" s="162"/>
      <c r="J100" s="162"/>
      <c r="K100" s="162"/>
      <c r="L100" s="162"/>
      <c r="T100" s="162"/>
      <c r="U100" s="162"/>
      <c r="V100" s="162"/>
      <c r="W100" s="162"/>
      <c r="X100" s="162"/>
      <c r="Y100" s="162"/>
      <c r="Z100" s="162"/>
      <c r="AA100" s="162"/>
      <c r="AB100" s="162"/>
      <c r="AC100" s="162"/>
      <c r="AD100" s="162"/>
      <c r="AE100" s="162"/>
      <c r="AG100" s="162"/>
      <c r="AH100" s="162"/>
      <c r="AI100" s="162"/>
      <c r="AJ100" s="162"/>
      <c r="AK100" s="162"/>
      <c r="AL100" s="162"/>
      <c r="AM100" s="162"/>
      <c r="AN100" s="162"/>
      <c r="AO100" s="162"/>
      <c r="AP100" s="162"/>
      <c r="AQ100" s="162"/>
      <c r="AR100" s="162"/>
      <c r="AS100" s="162"/>
      <c r="AT100" s="162"/>
      <c r="AU100" s="162"/>
      <c r="AV100" s="162"/>
      <c r="AW100" s="162"/>
      <c r="AX100" s="162"/>
      <c r="AY100" s="162"/>
      <c r="AZ100" s="162"/>
      <c r="BA100" s="162"/>
      <c r="BB100" s="171"/>
      <c r="BC100" s="162"/>
      <c r="BD100" s="171"/>
    </row>
    <row r="101" spans="1:56" ht="15.75" customHeight="1">
      <c r="A101" s="162"/>
      <c r="B101" s="163"/>
      <c r="C101" s="164"/>
      <c r="D101" s="162"/>
      <c r="E101" s="162"/>
      <c r="F101" s="162"/>
      <c r="G101" s="162"/>
      <c r="H101" s="162"/>
      <c r="I101" s="162"/>
      <c r="J101" s="162"/>
      <c r="K101" s="162"/>
      <c r="L101" s="162"/>
      <c r="T101" s="162"/>
      <c r="U101" s="162"/>
      <c r="V101" s="162"/>
      <c r="W101" s="162"/>
      <c r="X101" s="162"/>
      <c r="Y101" s="162"/>
      <c r="Z101" s="162"/>
      <c r="AA101" s="162"/>
      <c r="AB101" s="162"/>
      <c r="AC101" s="162"/>
      <c r="AD101" s="162"/>
      <c r="AE101" s="162"/>
      <c r="AG101" s="162"/>
      <c r="AH101" s="162"/>
      <c r="AI101" s="162"/>
      <c r="AJ101" s="162"/>
      <c r="AK101" s="162"/>
      <c r="AL101" s="162"/>
      <c r="AM101" s="162"/>
      <c r="AN101" s="162"/>
      <c r="AO101" s="162"/>
      <c r="AP101" s="162"/>
      <c r="AQ101" s="162"/>
      <c r="AR101" s="162"/>
      <c r="AS101" s="162"/>
      <c r="AT101" s="162"/>
      <c r="AU101" s="162"/>
      <c r="AV101" s="162"/>
      <c r="AW101" s="162"/>
      <c r="AX101" s="162"/>
      <c r="AY101" s="162"/>
      <c r="AZ101" s="162"/>
      <c r="BA101" s="162"/>
      <c r="BB101" s="171"/>
      <c r="BC101" s="162"/>
      <c r="BD101" s="171"/>
    </row>
    <row r="102" spans="1:56" ht="15.75" customHeight="1">
      <c r="A102" s="162"/>
      <c r="B102" s="163"/>
      <c r="C102" s="164"/>
      <c r="D102" s="162"/>
      <c r="E102" s="162"/>
      <c r="F102" s="162"/>
      <c r="G102" s="162"/>
      <c r="H102" s="162"/>
      <c r="I102" s="162"/>
      <c r="J102" s="162"/>
      <c r="K102" s="162"/>
      <c r="L102" s="162"/>
      <c r="T102" s="162"/>
      <c r="U102" s="162"/>
      <c r="V102" s="162"/>
      <c r="W102" s="162"/>
      <c r="X102" s="162"/>
      <c r="Y102" s="162"/>
      <c r="Z102" s="162"/>
      <c r="AA102" s="162"/>
      <c r="AB102" s="162"/>
      <c r="AC102" s="162"/>
      <c r="AD102" s="162"/>
      <c r="AE102" s="162"/>
      <c r="AG102" s="162"/>
      <c r="AH102" s="162"/>
      <c r="AI102" s="162"/>
      <c r="AJ102" s="162"/>
      <c r="AK102" s="162"/>
      <c r="AL102" s="162"/>
      <c r="AM102" s="162"/>
      <c r="AN102" s="162"/>
      <c r="AO102" s="162"/>
      <c r="AP102" s="162"/>
      <c r="AQ102" s="162"/>
      <c r="AR102" s="162"/>
      <c r="AS102" s="162"/>
      <c r="AT102" s="162"/>
      <c r="AU102" s="162"/>
      <c r="AV102" s="162"/>
      <c r="AW102" s="162"/>
      <c r="AX102" s="162"/>
      <c r="AY102" s="162"/>
      <c r="AZ102" s="162"/>
      <c r="BA102" s="162"/>
      <c r="BB102" s="171"/>
      <c r="BC102" s="162"/>
      <c r="BD102" s="171"/>
    </row>
    <row r="103" spans="1:56" ht="15.75" customHeight="1">
      <c r="A103" s="162"/>
      <c r="B103" s="163"/>
      <c r="C103" s="164"/>
      <c r="D103" s="162"/>
      <c r="E103" s="162"/>
      <c r="F103" s="162"/>
      <c r="G103" s="162"/>
      <c r="H103" s="162"/>
      <c r="I103" s="162"/>
      <c r="J103" s="162"/>
      <c r="K103" s="162"/>
      <c r="L103" s="162"/>
      <c r="T103" s="162"/>
      <c r="U103" s="162"/>
      <c r="V103" s="162"/>
      <c r="W103" s="162"/>
      <c r="X103" s="162"/>
      <c r="Y103" s="162"/>
      <c r="Z103" s="162"/>
      <c r="AA103" s="162"/>
      <c r="AB103" s="162"/>
      <c r="AC103" s="162"/>
      <c r="AD103" s="162"/>
      <c r="AE103" s="162"/>
      <c r="AG103" s="162"/>
      <c r="AH103" s="162"/>
      <c r="AI103" s="162"/>
      <c r="AJ103" s="162"/>
      <c r="AK103" s="162"/>
      <c r="AL103" s="162"/>
      <c r="AM103" s="162"/>
      <c r="AN103" s="162"/>
      <c r="AO103" s="162"/>
      <c r="AP103" s="162"/>
      <c r="AQ103" s="162"/>
      <c r="AR103" s="162"/>
      <c r="AS103" s="162"/>
      <c r="AT103" s="162"/>
      <c r="AU103" s="162"/>
      <c r="AV103" s="162"/>
      <c r="AW103" s="162"/>
      <c r="AX103" s="162"/>
      <c r="AY103" s="162"/>
      <c r="AZ103" s="162"/>
      <c r="BA103" s="162"/>
      <c r="BB103" s="171"/>
      <c r="BC103" s="162"/>
      <c r="BD103" s="171"/>
    </row>
    <row r="104" spans="1:56" ht="15.75" customHeight="1">
      <c r="A104" s="162"/>
      <c r="B104" s="163"/>
      <c r="C104" s="164"/>
      <c r="D104" s="162"/>
      <c r="E104" s="162"/>
      <c r="F104" s="162"/>
      <c r="G104" s="162"/>
      <c r="H104" s="162"/>
      <c r="I104" s="162"/>
      <c r="J104" s="162"/>
      <c r="K104" s="162"/>
      <c r="L104" s="162"/>
      <c r="T104" s="162"/>
      <c r="U104" s="162"/>
      <c r="V104" s="162"/>
      <c r="W104" s="162"/>
      <c r="X104" s="162"/>
      <c r="Y104" s="162"/>
      <c r="Z104" s="162"/>
      <c r="AA104" s="162"/>
      <c r="AB104" s="162"/>
      <c r="AC104" s="162"/>
      <c r="AD104" s="162"/>
      <c r="AE104" s="162"/>
      <c r="AG104" s="162"/>
      <c r="AH104" s="162"/>
      <c r="AI104" s="162"/>
      <c r="AJ104" s="162"/>
      <c r="AK104" s="162"/>
      <c r="AL104" s="162"/>
      <c r="AM104" s="162"/>
      <c r="AN104" s="162"/>
      <c r="AO104" s="162"/>
      <c r="AP104" s="162"/>
      <c r="AQ104" s="162"/>
      <c r="AR104" s="162"/>
      <c r="AS104" s="162"/>
      <c r="AT104" s="162"/>
      <c r="AU104" s="162"/>
      <c r="AV104" s="162"/>
      <c r="AW104" s="162"/>
      <c r="AX104" s="162"/>
      <c r="AY104" s="162"/>
      <c r="AZ104" s="162"/>
      <c r="BA104" s="162"/>
      <c r="BB104" s="171"/>
      <c r="BC104" s="162"/>
      <c r="BD104" s="171"/>
    </row>
    <row r="105" spans="1:56" ht="15.75" customHeight="1">
      <c r="A105" s="162"/>
      <c r="B105" s="163"/>
      <c r="C105" s="164"/>
      <c r="D105" s="162"/>
      <c r="E105" s="162"/>
      <c r="F105" s="162"/>
      <c r="G105" s="162"/>
      <c r="H105" s="162"/>
      <c r="I105" s="162"/>
      <c r="J105" s="162"/>
      <c r="K105" s="162"/>
      <c r="L105" s="162"/>
      <c r="T105" s="162"/>
      <c r="U105" s="162"/>
      <c r="V105" s="162"/>
      <c r="W105" s="162"/>
      <c r="X105" s="162"/>
      <c r="Y105" s="162"/>
      <c r="Z105" s="162"/>
      <c r="AA105" s="162"/>
      <c r="AB105" s="162"/>
      <c r="AC105" s="162"/>
      <c r="AD105" s="162"/>
      <c r="AE105" s="162"/>
      <c r="AG105" s="162"/>
      <c r="AH105" s="162"/>
      <c r="AI105" s="162"/>
      <c r="AJ105" s="162"/>
      <c r="AK105" s="162"/>
      <c r="AL105" s="162"/>
      <c r="AM105" s="162"/>
      <c r="AN105" s="162"/>
      <c r="AO105" s="162"/>
      <c r="AP105" s="162"/>
      <c r="AQ105" s="162"/>
      <c r="AR105" s="162"/>
      <c r="AS105" s="162"/>
      <c r="AT105" s="162"/>
      <c r="AU105" s="162"/>
      <c r="AV105" s="162"/>
      <c r="AW105" s="162"/>
      <c r="AX105" s="162"/>
      <c r="AY105" s="162"/>
      <c r="AZ105" s="162"/>
      <c r="BA105" s="162"/>
      <c r="BB105" s="171"/>
      <c r="BC105" s="162"/>
      <c r="BD105" s="171"/>
    </row>
    <row r="106" spans="1:56" ht="15.75" customHeight="1">
      <c r="A106" s="162"/>
      <c r="B106" s="163"/>
      <c r="C106" s="164"/>
      <c r="D106" s="162"/>
      <c r="E106" s="162"/>
      <c r="F106" s="162"/>
      <c r="G106" s="162"/>
      <c r="H106" s="162"/>
      <c r="I106" s="162"/>
      <c r="J106" s="162"/>
      <c r="K106" s="162"/>
      <c r="L106" s="162"/>
      <c r="T106" s="162"/>
      <c r="U106" s="162"/>
      <c r="V106" s="162"/>
      <c r="W106" s="162"/>
      <c r="X106" s="162"/>
      <c r="Y106" s="162"/>
      <c r="Z106" s="162"/>
      <c r="AA106" s="162"/>
      <c r="AB106" s="162"/>
      <c r="AC106" s="162"/>
      <c r="AD106" s="162"/>
      <c r="AE106" s="162"/>
      <c r="AG106" s="162"/>
      <c r="AH106" s="162"/>
      <c r="AI106" s="162"/>
      <c r="AJ106" s="162"/>
      <c r="AK106" s="162"/>
      <c r="AL106" s="162"/>
      <c r="AM106" s="162"/>
      <c r="AN106" s="162"/>
      <c r="AO106" s="162"/>
      <c r="AP106" s="162"/>
      <c r="AQ106" s="162"/>
      <c r="AR106" s="162"/>
      <c r="AS106" s="162"/>
      <c r="AT106" s="162"/>
      <c r="AU106" s="162"/>
      <c r="AV106" s="162"/>
      <c r="AW106" s="162"/>
      <c r="AX106" s="162"/>
      <c r="AY106" s="162"/>
      <c r="AZ106" s="162"/>
      <c r="BA106" s="162"/>
      <c r="BB106" s="171"/>
      <c r="BC106" s="162"/>
      <c r="BD106" s="171"/>
    </row>
    <row r="107" spans="1:56" ht="15.75" customHeight="1">
      <c r="A107" s="162"/>
      <c r="B107" s="163"/>
      <c r="C107" s="164"/>
      <c r="D107" s="162"/>
      <c r="E107" s="162"/>
      <c r="F107" s="162"/>
      <c r="G107" s="162"/>
      <c r="H107" s="162"/>
      <c r="I107" s="162"/>
      <c r="J107" s="162"/>
      <c r="K107" s="162"/>
      <c r="L107" s="162"/>
      <c r="T107" s="162"/>
      <c r="U107" s="162"/>
      <c r="V107" s="162"/>
      <c r="W107" s="162"/>
      <c r="X107" s="162"/>
      <c r="Y107" s="162"/>
      <c r="Z107" s="162"/>
      <c r="AA107" s="162"/>
      <c r="AB107" s="162"/>
      <c r="AC107" s="162"/>
      <c r="AD107" s="162"/>
      <c r="AE107" s="162"/>
      <c r="AG107" s="162"/>
      <c r="AH107" s="162"/>
      <c r="AI107" s="162"/>
      <c r="AJ107" s="162"/>
      <c r="AK107" s="162"/>
      <c r="AL107" s="162"/>
      <c r="AM107" s="162"/>
      <c r="AN107" s="162"/>
      <c r="AO107" s="162"/>
      <c r="AP107" s="162"/>
      <c r="AQ107" s="162"/>
      <c r="AR107" s="162"/>
      <c r="AS107" s="162"/>
      <c r="AT107" s="162"/>
      <c r="AU107" s="162"/>
      <c r="AV107" s="162"/>
      <c r="AW107" s="162"/>
      <c r="AX107" s="162"/>
      <c r="AY107" s="162"/>
      <c r="AZ107" s="162"/>
      <c r="BA107" s="162"/>
      <c r="BB107" s="171"/>
      <c r="BC107" s="162"/>
      <c r="BD107" s="171"/>
    </row>
    <row r="108" spans="1:56" ht="15.75" customHeight="1">
      <c r="A108" s="162"/>
      <c r="B108" s="163"/>
      <c r="C108" s="164"/>
      <c r="D108" s="162"/>
      <c r="E108" s="162"/>
      <c r="F108" s="162"/>
      <c r="G108" s="162"/>
      <c r="H108" s="162"/>
      <c r="I108" s="162"/>
      <c r="J108" s="162"/>
      <c r="K108" s="162"/>
      <c r="L108" s="162"/>
      <c r="T108" s="162"/>
      <c r="U108" s="162"/>
      <c r="V108" s="162"/>
      <c r="W108" s="162"/>
      <c r="X108" s="162"/>
      <c r="Y108" s="162"/>
      <c r="Z108" s="162"/>
      <c r="AA108" s="162"/>
      <c r="AB108" s="162"/>
      <c r="AC108" s="162"/>
      <c r="AD108" s="162"/>
      <c r="AE108" s="162"/>
      <c r="AG108" s="162"/>
      <c r="AH108" s="162"/>
      <c r="AI108" s="162"/>
      <c r="AJ108" s="162"/>
      <c r="AK108" s="162"/>
      <c r="AL108" s="162"/>
      <c r="AM108" s="162"/>
      <c r="AN108" s="162"/>
      <c r="AO108" s="162"/>
      <c r="AP108" s="162"/>
      <c r="AQ108" s="162"/>
      <c r="AR108" s="162"/>
      <c r="AS108" s="162"/>
      <c r="AT108" s="162"/>
      <c r="AU108" s="162"/>
      <c r="AV108" s="162"/>
      <c r="AW108" s="162"/>
      <c r="AX108" s="162"/>
      <c r="AY108" s="162"/>
      <c r="AZ108" s="162"/>
      <c r="BA108" s="162"/>
      <c r="BB108" s="171"/>
      <c r="BC108" s="162"/>
      <c r="BD108" s="171"/>
    </row>
    <row r="109" spans="1:56" ht="15.75" customHeight="1">
      <c r="A109" s="162"/>
      <c r="B109" s="163"/>
      <c r="C109" s="164"/>
      <c r="D109" s="162"/>
      <c r="E109" s="162"/>
      <c r="F109" s="162"/>
      <c r="G109" s="162"/>
      <c r="H109" s="162"/>
      <c r="I109" s="162"/>
      <c r="J109" s="162"/>
      <c r="K109" s="162"/>
      <c r="L109" s="162"/>
      <c r="T109" s="162"/>
      <c r="U109" s="162"/>
      <c r="V109" s="162"/>
      <c r="W109" s="162"/>
      <c r="X109" s="162"/>
      <c r="Y109" s="162"/>
      <c r="Z109" s="162"/>
      <c r="AA109" s="162"/>
      <c r="AB109" s="162"/>
      <c r="AC109" s="162"/>
      <c r="AD109" s="162"/>
      <c r="AE109" s="162"/>
      <c r="AG109" s="162"/>
      <c r="AH109" s="162"/>
      <c r="AI109" s="162"/>
      <c r="AJ109" s="162"/>
      <c r="AK109" s="162"/>
      <c r="AL109" s="162"/>
      <c r="AM109" s="162"/>
      <c r="AN109" s="162"/>
      <c r="AO109" s="162"/>
      <c r="AP109" s="162"/>
      <c r="AQ109" s="162"/>
      <c r="AR109" s="162"/>
      <c r="AS109" s="162"/>
      <c r="AT109" s="162"/>
      <c r="AU109" s="162"/>
      <c r="AV109" s="162"/>
      <c r="AW109" s="162"/>
      <c r="AX109" s="162"/>
      <c r="AY109" s="162"/>
      <c r="AZ109" s="162"/>
      <c r="BA109" s="162"/>
      <c r="BB109" s="171"/>
      <c r="BC109" s="162"/>
      <c r="BD109" s="171"/>
    </row>
    <row r="110" spans="1:56" ht="15.75" customHeight="1">
      <c r="A110" s="162"/>
      <c r="B110" s="163"/>
      <c r="C110" s="164"/>
      <c r="D110" s="162"/>
      <c r="E110" s="162"/>
      <c r="F110" s="162"/>
      <c r="G110" s="162"/>
      <c r="H110" s="162"/>
      <c r="I110" s="162"/>
      <c r="J110" s="162"/>
      <c r="K110" s="162"/>
      <c r="L110" s="162"/>
      <c r="T110" s="162"/>
      <c r="U110" s="162"/>
      <c r="V110" s="162"/>
      <c r="W110" s="162"/>
      <c r="X110" s="162"/>
      <c r="Y110" s="162"/>
      <c r="Z110" s="162"/>
      <c r="AA110" s="162"/>
      <c r="AB110" s="162"/>
      <c r="AC110" s="162"/>
      <c r="AD110" s="162"/>
      <c r="AE110" s="162"/>
      <c r="AG110" s="162"/>
      <c r="AH110" s="162"/>
      <c r="AI110" s="162"/>
      <c r="AJ110" s="162"/>
      <c r="AK110" s="162"/>
      <c r="AL110" s="162"/>
      <c r="AM110" s="162"/>
      <c r="AN110" s="162"/>
      <c r="AO110" s="162"/>
      <c r="AP110" s="162"/>
      <c r="AQ110" s="162"/>
      <c r="AR110" s="162"/>
      <c r="AS110" s="162"/>
      <c r="AT110" s="162"/>
      <c r="AU110" s="162"/>
      <c r="AV110" s="162"/>
      <c r="AW110" s="162"/>
      <c r="AX110" s="162"/>
      <c r="AY110" s="162"/>
      <c r="AZ110" s="162"/>
      <c r="BA110" s="162"/>
      <c r="BB110" s="171"/>
      <c r="BC110" s="162"/>
      <c r="BD110" s="171"/>
    </row>
    <row r="111" spans="1:56" ht="15.75" customHeight="1">
      <c r="A111" s="162"/>
      <c r="B111" s="163"/>
      <c r="C111" s="164"/>
      <c r="D111" s="162"/>
      <c r="E111" s="162"/>
      <c r="F111" s="162"/>
      <c r="G111" s="162"/>
      <c r="H111" s="162"/>
      <c r="I111" s="162"/>
      <c r="J111" s="162"/>
      <c r="K111" s="162"/>
      <c r="L111" s="162"/>
      <c r="T111" s="162"/>
      <c r="U111" s="162"/>
      <c r="V111" s="162"/>
      <c r="W111" s="162"/>
      <c r="X111" s="162"/>
      <c r="Y111" s="162"/>
      <c r="Z111" s="162"/>
      <c r="AA111" s="162"/>
      <c r="AB111" s="162"/>
      <c r="AC111" s="162"/>
      <c r="AD111" s="162"/>
      <c r="AE111" s="162"/>
      <c r="AG111" s="162"/>
      <c r="AH111" s="162"/>
      <c r="AI111" s="162"/>
      <c r="AJ111" s="162"/>
      <c r="AK111" s="162"/>
      <c r="AL111" s="162"/>
      <c r="AM111" s="162"/>
      <c r="AN111" s="162"/>
      <c r="AO111" s="162"/>
      <c r="AP111" s="162"/>
      <c r="AQ111" s="162"/>
      <c r="AR111" s="162"/>
      <c r="AS111" s="162"/>
      <c r="AT111" s="162"/>
      <c r="AU111" s="162"/>
      <c r="AV111" s="162"/>
      <c r="AW111" s="162"/>
      <c r="AX111" s="162"/>
      <c r="AY111" s="162"/>
      <c r="AZ111" s="162"/>
      <c r="BA111" s="162"/>
      <c r="BB111" s="171"/>
      <c r="BC111" s="162"/>
      <c r="BD111" s="171"/>
    </row>
    <row r="112" spans="1:56" ht="15.75" customHeight="1">
      <c r="A112" s="162"/>
      <c r="B112" s="163"/>
      <c r="C112" s="164"/>
      <c r="D112" s="162"/>
      <c r="E112" s="162"/>
      <c r="F112" s="162"/>
      <c r="G112" s="162"/>
      <c r="H112" s="162"/>
      <c r="I112" s="162"/>
      <c r="J112" s="162"/>
      <c r="K112" s="162"/>
      <c r="L112" s="162"/>
      <c r="T112" s="162"/>
      <c r="U112" s="162"/>
      <c r="V112" s="162"/>
      <c r="W112" s="162"/>
      <c r="X112" s="162"/>
      <c r="Y112" s="162"/>
      <c r="Z112" s="162"/>
      <c r="AA112" s="162"/>
      <c r="AB112" s="162"/>
      <c r="AC112" s="162"/>
      <c r="AD112" s="162"/>
      <c r="AE112" s="162"/>
      <c r="AG112" s="162"/>
      <c r="AH112" s="162"/>
      <c r="AI112" s="162"/>
      <c r="AJ112" s="162"/>
      <c r="AK112" s="162"/>
      <c r="AL112" s="162"/>
      <c r="AM112" s="162"/>
      <c r="AN112" s="162"/>
      <c r="AO112" s="162"/>
      <c r="AP112" s="162"/>
      <c r="AQ112" s="162"/>
      <c r="AR112" s="162"/>
      <c r="AS112" s="162"/>
      <c r="AT112" s="162"/>
      <c r="AU112" s="162"/>
      <c r="AV112" s="162"/>
      <c r="AW112" s="162"/>
      <c r="AX112" s="162"/>
      <c r="AY112" s="162"/>
      <c r="AZ112" s="162"/>
      <c r="BA112" s="162"/>
      <c r="BB112" s="171"/>
      <c r="BC112" s="162"/>
      <c r="BD112" s="171"/>
    </row>
    <row r="113" spans="1:56" ht="15.75" customHeight="1">
      <c r="A113" s="162"/>
      <c r="B113" s="163"/>
      <c r="C113" s="164"/>
      <c r="D113" s="162"/>
      <c r="E113" s="162"/>
      <c r="F113" s="162"/>
      <c r="G113" s="162"/>
      <c r="H113" s="162"/>
      <c r="I113" s="162"/>
      <c r="J113" s="162"/>
      <c r="K113" s="162"/>
      <c r="L113" s="162"/>
      <c r="T113" s="162"/>
      <c r="U113" s="162"/>
      <c r="V113" s="162"/>
      <c r="W113" s="162"/>
      <c r="X113" s="162"/>
      <c r="Y113" s="162"/>
      <c r="Z113" s="162"/>
      <c r="AA113" s="162"/>
      <c r="AB113" s="162"/>
      <c r="AC113" s="162"/>
      <c r="AD113" s="162"/>
      <c r="AE113" s="162"/>
      <c r="AG113" s="162"/>
      <c r="AH113" s="162"/>
      <c r="AI113" s="162"/>
      <c r="AJ113" s="162"/>
      <c r="AK113" s="162"/>
      <c r="AL113" s="162"/>
      <c r="AM113" s="162"/>
      <c r="AN113" s="162"/>
      <c r="AO113" s="162"/>
      <c r="AP113" s="162"/>
      <c r="AQ113" s="162"/>
      <c r="AR113" s="162"/>
      <c r="AS113" s="162"/>
      <c r="AT113" s="162"/>
      <c r="AU113" s="162"/>
      <c r="AV113" s="162"/>
      <c r="AW113" s="162"/>
      <c r="AX113" s="162"/>
      <c r="AY113" s="162"/>
      <c r="AZ113" s="162"/>
      <c r="BA113" s="162"/>
      <c r="BB113" s="171"/>
      <c r="BC113" s="162"/>
      <c r="BD113" s="171"/>
    </row>
    <row r="114" spans="1:56" ht="15.75" customHeight="1">
      <c r="A114" s="162"/>
      <c r="B114" s="163"/>
      <c r="C114" s="164"/>
      <c r="D114" s="162"/>
      <c r="E114" s="162"/>
      <c r="F114" s="162"/>
      <c r="G114" s="162"/>
      <c r="H114" s="162"/>
      <c r="I114" s="162"/>
      <c r="J114" s="162"/>
      <c r="K114" s="162"/>
      <c r="L114" s="162"/>
      <c r="T114" s="162"/>
      <c r="U114" s="162"/>
      <c r="V114" s="162"/>
      <c r="W114" s="162"/>
      <c r="X114" s="162"/>
      <c r="Y114" s="162"/>
      <c r="Z114" s="162"/>
      <c r="AA114" s="162"/>
      <c r="AB114" s="162"/>
      <c r="AC114" s="162"/>
      <c r="AD114" s="162"/>
      <c r="AE114" s="162"/>
      <c r="AG114" s="162"/>
      <c r="AH114" s="162"/>
      <c r="AI114" s="162"/>
      <c r="AJ114" s="162"/>
      <c r="AK114" s="162"/>
      <c r="AL114" s="162"/>
      <c r="AM114" s="162"/>
      <c r="AN114" s="162"/>
      <c r="AO114" s="162"/>
      <c r="AP114" s="162"/>
      <c r="AQ114" s="162"/>
      <c r="AR114" s="162"/>
      <c r="AS114" s="162"/>
      <c r="AT114" s="162"/>
      <c r="AU114" s="162"/>
      <c r="AV114" s="162"/>
      <c r="AW114" s="162"/>
      <c r="AX114" s="162"/>
      <c r="AY114" s="162"/>
      <c r="AZ114" s="162"/>
      <c r="BA114" s="162"/>
      <c r="BB114" s="171"/>
      <c r="BC114" s="162"/>
      <c r="BD114" s="171"/>
    </row>
    <row r="115" spans="1:56" ht="15.75" customHeight="1">
      <c r="A115" s="162"/>
      <c r="B115" s="163"/>
      <c r="C115" s="164"/>
      <c r="D115" s="162"/>
      <c r="E115" s="162"/>
      <c r="F115" s="162"/>
      <c r="G115" s="162"/>
      <c r="H115" s="162"/>
      <c r="I115" s="162"/>
      <c r="J115" s="162"/>
      <c r="K115" s="162"/>
      <c r="L115" s="162"/>
      <c r="T115" s="162"/>
      <c r="U115" s="162"/>
      <c r="V115" s="162"/>
      <c r="W115" s="162"/>
      <c r="X115" s="162"/>
      <c r="Y115" s="162"/>
      <c r="Z115" s="162"/>
      <c r="AA115" s="162"/>
      <c r="AB115" s="162"/>
      <c r="AC115" s="162"/>
      <c r="AD115" s="162"/>
      <c r="AE115" s="162"/>
      <c r="AG115" s="162"/>
      <c r="AH115" s="162"/>
      <c r="AI115" s="162"/>
      <c r="AJ115" s="162"/>
      <c r="AK115" s="162"/>
      <c r="AL115" s="162"/>
      <c r="AM115" s="162"/>
      <c r="AN115" s="162"/>
      <c r="AO115" s="162"/>
      <c r="AP115" s="162"/>
      <c r="AQ115" s="162"/>
      <c r="AR115" s="162"/>
      <c r="AS115" s="162"/>
      <c r="AT115" s="162"/>
      <c r="AU115" s="162"/>
      <c r="AV115" s="162"/>
      <c r="AW115" s="162"/>
      <c r="AX115" s="162"/>
      <c r="AY115" s="162"/>
      <c r="AZ115" s="162"/>
      <c r="BA115" s="162"/>
      <c r="BB115" s="171"/>
      <c r="BC115" s="162"/>
      <c r="BD115" s="171"/>
    </row>
    <row r="116" spans="1:56" ht="15.75" customHeight="1">
      <c r="A116" s="162"/>
      <c r="B116" s="163"/>
      <c r="C116" s="164"/>
      <c r="D116" s="162"/>
      <c r="E116" s="162"/>
      <c r="F116" s="162"/>
      <c r="G116" s="162"/>
      <c r="H116" s="162"/>
      <c r="I116" s="162"/>
      <c r="J116" s="162"/>
      <c r="K116" s="162"/>
      <c r="L116" s="162"/>
      <c r="T116" s="162"/>
      <c r="U116" s="162"/>
      <c r="V116" s="162"/>
      <c r="W116" s="162"/>
      <c r="X116" s="162"/>
      <c r="Y116" s="162"/>
      <c r="Z116" s="162"/>
      <c r="AA116" s="162"/>
      <c r="AB116" s="162"/>
      <c r="AC116" s="162"/>
      <c r="AD116" s="162"/>
      <c r="AE116" s="162"/>
      <c r="AG116" s="162"/>
      <c r="AH116" s="162"/>
      <c r="AI116" s="162"/>
      <c r="AJ116" s="162"/>
      <c r="AK116" s="162"/>
      <c r="AL116" s="162"/>
      <c r="AM116" s="162"/>
      <c r="AN116" s="162"/>
      <c r="AO116" s="162"/>
      <c r="AP116" s="162"/>
      <c r="AQ116" s="162"/>
      <c r="AR116" s="162"/>
      <c r="AS116" s="162"/>
      <c r="AT116" s="162"/>
      <c r="AU116" s="162"/>
      <c r="AV116" s="162"/>
      <c r="AW116" s="162"/>
      <c r="AX116" s="162"/>
      <c r="AY116" s="162"/>
      <c r="AZ116" s="162"/>
      <c r="BA116" s="162"/>
      <c r="BB116" s="171"/>
      <c r="BC116" s="162"/>
      <c r="BD116" s="171"/>
    </row>
    <row r="117" spans="1:56" ht="15.75" customHeight="1">
      <c r="A117" s="162"/>
      <c r="B117" s="163"/>
      <c r="C117" s="164"/>
      <c r="D117" s="162"/>
      <c r="E117" s="162"/>
      <c r="F117" s="162"/>
      <c r="G117" s="162"/>
      <c r="H117" s="162"/>
      <c r="I117" s="162"/>
      <c r="J117" s="162"/>
      <c r="K117" s="162"/>
      <c r="L117" s="162"/>
      <c r="T117" s="162"/>
      <c r="U117" s="162"/>
      <c r="V117" s="162"/>
      <c r="W117" s="162"/>
      <c r="X117" s="162"/>
      <c r="Y117" s="162"/>
      <c r="Z117" s="162"/>
      <c r="AA117" s="162"/>
      <c r="AB117" s="162"/>
      <c r="AC117" s="162"/>
      <c r="AD117" s="162"/>
      <c r="AE117" s="162"/>
      <c r="AG117" s="162"/>
      <c r="AH117" s="162"/>
      <c r="AI117" s="162"/>
      <c r="AJ117" s="162"/>
      <c r="AK117" s="162"/>
      <c r="AL117" s="162"/>
      <c r="AM117" s="162"/>
      <c r="AN117" s="162"/>
      <c r="AO117" s="162"/>
      <c r="AP117" s="162"/>
      <c r="AQ117" s="162"/>
      <c r="AR117" s="162"/>
      <c r="AS117" s="162"/>
      <c r="AT117" s="162"/>
      <c r="AU117" s="162"/>
      <c r="AV117" s="162"/>
      <c r="AW117" s="162"/>
      <c r="AX117" s="162"/>
      <c r="AY117" s="162"/>
      <c r="AZ117" s="162"/>
      <c r="BA117" s="162"/>
      <c r="BB117" s="171"/>
      <c r="BC117" s="162"/>
      <c r="BD117" s="171"/>
    </row>
    <row r="118" spans="1:56" ht="15.75" customHeight="1">
      <c r="A118" s="162"/>
      <c r="B118" s="163"/>
      <c r="C118" s="164"/>
      <c r="D118" s="162"/>
      <c r="E118" s="162"/>
      <c r="F118" s="162"/>
      <c r="G118" s="162"/>
      <c r="H118" s="162"/>
      <c r="I118" s="162"/>
      <c r="J118" s="162"/>
      <c r="K118" s="162"/>
      <c r="L118" s="162"/>
      <c r="T118" s="162"/>
      <c r="U118" s="162"/>
      <c r="V118" s="162"/>
      <c r="W118" s="162"/>
      <c r="X118" s="162"/>
      <c r="Y118" s="162"/>
      <c r="Z118" s="162"/>
      <c r="AA118" s="162"/>
      <c r="AB118" s="162"/>
      <c r="AC118" s="162"/>
      <c r="AD118" s="162"/>
      <c r="AE118" s="162"/>
      <c r="AG118" s="162"/>
      <c r="AH118" s="162"/>
      <c r="AI118" s="162"/>
      <c r="AJ118" s="162"/>
      <c r="AK118" s="162"/>
      <c r="AL118" s="162"/>
      <c r="AM118" s="162"/>
      <c r="AN118" s="162"/>
      <c r="AO118" s="162"/>
      <c r="AP118" s="162"/>
      <c r="AQ118" s="162"/>
      <c r="AR118" s="162"/>
      <c r="AS118" s="162"/>
      <c r="AT118" s="162"/>
      <c r="AU118" s="162"/>
      <c r="AV118" s="162"/>
      <c r="AW118" s="162"/>
      <c r="AX118" s="162"/>
      <c r="AY118" s="162"/>
      <c r="AZ118" s="162"/>
      <c r="BA118" s="162"/>
      <c r="BB118" s="171"/>
      <c r="BC118" s="162"/>
      <c r="BD118" s="171"/>
    </row>
    <row r="119" spans="1:56" ht="15.75" customHeight="1">
      <c r="A119" s="162"/>
      <c r="B119" s="163"/>
      <c r="C119" s="164"/>
      <c r="D119" s="162"/>
      <c r="E119" s="162"/>
      <c r="F119" s="162"/>
      <c r="G119" s="162"/>
      <c r="H119" s="162"/>
      <c r="I119" s="162"/>
      <c r="J119" s="162"/>
      <c r="K119" s="162"/>
      <c r="L119" s="162"/>
      <c r="T119" s="162"/>
      <c r="U119" s="162"/>
      <c r="V119" s="162"/>
      <c r="W119" s="162"/>
      <c r="X119" s="162"/>
      <c r="Y119" s="162"/>
      <c r="Z119" s="162"/>
      <c r="AA119" s="162"/>
      <c r="AB119" s="162"/>
      <c r="AC119" s="162"/>
      <c r="AD119" s="162"/>
      <c r="AE119" s="162"/>
      <c r="AG119" s="162"/>
      <c r="AH119" s="162"/>
      <c r="AI119" s="162"/>
      <c r="AJ119" s="162"/>
      <c r="AK119" s="162"/>
      <c r="AL119" s="162"/>
      <c r="AM119" s="162"/>
      <c r="AN119" s="162"/>
      <c r="AO119" s="162"/>
      <c r="AP119" s="162"/>
      <c r="AQ119" s="162"/>
      <c r="AR119" s="162"/>
      <c r="AS119" s="162"/>
      <c r="AT119" s="162"/>
      <c r="AU119" s="162"/>
      <c r="AV119" s="162"/>
      <c r="AW119" s="162"/>
      <c r="AX119" s="162"/>
      <c r="AY119" s="162"/>
      <c r="AZ119" s="162"/>
      <c r="BA119" s="162"/>
      <c r="BB119" s="171"/>
      <c r="BC119" s="162"/>
      <c r="BD119" s="171"/>
    </row>
    <row r="120" spans="1:56" ht="15.75" customHeight="1">
      <c r="A120" s="162"/>
      <c r="B120" s="163"/>
      <c r="C120" s="164"/>
      <c r="D120" s="162"/>
      <c r="E120" s="162"/>
      <c r="F120" s="162"/>
      <c r="G120" s="162"/>
      <c r="H120" s="162"/>
      <c r="I120" s="162"/>
      <c r="J120" s="162"/>
      <c r="K120" s="162"/>
      <c r="L120" s="162"/>
      <c r="T120" s="162"/>
      <c r="U120" s="162"/>
      <c r="V120" s="162"/>
      <c r="W120" s="162"/>
      <c r="X120" s="162"/>
      <c r="Y120" s="162"/>
      <c r="Z120" s="162"/>
      <c r="AA120" s="162"/>
      <c r="AB120" s="162"/>
      <c r="AC120" s="162"/>
      <c r="AD120" s="162"/>
      <c r="AE120" s="162"/>
      <c r="AG120" s="162"/>
      <c r="AH120" s="162"/>
      <c r="AI120" s="162"/>
      <c r="AJ120" s="162"/>
      <c r="AK120" s="162"/>
      <c r="AL120" s="162"/>
      <c r="AM120" s="162"/>
      <c r="AN120" s="162"/>
      <c r="AO120" s="162"/>
      <c r="AP120" s="162"/>
      <c r="AQ120" s="162"/>
      <c r="AR120" s="162"/>
      <c r="AS120" s="162"/>
      <c r="AT120" s="162"/>
      <c r="AU120" s="162"/>
      <c r="AV120" s="162"/>
      <c r="AW120" s="162"/>
      <c r="AX120" s="162"/>
      <c r="AY120" s="162"/>
      <c r="AZ120" s="162"/>
      <c r="BA120" s="162"/>
      <c r="BB120" s="171"/>
      <c r="BC120" s="162"/>
      <c r="BD120" s="171"/>
    </row>
    <row r="121" spans="1:56" ht="15.75" customHeight="1">
      <c r="A121" s="162"/>
      <c r="B121" s="163"/>
      <c r="C121" s="164"/>
      <c r="D121" s="162"/>
      <c r="E121" s="162"/>
      <c r="F121" s="162"/>
      <c r="G121" s="162"/>
      <c r="H121" s="162"/>
      <c r="I121" s="162"/>
      <c r="J121" s="162"/>
      <c r="K121" s="162"/>
      <c r="L121" s="162"/>
      <c r="T121" s="162"/>
      <c r="U121" s="162"/>
      <c r="V121" s="162"/>
      <c r="W121" s="162"/>
      <c r="X121" s="162"/>
      <c r="Y121" s="162"/>
      <c r="Z121" s="162"/>
      <c r="AA121" s="162"/>
      <c r="AB121" s="162"/>
      <c r="AC121" s="162"/>
      <c r="AD121" s="162"/>
      <c r="AE121" s="162"/>
      <c r="AG121" s="162"/>
      <c r="AH121" s="162"/>
      <c r="AI121" s="162"/>
      <c r="AJ121" s="162"/>
      <c r="AK121" s="162"/>
      <c r="AL121" s="162"/>
      <c r="AM121" s="162"/>
      <c r="AN121" s="162"/>
      <c r="AO121" s="162"/>
      <c r="AP121" s="162"/>
      <c r="AQ121" s="162"/>
      <c r="AR121" s="162"/>
      <c r="AS121" s="162"/>
      <c r="AT121" s="162"/>
      <c r="AU121" s="162"/>
      <c r="AV121" s="162"/>
      <c r="AW121" s="162"/>
      <c r="AX121" s="162"/>
      <c r="AY121" s="162"/>
      <c r="AZ121" s="162"/>
      <c r="BA121" s="162"/>
      <c r="BB121" s="171"/>
      <c r="BC121" s="162"/>
      <c r="BD121" s="171"/>
    </row>
    <row r="122" spans="1:56" ht="15.75" customHeight="1">
      <c r="A122" s="162"/>
      <c r="B122" s="163"/>
      <c r="C122" s="164"/>
      <c r="D122" s="162"/>
      <c r="E122" s="162"/>
      <c r="F122" s="162"/>
      <c r="G122" s="162"/>
      <c r="H122" s="162"/>
      <c r="I122" s="162"/>
      <c r="J122" s="162"/>
      <c r="K122" s="162"/>
      <c r="L122" s="162"/>
      <c r="T122" s="162"/>
      <c r="U122" s="162"/>
      <c r="V122" s="162"/>
      <c r="W122" s="162"/>
      <c r="X122" s="162"/>
      <c r="Y122" s="162"/>
      <c r="Z122" s="162"/>
      <c r="AA122" s="162"/>
      <c r="AB122" s="162"/>
      <c r="AC122" s="162"/>
      <c r="AD122" s="162"/>
      <c r="AE122" s="162"/>
      <c r="AG122" s="162"/>
      <c r="AH122" s="162"/>
      <c r="AI122" s="162"/>
      <c r="AJ122" s="162"/>
      <c r="AK122" s="162"/>
      <c r="AL122" s="162"/>
      <c r="AM122" s="162"/>
      <c r="AN122" s="162"/>
      <c r="AO122" s="162"/>
      <c r="AP122" s="162"/>
      <c r="AQ122" s="162"/>
      <c r="AR122" s="162"/>
      <c r="AS122" s="162"/>
      <c r="AT122" s="162"/>
      <c r="AU122" s="162"/>
      <c r="AV122" s="162"/>
      <c r="AW122" s="162"/>
      <c r="AX122" s="162"/>
      <c r="AY122" s="162"/>
      <c r="AZ122" s="162"/>
      <c r="BA122" s="162"/>
      <c r="BB122" s="171"/>
      <c r="BC122" s="162"/>
      <c r="BD122" s="171"/>
    </row>
    <row r="123" spans="1:56" ht="15.75" customHeight="1">
      <c r="A123" s="162"/>
      <c r="B123" s="163"/>
      <c r="C123" s="164"/>
      <c r="D123" s="162"/>
      <c r="E123" s="162"/>
      <c r="F123" s="162"/>
      <c r="G123" s="162"/>
      <c r="H123" s="162"/>
      <c r="I123" s="162"/>
      <c r="J123" s="162"/>
      <c r="K123" s="162"/>
      <c r="L123" s="162"/>
      <c r="T123" s="162"/>
      <c r="U123" s="162"/>
      <c r="V123" s="162"/>
      <c r="W123" s="162"/>
      <c r="X123" s="162"/>
      <c r="Y123" s="162"/>
      <c r="Z123" s="162"/>
      <c r="AA123" s="162"/>
      <c r="AB123" s="162"/>
      <c r="AC123" s="162"/>
      <c r="AD123" s="162"/>
      <c r="AE123" s="162"/>
      <c r="AG123" s="162"/>
      <c r="AH123" s="162"/>
      <c r="AI123" s="162"/>
      <c r="AJ123" s="162"/>
      <c r="AK123" s="162"/>
      <c r="AL123" s="162"/>
      <c r="AM123" s="162"/>
      <c r="AN123" s="162"/>
      <c r="AO123" s="162"/>
      <c r="AP123" s="162"/>
      <c r="AQ123" s="162"/>
      <c r="AR123" s="162"/>
      <c r="AS123" s="162"/>
      <c r="AT123" s="162"/>
      <c r="AU123" s="162"/>
      <c r="AV123" s="162"/>
      <c r="AW123" s="162"/>
      <c r="AX123" s="162"/>
      <c r="AY123" s="162"/>
      <c r="AZ123" s="162"/>
      <c r="BA123" s="162"/>
      <c r="BB123" s="171"/>
      <c r="BC123" s="162"/>
      <c r="BD123" s="171"/>
    </row>
    <row r="124" spans="1:56" ht="15.75" customHeight="1">
      <c r="A124" s="162"/>
      <c r="B124" s="163"/>
      <c r="C124" s="164"/>
      <c r="D124" s="162"/>
      <c r="E124" s="162"/>
      <c r="F124" s="162"/>
      <c r="G124" s="162"/>
      <c r="H124" s="162"/>
      <c r="I124" s="162"/>
      <c r="J124" s="162"/>
      <c r="K124" s="162"/>
      <c r="L124" s="162"/>
      <c r="T124" s="162"/>
      <c r="U124" s="162"/>
      <c r="V124" s="162"/>
      <c r="W124" s="162"/>
      <c r="X124" s="162"/>
      <c r="Y124" s="162"/>
      <c r="Z124" s="162"/>
      <c r="AA124" s="162"/>
      <c r="AB124" s="162"/>
      <c r="AC124" s="162"/>
      <c r="AD124" s="162"/>
      <c r="AE124" s="162"/>
      <c r="AG124" s="162"/>
      <c r="AH124" s="162"/>
      <c r="AI124" s="162"/>
      <c r="AJ124" s="162"/>
      <c r="AK124" s="162"/>
      <c r="AL124" s="162"/>
      <c r="AM124" s="162"/>
      <c r="AN124" s="162"/>
      <c r="AO124" s="162"/>
      <c r="AP124" s="162"/>
      <c r="AQ124" s="162"/>
      <c r="AR124" s="162"/>
      <c r="AS124" s="162"/>
      <c r="AT124" s="162"/>
      <c r="AU124" s="162"/>
      <c r="AV124" s="162"/>
      <c r="AW124" s="162"/>
      <c r="AX124" s="162"/>
      <c r="AY124" s="162"/>
      <c r="AZ124" s="162"/>
      <c r="BA124" s="162"/>
      <c r="BB124" s="171"/>
      <c r="BC124" s="162"/>
      <c r="BD124" s="171"/>
    </row>
    <row r="125" spans="1:56" ht="15.75" customHeight="1">
      <c r="A125" s="162"/>
      <c r="B125" s="163"/>
      <c r="C125" s="164"/>
      <c r="D125" s="162"/>
      <c r="E125" s="162"/>
      <c r="F125" s="162"/>
      <c r="G125" s="162"/>
      <c r="H125" s="162"/>
      <c r="I125" s="162"/>
      <c r="J125" s="162"/>
      <c r="K125" s="162"/>
      <c r="L125" s="162"/>
      <c r="T125" s="162"/>
      <c r="U125" s="162"/>
      <c r="V125" s="162"/>
      <c r="W125" s="162"/>
      <c r="X125" s="162"/>
      <c r="Y125" s="162"/>
      <c r="Z125" s="162"/>
      <c r="AA125" s="162"/>
      <c r="AB125" s="162"/>
      <c r="AC125" s="162"/>
      <c r="AD125" s="162"/>
      <c r="AE125" s="162"/>
      <c r="AG125" s="162"/>
      <c r="AH125" s="162"/>
      <c r="AI125" s="162"/>
      <c r="AJ125" s="162"/>
      <c r="AK125" s="162"/>
      <c r="AL125" s="162"/>
      <c r="AM125" s="162"/>
      <c r="AN125" s="162"/>
      <c r="AO125" s="162"/>
      <c r="AP125" s="162"/>
      <c r="AQ125" s="162"/>
      <c r="AR125" s="162"/>
      <c r="AS125" s="162"/>
      <c r="AT125" s="162"/>
      <c r="AU125" s="162"/>
      <c r="AV125" s="162"/>
      <c r="AW125" s="162"/>
      <c r="AX125" s="162"/>
      <c r="AY125" s="162"/>
      <c r="AZ125" s="162"/>
      <c r="BA125" s="162"/>
      <c r="BB125" s="171"/>
      <c r="BC125" s="162"/>
      <c r="BD125" s="171"/>
    </row>
    <row r="126" spans="1:56" ht="15.75" customHeight="1">
      <c r="A126" s="162"/>
      <c r="B126" s="163"/>
      <c r="C126" s="164"/>
      <c r="D126" s="162"/>
      <c r="E126" s="162"/>
      <c r="F126" s="162"/>
      <c r="G126" s="162"/>
      <c r="H126" s="162"/>
      <c r="I126" s="162"/>
      <c r="J126" s="162"/>
      <c r="K126" s="162"/>
      <c r="L126" s="162"/>
      <c r="T126" s="162"/>
      <c r="U126" s="162"/>
      <c r="V126" s="162"/>
      <c r="W126" s="162"/>
      <c r="X126" s="162"/>
      <c r="Y126" s="162"/>
      <c r="Z126" s="162"/>
      <c r="AA126" s="162"/>
      <c r="AB126" s="162"/>
      <c r="AC126" s="162"/>
      <c r="AD126" s="162"/>
      <c r="AE126" s="162"/>
      <c r="AG126" s="162"/>
      <c r="AH126" s="162"/>
      <c r="AI126" s="162"/>
      <c r="AJ126" s="162"/>
      <c r="AK126" s="162"/>
      <c r="AL126" s="162"/>
      <c r="AM126" s="162"/>
      <c r="AN126" s="162"/>
      <c r="AO126" s="162"/>
      <c r="AP126" s="162"/>
      <c r="AQ126" s="162"/>
      <c r="AR126" s="162"/>
      <c r="AS126" s="162"/>
      <c r="AT126" s="162"/>
      <c r="AU126" s="162"/>
      <c r="AV126" s="162"/>
      <c r="AW126" s="162"/>
      <c r="AX126" s="162"/>
      <c r="AY126" s="162"/>
      <c r="AZ126" s="162"/>
      <c r="BA126" s="162"/>
      <c r="BB126" s="171"/>
      <c r="BC126" s="162"/>
      <c r="BD126" s="171"/>
    </row>
    <row r="127" spans="1:56" ht="15.75" customHeight="1">
      <c r="A127" s="162"/>
      <c r="B127" s="163"/>
      <c r="C127" s="164"/>
      <c r="D127" s="162"/>
      <c r="E127" s="162"/>
      <c r="F127" s="162"/>
      <c r="G127" s="162"/>
      <c r="H127" s="162"/>
      <c r="I127" s="162"/>
      <c r="J127" s="162"/>
      <c r="K127" s="162"/>
      <c r="L127" s="162"/>
      <c r="T127" s="162"/>
      <c r="U127" s="162"/>
      <c r="V127" s="162"/>
      <c r="W127" s="162"/>
      <c r="X127" s="162"/>
      <c r="Y127" s="162"/>
      <c r="Z127" s="162"/>
      <c r="AA127" s="162"/>
      <c r="AB127" s="162"/>
      <c r="AC127" s="162"/>
      <c r="AD127" s="162"/>
      <c r="AE127" s="162"/>
      <c r="AG127" s="162"/>
      <c r="AH127" s="162"/>
      <c r="AI127" s="162"/>
      <c r="AJ127" s="162"/>
      <c r="AK127" s="162"/>
      <c r="AL127" s="162"/>
      <c r="AM127" s="162"/>
      <c r="AN127" s="162"/>
      <c r="AO127" s="162"/>
      <c r="AP127" s="162"/>
      <c r="AQ127" s="162"/>
      <c r="AR127" s="162"/>
      <c r="AS127" s="162"/>
      <c r="AT127" s="162"/>
      <c r="AU127" s="162"/>
      <c r="AV127" s="162"/>
      <c r="AW127" s="162"/>
      <c r="AX127" s="162"/>
      <c r="AY127" s="162"/>
      <c r="AZ127" s="162"/>
      <c r="BA127" s="162"/>
      <c r="BB127" s="171"/>
      <c r="BC127" s="162"/>
      <c r="BD127" s="171"/>
    </row>
    <row r="128" spans="1:56" ht="15.75" customHeight="1">
      <c r="A128" s="162"/>
      <c r="B128" s="163"/>
      <c r="C128" s="164"/>
      <c r="D128" s="162"/>
      <c r="E128" s="162"/>
      <c r="F128" s="162"/>
      <c r="G128" s="162"/>
      <c r="H128" s="162"/>
      <c r="I128" s="162"/>
      <c r="J128" s="162"/>
      <c r="K128" s="162"/>
      <c r="L128" s="162"/>
      <c r="T128" s="162"/>
      <c r="U128" s="162"/>
      <c r="V128" s="162"/>
      <c r="W128" s="162"/>
      <c r="X128" s="162"/>
      <c r="Y128" s="162"/>
      <c r="Z128" s="162"/>
      <c r="AA128" s="162"/>
      <c r="AB128" s="162"/>
      <c r="AC128" s="162"/>
      <c r="AD128" s="162"/>
      <c r="AE128" s="162"/>
      <c r="AG128" s="162"/>
      <c r="AH128" s="162"/>
      <c r="AI128" s="162"/>
      <c r="AJ128" s="162"/>
      <c r="AK128" s="162"/>
      <c r="AL128" s="162"/>
      <c r="AM128" s="162"/>
      <c r="AN128" s="162"/>
      <c r="AO128" s="162"/>
      <c r="AP128" s="162"/>
      <c r="AQ128" s="162"/>
      <c r="AR128" s="162"/>
      <c r="AS128" s="162"/>
      <c r="AT128" s="162"/>
      <c r="AU128" s="162"/>
      <c r="AV128" s="162"/>
      <c r="AW128" s="162"/>
      <c r="AX128" s="162"/>
      <c r="AY128" s="162"/>
      <c r="AZ128" s="162"/>
      <c r="BA128" s="162"/>
      <c r="BB128" s="171"/>
      <c r="BC128" s="162"/>
      <c r="BD128" s="171"/>
    </row>
    <row r="129" spans="1:56" ht="15.75" customHeight="1">
      <c r="A129" s="162"/>
      <c r="B129" s="163"/>
      <c r="C129" s="164"/>
      <c r="D129" s="162"/>
      <c r="E129" s="162"/>
      <c r="F129" s="162"/>
      <c r="G129" s="162"/>
      <c r="H129" s="162"/>
      <c r="I129" s="162"/>
      <c r="J129" s="162"/>
      <c r="K129" s="162"/>
      <c r="L129" s="162"/>
      <c r="T129" s="162"/>
      <c r="U129" s="162"/>
      <c r="V129" s="162"/>
      <c r="W129" s="162"/>
      <c r="X129" s="162"/>
      <c r="Y129" s="162"/>
      <c r="Z129" s="162"/>
      <c r="AA129" s="162"/>
      <c r="AB129" s="162"/>
      <c r="AC129" s="162"/>
      <c r="AD129" s="162"/>
      <c r="AE129" s="162"/>
      <c r="AG129" s="162"/>
      <c r="AH129" s="162"/>
      <c r="AI129" s="162"/>
      <c r="AJ129" s="162"/>
      <c r="AK129" s="162"/>
      <c r="AL129" s="162"/>
      <c r="AM129" s="162"/>
      <c r="AN129" s="162"/>
      <c r="AO129" s="162"/>
      <c r="AP129" s="162"/>
      <c r="AQ129" s="162"/>
      <c r="AR129" s="162"/>
      <c r="AS129" s="162"/>
      <c r="AT129" s="162"/>
      <c r="AU129" s="162"/>
      <c r="AV129" s="162"/>
      <c r="AW129" s="162"/>
      <c r="AX129" s="162"/>
      <c r="AY129" s="162"/>
      <c r="AZ129" s="162"/>
      <c r="BA129" s="162"/>
      <c r="BB129" s="171"/>
      <c r="BC129" s="162"/>
      <c r="BD129" s="171"/>
    </row>
    <row r="130" spans="1:56" ht="15.75" customHeight="1">
      <c r="A130" s="162"/>
      <c r="B130" s="163"/>
      <c r="C130" s="164"/>
      <c r="D130" s="162"/>
      <c r="E130" s="162"/>
      <c r="F130" s="162"/>
      <c r="G130" s="162"/>
      <c r="H130" s="162"/>
      <c r="I130" s="162"/>
      <c r="J130" s="162"/>
      <c r="K130" s="162"/>
      <c r="L130" s="162"/>
      <c r="T130" s="162"/>
      <c r="U130" s="162"/>
      <c r="V130" s="162"/>
      <c r="W130" s="162"/>
      <c r="X130" s="162"/>
      <c r="Y130" s="162"/>
      <c r="Z130" s="162"/>
      <c r="AA130" s="162"/>
      <c r="AB130" s="162"/>
      <c r="AC130" s="162"/>
      <c r="AD130" s="162"/>
      <c r="AE130" s="162"/>
      <c r="AG130" s="162"/>
      <c r="AH130" s="162"/>
      <c r="AI130" s="162"/>
      <c r="AJ130" s="162"/>
      <c r="AK130" s="162"/>
      <c r="AL130" s="162"/>
      <c r="AM130" s="162"/>
      <c r="AN130" s="162"/>
      <c r="AO130" s="162"/>
      <c r="AP130" s="162"/>
      <c r="AQ130" s="162"/>
      <c r="AR130" s="162"/>
      <c r="AS130" s="162"/>
      <c r="AT130" s="162"/>
      <c r="AU130" s="162"/>
      <c r="AV130" s="162"/>
      <c r="AW130" s="162"/>
      <c r="AX130" s="162"/>
      <c r="AY130" s="162"/>
      <c r="AZ130" s="162"/>
      <c r="BA130" s="162"/>
      <c r="BB130" s="171"/>
      <c r="BC130" s="162"/>
      <c r="BD130" s="171"/>
    </row>
    <row r="131" spans="1:56" ht="15.75" customHeight="1">
      <c r="A131" s="162"/>
      <c r="B131" s="163"/>
      <c r="C131" s="164"/>
      <c r="D131" s="162"/>
      <c r="E131" s="162"/>
      <c r="F131" s="162"/>
      <c r="G131" s="162"/>
      <c r="H131" s="162"/>
      <c r="I131" s="162"/>
      <c r="J131" s="162"/>
      <c r="K131" s="162"/>
      <c r="L131" s="162"/>
      <c r="T131" s="162"/>
      <c r="U131" s="162"/>
      <c r="V131" s="162"/>
      <c r="W131" s="162"/>
      <c r="X131" s="162"/>
      <c r="Y131" s="162"/>
      <c r="Z131" s="162"/>
      <c r="AA131" s="162"/>
      <c r="AB131" s="162"/>
      <c r="AC131" s="162"/>
      <c r="AD131" s="162"/>
      <c r="AE131" s="162"/>
      <c r="AG131" s="162"/>
      <c r="AH131" s="162"/>
      <c r="AI131" s="162"/>
      <c r="AJ131" s="162"/>
      <c r="AK131" s="162"/>
      <c r="AL131" s="162"/>
      <c r="AM131" s="162"/>
      <c r="AN131" s="162"/>
      <c r="AO131" s="162"/>
      <c r="AP131" s="162"/>
      <c r="AQ131" s="162"/>
      <c r="AR131" s="162"/>
      <c r="AS131" s="162"/>
      <c r="AT131" s="162"/>
      <c r="AU131" s="162"/>
      <c r="AV131" s="162"/>
      <c r="AW131" s="162"/>
      <c r="AX131" s="162"/>
      <c r="AY131" s="162"/>
      <c r="AZ131" s="162"/>
      <c r="BA131" s="162"/>
      <c r="BB131" s="171"/>
      <c r="BC131" s="162"/>
      <c r="BD131" s="171"/>
    </row>
    <row r="132" spans="1:56" ht="15.75" customHeight="1">
      <c r="A132" s="162"/>
      <c r="B132" s="163"/>
      <c r="C132" s="164"/>
      <c r="D132" s="162"/>
      <c r="E132" s="162"/>
      <c r="F132" s="162"/>
      <c r="G132" s="162"/>
      <c r="H132" s="162"/>
      <c r="I132" s="162"/>
      <c r="J132" s="162"/>
      <c r="K132" s="162"/>
      <c r="L132" s="162"/>
      <c r="T132" s="162"/>
      <c r="U132" s="162"/>
      <c r="V132" s="162"/>
      <c r="W132" s="162"/>
      <c r="X132" s="162"/>
      <c r="Y132" s="162"/>
      <c r="Z132" s="162"/>
      <c r="AA132" s="162"/>
      <c r="AB132" s="162"/>
      <c r="AC132" s="162"/>
      <c r="AD132" s="162"/>
      <c r="AE132" s="162"/>
      <c r="AG132" s="162"/>
      <c r="AH132" s="162"/>
      <c r="AI132" s="162"/>
      <c r="AJ132" s="162"/>
      <c r="AK132" s="162"/>
      <c r="AL132" s="162"/>
      <c r="AM132" s="162"/>
      <c r="AN132" s="162"/>
      <c r="AO132" s="162"/>
      <c r="AP132" s="162"/>
      <c r="AQ132" s="162"/>
      <c r="AR132" s="162"/>
      <c r="AS132" s="162"/>
      <c r="AT132" s="162"/>
      <c r="AU132" s="162"/>
      <c r="AV132" s="162"/>
      <c r="AW132" s="162"/>
      <c r="AX132" s="162"/>
      <c r="AY132" s="162"/>
      <c r="AZ132" s="162"/>
      <c r="BA132" s="162"/>
      <c r="BB132" s="171"/>
      <c r="BC132" s="162"/>
      <c r="BD132" s="171"/>
    </row>
    <row r="133" spans="1:56" ht="15.75" customHeight="1">
      <c r="A133" s="162"/>
      <c r="B133" s="163"/>
      <c r="C133" s="164"/>
      <c r="D133" s="162"/>
      <c r="E133" s="162"/>
      <c r="F133" s="162"/>
      <c r="G133" s="162"/>
      <c r="H133" s="162"/>
      <c r="I133" s="162"/>
      <c r="J133" s="162"/>
      <c r="K133" s="162"/>
      <c r="L133" s="162"/>
      <c r="T133" s="162"/>
      <c r="U133" s="162"/>
      <c r="V133" s="162"/>
      <c r="W133" s="162"/>
      <c r="X133" s="162"/>
      <c r="Y133" s="162"/>
      <c r="Z133" s="162"/>
      <c r="AA133" s="162"/>
      <c r="AB133" s="162"/>
      <c r="AC133" s="162"/>
      <c r="AD133" s="162"/>
      <c r="AE133" s="162"/>
      <c r="AG133" s="162"/>
      <c r="AH133" s="162"/>
      <c r="AI133" s="162"/>
      <c r="AJ133" s="162"/>
      <c r="AK133" s="162"/>
      <c r="AL133" s="162"/>
      <c r="AM133" s="162"/>
      <c r="AN133" s="162"/>
      <c r="AO133" s="162"/>
      <c r="AP133" s="162"/>
      <c r="AQ133" s="162"/>
      <c r="AR133" s="162"/>
      <c r="AS133" s="162"/>
      <c r="AT133" s="162"/>
      <c r="AU133" s="162"/>
      <c r="AV133" s="162"/>
      <c r="AW133" s="162"/>
      <c r="AX133" s="162"/>
      <c r="AY133" s="162"/>
      <c r="AZ133" s="162"/>
      <c r="BA133" s="162"/>
      <c r="BB133" s="171"/>
      <c r="BC133" s="162"/>
      <c r="BD133" s="171"/>
    </row>
    <row r="134" spans="1:56" ht="15.75" customHeight="1">
      <c r="A134" s="162"/>
      <c r="B134" s="163"/>
      <c r="C134" s="164"/>
      <c r="D134" s="162"/>
      <c r="E134" s="162"/>
      <c r="F134" s="162"/>
      <c r="G134" s="162"/>
      <c r="H134" s="162"/>
      <c r="I134" s="162"/>
      <c r="J134" s="162"/>
      <c r="K134" s="162"/>
      <c r="L134" s="162"/>
      <c r="T134" s="162"/>
      <c r="U134" s="162"/>
      <c r="V134" s="162"/>
      <c r="W134" s="162"/>
      <c r="X134" s="162"/>
      <c r="Y134" s="162"/>
      <c r="Z134" s="162"/>
      <c r="AA134" s="162"/>
      <c r="AB134" s="162"/>
      <c r="AC134" s="162"/>
      <c r="AD134" s="162"/>
      <c r="AE134" s="162"/>
      <c r="AG134" s="162"/>
      <c r="AH134" s="162"/>
      <c r="AI134" s="162"/>
      <c r="AJ134" s="162"/>
      <c r="AK134" s="162"/>
      <c r="AL134" s="162"/>
      <c r="AM134" s="162"/>
      <c r="AN134" s="162"/>
      <c r="AO134" s="162"/>
      <c r="AP134" s="162"/>
      <c r="AQ134" s="162"/>
      <c r="AR134" s="162"/>
      <c r="AS134" s="162"/>
      <c r="AT134" s="162"/>
      <c r="AU134" s="162"/>
      <c r="AV134" s="162"/>
      <c r="AW134" s="162"/>
      <c r="AX134" s="162"/>
      <c r="AY134" s="162"/>
      <c r="AZ134" s="162"/>
      <c r="BA134" s="162"/>
      <c r="BB134" s="171"/>
      <c r="BC134" s="162"/>
      <c r="BD134" s="171"/>
    </row>
    <row r="135" spans="1:56" ht="15.75" customHeight="1">
      <c r="A135" s="162"/>
      <c r="B135" s="163"/>
      <c r="C135" s="164"/>
      <c r="D135" s="162"/>
      <c r="E135" s="162"/>
      <c r="F135" s="162"/>
      <c r="G135" s="162"/>
      <c r="H135" s="162"/>
      <c r="I135" s="162"/>
      <c r="J135" s="162"/>
      <c r="K135" s="162"/>
      <c r="L135" s="162"/>
      <c r="T135" s="162"/>
      <c r="U135" s="162"/>
      <c r="V135" s="162"/>
      <c r="W135" s="162"/>
      <c r="X135" s="162"/>
      <c r="Y135" s="162"/>
      <c r="Z135" s="162"/>
      <c r="AA135" s="162"/>
      <c r="AB135" s="162"/>
      <c r="AC135" s="162"/>
      <c r="AD135" s="162"/>
      <c r="AE135" s="162"/>
      <c r="AG135" s="162"/>
      <c r="AH135" s="162"/>
      <c r="AI135" s="162"/>
      <c r="AJ135" s="162"/>
      <c r="AK135" s="162"/>
      <c r="AL135" s="162"/>
      <c r="AM135" s="162"/>
      <c r="AN135" s="162"/>
      <c r="AO135" s="162"/>
      <c r="AP135" s="162"/>
      <c r="AQ135" s="162"/>
      <c r="AR135" s="162"/>
      <c r="AS135" s="162"/>
      <c r="AT135" s="162"/>
      <c r="AU135" s="162"/>
      <c r="AV135" s="162"/>
      <c r="AW135" s="162"/>
      <c r="AX135" s="162"/>
      <c r="AY135" s="162"/>
      <c r="AZ135" s="162"/>
      <c r="BA135" s="162"/>
      <c r="BB135" s="171"/>
      <c r="BC135" s="162"/>
      <c r="BD135" s="171"/>
    </row>
    <row r="136" spans="1:56" ht="15.75" customHeight="1">
      <c r="A136" s="162"/>
      <c r="B136" s="163"/>
      <c r="C136" s="164"/>
      <c r="D136" s="162"/>
      <c r="E136" s="162"/>
      <c r="F136" s="162"/>
      <c r="G136" s="162"/>
      <c r="H136" s="162"/>
      <c r="I136" s="162"/>
      <c r="J136" s="162"/>
      <c r="K136" s="162"/>
      <c r="L136" s="162"/>
      <c r="T136" s="162"/>
      <c r="U136" s="162"/>
      <c r="V136" s="162"/>
      <c r="W136" s="162"/>
      <c r="X136" s="162"/>
      <c r="Y136" s="162"/>
      <c r="Z136" s="162"/>
      <c r="AA136" s="162"/>
      <c r="AB136" s="162"/>
      <c r="AC136" s="162"/>
      <c r="AD136" s="162"/>
      <c r="AE136" s="162"/>
      <c r="AG136" s="162"/>
      <c r="AH136" s="162"/>
      <c r="AI136" s="162"/>
      <c r="AJ136" s="162"/>
      <c r="AK136" s="162"/>
      <c r="AL136" s="162"/>
      <c r="AM136" s="162"/>
      <c r="AN136" s="162"/>
      <c r="AO136" s="162"/>
      <c r="AP136" s="162"/>
      <c r="AQ136" s="162"/>
      <c r="AR136" s="162"/>
      <c r="AS136" s="162"/>
      <c r="AT136" s="162"/>
      <c r="AU136" s="162"/>
      <c r="AV136" s="162"/>
      <c r="AW136" s="162"/>
      <c r="AX136" s="162"/>
      <c r="AY136" s="162"/>
      <c r="AZ136" s="162"/>
      <c r="BA136" s="162"/>
      <c r="BB136" s="171"/>
      <c r="BC136" s="162"/>
      <c r="BD136" s="171"/>
    </row>
    <row r="137" spans="1:56" ht="15.75" customHeight="1">
      <c r="A137" s="162"/>
      <c r="B137" s="163"/>
      <c r="C137" s="164"/>
      <c r="D137" s="162"/>
      <c r="E137" s="162"/>
      <c r="F137" s="162"/>
      <c r="G137" s="162"/>
      <c r="H137" s="162"/>
      <c r="I137" s="162"/>
      <c r="J137" s="162"/>
      <c r="K137" s="162"/>
      <c r="L137" s="162"/>
      <c r="T137" s="162"/>
      <c r="U137" s="162"/>
      <c r="V137" s="162"/>
      <c r="W137" s="162"/>
      <c r="X137" s="162"/>
      <c r="Y137" s="162"/>
      <c r="Z137" s="162"/>
      <c r="AA137" s="162"/>
      <c r="AB137" s="162"/>
      <c r="AC137" s="162"/>
      <c r="AD137" s="162"/>
      <c r="AE137" s="162"/>
      <c r="AG137" s="162"/>
      <c r="AH137" s="162"/>
      <c r="AI137" s="162"/>
      <c r="AJ137" s="162"/>
      <c r="AK137" s="162"/>
      <c r="AL137" s="162"/>
      <c r="AM137" s="162"/>
      <c r="AN137" s="162"/>
      <c r="AO137" s="162"/>
      <c r="AP137" s="162"/>
      <c r="AQ137" s="162"/>
      <c r="AR137" s="162"/>
      <c r="AS137" s="162"/>
      <c r="AT137" s="162"/>
      <c r="AU137" s="162"/>
      <c r="AV137" s="162"/>
      <c r="AW137" s="162"/>
      <c r="AX137" s="162"/>
      <c r="AY137" s="162"/>
      <c r="AZ137" s="162"/>
      <c r="BA137" s="162"/>
      <c r="BB137" s="171"/>
      <c r="BC137" s="162"/>
      <c r="BD137" s="171"/>
    </row>
    <row r="138" spans="1:56" ht="15.75" customHeight="1">
      <c r="A138" s="162"/>
      <c r="B138" s="163"/>
      <c r="C138" s="164"/>
      <c r="D138" s="162"/>
      <c r="E138" s="162"/>
      <c r="F138" s="162"/>
      <c r="G138" s="162"/>
      <c r="H138" s="162"/>
      <c r="I138" s="162"/>
      <c r="J138" s="162"/>
      <c r="K138" s="162"/>
      <c r="L138" s="162"/>
      <c r="T138" s="162"/>
      <c r="U138" s="162"/>
      <c r="V138" s="162"/>
      <c r="W138" s="162"/>
      <c r="X138" s="162"/>
      <c r="Y138" s="162"/>
      <c r="Z138" s="162"/>
      <c r="AA138" s="162"/>
      <c r="AB138" s="162"/>
      <c r="AC138" s="162"/>
      <c r="AD138" s="162"/>
      <c r="AE138" s="162"/>
      <c r="AG138" s="162"/>
      <c r="AH138" s="162"/>
      <c r="AI138" s="162"/>
      <c r="AJ138" s="162"/>
      <c r="AK138" s="162"/>
      <c r="AL138" s="162"/>
      <c r="AM138" s="162"/>
      <c r="AN138" s="162"/>
      <c r="AO138" s="162"/>
      <c r="AP138" s="162"/>
      <c r="AQ138" s="162"/>
      <c r="AR138" s="162"/>
      <c r="AS138" s="162"/>
      <c r="AT138" s="162"/>
      <c r="AU138" s="162"/>
      <c r="AV138" s="162"/>
      <c r="AW138" s="162"/>
      <c r="AX138" s="162"/>
      <c r="AY138" s="162"/>
      <c r="AZ138" s="162"/>
      <c r="BA138" s="162"/>
      <c r="BB138" s="171"/>
      <c r="BC138" s="162"/>
      <c r="BD138" s="171"/>
    </row>
    <row r="139" spans="1:56" ht="15.75" customHeight="1">
      <c r="A139" s="162"/>
      <c r="B139" s="163"/>
      <c r="C139" s="164"/>
      <c r="D139" s="162"/>
      <c r="E139" s="162"/>
      <c r="F139" s="162"/>
      <c r="G139" s="162"/>
      <c r="H139" s="162"/>
      <c r="I139" s="162"/>
      <c r="J139" s="162"/>
      <c r="K139" s="162"/>
      <c r="L139" s="162"/>
      <c r="T139" s="162"/>
      <c r="U139" s="162"/>
      <c r="V139" s="162"/>
      <c r="W139" s="162"/>
      <c r="X139" s="162"/>
      <c r="Y139" s="162"/>
      <c r="Z139" s="162"/>
      <c r="AA139" s="162"/>
      <c r="AB139" s="162"/>
      <c r="AC139" s="162"/>
      <c r="AD139" s="162"/>
      <c r="AE139" s="162"/>
      <c r="AG139" s="162"/>
      <c r="AH139" s="162"/>
      <c r="AI139" s="162"/>
      <c r="AJ139" s="162"/>
      <c r="AK139" s="162"/>
      <c r="AL139" s="162"/>
      <c r="AM139" s="162"/>
      <c r="AN139" s="162"/>
      <c r="AO139" s="162"/>
      <c r="AP139" s="162"/>
      <c r="AQ139" s="162"/>
      <c r="AR139" s="162"/>
      <c r="AS139" s="162"/>
      <c r="AT139" s="162"/>
      <c r="AU139" s="162"/>
      <c r="AV139" s="162"/>
      <c r="AW139" s="162"/>
      <c r="AX139" s="162"/>
      <c r="AY139" s="162"/>
      <c r="AZ139" s="162"/>
      <c r="BA139" s="162"/>
      <c r="BB139" s="171"/>
      <c r="BC139" s="162"/>
      <c r="BD139" s="171"/>
    </row>
    <row r="140" spans="1:56" ht="15.75" customHeight="1">
      <c r="A140" s="162"/>
      <c r="B140" s="163"/>
      <c r="C140" s="164"/>
      <c r="D140" s="162"/>
      <c r="E140" s="162"/>
      <c r="F140" s="162"/>
      <c r="G140" s="162"/>
      <c r="H140" s="162"/>
      <c r="I140" s="162"/>
      <c r="J140" s="162"/>
      <c r="K140" s="162"/>
      <c r="L140" s="162"/>
      <c r="T140" s="162"/>
      <c r="U140" s="162"/>
      <c r="V140" s="162"/>
      <c r="W140" s="162"/>
      <c r="X140" s="162"/>
      <c r="Y140" s="162"/>
      <c r="Z140" s="162"/>
      <c r="AA140" s="162"/>
      <c r="AB140" s="162"/>
      <c r="AC140" s="162"/>
      <c r="AD140" s="162"/>
      <c r="AE140" s="162"/>
      <c r="AG140" s="162"/>
      <c r="AH140" s="162"/>
      <c r="AI140" s="162"/>
      <c r="AJ140" s="162"/>
      <c r="AK140" s="162"/>
      <c r="AL140" s="162"/>
      <c r="AM140" s="162"/>
      <c r="AN140" s="162"/>
      <c r="AO140" s="162"/>
      <c r="AP140" s="162"/>
      <c r="AQ140" s="162"/>
      <c r="AR140" s="162"/>
      <c r="AS140" s="162"/>
      <c r="AT140" s="162"/>
      <c r="AU140" s="162"/>
      <c r="AV140" s="162"/>
      <c r="AW140" s="162"/>
      <c r="AX140" s="162"/>
      <c r="AY140" s="162"/>
      <c r="AZ140" s="162"/>
      <c r="BA140" s="162"/>
      <c r="BB140" s="171"/>
      <c r="BC140" s="162"/>
      <c r="BD140" s="171"/>
    </row>
    <row r="141" spans="1:56" ht="15.75" customHeight="1">
      <c r="A141" s="162"/>
      <c r="B141" s="163"/>
      <c r="C141" s="164"/>
      <c r="D141" s="162"/>
      <c r="E141" s="162"/>
      <c r="F141" s="162"/>
      <c r="G141" s="162"/>
      <c r="H141" s="162"/>
      <c r="I141" s="162"/>
      <c r="J141" s="162"/>
      <c r="K141" s="162"/>
      <c r="L141" s="162"/>
      <c r="T141" s="162"/>
      <c r="U141" s="162"/>
      <c r="V141" s="162"/>
      <c r="W141" s="162"/>
      <c r="X141" s="162"/>
      <c r="Y141" s="162"/>
      <c r="Z141" s="162"/>
      <c r="AA141" s="162"/>
      <c r="AB141" s="162"/>
      <c r="AC141" s="162"/>
      <c r="AD141" s="162"/>
      <c r="AE141" s="162"/>
      <c r="AG141" s="162"/>
      <c r="AH141" s="162"/>
      <c r="AI141" s="162"/>
      <c r="AJ141" s="162"/>
      <c r="AK141" s="162"/>
      <c r="AL141" s="162"/>
      <c r="AM141" s="162"/>
      <c r="AN141" s="162"/>
      <c r="AO141" s="162"/>
      <c r="AP141" s="162"/>
      <c r="AQ141" s="162"/>
      <c r="AR141" s="162"/>
      <c r="AS141" s="162"/>
      <c r="AT141" s="162"/>
      <c r="AU141" s="162"/>
      <c r="AV141" s="162"/>
      <c r="AW141" s="162"/>
      <c r="AX141" s="162"/>
      <c r="AY141" s="162"/>
      <c r="AZ141" s="162"/>
      <c r="BA141" s="162"/>
      <c r="BB141" s="171"/>
      <c r="BC141" s="162"/>
      <c r="BD141" s="171"/>
    </row>
    <row r="142" spans="1:56" ht="15.75" customHeight="1">
      <c r="A142" s="162"/>
      <c r="B142" s="163"/>
      <c r="C142" s="164"/>
      <c r="D142" s="162"/>
      <c r="E142" s="162"/>
      <c r="F142" s="162"/>
      <c r="G142" s="162"/>
      <c r="H142" s="162"/>
      <c r="I142" s="162"/>
      <c r="J142" s="162"/>
      <c r="K142" s="162"/>
      <c r="L142" s="162"/>
      <c r="T142" s="162"/>
      <c r="U142" s="162"/>
      <c r="V142" s="162"/>
      <c r="W142" s="162"/>
      <c r="X142" s="162"/>
      <c r="Y142" s="162"/>
      <c r="Z142" s="162"/>
      <c r="AA142" s="162"/>
      <c r="AB142" s="162"/>
      <c r="AC142" s="162"/>
      <c r="AD142" s="162"/>
      <c r="AE142" s="162"/>
      <c r="AG142" s="162"/>
      <c r="AH142" s="162"/>
      <c r="AI142" s="162"/>
      <c r="AJ142" s="162"/>
      <c r="AK142" s="162"/>
      <c r="AL142" s="162"/>
      <c r="AM142" s="162"/>
      <c r="AN142" s="162"/>
      <c r="AO142" s="162"/>
      <c r="AP142" s="162"/>
      <c r="AQ142" s="162"/>
      <c r="AR142" s="162"/>
      <c r="AS142" s="162"/>
      <c r="AT142" s="162"/>
      <c r="AU142" s="162"/>
      <c r="AV142" s="162"/>
      <c r="AW142" s="162"/>
      <c r="AX142" s="162"/>
      <c r="AY142" s="162"/>
      <c r="AZ142" s="162"/>
      <c r="BA142" s="162"/>
      <c r="BB142" s="171"/>
      <c r="BC142" s="162"/>
      <c r="BD142" s="171"/>
    </row>
    <row r="143" spans="1:56" ht="15.75" customHeight="1">
      <c r="A143" s="162"/>
      <c r="B143" s="163"/>
      <c r="C143" s="164"/>
      <c r="D143" s="162"/>
      <c r="E143" s="162"/>
      <c r="F143" s="162"/>
      <c r="G143" s="162"/>
      <c r="H143" s="162"/>
      <c r="I143" s="162"/>
      <c r="J143" s="162"/>
      <c r="K143" s="162"/>
      <c r="L143" s="162"/>
      <c r="T143" s="162"/>
      <c r="U143" s="162"/>
      <c r="V143" s="162"/>
      <c r="W143" s="162"/>
      <c r="X143" s="162"/>
      <c r="Y143" s="162"/>
      <c r="Z143" s="162"/>
      <c r="AA143" s="162"/>
      <c r="AB143" s="162"/>
      <c r="AC143" s="162"/>
      <c r="AD143" s="162"/>
      <c r="AE143" s="162"/>
      <c r="AG143" s="162"/>
      <c r="AH143" s="162"/>
      <c r="AI143" s="162"/>
      <c r="AJ143" s="162"/>
      <c r="AK143" s="162"/>
      <c r="AL143" s="162"/>
      <c r="AM143" s="162"/>
      <c r="AN143" s="162"/>
      <c r="AO143" s="162"/>
      <c r="AP143" s="162"/>
      <c r="AQ143" s="162"/>
      <c r="AR143" s="162"/>
      <c r="AS143" s="162"/>
      <c r="AT143" s="162"/>
      <c r="AU143" s="162"/>
      <c r="AV143" s="162"/>
      <c r="AW143" s="162"/>
      <c r="AX143" s="162"/>
      <c r="AY143" s="162"/>
      <c r="AZ143" s="162"/>
      <c r="BA143" s="162"/>
      <c r="BB143" s="171"/>
      <c r="BC143" s="162"/>
      <c r="BD143" s="171"/>
    </row>
    <row r="144" spans="1:56" ht="15.75" customHeight="1">
      <c r="A144" s="162"/>
      <c r="B144" s="163"/>
      <c r="C144" s="164"/>
      <c r="D144" s="162"/>
      <c r="E144" s="162"/>
      <c r="F144" s="162"/>
      <c r="G144" s="162"/>
      <c r="H144" s="162"/>
      <c r="I144" s="162"/>
      <c r="J144" s="162"/>
      <c r="K144" s="162"/>
      <c r="L144" s="162"/>
      <c r="T144" s="162"/>
      <c r="U144" s="162"/>
      <c r="V144" s="162"/>
      <c r="W144" s="162"/>
      <c r="X144" s="162"/>
      <c r="Y144" s="162"/>
      <c r="Z144" s="162"/>
      <c r="AA144" s="162"/>
      <c r="AB144" s="162"/>
      <c r="AC144" s="162"/>
      <c r="AD144" s="162"/>
      <c r="AE144" s="162"/>
      <c r="AG144" s="162"/>
      <c r="AH144" s="162"/>
      <c r="AI144" s="162"/>
      <c r="AJ144" s="162"/>
      <c r="AK144" s="162"/>
      <c r="AL144" s="162"/>
      <c r="AM144" s="162"/>
      <c r="AN144" s="162"/>
      <c r="AO144" s="162"/>
      <c r="AP144" s="162"/>
      <c r="AQ144" s="162"/>
      <c r="AR144" s="162"/>
      <c r="AS144" s="162"/>
      <c r="AT144" s="162"/>
      <c r="AU144" s="162"/>
      <c r="AV144" s="162"/>
      <c r="AW144" s="162"/>
      <c r="AX144" s="162"/>
      <c r="AY144" s="162"/>
      <c r="AZ144" s="162"/>
      <c r="BA144" s="162"/>
      <c r="BB144" s="171"/>
      <c r="BC144" s="162"/>
      <c r="BD144" s="171"/>
    </row>
    <row r="145" spans="1:56" ht="15.75" customHeight="1">
      <c r="A145" s="162"/>
      <c r="B145" s="163"/>
      <c r="C145" s="164"/>
      <c r="D145" s="162"/>
      <c r="E145" s="162"/>
      <c r="F145" s="162"/>
      <c r="G145" s="162"/>
      <c r="H145" s="162"/>
      <c r="I145" s="162"/>
      <c r="J145" s="162"/>
      <c r="K145" s="162"/>
      <c r="L145" s="162"/>
      <c r="T145" s="162"/>
      <c r="U145" s="162"/>
      <c r="V145" s="162"/>
      <c r="W145" s="162"/>
      <c r="X145" s="162"/>
      <c r="Y145" s="162"/>
      <c r="Z145" s="162"/>
      <c r="AA145" s="162"/>
      <c r="AB145" s="162"/>
      <c r="AC145" s="162"/>
      <c r="AD145" s="162"/>
      <c r="AE145" s="162"/>
      <c r="AG145" s="162"/>
      <c r="AH145" s="162"/>
      <c r="AI145" s="162"/>
      <c r="AJ145" s="162"/>
      <c r="AK145" s="162"/>
      <c r="AL145" s="162"/>
      <c r="AM145" s="162"/>
      <c r="AN145" s="162"/>
      <c r="AO145" s="162"/>
      <c r="AP145" s="162"/>
      <c r="AQ145" s="162"/>
      <c r="AR145" s="162"/>
      <c r="AS145" s="162"/>
      <c r="AT145" s="162"/>
      <c r="AU145" s="162"/>
      <c r="AV145" s="162"/>
      <c r="AW145" s="162"/>
      <c r="AX145" s="162"/>
      <c r="AY145" s="162"/>
      <c r="AZ145" s="162"/>
      <c r="BA145" s="162"/>
      <c r="BB145" s="171"/>
      <c r="BC145" s="162"/>
      <c r="BD145" s="171"/>
    </row>
    <row r="146" spans="1:56" ht="15.75" customHeight="1">
      <c r="A146" s="162"/>
      <c r="B146" s="163"/>
      <c r="C146" s="164"/>
      <c r="D146" s="162"/>
      <c r="E146" s="162"/>
      <c r="F146" s="162"/>
      <c r="G146" s="162"/>
      <c r="H146" s="162"/>
      <c r="I146" s="162"/>
      <c r="J146" s="162"/>
      <c r="K146" s="162"/>
      <c r="L146" s="162"/>
      <c r="T146" s="162"/>
      <c r="U146" s="162"/>
      <c r="V146" s="162"/>
      <c r="W146" s="162"/>
      <c r="X146" s="162"/>
      <c r="Y146" s="162"/>
      <c r="Z146" s="162"/>
      <c r="AA146" s="162"/>
      <c r="AB146" s="162"/>
      <c r="AC146" s="162"/>
      <c r="AD146" s="162"/>
      <c r="AE146" s="162"/>
      <c r="AG146" s="162"/>
      <c r="AH146" s="162"/>
      <c r="AI146" s="162"/>
      <c r="AJ146" s="162"/>
      <c r="AK146" s="162"/>
      <c r="AL146" s="162"/>
      <c r="AM146" s="162"/>
      <c r="AN146" s="162"/>
      <c r="AO146" s="162"/>
      <c r="AP146" s="162"/>
      <c r="AQ146" s="162"/>
      <c r="AR146" s="162"/>
      <c r="AS146" s="162"/>
      <c r="AT146" s="162"/>
      <c r="AU146" s="162"/>
      <c r="AV146" s="162"/>
      <c r="AW146" s="162"/>
      <c r="AX146" s="162"/>
      <c r="AY146" s="162"/>
      <c r="AZ146" s="162"/>
      <c r="BA146" s="162"/>
      <c r="BB146" s="171"/>
      <c r="BC146" s="162"/>
      <c r="BD146" s="171"/>
    </row>
    <row r="147" spans="1:56" ht="15.75" customHeight="1">
      <c r="A147" s="162"/>
      <c r="B147" s="163"/>
      <c r="C147" s="164"/>
      <c r="D147" s="162"/>
      <c r="E147" s="162"/>
      <c r="F147" s="162"/>
      <c r="G147" s="162"/>
      <c r="H147" s="162"/>
      <c r="I147" s="162"/>
      <c r="J147" s="162"/>
      <c r="K147" s="162"/>
      <c r="L147" s="162"/>
      <c r="T147" s="162"/>
      <c r="U147" s="162"/>
      <c r="V147" s="162"/>
      <c r="W147" s="162"/>
      <c r="X147" s="162"/>
      <c r="Y147" s="162"/>
      <c r="Z147" s="162"/>
      <c r="AA147" s="162"/>
      <c r="AB147" s="162"/>
      <c r="AC147" s="162"/>
      <c r="AD147" s="162"/>
      <c r="AE147" s="162"/>
      <c r="AG147" s="162"/>
      <c r="AH147" s="162"/>
      <c r="AI147" s="162"/>
      <c r="AJ147" s="162"/>
      <c r="AK147" s="162"/>
      <c r="AL147" s="162"/>
      <c r="AM147" s="162"/>
      <c r="AN147" s="162"/>
      <c r="AO147" s="162"/>
      <c r="AP147" s="162"/>
      <c r="AQ147" s="162"/>
      <c r="AR147" s="162"/>
      <c r="AS147" s="162"/>
      <c r="AT147" s="162"/>
      <c r="AU147" s="162"/>
      <c r="AV147" s="162"/>
      <c r="AW147" s="162"/>
      <c r="AX147" s="162"/>
      <c r="AY147" s="162"/>
      <c r="AZ147" s="162"/>
      <c r="BA147" s="162"/>
      <c r="BB147" s="171"/>
      <c r="BC147" s="162"/>
      <c r="BD147" s="171"/>
    </row>
    <row r="148" spans="1:56" ht="15.75" customHeight="1">
      <c r="A148" s="162"/>
      <c r="B148" s="163"/>
      <c r="C148" s="164"/>
      <c r="D148" s="162"/>
      <c r="E148" s="162"/>
      <c r="F148" s="162"/>
      <c r="G148" s="162"/>
      <c r="H148" s="162"/>
      <c r="I148" s="162"/>
      <c r="J148" s="162"/>
      <c r="K148" s="162"/>
      <c r="L148" s="162"/>
      <c r="T148" s="162"/>
      <c r="U148" s="162"/>
      <c r="V148" s="162"/>
      <c r="W148" s="162"/>
      <c r="X148" s="162"/>
      <c r="Y148" s="162"/>
      <c r="Z148" s="162"/>
      <c r="AA148" s="162"/>
      <c r="AB148" s="162"/>
      <c r="AC148" s="162"/>
      <c r="AD148" s="162"/>
      <c r="AE148" s="162"/>
      <c r="AG148" s="162"/>
      <c r="AH148" s="162"/>
      <c r="AI148" s="162"/>
      <c r="AJ148" s="162"/>
      <c r="AK148" s="162"/>
      <c r="AL148" s="162"/>
      <c r="AM148" s="162"/>
      <c r="AN148" s="162"/>
      <c r="AO148" s="162"/>
      <c r="AP148" s="162"/>
      <c r="AQ148" s="162"/>
      <c r="AR148" s="162"/>
      <c r="AS148" s="162"/>
      <c r="AT148" s="162"/>
      <c r="AU148" s="162"/>
      <c r="AV148" s="162"/>
      <c r="AW148" s="162"/>
      <c r="AX148" s="162"/>
      <c r="AY148" s="162"/>
      <c r="AZ148" s="162"/>
      <c r="BA148" s="162"/>
      <c r="BB148" s="171"/>
      <c r="BC148" s="162"/>
      <c r="BD148" s="171"/>
    </row>
    <row r="149" spans="1:56" ht="15.75" customHeight="1">
      <c r="A149" s="162"/>
      <c r="B149" s="163"/>
      <c r="C149" s="164"/>
      <c r="D149" s="162"/>
      <c r="E149" s="162"/>
      <c r="F149" s="162"/>
      <c r="G149" s="162"/>
      <c r="H149" s="162"/>
      <c r="I149" s="162"/>
      <c r="J149" s="162"/>
      <c r="K149" s="162"/>
      <c r="L149" s="162"/>
      <c r="T149" s="162"/>
      <c r="U149" s="162"/>
      <c r="V149" s="162"/>
      <c r="W149" s="162"/>
      <c r="X149" s="162"/>
      <c r="Y149" s="162"/>
      <c r="Z149" s="162"/>
      <c r="AA149" s="162"/>
      <c r="AB149" s="162"/>
      <c r="AC149" s="162"/>
      <c r="AD149" s="162"/>
      <c r="AE149" s="162"/>
      <c r="AG149" s="162"/>
      <c r="AH149" s="162"/>
      <c r="AI149" s="162"/>
      <c r="AJ149" s="162"/>
      <c r="AK149" s="162"/>
      <c r="AL149" s="162"/>
      <c r="AM149" s="162"/>
      <c r="AN149" s="162"/>
      <c r="AO149" s="162"/>
      <c r="AP149" s="162"/>
      <c r="AQ149" s="162"/>
      <c r="AR149" s="162"/>
      <c r="AS149" s="162"/>
      <c r="AT149" s="162"/>
      <c r="AU149" s="162"/>
      <c r="AV149" s="162"/>
      <c r="AW149" s="162"/>
      <c r="AX149" s="162"/>
      <c r="AY149" s="162"/>
      <c r="AZ149" s="162"/>
      <c r="BA149" s="162"/>
      <c r="BB149" s="171"/>
      <c r="BC149" s="162"/>
      <c r="BD149" s="171"/>
    </row>
    <row r="150" spans="1:56" ht="15.75" customHeight="1">
      <c r="A150" s="162"/>
      <c r="B150" s="163"/>
      <c r="C150" s="164"/>
      <c r="D150" s="162"/>
      <c r="E150" s="162"/>
      <c r="F150" s="162"/>
      <c r="G150" s="162"/>
      <c r="H150" s="162"/>
      <c r="I150" s="162"/>
      <c r="J150" s="162"/>
      <c r="K150" s="162"/>
      <c r="L150" s="162"/>
      <c r="T150" s="162"/>
      <c r="U150" s="162"/>
      <c r="V150" s="162"/>
      <c r="W150" s="162"/>
      <c r="X150" s="162"/>
      <c r="Y150" s="162"/>
      <c r="Z150" s="162"/>
      <c r="AA150" s="162"/>
      <c r="AB150" s="162"/>
      <c r="AC150" s="162"/>
      <c r="AD150" s="162"/>
      <c r="AE150" s="162"/>
      <c r="AG150" s="162"/>
      <c r="AH150" s="162"/>
      <c r="AI150" s="162"/>
      <c r="AJ150" s="162"/>
      <c r="AK150" s="162"/>
      <c r="AL150" s="162"/>
      <c r="AM150" s="162"/>
      <c r="AN150" s="162"/>
      <c r="AO150" s="162"/>
      <c r="AP150" s="162"/>
      <c r="AQ150" s="162"/>
      <c r="AR150" s="162"/>
      <c r="AS150" s="162"/>
      <c r="AT150" s="162"/>
      <c r="AU150" s="162"/>
      <c r="AV150" s="162"/>
      <c r="AW150" s="162"/>
      <c r="AX150" s="162"/>
      <c r="AY150" s="162"/>
      <c r="AZ150" s="162"/>
      <c r="BA150" s="162"/>
      <c r="BB150" s="171"/>
      <c r="BC150" s="162"/>
      <c r="BD150" s="171"/>
    </row>
    <row r="151" spans="1:56" ht="15.75" customHeight="1">
      <c r="A151" s="162"/>
      <c r="B151" s="163"/>
      <c r="C151" s="164"/>
      <c r="D151" s="162"/>
      <c r="E151" s="162"/>
      <c r="F151" s="162"/>
      <c r="G151" s="162"/>
      <c r="H151" s="162"/>
      <c r="I151" s="162"/>
      <c r="J151" s="162"/>
      <c r="K151" s="162"/>
      <c r="L151" s="162"/>
      <c r="T151" s="162"/>
      <c r="U151" s="162"/>
      <c r="V151" s="162"/>
      <c r="W151" s="162"/>
      <c r="X151" s="162"/>
      <c r="Y151" s="162"/>
      <c r="Z151" s="162"/>
      <c r="AA151" s="162"/>
      <c r="AB151" s="162"/>
      <c r="AC151" s="162"/>
      <c r="AD151" s="162"/>
      <c r="AE151" s="162"/>
      <c r="AG151" s="162"/>
      <c r="AH151" s="162"/>
      <c r="AI151" s="162"/>
      <c r="AJ151" s="162"/>
      <c r="AK151" s="162"/>
      <c r="AL151" s="162"/>
      <c r="AM151" s="162"/>
      <c r="AN151" s="162"/>
      <c r="AO151" s="162"/>
      <c r="AP151" s="162"/>
      <c r="AQ151" s="162"/>
      <c r="AR151" s="162"/>
      <c r="AS151" s="162"/>
      <c r="AT151" s="162"/>
      <c r="AU151" s="162"/>
      <c r="AV151" s="162"/>
      <c r="AW151" s="162"/>
      <c r="AX151" s="162"/>
      <c r="AY151" s="162"/>
      <c r="AZ151" s="162"/>
      <c r="BA151" s="162"/>
      <c r="BB151" s="171"/>
      <c r="BC151" s="162"/>
      <c r="BD151" s="171"/>
    </row>
    <row r="152" spans="1:56" ht="15.75" customHeight="1">
      <c r="A152" s="162"/>
      <c r="B152" s="163"/>
      <c r="C152" s="164"/>
      <c r="D152" s="162"/>
      <c r="E152" s="162"/>
      <c r="F152" s="162"/>
      <c r="G152" s="162"/>
      <c r="H152" s="162"/>
      <c r="I152" s="162"/>
      <c r="J152" s="162"/>
      <c r="K152" s="162"/>
      <c r="L152" s="162"/>
      <c r="T152" s="162"/>
      <c r="U152" s="162"/>
      <c r="V152" s="162"/>
      <c r="W152" s="162"/>
      <c r="X152" s="162"/>
      <c r="Y152" s="162"/>
      <c r="Z152" s="162"/>
      <c r="AA152" s="162"/>
      <c r="AB152" s="162"/>
      <c r="AC152" s="162"/>
      <c r="AD152" s="162"/>
      <c r="AE152" s="162"/>
      <c r="AG152" s="162"/>
      <c r="AH152" s="162"/>
      <c r="AI152" s="162"/>
      <c r="AJ152" s="162"/>
      <c r="AK152" s="162"/>
      <c r="AL152" s="162"/>
      <c r="AM152" s="162"/>
      <c r="AN152" s="162"/>
      <c r="AO152" s="162"/>
      <c r="AP152" s="162"/>
      <c r="AQ152" s="162"/>
      <c r="AR152" s="162"/>
      <c r="AS152" s="162"/>
      <c r="AT152" s="162"/>
      <c r="AU152" s="162"/>
      <c r="AV152" s="162"/>
      <c r="AW152" s="162"/>
      <c r="AX152" s="162"/>
      <c r="AY152" s="162"/>
      <c r="AZ152" s="162"/>
      <c r="BA152" s="162"/>
      <c r="BB152" s="171"/>
      <c r="BC152" s="162"/>
      <c r="BD152" s="171"/>
    </row>
    <row r="153" spans="1:56" ht="15.75" customHeight="1">
      <c r="A153" s="162"/>
      <c r="B153" s="163"/>
      <c r="C153" s="164"/>
      <c r="D153" s="162"/>
      <c r="E153" s="162"/>
      <c r="F153" s="162"/>
      <c r="G153" s="162"/>
      <c r="H153" s="162"/>
      <c r="I153" s="162"/>
      <c r="J153" s="162"/>
      <c r="K153" s="162"/>
      <c r="L153" s="162"/>
      <c r="T153" s="162"/>
      <c r="U153" s="162"/>
      <c r="V153" s="162"/>
      <c r="W153" s="162"/>
      <c r="X153" s="162"/>
      <c r="Y153" s="162"/>
      <c r="Z153" s="162"/>
      <c r="AA153" s="162"/>
      <c r="AB153" s="162"/>
      <c r="AC153" s="162"/>
      <c r="AD153" s="162"/>
      <c r="AE153" s="162"/>
      <c r="AG153" s="162"/>
      <c r="AH153" s="162"/>
      <c r="AI153" s="162"/>
      <c r="AJ153" s="162"/>
      <c r="AK153" s="162"/>
      <c r="AL153" s="162"/>
      <c r="AM153" s="162"/>
      <c r="AN153" s="162"/>
      <c r="AO153" s="162"/>
      <c r="AP153" s="162"/>
      <c r="AQ153" s="162"/>
      <c r="AR153" s="162"/>
      <c r="AS153" s="162"/>
      <c r="AT153" s="162"/>
      <c r="AU153" s="162"/>
      <c r="AV153" s="162"/>
      <c r="AW153" s="162"/>
      <c r="AX153" s="162"/>
      <c r="AY153" s="162"/>
      <c r="AZ153" s="162"/>
      <c r="BA153" s="162"/>
      <c r="BB153" s="171"/>
      <c r="BC153" s="162"/>
      <c r="BD153" s="171"/>
    </row>
    <row r="154" spans="1:56" ht="15.75" customHeight="1">
      <c r="A154" s="162"/>
      <c r="B154" s="163"/>
      <c r="C154" s="164"/>
      <c r="D154" s="162"/>
      <c r="E154" s="162"/>
      <c r="F154" s="162"/>
      <c r="G154" s="162"/>
      <c r="H154" s="162"/>
      <c r="I154" s="162"/>
      <c r="J154" s="162"/>
      <c r="K154" s="162"/>
      <c r="L154" s="162"/>
      <c r="T154" s="162"/>
      <c r="U154" s="162"/>
      <c r="V154" s="162"/>
      <c r="W154" s="162"/>
      <c r="X154" s="162"/>
      <c r="Y154" s="162"/>
      <c r="Z154" s="162"/>
      <c r="AA154" s="162"/>
      <c r="AB154" s="162"/>
      <c r="AC154" s="162"/>
      <c r="AD154" s="162"/>
      <c r="AE154" s="162"/>
      <c r="AG154" s="162"/>
      <c r="AH154" s="162"/>
      <c r="AI154" s="162"/>
      <c r="AJ154" s="162"/>
      <c r="AK154" s="162"/>
      <c r="AL154" s="162"/>
      <c r="AM154" s="162"/>
      <c r="AN154" s="162"/>
      <c r="AO154" s="162"/>
      <c r="AP154" s="162"/>
      <c r="AQ154" s="162"/>
      <c r="AR154" s="162"/>
      <c r="AS154" s="162"/>
      <c r="AT154" s="162"/>
      <c r="AU154" s="162"/>
      <c r="AV154" s="162"/>
      <c r="AW154" s="162"/>
      <c r="AX154" s="162"/>
      <c r="AY154" s="162"/>
      <c r="AZ154" s="162"/>
      <c r="BA154" s="162"/>
      <c r="BB154" s="171"/>
      <c r="BC154" s="162"/>
      <c r="BD154" s="171"/>
    </row>
    <row r="155" spans="1:56" ht="15.75" customHeight="1">
      <c r="A155" s="162"/>
      <c r="B155" s="163"/>
      <c r="C155" s="164"/>
      <c r="D155" s="162"/>
      <c r="E155" s="162"/>
      <c r="F155" s="162"/>
      <c r="G155" s="162"/>
      <c r="H155" s="162"/>
      <c r="I155" s="162"/>
      <c r="J155" s="162"/>
      <c r="K155" s="162"/>
      <c r="L155" s="162"/>
      <c r="T155" s="162"/>
      <c r="U155" s="162"/>
      <c r="V155" s="162"/>
      <c r="W155" s="162"/>
      <c r="X155" s="162"/>
      <c r="Y155" s="162"/>
      <c r="Z155" s="162"/>
      <c r="AA155" s="162"/>
      <c r="AB155" s="162"/>
      <c r="AC155" s="162"/>
      <c r="AD155" s="162"/>
      <c r="AE155" s="162"/>
      <c r="AG155" s="162"/>
      <c r="AH155" s="162"/>
      <c r="AI155" s="162"/>
      <c r="AJ155" s="162"/>
      <c r="AK155" s="162"/>
      <c r="AL155" s="162"/>
      <c r="AM155" s="162"/>
      <c r="AN155" s="162"/>
      <c r="AO155" s="162"/>
      <c r="AP155" s="162"/>
      <c r="AQ155" s="162"/>
      <c r="AR155" s="162"/>
      <c r="AS155" s="162"/>
      <c r="AT155" s="162"/>
      <c r="AU155" s="162"/>
      <c r="AV155" s="162"/>
      <c r="AW155" s="162"/>
      <c r="AX155" s="162"/>
      <c r="AY155" s="162"/>
      <c r="AZ155" s="162"/>
      <c r="BA155" s="162"/>
      <c r="BB155" s="171"/>
      <c r="BC155" s="162"/>
      <c r="BD155" s="171"/>
    </row>
    <row r="156" spans="1:56" ht="15.75" customHeight="1">
      <c r="A156" s="162"/>
      <c r="B156" s="163"/>
      <c r="C156" s="164"/>
      <c r="D156" s="162"/>
      <c r="E156" s="162"/>
      <c r="F156" s="162"/>
      <c r="G156" s="162"/>
      <c r="H156" s="162"/>
      <c r="I156" s="162"/>
      <c r="J156" s="162"/>
      <c r="K156" s="162"/>
      <c r="L156" s="162"/>
      <c r="T156" s="162"/>
      <c r="U156" s="162"/>
      <c r="V156" s="162"/>
      <c r="W156" s="162"/>
      <c r="X156" s="162"/>
      <c r="Y156" s="162"/>
      <c r="Z156" s="162"/>
      <c r="AA156" s="162"/>
      <c r="AB156" s="162"/>
      <c r="AC156" s="162"/>
      <c r="AD156" s="162"/>
      <c r="AE156" s="162"/>
      <c r="AG156" s="162"/>
      <c r="AH156" s="162"/>
      <c r="AI156" s="162"/>
      <c r="AJ156" s="162"/>
      <c r="AK156" s="162"/>
      <c r="AL156" s="162"/>
      <c r="AM156" s="162"/>
      <c r="AN156" s="162"/>
      <c r="AO156" s="162"/>
      <c r="AP156" s="162"/>
      <c r="AQ156" s="162"/>
      <c r="AR156" s="162"/>
      <c r="AS156" s="162"/>
      <c r="AT156" s="162"/>
      <c r="AU156" s="162"/>
      <c r="AV156" s="162"/>
      <c r="AW156" s="162"/>
      <c r="AX156" s="162"/>
      <c r="AY156" s="162"/>
      <c r="AZ156" s="162"/>
      <c r="BA156" s="162"/>
      <c r="BB156" s="171"/>
      <c r="BC156" s="162"/>
      <c r="BD156" s="171"/>
    </row>
    <row r="157" spans="1:56" ht="15.75" customHeight="1">
      <c r="A157" s="162"/>
      <c r="B157" s="163"/>
      <c r="C157" s="164"/>
      <c r="D157" s="162"/>
      <c r="E157" s="162"/>
      <c r="F157" s="162"/>
      <c r="G157" s="162"/>
      <c r="H157" s="162"/>
      <c r="I157" s="162"/>
      <c r="J157" s="162"/>
      <c r="K157" s="162"/>
      <c r="L157" s="162"/>
      <c r="T157" s="162"/>
      <c r="U157" s="162"/>
      <c r="V157" s="162"/>
      <c r="W157" s="162"/>
      <c r="X157" s="162"/>
      <c r="Y157" s="162"/>
      <c r="Z157" s="162"/>
      <c r="AA157" s="162"/>
      <c r="AB157" s="162"/>
      <c r="AC157" s="162"/>
      <c r="AD157" s="162"/>
      <c r="AE157" s="162"/>
      <c r="AG157" s="162"/>
      <c r="AH157" s="162"/>
      <c r="AI157" s="162"/>
      <c r="AJ157" s="162"/>
      <c r="AK157" s="162"/>
      <c r="AL157" s="162"/>
      <c r="AM157" s="162"/>
      <c r="AN157" s="162"/>
      <c r="AO157" s="162"/>
      <c r="AP157" s="162"/>
      <c r="AQ157" s="162"/>
      <c r="AR157" s="162"/>
      <c r="AS157" s="162"/>
      <c r="AT157" s="162"/>
      <c r="AU157" s="162"/>
      <c r="AV157" s="162"/>
      <c r="AW157" s="162"/>
      <c r="AX157" s="162"/>
      <c r="AY157" s="162"/>
      <c r="AZ157" s="162"/>
      <c r="BA157" s="162"/>
      <c r="BB157" s="171"/>
      <c r="BC157" s="162"/>
      <c r="BD157" s="171"/>
    </row>
    <row r="158" spans="1:56" ht="15.75" customHeight="1">
      <c r="A158" s="162"/>
      <c r="B158" s="163"/>
      <c r="C158" s="164"/>
      <c r="D158" s="162"/>
      <c r="E158" s="162"/>
      <c r="F158" s="162"/>
      <c r="G158" s="162"/>
      <c r="H158" s="162"/>
      <c r="I158" s="162"/>
      <c r="J158" s="162"/>
      <c r="K158" s="162"/>
      <c r="L158" s="162"/>
      <c r="T158" s="162"/>
      <c r="U158" s="162"/>
      <c r="V158" s="162"/>
      <c r="W158" s="162"/>
      <c r="X158" s="162"/>
      <c r="Y158" s="162"/>
      <c r="Z158" s="162"/>
      <c r="AA158" s="162"/>
      <c r="AB158" s="162"/>
      <c r="AC158" s="162"/>
      <c r="AD158" s="162"/>
      <c r="AE158" s="162"/>
      <c r="AG158" s="162"/>
      <c r="AH158" s="162"/>
      <c r="AI158" s="162"/>
      <c r="AJ158" s="162"/>
      <c r="AK158" s="162"/>
      <c r="AL158" s="162"/>
      <c r="AM158" s="162"/>
      <c r="AN158" s="162"/>
      <c r="AO158" s="162"/>
      <c r="AP158" s="162"/>
      <c r="AQ158" s="162"/>
      <c r="AR158" s="162"/>
      <c r="AS158" s="162"/>
      <c r="AT158" s="162"/>
      <c r="AU158" s="162"/>
      <c r="AV158" s="162"/>
      <c r="AW158" s="162"/>
      <c r="AX158" s="162"/>
      <c r="AY158" s="162"/>
      <c r="AZ158" s="162"/>
      <c r="BA158" s="162"/>
      <c r="BB158" s="171"/>
      <c r="BC158" s="162"/>
      <c r="BD158" s="171"/>
    </row>
    <row r="159" spans="1:56" ht="15.75" customHeight="1">
      <c r="A159" s="162"/>
      <c r="B159" s="163"/>
      <c r="C159" s="164"/>
      <c r="D159" s="162"/>
      <c r="E159" s="162"/>
      <c r="F159" s="162"/>
      <c r="G159" s="162"/>
      <c r="H159" s="162"/>
      <c r="I159" s="162"/>
      <c r="J159" s="162"/>
      <c r="K159" s="162"/>
      <c r="L159" s="162"/>
      <c r="T159" s="162"/>
      <c r="U159" s="162"/>
      <c r="V159" s="162"/>
      <c r="W159" s="162"/>
      <c r="X159" s="162"/>
      <c r="Y159" s="162"/>
      <c r="Z159" s="162"/>
      <c r="AA159" s="162"/>
      <c r="AB159" s="162"/>
      <c r="AC159" s="162"/>
      <c r="AD159" s="162"/>
      <c r="AE159" s="162"/>
      <c r="AG159" s="162"/>
      <c r="AH159" s="162"/>
      <c r="AI159" s="162"/>
      <c r="AJ159" s="162"/>
      <c r="AK159" s="162"/>
      <c r="AL159" s="162"/>
      <c r="AM159" s="162"/>
      <c r="AN159" s="162"/>
      <c r="AO159" s="162"/>
      <c r="AP159" s="162"/>
      <c r="AQ159" s="162"/>
      <c r="AR159" s="162"/>
      <c r="AS159" s="162"/>
      <c r="AT159" s="162"/>
      <c r="AU159" s="162"/>
      <c r="AV159" s="162"/>
      <c r="AW159" s="162"/>
      <c r="AX159" s="162"/>
      <c r="AY159" s="162"/>
      <c r="AZ159" s="162"/>
      <c r="BA159" s="162"/>
      <c r="BB159" s="171"/>
      <c r="BC159" s="162"/>
      <c r="BD159" s="171"/>
    </row>
    <row r="160" spans="1:56" ht="15.75" customHeight="1">
      <c r="A160" s="162"/>
      <c r="B160" s="163"/>
      <c r="C160" s="164"/>
      <c r="D160" s="162"/>
      <c r="E160" s="162"/>
      <c r="F160" s="162"/>
      <c r="G160" s="162"/>
      <c r="H160" s="162"/>
      <c r="I160" s="162"/>
      <c r="J160" s="162"/>
      <c r="K160" s="162"/>
      <c r="L160" s="162"/>
      <c r="T160" s="162"/>
      <c r="U160" s="162"/>
      <c r="V160" s="162"/>
      <c r="W160" s="162"/>
      <c r="X160" s="162"/>
      <c r="Y160" s="162"/>
      <c r="Z160" s="162"/>
      <c r="AA160" s="162"/>
      <c r="AB160" s="162"/>
      <c r="AC160" s="162"/>
      <c r="AD160" s="162"/>
      <c r="AE160" s="162"/>
      <c r="AG160" s="162"/>
      <c r="AH160" s="162"/>
      <c r="AI160" s="162"/>
      <c r="AJ160" s="162"/>
      <c r="AK160" s="162"/>
      <c r="AL160" s="162"/>
      <c r="AM160" s="162"/>
      <c r="AN160" s="162"/>
      <c r="AO160" s="162"/>
      <c r="AP160" s="162"/>
      <c r="AQ160" s="162"/>
      <c r="AR160" s="162"/>
      <c r="AS160" s="162"/>
      <c r="AT160" s="162"/>
      <c r="AU160" s="162"/>
      <c r="AV160" s="162"/>
      <c r="AW160" s="162"/>
      <c r="AX160" s="162"/>
      <c r="AY160" s="162"/>
      <c r="AZ160" s="162"/>
      <c r="BA160" s="162"/>
      <c r="BB160" s="171"/>
      <c r="BC160" s="162"/>
      <c r="BD160" s="171"/>
    </row>
    <row r="161" spans="1:56" ht="15.75" customHeight="1">
      <c r="A161" s="162"/>
      <c r="B161" s="163"/>
      <c r="C161" s="164"/>
      <c r="D161" s="162"/>
      <c r="E161" s="162"/>
      <c r="F161" s="162"/>
      <c r="G161" s="162"/>
      <c r="H161" s="162"/>
      <c r="I161" s="162"/>
      <c r="J161" s="162"/>
      <c r="K161" s="162"/>
      <c r="L161" s="162"/>
      <c r="T161" s="162"/>
      <c r="U161" s="162"/>
      <c r="V161" s="162"/>
      <c r="W161" s="162"/>
      <c r="X161" s="162"/>
      <c r="Y161" s="162"/>
      <c r="Z161" s="162"/>
      <c r="AA161" s="162"/>
      <c r="AB161" s="162"/>
      <c r="AC161" s="162"/>
      <c r="AD161" s="162"/>
      <c r="AE161" s="162"/>
      <c r="AG161" s="162"/>
      <c r="AH161" s="162"/>
      <c r="AI161" s="162"/>
      <c r="AJ161" s="162"/>
      <c r="AK161" s="162"/>
      <c r="AL161" s="162"/>
      <c r="AM161" s="162"/>
      <c r="AN161" s="162"/>
      <c r="AO161" s="162"/>
      <c r="AP161" s="162"/>
      <c r="AQ161" s="162"/>
      <c r="AR161" s="162"/>
      <c r="AS161" s="162"/>
      <c r="AT161" s="162"/>
      <c r="AU161" s="162"/>
      <c r="AV161" s="162"/>
      <c r="AW161" s="162"/>
      <c r="AX161" s="162"/>
      <c r="AY161" s="162"/>
      <c r="AZ161" s="162"/>
      <c r="BA161" s="162"/>
      <c r="BB161" s="171"/>
      <c r="BC161" s="162"/>
      <c r="BD161" s="171"/>
    </row>
    <row r="162" spans="1:56" ht="15.75" customHeight="1">
      <c r="A162" s="162"/>
      <c r="B162" s="163"/>
      <c r="C162" s="164"/>
      <c r="D162" s="162"/>
      <c r="E162" s="162"/>
      <c r="F162" s="162"/>
      <c r="G162" s="162"/>
      <c r="H162" s="162"/>
      <c r="I162" s="162"/>
      <c r="J162" s="162"/>
      <c r="K162" s="162"/>
      <c r="L162" s="162"/>
      <c r="T162" s="162"/>
      <c r="U162" s="162"/>
      <c r="V162" s="162"/>
      <c r="W162" s="162"/>
      <c r="X162" s="162"/>
      <c r="Y162" s="162"/>
      <c r="Z162" s="162"/>
      <c r="AA162" s="162"/>
      <c r="AB162" s="162"/>
      <c r="AC162" s="162"/>
      <c r="AD162" s="162"/>
      <c r="AE162" s="162"/>
      <c r="AG162" s="162"/>
      <c r="AH162" s="162"/>
      <c r="AI162" s="162"/>
      <c r="AJ162" s="162"/>
      <c r="AK162" s="162"/>
      <c r="AL162" s="162"/>
      <c r="AM162" s="162"/>
      <c r="AN162" s="162"/>
      <c r="AO162" s="162"/>
      <c r="AP162" s="162"/>
      <c r="AQ162" s="162"/>
      <c r="AR162" s="162"/>
      <c r="AS162" s="162"/>
      <c r="AT162" s="162"/>
      <c r="AU162" s="162"/>
      <c r="AV162" s="162"/>
      <c r="AW162" s="162"/>
      <c r="AX162" s="162"/>
      <c r="AY162" s="162"/>
      <c r="AZ162" s="162"/>
      <c r="BA162" s="162"/>
      <c r="BB162" s="171"/>
      <c r="BC162" s="162"/>
      <c r="BD162" s="171"/>
    </row>
    <row r="163" spans="1:56" ht="15.75" customHeight="1">
      <c r="A163" s="162"/>
      <c r="B163" s="163"/>
      <c r="C163" s="164"/>
      <c r="D163" s="162"/>
      <c r="E163" s="162"/>
      <c r="F163" s="162"/>
      <c r="G163" s="162"/>
      <c r="H163" s="162"/>
      <c r="I163" s="162"/>
      <c r="J163" s="162"/>
      <c r="K163" s="162"/>
      <c r="L163" s="162"/>
      <c r="T163" s="162"/>
      <c r="U163" s="162"/>
      <c r="V163" s="162"/>
      <c r="W163" s="162"/>
      <c r="X163" s="162"/>
      <c r="Y163" s="162"/>
      <c r="Z163" s="162"/>
      <c r="AA163" s="162"/>
      <c r="AB163" s="162"/>
      <c r="AC163" s="162"/>
      <c r="AD163" s="162"/>
      <c r="AE163" s="162"/>
      <c r="AG163" s="162"/>
      <c r="AH163" s="162"/>
      <c r="AI163" s="162"/>
      <c r="AJ163" s="162"/>
      <c r="AK163" s="162"/>
      <c r="AL163" s="162"/>
      <c r="AM163" s="162"/>
      <c r="AN163" s="162"/>
      <c r="AO163" s="162"/>
      <c r="AP163" s="162"/>
      <c r="AQ163" s="162"/>
      <c r="AR163" s="162"/>
      <c r="AS163" s="162"/>
      <c r="AT163" s="162"/>
      <c r="AU163" s="162"/>
      <c r="AV163" s="162"/>
      <c r="AW163" s="162"/>
      <c r="AX163" s="162"/>
      <c r="AY163" s="162"/>
      <c r="AZ163" s="162"/>
      <c r="BA163" s="162"/>
      <c r="BB163" s="171"/>
      <c r="BC163" s="162"/>
      <c r="BD163" s="171"/>
    </row>
    <row r="164" spans="1:56" ht="15.75" customHeight="1">
      <c r="A164" s="162"/>
      <c r="B164" s="163"/>
      <c r="C164" s="164"/>
      <c r="D164" s="162"/>
      <c r="E164" s="162"/>
      <c r="F164" s="162"/>
      <c r="G164" s="162"/>
      <c r="H164" s="162"/>
      <c r="I164" s="162"/>
      <c r="J164" s="162"/>
      <c r="K164" s="162"/>
      <c r="L164" s="162"/>
      <c r="T164" s="162"/>
      <c r="U164" s="162"/>
      <c r="V164" s="162"/>
      <c r="W164" s="162"/>
      <c r="X164" s="162"/>
      <c r="Y164" s="162"/>
      <c r="Z164" s="162"/>
      <c r="AA164" s="162"/>
      <c r="AB164" s="162"/>
      <c r="AC164" s="162"/>
      <c r="AD164" s="162"/>
      <c r="AE164" s="162"/>
      <c r="AG164" s="162"/>
      <c r="AH164" s="162"/>
      <c r="AI164" s="162"/>
      <c r="AJ164" s="162"/>
      <c r="AK164" s="162"/>
      <c r="AL164" s="162"/>
      <c r="AM164" s="162"/>
      <c r="AN164" s="162"/>
      <c r="AO164" s="162"/>
      <c r="AP164" s="162"/>
      <c r="AQ164" s="162"/>
      <c r="AR164" s="162"/>
      <c r="AS164" s="162"/>
      <c r="AT164" s="162"/>
      <c r="AU164" s="162"/>
      <c r="AV164" s="162"/>
      <c r="AW164" s="162"/>
      <c r="AX164" s="162"/>
      <c r="AY164" s="162"/>
      <c r="AZ164" s="162"/>
      <c r="BA164" s="162"/>
      <c r="BB164" s="171"/>
      <c r="BC164" s="162"/>
      <c r="BD164" s="171"/>
    </row>
    <row r="165" spans="1:56" ht="15.75" customHeight="1">
      <c r="A165" s="162"/>
      <c r="B165" s="163"/>
      <c r="C165" s="164"/>
      <c r="D165" s="162"/>
      <c r="E165" s="162"/>
      <c r="F165" s="162"/>
      <c r="G165" s="162"/>
      <c r="H165" s="162"/>
      <c r="I165" s="162"/>
      <c r="J165" s="162"/>
      <c r="K165" s="162"/>
      <c r="L165" s="162"/>
      <c r="T165" s="162"/>
      <c r="U165" s="162"/>
      <c r="V165" s="162"/>
      <c r="W165" s="162"/>
      <c r="X165" s="162"/>
      <c r="Y165" s="162"/>
      <c r="Z165" s="162"/>
      <c r="AA165" s="162"/>
      <c r="AB165" s="162"/>
      <c r="AC165" s="162"/>
      <c r="AD165" s="162"/>
      <c r="AE165" s="162"/>
      <c r="AG165" s="162"/>
      <c r="AH165" s="162"/>
      <c r="AI165" s="162"/>
      <c r="AJ165" s="162"/>
      <c r="AK165" s="162"/>
      <c r="AL165" s="162"/>
      <c r="AM165" s="162"/>
      <c r="AN165" s="162"/>
      <c r="AO165" s="162"/>
      <c r="AP165" s="162"/>
      <c r="AQ165" s="162"/>
      <c r="AR165" s="162"/>
      <c r="AS165" s="162"/>
      <c r="AT165" s="162"/>
      <c r="AU165" s="162"/>
      <c r="AV165" s="162"/>
      <c r="AW165" s="162"/>
      <c r="AX165" s="162"/>
      <c r="AY165" s="162"/>
      <c r="AZ165" s="162"/>
      <c r="BA165" s="162"/>
      <c r="BB165" s="171"/>
      <c r="BC165" s="162"/>
      <c r="BD165" s="171"/>
    </row>
    <row r="166" spans="1:56" ht="15.75" customHeight="1">
      <c r="A166" s="162"/>
      <c r="B166" s="163"/>
      <c r="C166" s="164"/>
      <c r="D166" s="162"/>
      <c r="E166" s="162"/>
      <c r="F166" s="162"/>
      <c r="G166" s="162"/>
      <c r="H166" s="162"/>
      <c r="I166" s="162"/>
      <c r="J166" s="162"/>
      <c r="K166" s="162"/>
      <c r="L166" s="162"/>
      <c r="T166" s="162"/>
      <c r="U166" s="162"/>
      <c r="V166" s="162"/>
      <c r="W166" s="162"/>
      <c r="X166" s="162"/>
      <c r="Y166" s="162"/>
      <c r="Z166" s="162"/>
      <c r="AA166" s="162"/>
      <c r="AB166" s="162"/>
      <c r="AC166" s="162"/>
      <c r="AD166" s="162"/>
      <c r="AE166" s="162"/>
      <c r="AG166" s="162"/>
      <c r="AH166" s="162"/>
      <c r="AI166" s="162"/>
      <c r="AJ166" s="162"/>
      <c r="AK166" s="162"/>
      <c r="AL166" s="162"/>
      <c r="AM166" s="162"/>
      <c r="AN166" s="162"/>
      <c r="AO166" s="162"/>
      <c r="AP166" s="162"/>
      <c r="AQ166" s="162"/>
      <c r="AR166" s="162"/>
      <c r="AS166" s="162"/>
      <c r="AT166" s="162"/>
      <c r="AU166" s="162"/>
      <c r="AV166" s="162"/>
      <c r="AW166" s="162"/>
      <c r="AX166" s="162"/>
      <c r="AY166" s="162"/>
      <c r="AZ166" s="162"/>
      <c r="BA166" s="162"/>
      <c r="BB166" s="171"/>
      <c r="BC166" s="162"/>
      <c r="BD166" s="171"/>
    </row>
    <row r="167" spans="1:56" ht="15.75" customHeight="1">
      <c r="A167" s="162"/>
      <c r="B167" s="163"/>
      <c r="C167" s="164"/>
      <c r="D167" s="162"/>
      <c r="E167" s="162"/>
      <c r="F167" s="162"/>
      <c r="G167" s="162"/>
      <c r="H167" s="162"/>
      <c r="I167" s="162"/>
      <c r="J167" s="162"/>
      <c r="K167" s="162"/>
      <c r="L167" s="162"/>
      <c r="T167" s="162"/>
      <c r="U167" s="162"/>
      <c r="V167" s="162"/>
      <c r="W167" s="162"/>
      <c r="X167" s="162"/>
      <c r="Y167" s="162"/>
      <c r="Z167" s="162"/>
      <c r="AA167" s="162"/>
      <c r="AB167" s="162"/>
      <c r="AC167" s="162"/>
      <c r="AD167" s="162"/>
      <c r="AE167" s="162"/>
      <c r="AG167" s="162"/>
      <c r="AH167" s="162"/>
      <c r="AI167" s="162"/>
      <c r="AJ167" s="162"/>
      <c r="AK167" s="162"/>
      <c r="AL167" s="162"/>
      <c r="AM167" s="162"/>
      <c r="AN167" s="162"/>
      <c r="AO167" s="162"/>
      <c r="AP167" s="162"/>
      <c r="AQ167" s="162"/>
      <c r="AR167" s="162"/>
      <c r="AS167" s="162"/>
      <c r="AT167" s="162"/>
      <c r="AU167" s="162"/>
      <c r="AV167" s="162"/>
      <c r="AW167" s="162"/>
      <c r="AX167" s="162"/>
      <c r="AY167" s="162"/>
      <c r="AZ167" s="162"/>
      <c r="BA167" s="162"/>
      <c r="BB167" s="171"/>
      <c r="BC167" s="162"/>
      <c r="BD167" s="171"/>
    </row>
    <row r="168" spans="1:56" ht="15.75" customHeight="1">
      <c r="A168" s="162"/>
      <c r="B168" s="163"/>
      <c r="C168" s="164"/>
      <c r="D168" s="162"/>
      <c r="E168" s="162"/>
      <c r="F168" s="162"/>
      <c r="G168" s="162"/>
      <c r="H168" s="162"/>
      <c r="I168" s="162"/>
      <c r="J168" s="162"/>
      <c r="K168" s="162"/>
      <c r="L168" s="162"/>
      <c r="T168" s="162"/>
      <c r="U168" s="162"/>
      <c r="V168" s="162"/>
      <c r="W168" s="162"/>
      <c r="X168" s="162"/>
      <c r="Y168" s="162"/>
      <c r="Z168" s="162"/>
      <c r="AA168" s="162"/>
      <c r="AB168" s="162"/>
      <c r="AC168" s="162"/>
      <c r="AD168" s="162"/>
      <c r="AE168" s="162"/>
      <c r="AG168" s="162"/>
      <c r="AH168" s="162"/>
      <c r="AI168" s="162"/>
      <c r="AJ168" s="162"/>
      <c r="AK168" s="162"/>
      <c r="AL168" s="162"/>
      <c r="AM168" s="162"/>
      <c r="AN168" s="162"/>
      <c r="AO168" s="162"/>
      <c r="AP168" s="162"/>
      <c r="AQ168" s="162"/>
      <c r="AR168" s="162"/>
      <c r="AS168" s="162"/>
      <c r="AT168" s="162"/>
      <c r="AU168" s="162"/>
      <c r="AV168" s="162"/>
      <c r="AW168" s="162"/>
      <c r="AX168" s="162"/>
      <c r="AY168" s="162"/>
      <c r="AZ168" s="162"/>
      <c r="BA168" s="162"/>
      <c r="BB168" s="171"/>
      <c r="BC168" s="162"/>
      <c r="BD168" s="171"/>
    </row>
    <row r="169" spans="1:56" ht="15.75" customHeight="1">
      <c r="A169" s="162"/>
      <c r="B169" s="163"/>
      <c r="C169" s="164"/>
      <c r="D169" s="162"/>
      <c r="E169" s="162"/>
      <c r="F169" s="162"/>
      <c r="G169" s="162"/>
      <c r="H169" s="162"/>
      <c r="I169" s="162"/>
      <c r="J169" s="162"/>
      <c r="K169" s="162"/>
      <c r="L169" s="162"/>
      <c r="T169" s="162"/>
      <c r="U169" s="162"/>
      <c r="V169" s="162"/>
      <c r="W169" s="162"/>
      <c r="X169" s="162"/>
      <c r="Y169" s="162"/>
      <c r="Z169" s="162"/>
      <c r="AA169" s="162"/>
      <c r="AB169" s="162"/>
      <c r="AC169" s="162"/>
      <c r="AD169" s="162"/>
      <c r="AE169" s="162"/>
      <c r="AG169" s="162"/>
      <c r="AH169" s="162"/>
      <c r="AI169" s="162"/>
      <c r="AJ169" s="162"/>
      <c r="AK169" s="162"/>
      <c r="AL169" s="162"/>
      <c r="AM169" s="162"/>
      <c r="AN169" s="162"/>
      <c r="AO169" s="162"/>
      <c r="AP169" s="162"/>
      <c r="AQ169" s="162"/>
      <c r="AR169" s="162"/>
      <c r="AS169" s="162"/>
      <c r="AT169" s="162"/>
      <c r="AU169" s="162"/>
      <c r="AV169" s="162"/>
      <c r="AW169" s="162"/>
      <c r="AX169" s="162"/>
      <c r="AY169" s="162"/>
      <c r="AZ169" s="162"/>
      <c r="BA169" s="162"/>
      <c r="BB169" s="171"/>
      <c r="BC169" s="162"/>
      <c r="BD169" s="171"/>
    </row>
    <row r="170" spans="1:56" ht="15.75" customHeight="1">
      <c r="A170" s="162"/>
      <c r="B170" s="163"/>
      <c r="C170" s="164"/>
      <c r="D170" s="162"/>
      <c r="E170" s="162"/>
      <c r="F170" s="162"/>
      <c r="G170" s="162"/>
      <c r="H170" s="162"/>
      <c r="I170" s="162"/>
      <c r="J170" s="162"/>
      <c r="K170" s="162"/>
      <c r="L170" s="162"/>
      <c r="T170" s="162"/>
      <c r="U170" s="162"/>
      <c r="V170" s="162"/>
      <c r="W170" s="162"/>
      <c r="X170" s="162"/>
      <c r="Y170" s="162"/>
      <c r="Z170" s="162"/>
      <c r="AA170" s="162"/>
      <c r="AB170" s="162"/>
      <c r="AC170" s="162"/>
      <c r="AD170" s="162"/>
      <c r="AE170" s="162"/>
      <c r="AG170" s="162"/>
      <c r="AH170" s="162"/>
      <c r="AI170" s="162"/>
      <c r="AJ170" s="162"/>
      <c r="AK170" s="162"/>
      <c r="AL170" s="162"/>
      <c r="AM170" s="162"/>
      <c r="AN170" s="162"/>
      <c r="AO170" s="162"/>
      <c r="AP170" s="162"/>
      <c r="AQ170" s="162"/>
      <c r="AR170" s="162"/>
      <c r="AS170" s="162"/>
      <c r="AT170" s="162"/>
      <c r="AU170" s="162"/>
      <c r="AV170" s="162"/>
      <c r="AW170" s="162"/>
      <c r="AX170" s="162"/>
      <c r="AY170" s="162"/>
      <c r="AZ170" s="162"/>
      <c r="BA170" s="162"/>
      <c r="BB170" s="171"/>
      <c r="BC170" s="162"/>
      <c r="BD170" s="171"/>
    </row>
    <row r="171" spans="1:56" ht="15.75" customHeight="1">
      <c r="A171" s="162"/>
      <c r="B171" s="163"/>
      <c r="C171" s="164"/>
      <c r="D171" s="162"/>
      <c r="E171" s="162"/>
      <c r="F171" s="162"/>
      <c r="G171" s="162"/>
      <c r="H171" s="162"/>
      <c r="I171" s="162"/>
      <c r="J171" s="162"/>
      <c r="K171" s="162"/>
      <c r="L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G171" s="162"/>
      <c r="AH171" s="162"/>
      <c r="AI171" s="162"/>
      <c r="AJ171" s="162"/>
      <c r="AK171" s="162"/>
      <c r="AL171" s="162"/>
      <c r="AM171" s="162"/>
      <c r="AN171" s="162"/>
      <c r="AO171" s="162"/>
      <c r="AP171" s="162"/>
      <c r="AQ171" s="162"/>
      <c r="AR171" s="162"/>
      <c r="AS171" s="162"/>
      <c r="AT171" s="162"/>
      <c r="AU171" s="162"/>
      <c r="AV171" s="162"/>
      <c r="AW171" s="162"/>
      <c r="AX171" s="162"/>
      <c r="AY171" s="162"/>
      <c r="AZ171" s="162"/>
      <c r="BA171" s="162"/>
      <c r="BB171" s="171"/>
      <c r="BC171" s="162"/>
      <c r="BD171" s="171"/>
    </row>
    <row r="172" spans="1:56" ht="15.75" customHeight="1">
      <c r="A172" s="162"/>
      <c r="B172" s="163"/>
      <c r="C172" s="164"/>
      <c r="D172" s="162"/>
      <c r="E172" s="162"/>
      <c r="F172" s="162"/>
      <c r="G172" s="162"/>
      <c r="H172" s="162"/>
      <c r="I172" s="162"/>
      <c r="J172" s="162"/>
      <c r="K172" s="162"/>
      <c r="L172" s="162"/>
      <c r="T172" s="162"/>
      <c r="U172" s="162"/>
      <c r="V172" s="162"/>
      <c r="W172" s="162"/>
      <c r="X172" s="162"/>
      <c r="Y172" s="162"/>
      <c r="Z172" s="162"/>
      <c r="AA172" s="162"/>
      <c r="AB172" s="162"/>
      <c r="AC172" s="162"/>
      <c r="AD172" s="162"/>
      <c r="AE172" s="162"/>
      <c r="AG172" s="162"/>
      <c r="AH172" s="162"/>
      <c r="AI172" s="162"/>
      <c r="AJ172" s="162"/>
      <c r="AK172" s="162"/>
      <c r="AL172" s="162"/>
      <c r="AM172" s="162"/>
      <c r="AN172" s="162"/>
      <c r="AO172" s="162"/>
      <c r="AP172" s="162"/>
      <c r="AQ172" s="162"/>
      <c r="AR172" s="162"/>
      <c r="AS172" s="162"/>
      <c r="AT172" s="162"/>
      <c r="AU172" s="162"/>
      <c r="AV172" s="162"/>
      <c r="AW172" s="162"/>
      <c r="AX172" s="162"/>
      <c r="AY172" s="162"/>
      <c r="AZ172" s="162"/>
      <c r="BA172" s="162"/>
      <c r="BB172" s="171"/>
      <c r="BC172" s="162"/>
      <c r="BD172" s="171"/>
    </row>
    <row r="173" spans="1:56" ht="15.75" customHeight="1">
      <c r="A173" s="162"/>
      <c r="B173" s="163"/>
      <c r="C173" s="164"/>
      <c r="D173" s="162"/>
      <c r="E173" s="162"/>
      <c r="F173" s="162"/>
      <c r="G173" s="162"/>
      <c r="H173" s="162"/>
      <c r="I173" s="162"/>
      <c r="J173" s="162"/>
      <c r="K173" s="162"/>
      <c r="L173" s="162"/>
      <c r="T173" s="162"/>
      <c r="U173" s="162"/>
      <c r="V173" s="162"/>
      <c r="W173" s="162"/>
      <c r="X173" s="162"/>
      <c r="Y173" s="162"/>
      <c r="Z173" s="162"/>
      <c r="AA173" s="162"/>
      <c r="AB173" s="162"/>
      <c r="AC173" s="162"/>
      <c r="AD173" s="162"/>
      <c r="AE173" s="162"/>
      <c r="AG173" s="162"/>
      <c r="AH173" s="162"/>
      <c r="AI173" s="162"/>
      <c r="AJ173" s="162"/>
      <c r="AK173" s="162"/>
      <c r="AL173" s="162"/>
      <c r="AM173" s="162"/>
      <c r="AN173" s="162"/>
      <c r="AO173" s="162"/>
      <c r="AP173" s="162"/>
      <c r="AQ173" s="162"/>
      <c r="AR173" s="162"/>
      <c r="AS173" s="162"/>
      <c r="AT173" s="162"/>
      <c r="AU173" s="162"/>
      <c r="AV173" s="162"/>
      <c r="AW173" s="162"/>
      <c r="AX173" s="162"/>
      <c r="AY173" s="162"/>
      <c r="AZ173" s="162"/>
      <c r="BA173" s="162"/>
      <c r="BB173" s="171"/>
      <c r="BC173" s="162"/>
      <c r="BD173" s="171"/>
    </row>
    <row r="174" spans="1:56" ht="15.75" customHeight="1">
      <c r="A174" s="162"/>
      <c r="B174" s="163"/>
      <c r="C174" s="164"/>
      <c r="D174" s="162"/>
      <c r="E174" s="162"/>
      <c r="F174" s="162"/>
      <c r="G174" s="162"/>
      <c r="H174" s="162"/>
      <c r="I174" s="162"/>
      <c r="J174" s="162"/>
      <c r="K174" s="162"/>
      <c r="L174" s="162"/>
      <c r="T174" s="162"/>
      <c r="U174" s="162"/>
      <c r="V174" s="162"/>
      <c r="W174" s="162"/>
      <c r="X174" s="162"/>
      <c r="Y174" s="162"/>
      <c r="Z174" s="162"/>
      <c r="AA174" s="162"/>
      <c r="AB174" s="162"/>
      <c r="AC174" s="162"/>
      <c r="AD174" s="162"/>
      <c r="AE174" s="162"/>
      <c r="AG174" s="162"/>
      <c r="AH174" s="162"/>
      <c r="AI174" s="162"/>
      <c r="AJ174" s="162"/>
      <c r="AK174" s="162"/>
      <c r="AL174" s="162"/>
      <c r="AM174" s="162"/>
      <c r="AN174" s="162"/>
      <c r="AO174" s="162"/>
      <c r="AP174" s="162"/>
      <c r="AQ174" s="162"/>
      <c r="AR174" s="162"/>
      <c r="AS174" s="162"/>
      <c r="AT174" s="162"/>
      <c r="AU174" s="162"/>
      <c r="AV174" s="162"/>
      <c r="AW174" s="162"/>
      <c r="AX174" s="162"/>
      <c r="AY174" s="162"/>
      <c r="AZ174" s="162"/>
      <c r="BA174" s="162"/>
      <c r="BB174" s="171"/>
      <c r="BC174" s="162"/>
      <c r="BD174" s="171"/>
    </row>
    <row r="175" spans="1:56" ht="15.75" customHeight="1">
      <c r="A175" s="162"/>
      <c r="B175" s="163"/>
      <c r="C175" s="164"/>
      <c r="D175" s="162"/>
      <c r="E175" s="162"/>
      <c r="F175" s="162"/>
      <c r="G175" s="162"/>
      <c r="H175" s="162"/>
      <c r="I175" s="162"/>
      <c r="J175" s="162"/>
      <c r="K175" s="162"/>
      <c r="L175" s="162"/>
      <c r="T175" s="162"/>
      <c r="U175" s="162"/>
      <c r="V175" s="162"/>
      <c r="W175" s="162"/>
      <c r="X175" s="162"/>
      <c r="Y175" s="162"/>
      <c r="Z175" s="162"/>
      <c r="AA175" s="162"/>
      <c r="AB175" s="162"/>
      <c r="AC175" s="162"/>
      <c r="AD175" s="162"/>
      <c r="AE175" s="162"/>
      <c r="AG175" s="162"/>
      <c r="AH175" s="162"/>
      <c r="AI175" s="162"/>
      <c r="AJ175" s="162"/>
      <c r="AK175" s="162"/>
      <c r="AL175" s="162"/>
      <c r="AM175" s="162"/>
      <c r="AN175" s="162"/>
      <c r="AO175" s="162"/>
      <c r="AP175" s="162"/>
      <c r="AQ175" s="162"/>
      <c r="AR175" s="162"/>
      <c r="AS175" s="162"/>
      <c r="AT175" s="162"/>
      <c r="AU175" s="162"/>
      <c r="AV175" s="162"/>
      <c r="AW175" s="162"/>
      <c r="AX175" s="162"/>
      <c r="AY175" s="162"/>
      <c r="AZ175" s="162"/>
      <c r="BA175" s="162"/>
      <c r="BB175" s="171"/>
      <c r="BC175" s="162"/>
      <c r="BD175" s="171"/>
    </row>
    <row r="176" spans="1:56" ht="15.75" customHeight="1">
      <c r="A176" s="162"/>
      <c r="B176" s="163"/>
      <c r="C176" s="164"/>
      <c r="D176" s="162"/>
      <c r="E176" s="162"/>
      <c r="F176" s="162"/>
      <c r="G176" s="162"/>
      <c r="H176" s="162"/>
      <c r="I176" s="162"/>
      <c r="J176" s="162"/>
      <c r="K176" s="162"/>
      <c r="L176" s="162"/>
      <c r="T176" s="162"/>
      <c r="U176" s="162"/>
      <c r="V176" s="162"/>
      <c r="W176" s="162"/>
      <c r="X176" s="162"/>
      <c r="Y176" s="162"/>
      <c r="Z176" s="162"/>
      <c r="AA176" s="162"/>
      <c r="AB176" s="162"/>
      <c r="AC176" s="162"/>
      <c r="AD176" s="162"/>
      <c r="AE176" s="162"/>
      <c r="AG176" s="162"/>
      <c r="AH176" s="162"/>
      <c r="AI176" s="162"/>
      <c r="AJ176" s="162"/>
      <c r="AK176" s="162"/>
      <c r="AL176" s="162"/>
      <c r="AM176" s="162"/>
      <c r="AN176" s="162"/>
      <c r="AO176" s="162"/>
      <c r="AP176" s="162"/>
      <c r="AQ176" s="162"/>
      <c r="AR176" s="162"/>
      <c r="AS176" s="162"/>
      <c r="AT176" s="162"/>
      <c r="AU176" s="162"/>
      <c r="AV176" s="162"/>
      <c r="AW176" s="162"/>
      <c r="AX176" s="162"/>
      <c r="AY176" s="162"/>
      <c r="AZ176" s="162"/>
      <c r="BA176" s="162"/>
      <c r="BB176" s="171"/>
      <c r="BC176" s="162"/>
      <c r="BD176" s="171"/>
    </row>
    <row r="177" spans="1:56" ht="15.75" customHeight="1">
      <c r="A177" s="162"/>
      <c r="B177" s="163"/>
      <c r="C177" s="164"/>
      <c r="D177" s="162"/>
      <c r="E177" s="162"/>
      <c r="F177" s="162"/>
      <c r="G177" s="162"/>
      <c r="H177" s="162"/>
      <c r="I177" s="162"/>
      <c r="J177" s="162"/>
      <c r="K177" s="162"/>
      <c r="L177" s="162"/>
      <c r="T177" s="162"/>
      <c r="U177" s="162"/>
      <c r="V177" s="162"/>
      <c r="W177" s="162"/>
      <c r="X177" s="162"/>
      <c r="Y177" s="162"/>
      <c r="Z177" s="162"/>
      <c r="AA177" s="162"/>
      <c r="AB177" s="162"/>
      <c r="AC177" s="162"/>
      <c r="AD177" s="162"/>
      <c r="AE177" s="162"/>
      <c r="AG177" s="162"/>
      <c r="AH177" s="162"/>
      <c r="AI177" s="162"/>
      <c r="AJ177" s="162"/>
      <c r="AK177" s="162"/>
      <c r="AL177" s="162"/>
      <c r="AM177" s="162"/>
      <c r="AN177" s="162"/>
      <c r="AO177" s="162"/>
      <c r="AP177" s="162"/>
      <c r="AQ177" s="162"/>
      <c r="AR177" s="162"/>
      <c r="AS177" s="162"/>
      <c r="AT177" s="162"/>
      <c r="AU177" s="162"/>
      <c r="AV177" s="162"/>
      <c r="AW177" s="162"/>
      <c r="AX177" s="162"/>
      <c r="AY177" s="162"/>
      <c r="AZ177" s="162"/>
      <c r="BA177" s="162"/>
      <c r="BB177" s="171"/>
      <c r="BC177" s="162"/>
      <c r="BD177" s="171"/>
    </row>
    <row r="178" spans="1:56" ht="15.75" customHeight="1">
      <c r="A178" s="162"/>
      <c r="B178" s="163"/>
      <c r="C178" s="164"/>
      <c r="D178" s="162"/>
      <c r="E178" s="162"/>
      <c r="F178" s="162"/>
      <c r="G178" s="162"/>
      <c r="H178" s="162"/>
      <c r="I178" s="162"/>
      <c r="J178" s="162"/>
      <c r="K178" s="162"/>
      <c r="L178" s="162"/>
      <c r="T178" s="162"/>
      <c r="U178" s="162"/>
      <c r="V178" s="162"/>
      <c r="W178" s="162"/>
      <c r="X178" s="162"/>
      <c r="Y178" s="162"/>
      <c r="Z178" s="162"/>
      <c r="AA178" s="162"/>
      <c r="AB178" s="162"/>
      <c r="AC178" s="162"/>
      <c r="AD178" s="162"/>
      <c r="AE178" s="162"/>
      <c r="AG178" s="162"/>
      <c r="AH178" s="162"/>
      <c r="AI178" s="162"/>
      <c r="AJ178" s="162"/>
      <c r="AK178" s="162"/>
      <c r="AL178" s="162"/>
      <c r="AM178" s="162"/>
      <c r="AN178" s="162"/>
      <c r="AO178" s="162"/>
      <c r="AP178" s="162"/>
      <c r="AQ178" s="162"/>
      <c r="AR178" s="162"/>
      <c r="AS178" s="162"/>
      <c r="AT178" s="162"/>
      <c r="AU178" s="162"/>
      <c r="AV178" s="162"/>
      <c r="AW178" s="162"/>
      <c r="AX178" s="162"/>
      <c r="AY178" s="162"/>
      <c r="AZ178" s="162"/>
      <c r="BA178" s="162"/>
      <c r="BB178" s="171"/>
      <c r="BC178" s="162"/>
      <c r="BD178" s="171"/>
    </row>
    <row r="179" spans="1:56" ht="15.75" customHeight="1">
      <c r="A179" s="162"/>
      <c r="B179" s="163"/>
      <c r="C179" s="164"/>
      <c r="D179" s="162"/>
      <c r="E179" s="162"/>
      <c r="F179" s="162"/>
      <c r="G179" s="162"/>
      <c r="H179" s="162"/>
      <c r="I179" s="162"/>
      <c r="J179" s="162"/>
      <c r="K179" s="162"/>
      <c r="L179" s="162"/>
      <c r="T179" s="162"/>
      <c r="U179" s="162"/>
      <c r="V179" s="162"/>
      <c r="W179" s="162"/>
      <c r="X179" s="162"/>
      <c r="Y179" s="162"/>
      <c r="Z179" s="162"/>
      <c r="AA179" s="162"/>
      <c r="AB179" s="162"/>
      <c r="AC179" s="162"/>
      <c r="AD179" s="162"/>
      <c r="AE179" s="162"/>
      <c r="AG179" s="162"/>
      <c r="AH179" s="162"/>
      <c r="AI179" s="162"/>
      <c r="AJ179" s="162"/>
      <c r="AK179" s="162"/>
      <c r="AL179" s="162"/>
      <c r="AM179" s="162"/>
      <c r="AN179" s="162"/>
      <c r="AO179" s="162"/>
      <c r="AP179" s="162"/>
      <c r="AQ179" s="162"/>
      <c r="AR179" s="162"/>
      <c r="AS179" s="162"/>
      <c r="AT179" s="162"/>
      <c r="AU179" s="162"/>
      <c r="AV179" s="162"/>
      <c r="AW179" s="162"/>
      <c r="AX179" s="162"/>
      <c r="AY179" s="162"/>
      <c r="AZ179" s="162"/>
      <c r="BA179" s="162"/>
      <c r="BB179" s="171"/>
      <c r="BC179" s="162"/>
      <c r="BD179" s="171"/>
    </row>
    <row r="180" spans="1:56" ht="15.75" customHeight="1">
      <c r="A180" s="162"/>
      <c r="B180" s="163"/>
      <c r="C180" s="164"/>
      <c r="D180" s="162"/>
      <c r="E180" s="162"/>
      <c r="F180" s="162"/>
      <c r="G180" s="162"/>
      <c r="H180" s="162"/>
      <c r="I180" s="162"/>
      <c r="J180" s="162"/>
      <c r="K180" s="162"/>
      <c r="L180" s="162"/>
      <c r="T180" s="162"/>
      <c r="U180" s="162"/>
      <c r="V180" s="162"/>
      <c r="W180" s="162"/>
      <c r="X180" s="162"/>
      <c r="Y180" s="162"/>
      <c r="Z180" s="162"/>
      <c r="AA180" s="162"/>
      <c r="AB180" s="162"/>
      <c r="AC180" s="162"/>
      <c r="AD180" s="162"/>
      <c r="AE180" s="162"/>
      <c r="AG180" s="162"/>
      <c r="AH180" s="162"/>
      <c r="AI180" s="162"/>
      <c r="AJ180" s="162"/>
      <c r="AK180" s="162"/>
      <c r="AL180" s="162"/>
      <c r="AM180" s="162"/>
      <c r="AN180" s="162"/>
      <c r="AO180" s="162"/>
      <c r="AP180" s="162"/>
      <c r="AQ180" s="162"/>
      <c r="AR180" s="162"/>
      <c r="AS180" s="162"/>
      <c r="AT180" s="162"/>
      <c r="AU180" s="162"/>
      <c r="AV180" s="162"/>
      <c r="AW180" s="162"/>
      <c r="AX180" s="162"/>
      <c r="AY180" s="162"/>
      <c r="AZ180" s="162"/>
      <c r="BA180" s="162"/>
      <c r="BB180" s="171"/>
      <c r="BC180" s="162"/>
      <c r="BD180" s="171"/>
    </row>
    <row r="181" spans="1:56" ht="15.75" customHeight="1">
      <c r="A181" s="162"/>
      <c r="B181" s="163"/>
      <c r="C181" s="164"/>
      <c r="D181" s="162"/>
      <c r="E181" s="162"/>
      <c r="F181" s="162"/>
      <c r="G181" s="162"/>
      <c r="H181" s="162"/>
      <c r="I181" s="162"/>
      <c r="J181" s="162"/>
      <c r="K181" s="162"/>
      <c r="L181" s="162"/>
      <c r="T181" s="162"/>
      <c r="U181" s="162"/>
      <c r="V181" s="162"/>
      <c r="W181" s="162"/>
      <c r="X181" s="162"/>
      <c r="Y181" s="162"/>
      <c r="Z181" s="162"/>
      <c r="AA181" s="162"/>
      <c r="AB181" s="162"/>
      <c r="AC181" s="162"/>
      <c r="AD181" s="162"/>
      <c r="AE181" s="162"/>
      <c r="AG181" s="162"/>
      <c r="AH181" s="162"/>
      <c r="AI181" s="162"/>
      <c r="AJ181" s="162"/>
      <c r="AK181" s="162"/>
      <c r="AL181" s="162"/>
      <c r="AM181" s="162"/>
      <c r="AN181" s="162"/>
      <c r="AO181" s="162"/>
      <c r="AP181" s="162"/>
      <c r="AQ181" s="162"/>
      <c r="AR181" s="162"/>
      <c r="AS181" s="162"/>
      <c r="AT181" s="162"/>
      <c r="AU181" s="162"/>
      <c r="AV181" s="162"/>
      <c r="AW181" s="162"/>
      <c r="AX181" s="162"/>
      <c r="AY181" s="162"/>
      <c r="AZ181" s="162"/>
      <c r="BA181" s="162"/>
      <c r="BB181" s="171"/>
      <c r="BC181" s="162"/>
      <c r="BD181" s="171"/>
    </row>
    <row r="182" spans="1:56" ht="15.75" customHeight="1">
      <c r="A182" s="162"/>
      <c r="B182" s="163"/>
      <c r="C182" s="164"/>
      <c r="D182" s="162"/>
      <c r="E182" s="162"/>
      <c r="F182" s="162"/>
      <c r="G182" s="162"/>
      <c r="H182" s="162"/>
      <c r="I182" s="162"/>
      <c r="J182" s="162"/>
      <c r="K182" s="162"/>
      <c r="L182" s="162"/>
      <c r="T182" s="162"/>
      <c r="U182" s="162"/>
      <c r="V182" s="162"/>
      <c r="W182" s="162"/>
      <c r="X182" s="162"/>
      <c r="Y182" s="162"/>
      <c r="Z182" s="162"/>
      <c r="AA182" s="162"/>
      <c r="AB182" s="162"/>
      <c r="AC182" s="162"/>
      <c r="AD182" s="162"/>
      <c r="AE182" s="162"/>
      <c r="AG182" s="162"/>
      <c r="AH182" s="162"/>
      <c r="AI182" s="162"/>
      <c r="AJ182" s="162"/>
      <c r="AK182" s="162"/>
      <c r="AL182" s="162"/>
      <c r="AM182" s="162"/>
      <c r="AN182" s="162"/>
      <c r="AO182" s="162"/>
      <c r="AP182" s="162"/>
      <c r="AQ182" s="162"/>
      <c r="AR182" s="162"/>
      <c r="AS182" s="162"/>
      <c r="AT182" s="162"/>
      <c r="AU182" s="162"/>
      <c r="AV182" s="162"/>
      <c r="AW182" s="162"/>
      <c r="AX182" s="162"/>
      <c r="AY182" s="162"/>
      <c r="AZ182" s="162"/>
      <c r="BA182" s="162"/>
      <c r="BB182" s="171"/>
      <c r="BC182" s="162"/>
      <c r="BD182" s="171"/>
    </row>
    <row r="183" spans="1:56" ht="15.75" customHeight="1">
      <c r="A183" s="162"/>
      <c r="B183" s="163"/>
      <c r="C183" s="164"/>
      <c r="D183" s="162"/>
      <c r="E183" s="162"/>
      <c r="F183" s="162"/>
      <c r="G183" s="162"/>
      <c r="H183" s="162"/>
      <c r="I183" s="162"/>
      <c r="J183" s="162"/>
      <c r="K183" s="162"/>
      <c r="L183" s="162"/>
      <c r="T183" s="162"/>
      <c r="U183" s="162"/>
      <c r="V183" s="162"/>
      <c r="W183" s="162"/>
      <c r="X183" s="162"/>
      <c r="Y183" s="162"/>
      <c r="Z183" s="162"/>
      <c r="AA183" s="162"/>
      <c r="AB183" s="162"/>
      <c r="AC183" s="162"/>
      <c r="AD183" s="162"/>
      <c r="AE183" s="162"/>
      <c r="AG183" s="162"/>
      <c r="AH183" s="162"/>
      <c r="AI183" s="162"/>
      <c r="AJ183" s="162"/>
      <c r="AK183" s="162"/>
      <c r="AL183" s="162"/>
      <c r="AM183" s="162"/>
      <c r="AN183" s="162"/>
      <c r="AO183" s="162"/>
      <c r="AP183" s="162"/>
      <c r="AQ183" s="162"/>
      <c r="AR183" s="162"/>
      <c r="AS183" s="162"/>
      <c r="AT183" s="162"/>
      <c r="AU183" s="162"/>
      <c r="AV183" s="162"/>
      <c r="AW183" s="162"/>
      <c r="AX183" s="162"/>
      <c r="AY183" s="162"/>
      <c r="AZ183" s="162"/>
      <c r="BA183" s="162"/>
      <c r="BB183" s="171"/>
      <c r="BC183" s="162"/>
      <c r="BD183" s="171"/>
    </row>
    <row r="184" spans="1:56" ht="15.75" customHeight="1">
      <c r="A184" s="162"/>
      <c r="B184" s="163"/>
      <c r="C184" s="164"/>
      <c r="D184" s="162"/>
      <c r="E184" s="162"/>
      <c r="F184" s="162"/>
      <c r="G184" s="162"/>
      <c r="H184" s="162"/>
      <c r="I184" s="162"/>
      <c r="J184" s="162"/>
      <c r="K184" s="162"/>
      <c r="L184" s="162"/>
      <c r="T184" s="162"/>
      <c r="U184" s="162"/>
      <c r="V184" s="162"/>
      <c r="W184" s="162"/>
      <c r="X184" s="162"/>
      <c r="Y184" s="162"/>
      <c r="Z184" s="162"/>
      <c r="AA184" s="162"/>
      <c r="AB184" s="162"/>
      <c r="AC184" s="162"/>
      <c r="AD184" s="162"/>
      <c r="AE184" s="162"/>
      <c r="AG184" s="162"/>
      <c r="AH184" s="162"/>
      <c r="AI184" s="162"/>
      <c r="AJ184" s="162"/>
      <c r="AK184" s="162"/>
      <c r="AL184" s="162"/>
      <c r="AM184" s="162"/>
      <c r="AN184" s="162"/>
      <c r="AO184" s="162"/>
      <c r="AP184" s="162"/>
      <c r="AQ184" s="162"/>
      <c r="AR184" s="162"/>
      <c r="AS184" s="162"/>
      <c r="AT184" s="162"/>
      <c r="AU184" s="162"/>
      <c r="AV184" s="162"/>
      <c r="AW184" s="162"/>
      <c r="AX184" s="162"/>
      <c r="AY184" s="162"/>
      <c r="AZ184" s="162"/>
      <c r="BA184" s="162"/>
      <c r="BB184" s="171"/>
      <c r="BC184" s="162"/>
      <c r="BD184" s="171"/>
    </row>
    <row r="185" spans="1:56" ht="15.75" customHeight="1">
      <c r="A185" s="162"/>
      <c r="B185" s="163"/>
      <c r="C185" s="164"/>
      <c r="D185" s="162"/>
      <c r="E185" s="162"/>
      <c r="F185" s="162"/>
      <c r="G185" s="162"/>
      <c r="H185" s="162"/>
      <c r="I185" s="162"/>
      <c r="J185" s="162"/>
      <c r="K185" s="162"/>
      <c r="L185" s="162"/>
      <c r="T185" s="162"/>
      <c r="U185" s="162"/>
      <c r="V185" s="162"/>
      <c r="W185" s="162"/>
      <c r="X185" s="162"/>
      <c r="Y185" s="162"/>
      <c r="Z185" s="162"/>
      <c r="AA185" s="162"/>
      <c r="AB185" s="162"/>
      <c r="AC185" s="162"/>
      <c r="AD185" s="162"/>
      <c r="AE185" s="162"/>
      <c r="AG185" s="162"/>
      <c r="AH185" s="162"/>
      <c r="AI185" s="162"/>
      <c r="AJ185" s="162"/>
      <c r="AK185" s="162"/>
      <c r="AL185" s="162"/>
      <c r="AM185" s="162"/>
      <c r="AN185" s="162"/>
      <c r="AO185" s="162"/>
      <c r="AP185" s="162"/>
      <c r="AQ185" s="162"/>
      <c r="AR185" s="162"/>
      <c r="AS185" s="162"/>
      <c r="AT185" s="162"/>
      <c r="AU185" s="162"/>
      <c r="AV185" s="162"/>
      <c r="AW185" s="162"/>
      <c r="AX185" s="162"/>
      <c r="AY185" s="162"/>
      <c r="AZ185" s="162"/>
      <c r="BA185" s="162"/>
      <c r="BB185" s="171"/>
      <c r="BC185" s="162"/>
      <c r="BD185" s="171"/>
    </row>
    <row r="186" spans="1:56" ht="15.75" customHeight="1">
      <c r="A186" s="162"/>
      <c r="B186" s="163"/>
      <c r="C186" s="164"/>
      <c r="D186" s="162"/>
      <c r="E186" s="162"/>
      <c r="F186" s="162"/>
      <c r="G186" s="162"/>
      <c r="H186" s="162"/>
      <c r="I186" s="162"/>
      <c r="J186" s="162"/>
      <c r="K186" s="162"/>
      <c r="L186" s="162"/>
      <c r="T186" s="162"/>
      <c r="U186" s="162"/>
      <c r="V186" s="162"/>
      <c r="W186" s="162"/>
      <c r="X186" s="162"/>
      <c r="Y186" s="162"/>
      <c r="Z186" s="162"/>
      <c r="AA186" s="162"/>
      <c r="AB186" s="162"/>
      <c r="AC186" s="162"/>
      <c r="AD186" s="162"/>
      <c r="AE186" s="162"/>
      <c r="AG186" s="162"/>
      <c r="AH186" s="162"/>
      <c r="AI186" s="162"/>
      <c r="AJ186" s="162"/>
      <c r="AK186" s="162"/>
      <c r="AL186" s="162"/>
      <c r="AM186" s="162"/>
      <c r="AN186" s="162"/>
      <c r="AO186" s="162"/>
      <c r="AP186" s="162"/>
      <c r="AQ186" s="162"/>
      <c r="AR186" s="162"/>
      <c r="AS186" s="162"/>
      <c r="AT186" s="162"/>
      <c r="AU186" s="162"/>
      <c r="AV186" s="162"/>
      <c r="AW186" s="162"/>
      <c r="AX186" s="162"/>
      <c r="AY186" s="162"/>
      <c r="AZ186" s="162"/>
      <c r="BA186" s="162"/>
      <c r="BB186" s="171"/>
      <c r="BC186" s="162"/>
      <c r="BD186" s="171"/>
    </row>
    <row r="187" spans="1:56" ht="15.75" customHeight="1">
      <c r="A187" s="162"/>
      <c r="B187" s="163"/>
      <c r="C187" s="164"/>
      <c r="D187" s="162"/>
      <c r="E187" s="162"/>
      <c r="F187" s="162"/>
      <c r="G187" s="162"/>
      <c r="H187" s="162"/>
      <c r="I187" s="162"/>
      <c r="J187" s="162"/>
      <c r="K187" s="162"/>
      <c r="L187" s="162"/>
      <c r="T187" s="162"/>
      <c r="U187" s="162"/>
      <c r="V187" s="162"/>
      <c r="W187" s="162"/>
      <c r="X187" s="162"/>
      <c r="Y187" s="162"/>
      <c r="Z187" s="162"/>
      <c r="AA187" s="162"/>
      <c r="AB187" s="162"/>
      <c r="AC187" s="162"/>
      <c r="AD187" s="162"/>
      <c r="AE187" s="162"/>
      <c r="AG187" s="162"/>
      <c r="AH187" s="162"/>
      <c r="AI187" s="162"/>
      <c r="AJ187" s="162"/>
      <c r="AK187" s="162"/>
      <c r="AL187" s="162"/>
      <c r="AM187" s="162"/>
      <c r="AN187" s="162"/>
      <c r="AO187" s="162"/>
      <c r="AP187" s="162"/>
      <c r="AQ187" s="162"/>
      <c r="AR187" s="162"/>
      <c r="AS187" s="162"/>
      <c r="AT187" s="162"/>
      <c r="AU187" s="162"/>
      <c r="AV187" s="162"/>
      <c r="AW187" s="162"/>
      <c r="AX187" s="162"/>
      <c r="AY187" s="162"/>
      <c r="AZ187" s="162"/>
      <c r="BA187" s="162"/>
      <c r="BB187" s="171"/>
      <c r="BC187" s="162"/>
      <c r="BD187" s="171"/>
    </row>
    <row r="188" spans="1:56" ht="15.75" customHeight="1">
      <c r="A188" s="162"/>
      <c r="B188" s="163"/>
      <c r="C188" s="164"/>
      <c r="D188" s="162"/>
      <c r="E188" s="162"/>
      <c r="F188" s="162"/>
      <c r="G188" s="162"/>
      <c r="H188" s="162"/>
      <c r="I188" s="162"/>
      <c r="J188" s="162"/>
      <c r="K188" s="162"/>
      <c r="L188" s="162"/>
      <c r="T188" s="162"/>
      <c r="U188" s="162"/>
      <c r="V188" s="162"/>
      <c r="W188" s="162"/>
      <c r="X188" s="162"/>
      <c r="Y188" s="162"/>
      <c r="Z188" s="162"/>
      <c r="AA188" s="162"/>
      <c r="AB188" s="162"/>
      <c r="AC188" s="162"/>
      <c r="AD188" s="162"/>
      <c r="AE188" s="162"/>
      <c r="AG188" s="162"/>
      <c r="AH188" s="162"/>
      <c r="AI188" s="162"/>
      <c r="AJ188" s="162"/>
      <c r="AK188" s="162"/>
      <c r="AL188" s="162"/>
      <c r="AM188" s="162"/>
      <c r="AN188" s="162"/>
      <c r="AO188" s="162"/>
      <c r="AP188" s="162"/>
      <c r="AQ188" s="162"/>
      <c r="AR188" s="162"/>
      <c r="AS188" s="162"/>
      <c r="AT188" s="162"/>
      <c r="AU188" s="162"/>
      <c r="AV188" s="162"/>
      <c r="AW188" s="162"/>
      <c r="AX188" s="162"/>
      <c r="AY188" s="162"/>
      <c r="AZ188" s="162"/>
      <c r="BA188" s="162"/>
      <c r="BB188" s="171"/>
      <c r="BC188" s="162"/>
      <c r="BD188" s="171"/>
    </row>
    <row r="189" spans="1:56" ht="15.75" customHeight="1">
      <c r="A189" s="162"/>
      <c r="B189" s="163"/>
      <c r="C189" s="164"/>
      <c r="D189" s="162"/>
      <c r="E189" s="162"/>
      <c r="F189" s="162"/>
      <c r="G189" s="162"/>
      <c r="H189" s="162"/>
      <c r="I189" s="162"/>
      <c r="J189" s="162"/>
      <c r="K189" s="162"/>
      <c r="L189" s="162"/>
      <c r="T189" s="162"/>
      <c r="U189" s="162"/>
      <c r="V189" s="162"/>
      <c r="W189" s="162"/>
      <c r="X189" s="162"/>
      <c r="Y189" s="162"/>
      <c r="Z189" s="162"/>
      <c r="AA189" s="162"/>
      <c r="AB189" s="162"/>
      <c r="AC189" s="162"/>
      <c r="AD189" s="162"/>
      <c r="AE189" s="162"/>
      <c r="AG189" s="162"/>
      <c r="AH189" s="162"/>
      <c r="AI189" s="162"/>
      <c r="AJ189" s="162"/>
      <c r="AK189" s="162"/>
      <c r="AL189" s="162"/>
      <c r="AM189" s="162"/>
      <c r="AN189" s="162"/>
      <c r="AO189" s="162"/>
      <c r="AP189" s="162"/>
      <c r="AQ189" s="162"/>
      <c r="AR189" s="162"/>
      <c r="AS189" s="162"/>
      <c r="AT189" s="162"/>
      <c r="AU189" s="162"/>
      <c r="AV189" s="162"/>
      <c r="AW189" s="162"/>
      <c r="AX189" s="162"/>
      <c r="AY189" s="162"/>
      <c r="AZ189" s="162"/>
      <c r="BA189" s="162"/>
      <c r="BB189" s="171"/>
      <c r="BC189" s="162"/>
      <c r="BD189" s="171"/>
    </row>
    <row r="190" spans="1:56" ht="15.75" customHeight="1">
      <c r="A190" s="162"/>
      <c r="B190" s="163"/>
      <c r="C190" s="164"/>
      <c r="D190" s="162"/>
      <c r="E190" s="162"/>
      <c r="F190" s="162"/>
      <c r="G190" s="162"/>
      <c r="H190" s="162"/>
      <c r="I190" s="162"/>
      <c r="J190" s="162"/>
      <c r="K190" s="162"/>
      <c r="L190" s="162"/>
      <c r="T190" s="162"/>
      <c r="U190" s="162"/>
      <c r="V190" s="162"/>
      <c r="W190" s="162"/>
      <c r="X190" s="162"/>
      <c r="Y190" s="162"/>
      <c r="Z190" s="162"/>
      <c r="AA190" s="162"/>
      <c r="AB190" s="162"/>
      <c r="AC190" s="162"/>
      <c r="AD190" s="162"/>
      <c r="AE190" s="162"/>
      <c r="AG190" s="162"/>
      <c r="AH190" s="162"/>
      <c r="AI190" s="162"/>
      <c r="AJ190" s="162"/>
      <c r="AK190" s="162"/>
      <c r="AL190" s="162"/>
      <c r="AM190" s="162"/>
      <c r="AN190" s="162"/>
      <c r="AO190" s="162"/>
      <c r="AP190" s="162"/>
      <c r="AQ190" s="162"/>
      <c r="AR190" s="162"/>
      <c r="AS190" s="162"/>
      <c r="AT190" s="162"/>
      <c r="AU190" s="162"/>
      <c r="AV190" s="162"/>
      <c r="AW190" s="162"/>
      <c r="AX190" s="162"/>
      <c r="AY190" s="162"/>
      <c r="AZ190" s="162"/>
      <c r="BA190" s="162"/>
      <c r="BB190" s="171"/>
      <c r="BC190" s="162"/>
      <c r="BD190" s="171"/>
    </row>
    <row r="191" spans="1:56" ht="15.75" customHeight="1">
      <c r="A191" s="162"/>
      <c r="B191" s="163"/>
      <c r="C191" s="164"/>
      <c r="D191" s="162"/>
      <c r="E191" s="162"/>
      <c r="F191" s="162"/>
      <c r="G191" s="162"/>
      <c r="H191" s="162"/>
      <c r="I191" s="162"/>
      <c r="J191" s="162"/>
      <c r="K191" s="162"/>
      <c r="L191" s="162"/>
      <c r="T191" s="162"/>
      <c r="U191" s="162"/>
      <c r="V191" s="162"/>
      <c r="W191" s="162"/>
      <c r="X191" s="162"/>
      <c r="Y191" s="162"/>
      <c r="Z191" s="162"/>
      <c r="AA191" s="162"/>
      <c r="AB191" s="162"/>
      <c r="AC191" s="162"/>
      <c r="AD191" s="162"/>
      <c r="AE191" s="162"/>
      <c r="AG191" s="162"/>
      <c r="AH191" s="162"/>
      <c r="AI191" s="162"/>
      <c r="AJ191" s="162"/>
      <c r="AK191" s="162"/>
      <c r="AL191" s="162"/>
      <c r="AM191" s="162"/>
      <c r="AN191" s="162"/>
      <c r="AO191" s="162"/>
      <c r="AP191" s="162"/>
      <c r="AQ191" s="162"/>
      <c r="AR191" s="162"/>
      <c r="AS191" s="162"/>
      <c r="AT191" s="162"/>
      <c r="AU191" s="162"/>
      <c r="AV191" s="162"/>
      <c r="AW191" s="162"/>
      <c r="AX191" s="162"/>
      <c r="AY191" s="162"/>
      <c r="AZ191" s="162"/>
      <c r="BA191" s="162"/>
      <c r="BB191" s="171"/>
      <c r="BC191" s="162"/>
      <c r="BD191" s="171"/>
    </row>
    <row r="192" spans="1:56" ht="15.75" customHeight="1">
      <c r="A192" s="162"/>
      <c r="B192" s="163"/>
      <c r="C192" s="164"/>
      <c r="D192" s="162"/>
      <c r="E192" s="162"/>
      <c r="F192" s="162"/>
      <c r="G192" s="162"/>
      <c r="H192" s="162"/>
      <c r="I192" s="162"/>
      <c r="J192" s="162"/>
      <c r="K192" s="162"/>
      <c r="L192" s="162"/>
      <c r="T192" s="162"/>
      <c r="U192" s="162"/>
      <c r="V192" s="162"/>
      <c r="W192" s="162"/>
      <c r="X192" s="162"/>
      <c r="Y192" s="162"/>
      <c r="Z192" s="162"/>
      <c r="AA192" s="162"/>
      <c r="AB192" s="162"/>
      <c r="AC192" s="162"/>
      <c r="AD192" s="162"/>
      <c r="AE192" s="162"/>
      <c r="AG192" s="162"/>
      <c r="AH192" s="162"/>
      <c r="AI192" s="162"/>
      <c r="AJ192" s="162"/>
      <c r="AK192" s="162"/>
      <c r="AL192" s="162"/>
      <c r="AM192" s="162"/>
      <c r="AN192" s="162"/>
      <c r="AO192" s="162"/>
      <c r="AP192" s="162"/>
      <c r="AQ192" s="162"/>
      <c r="AR192" s="162"/>
      <c r="AS192" s="162"/>
      <c r="AT192" s="162"/>
      <c r="AU192" s="162"/>
      <c r="AV192" s="162"/>
      <c r="AW192" s="162"/>
      <c r="AX192" s="162"/>
      <c r="AY192" s="162"/>
      <c r="AZ192" s="162"/>
      <c r="BA192" s="162"/>
      <c r="BB192" s="171"/>
      <c r="BC192" s="162"/>
      <c r="BD192" s="171"/>
    </row>
    <row r="193" spans="1:56" ht="15.75" customHeight="1">
      <c r="A193" s="162"/>
      <c r="B193" s="163"/>
      <c r="C193" s="164"/>
      <c r="D193" s="162"/>
      <c r="E193" s="162"/>
      <c r="F193" s="162"/>
      <c r="G193" s="162"/>
      <c r="H193" s="162"/>
      <c r="I193" s="162"/>
      <c r="J193" s="162"/>
      <c r="K193" s="162"/>
      <c r="L193" s="162"/>
      <c r="T193" s="162"/>
      <c r="U193" s="162"/>
      <c r="V193" s="162"/>
      <c r="W193" s="162"/>
      <c r="X193" s="162"/>
      <c r="Y193" s="162"/>
      <c r="Z193" s="162"/>
      <c r="AA193" s="162"/>
      <c r="AB193" s="162"/>
      <c r="AC193" s="162"/>
      <c r="AD193" s="162"/>
      <c r="AE193" s="162"/>
      <c r="AG193" s="162"/>
      <c r="AH193" s="162"/>
      <c r="AI193" s="162"/>
      <c r="AJ193" s="162"/>
      <c r="AK193" s="162"/>
      <c r="AL193" s="162"/>
      <c r="AM193" s="162"/>
      <c r="AN193" s="162"/>
      <c r="AO193" s="162"/>
      <c r="AP193" s="162"/>
      <c r="AQ193" s="162"/>
      <c r="AR193" s="162"/>
      <c r="AS193" s="162"/>
      <c r="AT193" s="162"/>
      <c r="AU193" s="162"/>
      <c r="AV193" s="162"/>
      <c r="AW193" s="162"/>
      <c r="AX193" s="162"/>
      <c r="AY193" s="162"/>
      <c r="AZ193" s="162"/>
      <c r="BA193" s="162"/>
      <c r="BB193" s="171"/>
      <c r="BC193" s="162"/>
      <c r="BD193" s="171"/>
    </row>
    <row r="194" spans="1:56" ht="15.75" customHeight="1">
      <c r="A194" s="162"/>
      <c r="B194" s="163"/>
      <c r="C194" s="164"/>
      <c r="D194" s="162"/>
      <c r="E194" s="162"/>
      <c r="F194" s="162"/>
      <c r="G194" s="162"/>
      <c r="H194" s="162"/>
      <c r="I194" s="162"/>
      <c r="J194" s="162"/>
      <c r="K194" s="162"/>
      <c r="L194" s="162"/>
      <c r="T194" s="162"/>
      <c r="U194" s="162"/>
      <c r="V194" s="162"/>
      <c r="W194" s="162"/>
      <c r="X194" s="162"/>
      <c r="Y194" s="162"/>
      <c r="Z194" s="162"/>
      <c r="AA194" s="162"/>
      <c r="AB194" s="162"/>
      <c r="AC194" s="162"/>
      <c r="AD194" s="162"/>
      <c r="AE194" s="162"/>
      <c r="AG194" s="162"/>
      <c r="AH194" s="162"/>
      <c r="AI194" s="162"/>
      <c r="AJ194" s="162"/>
      <c r="AK194" s="162"/>
      <c r="AL194" s="162"/>
      <c r="AM194" s="162"/>
      <c r="AN194" s="162"/>
      <c r="AO194" s="162"/>
      <c r="AP194" s="162"/>
      <c r="AQ194" s="162"/>
      <c r="AR194" s="162"/>
      <c r="AS194" s="162"/>
      <c r="AT194" s="162"/>
      <c r="AU194" s="162"/>
      <c r="AV194" s="162"/>
      <c r="AW194" s="162"/>
      <c r="AX194" s="162"/>
      <c r="AY194" s="162"/>
      <c r="AZ194" s="162"/>
      <c r="BA194" s="162"/>
      <c r="BB194" s="171"/>
      <c r="BC194" s="162"/>
      <c r="BD194" s="171"/>
    </row>
    <row r="195" spans="1:56" ht="15.75" customHeight="1">
      <c r="A195" s="162"/>
      <c r="B195" s="163"/>
      <c r="C195" s="164"/>
      <c r="D195" s="162"/>
      <c r="E195" s="162"/>
      <c r="F195" s="162"/>
      <c r="G195" s="162"/>
      <c r="H195" s="162"/>
      <c r="I195" s="162"/>
      <c r="J195" s="162"/>
      <c r="K195" s="162"/>
      <c r="L195" s="162"/>
      <c r="T195" s="162"/>
      <c r="U195" s="162"/>
      <c r="V195" s="162"/>
      <c r="W195" s="162"/>
      <c r="X195" s="162"/>
      <c r="Y195" s="162"/>
      <c r="Z195" s="162"/>
      <c r="AA195" s="162"/>
      <c r="AB195" s="162"/>
      <c r="AC195" s="162"/>
      <c r="AD195" s="162"/>
      <c r="AE195" s="162"/>
      <c r="AG195" s="162"/>
      <c r="AH195" s="162"/>
      <c r="AI195" s="162"/>
      <c r="AJ195" s="162"/>
      <c r="AK195" s="162"/>
      <c r="AL195" s="162"/>
      <c r="AM195" s="162"/>
      <c r="AN195" s="162"/>
      <c r="AO195" s="162"/>
      <c r="AP195" s="162"/>
      <c r="AQ195" s="162"/>
      <c r="AR195" s="162"/>
      <c r="AS195" s="162"/>
      <c r="AT195" s="162"/>
      <c r="AU195" s="162"/>
      <c r="AV195" s="162"/>
      <c r="AW195" s="162"/>
      <c r="AX195" s="162"/>
      <c r="AY195" s="162"/>
      <c r="AZ195" s="162"/>
      <c r="BA195" s="162"/>
      <c r="BB195" s="171"/>
      <c r="BC195" s="162"/>
      <c r="BD195" s="171"/>
    </row>
    <row r="196" spans="1:56" ht="15.75" customHeight="1">
      <c r="A196" s="162"/>
      <c r="B196" s="163"/>
      <c r="C196" s="164"/>
      <c r="D196" s="162"/>
      <c r="E196" s="162"/>
      <c r="F196" s="162"/>
      <c r="G196" s="162"/>
      <c r="H196" s="162"/>
      <c r="I196" s="162"/>
      <c r="J196" s="162"/>
      <c r="K196" s="162"/>
      <c r="L196" s="162"/>
      <c r="T196" s="162"/>
      <c r="U196" s="162"/>
      <c r="V196" s="162"/>
      <c r="W196" s="162"/>
      <c r="X196" s="162"/>
      <c r="Y196" s="162"/>
      <c r="Z196" s="162"/>
      <c r="AA196" s="162"/>
      <c r="AB196" s="162"/>
      <c r="AC196" s="162"/>
      <c r="AD196" s="162"/>
      <c r="AE196" s="162"/>
      <c r="AG196" s="162"/>
      <c r="AH196" s="162"/>
      <c r="AI196" s="162"/>
      <c r="AJ196" s="162"/>
      <c r="AK196" s="162"/>
      <c r="AL196" s="162"/>
      <c r="AM196" s="162"/>
      <c r="AN196" s="162"/>
      <c r="AO196" s="162"/>
      <c r="AP196" s="162"/>
      <c r="AQ196" s="162"/>
      <c r="AR196" s="162"/>
      <c r="AS196" s="162"/>
      <c r="AT196" s="162"/>
      <c r="AU196" s="162"/>
      <c r="AV196" s="162"/>
      <c r="AW196" s="162"/>
      <c r="AX196" s="162"/>
      <c r="AY196" s="162"/>
      <c r="AZ196" s="162"/>
      <c r="BA196" s="162"/>
      <c r="BB196" s="171"/>
      <c r="BC196" s="162"/>
      <c r="BD196" s="171"/>
    </row>
    <row r="197" spans="1:56" ht="15.75" customHeight="1">
      <c r="A197" s="162"/>
      <c r="B197" s="163"/>
      <c r="C197" s="164"/>
      <c r="D197" s="162"/>
      <c r="E197" s="162"/>
      <c r="F197" s="162"/>
      <c r="G197" s="162"/>
      <c r="H197" s="162"/>
      <c r="I197" s="162"/>
      <c r="J197" s="162"/>
      <c r="K197" s="162"/>
      <c r="L197" s="162"/>
      <c r="T197" s="162"/>
      <c r="U197" s="162"/>
      <c r="V197" s="162"/>
      <c r="W197" s="162"/>
      <c r="X197" s="162"/>
      <c r="Y197" s="162"/>
      <c r="Z197" s="162"/>
      <c r="AA197" s="162"/>
      <c r="AB197" s="162"/>
      <c r="AC197" s="162"/>
      <c r="AD197" s="162"/>
      <c r="AE197" s="162"/>
      <c r="AG197" s="162"/>
      <c r="AH197" s="162"/>
      <c r="AI197" s="162"/>
      <c r="AJ197" s="162"/>
      <c r="AK197" s="162"/>
      <c r="AL197" s="162"/>
      <c r="AM197" s="162"/>
      <c r="AN197" s="162"/>
      <c r="AO197" s="162"/>
      <c r="AP197" s="162"/>
      <c r="AQ197" s="162"/>
      <c r="AR197" s="162"/>
      <c r="AS197" s="162"/>
      <c r="AT197" s="162"/>
      <c r="AU197" s="162"/>
      <c r="AV197" s="162"/>
      <c r="AW197" s="162"/>
      <c r="AX197" s="162"/>
      <c r="AY197" s="162"/>
      <c r="AZ197" s="162"/>
      <c r="BA197" s="162"/>
      <c r="BB197" s="171"/>
      <c r="BC197" s="162"/>
      <c r="BD197" s="171"/>
    </row>
    <row r="198" spans="1:56" ht="15.75" customHeight="1">
      <c r="A198" s="162"/>
      <c r="B198" s="163"/>
      <c r="C198" s="164"/>
      <c r="D198" s="162"/>
      <c r="E198" s="162"/>
      <c r="F198" s="162"/>
      <c r="G198" s="162"/>
      <c r="H198" s="162"/>
      <c r="I198" s="162"/>
      <c r="J198" s="162"/>
      <c r="K198" s="162"/>
      <c r="L198" s="162"/>
      <c r="T198" s="162"/>
      <c r="U198" s="162"/>
      <c r="V198" s="162"/>
      <c r="W198" s="162"/>
      <c r="X198" s="162"/>
      <c r="Y198" s="162"/>
      <c r="Z198" s="162"/>
      <c r="AA198" s="162"/>
      <c r="AB198" s="162"/>
      <c r="AC198" s="162"/>
      <c r="AD198" s="162"/>
      <c r="AE198" s="162"/>
      <c r="AG198" s="162"/>
      <c r="AH198" s="162"/>
      <c r="AI198" s="162"/>
      <c r="AJ198" s="162"/>
      <c r="AK198" s="162"/>
      <c r="AL198" s="162"/>
      <c r="AM198" s="162"/>
      <c r="AN198" s="162"/>
      <c r="AO198" s="162"/>
      <c r="AP198" s="162"/>
      <c r="AQ198" s="162"/>
      <c r="AR198" s="162"/>
      <c r="AS198" s="162"/>
      <c r="AT198" s="162"/>
      <c r="AU198" s="162"/>
      <c r="AV198" s="162"/>
      <c r="AW198" s="162"/>
      <c r="AX198" s="162"/>
      <c r="AY198" s="162"/>
      <c r="AZ198" s="162"/>
      <c r="BA198" s="162"/>
      <c r="BB198" s="171"/>
      <c r="BC198" s="162"/>
      <c r="BD198" s="171"/>
    </row>
    <row r="199" spans="1:56" ht="15.75" customHeight="1">
      <c r="A199" s="162"/>
      <c r="B199" s="163"/>
      <c r="C199" s="164"/>
      <c r="D199" s="162"/>
      <c r="E199" s="162"/>
      <c r="F199" s="162"/>
      <c r="G199" s="162"/>
      <c r="H199" s="162"/>
      <c r="I199" s="162"/>
      <c r="J199" s="162"/>
      <c r="K199" s="162"/>
      <c r="L199" s="162"/>
      <c r="T199" s="162"/>
      <c r="U199" s="162"/>
      <c r="V199" s="162"/>
      <c r="W199" s="162"/>
      <c r="X199" s="162"/>
      <c r="Y199" s="162"/>
      <c r="Z199" s="162"/>
      <c r="AA199" s="162"/>
      <c r="AB199" s="162"/>
      <c r="AC199" s="162"/>
      <c r="AD199" s="162"/>
      <c r="AE199" s="162"/>
      <c r="AG199" s="162"/>
      <c r="AH199" s="162"/>
      <c r="AI199" s="162"/>
      <c r="AJ199" s="162"/>
      <c r="AK199" s="162"/>
      <c r="AL199" s="162"/>
      <c r="AM199" s="162"/>
      <c r="AN199" s="162"/>
      <c r="AO199" s="162"/>
      <c r="AP199" s="162"/>
      <c r="AQ199" s="162"/>
      <c r="AR199" s="162"/>
      <c r="AS199" s="162"/>
      <c r="AT199" s="162"/>
      <c r="AU199" s="162"/>
      <c r="AV199" s="162"/>
      <c r="AW199" s="162"/>
      <c r="AX199" s="162"/>
      <c r="AY199" s="162"/>
      <c r="AZ199" s="162"/>
      <c r="BA199" s="162"/>
      <c r="BB199" s="171"/>
      <c r="BC199" s="162"/>
      <c r="BD199" s="171"/>
    </row>
    <row r="200" spans="1:56" ht="15.75" customHeight="1">
      <c r="A200" s="162"/>
      <c r="B200" s="163"/>
      <c r="C200" s="164"/>
      <c r="D200" s="162"/>
      <c r="E200" s="162"/>
      <c r="F200" s="162"/>
      <c r="G200" s="162"/>
      <c r="H200" s="162"/>
      <c r="I200" s="162"/>
      <c r="J200" s="162"/>
      <c r="K200" s="162"/>
      <c r="L200" s="162"/>
      <c r="T200" s="162"/>
      <c r="U200" s="162"/>
      <c r="V200" s="162"/>
      <c r="W200" s="162"/>
      <c r="X200" s="162"/>
      <c r="Y200" s="162"/>
      <c r="Z200" s="162"/>
      <c r="AA200" s="162"/>
      <c r="AB200" s="162"/>
      <c r="AC200" s="162"/>
      <c r="AD200" s="162"/>
      <c r="AE200" s="162"/>
      <c r="AG200" s="162"/>
      <c r="AH200" s="162"/>
      <c r="AI200" s="162"/>
      <c r="AJ200" s="162"/>
      <c r="AK200" s="162"/>
      <c r="AL200" s="162"/>
      <c r="AM200" s="162"/>
      <c r="AN200" s="162"/>
      <c r="AO200" s="162"/>
      <c r="AP200" s="162"/>
      <c r="AQ200" s="162"/>
      <c r="AR200" s="162"/>
      <c r="AS200" s="162"/>
      <c r="AT200" s="162"/>
      <c r="AU200" s="162"/>
      <c r="AV200" s="162"/>
      <c r="AW200" s="162"/>
      <c r="AX200" s="162"/>
      <c r="AY200" s="162"/>
      <c r="AZ200" s="162"/>
      <c r="BA200" s="162"/>
      <c r="BB200" s="171"/>
      <c r="BC200" s="162"/>
      <c r="BD200" s="171"/>
    </row>
    <row r="201" spans="1:56" ht="15.75" customHeight="1">
      <c r="A201" s="162"/>
      <c r="B201" s="163"/>
      <c r="C201" s="164"/>
      <c r="D201" s="162"/>
      <c r="E201" s="162"/>
      <c r="F201" s="162"/>
      <c r="G201" s="162"/>
      <c r="H201" s="162"/>
      <c r="I201" s="162"/>
      <c r="J201" s="162"/>
      <c r="K201" s="162"/>
      <c r="L201" s="162"/>
      <c r="T201" s="162"/>
      <c r="U201" s="162"/>
      <c r="V201" s="162"/>
      <c r="W201" s="162"/>
      <c r="X201" s="162"/>
      <c r="Y201" s="162"/>
      <c r="Z201" s="162"/>
      <c r="AA201" s="162"/>
      <c r="AB201" s="162"/>
      <c r="AC201" s="162"/>
      <c r="AD201" s="162"/>
      <c r="AE201" s="162"/>
      <c r="AG201" s="162"/>
      <c r="AH201" s="162"/>
      <c r="AI201" s="162"/>
      <c r="AJ201" s="162"/>
      <c r="AK201" s="162"/>
      <c r="AL201" s="162"/>
      <c r="AM201" s="162"/>
      <c r="AN201" s="162"/>
      <c r="AO201" s="162"/>
      <c r="AP201" s="162"/>
      <c r="AQ201" s="162"/>
      <c r="AR201" s="162"/>
      <c r="AS201" s="162"/>
      <c r="AT201" s="162"/>
      <c r="AU201" s="162"/>
      <c r="AV201" s="162"/>
      <c r="AW201" s="162"/>
      <c r="AX201" s="162"/>
      <c r="AY201" s="162"/>
      <c r="AZ201" s="162"/>
      <c r="BA201" s="162"/>
      <c r="BB201" s="171"/>
      <c r="BC201" s="162"/>
      <c r="BD201" s="171"/>
    </row>
    <row r="202" spans="1:56" ht="15.75" customHeight="1">
      <c r="A202" s="162"/>
      <c r="B202" s="163"/>
      <c r="C202" s="164"/>
      <c r="D202" s="162"/>
      <c r="E202" s="162"/>
      <c r="F202" s="162"/>
      <c r="G202" s="162"/>
      <c r="H202" s="162"/>
      <c r="I202" s="162"/>
      <c r="J202" s="162"/>
      <c r="K202" s="162"/>
      <c r="L202" s="162"/>
      <c r="T202" s="162"/>
      <c r="U202" s="162"/>
      <c r="V202" s="162"/>
      <c r="W202" s="162"/>
      <c r="X202" s="162"/>
      <c r="Y202" s="162"/>
      <c r="Z202" s="162"/>
      <c r="AA202" s="162"/>
      <c r="AB202" s="162"/>
      <c r="AC202" s="162"/>
      <c r="AD202" s="162"/>
      <c r="AE202" s="162"/>
      <c r="AG202" s="162"/>
      <c r="AH202" s="162"/>
      <c r="AI202" s="162"/>
      <c r="AJ202" s="162"/>
      <c r="AK202" s="162"/>
      <c r="AL202" s="162"/>
      <c r="AM202" s="162"/>
      <c r="AN202" s="162"/>
      <c r="AO202" s="162"/>
      <c r="AP202" s="162"/>
      <c r="AQ202" s="162"/>
      <c r="AR202" s="162"/>
      <c r="AS202" s="162"/>
      <c r="AT202" s="162"/>
      <c r="AU202" s="162"/>
      <c r="AV202" s="162"/>
      <c r="AW202" s="162"/>
      <c r="AX202" s="162"/>
      <c r="AY202" s="162"/>
      <c r="AZ202" s="162"/>
      <c r="BA202" s="162"/>
      <c r="BB202" s="171"/>
      <c r="BC202" s="162"/>
      <c r="BD202" s="171"/>
    </row>
    <row r="203" spans="1:56" ht="15.75" customHeight="1">
      <c r="A203" s="162"/>
      <c r="B203" s="163"/>
      <c r="C203" s="164"/>
      <c r="D203" s="162"/>
      <c r="E203" s="162"/>
      <c r="F203" s="162"/>
      <c r="G203" s="162"/>
      <c r="H203" s="162"/>
      <c r="I203" s="162"/>
      <c r="J203" s="162"/>
      <c r="K203" s="162"/>
      <c r="L203" s="162"/>
      <c r="T203" s="162"/>
      <c r="U203" s="162"/>
      <c r="V203" s="162"/>
      <c r="W203" s="162"/>
      <c r="X203" s="162"/>
      <c r="Y203" s="162"/>
      <c r="Z203" s="162"/>
      <c r="AA203" s="162"/>
      <c r="AB203" s="162"/>
      <c r="AC203" s="162"/>
      <c r="AD203" s="162"/>
      <c r="AE203" s="162"/>
      <c r="AG203" s="162"/>
      <c r="AH203" s="162"/>
      <c r="AI203" s="162"/>
      <c r="AJ203" s="162"/>
      <c r="AK203" s="162"/>
      <c r="AL203" s="162"/>
      <c r="AM203" s="162"/>
      <c r="AN203" s="162"/>
      <c r="AO203" s="162"/>
      <c r="AP203" s="162"/>
      <c r="AQ203" s="162"/>
      <c r="AR203" s="162"/>
      <c r="AS203" s="162"/>
      <c r="AT203" s="162"/>
      <c r="AU203" s="162"/>
      <c r="AV203" s="162"/>
      <c r="AW203" s="162"/>
      <c r="AX203" s="162"/>
      <c r="AY203" s="162"/>
      <c r="AZ203" s="162"/>
      <c r="BA203" s="162"/>
      <c r="BB203" s="171"/>
      <c r="BC203" s="162"/>
      <c r="BD203" s="171"/>
    </row>
    <row r="204" spans="1:56" ht="15.75" customHeight="1">
      <c r="A204" s="162"/>
      <c r="B204" s="163"/>
      <c r="C204" s="164"/>
      <c r="D204" s="162"/>
      <c r="E204" s="162"/>
      <c r="F204" s="162"/>
      <c r="G204" s="162"/>
      <c r="H204" s="162"/>
      <c r="I204" s="162"/>
      <c r="J204" s="162"/>
      <c r="K204" s="162"/>
      <c r="L204" s="162"/>
      <c r="T204" s="162"/>
      <c r="U204" s="162"/>
      <c r="V204" s="162"/>
      <c r="W204" s="162"/>
      <c r="X204" s="162"/>
      <c r="Y204" s="162"/>
      <c r="Z204" s="162"/>
      <c r="AA204" s="162"/>
      <c r="AB204" s="162"/>
      <c r="AC204" s="162"/>
      <c r="AD204" s="162"/>
      <c r="AE204" s="162"/>
      <c r="AG204" s="162"/>
      <c r="AH204" s="162"/>
      <c r="AI204" s="162"/>
      <c r="AJ204" s="162"/>
      <c r="AK204" s="162"/>
      <c r="AL204" s="162"/>
      <c r="AM204" s="162"/>
      <c r="AN204" s="162"/>
      <c r="AO204" s="162"/>
      <c r="AP204" s="162"/>
      <c r="AQ204" s="162"/>
      <c r="AR204" s="162"/>
      <c r="AS204" s="162"/>
      <c r="AT204" s="162"/>
      <c r="AU204" s="162"/>
      <c r="AV204" s="162"/>
      <c r="AW204" s="162"/>
      <c r="AX204" s="162"/>
      <c r="AY204" s="162"/>
      <c r="AZ204" s="162"/>
      <c r="BA204" s="162"/>
      <c r="BB204" s="171"/>
      <c r="BC204" s="162"/>
      <c r="BD204" s="171"/>
    </row>
    <row r="205" spans="1:56" ht="15.75" customHeight="1">
      <c r="A205" s="162"/>
      <c r="B205" s="163"/>
      <c r="C205" s="164"/>
      <c r="D205" s="162"/>
      <c r="E205" s="162"/>
      <c r="F205" s="162"/>
      <c r="G205" s="162"/>
      <c r="H205" s="162"/>
      <c r="I205" s="162"/>
      <c r="J205" s="162"/>
      <c r="K205" s="162"/>
      <c r="L205" s="162"/>
      <c r="T205" s="162"/>
      <c r="U205" s="162"/>
      <c r="V205" s="162"/>
      <c r="W205" s="162"/>
      <c r="X205" s="162"/>
      <c r="Y205" s="162"/>
      <c r="Z205" s="162"/>
      <c r="AA205" s="162"/>
      <c r="AB205" s="162"/>
      <c r="AC205" s="162"/>
      <c r="AD205" s="162"/>
      <c r="AE205" s="162"/>
      <c r="AG205" s="162"/>
      <c r="AH205" s="162"/>
      <c r="AI205" s="162"/>
      <c r="AJ205" s="162"/>
      <c r="AK205" s="162"/>
      <c r="AL205" s="162"/>
      <c r="AM205" s="162"/>
      <c r="AN205" s="162"/>
      <c r="AO205" s="162"/>
      <c r="AP205" s="162"/>
      <c r="AQ205" s="162"/>
      <c r="AR205" s="162"/>
      <c r="AS205" s="162"/>
      <c r="AT205" s="162"/>
      <c r="AU205" s="162"/>
      <c r="AV205" s="162"/>
      <c r="AW205" s="162"/>
      <c r="AX205" s="162"/>
      <c r="AY205" s="162"/>
      <c r="AZ205" s="162"/>
      <c r="BA205" s="162"/>
      <c r="BB205" s="171"/>
      <c r="BC205" s="162"/>
      <c r="BD205" s="171"/>
    </row>
    <row r="206" spans="1:56" ht="15.75" customHeight="1">
      <c r="A206" s="162"/>
      <c r="B206" s="163"/>
      <c r="C206" s="164"/>
      <c r="D206" s="162"/>
      <c r="E206" s="162"/>
      <c r="F206" s="162"/>
      <c r="G206" s="162"/>
      <c r="H206" s="162"/>
      <c r="I206" s="162"/>
      <c r="J206" s="162"/>
      <c r="K206" s="162"/>
      <c r="L206" s="162"/>
      <c r="T206" s="162"/>
      <c r="U206" s="162"/>
      <c r="V206" s="162"/>
      <c r="W206" s="162"/>
      <c r="X206" s="162"/>
      <c r="Y206" s="162"/>
      <c r="Z206" s="162"/>
      <c r="AA206" s="162"/>
      <c r="AB206" s="162"/>
      <c r="AC206" s="162"/>
      <c r="AD206" s="162"/>
      <c r="AE206" s="162"/>
      <c r="AG206" s="162"/>
      <c r="AH206" s="162"/>
      <c r="AI206" s="162"/>
      <c r="AJ206" s="162"/>
      <c r="AK206" s="162"/>
      <c r="AL206" s="162"/>
      <c r="AM206" s="162"/>
      <c r="AN206" s="162"/>
      <c r="AO206" s="162"/>
      <c r="AP206" s="162"/>
      <c r="AQ206" s="162"/>
      <c r="AR206" s="162"/>
      <c r="AS206" s="162"/>
      <c r="AT206" s="162"/>
      <c r="AU206" s="162"/>
      <c r="AV206" s="162"/>
      <c r="AW206" s="162"/>
      <c r="AX206" s="162"/>
      <c r="AY206" s="162"/>
      <c r="AZ206" s="162"/>
      <c r="BA206" s="162"/>
      <c r="BB206" s="171"/>
      <c r="BC206" s="162"/>
      <c r="BD206" s="171"/>
    </row>
    <row r="207" spans="1:56" ht="15.75" customHeight="1">
      <c r="A207" s="162"/>
      <c r="B207" s="163"/>
      <c r="C207" s="164"/>
      <c r="D207" s="162"/>
      <c r="E207" s="162"/>
      <c r="F207" s="162"/>
      <c r="G207" s="162"/>
      <c r="H207" s="162"/>
      <c r="I207" s="162"/>
      <c r="J207" s="162"/>
      <c r="K207" s="162"/>
      <c r="L207" s="162"/>
      <c r="T207" s="162"/>
      <c r="U207" s="162"/>
      <c r="V207" s="162"/>
      <c r="W207" s="162"/>
      <c r="X207" s="162"/>
      <c r="Y207" s="162"/>
      <c r="Z207" s="162"/>
      <c r="AA207" s="162"/>
      <c r="AB207" s="162"/>
      <c r="AC207" s="162"/>
      <c r="AD207" s="162"/>
      <c r="AE207" s="162"/>
      <c r="AG207" s="162"/>
      <c r="AH207" s="162"/>
      <c r="AI207" s="162"/>
      <c r="AJ207" s="162"/>
      <c r="AK207" s="162"/>
      <c r="AL207" s="162"/>
      <c r="AM207" s="162"/>
      <c r="AN207" s="162"/>
      <c r="AO207" s="162"/>
      <c r="AP207" s="162"/>
      <c r="AQ207" s="162"/>
      <c r="AR207" s="162"/>
      <c r="AS207" s="162"/>
      <c r="AT207" s="162"/>
      <c r="AU207" s="162"/>
      <c r="AV207" s="162"/>
      <c r="AW207" s="162"/>
      <c r="AX207" s="162"/>
      <c r="AY207" s="162"/>
      <c r="AZ207" s="162"/>
      <c r="BA207" s="162"/>
      <c r="BB207" s="171"/>
      <c r="BC207" s="162"/>
      <c r="BD207" s="171"/>
    </row>
    <row r="208" spans="1:56" ht="15.75" customHeight="1">
      <c r="A208" s="162"/>
      <c r="B208" s="163"/>
      <c r="C208" s="164"/>
      <c r="D208" s="162"/>
      <c r="E208" s="162"/>
      <c r="F208" s="162"/>
      <c r="G208" s="162"/>
      <c r="H208" s="162"/>
      <c r="I208" s="162"/>
      <c r="J208" s="162"/>
      <c r="K208" s="162"/>
      <c r="L208" s="162"/>
      <c r="T208" s="162"/>
      <c r="U208" s="162"/>
      <c r="V208" s="162"/>
      <c r="W208" s="162"/>
      <c r="X208" s="162"/>
      <c r="Y208" s="162"/>
      <c r="Z208" s="162"/>
      <c r="AA208" s="162"/>
      <c r="AB208" s="162"/>
      <c r="AC208" s="162"/>
      <c r="AD208" s="162"/>
      <c r="AE208" s="162"/>
      <c r="AG208" s="162"/>
      <c r="AH208" s="162"/>
      <c r="AI208" s="162"/>
      <c r="AJ208" s="162"/>
      <c r="AK208" s="162"/>
      <c r="AL208" s="162"/>
      <c r="AM208" s="162"/>
      <c r="AN208" s="162"/>
      <c r="AO208" s="162"/>
      <c r="AP208" s="162"/>
      <c r="AQ208" s="162"/>
      <c r="AR208" s="162"/>
      <c r="AS208" s="162"/>
      <c r="AT208" s="162"/>
      <c r="AU208" s="162"/>
      <c r="AV208" s="162"/>
      <c r="AW208" s="162"/>
      <c r="AX208" s="162"/>
      <c r="AY208" s="162"/>
      <c r="AZ208" s="162"/>
      <c r="BA208" s="162"/>
      <c r="BB208" s="171"/>
      <c r="BC208" s="162"/>
      <c r="BD208" s="171"/>
    </row>
    <row r="209" spans="1:56" ht="15.75" customHeight="1">
      <c r="A209" s="162"/>
      <c r="B209" s="163"/>
      <c r="C209" s="164"/>
      <c r="D209" s="162"/>
      <c r="E209" s="162"/>
      <c r="F209" s="162"/>
      <c r="G209" s="162"/>
      <c r="H209" s="162"/>
      <c r="I209" s="162"/>
      <c r="J209" s="162"/>
      <c r="K209" s="162"/>
      <c r="L209" s="162"/>
      <c r="T209" s="162"/>
      <c r="U209" s="162"/>
      <c r="V209" s="162"/>
      <c r="W209" s="162"/>
      <c r="X209" s="162"/>
      <c r="Y209" s="162"/>
      <c r="Z209" s="162"/>
      <c r="AA209" s="162"/>
      <c r="AB209" s="162"/>
      <c r="AC209" s="162"/>
      <c r="AD209" s="162"/>
      <c r="AE209" s="162"/>
      <c r="AG209" s="162"/>
      <c r="AH209" s="162"/>
      <c r="AI209" s="162"/>
      <c r="AJ209" s="162"/>
      <c r="AK209" s="162"/>
      <c r="AL209" s="162"/>
      <c r="AM209" s="162"/>
      <c r="AN209" s="162"/>
      <c r="AO209" s="162"/>
      <c r="AP209" s="162"/>
      <c r="AQ209" s="162"/>
      <c r="AR209" s="162"/>
      <c r="AS209" s="162"/>
      <c r="AT209" s="162"/>
      <c r="AU209" s="162"/>
      <c r="AV209" s="162"/>
      <c r="AW209" s="162"/>
      <c r="AX209" s="162"/>
      <c r="AY209" s="162"/>
      <c r="AZ209" s="162"/>
      <c r="BA209" s="162"/>
      <c r="BB209" s="171"/>
      <c r="BC209" s="162"/>
      <c r="BD209" s="171"/>
    </row>
    <row r="210" spans="1:56" ht="15.75" customHeight="1">
      <c r="A210" s="162"/>
      <c r="B210" s="163"/>
      <c r="C210" s="164"/>
      <c r="D210" s="162"/>
      <c r="E210" s="162"/>
      <c r="F210" s="162"/>
      <c r="G210" s="162"/>
      <c r="H210" s="162"/>
      <c r="I210" s="162"/>
      <c r="J210" s="162"/>
      <c r="K210" s="162"/>
      <c r="L210" s="162"/>
      <c r="T210" s="162"/>
      <c r="U210" s="162"/>
      <c r="V210" s="162"/>
      <c r="W210" s="162"/>
      <c r="X210" s="162"/>
      <c r="Y210" s="162"/>
      <c r="Z210" s="162"/>
      <c r="AA210" s="162"/>
      <c r="AB210" s="162"/>
      <c r="AC210" s="162"/>
      <c r="AD210" s="162"/>
      <c r="AE210" s="162"/>
      <c r="AG210" s="162"/>
      <c r="AH210" s="162"/>
      <c r="AI210" s="162"/>
      <c r="AJ210" s="162"/>
      <c r="AK210" s="162"/>
      <c r="AL210" s="162"/>
      <c r="AM210" s="162"/>
      <c r="AN210" s="162"/>
      <c r="AO210" s="162"/>
      <c r="AP210" s="162"/>
      <c r="AQ210" s="162"/>
      <c r="AR210" s="162"/>
      <c r="AS210" s="162"/>
      <c r="AT210" s="162"/>
      <c r="AU210" s="162"/>
      <c r="AV210" s="162"/>
      <c r="AW210" s="162"/>
      <c r="AX210" s="162"/>
      <c r="AY210" s="162"/>
      <c r="AZ210" s="162"/>
      <c r="BA210" s="162"/>
      <c r="BB210" s="171"/>
      <c r="BC210" s="162"/>
      <c r="BD210" s="171"/>
    </row>
    <row r="211" spans="1:56" ht="15.75" customHeight="1">
      <c r="A211" s="162"/>
      <c r="B211" s="163"/>
      <c r="C211" s="164"/>
      <c r="D211" s="162"/>
      <c r="E211" s="162"/>
      <c r="F211" s="162"/>
      <c r="G211" s="162"/>
      <c r="H211" s="162"/>
      <c r="I211" s="162"/>
      <c r="J211" s="162"/>
      <c r="K211" s="162"/>
      <c r="L211" s="162"/>
      <c r="T211" s="162"/>
      <c r="U211" s="162"/>
      <c r="V211" s="162"/>
      <c r="W211" s="162"/>
      <c r="X211" s="162"/>
      <c r="Y211" s="162"/>
      <c r="Z211" s="162"/>
      <c r="AA211" s="162"/>
      <c r="AB211" s="162"/>
      <c r="AC211" s="162"/>
      <c r="AD211" s="162"/>
      <c r="AE211" s="162"/>
      <c r="AG211" s="162"/>
      <c r="AH211" s="162"/>
      <c r="AI211" s="162"/>
      <c r="AJ211" s="162"/>
      <c r="AK211" s="162"/>
      <c r="AL211" s="162"/>
      <c r="AM211" s="162"/>
      <c r="AN211" s="162"/>
      <c r="AO211" s="162"/>
      <c r="AP211" s="162"/>
      <c r="AQ211" s="162"/>
      <c r="AR211" s="162"/>
      <c r="AS211" s="162"/>
      <c r="AT211" s="162"/>
      <c r="AU211" s="162"/>
      <c r="AV211" s="162"/>
      <c r="AW211" s="162"/>
      <c r="AX211" s="162"/>
      <c r="AY211" s="162"/>
      <c r="AZ211" s="162"/>
      <c r="BA211" s="162"/>
      <c r="BB211" s="171"/>
      <c r="BC211" s="162"/>
      <c r="BD211" s="171"/>
    </row>
    <row r="212" spans="1:56" ht="15.75" customHeight="1">
      <c r="A212" s="162"/>
      <c r="B212" s="163"/>
      <c r="C212" s="164"/>
      <c r="D212" s="162"/>
      <c r="E212" s="162"/>
      <c r="F212" s="162"/>
      <c r="G212" s="162"/>
      <c r="H212" s="162"/>
      <c r="I212" s="162"/>
      <c r="J212" s="162"/>
      <c r="K212" s="162"/>
      <c r="L212" s="162"/>
      <c r="T212" s="162"/>
      <c r="U212" s="162"/>
      <c r="V212" s="162"/>
      <c r="W212" s="162"/>
      <c r="X212" s="162"/>
      <c r="Y212" s="162"/>
      <c r="Z212" s="162"/>
      <c r="AA212" s="162"/>
      <c r="AB212" s="162"/>
      <c r="AC212" s="162"/>
      <c r="AD212" s="162"/>
      <c r="AE212" s="162"/>
      <c r="AG212" s="162"/>
      <c r="AH212" s="162"/>
      <c r="AI212" s="162"/>
      <c r="AJ212" s="162"/>
      <c r="AK212" s="162"/>
      <c r="AL212" s="162"/>
      <c r="AM212" s="162"/>
      <c r="AN212" s="162"/>
      <c r="AO212" s="162"/>
      <c r="AP212" s="162"/>
      <c r="AQ212" s="162"/>
      <c r="AR212" s="162"/>
      <c r="AS212" s="162"/>
      <c r="AT212" s="162"/>
      <c r="AU212" s="162"/>
      <c r="AV212" s="162"/>
      <c r="AW212" s="162"/>
      <c r="AX212" s="162"/>
      <c r="AY212" s="162"/>
      <c r="AZ212" s="162"/>
      <c r="BA212" s="162"/>
      <c r="BB212" s="171"/>
      <c r="BC212" s="162"/>
      <c r="BD212" s="171"/>
    </row>
    <row r="213" spans="1:56" ht="15.75" customHeight="1">
      <c r="A213" s="162"/>
      <c r="B213" s="163"/>
      <c r="C213" s="164"/>
      <c r="D213" s="162"/>
      <c r="E213" s="162"/>
      <c r="F213" s="162"/>
      <c r="G213" s="162"/>
      <c r="H213" s="162"/>
      <c r="I213" s="162"/>
      <c r="J213" s="162"/>
      <c r="K213" s="162"/>
      <c r="L213" s="162"/>
      <c r="T213" s="162"/>
      <c r="U213" s="162"/>
      <c r="V213" s="162"/>
      <c r="W213" s="162"/>
      <c r="X213" s="162"/>
      <c r="Y213" s="162"/>
      <c r="Z213" s="162"/>
      <c r="AA213" s="162"/>
      <c r="AB213" s="162"/>
      <c r="AC213" s="162"/>
      <c r="AD213" s="162"/>
      <c r="AE213" s="162"/>
      <c r="AG213" s="162"/>
      <c r="AH213" s="162"/>
      <c r="AI213" s="162"/>
      <c r="AJ213" s="162"/>
      <c r="AK213" s="162"/>
      <c r="AL213" s="162"/>
      <c r="AM213" s="162"/>
      <c r="AN213" s="162"/>
      <c r="AO213" s="162"/>
      <c r="AP213" s="162"/>
      <c r="AQ213" s="162"/>
      <c r="AR213" s="162"/>
      <c r="AS213" s="162"/>
      <c r="AT213" s="162"/>
      <c r="AU213" s="162"/>
      <c r="AV213" s="162"/>
      <c r="AW213" s="162"/>
      <c r="AX213" s="162"/>
      <c r="AY213" s="162"/>
      <c r="AZ213" s="162"/>
      <c r="BA213" s="162"/>
      <c r="BB213" s="171"/>
      <c r="BC213" s="162"/>
      <c r="BD213" s="171"/>
    </row>
    <row r="214" spans="1:56" ht="15.75" customHeight="1">
      <c r="A214" s="162"/>
      <c r="B214" s="163"/>
      <c r="C214" s="164"/>
      <c r="D214" s="162"/>
      <c r="E214" s="162"/>
      <c r="F214" s="162"/>
      <c r="G214" s="162"/>
      <c r="H214" s="162"/>
      <c r="I214" s="162"/>
      <c r="J214" s="162"/>
      <c r="K214" s="162"/>
      <c r="L214" s="162"/>
      <c r="T214" s="162"/>
      <c r="U214" s="162"/>
      <c r="V214" s="162"/>
      <c r="W214" s="162"/>
      <c r="X214" s="162"/>
      <c r="Y214" s="162"/>
      <c r="Z214" s="162"/>
      <c r="AA214" s="162"/>
      <c r="AB214" s="162"/>
      <c r="AC214" s="162"/>
      <c r="AD214" s="162"/>
      <c r="AE214" s="162"/>
      <c r="AG214" s="162"/>
      <c r="AH214" s="162"/>
      <c r="AI214" s="162"/>
      <c r="AJ214" s="162"/>
      <c r="AK214" s="162"/>
      <c r="AL214" s="162"/>
      <c r="AM214" s="162"/>
      <c r="AN214" s="162"/>
      <c r="AO214" s="162"/>
      <c r="AP214" s="162"/>
      <c r="AQ214" s="162"/>
      <c r="AR214" s="162"/>
      <c r="AS214" s="162"/>
      <c r="AT214" s="162"/>
      <c r="AU214" s="162"/>
      <c r="AV214" s="162"/>
      <c r="AW214" s="162"/>
      <c r="AX214" s="162"/>
      <c r="AY214" s="162"/>
      <c r="AZ214" s="162"/>
      <c r="BA214" s="162"/>
      <c r="BB214" s="171"/>
      <c r="BC214" s="162"/>
      <c r="BD214" s="171"/>
    </row>
    <row r="215" spans="1:56" ht="15.75" customHeight="1">
      <c r="A215" s="162"/>
      <c r="B215" s="163"/>
      <c r="C215" s="164"/>
      <c r="D215" s="162"/>
      <c r="E215" s="162"/>
      <c r="F215" s="162"/>
      <c r="G215" s="162"/>
      <c r="H215" s="162"/>
      <c r="I215" s="162"/>
      <c r="J215" s="162"/>
      <c r="K215" s="162"/>
      <c r="L215" s="162"/>
      <c r="T215" s="162"/>
      <c r="U215" s="162"/>
      <c r="V215" s="162"/>
      <c r="W215" s="162"/>
      <c r="X215" s="162"/>
      <c r="Y215" s="162"/>
      <c r="Z215" s="162"/>
      <c r="AA215" s="162"/>
      <c r="AB215" s="162"/>
      <c r="AC215" s="162"/>
      <c r="AD215" s="162"/>
      <c r="AE215" s="162"/>
      <c r="AG215" s="162"/>
      <c r="AH215" s="162"/>
      <c r="AI215" s="162"/>
      <c r="AJ215" s="162"/>
      <c r="AK215" s="162"/>
      <c r="AL215" s="162"/>
      <c r="AM215" s="162"/>
      <c r="AN215" s="162"/>
      <c r="AO215" s="162"/>
      <c r="AP215" s="162"/>
      <c r="AQ215" s="162"/>
      <c r="AR215" s="162"/>
      <c r="AS215" s="162"/>
      <c r="AT215" s="162"/>
      <c r="AU215" s="162"/>
      <c r="AV215" s="162"/>
      <c r="AW215" s="162"/>
      <c r="AX215" s="162"/>
      <c r="AY215" s="162"/>
      <c r="AZ215" s="162"/>
      <c r="BA215" s="162"/>
      <c r="BB215" s="171"/>
      <c r="BC215" s="162"/>
      <c r="BD215" s="171"/>
    </row>
    <row r="216" spans="1:56" ht="15.75" customHeight="1">
      <c r="A216" s="162"/>
      <c r="B216" s="163"/>
      <c r="C216" s="164"/>
      <c r="D216" s="162"/>
      <c r="E216" s="162"/>
      <c r="F216" s="162"/>
      <c r="G216" s="162"/>
      <c r="H216" s="162"/>
      <c r="I216" s="162"/>
      <c r="J216" s="162"/>
      <c r="K216" s="162"/>
      <c r="L216" s="162"/>
      <c r="T216" s="162"/>
      <c r="U216" s="162"/>
      <c r="V216" s="162"/>
      <c r="W216" s="162"/>
      <c r="X216" s="162"/>
      <c r="Y216" s="162"/>
      <c r="Z216" s="162"/>
      <c r="AA216" s="162"/>
      <c r="AB216" s="162"/>
      <c r="AC216" s="162"/>
      <c r="AD216" s="162"/>
      <c r="AE216" s="162"/>
      <c r="AG216" s="162"/>
      <c r="AH216" s="162"/>
      <c r="AI216" s="162"/>
      <c r="AJ216" s="162"/>
      <c r="AK216" s="162"/>
      <c r="AL216" s="162"/>
      <c r="AM216" s="162"/>
      <c r="AN216" s="162"/>
      <c r="AO216" s="162"/>
      <c r="AP216" s="162"/>
      <c r="AQ216" s="162"/>
      <c r="AR216" s="162"/>
      <c r="AS216" s="162"/>
      <c r="AT216" s="162"/>
      <c r="AU216" s="162"/>
      <c r="AV216" s="162"/>
      <c r="AW216" s="162"/>
      <c r="AX216" s="162"/>
      <c r="AY216" s="162"/>
      <c r="AZ216" s="162"/>
      <c r="BA216" s="162"/>
      <c r="BB216" s="171"/>
      <c r="BC216" s="162"/>
      <c r="BD216" s="171"/>
    </row>
    <row r="217" spans="1:56" ht="15.75" customHeight="1">
      <c r="A217" s="162"/>
      <c r="B217" s="163"/>
      <c r="C217" s="164"/>
      <c r="D217" s="162"/>
      <c r="E217" s="162"/>
      <c r="F217" s="162"/>
      <c r="G217" s="162"/>
      <c r="H217" s="162"/>
      <c r="I217" s="162"/>
      <c r="J217" s="162"/>
      <c r="K217" s="162"/>
      <c r="L217" s="162"/>
      <c r="T217" s="162"/>
      <c r="U217" s="162"/>
      <c r="V217" s="162"/>
      <c r="W217" s="162"/>
      <c r="X217" s="162"/>
      <c r="Y217" s="162"/>
      <c r="Z217" s="162"/>
      <c r="AA217" s="162"/>
      <c r="AB217" s="162"/>
      <c r="AC217" s="162"/>
      <c r="AD217" s="162"/>
      <c r="AE217" s="162"/>
      <c r="AG217" s="162"/>
      <c r="AH217" s="162"/>
      <c r="AI217" s="162"/>
      <c r="AJ217" s="162"/>
      <c r="AK217" s="162"/>
      <c r="AL217" s="162"/>
      <c r="AM217" s="162"/>
      <c r="AN217" s="162"/>
      <c r="AO217" s="162"/>
      <c r="AP217" s="162"/>
      <c r="AQ217" s="162"/>
      <c r="AR217" s="162"/>
      <c r="AS217" s="162"/>
      <c r="AT217" s="162"/>
      <c r="AU217" s="162"/>
      <c r="AV217" s="162"/>
      <c r="AW217" s="162"/>
      <c r="AX217" s="162"/>
      <c r="AY217" s="162"/>
      <c r="AZ217" s="162"/>
      <c r="BA217" s="162"/>
      <c r="BB217" s="171"/>
      <c r="BC217" s="162"/>
      <c r="BD217" s="171"/>
    </row>
    <row r="218" spans="1:56" ht="15.75" customHeight="1">
      <c r="A218" s="162"/>
      <c r="B218" s="163"/>
      <c r="C218" s="164"/>
      <c r="D218" s="162"/>
      <c r="E218" s="162"/>
      <c r="F218" s="162"/>
      <c r="G218" s="162"/>
      <c r="H218" s="162"/>
      <c r="I218" s="162"/>
      <c r="J218" s="162"/>
      <c r="K218" s="162"/>
      <c r="L218" s="162"/>
      <c r="T218" s="162"/>
      <c r="U218" s="162"/>
      <c r="V218" s="162"/>
      <c r="W218" s="162"/>
      <c r="X218" s="162"/>
      <c r="Y218" s="162"/>
      <c r="Z218" s="162"/>
      <c r="AA218" s="162"/>
      <c r="AB218" s="162"/>
      <c r="AC218" s="162"/>
      <c r="AD218" s="162"/>
      <c r="AE218" s="162"/>
      <c r="AG218" s="162"/>
      <c r="AH218" s="162"/>
      <c r="AI218" s="162"/>
      <c r="AJ218" s="162"/>
      <c r="AK218" s="162"/>
      <c r="AL218" s="162"/>
      <c r="AM218" s="162"/>
      <c r="AN218" s="162"/>
      <c r="AO218" s="162"/>
      <c r="AP218" s="162"/>
      <c r="AQ218" s="162"/>
      <c r="AR218" s="162"/>
      <c r="AS218" s="162"/>
      <c r="AT218" s="162"/>
      <c r="AU218" s="162"/>
      <c r="AV218" s="162"/>
      <c r="AW218" s="162"/>
      <c r="AX218" s="162"/>
      <c r="AY218" s="162"/>
      <c r="AZ218" s="162"/>
      <c r="BA218" s="162"/>
      <c r="BB218" s="171"/>
      <c r="BC218" s="162"/>
      <c r="BD218" s="171"/>
    </row>
    <row r="219" spans="1:56" ht="15.75" customHeight="1">
      <c r="A219" s="162"/>
      <c r="B219" s="163"/>
      <c r="C219" s="164"/>
      <c r="D219" s="162"/>
      <c r="E219" s="162"/>
      <c r="F219" s="162"/>
      <c r="G219" s="162"/>
      <c r="H219" s="162"/>
      <c r="I219" s="162"/>
      <c r="J219" s="162"/>
      <c r="K219" s="162"/>
      <c r="L219" s="162"/>
      <c r="T219" s="162"/>
      <c r="U219" s="162"/>
      <c r="V219" s="162"/>
      <c r="W219" s="162"/>
      <c r="X219" s="162"/>
      <c r="Y219" s="162"/>
      <c r="Z219" s="162"/>
      <c r="AA219" s="162"/>
      <c r="AB219" s="162"/>
      <c r="AC219" s="162"/>
      <c r="AD219" s="162"/>
      <c r="AE219" s="162"/>
      <c r="AG219" s="162"/>
      <c r="AH219" s="162"/>
      <c r="AI219" s="162"/>
      <c r="AJ219" s="162"/>
      <c r="AK219" s="162"/>
      <c r="AL219" s="162"/>
      <c r="AM219" s="162"/>
      <c r="AN219" s="162"/>
      <c r="AO219" s="162"/>
      <c r="AP219" s="162"/>
      <c r="AQ219" s="162"/>
      <c r="AR219" s="162"/>
      <c r="AS219" s="162"/>
      <c r="AT219" s="162"/>
      <c r="AU219" s="162"/>
      <c r="AV219" s="162"/>
      <c r="AW219" s="162"/>
      <c r="AX219" s="162"/>
      <c r="AY219" s="162"/>
      <c r="AZ219" s="162"/>
      <c r="BA219" s="162"/>
      <c r="BB219" s="171"/>
      <c r="BC219" s="162"/>
      <c r="BD219" s="171"/>
    </row>
    <row r="220" spans="1:56" ht="15.75" customHeight="1">
      <c r="A220" s="162"/>
      <c r="B220" s="163"/>
      <c r="C220" s="164"/>
      <c r="D220" s="162"/>
      <c r="E220" s="162"/>
      <c r="F220" s="162"/>
      <c r="G220" s="162"/>
      <c r="H220" s="162"/>
      <c r="I220" s="162"/>
      <c r="J220" s="162"/>
      <c r="K220" s="162"/>
      <c r="L220" s="162"/>
      <c r="T220" s="162"/>
      <c r="U220" s="162"/>
      <c r="V220" s="162"/>
      <c r="W220" s="162"/>
      <c r="X220" s="162"/>
      <c r="Y220" s="162"/>
      <c r="Z220" s="162"/>
      <c r="AA220" s="162"/>
      <c r="AB220" s="162"/>
      <c r="AC220" s="162"/>
      <c r="AD220" s="162"/>
      <c r="AE220" s="162"/>
      <c r="AG220" s="162"/>
      <c r="AH220" s="162"/>
      <c r="AI220" s="162"/>
      <c r="AJ220" s="162"/>
      <c r="AK220" s="162"/>
      <c r="AL220" s="162"/>
      <c r="AM220" s="162"/>
      <c r="AN220" s="162"/>
      <c r="AO220" s="162"/>
      <c r="AP220" s="162"/>
      <c r="AQ220" s="162"/>
      <c r="AR220" s="162"/>
      <c r="AS220" s="162"/>
      <c r="AT220" s="162"/>
      <c r="AU220" s="162"/>
      <c r="AV220" s="162"/>
      <c r="AW220" s="162"/>
      <c r="AX220" s="162"/>
      <c r="AY220" s="162"/>
      <c r="AZ220" s="162"/>
      <c r="BA220" s="162"/>
      <c r="BB220" s="171"/>
      <c r="BC220" s="162"/>
      <c r="BD220" s="171"/>
    </row>
    <row r="221" spans="1:56" ht="15.75" customHeight="1">
      <c r="A221" s="162"/>
      <c r="B221" s="163"/>
      <c r="C221" s="164"/>
      <c r="D221" s="162"/>
      <c r="E221" s="162"/>
      <c r="F221" s="162"/>
      <c r="G221" s="162"/>
      <c r="H221" s="162"/>
      <c r="I221" s="162"/>
      <c r="J221" s="162"/>
      <c r="K221" s="162"/>
      <c r="L221" s="162"/>
      <c r="T221" s="162"/>
      <c r="U221" s="162"/>
      <c r="V221" s="162"/>
      <c r="W221" s="162"/>
      <c r="X221" s="162"/>
      <c r="Y221" s="162"/>
      <c r="Z221" s="162"/>
      <c r="AA221" s="162"/>
      <c r="AB221" s="162"/>
      <c r="AC221" s="162"/>
      <c r="AD221" s="162"/>
      <c r="AE221" s="162"/>
      <c r="AG221" s="162"/>
      <c r="AH221" s="162"/>
      <c r="AI221" s="162"/>
      <c r="AJ221" s="162"/>
      <c r="AK221" s="162"/>
      <c r="AL221" s="162"/>
      <c r="AM221" s="162"/>
      <c r="AN221" s="162"/>
      <c r="AO221" s="162"/>
      <c r="AP221" s="162"/>
      <c r="AQ221" s="162"/>
      <c r="AR221" s="162"/>
      <c r="AS221" s="162"/>
      <c r="AT221" s="162"/>
      <c r="AU221" s="162"/>
      <c r="AV221" s="162"/>
      <c r="AW221" s="162"/>
      <c r="AX221" s="162"/>
      <c r="AY221" s="162"/>
      <c r="AZ221" s="162"/>
      <c r="BA221" s="162"/>
      <c r="BB221" s="171"/>
      <c r="BC221" s="162"/>
      <c r="BD221" s="171"/>
    </row>
    <row r="222" spans="1:56" ht="15.75" customHeight="1">
      <c r="A222" s="162"/>
      <c r="B222" s="163"/>
      <c r="C222" s="164"/>
      <c r="D222" s="162"/>
      <c r="E222" s="162"/>
      <c r="F222" s="162"/>
      <c r="G222" s="162"/>
      <c r="H222" s="162"/>
      <c r="I222" s="162"/>
      <c r="J222" s="162"/>
      <c r="K222" s="162"/>
      <c r="L222" s="162"/>
      <c r="T222" s="162"/>
      <c r="U222" s="162"/>
      <c r="V222" s="162"/>
      <c r="W222" s="162"/>
      <c r="X222" s="162"/>
      <c r="Y222" s="162"/>
      <c r="Z222" s="162"/>
      <c r="AA222" s="162"/>
      <c r="AB222" s="162"/>
      <c r="AC222" s="162"/>
      <c r="AD222" s="162"/>
      <c r="AE222" s="162"/>
      <c r="AG222" s="162"/>
      <c r="AH222" s="162"/>
      <c r="AI222" s="162"/>
      <c r="AJ222" s="162"/>
      <c r="AK222" s="162"/>
      <c r="AL222" s="162"/>
      <c r="AM222" s="162"/>
      <c r="AN222" s="162"/>
      <c r="AO222" s="162"/>
      <c r="AP222" s="162"/>
      <c r="AQ222" s="162"/>
      <c r="AR222" s="162"/>
      <c r="AS222" s="162"/>
      <c r="AT222" s="162"/>
      <c r="AU222" s="162"/>
      <c r="AV222" s="162"/>
      <c r="AW222" s="162"/>
      <c r="AX222" s="162"/>
      <c r="AY222" s="162"/>
      <c r="AZ222" s="162"/>
      <c r="BA222" s="162"/>
      <c r="BB222" s="171"/>
      <c r="BC222" s="162"/>
      <c r="BD222" s="171"/>
    </row>
    <row r="223" spans="1:56" ht="15.75" customHeight="1">
      <c r="A223" s="162"/>
      <c r="B223" s="163"/>
      <c r="C223" s="164"/>
      <c r="D223" s="162"/>
      <c r="E223" s="162"/>
      <c r="F223" s="162"/>
      <c r="G223" s="162"/>
      <c r="H223" s="162"/>
      <c r="I223" s="162"/>
      <c r="J223" s="162"/>
      <c r="K223" s="162"/>
      <c r="L223" s="162"/>
      <c r="T223" s="162"/>
      <c r="U223" s="162"/>
      <c r="V223" s="162"/>
      <c r="W223" s="162"/>
      <c r="X223" s="162"/>
      <c r="Y223" s="162"/>
      <c r="Z223" s="162"/>
      <c r="AA223" s="162"/>
      <c r="AB223" s="162"/>
      <c r="AC223" s="162"/>
      <c r="AD223" s="162"/>
      <c r="AE223" s="162"/>
      <c r="AG223" s="162"/>
      <c r="AH223" s="162"/>
      <c r="AI223" s="162"/>
      <c r="AJ223" s="162"/>
      <c r="AK223" s="162"/>
      <c r="AL223" s="162"/>
      <c r="AM223" s="162"/>
      <c r="AN223" s="162"/>
      <c r="AO223" s="162"/>
      <c r="AP223" s="162"/>
      <c r="AQ223" s="162"/>
      <c r="AR223" s="162"/>
      <c r="AS223" s="162"/>
      <c r="AT223" s="162"/>
      <c r="AU223" s="162"/>
      <c r="AV223" s="162"/>
      <c r="AW223" s="162"/>
      <c r="AX223" s="162"/>
      <c r="AY223" s="162"/>
      <c r="AZ223" s="162"/>
      <c r="BA223" s="162"/>
      <c r="BB223" s="171"/>
      <c r="BC223" s="162"/>
      <c r="BD223" s="171"/>
    </row>
    <row r="224" spans="1:56" ht="15.75" customHeight="1">
      <c r="A224" s="162"/>
      <c r="B224" s="163"/>
      <c r="C224" s="164"/>
      <c r="D224" s="162"/>
      <c r="E224" s="162"/>
      <c r="F224" s="162"/>
      <c r="G224" s="162"/>
      <c r="H224" s="162"/>
      <c r="I224" s="162"/>
      <c r="J224" s="162"/>
      <c r="K224" s="162"/>
      <c r="L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G224" s="162"/>
      <c r="AH224" s="162"/>
      <c r="AI224" s="162"/>
      <c r="AJ224" s="162"/>
      <c r="AK224" s="162"/>
      <c r="AL224" s="162"/>
      <c r="AM224" s="162"/>
      <c r="AN224" s="162"/>
      <c r="AO224" s="162"/>
      <c r="AP224" s="162"/>
      <c r="AQ224" s="162"/>
      <c r="AR224" s="162"/>
      <c r="AS224" s="162"/>
      <c r="AT224" s="162"/>
      <c r="AU224" s="162"/>
      <c r="AV224" s="162"/>
      <c r="AW224" s="162"/>
      <c r="AX224" s="162"/>
      <c r="AY224" s="162"/>
      <c r="AZ224" s="162"/>
      <c r="BA224" s="162"/>
      <c r="BB224" s="171"/>
      <c r="BC224" s="162"/>
      <c r="BD224" s="171"/>
    </row>
    <row r="225" spans="1:56" ht="15.75" customHeight="1">
      <c r="A225" s="162"/>
      <c r="B225" s="163"/>
      <c r="C225" s="164"/>
      <c r="D225" s="162"/>
      <c r="E225" s="162"/>
      <c r="F225" s="162"/>
      <c r="G225" s="162"/>
      <c r="H225" s="162"/>
      <c r="I225" s="162"/>
      <c r="J225" s="162"/>
      <c r="K225" s="162"/>
      <c r="L225" s="162"/>
      <c r="T225" s="162"/>
      <c r="U225" s="162"/>
      <c r="V225" s="162"/>
      <c r="W225" s="162"/>
      <c r="X225" s="162"/>
      <c r="Y225" s="162"/>
      <c r="Z225" s="162"/>
      <c r="AA225" s="162"/>
      <c r="AB225" s="162"/>
      <c r="AC225" s="162"/>
      <c r="AD225" s="162"/>
      <c r="AE225" s="162"/>
      <c r="AG225" s="162"/>
      <c r="AH225" s="162"/>
      <c r="AI225" s="162"/>
      <c r="AJ225" s="162"/>
      <c r="AK225" s="162"/>
      <c r="AL225" s="162"/>
      <c r="AM225" s="162"/>
      <c r="AN225" s="162"/>
      <c r="AO225" s="162"/>
      <c r="AP225" s="162"/>
      <c r="AQ225" s="162"/>
      <c r="AR225" s="162"/>
      <c r="AS225" s="162"/>
      <c r="AT225" s="162"/>
      <c r="AU225" s="162"/>
      <c r="AV225" s="162"/>
      <c r="AW225" s="162"/>
      <c r="AX225" s="162"/>
      <c r="AY225" s="162"/>
      <c r="AZ225" s="162"/>
      <c r="BA225" s="162"/>
      <c r="BB225" s="171"/>
      <c r="BC225" s="162"/>
      <c r="BD225" s="171"/>
    </row>
    <row r="226" spans="1:56" ht="15.75" customHeight="1">
      <c r="A226" s="162"/>
      <c r="B226" s="163"/>
      <c r="C226" s="164"/>
      <c r="D226" s="162"/>
      <c r="E226" s="162"/>
      <c r="F226" s="162"/>
      <c r="G226" s="162"/>
      <c r="H226" s="162"/>
      <c r="I226" s="162"/>
      <c r="J226" s="162"/>
      <c r="K226" s="162"/>
      <c r="L226" s="162"/>
      <c r="T226" s="162"/>
      <c r="U226" s="162"/>
      <c r="V226" s="162"/>
      <c r="W226" s="162"/>
      <c r="X226" s="162"/>
      <c r="Y226" s="162"/>
      <c r="Z226" s="162"/>
      <c r="AA226" s="162"/>
      <c r="AB226" s="162"/>
      <c r="AC226" s="162"/>
      <c r="AD226" s="162"/>
      <c r="AE226" s="162"/>
      <c r="AG226" s="162"/>
      <c r="AH226" s="162"/>
      <c r="AI226" s="162"/>
      <c r="AJ226" s="162"/>
      <c r="AK226" s="162"/>
      <c r="AL226" s="162"/>
      <c r="AM226" s="162"/>
      <c r="AN226" s="162"/>
      <c r="AO226" s="162"/>
      <c r="AP226" s="162"/>
      <c r="AQ226" s="162"/>
      <c r="AR226" s="162"/>
      <c r="AS226" s="162"/>
      <c r="AT226" s="162"/>
      <c r="AU226" s="162"/>
      <c r="AV226" s="162"/>
      <c r="AW226" s="162"/>
      <c r="AX226" s="162"/>
      <c r="AY226" s="162"/>
      <c r="AZ226" s="162"/>
      <c r="BA226" s="162"/>
      <c r="BB226" s="171"/>
      <c r="BC226" s="162"/>
      <c r="BD226" s="171"/>
    </row>
    <row r="227" spans="1:56" ht="15.75" customHeight="1">
      <c r="A227" s="162"/>
      <c r="B227" s="163"/>
      <c r="C227" s="164"/>
      <c r="D227" s="162"/>
      <c r="E227" s="162"/>
      <c r="F227" s="162"/>
      <c r="G227" s="162"/>
      <c r="H227" s="162"/>
      <c r="I227" s="162"/>
      <c r="J227" s="162"/>
      <c r="K227" s="162"/>
      <c r="L227" s="162"/>
      <c r="T227" s="162"/>
      <c r="U227" s="162"/>
      <c r="V227" s="162"/>
      <c r="W227" s="162"/>
      <c r="X227" s="162"/>
      <c r="Y227" s="162"/>
      <c r="Z227" s="162"/>
      <c r="AA227" s="162"/>
      <c r="AB227" s="162"/>
      <c r="AC227" s="162"/>
      <c r="AD227" s="162"/>
      <c r="AE227" s="162"/>
      <c r="AG227" s="162"/>
      <c r="AH227" s="162"/>
      <c r="AI227" s="162"/>
      <c r="AJ227" s="162"/>
      <c r="AK227" s="162"/>
      <c r="AL227" s="162"/>
      <c r="AM227" s="162"/>
      <c r="AN227" s="162"/>
      <c r="AO227" s="162"/>
      <c r="AP227" s="162"/>
      <c r="AQ227" s="162"/>
      <c r="AR227" s="162"/>
      <c r="AS227" s="162"/>
      <c r="AT227" s="162"/>
      <c r="AU227" s="162"/>
      <c r="AV227" s="162"/>
      <c r="AW227" s="162"/>
      <c r="AX227" s="162"/>
      <c r="AY227" s="162"/>
      <c r="AZ227" s="162"/>
      <c r="BA227" s="162"/>
      <c r="BB227" s="171"/>
      <c r="BC227" s="162"/>
      <c r="BD227" s="171"/>
    </row>
    <row r="228" spans="1:56" ht="15.75" customHeight="1">
      <c r="A228" s="162"/>
      <c r="B228" s="163"/>
      <c r="C228" s="164"/>
      <c r="D228" s="162"/>
      <c r="E228" s="162"/>
      <c r="F228" s="162"/>
      <c r="G228" s="162"/>
      <c r="H228" s="162"/>
      <c r="I228" s="162"/>
      <c r="J228" s="162"/>
      <c r="K228" s="162"/>
      <c r="L228" s="162"/>
      <c r="T228" s="162"/>
      <c r="U228" s="162"/>
      <c r="V228" s="162"/>
      <c r="W228" s="162"/>
      <c r="X228" s="162"/>
      <c r="Y228" s="162"/>
      <c r="Z228" s="162"/>
      <c r="AA228" s="162"/>
      <c r="AB228" s="162"/>
      <c r="AC228" s="162"/>
      <c r="AD228" s="162"/>
      <c r="AE228" s="162"/>
      <c r="AG228" s="162"/>
      <c r="AH228" s="162"/>
      <c r="AI228" s="162"/>
      <c r="AJ228" s="162"/>
      <c r="AK228" s="162"/>
      <c r="AL228" s="162"/>
      <c r="AM228" s="162"/>
      <c r="AN228" s="162"/>
      <c r="AO228" s="162"/>
      <c r="AP228" s="162"/>
      <c r="AQ228" s="162"/>
      <c r="AR228" s="162"/>
      <c r="AS228" s="162"/>
      <c r="AT228" s="162"/>
      <c r="AU228" s="162"/>
      <c r="AV228" s="162"/>
      <c r="AW228" s="162"/>
      <c r="AX228" s="162"/>
      <c r="AY228" s="162"/>
      <c r="AZ228" s="162"/>
      <c r="BA228" s="162"/>
      <c r="BB228" s="171"/>
      <c r="BC228" s="162"/>
      <c r="BD228" s="171"/>
    </row>
    <row r="229" spans="1:56" ht="15.75" customHeight="1">
      <c r="A229" s="162"/>
      <c r="B229" s="163"/>
      <c r="C229" s="164"/>
      <c r="D229" s="162"/>
      <c r="E229" s="162"/>
      <c r="F229" s="162"/>
      <c r="G229" s="162"/>
      <c r="H229" s="162"/>
      <c r="I229" s="162"/>
      <c r="J229" s="162"/>
      <c r="K229" s="162"/>
      <c r="L229" s="162"/>
      <c r="T229" s="162"/>
      <c r="U229" s="162"/>
      <c r="V229" s="162"/>
      <c r="W229" s="162"/>
      <c r="X229" s="162"/>
      <c r="Y229" s="162"/>
      <c r="Z229" s="162"/>
      <c r="AA229" s="162"/>
      <c r="AB229" s="162"/>
      <c r="AC229" s="162"/>
      <c r="AD229" s="162"/>
      <c r="AE229" s="162"/>
      <c r="AG229" s="162"/>
      <c r="AH229" s="162"/>
      <c r="AI229" s="162"/>
      <c r="AJ229" s="162"/>
      <c r="AK229" s="162"/>
      <c r="AL229" s="162"/>
      <c r="AM229" s="162"/>
      <c r="AN229" s="162"/>
      <c r="AO229" s="162"/>
      <c r="AP229" s="162"/>
      <c r="AQ229" s="162"/>
      <c r="AR229" s="162"/>
      <c r="AS229" s="162"/>
      <c r="AT229" s="162"/>
      <c r="AU229" s="162"/>
      <c r="AV229" s="162"/>
      <c r="AW229" s="162"/>
      <c r="AX229" s="162"/>
      <c r="AY229" s="162"/>
      <c r="AZ229" s="162"/>
      <c r="BA229" s="162"/>
      <c r="BB229" s="171"/>
      <c r="BC229" s="162"/>
      <c r="BD229" s="171"/>
    </row>
    <row r="230" spans="1:56" ht="15.75" customHeight="1">
      <c r="A230" s="162"/>
      <c r="B230" s="163"/>
      <c r="C230" s="164"/>
      <c r="D230" s="162"/>
      <c r="E230" s="162"/>
      <c r="F230" s="162"/>
      <c r="G230" s="162"/>
      <c r="H230" s="162"/>
      <c r="I230" s="162"/>
      <c r="J230" s="162"/>
      <c r="K230" s="162"/>
      <c r="L230" s="162"/>
      <c r="T230" s="162"/>
      <c r="U230" s="162"/>
      <c r="V230" s="162"/>
      <c r="W230" s="162"/>
      <c r="X230" s="162"/>
      <c r="Y230" s="162"/>
      <c r="Z230" s="162"/>
      <c r="AA230" s="162"/>
      <c r="AB230" s="162"/>
      <c r="AC230" s="162"/>
      <c r="AD230" s="162"/>
      <c r="AE230" s="162"/>
      <c r="AG230" s="162"/>
      <c r="AH230" s="162"/>
      <c r="AI230" s="162"/>
      <c r="AJ230" s="162"/>
      <c r="AK230" s="162"/>
      <c r="AL230" s="162"/>
      <c r="AM230" s="162"/>
      <c r="AN230" s="162"/>
      <c r="AO230" s="162"/>
      <c r="AP230" s="162"/>
      <c r="AQ230" s="162"/>
      <c r="AR230" s="162"/>
      <c r="AS230" s="162"/>
      <c r="AT230" s="162"/>
      <c r="AU230" s="162"/>
      <c r="AV230" s="162"/>
      <c r="AW230" s="162"/>
      <c r="AX230" s="162"/>
      <c r="AY230" s="162"/>
      <c r="AZ230" s="162"/>
      <c r="BA230" s="162"/>
      <c r="BB230" s="171"/>
      <c r="BC230" s="162"/>
      <c r="BD230" s="171"/>
    </row>
    <row r="231" spans="1:56" ht="15.75" customHeight="1">
      <c r="A231" s="162"/>
      <c r="B231" s="163"/>
      <c r="C231" s="164"/>
      <c r="D231" s="162"/>
      <c r="E231" s="162"/>
      <c r="F231" s="162"/>
      <c r="G231" s="162"/>
      <c r="H231" s="162"/>
      <c r="I231" s="162"/>
      <c r="J231" s="162"/>
      <c r="K231" s="162"/>
      <c r="L231" s="162"/>
      <c r="T231" s="162"/>
      <c r="U231" s="162"/>
      <c r="V231" s="162"/>
      <c r="W231" s="162"/>
      <c r="X231" s="162"/>
      <c r="Y231" s="162"/>
      <c r="Z231" s="162"/>
      <c r="AA231" s="162"/>
      <c r="AB231" s="162"/>
      <c r="AC231" s="162"/>
      <c r="AD231" s="162"/>
      <c r="AE231" s="162"/>
      <c r="AG231" s="162"/>
      <c r="AH231" s="162"/>
      <c r="AI231" s="162"/>
      <c r="AJ231" s="162"/>
      <c r="AK231" s="162"/>
      <c r="AL231" s="162"/>
      <c r="AM231" s="162"/>
      <c r="AN231" s="162"/>
      <c r="AO231" s="162"/>
      <c r="AP231" s="162"/>
      <c r="AQ231" s="162"/>
      <c r="AR231" s="162"/>
      <c r="AS231" s="162"/>
      <c r="AT231" s="162"/>
      <c r="AU231" s="162"/>
      <c r="AV231" s="162"/>
      <c r="AW231" s="162"/>
      <c r="AX231" s="162"/>
      <c r="AY231" s="162"/>
      <c r="AZ231" s="162"/>
      <c r="BA231" s="162"/>
      <c r="BB231" s="171"/>
      <c r="BC231" s="162"/>
      <c r="BD231" s="171"/>
    </row>
    <row r="232" spans="1:56" ht="15.75" customHeight="1">
      <c r="A232" s="162"/>
      <c r="B232" s="163"/>
      <c r="C232" s="164"/>
      <c r="D232" s="162"/>
      <c r="E232" s="162"/>
      <c r="F232" s="162"/>
      <c r="G232" s="162"/>
      <c r="H232" s="162"/>
      <c r="I232" s="162"/>
      <c r="J232" s="162"/>
      <c r="K232" s="162"/>
      <c r="L232" s="162"/>
      <c r="T232" s="162"/>
      <c r="U232" s="162"/>
      <c r="V232" s="162"/>
      <c r="W232" s="162"/>
      <c r="X232" s="162"/>
      <c r="Y232" s="162"/>
      <c r="Z232" s="162"/>
      <c r="AA232" s="162"/>
      <c r="AB232" s="162"/>
      <c r="AC232" s="162"/>
      <c r="AD232" s="162"/>
      <c r="AE232" s="162"/>
      <c r="AG232" s="162"/>
      <c r="AH232" s="162"/>
      <c r="AI232" s="162"/>
      <c r="AJ232" s="162"/>
      <c r="AK232" s="162"/>
      <c r="AL232" s="162"/>
      <c r="AM232" s="162"/>
      <c r="AN232" s="162"/>
      <c r="AO232" s="162"/>
      <c r="AP232" s="162"/>
      <c r="AQ232" s="162"/>
      <c r="AR232" s="162"/>
      <c r="AS232" s="162"/>
      <c r="AT232" s="162"/>
      <c r="AU232" s="162"/>
      <c r="AV232" s="162"/>
      <c r="AW232" s="162"/>
      <c r="AX232" s="162"/>
      <c r="AY232" s="162"/>
      <c r="AZ232" s="162"/>
      <c r="BA232" s="162"/>
      <c r="BB232" s="171"/>
      <c r="BC232" s="162"/>
      <c r="BD232" s="171"/>
    </row>
    <row r="233" spans="1:56" ht="15.75" customHeight="1">
      <c r="A233" s="162"/>
      <c r="B233" s="163"/>
      <c r="C233" s="164"/>
      <c r="D233" s="162"/>
      <c r="E233" s="162"/>
      <c r="F233" s="162"/>
      <c r="G233" s="162"/>
      <c r="H233" s="162"/>
      <c r="I233" s="162"/>
      <c r="J233" s="162"/>
      <c r="K233" s="162"/>
      <c r="L233" s="162"/>
      <c r="T233" s="162"/>
      <c r="U233" s="162"/>
      <c r="V233" s="162"/>
      <c r="W233" s="162"/>
      <c r="X233" s="162"/>
      <c r="Y233" s="162"/>
      <c r="Z233" s="162"/>
      <c r="AA233" s="162"/>
      <c r="AB233" s="162"/>
      <c r="AC233" s="162"/>
      <c r="AD233" s="162"/>
      <c r="AE233" s="162"/>
      <c r="AG233" s="162"/>
      <c r="AH233" s="162"/>
      <c r="AI233" s="162"/>
      <c r="AJ233" s="162"/>
      <c r="AK233" s="162"/>
      <c r="AL233" s="162"/>
      <c r="AM233" s="162"/>
      <c r="AN233" s="162"/>
      <c r="AO233" s="162"/>
      <c r="AP233" s="162"/>
      <c r="AQ233" s="162"/>
      <c r="AR233" s="162"/>
      <c r="AS233" s="162"/>
      <c r="AT233" s="162"/>
      <c r="AU233" s="162"/>
      <c r="AV233" s="162"/>
      <c r="AW233" s="162"/>
      <c r="AX233" s="162"/>
      <c r="AY233" s="162"/>
      <c r="AZ233" s="162"/>
      <c r="BA233" s="162"/>
      <c r="BB233" s="171"/>
      <c r="BC233" s="162"/>
      <c r="BD233" s="171"/>
    </row>
    <row r="234" spans="1:56" ht="15.75" customHeight="1">
      <c r="A234" s="162"/>
      <c r="B234" s="163"/>
      <c r="C234" s="164"/>
      <c r="D234" s="162"/>
      <c r="E234" s="162"/>
      <c r="F234" s="162"/>
      <c r="G234" s="162"/>
      <c r="H234" s="162"/>
      <c r="I234" s="162"/>
      <c r="J234" s="162"/>
      <c r="K234" s="162"/>
      <c r="L234" s="162"/>
      <c r="T234" s="162"/>
      <c r="U234" s="162"/>
      <c r="V234" s="162"/>
      <c r="W234" s="162"/>
      <c r="X234" s="162"/>
      <c r="Y234" s="162"/>
      <c r="Z234" s="162"/>
      <c r="AA234" s="162"/>
      <c r="AB234" s="162"/>
      <c r="AC234" s="162"/>
      <c r="AD234" s="162"/>
      <c r="AE234" s="162"/>
      <c r="AG234" s="162"/>
      <c r="AH234" s="162"/>
      <c r="AI234" s="162"/>
      <c r="AJ234" s="162"/>
      <c r="AK234" s="162"/>
      <c r="AL234" s="162"/>
      <c r="AM234" s="162"/>
      <c r="AN234" s="162"/>
      <c r="AO234" s="162"/>
      <c r="AP234" s="162"/>
      <c r="AQ234" s="162"/>
      <c r="AR234" s="162"/>
      <c r="AS234" s="162"/>
      <c r="AT234" s="162"/>
      <c r="AU234" s="162"/>
      <c r="AV234" s="162"/>
      <c r="AW234" s="162"/>
      <c r="AX234" s="162"/>
      <c r="AY234" s="162"/>
      <c r="AZ234" s="162"/>
      <c r="BA234" s="162"/>
      <c r="BB234" s="171"/>
      <c r="BC234" s="162"/>
      <c r="BD234" s="171"/>
    </row>
    <row r="235" spans="1:56" ht="15.75" customHeight="1">
      <c r="A235" s="162"/>
      <c r="B235" s="163"/>
      <c r="C235" s="164"/>
      <c r="D235" s="162"/>
      <c r="E235" s="162"/>
      <c r="F235" s="162"/>
      <c r="G235" s="162"/>
      <c r="H235" s="162"/>
      <c r="I235" s="162"/>
      <c r="J235" s="162"/>
      <c r="K235" s="162"/>
      <c r="L235" s="162"/>
      <c r="T235" s="162"/>
      <c r="U235" s="162"/>
      <c r="V235" s="162"/>
      <c r="W235" s="162"/>
      <c r="X235" s="162"/>
      <c r="Y235" s="162"/>
      <c r="Z235" s="162"/>
      <c r="AA235" s="162"/>
      <c r="AB235" s="162"/>
      <c r="AC235" s="162"/>
      <c r="AD235" s="162"/>
      <c r="AE235" s="162"/>
      <c r="AG235" s="162"/>
      <c r="AH235" s="162"/>
      <c r="AI235" s="162"/>
      <c r="AJ235" s="162"/>
      <c r="AK235" s="162"/>
      <c r="AL235" s="162"/>
      <c r="AM235" s="162"/>
      <c r="AN235" s="162"/>
      <c r="AO235" s="162"/>
      <c r="AP235" s="162"/>
      <c r="AQ235" s="162"/>
      <c r="AR235" s="162"/>
      <c r="AS235" s="162"/>
      <c r="AT235" s="162"/>
      <c r="AU235" s="162"/>
      <c r="AV235" s="162"/>
      <c r="AW235" s="162"/>
      <c r="AX235" s="162"/>
      <c r="AY235" s="162"/>
      <c r="AZ235" s="162"/>
      <c r="BA235" s="162"/>
      <c r="BB235" s="171"/>
      <c r="BC235" s="162"/>
      <c r="BD235" s="171"/>
    </row>
    <row r="236" spans="1:56" ht="15.75" customHeight="1">
      <c r="A236" s="162"/>
      <c r="B236" s="163"/>
      <c r="C236" s="164"/>
      <c r="D236" s="162"/>
      <c r="E236" s="162"/>
      <c r="F236" s="162"/>
      <c r="G236" s="162"/>
      <c r="H236" s="162"/>
      <c r="I236" s="162"/>
      <c r="J236" s="162"/>
      <c r="K236" s="162"/>
      <c r="L236" s="162"/>
      <c r="T236" s="162"/>
      <c r="U236" s="162"/>
      <c r="V236" s="162"/>
      <c r="W236" s="162"/>
      <c r="X236" s="162"/>
      <c r="Y236" s="162"/>
      <c r="Z236" s="162"/>
      <c r="AA236" s="162"/>
      <c r="AB236" s="162"/>
      <c r="AC236" s="162"/>
      <c r="AD236" s="162"/>
      <c r="AE236" s="162"/>
      <c r="AG236" s="162"/>
      <c r="AH236" s="162"/>
      <c r="AI236" s="162"/>
      <c r="AJ236" s="162"/>
      <c r="AK236" s="162"/>
      <c r="AL236" s="162"/>
      <c r="AM236" s="162"/>
      <c r="AN236" s="162"/>
      <c r="AO236" s="162"/>
      <c r="AP236" s="162"/>
      <c r="AQ236" s="162"/>
      <c r="AR236" s="162"/>
      <c r="AS236" s="162"/>
      <c r="AT236" s="162"/>
      <c r="AU236" s="162"/>
      <c r="AV236" s="162"/>
      <c r="AW236" s="162"/>
      <c r="AX236" s="162"/>
      <c r="AY236" s="162"/>
      <c r="AZ236" s="162"/>
      <c r="BA236" s="162"/>
      <c r="BB236" s="171"/>
      <c r="BC236" s="162"/>
      <c r="BD236" s="171"/>
    </row>
    <row r="237" spans="1:56" ht="15.75" customHeight="1">
      <c r="A237" s="162"/>
      <c r="B237" s="163"/>
      <c r="C237" s="164"/>
      <c r="D237" s="162"/>
      <c r="E237" s="162"/>
      <c r="F237" s="162"/>
      <c r="G237" s="162"/>
      <c r="H237" s="162"/>
      <c r="I237" s="162"/>
      <c r="J237" s="162"/>
      <c r="K237" s="162"/>
      <c r="L237" s="162"/>
      <c r="T237" s="162"/>
      <c r="U237" s="162"/>
      <c r="V237" s="162"/>
      <c r="W237" s="162"/>
      <c r="X237" s="162"/>
      <c r="Y237" s="162"/>
      <c r="Z237" s="162"/>
      <c r="AA237" s="162"/>
      <c r="AB237" s="162"/>
      <c r="AC237" s="162"/>
      <c r="AD237" s="162"/>
      <c r="AE237" s="162"/>
      <c r="AG237" s="162"/>
      <c r="AH237" s="162"/>
      <c r="AI237" s="162"/>
      <c r="AJ237" s="162"/>
      <c r="AK237" s="162"/>
      <c r="AL237" s="162"/>
      <c r="AM237" s="162"/>
      <c r="AN237" s="162"/>
      <c r="AO237" s="162"/>
      <c r="AP237" s="162"/>
      <c r="AQ237" s="162"/>
      <c r="AR237" s="162"/>
      <c r="AS237" s="162"/>
      <c r="AT237" s="162"/>
      <c r="AU237" s="162"/>
      <c r="AV237" s="162"/>
      <c r="AW237" s="162"/>
      <c r="AX237" s="162"/>
      <c r="AY237" s="162"/>
      <c r="AZ237" s="162"/>
      <c r="BA237" s="162"/>
      <c r="BB237" s="171"/>
      <c r="BC237" s="162"/>
      <c r="BD237" s="171"/>
    </row>
    <row r="238" spans="1:56" ht="15.75" customHeight="1">
      <c r="A238" s="162"/>
      <c r="B238" s="163"/>
      <c r="C238" s="164"/>
      <c r="D238" s="162"/>
      <c r="E238" s="162"/>
      <c r="F238" s="162"/>
      <c r="G238" s="162"/>
      <c r="H238" s="162"/>
      <c r="I238" s="162"/>
      <c r="J238" s="162"/>
      <c r="K238" s="162"/>
      <c r="L238" s="162"/>
      <c r="T238" s="162"/>
      <c r="U238" s="162"/>
      <c r="V238" s="162"/>
      <c r="W238" s="162"/>
      <c r="X238" s="162"/>
      <c r="Y238" s="162"/>
      <c r="Z238" s="162"/>
      <c r="AA238" s="162"/>
      <c r="AB238" s="162"/>
      <c r="AC238" s="162"/>
      <c r="AD238" s="162"/>
      <c r="AE238" s="162"/>
      <c r="AG238" s="162"/>
      <c r="AH238" s="162"/>
      <c r="AI238" s="162"/>
      <c r="AJ238" s="162"/>
      <c r="AK238" s="162"/>
      <c r="AL238" s="162"/>
      <c r="AM238" s="162"/>
      <c r="AN238" s="162"/>
      <c r="AO238" s="162"/>
      <c r="AP238" s="162"/>
      <c r="AQ238" s="162"/>
      <c r="AR238" s="162"/>
      <c r="AS238" s="162"/>
      <c r="AT238" s="162"/>
      <c r="AU238" s="162"/>
      <c r="AV238" s="162"/>
      <c r="AW238" s="162"/>
      <c r="AX238" s="162"/>
      <c r="AY238" s="162"/>
      <c r="AZ238" s="162"/>
      <c r="BA238" s="162"/>
      <c r="BB238" s="171"/>
      <c r="BC238" s="162"/>
      <c r="BD238" s="171"/>
    </row>
    <row r="239" spans="1:56" ht="15.75" customHeight="1">
      <c r="A239" s="162"/>
      <c r="B239" s="163"/>
      <c r="C239" s="164"/>
      <c r="D239" s="162"/>
      <c r="E239" s="162"/>
      <c r="F239" s="162"/>
      <c r="G239" s="162"/>
      <c r="H239" s="162"/>
      <c r="I239" s="162"/>
      <c r="J239" s="162"/>
      <c r="K239" s="162"/>
      <c r="L239" s="162"/>
      <c r="T239" s="162"/>
      <c r="U239" s="162"/>
      <c r="V239" s="162"/>
      <c r="W239" s="162"/>
      <c r="X239" s="162"/>
      <c r="Y239" s="162"/>
      <c r="Z239" s="162"/>
      <c r="AA239" s="162"/>
      <c r="AB239" s="162"/>
      <c r="AC239" s="162"/>
      <c r="AD239" s="162"/>
      <c r="AE239" s="162"/>
      <c r="AG239" s="162"/>
      <c r="AH239" s="162"/>
      <c r="AI239" s="162"/>
      <c r="AJ239" s="162"/>
      <c r="AK239" s="162"/>
      <c r="AL239" s="162"/>
      <c r="AM239" s="162"/>
      <c r="AN239" s="162"/>
      <c r="AO239" s="162"/>
      <c r="AP239" s="162"/>
      <c r="AQ239" s="162"/>
      <c r="AR239" s="162"/>
      <c r="AS239" s="162"/>
      <c r="AT239" s="162"/>
      <c r="AU239" s="162"/>
      <c r="AV239" s="162"/>
      <c r="AW239" s="162"/>
      <c r="AX239" s="162"/>
      <c r="AY239" s="162"/>
      <c r="AZ239" s="162"/>
      <c r="BA239" s="162"/>
      <c r="BB239" s="171"/>
      <c r="BC239" s="162"/>
      <c r="BD239" s="171"/>
    </row>
    <row r="240" spans="1:56" ht="15.75" customHeight="1">
      <c r="A240" s="162"/>
      <c r="B240" s="163"/>
      <c r="C240" s="164"/>
      <c r="D240" s="162"/>
      <c r="E240" s="162"/>
      <c r="F240" s="162"/>
      <c r="G240" s="162"/>
      <c r="H240" s="162"/>
      <c r="I240" s="162"/>
      <c r="J240" s="162"/>
      <c r="K240" s="162"/>
      <c r="L240" s="162"/>
      <c r="T240" s="162"/>
      <c r="U240" s="162"/>
      <c r="V240" s="162"/>
      <c r="W240" s="162"/>
      <c r="X240" s="162"/>
      <c r="Y240" s="162"/>
      <c r="Z240" s="162"/>
      <c r="AA240" s="162"/>
      <c r="AB240" s="162"/>
      <c r="AC240" s="162"/>
      <c r="AD240" s="162"/>
      <c r="AE240" s="162"/>
      <c r="AG240" s="162"/>
      <c r="AH240" s="162"/>
      <c r="AI240" s="162"/>
      <c r="AJ240" s="162"/>
      <c r="AK240" s="162"/>
      <c r="AL240" s="162"/>
      <c r="AM240" s="162"/>
      <c r="AN240" s="162"/>
      <c r="AO240" s="162"/>
      <c r="AP240" s="162"/>
      <c r="AQ240" s="162"/>
      <c r="AR240" s="162"/>
      <c r="AS240" s="162"/>
      <c r="AT240" s="162"/>
      <c r="AU240" s="162"/>
      <c r="AV240" s="162"/>
      <c r="AW240" s="162"/>
      <c r="AX240" s="162"/>
      <c r="AY240" s="162"/>
      <c r="AZ240" s="162"/>
      <c r="BA240" s="162"/>
      <c r="BB240" s="171"/>
      <c r="BC240" s="162"/>
      <c r="BD240" s="171"/>
    </row>
    <row r="241" spans="1:56" ht="15.75" customHeight="1">
      <c r="A241" s="162"/>
      <c r="B241" s="163"/>
      <c r="C241" s="164"/>
      <c r="D241" s="162"/>
      <c r="E241" s="162"/>
      <c r="F241" s="162"/>
      <c r="G241" s="162"/>
      <c r="H241" s="162"/>
      <c r="I241" s="162"/>
      <c r="J241" s="162"/>
      <c r="K241" s="162"/>
      <c r="L241" s="162"/>
      <c r="T241" s="162"/>
      <c r="U241" s="162"/>
      <c r="V241" s="162"/>
      <c r="W241" s="162"/>
      <c r="X241" s="162"/>
      <c r="Y241" s="162"/>
      <c r="Z241" s="162"/>
      <c r="AA241" s="162"/>
      <c r="AB241" s="162"/>
      <c r="AC241" s="162"/>
      <c r="AD241" s="162"/>
      <c r="AE241" s="162"/>
      <c r="AG241" s="162"/>
      <c r="AH241" s="162"/>
      <c r="AI241" s="162"/>
      <c r="AJ241" s="162"/>
      <c r="AK241" s="162"/>
      <c r="AL241" s="162"/>
      <c r="AM241" s="162"/>
      <c r="AN241" s="162"/>
      <c r="AO241" s="162"/>
      <c r="AP241" s="162"/>
      <c r="AQ241" s="162"/>
      <c r="AR241" s="162"/>
      <c r="AS241" s="162"/>
      <c r="AT241" s="162"/>
      <c r="AU241" s="162"/>
      <c r="AV241" s="162"/>
      <c r="AW241" s="162"/>
      <c r="AX241" s="162"/>
      <c r="AY241" s="162"/>
      <c r="AZ241" s="162"/>
      <c r="BA241" s="162"/>
      <c r="BB241" s="171"/>
      <c r="BC241" s="162"/>
      <c r="BD241" s="171"/>
    </row>
    <row r="242" spans="1:56" ht="15.75" customHeight="1">
      <c r="A242" s="162"/>
      <c r="B242" s="163"/>
      <c r="C242" s="164"/>
      <c r="D242" s="162"/>
      <c r="E242" s="162"/>
      <c r="F242" s="162"/>
      <c r="G242" s="162"/>
      <c r="H242" s="162"/>
      <c r="I242" s="162"/>
      <c r="J242" s="162"/>
      <c r="K242" s="162"/>
      <c r="L242" s="162"/>
      <c r="T242" s="162"/>
      <c r="U242" s="162"/>
      <c r="V242" s="162"/>
      <c r="W242" s="162"/>
      <c r="X242" s="162"/>
      <c r="Y242" s="162"/>
      <c r="Z242" s="162"/>
      <c r="AA242" s="162"/>
      <c r="AB242" s="162"/>
      <c r="AC242" s="162"/>
      <c r="AD242" s="162"/>
      <c r="AE242" s="162"/>
      <c r="AG242" s="162"/>
      <c r="AH242" s="162"/>
      <c r="AI242" s="162"/>
      <c r="AJ242" s="162"/>
      <c r="AK242" s="162"/>
      <c r="AL242" s="162"/>
      <c r="AM242" s="162"/>
      <c r="AN242" s="162"/>
      <c r="AO242" s="162"/>
      <c r="AP242" s="162"/>
      <c r="AQ242" s="162"/>
      <c r="AR242" s="162"/>
      <c r="AS242" s="162"/>
      <c r="AT242" s="162"/>
      <c r="AU242" s="162"/>
      <c r="AV242" s="162"/>
      <c r="AW242" s="162"/>
      <c r="AX242" s="162"/>
      <c r="AY242" s="162"/>
      <c r="AZ242" s="162"/>
      <c r="BA242" s="162"/>
      <c r="BB242" s="171"/>
      <c r="BC242" s="162"/>
      <c r="BD242" s="171"/>
    </row>
    <row r="243" spans="1:56" ht="15.75" customHeight="1">
      <c r="A243" s="162"/>
      <c r="B243" s="163"/>
      <c r="C243" s="164"/>
      <c r="D243" s="162"/>
      <c r="E243" s="162"/>
      <c r="F243" s="162"/>
      <c r="G243" s="162"/>
      <c r="H243" s="162"/>
      <c r="I243" s="162"/>
      <c r="J243" s="162"/>
      <c r="K243" s="162"/>
      <c r="L243" s="162"/>
      <c r="T243" s="162"/>
      <c r="U243" s="162"/>
      <c r="V243" s="162"/>
      <c r="W243" s="162"/>
      <c r="X243" s="162"/>
      <c r="Y243" s="162"/>
      <c r="Z243" s="162"/>
      <c r="AA243" s="162"/>
      <c r="AB243" s="162"/>
      <c r="AC243" s="162"/>
      <c r="AD243" s="162"/>
      <c r="AE243" s="162"/>
      <c r="AG243" s="162"/>
      <c r="AH243" s="162"/>
      <c r="AI243" s="162"/>
      <c r="AJ243" s="162"/>
      <c r="AK243" s="162"/>
      <c r="AL243" s="162"/>
      <c r="AM243" s="162"/>
      <c r="AN243" s="162"/>
      <c r="AO243" s="162"/>
      <c r="AP243" s="162"/>
      <c r="AQ243" s="162"/>
      <c r="AR243" s="162"/>
      <c r="AS243" s="162"/>
      <c r="AT243" s="162"/>
      <c r="AU243" s="162"/>
      <c r="AV243" s="162"/>
      <c r="AW243" s="162"/>
      <c r="AX243" s="162"/>
      <c r="AY243" s="162"/>
      <c r="AZ243" s="162"/>
      <c r="BA243" s="162"/>
      <c r="BB243" s="171"/>
      <c r="BC243" s="162"/>
      <c r="BD243" s="171"/>
    </row>
    <row r="244" spans="1:56" ht="15.75" customHeight="1">
      <c r="A244" s="162"/>
      <c r="B244" s="163"/>
      <c r="C244" s="164"/>
      <c r="D244" s="162"/>
      <c r="E244" s="162"/>
      <c r="F244" s="162"/>
      <c r="G244" s="162"/>
      <c r="H244" s="162"/>
      <c r="I244" s="162"/>
      <c r="J244" s="162"/>
      <c r="K244" s="162"/>
      <c r="L244" s="162"/>
      <c r="T244" s="162"/>
      <c r="U244" s="162"/>
      <c r="V244" s="162"/>
      <c r="W244" s="162"/>
      <c r="X244" s="162"/>
      <c r="Y244" s="162"/>
      <c r="Z244" s="162"/>
      <c r="AA244" s="162"/>
      <c r="AB244" s="162"/>
      <c r="AC244" s="162"/>
      <c r="AD244" s="162"/>
      <c r="AE244" s="162"/>
      <c r="AG244" s="162"/>
      <c r="AH244" s="162"/>
      <c r="AI244" s="162"/>
      <c r="AJ244" s="162"/>
      <c r="AK244" s="162"/>
      <c r="AL244" s="162"/>
      <c r="AM244" s="162"/>
      <c r="AN244" s="162"/>
      <c r="AO244" s="162"/>
      <c r="AP244" s="162"/>
      <c r="AQ244" s="162"/>
      <c r="AR244" s="162"/>
      <c r="AS244" s="162"/>
      <c r="AT244" s="162"/>
      <c r="AU244" s="162"/>
      <c r="AV244" s="162"/>
      <c r="AW244" s="162"/>
      <c r="AX244" s="162"/>
      <c r="AY244" s="162"/>
      <c r="AZ244" s="162"/>
      <c r="BA244" s="162"/>
      <c r="BB244" s="171"/>
      <c r="BC244" s="162"/>
      <c r="BD244" s="171"/>
    </row>
    <row r="245" spans="1:56" ht="15.75" customHeight="1">
      <c r="A245" s="162"/>
      <c r="B245" s="163"/>
      <c r="C245" s="164"/>
      <c r="D245" s="162"/>
      <c r="E245" s="162"/>
      <c r="F245" s="162"/>
      <c r="G245" s="162"/>
      <c r="H245" s="162"/>
      <c r="I245" s="162"/>
      <c r="J245" s="162"/>
      <c r="K245" s="162"/>
      <c r="L245" s="162"/>
      <c r="T245" s="162"/>
      <c r="U245" s="162"/>
      <c r="V245" s="162"/>
      <c r="W245" s="162"/>
      <c r="X245" s="162"/>
      <c r="Y245" s="162"/>
      <c r="Z245" s="162"/>
      <c r="AA245" s="162"/>
      <c r="AB245" s="162"/>
      <c r="AC245" s="162"/>
      <c r="AD245" s="162"/>
      <c r="AE245" s="162"/>
      <c r="AG245" s="162"/>
      <c r="AH245" s="162"/>
      <c r="AI245" s="162"/>
      <c r="AJ245" s="162"/>
      <c r="AK245" s="162"/>
      <c r="AL245" s="162"/>
      <c r="AM245" s="162"/>
      <c r="AN245" s="162"/>
      <c r="AO245" s="162"/>
      <c r="AP245" s="162"/>
      <c r="AQ245" s="162"/>
      <c r="AR245" s="162"/>
      <c r="AS245" s="162"/>
      <c r="AT245" s="162"/>
      <c r="AU245" s="162"/>
      <c r="AV245" s="162"/>
      <c r="AW245" s="162"/>
      <c r="AX245" s="162"/>
      <c r="AY245" s="162"/>
      <c r="AZ245" s="162"/>
      <c r="BA245" s="162"/>
      <c r="BB245" s="171"/>
      <c r="BC245" s="162"/>
      <c r="BD245" s="171"/>
    </row>
    <row r="246" spans="1:56" ht="15.75" customHeight="1">
      <c r="A246" s="162"/>
      <c r="B246" s="163"/>
      <c r="C246" s="164"/>
      <c r="D246" s="162"/>
      <c r="E246" s="162"/>
      <c r="F246" s="162"/>
      <c r="G246" s="162"/>
      <c r="H246" s="162"/>
      <c r="I246" s="162"/>
      <c r="J246" s="162"/>
      <c r="K246" s="162"/>
      <c r="L246" s="162"/>
      <c r="T246" s="162"/>
      <c r="U246" s="162"/>
      <c r="V246" s="162"/>
      <c r="W246" s="162"/>
      <c r="X246" s="162"/>
      <c r="Y246" s="162"/>
      <c r="Z246" s="162"/>
      <c r="AA246" s="162"/>
      <c r="AB246" s="162"/>
      <c r="AC246" s="162"/>
      <c r="AD246" s="162"/>
      <c r="AE246" s="162"/>
      <c r="AG246" s="162"/>
      <c r="AH246" s="162"/>
      <c r="AI246" s="162"/>
      <c r="AJ246" s="162"/>
      <c r="AK246" s="162"/>
      <c r="AL246" s="162"/>
      <c r="AM246" s="162"/>
      <c r="AN246" s="162"/>
      <c r="AO246" s="162"/>
      <c r="AP246" s="162"/>
      <c r="AQ246" s="162"/>
      <c r="AR246" s="162"/>
      <c r="AS246" s="162"/>
      <c r="AT246" s="162"/>
      <c r="AU246" s="162"/>
      <c r="AV246" s="162"/>
      <c r="AW246" s="162"/>
      <c r="AX246" s="162"/>
      <c r="AY246" s="162"/>
      <c r="AZ246" s="162"/>
      <c r="BA246" s="162"/>
      <c r="BB246" s="171"/>
      <c r="BC246" s="162"/>
      <c r="BD246" s="171"/>
    </row>
    <row r="247" spans="1:56" ht="15.75" customHeight="1">
      <c r="A247" s="162"/>
      <c r="B247" s="163"/>
      <c r="C247" s="164"/>
      <c r="D247" s="162"/>
      <c r="E247" s="162"/>
      <c r="F247" s="162"/>
      <c r="G247" s="162"/>
      <c r="H247" s="162"/>
      <c r="I247" s="162"/>
      <c r="J247" s="162"/>
      <c r="K247" s="162"/>
      <c r="L247" s="162"/>
      <c r="T247" s="162"/>
      <c r="U247" s="162"/>
      <c r="V247" s="162"/>
      <c r="W247" s="162"/>
      <c r="X247" s="162"/>
      <c r="Y247" s="162"/>
      <c r="Z247" s="162"/>
      <c r="AA247" s="162"/>
      <c r="AB247" s="162"/>
      <c r="AC247" s="162"/>
      <c r="AD247" s="162"/>
      <c r="AE247" s="162"/>
      <c r="AG247" s="162"/>
      <c r="AH247" s="162"/>
      <c r="AI247" s="162"/>
      <c r="AJ247" s="162"/>
      <c r="AK247" s="162"/>
      <c r="AL247" s="162"/>
      <c r="AM247" s="162"/>
      <c r="AN247" s="162"/>
      <c r="AO247" s="162"/>
      <c r="AP247" s="162"/>
      <c r="AQ247" s="162"/>
      <c r="AR247" s="162"/>
      <c r="AS247" s="162"/>
      <c r="AT247" s="162"/>
      <c r="AU247" s="162"/>
      <c r="AV247" s="162"/>
      <c r="AW247" s="162"/>
      <c r="AX247" s="162"/>
      <c r="AY247" s="162"/>
      <c r="AZ247" s="162"/>
      <c r="BA247" s="162"/>
      <c r="BB247" s="171"/>
      <c r="BC247" s="162"/>
      <c r="BD247" s="171"/>
    </row>
    <row r="248" spans="1:56" ht="15.75" customHeight="1"/>
    <row r="249" spans="1:56" ht="15.75" customHeight="1"/>
    <row r="250" spans="1:56" ht="15.75" customHeight="1"/>
    <row r="251" spans="1:56" ht="15.75" customHeight="1"/>
    <row r="252" spans="1:56" ht="15.75" customHeight="1"/>
    <row r="253" spans="1:56" ht="15.75" customHeight="1"/>
    <row r="254" spans="1:56" ht="15.75" customHeight="1"/>
    <row r="255" spans="1:56" ht="15.75" customHeight="1"/>
    <row r="256" spans="1: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N3:AR3"/>
    <mergeCell ref="AS3:AZ3"/>
    <mergeCell ref="AN39:AO39"/>
    <mergeCell ref="D50:K54"/>
    <mergeCell ref="L50:S54"/>
    <mergeCell ref="T50:Z54"/>
    <mergeCell ref="AF50:AM54"/>
    <mergeCell ref="B3:B4"/>
    <mergeCell ref="D3:K3"/>
    <mergeCell ref="L3:S3"/>
    <mergeCell ref="T3:Z3"/>
    <mergeCell ref="AA3:AE3"/>
    <mergeCell ref="AF3:AM3"/>
  </mergeCells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8B8EA-58E9-6D4F-9C49-0F67EB0BD639}">
  <dimension ref="A1:CJ1000"/>
  <sheetViews>
    <sheetView tabSelected="1" workbookViewId="0">
      <selection activeCell="B10" sqref="B10"/>
    </sheetView>
  </sheetViews>
  <sheetFormatPr baseColWidth="10" defaultColWidth="12.28515625" defaultRowHeight="17"/>
  <cols>
    <col min="1" max="2" width="11.140625" style="7" customWidth="1"/>
    <col min="3" max="3" width="15.85546875" style="285" customWidth="1"/>
    <col min="4" max="4" width="4.140625" style="7" customWidth="1"/>
    <col min="5" max="6" width="7.5703125" style="7" customWidth="1"/>
    <col min="7" max="7" width="11.5703125" style="7" customWidth="1"/>
    <col min="8" max="8" width="7.5703125" style="7" customWidth="1"/>
    <col min="9" max="9" width="8.140625" style="7" customWidth="1"/>
    <col min="10" max="10" width="11.42578125" style="7" bestFit="1" customWidth="1"/>
    <col min="11" max="11" width="7.5703125" style="7" customWidth="1"/>
    <col min="12" max="12" width="4.5703125" style="7" customWidth="1"/>
    <col min="13" max="13" width="7.7109375" style="172" customWidth="1"/>
    <col min="14" max="14" width="8.5703125" style="172" customWidth="1"/>
    <col min="15" max="17" width="7.5703125" style="172" customWidth="1"/>
    <col min="18" max="18" width="9.7109375" style="172" bestFit="1" customWidth="1"/>
    <col min="19" max="19" width="9.85546875" style="172" customWidth="1"/>
    <col min="20" max="20" width="8.42578125" style="7" customWidth="1"/>
    <col min="21" max="21" width="7.5703125" style="7" customWidth="1"/>
    <col min="22" max="22" width="9.42578125" style="7" bestFit="1" customWidth="1"/>
    <col min="23" max="23" width="11.5703125" style="7" customWidth="1"/>
    <col min="24" max="24" width="9" style="7" bestFit="1" customWidth="1"/>
    <col min="25" max="25" width="11.42578125" style="7" customWidth="1"/>
    <col min="26" max="26" width="12.28515625" style="7"/>
    <col min="27" max="27" width="7.5703125" style="7" customWidth="1"/>
    <col min="28" max="28" width="7.7109375" style="7" bestFit="1" customWidth="1"/>
    <col min="29" max="29" width="9.42578125" style="7" bestFit="1" customWidth="1"/>
    <col min="30" max="30" width="7.5703125" style="7" customWidth="1"/>
    <col min="31" max="31" width="8.42578125" style="7" customWidth="1"/>
    <col min="32" max="32" width="6.42578125" style="172" customWidth="1"/>
    <col min="33" max="33" width="7.140625" style="7" customWidth="1"/>
    <col min="34" max="36" width="7.5703125" style="7" customWidth="1"/>
    <col min="37" max="37" width="9.42578125" style="7" bestFit="1" customWidth="1"/>
    <col min="38" max="38" width="10.5703125" style="7" bestFit="1" customWidth="1"/>
    <col min="39" max="39" width="11.5703125" style="7" bestFit="1" customWidth="1"/>
    <col min="40" max="40" width="11.140625" style="7" bestFit="1" customWidth="1"/>
    <col min="41" max="42" width="7.5703125" style="7" customWidth="1"/>
    <col min="43" max="43" width="10.140625" style="7" customWidth="1"/>
    <col min="44" max="44" width="13.5703125" style="7" customWidth="1"/>
    <col min="45" max="56" width="11.140625" style="7" customWidth="1"/>
    <col min="57" max="66" width="12.28515625" style="7"/>
    <col min="67" max="67" width="5.85546875" style="7" customWidth="1"/>
    <col min="68" max="68" width="7.5703125" style="7" customWidth="1"/>
    <col min="69" max="69" width="9.42578125" style="7" bestFit="1" customWidth="1"/>
    <col min="70" max="70" width="11.5703125" style="7" customWidth="1"/>
    <col min="71" max="71" width="8.85546875" style="7" bestFit="1" customWidth="1"/>
    <col min="72" max="72" width="8.140625" style="7" customWidth="1"/>
    <col min="73" max="73" width="9.85546875" style="7" customWidth="1"/>
    <col min="74" max="75" width="7.5703125" style="7" customWidth="1"/>
    <col min="76" max="81" width="11" style="7" customWidth="1"/>
    <col min="82" max="82" width="7.5703125" style="7" customWidth="1"/>
    <col min="83" max="88" width="11" style="7" customWidth="1"/>
    <col min="89" max="16384" width="12.28515625" style="7"/>
  </cols>
  <sheetData>
    <row r="1" spans="1:88" ht="13.5" customHeight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5"/>
      <c r="N1" s="5"/>
      <c r="O1" s="5"/>
      <c r="P1" s="5"/>
      <c r="Q1" s="5"/>
      <c r="R1" s="5"/>
      <c r="S1" s="5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5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6"/>
      <c r="BB1" s="4"/>
      <c r="BC1" s="6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</row>
    <row r="2" spans="1:88" ht="13.5" customHeight="1" thickBot="1">
      <c r="A2" s="8">
        <v>2025</v>
      </c>
      <c r="B2" s="9">
        <v>6</v>
      </c>
      <c r="C2" s="10"/>
      <c r="D2" s="11"/>
      <c r="E2" s="11"/>
      <c r="F2" s="11"/>
      <c r="G2" s="11"/>
      <c r="H2" s="11"/>
      <c r="I2" s="11"/>
      <c r="J2" s="11"/>
      <c r="K2" s="11"/>
      <c r="L2" s="4"/>
      <c r="M2" s="12"/>
      <c r="N2" s="12"/>
      <c r="O2" s="12"/>
      <c r="P2" s="12"/>
      <c r="Q2" s="12"/>
      <c r="R2" s="12"/>
      <c r="S2" s="5"/>
      <c r="T2" s="11"/>
      <c r="U2" s="11"/>
      <c r="V2" s="11"/>
      <c r="W2" s="11"/>
      <c r="X2" s="11"/>
      <c r="Y2" s="11"/>
      <c r="Z2" s="4"/>
      <c r="AA2" s="4"/>
      <c r="AB2" s="4"/>
      <c r="AC2" s="4"/>
      <c r="AD2" s="4"/>
      <c r="AE2" s="4"/>
      <c r="AF2" s="5"/>
      <c r="AG2" s="11"/>
      <c r="AH2" s="11"/>
      <c r="AI2" s="11"/>
      <c r="AJ2" s="11"/>
      <c r="AK2" s="11"/>
      <c r="AL2" s="11"/>
      <c r="AM2" s="4"/>
      <c r="AN2" s="4"/>
      <c r="AO2" s="4"/>
      <c r="AP2" s="4"/>
      <c r="AQ2" s="4"/>
      <c r="AR2" s="4"/>
      <c r="AS2" s="4" t="s">
        <v>1</v>
      </c>
      <c r="AT2" s="4"/>
      <c r="AU2" s="4"/>
      <c r="AV2" s="4"/>
      <c r="AW2" s="4"/>
      <c r="AX2" s="4"/>
      <c r="AY2" s="4"/>
      <c r="AZ2" s="4"/>
      <c r="BA2" s="6"/>
      <c r="BB2" s="4"/>
      <c r="BC2" s="6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4"/>
      <c r="CD2" s="11"/>
      <c r="CE2" s="11"/>
      <c r="CF2" s="11"/>
      <c r="CG2" s="11"/>
      <c r="CH2" s="11"/>
      <c r="CI2" s="11"/>
      <c r="CJ2" s="4"/>
    </row>
    <row r="3" spans="1:88" ht="19" thickBot="1">
      <c r="A3" s="13"/>
      <c r="B3" s="14" t="s">
        <v>2</v>
      </c>
      <c r="C3" s="15"/>
      <c r="D3" s="16" t="s">
        <v>3</v>
      </c>
      <c r="E3" s="17"/>
      <c r="F3" s="17"/>
      <c r="G3" s="17"/>
      <c r="H3" s="17"/>
      <c r="I3" s="17"/>
      <c r="J3" s="17"/>
      <c r="K3" s="17"/>
      <c r="L3" s="18" t="s">
        <v>4</v>
      </c>
      <c r="M3" s="18"/>
      <c r="N3" s="18"/>
      <c r="O3" s="18"/>
      <c r="P3" s="18"/>
      <c r="Q3" s="18"/>
      <c r="R3" s="18"/>
      <c r="S3" s="19"/>
      <c r="T3" s="20" t="s">
        <v>5</v>
      </c>
      <c r="U3" s="21"/>
      <c r="V3" s="21"/>
      <c r="W3" s="21"/>
      <c r="X3" s="21"/>
      <c r="Y3" s="21"/>
      <c r="Z3" s="21"/>
      <c r="AA3" s="22" t="s">
        <v>6</v>
      </c>
      <c r="AB3" s="23"/>
      <c r="AC3" s="23"/>
      <c r="AD3" s="23"/>
      <c r="AE3" s="24"/>
      <c r="AF3" s="25" t="s">
        <v>7</v>
      </c>
      <c r="AG3" s="26"/>
      <c r="AH3" s="26"/>
      <c r="AI3" s="26"/>
      <c r="AJ3" s="26"/>
      <c r="AK3" s="26"/>
      <c r="AL3" s="26"/>
      <c r="AM3" s="26"/>
      <c r="AN3" s="22" t="s">
        <v>8</v>
      </c>
      <c r="AO3" s="23"/>
      <c r="AP3" s="23"/>
      <c r="AQ3" s="23"/>
      <c r="AR3" s="27"/>
      <c r="AS3" s="28" t="s">
        <v>9</v>
      </c>
      <c r="AT3" s="29"/>
      <c r="AU3" s="29"/>
      <c r="AV3" s="29"/>
      <c r="AW3" s="29"/>
      <c r="AX3" s="29"/>
      <c r="AY3" s="29"/>
      <c r="AZ3" s="30"/>
      <c r="BA3" s="4"/>
      <c r="BB3" s="6"/>
      <c r="BO3" s="286" t="s">
        <v>3</v>
      </c>
      <c r="BP3" s="287"/>
      <c r="BQ3" s="287"/>
      <c r="BR3" s="287"/>
      <c r="BS3" s="287"/>
      <c r="BT3" s="287"/>
      <c r="BU3" s="287"/>
      <c r="BV3" s="287"/>
      <c r="BW3" s="288" t="s">
        <v>5</v>
      </c>
      <c r="BX3" s="289"/>
      <c r="BY3" s="289"/>
      <c r="BZ3" s="289"/>
      <c r="CA3" s="289"/>
      <c r="CB3" s="289"/>
      <c r="CC3" s="290"/>
      <c r="CD3" s="291" t="s">
        <v>84</v>
      </c>
      <c r="CE3" s="292"/>
      <c r="CF3" s="292"/>
      <c r="CG3" s="292"/>
      <c r="CH3" s="292"/>
      <c r="CI3" s="292"/>
      <c r="CJ3" s="293"/>
    </row>
    <row r="4" spans="1:88" ht="53.25" customHeight="1" thickBot="1">
      <c r="A4" s="13"/>
      <c r="B4" s="31"/>
      <c r="C4" s="32"/>
      <c r="D4" s="33" t="s">
        <v>10</v>
      </c>
      <c r="E4" s="34" t="s">
        <v>11</v>
      </c>
      <c r="F4" s="35" t="s">
        <v>12</v>
      </c>
      <c r="G4" s="33" t="s">
        <v>13</v>
      </c>
      <c r="H4" s="35" t="s">
        <v>14</v>
      </c>
      <c r="I4" s="36" t="s">
        <v>15</v>
      </c>
      <c r="J4" s="34" t="s">
        <v>16</v>
      </c>
      <c r="K4" s="35" t="s">
        <v>17</v>
      </c>
      <c r="L4" s="37" t="s">
        <v>18</v>
      </c>
      <c r="M4" s="38" t="s">
        <v>11</v>
      </c>
      <c r="N4" s="39" t="s">
        <v>19</v>
      </c>
      <c r="O4" s="40" t="s">
        <v>20</v>
      </c>
      <c r="P4" s="39" t="s">
        <v>21</v>
      </c>
      <c r="Q4" s="41" t="s">
        <v>22</v>
      </c>
      <c r="R4" s="42" t="s">
        <v>23</v>
      </c>
      <c r="S4" s="43" t="s">
        <v>17</v>
      </c>
      <c r="T4" s="44" t="s">
        <v>11</v>
      </c>
      <c r="U4" s="35" t="s">
        <v>12</v>
      </c>
      <c r="V4" s="33" t="s">
        <v>13</v>
      </c>
      <c r="W4" s="35" t="s">
        <v>14</v>
      </c>
      <c r="X4" s="36" t="s">
        <v>15</v>
      </c>
      <c r="Y4" s="34" t="s">
        <v>16</v>
      </c>
      <c r="Z4" s="45" t="s">
        <v>17</v>
      </c>
      <c r="AA4" s="46" t="s">
        <v>24</v>
      </c>
      <c r="AB4" s="47" t="s">
        <v>19</v>
      </c>
      <c r="AC4" s="47" t="s">
        <v>21</v>
      </c>
      <c r="AD4" s="48" t="s">
        <v>25</v>
      </c>
      <c r="AE4" s="43" t="s">
        <v>17</v>
      </c>
      <c r="AF4" s="49" t="s">
        <v>18</v>
      </c>
      <c r="AG4" s="50" t="s">
        <v>11</v>
      </c>
      <c r="AH4" s="35" t="s">
        <v>19</v>
      </c>
      <c r="AI4" s="33" t="s">
        <v>20</v>
      </c>
      <c r="AJ4" s="35" t="s">
        <v>21</v>
      </c>
      <c r="AK4" s="36" t="s">
        <v>22</v>
      </c>
      <c r="AL4" s="44" t="s">
        <v>23</v>
      </c>
      <c r="AM4" s="51" t="s">
        <v>17</v>
      </c>
      <c r="AN4" s="46" t="s">
        <v>24</v>
      </c>
      <c r="AO4" s="47" t="s">
        <v>19</v>
      </c>
      <c r="AP4" s="47" t="s">
        <v>21</v>
      </c>
      <c r="AQ4" s="48" t="s">
        <v>25</v>
      </c>
      <c r="AR4" s="47" t="s">
        <v>26</v>
      </c>
      <c r="AS4" s="35" t="s">
        <v>27</v>
      </c>
      <c r="AT4" s="35" t="s">
        <v>28</v>
      </c>
      <c r="AU4" s="35" t="s">
        <v>29</v>
      </c>
      <c r="AV4" s="35" t="s">
        <v>30</v>
      </c>
      <c r="AW4" s="35" t="s">
        <v>31</v>
      </c>
      <c r="AX4" s="35" t="s">
        <v>32</v>
      </c>
      <c r="AY4" s="35" t="s">
        <v>33</v>
      </c>
      <c r="AZ4" s="52" t="s">
        <v>34</v>
      </c>
      <c r="BA4" s="4"/>
      <c r="BB4" s="6"/>
      <c r="BO4" s="294" t="s">
        <v>10</v>
      </c>
      <c r="BP4" s="295" t="s">
        <v>11</v>
      </c>
      <c r="BQ4" s="47" t="s">
        <v>12</v>
      </c>
      <c r="BR4" s="296" t="s">
        <v>13</v>
      </c>
      <c r="BS4" s="47" t="s">
        <v>14</v>
      </c>
      <c r="BT4" s="48" t="s">
        <v>15</v>
      </c>
      <c r="BU4" s="295" t="s">
        <v>16</v>
      </c>
      <c r="BV4" s="48" t="s">
        <v>17</v>
      </c>
      <c r="BW4" s="297" t="s">
        <v>11</v>
      </c>
      <c r="BX4" s="47" t="s">
        <v>12</v>
      </c>
      <c r="BY4" s="296" t="s">
        <v>13</v>
      </c>
      <c r="BZ4" s="47" t="s">
        <v>14</v>
      </c>
      <c r="CA4" s="48" t="s">
        <v>15</v>
      </c>
      <c r="CB4" s="298" t="s">
        <v>16</v>
      </c>
      <c r="CC4" s="299" t="s">
        <v>17</v>
      </c>
      <c r="CD4" s="300" t="s">
        <v>11</v>
      </c>
      <c r="CE4" s="47" t="s">
        <v>12</v>
      </c>
      <c r="CF4" s="296" t="s">
        <v>13</v>
      </c>
      <c r="CG4" s="47" t="s">
        <v>14</v>
      </c>
      <c r="CH4" s="48" t="s">
        <v>15</v>
      </c>
      <c r="CI4" s="301" t="s">
        <v>16</v>
      </c>
      <c r="CJ4" s="302" t="s">
        <v>17</v>
      </c>
    </row>
    <row r="5" spans="1:88" s="85" customFormat="1" ht="13.5" customHeight="1" thickTop="1">
      <c r="A5" s="53"/>
      <c r="B5" s="303">
        <f>DATE($A$2,$B$2,1)</f>
        <v>45809</v>
      </c>
      <c r="C5" s="55"/>
      <c r="D5" s="56"/>
      <c r="E5" s="57"/>
      <c r="F5" s="58"/>
      <c r="G5" s="59" t="e">
        <f t="shared" ref="G5:G29" si="0">ROUNDDOWN(F5/1.1,0)/E5</f>
        <v>#DIV/0!</v>
      </c>
      <c r="H5" s="58"/>
      <c r="I5" s="60" t="e">
        <f t="shared" ref="I5:I29" si="1">ROUNDDOWN(H5/1.1,0)/E5</f>
        <v>#DIV/0!</v>
      </c>
      <c r="J5" s="61">
        <f t="shared" ref="J5:J31" si="2">F5+H5</f>
        <v>0</v>
      </c>
      <c r="K5" s="62" t="str">
        <f t="shared" ref="K5:K29" si="3">IF(E5="","",J5/E5)</f>
        <v/>
      </c>
      <c r="L5" s="63"/>
      <c r="M5" s="64"/>
      <c r="N5" s="65"/>
      <c r="O5" s="66" t="e">
        <f t="shared" ref="O5:O36" si="4">N5/M5</f>
        <v>#DIV/0!</v>
      </c>
      <c r="P5" s="65"/>
      <c r="Q5" s="67" t="e">
        <f t="shared" ref="Q5:Q36" si="5">P5/M5</f>
        <v>#DIV/0!</v>
      </c>
      <c r="R5" s="68">
        <f t="shared" ref="R5" si="6">N5+P5</f>
        <v>0</v>
      </c>
      <c r="S5" s="69" t="str">
        <f t="shared" ref="S5:S34" si="7">IF(M5="","",R5/M5)</f>
        <v/>
      </c>
      <c r="T5" s="70">
        <f t="shared" ref="T5:U34" si="8">AS5-E5</f>
        <v>0</v>
      </c>
      <c r="U5" s="71">
        <f>(AT5+N5)-F5</f>
        <v>0</v>
      </c>
      <c r="V5" s="59" t="e">
        <f t="shared" ref="V5:V31" si="9">ROUNDDOWN(U5/1.1,0)/T5</f>
        <v>#DIV/0!</v>
      </c>
      <c r="W5" s="71">
        <f t="shared" ref="W5:W34" si="10">AU5-H5</f>
        <v>0</v>
      </c>
      <c r="X5" s="60" t="e">
        <f t="shared" ref="X5:X31" si="11">ROUNDDOWN(W5/1.1,0)/T5</f>
        <v>#DIV/0!</v>
      </c>
      <c r="Y5" s="72">
        <f>U5+W5</f>
        <v>0</v>
      </c>
      <c r="Z5" s="73" t="e">
        <f t="shared" ref="Z5:Z31" si="12">IF(T5="","",Y5/T5)</f>
        <v>#DIV/0!</v>
      </c>
      <c r="AA5" s="74">
        <f t="shared" ref="AA5:AB34" si="13">E5+T5</f>
        <v>0</v>
      </c>
      <c r="AB5" s="71">
        <f t="shared" si="13"/>
        <v>0</v>
      </c>
      <c r="AC5" s="71">
        <f t="shared" ref="AC5:AC34" si="14">H5+W5</f>
        <v>0</v>
      </c>
      <c r="AD5" s="75">
        <f t="shared" ref="AD5:AD34" si="15">J5+Y5</f>
        <v>0</v>
      </c>
      <c r="AE5" s="71" t="e">
        <f t="shared" ref="AE5:AE31" si="16">IF(AA5="","",AD5/AA5)</f>
        <v>#DIV/0!</v>
      </c>
      <c r="AF5" s="76">
        <v>73</v>
      </c>
      <c r="AG5" s="77">
        <v>73</v>
      </c>
      <c r="AH5" s="58">
        <v>106450</v>
      </c>
      <c r="AI5" s="59">
        <f t="shared" ref="AI5:AI31" si="17">AH5/AG5</f>
        <v>1458.2191780821918</v>
      </c>
      <c r="AJ5" s="58">
        <v>12200</v>
      </c>
      <c r="AK5" s="60">
        <f t="shared" ref="AK5:AK31" si="18">AJ5/AG5</f>
        <v>167.12328767123287</v>
      </c>
      <c r="AL5" s="78">
        <f>AH5+AJ5</f>
        <v>118650</v>
      </c>
      <c r="AM5" s="79">
        <f t="shared" ref="AM5:AM31" si="19">IF(AG5="","",AL5/AG5)</f>
        <v>1625.3424657534247</v>
      </c>
      <c r="AN5" s="74">
        <f>SUM(E5,T5,M5)</f>
        <v>0</v>
      </c>
      <c r="AO5" s="71">
        <f t="shared" ref="AO5:AO34" si="20">AB5+AH5</f>
        <v>106450</v>
      </c>
      <c r="AP5" s="71">
        <f t="shared" ref="AP5:AP34" si="21">AC5+AJ5</f>
        <v>12200</v>
      </c>
      <c r="AQ5" s="80">
        <f t="shared" ref="AQ5:AQ34" si="22">AD5+AL5</f>
        <v>118650</v>
      </c>
      <c r="AR5" s="71">
        <f>AV5+AW5+AX5</f>
        <v>0</v>
      </c>
      <c r="AS5" s="71"/>
      <c r="AT5" s="71"/>
      <c r="AU5" s="71"/>
      <c r="AV5" s="81"/>
      <c r="AW5" s="81"/>
      <c r="AX5" s="81"/>
      <c r="AY5" s="81"/>
      <c r="AZ5" s="82">
        <f>SUM(AT5:AX5)</f>
        <v>0</v>
      </c>
      <c r="BA5" s="53">
        <v>1</v>
      </c>
      <c r="BB5" s="83">
        <f>AY5+AZ5</f>
        <v>0</v>
      </c>
      <c r="BC5" s="84">
        <f t="shared" ref="BC5:BC34" si="23">AZ5+AL5</f>
        <v>118650</v>
      </c>
      <c r="BO5" s="304">
        <f>D5</f>
        <v>0</v>
      </c>
      <c r="BP5" s="57">
        <f>E5</f>
        <v>0</v>
      </c>
      <c r="BQ5" s="71">
        <f>F5</f>
        <v>0</v>
      </c>
      <c r="BR5" s="59" t="e">
        <f t="shared" ref="BR5:BR35" si="24">ROUNDDOWN(BQ5/1.1,0)/BP5</f>
        <v>#DIV/0!</v>
      </c>
      <c r="BS5" s="71">
        <f>H5</f>
        <v>0</v>
      </c>
      <c r="BT5" s="60" t="e">
        <f t="shared" ref="BT5:BT35" si="25">ROUNDDOWN(BS5/1.1,0)/BP5</f>
        <v>#DIV/0!</v>
      </c>
      <c r="BU5" s="61">
        <f>BQ5+BS5</f>
        <v>0</v>
      </c>
      <c r="BV5" s="62" t="e">
        <f t="shared" ref="BV5:BV35" si="26">IF(BP5="","",BU5/BP5)</f>
        <v>#DIV/0!</v>
      </c>
      <c r="BW5" s="305">
        <f>T5</f>
        <v>0</v>
      </c>
      <c r="BX5" s="71">
        <f>U5</f>
        <v>0</v>
      </c>
      <c r="BY5" s="59" t="e">
        <f t="shared" ref="BY5:BY35" si="27">ROUNDDOWN(BX5/1.1,0)/BW5</f>
        <v>#DIV/0!</v>
      </c>
      <c r="BZ5" s="71">
        <f>W5</f>
        <v>0</v>
      </c>
      <c r="CA5" s="60" t="e">
        <f t="shared" ref="CA5:CA35" si="28">ROUNDDOWN(BZ5/1.1,0)/BW5</f>
        <v>#DIV/0!</v>
      </c>
      <c r="CB5" s="306">
        <f>BX5+BZ5</f>
        <v>0</v>
      </c>
      <c r="CC5" s="307" t="e">
        <v>#DIV/0!</v>
      </c>
      <c r="CD5" s="308">
        <f>BP5+BW5</f>
        <v>0</v>
      </c>
      <c r="CE5" s="71">
        <f>BQ5+BX5</f>
        <v>0</v>
      </c>
      <c r="CF5" s="60" t="e">
        <f>ROUNDDOWN(CE5/1.1,0)/CD5</f>
        <v>#DIV/0!</v>
      </c>
      <c r="CG5" s="71">
        <f>BS5+BZ5</f>
        <v>0</v>
      </c>
      <c r="CH5" s="60" t="e">
        <f>ROUNDDOWN(CG5/1.1,0)/CD5</f>
        <v>#DIV/0!</v>
      </c>
      <c r="CI5" s="309">
        <f>CE5+CG5</f>
        <v>0</v>
      </c>
      <c r="CJ5" s="310" t="e">
        <f>IF(CD5="","",CI5/CD5)</f>
        <v>#DIV/0!</v>
      </c>
    </row>
    <row r="6" spans="1:88" ht="13.5" customHeight="1">
      <c r="A6" s="53"/>
      <c r="B6" s="311">
        <f t="shared" ref="B6:B34" si="29">B5+1</f>
        <v>45810</v>
      </c>
      <c r="C6" s="87"/>
      <c r="D6" s="56"/>
      <c r="E6" s="57"/>
      <c r="F6" s="58"/>
      <c r="G6" s="59" t="e">
        <f t="shared" si="0"/>
        <v>#DIV/0!</v>
      </c>
      <c r="H6" s="58"/>
      <c r="I6" s="60" t="e">
        <f t="shared" si="1"/>
        <v>#DIV/0!</v>
      </c>
      <c r="J6" s="61">
        <f t="shared" si="2"/>
        <v>0</v>
      </c>
      <c r="K6" s="62" t="str">
        <f t="shared" si="3"/>
        <v/>
      </c>
      <c r="L6" s="88"/>
      <c r="M6" s="89"/>
      <c r="N6" s="90"/>
      <c r="O6" s="91" t="e">
        <f t="shared" si="4"/>
        <v>#DIV/0!</v>
      </c>
      <c r="P6" s="90"/>
      <c r="Q6" s="92" t="e">
        <f t="shared" si="5"/>
        <v>#DIV/0!</v>
      </c>
      <c r="R6" s="93">
        <f>N6+P6</f>
        <v>0</v>
      </c>
      <c r="S6" s="94" t="str">
        <f t="shared" si="7"/>
        <v/>
      </c>
      <c r="T6" s="70">
        <f t="shared" si="8"/>
        <v>0</v>
      </c>
      <c r="U6" s="71">
        <f t="shared" si="8"/>
        <v>0</v>
      </c>
      <c r="V6" s="59" t="e">
        <f t="shared" si="9"/>
        <v>#DIV/0!</v>
      </c>
      <c r="W6" s="71">
        <f t="shared" si="10"/>
        <v>0</v>
      </c>
      <c r="X6" s="60" t="e">
        <f t="shared" si="11"/>
        <v>#DIV/0!</v>
      </c>
      <c r="Y6" s="95">
        <f t="shared" ref="Y6:Y31" si="30">U6+W6</f>
        <v>0</v>
      </c>
      <c r="Z6" s="73" t="e">
        <f t="shared" si="12"/>
        <v>#DIV/0!</v>
      </c>
      <c r="AA6" s="74">
        <f t="shared" si="13"/>
        <v>0</v>
      </c>
      <c r="AB6" s="71">
        <f t="shared" si="13"/>
        <v>0</v>
      </c>
      <c r="AC6" s="71">
        <f t="shared" si="14"/>
        <v>0</v>
      </c>
      <c r="AD6" s="75">
        <f t="shared" si="15"/>
        <v>0</v>
      </c>
      <c r="AE6" s="71" t="e">
        <f t="shared" si="16"/>
        <v>#DIV/0!</v>
      </c>
      <c r="AF6" s="76">
        <v>63</v>
      </c>
      <c r="AG6" s="77">
        <v>63</v>
      </c>
      <c r="AH6" s="58">
        <v>94850</v>
      </c>
      <c r="AI6" s="59">
        <f t="shared" si="17"/>
        <v>1505.5555555555557</v>
      </c>
      <c r="AJ6" s="58">
        <v>3100</v>
      </c>
      <c r="AK6" s="60">
        <f t="shared" si="18"/>
        <v>49.206349206349209</v>
      </c>
      <c r="AL6" s="96">
        <f t="shared" ref="AL6:AL31" si="31">AH6+AJ6</f>
        <v>97950</v>
      </c>
      <c r="AM6" s="79">
        <f t="shared" si="19"/>
        <v>1554.7619047619048</v>
      </c>
      <c r="AN6" s="74">
        <f t="shared" ref="AN6:AN34" si="32">SUM(E6,T6)</f>
        <v>0</v>
      </c>
      <c r="AO6" s="71">
        <f t="shared" si="20"/>
        <v>94850</v>
      </c>
      <c r="AP6" s="71">
        <f t="shared" si="21"/>
        <v>3100</v>
      </c>
      <c r="AQ6" s="80">
        <f t="shared" si="22"/>
        <v>97950</v>
      </c>
      <c r="AR6" s="71">
        <f>AV6+AW6+AX6</f>
        <v>0</v>
      </c>
      <c r="AS6" s="97"/>
      <c r="AT6" s="97"/>
      <c r="AU6" s="97"/>
      <c r="AV6" s="98"/>
      <c r="AW6" s="98"/>
      <c r="AX6" s="98"/>
      <c r="AY6" s="98"/>
      <c r="AZ6" s="99">
        <f t="shared" ref="AZ6:AZ31" si="33">SUM(AT6:AX6)</f>
        <v>0</v>
      </c>
      <c r="BA6" s="53">
        <v>2</v>
      </c>
      <c r="BB6" s="83">
        <f t="shared" ref="BB6:BB31" si="34">AY6+AZ6</f>
        <v>0</v>
      </c>
      <c r="BC6" s="84">
        <f t="shared" si="23"/>
        <v>97950</v>
      </c>
      <c r="BO6" s="304">
        <f t="shared" ref="BO6:BQ35" si="35">D6</f>
        <v>0</v>
      </c>
      <c r="BP6" s="57">
        <f t="shared" si="35"/>
        <v>0</v>
      </c>
      <c r="BQ6" s="71">
        <f t="shared" si="35"/>
        <v>0</v>
      </c>
      <c r="BR6" s="59" t="e">
        <f t="shared" si="24"/>
        <v>#DIV/0!</v>
      </c>
      <c r="BS6" s="71">
        <f t="shared" ref="BS6:BS35" si="36">H6</f>
        <v>0</v>
      </c>
      <c r="BT6" s="60" t="e">
        <f t="shared" si="25"/>
        <v>#DIV/0!</v>
      </c>
      <c r="BU6" s="61">
        <f t="shared" ref="BU6:BU35" si="37">BQ6+BS6</f>
        <v>0</v>
      </c>
      <c r="BV6" s="62" t="e">
        <f t="shared" si="26"/>
        <v>#DIV/0!</v>
      </c>
      <c r="BW6" s="305">
        <f t="shared" ref="BW6:BX35" si="38">T6</f>
        <v>0</v>
      </c>
      <c r="BX6" s="71">
        <f t="shared" si="38"/>
        <v>0</v>
      </c>
      <c r="BY6" s="59" t="e">
        <f t="shared" si="27"/>
        <v>#DIV/0!</v>
      </c>
      <c r="BZ6" s="71">
        <f t="shared" ref="BZ6:BZ35" si="39">W6</f>
        <v>0</v>
      </c>
      <c r="CA6" s="60" t="e">
        <f t="shared" si="28"/>
        <v>#DIV/0!</v>
      </c>
      <c r="CB6" s="306">
        <f t="shared" ref="CB6:CB35" si="40">BX6+BZ6</f>
        <v>0</v>
      </c>
      <c r="CC6" s="307" t="e">
        <v>#DIV/0!</v>
      </c>
      <c r="CD6" s="308">
        <f t="shared" ref="CD6:CE35" si="41">BP6+BW6</f>
        <v>0</v>
      </c>
      <c r="CE6" s="71">
        <f t="shared" si="41"/>
        <v>0</v>
      </c>
      <c r="CF6" s="60" t="e">
        <f t="shared" ref="CF6:CF35" si="42">ROUNDDOWN(CE6/1.1,0)/CD6</f>
        <v>#DIV/0!</v>
      </c>
      <c r="CG6" s="71">
        <f t="shared" ref="CG6:CG35" si="43">BS6+BZ6</f>
        <v>0</v>
      </c>
      <c r="CH6" s="60" t="e">
        <f t="shared" ref="CH6:CH35" si="44">ROUNDDOWN(CG6/1.1,0)/CD6</f>
        <v>#DIV/0!</v>
      </c>
      <c r="CI6" s="309">
        <f t="shared" ref="CI6:CI35" si="45">CE6+CG6</f>
        <v>0</v>
      </c>
      <c r="CJ6" s="310" t="e">
        <f t="shared" ref="CJ6:CJ35" si="46">IF(CD6="","",CI6/CD6)</f>
        <v>#DIV/0!</v>
      </c>
    </row>
    <row r="7" spans="1:88" ht="13.5" customHeight="1">
      <c r="A7" s="53"/>
      <c r="B7" s="311">
        <f t="shared" si="29"/>
        <v>45811</v>
      </c>
      <c r="C7" s="87"/>
      <c r="D7" s="56"/>
      <c r="E7" s="57"/>
      <c r="F7" s="58"/>
      <c r="G7" s="59" t="e">
        <f t="shared" si="0"/>
        <v>#DIV/0!</v>
      </c>
      <c r="H7" s="58"/>
      <c r="I7" s="60" t="e">
        <f t="shared" si="1"/>
        <v>#DIV/0!</v>
      </c>
      <c r="J7" s="61">
        <f t="shared" si="2"/>
        <v>0</v>
      </c>
      <c r="K7" s="62" t="str">
        <f t="shared" si="3"/>
        <v/>
      </c>
      <c r="L7" s="88"/>
      <c r="M7" s="89"/>
      <c r="N7" s="90"/>
      <c r="O7" s="91" t="e">
        <f t="shared" si="4"/>
        <v>#DIV/0!</v>
      </c>
      <c r="P7" s="90"/>
      <c r="Q7" s="92" t="e">
        <f t="shared" si="5"/>
        <v>#DIV/0!</v>
      </c>
      <c r="R7" s="93">
        <f t="shared" ref="R7:R34" si="47">N7+P7</f>
        <v>0</v>
      </c>
      <c r="S7" s="94" t="str">
        <f t="shared" si="7"/>
        <v/>
      </c>
      <c r="T7" s="70">
        <f t="shared" si="8"/>
        <v>0</v>
      </c>
      <c r="U7" s="71">
        <f t="shared" si="8"/>
        <v>0</v>
      </c>
      <c r="V7" s="59" t="e">
        <f t="shared" si="9"/>
        <v>#DIV/0!</v>
      </c>
      <c r="W7" s="71">
        <f t="shared" si="10"/>
        <v>0</v>
      </c>
      <c r="X7" s="60" t="e">
        <f t="shared" si="11"/>
        <v>#DIV/0!</v>
      </c>
      <c r="Y7" s="95">
        <f t="shared" si="30"/>
        <v>0</v>
      </c>
      <c r="Z7" s="73" t="e">
        <f t="shared" si="12"/>
        <v>#DIV/0!</v>
      </c>
      <c r="AA7" s="74">
        <f t="shared" si="13"/>
        <v>0</v>
      </c>
      <c r="AB7" s="71">
        <f t="shared" si="13"/>
        <v>0</v>
      </c>
      <c r="AC7" s="71">
        <f t="shared" si="14"/>
        <v>0</v>
      </c>
      <c r="AD7" s="75">
        <f t="shared" si="15"/>
        <v>0</v>
      </c>
      <c r="AE7" s="71" t="e">
        <f t="shared" si="16"/>
        <v>#DIV/0!</v>
      </c>
      <c r="AF7" s="76">
        <v>41</v>
      </c>
      <c r="AG7" s="77">
        <v>48</v>
      </c>
      <c r="AH7" s="58">
        <v>51330</v>
      </c>
      <c r="AI7" s="59">
        <f t="shared" si="17"/>
        <v>1069.375</v>
      </c>
      <c r="AJ7" s="58">
        <v>6800</v>
      </c>
      <c r="AK7" s="60">
        <f t="shared" si="18"/>
        <v>141.66666666666666</v>
      </c>
      <c r="AL7" s="96">
        <f t="shared" si="31"/>
        <v>58130</v>
      </c>
      <c r="AM7" s="79">
        <f t="shared" si="19"/>
        <v>1211.0416666666667</v>
      </c>
      <c r="AN7" s="74">
        <f t="shared" si="32"/>
        <v>0</v>
      </c>
      <c r="AO7" s="71">
        <f t="shared" si="20"/>
        <v>51330</v>
      </c>
      <c r="AP7" s="71">
        <f t="shared" si="21"/>
        <v>6800</v>
      </c>
      <c r="AQ7" s="80">
        <f t="shared" si="22"/>
        <v>58130</v>
      </c>
      <c r="AR7" s="71">
        <f t="shared" ref="AR7:AR31" si="48">AV7+AW7+AX7</f>
        <v>0</v>
      </c>
      <c r="AS7" s="97"/>
      <c r="AT7" s="97"/>
      <c r="AU7" s="97"/>
      <c r="AV7" s="98"/>
      <c r="AW7" s="98"/>
      <c r="AX7" s="98"/>
      <c r="AY7" s="98"/>
      <c r="AZ7" s="99">
        <f t="shared" si="33"/>
        <v>0</v>
      </c>
      <c r="BA7" s="53">
        <v>3</v>
      </c>
      <c r="BB7" s="83">
        <f t="shared" si="34"/>
        <v>0</v>
      </c>
      <c r="BC7" s="84">
        <f t="shared" si="23"/>
        <v>58130</v>
      </c>
      <c r="BO7" s="304">
        <f t="shared" si="35"/>
        <v>0</v>
      </c>
      <c r="BP7" s="57">
        <f t="shared" si="35"/>
        <v>0</v>
      </c>
      <c r="BQ7" s="71">
        <f t="shared" si="35"/>
        <v>0</v>
      </c>
      <c r="BR7" s="59" t="e">
        <f t="shared" si="24"/>
        <v>#DIV/0!</v>
      </c>
      <c r="BS7" s="71">
        <f t="shared" si="36"/>
        <v>0</v>
      </c>
      <c r="BT7" s="60" t="e">
        <f t="shared" si="25"/>
        <v>#DIV/0!</v>
      </c>
      <c r="BU7" s="61">
        <f t="shared" si="37"/>
        <v>0</v>
      </c>
      <c r="BV7" s="62" t="e">
        <f t="shared" si="26"/>
        <v>#DIV/0!</v>
      </c>
      <c r="BW7" s="305">
        <f t="shared" si="38"/>
        <v>0</v>
      </c>
      <c r="BX7" s="71">
        <f t="shared" si="38"/>
        <v>0</v>
      </c>
      <c r="BY7" s="59" t="e">
        <f t="shared" si="27"/>
        <v>#DIV/0!</v>
      </c>
      <c r="BZ7" s="71">
        <f t="shared" si="39"/>
        <v>0</v>
      </c>
      <c r="CA7" s="60" t="e">
        <f t="shared" si="28"/>
        <v>#DIV/0!</v>
      </c>
      <c r="CB7" s="306">
        <f t="shared" si="40"/>
        <v>0</v>
      </c>
      <c r="CC7" s="307" t="e">
        <v>#DIV/0!</v>
      </c>
      <c r="CD7" s="308">
        <f>BP7+BW7</f>
        <v>0</v>
      </c>
      <c r="CE7" s="71">
        <f t="shared" si="41"/>
        <v>0</v>
      </c>
      <c r="CF7" s="60" t="e">
        <f t="shared" si="42"/>
        <v>#DIV/0!</v>
      </c>
      <c r="CG7" s="71">
        <f t="shared" si="43"/>
        <v>0</v>
      </c>
      <c r="CH7" s="60" t="e">
        <f t="shared" si="44"/>
        <v>#DIV/0!</v>
      </c>
      <c r="CI7" s="309">
        <f t="shared" si="45"/>
        <v>0</v>
      </c>
      <c r="CJ7" s="310" t="e">
        <f t="shared" si="46"/>
        <v>#DIV/0!</v>
      </c>
    </row>
    <row r="8" spans="1:88" ht="13.5" customHeight="1">
      <c r="A8" s="53"/>
      <c r="B8" s="311">
        <f t="shared" si="29"/>
        <v>45812</v>
      </c>
      <c r="C8" s="87"/>
      <c r="D8" s="56"/>
      <c r="E8" s="57"/>
      <c r="F8" s="58"/>
      <c r="G8" s="59" t="e">
        <f t="shared" si="0"/>
        <v>#DIV/0!</v>
      </c>
      <c r="H8" s="58"/>
      <c r="I8" s="60" t="e">
        <f t="shared" si="1"/>
        <v>#DIV/0!</v>
      </c>
      <c r="J8" s="61">
        <f t="shared" si="2"/>
        <v>0</v>
      </c>
      <c r="K8" s="62" t="str">
        <f t="shared" si="3"/>
        <v/>
      </c>
      <c r="L8" s="88"/>
      <c r="M8" s="89"/>
      <c r="N8" s="90"/>
      <c r="O8" s="91" t="e">
        <f t="shared" si="4"/>
        <v>#DIV/0!</v>
      </c>
      <c r="P8" s="90"/>
      <c r="Q8" s="92" t="e">
        <f t="shared" si="5"/>
        <v>#DIV/0!</v>
      </c>
      <c r="R8" s="93">
        <f t="shared" si="47"/>
        <v>0</v>
      </c>
      <c r="S8" s="94" t="str">
        <f t="shared" si="7"/>
        <v/>
      </c>
      <c r="T8" s="70">
        <f t="shared" si="8"/>
        <v>0</v>
      </c>
      <c r="U8" s="71">
        <f t="shared" si="8"/>
        <v>0</v>
      </c>
      <c r="V8" s="59" t="e">
        <f t="shared" si="9"/>
        <v>#DIV/0!</v>
      </c>
      <c r="W8" s="71">
        <f t="shared" si="10"/>
        <v>0</v>
      </c>
      <c r="X8" s="60" t="e">
        <f t="shared" si="11"/>
        <v>#DIV/0!</v>
      </c>
      <c r="Y8" s="95">
        <f t="shared" si="30"/>
        <v>0</v>
      </c>
      <c r="Z8" s="73" t="e">
        <f t="shared" si="12"/>
        <v>#DIV/0!</v>
      </c>
      <c r="AA8" s="74">
        <f t="shared" si="13"/>
        <v>0</v>
      </c>
      <c r="AB8" s="71">
        <f t="shared" si="13"/>
        <v>0</v>
      </c>
      <c r="AC8" s="71">
        <f t="shared" si="14"/>
        <v>0</v>
      </c>
      <c r="AD8" s="75">
        <f t="shared" si="15"/>
        <v>0</v>
      </c>
      <c r="AE8" s="71" t="e">
        <f t="shared" si="16"/>
        <v>#DIV/0!</v>
      </c>
      <c r="AF8" s="76">
        <v>67</v>
      </c>
      <c r="AG8" s="77">
        <v>75</v>
      </c>
      <c r="AH8" s="58">
        <v>75730</v>
      </c>
      <c r="AI8" s="59">
        <f t="shared" si="17"/>
        <v>1009.7333333333333</v>
      </c>
      <c r="AJ8" s="58">
        <v>16900</v>
      </c>
      <c r="AK8" s="60">
        <f t="shared" si="18"/>
        <v>225.33333333333334</v>
      </c>
      <c r="AL8" s="96">
        <f t="shared" si="31"/>
        <v>92630</v>
      </c>
      <c r="AM8" s="79">
        <f t="shared" si="19"/>
        <v>1235.0666666666666</v>
      </c>
      <c r="AN8" s="74">
        <f t="shared" si="32"/>
        <v>0</v>
      </c>
      <c r="AO8" s="71">
        <f t="shared" si="20"/>
        <v>75730</v>
      </c>
      <c r="AP8" s="71">
        <f t="shared" si="21"/>
        <v>16900</v>
      </c>
      <c r="AQ8" s="102">
        <f t="shared" si="22"/>
        <v>92630</v>
      </c>
      <c r="AR8" s="71">
        <f t="shared" si="48"/>
        <v>0</v>
      </c>
      <c r="AS8" s="97"/>
      <c r="AT8" s="97"/>
      <c r="AU8" s="97"/>
      <c r="AV8" s="98"/>
      <c r="AW8" s="98"/>
      <c r="AX8" s="98"/>
      <c r="AY8" s="98"/>
      <c r="AZ8" s="99">
        <f t="shared" si="33"/>
        <v>0</v>
      </c>
      <c r="BA8" s="53">
        <v>4</v>
      </c>
      <c r="BB8" s="83">
        <f t="shared" si="34"/>
        <v>0</v>
      </c>
      <c r="BC8" s="84">
        <f t="shared" si="23"/>
        <v>92630</v>
      </c>
      <c r="BO8" s="304">
        <f t="shared" si="35"/>
        <v>0</v>
      </c>
      <c r="BP8" s="57">
        <f t="shared" si="35"/>
        <v>0</v>
      </c>
      <c r="BQ8" s="71">
        <f t="shared" si="35"/>
        <v>0</v>
      </c>
      <c r="BR8" s="59" t="e">
        <f t="shared" si="24"/>
        <v>#DIV/0!</v>
      </c>
      <c r="BS8" s="71">
        <f t="shared" si="36"/>
        <v>0</v>
      </c>
      <c r="BT8" s="60" t="e">
        <f t="shared" si="25"/>
        <v>#DIV/0!</v>
      </c>
      <c r="BU8" s="61">
        <f t="shared" si="37"/>
        <v>0</v>
      </c>
      <c r="BV8" s="62" t="e">
        <f t="shared" si="26"/>
        <v>#DIV/0!</v>
      </c>
      <c r="BW8" s="305">
        <f t="shared" si="38"/>
        <v>0</v>
      </c>
      <c r="BX8" s="71">
        <f t="shared" si="38"/>
        <v>0</v>
      </c>
      <c r="BY8" s="59" t="e">
        <f t="shared" si="27"/>
        <v>#DIV/0!</v>
      </c>
      <c r="BZ8" s="71">
        <f t="shared" si="39"/>
        <v>0</v>
      </c>
      <c r="CA8" s="60" t="e">
        <f t="shared" si="28"/>
        <v>#DIV/0!</v>
      </c>
      <c r="CB8" s="306">
        <f t="shared" si="40"/>
        <v>0</v>
      </c>
      <c r="CC8" s="307" t="e">
        <v>#DIV/0!</v>
      </c>
      <c r="CD8" s="308">
        <f t="shared" si="41"/>
        <v>0</v>
      </c>
      <c r="CE8" s="71">
        <f t="shared" si="41"/>
        <v>0</v>
      </c>
      <c r="CF8" s="60" t="e">
        <f t="shared" si="42"/>
        <v>#DIV/0!</v>
      </c>
      <c r="CG8" s="71">
        <f t="shared" si="43"/>
        <v>0</v>
      </c>
      <c r="CH8" s="60" t="e">
        <f t="shared" si="44"/>
        <v>#DIV/0!</v>
      </c>
      <c r="CI8" s="309">
        <f t="shared" si="45"/>
        <v>0</v>
      </c>
      <c r="CJ8" s="310" t="e">
        <f t="shared" si="46"/>
        <v>#DIV/0!</v>
      </c>
    </row>
    <row r="9" spans="1:88" ht="13.5" customHeight="1">
      <c r="A9" s="53"/>
      <c r="B9" s="311">
        <f t="shared" si="29"/>
        <v>45813</v>
      </c>
      <c r="C9" s="87"/>
      <c r="D9" s="56"/>
      <c r="E9" s="57"/>
      <c r="F9" s="58"/>
      <c r="G9" s="59" t="e">
        <f t="shared" si="0"/>
        <v>#DIV/0!</v>
      </c>
      <c r="H9" s="58"/>
      <c r="I9" s="60" t="e">
        <f t="shared" si="1"/>
        <v>#DIV/0!</v>
      </c>
      <c r="J9" s="61">
        <f t="shared" si="2"/>
        <v>0</v>
      </c>
      <c r="K9" s="62" t="str">
        <f t="shared" si="3"/>
        <v/>
      </c>
      <c r="L9" s="88"/>
      <c r="M9" s="89"/>
      <c r="N9" s="90"/>
      <c r="O9" s="91" t="e">
        <f t="shared" si="4"/>
        <v>#DIV/0!</v>
      </c>
      <c r="P9" s="90"/>
      <c r="Q9" s="92" t="e">
        <f t="shared" si="5"/>
        <v>#DIV/0!</v>
      </c>
      <c r="R9" s="93">
        <f t="shared" si="47"/>
        <v>0</v>
      </c>
      <c r="S9" s="94" t="str">
        <f t="shared" si="7"/>
        <v/>
      </c>
      <c r="T9" s="70">
        <f t="shared" si="8"/>
        <v>0</v>
      </c>
      <c r="U9" s="71">
        <f t="shared" si="8"/>
        <v>0</v>
      </c>
      <c r="V9" s="59" t="e">
        <f t="shared" si="9"/>
        <v>#DIV/0!</v>
      </c>
      <c r="W9" s="71">
        <f t="shared" si="10"/>
        <v>0</v>
      </c>
      <c r="X9" s="60" t="e">
        <f t="shared" si="11"/>
        <v>#DIV/0!</v>
      </c>
      <c r="Y9" s="95">
        <f t="shared" si="30"/>
        <v>0</v>
      </c>
      <c r="Z9" s="73" t="e">
        <f t="shared" si="12"/>
        <v>#DIV/0!</v>
      </c>
      <c r="AA9" s="74">
        <f t="shared" si="13"/>
        <v>0</v>
      </c>
      <c r="AB9" s="71">
        <f t="shared" si="13"/>
        <v>0</v>
      </c>
      <c r="AC9" s="71">
        <f t="shared" si="14"/>
        <v>0</v>
      </c>
      <c r="AD9" s="75">
        <f t="shared" si="15"/>
        <v>0</v>
      </c>
      <c r="AE9" s="71" t="e">
        <f t="shared" si="16"/>
        <v>#DIV/0!</v>
      </c>
      <c r="AF9" s="76">
        <v>69</v>
      </c>
      <c r="AG9" s="77">
        <v>75</v>
      </c>
      <c r="AH9" s="58">
        <v>94100</v>
      </c>
      <c r="AI9" s="59">
        <f t="shared" si="17"/>
        <v>1254.6666666666667</v>
      </c>
      <c r="AJ9" s="58">
        <v>10700</v>
      </c>
      <c r="AK9" s="60">
        <f t="shared" si="18"/>
        <v>142.66666666666666</v>
      </c>
      <c r="AL9" s="96">
        <f t="shared" si="31"/>
        <v>104800</v>
      </c>
      <c r="AM9" s="79">
        <f t="shared" si="19"/>
        <v>1397.3333333333333</v>
      </c>
      <c r="AN9" s="74">
        <f t="shared" si="32"/>
        <v>0</v>
      </c>
      <c r="AO9" s="71">
        <f t="shared" si="20"/>
        <v>94100</v>
      </c>
      <c r="AP9" s="71">
        <f t="shared" si="21"/>
        <v>10700</v>
      </c>
      <c r="AQ9" s="80">
        <f t="shared" si="22"/>
        <v>104800</v>
      </c>
      <c r="AR9" s="71">
        <f t="shared" si="48"/>
        <v>0</v>
      </c>
      <c r="AS9" s="97"/>
      <c r="AT9" s="97"/>
      <c r="AU9" s="97"/>
      <c r="AV9" s="98"/>
      <c r="AW9" s="98"/>
      <c r="AX9" s="98"/>
      <c r="AY9" s="98"/>
      <c r="AZ9" s="99">
        <f t="shared" si="33"/>
        <v>0</v>
      </c>
      <c r="BA9" s="53">
        <v>5</v>
      </c>
      <c r="BB9" s="83">
        <f t="shared" si="34"/>
        <v>0</v>
      </c>
      <c r="BC9" s="84">
        <f t="shared" si="23"/>
        <v>104800</v>
      </c>
      <c r="BO9" s="304">
        <f t="shared" si="35"/>
        <v>0</v>
      </c>
      <c r="BP9" s="57">
        <f t="shared" si="35"/>
        <v>0</v>
      </c>
      <c r="BQ9" s="71">
        <f t="shared" si="35"/>
        <v>0</v>
      </c>
      <c r="BR9" s="59" t="e">
        <f t="shared" si="24"/>
        <v>#DIV/0!</v>
      </c>
      <c r="BS9" s="71">
        <f t="shared" si="36"/>
        <v>0</v>
      </c>
      <c r="BT9" s="60" t="e">
        <f t="shared" si="25"/>
        <v>#DIV/0!</v>
      </c>
      <c r="BU9" s="61">
        <f t="shared" si="37"/>
        <v>0</v>
      </c>
      <c r="BV9" s="62" t="e">
        <f t="shared" si="26"/>
        <v>#DIV/0!</v>
      </c>
      <c r="BW9" s="305">
        <f t="shared" si="38"/>
        <v>0</v>
      </c>
      <c r="BX9" s="71">
        <f t="shared" si="38"/>
        <v>0</v>
      </c>
      <c r="BY9" s="59" t="e">
        <f t="shared" si="27"/>
        <v>#DIV/0!</v>
      </c>
      <c r="BZ9" s="71">
        <f t="shared" si="39"/>
        <v>0</v>
      </c>
      <c r="CA9" s="60" t="e">
        <f t="shared" si="28"/>
        <v>#DIV/0!</v>
      </c>
      <c r="CB9" s="306">
        <f t="shared" si="40"/>
        <v>0</v>
      </c>
      <c r="CC9" s="307" t="e">
        <v>#DIV/0!</v>
      </c>
      <c r="CD9" s="308">
        <f t="shared" si="41"/>
        <v>0</v>
      </c>
      <c r="CE9" s="71">
        <f t="shared" si="41"/>
        <v>0</v>
      </c>
      <c r="CF9" s="60" t="e">
        <f t="shared" si="42"/>
        <v>#DIV/0!</v>
      </c>
      <c r="CG9" s="71">
        <f t="shared" si="43"/>
        <v>0</v>
      </c>
      <c r="CH9" s="60" t="e">
        <f t="shared" si="44"/>
        <v>#DIV/0!</v>
      </c>
      <c r="CI9" s="309">
        <f t="shared" si="45"/>
        <v>0</v>
      </c>
      <c r="CJ9" s="310" t="e">
        <f t="shared" si="46"/>
        <v>#DIV/0!</v>
      </c>
    </row>
    <row r="10" spans="1:88" ht="13.5" customHeight="1">
      <c r="A10" s="53"/>
      <c r="B10" s="311">
        <f t="shared" si="29"/>
        <v>45814</v>
      </c>
      <c r="C10" s="87"/>
      <c r="D10" s="56"/>
      <c r="E10" s="57"/>
      <c r="F10" s="58"/>
      <c r="G10" s="59" t="e">
        <f t="shared" si="0"/>
        <v>#DIV/0!</v>
      </c>
      <c r="H10" s="58"/>
      <c r="I10" s="60" t="e">
        <f t="shared" si="1"/>
        <v>#DIV/0!</v>
      </c>
      <c r="J10" s="61">
        <f t="shared" si="2"/>
        <v>0</v>
      </c>
      <c r="K10" s="62" t="str">
        <f t="shared" si="3"/>
        <v/>
      </c>
      <c r="L10" s="88"/>
      <c r="M10" s="89"/>
      <c r="N10" s="90"/>
      <c r="O10" s="91" t="e">
        <f t="shared" si="4"/>
        <v>#DIV/0!</v>
      </c>
      <c r="P10" s="90"/>
      <c r="Q10" s="92" t="e">
        <f t="shared" si="5"/>
        <v>#DIV/0!</v>
      </c>
      <c r="R10" s="93">
        <f t="shared" si="47"/>
        <v>0</v>
      </c>
      <c r="S10" s="94" t="str">
        <f t="shared" si="7"/>
        <v/>
      </c>
      <c r="T10" s="70">
        <f t="shared" si="8"/>
        <v>0</v>
      </c>
      <c r="U10" s="71">
        <f t="shared" si="8"/>
        <v>0</v>
      </c>
      <c r="V10" s="59" t="e">
        <f t="shared" si="9"/>
        <v>#DIV/0!</v>
      </c>
      <c r="W10" s="71">
        <f t="shared" si="10"/>
        <v>0</v>
      </c>
      <c r="X10" s="60" t="e">
        <f t="shared" si="11"/>
        <v>#DIV/0!</v>
      </c>
      <c r="Y10" s="95">
        <f t="shared" si="30"/>
        <v>0</v>
      </c>
      <c r="Z10" s="73" t="e">
        <f t="shared" si="12"/>
        <v>#DIV/0!</v>
      </c>
      <c r="AA10" s="74">
        <f t="shared" si="13"/>
        <v>0</v>
      </c>
      <c r="AB10" s="71">
        <f t="shared" si="13"/>
        <v>0</v>
      </c>
      <c r="AC10" s="71">
        <f t="shared" si="14"/>
        <v>0</v>
      </c>
      <c r="AD10" s="75">
        <f t="shared" si="15"/>
        <v>0</v>
      </c>
      <c r="AE10" s="71" t="e">
        <f t="shared" si="16"/>
        <v>#DIV/0!</v>
      </c>
      <c r="AF10" s="76">
        <v>109</v>
      </c>
      <c r="AG10" s="77">
        <v>116</v>
      </c>
      <c r="AH10" s="58">
        <v>103930</v>
      </c>
      <c r="AI10" s="59">
        <f t="shared" si="17"/>
        <v>895.94827586206895</v>
      </c>
      <c r="AJ10" s="58">
        <v>28800</v>
      </c>
      <c r="AK10" s="60">
        <f t="shared" si="18"/>
        <v>248.27586206896552</v>
      </c>
      <c r="AL10" s="96">
        <f t="shared" si="31"/>
        <v>132730</v>
      </c>
      <c r="AM10" s="79">
        <f t="shared" si="19"/>
        <v>1144.2241379310344</v>
      </c>
      <c r="AN10" s="103">
        <f t="shared" si="32"/>
        <v>0</v>
      </c>
      <c r="AO10" s="71">
        <f t="shared" si="20"/>
        <v>103930</v>
      </c>
      <c r="AP10" s="71">
        <f t="shared" si="21"/>
        <v>28800</v>
      </c>
      <c r="AQ10" s="80">
        <f t="shared" si="22"/>
        <v>132730</v>
      </c>
      <c r="AR10" s="71">
        <f t="shared" si="48"/>
        <v>0</v>
      </c>
      <c r="AS10" s="97"/>
      <c r="AT10" s="97"/>
      <c r="AU10" s="97"/>
      <c r="AV10" s="98"/>
      <c r="AW10" s="98"/>
      <c r="AX10" s="98"/>
      <c r="AY10" s="98"/>
      <c r="AZ10" s="99">
        <f>SUM(AT10:AX10)</f>
        <v>0</v>
      </c>
      <c r="BA10" s="53">
        <v>6</v>
      </c>
      <c r="BB10" s="83">
        <f t="shared" si="34"/>
        <v>0</v>
      </c>
      <c r="BC10" s="84">
        <f t="shared" si="23"/>
        <v>132730</v>
      </c>
      <c r="BO10" s="304">
        <f t="shared" si="35"/>
        <v>0</v>
      </c>
      <c r="BP10" s="57">
        <f t="shared" si="35"/>
        <v>0</v>
      </c>
      <c r="BQ10" s="71">
        <f t="shared" si="35"/>
        <v>0</v>
      </c>
      <c r="BR10" s="59" t="e">
        <f t="shared" si="24"/>
        <v>#DIV/0!</v>
      </c>
      <c r="BS10" s="71">
        <f t="shared" si="36"/>
        <v>0</v>
      </c>
      <c r="BT10" s="60" t="e">
        <f t="shared" si="25"/>
        <v>#DIV/0!</v>
      </c>
      <c r="BU10" s="61">
        <f t="shared" si="37"/>
        <v>0</v>
      </c>
      <c r="BV10" s="62" t="e">
        <f t="shared" si="26"/>
        <v>#DIV/0!</v>
      </c>
      <c r="BW10" s="305">
        <f t="shared" si="38"/>
        <v>0</v>
      </c>
      <c r="BX10" s="71">
        <f t="shared" si="38"/>
        <v>0</v>
      </c>
      <c r="BY10" s="59" t="e">
        <f t="shared" si="27"/>
        <v>#DIV/0!</v>
      </c>
      <c r="BZ10" s="71">
        <f t="shared" si="39"/>
        <v>0</v>
      </c>
      <c r="CA10" s="60" t="e">
        <f t="shared" si="28"/>
        <v>#DIV/0!</v>
      </c>
      <c r="CB10" s="306">
        <f t="shared" si="40"/>
        <v>0</v>
      </c>
      <c r="CC10" s="307" t="e">
        <v>#DIV/0!</v>
      </c>
      <c r="CD10" s="308">
        <f t="shared" si="41"/>
        <v>0</v>
      </c>
      <c r="CE10" s="71">
        <f t="shared" si="41"/>
        <v>0</v>
      </c>
      <c r="CF10" s="60" t="e">
        <f t="shared" si="42"/>
        <v>#DIV/0!</v>
      </c>
      <c r="CG10" s="71">
        <f t="shared" si="43"/>
        <v>0</v>
      </c>
      <c r="CH10" s="60" t="e">
        <f t="shared" si="44"/>
        <v>#DIV/0!</v>
      </c>
      <c r="CI10" s="309">
        <f t="shared" si="45"/>
        <v>0</v>
      </c>
      <c r="CJ10" s="310" t="e">
        <f t="shared" si="46"/>
        <v>#DIV/0!</v>
      </c>
    </row>
    <row r="11" spans="1:88" ht="13.5" customHeight="1">
      <c r="A11" s="53"/>
      <c r="B11" s="312">
        <f t="shared" si="29"/>
        <v>45815</v>
      </c>
      <c r="C11" s="87"/>
      <c r="D11" s="56"/>
      <c r="E11" s="57"/>
      <c r="F11" s="58"/>
      <c r="G11" s="59" t="e">
        <f t="shared" si="0"/>
        <v>#DIV/0!</v>
      </c>
      <c r="H11" s="58"/>
      <c r="I11" s="60" t="e">
        <f t="shared" si="1"/>
        <v>#DIV/0!</v>
      </c>
      <c r="J11" s="61">
        <f t="shared" si="2"/>
        <v>0</v>
      </c>
      <c r="K11" s="62" t="str">
        <f t="shared" si="3"/>
        <v/>
      </c>
      <c r="L11" s="88"/>
      <c r="M11" s="89"/>
      <c r="N11" s="90"/>
      <c r="O11" s="91" t="e">
        <f t="shared" si="4"/>
        <v>#DIV/0!</v>
      </c>
      <c r="P11" s="90"/>
      <c r="Q11" s="92" t="e">
        <f t="shared" si="5"/>
        <v>#DIV/0!</v>
      </c>
      <c r="R11" s="93">
        <f t="shared" si="47"/>
        <v>0</v>
      </c>
      <c r="S11" s="94" t="str">
        <f t="shared" si="7"/>
        <v/>
      </c>
      <c r="T11" s="70">
        <f t="shared" si="8"/>
        <v>0</v>
      </c>
      <c r="U11" s="71">
        <f t="shared" si="8"/>
        <v>0</v>
      </c>
      <c r="V11" s="59" t="e">
        <f t="shared" si="9"/>
        <v>#DIV/0!</v>
      </c>
      <c r="W11" s="71">
        <f t="shared" si="10"/>
        <v>0</v>
      </c>
      <c r="X11" s="60" t="e">
        <f t="shared" si="11"/>
        <v>#DIV/0!</v>
      </c>
      <c r="Y11" s="95">
        <f t="shared" si="30"/>
        <v>0</v>
      </c>
      <c r="Z11" s="73" t="e">
        <f t="shared" si="12"/>
        <v>#DIV/0!</v>
      </c>
      <c r="AA11" s="74">
        <f t="shared" si="13"/>
        <v>0</v>
      </c>
      <c r="AB11" s="71">
        <f t="shared" si="13"/>
        <v>0</v>
      </c>
      <c r="AC11" s="71">
        <f t="shared" si="14"/>
        <v>0</v>
      </c>
      <c r="AD11" s="75">
        <f t="shared" si="15"/>
        <v>0</v>
      </c>
      <c r="AE11" s="71" t="e">
        <f t="shared" si="16"/>
        <v>#DIV/0!</v>
      </c>
      <c r="AF11" s="76">
        <v>109</v>
      </c>
      <c r="AG11" s="77">
        <v>117</v>
      </c>
      <c r="AH11" s="58">
        <v>138740</v>
      </c>
      <c r="AI11" s="59">
        <f t="shared" si="17"/>
        <v>1185.8119658119658</v>
      </c>
      <c r="AJ11" s="58">
        <v>22200</v>
      </c>
      <c r="AK11" s="60">
        <f t="shared" si="18"/>
        <v>189.74358974358975</v>
      </c>
      <c r="AL11" s="96">
        <f t="shared" si="31"/>
        <v>160940</v>
      </c>
      <c r="AM11" s="79">
        <f t="shared" si="19"/>
        <v>1375.5555555555557</v>
      </c>
      <c r="AN11" s="103">
        <f t="shared" si="32"/>
        <v>0</v>
      </c>
      <c r="AO11" s="71">
        <f t="shared" si="20"/>
        <v>138740</v>
      </c>
      <c r="AP11" s="71">
        <f t="shared" si="21"/>
        <v>22200</v>
      </c>
      <c r="AQ11" s="80">
        <f t="shared" si="22"/>
        <v>160940</v>
      </c>
      <c r="AR11" s="71">
        <f t="shared" si="48"/>
        <v>0</v>
      </c>
      <c r="AS11" s="97"/>
      <c r="AT11" s="97"/>
      <c r="AU11" s="97"/>
      <c r="AV11" s="98"/>
      <c r="AW11" s="98"/>
      <c r="AX11" s="98"/>
      <c r="AY11" s="98"/>
      <c r="AZ11" s="99">
        <f t="shared" si="33"/>
        <v>0</v>
      </c>
      <c r="BA11" s="53">
        <v>7</v>
      </c>
      <c r="BB11" s="83">
        <f t="shared" si="34"/>
        <v>0</v>
      </c>
      <c r="BC11" s="84">
        <f t="shared" si="23"/>
        <v>160940</v>
      </c>
      <c r="BO11" s="304">
        <f t="shared" si="35"/>
        <v>0</v>
      </c>
      <c r="BP11" s="57">
        <f t="shared" si="35"/>
        <v>0</v>
      </c>
      <c r="BQ11" s="71">
        <f t="shared" si="35"/>
        <v>0</v>
      </c>
      <c r="BR11" s="59" t="e">
        <f t="shared" si="24"/>
        <v>#DIV/0!</v>
      </c>
      <c r="BS11" s="71">
        <f t="shared" si="36"/>
        <v>0</v>
      </c>
      <c r="BT11" s="60" t="e">
        <f t="shared" si="25"/>
        <v>#DIV/0!</v>
      </c>
      <c r="BU11" s="61">
        <f t="shared" si="37"/>
        <v>0</v>
      </c>
      <c r="BV11" s="62" t="e">
        <f t="shared" si="26"/>
        <v>#DIV/0!</v>
      </c>
      <c r="BW11" s="305">
        <f t="shared" si="38"/>
        <v>0</v>
      </c>
      <c r="BX11" s="71">
        <f t="shared" si="38"/>
        <v>0</v>
      </c>
      <c r="BY11" s="59" t="e">
        <f t="shared" si="27"/>
        <v>#DIV/0!</v>
      </c>
      <c r="BZ11" s="71">
        <f t="shared" si="39"/>
        <v>0</v>
      </c>
      <c r="CA11" s="60" t="e">
        <f t="shared" si="28"/>
        <v>#DIV/0!</v>
      </c>
      <c r="CB11" s="306">
        <f t="shared" si="40"/>
        <v>0</v>
      </c>
      <c r="CC11" s="307" t="e">
        <v>#DIV/0!</v>
      </c>
      <c r="CD11" s="308">
        <f t="shared" si="41"/>
        <v>0</v>
      </c>
      <c r="CE11" s="71">
        <f t="shared" si="41"/>
        <v>0</v>
      </c>
      <c r="CF11" s="60" t="e">
        <f t="shared" si="42"/>
        <v>#DIV/0!</v>
      </c>
      <c r="CG11" s="71">
        <f t="shared" si="43"/>
        <v>0</v>
      </c>
      <c r="CH11" s="60" t="e">
        <f t="shared" si="44"/>
        <v>#DIV/0!</v>
      </c>
      <c r="CI11" s="309">
        <f t="shared" si="45"/>
        <v>0</v>
      </c>
      <c r="CJ11" s="310" t="e">
        <f t="shared" si="46"/>
        <v>#DIV/0!</v>
      </c>
    </row>
    <row r="12" spans="1:88" ht="13.5" customHeight="1">
      <c r="A12" s="53"/>
      <c r="B12" s="101">
        <f t="shared" si="29"/>
        <v>45816</v>
      </c>
      <c r="C12" s="87"/>
      <c r="D12" s="56"/>
      <c r="E12" s="57"/>
      <c r="F12" s="58"/>
      <c r="G12" s="59" t="e">
        <f t="shared" si="0"/>
        <v>#DIV/0!</v>
      </c>
      <c r="H12" s="58"/>
      <c r="I12" s="60" t="e">
        <f t="shared" si="1"/>
        <v>#DIV/0!</v>
      </c>
      <c r="J12" s="61">
        <f t="shared" si="2"/>
        <v>0</v>
      </c>
      <c r="K12" s="62" t="str">
        <f t="shared" si="3"/>
        <v/>
      </c>
      <c r="L12" s="88"/>
      <c r="M12" s="89"/>
      <c r="N12" s="90"/>
      <c r="O12" s="91" t="e">
        <f t="shared" si="4"/>
        <v>#DIV/0!</v>
      </c>
      <c r="P12" s="90"/>
      <c r="Q12" s="92" t="e">
        <f t="shared" si="5"/>
        <v>#DIV/0!</v>
      </c>
      <c r="R12" s="93">
        <f t="shared" si="47"/>
        <v>0</v>
      </c>
      <c r="S12" s="94" t="str">
        <f t="shared" si="7"/>
        <v/>
      </c>
      <c r="T12" s="70">
        <f t="shared" si="8"/>
        <v>0</v>
      </c>
      <c r="U12" s="71">
        <f t="shared" si="8"/>
        <v>0</v>
      </c>
      <c r="V12" s="59" t="e">
        <f t="shared" si="9"/>
        <v>#DIV/0!</v>
      </c>
      <c r="W12" s="71">
        <f t="shared" si="10"/>
        <v>0</v>
      </c>
      <c r="X12" s="104" t="e">
        <f t="shared" si="11"/>
        <v>#DIV/0!</v>
      </c>
      <c r="Y12" s="95">
        <f t="shared" si="30"/>
        <v>0</v>
      </c>
      <c r="Z12" s="73" t="e">
        <f t="shared" si="12"/>
        <v>#DIV/0!</v>
      </c>
      <c r="AA12" s="74">
        <f t="shared" si="13"/>
        <v>0</v>
      </c>
      <c r="AB12" s="71">
        <f t="shared" si="13"/>
        <v>0</v>
      </c>
      <c r="AC12" s="71">
        <f t="shared" si="14"/>
        <v>0</v>
      </c>
      <c r="AD12" s="75">
        <f t="shared" si="15"/>
        <v>0</v>
      </c>
      <c r="AE12" s="71" t="e">
        <f t="shared" si="16"/>
        <v>#DIV/0!</v>
      </c>
      <c r="AF12" s="76">
        <v>113</v>
      </c>
      <c r="AG12" s="77">
        <v>123</v>
      </c>
      <c r="AH12" s="58">
        <v>138450</v>
      </c>
      <c r="AI12" s="59">
        <f t="shared" si="17"/>
        <v>1125.6097560975609</v>
      </c>
      <c r="AJ12" s="58">
        <v>29000</v>
      </c>
      <c r="AK12" s="60">
        <f t="shared" si="18"/>
        <v>235.77235772357724</v>
      </c>
      <c r="AL12" s="96">
        <f t="shared" si="31"/>
        <v>167450</v>
      </c>
      <c r="AM12" s="79">
        <f t="shared" si="19"/>
        <v>1361.3821138211383</v>
      </c>
      <c r="AN12" s="103">
        <f t="shared" si="32"/>
        <v>0</v>
      </c>
      <c r="AO12" s="71">
        <f t="shared" si="20"/>
        <v>138450</v>
      </c>
      <c r="AP12" s="71">
        <f t="shared" si="21"/>
        <v>29000</v>
      </c>
      <c r="AQ12" s="80">
        <f t="shared" si="22"/>
        <v>167450</v>
      </c>
      <c r="AR12" s="71">
        <f t="shared" si="48"/>
        <v>0</v>
      </c>
      <c r="AS12" s="97"/>
      <c r="AT12" s="97"/>
      <c r="AU12" s="97"/>
      <c r="AV12" s="98"/>
      <c r="AW12" s="98"/>
      <c r="AX12" s="98"/>
      <c r="AY12" s="98"/>
      <c r="AZ12" s="99">
        <f t="shared" si="33"/>
        <v>0</v>
      </c>
      <c r="BA12" s="53">
        <v>8</v>
      </c>
      <c r="BB12" s="83">
        <f t="shared" si="34"/>
        <v>0</v>
      </c>
      <c r="BC12" s="84">
        <f t="shared" si="23"/>
        <v>167450</v>
      </c>
      <c r="BO12" s="304">
        <f t="shared" si="35"/>
        <v>0</v>
      </c>
      <c r="BP12" s="57">
        <f t="shared" si="35"/>
        <v>0</v>
      </c>
      <c r="BQ12" s="71">
        <f t="shared" si="35"/>
        <v>0</v>
      </c>
      <c r="BR12" s="59" t="e">
        <f t="shared" si="24"/>
        <v>#DIV/0!</v>
      </c>
      <c r="BS12" s="71">
        <f t="shared" si="36"/>
        <v>0</v>
      </c>
      <c r="BT12" s="60" t="e">
        <f t="shared" si="25"/>
        <v>#DIV/0!</v>
      </c>
      <c r="BU12" s="61">
        <f t="shared" si="37"/>
        <v>0</v>
      </c>
      <c r="BV12" s="62" t="e">
        <f t="shared" si="26"/>
        <v>#DIV/0!</v>
      </c>
      <c r="BW12" s="305">
        <f t="shared" si="38"/>
        <v>0</v>
      </c>
      <c r="BX12" s="71">
        <f t="shared" si="38"/>
        <v>0</v>
      </c>
      <c r="BY12" s="59" t="e">
        <f t="shared" si="27"/>
        <v>#DIV/0!</v>
      </c>
      <c r="BZ12" s="71">
        <f t="shared" si="39"/>
        <v>0</v>
      </c>
      <c r="CA12" s="60" t="e">
        <f t="shared" si="28"/>
        <v>#DIV/0!</v>
      </c>
      <c r="CB12" s="306">
        <f t="shared" si="40"/>
        <v>0</v>
      </c>
      <c r="CC12" s="307" t="e">
        <v>#DIV/0!</v>
      </c>
      <c r="CD12" s="308">
        <f t="shared" si="41"/>
        <v>0</v>
      </c>
      <c r="CE12" s="71">
        <f t="shared" si="41"/>
        <v>0</v>
      </c>
      <c r="CF12" s="60" t="e">
        <f t="shared" si="42"/>
        <v>#DIV/0!</v>
      </c>
      <c r="CG12" s="71">
        <f t="shared" si="43"/>
        <v>0</v>
      </c>
      <c r="CH12" s="60" t="e">
        <f t="shared" si="44"/>
        <v>#DIV/0!</v>
      </c>
      <c r="CI12" s="309">
        <f t="shared" si="45"/>
        <v>0</v>
      </c>
      <c r="CJ12" s="310" t="e">
        <f t="shared" si="46"/>
        <v>#DIV/0!</v>
      </c>
    </row>
    <row r="13" spans="1:88" ht="13.5" customHeight="1">
      <c r="A13" s="53"/>
      <c r="B13" s="311">
        <f t="shared" si="29"/>
        <v>45817</v>
      </c>
      <c r="C13" s="87"/>
      <c r="D13" s="56"/>
      <c r="E13" s="57"/>
      <c r="F13" s="58"/>
      <c r="G13" s="59" t="e">
        <f t="shared" si="0"/>
        <v>#DIV/0!</v>
      </c>
      <c r="H13" s="58"/>
      <c r="I13" s="60" t="e">
        <f t="shared" si="1"/>
        <v>#DIV/0!</v>
      </c>
      <c r="J13" s="61">
        <f t="shared" si="2"/>
        <v>0</v>
      </c>
      <c r="K13" s="62" t="str">
        <f t="shared" si="3"/>
        <v/>
      </c>
      <c r="L13" s="88"/>
      <c r="M13" s="89"/>
      <c r="N13" s="90"/>
      <c r="O13" s="91" t="e">
        <f t="shared" si="4"/>
        <v>#DIV/0!</v>
      </c>
      <c r="P13" s="90"/>
      <c r="Q13" s="92" t="e">
        <f t="shared" si="5"/>
        <v>#DIV/0!</v>
      </c>
      <c r="R13" s="93">
        <f t="shared" si="47"/>
        <v>0</v>
      </c>
      <c r="S13" s="94" t="str">
        <f t="shared" si="7"/>
        <v/>
      </c>
      <c r="T13" s="70">
        <f t="shared" si="8"/>
        <v>0</v>
      </c>
      <c r="U13" s="71">
        <f t="shared" si="8"/>
        <v>0</v>
      </c>
      <c r="V13" s="59" t="e">
        <f t="shared" si="9"/>
        <v>#DIV/0!</v>
      </c>
      <c r="W13" s="71">
        <f t="shared" si="10"/>
        <v>0</v>
      </c>
      <c r="X13" s="60" t="e">
        <f t="shared" si="11"/>
        <v>#DIV/0!</v>
      </c>
      <c r="Y13" s="95">
        <f t="shared" si="30"/>
        <v>0</v>
      </c>
      <c r="Z13" s="73" t="e">
        <f t="shared" si="12"/>
        <v>#DIV/0!</v>
      </c>
      <c r="AA13" s="74">
        <f t="shared" si="13"/>
        <v>0</v>
      </c>
      <c r="AB13" s="71">
        <f t="shared" si="13"/>
        <v>0</v>
      </c>
      <c r="AC13" s="71">
        <f t="shared" si="14"/>
        <v>0</v>
      </c>
      <c r="AD13" s="75">
        <f t="shared" si="15"/>
        <v>0</v>
      </c>
      <c r="AE13" s="71" t="e">
        <f t="shared" si="16"/>
        <v>#DIV/0!</v>
      </c>
      <c r="AF13" s="76">
        <v>66</v>
      </c>
      <c r="AG13" s="77">
        <v>71</v>
      </c>
      <c r="AH13" s="58">
        <v>82100</v>
      </c>
      <c r="AI13" s="59">
        <f t="shared" si="17"/>
        <v>1156.338028169014</v>
      </c>
      <c r="AJ13" s="58">
        <v>11400</v>
      </c>
      <c r="AK13" s="60">
        <f t="shared" si="18"/>
        <v>160.56338028169014</v>
      </c>
      <c r="AL13" s="96">
        <f t="shared" si="31"/>
        <v>93500</v>
      </c>
      <c r="AM13" s="79">
        <f t="shared" si="19"/>
        <v>1316.9014084507041</v>
      </c>
      <c r="AN13" s="103">
        <f t="shared" si="32"/>
        <v>0</v>
      </c>
      <c r="AO13" s="71">
        <f t="shared" si="20"/>
        <v>82100</v>
      </c>
      <c r="AP13" s="71">
        <f t="shared" si="21"/>
        <v>11400</v>
      </c>
      <c r="AQ13" s="80">
        <f t="shared" si="22"/>
        <v>93500</v>
      </c>
      <c r="AR13" s="71">
        <f t="shared" si="48"/>
        <v>0</v>
      </c>
      <c r="AS13" s="97"/>
      <c r="AT13" s="97"/>
      <c r="AU13" s="97"/>
      <c r="AV13" s="98"/>
      <c r="AW13" s="98"/>
      <c r="AX13" s="98"/>
      <c r="AY13" s="98"/>
      <c r="AZ13" s="99">
        <f t="shared" si="33"/>
        <v>0</v>
      </c>
      <c r="BA13" s="53">
        <v>9</v>
      </c>
      <c r="BB13" s="83">
        <f t="shared" si="34"/>
        <v>0</v>
      </c>
      <c r="BC13" s="84">
        <f t="shared" si="23"/>
        <v>93500</v>
      </c>
      <c r="BO13" s="304">
        <f t="shared" si="35"/>
        <v>0</v>
      </c>
      <c r="BP13" s="57">
        <f t="shared" si="35"/>
        <v>0</v>
      </c>
      <c r="BQ13" s="71">
        <f t="shared" si="35"/>
        <v>0</v>
      </c>
      <c r="BR13" s="59" t="e">
        <f t="shared" si="24"/>
        <v>#DIV/0!</v>
      </c>
      <c r="BS13" s="71">
        <f t="shared" si="36"/>
        <v>0</v>
      </c>
      <c r="BT13" s="60" t="e">
        <f t="shared" si="25"/>
        <v>#DIV/0!</v>
      </c>
      <c r="BU13" s="61">
        <f t="shared" si="37"/>
        <v>0</v>
      </c>
      <c r="BV13" s="62" t="e">
        <f t="shared" si="26"/>
        <v>#DIV/0!</v>
      </c>
      <c r="BW13" s="305">
        <f t="shared" si="38"/>
        <v>0</v>
      </c>
      <c r="BX13" s="71">
        <f t="shared" si="38"/>
        <v>0</v>
      </c>
      <c r="BY13" s="59" t="e">
        <f t="shared" si="27"/>
        <v>#DIV/0!</v>
      </c>
      <c r="BZ13" s="71">
        <f t="shared" si="39"/>
        <v>0</v>
      </c>
      <c r="CA13" s="60" t="e">
        <f t="shared" si="28"/>
        <v>#DIV/0!</v>
      </c>
      <c r="CB13" s="306">
        <f t="shared" si="40"/>
        <v>0</v>
      </c>
      <c r="CC13" s="307" t="e">
        <v>#DIV/0!</v>
      </c>
      <c r="CD13" s="308">
        <f t="shared" si="41"/>
        <v>0</v>
      </c>
      <c r="CE13" s="71">
        <f t="shared" si="41"/>
        <v>0</v>
      </c>
      <c r="CF13" s="60" t="e">
        <f t="shared" si="42"/>
        <v>#DIV/0!</v>
      </c>
      <c r="CG13" s="71">
        <f t="shared" si="43"/>
        <v>0</v>
      </c>
      <c r="CH13" s="60" t="e">
        <f t="shared" si="44"/>
        <v>#DIV/0!</v>
      </c>
      <c r="CI13" s="309">
        <f t="shared" si="45"/>
        <v>0</v>
      </c>
      <c r="CJ13" s="310" t="e">
        <f t="shared" si="46"/>
        <v>#DIV/0!</v>
      </c>
    </row>
    <row r="14" spans="1:88" ht="13.5" customHeight="1">
      <c r="A14" s="53"/>
      <c r="B14" s="311">
        <f t="shared" si="29"/>
        <v>45818</v>
      </c>
      <c r="C14" s="87"/>
      <c r="D14" s="56"/>
      <c r="E14" s="57"/>
      <c r="F14" s="58"/>
      <c r="G14" s="59" t="e">
        <f t="shared" si="0"/>
        <v>#DIV/0!</v>
      </c>
      <c r="H14" s="58"/>
      <c r="I14" s="60" t="e">
        <f t="shared" si="1"/>
        <v>#DIV/0!</v>
      </c>
      <c r="J14" s="61">
        <f t="shared" si="2"/>
        <v>0</v>
      </c>
      <c r="K14" s="62" t="str">
        <f t="shared" si="3"/>
        <v/>
      </c>
      <c r="L14" s="88"/>
      <c r="M14" s="89"/>
      <c r="N14" s="90"/>
      <c r="O14" s="91" t="e">
        <f t="shared" si="4"/>
        <v>#DIV/0!</v>
      </c>
      <c r="P14" s="90"/>
      <c r="Q14" s="92" t="e">
        <f t="shared" si="5"/>
        <v>#DIV/0!</v>
      </c>
      <c r="R14" s="93">
        <f t="shared" si="47"/>
        <v>0</v>
      </c>
      <c r="S14" s="94" t="str">
        <f t="shared" si="7"/>
        <v/>
      </c>
      <c r="T14" s="70">
        <f t="shared" si="8"/>
        <v>0</v>
      </c>
      <c r="U14" s="71">
        <f t="shared" si="8"/>
        <v>0</v>
      </c>
      <c r="V14" s="59" t="e">
        <f t="shared" si="9"/>
        <v>#DIV/0!</v>
      </c>
      <c r="W14" s="71">
        <f t="shared" si="10"/>
        <v>0</v>
      </c>
      <c r="X14" s="60" t="e">
        <f t="shared" si="11"/>
        <v>#DIV/0!</v>
      </c>
      <c r="Y14" s="95">
        <f t="shared" si="30"/>
        <v>0</v>
      </c>
      <c r="Z14" s="73" t="e">
        <f t="shared" si="12"/>
        <v>#DIV/0!</v>
      </c>
      <c r="AA14" s="74">
        <f t="shared" si="13"/>
        <v>0</v>
      </c>
      <c r="AB14" s="71">
        <f t="shared" si="13"/>
        <v>0</v>
      </c>
      <c r="AC14" s="71">
        <f t="shared" si="14"/>
        <v>0</v>
      </c>
      <c r="AD14" s="75">
        <f t="shared" si="15"/>
        <v>0</v>
      </c>
      <c r="AE14" s="71" t="e">
        <f t="shared" si="16"/>
        <v>#DIV/0!</v>
      </c>
      <c r="AF14" s="76">
        <v>50</v>
      </c>
      <c r="AG14" s="77">
        <v>55</v>
      </c>
      <c r="AH14" s="58">
        <v>64980</v>
      </c>
      <c r="AI14" s="59">
        <f t="shared" si="17"/>
        <v>1181.4545454545455</v>
      </c>
      <c r="AJ14" s="58">
        <v>6400</v>
      </c>
      <c r="AK14" s="60">
        <f t="shared" si="18"/>
        <v>116.36363636363636</v>
      </c>
      <c r="AL14" s="96">
        <f t="shared" si="31"/>
        <v>71380</v>
      </c>
      <c r="AM14" s="79">
        <f t="shared" si="19"/>
        <v>1297.8181818181818</v>
      </c>
      <c r="AN14" s="103">
        <f t="shared" si="32"/>
        <v>0</v>
      </c>
      <c r="AO14" s="71">
        <f t="shared" si="20"/>
        <v>64980</v>
      </c>
      <c r="AP14" s="71">
        <f t="shared" si="21"/>
        <v>6400</v>
      </c>
      <c r="AQ14" s="102">
        <f t="shared" si="22"/>
        <v>71380</v>
      </c>
      <c r="AR14" s="71">
        <f t="shared" si="48"/>
        <v>0</v>
      </c>
      <c r="AS14" s="97"/>
      <c r="AT14" s="97"/>
      <c r="AU14" s="97"/>
      <c r="AV14" s="98"/>
      <c r="AW14" s="98"/>
      <c r="AX14" s="98"/>
      <c r="AY14" s="98"/>
      <c r="AZ14" s="99">
        <f t="shared" si="33"/>
        <v>0</v>
      </c>
      <c r="BA14" s="53">
        <v>10</v>
      </c>
      <c r="BB14" s="83">
        <f t="shared" si="34"/>
        <v>0</v>
      </c>
      <c r="BC14" s="84">
        <f t="shared" si="23"/>
        <v>71380</v>
      </c>
      <c r="BO14" s="304">
        <f t="shared" si="35"/>
        <v>0</v>
      </c>
      <c r="BP14" s="57">
        <f t="shared" si="35"/>
        <v>0</v>
      </c>
      <c r="BQ14" s="71">
        <f t="shared" si="35"/>
        <v>0</v>
      </c>
      <c r="BR14" s="59" t="e">
        <f t="shared" si="24"/>
        <v>#DIV/0!</v>
      </c>
      <c r="BS14" s="71">
        <f t="shared" si="36"/>
        <v>0</v>
      </c>
      <c r="BT14" s="60" t="e">
        <f t="shared" si="25"/>
        <v>#DIV/0!</v>
      </c>
      <c r="BU14" s="61">
        <f t="shared" si="37"/>
        <v>0</v>
      </c>
      <c r="BV14" s="62" t="e">
        <f t="shared" si="26"/>
        <v>#DIV/0!</v>
      </c>
      <c r="BW14" s="305">
        <f t="shared" si="38"/>
        <v>0</v>
      </c>
      <c r="BX14" s="71">
        <f t="shared" si="38"/>
        <v>0</v>
      </c>
      <c r="BY14" s="59" t="e">
        <f t="shared" si="27"/>
        <v>#DIV/0!</v>
      </c>
      <c r="BZ14" s="71">
        <f t="shared" si="39"/>
        <v>0</v>
      </c>
      <c r="CA14" s="60" t="e">
        <f t="shared" si="28"/>
        <v>#DIV/0!</v>
      </c>
      <c r="CB14" s="306">
        <f t="shared" si="40"/>
        <v>0</v>
      </c>
      <c r="CC14" s="307" t="e">
        <v>#DIV/0!</v>
      </c>
      <c r="CD14" s="308">
        <f t="shared" si="41"/>
        <v>0</v>
      </c>
      <c r="CE14" s="71">
        <f t="shared" si="41"/>
        <v>0</v>
      </c>
      <c r="CF14" s="60" t="e">
        <f t="shared" si="42"/>
        <v>#DIV/0!</v>
      </c>
      <c r="CG14" s="71">
        <f t="shared" si="43"/>
        <v>0</v>
      </c>
      <c r="CH14" s="60" t="e">
        <f t="shared" si="44"/>
        <v>#DIV/0!</v>
      </c>
      <c r="CI14" s="309">
        <f t="shared" si="45"/>
        <v>0</v>
      </c>
      <c r="CJ14" s="310" t="e">
        <f t="shared" si="46"/>
        <v>#DIV/0!</v>
      </c>
    </row>
    <row r="15" spans="1:88" ht="13.5" customHeight="1">
      <c r="A15" s="53"/>
      <c r="B15" s="311">
        <f>B14+1</f>
        <v>45819</v>
      </c>
      <c r="C15" s="87"/>
      <c r="D15" s="56"/>
      <c r="E15" s="57"/>
      <c r="F15" s="58"/>
      <c r="G15" s="59" t="e">
        <f t="shared" si="0"/>
        <v>#DIV/0!</v>
      </c>
      <c r="H15" s="58"/>
      <c r="I15" s="60" t="e">
        <f t="shared" si="1"/>
        <v>#DIV/0!</v>
      </c>
      <c r="J15" s="61">
        <f t="shared" si="2"/>
        <v>0</v>
      </c>
      <c r="K15" s="62" t="str">
        <f t="shared" si="3"/>
        <v/>
      </c>
      <c r="L15" s="88"/>
      <c r="M15" s="89"/>
      <c r="N15" s="90"/>
      <c r="O15" s="91" t="e">
        <f t="shared" si="4"/>
        <v>#DIV/0!</v>
      </c>
      <c r="P15" s="90"/>
      <c r="Q15" s="92" t="e">
        <f t="shared" si="5"/>
        <v>#DIV/0!</v>
      </c>
      <c r="R15" s="93">
        <f t="shared" si="47"/>
        <v>0</v>
      </c>
      <c r="S15" s="94" t="str">
        <f t="shared" si="7"/>
        <v/>
      </c>
      <c r="T15" s="70">
        <f t="shared" si="8"/>
        <v>0</v>
      </c>
      <c r="U15" s="71">
        <f t="shared" si="8"/>
        <v>0</v>
      </c>
      <c r="V15" s="59" t="e">
        <f t="shared" si="9"/>
        <v>#DIV/0!</v>
      </c>
      <c r="W15" s="71">
        <f t="shared" si="10"/>
        <v>0</v>
      </c>
      <c r="X15" s="60" t="e">
        <f t="shared" si="11"/>
        <v>#DIV/0!</v>
      </c>
      <c r="Y15" s="95">
        <f t="shared" si="30"/>
        <v>0</v>
      </c>
      <c r="Z15" s="73" t="e">
        <f t="shared" si="12"/>
        <v>#DIV/0!</v>
      </c>
      <c r="AA15" s="74">
        <f t="shared" si="13"/>
        <v>0</v>
      </c>
      <c r="AB15" s="71">
        <f t="shared" si="13"/>
        <v>0</v>
      </c>
      <c r="AC15" s="71">
        <f t="shared" si="14"/>
        <v>0</v>
      </c>
      <c r="AD15" s="75">
        <f t="shared" si="15"/>
        <v>0</v>
      </c>
      <c r="AE15" s="71" t="e">
        <f t="shared" si="16"/>
        <v>#DIV/0!</v>
      </c>
      <c r="AF15" s="76">
        <v>63</v>
      </c>
      <c r="AG15" s="77">
        <v>69</v>
      </c>
      <c r="AH15" s="58">
        <v>85530</v>
      </c>
      <c r="AI15" s="59">
        <f t="shared" si="17"/>
        <v>1239.5652173913043</v>
      </c>
      <c r="AJ15" s="58">
        <v>11100</v>
      </c>
      <c r="AK15" s="60">
        <f t="shared" si="18"/>
        <v>160.86956521739131</v>
      </c>
      <c r="AL15" s="96">
        <f t="shared" si="31"/>
        <v>96630</v>
      </c>
      <c r="AM15" s="79">
        <f t="shared" si="19"/>
        <v>1400.4347826086957</v>
      </c>
      <c r="AN15" s="103">
        <f t="shared" si="32"/>
        <v>0</v>
      </c>
      <c r="AO15" s="71">
        <f t="shared" si="20"/>
        <v>85530</v>
      </c>
      <c r="AP15" s="71">
        <f t="shared" si="21"/>
        <v>11100</v>
      </c>
      <c r="AQ15" s="80">
        <f t="shared" si="22"/>
        <v>96630</v>
      </c>
      <c r="AR15" s="71">
        <f t="shared" si="48"/>
        <v>0</v>
      </c>
      <c r="AS15" s="97"/>
      <c r="AT15" s="97"/>
      <c r="AU15" s="97"/>
      <c r="AV15" s="98"/>
      <c r="AW15" s="98"/>
      <c r="AX15" s="98"/>
      <c r="AY15" s="98"/>
      <c r="AZ15" s="99">
        <f t="shared" si="33"/>
        <v>0</v>
      </c>
      <c r="BA15" s="53">
        <v>11</v>
      </c>
      <c r="BB15" s="83">
        <f t="shared" si="34"/>
        <v>0</v>
      </c>
      <c r="BC15" s="84">
        <f t="shared" si="23"/>
        <v>96630</v>
      </c>
      <c r="BO15" s="304">
        <f t="shared" si="35"/>
        <v>0</v>
      </c>
      <c r="BP15" s="57">
        <f t="shared" si="35"/>
        <v>0</v>
      </c>
      <c r="BQ15" s="71">
        <f t="shared" si="35"/>
        <v>0</v>
      </c>
      <c r="BR15" s="59" t="e">
        <f t="shared" si="24"/>
        <v>#DIV/0!</v>
      </c>
      <c r="BS15" s="71">
        <f t="shared" si="36"/>
        <v>0</v>
      </c>
      <c r="BT15" s="60" t="e">
        <f t="shared" si="25"/>
        <v>#DIV/0!</v>
      </c>
      <c r="BU15" s="61">
        <f t="shared" si="37"/>
        <v>0</v>
      </c>
      <c r="BV15" s="62" t="e">
        <f t="shared" si="26"/>
        <v>#DIV/0!</v>
      </c>
      <c r="BW15" s="305">
        <f t="shared" si="38"/>
        <v>0</v>
      </c>
      <c r="BX15" s="71">
        <f t="shared" si="38"/>
        <v>0</v>
      </c>
      <c r="BY15" s="59" t="e">
        <f t="shared" si="27"/>
        <v>#DIV/0!</v>
      </c>
      <c r="BZ15" s="71">
        <f t="shared" si="39"/>
        <v>0</v>
      </c>
      <c r="CA15" s="60" t="e">
        <f t="shared" si="28"/>
        <v>#DIV/0!</v>
      </c>
      <c r="CB15" s="306">
        <f t="shared" si="40"/>
        <v>0</v>
      </c>
      <c r="CC15" s="307" t="e">
        <v>#DIV/0!</v>
      </c>
      <c r="CD15" s="308">
        <f t="shared" si="41"/>
        <v>0</v>
      </c>
      <c r="CE15" s="71">
        <f t="shared" si="41"/>
        <v>0</v>
      </c>
      <c r="CF15" s="60" t="e">
        <f t="shared" si="42"/>
        <v>#DIV/0!</v>
      </c>
      <c r="CG15" s="71">
        <f t="shared" si="43"/>
        <v>0</v>
      </c>
      <c r="CH15" s="60" t="e">
        <f t="shared" si="44"/>
        <v>#DIV/0!</v>
      </c>
      <c r="CI15" s="309">
        <f t="shared" si="45"/>
        <v>0</v>
      </c>
      <c r="CJ15" s="310" t="e">
        <f t="shared" si="46"/>
        <v>#DIV/0!</v>
      </c>
    </row>
    <row r="16" spans="1:88" ht="13.5" customHeight="1">
      <c r="A16" s="53"/>
      <c r="B16" s="311">
        <f t="shared" si="29"/>
        <v>45820</v>
      </c>
      <c r="C16" s="87" t="s">
        <v>85</v>
      </c>
      <c r="D16" s="56">
        <v>4</v>
      </c>
      <c r="E16" s="57">
        <v>8</v>
      </c>
      <c r="F16" s="58">
        <v>66000</v>
      </c>
      <c r="G16" s="59">
        <f t="shared" si="0"/>
        <v>7500</v>
      </c>
      <c r="H16" s="58">
        <v>4620</v>
      </c>
      <c r="I16" s="60">
        <f t="shared" si="1"/>
        <v>525</v>
      </c>
      <c r="J16" s="61">
        <f t="shared" si="2"/>
        <v>70620</v>
      </c>
      <c r="K16" s="62">
        <f t="shared" si="3"/>
        <v>8827.5</v>
      </c>
      <c r="L16" s="88"/>
      <c r="M16" s="89"/>
      <c r="N16" s="90"/>
      <c r="O16" s="91" t="e">
        <f t="shared" si="4"/>
        <v>#DIV/0!</v>
      </c>
      <c r="P16" s="90"/>
      <c r="Q16" s="92" t="e">
        <f t="shared" si="5"/>
        <v>#DIV/0!</v>
      </c>
      <c r="R16" s="93">
        <f t="shared" si="47"/>
        <v>0</v>
      </c>
      <c r="S16" s="94" t="str">
        <f t="shared" si="7"/>
        <v/>
      </c>
      <c r="T16" s="70">
        <f t="shared" si="8"/>
        <v>6</v>
      </c>
      <c r="U16" s="71">
        <f t="shared" si="8"/>
        <v>86200</v>
      </c>
      <c r="V16" s="59">
        <f t="shared" si="9"/>
        <v>13060.5</v>
      </c>
      <c r="W16" s="71">
        <f t="shared" si="10"/>
        <v>27320</v>
      </c>
      <c r="X16" s="60">
        <f t="shared" si="11"/>
        <v>4139.333333333333</v>
      </c>
      <c r="Y16" s="95">
        <f t="shared" si="30"/>
        <v>113520</v>
      </c>
      <c r="Z16" s="73">
        <f t="shared" si="12"/>
        <v>18920</v>
      </c>
      <c r="AA16" s="74">
        <f t="shared" si="13"/>
        <v>14</v>
      </c>
      <c r="AB16" s="71">
        <f t="shared" si="13"/>
        <v>152200</v>
      </c>
      <c r="AC16" s="71">
        <f t="shared" si="14"/>
        <v>31940</v>
      </c>
      <c r="AD16" s="75">
        <f t="shared" si="15"/>
        <v>184140</v>
      </c>
      <c r="AE16" s="71">
        <f t="shared" si="16"/>
        <v>13152.857142857143</v>
      </c>
      <c r="AF16" s="76">
        <v>59</v>
      </c>
      <c r="AG16" s="77">
        <v>64</v>
      </c>
      <c r="AH16" s="58">
        <v>74350</v>
      </c>
      <c r="AI16" s="59">
        <f t="shared" si="17"/>
        <v>1161.71875</v>
      </c>
      <c r="AJ16" s="58">
        <v>9000</v>
      </c>
      <c r="AK16" s="60">
        <f t="shared" si="18"/>
        <v>140.625</v>
      </c>
      <c r="AL16" s="96">
        <f t="shared" si="31"/>
        <v>83350</v>
      </c>
      <c r="AM16" s="79">
        <f t="shared" si="19"/>
        <v>1302.34375</v>
      </c>
      <c r="AN16" s="103">
        <f t="shared" si="32"/>
        <v>14</v>
      </c>
      <c r="AO16" s="71">
        <f t="shared" si="20"/>
        <v>226550</v>
      </c>
      <c r="AP16" s="71">
        <f t="shared" si="21"/>
        <v>40940</v>
      </c>
      <c r="AQ16" s="80">
        <f t="shared" si="22"/>
        <v>267490</v>
      </c>
      <c r="AR16" s="71">
        <f t="shared" si="48"/>
        <v>0</v>
      </c>
      <c r="AS16" s="97">
        <v>14</v>
      </c>
      <c r="AT16" s="97">
        <v>152200</v>
      </c>
      <c r="AU16" s="97">
        <v>31940</v>
      </c>
      <c r="AV16" s="98">
        <v>0</v>
      </c>
      <c r="AW16" s="98">
        <v>0</v>
      </c>
      <c r="AX16" s="98">
        <v>0</v>
      </c>
      <c r="AY16" s="98">
        <v>0</v>
      </c>
      <c r="AZ16" s="99">
        <f t="shared" si="33"/>
        <v>184140</v>
      </c>
      <c r="BA16" s="53">
        <v>12</v>
      </c>
      <c r="BB16" s="83">
        <f t="shared" si="34"/>
        <v>184140</v>
      </c>
      <c r="BC16" s="84">
        <f t="shared" si="23"/>
        <v>267490</v>
      </c>
      <c r="BO16" s="304">
        <f t="shared" si="35"/>
        <v>4</v>
      </c>
      <c r="BP16" s="57">
        <f t="shared" si="35"/>
        <v>8</v>
      </c>
      <c r="BQ16" s="71">
        <f t="shared" si="35"/>
        <v>66000</v>
      </c>
      <c r="BR16" s="59">
        <f t="shared" si="24"/>
        <v>7500</v>
      </c>
      <c r="BS16" s="71">
        <f t="shared" si="36"/>
        <v>4620</v>
      </c>
      <c r="BT16" s="60">
        <f t="shared" si="25"/>
        <v>525</v>
      </c>
      <c r="BU16" s="61">
        <f t="shared" si="37"/>
        <v>70620</v>
      </c>
      <c r="BV16" s="62">
        <f t="shared" si="26"/>
        <v>8827.5</v>
      </c>
      <c r="BW16" s="305">
        <f t="shared" si="38"/>
        <v>6</v>
      </c>
      <c r="BX16" s="71">
        <f t="shared" si="38"/>
        <v>86200</v>
      </c>
      <c r="BY16" s="59">
        <f t="shared" si="27"/>
        <v>13060.5</v>
      </c>
      <c r="BZ16" s="71">
        <f t="shared" si="39"/>
        <v>27320</v>
      </c>
      <c r="CA16" s="60">
        <f t="shared" si="28"/>
        <v>4139.333333333333</v>
      </c>
      <c r="CB16" s="306">
        <f t="shared" si="40"/>
        <v>113520</v>
      </c>
      <c r="CC16" s="307" t="e">
        <v>#DIV/0!</v>
      </c>
      <c r="CD16" s="308">
        <f t="shared" si="41"/>
        <v>14</v>
      </c>
      <c r="CE16" s="71">
        <f t="shared" si="41"/>
        <v>152200</v>
      </c>
      <c r="CF16" s="60">
        <f t="shared" si="42"/>
        <v>9883.0714285714294</v>
      </c>
      <c r="CG16" s="71">
        <f t="shared" si="43"/>
        <v>31940</v>
      </c>
      <c r="CH16" s="60">
        <f t="shared" si="44"/>
        <v>2074</v>
      </c>
      <c r="CI16" s="309">
        <f t="shared" si="45"/>
        <v>184140</v>
      </c>
      <c r="CJ16" s="310">
        <f t="shared" si="46"/>
        <v>13152.857142857143</v>
      </c>
    </row>
    <row r="17" spans="1:88" ht="13.5" customHeight="1">
      <c r="A17" s="53"/>
      <c r="B17" s="311">
        <f t="shared" si="29"/>
        <v>45821</v>
      </c>
      <c r="C17" s="87"/>
      <c r="D17" s="56">
        <v>0</v>
      </c>
      <c r="E17" s="57">
        <v>0</v>
      </c>
      <c r="F17" s="58">
        <v>0</v>
      </c>
      <c r="G17" s="59" t="e">
        <f t="shared" si="0"/>
        <v>#DIV/0!</v>
      </c>
      <c r="H17" s="58">
        <v>0</v>
      </c>
      <c r="I17" s="60" t="e">
        <f t="shared" si="1"/>
        <v>#DIV/0!</v>
      </c>
      <c r="J17" s="61">
        <f t="shared" si="2"/>
        <v>0</v>
      </c>
      <c r="K17" s="62" t="e">
        <f t="shared" si="3"/>
        <v>#DIV/0!</v>
      </c>
      <c r="L17" s="88"/>
      <c r="M17" s="89"/>
      <c r="N17" s="90"/>
      <c r="O17" s="91" t="e">
        <f t="shared" si="4"/>
        <v>#DIV/0!</v>
      </c>
      <c r="P17" s="65"/>
      <c r="Q17" s="92" t="e">
        <f t="shared" si="5"/>
        <v>#DIV/0!</v>
      </c>
      <c r="R17" s="93">
        <f t="shared" si="47"/>
        <v>0</v>
      </c>
      <c r="S17" s="94" t="str">
        <f t="shared" si="7"/>
        <v/>
      </c>
      <c r="T17" s="70">
        <f t="shared" si="8"/>
        <v>6</v>
      </c>
      <c r="U17" s="71">
        <f t="shared" si="8"/>
        <v>89100</v>
      </c>
      <c r="V17" s="59">
        <f t="shared" si="9"/>
        <v>13500</v>
      </c>
      <c r="W17" s="71">
        <f t="shared" si="10"/>
        <v>26620</v>
      </c>
      <c r="X17" s="60">
        <f t="shared" si="11"/>
        <v>4033.3333333333335</v>
      </c>
      <c r="Y17" s="95">
        <f t="shared" si="30"/>
        <v>115720</v>
      </c>
      <c r="Z17" s="73">
        <f t="shared" si="12"/>
        <v>19286.666666666668</v>
      </c>
      <c r="AA17" s="74">
        <f t="shared" si="13"/>
        <v>6</v>
      </c>
      <c r="AB17" s="71">
        <f t="shared" si="13"/>
        <v>89100</v>
      </c>
      <c r="AC17" s="71">
        <f t="shared" si="14"/>
        <v>26620</v>
      </c>
      <c r="AD17" s="75">
        <f t="shared" si="15"/>
        <v>115720</v>
      </c>
      <c r="AE17" s="71">
        <f t="shared" si="16"/>
        <v>19286.666666666668</v>
      </c>
      <c r="AF17" s="76">
        <v>127</v>
      </c>
      <c r="AG17" s="77">
        <v>130</v>
      </c>
      <c r="AH17" s="58">
        <v>137460</v>
      </c>
      <c r="AI17" s="59">
        <f t="shared" si="17"/>
        <v>1057.3846153846155</v>
      </c>
      <c r="AJ17" s="58">
        <v>51450</v>
      </c>
      <c r="AK17" s="60">
        <f t="shared" si="18"/>
        <v>395.76923076923077</v>
      </c>
      <c r="AL17" s="96">
        <f t="shared" si="31"/>
        <v>188910</v>
      </c>
      <c r="AM17" s="79">
        <f t="shared" si="19"/>
        <v>1453.1538461538462</v>
      </c>
      <c r="AN17" s="103">
        <f t="shared" si="32"/>
        <v>6</v>
      </c>
      <c r="AO17" s="71">
        <f t="shared" si="20"/>
        <v>226560</v>
      </c>
      <c r="AP17" s="71">
        <f t="shared" si="21"/>
        <v>78070</v>
      </c>
      <c r="AQ17" s="80">
        <f t="shared" si="22"/>
        <v>304630</v>
      </c>
      <c r="AR17" s="71">
        <f t="shared" si="48"/>
        <v>0</v>
      </c>
      <c r="AS17" s="97">
        <v>6</v>
      </c>
      <c r="AT17" s="97">
        <v>89100</v>
      </c>
      <c r="AU17" s="97">
        <v>26620</v>
      </c>
      <c r="AV17" s="98">
        <v>0</v>
      </c>
      <c r="AW17" s="98">
        <v>0</v>
      </c>
      <c r="AX17" s="98">
        <v>0</v>
      </c>
      <c r="AY17" s="98">
        <v>0</v>
      </c>
      <c r="AZ17" s="99">
        <f t="shared" si="33"/>
        <v>115720</v>
      </c>
      <c r="BA17" s="53">
        <v>13</v>
      </c>
      <c r="BB17" s="83">
        <f t="shared" si="34"/>
        <v>115720</v>
      </c>
      <c r="BC17" s="84">
        <f t="shared" si="23"/>
        <v>304630</v>
      </c>
      <c r="BO17" s="304">
        <f t="shared" si="35"/>
        <v>0</v>
      </c>
      <c r="BP17" s="57">
        <f t="shared" si="35"/>
        <v>0</v>
      </c>
      <c r="BQ17" s="71">
        <f t="shared" si="35"/>
        <v>0</v>
      </c>
      <c r="BR17" s="59" t="e">
        <f t="shared" si="24"/>
        <v>#DIV/0!</v>
      </c>
      <c r="BS17" s="71">
        <f t="shared" si="36"/>
        <v>0</v>
      </c>
      <c r="BT17" s="60" t="e">
        <f t="shared" si="25"/>
        <v>#DIV/0!</v>
      </c>
      <c r="BU17" s="61">
        <f t="shared" si="37"/>
        <v>0</v>
      </c>
      <c r="BV17" s="62" t="e">
        <f t="shared" si="26"/>
        <v>#DIV/0!</v>
      </c>
      <c r="BW17" s="305">
        <f t="shared" si="38"/>
        <v>6</v>
      </c>
      <c r="BX17" s="71">
        <f t="shared" si="38"/>
        <v>89100</v>
      </c>
      <c r="BY17" s="59">
        <f t="shared" si="27"/>
        <v>13500</v>
      </c>
      <c r="BZ17" s="71">
        <f t="shared" si="39"/>
        <v>26620</v>
      </c>
      <c r="CA17" s="60">
        <f t="shared" si="28"/>
        <v>4033.3333333333335</v>
      </c>
      <c r="CB17" s="306">
        <f t="shared" si="40"/>
        <v>115720</v>
      </c>
      <c r="CC17" s="307" t="e">
        <v>#DIV/0!</v>
      </c>
      <c r="CD17" s="308">
        <f t="shared" si="41"/>
        <v>6</v>
      </c>
      <c r="CE17" s="71">
        <f t="shared" si="41"/>
        <v>89100</v>
      </c>
      <c r="CF17" s="60">
        <f t="shared" si="42"/>
        <v>13500</v>
      </c>
      <c r="CG17" s="71">
        <f t="shared" si="43"/>
        <v>26620</v>
      </c>
      <c r="CH17" s="60">
        <f t="shared" si="44"/>
        <v>4033.3333333333335</v>
      </c>
      <c r="CI17" s="309">
        <f t="shared" si="45"/>
        <v>115720</v>
      </c>
      <c r="CJ17" s="310">
        <f t="shared" si="46"/>
        <v>19286.666666666668</v>
      </c>
    </row>
    <row r="18" spans="1:88" ht="13.5" customHeight="1">
      <c r="A18" s="53"/>
      <c r="B18" s="312">
        <f t="shared" si="29"/>
        <v>45822</v>
      </c>
      <c r="C18" s="87"/>
      <c r="D18" s="56">
        <v>5</v>
      </c>
      <c r="E18" s="57">
        <v>9</v>
      </c>
      <c r="F18" s="58">
        <v>69300</v>
      </c>
      <c r="G18" s="59">
        <f t="shared" si="0"/>
        <v>7000</v>
      </c>
      <c r="H18" s="58">
        <v>20240</v>
      </c>
      <c r="I18" s="60">
        <f t="shared" si="1"/>
        <v>2044.4444444444443</v>
      </c>
      <c r="J18" s="61">
        <f t="shared" si="2"/>
        <v>89540</v>
      </c>
      <c r="K18" s="62">
        <f t="shared" si="3"/>
        <v>9948.8888888888887</v>
      </c>
      <c r="L18" s="88"/>
      <c r="M18" s="89"/>
      <c r="N18" s="90"/>
      <c r="O18" s="91" t="e">
        <f t="shared" si="4"/>
        <v>#DIV/0!</v>
      </c>
      <c r="P18" s="90"/>
      <c r="Q18" s="92" t="e">
        <f t="shared" si="5"/>
        <v>#DIV/0!</v>
      </c>
      <c r="R18" s="93">
        <f t="shared" si="47"/>
        <v>0</v>
      </c>
      <c r="S18" s="94" t="str">
        <f t="shared" si="7"/>
        <v/>
      </c>
      <c r="T18" s="70">
        <f t="shared" si="8"/>
        <v>15</v>
      </c>
      <c r="U18" s="71">
        <f t="shared" si="8"/>
        <v>224400</v>
      </c>
      <c r="V18" s="59">
        <f t="shared" si="9"/>
        <v>13600</v>
      </c>
      <c r="W18" s="71">
        <f t="shared" si="10"/>
        <v>71170</v>
      </c>
      <c r="X18" s="60">
        <f t="shared" si="11"/>
        <v>4313.333333333333</v>
      </c>
      <c r="Y18" s="95">
        <f t="shared" si="30"/>
        <v>295570</v>
      </c>
      <c r="Z18" s="73">
        <f t="shared" si="12"/>
        <v>19704.666666666668</v>
      </c>
      <c r="AA18" s="74">
        <f t="shared" si="13"/>
        <v>24</v>
      </c>
      <c r="AB18" s="71">
        <f t="shared" si="13"/>
        <v>293700</v>
      </c>
      <c r="AC18" s="71">
        <f t="shared" si="14"/>
        <v>91410</v>
      </c>
      <c r="AD18" s="75">
        <f t="shared" si="15"/>
        <v>385110</v>
      </c>
      <c r="AE18" s="71">
        <f t="shared" si="16"/>
        <v>16046.25</v>
      </c>
      <c r="AF18" s="76">
        <v>95</v>
      </c>
      <c r="AG18" s="77">
        <v>101</v>
      </c>
      <c r="AH18" s="58">
        <v>119330</v>
      </c>
      <c r="AI18" s="59">
        <f t="shared" si="17"/>
        <v>1181.4851485148515</v>
      </c>
      <c r="AJ18" s="58">
        <v>23700</v>
      </c>
      <c r="AK18" s="60">
        <f t="shared" si="18"/>
        <v>234.65346534653466</v>
      </c>
      <c r="AL18" s="96">
        <f t="shared" si="31"/>
        <v>143030</v>
      </c>
      <c r="AM18" s="79">
        <f t="shared" si="19"/>
        <v>1416.1386138613861</v>
      </c>
      <c r="AN18" s="103">
        <f t="shared" si="32"/>
        <v>24</v>
      </c>
      <c r="AO18" s="71">
        <f t="shared" si="20"/>
        <v>413030</v>
      </c>
      <c r="AP18" s="71">
        <f t="shared" si="21"/>
        <v>115110</v>
      </c>
      <c r="AQ18" s="80">
        <f t="shared" si="22"/>
        <v>528140</v>
      </c>
      <c r="AR18" s="71">
        <f t="shared" si="48"/>
        <v>7200</v>
      </c>
      <c r="AS18" s="97">
        <v>24</v>
      </c>
      <c r="AT18" s="97">
        <v>293700</v>
      </c>
      <c r="AU18" s="97">
        <v>91410</v>
      </c>
      <c r="AV18" s="98">
        <v>2200</v>
      </c>
      <c r="AW18" s="98">
        <v>0</v>
      </c>
      <c r="AX18" s="98">
        <v>5000</v>
      </c>
      <c r="AY18" s="98">
        <v>10000</v>
      </c>
      <c r="AZ18" s="99">
        <f t="shared" si="33"/>
        <v>392310</v>
      </c>
      <c r="BA18" s="53">
        <v>14</v>
      </c>
      <c r="BB18" s="83">
        <f t="shared" si="34"/>
        <v>402310</v>
      </c>
      <c r="BC18" s="84">
        <f t="shared" si="23"/>
        <v>535340</v>
      </c>
      <c r="BO18" s="304">
        <f t="shared" si="35"/>
        <v>5</v>
      </c>
      <c r="BP18" s="57">
        <f t="shared" si="35"/>
        <v>9</v>
      </c>
      <c r="BQ18" s="71">
        <f t="shared" si="35"/>
        <v>69300</v>
      </c>
      <c r="BR18" s="59">
        <f t="shared" si="24"/>
        <v>7000</v>
      </c>
      <c r="BS18" s="71">
        <f t="shared" si="36"/>
        <v>20240</v>
      </c>
      <c r="BT18" s="60">
        <f t="shared" si="25"/>
        <v>2044.4444444444443</v>
      </c>
      <c r="BU18" s="61">
        <f t="shared" si="37"/>
        <v>89540</v>
      </c>
      <c r="BV18" s="62">
        <f t="shared" si="26"/>
        <v>9948.8888888888887</v>
      </c>
      <c r="BW18" s="305">
        <f t="shared" si="38"/>
        <v>15</v>
      </c>
      <c r="BX18" s="71">
        <f t="shared" si="38"/>
        <v>224400</v>
      </c>
      <c r="BY18" s="59">
        <f t="shared" si="27"/>
        <v>13600</v>
      </c>
      <c r="BZ18" s="71">
        <f t="shared" si="39"/>
        <v>71170</v>
      </c>
      <c r="CA18" s="60">
        <f t="shared" si="28"/>
        <v>4313.333333333333</v>
      </c>
      <c r="CB18" s="306">
        <f t="shared" si="40"/>
        <v>295570</v>
      </c>
      <c r="CC18" s="307" t="e">
        <v>#DIV/0!</v>
      </c>
      <c r="CD18" s="308">
        <f t="shared" si="41"/>
        <v>24</v>
      </c>
      <c r="CE18" s="71">
        <f t="shared" si="41"/>
        <v>293700</v>
      </c>
      <c r="CF18" s="60">
        <f t="shared" si="42"/>
        <v>11125</v>
      </c>
      <c r="CG18" s="71">
        <f t="shared" si="43"/>
        <v>91410</v>
      </c>
      <c r="CH18" s="60">
        <f t="shared" si="44"/>
        <v>3462.5</v>
      </c>
      <c r="CI18" s="309">
        <f t="shared" si="45"/>
        <v>385110</v>
      </c>
      <c r="CJ18" s="310">
        <f t="shared" si="46"/>
        <v>16046.25</v>
      </c>
    </row>
    <row r="19" spans="1:88" ht="13.5" customHeight="1">
      <c r="A19" s="53"/>
      <c r="B19" s="101">
        <f t="shared" si="29"/>
        <v>45823</v>
      </c>
      <c r="C19" s="87"/>
      <c r="D19" s="56">
        <v>4</v>
      </c>
      <c r="E19" s="57">
        <v>8</v>
      </c>
      <c r="F19" s="58">
        <v>63800</v>
      </c>
      <c r="G19" s="59">
        <f t="shared" si="0"/>
        <v>7250</v>
      </c>
      <c r="H19" s="58">
        <v>38390</v>
      </c>
      <c r="I19" s="60">
        <f t="shared" si="1"/>
        <v>4362.5</v>
      </c>
      <c r="J19" s="61">
        <f t="shared" si="2"/>
        <v>102190</v>
      </c>
      <c r="K19" s="62">
        <f t="shared" si="3"/>
        <v>12773.75</v>
      </c>
      <c r="L19" s="88"/>
      <c r="M19" s="89"/>
      <c r="N19" s="90"/>
      <c r="O19" s="91" t="e">
        <f t="shared" si="4"/>
        <v>#DIV/0!</v>
      </c>
      <c r="P19" s="90"/>
      <c r="Q19" s="92" t="e">
        <f t="shared" si="5"/>
        <v>#DIV/0!</v>
      </c>
      <c r="R19" s="93">
        <f t="shared" si="47"/>
        <v>0</v>
      </c>
      <c r="S19" s="94" t="str">
        <f t="shared" si="7"/>
        <v/>
      </c>
      <c r="T19" s="70">
        <f t="shared" si="8"/>
        <v>10</v>
      </c>
      <c r="U19" s="71">
        <f t="shared" si="8"/>
        <v>150370</v>
      </c>
      <c r="V19" s="59">
        <f t="shared" si="9"/>
        <v>13670</v>
      </c>
      <c r="W19" s="71">
        <f t="shared" si="10"/>
        <v>27390</v>
      </c>
      <c r="X19" s="104">
        <f t="shared" si="11"/>
        <v>2490</v>
      </c>
      <c r="Y19" s="95">
        <f t="shared" si="30"/>
        <v>177760</v>
      </c>
      <c r="Z19" s="73">
        <f t="shared" si="12"/>
        <v>17776</v>
      </c>
      <c r="AA19" s="74">
        <f t="shared" si="13"/>
        <v>18</v>
      </c>
      <c r="AB19" s="71">
        <f t="shared" si="13"/>
        <v>214170</v>
      </c>
      <c r="AC19" s="71">
        <f t="shared" si="14"/>
        <v>65780</v>
      </c>
      <c r="AD19" s="75">
        <f t="shared" si="15"/>
        <v>279950</v>
      </c>
      <c r="AE19" s="71">
        <f t="shared" si="16"/>
        <v>15552.777777777777</v>
      </c>
      <c r="AF19" s="76">
        <v>85</v>
      </c>
      <c r="AG19" s="77">
        <v>102</v>
      </c>
      <c r="AH19" s="58">
        <v>119340</v>
      </c>
      <c r="AI19" s="59">
        <f t="shared" si="17"/>
        <v>1170</v>
      </c>
      <c r="AJ19" s="58">
        <v>21200</v>
      </c>
      <c r="AK19" s="60">
        <f t="shared" si="18"/>
        <v>207.84313725490196</v>
      </c>
      <c r="AL19" s="96">
        <f t="shared" si="31"/>
        <v>140540</v>
      </c>
      <c r="AM19" s="79">
        <f t="shared" si="19"/>
        <v>1377.8431372549019</v>
      </c>
      <c r="AN19" s="103">
        <f t="shared" si="32"/>
        <v>18</v>
      </c>
      <c r="AO19" s="71">
        <f t="shared" si="20"/>
        <v>333510</v>
      </c>
      <c r="AP19" s="71">
        <f t="shared" si="21"/>
        <v>86980</v>
      </c>
      <c r="AQ19" s="80">
        <f t="shared" si="22"/>
        <v>420490</v>
      </c>
      <c r="AR19" s="71">
        <f t="shared" si="48"/>
        <v>0</v>
      </c>
      <c r="AS19" s="97">
        <v>18</v>
      </c>
      <c r="AT19" s="97">
        <v>214170</v>
      </c>
      <c r="AU19" s="97">
        <v>65780</v>
      </c>
      <c r="AV19" s="98">
        <v>0</v>
      </c>
      <c r="AW19" s="98">
        <v>0</v>
      </c>
      <c r="AX19" s="98">
        <v>0</v>
      </c>
      <c r="AY19" s="98">
        <v>0</v>
      </c>
      <c r="AZ19" s="99">
        <f t="shared" si="33"/>
        <v>279950</v>
      </c>
      <c r="BA19" s="53">
        <v>15</v>
      </c>
      <c r="BB19" s="83">
        <f t="shared" si="34"/>
        <v>279950</v>
      </c>
      <c r="BC19" s="84">
        <f t="shared" si="23"/>
        <v>420490</v>
      </c>
      <c r="BO19" s="304">
        <f t="shared" si="35"/>
        <v>4</v>
      </c>
      <c r="BP19" s="57">
        <f t="shared" si="35"/>
        <v>8</v>
      </c>
      <c r="BQ19" s="71">
        <f t="shared" si="35"/>
        <v>63800</v>
      </c>
      <c r="BR19" s="59">
        <f t="shared" si="24"/>
        <v>7250</v>
      </c>
      <c r="BS19" s="71">
        <f t="shared" si="36"/>
        <v>38390</v>
      </c>
      <c r="BT19" s="60">
        <f t="shared" si="25"/>
        <v>4362.5</v>
      </c>
      <c r="BU19" s="61">
        <f t="shared" si="37"/>
        <v>102190</v>
      </c>
      <c r="BV19" s="62">
        <f t="shared" si="26"/>
        <v>12773.75</v>
      </c>
      <c r="BW19" s="305">
        <f t="shared" si="38"/>
        <v>10</v>
      </c>
      <c r="BX19" s="71">
        <f t="shared" si="38"/>
        <v>150370</v>
      </c>
      <c r="BY19" s="59">
        <f t="shared" si="27"/>
        <v>13670</v>
      </c>
      <c r="BZ19" s="71">
        <f t="shared" si="39"/>
        <v>27390</v>
      </c>
      <c r="CA19" s="60">
        <f t="shared" si="28"/>
        <v>2490</v>
      </c>
      <c r="CB19" s="306">
        <f t="shared" si="40"/>
        <v>177760</v>
      </c>
      <c r="CC19" s="307" t="e">
        <v>#DIV/0!</v>
      </c>
      <c r="CD19" s="308">
        <f t="shared" si="41"/>
        <v>18</v>
      </c>
      <c r="CE19" s="71">
        <f t="shared" si="41"/>
        <v>214170</v>
      </c>
      <c r="CF19" s="60">
        <f t="shared" si="42"/>
        <v>10816.666666666666</v>
      </c>
      <c r="CG19" s="71">
        <f t="shared" si="43"/>
        <v>65780</v>
      </c>
      <c r="CH19" s="60">
        <f t="shared" si="44"/>
        <v>3322.2222222222222</v>
      </c>
      <c r="CI19" s="309">
        <f t="shared" si="45"/>
        <v>279950</v>
      </c>
      <c r="CJ19" s="310">
        <f t="shared" si="46"/>
        <v>15552.777777777777</v>
      </c>
    </row>
    <row r="20" spans="1:88" ht="13.5" customHeight="1">
      <c r="A20" s="53"/>
      <c r="B20" s="311">
        <f t="shared" si="29"/>
        <v>45824</v>
      </c>
      <c r="C20" s="87"/>
      <c r="D20" s="56">
        <v>2</v>
      </c>
      <c r="E20" s="57">
        <v>4</v>
      </c>
      <c r="F20" s="58">
        <v>22000</v>
      </c>
      <c r="G20" s="59">
        <f t="shared" si="0"/>
        <v>5000</v>
      </c>
      <c r="H20" s="58">
        <v>6600</v>
      </c>
      <c r="I20" s="59">
        <f t="shared" si="1"/>
        <v>1500</v>
      </c>
      <c r="J20" s="61">
        <f t="shared" si="2"/>
        <v>28600</v>
      </c>
      <c r="K20" s="62">
        <f t="shared" si="3"/>
        <v>7150</v>
      </c>
      <c r="L20" s="88"/>
      <c r="M20" s="89"/>
      <c r="N20" s="90"/>
      <c r="O20" s="91" t="e">
        <f t="shared" si="4"/>
        <v>#DIV/0!</v>
      </c>
      <c r="P20" s="90"/>
      <c r="Q20" s="92" t="e">
        <f t="shared" si="5"/>
        <v>#DIV/0!</v>
      </c>
      <c r="R20" s="93">
        <f t="shared" si="47"/>
        <v>0</v>
      </c>
      <c r="S20" s="94" t="str">
        <f t="shared" si="7"/>
        <v/>
      </c>
      <c r="T20" s="70">
        <f t="shared" si="8"/>
        <v>3</v>
      </c>
      <c r="U20" s="71">
        <f t="shared" si="8"/>
        <v>42900</v>
      </c>
      <c r="V20" s="59">
        <f t="shared" si="9"/>
        <v>13000</v>
      </c>
      <c r="W20" s="71">
        <f t="shared" si="10"/>
        <v>10340</v>
      </c>
      <c r="X20" s="104">
        <f t="shared" si="11"/>
        <v>3133.3333333333335</v>
      </c>
      <c r="Y20" s="95">
        <f t="shared" si="30"/>
        <v>53240</v>
      </c>
      <c r="Z20" s="73">
        <f t="shared" si="12"/>
        <v>17746.666666666668</v>
      </c>
      <c r="AA20" s="74">
        <f t="shared" si="13"/>
        <v>7</v>
      </c>
      <c r="AB20" s="71">
        <f t="shared" si="13"/>
        <v>64900</v>
      </c>
      <c r="AC20" s="71">
        <f t="shared" si="14"/>
        <v>16940</v>
      </c>
      <c r="AD20" s="75">
        <f t="shared" si="15"/>
        <v>81840</v>
      </c>
      <c r="AE20" s="71">
        <f t="shared" si="16"/>
        <v>11691.428571428571</v>
      </c>
      <c r="AF20" s="76">
        <v>51</v>
      </c>
      <c r="AG20" s="77">
        <v>52</v>
      </c>
      <c r="AH20" s="58">
        <v>70050</v>
      </c>
      <c r="AI20" s="59">
        <f t="shared" si="17"/>
        <v>1347.1153846153845</v>
      </c>
      <c r="AJ20" s="58">
        <v>6200</v>
      </c>
      <c r="AK20" s="60">
        <f t="shared" si="18"/>
        <v>119.23076923076923</v>
      </c>
      <c r="AL20" s="96">
        <f t="shared" si="31"/>
        <v>76250</v>
      </c>
      <c r="AM20" s="79">
        <f t="shared" si="19"/>
        <v>1466.3461538461538</v>
      </c>
      <c r="AN20" s="103">
        <f t="shared" si="32"/>
        <v>7</v>
      </c>
      <c r="AO20" s="97">
        <f t="shared" si="20"/>
        <v>134950</v>
      </c>
      <c r="AP20" s="97">
        <f t="shared" si="21"/>
        <v>23140</v>
      </c>
      <c r="AQ20" s="80">
        <f t="shared" si="22"/>
        <v>158090</v>
      </c>
      <c r="AR20" s="71">
        <f t="shared" si="48"/>
        <v>0</v>
      </c>
      <c r="AS20" s="97">
        <v>7</v>
      </c>
      <c r="AT20" s="97">
        <v>64900</v>
      </c>
      <c r="AU20" s="97">
        <v>16940</v>
      </c>
      <c r="AV20" s="98">
        <v>0</v>
      </c>
      <c r="AW20" s="98">
        <v>0</v>
      </c>
      <c r="AX20" s="98">
        <v>0</v>
      </c>
      <c r="AY20" s="98">
        <v>0</v>
      </c>
      <c r="AZ20" s="99">
        <f t="shared" si="33"/>
        <v>81840</v>
      </c>
      <c r="BA20" s="53">
        <v>16</v>
      </c>
      <c r="BB20" s="83">
        <f t="shared" si="34"/>
        <v>81840</v>
      </c>
      <c r="BC20" s="84">
        <f t="shared" si="23"/>
        <v>158090</v>
      </c>
      <c r="BO20" s="304">
        <f t="shared" si="35"/>
        <v>2</v>
      </c>
      <c r="BP20" s="57">
        <f t="shared" si="35"/>
        <v>4</v>
      </c>
      <c r="BQ20" s="71">
        <f t="shared" si="35"/>
        <v>22000</v>
      </c>
      <c r="BR20" s="59">
        <f t="shared" si="24"/>
        <v>5000</v>
      </c>
      <c r="BS20" s="71">
        <f t="shared" si="36"/>
        <v>6600</v>
      </c>
      <c r="BT20" s="60">
        <f t="shared" si="25"/>
        <v>1500</v>
      </c>
      <c r="BU20" s="61">
        <f t="shared" si="37"/>
        <v>28600</v>
      </c>
      <c r="BV20" s="62">
        <f t="shared" si="26"/>
        <v>7150</v>
      </c>
      <c r="BW20" s="305">
        <f t="shared" si="38"/>
        <v>3</v>
      </c>
      <c r="BX20" s="71">
        <f t="shared" si="38"/>
        <v>42900</v>
      </c>
      <c r="BY20" s="59">
        <f t="shared" si="27"/>
        <v>13000</v>
      </c>
      <c r="BZ20" s="71">
        <f t="shared" si="39"/>
        <v>10340</v>
      </c>
      <c r="CA20" s="60">
        <f t="shared" si="28"/>
        <v>3133.3333333333335</v>
      </c>
      <c r="CB20" s="306">
        <f t="shared" si="40"/>
        <v>53240</v>
      </c>
      <c r="CC20" s="307" t="e">
        <v>#DIV/0!</v>
      </c>
      <c r="CD20" s="308">
        <f t="shared" si="41"/>
        <v>7</v>
      </c>
      <c r="CE20" s="71">
        <f t="shared" si="41"/>
        <v>64900</v>
      </c>
      <c r="CF20" s="60">
        <f t="shared" si="42"/>
        <v>8428.5714285714294</v>
      </c>
      <c r="CG20" s="71">
        <f t="shared" si="43"/>
        <v>16940</v>
      </c>
      <c r="CH20" s="60">
        <f t="shared" si="44"/>
        <v>2200</v>
      </c>
      <c r="CI20" s="309">
        <f t="shared" si="45"/>
        <v>81840</v>
      </c>
      <c r="CJ20" s="310">
        <f t="shared" si="46"/>
        <v>11691.428571428571</v>
      </c>
    </row>
    <row r="21" spans="1:88" ht="15.75" customHeight="1">
      <c r="A21" s="53"/>
      <c r="B21" s="311">
        <f t="shared" si="29"/>
        <v>45825</v>
      </c>
      <c r="C21" s="87"/>
      <c r="D21" s="56">
        <v>2</v>
      </c>
      <c r="E21" s="57">
        <v>3</v>
      </c>
      <c r="F21" s="58">
        <v>16500</v>
      </c>
      <c r="G21" s="59">
        <f t="shared" si="0"/>
        <v>5000</v>
      </c>
      <c r="H21" s="58">
        <v>1980</v>
      </c>
      <c r="I21" s="59">
        <f t="shared" si="1"/>
        <v>600</v>
      </c>
      <c r="J21" s="61">
        <f t="shared" si="2"/>
        <v>18480</v>
      </c>
      <c r="K21" s="62">
        <f t="shared" si="3"/>
        <v>6160</v>
      </c>
      <c r="L21" s="88"/>
      <c r="M21" s="89"/>
      <c r="N21" s="90"/>
      <c r="O21" s="91" t="e">
        <f t="shared" si="4"/>
        <v>#DIV/0!</v>
      </c>
      <c r="P21" s="90"/>
      <c r="Q21" s="92" t="e">
        <f t="shared" si="5"/>
        <v>#DIV/0!</v>
      </c>
      <c r="R21" s="93">
        <f t="shared" si="47"/>
        <v>0</v>
      </c>
      <c r="S21" s="94" t="str">
        <f t="shared" si="7"/>
        <v/>
      </c>
      <c r="T21" s="70">
        <f t="shared" si="8"/>
        <v>0</v>
      </c>
      <c r="U21" s="71">
        <f t="shared" si="8"/>
        <v>0</v>
      </c>
      <c r="V21" s="59" t="e">
        <f t="shared" si="9"/>
        <v>#DIV/0!</v>
      </c>
      <c r="W21" s="71">
        <f t="shared" si="10"/>
        <v>0</v>
      </c>
      <c r="X21" s="104" t="e">
        <f t="shared" si="11"/>
        <v>#DIV/0!</v>
      </c>
      <c r="Y21" s="95">
        <f>U21+W21</f>
        <v>0</v>
      </c>
      <c r="Z21" s="73" t="e">
        <f t="shared" si="12"/>
        <v>#DIV/0!</v>
      </c>
      <c r="AA21" s="74">
        <f t="shared" si="13"/>
        <v>3</v>
      </c>
      <c r="AB21" s="71">
        <f t="shared" si="13"/>
        <v>16500</v>
      </c>
      <c r="AC21" s="71">
        <f t="shared" si="14"/>
        <v>1980</v>
      </c>
      <c r="AD21" s="75">
        <f t="shared" si="15"/>
        <v>18480</v>
      </c>
      <c r="AE21" s="71">
        <f t="shared" si="16"/>
        <v>6160</v>
      </c>
      <c r="AF21" s="76">
        <v>61</v>
      </c>
      <c r="AG21" s="77">
        <v>65</v>
      </c>
      <c r="AH21" s="58">
        <v>76060</v>
      </c>
      <c r="AI21" s="59">
        <f t="shared" si="17"/>
        <v>1170.1538461538462</v>
      </c>
      <c r="AJ21" s="58">
        <v>11400</v>
      </c>
      <c r="AK21" s="60">
        <f t="shared" si="18"/>
        <v>175.38461538461539</v>
      </c>
      <c r="AL21" s="96">
        <f t="shared" si="31"/>
        <v>87460</v>
      </c>
      <c r="AM21" s="79">
        <f t="shared" si="19"/>
        <v>1345.5384615384614</v>
      </c>
      <c r="AN21" s="103">
        <f t="shared" si="32"/>
        <v>3</v>
      </c>
      <c r="AO21" s="97">
        <f t="shared" si="20"/>
        <v>92560</v>
      </c>
      <c r="AP21" s="97">
        <f t="shared" si="21"/>
        <v>13380</v>
      </c>
      <c r="AQ21" s="80">
        <f t="shared" si="22"/>
        <v>105940</v>
      </c>
      <c r="AR21" s="71">
        <f>AV21+AW21+AX21</f>
        <v>0</v>
      </c>
      <c r="AS21" s="97">
        <v>3</v>
      </c>
      <c r="AT21" s="97">
        <v>16500</v>
      </c>
      <c r="AU21" s="97">
        <v>1980</v>
      </c>
      <c r="AV21" s="98">
        <v>0</v>
      </c>
      <c r="AW21" s="98">
        <v>0</v>
      </c>
      <c r="AX21" s="98">
        <v>0</v>
      </c>
      <c r="AY21" s="98">
        <v>0</v>
      </c>
      <c r="AZ21" s="99">
        <f t="shared" si="33"/>
        <v>18480</v>
      </c>
      <c r="BA21" s="53">
        <v>17</v>
      </c>
      <c r="BB21" s="83">
        <f t="shared" si="34"/>
        <v>18480</v>
      </c>
      <c r="BC21" s="84">
        <f t="shared" si="23"/>
        <v>105940</v>
      </c>
      <c r="BO21" s="304">
        <f t="shared" si="35"/>
        <v>2</v>
      </c>
      <c r="BP21" s="57">
        <f t="shared" si="35"/>
        <v>3</v>
      </c>
      <c r="BQ21" s="71">
        <f t="shared" si="35"/>
        <v>16500</v>
      </c>
      <c r="BR21" s="59">
        <f t="shared" si="24"/>
        <v>5000</v>
      </c>
      <c r="BS21" s="71">
        <f t="shared" si="36"/>
        <v>1980</v>
      </c>
      <c r="BT21" s="60">
        <f t="shared" si="25"/>
        <v>600</v>
      </c>
      <c r="BU21" s="61">
        <f t="shared" si="37"/>
        <v>18480</v>
      </c>
      <c r="BV21" s="62">
        <f t="shared" si="26"/>
        <v>6160</v>
      </c>
      <c r="BW21" s="305">
        <f t="shared" si="38"/>
        <v>0</v>
      </c>
      <c r="BX21" s="71">
        <f t="shared" si="38"/>
        <v>0</v>
      </c>
      <c r="BY21" s="59" t="e">
        <f t="shared" si="27"/>
        <v>#DIV/0!</v>
      </c>
      <c r="BZ21" s="71">
        <f t="shared" si="39"/>
        <v>0</v>
      </c>
      <c r="CA21" s="60" t="e">
        <f t="shared" si="28"/>
        <v>#DIV/0!</v>
      </c>
      <c r="CB21" s="306">
        <f t="shared" si="40"/>
        <v>0</v>
      </c>
      <c r="CC21" s="307" t="e">
        <v>#DIV/0!</v>
      </c>
      <c r="CD21" s="308">
        <f t="shared" si="41"/>
        <v>3</v>
      </c>
      <c r="CE21" s="71">
        <f t="shared" si="41"/>
        <v>16500</v>
      </c>
      <c r="CF21" s="60">
        <f t="shared" si="42"/>
        <v>5000</v>
      </c>
      <c r="CG21" s="71">
        <f t="shared" si="43"/>
        <v>1980</v>
      </c>
      <c r="CH21" s="60">
        <f t="shared" si="44"/>
        <v>600</v>
      </c>
      <c r="CI21" s="309">
        <f t="shared" si="45"/>
        <v>18480</v>
      </c>
      <c r="CJ21" s="310">
        <f t="shared" si="46"/>
        <v>6160</v>
      </c>
    </row>
    <row r="22" spans="1:88" ht="15.75" customHeight="1">
      <c r="A22" s="53"/>
      <c r="B22" s="311">
        <f t="shared" si="29"/>
        <v>45826</v>
      </c>
      <c r="C22" s="87"/>
      <c r="D22" s="56">
        <v>3</v>
      </c>
      <c r="E22" s="57">
        <v>5</v>
      </c>
      <c r="F22" s="58">
        <v>21000</v>
      </c>
      <c r="G22" s="59">
        <f t="shared" si="0"/>
        <v>3818</v>
      </c>
      <c r="H22" s="58">
        <v>9140</v>
      </c>
      <c r="I22" s="59">
        <f t="shared" si="1"/>
        <v>1661.8</v>
      </c>
      <c r="J22" s="61">
        <f t="shared" si="2"/>
        <v>30140</v>
      </c>
      <c r="K22" s="62">
        <f t="shared" si="3"/>
        <v>6028</v>
      </c>
      <c r="L22" s="88"/>
      <c r="M22" s="89"/>
      <c r="N22" s="90"/>
      <c r="O22" s="91" t="e">
        <f t="shared" si="4"/>
        <v>#DIV/0!</v>
      </c>
      <c r="P22" s="90"/>
      <c r="Q22" s="92" t="e">
        <f t="shared" si="5"/>
        <v>#DIV/0!</v>
      </c>
      <c r="R22" s="93">
        <f t="shared" si="47"/>
        <v>0</v>
      </c>
      <c r="S22" s="94" t="str">
        <f t="shared" si="7"/>
        <v/>
      </c>
      <c r="T22" s="70">
        <f t="shared" si="8"/>
        <v>2</v>
      </c>
      <c r="U22" s="71">
        <f t="shared" si="8"/>
        <v>30800</v>
      </c>
      <c r="V22" s="59">
        <f t="shared" si="9"/>
        <v>14000</v>
      </c>
      <c r="W22" s="71">
        <f t="shared" si="10"/>
        <v>23650</v>
      </c>
      <c r="X22" s="104">
        <f t="shared" si="11"/>
        <v>10750</v>
      </c>
      <c r="Y22" s="95">
        <f t="shared" si="30"/>
        <v>54450</v>
      </c>
      <c r="Z22" s="73">
        <f t="shared" si="12"/>
        <v>27225</v>
      </c>
      <c r="AA22" s="74">
        <f t="shared" si="13"/>
        <v>7</v>
      </c>
      <c r="AB22" s="71">
        <f t="shared" si="13"/>
        <v>51800</v>
      </c>
      <c r="AC22" s="71">
        <f t="shared" si="14"/>
        <v>32790</v>
      </c>
      <c r="AD22" s="75">
        <f t="shared" si="15"/>
        <v>84590</v>
      </c>
      <c r="AE22" s="71">
        <f t="shared" si="16"/>
        <v>12084.285714285714</v>
      </c>
      <c r="AF22" s="76">
        <v>74</v>
      </c>
      <c r="AG22" s="77">
        <v>76</v>
      </c>
      <c r="AH22" s="58">
        <v>87800</v>
      </c>
      <c r="AI22" s="59">
        <f t="shared" si="17"/>
        <v>1155.2631578947369</v>
      </c>
      <c r="AJ22" s="58">
        <v>16500</v>
      </c>
      <c r="AK22" s="60">
        <f t="shared" si="18"/>
        <v>217.10526315789474</v>
      </c>
      <c r="AL22" s="96">
        <f t="shared" si="31"/>
        <v>104300</v>
      </c>
      <c r="AM22" s="79">
        <f t="shared" si="19"/>
        <v>1372.3684210526317</v>
      </c>
      <c r="AN22" s="103">
        <f t="shared" si="32"/>
        <v>7</v>
      </c>
      <c r="AO22" s="97">
        <f t="shared" si="20"/>
        <v>139600</v>
      </c>
      <c r="AP22" s="97">
        <f t="shared" si="21"/>
        <v>49290</v>
      </c>
      <c r="AQ22" s="80">
        <f t="shared" si="22"/>
        <v>188890</v>
      </c>
      <c r="AR22" s="71">
        <f t="shared" si="48"/>
        <v>0</v>
      </c>
      <c r="AS22" s="97">
        <v>7</v>
      </c>
      <c r="AT22" s="97">
        <v>51800</v>
      </c>
      <c r="AU22" s="97">
        <v>32790</v>
      </c>
      <c r="AV22" s="98">
        <v>0</v>
      </c>
      <c r="AW22" s="98">
        <v>0</v>
      </c>
      <c r="AX22" s="98">
        <v>0</v>
      </c>
      <c r="AY22" s="98">
        <v>0</v>
      </c>
      <c r="AZ22" s="99">
        <f t="shared" si="33"/>
        <v>84590</v>
      </c>
      <c r="BA22" s="53">
        <v>18</v>
      </c>
      <c r="BB22" s="83">
        <f t="shared" si="34"/>
        <v>84590</v>
      </c>
      <c r="BC22" s="84">
        <f t="shared" si="23"/>
        <v>188890</v>
      </c>
      <c r="BO22" s="304">
        <f t="shared" si="35"/>
        <v>3</v>
      </c>
      <c r="BP22" s="57">
        <f t="shared" si="35"/>
        <v>5</v>
      </c>
      <c r="BQ22" s="71">
        <f t="shared" si="35"/>
        <v>21000</v>
      </c>
      <c r="BR22" s="59">
        <f t="shared" si="24"/>
        <v>3818</v>
      </c>
      <c r="BS22" s="71">
        <f t="shared" si="36"/>
        <v>9140</v>
      </c>
      <c r="BT22" s="60">
        <f t="shared" si="25"/>
        <v>1661.8</v>
      </c>
      <c r="BU22" s="61">
        <f t="shared" si="37"/>
        <v>30140</v>
      </c>
      <c r="BV22" s="62">
        <f t="shared" si="26"/>
        <v>6028</v>
      </c>
      <c r="BW22" s="305">
        <f t="shared" si="38"/>
        <v>2</v>
      </c>
      <c r="BX22" s="71">
        <f t="shared" si="38"/>
        <v>30800</v>
      </c>
      <c r="BY22" s="59">
        <f t="shared" si="27"/>
        <v>14000</v>
      </c>
      <c r="BZ22" s="71">
        <f t="shared" si="39"/>
        <v>23650</v>
      </c>
      <c r="CA22" s="60">
        <f t="shared" si="28"/>
        <v>10750</v>
      </c>
      <c r="CB22" s="306">
        <f t="shared" si="40"/>
        <v>54450</v>
      </c>
      <c r="CC22" s="307" t="e">
        <v>#DIV/0!</v>
      </c>
      <c r="CD22" s="308">
        <f t="shared" si="41"/>
        <v>7</v>
      </c>
      <c r="CE22" s="71">
        <f t="shared" si="41"/>
        <v>51800</v>
      </c>
      <c r="CF22" s="60">
        <f t="shared" si="42"/>
        <v>6727.1428571428569</v>
      </c>
      <c r="CG22" s="71">
        <f t="shared" si="43"/>
        <v>32790</v>
      </c>
      <c r="CH22" s="60">
        <f t="shared" si="44"/>
        <v>4258.4285714285716</v>
      </c>
      <c r="CI22" s="309">
        <f t="shared" si="45"/>
        <v>84590</v>
      </c>
      <c r="CJ22" s="310">
        <f t="shared" si="46"/>
        <v>12084.285714285714</v>
      </c>
    </row>
    <row r="23" spans="1:88" ht="15.75" customHeight="1">
      <c r="A23" s="53"/>
      <c r="B23" s="311">
        <f t="shared" si="29"/>
        <v>45827</v>
      </c>
      <c r="C23" s="87"/>
      <c r="D23" s="56">
        <v>3</v>
      </c>
      <c r="E23" s="57">
        <v>7</v>
      </c>
      <c r="F23" s="58">
        <v>68200</v>
      </c>
      <c r="G23" s="59">
        <f t="shared" si="0"/>
        <v>8857.1428571428569</v>
      </c>
      <c r="H23" s="58">
        <v>12100</v>
      </c>
      <c r="I23" s="59">
        <f t="shared" si="1"/>
        <v>1571.4285714285713</v>
      </c>
      <c r="J23" s="61">
        <f t="shared" si="2"/>
        <v>80300</v>
      </c>
      <c r="K23" s="62">
        <f t="shared" si="3"/>
        <v>11471.428571428571</v>
      </c>
      <c r="L23" s="88"/>
      <c r="M23" s="89"/>
      <c r="N23" s="90"/>
      <c r="O23" s="91" t="e">
        <f t="shared" si="4"/>
        <v>#DIV/0!</v>
      </c>
      <c r="P23" s="90"/>
      <c r="Q23" s="92" t="e">
        <f t="shared" si="5"/>
        <v>#DIV/0!</v>
      </c>
      <c r="R23" s="93">
        <f t="shared" si="47"/>
        <v>0</v>
      </c>
      <c r="S23" s="94" t="str">
        <f t="shared" si="7"/>
        <v/>
      </c>
      <c r="T23" s="70">
        <f t="shared" si="8"/>
        <v>2</v>
      </c>
      <c r="U23" s="71">
        <f t="shared" si="8"/>
        <v>26400</v>
      </c>
      <c r="V23" s="59">
        <f t="shared" si="9"/>
        <v>12000</v>
      </c>
      <c r="W23" s="71">
        <f t="shared" si="10"/>
        <v>19800</v>
      </c>
      <c r="X23" s="104">
        <f t="shared" si="11"/>
        <v>9000</v>
      </c>
      <c r="Y23" s="95">
        <f t="shared" si="30"/>
        <v>46200</v>
      </c>
      <c r="Z23" s="73">
        <f t="shared" si="12"/>
        <v>23100</v>
      </c>
      <c r="AA23" s="74">
        <f t="shared" si="13"/>
        <v>9</v>
      </c>
      <c r="AB23" s="71">
        <f t="shared" si="13"/>
        <v>94600</v>
      </c>
      <c r="AC23" s="71">
        <f t="shared" si="14"/>
        <v>31900</v>
      </c>
      <c r="AD23" s="75">
        <f t="shared" si="15"/>
        <v>126500</v>
      </c>
      <c r="AE23" s="71">
        <f t="shared" si="16"/>
        <v>14055.555555555555</v>
      </c>
      <c r="AF23" s="76">
        <v>64</v>
      </c>
      <c r="AG23" s="77">
        <v>73</v>
      </c>
      <c r="AH23" s="58">
        <v>84060</v>
      </c>
      <c r="AI23" s="59">
        <f t="shared" si="17"/>
        <v>1151.5068493150684</v>
      </c>
      <c r="AJ23" s="58">
        <v>7600</v>
      </c>
      <c r="AK23" s="60">
        <f t="shared" si="18"/>
        <v>104.10958904109589</v>
      </c>
      <c r="AL23" s="96">
        <f t="shared" si="31"/>
        <v>91660</v>
      </c>
      <c r="AM23" s="79">
        <f t="shared" si="19"/>
        <v>1255.6164383561643</v>
      </c>
      <c r="AN23" s="103">
        <f t="shared" si="32"/>
        <v>9</v>
      </c>
      <c r="AO23" s="97">
        <f t="shared" si="20"/>
        <v>178660</v>
      </c>
      <c r="AP23" s="97">
        <f t="shared" si="21"/>
        <v>39500</v>
      </c>
      <c r="AQ23" s="80">
        <f t="shared" si="22"/>
        <v>218160</v>
      </c>
      <c r="AR23" s="71">
        <f t="shared" si="48"/>
        <v>0</v>
      </c>
      <c r="AS23" s="97">
        <v>9</v>
      </c>
      <c r="AT23" s="97">
        <v>94600</v>
      </c>
      <c r="AU23" s="97">
        <v>31900</v>
      </c>
      <c r="AV23" s="98">
        <v>0</v>
      </c>
      <c r="AW23" s="98">
        <v>0</v>
      </c>
      <c r="AX23" s="98">
        <v>0</v>
      </c>
      <c r="AY23" s="98">
        <v>0</v>
      </c>
      <c r="AZ23" s="99">
        <f t="shared" si="33"/>
        <v>126500</v>
      </c>
      <c r="BA23" s="53">
        <v>19</v>
      </c>
      <c r="BB23" s="83">
        <f t="shared" si="34"/>
        <v>126500</v>
      </c>
      <c r="BC23" s="84">
        <f t="shared" si="23"/>
        <v>218160</v>
      </c>
      <c r="BO23" s="304">
        <f t="shared" si="35"/>
        <v>3</v>
      </c>
      <c r="BP23" s="57">
        <f t="shared" si="35"/>
        <v>7</v>
      </c>
      <c r="BQ23" s="71">
        <f t="shared" si="35"/>
        <v>68200</v>
      </c>
      <c r="BR23" s="59">
        <f t="shared" si="24"/>
        <v>8857.1428571428569</v>
      </c>
      <c r="BS23" s="71">
        <f t="shared" si="36"/>
        <v>12100</v>
      </c>
      <c r="BT23" s="60">
        <f t="shared" si="25"/>
        <v>1571.4285714285713</v>
      </c>
      <c r="BU23" s="61">
        <f t="shared" si="37"/>
        <v>80300</v>
      </c>
      <c r="BV23" s="62">
        <f t="shared" si="26"/>
        <v>11471.428571428571</v>
      </c>
      <c r="BW23" s="305">
        <f t="shared" si="38"/>
        <v>2</v>
      </c>
      <c r="BX23" s="71">
        <f t="shared" si="38"/>
        <v>26400</v>
      </c>
      <c r="BY23" s="59">
        <f t="shared" si="27"/>
        <v>12000</v>
      </c>
      <c r="BZ23" s="71">
        <f t="shared" si="39"/>
        <v>19800</v>
      </c>
      <c r="CA23" s="60">
        <f t="shared" si="28"/>
        <v>9000</v>
      </c>
      <c r="CB23" s="306">
        <f t="shared" si="40"/>
        <v>46200</v>
      </c>
      <c r="CC23" s="307" t="e">
        <v>#DIV/0!</v>
      </c>
      <c r="CD23" s="308">
        <f t="shared" si="41"/>
        <v>9</v>
      </c>
      <c r="CE23" s="71">
        <f t="shared" si="41"/>
        <v>94600</v>
      </c>
      <c r="CF23" s="60">
        <f t="shared" si="42"/>
        <v>9555.5555555555547</v>
      </c>
      <c r="CG23" s="71">
        <f t="shared" si="43"/>
        <v>31900</v>
      </c>
      <c r="CH23" s="60">
        <f t="shared" si="44"/>
        <v>3222.2222222222222</v>
      </c>
      <c r="CI23" s="309">
        <f t="shared" si="45"/>
        <v>126500</v>
      </c>
      <c r="CJ23" s="310">
        <f t="shared" si="46"/>
        <v>14055.555555555555</v>
      </c>
    </row>
    <row r="24" spans="1:88" ht="15.75" customHeight="1">
      <c r="A24" s="53"/>
      <c r="B24" s="311">
        <f t="shared" si="29"/>
        <v>45828</v>
      </c>
      <c r="C24" s="87"/>
      <c r="D24" s="56">
        <v>4</v>
      </c>
      <c r="E24" s="57">
        <v>7</v>
      </c>
      <c r="F24" s="58">
        <v>45100</v>
      </c>
      <c r="G24" s="59">
        <f t="shared" si="0"/>
        <v>5857.1428571428569</v>
      </c>
      <c r="H24" s="58">
        <v>12760</v>
      </c>
      <c r="I24" s="59">
        <f t="shared" si="1"/>
        <v>1657.1428571428571</v>
      </c>
      <c r="J24" s="61">
        <f t="shared" si="2"/>
        <v>57860</v>
      </c>
      <c r="K24" s="62">
        <f t="shared" si="3"/>
        <v>8265.7142857142862</v>
      </c>
      <c r="L24" s="88"/>
      <c r="M24" s="89"/>
      <c r="N24" s="90"/>
      <c r="O24" s="91" t="e">
        <f t="shared" si="4"/>
        <v>#DIV/0!</v>
      </c>
      <c r="P24" s="90"/>
      <c r="Q24" s="92" t="e">
        <f t="shared" si="5"/>
        <v>#DIV/0!</v>
      </c>
      <c r="R24" s="93">
        <f t="shared" si="47"/>
        <v>0</v>
      </c>
      <c r="S24" s="94" t="str">
        <f t="shared" si="7"/>
        <v/>
      </c>
      <c r="T24" s="70">
        <f t="shared" si="8"/>
        <v>14</v>
      </c>
      <c r="U24" s="71">
        <f t="shared" si="8"/>
        <v>202400</v>
      </c>
      <c r="V24" s="59">
        <f t="shared" si="9"/>
        <v>13142.857142857143</v>
      </c>
      <c r="W24" s="71">
        <f t="shared" si="10"/>
        <v>101090</v>
      </c>
      <c r="X24" s="104">
        <f t="shared" si="11"/>
        <v>6564.2857142857147</v>
      </c>
      <c r="Y24" s="95">
        <f t="shared" si="30"/>
        <v>303490</v>
      </c>
      <c r="Z24" s="73">
        <f t="shared" si="12"/>
        <v>21677.857142857141</v>
      </c>
      <c r="AA24" s="74">
        <f t="shared" si="13"/>
        <v>21</v>
      </c>
      <c r="AB24" s="71">
        <f t="shared" si="13"/>
        <v>247500</v>
      </c>
      <c r="AC24" s="71">
        <f t="shared" si="14"/>
        <v>113850</v>
      </c>
      <c r="AD24" s="75">
        <f t="shared" si="15"/>
        <v>361350</v>
      </c>
      <c r="AE24" s="71">
        <f t="shared" si="16"/>
        <v>17207.142857142859</v>
      </c>
      <c r="AF24" s="76">
        <v>140</v>
      </c>
      <c r="AG24" s="77">
        <v>146</v>
      </c>
      <c r="AH24" s="58">
        <v>117960</v>
      </c>
      <c r="AI24" s="59">
        <f t="shared" si="17"/>
        <v>807.94520547945206</v>
      </c>
      <c r="AJ24" s="58">
        <v>47300</v>
      </c>
      <c r="AK24" s="60">
        <f t="shared" si="18"/>
        <v>323.97260273972603</v>
      </c>
      <c r="AL24" s="96">
        <f t="shared" si="31"/>
        <v>165260</v>
      </c>
      <c r="AM24" s="79">
        <f t="shared" si="19"/>
        <v>1131.9178082191781</v>
      </c>
      <c r="AN24" s="103">
        <f t="shared" si="32"/>
        <v>21</v>
      </c>
      <c r="AO24" s="97">
        <f t="shared" si="20"/>
        <v>365460</v>
      </c>
      <c r="AP24" s="97">
        <f t="shared" si="21"/>
        <v>161150</v>
      </c>
      <c r="AQ24" s="80">
        <f t="shared" si="22"/>
        <v>526610</v>
      </c>
      <c r="AR24" s="71">
        <f t="shared" si="48"/>
        <v>0</v>
      </c>
      <c r="AS24" s="97">
        <v>21</v>
      </c>
      <c r="AT24" s="97">
        <v>247500</v>
      </c>
      <c r="AU24" s="97">
        <v>113850</v>
      </c>
      <c r="AV24" s="98">
        <v>0</v>
      </c>
      <c r="AW24" s="98">
        <v>0</v>
      </c>
      <c r="AX24" s="98">
        <v>0</v>
      </c>
      <c r="AY24" s="98">
        <v>0</v>
      </c>
      <c r="AZ24" s="99">
        <f t="shared" si="33"/>
        <v>361350</v>
      </c>
      <c r="BA24" s="53">
        <v>20</v>
      </c>
      <c r="BB24" s="83">
        <f t="shared" si="34"/>
        <v>361350</v>
      </c>
      <c r="BC24" s="84">
        <f t="shared" si="23"/>
        <v>526610</v>
      </c>
      <c r="BO24" s="304">
        <f t="shared" si="35"/>
        <v>4</v>
      </c>
      <c r="BP24" s="57">
        <f t="shared" si="35"/>
        <v>7</v>
      </c>
      <c r="BQ24" s="71">
        <f t="shared" si="35"/>
        <v>45100</v>
      </c>
      <c r="BR24" s="59">
        <f t="shared" si="24"/>
        <v>5857.1428571428569</v>
      </c>
      <c r="BS24" s="71">
        <f t="shared" si="36"/>
        <v>12760</v>
      </c>
      <c r="BT24" s="60">
        <f t="shared" si="25"/>
        <v>1657.1428571428571</v>
      </c>
      <c r="BU24" s="61">
        <f t="shared" si="37"/>
        <v>57860</v>
      </c>
      <c r="BV24" s="62">
        <f t="shared" si="26"/>
        <v>8265.7142857142862</v>
      </c>
      <c r="BW24" s="305">
        <f t="shared" si="38"/>
        <v>14</v>
      </c>
      <c r="BX24" s="71">
        <f t="shared" si="38"/>
        <v>202400</v>
      </c>
      <c r="BY24" s="59">
        <f t="shared" si="27"/>
        <v>13142.857142857143</v>
      </c>
      <c r="BZ24" s="71">
        <f t="shared" si="39"/>
        <v>101090</v>
      </c>
      <c r="CA24" s="60">
        <f t="shared" si="28"/>
        <v>6564.2857142857147</v>
      </c>
      <c r="CB24" s="306">
        <f t="shared" si="40"/>
        <v>303490</v>
      </c>
      <c r="CC24" s="307" t="e">
        <v>#DIV/0!</v>
      </c>
      <c r="CD24" s="308">
        <f t="shared" si="41"/>
        <v>21</v>
      </c>
      <c r="CE24" s="71">
        <f t="shared" si="41"/>
        <v>247500</v>
      </c>
      <c r="CF24" s="60">
        <f t="shared" si="42"/>
        <v>10714.285714285714</v>
      </c>
      <c r="CG24" s="71">
        <f t="shared" si="43"/>
        <v>113850</v>
      </c>
      <c r="CH24" s="60">
        <f t="shared" si="44"/>
        <v>4928.5714285714284</v>
      </c>
      <c r="CI24" s="309">
        <f t="shared" si="45"/>
        <v>361350</v>
      </c>
      <c r="CJ24" s="310">
        <f t="shared" si="46"/>
        <v>17207.142857142859</v>
      </c>
    </row>
    <row r="25" spans="1:88" ht="15.75" customHeight="1">
      <c r="A25" s="53"/>
      <c r="B25" s="312">
        <f t="shared" si="29"/>
        <v>45829</v>
      </c>
      <c r="C25" s="87"/>
      <c r="D25" s="56">
        <v>4</v>
      </c>
      <c r="E25" s="57">
        <v>7</v>
      </c>
      <c r="F25" s="58">
        <v>61600</v>
      </c>
      <c r="G25" s="59">
        <f t="shared" si="0"/>
        <v>8000</v>
      </c>
      <c r="H25" s="58">
        <v>11110</v>
      </c>
      <c r="I25" s="59">
        <f t="shared" si="1"/>
        <v>1442.8571428571429</v>
      </c>
      <c r="J25" s="61">
        <f t="shared" si="2"/>
        <v>72710</v>
      </c>
      <c r="K25" s="62">
        <f t="shared" si="3"/>
        <v>10387.142857142857</v>
      </c>
      <c r="L25" s="88"/>
      <c r="M25" s="89"/>
      <c r="N25" s="90"/>
      <c r="O25" s="91" t="e">
        <f t="shared" si="4"/>
        <v>#DIV/0!</v>
      </c>
      <c r="P25" s="90"/>
      <c r="Q25" s="92" t="e">
        <f t="shared" si="5"/>
        <v>#DIV/0!</v>
      </c>
      <c r="R25" s="93">
        <f t="shared" si="47"/>
        <v>0</v>
      </c>
      <c r="S25" s="94" t="str">
        <f t="shared" si="7"/>
        <v/>
      </c>
      <c r="T25" s="70">
        <f t="shared" si="8"/>
        <v>20</v>
      </c>
      <c r="U25" s="71">
        <f t="shared" si="8"/>
        <v>252920</v>
      </c>
      <c r="V25" s="59">
        <f t="shared" si="9"/>
        <v>11496.35</v>
      </c>
      <c r="W25" s="71">
        <f t="shared" si="10"/>
        <v>74800</v>
      </c>
      <c r="X25" s="104">
        <f t="shared" si="11"/>
        <v>3400</v>
      </c>
      <c r="Y25" s="95">
        <f t="shared" si="30"/>
        <v>327720</v>
      </c>
      <c r="Z25" s="73">
        <f t="shared" si="12"/>
        <v>16386</v>
      </c>
      <c r="AA25" s="74">
        <f t="shared" si="13"/>
        <v>27</v>
      </c>
      <c r="AB25" s="71">
        <f t="shared" si="13"/>
        <v>314520</v>
      </c>
      <c r="AC25" s="71">
        <f t="shared" si="14"/>
        <v>85910</v>
      </c>
      <c r="AD25" s="75">
        <f t="shared" si="15"/>
        <v>400430</v>
      </c>
      <c r="AE25" s="71">
        <f t="shared" si="16"/>
        <v>14830.740740740741</v>
      </c>
      <c r="AF25" s="76">
        <v>86</v>
      </c>
      <c r="AG25" s="77">
        <v>90</v>
      </c>
      <c r="AH25" s="58">
        <v>103260</v>
      </c>
      <c r="AI25" s="59">
        <f t="shared" si="17"/>
        <v>1147.3333333333333</v>
      </c>
      <c r="AJ25" s="58">
        <v>17000</v>
      </c>
      <c r="AK25" s="60">
        <f t="shared" si="18"/>
        <v>188.88888888888889</v>
      </c>
      <c r="AL25" s="96">
        <f t="shared" si="31"/>
        <v>120260</v>
      </c>
      <c r="AM25" s="79">
        <f t="shared" si="19"/>
        <v>1336.2222222222222</v>
      </c>
      <c r="AN25" s="103">
        <f t="shared" si="32"/>
        <v>27</v>
      </c>
      <c r="AO25" s="97">
        <f t="shared" si="20"/>
        <v>417780</v>
      </c>
      <c r="AP25" s="97">
        <f t="shared" si="21"/>
        <v>102910</v>
      </c>
      <c r="AQ25" s="80">
        <f t="shared" si="22"/>
        <v>520690</v>
      </c>
      <c r="AR25" s="71">
        <f t="shared" si="48"/>
        <v>0</v>
      </c>
      <c r="AS25" s="97">
        <v>27</v>
      </c>
      <c r="AT25" s="97">
        <v>314520</v>
      </c>
      <c r="AU25" s="97">
        <v>85910</v>
      </c>
      <c r="AV25" s="98">
        <v>0</v>
      </c>
      <c r="AW25" s="98">
        <v>0</v>
      </c>
      <c r="AX25" s="98">
        <v>0</v>
      </c>
      <c r="AY25" s="98">
        <v>0</v>
      </c>
      <c r="AZ25" s="99">
        <f t="shared" si="33"/>
        <v>400430</v>
      </c>
      <c r="BA25" s="53">
        <v>21</v>
      </c>
      <c r="BB25" s="83">
        <f t="shared" si="34"/>
        <v>400430</v>
      </c>
      <c r="BC25" s="84">
        <f t="shared" si="23"/>
        <v>520690</v>
      </c>
      <c r="BO25" s="304">
        <f t="shared" si="35"/>
        <v>4</v>
      </c>
      <c r="BP25" s="57">
        <f t="shared" si="35"/>
        <v>7</v>
      </c>
      <c r="BQ25" s="71">
        <f t="shared" si="35"/>
        <v>61600</v>
      </c>
      <c r="BR25" s="59">
        <f t="shared" si="24"/>
        <v>8000</v>
      </c>
      <c r="BS25" s="71">
        <f t="shared" si="36"/>
        <v>11110</v>
      </c>
      <c r="BT25" s="60">
        <f t="shared" si="25"/>
        <v>1442.8571428571429</v>
      </c>
      <c r="BU25" s="61">
        <f t="shared" si="37"/>
        <v>72710</v>
      </c>
      <c r="BV25" s="62">
        <f t="shared" si="26"/>
        <v>10387.142857142857</v>
      </c>
      <c r="BW25" s="305">
        <f t="shared" si="38"/>
        <v>20</v>
      </c>
      <c r="BX25" s="71">
        <f t="shared" si="38"/>
        <v>252920</v>
      </c>
      <c r="BY25" s="59">
        <f t="shared" si="27"/>
        <v>11496.35</v>
      </c>
      <c r="BZ25" s="71">
        <f t="shared" si="39"/>
        <v>74800</v>
      </c>
      <c r="CA25" s="60">
        <f t="shared" si="28"/>
        <v>3400</v>
      </c>
      <c r="CB25" s="306">
        <f t="shared" si="40"/>
        <v>327720</v>
      </c>
      <c r="CC25" s="307" t="e">
        <v>#DIV/0!</v>
      </c>
      <c r="CD25" s="308">
        <f t="shared" si="41"/>
        <v>27</v>
      </c>
      <c r="CE25" s="71">
        <f t="shared" si="41"/>
        <v>314520</v>
      </c>
      <c r="CF25" s="60">
        <f t="shared" si="42"/>
        <v>10589.888888888889</v>
      </c>
      <c r="CG25" s="71">
        <f t="shared" si="43"/>
        <v>85910</v>
      </c>
      <c r="CH25" s="60">
        <f t="shared" si="44"/>
        <v>2892.5925925925926</v>
      </c>
      <c r="CI25" s="309">
        <f t="shared" si="45"/>
        <v>400430</v>
      </c>
      <c r="CJ25" s="310">
        <f t="shared" si="46"/>
        <v>14830.740740740741</v>
      </c>
    </row>
    <row r="26" spans="1:88" ht="15.75" customHeight="1">
      <c r="A26" s="53"/>
      <c r="B26" s="101">
        <f t="shared" si="29"/>
        <v>45830</v>
      </c>
      <c r="C26" s="87"/>
      <c r="D26" s="56">
        <v>4</v>
      </c>
      <c r="E26" s="57">
        <v>9</v>
      </c>
      <c r="F26" s="58">
        <v>49500</v>
      </c>
      <c r="G26" s="59">
        <f t="shared" si="0"/>
        <v>5000</v>
      </c>
      <c r="H26" s="58">
        <v>7260</v>
      </c>
      <c r="I26" s="59">
        <f t="shared" si="1"/>
        <v>733.33333333333337</v>
      </c>
      <c r="J26" s="61">
        <f t="shared" si="2"/>
        <v>56760</v>
      </c>
      <c r="K26" s="62">
        <f t="shared" si="3"/>
        <v>6306.666666666667</v>
      </c>
      <c r="L26" s="88"/>
      <c r="M26" s="89"/>
      <c r="N26" s="90"/>
      <c r="O26" s="91" t="e">
        <f t="shared" si="4"/>
        <v>#DIV/0!</v>
      </c>
      <c r="P26" s="90"/>
      <c r="Q26" s="92" t="e">
        <f t="shared" si="5"/>
        <v>#DIV/0!</v>
      </c>
      <c r="R26" s="93">
        <f t="shared" si="47"/>
        <v>0</v>
      </c>
      <c r="S26" s="94" t="str">
        <f t="shared" si="7"/>
        <v/>
      </c>
      <c r="T26" s="70">
        <f t="shared" si="8"/>
        <v>9</v>
      </c>
      <c r="U26" s="71">
        <f t="shared" si="8"/>
        <v>86300</v>
      </c>
      <c r="V26" s="59">
        <f t="shared" si="9"/>
        <v>8717.1111111111113</v>
      </c>
      <c r="W26" s="71">
        <f t="shared" si="10"/>
        <v>31570</v>
      </c>
      <c r="X26" s="104">
        <f t="shared" si="11"/>
        <v>3188.8888888888887</v>
      </c>
      <c r="Y26" s="95">
        <f t="shared" si="30"/>
        <v>117870</v>
      </c>
      <c r="Z26" s="73">
        <f t="shared" si="12"/>
        <v>13096.666666666666</v>
      </c>
      <c r="AA26" s="74">
        <f t="shared" si="13"/>
        <v>18</v>
      </c>
      <c r="AB26" s="71">
        <f t="shared" si="13"/>
        <v>135800</v>
      </c>
      <c r="AC26" s="71">
        <f t="shared" si="14"/>
        <v>38830</v>
      </c>
      <c r="AD26" s="75">
        <f t="shared" si="15"/>
        <v>174630</v>
      </c>
      <c r="AE26" s="71">
        <f t="shared" si="16"/>
        <v>9701.6666666666661</v>
      </c>
      <c r="AF26" s="76">
        <v>81</v>
      </c>
      <c r="AG26" s="77">
        <v>83</v>
      </c>
      <c r="AH26" s="58">
        <v>105450</v>
      </c>
      <c r="AI26" s="59">
        <f t="shared" si="17"/>
        <v>1270.4819277108434</v>
      </c>
      <c r="AJ26" s="58">
        <v>14700</v>
      </c>
      <c r="AK26" s="60">
        <f t="shared" si="18"/>
        <v>177.10843373493975</v>
      </c>
      <c r="AL26" s="96">
        <f t="shared" si="31"/>
        <v>120150</v>
      </c>
      <c r="AM26" s="79">
        <f t="shared" si="19"/>
        <v>1447.5903614457832</v>
      </c>
      <c r="AN26" s="103">
        <f t="shared" si="32"/>
        <v>18</v>
      </c>
      <c r="AO26" s="97">
        <f t="shared" si="20"/>
        <v>241250</v>
      </c>
      <c r="AP26" s="97">
        <f t="shared" si="21"/>
        <v>53530</v>
      </c>
      <c r="AQ26" s="80">
        <f t="shared" si="22"/>
        <v>294780</v>
      </c>
      <c r="AR26" s="71">
        <f t="shared" si="48"/>
        <v>4400</v>
      </c>
      <c r="AS26" s="97">
        <v>18</v>
      </c>
      <c r="AT26" s="97">
        <v>135800</v>
      </c>
      <c r="AU26" s="97">
        <v>38830</v>
      </c>
      <c r="AV26" s="98">
        <v>4400</v>
      </c>
      <c r="AW26" s="98">
        <v>0</v>
      </c>
      <c r="AX26" s="98">
        <v>0</v>
      </c>
      <c r="AY26" s="98">
        <v>0</v>
      </c>
      <c r="AZ26" s="99">
        <f>SUM(AT26:AY26)</f>
        <v>179030</v>
      </c>
      <c r="BA26" s="53">
        <v>22</v>
      </c>
      <c r="BB26" s="83">
        <f t="shared" si="34"/>
        <v>179030</v>
      </c>
      <c r="BC26" s="84">
        <f t="shared" si="23"/>
        <v>299180</v>
      </c>
      <c r="BO26" s="304">
        <f t="shared" si="35"/>
        <v>4</v>
      </c>
      <c r="BP26" s="57">
        <f t="shared" si="35"/>
        <v>9</v>
      </c>
      <c r="BQ26" s="71">
        <f t="shared" si="35"/>
        <v>49500</v>
      </c>
      <c r="BR26" s="59">
        <f t="shared" si="24"/>
        <v>5000</v>
      </c>
      <c r="BS26" s="71">
        <f t="shared" si="36"/>
        <v>7260</v>
      </c>
      <c r="BT26" s="60">
        <f t="shared" si="25"/>
        <v>733.33333333333337</v>
      </c>
      <c r="BU26" s="61">
        <f t="shared" si="37"/>
        <v>56760</v>
      </c>
      <c r="BV26" s="62">
        <f t="shared" si="26"/>
        <v>6306.666666666667</v>
      </c>
      <c r="BW26" s="305">
        <f t="shared" si="38"/>
        <v>9</v>
      </c>
      <c r="BX26" s="71">
        <f t="shared" si="38"/>
        <v>86300</v>
      </c>
      <c r="BY26" s="59">
        <f t="shared" si="27"/>
        <v>8717.1111111111113</v>
      </c>
      <c r="BZ26" s="71">
        <f t="shared" si="39"/>
        <v>31570</v>
      </c>
      <c r="CA26" s="60">
        <f t="shared" si="28"/>
        <v>3188.8888888888887</v>
      </c>
      <c r="CB26" s="306">
        <f t="shared" si="40"/>
        <v>117870</v>
      </c>
      <c r="CC26" s="307" t="e">
        <v>#DIV/0!</v>
      </c>
      <c r="CD26" s="308">
        <f t="shared" si="41"/>
        <v>18</v>
      </c>
      <c r="CE26" s="71">
        <f t="shared" si="41"/>
        <v>135800</v>
      </c>
      <c r="CF26" s="60">
        <f t="shared" si="42"/>
        <v>6858.5555555555557</v>
      </c>
      <c r="CG26" s="71">
        <f t="shared" si="43"/>
        <v>38830</v>
      </c>
      <c r="CH26" s="60">
        <f t="shared" si="44"/>
        <v>1961.1111111111111</v>
      </c>
      <c r="CI26" s="309">
        <f t="shared" si="45"/>
        <v>174630</v>
      </c>
      <c r="CJ26" s="310">
        <f t="shared" si="46"/>
        <v>9701.6666666666661</v>
      </c>
    </row>
    <row r="27" spans="1:88" ht="15.75" customHeight="1">
      <c r="A27" s="53"/>
      <c r="B27" s="311">
        <f t="shared" si="29"/>
        <v>45831</v>
      </c>
      <c r="C27" s="87"/>
      <c r="D27" s="56">
        <v>0</v>
      </c>
      <c r="E27" s="57">
        <v>0</v>
      </c>
      <c r="F27" s="58">
        <v>0</v>
      </c>
      <c r="G27" s="59" t="e">
        <f t="shared" si="0"/>
        <v>#DIV/0!</v>
      </c>
      <c r="H27" s="58">
        <v>0</v>
      </c>
      <c r="I27" s="59" t="e">
        <f t="shared" si="1"/>
        <v>#DIV/0!</v>
      </c>
      <c r="J27" s="61">
        <f t="shared" si="2"/>
        <v>0</v>
      </c>
      <c r="K27" s="62" t="e">
        <f t="shared" si="3"/>
        <v>#DIV/0!</v>
      </c>
      <c r="L27" s="88"/>
      <c r="M27" s="89"/>
      <c r="N27" s="90"/>
      <c r="O27" s="91" t="e">
        <f t="shared" si="4"/>
        <v>#DIV/0!</v>
      </c>
      <c r="P27" s="90"/>
      <c r="Q27" s="92" t="e">
        <f t="shared" si="5"/>
        <v>#DIV/0!</v>
      </c>
      <c r="R27" s="93">
        <f t="shared" si="47"/>
        <v>0</v>
      </c>
      <c r="S27" s="94" t="str">
        <f t="shared" si="7"/>
        <v/>
      </c>
      <c r="T27" s="70">
        <f t="shared" si="8"/>
        <v>11</v>
      </c>
      <c r="U27" s="71">
        <f t="shared" si="8"/>
        <v>187880</v>
      </c>
      <c r="V27" s="59">
        <f t="shared" si="9"/>
        <v>15527.272727272728</v>
      </c>
      <c r="W27" s="71">
        <f t="shared" si="10"/>
        <v>122980</v>
      </c>
      <c r="X27" s="60">
        <f t="shared" si="11"/>
        <v>10163.636363636364</v>
      </c>
      <c r="Y27" s="95">
        <f t="shared" si="30"/>
        <v>310860</v>
      </c>
      <c r="Z27" s="73">
        <f t="shared" si="12"/>
        <v>28260</v>
      </c>
      <c r="AA27" s="74">
        <f t="shared" si="13"/>
        <v>11</v>
      </c>
      <c r="AB27" s="71">
        <f t="shared" si="13"/>
        <v>187880</v>
      </c>
      <c r="AC27" s="71">
        <f t="shared" si="14"/>
        <v>122980</v>
      </c>
      <c r="AD27" s="75">
        <f t="shared" si="15"/>
        <v>310860</v>
      </c>
      <c r="AE27" s="71">
        <f t="shared" si="16"/>
        <v>28260</v>
      </c>
      <c r="AF27" s="76">
        <v>36</v>
      </c>
      <c r="AG27" s="77">
        <v>40</v>
      </c>
      <c r="AH27" s="58">
        <v>57700</v>
      </c>
      <c r="AI27" s="59">
        <f t="shared" si="17"/>
        <v>1442.5</v>
      </c>
      <c r="AJ27" s="58">
        <v>7100</v>
      </c>
      <c r="AK27" s="60">
        <f t="shared" si="18"/>
        <v>177.5</v>
      </c>
      <c r="AL27" s="96">
        <f t="shared" si="31"/>
        <v>64800</v>
      </c>
      <c r="AM27" s="79">
        <f t="shared" si="19"/>
        <v>1620</v>
      </c>
      <c r="AN27" s="103">
        <f t="shared" si="32"/>
        <v>11</v>
      </c>
      <c r="AO27" s="97">
        <f t="shared" si="20"/>
        <v>245580</v>
      </c>
      <c r="AP27" s="97">
        <f t="shared" si="21"/>
        <v>130080</v>
      </c>
      <c r="AQ27" s="80">
        <f t="shared" si="22"/>
        <v>375660</v>
      </c>
      <c r="AR27" s="71">
        <f t="shared" si="48"/>
        <v>0</v>
      </c>
      <c r="AS27" s="97">
        <v>11</v>
      </c>
      <c r="AT27" s="97">
        <v>187880</v>
      </c>
      <c r="AU27" s="97">
        <v>122980</v>
      </c>
      <c r="AV27" s="98">
        <v>0</v>
      </c>
      <c r="AW27" s="98">
        <v>0</v>
      </c>
      <c r="AX27" s="98">
        <v>0</v>
      </c>
      <c r="AY27" s="98">
        <v>0</v>
      </c>
      <c r="AZ27" s="99">
        <f t="shared" si="33"/>
        <v>310860</v>
      </c>
      <c r="BA27" s="53">
        <v>23</v>
      </c>
      <c r="BB27" s="83">
        <f t="shared" si="34"/>
        <v>310860</v>
      </c>
      <c r="BC27" s="84">
        <f t="shared" si="23"/>
        <v>375660</v>
      </c>
      <c r="BO27" s="304">
        <f t="shared" si="35"/>
        <v>0</v>
      </c>
      <c r="BP27" s="57">
        <f t="shared" si="35"/>
        <v>0</v>
      </c>
      <c r="BQ27" s="71">
        <f t="shared" si="35"/>
        <v>0</v>
      </c>
      <c r="BR27" s="59" t="e">
        <f t="shared" si="24"/>
        <v>#DIV/0!</v>
      </c>
      <c r="BS27" s="71">
        <f t="shared" si="36"/>
        <v>0</v>
      </c>
      <c r="BT27" s="60" t="e">
        <f t="shared" si="25"/>
        <v>#DIV/0!</v>
      </c>
      <c r="BU27" s="61">
        <f t="shared" si="37"/>
        <v>0</v>
      </c>
      <c r="BV27" s="62" t="e">
        <f t="shared" si="26"/>
        <v>#DIV/0!</v>
      </c>
      <c r="BW27" s="305">
        <f t="shared" si="38"/>
        <v>11</v>
      </c>
      <c r="BX27" s="71">
        <f t="shared" si="38"/>
        <v>187880</v>
      </c>
      <c r="BY27" s="59">
        <f t="shared" si="27"/>
        <v>15527.272727272728</v>
      </c>
      <c r="BZ27" s="71">
        <f t="shared" si="39"/>
        <v>122980</v>
      </c>
      <c r="CA27" s="60">
        <f t="shared" si="28"/>
        <v>10163.636363636364</v>
      </c>
      <c r="CB27" s="306">
        <f t="shared" si="40"/>
        <v>310860</v>
      </c>
      <c r="CC27" s="307" t="e">
        <v>#DIV/0!</v>
      </c>
      <c r="CD27" s="308">
        <f t="shared" si="41"/>
        <v>11</v>
      </c>
      <c r="CE27" s="71">
        <f t="shared" si="41"/>
        <v>187880</v>
      </c>
      <c r="CF27" s="60">
        <f t="shared" si="42"/>
        <v>15527.272727272728</v>
      </c>
      <c r="CG27" s="71">
        <f t="shared" si="43"/>
        <v>122980</v>
      </c>
      <c r="CH27" s="60">
        <f t="shared" si="44"/>
        <v>10163.636363636364</v>
      </c>
      <c r="CI27" s="309">
        <f t="shared" si="45"/>
        <v>310860</v>
      </c>
      <c r="CJ27" s="310">
        <f t="shared" si="46"/>
        <v>28260</v>
      </c>
    </row>
    <row r="28" spans="1:88" ht="15.75" customHeight="1">
      <c r="A28" s="53"/>
      <c r="B28" s="311">
        <f t="shared" si="29"/>
        <v>45832</v>
      </c>
      <c r="C28" s="87"/>
      <c r="D28" s="56">
        <v>5</v>
      </c>
      <c r="E28" s="57">
        <v>12</v>
      </c>
      <c r="F28" s="58">
        <v>82500</v>
      </c>
      <c r="G28" s="59">
        <f t="shared" si="0"/>
        <v>6250</v>
      </c>
      <c r="H28" s="58">
        <v>16890</v>
      </c>
      <c r="I28" s="59">
        <f t="shared" si="1"/>
        <v>1279.5</v>
      </c>
      <c r="J28" s="61">
        <f t="shared" si="2"/>
        <v>99390</v>
      </c>
      <c r="K28" s="62">
        <f t="shared" si="3"/>
        <v>8282.5</v>
      </c>
      <c r="L28" s="88"/>
      <c r="M28" s="89"/>
      <c r="N28" s="90"/>
      <c r="O28" s="91" t="e">
        <f t="shared" si="4"/>
        <v>#DIV/0!</v>
      </c>
      <c r="P28" s="90"/>
      <c r="Q28" s="92" t="e">
        <f t="shared" si="5"/>
        <v>#DIV/0!</v>
      </c>
      <c r="R28" s="93">
        <f t="shared" si="47"/>
        <v>0</v>
      </c>
      <c r="S28" s="94" t="str">
        <f t="shared" si="7"/>
        <v/>
      </c>
      <c r="T28" s="70">
        <f t="shared" si="8"/>
        <v>2</v>
      </c>
      <c r="U28" s="71">
        <f t="shared" si="8"/>
        <v>24200</v>
      </c>
      <c r="V28" s="59">
        <f t="shared" si="9"/>
        <v>11000</v>
      </c>
      <c r="W28" s="71">
        <f t="shared" si="10"/>
        <v>4400</v>
      </c>
      <c r="X28" s="60">
        <f t="shared" si="11"/>
        <v>2000</v>
      </c>
      <c r="Y28" s="95">
        <f t="shared" si="30"/>
        <v>28600</v>
      </c>
      <c r="Z28" s="73">
        <f t="shared" si="12"/>
        <v>14300</v>
      </c>
      <c r="AA28" s="74">
        <f t="shared" si="13"/>
        <v>14</v>
      </c>
      <c r="AB28" s="71">
        <f t="shared" si="13"/>
        <v>106700</v>
      </c>
      <c r="AC28" s="71">
        <f t="shared" si="14"/>
        <v>21290</v>
      </c>
      <c r="AD28" s="75">
        <f t="shared" si="15"/>
        <v>127990</v>
      </c>
      <c r="AE28" s="71">
        <f t="shared" si="16"/>
        <v>9142.1428571428569</v>
      </c>
      <c r="AF28" s="76">
        <v>62</v>
      </c>
      <c r="AG28" s="77">
        <v>63</v>
      </c>
      <c r="AH28" s="58">
        <v>76590</v>
      </c>
      <c r="AI28" s="59">
        <f t="shared" si="17"/>
        <v>1215.7142857142858</v>
      </c>
      <c r="AJ28" s="58">
        <v>14600</v>
      </c>
      <c r="AK28" s="60">
        <f t="shared" si="18"/>
        <v>231.74603174603175</v>
      </c>
      <c r="AL28" s="96">
        <f t="shared" si="31"/>
        <v>91190</v>
      </c>
      <c r="AM28" s="79">
        <f t="shared" si="19"/>
        <v>1447.4603174603174</v>
      </c>
      <c r="AN28" s="103">
        <f t="shared" si="32"/>
        <v>14</v>
      </c>
      <c r="AO28" s="97">
        <f t="shared" si="20"/>
        <v>183290</v>
      </c>
      <c r="AP28" s="97">
        <f t="shared" si="21"/>
        <v>35890</v>
      </c>
      <c r="AQ28" s="80">
        <f t="shared" si="22"/>
        <v>219180</v>
      </c>
      <c r="AR28" s="71">
        <f t="shared" si="48"/>
        <v>0</v>
      </c>
      <c r="AS28" s="97">
        <v>14</v>
      </c>
      <c r="AT28" s="97">
        <v>106700</v>
      </c>
      <c r="AU28" s="97">
        <v>21290</v>
      </c>
      <c r="AV28" s="98">
        <v>0</v>
      </c>
      <c r="AW28" s="98">
        <v>0</v>
      </c>
      <c r="AX28" s="98">
        <v>0</v>
      </c>
      <c r="AY28" s="98">
        <v>0</v>
      </c>
      <c r="AZ28" s="99">
        <f t="shared" si="33"/>
        <v>127990</v>
      </c>
      <c r="BA28" s="53">
        <v>24</v>
      </c>
      <c r="BB28" s="83">
        <f t="shared" si="34"/>
        <v>127990</v>
      </c>
      <c r="BC28" s="84">
        <f t="shared" si="23"/>
        <v>219180</v>
      </c>
      <c r="BO28" s="304">
        <f t="shared" si="35"/>
        <v>5</v>
      </c>
      <c r="BP28" s="57">
        <f t="shared" si="35"/>
        <v>12</v>
      </c>
      <c r="BQ28" s="71">
        <f t="shared" si="35"/>
        <v>82500</v>
      </c>
      <c r="BR28" s="59">
        <f t="shared" si="24"/>
        <v>6250</v>
      </c>
      <c r="BS28" s="71">
        <f t="shared" si="36"/>
        <v>16890</v>
      </c>
      <c r="BT28" s="60">
        <f t="shared" si="25"/>
        <v>1279.5</v>
      </c>
      <c r="BU28" s="61">
        <f t="shared" si="37"/>
        <v>99390</v>
      </c>
      <c r="BV28" s="62">
        <f t="shared" si="26"/>
        <v>8282.5</v>
      </c>
      <c r="BW28" s="305">
        <f t="shared" si="38"/>
        <v>2</v>
      </c>
      <c r="BX28" s="71">
        <f t="shared" si="38"/>
        <v>24200</v>
      </c>
      <c r="BY28" s="59">
        <f t="shared" si="27"/>
        <v>11000</v>
      </c>
      <c r="BZ28" s="71">
        <f t="shared" si="39"/>
        <v>4400</v>
      </c>
      <c r="CA28" s="60">
        <f t="shared" si="28"/>
        <v>2000</v>
      </c>
      <c r="CB28" s="306">
        <f t="shared" si="40"/>
        <v>28600</v>
      </c>
      <c r="CC28" s="307" t="e">
        <v>#DIV/0!</v>
      </c>
      <c r="CD28" s="308">
        <f t="shared" si="41"/>
        <v>14</v>
      </c>
      <c r="CE28" s="71">
        <f t="shared" si="41"/>
        <v>106700</v>
      </c>
      <c r="CF28" s="60">
        <f t="shared" si="42"/>
        <v>6928.5714285714284</v>
      </c>
      <c r="CG28" s="71">
        <f t="shared" si="43"/>
        <v>21290</v>
      </c>
      <c r="CH28" s="60">
        <f t="shared" si="44"/>
        <v>1382.4285714285713</v>
      </c>
      <c r="CI28" s="309">
        <f t="shared" si="45"/>
        <v>127990</v>
      </c>
      <c r="CJ28" s="310">
        <f t="shared" si="46"/>
        <v>9142.1428571428569</v>
      </c>
    </row>
    <row r="29" spans="1:88" ht="15.75" customHeight="1">
      <c r="A29" s="53"/>
      <c r="B29" s="311">
        <f t="shared" si="29"/>
        <v>45833</v>
      </c>
      <c r="C29" s="87"/>
      <c r="D29" s="56">
        <v>5</v>
      </c>
      <c r="E29" s="57">
        <v>10</v>
      </c>
      <c r="F29" s="58">
        <v>64900</v>
      </c>
      <c r="G29" s="59">
        <f t="shared" si="0"/>
        <v>5900</v>
      </c>
      <c r="H29" s="58">
        <v>30150</v>
      </c>
      <c r="I29" s="59">
        <f t="shared" si="1"/>
        <v>2740.9</v>
      </c>
      <c r="J29" s="61">
        <f t="shared" si="2"/>
        <v>95050</v>
      </c>
      <c r="K29" s="62">
        <f t="shared" si="3"/>
        <v>9505</v>
      </c>
      <c r="L29" s="88"/>
      <c r="M29" s="89"/>
      <c r="N29" s="90"/>
      <c r="O29" s="91" t="e">
        <f t="shared" si="4"/>
        <v>#DIV/0!</v>
      </c>
      <c r="P29" s="90"/>
      <c r="Q29" s="92" t="e">
        <f t="shared" si="5"/>
        <v>#DIV/0!</v>
      </c>
      <c r="R29" s="93">
        <f t="shared" si="47"/>
        <v>0</v>
      </c>
      <c r="S29" s="94" t="str">
        <f t="shared" si="7"/>
        <v/>
      </c>
      <c r="T29" s="70">
        <f t="shared" si="8"/>
        <v>4</v>
      </c>
      <c r="U29" s="71">
        <f t="shared" si="8"/>
        <v>66880</v>
      </c>
      <c r="V29" s="59">
        <f t="shared" si="9"/>
        <v>15200</v>
      </c>
      <c r="W29" s="71">
        <f t="shared" si="10"/>
        <v>160930</v>
      </c>
      <c r="X29" s="60">
        <f t="shared" si="11"/>
        <v>36575</v>
      </c>
      <c r="Y29" s="95">
        <f t="shared" si="30"/>
        <v>227810</v>
      </c>
      <c r="Z29" s="73">
        <f t="shared" si="12"/>
        <v>56952.5</v>
      </c>
      <c r="AA29" s="74">
        <f t="shared" si="13"/>
        <v>14</v>
      </c>
      <c r="AB29" s="71">
        <f t="shared" si="13"/>
        <v>131780</v>
      </c>
      <c r="AC29" s="71">
        <f t="shared" si="14"/>
        <v>191080</v>
      </c>
      <c r="AD29" s="75">
        <f t="shared" si="15"/>
        <v>322860</v>
      </c>
      <c r="AE29" s="71">
        <f t="shared" si="16"/>
        <v>23061.428571428572</v>
      </c>
      <c r="AF29" s="76">
        <v>53</v>
      </c>
      <c r="AG29" s="77">
        <v>55</v>
      </c>
      <c r="AH29" s="58">
        <v>66830</v>
      </c>
      <c r="AI29" s="59">
        <f t="shared" si="17"/>
        <v>1215.090909090909</v>
      </c>
      <c r="AJ29" s="58">
        <v>10100</v>
      </c>
      <c r="AK29" s="60">
        <f t="shared" si="18"/>
        <v>183.63636363636363</v>
      </c>
      <c r="AL29" s="96">
        <f t="shared" si="31"/>
        <v>76930</v>
      </c>
      <c r="AM29" s="79">
        <f t="shared" si="19"/>
        <v>1398.7272727272727</v>
      </c>
      <c r="AN29" s="103">
        <f t="shared" si="32"/>
        <v>14</v>
      </c>
      <c r="AO29" s="97">
        <f t="shared" si="20"/>
        <v>198610</v>
      </c>
      <c r="AP29" s="97">
        <f t="shared" si="21"/>
        <v>201180</v>
      </c>
      <c r="AQ29" s="80">
        <f t="shared" si="22"/>
        <v>399790</v>
      </c>
      <c r="AR29" s="71">
        <f t="shared" si="48"/>
        <v>0</v>
      </c>
      <c r="AS29" s="97">
        <v>14</v>
      </c>
      <c r="AT29" s="97">
        <v>131780</v>
      </c>
      <c r="AU29" s="97">
        <v>191080</v>
      </c>
      <c r="AV29" s="98">
        <v>0</v>
      </c>
      <c r="AW29" s="98">
        <v>0</v>
      </c>
      <c r="AX29" s="98">
        <v>0</v>
      </c>
      <c r="AY29" s="98">
        <v>0</v>
      </c>
      <c r="AZ29" s="99">
        <f t="shared" si="33"/>
        <v>322860</v>
      </c>
      <c r="BA29" s="53">
        <v>25</v>
      </c>
      <c r="BB29" s="83">
        <f t="shared" si="34"/>
        <v>322860</v>
      </c>
      <c r="BC29" s="84">
        <f t="shared" si="23"/>
        <v>399790</v>
      </c>
      <c r="BO29" s="304">
        <f t="shared" si="35"/>
        <v>5</v>
      </c>
      <c r="BP29" s="57">
        <f t="shared" si="35"/>
        <v>10</v>
      </c>
      <c r="BQ29" s="71">
        <f t="shared" si="35"/>
        <v>64900</v>
      </c>
      <c r="BR29" s="59">
        <f t="shared" si="24"/>
        <v>5900</v>
      </c>
      <c r="BS29" s="71">
        <f t="shared" si="36"/>
        <v>30150</v>
      </c>
      <c r="BT29" s="60">
        <f t="shared" si="25"/>
        <v>2740.9</v>
      </c>
      <c r="BU29" s="61">
        <f t="shared" si="37"/>
        <v>95050</v>
      </c>
      <c r="BV29" s="62">
        <f t="shared" si="26"/>
        <v>9505</v>
      </c>
      <c r="BW29" s="305">
        <f t="shared" si="38"/>
        <v>4</v>
      </c>
      <c r="BX29" s="71">
        <f t="shared" si="38"/>
        <v>66880</v>
      </c>
      <c r="BY29" s="59">
        <f t="shared" si="27"/>
        <v>15200</v>
      </c>
      <c r="BZ29" s="71">
        <f t="shared" si="39"/>
        <v>160930</v>
      </c>
      <c r="CA29" s="60">
        <f t="shared" si="28"/>
        <v>36575</v>
      </c>
      <c r="CB29" s="306">
        <f t="shared" si="40"/>
        <v>227810</v>
      </c>
      <c r="CC29" s="307" t="e">
        <v>#DIV/0!</v>
      </c>
      <c r="CD29" s="308">
        <f t="shared" si="41"/>
        <v>14</v>
      </c>
      <c r="CE29" s="71">
        <f t="shared" si="41"/>
        <v>131780</v>
      </c>
      <c r="CF29" s="60">
        <f t="shared" si="42"/>
        <v>8557.1428571428569</v>
      </c>
      <c r="CG29" s="71">
        <f t="shared" si="43"/>
        <v>191080</v>
      </c>
      <c r="CH29" s="60">
        <f t="shared" si="44"/>
        <v>12407.785714285714</v>
      </c>
      <c r="CI29" s="309">
        <f t="shared" si="45"/>
        <v>322860</v>
      </c>
      <c r="CJ29" s="310">
        <f t="shared" si="46"/>
        <v>23061.428571428572</v>
      </c>
    </row>
    <row r="30" spans="1:88" ht="15.75" customHeight="1">
      <c r="A30" s="53"/>
      <c r="B30" s="311">
        <f t="shared" si="29"/>
        <v>45834</v>
      </c>
      <c r="C30" s="87"/>
      <c r="D30" s="56">
        <v>2</v>
      </c>
      <c r="E30" s="57">
        <v>6</v>
      </c>
      <c r="F30" s="58">
        <v>33000</v>
      </c>
      <c r="G30" s="59">
        <f>ROUNDDOWN(F30/1.1,0)/E30</f>
        <v>5000</v>
      </c>
      <c r="H30" s="58">
        <v>4950</v>
      </c>
      <c r="I30" s="59">
        <f>ROUNDDOWN(H30/1.1,0)/E30</f>
        <v>750</v>
      </c>
      <c r="J30" s="61">
        <f t="shared" si="2"/>
        <v>37950</v>
      </c>
      <c r="K30" s="62">
        <f>IF(E30="","",J30/E30)</f>
        <v>6325</v>
      </c>
      <c r="L30" s="88"/>
      <c r="M30" s="89"/>
      <c r="N30" s="90"/>
      <c r="O30" s="91" t="e">
        <f t="shared" si="4"/>
        <v>#DIV/0!</v>
      </c>
      <c r="P30" s="90"/>
      <c r="Q30" s="92" t="e">
        <f t="shared" si="5"/>
        <v>#DIV/0!</v>
      </c>
      <c r="R30" s="93">
        <f t="shared" si="47"/>
        <v>0</v>
      </c>
      <c r="S30" s="94" t="str">
        <f t="shared" si="7"/>
        <v/>
      </c>
      <c r="T30" s="70">
        <f t="shared" si="8"/>
        <v>2</v>
      </c>
      <c r="U30" s="71">
        <f t="shared" si="8"/>
        <v>24200</v>
      </c>
      <c r="V30" s="59">
        <f t="shared" si="9"/>
        <v>11000</v>
      </c>
      <c r="W30" s="71">
        <f t="shared" si="10"/>
        <v>8360</v>
      </c>
      <c r="X30" s="59">
        <f t="shared" si="11"/>
        <v>3800</v>
      </c>
      <c r="Y30" s="95">
        <f t="shared" si="30"/>
        <v>32560</v>
      </c>
      <c r="Z30" s="73">
        <f t="shared" si="12"/>
        <v>16280</v>
      </c>
      <c r="AA30" s="74">
        <f t="shared" si="13"/>
        <v>8</v>
      </c>
      <c r="AB30" s="71">
        <f t="shared" si="13"/>
        <v>57200</v>
      </c>
      <c r="AC30" s="71">
        <f t="shared" si="14"/>
        <v>13310</v>
      </c>
      <c r="AD30" s="75">
        <f t="shared" si="15"/>
        <v>70510</v>
      </c>
      <c r="AE30" s="71">
        <f t="shared" si="16"/>
        <v>8813.75</v>
      </c>
      <c r="AF30" s="76">
        <v>55</v>
      </c>
      <c r="AG30" s="77">
        <v>55</v>
      </c>
      <c r="AH30" s="58">
        <v>76910</v>
      </c>
      <c r="AI30" s="59">
        <f t="shared" si="17"/>
        <v>1398.3636363636363</v>
      </c>
      <c r="AJ30" s="58">
        <v>8400</v>
      </c>
      <c r="AK30" s="60">
        <f t="shared" si="18"/>
        <v>152.72727272727272</v>
      </c>
      <c r="AL30" s="96">
        <f t="shared" si="31"/>
        <v>85310</v>
      </c>
      <c r="AM30" s="79">
        <f t="shared" si="19"/>
        <v>1551.090909090909</v>
      </c>
      <c r="AN30" s="103">
        <f t="shared" si="32"/>
        <v>8</v>
      </c>
      <c r="AO30" s="97">
        <f t="shared" si="20"/>
        <v>134110</v>
      </c>
      <c r="AP30" s="97">
        <f t="shared" si="21"/>
        <v>21710</v>
      </c>
      <c r="AQ30" s="80">
        <f t="shared" si="22"/>
        <v>155820</v>
      </c>
      <c r="AR30" s="71">
        <f t="shared" si="48"/>
        <v>0</v>
      </c>
      <c r="AS30" s="97">
        <v>8</v>
      </c>
      <c r="AT30" s="97">
        <v>57200</v>
      </c>
      <c r="AU30" s="97">
        <v>13310</v>
      </c>
      <c r="AV30" s="98">
        <v>0</v>
      </c>
      <c r="AW30" s="98">
        <v>0</v>
      </c>
      <c r="AX30" s="98">
        <v>0</v>
      </c>
      <c r="AY30" s="98">
        <v>3300</v>
      </c>
      <c r="AZ30" s="99">
        <f t="shared" si="33"/>
        <v>70510</v>
      </c>
      <c r="BA30" s="53">
        <v>26</v>
      </c>
      <c r="BB30" s="83">
        <f t="shared" si="34"/>
        <v>73810</v>
      </c>
      <c r="BC30" s="84">
        <f t="shared" si="23"/>
        <v>155820</v>
      </c>
      <c r="BO30" s="304">
        <f t="shared" si="35"/>
        <v>2</v>
      </c>
      <c r="BP30" s="57">
        <f t="shared" si="35"/>
        <v>6</v>
      </c>
      <c r="BQ30" s="71">
        <f t="shared" si="35"/>
        <v>33000</v>
      </c>
      <c r="BR30" s="59">
        <f t="shared" si="24"/>
        <v>5000</v>
      </c>
      <c r="BS30" s="71">
        <f t="shared" si="36"/>
        <v>4950</v>
      </c>
      <c r="BT30" s="60">
        <f t="shared" si="25"/>
        <v>750</v>
      </c>
      <c r="BU30" s="61">
        <f t="shared" si="37"/>
        <v>37950</v>
      </c>
      <c r="BV30" s="62">
        <f t="shared" si="26"/>
        <v>6325</v>
      </c>
      <c r="BW30" s="305">
        <f t="shared" si="38"/>
        <v>2</v>
      </c>
      <c r="BX30" s="71">
        <f t="shared" si="38"/>
        <v>24200</v>
      </c>
      <c r="BY30" s="59">
        <f t="shared" si="27"/>
        <v>11000</v>
      </c>
      <c r="BZ30" s="71">
        <f t="shared" si="39"/>
        <v>8360</v>
      </c>
      <c r="CA30" s="60">
        <f t="shared" si="28"/>
        <v>3800</v>
      </c>
      <c r="CB30" s="306">
        <f t="shared" si="40"/>
        <v>32560</v>
      </c>
      <c r="CC30" s="307" t="e">
        <v>#DIV/0!</v>
      </c>
      <c r="CD30" s="308">
        <f t="shared" si="41"/>
        <v>8</v>
      </c>
      <c r="CE30" s="71">
        <f t="shared" si="41"/>
        <v>57200</v>
      </c>
      <c r="CF30" s="60">
        <f t="shared" si="42"/>
        <v>6500</v>
      </c>
      <c r="CG30" s="71">
        <f t="shared" si="43"/>
        <v>13310</v>
      </c>
      <c r="CH30" s="60">
        <f t="shared" si="44"/>
        <v>1512.5</v>
      </c>
      <c r="CI30" s="309">
        <f t="shared" si="45"/>
        <v>70510</v>
      </c>
      <c r="CJ30" s="310">
        <f t="shared" si="46"/>
        <v>8813.75</v>
      </c>
    </row>
    <row r="31" spans="1:88" ht="15.75" customHeight="1">
      <c r="A31" s="53"/>
      <c r="B31" s="311">
        <f t="shared" si="29"/>
        <v>45835</v>
      </c>
      <c r="C31" s="87"/>
      <c r="D31" s="56">
        <v>1</v>
      </c>
      <c r="E31" s="57">
        <v>2</v>
      </c>
      <c r="F31" s="58">
        <v>17600</v>
      </c>
      <c r="G31" s="59">
        <f>ROUNDDOWN(F31/1.1,0)/E31</f>
        <v>8000</v>
      </c>
      <c r="H31" s="58">
        <v>7920</v>
      </c>
      <c r="I31" s="59">
        <f>ROUNDDOWN(H31/1.1,0)/E31</f>
        <v>3600</v>
      </c>
      <c r="J31" s="61">
        <f t="shared" si="2"/>
        <v>25520</v>
      </c>
      <c r="K31" s="62">
        <f>IF(E31="","",J31/E31)</f>
        <v>12760</v>
      </c>
      <c r="L31" s="88"/>
      <c r="M31" s="89"/>
      <c r="N31" s="90"/>
      <c r="O31" s="91" t="e">
        <f t="shared" si="4"/>
        <v>#DIV/0!</v>
      </c>
      <c r="P31" s="90"/>
      <c r="Q31" s="92" t="e">
        <f t="shared" si="5"/>
        <v>#DIV/0!</v>
      </c>
      <c r="R31" s="93">
        <f t="shared" si="47"/>
        <v>0</v>
      </c>
      <c r="S31" s="94" t="str">
        <f t="shared" si="7"/>
        <v/>
      </c>
      <c r="T31" s="70">
        <f t="shared" si="8"/>
        <v>17</v>
      </c>
      <c r="U31" s="71">
        <f t="shared" si="8"/>
        <v>243900</v>
      </c>
      <c r="V31" s="59">
        <f t="shared" si="9"/>
        <v>13042.764705882353</v>
      </c>
      <c r="W31" s="71">
        <f t="shared" si="10"/>
        <v>97450</v>
      </c>
      <c r="X31" s="59">
        <f t="shared" si="11"/>
        <v>5211.1764705882351</v>
      </c>
      <c r="Y31" s="95">
        <f t="shared" si="30"/>
        <v>341350</v>
      </c>
      <c r="Z31" s="73">
        <f t="shared" si="12"/>
        <v>20079.411764705881</v>
      </c>
      <c r="AA31" s="74">
        <f t="shared" si="13"/>
        <v>19</v>
      </c>
      <c r="AB31" s="71">
        <f t="shared" si="13"/>
        <v>261500</v>
      </c>
      <c r="AC31" s="71">
        <f t="shared" si="14"/>
        <v>105370</v>
      </c>
      <c r="AD31" s="75">
        <f t="shared" si="15"/>
        <v>366870</v>
      </c>
      <c r="AE31" s="71">
        <f t="shared" si="16"/>
        <v>19308.947368421053</v>
      </c>
      <c r="AF31" s="76">
        <v>110</v>
      </c>
      <c r="AG31" s="77">
        <v>112</v>
      </c>
      <c r="AH31" s="58">
        <v>86370</v>
      </c>
      <c r="AI31" s="59">
        <f t="shared" si="17"/>
        <v>771.16071428571433</v>
      </c>
      <c r="AJ31" s="58">
        <v>38400</v>
      </c>
      <c r="AK31" s="60">
        <f t="shared" si="18"/>
        <v>342.85714285714283</v>
      </c>
      <c r="AL31" s="96">
        <f t="shared" si="31"/>
        <v>124770</v>
      </c>
      <c r="AM31" s="79">
        <f t="shared" si="19"/>
        <v>1114.0178571428571</v>
      </c>
      <c r="AN31" s="103">
        <f t="shared" si="32"/>
        <v>19</v>
      </c>
      <c r="AO31" s="97">
        <f t="shared" si="20"/>
        <v>347870</v>
      </c>
      <c r="AP31" s="97">
        <f t="shared" si="21"/>
        <v>143770</v>
      </c>
      <c r="AQ31" s="80">
        <f t="shared" si="22"/>
        <v>491640</v>
      </c>
      <c r="AR31" s="71">
        <f t="shared" si="48"/>
        <v>0</v>
      </c>
      <c r="AS31" s="97">
        <v>19</v>
      </c>
      <c r="AT31" s="97">
        <v>261500</v>
      </c>
      <c r="AU31" s="97">
        <v>105370</v>
      </c>
      <c r="AV31" s="98">
        <v>0</v>
      </c>
      <c r="AW31" s="98">
        <v>0</v>
      </c>
      <c r="AX31" s="98">
        <v>0</v>
      </c>
      <c r="AY31" s="98">
        <v>0</v>
      </c>
      <c r="AZ31" s="99">
        <f t="shared" si="33"/>
        <v>366870</v>
      </c>
      <c r="BA31" s="53">
        <v>27</v>
      </c>
      <c r="BB31" s="83">
        <f t="shared" si="34"/>
        <v>366870</v>
      </c>
      <c r="BC31" s="84">
        <f t="shared" si="23"/>
        <v>491640</v>
      </c>
      <c r="BO31" s="304">
        <f t="shared" si="35"/>
        <v>1</v>
      </c>
      <c r="BP31" s="57">
        <f t="shared" si="35"/>
        <v>2</v>
      </c>
      <c r="BQ31" s="71">
        <f t="shared" si="35"/>
        <v>17600</v>
      </c>
      <c r="BR31" s="59">
        <f t="shared" si="24"/>
        <v>8000</v>
      </c>
      <c r="BS31" s="71">
        <f t="shared" si="36"/>
        <v>7920</v>
      </c>
      <c r="BT31" s="60">
        <f t="shared" si="25"/>
        <v>3600</v>
      </c>
      <c r="BU31" s="61">
        <f t="shared" si="37"/>
        <v>25520</v>
      </c>
      <c r="BV31" s="62">
        <f t="shared" si="26"/>
        <v>12760</v>
      </c>
      <c r="BW31" s="305">
        <f t="shared" si="38"/>
        <v>17</v>
      </c>
      <c r="BX31" s="71">
        <f t="shared" si="38"/>
        <v>243900</v>
      </c>
      <c r="BY31" s="59">
        <f t="shared" si="27"/>
        <v>13042.764705882353</v>
      </c>
      <c r="BZ31" s="71">
        <f t="shared" si="39"/>
        <v>97450</v>
      </c>
      <c r="CA31" s="60">
        <f t="shared" si="28"/>
        <v>5211.1764705882351</v>
      </c>
      <c r="CB31" s="306">
        <f t="shared" si="40"/>
        <v>341350</v>
      </c>
      <c r="CC31" s="307" t="e">
        <v>#DIV/0!</v>
      </c>
      <c r="CD31" s="308">
        <f t="shared" si="41"/>
        <v>19</v>
      </c>
      <c r="CE31" s="71">
        <f t="shared" si="41"/>
        <v>261500</v>
      </c>
      <c r="CF31" s="60">
        <f t="shared" si="42"/>
        <v>12511.947368421053</v>
      </c>
      <c r="CG31" s="71">
        <f t="shared" si="43"/>
        <v>105370</v>
      </c>
      <c r="CH31" s="60">
        <f t="shared" si="44"/>
        <v>5041.5789473684208</v>
      </c>
      <c r="CI31" s="309">
        <f t="shared" si="45"/>
        <v>366870</v>
      </c>
      <c r="CJ31" s="310">
        <f t="shared" si="46"/>
        <v>19308.947368421053</v>
      </c>
    </row>
    <row r="32" spans="1:88" ht="15.75" customHeight="1">
      <c r="A32" s="53"/>
      <c r="B32" s="312">
        <f t="shared" si="29"/>
        <v>45836</v>
      </c>
      <c r="C32" s="87"/>
      <c r="D32" s="56">
        <v>3</v>
      </c>
      <c r="E32" s="57">
        <v>5</v>
      </c>
      <c r="F32" s="58">
        <v>30800</v>
      </c>
      <c r="G32" s="59">
        <f>ROUNDDOWN(F32/1.1,0)/E32</f>
        <v>5600</v>
      </c>
      <c r="H32" s="58">
        <v>10230</v>
      </c>
      <c r="I32" s="59">
        <f>ROUNDDOWN(H32/1.1,0)/E32</f>
        <v>1860</v>
      </c>
      <c r="J32" s="61">
        <f>F32+H32</f>
        <v>41030</v>
      </c>
      <c r="K32" s="62">
        <f>IF(E32="","",J32/E32)</f>
        <v>8206</v>
      </c>
      <c r="L32" s="88"/>
      <c r="M32" s="89"/>
      <c r="N32" s="90"/>
      <c r="O32" s="91" t="e">
        <f t="shared" si="4"/>
        <v>#DIV/0!</v>
      </c>
      <c r="P32" s="90"/>
      <c r="Q32" s="92" t="e">
        <f t="shared" si="5"/>
        <v>#DIV/0!</v>
      </c>
      <c r="R32" s="93">
        <f t="shared" si="47"/>
        <v>0</v>
      </c>
      <c r="S32" s="94" t="str">
        <f t="shared" si="7"/>
        <v/>
      </c>
      <c r="T32" s="70">
        <f t="shared" si="8"/>
        <v>17</v>
      </c>
      <c r="U32" s="71">
        <f t="shared" si="8"/>
        <v>260700</v>
      </c>
      <c r="V32" s="59">
        <f>ROUNDDOWN(U32/1.1,0)/T32</f>
        <v>13941.176470588236</v>
      </c>
      <c r="W32" s="71">
        <f t="shared" si="10"/>
        <v>116160</v>
      </c>
      <c r="X32" s="59">
        <f>ROUNDDOWN(W32/1.1,0)/T32</f>
        <v>6211.7647058823532</v>
      </c>
      <c r="Y32" s="95">
        <f>U32+W32</f>
        <v>376860</v>
      </c>
      <c r="Z32" s="73">
        <f>IF(T32="","",Y32/T32)</f>
        <v>22168.235294117647</v>
      </c>
      <c r="AA32" s="74">
        <f t="shared" si="13"/>
        <v>22</v>
      </c>
      <c r="AB32" s="71">
        <f t="shared" si="13"/>
        <v>291500</v>
      </c>
      <c r="AC32" s="71">
        <f t="shared" si="14"/>
        <v>126390</v>
      </c>
      <c r="AD32" s="75">
        <f t="shared" si="15"/>
        <v>417890</v>
      </c>
      <c r="AE32" s="71">
        <f>IF(AA32="","",AD32/AA32)</f>
        <v>18995</v>
      </c>
      <c r="AF32" s="76">
        <v>99</v>
      </c>
      <c r="AG32" s="77">
        <v>100</v>
      </c>
      <c r="AH32" s="58">
        <v>119020</v>
      </c>
      <c r="AI32" s="59">
        <f>AH32/AG32</f>
        <v>1190.2</v>
      </c>
      <c r="AJ32" s="58">
        <v>22200</v>
      </c>
      <c r="AK32" s="60">
        <f>AJ32/AG32</f>
        <v>222</v>
      </c>
      <c r="AL32" s="96">
        <f>AH32+AJ32</f>
        <v>141220</v>
      </c>
      <c r="AM32" s="79">
        <f>IF(AG32="","",AL32/AG32)</f>
        <v>1412.2</v>
      </c>
      <c r="AN32" s="103">
        <f t="shared" si="32"/>
        <v>22</v>
      </c>
      <c r="AO32" s="97">
        <f t="shared" si="20"/>
        <v>410520</v>
      </c>
      <c r="AP32" s="97">
        <f t="shared" si="21"/>
        <v>148590</v>
      </c>
      <c r="AQ32" s="80">
        <f t="shared" si="22"/>
        <v>559110</v>
      </c>
      <c r="AR32" s="71">
        <f>AV32+AW32+AX32</f>
        <v>0</v>
      </c>
      <c r="AS32" s="97">
        <v>22</v>
      </c>
      <c r="AT32" s="97">
        <v>291500</v>
      </c>
      <c r="AU32" s="97">
        <v>126390</v>
      </c>
      <c r="AV32" s="98">
        <v>0</v>
      </c>
      <c r="AW32" s="98">
        <v>0</v>
      </c>
      <c r="AX32" s="98">
        <v>0</v>
      </c>
      <c r="AY32" s="98">
        <v>0</v>
      </c>
      <c r="AZ32" s="99">
        <f>SUM(AT32:AX32)</f>
        <v>417890</v>
      </c>
      <c r="BA32" s="53">
        <v>26</v>
      </c>
      <c r="BB32" s="83">
        <f>AY32+AZ32</f>
        <v>417890</v>
      </c>
      <c r="BC32" s="84">
        <f t="shared" si="23"/>
        <v>559110</v>
      </c>
      <c r="BO32" s="304">
        <f t="shared" si="35"/>
        <v>3</v>
      </c>
      <c r="BP32" s="57">
        <f t="shared" si="35"/>
        <v>5</v>
      </c>
      <c r="BQ32" s="71">
        <f t="shared" si="35"/>
        <v>30800</v>
      </c>
      <c r="BR32" s="59">
        <f t="shared" si="24"/>
        <v>5600</v>
      </c>
      <c r="BS32" s="71">
        <f t="shared" si="36"/>
        <v>10230</v>
      </c>
      <c r="BT32" s="60">
        <f t="shared" si="25"/>
        <v>1860</v>
      </c>
      <c r="BU32" s="61">
        <f t="shared" si="37"/>
        <v>41030</v>
      </c>
      <c r="BV32" s="62">
        <f t="shared" si="26"/>
        <v>8206</v>
      </c>
      <c r="BW32" s="305">
        <f t="shared" si="38"/>
        <v>17</v>
      </c>
      <c r="BX32" s="71">
        <f t="shared" si="38"/>
        <v>260700</v>
      </c>
      <c r="BY32" s="59">
        <f t="shared" si="27"/>
        <v>13941.176470588236</v>
      </c>
      <c r="BZ32" s="71">
        <f t="shared" si="39"/>
        <v>116160</v>
      </c>
      <c r="CA32" s="60">
        <f t="shared" si="28"/>
        <v>6211.7647058823532</v>
      </c>
      <c r="CB32" s="306">
        <f t="shared" si="40"/>
        <v>376860</v>
      </c>
      <c r="CC32" s="307" t="e">
        <v>#DIV/0!</v>
      </c>
      <c r="CD32" s="308">
        <f t="shared" si="41"/>
        <v>22</v>
      </c>
      <c r="CE32" s="71">
        <f t="shared" si="41"/>
        <v>291500</v>
      </c>
      <c r="CF32" s="60">
        <f t="shared" si="42"/>
        <v>12045.454545454546</v>
      </c>
      <c r="CG32" s="71">
        <f t="shared" si="43"/>
        <v>126390</v>
      </c>
      <c r="CH32" s="60">
        <f t="shared" si="44"/>
        <v>5222.727272727273</v>
      </c>
      <c r="CI32" s="309">
        <f t="shared" si="45"/>
        <v>417890</v>
      </c>
      <c r="CJ32" s="310">
        <f t="shared" si="46"/>
        <v>18995</v>
      </c>
    </row>
    <row r="33" spans="1:88" ht="15.75" customHeight="1">
      <c r="A33" s="53"/>
      <c r="B33" s="101">
        <f t="shared" si="29"/>
        <v>45837</v>
      </c>
      <c r="C33" s="87"/>
      <c r="D33" s="56">
        <v>6</v>
      </c>
      <c r="E33" s="57">
        <v>12</v>
      </c>
      <c r="F33" s="58">
        <v>68300</v>
      </c>
      <c r="G33" s="59">
        <f>ROUNDDOWN(F33/1.1,0)/E33</f>
        <v>5174.166666666667</v>
      </c>
      <c r="H33" s="58">
        <v>25970</v>
      </c>
      <c r="I33" s="59">
        <f>ROUNDDOWN(H33/1.1,0)/E33</f>
        <v>1967.4166666666667</v>
      </c>
      <c r="J33" s="61">
        <f>F33+H33</f>
        <v>94270</v>
      </c>
      <c r="K33" s="62">
        <f>IF(E33="","",J33/E33)</f>
        <v>7855.833333333333</v>
      </c>
      <c r="L33" s="88"/>
      <c r="M33" s="89"/>
      <c r="N33" s="90"/>
      <c r="O33" s="91" t="e">
        <f t="shared" si="4"/>
        <v>#DIV/0!</v>
      </c>
      <c r="P33" s="90"/>
      <c r="Q33" s="92" t="e">
        <f t="shared" si="5"/>
        <v>#DIV/0!</v>
      </c>
      <c r="R33" s="93">
        <f t="shared" si="47"/>
        <v>0</v>
      </c>
      <c r="S33" s="94" t="str">
        <f t="shared" si="7"/>
        <v/>
      </c>
      <c r="T33" s="70">
        <f t="shared" si="8"/>
        <v>6</v>
      </c>
      <c r="U33" s="71">
        <f t="shared" si="8"/>
        <v>83600</v>
      </c>
      <c r="V33" s="59">
        <f>ROUNDDOWN(U33/1.1,0)/T33</f>
        <v>12666.666666666666</v>
      </c>
      <c r="W33" s="71">
        <f t="shared" si="10"/>
        <v>12870</v>
      </c>
      <c r="X33" s="59">
        <f>ROUNDDOWN(W33/1.1,0)/T33</f>
        <v>1950</v>
      </c>
      <c r="Y33" s="95">
        <f>U33+W33</f>
        <v>96470</v>
      </c>
      <c r="Z33" s="73">
        <f>IF(T33="","",Y33/T33)</f>
        <v>16078.333333333334</v>
      </c>
      <c r="AA33" s="74">
        <f t="shared" si="13"/>
        <v>18</v>
      </c>
      <c r="AB33" s="71">
        <f t="shared" si="13"/>
        <v>151900</v>
      </c>
      <c r="AC33" s="71">
        <f t="shared" si="14"/>
        <v>38840</v>
      </c>
      <c r="AD33" s="75">
        <f t="shared" si="15"/>
        <v>190740</v>
      </c>
      <c r="AE33" s="71">
        <f>IF(AA33="","",AD33/AA33)</f>
        <v>10596.666666666666</v>
      </c>
      <c r="AF33" s="76">
        <v>90</v>
      </c>
      <c r="AG33" s="77">
        <v>100</v>
      </c>
      <c r="AH33" s="58">
        <v>116620</v>
      </c>
      <c r="AI33" s="59">
        <f>AH33/AG33</f>
        <v>1166.2</v>
      </c>
      <c r="AJ33" s="58">
        <v>17500</v>
      </c>
      <c r="AK33" s="60">
        <f>AJ33/AG33</f>
        <v>175</v>
      </c>
      <c r="AL33" s="96">
        <f>AH33+AJ33</f>
        <v>134120</v>
      </c>
      <c r="AM33" s="79">
        <f>IF(AG33="","",AL33/AG33)</f>
        <v>1341.2</v>
      </c>
      <c r="AN33" s="103">
        <f t="shared" si="32"/>
        <v>18</v>
      </c>
      <c r="AO33" s="97">
        <f t="shared" si="20"/>
        <v>268520</v>
      </c>
      <c r="AP33" s="97">
        <f t="shared" si="21"/>
        <v>56340</v>
      </c>
      <c r="AQ33" s="80">
        <f t="shared" si="22"/>
        <v>324860</v>
      </c>
      <c r="AR33" s="71">
        <f>AV33+AW33+AX33</f>
        <v>0</v>
      </c>
      <c r="AS33" s="97">
        <v>18</v>
      </c>
      <c r="AT33" s="97">
        <v>151900</v>
      </c>
      <c r="AU33" s="97">
        <v>38840</v>
      </c>
      <c r="AV33" s="98">
        <v>0</v>
      </c>
      <c r="AW33" s="98">
        <v>0</v>
      </c>
      <c r="AX33" s="98">
        <v>0</v>
      </c>
      <c r="AY33" s="98">
        <v>0</v>
      </c>
      <c r="AZ33" s="99">
        <f>SUM(AT33:AX33)</f>
        <v>190740</v>
      </c>
      <c r="BA33" s="53">
        <v>27</v>
      </c>
      <c r="BB33" s="83">
        <f>AY33+AZ33</f>
        <v>190740</v>
      </c>
      <c r="BC33" s="84">
        <f t="shared" si="23"/>
        <v>324860</v>
      </c>
      <c r="BO33" s="304">
        <f t="shared" si="35"/>
        <v>6</v>
      </c>
      <c r="BP33" s="57">
        <f t="shared" si="35"/>
        <v>12</v>
      </c>
      <c r="BQ33" s="71">
        <f t="shared" si="35"/>
        <v>68300</v>
      </c>
      <c r="BR33" s="59">
        <f t="shared" si="24"/>
        <v>5174.166666666667</v>
      </c>
      <c r="BS33" s="71">
        <f t="shared" si="36"/>
        <v>25970</v>
      </c>
      <c r="BT33" s="60">
        <f t="shared" si="25"/>
        <v>1967.4166666666667</v>
      </c>
      <c r="BU33" s="61">
        <f t="shared" si="37"/>
        <v>94270</v>
      </c>
      <c r="BV33" s="62">
        <f t="shared" si="26"/>
        <v>7855.833333333333</v>
      </c>
      <c r="BW33" s="305">
        <f t="shared" si="38"/>
        <v>6</v>
      </c>
      <c r="BX33" s="71">
        <f t="shared" si="38"/>
        <v>83600</v>
      </c>
      <c r="BY33" s="59">
        <f t="shared" si="27"/>
        <v>12666.666666666666</v>
      </c>
      <c r="BZ33" s="71">
        <f t="shared" si="39"/>
        <v>12870</v>
      </c>
      <c r="CA33" s="60">
        <f t="shared" si="28"/>
        <v>1950</v>
      </c>
      <c r="CB33" s="306">
        <f t="shared" si="40"/>
        <v>96470</v>
      </c>
      <c r="CC33" s="307" t="e">
        <v>#DIV/0!</v>
      </c>
      <c r="CD33" s="308">
        <f t="shared" si="41"/>
        <v>18</v>
      </c>
      <c r="CE33" s="71">
        <f t="shared" si="41"/>
        <v>151900</v>
      </c>
      <c r="CF33" s="60">
        <f t="shared" si="42"/>
        <v>7671.666666666667</v>
      </c>
      <c r="CG33" s="71">
        <f t="shared" si="43"/>
        <v>38840</v>
      </c>
      <c r="CH33" s="60">
        <f t="shared" si="44"/>
        <v>1961.6111111111111</v>
      </c>
      <c r="CI33" s="309">
        <f t="shared" si="45"/>
        <v>190740</v>
      </c>
      <c r="CJ33" s="310">
        <f t="shared" si="46"/>
        <v>10596.666666666666</v>
      </c>
    </row>
    <row r="34" spans="1:88" ht="15.75" customHeight="1">
      <c r="A34" s="53"/>
      <c r="B34" s="311">
        <f t="shared" si="29"/>
        <v>45838</v>
      </c>
      <c r="C34" s="87"/>
      <c r="D34" s="56">
        <v>2</v>
      </c>
      <c r="E34" s="57">
        <v>4</v>
      </c>
      <c r="F34" s="58">
        <v>44000</v>
      </c>
      <c r="G34" s="59">
        <f>ROUNDDOWN(F34/1.1,0)/E34</f>
        <v>10000</v>
      </c>
      <c r="H34" s="58">
        <v>8470</v>
      </c>
      <c r="I34" s="59">
        <f>ROUNDDOWN(H34/1.1,0)/E34</f>
        <v>1925</v>
      </c>
      <c r="J34" s="61">
        <f>F34+H34</f>
        <v>52470</v>
      </c>
      <c r="K34" s="62">
        <f>IF(E34="","",J34/E34)</f>
        <v>13117.5</v>
      </c>
      <c r="L34" s="105"/>
      <c r="M34" s="106"/>
      <c r="N34" s="107"/>
      <c r="O34" s="91" t="e">
        <f t="shared" si="4"/>
        <v>#DIV/0!</v>
      </c>
      <c r="P34" s="107"/>
      <c r="Q34" s="92" t="e">
        <f t="shared" si="5"/>
        <v>#DIV/0!</v>
      </c>
      <c r="R34" s="93">
        <f t="shared" si="47"/>
        <v>0</v>
      </c>
      <c r="S34" s="94" t="str">
        <f t="shared" si="7"/>
        <v/>
      </c>
      <c r="T34" s="70">
        <f t="shared" si="8"/>
        <v>4</v>
      </c>
      <c r="U34" s="71">
        <f t="shared" si="8"/>
        <v>61600</v>
      </c>
      <c r="V34" s="59">
        <f>ROUNDDOWN(U34/1.1,0)/T34</f>
        <v>14000</v>
      </c>
      <c r="W34" s="71">
        <f t="shared" si="10"/>
        <v>30140</v>
      </c>
      <c r="X34" s="59">
        <f>ROUNDDOWN(W34/1.1,0)/T34</f>
        <v>6850</v>
      </c>
      <c r="Y34" s="95">
        <f>U34+W34</f>
        <v>91740</v>
      </c>
      <c r="Z34" s="73">
        <f>IF(T34="","",Y34/T34)</f>
        <v>22935</v>
      </c>
      <c r="AA34" s="74">
        <f t="shared" si="13"/>
        <v>8</v>
      </c>
      <c r="AB34" s="71">
        <f t="shared" si="13"/>
        <v>105600</v>
      </c>
      <c r="AC34" s="71">
        <f t="shared" si="14"/>
        <v>38610</v>
      </c>
      <c r="AD34" s="75">
        <f t="shared" si="15"/>
        <v>144210</v>
      </c>
      <c r="AE34" s="71">
        <f>IF(AA34="","",AD34/AA34)</f>
        <v>18026.25</v>
      </c>
      <c r="AF34" s="76">
        <v>55</v>
      </c>
      <c r="AG34" s="77">
        <v>60</v>
      </c>
      <c r="AH34" s="58">
        <v>79230</v>
      </c>
      <c r="AI34" s="59">
        <f>AH34/AG34</f>
        <v>1320.5</v>
      </c>
      <c r="AJ34" s="58">
        <v>5200</v>
      </c>
      <c r="AK34" s="60">
        <f>AJ34/AG34</f>
        <v>86.666666666666671</v>
      </c>
      <c r="AL34" s="96">
        <f>AH34+AJ34</f>
        <v>84430</v>
      </c>
      <c r="AM34" s="79">
        <f>IF(AG34="","",AL34/AG34)</f>
        <v>1407.1666666666667</v>
      </c>
      <c r="AN34" s="103">
        <f t="shared" si="32"/>
        <v>8</v>
      </c>
      <c r="AO34" s="97">
        <f t="shared" si="20"/>
        <v>184830</v>
      </c>
      <c r="AP34" s="97">
        <f t="shared" si="21"/>
        <v>43810</v>
      </c>
      <c r="AQ34" s="80">
        <f t="shared" si="22"/>
        <v>228640</v>
      </c>
      <c r="AR34" s="71">
        <f>AV34+AW34+AX34</f>
        <v>2200</v>
      </c>
      <c r="AS34" s="97">
        <v>8</v>
      </c>
      <c r="AT34" s="97">
        <v>105600</v>
      </c>
      <c r="AU34" s="97">
        <v>38610</v>
      </c>
      <c r="AV34" s="98">
        <v>2200</v>
      </c>
      <c r="AW34" s="98">
        <v>0</v>
      </c>
      <c r="AX34" s="98">
        <v>0</v>
      </c>
      <c r="AY34" s="98">
        <v>3300</v>
      </c>
      <c r="AZ34" s="99">
        <f>SUM(AT34:AX34)</f>
        <v>146410</v>
      </c>
      <c r="BA34" s="53">
        <v>27</v>
      </c>
      <c r="BB34" s="83">
        <f>AY34+AZ34</f>
        <v>149710</v>
      </c>
      <c r="BC34" s="84">
        <f t="shared" si="23"/>
        <v>230840</v>
      </c>
      <c r="BO34" s="304">
        <f t="shared" si="35"/>
        <v>2</v>
      </c>
      <c r="BP34" s="57">
        <f t="shared" si="35"/>
        <v>4</v>
      </c>
      <c r="BQ34" s="71">
        <f t="shared" si="35"/>
        <v>44000</v>
      </c>
      <c r="BR34" s="59">
        <f t="shared" si="24"/>
        <v>10000</v>
      </c>
      <c r="BS34" s="71">
        <f t="shared" si="36"/>
        <v>8470</v>
      </c>
      <c r="BT34" s="60">
        <f t="shared" si="25"/>
        <v>1925</v>
      </c>
      <c r="BU34" s="61">
        <f t="shared" si="37"/>
        <v>52470</v>
      </c>
      <c r="BV34" s="62">
        <f t="shared" si="26"/>
        <v>13117.5</v>
      </c>
      <c r="BW34" s="305">
        <f t="shared" si="38"/>
        <v>4</v>
      </c>
      <c r="BX34" s="71">
        <f t="shared" si="38"/>
        <v>61600</v>
      </c>
      <c r="BY34" s="59">
        <f t="shared" si="27"/>
        <v>14000</v>
      </c>
      <c r="BZ34" s="71">
        <f t="shared" si="39"/>
        <v>30140</v>
      </c>
      <c r="CA34" s="60">
        <f t="shared" si="28"/>
        <v>6850</v>
      </c>
      <c r="CB34" s="306">
        <f t="shared" si="40"/>
        <v>91740</v>
      </c>
      <c r="CC34" s="307" t="e">
        <v>#DIV/0!</v>
      </c>
      <c r="CD34" s="308">
        <f t="shared" si="41"/>
        <v>8</v>
      </c>
      <c r="CE34" s="71">
        <f t="shared" si="41"/>
        <v>105600</v>
      </c>
      <c r="CF34" s="60">
        <f t="shared" si="42"/>
        <v>12000</v>
      </c>
      <c r="CG34" s="71">
        <f t="shared" si="43"/>
        <v>38610</v>
      </c>
      <c r="CH34" s="60">
        <f t="shared" si="44"/>
        <v>4387.5</v>
      </c>
      <c r="CI34" s="309">
        <f t="shared" si="45"/>
        <v>144210</v>
      </c>
      <c r="CJ34" s="310">
        <f t="shared" si="46"/>
        <v>18026.25</v>
      </c>
    </row>
    <row r="35" spans="1:88" ht="15.75" customHeight="1" thickBot="1">
      <c r="A35" s="53"/>
      <c r="B35" s="313"/>
      <c r="C35" s="55"/>
      <c r="D35" s="314"/>
      <c r="E35" s="57"/>
      <c r="F35" s="315"/>
      <c r="G35" s="59"/>
      <c r="H35" s="58"/>
      <c r="I35" s="316"/>
      <c r="J35" s="61"/>
      <c r="K35" s="62"/>
      <c r="L35" s="317"/>
      <c r="M35" s="89"/>
      <c r="N35" s="318"/>
      <c r="O35" s="91"/>
      <c r="P35" s="90"/>
      <c r="Q35" s="92"/>
      <c r="R35" s="319"/>
      <c r="S35" s="94"/>
      <c r="T35" s="70"/>
      <c r="U35" s="320"/>
      <c r="V35" s="59"/>
      <c r="W35" s="71"/>
      <c r="X35" s="316"/>
      <c r="Y35" s="72"/>
      <c r="Z35" s="73"/>
      <c r="AA35" s="321"/>
      <c r="AB35" s="71"/>
      <c r="AC35" s="71"/>
      <c r="AD35" s="75"/>
      <c r="AE35" s="320"/>
      <c r="AF35" s="322"/>
      <c r="AG35" s="77"/>
      <c r="AH35" s="315"/>
      <c r="AI35" s="59"/>
      <c r="AJ35" s="58"/>
      <c r="AK35" s="60"/>
      <c r="AL35" s="78"/>
      <c r="AM35" s="79"/>
      <c r="AN35" s="321"/>
      <c r="AO35" s="71"/>
      <c r="AP35" s="71"/>
      <c r="AQ35" s="80"/>
      <c r="AR35" s="71"/>
      <c r="AS35" s="97"/>
      <c r="AT35" s="97"/>
      <c r="AU35" s="97"/>
      <c r="AV35" s="98"/>
      <c r="AW35" s="98"/>
      <c r="AX35" s="98"/>
      <c r="AY35" s="98"/>
      <c r="AZ35" s="99"/>
      <c r="BA35" s="53"/>
      <c r="BB35" s="83"/>
      <c r="BC35" s="84"/>
      <c r="BO35" s="304">
        <f t="shared" si="35"/>
        <v>0</v>
      </c>
      <c r="BP35" s="57">
        <f t="shared" si="35"/>
        <v>0</v>
      </c>
      <c r="BQ35" s="71">
        <f t="shared" si="35"/>
        <v>0</v>
      </c>
      <c r="BR35" s="59" t="e">
        <f t="shared" si="24"/>
        <v>#DIV/0!</v>
      </c>
      <c r="BS35" s="71">
        <f t="shared" si="36"/>
        <v>0</v>
      </c>
      <c r="BT35" s="60" t="e">
        <f t="shared" si="25"/>
        <v>#DIV/0!</v>
      </c>
      <c r="BU35" s="61">
        <f t="shared" si="37"/>
        <v>0</v>
      </c>
      <c r="BV35" s="62" t="e">
        <f t="shared" si="26"/>
        <v>#DIV/0!</v>
      </c>
      <c r="BW35" s="305">
        <f t="shared" si="38"/>
        <v>0</v>
      </c>
      <c r="BX35" s="71">
        <f t="shared" si="38"/>
        <v>0</v>
      </c>
      <c r="BY35" s="59" t="e">
        <f t="shared" si="27"/>
        <v>#DIV/0!</v>
      </c>
      <c r="BZ35" s="71">
        <f t="shared" si="39"/>
        <v>0</v>
      </c>
      <c r="CA35" s="60" t="e">
        <f t="shared" si="28"/>
        <v>#DIV/0!</v>
      </c>
      <c r="CB35" s="306">
        <f t="shared" si="40"/>
        <v>0</v>
      </c>
      <c r="CC35" s="307" t="e">
        <v>#DIV/0!</v>
      </c>
      <c r="CD35" s="308">
        <f t="shared" si="41"/>
        <v>0</v>
      </c>
      <c r="CE35" s="71">
        <f t="shared" si="41"/>
        <v>0</v>
      </c>
      <c r="CF35" s="60" t="e">
        <f t="shared" si="42"/>
        <v>#DIV/0!</v>
      </c>
      <c r="CG35" s="71">
        <f t="shared" si="43"/>
        <v>0</v>
      </c>
      <c r="CH35" s="60" t="e">
        <f t="shared" si="44"/>
        <v>#DIV/0!</v>
      </c>
      <c r="CI35" s="309">
        <f t="shared" si="45"/>
        <v>0</v>
      </c>
      <c r="CJ35" s="310" t="e">
        <f t="shared" si="46"/>
        <v>#DIV/0!</v>
      </c>
    </row>
    <row r="36" spans="1:88" ht="15.75" customHeight="1" thickTop="1" thickBot="1">
      <c r="A36" s="114"/>
      <c r="B36" s="115" t="s">
        <v>23</v>
      </c>
      <c r="C36" s="116">
        <f>SUM(C5:C34)</f>
        <v>0</v>
      </c>
      <c r="D36" s="117">
        <f>SUM(D5:D34)</f>
        <v>59</v>
      </c>
      <c r="E36" s="118">
        <f>SUM(E5:E34)</f>
        <v>118</v>
      </c>
      <c r="F36" s="119">
        <f>SUM(F5:F34)</f>
        <v>824100</v>
      </c>
      <c r="G36" s="120">
        <f>F36/E36</f>
        <v>6983.8983050847455</v>
      </c>
      <c r="H36" s="121">
        <f>SUM(H5:H34)</f>
        <v>228780</v>
      </c>
      <c r="I36" s="122">
        <f>H36/E36</f>
        <v>1938.8135593220338</v>
      </c>
      <c r="J36" s="123">
        <f>SUM(J5:J34)</f>
        <v>1052880</v>
      </c>
      <c r="K36" s="124">
        <f>J36/E36</f>
        <v>8922.7118644067796</v>
      </c>
      <c r="L36" s="125">
        <f>SUM(L5:L34)</f>
        <v>0</v>
      </c>
      <c r="M36" s="126">
        <f>SUM(M5:M34)</f>
        <v>0</v>
      </c>
      <c r="N36" s="127">
        <f>SUM(N5:N34)</f>
        <v>0</v>
      </c>
      <c r="O36" s="127" t="e">
        <f t="shared" si="4"/>
        <v>#DIV/0!</v>
      </c>
      <c r="P36" s="128">
        <f>SUM(P5:P34)</f>
        <v>0</v>
      </c>
      <c r="Q36" s="129" t="e">
        <f t="shared" si="5"/>
        <v>#DIV/0!</v>
      </c>
      <c r="R36" s="130">
        <f>SUM(R5:R34)</f>
        <v>0</v>
      </c>
      <c r="S36" s="131" t="e">
        <f>R36/M36</f>
        <v>#DIV/0!</v>
      </c>
      <c r="T36" s="118">
        <f>SUM(T5:T34)</f>
        <v>150</v>
      </c>
      <c r="U36" s="119">
        <f>SUM(U5:U34)</f>
        <v>2144750</v>
      </c>
      <c r="V36" s="120">
        <f>U36/T36</f>
        <v>14298.333333333334</v>
      </c>
      <c r="W36" s="132">
        <f>SUM(W5:W34)</f>
        <v>967040</v>
      </c>
      <c r="X36" s="122">
        <f>W36/T36</f>
        <v>6446.9333333333334</v>
      </c>
      <c r="Y36" s="133">
        <f>SUM(Y5:Y34)</f>
        <v>3111790</v>
      </c>
      <c r="Z36" s="134">
        <f>Y36/T36</f>
        <v>20745.266666666666</v>
      </c>
      <c r="AA36" s="118">
        <f>SUM(AA5:AA34)</f>
        <v>268</v>
      </c>
      <c r="AB36" s="135">
        <f>SUM(AB5:AB34)</f>
        <v>2968850</v>
      </c>
      <c r="AC36" s="132">
        <f>SUM(AC5:AC34)</f>
        <v>1195820</v>
      </c>
      <c r="AD36" s="136">
        <f>SUM(AD5:AD34)</f>
        <v>4164670</v>
      </c>
      <c r="AE36" s="137">
        <f>AD36/AA36</f>
        <v>15539.813432835821</v>
      </c>
      <c r="AF36" s="117">
        <f>SUM(AF5:AF34)</f>
        <v>2306</v>
      </c>
      <c r="AG36" s="118">
        <f>SUM(AG5:AG34)</f>
        <v>2452</v>
      </c>
      <c r="AH36" s="138">
        <f>SUM(AH5:AH34)</f>
        <v>2810580</v>
      </c>
      <c r="AI36" s="120"/>
      <c r="AJ36" s="121">
        <f>SUM(AJ5:AJ34)</f>
        <v>508150</v>
      </c>
      <c r="AK36" s="122"/>
      <c r="AL36" s="139">
        <f>SUM(AL5:AL34)</f>
        <v>3318730</v>
      </c>
      <c r="AM36" s="140">
        <f>AL36/AG36</f>
        <v>1353.4787928221861</v>
      </c>
      <c r="AN36" s="118">
        <f t="shared" ref="AN36:AZ36" si="49">SUM(AN5:AN34)</f>
        <v>268</v>
      </c>
      <c r="AO36" s="135">
        <f t="shared" si="49"/>
        <v>5779430</v>
      </c>
      <c r="AP36" s="132">
        <f t="shared" si="49"/>
        <v>1703970</v>
      </c>
      <c r="AQ36" s="133">
        <f t="shared" si="49"/>
        <v>7483400</v>
      </c>
      <c r="AR36" s="121">
        <f t="shared" si="49"/>
        <v>13800</v>
      </c>
      <c r="AS36" s="141">
        <f t="shared" si="49"/>
        <v>268</v>
      </c>
      <c r="AT36" s="141">
        <f t="shared" si="49"/>
        <v>2968850</v>
      </c>
      <c r="AU36" s="141">
        <f t="shared" si="49"/>
        <v>1195820</v>
      </c>
      <c r="AV36" s="141">
        <f t="shared" si="49"/>
        <v>8800</v>
      </c>
      <c r="AW36" s="141">
        <f t="shared" si="49"/>
        <v>0</v>
      </c>
      <c r="AX36" s="141">
        <f t="shared" si="49"/>
        <v>5000</v>
      </c>
      <c r="AY36" s="141">
        <f t="shared" si="49"/>
        <v>16600</v>
      </c>
      <c r="AZ36" s="141">
        <f t="shared" si="49"/>
        <v>4178470</v>
      </c>
      <c r="BA36" s="114"/>
      <c r="BB36" s="142">
        <f>SUM(BB5:BB34)</f>
        <v>4195070</v>
      </c>
      <c r="BO36" s="323">
        <f>SUM(BO5:BO35)</f>
        <v>59</v>
      </c>
      <c r="BP36" s="118">
        <f>SUM(BP5:BP35)</f>
        <v>118</v>
      </c>
      <c r="BQ36" s="119">
        <f>SUM(BQ5:BQ35)</f>
        <v>824100</v>
      </c>
      <c r="BR36" s="120">
        <f>BQ36/BP36</f>
        <v>6983.8983050847455</v>
      </c>
      <c r="BS36" s="121">
        <f>SUM(BS5:BS35)</f>
        <v>228780</v>
      </c>
      <c r="BT36" s="122">
        <f>BS36/BP36</f>
        <v>1938.8135593220338</v>
      </c>
      <c r="BU36" s="123">
        <f>SUM(BU5:BU35)</f>
        <v>1052880</v>
      </c>
      <c r="BV36" s="324">
        <f>BU36/BP36</f>
        <v>8922.7118644067796</v>
      </c>
      <c r="BW36" s="325">
        <f>SUM(BW5:BW35)</f>
        <v>150</v>
      </c>
      <c r="BX36" s="119">
        <f>SUM(BX5:BX35)</f>
        <v>2144750</v>
      </c>
      <c r="BY36" s="120">
        <f>BX36/BW36</f>
        <v>14298.333333333334</v>
      </c>
      <c r="BZ36" s="132">
        <f>SUM(BZ5:BZ35)</f>
        <v>967040</v>
      </c>
      <c r="CA36" s="122">
        <f>BZ36/BW36</f>
        <v>6446.9333333333334</v>
      </c>
      <c r="CB36" s="123">
        <f>SUM(CB5:CB35)</f>
        <v>3111790</v>
      </c>
      <c r="CC36" s="326">
        <v>20391.534090909092</v>
      </c>
      <c r="CD36" s="325">
        <f>SUM(CD5:CD35)</f>
        <v>268</v>
      </c>
      <c r="CE36" s="119">
        <f>SUM(CE5:CE35)</f>
        <v>2968850</v>
      </c>
      <c r="CF36" s="120">
        <f>ROUNDDOWN(CE36/1.1,0)/CD36</f>
        <v>10070.723880597016</v>
      </c>
      <c r="CG36" s="119">
        <f>SUM(CG5:CG35)</f>
        <v>1195820</v>
      </c>
      <c r="CH36" s="122">
        <f>ROUNDDOWN(CG36/1.1,0)/CD36</f>
        <v>4056.376865671642</v>
      </c>
      <c r="CI36" s="133">
        <f>SUM(CI5:CI35)</f>
        <v>4164670</v>
      </c>
      <c r="CJ36" s="327">
        <f>IF(CD36="","",CI36/CD36)</f>
        <v>15539.813432835821</v>
      </c>
    </row>
    <row r="37" spans="1:88" ht="15.75" customHeight="1" thickTop="1" thickBot="1">
      <c r="A37" s="114"/>
      <c r="B37" s="143"/>
      <c r="C37" s="144"/>
      <c r="D37" s="114"/>
      <c r="E37" s="145" t="s">
        <v>36</v>
      </c>
      <c r="F37" s="146">
        <f>F36/1.1</f>
        <v>749181.81818181812</v>
      </c>
      <c r="G37" s="147">
        <f>F37/E36</f>
        <v>6348.9984591679504</v>
      </c>
      <c r="H37" s="148">
        <f>H36/1.1</f>
        <v>207981.81818181818</v>
      </c>
      <c r="I37" s="147">
        <f>H37/E36</f>
        <v>1762.5577812018489</v>
      </c>
      <c r="J37" s="141">
        <f>J36/1.1</f>
        <v>957163.63636363624</v>
      </c>
      <c r="K37" s="149">
        <f>G37+I37</f>
        <v>8111.5562403697995</v>
      </c>
      <c r="L37" s="150"/>
      <c r="M37" s="151" t="s">
        <v>36</v>
      </c>
      <c r="N37" s="152">
        <f>N36/1.1</f>
        <v>0</v>
      </c>
      <c r="O37" s="153" t="e">
        <f>N37/M36</f>
        <v>#DIV/0!</v>
      </c>
      <c r="P37" s="153">
        <f>P36/1.1</f>
        <v>0</v>
      </c>
      <c r="Q37" s="153" t="e">
        <f>P37/M36</f>
        <v>#DIV/0!</v>
      </c>
      <c r="R37" s="154">
        <f>R36/1.1</f>
        <v>0</v>
      </c>
      <c r="S37" s="155" t="e">
        <f>R37/M36</f>
        <v>#DIV/0!</v>
      </c>
      <c r="T37" s="145" t="s">
        <v>36</v>
      </c>
      <c r="U37" s="146">
        <f>U36/1.1</f>
        <v>1949772.7272727271</v>
      </c>
      <c r="V37" s="147">
        <f>U37/T36</f>
        <v>12998.484848484846</v>
      </c>
      <c r="W37" s="146">
        <f>W36/1.1</f>
        <v>879127.27272727271</v>
      </c>
      <c r="X37" s="147">
        <f>W37/T36</f>
        <v>5860.848484848485</v>
      </c>
      <c r="Y37" s="147">
        <f>Y36/1.1</f>
        <v>2828900</v>
      </c>
      <c r="Z37" s="156">
        <f>Y37/T36</f>
        <v>18859.333333333332</v>
      </c>
      <c r="AA37" s="145" t="s">
        <v>36</v>
      </c>
      <c r="AB37" s="146">
        <f>AB36/1.1</f>
        <v>2698954.5454545454</v>
      </c>
      <c r="AC37" s="146">
        <f>AC36/1.1</f>
        <v>1087109.0909090908</v>
      </c>
      <c r="AD37" s="157">
        <f>AD36/1.1</f>
        <v>3786063.6363636362</v>
      </c>
      <c r="AE37" s="137">
        <f>AD37/AA36</f>
        <v>14127.103120759837</v>
      </c>
      <c r="AF37" s="158"/>
      <c r="AG37" s="145" t="s">
        <v>36</v>
      </c>
      <c r="AH37" s="146">
        <f>AH36/1.1</f>
        <v>2555072.7272727271</v>
      </c>
      <c r="AI37" s="148">
        <f>AH37/AG36</f>
        <v>1042.0361856740321</v>
      </c>
      <c r="AJ37" s="148">
        <f>AJ36/1.1</f>
        <v>461954.54545454541</v>
      </c>
      <c r="AK37" s="148">
        <f>AJ37/AG36</f>
        <v>188.39908052795491</v>
      </c>
      <c r="AL37" s="147">
        <f>AL36/1.1</f>
        <v>3017027.2727272725</v>
      </c>
      <c r="AM37" s="159">
        <f>AL37/AG36</f>
        <v>1230.4352662019871</v>
      </c>
      <c r="AN37" s="145" t="s">
        <v>36</v>
      </c>
      <c r="AO37" s="160">
        <f>AO36/1.1</f>
        <v>5254027.2727272725</v>
      </c>
      <c r="AP37" s="146">
        <f>AP36/1.1</f>
        <v>1549063.6363636362</v>
      </c>
      <c r="AQ37" s="147">
        <f>AQ36/1.1</f>
        <v>6803090.9090909082</v>
      </c>
      <c r="AR37" s="148">
        <f>AR36/1.1</f>
        <v>12545.454545454544</v>
      </c>
      <c r="AS37" s="114"/>
      <c r="AT37" s="114"/>
      <c r="AU37" s="114"/>
      <c r="AV37" s="148">
        <f>AV36/1.1</f>
        <v>7999.9999999999991</v>
      </c>
      <c r="AW37" s="161"/>
      <c r="AX37" s="114"/>
      <c r="AY37" s="114"/>
      <c r="AZ37" s="148">
        <f>AZ36/1.1</f>
        <v>3798609.0909090908</v>
      </c>
      <c r="BA37" s="114"/>
      <c r="BB37" s="161"/>
      <c r="BO37" s="328"/>
      <c r="BP37" s="329" t="s">
        <v>36</v>
      </c>
      <c r="BQ37" s="330">
        <f>BQ36/1.1</f>
        <v>749181.81818181812</v>
      </c>
      <c r="BR37" s="331">
        <f>BQ37/BP36</f>
        <v>6348.9984591679504</v>
      </c>
      <c r="BS37" s="332">
        <f>BS36/1.1</f>
        <v>207981.81818181818</v>
      </c>
      <c r="BT37" s="331">
        <f>BS37/BP36</f>
        <v>1762.5577812018489</v>
      </c>
      <c r="BU37" s="333">
        <f>BU36/1.1</f>
        <v>957163.63636363624</v>
      </c>
      <c r="BV37" s="334">
        <f>BR37+BT37</f>
        <v>8111.5562403697995</v>
      </c>
      <c r="BW37" s="335" t="s">
        <v>36</v>
      </c>
      <c r="BX37" s="330">
        <f>BX36/1.1</f>
        <v>1949772.7272727271</v>
      </c>
      <c r="BY37" s="331">
        <f>BX37/BW36</f>
        <v>12998.484848484846</v>
      </c>
      <c r="BZ37" s="332">
        <f>BZ36/1.1</f>
        <v>879127.27272727271</v>
      </c>
      <c r="CA37" s="331">
        <f>BZ37/BW36</f>
        <v>5860.848484848485</v>
      </c>
      <c r="CB37" s="333">
        <f>CB36/1.1</f>
        <v>2828900</v>
      </c>
      <c r="CC37" s="336">
        <v>18537.758264462809</v>
      </c>
      <c r="CD37" s="335" t="s">
        <v>36</v>
      </c>
      <c r="CE37" s="330">
        <f>CE36/1.1</f>
        <v>2698954.5454545454</v>
      </c>
      <c r="CF37" s="331">
        <f>CE37/CD36</f>
        <v>10070.725915875169</v>
      </c>
      <c r="CG37" s="330">
        <f>CG36/1.1</f>
        <v>1087109.0909090908</v>
      </c>
      <c r="CH37" s="331">
        <f>CG37/CD36</f>
        <v>4056.3772048846672</v>
      </c>
      <c r="CI37" s="331">
        <f>CI36/1.1</f>
        <v>3786063.6363636362</v>
      </c>
      <c r="CJ37" s="337">
        <f>CF37+CH37</f>
        <v>14127.103120759837</v>
      </c>
    </row>
    <row r="38" spans="1:88" ht="15.75" customHeight="1">
      <c r="A38" s="162"/>
      <c r="B38" s="163"/>
      <c r="C38" s="164"/>
      <c r="D38" s="162"/>
      <c r="E38" s="165" t="s">
        <v>37</v>
      </c>
      <c r="F38" s="166">
        <f>E36/G38</f>
        <v>6.2105263157894735</v>
      </c>
      <c r="G38" s="167">
        <v>19</v>
      </c>
      <c r="H38" s="168" t="s">
        <v>38</v>
      </c>
      <c r="I38" s="166"/>
      <c r="J38" s="169" t="s">
        <v>39</v>
      </c>
      <c r="K38" s="170">
        <f>J37/G38</f>
        <v>50377.033492822957</v>
      </c>
      <c r="L38" s="171"/>
      <c r="O38" s="173">
        <f>G38</f>
        <v>19</v>
      </c>
      <c r="P38" s="174"/>
      <c r="Q38" s="174"/>
      <c r="R38" s="174"/>
      <c r="S38" s="174"/>
      <c r="T38" s="162"/>
      <c r="U38" s="165" t="s">
        <v>37</v>
      </c>
      <c r="V38" s="166">
        <f>T36/W38</f>
        <v>7.8947368421052628</v>
      </c>
      <c r="W38" s="167">
        <f>G38</f>
        <v>19</v>
      </c>
      <c r="X38" s="168" t="s">
        <v>38</v>
      </c>
      <c r="Y38" s="166"/>
      <c r="Z38" s="169" t="s">
        <v>39</v>
      </c>
      <c r="AA38" s="175">
        <f>Y37/W38</f>
        <v>148889.47368421053</v>
      </c>
      <c r="AB38" s="162"/>
      <c r="AC38" s="162"/>
      <c r="AD38" s="162"/>
      <c r="AE38" s="171"/>
      <c r="AF38" s="176"/>
      <c r="AG38" s="162"/>
      <c r="AH38" s="162"/>
      <c r="AI38" s="177">
        <v>30</v>
      </c>
      <c r="AJ38" s="168" t="s">
        <v>38</v>
      </c>
      <c r="AK38" s="166"/>
      <c r="AL38" s="166"/>
      <c r="AM38" s="169" t="s">
        <v>39</v>
      </c>
      <c r="AN38" s="178">
        <f>AL37/AI38</f>
        <v>100567.57575757575</v>
      </c>
      <c r="AO38" s="162"/>
      <c r="AP38" s="162"/>
      <c r="AQ38" s="162" t="s">
        <v>40</v>
      </c>
      <c r="AR38" s="171"/>
      <c r="AS38" s="171">
        <f>AQ37/AT38</f>
        <v>2501.1363636363635</v>
      </c>
      <c r="AT38" s="179">
        <f>AN36+AG36</f>
        <v>2720</v>
      </c>
      <c r="AU38" s="162" t="s">
        <v>41</v>
      </c>
      <c r="AV38" s="162"/>
      <c r="AW38" s="162"/>
      <c r="AX38" s="171"/>
      <c r="AY38" s="162"/>
      <c r="AZ38" s="162"/>
      <c r="BA38" s="171"/>
      <c r="BB38" s="162"/>
      <c r="BC38" s="171">
        <f>BB36/1.1</f>
        <v>3813699.9999999995</v>
      </c>
      <c r="CB38" s="169"/>
      <c r="CC38" s="175"/>
      <c r="CD38" s="162"/>
      <c r="CE38" s="165"/>
      <c r="CF38" s="166"/>
      <c r="CH38" s="168"/>
      <c r="CI38" s="169"/>
      <c r="CJ38" s="175"/>
    </row>
    <row r="39" spans="1:88" ht="15.75" customHeight="1" thickBot="1">
      <c r="A39" s="162"/>
      <c r="B39" s="163"/>
      <c r="C39" s="164"/>
      <c r="D39" s="162" t="s">
        <v>42</v>
      </c>
      <c r="E39" s="162"/>
      <c r="F39" s="162"/>
      <c r="G39" s="162"/>
      <c r="H39" s="162"/>
      <c r="I39" s="162"/>
      <c r="J39" s="162"/>
      <c r="K39" s="162"/>
      <c r="L39" s="162" t="s">
        <v>43</v>
      </c>
      <c r="T39" s="162" t="s">
        <v>44</v>
      </c>
      <c r="U39" s="162"/>
      <c r="V39" s="162"/>
      <c r="W39" s="162"/>
      <c r="X39" s="162"/>
      <c r="Y39" s="162"/>
      <c r="Z39" s="162"/>
      <c r="AA39" s="162"/>
      <c r="AB39" s="162"/>
      <c r="AC39" s="162"/>
      <c r="AD39" s="171"/>
      <c r="AE39" s="180"/>
      <c r="AF39" s="172" t="s">
        <v>45</v>
      </c>
      <c r="AG39" s="162"/>
      <c r="AH39" s="162"/>
      <c r="AI39" s="162"/>
      <c r="AJ39" s="162"/>
      <c r="AK39" s="162"/>
      <c r="AL39" s="166"/>
      <c r="AM39" s="166"/>
      <c r="AN39" s="181">
        <f>AG36/AI38</f>
        <v>81.733333333333334</v>
      </c>
      <c r="AO39" s="181"/>
      <c r="AP39" s="162"/>
      <c r="AQ39" s="164"/>
      <c r="AR39" s="162"/>
      <c r="AS39" s="162"/>
      <c r="AT39" s="162"/>
      <c r="AU39" s="162"/>
      <c r="AV39" s="162"/>
      <c r="AW39" s="162"/>
      <c r="AX39" s="162"/>
      <c r="AY39" s="162"/>
      <c r="AZ39" s="162"/>
      <c r="BA39" s="162"/>
      <c r="BB39" s="162"/>
      <c r="BC39" s="162"/>
      <c r="BD39" s="162"/>
      <c r="BE39" s="162"/>
      <c r="BF39" s="171"/>
      <c r="BG39" s="162"/>
      <c r="BH39" s="171"/>
    </row>
    <row r="40" spans="1:88" ht="15.75" customHeight="1">
      <c r="A40" s="162"/>
      <c r="B40" s="163"/>
      <c r="C40" s="164"/>
      <c r="D40" s="182"/>
      <c r="E40" s="183" t="s">
        <v>46</v>
      </c>
      <c r="F40" s="183" t="s">
        <v>47</v>
      </c>
      <c r="G40" s="183" t="s">
        <v>48</v>
      </c>
      <c r="H40" s="183" t="s">
        <v>49</v>
      </c>
      <c r="I40" s="184" t="s">
        <v>50</v>
      </c>
      <c r="J40" s="183" t="s">
        <v>51</v>
      </c>
      <c r="K40" s="185" t="s">
        <v>52</v>
      </c>
      <c r="L40" s="182"/>
      <c r="M40" s="183" t="s">
        <v>46</v>
      </c>
      <c r="N40" s="183" t="s">
        <v>47</v>
      </c>
      <c r="O40" s="183" t="s">
        <v>48</v>
      </c>
      <c r="P40" s="183" t="s">
        <v>49</v>
      </c>
      <c r="Q40" s="184" t="s">
        <v>50</v>
      </c>
      <c r="R40" s="183" t="s">
        <v>51</v>
      </c>
      <c r="S40" s="185" t="s">
        <v>52</v>
      </c>
      <c r="T40" s="183" t="s">
        <v>46</v>
      </c>
      <c r="U40" s="183" t="s">
        <v>47</v>
      </c>
      <c r="V40" s="183" t="s">
        <v>48</v>
      </c>
      <c r="W40" s="183" t="s">
        <v>49</v>
      </c>
      <c r="X40" s="184" t="s">
        <v>50</v>
      </c>
      <c r="Y40" s="183" t="s">
        <v>51</v>
      </c>
      <c r="Z40" s="185" t="s">
        <v>52</v>
      </c>
      <c r="AA40" s="162"/>
      <c r="AB40" s="162"/>
      <c r="AC40" s="162"/>
      <c r="AD40" s="186"/>
      <c r="AE40" s="162"/>
      <c r="AF40" s="182"/>
      <c r="AG40" s="183" t="s">
        <v>46</v>
      </c>
      <c r="AH40" s="183" t="s">
        <v>47</v>
      </c>
      <c r="AI40" s="183" t="s">
        <v>48</v>
      </c>
      <c r="AJ40" s="183" t="s">
        <v>49</v>
      </c>
      <c r="AK40" s="184" t="s">
        <v>50</v>
      </c>
      <c r="AL40" s="183" t="s">
        <v>51</v>
      </c>
      <c r="AM40" s="185" t="s">
        <v>52</v>
      </c>
      <c r="AN40" s="172"/>
      <c r="AO40" s="164"/>
      <c r="AP40" s="162"/>
      <c r="AQ40" s="164"/>
      <c r="AR40" s="162"/>
      <c r="AS40" s="162"/>
      <c r="AT40" s="162"/>
      <c r="AU40" s="162"/>
      <c r="AV40" s="162"/>
      <c r="AW40" s="162"/>
      <c r="AX40" s="162"/>
      <c r="AY40" s="162"/>
      <c r="AZ40" s="162"/>
      <c r="BA40" s="162"/>
      <c r="BB40" s="162"/>
      <c r="BC40" s="162"/>
      <c r="BD40" s="162"/>
      <c r="BE40" s="162"/>
      <c r="BF40" s="171"/>
      <c r="BG40" s="162"/>
      <c r="BH40" s="171"/>
    </row>
    <row r="41" spans="1:88" ht="15.75" customHeight="1">
      <c r="A41" s="162"/>
      <c r="B41" s="163"/>
      <c r="C41" s="164"/>
      <c r="D41" s="187" t="s">
        <v>53</v>
      </c>
      <c r="E41" s="188">
        <f>E6+E13+E20+E27+E34</f>
        <v>8</v>
      </c>
      <c r="F41" s="171">
        <f>F6+F13+F20+F27+F34</f>
        <v>66000</v>
      </c>
      <c r="G41" s="189">
        <f>F41/E41</f>
        <v>8250</v>
      </c>
      <c r="H41" s="171">
        <f>H6+H13+H20+H27+H34</f>
        <v>15070</v>
      </c>
      <c r="I41" s="190">
        <f>H41/E41</f>
        <v>1883.75</v>
      </c>
      <c r="J41" s="171">
        <f>J6+J13+J20+J27+J34</f>
        <v>81070</v>
      </c>
      <c r="K41" s="191">
        <f>J41/E41</f>
        <v>10133.75</v>
      </c>
      <c r="L41" s="187" t="s">
        <v>53</v>
      </c>
      <c r="M41" s="188">
        <f>M6+M13+M20+M27+M34</f>
        <v>0</v>
      </c>
      <c r="N41" s="171">
        <f>N6+N13+N20+N27+N34</f>
        <v>0</v>
      </c>
      <c r="O41" s="189" t="e">
        <f>N41/M41</f>
        <v>#DIV/0!</v>
      </c>
      <c r="P41" s="171">
        <f>P6+P13+P20+P27+P34</f>
        <v>0</v>
      </c>
      <c r="Q41" s="190" t="e">
        <f>P41/M41</f>
        <v>#DIV/0!</v>
      </c>
      <c r="R41" s="171">
        <f>R6+R13+R20+R27+R34</f>
        <v>0</v>
      </c>
      <c r="S41" s="191" t="e">
        <f>R41/M41</f>
        <v>#DIV/0!</v>
      </c>
      <c r="T41" s="188">
        <f>T6+T13+T20+T27+T34</f>
        <v>18</v>
      </c>
      <c r="U41" s="171">
        <f>U6+U13+U20+U27+U34</f>
        <v>292380</v>
      </c>
      <c r="V41" s="189">
        <f>U41/T41</f>
        <v>16243.333333333334</v>
      </c>
      <c r="W41" s="171">
        <f>W6+W13+W20+W27+W34</f>
        <v>163460</v>
      </c>
      <c r="X41" s="190">
        <f>W41/T41</f>
        <v>9081.1111111111113</v>
      </c>
      <c r="Y41" s="171">
        <f>Y6+Y13+Y20+Y27+Y34</f>
        <v>455840</v>
      </c>
      <c r="Z41" s="191">
        <f>Y41/T41</f>
        <v>25324.444444444445</v>
      </c>
      <c r="AA41" s="162"/>
      <c r="AB41" s="162"/>
      <c r="AC41" s="162"/>
      <c r="AD41" s="162"/>
      <c r="AE41" s="162"/>
      <c r="AF41" s="187" t="s">
        <v>53</v>
      </c>
      <c r="AG41" s="188">
        <f>AG6+AG13+AG20+AG27+AG34</f>
        <v>286</v>
      </c>
      <c r="AH41" s="171">
        <f>AH6+AH13+AH20+AH27+AH34</f>
        <v>383930</v>
      </c>
      <c r="AI41" s="189">
        <f>AH41/AG41</f>
        <v>1342.4125874125873</v>
      </c>
      <c r="AJ41" s="171">
        <f>AJ6+AJ13+AJ20+AJ27+AJ34</f>
        <v>33000</v>
      </c>
      <c r="AK41" s="190">
        <f>AJ41/AG41</f>
        <v>115.38461538461539</v>
      </c>
      <c r="AL41" s="171">
        <f>AL6+AL13+AL20+AL27+AL34</f>
        <v>416930</v>
      </c>
      <c r="AM41" s="191">
        <f>AL41/AG41</f>
        <v>1457.7972027972028</v>
      </c>
      <c r="AN41" s="172"/>
      <c r="AO41" s="164"/>
      <c r="AP41" s="162"/>
      <c r="AQ41" s="164"/>
      <c r="AR41" s="162"/>
      <c r="AS41" s="162"/>
      <c r="AT41" s="162"/>
      <c r="AU41" s="162"/>
      <c r="AV41" s="162"/>
      <c r="AW41" s="162"/>
      <c r="AX41" s="162"/>
      <c r="AY41" s="162"/>
      <c r="AZ41" s="162"/>
      <c r="BA41" s="162"/>
      <c r="BB41" s="162"/>
      <c r="BC41" s="162"/>
      <c r="BD41" s="162"/>
      <c r="BE41" s="162"/>
      <c r="BF41" s="171"/>
      <c r="BG41" s="162"/>
      <c r="BH41" s="171"/>
    </row>
    <row r="42" spans="1:88" ht="15.75" customHeight="1">
      <c r="A42" s="162"/>
      <c r="B42" s="163"/>
      <c r="C42" s="164"/>
      <c r="D42" s="187" t="s">
        <v>54</v>
      </c>
      <c r="E42" s="188">
        <f>E7+E14+E21+E28</f>
        <v>15</v>
      </c>
      <c r="F42" s="171">
        <f>F7+F14+F21+F28</f>
        <v>99000</v>
      </c>
      <c r="G42" s="189">
        <f>F42/E42</f>
        <v>6600</v>
      </c>
      <c r="H42" s="171">
        <f>H7+H14+H21+H28</f>
        <v>18870</v>
      </c>
      <c r="I42" s="190">
        <f t="shared" ref="I42:I47" si="50">H42/E42</f>
        <v>1258</v>
      </c>
      <c r="J42" s="171">
        <f>J7+J14+J21+J28</f>
        <v>117870</v>
      </c>
      <c r="K42" s="191">
        <f t="shared" ref="K42:K47" si="51">J42/E42</f>
        <v>7858</v>
      </c>
      <c r="L42" s="187" t="s">
        <v>54</v>
      </c>
      <c r="M42" s="188">
        <f>M7+M14+M21+M28</f>
        <v>0</v>
      </c>
      <c r="N42" s="171">
        <f>N7+N14+N21+N28</f>
        <v>0</v>
      </c>
      <c r="O42" s="189" t="e">
        <f>N42/M42</f>
        <v>#DIV/0!</v>
      </c>
      <c r="P42" s="171">
        <f>P7+P14+P21+P28</f>
        <v>0</v>
      </c>
      <c r="Q42" s="190" t="e">
        <f t="shared" ref="Q42:Q47" si="52">P42/M42</f>
        <v>#DIV/0!</v>
      </c>
      <c r="R42" s="171">
        <f>R7+R14+R21+R28</f>
        <v>0</v>
      </c>
      <c r="S42" s="191" t="e">
        <f t="shared" ref="S42:S47" si="53">R42/M42</f>
        <v>#DIV/0!</v>
      </c>
      <c r="T42" s="188">
        <f>T7+T14+T21+T28</f>
        <v>2</v>
      </c>
      <c r="U42" s="171">
        <f>U7+U14+U21+U28</f>
        <v>24200</v>
      </c>
      <c r="V42" s="189">
        <f>U42/T42</f>
        <v>12100</v>
      </c>
      <c r="W42" s="171">
        <f>W7+W14+W21+W28</f>
        <v>4400</v>
      </c>
      <c r="X42" s="190">
        <f t="shared" ref="X42:X47" si="54">W42/T42</f>
        <v>2200</v>
      </c>
      <c r="Y42" s="171">
        <f>Y7+Y14+Y21+Y28</f>
        <v>28600</v>
      </c>
      <c r="Z42" s="191">
        <f t="shared" ref="Z42:Z47" si="55">Y42/T42</f>
        <v>14300</v>
      </c>
      <c r="AA42" s="162"/>
      <c r="AB42" s="162"/>
      <c r="AC42" s="162"/>
      <c r="AD42" s="162"/>
      <c r="AE42" s="162"/>
      <c r="AF42" s="187" t="s">
        <v>54</v>
      </c>
      <c r="AG42" s="188">
        <f>AG7+AG14+AG21+AG28</f>
        <v>231</v>
      </c>
      <c r="AH42" s="171">
        <f>AH7+AH14+AH21+AH28</f>
        <v>268960</v>
      </c>
      <c r="AI42" s="189">
        <f>AH42/AG42</f>
        <v>1164.3290043290044</v>
      </c>
      <c r="AJ42" s="171">
        <f>AJ7+AJ14+AJ21+AJ28</f>
        <v>39200</v>
      </c>
      <c r="AK42" s="190">
        <f t="shared" ref="AK42:AK47" si="56">AJ42/AG42</f>
        <v>169.69696969696969</v>
      </c>
      <c r="AL42" s="171">
        <f>AL7+AL14+AL21+AL28</f>
        <v>308160</v>
      </c>
      <c r="AM42" s="191">
        <f t="shared" ref="AM42:AM47" si="57">AL42/AG42</f>
        <v>1334.0259740259739</v>
      </c>
      <c r="AN42" s="162"/>
      <c r="AO42" s="164"/>
      <c r="AP42" s="162"/>
      <c r="AQ42" s="164"/>
      <c r="AR42" s="162"/>
      <c r="AS42" s="162"/>
      <c r="AT42" s="162"/>
      <c r="AU42" s="162"/>
      <c r="AV42" s="162"/>
      <c r="AW42" s="162"/>
      <c r="AX42" s="162"/>
      <c r="AY42" s="162"/>
      <c r="AZ42" s="162"/>
      <c r="BA42" s="162"/>
      <c r="BB42" s="162"/>
      <c r="BC42" s="162"/>
      <c r="BD42" s="162"/>
      <c r="BE42" s="162"/>
      <c r="BF42" s="171"/>
      <c r="BG42" s="162"/>
      <c r="BH42" s="171"/>
    </row>
    <row r="43" spans="1:88" ht="15.75" customHeight="1">
      <c r="A43" s="162"/>
      <c r="B43" s="163"/>
      <c r="C43" s="164"/>
      <c r="D43" s="187" t="s">
        <v>55</v>
      </c>
      <c r="E43" s="188">
        <f>E8+E15+E22+E29</f>
        <v>15</v>
      </c>
      <c r="F43" s="171">
        <f t="shared" ref="F43" si="58">F8+F15+F22+F29</f>
        <v>85900</v>
      </c>
      <c r="G43" s="189">
        <f>F43/E43</f>
        <v>5726.666666666667</v>
      </c>
      <c r="H43" s="171">
        <f>H8+H15+H22+H29</f>
        <v>39290</v>
      </c>
      <c r="I43" s="190">
        <f t="shared" si="50"/>
        <v>2619.3333333333335</v>
      </c>
      <c r="J43" s="171">
        <f>J8+J15+J22+J29</f>
        <v>125190</v>
      </c>
      <c r="K43" s="191">
        <f t="shared" si="51"/>
        <v>8346</v>
      </c>
      <c r="L43" s="187" t="s">
        <v>55</v>
      </c>
      <c r="M43" s="188">
        <f>M8+M15+M22+M29</f>
        <v>0</v>
      </c>
      <c r="N43" s="171">
        <f t="shared" ref="N43" si="59">N8+N15+N22+N29</f>
        <v>0</v>
      </c>
      <c r="O43" s="189" t="e">
        <f>N43/M43</f>
        <v>#DIV/0!</v>
      </c>
      <c r="P43" s="171">
        <f>P8+P15+P22+P29</f>
        <v>0</v>
      </c>
      <c r="Q43" s="190" t="e">
        <f t="shared" si="52"/>
        <v>#DIV/0!</v>
      </c>
      <c r="R43" s="171">
        <f>R8+R15+R22+R29</f>
        <v>0</v>
      </c>
      <c r="S43" s="191" t="e">
        <f t="shared" si="53"/>
        <v>#DIV/0!</v>
      </c>
      <c r="T43" s="188">
        <f>T8+T15+T22+T29</f>
        <v>6</v>
      </c>
      <c r="U43" s="171">
        <f t="shared" ref="U43" si="60">U8+U15+U22+U29</f>
        <v>97680</v>
      </c>
      <c r="V43" s="189">
        <f>U43/T43</f>
        <v>16280</v>
      </c>
      <c r="W43" s="171">
        <f>W8+W15+W22+W29</f>
        <v>184580</v>
      </c>
      <c r="X43" s="190">
        <f t="shared" si="54"/>
        <v>30763.333333333332</v>
      </c>
      <c r="Y43" s="171">
        <f>Y8+Y15+Y22+Y29</f>
        <v>282260</v>
      </c>
      <c r="Z43" s="191">
        <f t="shared" si="55"/>
        <v>47043.333333333336</v>
      </c>
      <c r="AA43" s="162"/>
      <c r="AB43" s="162"/>
      <c r="AC43" s="162"/>
      <c r="AD43" s="162"/>
      <c r="AE43" s="162"/>
      <c r="AF43" s="187" t="s">
        <v>55</v>
      </c>
      <c r="AG43" s="188">
        <f>AG8+AG15+AG22+AG29</f>
        <v>275</v>
      </c>
      <c r="AH43" s="171">
        <f t="shared" ref="AH43" si="61">AH8+AH15+AH22+AH29</f>
        <v>315890</v>
      </c>
      <c r="AI43" s="189">
        <f>AH43/AG43</f>
        <v>1148.6909090909091</v>
      </c>
      <c r="AJ43" s="171">
        <f t="shared" ref="AJ43:AJ46" si="62">AJ8+AJ15+AJ22+AJ29</f>
        <v>54600</v>
      </c>
      <c r="AK43" s="190">
        <f t="shared" si="56"/>
        <v>198.54545454545453</v>
      </c>
      <c r="AL43" s="171">
        <f t="shared" ref="AL43:AL46" si="63">AL8+AL15+AL22+AL29</f>
        <v>370490</v>
      </c>
      <c r="AM43" s="191">
        <f t="shared" si="57"/>
        <v>1347.2363636363636</v>
      </c>
      <c r="AN43" s="162"/>
      <c r="AO43" s="164"/>
      <c r="AP43" s="162"/>
      <c r="AQ43" s="164"/>
      <c r="AR43" s="162"/>
      <c r="AS43" s="162"/>
      <c r="AT43" s="162"/>
      <c r="AU43" s="162"/>
      <c r="AV43" s="162"/>
      <c r="AW43" s="162"/>
      <c r="AX43" s="162"/>
      <c r="AY43" s="162"/>
      <c r="AZ43" s="162"/>
      <c r="BA43" s="162"/>
      <c r="BB43" s="162"/>
      <c r="BC43" s="162"/>
      <c r="BD43" s="162"/>
      <c r="BE43" s="162"/>
      <c r="BF43" s="171"/>
      <c r="BG43" s="162"/>
      <c r="BH43" s="171"/>
    </row>
    <row r="44" spans="1:88" ht="15.75" customHeight="1">
      <c r="A44" s="162"/>
      <c r="B44" s="163"/>
      <c r="C44" s="164"/>
      <c r="D44" s="187" t="s">
        <v>56</v>
      </c>
      <c r="E44" s="188">
        <f t="shared" ref="E44:F46" si="64">E9+E16+E23+E30</f>
        <v>21</v>
      </c>
      <c r="F44" s="171">
        <f t="shared" si="64"/>
        <v>167200</v>
      </c>
      <c r="G44" s="189">
        <f t="shared" ref="G44:G47" si="65">F44/E44</f>
        <v>7961.9047619047615</v>
      </c>
      <c r="H44" s="171">
        <f>H9+H16+H23+H30</f>
        <v>21670</v>
      </c>
      <c r="I44" s="190">
        <f t="shared" si="50"/>
        <v>1031.9047619047619</v>
      </c>
      <c r="J44" s="171">
        <f>J9+J16+J23+J30</f>
        <v>188870</v>
      </c>
      <c r="K44" s="191">
        <f t="shared" si="51"/>
        <v>8993.8095238095229</v>
      </c>
      <c r="L44" s="187" t="s">
        <v>56</v>
      </c>
      <c r="M44" s="188">
        <f t="shared" ref="M44:N46" si="66">M9+M16+M23+M30</f>
        <v>0</v>
      </c>
      <c r="N44" s="171">
        <f t="shared" si="66"/>
        <v>0</v>
      </c>
      <c r="O44" s="189" t="e">
        <f t="shared" ref="O44:O47" si="67">N44/M44</f>
        <v>#DIV/0!</v>
      </c>
      <c r="P44" s="171">
        <f>P9+P16+P23+P30</f>
        <v>0</v>
      </c>
      <c r="Q44" s="190" t="e">
        <f t="shared" si="52"/>
        <v>#DIV/0!</v>
      </c>
      <c r="R44" s="171">
        <f>R9+R16+R23+R30</f>
        <v>0</v>
      </c>
      <c r="S44" s="191" t="e">
        <f t="shared" si="53"/>
        <v>#DIV/0!</v>
      </c>
      <c r="T44" s="188">
        <f t="shared" ref="T44:U46" si="68">T9+T16+T23+T30</f>
        <v>10</v>
      </c>
      <c r="U44" s="171">
        <f t="shared" si="68"/>
        <v>136800</v>
      </c>
      <c r="V44" s="189">
        <f t="shared" ref="V44:V47" si="69">U44/T44</f>
        <v>13680</v>
      </c>
      <c r="W44" s="171">
        <f>W9+W16+W23+W30</f>
        <v>55480</v>
      </c>
      <c r="X44" s="190">
        <f t="shared" si="54"/>
        <v>5548</v>
      </c>
      <c r="Y44" s="171">
        <f>Y9+Y16+Y23+Y30</f>
        <v>192280</v>
      </c>
      <c r="Z44" s="191">
        <f t="shared" si="55"/>
        <v>19228</v>
      </c>
      <c r="AA44" s="162"/>
      <c r="AB44" s="162"/>
      <c r="AC44" s="162"/>
      <c r="AD44" s="162"/>
      <c r="AE44" s="162"/>
      <c r="AF44" s="187" t="s">
        <v>56</v>
      </c>
      <c r="AG44" s="188">
        <f t="shared" ref="AG44:AH46" si="70">AG9+AG16+AG23+AG30</f>
        <v>267</v>
      </c>
      <c r="AH44" s="171">
        <f t="shared" si="70"/>
        <v>329420</v>
      </c>
      <c r="AI44" s="189">
        <f t="shared" ref="AI44:AI47" si="71">AH44/AG44</f>
        <v>1233.7827715355804</v>
      </c>
      <c r="AJ44" s="171">
        <f t="shared" si="62"/>
        <v>35700</v>
      </c>
      <c r="AK44" s="190">
        <f t="shared" si="56"/>
        <v>133.70786516853931</v>
      </c>
      <c r="AL44" s="171">
        <f t="shared" si="63"/>
        <v>365120</v>
      </c>
      <c r="AM44" s="191">
        <f t="shared" si="57"/>
        <v>1367.4906367041199</v>
      </c>
      <c r="AN44" s="162"/>
      <c r="AO44" s="164"/>
      <c r="AP44" s="162"/>
      <c r="AQ44" s="164"/>
      <c r="AR44" s="162"/>
      <c r="AS44" s="162"/>
      <c r="AT44" s="162"/>
      <c r="AU44" s="162"/>
      <c r="AV44" s="162"/>
      <c r="AW44" s="162"/>
      <c r="AX44" s="162"/>
      <c r="AY44" s="162"/>
      <c r="AZ44" s="162"/>
      <c r="BA44" s="162"/>
      <c r="BB44" s="162"/>
      <c r="BC44" s="162"/>
      <c r="BD44" s="162"/>
      <c r="BE44" s="162"/>
      <c r="BF44" s="171"/>
      <c r="BG44" s="162"/>
      <c r="BH44" s="171"/>
    </row>
    <row r="45" spans="1:88" ht="15.75" customHeight="1">
      <c r="A45" s="162"/>
      <c r="B45" s="163"/>
      <c r="C45" s="164"/>
      <c r="D45" s="187" t="s">
        <v>57</v>
      </c>
      <c r="E45" s="188">
        <f t="shared" si="64"/>
        <v>9</v>
      </c>
      <c r="F45" s="171">
        <f t="shared" si="64"/>
        <v>62700</v>
      </c>
      <c r="G45" s="189">
        <f t="shared" si="65"/>
        <v>6966.666666666667</v>
      </c>
      <c r="H45" s="171">
        <f>H10+H17+H24+H31</f>
        <v>20680</v>
      </c>
      <c r="I45" s="190">
        <f t="shared" si="50"/>
        <v>2297.7777777777778</v>
      </c>
      <c r="J45" s="171">
        <f>J10+J17+J24+J31</f>
        <v>83380</v>
      </c>
      <c r="K45" s="191">
        <f t="shared" si="51"/>
        <v>9264.4444444444453</v>
      </c>
      <c r="L45" s="187" t="s">
        <v>57</v>
      </c>
      <c r="M45" s="188">
        <f t="shared" si="66"/>
        <v>0</v>
      </c>
      <c r="N45" s="171">
        <f t="shared" si="66"/>
        <v>0</v>
      </c>
      <c r="O45" s="189" t="e">
        <f t="shared" si="67"/>
        <v>#DIV/0!</v>
      </c>
      <c r="P45" s="171">
        <f>P10+P17+P24+P31</f>
        <v>0</v>
      </c>
      <c r="Q45" s="190" t="e">
        <f t="shared" si="52"/>
        <v>#DIV/0!</v>
      </c>
      <c r="R45" s="171">
        <f>R10+R17+R24+R31</f>
        <v>0</v>
      </c>
      <c r="S45" s="191" t="e">
        <f t="shared" si="53"/>
        <v>#DIV/0!</v>
      </c>
      <c r="T45" s="188">
        <f t="shared" si="68"/>
        <v>37</v>
      </c>
      <c r="U45" s="171">
        <f t="shared" si="68"/>
        <v>535400</v>
      </c>
      <c r="V45" s="189">
        <f t="shared" si="69"/>
        <v>14470.27027027027</v>
      </c>
      <c r="W45" s="171">
        <f>W10+W17+W24+W31</f>
        <v>225160</v>
      </c>
      <c r="X45" s="190">
        <f t="shared" si="54"/>
        <v>6085.405405405405</v>
      </c>
      <c r="Y45" s="171">
        <f>Y10+Y17+Y24+Y31</f>
        <v>760560</v>
      </c>
      <c r="Z45" s="191">
        <f t="shared" si="55"/>
        <v>20555.675675675677</v>
      </c>
      <c r="AA45" s="162"/>
      <c r="AB45" s="162"/>
      <c r="AC45" s="162"/>
      <c r="AD45" s="162"/>
      <c r="AE45" s="162"/>
      <c r="AF45" s="187" t="s">
        <v>57</v>
      </c>
      <c r="AG45" s="188">
        <f t="shared" si="70"/>
        <v>504</v>
      </c>
      <c r="AH45" s="171">
        <f t="shared" si="70"/>
        <v>445720</v>
      </c>
      <c r="AI45" s="189">
        <f t="shared" si="71"/>
        <v>884.3650793650794</v>
      </c>
      <c r="AJ45" s="171">
        <f t="shared" si="62"/>
        <v>165950</v>
      </c>
      <c r="AK45" s="190">
        <f t="shared" si="56"/>
        <v>329.26587301587301</v>
      </c>
      <c r="AL45" s="171">
        <f t="shared" si="63"/>
        <v>611670</v>
      </c>
      <c r="AM45" s="191">
        <f t="shared" si="57"/>
        <v>1213.6309523809523</v>
      </c>
      <c r="AN45" s="162"/>
      <c r="AO45" s="164"/>
      <c r="AP45" s="162"/>
      <c r="AQ45" s="164"/>
      <c r="AR45" s="162"/>
      <c r="AS45" s="162"/>
      <c r="AT45" s="162"/>
      <c r="AU45" s="162"/>
      <c r="AV45" s="162"/>
      <c r="AW45" s="162"/>
      <c r="AX45" s="162"/>
      <c r="AY45" s="162"/>
      <c r="AZ45" s="162"/>
      <c r="BA45" s="162"/>
      <c r="BB45" s="162"/>
      <c r="BC45" s="162"/>
      <c r="BD45" s="162"/>
      <c r="BE45" s="162"/>
      <c r="BF45" s="171"/>
      <c r="BG45" s="162"/>
      <c r="BH45" s="171"/>
    </row>
    <row r="46" spans="1:88" ht="15.75" customHeight="1">
      <c r="A46" s="162"/>
      <c r="B46" s="163"/>
      <c r="C46" s="164"/>
      <c r="D46" s="187" t="s">
        <v>58</v>
      </c>
      <c r="E46" s="188">
        <f t="shared" si="64"/>
        <v>21</v>
      </c>
      <c r="F46" s="171">
        <f t="shared" si="64"/>
        <v>161700</v>
      </c>
      <c r="G46" s="189">
        <f t="shared" si="65"/>
        <v>7700</v>
      </c>
      <c r="H46" s="171">
        <f>H11+H18+H25+H32</f>
        <v>41580</v>
      </c>
      <c r="I46" s="190">
        <f t="shared" si="50"/>
        <v>1980</v>
      </c>
      <c r="J46" s="171">
        <f>J11+J18+J25+J32</f>
        <v>203280</v>
      </c>
      <c r="K46" s="191">
        <f t="shared" si="51"/>
        <v>9680</v>
      </c>
      <c r="L46" s="187" t="s">
        <v>58</v>
      </c>
      <c r="M46" s="188">
        <f t="shared" si="66"/>
        <v>0</v>
      </c>
      <c r="N46" s="171">
        <f t="shared" si="66"/>
        <v>0</v>
      </c>
      <c r="O46" s="189" t="e">
        <f t="shared" si="67"/>
        <v>#DIV/0!</v>
      </c>
      <c r="P46" s="171">
        <f>P11+P18+P25+P32</f>
        <v>0</v>
      </c>
      <c r="Q46" s="190" t="e">
        <f t="shared" si="52"/>
        <v>#DIV/0!</v>
      </c>
      <c r="R46" s="171">
        <f>R11+R18+R25+R32</f>
        <v>0</v>
      </c>
      <c r="S46" s="191" t="e">
        <f t="shared" si="53"/>
        <v>#DIV/0!</v>
      </c>
      <c r="T46" s="188">
        <f t="shared" si="68"/>
        <v>52</v>
      </c>
      <c r="U46" s="171">
        <f t="shared" si="68"/>
        <v>738020</v>
      </c>
      <c r="V46" s="189">
        <f t="shared" si="69"/>
        <v>14192.692307692309</v>
      </c>
      <c r="W46" s="171">
        <f>W11+W18+W25+W32</f>
        <v>262130</v>
      </c>
      <c r="X46" s="190">
        <f t="shared" si="54"/>
        <v>5040.9615384615381</v>
      </c>
      <c r="Y46" s="171">
        <f>Y11+Y18+Y25+Y32</f>
        <v>1000150</v>
      </c>
      <c r="Z46" s="191">
        <f t="shared" si="55"/>
        <v>19233.653846153848</v>
      </c>
      <c r="AA46" s="162"/>
      <c r="AB46" s="162"/>
      <c r="AC46" s="162"/>
      <c r="AD46" s="162"/>
      <c r="AE46" s="162"/>
      <c r="AF46" s="187" t="s">
        <v>58</v>
      </c>
      <c r="AG46" s="188">
        <f t="shared" si="70"/>
        <v>408</v>
      </c>
      <c r="AH46" s="171">
        <f t="shared" si="70"/>
        <v>480350</v>
      </c>
      <c r="AI46" s="189">
        <f t="shared" si="71"/>
        <v>1177.3284313725489</v>
      </c>
      <c r="AJ46" s="171">
        <f t="shared" si="62"/>
        <v>85100</v>
      </c>
      <c r="AK46" s="190">
        <f t="shared" si="56"/>
        <v>208.57843137254903</v>
      </c>
      <c r="AL46" s="171">
        <f t="shared" si="63"/>
        <v>565450</v>
      </c>
      <c r="AM46" s="191">
        <f t="shared" si="57"/>
        <v>1385.9068627450981</v>
      </c>
      <c r="AN46" s="162"/>
      <c r="AO46" s="164"/>
      <c r="AP46" s="162"/>
      <c r="AQ46" s="164"/>
      <c r="AR46" s="162"/>
      <c r="AS46" s="162"/>
      <c r="AT46" s="162"/>
      <c r="AU46" s="162"/>
      <c r="AV46" s="162"/>
      <c r="AW46" s="162"/>
      <c r="AX46" s="162"/>
      <c r="AY46" s="162"/>
      <c r="AZ46" s="162"/>
      <c r="BA46" s="162"/>
      <c r="BB46" s="162"/>
      <c r="BC46" s="162"/>
      <c r="BD46" s="162"/>
      <c r="BE46" s="162"/>
      <c r="BF46" s="171"/>
      <c r="BG46" s="162"/>
      <c r="BH46" s="171"/>
    </row>
    <row r="47" spans="1:88" ht="15.75" customHeight="1" thickBot="1">
      <c r="A47" s="162"/>
      <c r="B47" s="163"/>
      <c r="C47" s="164"/>
      <c r="D47" s="192" t="s">
        <v>59</v>
      </c>
      <c r="E47" s="193">
        <f>E5+E12+E19+E26+E33</f>
        <v>29</v>
      </c>
      <c r="F47" s="194">
        <f>F5+F12+F19+F26+F33</f>
        <v>181600</v>
      </c>
      <c r="G47" s="195">
        <f t="shared" si="65"/>
        <v>6262.0689655172409</v>
      </c>
      <c r="H47" s="194">
        <f>H5+H12+H19+H26+H33</f>
        <v>71620</v>
      </c>
      <c r="I47" s="196">
        <f t="shared" si="50"/>
        <v>2469.655172413793</v>
      </c>
      <c r="J47" s="194">
        <f>J5+J12+J19+J26+J33</f>
        <v>253220</v>
      </c>
      <c r="K47" s="197">
        <f t="shared" si="51"/>
        <v>8731.7241379310344</v>
      </c>
      <c r="L47" s="192" t="s">
        <v>59</v>
      </c>
      <c r="M47" s="193">
        <f>M5+M12+M19+M26+M33</f>
        <v>0</v>
      </c>
      <c r="N47" s="194">
        <f>N5+N12+N19+N26+N33</f>
        <v>0</v>
      </c>
      <c r="O47" s="195" t="e">
        <f t="shared" si="67"/>
        <v>#DIV/0!</v>
      </c>
      <c r="P47" s="194">
        <f>P5+P12+P19+P26+P33</f>
        <v>0</v>
      </c>
      <c r="Q47" s="196" t="e">
        <f t="shared" si="52"/>
        <v>#DIV/0!</v>
      </c>
      <c r="R47" s="194">
        <f>R5+R12+R19+R26+R33</f>
        <v>0</v>
      </c>
      <c r="S47" s="197" t="e">
        <f t="shared" si="53"/>
        <v>#DIV/0!</v>
      </c>
      <c r="T47" s="193">
        <f>T5+T12+T19+T26+T33</f>
        <v>25</v>
      </c>
      <c r="U47" s="194">
        <f>U5+U12+U19+U26+U33</f>
        <v>320270</v>
      </c>
      <c r="V47" s="195">
        <f t="shared" si="69"/>
        <v>12810.8</v>
      </c>
      <c r="W47" s="194">
        <f>W5+W12+W19+W26+W33</f>
        <v>71830</v>
      </c>
      <c r="X47" s="196">
        <f t="shared" si="54"/>
        <v>2873.2</v>
      </c>
      <c r="Y47" s="194">
        <f>Y5+Y12+Y19+Y26+Y33</f>
        <v>392100</v>
      </c>
      <c r="Z47" s="197">
        <f t="shared" si="55"/>
        <v>15684</v>
      </c>
      <c r="AA47" s="162"/>
      <c r="AB47" s="162"/>
      <c r="AC47" s="162"/>
      <c r="AD47" s="162"/>
      <c r="AE47" s="162"/>
      <c r="AF47" s="192" t="s">
        <v>59</v>
      </c>
      <c r="AG47" s="193">
        <f>AG5+AG12+AG19+AG26+AG33</f>
        <v>481</v>
      </c>
      <c r="AH47" s="194">
        <f>AH5+AH12+AH19+AH26+AH33</f>
        <v>586310</v>
      </c>
      <c r="AI47" s="195">
        <f t="shared" si="71"/>
        <v>1218.9397089397089</v>
      </c>
      <c r="AJ47" s="194">
        <f>AJ5+AJ12+AJ19+AJ26+AJ33</f>
        <v>94600</v>
      </c>
      <c r="AK47" s="196">
        <f t="shared" si="56"/>
        <v>196.67359667359668</v>
      </c>
      <c r="AL47" s="194">
        <f>AL5+AL12+AL19+AL26+AL33</f>
        <v>680910</v>
      </c>
      <c r="AM47" s="197">
        <f t="shared" si="57"/>
        <v>1415.6133056133056</v>
      </c>
      <c r="AN47" s="162"/>
      <c r="AO47" s="164"/>
      <c r="AP47" s="162"/>
      <c r="AQ47" s="164"/>
      <c r="AR47" s="162"/>
      <c r="AS47" s="162"/>
      <c r="AT47" s="162"/>
      <c r="AU47" s="162"/>
      <c r="AV47" s="162"/>
      <c r="AW47" s="162"/>
      <c r="AX47" s="162"/>
      <c r="AY47" s="162"/>
      <c r="AZ47" s="162"/>
      <c r="BA47" s="162"/>
      <c r="BB47" s="162"/>
      <c r="BC47" s="162"/>
      <c r="BD47" s="162"/>
      <c r="BE47" s="162"/>
      <c r="BF47" s="171"/>
      <c r="BG47" s="162"/>
      <c r="BH47" s="171"/>
    </row>
    <row r="48" spans="1:88" ht="15.75" customHeight="1">
      <c r="A48" s="162"/>
      <c r="B48" s="163"/>
      <c r="C48" s="164"/>
      <c r="D48" s="162"/>
      <c r="E48" s="162"/>
      <c r="F48" s="162"/>
      <c r="G48" s="162"/>
      <c r="H48" s="162"/>
      <c r="I48" s="162"/>
      <c r="J48" s="162"/>
      <c r="K48" s="162"/>
      <c r="L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2"/>
      <c r="AD48" s="162"/>
      <c r="AE48" s="162"/>
      <c r="AG48" s="162"/>
      <c r="AH48" s="162"/>
      <c r="AI48" s="162"/>
      <c r="AJ48" s="162"/>
      <c r="AK48" s="162"/>
      <c r="AL48" s="162"/>
      <c r="AM48" s="162"/>
      <c r="AN48" s="162"/>
      <c r="AO48" s="164"/>
      <c r="AP48" s="162"/>
      <c r="AQ48" s="164"/>
      <c r="AR48" s="162"/>
      <c r="AS48" s="162"/>
      <c r="AT48" s="162"/>
      <c r="AU48" s="162"/>
      <c r="AV48" s="162"/>
      <c r="AW48" s="162"/>
      <c r="AX48" s="162"/>
      <c r="AY48" s="162"/>
      <c r="AZ48" s="162"/>
      <c r="BA48" s="162"/>
      <c r="BB48" s="162"/>
      <c r="BC48" s="162"/>
      <c r="BD48" s="162"/>
      <c r="BE48" s="162"/>
      <c r="BF48" s="171"/>
      <c r="BG48" s="162"/>
      <c r="BH48" s="171"/>
    </row>
    <row r="49" spans="1:88" ht="15.75" customHeight="1">
      <c r="A49" s="162"/>
      <c r="B49" s="163"/>
      <c r="C49" s="164"/>
      <c r="D49" s="198" t="s">
        <v>60</v>
      </c>
      <c r="E49" s="199"/>
      <c r="F49" s="166"/>
      <c r="G49" s="200"/>
      <c r="H49" s="166"/>
      <c r="I49" s="166"/>
      <c r="J49" s="169"/>
      <c r="K49" s="178"/>
      <c r="L49" s="171"/>
      <c r="M49" s="201" t="s">
        <v>61</v>
      </c>
      <c r="O49" s="174"/>
      <c r="P49" s="174"/>
      <c r="Q49" s="174"/>
      <c r="R49" s="174"/>
      <c r="S49" s="174"/>
      <c r="T49" s="202" t="s">
        <v>62</v>
      </c>
      <c r="U49" s="165"/>
      <c r="V49" s="166"/>
      <c r="W49" s="166"/>
      <c r="X49" s="166"/>
      <c r="Y49" s="166"/>
      <c r="Z49" s="169"/>
      <c r="AA49" s="178"/>
      <c r="AB49" s="162"/>
      <c r="AC49" s="162"/>
      <c r="AD49" s="162">
        <f>AD37/W38</f>
        <v>199266.50717703349</v>
      </c>
      <c r="AE49" s="171"/>
      <c r="AF49" s="202" t="s">
        <v>63</v>
      </c>
      <c r="AH49" s="162"/>
      <c r="AI49" s="166"/>
      <c r="AJ49" s="166"/>
      <c r="AK49" s="166"/>
      <c r="AL49" s="166"/>
      <c r="AM49" s="166"/>
      <c r="AN49" s="178"/>
      <c r="AO49" s="162"/>
      <c r="AP49" s="162"/>
      <c r="AQ49" s="162" t="s">
        <v>64</v>
      </c>
      <c r="AS49" s="203">
        <f>AQ37/AI38</f>
        <v>226769.69696969693</v>
      </c>
      <c r="AT49" s="162" t="s">
        <v>65</v>
      </c>
      <c r="AU49" s="162"/>
      <c r="AV49" s="162"/>
      <c r="AW49" s="162"/>
      <c r="AX49" s="171"/>
      <c r="AY49" s="162"/>
      <c r="AZ49" s="162"/>
      <c r="BA49" s="171"/>
      <c r="BB49" s="162"/>
      <c r="BC49" s="171"/>
    </row>
    <row r="50" spans="1:88" ht="21" customHeight="1">
      <c r="A50" s="162"/>
      <c r="B50" s="163"/>
      <c r="C50" s="204"/>
      <c r="D50" s="205"/>
      <c r="E50" s="17"/>
      <c r="F50" s="17"/>
      <c r="G50" s="17"/>
      <c r="H50" s="17"/>
      <c r="I50" s="17"/>
      <c r="J50" s="17"/>
      <c r="K50" s="338"/>
      <c r="L50" s="208"/>
      <c r="M50" s="209"/>
      <c r="N50" s="209"/>
      <c r="O50" s="209"/>
      <c r="P50" s="209"/>
      <c r="Q50" s="209"/>
      <c r="R50" s="209"/>
      <c r="S50" s="210"/>
      <c r="T50" s="211"/>
      <c r="U50" s="212"/>
      <c r="V50" s="212"/>
      <c r="W50" s="212"/>
      <c r="X50" s="212"/>
      <c r="Y50" s="212"/>
      <c r="Z50" s="213"/>
      <c r="AA50" s="214"/>
      <c r="AB50" s="162"/>
      <c r="AC50" s="162"/>
      <c r="AD50" s="171"/>
      <c r="AE50" s="171"/>
      <c r="AF50" s="215"/>
      <c r="AG50" s="216"/>
      <c r="AH50" s="216"/>
      <c r="AI50" s="216"/>
      <c r="AJ50" s="216"/>
      <c r="AK50" s="216"/>
      <c r="AL50" s="216"/>
      <c r="AM50" s="217"/>
      <c r="AN50" s="218"/>
      <c r="AO50" s="162"/>
      <c r="AP50" s="162"/>
      <c r="AQ50" s="162" t="s">
        <v>66</v>
      </c>
      <c r="AR50" s="171">
        <f>AQ36+AR36</f>
        <v>7497200</v>
      </c>
      <c r="AS50" s="203">
        <f>AR50/AI38</f>
        <v>249906.66666666666</v>
      </c>
      <c r="AT50" s="162" t="s">
        <v>67</v>
      </c>
      <c r="AU50" s="162"/>
      <c r="AV50" s="162"/>
      <c r="AW50" s="162"/>
      <c r="AX50" s="162"/>
      <c r="AY50" s="162"/>
      <c r="AZ50" s="162"/>
      <c r="BA50" s="171"/>
      <c r="BB50" s="162"/>
      <c r="BC50" s="171"/>
    </row>
    <row r="51" spans="1:88" ht="21" customHeight="1">
      <c r="A51" s="162"/>
      <c r="B51" s="163"/>
      <c r="C51" s="204"/>
      <c r="D51" s="339"/>
      <c r="E51" s="340"/>
      <c r="F51" s="340"/>
      <c r="G51" s="340"/>
      <c r="H51" s="340"/>
      <c r="I51" s="340"/>
      <c r="J51" s="340"/>
      <c r="K51" s="341"/>
      <c r="L51" s="222"/>
      <c r="M51" s="223"/>
      <c r="N51" s="223"/>
      <c r="O51" s="223"/>
      <c r="P51" s="223"/>
      <c r="Q51" s="223"/>
      <c r="R51" s="223"/>
      <c r="S51" s="342"/>
      <c r="T51" s="343"/>
      <c r="U51" s="226"/>
      <c r="V51" s="226"/>
      <c r="W51" s="226"/>
      <c r="X51" s="226"/>
      <c r="Y51" s="226"/>
      <c r="Z51" s="344"/>
      <c r="AA51" s="214"/>
      <c r="AB51" s="162"/>
      <c r="AC51" s="162"/>
      <c r="AD51" s="162"/>
      <c r="AE51" s="171"/>
      <c r="AF51" s="228"/>
      <c r="AG51" s="229"/>
      <c r="AH51" s="229"/>
      <c r="AI51" s="229"/>
      <c r="AJ51" s="229"/>
      <c r="AK51" s="229"/>
      <c r="AL51" s="229"/>
      <c r="AM51" s="230"/>
      <c r="AN51" s="218"/>
      <c r="AO51" s="162"/>
      <c r="AP51" s="162"/>
      <c r="AQ51" s="162" t="s">
        <v>68</v>
      </c>
      <c r="AR51" s="161">
        <f>AQ37+AR37</f>
        <v>6815636.3636363624</v>
      </c>
      <c r="AS51" s="203">
        <f>AR51/AI38</f>
        <v>227187.87878787876</v>
      </c>
      <c r="AT51" s="162" t="s">
        <v>65</v>
      </c>
      <c r="AU51" s="162"/>
      <c r="AV51" s="162"/>
      <c r="AW51" s="162"/>
      <c r="AX51" s="162"/>
      <c r="AY51" s="162"/>
      <c r="AZ51" s="162"/>
      <c r="BA51" s="171"/>
      <c r="BB51" s="162"/>
      <c r="BC51" s="171"/>
    </row>
    <row r="52" spans="1:88" ht="21" customHeight="1">
      <c r="A52" s="162"/>
      <c r="B52" s="163"/>
      <c r="C52" s="204"/>
      <c r="D52" s="339"/>
      <c r="E52" s="340"/>
      <c r="F52" s="340"/>
      <c r="G52" s="340"/>
      <c r="H52" s="340"/>
      <c r="I52" s="340"/>
      <c r="J52" s="340"/>
      <c r="K52" s="341"/>
      <c r="L52" s="222"/>
      <c r="M52" s="223"/>
      <c r="N52" s="223"/>
      <c r="O52" s="223"/>
      <c r="P52" s="223"/>
      <c r="Q52" s="223"/>
      <c r="R52" s="223"/>
      <c r="S52" s="342"/>
      <c r="T52" s="343"/>
      <c r="U52" s="226"/>
      <c r="V52" s="226"/>
      <c r="W52" s="226"/>
      <c r="X52" s="226"/>
      <c r="Y52" s="226"/>
      <c r="Z52" s="344"/>
      <c r="AA52" s="214"/>
      <c r="AB52" s="162"/>
      <c r="AC52" s="162"/>
      <c r="AD52" s="162"/>
      <c r="AE52" s="171"/>
      <c r="AF52" s="228"/>
      <c r="AG52" s="229"/>
      <c r="AH52" s="229"/>
      <c r="AI52" s="229"/>
      <c r="AJ52" s="229"/>
      <c r="AK52" s="229"/>
      <c r="AL52" s="229"/>
      <c r="AM52" s="230"/>
      <c r="AN52" s="218"/>
      <c r="AO52" s="162"/>
      <c r="AP52" s="162"/>
      <c r="AQ52" s="162"/>
      <c r="AR52" s="162"/>
      <c r="AS52" s="162"/>
      <c r="AT52" s="162"/>
      <c r="AU52" s="162"/>
      <c r="AV52" s="162"/>
      <c r="AW52" s="162"/>
      <c r="AX52" s="162"/>
      <c r="AY52" s="162"/>
      <c r="AZ52" s="162"/>
      <c r="BA52" s="162"/>
      <c r="BB52" s="171"/>
      <c r="BC52" s="162"/>
      <c r="BD52" s="171"/>
    </row>
    <row r="53" spans="1:88" ht="21" customHeight="1">
      <c r="A53" s="162"/>
      <c r="B53" s="163"/>
      <c r="C53" s="204"/>
      <c r="D53" s="339"/>
      <c r="E53" s="340"/>
      <c r="F53" s="340"/>
      <c r="G53" s="340"/>
      <c r="H53" s="340"/>
      <c r="I53" s="340"/>
      <c r="J53" s="340"/>
      <c r="K53" s="341"/>
      <c r="L53" s="222"/>
      <c r="M53" s="223"/>
      <c r="N53" s="223"/>
      <c r="O53" s="223"/>
      <c r="P53" s="223"/>
      <c r="Q53" s="223"/>
      <c r="R53" s="223"/>
      <c r="S53" s="342"/>
      <c r="T53" s="343"/>
      <c r="U53" s="226"/>
      <c r="V53" s="226"/>
      <c r="W53" s="226"/>
      <c r="X53" s="226"/>
      <c r="Y53" s="226"/>
      <c r="Z53" s="344"/>
      <c r="AA53" s="214"/>
      <c r="AB53" s="162"/>
      <c r="AC53" s="162"/>
      <c r="AD53" s="162"/>
      <c r="AE53" s="162"/>
      <c r="AF53" s="228"/>
      <c r="AG53" s="229"/>
      <c r="AH53" s="229"/>
      <c r="AI53" s="229"/>
      <c r="AJ53" s="229"/>
      <c r="AK53" s="229"/>
      <c r="AL53" s="229"/>
      <c r="AM53" s="230"/>
      <c r="AN53" s="218"/>
      <c r="AO53" s="162"/>
      <c r="AP53" s="162"/>
      <c r="AQ53" s="162"/>
      <c r="AR53" s="171">
        <f>AQ37+AR37</f>
        <v>6815636.3636363624</v>
      </c>
      <c r="AS53" s="180" t="s">
        <v>69</v>
      </c>
      <c r="AT53" s="180" t="s">
        <v>70</v>
      </c>
      <c r="AU53" s="180" t="s">
        <v>71</v>
      </c>
      <c r="AV53" s="162"/>
      <c r="AW53" s="162"/>
      <c r="AX53" s="162"/>
      <c r="AY53" s="162"/>
      <c r="AZ53" s="162"/>
      <c r="BA53" s="171"/>
      <c r="BB53" s="162"/>
      <c r="BC53" s="171"/>
    </row>
    <row r="54" spans="1:88" ht="21" customHeight="1">
      <c r="A54" s="162"/>
      <c r="B54" s="163"/>
      <c r="C54" s="204"/>
      <c r="D54" s="345"/>
      <c r="E54" s="346"/>
      <c r="F54" s="346"/>
      <c r="G54" s="346"/>
      <c r="H54" s="346"/>
      <c r="I54" s="346"/>
      <c r="J54" s="346"/>
      <c r="K54" s="347"/>
      <c r="L54" s="234"/>
      <c r="M54" s="235"/>
      <c r="N54" s="235"/>
      <c r="O54" s="235"/>
      <c r="P54" s="235"/>
      <c r="Q54" s="235"/>
      <c r="R54" s="235"/>
      <c r="S54" s="236"/>
      <c r="T54" s="237"/>
      <c r="U54" s="238"/>
      <c r="V54" s="238"/>
      <c r="W54" s="238"/>
      <c r="X54" s="238"/>
      <c r="Y54" s="238"/>
      <c r="Z54" s="239"/>
      <c r="AA54" s="214"/>
      <c r="AB54" s="162"/>
      <c r="AC54" s="162"/>
      <c r="AD54" s="162"/>
      <c r="AE54" s="162"/>
      <c r="AF54" s="240"/>
      <c r="AG54" s="241"/>
      <c r="AH54" s="241"/>
      <c r="AI54" s="241"/>
      <c r="AJ54" s="241"/>
      <c r="AK54" s="241"/>
      <c r="AL54" s="241"/>
      <c r="AM54" s="242"/>
      <c r="AN54" s="218"/>
      <c r="AO54" s="162"/>
      <c r="AP54" s="114"/>
      <c r="AQ54" s="243" t="s">
        <v>72</v>
      </c>
      <c r="AR54" s="161">
        <f>J55+R55+Y55+AL55+AS54</f>
        <v>11116972</v>
      </c>
      <c r="AS54" s="244">
        <f>AT54+AU54</f>
        <v>0</v>
      </c>
      <c r="AT54" s="114"/>
      <c r="AU54" s="114"/>
      <c r="AV54" s="162"/>
      <c r="AW54" s="162"/>
      <c r="AX54" s="162"/>
      <c r="AY54" s="162"/>
      <c r="AZ54" s="162"/>
      <c r="BA54" s="171"/>
      <c r="BB54" s="162"/>
      <c r="BC54" s="171"/>
    </row>
    <row r="55" spans="1:88" ht="21" customHeight="1">
      <c r="A55" s="162"/>
      <c r="B55" s="163"/>
      <c r="C55" s="164"/>
      <c r="D55" s="162"/>
      <c r="E55" s="162"/>
      <c r="F55" s="162"/>
      <c r="G55" s="162"/>
      <c r="H55" s="245"/>
      <c r="I55" s="246" t="s">
        <v>73</v>
      </c>
      <c r="J55" s="247">
        <v>2430988</v>
      </c>
      <c r="K55" s="248" t="s">
        <v>74</v>
      </c>
      <c r="L55" s="114"/>
      <c r="M55" s="249"/>
      <c r="N55" s="249"/>
      <c r="O55" s="162"/>
      <c r="P55" s="245"/>
      <c r="Q55" s="246" t="s">
        <v>75</v>
      </c>
      <c r="R55" s="247">
        <v>476000</v>
      </c>
      <c r="S55" s="248" t="s">
        <v>74</v>
      </c>
      <c r="T55" s="114"/>
      <c r="U55" s="114"/>
      <c r="V55" s="114"/>
      <c r="W55" s="114"/>
      <c r="X55" s="246" t="s">
        <v>76</v>
      </c>
      <c r="Y55" s="247">
        <v>4022784</v>
      </c>
      <c r="Z55" s="248" t="s">
        <v>74</v>
      </c>
      <c r="AB55" s="114"/>
      <c r="AC55" s="114"/>
      <c r="AD55" s="114"/>
      <c r="AE55" s="114"/>
      <c r="AF55" s="250"/>
      <c r="AG55" s="114"/>
      <c r="AH55" s="114"/>
      <c r="AI55" s="114"/>
      <c r="AJ55" s="114"/>
      <c r="AK55" s="245" t="s">
        <v>77</v>
      </c>
      <c r="AL55" s="247">
        <v>4187200</v>
      </c>
      <c r="AM55" s="248" t="s">
        <v>74</v>
      </c>
      <c r="AO55" s="114"/>
      <c r="AP55" s="114"/>
      <c r="AQ55" s="243" t="s">
        <v>78</v>
      </c>
      <c r="AR55" s="161">
        <f>AR54-AQ37-AR37</f>
        <v>4301335.6363636376</v>
      </c>
      <c r="AS55" s="161">
        <f>AS54-AR37</f>
        <v>-12545.454545454544</v>
      </c>
      <c r="AT55" s="251" t="e">
        <f>AR37/AS54</f>
        <v>#DIV/0!</v>
      </c>
      <c r="AU55" s="162"/>
      <c r="AV55" s="162"/>
      <c r="AW55" s="162"/>
      <c r="AX55" s="162"/>
      <c r="AY55" s="171"/>
      <c r="AZ55" s="162"/>
      <c r="BA55" s="171"/>
      <c r="BB55" s="162"/>
      <c r="BC55" s="162"/>
    </row>
    <row r="56" spans="1:88" ht="21" customHeight="1">
      <c r="A56" s="162"/>
      <c r="B56" s="163"/>
      <c r="C56" s="164"/>
      <c r="D56" s="162"/>
      <c r="E56" s="162"/>
      <c r="F56" s="162"/>
      <c r="G56" s="162"/>
      <c r="H56" s="245"/>
      <c r="I56" s="245" t="s">
        <v>78</v>
      </c>
      <c r="J56" s="161">
        <f>J55-J37</f>
        <v>1473824.3636363638</v>
      </c>
      <c r="K56" s="252">
        <v>0</v>
      </c>
      <c r="L56" s="114"/>
      <c r="M56" s="249"/>
      <c r="N56" s="249"/>
      <c r="O56" s="162"/>
      <c r="P56" s="245"/>
      <c r="Q56" s="245" t="s">
        <v>78</v>
      </c>
      <c r="R56" s="161">
        <f>R55-R37</f>
        <v>476000</v>
      </c>
      <c r="S56" s="252">
        <f>K56</f>
        <v>0</v>
      </c>
      <c r="T56" s="114"/>
      <c r="U56" s="114"/>
      <c r="V56" s="114"/>
      <c r="W56" s="114"/>
      <c r="X56" s="245" t="s">
        <v>78</v>
      </c>
      <c r="Y56" s="161">
        <f>Y55-Y37</f>
        <v>1193884</v>
      </c>
      <c r="Z56" s="253">
        <f>K56</f>
        <v>0</v>
      </c>
      <c r="AB56" s="114"/>
      <c r="AC56" s="114"/>
      <c r="AD56" s="114"/>
      <c r="AE56" s="114"/>
      <c r="AF56" s="249"/>
      <c r="AG56" s="114"/>
      <c r="AH56" s="114"/>
      <c r="AI56" s="114"/>
      <c r="AJ56" s="114"/>
      <c r="AK56" s="245" t="s">
        <v>78</v>
      </c>
      <c r="AL56" s="161">
        <f>AL55-AL37</f>
        <v>1170172.7272727275</v>
      </c>
      <c r="AM56" s="254">
        <f>Z56</f>
        <v>0</v>
      </c>
      <c r="AO56" s="114"/>
      <c r="AP56" s="255"/>
      <c r="AQ56" s="256" t="s">
        <v>79</v>
      </c>
      <c r="AR56" s="257" t="e">
        <f>AR55/Z56</f>
        <v>#DIV/0!</v>
      </c>
      <c r="AS56" s="258">
        <f>(AQ37+AR37)/AR54</f>
        <v>0.61308388324054086</v>
      </c>
      <c r="AT56" s="258"/>
      <c r="AU56" s="255"/>
      <c r="AV56" s="259"/>
      <c r="AW56" s="162"/>
      <c r="AX56" s="162"/>
      <c r="AY56" s="162"/>
      <c r="AZ56" s="171"/>
      <c r="BA56" s="162"/>
      <c r="BB56" s="171"/>
      <c r="BC56" s="162"/>
      <c r="BD56" s="162"/>
    </row>
    <row r="57" spans="1:88" ht="25.5" customHeight="1">
      <c r="A57" s="259"/>
      <c r="B57" s="260"/>
      <c r="C57" s="261"/>
      <c r="D57" s="259"/>
      <c r="E57" s="259"/>
      <c r="F57" s="259"/>
      <c r="G57" s="259"/>
      <c r="H57" s="262"/>
      <c r="I57" s="256" t="s">
        <v>79</v>
      </c>
      <c r="J57" s="263" t="e">
        <f>J56/K56</f>
        <v>#DIV/0!</v>
      </c>
      <c r="K57" s="264">
        <f>J37/J55</f>
        <v>0.39373441430547423</v>
      </c>
      <c r="L57" s="255"/>
      <c r="M57" s="265"/>
      <c r="N57" s="265"/>
      <c r="O57" s="259"/>
      <c r="P57" s="262"/>
      <c r="Q57" s="256" t="s">
        <v>79</v>
      </c>
      <c r="R57" s="263" t="e">
        <f>R56/S56</f>
        <v>#DIV/0!</v>
      </c>
      <c r="S57" s="264">
        <f>R37/R55</f>
        <v>0</v>
      </c>
      <c r="T57" s="255"/>
      <c r="U57" s="255"/>
      <c r="V57" s="255"/>
      <c r="W57" s="255"/>
      <c r="X57" s="256" t="s">
        <v>79</v>
      </c>
      <c r="Y57" s="257" t="e">
        <f>Y56/Z56</f>
        <v>#DIV/0!</v>
      </c>
      <c r="Z57" s="264">
        <f>Y37/Y55</f>
        <v>0.70321946194476259</v>
      </c>
      <c r="AB57" s="255"/>
      <c r="AC57" s="255"/>
      <c r="AD57" s="255"/>
      <c r="AE57" s="255"/>
      <c r="AF57" s="266"/>
      <c r="AG57" s="255"/>
      <c r="AH57" s="255"/>
      <c r="AI57" s="255"/>
      <c r="AJ57" s="255"/>
      <c r="AK57" s="256" t="s">
        <v>79</v>
      </c>
      <c r="AL57" s="263" t="e">
        <f>AL56/AM56</f>
        <v>#DIV/0!</v>
      </c>
      <c r="AM57" s="264">
        <f>AL37/AL55</f>
        <v>0.72053574530169862</v>
      </c>
      <c r="AO57" s="255"/>
      <c r="AP57" s="162"/>
      <c r="AQ57" s="162"/>
      <c r="AR57" s="171"/>
      <c r="AS57" s="162"/>
      <c r="AT57" s="162"/>
      <c r="AU57" s="162"/>
      <c r="AV57" s="162"/>
      <c r="AW57" s="259"/>
      <c r="AX57" s="259"/>
      <c r="AY57" s="259"/>
      <c r="AZ57" s="267"/>
      <c r="BA57" s="259"/>
      <c r="BB57" s="267"/>
      <c r="BC57" s="259"/>
      <c r="BD57" s="259"/>
    </row>
    <row r="58" spans="1:88" ht="15.75" customHeight="1">
      <c r="A58" s="162"/>
      <c r="B58" s="163"/>
      <c r="C58" s="164"/>
      <c r="D58" s="162"/>
      <c r="E58" s="162"/>
      <c r="F58" s="162"/>
      <c r="G58" s="162"/>
      <c r="H58" s="162"/>
      <c r="I58" s="162"/>
      <c r="J58" s="162"/>
      <c r="K58" s="162"/>
      <c r="L58" s="162"/>
      <c r="T58" s="162"/>
      <c r="U58" s="162"/>
      <c r="V58" s="162"/>
      <c r="W58" s="162"/>
      <c r="X58" s="162"/>
      <c r="Y58" s="162"/>
      <c r="Z58" s="162"/>
      <c r="AA58" s="162"/>
      <c r="AB58" s="162"/>
      <c r="AC58" s="162"/>
      <c r="AD58" s="162"/>
      <c r="AE58" s="162"/>
      <c r="AG58" s="162"/>
      <c r="AH58" s="162"/>
      <c r="AI58" s="162"/>
      <c r="AJ58" s="162"/>
      <c r="AK58" s="162"/>
      <c r="AL58" s="162"/>
      <c r="AM58" s="162"/>
      <c r="AN58" s="162"/>
      <c r="AO58" s="162"/>
      <c r="AP58" s="268"/>
      <c r="AQ58" s="268"/>
      <c r="AR58" s="268"/>
      <c r="AS58" s="268"/>
      <c r="AT58" s="268"/>
      <c r="AU58" s="268"/>
      <c r="AV58" s="268"/>
      <c r="AW58" s="162"/>
      <c r="AX58" s="162"/>
      <c r="AY58" s="162"/>
      <c r="AZ58" s="171"/>
      <c r="BA58" s="162"/>
      <c r="BB58" s="171"/>
      <c r="BC58" s="162"/>
      <c r="BD58" s="162"/>
      <c r="BO58" s="268"/>
      <c r="BP58" s="268"/>
      <c r="BQ58" s="268"/>
      <c r="BR58" s="268"/>
      <c r="BS58" s="268"/>
      <c r="BT58" s="268"/>
      <c r="BU58" s="268"/>
      <c r="BV58" s="268"/>
      <c r="BW58" s="272"/>
      <c r="BX58" s="162"/>
      <c r="BY58" s="162"/>
      <c r="BZ58" s="162"/>
      <c r="CA58" s="162"/>
      <c r="CG58" s="162"/>
    </row>
    <row r="59" spans="1:88" ht="36" customHeight="1">
      <c r="A59" s="268"/>
      <c r="B59" s="269"/>
      <c r="C59" s="270"/>
      <c r="D59" s="268"/>
      <c r="E59" s="268"/>
      <c r="F59" s="268"/>
      <c r="G59" s="268"/>
      <c r="H59" s="268"/>
      <c r="I59" s="268"/>
      <c r="J59" s="268"/>
      <c r="K59" s="268"/>
      <c r="L59" s="268"/>
      <c r="M59" s="271"/>
      <c r="N59" s="271"/>
      <c r="O59" s="271"/>
      <c r="P59" s="271"/>
      <c r="Q59" s="271"/>
      <c r="R59" s="271"/>
      <c r="S59" s="271"/>
      <c r="T59" s="272"/>
      <c r="U59" s="162"/>
      <c r="V59" s="162"/>
      <c r="W59" s="162"/>
      <c r="X59" s="162"/>
      <c r="Y59" s="162"/>
      <c r="Z59" s="272"/>
      <c r="AA59" s="268"/>
      <c r="AB59" s="268"/>
      <c r="AC59" s="268"/>
      <c r="AD59" s="268"/>
      <c r="AE59" s="268"/>
      <c r="AF59" s="271"/>
      <c r="AG59" s="268"/>
      <c r="AH59" s="268"/>
      <c r="AI59" s="268"/>
      <c r="AJ59" s="268"/>
      <c r="AK59" s="268"/>
      <c r="AL59" s="268"/>
      <c r="AM59" s="268"/>
      <c r="AN59" s="268"/>
      <c r="AO59" s="268"/>
      <c r="AP59" s="1"/>
      <c r="AQ59" s="1"/>
      <c r="AR59" s="1"/>
      <c r="AS59" s="1"/>
      <c r="AT59" s="1"/>
      <c r="AU59" s="1"/>
      <c r="AV59" s="1"/>
      <c r="AW59" s="268"/>
      <c r="AX59" s="268"/>
      <c r="AY59" s="268"/>
      <c r="AZ59" s="273"/>
      <c r="BA59" s="268"/>
      <c r="BB59" s="273"/>
      <c r="BC59" s="268"/>
      <c r="BD59" s="268"/>
      <c r="BO59" s="1"/>
      <c r="BP59" s="1"/>
      <c r="BQ59" s="1"/>
      <c r="BR59" s="1"/>
      <c r="BS59" s="1"/>
      <c r="BT59" s="1"/>
      <c r="BU59" s="1"/>
      <c r="BV59" s="1"/>
      <c r="BW59" s="277"/>
      <c r="BX59" s="162"/>
      <c r="BY59" s="162"/>
      <c r="BZ59" s="162"/>
      <c r="CA59" s="162"/>
      <c r="CB59" s="162"/>
      <c r="CC59" s="272"/>
      <c r="CD59" s="272"/>
      <c r="CE59" s="162"/>
      <c r="CF59" s="162"/>
      <c r="CG59" s="162"/>
      <c r="CH59" s="162"/>
      <c r="CI59" s="162"/>
      <c r="CJ59" s="272"/>
    </row>
    <row r="60" spans="1:88" ht="36" customHeight="1">
      <c r="A60" s="268"/>
      <c r="B60" s="269"/>
      <c r="C60" s="270"/>
      <c r="D60" s="268"/>
      <c r="E60" s="268"/>
      <c r="F60" s="268"/>
      <c r="G60" s="268"/>
      <c r="H60" s="268"/>
      <c r="I60" s="268"/>
      <c r="J60" s="268"/>
      <c r="K60" s="268"/>
      <c r="L60" s="268"/>
      <c r="M60" s="271"/>
      <c r="N60" s="271"/>
      <c r="O60" s="271"/>
      <c r="P60" s="271"/>
      <c r="Q60" s="271"/>
      <c r="R60" s="271"/>
      <c r="S60" s="271"/>
      <c r="T60" s="272"/>
      <c r="U60" s="162"/>
      <c r="V60" s="162"/>
      <c r="W60" s="162"/>
      <c r="X60" s="162"/>
      <c r="Y60" s="162"/>
      <c r="Z60" s="272"/>
      <c r="AA60" s="268"/>
      <c r="AB60" s="268"/>
      <c r="AC60" s="268"/>
      <c r="AD60" s="1" t="s">
        <v>80</v>
      </c>
      <c r="AE60" s="268"/>
      <c r="AF60" s="271"/>
      <c r="AG60" s="268"/>
      <c r="AH60" s="268"/>
      <c r="AI60" s="268"/>
      <c r="AJ60" s="268"/>
      <c r="AK60" s="268"/>
      <c r="AL60" s="1" t="s">
        <v>80</v>
      </c>
      <c r="AM60" s="268"/>
      <c r="AN60" s="268"/>
      <c r="AO60" s="270"/>
      <c r="AP60" s="268"/>
      <c r="AQ60" s="270"/>
      <c r="AR60" s="268"/>
      <c r="AS60" s="268"/>
      <c r="AT60" s="1"/>
      <c r="AU60" s="1"/>
      <c r="AV60" s="1"/>
      <c r="AW60" s="1"/>
      <c r="AX60" s="1"/>
      <c r="AY60" s="1"/>
      <c r="AZ60" s="1"/>
      <c r="BA60" s="268"/>
      <c r="BB60" s="268"/>
      <c r="BC60" s="268"/>
      <c r="BD60" s="273"/>
      <c r="BE60" s="268"/>
      <c r="BF60" s="273"/>
      <c r="BG60" s="268"/>
      <c r="BH60" s="268"/>
      <c r="BO60" s="162"/>
      <c r="BP60" s="162"/>
      <c r="BQ60" s="162"/>
      <c r="BR60" s="162"/>
      <c r="BS60" s="162"/>
      <c r="BT60" s="162"/>
      <c r="BU60" s="162"/>
      <c r="BV60" s="162"/>
      <c r="BW60" s="162"/>
      <c r="BX60" s="162"/>
      <c r="BY60" s="162"/>
      <c r="BZ60" s="162"/>
      <c r="CA60" s="162"/>
      <c r="CB60" s="162"/>
      <c r="CC60" s="277"/>
      <c r="CD60" s="277"/>
      <c r="CE60" s="162"/>
      <c r="CF60" s="162"/>
      <c r="CG60" s="162"/>
      <c r="CH60" s="162"/>
      <c r="CI60" s="162"/>
      <c r="CJ60" s="277"/>
    </row>
    <row r="61" spans="1:88" ht="36" customHeight="1">
      <c r="A61" s="1"/>
      <c r="B61" s="274"/>
      <c r="C61" s="3"/>
      <c r="D61" s="1"/>
      <c r="E61" s="1"/>
      <c r="F61" s="1"/>
      <c r="G61" s="1"/>
      <c r="H61" s="1"/>
      <c r="I61" s="1"/>
      <c r="J61" s="1"/>
      <c r="K61" s="1"/>
      <c r="L61" s="1"/>
      <c r="M61" s="275"/>
      <c r="N61" s="276"/>
      <c r="O61" s="275"/>
      <c r="P61" s="275"/>
      <c r="Q61" s="275"/>
      <c r="R61" s="275"/>
      <c r="S61" s="275"/>
      <c r="T61" s="277"/>
      <c r="U61" s="162"/>
      <c r="V61" s="162"/>
      <c r="W61" s="162"/>
      <c r="X61" s="162"/>
      <c r="Y61" s="162"/>
      <c r="Z61" s="277"/>
      <c r="AA61" s="277"/>
      <c r="AB61" s="1"/>
      <c r="AC61" s="1"/>
      <c r="AD61" s="278">
        <f>AD62/AD37</f>
        <v>0.16639973875481132</v>
      </c>
      <c r="AE61" s="1"/>
      <c r="AF61" s="275" t="s">
        <v>81</v>
      </c>
      <c r="AG61" s="1"/>
      <c r="AH61" s="279"/>
      <c r="AI61" s="1"/>
      <c r="AJ61" s="1"/>
      <c r="AK61" s="1"/>
      <c r="AL61" s="278">
        <f>AL62/AL37</f>
        <v>0.15081070168407795</v>
      </c>
      <c r="AM61" s="1"/>
      <c r="AN61" s="275" t="s">
        <v>81</v>
      </c>
      <c r="AO61" s="3"/>
      <c r="AP61" s="1"/>
      <c r="AQ61" s="3"/>
      <c r="AR61" s="1"/>
      <c r="AS61" s="1"/>
      <c r="AT61" s="268"/>
      <c r="AU61" s="268"/>
      <c r="AV61" s="268"/>
      <c r="AW61" s="268"/>
      <c r="AX61" s="268"/>
      <c r="AY61" s="268"/>
      <c r="AZ61" s="268"/>
      <c r="BA61" s="1"/>
      <c r="BB61" s="1"/>
      <c r="BC61" s="1"/>
      <c r="BD61" s="280"/>
      <c r="BE61" s="1"/>
      <c r="BF61" s="280"/>
      <c r="BG61" s="1"/>
      <c r="BH61" s="1"/>
      <c r="BO61" s="162"/>
      <c r="BP61" s="162"/>
      <c r="BQ61" s="162"/>
      <c r="BR61" s="162"/>
      <c r="BS61" s="162"/>
      <c r="BT61" s="162"/>
      <c r="BU61" s="162"/>
      <c r="BV61" s="162"/>
      <c r="BW61" s="162"/>
      <c r="BX61" s="162"/>
      <c r="BY61" s="162"/>
      <c r="BZ61" s="162"/>
      <c r="CA61" s="162"/>
      <c r="CB61" s="162"/>
      <c r="CC61" s="162"/>
      <c r="CD61" s="162"/>
      <c r="CE61" s="162"/>
      <c r="CF61" s="162"/>
      <c r="CG61" s="162"/>
      <c r="CH61" s="162"/>
      <c r="CI61" s="162"/>
      <c r="CJ61" s="162"/>
    </row>
    <row r="62" spans="1:88" ht="15.75" customHeight="1">
      <c r="A62" s="162"/>
      <c r="B62" s="163"/>
      <c r="C62" s="164"/>
      <c r="D62" s="162"/>
      <c r="E62" s="162"/>
      <c r="F62" s="162"/>
      <c r="G62" s="162"/>
      <c r="H62" s="162"/>
      <c r="I62" s="162"/>
      <c r="J62" s="162"/>
      <c r="K62" s="162"/>
      <c r="L62" s="162"/>
      <c r="T62" s="162"/>
      <c r="U62" s="162"/>
      <c r="V62" s="162"/>
      <c r="W62" s="162"/>
      <c r="X62" s="162"/>
      <c r="Y62" s="162"/>
      <c r="Z62" s="162"/>
      <c r="AA62" s="162"/>
      <c r="AB62" s="162"/>
      <c r="AC62" s="162"/>
      <c r="AD62" s="171">
        <v>630000</v>
      </c>
      <c r="AE62" s="162">
        <v>47.75</v>
      </c>
      <c r="AF62" s="281">
        <f>AD62/AE62</f>
        <v>13193.71727748691</v>
      </c>
      <c r="AG62" s="162"/>
      <c r="AH62" s="162"/>
      <c r="AI62" s="162"/>
      <c r="AJ62" s="162"/>
      <c r="AK62" s="162"/>
      <c r="AL62" s="171">
        <v>455000</v>
      </c>
      <c r="AM62" s="162">
        <v>7.07</v>
      </c>
      <c r="AN62" s="281">
        <f>AL62/AM62</f>
        <v>64356.435643564357</v>
      </c>
      <c r="AO62" s="164"/>
      <c r="AP62" s="162"/>
      <c r="AQ62" s="164"/>
      <c r="AR62" s="162"/>
      <c r="AS62" s="162"/>
      <c r="AT62" s="162"/>
      <c r="AU62" s="162"/>
      <c r="AV62" s="162"/>
      <c r="AW62" s="162"/>
      <c r="AX62" s="162"/>
      <c r="AY62" s="162"/>
      <c r="AZ62" s="162"/>
      <c r="BA62" s="162"/>
      <c r="BB62" s="162"/>
      <c r="BC62" s="162"/>
      <c r="BD62" s="162"/>
      <c r="BE62" s="162"/>
      <c r="BF62" s="171"/>
      <c r="BG62" s="162"/>
      <c r="BH62" s="171"/>
      <c r="BO62" s="162"/>
      <c r="BP62" s="162"/>
      <c r="BQ62" s="162"/>
      <c r="BR62" s="162"/>
      <c r="BS62" s="162"/>
      <c r="BT62" s="162"/>
      <c r="BU62" s="162"/>
      <c r="BV62" s="162"/>
      <c r="BW62" s="162"/>
      <c r="BX62" s="162"/>
      <c r="BY62" s="162"/>
      <c r="BZ62" s="162"/>
      <c r="CA62" s="162"/>
      <c r="CB62" s="162"/>
      <c r="CC62" s="162"/>
      <c r="CD62" s="162"/>
      <c r="CE62" s="162"/>
      <c r="CF62" s="162"/>
      <c r="CG62" s="162"/>
      <c r="CH62" s="162"/>
      <c r="CI62" s="162"/>
      <c r="CJ62" s="162"/>
    </row>
    <row r="63" spans="1:88" ht="15.75" customHeight="1">
      <c r="A63" s="162"/>
      <c r="B63" s="163"/>
      <c r="C63" s="164"/>
      <c r="D63" s="162"/>
      <c r="E63" s="162"/>
      <c r="F63" s="162"/>
      <c r="G63" s="162"/>
      <c r="H63" s="162"/>
      <c r="I63" s="162"/>
      <c r="J63" s="162"/>
      <c r="K63" s="162"/>
      <c r="L63" s="162"/>
      <c r="T63" s="162"/>
      <c r="U63" s="162"/>
      <c r="V63" s="162"/>
      <c r="W63" s="162"/>
      <c r="X63" s="162"/>
      <c r="Y63" s="162"/>
      <c r="Z63" s="162"/>
      <c r="AA63" s="162"/>
      <c r="AB63" s="162"/>
      <c r="AC63" s="162"/>
      <c r="AD63" s="282">
        <f>AD37*0.105</f>
        <v>397536.68181818177</v>
      </c>
      <c r="AE63" s="283">
        <v>0.105</v>
      </c>
      <c r="AF63" s="284" t="s">
        <v>82</v>
      </c>
      <c r="AG63" s="162"/>
      <c r="AH63" s="162"/>
      <c r="AI63" s="162"/>
      <c r="AJ63" s="162"/>
      <c r="AK63" s="162"/>
      <c r="AL63" s="282">
        <f>AL37*0.105</f>
        <v>316787.86363636359</v>
      </c>
      <c r="AM63" s="283">
        <v>0.13</v>
      </c>
      <c r="AN63" s="172"/>
      <c r="AO63" s="164"/>
      <c r="AP63" s="162"/>
      <c r="AQ63" s="164"/>
      <c r="AR63" s="162"/>
      <c r="AS63" s="162"/>
      <c r="AT63" s="162"/>
      <c r="AU63" s="162"/>
      <c r="AV63" s="162"/>
      <c r="AW63" s="162"/>
      <c r="AX63" s="162"/>
      <c r="AY63" s="162"/>
      <c r="AZ63" s="162"/>
      <c r="BA63" s="162"/>
      <c r="BB63" s="162"/>
      <c r="BC63" s="162"/>
      <c r="BD63" s="162"/>
      <c r="BE63" s="162"/>
      <c r="BF63" s="171"/>
      <c r="BG63" s="162"/>
      <c r="BH63" s="171"/>
      <c r="BO63" s="162"/>
      <c r="BP63" s="162"/>
      <c r="BQ63" s="162"/>
      <c r="BR63" s="162"/>
      <c r="BS63" s="162"/>
      <c r="BT63" s="162"/>
      <c r="BU63" s="162"/>
      <c r="BV63" s="162"/>
      <c r="BW63" s="162"/>
      <c r="BX63" s="162"/>
      <c r="BY63" s="162"/>
      <c r="BZ63" s="162"/>
      <c r="CA63" s="162"/>
      <c r="CB63" s="162"/>
      <c r="CC63" s="162"/>
      <c r="CD63" s="162"/>
      <c r="CE63" s="162"/>
      <c r="CF63" s="162"/>
      <c r="CG63" s="162"/>
      <c r="CH63" s="162"/>
      <c r="CI63" s="162"/>
      <c r="CJ63" s="162"/>
    </row>
    <row r="64" spans="1:88" ht="15.75" customHeight="1">
      <c r="A64" s="162"/>
      <c r="B64" s="163"/>
      <c r="C64" s="164"/>
      <c r="D64" s="162"/>
      <c r="E64" s="162"/>
      <c r="F64" s="162"/>
      <c r="G64" s="162"/>
      <c r="H64" s="162"/>
      <c r="I64" s="162"/>
      <c r="J64" s="162"/>
      <c r="K64" s="162"/>
      <c r="L64" s="162"/>
      <c r="T64" s="162"/>
      <c r="U64" s="162"/>
      <c r="V64" s="162"/>
      <c r="W64" s="162"/>
      <c r="X64" s="162"/>
      <c r="Y64" s="162"/>
      <c r="Z64" s="162"/>
      <c r="AA64" s="162"/>
      <c r="AB64" s="162"/>
      <c r="AC64" s="162"/>
      <c r="AD64" s="171">
        <f>AD62-AD63</f>
        <v>232463.31818181823</v>
      </c>
      <c r="AE64" s="180" t="s">
        <v>83</v>
      </c>
      <c r="AG64" s="162"/>
      <c r="AH64" s="162"/>
      <c r="AI64" s="162"/>
      <c r="AJ64" s="162"/>
      <c r="AK64" s="162"/>
      <c r="AL64" s="171">
        <f>AL62-AL63</f>
        <v>138212.13636363641</v>
      </c>
      <c r="AM64" s="180" t="s">
        <v>83</v>
      </c>
      <c r="AN64" s="172"/>
      <c r="AO64" s="164"/>
      <c r="AP64" s="162"/>
      <c r="AQ64" s="164"/>
      <c r="AR64" s="162"/>
      <c r="AS64" s="162"/>
      <c r="AT64" s="162"/>
      <c r="AU64" s="162"/>
      <c r="AV64" s="162"/>
      <c r="AW64" s="162"/>
      <c r="AX64" s="162"/>
      <c r="AY64" s="162"/>
      <c r="AZ64" s="162"/>
      <c r="BA64" s="162"/>
      <c r="BB64" s="162"/>
      <c r="BC64" s="162"/>
      <c r="BD64" s="162"/>
      <c r="BE64" s="162"/>
      <c r="BF64" s="171"/>
      <c r="BG64" s="162"/>
      <c r="BH64" s="171"/>
      <c r="BO64" s="162"/>
      <c r="BP64" s="162"/>
      <c r="BQ64" s="162"/>
      <c r="BR64" s="162"/>
      <c r="BS64" s="162"/>
      <c r="BT64" s="162"/>
      <c r="BU64" s="162"/>
      <c r="BV64" s="162"/>
      <c r="BW64" s="162"/>
      <c r="BX64" s="162"/>
      <c r="BY64" s="162"/>
      <c r="BZ64" s="162"/>
      <c r="CA64" s="162"/>
      <c r="CB64" s="162"/>
      <c r="CC64" s="162"/>
      <c r="CD64" s="162"/>
      <c r="CE64" s="162"/>
      <c r="CF64" s="162"/>
      <c r="CG64" s="162"/>
      <c r="CH64" s="162"/>
      <c r="CI64" s="162"/>
      <c r="CJ64" s="162"/>
    </row>
    <row r="65" spans="1:88" ht="15.75" customHeight="1">
      <c r="A65" s="162"/>
      <c r="B65" s="163"/>
      <c r="C65" s="164"/>
      <c r="D65" s="162"/>
      <c r="E65" s="162"/>
      <c r="F65" s="162"/>
      <c r="G65" s="162"/>
      <c r="H65" s="162"/>
      <c r="I65" s="162"/>
      <c r="J65" s="162"/>
      <c r="K65" s="162"/>
      <c r="L65" s="162"/>
      <c r="T65" s="162"/>
      <c r="U65" s="162"/>
      <c r="V65" s="162"/>
      <c r="W65" s="162"/>
      <c r="X65" s="162"/>
      <c r="Y65" s="162"/>
      <c r="Z65" s="162"/>
      <c r="AA65" s="162"/>
      <c r="AB65" s="162"/>
      <c r="AC65" s="162"/>
      <c r="AD65" s="186">
        <v>6000000</v>
      </c>
      <c r="AE65" s="162"/>
      <c r="AG65" s="162"/>
      <c r="AH65" s="162"/>
      <c r="AI65" s="162"/>
      <c r="AJ65" s="162"/>
      <c r="AK65" s="162"/>
      <c r="AL65" s="186">
        <v>3500000</v>
      </c>
      <c r="AM65" s="162"/>
      <c r="AN65" s="172"/>
      <c r="AO65" s="164"/>
      <c r="AP65" s="162"/>
      <c r="AQ65" s="164"/>
      <c r="AR65" s="162"/>
      <c r="AS65" s="162"/>
      <c r="AT65" s="162"/>
      <c r="AU65" s="162"/>
      <c r="AV65" s="162"/>
      <c r="AW65" s="162"/>
      <c r="AX65" s="162"/>
      <c r="AY65" s="162"/>
      <c r="AZ65" s="162"/>
      <c r="BA65" s="162"/>
      <c r="BB65" s="162"/>
      <c r="BC65" s="162"/>
      <c r="BD65" s="162"/>
      <c r="BE65" s="162"/>
      <c r="BF65" s="171"/>
      <c r="BG65" s="162"/>
      <c r="BH65" s="171"/>
      <c r="BO65" s="162"/>
      <c r="BP65" s="162"/>
      <c r="BQ65" s="162"/>
      <c r="BR65" s="162"/>
      <c r="BS65" s="162"/>
      <c r="BT65" s="162"/>
      <c r="BU65" s="162"/>
      <c r="BV65" s="162"/>
      <c r="BW65" s="162"/>
      <c r="BX65" s="162"/>
      <c r="BY65" s="162"/>
      <c r="BZ65" s="162"/>
      <c r="CA65" s="162"/>
      <c r="CB65" s="162"/>
      <c r="CC65" s="162"/>
      <c r="CD65" s="162"/>
      <c r="CE65" s="162"/>
      <c r="CF65" s="162"/>
      <c r="CG65" s="162"/>
      <c r="CH65" s="162"/>
      <c r="CI65" s="162"/>
      <c r="CJ65" s="162"/>
    </row>
    <row r="66" spans="1:88" ht="15.75" customHeight="1">
      <c r="A66" s="162"/>
      <c r="B66" s="163"/>
      <c r="C66" s="164"/>
      <c r="D66" s="162"/>
      <c r="E66" s="162"/>
      <c r="F66" s="162"/>
      <c r="G66" s="162"/>
      <c r="H66" s="162"/>
      <c r="I66" s="162"/>
      <c r="J66" s="162"/>
      <c r="K66" s="162"/>
      <c r="L66" s="162"/>
      <c r="T66" s="162"/>
      <c r="U66" s="162"/>
      <c r="V66" s="162"/>
      <c r="W66" s="162"/>
      <c r="X66" s="162"/>
      <c r="Y66" s="162"/>
      <c r="Z66" s="162"/>
      <c r="AA66" s="162"/>
      <c r="AB66" s="162"/>
      <c r="AC66" s="162"/>
      <c r="AD66" s="162">
        <f>AD62/AD65</f>
        <v>0.105</v>
      </c>
      <c r="AE66" s="162"/>
      <c r="AG66" s="162"/>
      <c r="AH66" s="162"/>
      <c r="AI66" s="162"/>
      <c r="AJ66" s="162"/>
      <c r="AK66" s="162"/>
      <c r="AL66" s="162">
        <f>AL62/AL65</f>
        <v>0.13</v>
      </c>
      <c r="AM66" s="162"/>
      <c r="AN66" s="172"/>
      <c r="AO66" s="164"/>
      <c r="AP66" s="162"/>
      <c r="AQ66" s="164"/>
      <c r="AR66" s="162"/>
      <c r="AS66" s="162"/>
      <c r="AT66" s="162"/>
      <c r="AU66" s="162"/>
      <c r="AV66" s="162"/>
      <c r="AW66" s="162"/>
      <c r="AX66" s="162"/>
      <c r="AY66" s="162"/>
      <c r="AZ66" s="162"/>
      <c r="BA66" s="162"/>
      <c r="BB66" s="162"/>
      <c r="BC66" s="162"/>
      <c r="BD66" s="162"/>
      <c r="BE66" s="162"/>
      <c r="BF66" s="171"/>
      <c r="BG66" s="162"/>
      <c r="BH66" s="171"/>
      <c r="BO66" s="162"/>
      <c r="BP66" s="162"/>
      <c r="BQ66" s="162"/>
      <c r="BR66" s="162"/>
      <c r="BS66" s="162"/>
      <c r="BT66" s="162"/>
      <c r="BU66" s="162"/>
      <c r="BV66" s="162"/>
      <c r="BW66" s="162"/>
      <c r="BX66" s="162"/>
      <c r="BY66" s="162"/>
      <c r="BZ66" s="162"/>
      <c r="CA66" s="162"/>
      <c r="CB66" s="162"/>
      <c r="CC66" s="162"/>
      <c r="CD66" s="162"/>
      <c r="CE66" s="162"/>
      <c r="CF66" s="162"/>
      <c r="CG66" s="162"/>
      <c r="CH66" s="162"/>
      <c r="CI66" s="162"/>
      <c r="CJ66" s="162"/>
    </row>
    <row r="67" spans="1:88" ht="15.75" customHeight="1">
      <c r="A67" s="162"/>
      <c r="B67" s="163"/>
      <c r="C67" s="164"/>
      <c r="D67" s="162"/>
      <c r="E67" s="162"/>
      <c r="F67" s="162"/>
      <c r="G67" s="162"/>
      <c r="H67" s="162"/>
      <c r="I67" s="162"/>
      <c r="J67" s="162"/>
      <c r="K67" s="162"/>
      <c r="L67" s="162"/>
      <c r="T67" s="162"/>
      <c r="U67" s="162"/>
      <c r="V67" s="162"/>
      <c r="W67" s="162"/>
      <c r="X67" s="162"/>
      <c r="Y67" s="162"/>
      <c r="Z67" s="162"/>
      <c r="AA67" s="162"/>
      <c r="AB67" s="162"/>
      <c r="AC67" s="162"/>
      <c r="AD67" s="162"/>
      <c r="AE67" s="162"/>
      <c r="AG67" s="162"/>
      <c r="AH67" s="162"/>
      <c r="AI67" s="162"/>
      <c r="AJ67" s="162"/>
      <c r="AK67" s="162"/>
      <c r="AL67" s="162"/>
      <c r="AM67" s="162"/>
      <c r="AN67" s="162"/>
      <c r="AO67" s="162"/>
      <c r="AP67" s="162"/>
      <c r="AQ67" s="162"/>
      <c r="AR67" s="162"/>
      <c r="AS67" s="162"/>
      <c r="AT67" s="162"/>
      <c r="AU67" s="162"/>
      <c r="AV67" s="162"/>
      <c r="AW67" s="162"/>
      <c r="AX67" s="162"/>
      <c r="AY67" s="162"/>
      <c r="AZ67" s="162"/>
      <c r="BA67" s="162"/>
      <c r="BB67" s="171"/>
      <c r="BC67" s="162"/>
      <c r="BD67" s="171"/>
      <c r="BO67" s="162"/>
      <c r="BP67" s="162"/>
      <c r="BQ67" s="162"/>
      <c r="BR67" s="162"/>
      <c r="BS67" s="162"/>
      <c r="BT67" s="162"/>
      <c r="BU67" s="162"/>
      <c r="BV67" s="162"/>
      <c r="BW67" s="162"/>
      <c r="BX67" s="162"/>
      <c r="BY67" s="162"/>
      <c r="BZ67" s="162"/>
      <c r="CA67" s="162"/>
      <c r="CB67" s="162"/>
      <c r="CC67" s="162"/>
      <c r="CD67" s="162"/>
      <c r="CE67" s="162"/>
      <c r="CF67" s="162"/>
      <c r="CG67" s="162"/>
      <c r="CH67" s="162"/>
      <c r="CI67" s="162"/>
      <c r="CJ67" s="162"/>
    </row>
    <row r="68" spans="1:88" ht="15.75" customHeight="1">
      <c r="A68" s="162"/>
      <c r="B68" s="163"/>
      <c r="C68" s="164"/>
      <c r="D68" s="162"/>
      <c r="E68" s="162"/>
      <c r="F68" s="162"/>
      <c r="G68" s="162"/>
      <c r="H68" s="162"/>
      <c r="I68" s="162"/>
      <c r="J68" s="162"/>
      <c r="K68" s="162"/>
      <c r="L68" s="162"/>
      <c r="T68" s="162"/>
      <c r="U68" s="162"/>
      <c r="V68" s="162"/>
      <c r="W68" s="162"/>
      <c r="X68" s="162"/>
      <c r="Y68" s="162"/>
      <c r="Z68" s="162"/>
      <c r="AA68" s="162"/>
      <c r="AB68" s="162"/>
      <c r="AC68" s="162"/>
      <c r="AD68" s="162"/>
      <c r="AE68" s="162"/>
      <c r="AG68" s="162"/>
      <c r="AH68" s="162"/>
      <c r="AI68" s="162"/>
      <c r="AJ68" s="162"/>
      <c r="AK68" s="162"/>
      <c r="AL68" s="162"/>
      <c r="AM68" s="162"/>
      <c r="AN68" s="162"/>
      <c r="AO68" s="162"/>
      <c r="AP68" s="162"/>
      <c r="AQ68" s="162"/>
      <c r="AR68" s="162"/>
      <c r="AS68" s="162"/>
      <c r="AT68" s="162"/>
      <c r="AU68" s="162"/>
      <c r="AV68" s="162"/>
      <c r="AW68" s="162"/>
      <c r="AX68" s="162"/>
      <c r="AY68" s="162"/>
      <c r="AZ68" s="162"/>
      <c r="BA68" s="162"/>
      <c r="BB68" s="171"/>
      <c r="BC68" s="162"/>
      <c r="BD68" s="171"/>
      <c r="BO68" s="162"/>
      <c r="BP68" s="162"/>
      <c r="BQ68" s="162"/>
      <c r="BR68" s="162"/>
      <c r="BS68" s="162"/>
      <c r="BT68" s="162"/>
      <c r="BU68" s="162"/>
      <c r="BV68" s="162"/>
      <c r="BW68" s="162"/>
      <c r="BX68" s="162"/>
      <c r="BY68" s="162"/>
      <c r="BZ68" s="162"/>
      <c r="CA68" s="162"/>
      <c r="CB68" s="162"/>
      <c r="CC68" s="162"/>
      <c r="CD68" s="162"/>
      <c r="CE68" s="162"/>
      <c r="CF68" s="162"/>
      <c r="CG68" s="162"/>
      <c r="CH68" s="162"/>
      <c r="CI68" s="162"/>
      <c r="CJ68" s="162"/>
    </row>
    <row r="69" spans="1:88" ht="15.75" customHeight="1">
      <c r="A69" s="162"/>
      <c r="B69" s="163"/>
      <c r="C69" s="164"/>
      <c r="D69" s="162"/>
      <c r="E69" s="162"/>
      <c r="F69" s="162"/>
      <c r="G69" s="162"/>
      <c r="H69" s="162"/>
      <c r="I69" s="162"/>
      <c r="J69" s="162"/>
      <c r="K69" s="162"/>
      <c r="L69" s="162"/>
      <c r="T69" s="162"/>
      <c r="U69" s="162"/>
      <c r="V69" s="162"/>
      <c r="W69" s="162"/>
      <c r="X69" s="162"/>
      <c r="Y69" s="162"/>
      <c r="Z69" s="162"/>
      <c r="AA69" s="162"/>
      <c r="AB69" s="162"/>
      <c r="AC69" s="162"/>
      <c r="AD69" s="162"/>
      <c r="AE69" s="162"/>
      <c r="AG69" s="162"/>
      <c r="AH69" s="162"/>
      <c r="AI69" s="162"/>
      <c r="AJ69" s="162"/>
      <c r="AK69" s="162"/>
      <c r="AL69" s="162"/>
      <c r="AM69" s="162"/>
      <c r="AN69" s="162"/>
      <c r="AO69" s="162"/>
      <c r="AP69" s="162"/>
      <c r="AQ69" s="162"/>
      <c r="AR69" s="162"/>
      <c r="AS69" s="162"/>
      <c r="AT69" s="162"/>
      <c r="AU69" s="162"/>
      <c r="AV69" s="162"/>
      <c r="AW69" s="162"/>
      <c r="AX69" s="162"/>
      <c r="AY69" s="162"/>
      <c r="AZ69" s="162"/>
      <c r="BA69" s="162"/>
      <c r="BB69" s="171"/>
      <c r="BC69" s="162"/>
      <c r="BD69" s="171"/>
      <c r="BO69" s="162"/>
      <c r="BP69" s="162"/>
      <c r="BQ69" s="162"/>
      <c r="BR69" s="162"/>
      <c r="BS69" s="162"/>
      <c r="BT69" s="162"/>
      <c r="BU69" s="162"/>
      <c r="BV69" s="162"/>
      <c r="BW69" s="162"/>
      <c r="BX69" s="162"/>
      <c r="BY69" s="162"/>
      <c r="BZ69" s="162"/>
      <c r="CA69" s="162"/>
      <c r="CB69" s="162"/>
      <c r="CC69" s="162"/>
      <c r="CD69" s="162"/>
      <c r="CE69" s="162"/>
      <c r="CF69" s="162"/>
      <c r="CG69" s="162"/>
      <c r="CH69" s="162"/>
      <c r="CI69" s="162"/>
      <c r="CJ69" s="162"/>
    </row>
    <row r="70" spans="1:88" ht="15.75" customHeight="1">
      <c r="A70" s="162"/>
      <c r="B70" s="163"/>
      <c r="C70" s="164"/>
      <c r="D70" s="162"/>
      <c r="E70" s="162"/>
      <c r="F70" s="162"/>
      <c r="G70" s="162"/>
      <c r="H70" s="162"/>
      <c r="I70" s="162"/>
      <c r="J70" s="162"/>
      <c r="K70" s="162"/>
      <c r="L70" s="162"/>
      <c r="T70" s="162"/>
      <c r="U70" s="162"/>
      <c r="V70" s="162"/>
      <c r="W70" s="162"/>
      <c r="X70" s="162"/>
      <c r="Y70" s="162"/>
      <c r="Z70" s="162"/>
      <c r="AA70" s="162"/>
      <c r="AB70" s="162"/>
      <c r="AC70" s="162"/>
      <c r="AD70" s="162"/>
      <c r="AE70" s="162"/>
      <c r="AG70" s="162"/>
      <c r="AH70" s="162"/>
      <c r="AI70" s="162"/>
      <c r="AJ70" s="162"/>
      <c r="AK70" s="162"/>
      <c r="AL70" s="162"/>
      <c r="AM70" s="162"/>
      <c r="AN70" s="162"/>
      <c r="AO70" s="162"/>
      <c r="AP70" s="162"/>
      <c r="AQ70" s="162"/>
      <c r="AR70" s="162"/>
      <c r="AS70" s="162"/>
      <c r="AT70" s="162"/>
      <c r="AU70" s="162"/>
      <c r="AV70" s="162"/>
      <c r="AW70" s="162"/>
      <c r="AX70" s="162"/>
      <c r="AY70" s="162"/>
      <c r="AZ70" s="162"/>
      <c r="BA70" s="162"/>
      <c r="BB70" s="171"/>
      <c r="BC70" s="162"/>
      <c r="BD70" s="171"/>
      <c r="BO70" s="162"/>
      <c r="BP70" s="162"/>
      <c r="BQ70" s="162"/>
      <c r="BR70" s="162"/>
      <c r="BS70" s="162"/>
      <c r="BT70" s="162"/>
      <c r="BU70" s="162"/>
      <c r="BV70" s="162"/>
      <c r="BW70" s="162"/>
      <c r="BX70" s="162"/>
      <c r="BY70" s="162"/>
      <c r="BZ70" s="162"/>
      <c r="CA70" s="162"/>
      <c r="CB70" s="162"/>
      <c r="CC70" s="162"/>
      <c r="CD70" s="162"/>
      <c r="CE70" s="162"/>
      <c r="CF70" s="162"/>
      <c r="CG70" s="162"/>
      <c r="CH70" s="162"/>
      <c r="CI70" s="162"/>
      <c r="CJ70" s="162"/>
    </row>
    <row r="71" spans="1:88" ht="15.75" customHeight="1">
      <c r="A71" s="162"/>
      <c r="B71" s="163"/>
      <c r="C71" s="164"/>
      <c r="D71" s="162"/>
      <c r="E71" s="162"/>
      <c r="F71" s="162"/>
      <c r="G71" s="162"/>
      <c r="H71" s="162"/>
      <c r="I71" s="162"/>
      <c r="J71" s="162"/>
      <c r="K71" s="162"/>
      <c r="L71" s="162"/>
      <c r="T71" s="162"/>
      <c r="U71" s="162"/>
      <c r="V71" s="162"/>
      <c r="W71" s="162"/>
      <c r="X71" s="162"/>
      <c r="Y71" s="162"/>
      <c r="Z71" s="162"/>
      <c r="AA71" s="162"/>
      <c r="AB71" s="162"/>
      <c r="AC71" s="162"/>
      <c r="AD71" s="162"/>
      <c r="AE71" s="162"/>
      <c r="AG71" s="162"/>
      <c r="AH71" s="162"/>
      <c r="AI71" s="162"/>
      <c r="AJ71" s="162"/>
      <c r="AK71" s="162"/>
      <c r="AL71" s="162"/>
      <c r="AM71" s="162"/>
      <c r="AN71" s="162"/>
      <c r="AO71" s="162"/>
      <c r="AP71" s="162"/>
      <c r="AQ71" s="162"/>
      <c r="AR71" s="162"/>
      <c r="AS71" s="162"/>
      <c r="AT71" s="162"/>
      <c r="AU71" s="162"/>
      <c r="AV71" s="162"/>
      <c r="AW71" s="162"/>
      <c r="AX71" s="162"/>
      <c r="AY71" s="162"/>
      <c r="AZ71" s="162"/>
      <c r="BA71" s="162"/>
      <c r="BB71" s="171"/>
      <c r="BC71" s="162"/>
      <c r="BD71" s="171"/>
      <c r="BO71" s="162"/>
      <c r="BP71" s="162"/>
      <c r="BQ71" s="162"/>
      <c r="BR71" s="162"/>
      <c r="BS71" s="162"/>
      <c r="BT71" s="162"/>
      <c r="BU71" s="162"/>
      <c r="BV71" s="162"/>
      <c r="BW71" s="162"/>
      <c r="BX71" s="162"/>
      <c r="BY71" s="162"/>
      <c r="BZ71" s="162"/>
      <c r="CA71" s="162"/>
      <c r="CB71" s="162"/>
      <c r="CC71" s="162"/>
      <c r="CD71" s="162"/>
      <c r="CE71" s="162"/>
      <c r="CF71" s="162"/>
      <c r="CG71" s="162"/>
      <c r="CH71" s="162"/>
      <c r="CI71" s="162"/>
      <c r="CJ71" s="162"/>
    </row>
    <row r="72" spans="1:88" ht="15.75" customHeight="1">
      <c r="A72" s="162"/>
      <c r="B72" s="163"/>
      <c r="C72" s="164"/>
      <c r="D72" s="162"/>
      <c r="E72" s="162"/>
      <c r="F72" s="162"/>
      <c r="G72" s="162"/>
      <c r="H72" s="162"/>
      <c r="I72" s="162"/>
      <c r="J72" s="162"/>
      <c r="K72" s="162"/>
      <c r="L72" s="162"/>
      <c r="T72" s="162"/>
      <c r="U72" s="162"/>
      <c r="V72" s="162"/>
      <c r="W72" s="162"/>
      <c r="X72" s="162"/>
      <c r="Y72" s="162"/>
      <c r="Z72" s="162"/>
      <c r="AA72" s="162"/>
      <c r="AB72" s="162"/>
      <c r="AC72" s="162"/>
      <c r="AD72" s="162"/>
      <c r="AE72" s="162"/>
      <c r="AG72" s="162"/>
      <c r="AH72" s="162"/>
      <c r="AI72" s="162"/>
      <c r="AJ72" s="162"/>
      <c r="AK72" s="162"/>
      <c r="AL72" s="162"/>
      <c r="AM72" s="162"/>
      <c r="AN72" s="162"/>
      <c r="AO72" s="162"/>
      <c r="AP72" s="162"/>
      <c r="AQ72" s="162"/>
      <c r="AR72" s="162"/>
      <c r="AS72" s="162"/>
      <c r="AT72" s="162"/>
      <c r="AU72" s="162"/>
      <c r="AV72" s="162"/>
      <c r="AW72" s="162"/>
      <c r="AX72" s="162"/>
      <c r="AY72" s="162"/>
      <c r="AZ72" s="162"/>
      <c r="BA72" s="162"/>
      <c r="BB72" s="171"/>
      <c r="BC72" s="162"/>
      <c r="BD72" s="171"/>
      <c r="BO72" s="162"/>
      <c r="BP72" s="162"/>
      <c r="BQ72" s="162"/>
      <c r="BR72" s="162"/>
      <c r="BS72" s="162"/>
      <c r="BT72" s="162"/>
      <c r="BU72" s="162"/>
      <c r="BV72" s="162"/>
      <c r="BW72" s="162"/>
      <c r="BX72" s="162"/>
      <c r="BY72" s="162"/>
      <c r="BZ72" s="162"/>
      <c r="CA72" s="162"/>
      <c r="CB72" s="162"/>
      <c r="CC72" s="162"/>
      <c r="CD72" s="162"/>
      <c r="CE72" s="162"/>
      <c r="CF72" s="162"/>
      <c r="CG72" s="162"/>
      <c r="CH72" s="162"/>
      <c r="CI72" s="162"/>
      <c r="CJ72" s="162"/>
    </row>
    <row r="73" spans="1:88" ht="15.75" customHeight="1">
      <c r="A73" s="162"/>
      <c r="B73" s="163"/>
      <c r="C73" s="164"/>
      <c r="D73" s="162"/>
      <c r="E73" s="162"/>
      <c r="F73" s="162"/>
      <c r="G73" s="162"/>
      <c r="H73" s="162"/>
      <c r="I73" s="162"/>
      <c r="J73" s="162"/>
      <c r="K73" s="162"/>
      <c r="L73" s="162"/>
      <c r="T73" s="162"/>
      <c r="U73" s="162"/>
      <c r="V73" s="162"/>
      <c r="W73" s="162"/>
      <c r="X73" s="162"/>
      <c r="Y73" s="162"/>
      <c r="Z73" s="162"/>
      <c r="AA73" s="162"/>
      <c r="AB73" s="162"/>
      <c r="AC73" s="162"/>
      <c r="AD73" s="162"/>
      <c r="AE73" s="162"/>
      <c r="AG73" s="162"/>
      <c r="AH73" s="162"/>
      <c r="AI73" s="162"/>
      <c r="AJ73" s="162"/>
      <c r="AK73" s="162"/>
      <c r="AL73" s="162"/>
      <c r="AM73" s="162"/>
      <c r="AN73" s="162"/>
      <c r="AO73" s="162"/>
      <c r="AP73" s="162"/>
      <c r="AQ73" s="162"/>
      <c r="AR73" s="162"/>
      <c r="AS73" s="162"/>
      <c r="AT73" s="162"/>
      <c r="AU73" s="162"/>
      <c r="AV73" s="162"/>
      <c r="AW73" s="162"/>
      <c r="AX73" s="162"/>
      <c r="AY73" s="162"/>
      <c r="AZ73" s="162"/>
      <c r="BA73" s="162"/>
      <c r="BB73" s="171"/>
      <c r="BC73" s="162"/>
      <c r="BD73" s="171"/>
      <c r="BO73" s="162"/>
      <c r="BP73" s="162"/>
      <c r="BQ73" s="162"/>
      <c r="BR73" s="162"/>
      <c r="BS73" s="162"/>
      <c r="BT73" s="162"/>
      <c r="BU73" s="162"/>
      <c r="BV73" s="162"/>
      <c r="BW73" s="162"/>
      <c r="BX73" s="162"/>
      <c r="BY73" s="162"/>
      <c r="BZ73" s="162"/>
      <c r="CA73" s="162"/>
      <c r="CB73" s="162"/>
      <c r="CC73" s="162"/>
      <c r="CD73" s="162"/>
      <c r="CE73" s="162"/>
      <c r="CF73" s="162"/>
      <c r="CG73" s="162"/>
      <c r="CH73" s="162"/>
      <c r="CI73" s="162"/>
      <c r="CJ73" s="162"/>
    </row>
    <row r="74" spans="1:88" ht="15.75" customHeight="1">
      <c r="A74" s="162"/>
      <c r="B74" s="163"/>
      <c r="C74" s="164"/>
      <c r="D74" s="162"/>
      <c r="E74" s="162"/>
      <c r="F74" s="162"/>
      <c r="G74" s="162"/>
      <c r="H74" s="162"/>
      <c r="I74" s="162"/>
      <c r="J74" s="162"/>
      <c r="K74" s="162"/>
      <c r="L74" s="162"/>
      <c r="T74" s="162"/>
      <c r="U74" s="162"/>
      <c r="V74" s="162"/>
      <c r="W74" s="162"/>
      <c r="X74" s="162"/>
      <c r="Y74" s="162"/>
      <c r="Z74" s="162"/>
      <c r="AA74" s="162"/>
      <c r="AB74" s="162"/>
      <c r="AC74" s="162"/>
      <c r="AD74" s="162"/>
      <c r="AE74" s="162"/>
      <c r="AG74" s="162"/>
      <c r="AH74" s="162"/>
      <c r="AI74" s="162"/>
      <c r="AJ74" s="162"/>
      <c r="AK74" s="162"/>
      <c r="AL74" s="162"/>
      <c r="AM74" s="162"/>
      <c r="AN74" s="162"/>
      <c r="AO74" s="162"/>
      <c r="AP74" s="162"/>
      <c r="AQ74" s="162"/>
      <c r="AR74" s="162"/>
      <c r="AS74" s="162"/>
      <c r="AT74" s="162"/>
      <c r="AU74" s="162"/>
      <c r="AV74" s="162"/>
      <c r="AW74" s="162"/>
      <c r="AX74" s="162"/>
      <c r="AY74" s="162"/>
      <c r="AZ74" s="162"/>
      <c r="BA74" s="162"/>
      <c r="BB74" s="171"/>
      <c r="BC74" s="162"/>
      <c r="BD74" s="171"/>
      <c r="BO74" s="162"/>
      <c r="BP74" s="162"/>
      <c r="BQ74" s="162"/>
      <c r="BR74" s="162"/>
      <c r="BS74" s="162"/>
      <c r="BT74" s="162"/>
      <c r="BU74" s="162"/>
      <c r="BV74" s="162"/>
      <c r="BW74" s="162"/>
      <c r="BX74" s="162"/>
      <c r="BY74" s="162"/>
      <c r="BZ74" s="162"/>
      <c r="CA74" s="162"/>
      <c r="CB74" s="162"/>
      <c r="CC74" s="162"/>
      <c r="CD74" s="162"/>
      <c r="CE74" s="162"/>
      <c r="CF74" s="162"/>
      <c r="CG74" s="162"/>
      <c r="CH74" s="162"/>
      <c r="CI74" s="162"/>
      <c r="CJ74" s="162"/>
    </row>
    <row r="75" spans="1:88" ht="15.75" customHeight="1">
      <c r="A75" s="162"/>
      <c r="B75" s="163"/>
      <c r="C75" s="164"/>
      <c r="D75" s="162"/>
      <c r="E75" s="162"/>
      <c r="F75" s="162"/>
      <c r="G75" s="162"/>
      <c r="H75" s="162"/>
      <c r="I75" s="162"/>
      <c r="J75" s="162"/>
      <c r="K75" s="162"/>
      <c r="L75" s="162"/>
      <c r="T75" s="162"/>
      <c r="U75" s="162"/>
      <c r="V75" s="162"/>
      <c r="W75" s="162"/>
      <c r="X75" s="162"/>
      <c r="Y75" s="162"/>
      <c r="Z75" s="162"/>
      <c r="AA75" s="162"/>
      <c r="AB75" s="162"/>
      <c r="AC75" s="162"/>
      <c r="AD75" s="162"/>
      <c r="AE75" s="162"/>
      <c r="AG75" s="162"/>
      <c r="AH75" s="162"/>
      <c r="AI75" s="162"/>
      <c r="AJ75" s="162"/>
      <c r="AK75" s="162"/>
      <c r="AL75" s="162"/>
      <c r="AM75" s="162"/>
      <c r="AN75" s="162"/>
      <c r="AO75" s="162"/>
      <c r="AP75" s="162"/>
      <c r="AQ75" s="162"/>
      <c r="AR75" s="162"/>
      <c r="AS75" s="162"/>
      <c r="AT75" s="162"/>
      <c r="AU75" s="162"/>
      <c r="AV75" s="162"/>
      <c r="AW75" s="162"/>
      <c r="AX75" s="162"/>
      <c r="AY75" s="162"/>
      <c r="AZ75" s="162"/>
      <c r="BA75" s="162"/>
      <c r="BB75" s="171"/>
      <c r="BC75" s="162"/>
      <c r="BD75" s="171"/>
      <c r="BO75" s="162"/>
      <c r="BP75" s="162"/>
      <c r="BQ75" s="162"/>
      <c r="BR75" s="162"/>
      <c r="BS75" s="162"/>
      <c r="BT75" s="162"/>
      <c r="BU75" s="162"/>
      <c r="BV75" s="162"/>
      <c r="BW75" s="162"/>
      <c r="BX75" s="162"/>
      <c r="BY75" s="162"/>
      <c r="BZ75" s="162"/>
      <c r="CA75" s="162"/>
      <c r="CB75" s="162"/>
      <c r="CC75" s="162"/>
      <c r="CD75" s="162"/>
      <c r="CE75" s="162"/>
      <c r="CF75" s="162"/>
      <c r="CG75" s="162"/>
      <c r="CH75" s="162"/>
      <c r="CI75" s="162"/>
      <c r="CJ75" s="162"/>
    </row>
    <row r="76" spans="1:88" ht="15.75" customHeight="1">
      <c r="A76" s="162"/>
      <c r="B76" s="163"/>
      <c r="C76" s="164"/>
      <c r="D76" s="162"/>
      <c r="E76" s="162"/>
      <c r="F76" s="162"/>
      <c r="G76" s="162"/>
      <c r="H76" s="162"/>
      <c r="I76" s="162"/>
      <c r="J76" s="162"/>
      <c r="K76" s="162"/>
      <c r="L76" s="162"/>
      <c r="T76" s="162"/>
      <c r="U76" s="162"/>
      <c r="V76" s="162"/>
      <c r="W76" s="162"/>
      <c r="X76" s="162"/>
      <c r="Y76" s="162"/>
      <c r="Z76" s="162"/>
      <c r="AA76" s="162"/>
      <c r="AB76" s="162"/>
      <c r="AC76" s="162"/>
      <c r="AD76" s="162"/>
      <c r="AE76" s="162"/>
      <c r="AG76" s="162"/>
      <c r="AH76" s="162"/>
      <c r="AI76" s="162"/>
      <c r="AJ76" s="162"/>
      <c r="AK76" s="162"/>
      <c r="AL76" s="162"/>
      <c r="AM76" s="162"/>
      <c r="AN76" s="162"/>
      <c r="AO76" s="162"/>
      <c r="AP76" s="162"/>
      <c r="AQ76" s="162"/>
      <c r="AR76" s="162"/>
      <c r="AS76" s="162"/>
      <c r="AT76" s="162"/>
      <c r="AU76" s="162"/>
      <c r="AV76" s="162"/>
      <c r="AW76" s="162"/>
      <c r="AX76" s="162"/>
      <c r="AY76" s="162"/>
      <c r="AZ76" s="162"/>
      <c r="BA76" s="162"/>
      <c r="BB76" s="171"/>
      <c r="BC76" s="162"/>
      <c r="BD76" s="171"/>
      <c r="BO76" s="162"/>
      <c r="BP76" s="162"/>
      <c r="BQ76" s="162"/>
      <c r="BR76" s="162"/>
      <c r="BS76" s="162"/>
      <c r="BT76" s="162"/>
      <c r="BU76" s="162"/>
      <c r="BV76" s="162"/>
      <c r="BW76" s="162"/>
      <c r="BX76" s="162"/>
      <c r="BY76" s="162"/>
      <c r="BZ76" s="162"/>
      <c r="CA76" s="162"/>
      <c r="CB76" s="162"/>
      <c r="CC76" s="162"/>
      <c r="CD76" s="162"/>
      <c r="CE76" s="162"/>
      <c r="CF76" s="162"/>
      <c r="CG76" s="162"/>
      <c r="CH76" s="162"/>
      <c r="CI76" s="162"/>
      <c r="CJ76" s="162"/>
    </row>
    <row r="77" spans="1:88" ht="15.75" customHeight="1">
      <c r="A77" s="162"/>
      <c r="B77" s="163"/>
      <c r="C77" s="164"/>
      <c r="D77" s="162"/>
      <c r="E77" s="162"/>
      <c r="F77" s="162"/>
      <c r="G77" s="162"/>
      <c r="H77" s="162"/>
      <c r="I77" s="162"/>
      <c r="J77" s="162"/>
      <c r="K77" s="162"/>
      <c r="L77" s="162"/>
      <c r="T77" s="162"/>
      <c r="U77" s="162"/>
      <c r="V77" s="162"/>
      <c r="W77" s="162"/>
      <c r="X77" s="162"/>
      <c r="Y77" s="162"/>
      <c r="Z77" s="162"/>
      <c r="AA77" s="162"/>
      <c r="AB77" s="162"/>
      <c r="AC77" s="162"/>
      <c r="AD77" s="162"/>
      <c r="AE77" s="162"/>
      <c r="AG77" s="162"/>
      <c r="AH77" s="162"/>
      <c r="AI77" s="162"/>
      <c r="AJ77" s="162"/>
      <c r="AK77" s="162"/>
      <c r="AL77" s="162"/>
      <c r="AM77" s="162"/>
      <c r="AN77" s="162"/>
      <c r="AO77" s="162"/>
      <c r="AP77" s="162"/>
      <c r="AQ77" s="162"/>
      <c r="AR77" s="162"/>
      <c r="AS77" s="162"/>
      <c r="AT77" s="162"/>
      <c r="AU77" s="162"/>
      <c r="AV77" s="162"/>
      <c r="AW77" s="162"/>
      <c r="AX77" s="162"/>
      <c r="AY77" s="162"/>
      <c r="AZ77" s="162"/>
      <c r="BA77" s="162"/>
      <c r="BB77" s="171"/>
      <c r="BC77" s="162"/>
      <c r="BD77" s="171"/>
      <c r="BO77" s="162"/>
      <c r="BP77" s="162"/>
      <c r="BQ77" s="162"/>
      <c r="BR77" s="162"/>
      <c r="BS77" s="162"/>
      <c r="BT77" s="162"/>
      <c r="BU77" s="162"/>
      <c r="BV77" s="162"/>
      <c r="BW77" s="162"/>
      <c r="BX77" s="162"/>
      <c r="BY77" s="162"/>
      <c r="BZ77" s="162"/>
      <c r="CA77" s="162"/>
      <c r="CB77" s="162"/>
      <c r="CC77" s="162"/>
      <c r="CD77" s="162"/>
      <c r="CE77" s="162"/>
      <c r="CF77" s="162"/>
      <c r="CG77" s="162"/>
      <c r="CH77" s="162"/>
      <c r="CI77" s="162"/>
      <c r="CJ77" s="162"/>
    </row>
    <row r="78" spans="1:88" ht="15.75" customHeight="1">
      <c r="A78" s="162"/>
      <c r="B78" s="163"/>
      <c r="C78" s="164"/>
      <c r="D78" s="162"/>
      <c r="E78" s="162"/>
      <c r="F78" s="162"/>
      <c r="G78" s="162"/>
      <c r="H78" s="162"/>
      <c r="I78" s="162"/>
      <c r="J78" s="162"/>
      <c r="K78" s="162"/>
      <c r="L78" s="162"/>
      <c r="T78" s="162"/>
      <c r="U78" s="162"/>
      <c r="V78" s="162"/>
      <c r="W78" s="162"/>
      <c r="X78" s="162"/>
      <c r="Y78" s="162"/>
      <c r="Z78" s="162"/>
      <c r="AA78" s="162"/>
      <c r="AB78" s="162"/>
      <c r="AC78" s="162"/>
      <c r="AD78" s="162"/>
      <c r="AE78" s="162"/>
      <c r="AG78" s="162"/>
      <c r="AH78" s="162"/>
      <c r="AI78" s="162"/>
      <c r="AJ78" s="162"/>
      <c r="AK78" s="162"/>
      <c r="AL78" s="162"/>
      <c r="AM78" s="162"/>
      <c r="AN78" s="162"/>
      <c r="AO78" s="162"/>
      <c r="AP78" s="162"/>
      <c r="AQ78" s="162"/>
      <c r="AR78" s="162"/>
      <c r="AS78" s="162"/>
      <c r="AT78" s="162"/>
      <c r="AU78" s="162"/>
      <c r="AV78" s="162"/>
      <c r="AW78" s="162"/>
      <c r="AX78" s="162"/>
      <c r="AY78" s="162"/>
      <c r="AZ78" s="162"/>
      <c r="BA78" s="162"/>
      <c r="BB78" s="171"/>
      <c r="BC78" s="162"/>
      <c r="BD78" s="171"/>
      <c r="BO78" s="162"/>
      <c r="BP78" s="162"/>
      <c r="BQ78" s="162"/>
      <c r="BR78" s="162"/>
      <c r="BS78" s="162"/>
      <c r="BT78" s="162"/>
      <c r="BU78" s="162"/>
      <c r="BV78" s="162"/>
      <c r="BW78" s="162"/>
      <c r="BX78" s="162"/>
      <c r="BY78" s="162"/>
      <c r="BZ78" s="162"/>
      <c r="CA78" s="162"/>
      <c r="CB78" s="162"/>
      <c r="CC78" s="162"/>
      <c r="CD78" s="162"/>
      <c r="CE78" s="162"/>
      <c r="CF78" s="162"/>
      <c r="CG78" s="162"/>
      <c r="CH78" s="162"/>
      <c r="CI78" s="162"/>
      <c r="CJ78" s="162"/>
    </row>
    <row r="79" spans="1:88" ht="15.75" customHeight="1">
      <c r="A79" s="162"/>
      <c r="B79" s="163"/>
      <c r="C79" s="164"/>
      <c r="D79" s="162"/>
      <c r="E79" s="162"/>
      <c r="F79" s="162"/>
      <c r="G79" s="162"/>
      <c r="H79" s="162"/>
      <c r="I79" s="162"/>
      <c r="J79" s="162"/>
      <c r="K79" s="162"/>
      <c r="L79" s="162"/>
      <c r="T79" s="162"/>
      <c r="U79" s="162"/>
      <c r="V79" s="162"/>
      <c r="W79" s="162"/>
      <c r="X79" s="162"/>
      <c r="Y79" s="162"/>
      <c r="Z79" s="162"/>
      <c r="AA79" s="162"/>
      <c r="AB79" s="162"/>
      <c r="AC79" s="162"/>
      <c r="AD79" s="162"/>
      <c r="AE79" s="162"/>
      <c r="AG79" s="162"/>
      <c r="AH79" s="162"/>
      <c r="AI79" s="162"/>
      <c r="AJ79" s="162"/>
      <c r="AK79" s="162"/>
      <c r="AL79" s="162"/>
      <c r="AM79" s="162"/>
      <c r="AN79" s="162"/>
      <c r="AO79" s="162"/>
      <c r="AP79" s="162"/>
      <c r="AQ79" s="162"/>
      <c r="AR79" s="162"/>
      <c r="AS79" s="162"/>
      <c r="AT79" s="162"/>
      <c r="AU79" s="162"/>
      <c r="AV79" s="162"/>
      <c r="AW79" s="162"/>
      <c r="AX79" s="162"/>
      <c r="AY79" s="162"/>
      <c r="AZ79" s="162"/>
      <c r="BA79" s="162"/>
      <c r="BB79" s="171"/>
      <c r="BC79" s="162"/>
      <c r="BD79" s="171"/>
      <c r="BO79" s="162"/>
      <c r="BP79" s="162"/>
      <c r="BQ79" s="162"/>
      <c r="BR79" s="162"/>
      <c r="BS79" s="162"/>
      <c r="BT79" s="162"/>
      <c r="BU79" s="162"/>
      <c r="BV79" s="162"/>
      <c r="BW79" s="162"/>
      <c r="BX79" s="162"/>
      <c r="BY79" s="162"/>
      <c r="BZ79" s="162"/>
      <c r="CA79" s="162"/>
      <c r="CB79" s="162"/>
      <c r="CC79" s="162"/>
      <c r="CD79" s="162"/>
      <c r="CE79" s="162"/>
      <c r="CF79" s="162"/>
      <c r="CG79" s="162"/>
      <c r="CH79" s="162"/>
      <c r="CI79" s="162"/>
      <c r="CJ79" s="162"/>
    </row>
    <row r="80" spans="1:88" ht="15.75" customHeight="1">
      <c r="A80" s="162"/>
      <c r="B80" s="163"/>
      <c r="C80" s="164"/>
      <c r="D80" s="162"/>
      <c r="E80" s="162"/>
      <c r="F80" s="162"/>
      <c r="G80" s="162"/>
      <c r="H80" s="162"/>
      <c r="I80" s="162"/>
      <c r="J80" s="162"/>
      <c r="K80" s="162"/>
      <c r="L80" s="162"/>
      <c r="T80" s="162"/>
      <c r="U80" s="162"/>
      <c r="V80" s="162"/>
      <c r="W80" s="162"/>
      <c r="X80" s="162"/>
      <c r="Y80" s="162"/>
      <c r="Z80" s="162"/>
      <c r="AA80" s="162"/>
      <c r="AB80" s="162"/>
      <c r="AC80" s="162"/>
      <c r="AD80" s="162"/>
      <c r="AE80" s="162"/>
      <c r="AG80" s="162"/>
      <c r="AH80" s="162"/>
      <c r="AI80" s="162"/>
      <c r="AJ80" s="162"/>
      <c r="AK80" s="162"/>
      <c r="AL80" s="162"/>
      <c r="AM80" s="162"/>
      <c r="AN80" s="162"/>
      <c r="AO80" s="162"/>
      <c r="AP80" s="162"/>
      <c r="AQ80" s="162"/>
      <c r="AR80" s="162"/>
      <c r="AS80" s="162"/>
      <c r="AT80" s="162"/>
      <c r="AU80" s="162"/>
      <c r="AV80" s="162"/>
      <c r="AW80" s="162"/>
      <c r="AX80" s="162"/>
      <c r="AY80" s="162"/>
      <c r="AZ80" s="162"/>
      <c r="BA80" s="162"/>
      <c r="BB80" s="171"/>
      <c r="BC80" s="162"/>
      <c r="BD80" s="171"/>
      <c r="BO80" s="162"/>
      <c r="BP80" s="162"/>
      <c r="BQ80" s="162"/>
      <c r="BR80" s="162"/>
      <c r="BS80" s="162"/>
      <c r="BT80" s="162"/>
      <c r="BU80" s="162"/>
      <c r="BV80" s="162"/>
      <c r="BW80" s="162"/>
      <c r="BX80" s="162"/>
      <c r="BY80" s="162"/>
      <c r="BZ80" s="162"/>
      <c r="CA80" s="162"/>
      <c r="CB80" s="162"/>
      <c r="CC80" s="162"/>
      <c r="CD80" s="162"/>
      <c r="CE80" s="162"/>
      <c r="CF80" s="162"/>
      <c r="CG80" s="162"/>
      <c r="CH80" s="162"/>
      <c r="CI80" s="162"/>
      <c r="CJ80" s="162"/>
    </row>
    <row r="81" spans="1:88" ht="15.75" customHeight="1">
      <c r="A81" s="162"/>
      <c r="B81" s="163"/>
      <c r="C81" s="164"/>
      <c r="D81" s="162"/>
      <c r="E81" s="162"/>
      <c r="F81" s="162"/>
      <c r="G81" s="162"/>
      <c r="H81" s="162"/>
      <c r="I81" s="162"/>
      <c r="J81" s="162"/>
      <c r="K81" s="162"/>
      <c r="L81" s="162"/>
      <c r="T81" s="162"/>
      <c r="U81" s="162"/>
      <c r="V81" s="162"/>
      <c r="W81" s="162"/>
      <c r="X81" s="162"/>
      <c r="Y81" s="162"/>
      <c r="Z81" s="162"/>
      <c r="AA81" s="162"/>
      <c r="AB81" s="162"/>
      <c r="AC81" s="162"/>
      <c r="AD81" s="162"/>
      <c r="AE81" s="162"/>
      <c r="AG81" s="162"/>
      <c r="AH81" s="162"/>
      <c r="AI81" s="162"/>
      <c r="AJ81" s="162"/>
      <c r="AK81" s="162"/>
      <c r="AL81" s="162"/>
      <c r="AM81" s="162"/>
      <c r="AN81" s="162"/>
      <c r="AO81" s="162"/>
      <c r="AP81" s="162"/>
      <c r="AQ81" s="162"/>
      <c r="AR81" s="162"/>
      <c r="AS81" s="162"/>
      <c r="AT81" s="162"/>
      <c r="AU81" s="162"/>
      <c r="AV81" s="162"/>
      <c r="AW81" s="162"/>
      <c r="AX81" s="162"/>
      <c r="AY81" s="162"/>
      <c r="AZ81" s="162"/>
      <c r="BA81" s="162"/>
      <c r="BB81" s="171"/>
      <c r="BC81" s="162"/>
      <c r="BD81" s="171"/>
      <c r="BO81" s="162"/>
      <c r="BP81" s="162"/>
      <c r="BQ81" s="162"/>
      <c r="BR81" s="162"/>
      <c r="BS81" s="162"/>
      <c r="BT81" s="162"/>
      <c r="BU81" s="162"/>
      <c r="BV81" s="162"/>
      <c r="BW81" s="162"/>
      <c r="BX81" s="162"/>
      <c r="BY81" s="162"/>
      <c r="BZ81" s="162"/>
      <c r="CA81" s="162"/>
      <c r="CB81" s="162"/>
      <c r="CC81" s="162"/>
      <c r="CD81" s="162"/>
      <c r="CE81" s="162"/>
      <c r="CF81" s="162"/>
      <c r="CG81" s="162"/>
      <c r="CH81" s="162"/>
      <c r="CI81" s="162"/>
      <c r="CJ81" s="162"/>
    </row>
    <row r="82" spans="1:88" ht="15.75" customHeight="1">
      <c r="A82" s="162"/>
      <c r="B82" s="163"/>
      <c r="C82" s="164"/>
      <c r="D82" s="162"/>
      <c r="E82" s="162"/>
      <c r="F82" s="162"/>
      <c r="G82" s="162"/>
      <c r="H82" s="162"/>
      <c r="I82" s="162"/>
      <c r="J82" s="162"/>
      <c r="K82" s="162"/>
      <c r="L82" s="162"/>
      <c r="T82" s="162"/>
      <c r="U82" s="162"/>
      <c r="V82" s="162"/>
      <c r="W82" s="162"/>
      <c r="X82" s="162"/>
      <c r="Y82" s="162"/>
      <c r="Z82" s="162"/>
      <c r="AA82" s="162"/>
      <c r="AB82" s="162"/>
      <c r="AC82" s="162"/>
      <c r="AD82" s="162"/>
      <c r="AE82" s="162"/>
      <c r="AG82" s="162"/>
      <c r="AH82" s="162"/>
      <c r="AI82" s="162"/>
      <c r="AJ82" s="162"/>
      <c r="AK82" s="162"/>
      <c r="AL82" s="162"/>
      <c r="AM82" s="162"/>
      <c r="AN82" s="162"/>
      <c r="AO82" s="162"/>
      <c r="AP82" s="162"/>
      <c r="AQ82" s="162"/>
      <c r="AR82" s="162"/>
      <c r="AS82" s="162"/>
      <c r="AT82" s="162"/>
      <c r="AU82" s="162"/>
      <c r="AV82" s="162"/>
      <c r="AW82" s="162"/>
      <c r="AX82" s="162"/>
      <c r="AY82" s="162"/>
      <c r="AZ82" s="162"/>
      <c r="BA82" s="162"/>
      <c r="BB82" s="171"/>
      <c r="BC82" s="162"/>
      <c r="BD82" s="171"/>
      <c r="BO82" s="162"/>
      <c r="BP82" s="162"/>
      <c r="BQ82" s="162"/>
      <c r="BR82" s="162"/>
      <c r="BS82" s="162"/>
      <c r="BT82" s="162"/>
      <c r="BU82" s="162"/>
      <c r="BV82" s="162"/>
      <c r="BW82" s="162"/>
      <c r="BX82" s="162"/>
      <c r="BY82" s="162"/>
      <c r="BZ82" s="162"/>
      <c r="CA82" s="162"/>
      <c r="CB82" s="162"/>
      <c r="CC82" s="162"/>
      <c r="CD82" s="162"/>
      <c r="CE82" s="162"/>
      <c r="CF82" s="162"/>
      <c r="CG82" s="162"/>
      <c r="CH82" s="162"/>
      <c r="CI82" s="162"/>
      <c r="CJ82" s="162"/>
    </row>
    <row r="83" spans="1:88" ht="15.75" customHeight="1">
      <c r="A83" s="162"/>
      <c r="B83" s="163"/>
      <c r="C83" s="164"/>
      <c r="D83" s="162"/>
      <c r="E83" s="162"/>
      <c r="F83" s="162"/>
      <c r="G83" s="162"/>
      <c r="H83" s="162"/>
      <c r="I83" s="162"/>
      <c r="J83" s="162"/>
      <c r="K83" s="162"/>
      <c r="L83" s="162"/>
      <c r="T83" s="162"/>
      <c r="U83" s="162"/>
      <c r="V83" s="162"/>
      <c r="W83" s="162"/>
      <c r="X83" s="162"/>
      <c r="Y83" s="162"/>
      <c r="Z83" s="162"/>
      <c r="AA83" s="162"/>
      <c r="AB83" s="162"/>
      <c r="AC83" s="162"/>
      <c r="AD83" s="162"/>
      <c r="AE83" s="162"/>
      <c r="AG83" s="162"/>
      <c r="AH83" s="162"/>
      <c r="AI83" s="162"/>
      <c r="AJ83" s="162"/>
      <c r="AK83" s="162"/>
      <c r="AL83" s="162"/>
      <c r="AM83" s="162"/>
      <c r="AN83" s="162"/>
      <c r="AO83" s="162"/>
      <c r="AP83" s="162"/>
      <c r="AQ83" s="162"/>
      <c r="AR83" s="162"/>
      <c r="AS83" s="162"/>
      <c r="AT83" s="162"/>
      <c r="AU83" s="162"/>
      <c r="AV83" s="162"/>
      <c r="AW83" s="162"/>
      <c r="AX83" s="162"/>
      <c r="AY83" s="162"/>
      <c r="AZ83" s="162"/>
      <c r="BA83" s="162"/>
      <c r="BB83" s="171"/>
      <c r="BC83" s="162"/>
      <c r="BD83" s="171"/>
      <c r="BO83" s="162"/>
      <c r="BP83" s="162"/>
      <c r="BQ83" s="162"/>
      <c r="BR83" s="162"/>
      <c r="BS83" s="162"/>
      <c r="BT83" s="162"/>
      <c r="BU83" s="162"/>
      <c r="BV83" s="162"/>
      <c r="BW83" s="162"/>
      <c r="BX83" s="162"/>
      <c r="BY83" s="162"/>
      <c r="BZ83" s="162"/>
      <c r="CA83" s="162"/>
      <c r="CB83" s="162"/>
      <c r="CC83" s="162"/>
      <c r="CD83" s="162"/>
      <c r="CE83" s="162"/>
      <c r="CF83" s="162"/>
      <c r="CG83" s="162"/>
      <c r="CH83" s="162"/>
      <c r="CI83" s="162"/>
      <c r="CJ83" s="162"/>
    </row>
    <row r="84" spans="1:88" ht="15.75" customHeight="1">
      <c r="A84" s="162"/>
      <c r="B84" s="163"/>
      <c r="C84" s="164"/>
      <c r="D84" s="162"/>
      <c r="E84" s="162"/>
      <c r="F84" s="162"/>
      <c r="G84" s="162"/>
      <c r="H84" s="162"/>
      <c r="I84" s="162"/>
      <c r="J84" s="162"/>
      <c r="K84" s="162"/>
      <c r="L84" s="162"/>
      <c r="T84" s="162"/>
      <c r="U84" s="162"/>
      <c r="V84" s="162"/>
      <c r="W84" s="162"/>
      <c r="X84" s="162"/>
      <c r="Y84" s="162"/>
      <c r="Z84" s="162"/>
      <c r="AA84" s="162"/>
      <c r="AB84" s="162"/>
      <c r="AC84" s="162"/>
      <c r="AD84" s="162"/>
      <c r="AE84" s="162"/>
      <c r="AG84" s="162"/>
      <c r="AH84" s="162"/>
      <c r="AI84" s="162"/>
      <c r="AJ84" s="162"/>
      <c r="AK84" s="162"/>
      <c r="AL84" s="162"/>
      <c r="AM84" s="162"/>
      <c r="AN84" s="162"/>
      <c r="AO84" s="162"/>
      <c r="AP84" s="162"/>
      <c r="AQ84" s="162"/>
      <c r="AR84" s="162"/>
      <c r="AS84" s="162"/>
      <c r="AT84" s="162"/>
      <c r="AU84" s="162"/>
      <c r="AV84" s="162"/>
      <c r="AW84" s="162"/>
      <c r="AX84" s="162"/>
      <c r="AY84" s="162"/>
      <c r="AZ84" s="162"/>
      <c r="BA84" s="162"/>
      <c r="BB84" s="171"/>
      <c r="BC84" s="162"/>
      <c r="BD84" s="171"/>
      <c r="BO84" s="162"/>
      <c r="BP84" s="162"/>
      <c r="BQ84" s="162"/>
      <c r="BR84" s="162"/>
      <c r="BS84" s="162"/>
      <c r="BT84" s="162"/>
      <c r="BU84" s="162"/>
      <c r="BV84" s="162"/>
      <c r="BW84" s="162"/>
      <c r="BX84" s="162"/>
      <c r="BY84" s="162"/>
      <c r="BZ84" s="162"/>
      <c r="CA84" s="162"/>
      <c r="CB84" s="162"/>
      <c r="CC84" s="162"/>
      <c r="CD84" s="162"/>
      <c r="CE84" s="162"/>
      <c r="CF84" s="162"/>
      <c r="CG84" s="162"/>
      <c r="CH84" s="162"/>
      <c r="CI84" s="162"/>
      <c r="CJ84" s="162"/>
    </row>
    <row r="85" spans="1:88" ht="15.75" customHeight="1">
      <c r="A85" s="162"/>
      <c r="B85" s="163"/>
      <c r="C85" s="164"/>
      <c r="D85" s="162"/>
      <c r="E85" s="162"/>
      <c r="F85" s="162"/>
      <c r="G85" s="162"/>
      <c r="H85" s="162"/>
      <c r="I85" s="162"/>
      <c r="J85" s="162"/>
      <c r="K85" s="162"/>
      <c r="L85" s="162"/>
      <c r="T85" s="162"/>
      <c r="U85" s="162"/>
      <c r="V85" s="162"/>
      <c r="W85" s="162"/>
      <c r="X85" s="162"/>
      <c r="Y85" s="162"/>
      <c r="Z85" s="162"/>
      <c r="AA85" s="162"/>
      <c r="AB85" s="162"/>
      <c r="AC85" s="162"/>
      <c r="AD85" s="162"/>
      <c r="AE85" s="162"/>
      <c r="AG85" s="162"/>
      <c r="AH85" s="162"/>
      <c r="AI85" s="162"/>
      <c r="AJ85" s="162"/>
      <c r="AK85" s="162"/>
      <c r="AL85" s="162"/>
      <c r="AM85" s="162"/>
      <c r="AN85" s="162"/>
      <c r="AO85" s="162"/>
      <c r="AP85" s="162"/>
      <c r="AQ85" s="162"/>
      <c r="AR85" s="162"/>
      <c r="AS85" s="162"/>
      <c r="AT85" s="162"/>
      <c r="AU85" s="162"/>
      <c r="AV85" s="162"/>
      <c r="AW85" s="162"/>
      <c r="AX85" s="162"/>
      <c r="AY85" s="162"/>
      <c r="AZ85" s="162"/>
      <c r="BA85" s="162"/>
      <c r="BB85" s="171"/>
      <c r="BC85" s="162"/>
      <c r="BD85" s="171"/>
      <c r="BO85" s="162"/>
      <c r="BP85" s="162"/>
      <c r="BQ85" s="162"/>
      <c r="BR85" s="162"/>
      <c r="BS85" s="162"/>
      <c r="BT85" s="162"/>
      <c r="BU85" s="162"/>
      <c r="BV85" s="162"/>
      <c r="BW85" s="162"/>
      <c r="BX85" s="162"/>
      <c r="BY85" s="162"/>
      <c r="BZ85" s="162"/>
      <c r="CA85" s="162"/>
      <c r="CB85" s="162"/>
      <c r="CC85" s="162"/>
      <c r="CD85" s="162"/>
      <c r="CE85" s="162"/>
      <c r="CF85" s="162"/>
      <c r="CG85" s="162"/>
      <c r="CH85" s="162"/>
      <c r="CI85" s="162"/>
      <c r="CJ85" s="162"/>
    </row>
    <row r="86" spans="1:88" ht="15.75" customHeight="1">
      <c r="A86" s="162"/>
      <c r="B86" s="163"/>
      <c r="C86" s="164"/>
      <c r="D86" s="162"/>
      <c r="E86" s="162"/>
      <c r="F86" s="162"/>
      <c r="G86" s="162"/>
      <c r="H86" s="162"/>
      <c r="I86" s="162"/>
      <c r="J86" s="162"/>
      <c r="K86" s="162"/>
      <c r="L86" s="162"/>
      <c r="T86" s="162"/>
      <c r="U86" s="162"/>
      <c r="V86" s="162"/>
      <c r="W86" s="162"/>
      <c r="X86" s="162"/>
      <c r="Y86" s="162"/>
      <c r="Z86" s="162"/>
      <c r="AA86" s="162"/>
      <c r="AB86" s="162"/>
      <c r="AC86" s="162"/>
      <c r="AD86" s="162"/>
      <c r="AE86" s="162"/>
      <c r="AG86" s="162"/>
      <c r="AH86" s="162"/>
      <c r="AI86" s="162"/>
      <c r="AJ86" s="162"/>
      <c r="AK86" s="162"/>
      <c r="AL86" s="162"/>
      <c r="AM86" s="162"/>
      <c r="AN86" s="162"/>
      <c r="AO86" s="162"/>
      <c r="AP86" s="162"/>
      <c r="AQ86" s="162"/>
      <c r="AR86" s="162"/>
      <c r="AS86" s="162"/>
      <c r="AT86" s="162"/>
      <c r="AU86" s="162"/>
      <c r="AV86" s="162"/>
      <c r="AW86" s="162"/>
      <c r="AX86" s="162"/>
      <c r="AY86" s="162"/>
      <c r="AZ86" s="162"/>
      <c r="BA86" s="162"/>
      <c r="BB86" s="171"/>
      <c r="BC86" s="162"/>
      <c r="BD86" s="171"/>
      <c r="BO86" s="162"/>
      <c r="BP86" s="162"/>
      <c r="BQ86" s="162"/>
      <c r="BR86" s="162"/>
      <c r="BS86" s="162"/>
      <c r="BT86" s="162"/>
      <c r="BU86" s="162"/>
      <c r="BV86" s="162"/>
      <c r="BW86" s="162"/>
      <c r="BX86" s="162"/>
      <c r="BY86" s="162"/>
      <c r="BZ86" s="162"/>
      <c r="CA86" s="162"/>
      <c r="CB86" s="162"/>
      <c r="CC86" s="162"/>
      <c r="CD86" s="162"/>
      <c r="CE86" s="162"/>
      <c r="CF86" s="162"/>
      <c r="CG86" s="162"/>
      <c r="CH86" s="162"/>
      <c r="CI86" s="162"/>
      <c r="CJ86" s="162"/>
    </row>
    <row r="87" spans="1:88" ht="15.75" customHeight="1">
      <c r="A87" s="162"/>
      <c r="B87" s="163"/>
      <c r="C87" s="164"/>
      <c r="D87" s="162"/>
      <c r="E87" s="162"/>
      <c r="F87" s="162"/>
      <c r="G87" s="162"/>
      <c r="H87" s="162"/>
      <c r="I87" s="162"/>
      <c r="J87" s="162"/>
      <c r="K87" s="162"/>
      <c r="L87" s="162"/>
      <c r="T87" s="162"/>
      <c r="U87" s="162"/>
      <c r="V87" s="162"/>
      <c r="W87" s="162"/>
      <c r="X87" s="162"/>
      <c r="Y87" s="162"/>
      <c r="Z87" s="162"/>
      <c r="AA87" s="162"/>
      <c r="AB87" s="162"/>
      <c r="AC87" s="162"/>
      <c r="AD87" s="162"/>
      <c r="AE87" s="162"/>
      <c r="AG87" s="162"/>
      <c r="AH87" s="162"/>
      <c r="AI87" s="162"/>
      <c r="AJ87" s="162"/>
      <c r="AK87" s="162"/>
      <c r="AL87" s="162"/>
      <c r="AM87" s="162"/>
      <c r="AN87" s="162"/>
      <c r="AO87" s="162"/>
      <c r="AP87" s="162"/>
      <c r="AQ87" s="162"/>
      <c r="AR87" s="162"/>
      <c r="AS87" s="162"/>
      <c r="AT87" s="162"/>
      <c r="AU87" s="162"/>
      <c r="AV87" s="162"/>
      <c r="AW87" s="162"/>
      <c r="AX87" s="162"/>
      <c r="AY87" s="162"/>
      <c r="AZ87" s="162"/>
      <c r="BA87" s="162"/>
      <c r="BB87" s="171"/>
      <c r="BC87" s="162"/>
      <c r="BD87" s="171"/>
      <c r="BO87" s="162"/>
      <c r="BP87" s="162"/>
      <c r="BQ87" s="162"/>
      <c r="BR87" s="162"/>
      <c r="BS87" s="162"/>
      <c r="BT87" s="162"/>
      <c r="BU87" s="162"/>
      <c r="BV87" s="162"/>
      <c r="BW87" s="162"/>
      <c r="BX87" s="162"/>
      <c r="BY87" s="162"/>
      <c r="BZ87" s="162"/>
      <c r="CA87" s="162"/>
      <c r="CB87" s="162"/>
      <c r="CC87" s="162"/>
      <c r="CD87" s="162"/>
      <c r="CE87" s="162"/>
      <c r="CF87" s="162"/>
      <c r="CG87" s="162"/>
      <c r="CH87" s="162"/>
      <c r="CI87" s="162"/>
      <c r="CJ87" s="162"/>
    </row>
    <row r="88" spans="1:88" ht="15.75" customHeight="1">
      <c r="A88" s="162"/>
      <c r="B88" s="163"/>
      <c r="C88" s="164"/>
      <c r="D88" s="162"/>
      <c r="E88" s="162"/>
      <c r="F88" s="162"/>
      <c r="G88" s="162"/>
      <c r="H88" s="162"/>
      <c r="I88" s="162"/>
      <c r="J88" s="162"/>
      <c r="K88" s="162"/>
      <c r="L88" s="162"/>
      <c r="T88" s="162"/>
      <c r="U88" s="162"/>
      <c r="V88" s="162"/>
      <c r="W88" s="162"/>
      <c r="X88" s="162"/>
      <c r="Y88" s="162"/>
      <c r="Z88" s="162"/>
      <c r="AA88" s="162"/>
      <c r="AB88" s="162"/>
      <c r="AC88" s="162"/>
      <c r="AD88" s="162"/>
      <c r="AE88" s="162"/>
      <c r="AG88" s="162"/>
      <c r="AH88" s="162"/>
      <c r="AI88" s="162"/>
      <c r="AJ88" s="162"/>
      <c r="AK88" s="162"/>
      <c r="AL88" s="162"/>
      <c r="AM88" s="162"/>
      <c r="AN88" s="162"/>
      <c r="AO88" s="162"/>
      <c r="AP88" s="162"/>
      <c r="AQ88" s="162"/>
      <c r="AR88" s="162"/>
      <c r="AS88" s="162"/>
      <c r="AT88" s="162"/>
      <c r="AU88" s="162"/>
      <c r="AV88" s="162"/>
      <c r="AW88" s="162"/>
      <c r="AX88" s="162"/>
      <c r="AY88" s="162"/>
      <c r="AZ88" s="162"/>
      <c r="BA88" s="162"/>
      <c r="BB88" s="171"/>
      <c r="BC88" s="162"/>
      <c r="BD88" s="171"/>
      <c r="BO88" s="162"/>
      <c r="BP88" s="162"/>
      <c r="BQ88" s="162"/>
      <c r="BR88" s="162"/>
      <c r="BS88" s="162"/>
      <c r="BT88" s="162"/>
      <c r="BU88" s="162"/>
      <c r="BV88" s="162"/>
      <c r="BW88" s="162"/>
      <c r="BX88" s="162"/>
      <c r="BY88" s="162"/>
      <c r="BZ88" s="162"/>
      <c r="CA88" s="162"/>
      <c r="CB88" s="162"/>
      <c r="CC88" s="162"/>
      <c r="CD88" s="162"/>
      <c r="CE88" s="162"/>
      <c r="CF88" s="162"/>
      <c r="CG88" s="162"/>
      <c r="CH88" s="162"/>
      <c r="CI88" s="162"/>
      <c r="CJ88" s="162"/>
    </row>
    <row r="89" spans="1:88" ht="15.75" customHeight="1">
      <c r="A89" s="162"/>
      <c r="B89" s="163"/>
      <c r="C89" s="164"/>
      <c r="D89" s="162"/>
      <c r="E89" s="162"/>
      <c r="F89" s="162"/>
      <c r="G89" s="162"/>
      <c r="H89" s="162"/>
      <c r="I89" s="162"/>
      <c r="J89" s="162"/>
      <c r="K89" s="162"/>
      <c r="L89" s="162"/>
      <c r="T89" s="162"/>
      <c r="U89" s="162"/>
      <c r="V89" s="162"/>
      <c r="W89" s="162"/>
      <c r="X89" s="162"/>
      <c r="Y89" s="162"/>
      <c r="Z89" s="162"/>
      <c r="AA89" s="162"/>
      <c r="AB89" s="162"/>
      <c r="AC89" s="162"/>
      <c r="AD89" s="162"/>
      <c r="AE89" s="162"/>
      <c r="AG89" s="162"/>
      <c r="AH89" s="162"/>
      <c r="AI89" s="162"/>
      <c r="AJ89" s="162"/>
      <c r="AK89" s="162"/>
      <c r="AL89" s="162"/>
      <c r="AM89" s="162"/>
      <c r="AN89" s="162"/>
      <c r="AO89" s="162"/>
      <c r="AP89" s="162"/>
      <c r="AQ89" s="162"/>
      <c r="AR89" s="162"/>
      <c r="AS89" s="162"/>
      <c r="AT89" s="162"/>
      <c r="AU89" s="162"/>
      <c r="AV89" s="162"/>
      <c r="AW89" s="162"/>
      <c r="AX89" s="162"/>
      <c r="AY89" s="162"/>
      <c r="AZ89" s="162"/>
      <c r="BA89" s="162"/>
      <c r="BB89" s="171"/>
      <c r="BC89" s="162"/>
      <c r="BD89" s="171"/>
      <c r="BO89" s="162"/>
      <c r="BP89" s="162"/>
      <c r="BQ89" s="162"/>
      <c r="BR89" s="162"/>
      <c r="BS89" s="162"/>
      <c r="BT89" s="162"/>
      <c r="BU89" s="162"/>
      <c r="BV89" s="162"/>
      <c r="BW89" s="162"/>
      <c r="BX89" s="162"/>
      <c r="BY89" s="162"/>
      <c r="BZ89" s="162"/>
      <c r="CA89" s="162"/>
      <c r="CB89" s="162"/>
      <c r="CC89" s="162"/>
      <c r="CD89" s="162"/>
      <c r="CE89" s="162"/>
      <c r="CF89" s="162"/>
      <c r="CG89" s="162"/>
      <c r="CH89" s="162"/>
      <c r="CI89" s="162"/>
      <c r="CJ89" s="162"/>
    </row>
    <row r="90" spans="1:88" ht="15.75" customHeight="1">
      <c r="A90" s="162"/>
      <c r="B90" s="163"/>
      <c r="C90" s="164"/>
      <c r="D90" s="162"/>
      <c r="E90" s="162"/>
      <c r="F90" s="162"/>
      <c r="G90" s="162"/>
      <c r="H90" s="162"/>
      <c r="I90" s="162"/>
      <c r="J90" s="162"/>
      <c r="K90" s="162"/>
      <c r="L90" s="162"/>
      <c r="T90" s="162"/>
      <c r="U90" s="162"/>
      <c r="V90" s="162"/>
      <c r="W90" s="162"/>
      <c r="X90" s="162"/>
      <c r="Y90" s="162"/>
      <c r="Z90" s="162"/>
      <c r="AA90" s="162"/>
      <c r="AB90" s="162"/>
      <c r="AC90" s="162"/>
      <c r="AD90" s="162"/>
      <c r="AE90" s="162"/>
      <c r="AG90" s="162"/>
      <c r="AH90" s="162"/>
      <c r="AI90" s="162"/>
      <c r="AJ90" s="162"/>
      <c r="AK90" s="162"/>
      <c r="AL90" s="162"/>
      <c r="AM90" s="162"/>
      <c r="AN90" s="162"/>
      <c r="AO90" s="162"/>
      <c r="AP90" s="162"/>
      <c r="AQ90" s="162"/>
      <c r="AR90" s="162"/>
      <c r="AS90" s="162"/>
      <c r="AT90" s="162"/>
      <c r="AU90" s="162"/>
      <c r="AV90" s="162"/>
      <c r="AW90" s="162"/>
      <c r="AX90" s="162"/>
      <c r="AY90" s="162"/>
      <c r="AZ90" s="162"/>
      <c r="BA90" s="162"/>
      <c r="BB90" s="171"/>
      <c r="BC90" s="162"/>
      <c r="BD90" s="171"/>
      <c r="BO90" s="162"/>
      <c r="BP90" s="162"/>
      <c r="BQ90" s="162"/>
      <c r="BR90" s="162"/>
      <c r="BS90" s="162"/>
      <c r="BT90" s="162"/>
      <c r="BU90" s="162"/>
      <c r="BV90" s="162"/>
      <c r="BW90" s="162"/>
      <c r="BX90" s="162"/>
      <c r="BY90" s="162"/>
      <c r="BZ90" s="162"/>
      <c r="CA90" s="162"/>
      <c r="CB90" s="162"/>
      <c r="CC90" s="162"/>
      <c r="CD90" s="162"/>
      <c r="CE90" s="162"/>
      <c r="CF90" s="162"/>
      <c r="CG90" s="162"/>
      <c r="CH90" s="162"/>
      <c r="CI90" s="162"/>
      <c r="CJ90" s="162"/>
    </row>
    <row r="91" spans="1:88" ht="15.75" customHeight="1">
      <c r="A91" s="162"/>
      <c r="B91" s="163"/>
      <c r="C91" s="164"/>
      <c r="D91" s="162"/>
      <c r="E91" s="162"/>
      <c r="F91" s="162"/>
      <c r="G91" s="162"/>
      <c r="H91" s="162"/>
      <c r="I91" s="162"/>
      <c r="J91" s="162"/>
      <c r="K91" s="162"/>
      <c r="L91" s="162"/>
      <c r="T91" s="162"/>
      <c r="U91" s="162"/>
      <c r="V91" s="162"/>
      <c r="W91" s="162"/>
      <c r="X91" s="162"/>
      <c r="Y91" s="162"/>
      <c r="Z91" s="162"/>
      <c r="AA91" s="162"/>
      <c r="AB91" s="162"/>
      <c r="AC91" s="162"/>
      <c r="AD91" s="162"/>
      <c r="AE91" s="162"/>
      <c r="AG91" s="162"/>
      <c r="AH91" s="162"/>
      <c r="AI91" s="162"/>
      <c r="AJ91" s="162"/>
      <c r="AK91" s="162"/>
      <c r="AL91" s="162"/>
      <c r="AM91" s="162"/>
      <c r="AN91" s="162"/>
      <c r="AO91" s="162"/>
      <c r="AP91" s="162"/>
      <c r="AQ91" s="162"/>
      <c r="AR91" s="162"/>
      <c r="AS91" s="162"/>
      <c r="AT91" s="162"/>
      <c r="AU91" s="162"/>
      <c r="AV91" s="162"/>
      <c r="AW91" s="162"/>
      <c r="AX91" s="162"/>
      <c r="AY91" s="162"/>
      <c r="AZ91" s="162"/>
      <c r="BA91" s="162"/>
      <c r="BB91" s="171"/>
      <c r="BC91" s="162"/>
      <c r="BD91" s="171"/>
      <c r="BO91" s="162"/>
      <c r="BP91" s="162"/>
      <c r="BQ91" s="162"/>
      <c r="BR91" s="162"/>
      <c r="BS91" s="162"/>
      <c r="BT91" s="162"/>
      <c r="BU91" s="162"/>
      <c r="BV91" s="162"/>
      <c r="BW91" s="162"/>
      <c r="BX91" s="162"/>
      <c r="BY91" s="162"/>
      <c r="BZ91" s="162"/>
      <c r="CA91" s="162"/>
      <c r="CB91" s="162"/>
      <c r="CC91" s="162"/>
      <c r="CD91" s="162"/>
      <c r="CE91" s="162"/>
      <c r="CF91" s="162"/>
      <c r="CG91" s="162"/>
      <c r="CH91" s="162"/>
      <c r="CI91" s="162"/>
      <c r="CJ91" s="162"/>
    </row>
    <row r="92" spans="1:88" ht="15.75" customHeight="1">
      <c r="A92" s="162"/>
      <c r="B92" s="163"/>
      <c r="C92" s="164"/>
      <c r="D92" s="162"/>
      <c r="E92" s="162"/>
      <c r="F92" s="162"/>
      <c r="G92" s="162"/>
      <c r="H92" s="162"/>
      <c r="I92" s="162"/>
      <c r="J92" s="162"/>
      <c r="K92" s="162"/>
      <c r="L92" s="162"/>
      <c r="T92" s="162"/>
      <c r="U92" s="162"/>
      <c r="V92" s="162"/>
      <c r="W92" s="162"/>
      <c r="X92" s="162"/>
      <c r="Y92" s="162"/>
      <c r="Z92" s="162"/>
      <c r="AA92" s="162"/>
      <c r="AB92" s="162"/>
      <c r="AC92" s="162"/>
      <c r="AD92" s="162"/>
      <c r="AE92" s="162"/>
      <c r="AG92" s="162"/>
      <c r="AH92" s="162"/>
      <c r="AI92" s="162"/>
      <c r="AJ92" s="162"/>
      <c r="AK92" s="162"/>
      <c r="AL92" s="162"/>
      <c r="AM92" s="162"/>
      <c r="AN92" s="162"/>
      <c r="AO92" s="162"/>
      <c r="AP92" s="162"/>
      <c r="AQ92" s="162"/>
      <c r="AR92" s="162"/>
      <c r="AS92" s="162"/>
      <c r="AT92" s="162"/>
      <c r="AU92" s="162"/>
      <c r="AV92" s="162"/>
      <c r="AW92" s="162"/>
      <c r="AX92" s="162"/>
      <c r="AY92" s="162"/>
      <c r="AZ92" s="162"/>
      <c r="BA92" s="162"/>
      <c r="BB92" s="171"/>
      <c r="BC92" s="162"/>
      <c r="BD92" s="171"/>
      <c r="BO92" s="162"/>
      <c r="BP92" s="162"/>
      <c r="BQ92" s="162"/>
      <c r="BR92" s="162"/>
      <c r="BS92" s="162"/>
      <c r="BT92" s="162"/>
      <c r="BU92" s="162"/>
      <c r="BV92" s="162"/>
      <c r="BW92" s="162"/>
      <c r="BX92" s="162"/>
      <c r="BY92" s="162"/>
      <c r="BZ92" s="162"/>
      <c r="CA92" s="162"/>
      <c r="CB92" s="162"/>
      <c r="CC92" s="162"/>
      <c r="CD92" s="162"/>
      <c r="CE92" s="162"/>
      <c r="CF92" s="162"/>
      <c r="CG92" s="162"/>
      <c r="CH92" s="162"/>
      <c r="CI92" s="162"/>
      <c r="CJ92" s="162"/>
    </row>
    <row r="93" spans="1:88" ht="15.75" customHeight="1">
      <c r="A93" s="162"/>
      <c r="B93" s="163"/>
      <c r="C93" s="164"/>
      <c r="D93" s="162"/>
      <c r="E93" s="162"/>
      <c r="F93" s="162"/>
      <c r="G93" s="162"/>
      <c r="H93" s="162"/>
      <c r="I93" s="162"/>
      <c r="J93" s="162"/>
      <c r="K93" s="162"/>
      <c r="L93" s="162"/>
      <c r="T93" s="162"/>
      <c r="U93" s="162"/>
      <c r="V93" s="162"/>
      <c r="W93" s="162"/>
      <c r="X93" s="162"/>
      <c r="Y93" s="162"/>
      <c r="Z93" s="162"/>
      <c r="AA93" s="162"/>
      <c r="AB93" s="162"/>
      <c r="AC93" s="162"/>
      <c r="AD93" s="162"/>
      <c r="AE93" s="162"/>
      <c r="AG93" s="162"/>
      <c r="AH93" s="162"/>
      <c r="AI93" s="162"/>
      <c r="AJ93" s="162"/>
      <c r="AK93" s="162"/>
      <c r="AL93" s="162"/>
      <c r="AM93" s="162"/>
      <c r="AN93" s="162"/>
      <c r="AO93" s="162"/>
      <c r="AP93" s="162"/>
      <c r="AQ93" s="162"/>
      <c r="AR93" s="162"/>
      <c r="AS93" s="162"/>
      <c r="AT93" s="162"/>
      <c r="AU93" s="162"/>
      <c r="AV93" s="162"/>
      <c r="AW93" s="162"/>
      <c r="AX93" s="162"/>
      <c r="AY93" s="162"/>
      <c r="AZ93" s="162"/>
      <c r="BA93" s="162"/>
      <c r="BB93" s="171"/>
      <c r="BC93" s="162"/>
      <c r="BD93" s="171"/>
      <c r="BO93" s="162"/>
      <c r="BP93" s="162"/>
      <c r="BQ93" s="162"/>
      <c r="BR93" s="162"/>
      <c r="BS93" s="162"/>
      <c r="BT93" s="162"/>
      <c r="BU93" s="162"/>
      <c r="BV93" s="162"/>
      <c r="BW93" s="162"/>
      <c r="BX93" s="162"/>
      <c r="BY93" s="162"/>
      <c r="BZ93" s="162"/>
      <c r="CA93" s="162"/>
      <c r="CB93" s="162"/>
      <c r="CC93" s="162"/>
      <c r="CD93" s="162"/>
      <c r="CE93" s="162"/>
      <c r="CF93" s="162"/>
      <c r="CG93" s="162"/>
      <c r="CH93" s="162"/>
      <c r="CI93" s="162"/>
      <c r="CJ93" s="162"/>
    </row>
    <row r="94" spans="1:88" ht="15.75" customHeight="1">
      <c r="A94" s="162"/>
      <c r="B94" s="163"/>
      <c r="C94" s="164"/>
      <c r="D94" s="162"/>
      <c r="E94" s="162"/>
      <c r="F94" s="162"/>
      <c r="G94" s="162"/>
      <c r="H94" s="162"/>
      <c r="I94" s="162"/>
      <c r="J94" s="162"/>
      <c r="K94" s="162"/>
      <c r="L94" s="162"/>
      <c r="T94" s="162"/>
      <c r="U94" s="162"/>
      <c r="V94" s="162"/>
      <c r="W94" s="162"/>
      <c r="X94" s="162"/>
      <c r="Y94" s="162"/>
      <c r="Z94" s="162"/>
      <c r="AA94" s="162"/>
      <c r="AB94" s="162"/>
      <c r="AC94" s="162"/>
      <c r="AD94" s="162"/>
      <c r="AE94" s="162"/>
      <c r="AG94" s="162"/>
      <c r="AH94" s="162"/>
      <c r="AI94" s="162"/>
      <c r="AJ94" s="162"/>
      <c r="AK94" s="162"/>
      <c r="AL94" s="162"/>
      <c r="AM94" s="162"/>
      <c r="AN94" s="162"/>
      <c r="AO94" s="162"/>
      <c r="AP94" s="162"/>
      <c r="AQ94" s="162"/>
      <c r="AR94" s="162"/>
      <c r="AS94" s="162"/>
      <c r="AT94" s="162"/>
      <c r="AU94" s="162"/>
      <c r="AV94" s="162"/>
      <c r="AW94" s="162"/>
      <c r="AX94" s="162"/>
      <c r="AY94" s="162"/>
      <c r="AZ94" s="162"/>
      <c r="BA94" s="162"/>
      <c r="BB94" s="171"/>
      <c r="BC94" s="162"/>
      <c r="BD94" s="171"/>
      <c r="BO94" s="162"/>
      <c r="BP94" s="162"/>
      <c r="BQ94" s="162"/>
      <c r="BR94" s="162"/>
      <c r="BS94" s="162"/>
      <c r="BT94" s="162"/>
      <c r="BU94" s="162"/>
      <c r="BV94" s="162"/>
      <c r="BW94" s="162"/>
      <c r="BX94" s="162"/>
      <c r="BY94" s="162"/>
      <c r="BZ94" s="162"/>
      <c r="CA94" s="162"/>
      <c r="CB94" s="162"/>
      <c r="CC94" s="162"/>
      <c r="CD94" s="162"/>
      <c r="CE94" s="162"/>
      <c r="CF94" s="162"/>
      <c r="CG94" s="162"/>
      <c r="CH94" s="162"/>
      <c r="CI94" s="162"/>
      <c r="CJ94" s="162"/>
    </row>
    <row r="95" spans="1:88" ht="15.75" customHeight="1">
      <c r="A95" s="162"/>
      <c r="B95" s="163"/>
      <c r="C95" s="164"/>
      <c r="D95" s="162"/>
      <c r="E95" s="162"/>
      <c r="F95" s="162"/>
      <c r="G95" s="162"/>
      <c r="H95" s="162"/>
      <c r="I95" s="162"/>
      <c r="J95" s="162"/>
      <c r="K95" s="162"/>
      <c r="L95" s="162"/>
      <c r="T95" s="162"/>
      <c r="U95" s="162"/>
      <c r="V95" s="162"/>
      <c r="W95" s="162"/>
      <c r="X95" s="162"/>
      <c r="Y95" s="162"/>
      <c r="Z95" s="162"/>
      <c r="AA95" s="162"/>
      <c r="AB95" s="162"/>
      <c r="AC95" s="162"/>
      <c r="AD95" s="162"/>
      <c r="AE95" s="162"/>
      <c r="AG95" s="162"/>
      <c r="AH95" s="162"/>
      <c r="AI95" s="162"/>
      <c r="AJ95" s="162"/>
      <c r="AK95" s="162"/>
      <c r="AL95" s="162"/>
      <c r="AM95" s="162"/>
      <c r="AN95" s="162"/>
      <c r="AO95" s="162"/>
      <c r="AP95" s="162"/>
      <c r="AQ95" s="162"/>
      <c r="AR95" s="162"/>
      <c r="AS95" s="162"/>
      <c r="AT95" s="162"/>
      <c r="AU95" s="162"/>
      <c r="AV95" s="162"/>
      <c r="AW95" s="162"/>
      <c r="AX95" s="162"/>
      <c r="AY95" s="162"/>
      <c r="AZ95" s="162"/>
      <c r="BA95" s="162"/>
      <c r="BB95" s="171"/>
      <c r="BC95" s="162"/>
      <c r="BD95" s="171"/>
      <c r="BO95" s="162"/>
      <c r="BP95" s="162"/>
      <c r="BQ95" s="162"/>
      <c r="BR95" s="162"/>
      <c r="BS95" s="162"/>
      <c r="BT95" s="162"/>
      <c r="BU95" s="162"/>
      <c r="BV95" s="162"/>
      <c r="BW95" s="162"/>
      <c r="BX95" s="162"/>
      <c r="BY95" s="162"/>
      <c r="BZ95" s="162"/>
      <c r="CA95" s="162"/>
      <c r="CB95" s="162"/>
      <c r="CC95" s="162"/>
      <c r="CD95" s="162"/>
      <c r="CE95" s="162"/>
      <c r="CF95" s="162"/>
      <c r="CG95" s="162"/>
      <c r="CH95" s="162"/>
      <c r="CI95" s="162"/>
      <c r="CJ95" s="162"/>
    </row>
    <row r="96" spans="1:88" ht="15.75" customHeight="1">
      <c r="A96" s="162"/>
      <c r="B96" s="163"/>
      <c r="C96" s="164"/>
      <c r="D96" s="162"/>
      <c r="E96" s="162"/>
      <c r="F96" s="162"/>
      <c r="G96" s="162"/>
      <c r="H96" s="162"/>
      <c r="I96" s="162"/>
      <c r="J96" s="162"/>
      <c r="K96" s="162"/>
      <c r="L96" s="162"/>
      <c r="T96" s="162"/>
      <c r="U96" s="162"/>
      <c r="V96" s="162"/>
      <c r="W96" s="162"/>
      <c r="X96" s="162"/>
      <c r="Y96" s="162"/>
      <c r="Z96" s="162"/>
      <c r="AA96" s="162"/>
      <c r="AB96" s="162"/>
      <c r="AC96" s="162"/>
      <c r="AD96" s="162"/>
      <c r="AE96" s="162"/>
      <c r="AG96" s="162"/>
      <c r="AH96" s="162"/>
      <c r="AI96" s="162"/>
      <c r="AJ96" s="162"/>
      <c r="AK96" s="162"/>
      <c r="AL96" s="162"/>
      <c r="AM96" s="162"/>
      <c r="AN96" s="162"/>
      <c r="AO96" s="162"/>
      <c r="AP96" s="162"/>
      <c r="AQ96" s="162"/>
      <c r="AR96" s="162"/>
      <c r="AS96" s="162"/>
      <c r="AT96" s="162"/>
      <c r="AU96" s="162"/>
      <c r="AV96" s="162"/>
      <c r="AW96" s="162"/>
      <c r="AX96" s="162"/>
      <c r="AY96" s="162"/>
      <c r="AZ96" s="162"/>
      <c r="BA96" s="162"/>
      <c r="BB96" s="171"/>
      <c r="BC96" s="162"/>
      <c r="BD96" s="171"/>
      <c r="BO96" s="162"/>
      <c r="BP96" s="162"/>
      <c r="BQ96" s="162"/>
      <c r="BR96" s="162"/>
      <c r="BS96" s="162"/>
      <c r="BT96" s="162"/>
      <c r="BU96" s="162"/>
      <c r="BV96" s="162"/>
      <c r="BW96" s="162"/>
      <c r="BX96" s="162"/>
      <c r="BY96" s="162"/>
      <c r="BZ96" s="162"/>
      <c r="CA96" s="162"/>
      <c r="CB96" s="162"/>
      <c r="CC96" s="162"/>
      <c r="CD96" s="162"/>
      <c r="CE96" s="162"/>
      <c r="CF96" s="162"/>
      <c r="CG96" s="162"/>
      <c r="CH96" s="162"/>
      <c r="CI96" s="162"/>
      <c r="CJ96" s="162"/>
    </row>
    <row r="97" spans="1:88" ht="15.75" customHeight="1">
      <c r="A97" s="162"/>
      <c r="B97" s="163"/>
      <c r="C97" s="164"/>
      <c r="D97" s="162"/>
      <c r="E97" s="162"/>
      <c r="F97" s="162"/>
      <c r="G97" s="162"/>
      <c r="H97" s="162"/>
      <c r="I97" s="162"/>
      <c r="J97" s="162"/>
      <c r="K97" s="162"/>
      <c r="L97" s="162"/>
      <c r="T97" s="162"/>
      <c r="U97" s="162"/>
      <c r="V97" s="162"/>
      <c r="W97" s="162"/>
      <c r="X97" s="162"/>
      <c r="Y97" s="162"/>
      <c r="Z97" s="162"/>
      <c r="AA97" s="162"/>
      <c r="AB97" s="162"/>
      <c r="AC97" s="162"/>
      <c r="AD97" s="162"/>
      <c r="AE97" s="162"/>
      <c r="AG97" s="162"/>
      <c r="AH97" s="162"/>
      <c r="AI97" s="162"/>
      <c r="AJ97" s="162"/>
      <c r="AK97" s="162"/>
      <c r="AL97" s="162"/>
      <c r="AM97" s="162"/>
      <c r="AN97" s="162"/>
      <c r="AO97" s="162"/>
      <c r="AP97" s="162"/>
      <c r="AQ97" s="162"/>
      <c r="AR97" s="162"/>
      <c r="AS97" s="162"/>
      <c r="AT97" s="162"/>
      <c r="AU97" s="162"/>
      <c r="AV97" s="162"/>
      <c r="AW97" s="162"/>
      <c r="AX97" s="162"/>
      <c r="AY97" s="162"/>
      <c r="AZ97" s="162"/>
      <c r="BA97" s="162"/>
      <c r="BB97" s="171"/>
      <c r="BC97" s="162"/>
      <c r="BD97" s="171"/>
      <c r="BO97" s="162"/>
      <c r="BP97" s="162"/>
      <c r="BQ97" s="162"/>
      <c r="BR97" s="162"/>
      <c r="BS97" s="162"/>
      <c r="BT97" s="162"/>
      <c r="BU97" s="162"/>
      <c r="BV97" s="162"/>
      <c r="BW97" s="162"/>
      <c r="BX97" s="162"/>
      <c r="BY97" s="162"/>
      <c r="BZ97" s="162"/>
      <c r="CA97" s="162"/>
      <c r="CB97" s="162"/>
      <c r="CC97" s="162"/>
      <c r="CD97" s="162"/>
      <c r="CE97" s="162"/>
      <c r="CF97" s="162"/>
      <c r="CG97" s="162"/>
      <c r="CH97" s="162"/>
      <c r="CI97" s="162"/>
      <c r="CJ97" s="162"/>
    </row>
    <row r="98" spans="1:88" ht="15.75" customHeight="1">
      <c r="A98" s="162"/>
      <c r="B98" s="163"/>
      <c r="C98" s="164"/>
      <c r="D98" s="162"/>
      <c r="E98" s="162"/>
      <c r="F98" s="162"/>
      <c r="G98" s="162"/>
      <c r="H98" s="162"/>
      <c r="I98" s="162"/>
      <c r="J98" s="162"/>
      <c r="K98" s="162"/>
      <c r="L98" s="162"/>
      <c r="T98" s="162"/>
      <c r="U98" s="162"/>
      <c r="V98" s="162"/>
      <c r="W98" s="162"/>
      <c r="X98" s="162"/>
      <c r="Y98" s="162"/>
      <c r="Z98" s="162"/>
      <c r="AA98" s="162"/>
      <c r="AB98" s="162"/>
      <c r="AC98" s="162"/>
      <c r="AD98" s="162"/>
      <c r="AE98" s="162"/>
      <c r="AG98" s="162"/>
      <c r="AH98" s="162"/>
      <c r="AI98" s="162"/>
      <c r="AJ98" s="162"/>
      <c r="AK98" s="162"/>
      <c r="AL98" s="162"/>
      <c r="AM98" s="162"/>
      <c r="AN98" s="162"/>
      <c r="AO98" s="162"/>
      <c r="AP98" s="162"/>
      <c r="AQ98" s="162"/>
      <c r="AR98" s="162"/>
      <c r="AS98" s="162"/>
      <c r="AT98" s="162"/>
      <c r="AU98" s="162"/>
      <c r="AV98" s="162"/>
      <c r="AW98" s="162"/>
      <c r="AX98" s="162"/>
      <c r="AY98" s="162"/>
      <c r="AZ98" s="162"/>
      <c r="BA98" s="162"/>
      <c r="BB98" s="171"/>
      <c r="BC98" s="162"/>
      <c r="BD98" s="171"/>
      <c r="BO98" s="162"/>
      <c r="BP98" s="162"/>
      <c r="BQ98" s="162"/>
      <c r="BR98" s="162"/>
      <c r="BS98" s="162"/>
      <c r="BT98" s="162"/>
      <c r="BU98" s="162"/>
      <c r="BV98" s="162"/>
      <c r="BW98" s="162"/>
      <c r="BX98" s="162"/>
      <c r="BY98" s="162"/>
      <c r="BZ98" s="162"/>
      <c r="CA98" s="162"/>
      <c r="CB98" s="162"/>
      <c r="CC98" s="162"/>
      <c r="CD98" s="162"/>
      <c r="CE98" s="162"/>
      <c r="CF98" s="162"/>
      <c r="CG98" s="162"/>
      <c r="CH98" s="162"/>
      <c r="CI98" s="162"/>
      <c r="CJ98" s="162"/>
    </row>
    <row r="99" spans="1:88" ht="15.75" customHeight="1">
      <c r="A99" s="162"/>
      <c r="B99" s="163"/>
      <c r="C99" s="164"/>
      <c r="D99" s="162"/>
      <c r="E99" s="162"/>
      <c r="F99" s="162"/>
      <c r="G99" s="162"/>
      <c r="H99" s="162"/>
      <c r="I99" s="162"/>
      <c r="J99" s="162"/>
      <c r="K99" s="162"/>
      <c r="L99" s="162"/>
      <c r="T99" s="162"/>
      <c r="U99" s="162"/>
      <c r="V99" s="162"/>
      <c r="W99" s="162"/>
      <c r="X99" s="162"/>
      <c r="Y99" s="162"/>
      <c r="Z99" s="162"/>
      <c r="AA99" s="162"/>
      <c r="AB99" s="162"/>
      <c r="AC99" s="162"/>
      <c r="AD99" s="162"/>
      <c r="AE99" s="162"/>
      <c r="AG99" s="162"/>
      <c r="AH99" s="162"/>
      <c r="AI99" s="162"/>
      <c r="AJ99" s="162"/>
      <c r="AK99" s="162"/>
      <c r="AL99" s="162"/>
      <c r="AM99" s="162"/>
      <c r="AN99" s="162"/>
      <c r="AO99" s="162"/>
      <c r="AP99" s="162"/>
      <c r="AQ99" s="162"/>
      <c r="AR99" s="162"/>
      <c r="AS99" s="162"/>
      <c r="AT99" s="162"/>
      <c r="AU99" s="162"/>
      <c r="AV99" s="162"/>
      <c r="AW99" s="162"/>
      <c r="AX99" s="162"/>
      <c r="AY99" s="162"/>
      <c r="AZ99" s="162"/>
      <c r="BA99" s="162"/>
      <c r="BB99" s="171"/>
      <c r="BC99" s="162"/>
      <c r="BD99" s="171"/>
      <c r="BO99" s="162"/>
      <c r="BP99" s="162"/>
      <c r="BQ99" s="162"/>
      <c r="BR99" s="162"/>
      <c r="BS99" s="162"/>
      <c r="BT99" s="162"/>
      <c r="BU99" s="162"/>
      <c r="BV99" s="162"/>
      <c r="BW99" s="162"/>
      <c r="BX99" s="162"/>
      <c r="BY99" s="162"/>
      <c r="BZ99" s="162"/>
      <c r="CA99" s="162"/>
      <c r="CB99" s="162"/>
      <c r="CC99" s="162"/>
      <c r="CD99" s="162"/>
      <c r="CE99" s="162"/>
      <c r="CF99" s="162"/>
      <c r="CG99" s="162"/>
      <c r="CH99" s="162"/>
      <c r="CI99" s="162"/>
      <c r="CJ99" s="162"/>
    </row>
    <row r="100" spans="1:88" ht="15.75" customHeight="1">
      <c r="A100" s="162"/>
      <c r="B100" s="163"/>
      <c r="C100" s="164"/>
      <c r="D100" s="162"/>
      <c r="E100" s="162"/>
      <c r="F100" s="162"/>
      <c r="G100" s="162"/>
      <c r="H100" s="162"/>
      <c r="I100" s="162"/>
      <c r="J100" s="162"/>
      <c r="K100" s="162"/>
      <c r="L100" s="162"/>
      <c r="T100" s="162"/>
      <c r="U100" s="162"/>
      <c r="V100" s="162"/>
      <c r="W100" s="162"/>
      <c r="X100" s="162"/>
      <c r="Y100" s="162"/>
      <c r="Z100" s="162"/>
      <c r="AA100" s="162"/>
      <c r="AB100" s="162"/>
      <c r="AC100" s="162"/>
      <c r="AD100" s="162"/>
      <c r="AE100" s="162"/>
      <c r="AG100" s="162"/>
      <c r="AH100" s="162"/>
      <c r="AI100" s="162"/>
      <c r="AJ100" s="162"/>
      <c r="AK100" s="162"/>
      <c r="AL100" s="162"/>
      <c r="AM100" s="162"/>
      <c r="AN100" s="162"/>
      <c r="AO100" s="162"/>
      <c r="AP100" s="162"/>
      <c r="AQ100" s="162"/>
      <c r="AR100" s="162"/>
      <c r="AS100" s="162"/>
      <c r="AT100" s="162"/>
      <c r="AU100" s="162"/>
      <c r="AV100" s="162"/>
      <c r="AW100" s="162"/>
      <c r="AX100" s="162"/>
      <c r="AY100" s="162"/>
      <c r="AZ100" s="162"/>
      <c r="BA100" s="162"/>
      <c r="BB100" s="171"/>
      <c r="BC100" s="162"/>
      <c r="BD100" s="171"/>
      <c r="BO100" s="162"/>
      <c r="BP100" s="162"/>
      <c r="BQ100" s="162"/>
      <c r="BR100" s="162"/>
      <c r="BS100" s="162"/>
      <c r="BT100" s="162"/>
      <c r="BU100" s="162"/>
      <c r="BV100" s="162"/>
      <c r="BW100" s="162"/>
      <c r="BX100" s="162"/>
      <c r="BY100" s="162"/>
      <c r="BZ100" s="162"/>
      <c r="CA100" s="162"/>
      <c r="CB100" s="162"/>
      <c r="CC100" s="162"/>
      <c r="CD100" s="162"/>
      <c r="CE100" s="162"/>
      <c r="CF100" s="162"/>
      <c r="CG100" s="162"/>
      <c r="CH100" s="162"/>
      <c r="CI100" s="162"/>
      <c r="CJ100" s="162"/>
    </row>
    <row r="101" spans="1:88" ht="15.75" customHeight="1">
      <c r="A101" s="162"/>
      <c r="B101" s="163"/>
      <c r="C101" s="164"/>
      <c r="D101" s="162"/>
      <c r="E101" s="162"/>
      <c r="F101" s="162"/>
      <c r="G101" s="162"/>
      <c r="H101" s="162"/>
      <c r="I101" s="162"/>
      <c r="J101" s="162"/>
      <c r="K101" s="162"/>
      <c r="L101" s="162"/>
      <c r="T101" s="162"/>
      <c r="U101" s="162"/>
      <c r="V101" s="162"/>
      <c r="W101" s="162"/>
      <c r="X101" s="162"/>
      <c r="Y101" s="162"/>
      <c r="Z101" s="162"/>
      <c r="AA101" s="162"/>
      <c r="AB101" s="162"/>
      <c r="AC101" s="162"/>
      <c r="AD101" s="162"/>
      <c r="AE101" s="162"/>
      <c r="AG101" s="162"/>
      <c r="AH101" s="162"/>
      <c r="AI101" s="162"/>
      <c r="AJ101" s="162"/>
      <c r="AK101" s="162"/>
      <c r="AL101" s="162"/>
      <c r="AM101" s="162"/>
      <c r="AN101" s="162"/>
      <c r="AO101" s="162"/>
      <c r="AP101" s="162"/>
      <c r="AQ101" s="162"/>
      <c r="AR101" s="162"/>
      <c r="AS101" s="162"/>
      <c r="AT101" s="162"/>
      <c r="AU101" s="162"/>
      <c r="AV101" s="162"/>
      <c r="AW101" s="162"/>
      <c r="AX101" s="162"/>
      <c r="AY101" s="162"/>
      <c r="AZ101" s="162"/>
      <c r="BA101" s="162"/>
      <c r="BB101" s="171"/>
      <c r="BC101" s="162"/>
      <c r="BD101" s="171"/>
      <c r="BO101" s="162"/>
      <c r="BP101" s="162"/>
      <c r="BQ101" s="162"/>
      <c r="BR101" s="162"/>
      <c r="BS101" s="162"/>
      <c r="BT101" s="162"/>
      <c r="BU101" s="162"/>
      <c r="BV101" s="162"/>
      <c r="BW101" s="162"/>
      <c r="BX101" s="162"/>
      <c r="BY101" s="162"/>
      <c r="BZ101" s="162"/>
      <c r="CA101" s="162"/>
      <c r="CB101" s="162"/>
      <c r="CC101" s="162"/>
      <c r="CD101" s="162"/>
      <c r="CE101" s="162"/>
      <c r="CF101" s="162"/>
      <c r="CG101" s="162"/>
      <c r="CH101" s="162"/>
      <c r="CI101" s="162"/>
      <c r="CJ101" s="162"/>
    </row>
    <row r="102" spans="1:88" ht="15.75" customHeight="1">
      <c r="A102" s="162"/>
      <c r="B102" s="163"/>
      <c r="C102" s="164"/>
      <c r="D102" s="162"/>
      <c r="E102" s="162"/>
      <c r="F102" s="162"/>
      <c r="G102" s="162"/>
      <c r="H102" s="162"/>
      <c r="I102" s="162"/>
      <c r="J102" s="162"/>
      <c r="K102" s="162"/>
      <c r="L102" s="162"/>
      <c r="T102" s="162"/>
      <c r="U102" s="162"/>
      <c r="V102" s="162"/>
      <c r="W102" s="162"/>
      <c r="X102" s="162"/>
      <c r="Y102" s="162"/>
      <c r="Z102" s="162"/>
      <c r="AA102" s="162"/>
      <c r="AB102" s="162"/>
      <c r="AC102" s="162"/>
      <c r="AD102" s="162"/>
      <c r="AE102" s="162"/>
      <c r="AG102" s="162"/>
      <c r="AH102" s="162"/>
      <c r="AI102" s="162"/>
      <c r="AJ102" s="162"/>
      <c r="AK102" s="162"/>
      <c r="AL102" s="162"/>
      <c r="AM102" s="162"/>
      <c r="AN102" s="162"/>
      <c r="AO102" s="162"/>
      <c r="AP102" s="162"/>
      <c r="AQ102" s="162"/>
      <c r="AR102" s="162"/>
      <c r="AS102" s="162"/>
      <c r="AT102" s="162"/>
      <c r="AU102" s="162"/>
      <c r="AV102" s="162"/>
      <c r="AW102" s="162"/>
      <c r="AX102" s="162"/>
      <c r="AY102" s="162"/>
      <c r="AZ102" s="162"/>
      <c r="BA102" s="162"/>
      <c r="BB102" s="171"/>
      <c r="BC102" s="162"/>
      <c r="BD102" s="171"/>
      <c r="BO102" s="162"/>
      <c r="BP102" s="162"/>
      <c r="BQ102" s="162"/>
      <c r="BR102" s="162"/>
      <c r="BS102" s="162"/>
      <c r="BT102" s="162"/>
      <c r="BU102" s="162"/>
      <c r="BV102" s="162"/>
      <c r="BW102" s="162"/>
      <c r="BX102" s="162"/>
      <c r="BY102" s="162"/>
      <c r="BZ102" s="162"/>
      <c r="CA102" s="162"/>
      <c r="CB102" s="162"/>
      <c r="CC102" s="162"/>
      <c r="CD102" s="162"/>
      <c r="CE102" s="162"/>
      <c r="CF102" s="162"/>
      <c r="CG102" s="162"/>
      <c r="CH102" s="162"/>
      <c r="CI102" s="162"/>
      <c r="CJ102" s="162"/>
    </row>
    <row r="103" spans="1:88" ht="15.75" customHeight="1">
      <c r="A103" s="162"/>
      <c r="B103" s="163"/>
      <c r="C103" s="164"/>
      <c r="D103" s="162"/>
      <c r="E103" s="162"/>
      <c r="F103" s="162"/>
      <c r="G103" s="162"/>
      <c r="H103" s="162"/>
      <c r="I103" s="162"/>
      <c r="J103" s="162"/>
      <c r="K103" s="162"/>
      <c r="L103" s="162"/>
      <c r="T103" s="162"/>
      <c r="U103" s="162"/>
      <c r="V103" s="162"/>
      <c r="W103" s="162"/>
      <c r="X103" s="162"/>
      <c r="Y103" s="162"/>
      <c r="Z103" s="162"/>
      <c r="AA103" s="162"/>
      <c r="AB103" s="162"/>
      <c r="AC103" s="162"/>
      <c r="AD103" s="162"/>
      <c r="AE103" s="162"/>
      <c r="AG103" s="162"/>
      <c r="AH103" s="162"/>
      <c r="AI103" s="162"/>
      <c r="AJ103" s="162"/>
      <c r="AK103" s="162"/>
      <c r="AL103" s="162"/>
      <c r="AM103" s="162"/>
      <c r="AN103" s="162"/>
      <c r="AO103" s="162"/>
      <c r="AP103" s="162"/>
      <c r="AQ103" s="162"/>
      <c r="AR103" s="162"/>
      <c r="AS103" s="162"/>
      <c r="AT103" s="162"/>
      <c r="AU103" s="162"/>
      <c r="AV103" s="162"/>
      <c r="AW103" s="162"/>
      <c r="AX103" s="162"/>
      <c r="AY103" s="162"/>
      <c r="AZ103" s="162"/>
      <c r="BA103" s="162"/>
      <c r="BB103" s="171"/>
      <c r="BC103" s="162"/>
      <c r="BD103" s="171"/>
      <c r="BO103" s="162"/>
      <c r="BP103" s="162"/>
      <c r="BQ103" s="162"/>
      <c r="BR103" s="162"/>
      <c r="BS103" s="162"/>
      <c r="BT103" s="162"/>
      <c r="BU103" s="162"/>
      <c r="BV103" s="162"/>
      <c r="BW103" s="162"/>
      <c r="BX103" s="162"/>
      <c r="BY103" s="162"/>
      <c r="BZ103" s="162"/>
      <c r="CA103" s="162"/>
      <c r="CB103" s="162"/>
      <c r="CC103" s="162"/>
      <c r="CD103" s="162"/>
      <c r="CE103" s="162"/>
      <c r="CF103" s="162"/>
      <c r="CG103" s="162"/>
      <c r="CH103" s="162"/>
      <c r="CI103" s="162"/>
      <c r="CJ103" s="162"/>
    </row>
    <row r="104" spans="1:88" ht="15.75" customHeight="1">
      <c r="A104" s="162"/>
      <c r="B104" s="163"/>
      <c r="C104" s="164"/>
      <c r="D104" s="162"/>
      <c r="E104" s="162"/>
      <c r="F104" s="162"/>
      <c r="G104" s="162"/>
      <c r="H104" s="162"/>
      <c r="I104" s="162"/>
      <c r="J104" s="162"/>
      <c r="K104" s="162"/>
      <c r="L104" s="162"/>
      <c r="T104" s="162"/>
      <c r="U104" s="162"/>
      <c r="V104" s="162"/>
      <c r="W104" s="162"/>
      <c r="X104" s="162"/>
      <c r="Y104" s="162"/>
      <c r="Z104" s="162"/>
      <c r="AA104" s="162"/>
      <c r="AB104" s="162"/>
      <c r="AC104" s="162"/>
      <c r="AD104" s="162"/>
      <c r="AE104" s="162"/>
      <c r="AG104" s="162"/>
      <c r="AH104" s="162"/>
      <c r="AI104" s="162"/>
      <c r="AJ104" s="162"/>
      <c r="AK104" s="162"/>
      <c r="AL104" s="162"/>
      <c r="AM104" s="162"/>
      <c r="AN104" s="162"/>
      <c r="AO104" s="162"/>
      <c r="AP104" s="162"/>
      <c r="AQ104" s="162"/>
      <c r="AR104" s="162"/>
      <c r="AS104" s="162"/>
      <c r="AT104" s="162"/>
      <c r="AU104" s="162"/>
      <c r="AV104" s="162"/>
      <c r="AW104" s="162"/>
      <c r="AX104" s="162"/>
      <c r="AY104" s="162"/>
      <c r="AZ104" s="162"/>
      <c r="BA104" s="162"/>
      <c r="BB104" s="171"/>
      <c r="BC104" s="162"/>
      <c r="BD104" s="171"/>
      <c r="BO104" s="162"/>
      <c r="BP104" s="162"/>
      <c r="BQ104" s="162"/>
      <c r="BR104" s="162"/>
      <c r="BS104" s="162"/>
      <c r="BT104" s="162"/>
      <c r="BU104" s="162"/>
      <c r="BV104" s="162"/>
      <c r="BW104" s="162"/>
      <c r="BX104" s="162"/>
      <c r="BY104" s="162"/>
      <c r="BZ104" s="162"/>
      <c r="CA104" s="162"/>
      <c r="CB104" s="162"/>
      <c r="CC104" s="162"/>
      <c r="CD104" s="162"/>
      <c r="CE104" s="162"/>
      <c r="CF104" s="162"/>
      <c r="CG104" s="162"/>
      <c r="CH104" s="162"/>
      <c r="CI104" s="162"/>
      <c r="CJ104" s="162"/>
    </row>
    <row r="105" spans="1:88" ht="15.75" customHeight="1">
      <c r="A105" s="162"/>
      <c r="B105" s="163"/>
      <c r="C105" s="164"/>
      <c r="D105" s="162"/>
      <c r="E105" s="162"/>
      <c r="F105" s="162"/>
      <c r="G105" s="162"/>
      <c r="H105" s="162"/>
      <c r="I105" s="162"/>
      <c r="J105" s="162"/>
      <c r="K105" s="162"/>
      <c r="L105" s="162"/>
      <c r="T105" s="162"/>
      <c r="U105" s="162"/>
      <c r="V105" s="162"/>
      <c r="W105" s="162"/>
      <c r="X105" s="162"/>
      <c r="Y105" s="162"/>
      <c r="Z105" s="162"/>
      <c r="AA105" s="162"/>
      <c r="AB105" s="162"/>
      <c r="AC105" s="162"/>
      <c r="AD105" s="162"/>
      <c r="AE105" s="162"/>
      <c r="AG105" s="162"/>
      <c r="AH105" s="162"/>
      <c r="AI105" s="162"/>
      <c r="AJ105" s="162"/>
      <c r="AK105" s="162"/>
      <c r="AL105" s="162"/>
      <c r="AM105" s="162"/>
      <c r="AN105" s="162"/>
      <c r="AO105" s="162"/>
      <c r="AP105" s="162"/>
      <c r="AQ105" s="162"/>
      <c r="AR105" s="162"/>
      <c r="AS105" s="162"/>
      <c r="AT105" s="162"/>
      <c r="AU105" s="162"/>
      <c r="AV105" s="162"/>
      <c r="AW105" s="162"/>
      <c r="AX105" s="162"/>
      <c r="AY105" s="162"/>
      <c r="AZ105" s="162"/>
      <c r="BA105" s="162"/>
      <c r="BB105" s="171"/>
      <c r="BC105" s="162"/>
      <c r="BD105" s="171"/>
      <c r="BO105" s="162"/>
      <c r="BP105" s="162"/>
      <c r="BQ105" s="162"/>
      <c r="BR105" s="162"/>
      <c r="BS105" s="162"/>
      <c r="BT105" s="162"/>
      <c r="BU105" s="162"/>
      <c r="BV105" s="162"/>
      <c r="BW105" s="162"/>
      <c r="BX105" s="162"/>
      <c r="BY105" s="162"/>
      <c r="BZ105" s="162"/>
      <c r="CA105" s="162"/>
      <c r="CB105" s="162"/>
      <c r="CC105" s="162"/>
      <c r="CD105" s="162"/>
      <c r="CE105" s="162"/>
      <c r="CF105" s="162"/>
      <c r="CG105" s="162"/>
      <c r="CH105" s="162"/>
      <c r="CI105" s="162"/>
      <c r="CJ105" s="162"/>
    </row>
    <row r="106" spans="1:88" ht="15.75" customHeight="1">
      <c r="A106" s="162"/>
      <c r="B106" s="163"/>
      <c r="C106" s="164"/>
      <c r="D106" s="162"/>
      <c r="E106" s="162"/>
      <c r="F106" s="162"/>
      <c r="G106" s="162"/>
      <c r="H106" s="162"/>
      <c r="I106" s="162"/>
      <c r="J106" s="162"/>
      <c r="K106" s="162"/>
      <c r="L106" s="162"/>
      <c r="T106" s="162"/>
      <c r="U106" s="162"/>
      <c r="V106" s="162"/>
      <c r="W106" s="162"/>
      <c r="X106" s="162"/>
      <c r="Y106" s="162"/>
      <c r="Z106" s="162"/>
      <c r="AA106" s="162"/>
      <c r="AB106" s="162"/>
      <c r="AC106" s="162"/>
      <c r="AD106" s="162"/>
      <c r="AE106" s="162"/>
      <c r="AG106" s="162"/>
      <c r="AH106" s="162"/>
      <c r="AI106" s="162"/>
      <c r="AJ106" s="162"/>
      <c r="AK106" s="162"/>
      <c r="AL106" s="162"/>
      <c r="AM106" s="162"/>
      <c r="AN106" s="162"/>
      <c r="AO106" s="162"/>
      <c r="AP106" s="162"/>
      <c r="AQ106" s="162"/>
      <c r="AR106" s="162"/>
      <c r="AS106" s="162"/>
      <c r="AT106" s="162"/>
      <c r="AU106" s="162"/>
      <c r="AV106" s="162"/>
      <c r="AW106" s="162"/>
      <c r="AX106" s="162"/>
      <c r="AY106" s="162"/>
      <c r="AZ106" s="162"/>
      <c r="BA106" s="162"/>
      <c r="BB106" s="171"/>
      <c r="BC106" s="162"/>
      <c r="BD106" s="171"/>
      <c r="BO106" s="162"/>
      <c r="BP106" s="162"/>
      <c r="BQ106" s="162"/>
      <c r="BR106" s="162"/>
      <c r="BS106" s="162"/>
      <c r="BT106" s="162"/>
      <c r="BU106" s="162"/>
      <c r="BV106" s="162"/>
      <c r="BW106" s="162"/>
      <c r="BX106" s="162"/>
      <c r="BY106" s="162"/>
      <c r="BZ106" s="162"/>
      <c r="CA106" s="162"/>
      <c r="CB106" s="162"/>
      <c r="CC106" s="162"/>
      <c r="CD106" s="162"/>
      <c r="CE106" s="162"/>
      <c r="CF106" s="162"/>
      <c r="CG106" s="162"/>
      <c r="CH106" s="162"/>
      <c r="CI106" s="162"/>
      <c r="CJ106" s="162"/>
    </row>
    <row r="107" spans="1:88" ht="15.75" customHeight="1">
      <c r="A107" s="162"/>
      <c r="B107" s="163"/>
      <c r="C107" s="164"/>
      <c r="D107" s="162"/>
      <c r="E107" s="162"/>
      <c r="F107" s="162"/>
      <c r="G107" s="162"/>
      <c r="H107" s="162"/>
      <c r="I107" s="162"/>
      <c r="J107" s="162"/>
      <c r="K107" s="162"/>
      <c r="L107" s="162"/>
      <c r="T107" s="162"/>
      <c r="U107" s="162"/>
      <c r="V107" s="162"/>
      <c r="W107" s="162"/>
      <c r="X107" s="162"/>
      <c r="Y107" s="162"/>
      <c r="Z107" s="162"/>
      <c r="AA107" s="162"/>
      <c r="AB107" s="162"/>
      <c r="AC107" s="162"/>
      <c r="AD107" s="162"/>
      <c r="AE107" s="162"/>
      <c r="AG107" s="162"/>
      <c r="AH107" s="162"/>
      <c r="AI107" s="162"/>
      <c r="AJ107" s="162"/>
      <c r="AK107" s="162"/>
      <c r="AL107" s="162"/>
      <c r="AM107" s="162"/>
      <c r="AN107" s="162"/>
      <c r="AO107" s="162"/>
      <c r="AP107" s="162"/>
      <c r="AQ107" s="162"/>
      <c r="AR107" s="162"/>
      <c r="AS107" s="162"/>
      <c r="AT107" s="162"/>
      <c r="AU107" s="162"/>
      <c r="AV107" s="162"/>
      <c r="AW107" s="162"/>
      <c r="AX107" s="162"/>
      <c r="AY107" s="162"/>
      <c r="AZ107" s="162"/>
      <c r="BA107" s="162"/>
      <c r="BB107" s="171"/>
      <c r="BC107" s="162"/>
      <c r="BD107" s="171"/>
      <c r="BO107" s="162"/>
      <c r="BP107" s="162"/>
      <c r="BQ107" s="162"/>
      <c r="BR107" s="162"/>
      <c r="BS107" s="162"/>
      <c r="BT107" s="162"/>
      <c r="BU107" s="162"/>
      <c r="BV107" s="162"/>
      <c r="BW107" s="162"/>
      <c r="BX107" s="162"/>
      <c r="BY107" s="162"/>
      <c r="BZ107" s="162"/>
      <c r="CA107" s="162"/>
      <c r="CB107" s="162"/>
      <c r="CC107" s="162"/>
      <c r="CD107" s="162"/>
      <c r="CE107" s="162"/>
      <c r="CF107" s="162"/>
      <c r="CG107" s="162"/>
      <c r="CH107" s="162"/>
      <c r="CI107" s="162"/>
      <c r="CJ107" s="162"/>
    </row>
    <row r="108" spans="1:88" ht="15.75" customHeight="1">
      <c r="A108" s="162"/>
      <c r="B108" s="163"/>
      <c r="C108" s="164"/>
      <c r="D108" s="162"/>
      <c r="E108" s="162"/>
      <c r="F108" s="162"/>
      <c r="G108" s="162"/>
      <c r="H108" s="162"/>
      <c r="I108" s="162"/>
      <c r="J108" s="162"/>
      <c r="K108" s="162"/>
      <c r="L108" s="162"/>
      <c r="T108" s="162"/>
      <c r="U108" s="162"/>
      <c r="V108" s="162"/>
      <c r="W108" s="162"/>
      <c r="X108" s="162"/>
      <c r="Y108" s="162"/>
      <c r="Z108" s="162"/>
      <c r="AA108" s="162"/>
      <c r="AB108" s="162"/>
      <c r="AC108" s="162"/>
      <c r="AD108" s="162"/>
      <c r="AE108" s="162"/>
      <c r="AG108" s="162"/>
      <c r="AH108" s="162"/>
      <c r="AI108" s="162"/>
      <c r="AJ108" s="162"/>
      <c r="AK108" s="162"/>
      <c r="AL108" s="162"/>
      <c r="AM108" s="162"/>
      <c r="AN108" s="162"/>
      <c r="AO108" s="162"/>
      <c r="AP108" s="162"/>
      <c r="AQ108" s="162"/>
      <c r="AR108" s="162"/>
      <c r="AS108" s="162"/>
      <c r="AT108" s="162"/>
      <c r="AU108" s="162"/>
      <c r="AV108" s="162"/>
      <c r="AW108" s="162"/>
      <c r="AX108" s="162"/>
      <c r="AY108" s="162"/>
      <c r="AZ108" s="162"/>
      <c r="BA108" s="162"/>
      <c r="BB108" s="171"/>
      <c r="BC108" s="162"/>
      <c r="BD108" s="171"/>
      <c r="BO108" s="162"/>
      <c r="BP108" s="162"/>
      <c r="BQ108" s="162"/>
      <c r="BR108" s="162"/>
      <c r="BS108" s="162"/>
      <c r="BT108" s="162"/>
      <c r="BU108" s="162"/>
      <c r="BV108" s="162"/>
      <c r="BW108" s="162"/>
      <c r="BX108" s="162"/>
      <c r="BY108" s="162"/>
      <c r="BZ108" s="162"/>
      <c r="CA108" s="162"/>
      <c r="CB108" s="162"/>
      <c r="CC108" s="162"/>
      <c r="CD108" s="162"/>
      <c r="CE108" s="162"/>
      <c r="CF108" s="162"/>
      <c r="CG108" s="162"/>
      <c r="CH108" s="162"/>
      <c r="CI108" s="162"/>
      <c r="CJ108" s="162"/>
    </row>
    <row r="109" spans="1:88" ht="15.75" customHeight="1">
      <c r="A109" s="162"/>
      <c r="B109" s="163"/>
      <c r="C109" s="164"/>
      <c r="D109" s="162"/>
      <c r="E109" s="162"/>
      <c r="F109" s="162"/>
      <c r="G109" s="162"/>
      <c r="H109" s="162"/>
      <c r="I109" s="162"/>
      <c r="J109" s="162"/>
      <c r="K109" s="162"/>
      <c r="L109" s="162"/>
      <c r="T109" s="162"/>
      <c r="U109" s="162"/>
      <c r="V109" s="162"/>
      <c r="W109" s="162"/>
      <c r="X109" s="162"/>
      <c r="Y109" s="162"/>
      <c r="Z109" s="162"/>
      <c r="AA109" s="162"/>
      <c r="AB109" s="162"/>
      <c r="AC109" s="162"/>
      <c r="AD109" s="162"/>
      <c r="AE109" s="162"/>
      <c r="AG109" s="162"/>
      <c r="AH109" s="162"/>
      <c r="AI109" s="162"/>
      <c r="AJ109" s="162"/>
      <c r="AK109" s="162"/>
      <c r="AL109" s="162"/>
      <c r="AM109" s="162"/>
      <c r="AN109" s="162"/>
      <c r="AO109" s="162"/>
      <c r="AP109" s="162"/>
      <c r="AQ109" s="162"/>
      <c r="AR109" s="162"/>
      <c r="AS109" s="162"/>
      <c r="AT109" s="162"/>
      <c r="AU109" s="162"/>
      <c r="AV109" s="162"/>
      <c r="AW109" s="162"/>
      <c r="AX109" s="162"/>
      <c r="AY109" s="162"/>
      <c r="AZ109" s="162"/>
      <c r="BA109" s="162"/>
      <c r="BB109" s="171"/>
      <c r="BC109" s="162"/>
      <c r="BD109" s="171"/>
      <c r="BO109" s="162"/>
      <c r="BP109" s="162"/>
      <c r="BQ109" s="162"/>
      <c r="BR109" s="162"/>
      <c r="BS109" s="162"/>
      <c r="BT109" s="162"/>
      <c r="BU109" s="162"/>
      <c r="BV109" s="162"/>
      <c r="BW109" s="162"/>
      <c r="BX109" s="162"/>
      <c r="BY109" s="162"/>
      <c r="BZ109" s="162"/>
      <c r="CA109" s="162"/>
      <c r="CB109" s="162"/>
      <c r="CC109" s="162"/>
      <c r="CD109" s="162"/>
      <c r="CE109" s="162"/>
      <c r="CF109" s="162"/>
      <c r="CG109" s="162"/>
      <c r="CH109" s="162"/>
      <c r="CI109" s="162"/>
      <c r="CJ109" s="162"/>
    </row>
    <row r="110" spans="1:88" ht="15.75" customHeight="1">
      <c r="A110" s="162"/>
      <c r="B110" s="163"/>
      <c r="C110" s="164"/>
      <c r="D110" s="162"/>
      <c r="E110" s="162"/>
      <c r="F110" s="162"/>
      <c r="G110" s="162"/>
      <c r="H110" s="162"/>
      <c r="I110" s="162"/>
      <c r="J110" s="162"/>
      <c r="K110" s="162"/>
      <c r="L110" s="162"/>
      <c r="T110" s="162"/>
      <c r="U110" s="162"/>
      <c r="V110" s="162"/>
      <c r="W110" s="162"/>
      <c r="X110" s="162"/>
      <c r="Y110" s="162"/>
      <c r="Z110" s="162"/>
      <c r="AA110" s="162"/>
      <c r="AB110" s="162"/>
      <c r="AC110" s="162"/>
      <c r="AD110" s="162"/>
      <c r="AE110" s="162"/>
      <c r="AG110" s="162"/>
      <c r="AH110" s="162"/>
      <c r="AI110" s="162"/>
      <c r="AJ110" s="162"/>
      <c r="AK110" s="162"/>
      <c r="AL110" s="162"/>
      <c r="AM110" s="162"/>
      <c r="AN110" s="162"/>
      <c r="AO110" s="162"/>
      <c r="AP110" s="162"/>
      <c r="AQ110" s="162"/>
      <c r="AR110" s="162"/>
      <c r="AS110" s="162"/>
      <c r="AT110" s="162"/>
      <c r="AU110" s="162"/>
      <c r="AV110" s="162"/>
      <c r="AW110" s="162"/>
      <c r="AX110" s="162"/>
      <c r="AY110" s="162"/>
      <c r="AZ110" s="162"/>
      <c r="BA110" s="162"/>
      <c r="BB110" s="171"/>
      <c r="BC110" s="162"/>
      <c r="BD110" s="171"/>
      <c r="BO110" s="162"/>
      <c r="BP110" s="162"/>
      <c r="BQ110" s="162"/>
      <c r="BR110" s="162"/>
      <c r="BS110" s="162"/>
      <c r="BT110" s="162"/>
      <c r="BU110" s="162"/>
      <c r="BV110" s="162"/>
      <c r="BW110" s="162"/>
      <c r="BX110" s="162"/>
      <c r="BY110" s="162"/>
      <c r="BZ110" s="162"/>
      <c r="CA110" s="162"/>
      <c r="CB110" s="162"/>
      <c r="CC110" s="162"/>
      <c r="CD110" s="162"/>
      <c r="CE110" s="162"/>
      <c r="CF110" s="162"/>
      <c r="CG110" s="162"/>
      <c r="CH110" s="162"/>
      <c r="CI110" s="162"/>
      <c r="CJ110" s="162"/>
    </row>
    <row r="111" spans="1:88" ht="15.75" customHeight="1">
      <c r="A111" s="162"/>
      <c r="B111" s="163"/>
      <c r="C111" s="164"/>
      <c r="D111" s="162"/>
      <c r="E111" s="162"/>
      <c r="F111" s="162"/>
      <c r="G111" s="162"/>
      <c r="H111" s="162"/>
      <c r="I111" s="162"/>
      <c r="J111" s="162"/>
      <c r="K111" s="162"/>
      <c r="L111" s="162"/>
      <c r="T111" s="162"/>
      <c r="U111" s="162"/>
      <c r="V111" s="162"/>
      <c r="W111" s="162"/>
      <c r="X111" s="162"/>
      <c r="Y111" s="162"/>
      <c r="Z111" s="162"/>
      <c r="AA111" s="162"/>
      <c r="AB111" s="162"/>
      <c r="AC111" s="162"/>
      <c r="AD111" s="162"/>
      <c r="AE111" s="162"/>
      <c r="AG111" s="162"/>
      <c r="AH111" s="162"/>
      <c r="AI111" s="162"/>
      <c r="AJ111" s="162"/>
      <c r="AK111" s="162"/>
      <c r="AL111" s="162"/>
      <c r="AM111" s="162"/>
      <c r="AN111" s="162"/>
      <c r="AO111" s="162"/>
      <c r="AP111" s="162"/>
      <c r="AQ111" s="162"/>
      <c r="AR111" s="162"/>
      <c r="AS111" s="162"/>
      <c r="AT111" s="162"/>
      <c r="AU111" s="162"/>
      <c r="AV111" s="162"/>
      <c r="AW111" s="162"/>
      <c r="AX111" s="162"/>
      <c r="AY111" s="162"/>
      <c r="AZ111" s="162"/>
      <c r="BA111" s="162"/>
      <c r="BB111" s="171"/>
      <c r="BC111" s="162"/>
      <c r="BD111" s="171"/>
      <c r="BO111" s="162"/>
      <c r="BP111" s="162"/>
      <c r="BQ111" s="162"/>
      <c r="BR111" s="162"/>
      <c r="BS111" s="162"/>
      <c r="BT111" s="162"/>
      <c r="BU111" s="162"/>
      <c r="BV111" s="162"/>
      <c r="BW111" s="162"/>
      <c r="BX111" s="162"/>
      <c r="BY111" s="162"/>
      <c r="BZ111" s="162"/>
      <c r="CA111" s="162"/>
      <c r="CB111" s="162"/>
      <c r="CC111" s="162"/>
      <c r="CD111" s="162"/>
      <c r="CE111" s="162"/>
      <c r="CF111" s="162"/>
      <c r="CG111" s="162"/>
      <c r="CH111" s="162"/>
      <c r="CI111" s="162"/>
      <c r="CJ111" s="162"/>
    </row>
    <row r="112" spans="1:88" ht="15.75" customHeight="1">
      <c r="A112" s="162"/>
      <c r="B112" s="163"/>
      <c r="C112" s="164"/>
      <c r="D112" s="162"/>
      <c r="E112" s="162"/>
      <c r="F112" s="162"/>
      <c r="G112" s="162"/>
      <c r="H112" s="162"/>
      <c r="I112" s="162"/>
      <c r="J112" s="162"/>
      <c r="K112" s="162"/>
      <c r="L112" s="162"/>
      <c r="T112" s="162"/>
      <c r="U112" s="162"/>
      <c r="V112" s="162"/>
      <c r="W112" s="162"/>
      <c r="X112" s="162"/>
      <c r="Y112" s="162"/>
      <c r="Z112" s="162"/>
      <c r="AA112" s="162"/>
      <c r="AB112" s="162"/>
      <c r="AC112" s="162"/>
      <c r="AD112" s="162"/>
      <c r="AE112" s="162"/>
      <c r="AG112" s="162"/>
      <c r="AH112" s="162"/>
      <c r="AI112" s="162"/>
      <c r="AJ112" s="162"/>
      <c r="AK112" s="162"/>
      <c r="AL112" s="162"/>
      <c r="AM112" s="162"/>
      <c r="AN112" s="162"/>
      <c r="AO112" s="162"/>
      <c r="AP112" s="162"/>
      <c r="AQ112" s="162"/>
      <c r="AR112" s="162"/>
      <c r="AS112" s="162"/>
      <c r="AT112" s="162"/>
      <c r="AU112" s="162"/>
      <c r="AV112" s="162"/>
      <c r="AW112" s="162"/>
      <c r="AX112" s="162"/>
      <c r="AY112" s="162"/>
      <c r="AZ112" s="162"/>
      <c r="BA112" s="162"/>
      <c r="BB112" s="171"/>
      <c r="BC112" s="162"/>
      <c r="BD112" s="171"/>
      <c r="BO112" s="162"/>
      <c r="BP112" s="162"/>
      <c r="BQ112" s="162"/>
      <c r="BR112" s="162"/>
      <c r="BS112" s="162"/>
      <c r="BT112" s="162"/>
      <c r="BU112" s="162"/>
      <c r="BV112" s="162"/>
      <c r="BW112" s="162"/>
      <c r="BX112" s="162"/>
      <c r="BY112" s="162"/>
      <c r="BZ112" s="162"/>
      <c r="CA112" s="162"/>
      <c r="CB112" s="162"/>
      <c r="CC112" s="162"/>
      <c r="CD112" s="162"/>
      <c r="CE112" s="162"/>
      <c r="CF112" s="162"/>
      <c r="CG112" s="162"/>
      <c r="CH112" s="162"/>
      <c r="CI112" s="162"/>
      <c r="CJ112" s="162"/>
    </row>
    <row r="113" spans="1:88" ht="15.75" customHeight="1">
      <c r="A113" s="162"/>
      <c r="B113" s="163"/>
      <c r="C113" s="164"/>
      <c r="D113" s="162"/>
      <c r="E113" s="162"/>
      <c r="F113" s="162"/>
      <c r="G113" s="162"/>
      <c r="H113" s="162"/>
      <c r="I113" s="162"/>
      <c r="J113" s="162"/>
      <c r="K113" s="162"/>
      <c r="L113" s="162"/>
      <c r="T113" s="162"/>
      <c r="U113" s="162"/>
      <c r="V113" s="162"/>
      <c r="W113" s="162"/>
      <c r="X113" s="162"/>
      <c r="Y113" s="162"/>
      <c r="Z113" s="162"/>
      <c r="AA113" s="162"/>
      <c r="AB113" s="162"/>
      <c r="AC113" s="162"/>
      <c r="AD113" s="162"/>
      <c r="AE113" s="162"/>
      <c r="AG113" s="162"/>
      <c r="AH113" s="162"/>
      <c r="AI113" s="162"/>
      <c r="AJ113" s="162"/>
      <c r="AK113" s="162"/>
      <c r="AL113" s="162"/>
      <c r="AM113" s="162"/>
      <c r="AN113" s="162"/>
      <c r="AO113" s="162"/>
      <c r="AP113" s="162"/>
      <c r="AQ113" s="162"/>
      <c r="AR113" s="162"/>
      <c r="AS113" s="162"/>
      <c r="AT113" s="162"/>
      <c r="AU113" s="162"/>
      <c r="AV113" s="162"/>
      <c r="AW113" s="162"/>
      <c r="AX113" s="162"/>
      <c r="AY113" s="162"/>
      <c r="AZ113" s="162"/>
      <c r="BA113" s="162"/>
      <c r="BB113" s="171"/>
      <c r="BC113" s="162"/>
      <c r="BD113" s="171"/>
      <c r="BO113" s="162"/>
      <c r="BP113" s="162"/>
      <c r="BQ113" s="162"/>
      <c r="BR113" s="162"/>
      <c r="BS113" s="162"/>
      <c r="BT113" s="162"/>
      <c r="BU113" s="162"/>
      <c r="BV113" s="162"/>
      <c r="BW113" s="162"/>
      <c r="BX113" s="162"/>
      <c r="BY113" s="162"/>
      <c r="BZ113" s="162"/>
      <c r="CA113" s="162"/>
      <c r="CB113" s="162"/>
      <c r="CC113" s="162"/>
      <c r="CD113" s="162"/>
      <c r="CE113" s="162"/>
      <c r="CF113" s="162"/>
      <c r="CG113" s="162"/>
      <c r="CH113" s="162"/>
      <c r="CI113" s="162"/>
      <c r="CJ113" s="162"/>
    </row>
    <row r="114" spans="1:88" ht="15.75" customHeight="1">
      <c r="A114" s="162"/>
      <c r="B114" s="163"/>
      <c r="C114" s="164"/>
      <c r="D114" s="162"/>
      <c r="E114" s="162"/>
      <c r="F114" s="162"/>
      <c r="G114" s="162"/>
      <c r="H114" s="162"/>
      <c r="I114" s="162"/>
      <c r="J114" s="162"/>
      <c r="K114" s="162"/>
      <c r="L114" s="162"/>
      <c r="T114" s="162"/>
      <c r="U114" s="162"/>
      <c r="V114" s="162"/>
      <c r="W114" s="162"/>
      <c r="X114" s="162"/>
      <c r="Y114" s="162"/>
      <c r="Z114" s="162"/>
      <c r="AA114" s="162"/>
      <c r="AB114" s="162"/>
      <c r="AC114" s="162"/>
      <c r="AD114" s="162"/>
      <c r="AE114" s="162"/>
      <c r="AG114" s="162"/>
      <c r="AH114" s="162"/>
      <c r="AI114" s="162"/>
      <c r="AJ114" s="162"/>
      <c r="AK114" s="162"/>
      <c r="AL114" s="162"/>
      <c r="AM114" s="162"/>
      <c r="AN114" s="162"/>
      <c r="AO114" s="162"/>
      <c r="AP114" s="162"/>
      <c r="AQ114" s="162"/>
      <c r="AR114" s="162"/>
      <c r="AS114" s="162"/>
      <c r="AT114" s="162"/>
      <c r="AU114" s="162"/>
      <c r="AV114" s="162"/>
      <c r="AW114" s="162"/>
      <c r="AX114" s="162"/>
      <c r="AY114" s="162"/>
      <c r="AZ114" s="162"/>
      <c r="BA114" s="162"/>
      <c r="BB114" s="171"/>
      <c r="BC114" s="162"/>
      <c r="BD114" s="171"/>
      <c r="BO114" s="162"/>
      <c r="BP114" s="162"/>
      <c r="BQ114" s="162"/>
      <c r="BR114" s="162"/>
      <c r="BS114" s="162"/>
      <c r="BT114" s="162"/>
      <c r="BU114" s="162"/>
      <c r="BV114" s="162"/>
      <c r="BW114" s="162"/>
      <c r="BX114" s="162"/>
      <c r="BY114" s="162"/>
      <c r="BZ114" s="162"/>
      <c r="CA114" s="162"/>
      <c r="CB114" s="162"/>
      <c r="CC114" s="162"/>
      <c r="CD114" s="162"/>
      <c r="CE114" s="162"/>
      <c r="CF114" s="162"/>
      <c r="CG114" s="162"/>
      <c r="CH114" s="162"/>
      <c r="CI114" s="162"/>
      <c r="CJ114" s="162"/>
    </row>
    <row r="115" spans="1:88" ht="15.75" customHeight="1">
      <c r="A115" s="162"/>
      <c r="B115" s="163"/>
      <c r="C115" s="164"/>
      <c r="D115" s="162"/>
      <c r="E115" s="162"/>
      <c r="F115" s="162"/>
      <c r="G115" s="162"/>
      <c r="H115" s="162"/>
      <c r="I115" s="162"/>
      <c r="J115" s="162"/>
      <c r="K115" s="162"/>
      <c r="L115" s="162"/>
      <c r="T115" s="162"/>
      <c r="U115" s="162"/>
      <c r="V115" s="162"/>
      <c r="W115" s="162"/>
      <c r="X115" s="162"/>
      <c r="Y115" s="162"/>
      <c r="Z115" s="162"/>
      <c r="AA115" s="162"/>
      <c r="AB115" s="162"/>
      <c r="AC115" s="162"/>
      <c r="AD115" s="162"/>
      <c r="AE115" s="162"/>
      <c r="AG115" s="162"/>
      <c r="AH115" s="162"/>
      <c r="AI115" s="162"/>
      <c r="AJ115" s="162"/>
      <c r="AK115" s="162"/>
      <c r="AL115" s="162"/>
      <c r="AM115" s="162"/>
      <c r="AN115" s="162"/>
      <c r="AO115" s="162"/>
      <c r="AP115" s="162"/>
      <c r="AQ115" s="162"/>
      <c r="AR115" s="162"/>
      <c r="AS115" s="162"/>
      <c r="AT115" s="162"/>
      <c r="AU115" s="162"/>
      <c r="AV115" s="162"/>
      <c r="AW115" s="162"/>
      <c r="AX115" s="162"/>
      <c r="AY115" s="162"/>
      <c r="AZ115" s="162"/>
      <c r="BA115" s="162"/>
      <c r="BB115" s="171"/>
      <c r="BC115" s="162"/>
      <c r="BD115" s="171"/>
      <c r="BO115" s="162"/>
      <c r="BP115" s="162"/>
      <c r="BQ115" s="162"/>
      <c r="BR115" s="162"/>
      <c r="BS115" s="162"/>
      <c r="BT115" s="162"/>
      <c r="BU115" s="162"/>
      <c r="BV115" s="162"/>
      <c r="BW115" s="162"/>
      <c r="BX115" s="162"/>
      <c r="BY115" s="162"/>
      <c r="BZ115" s="162"/>
      <c r="CA115" s="162"/>
      <c r="CB115" s="162"/>
      <c r="CC115" s="162"/>
      <c r="CD115" s="162"/>
      <c r="CE115" s="162"/>
      <c r="CF115" s="162"/>
      <c r="CG115" s="162"/>
      <c r="CH115" s="162"/>
      <c r="CI115" s="162"/>
      <c r="CJ115" s="162"/>
    </row>
    <row r="116" spans="1:88" ht="15.75" customHeight="1">
      <c r="A116" s="162"/>
      <c r="B116" s="163"/>
      <c r="C116" s="164"/>
      <c r="D116" s="162"/>
      <c r="E116" s="162"/>
      <c r="F116" s="162"/>
      <c r="G116" s="162"/>
      <c r="H116" s="162"/>
      <c r="I116" s="162"/>
      <c r="J116" s="162"/>
      <c r="K116" s="162"/>
      <c r="L116" s="162"/>
      <c r="T116" s="162"/>
      <c r="U116" s="162"/>
      <c r="V116" s="162"/>
      <c r="W116" s="162"/>
      <c r="X116" s="162"/>
      <c r="Y116" s="162"/>
      <c r="Z116" s="162"/>
      <c r="AA116" s="162"/>
      <c r="AB116" s="162"/>
      <c r="AC116" s="162"/>
      <c r="AD116" s="162"/>
      <c r="AE116" s="162"/>
      <c r="AG116" s="162"/>
      <c r="AH116" s="162"/>
      <c r="AI116" s="162"/>
      <c r="AJ116" s="162"/>
      <c r="AK116" s="162"/>
      <c r="AL116" s="162"/>
      <c r="AM116" s="162"/>
      <c r="AN116" s="162"/>
      <c r="AO116" s="162"/>
      <c r="AP116" s="162"/>
      <c r="AQ116" s="162"/>
      <c r="AR116" s="162"/>
      <c r="AS116" s="162"/>
      <c r="AT116" s="162"/>
      <c r="AU116" s="162"/>
      <c r="AV116" s="162"/>
      <c r="AW116" s="162"/>
      <c r="AX116" s="162"/>
      <c r="AY116" s="162"/>
      <c r="AZ116" s="162"/>
      <c r="BA116" s="162"/>
      <c r="BB116" s="171"/>
      <c r="BC116" s="162"/>
      <c r="BD116" s="171"/>
      <c r="BO116" s="162"/>
      <c r="BP116" s="162"/>
      <c r="BQ116" s="162"/>
      <c r="BR116" s="162"/>
      <c r="BS116" s="162"/>
      <c r="BT116" s="162"/>
      <c r="BU116" s="162"/>
      <c r="BV116" s="162"/>
      <c r="BW116" s="162"/>
      <c r="BX116" s="162"/>
      <c r="BY116" s="162"/>
      <c r="BZ116" s="162"/>
      <c r="CA116" s="162"/>
      <c r="CB116" s="162"/>
      <c r="CC116" s="162"/>
      <c r="CD116" s="162"/>
      <c r="CE116" s="162"/>
      <c r="CF116" s="162"/>
      <c r="CG116" s="162"/>
      <c r="CH116" s="162"/>
      <c r="CI116" s="162"/>
      <c r="CJ116" s="162"/>
    </row>
    <row r="117" spans="1:88" ht="15.75" customHeight="1">
      <c r="A117" s="162"/>
      <c r="B117" s="163"/>
      <c r="C117" s="164"/>
      <c r="D117" s="162"/>
      <c r="E117" s="162"/>
      <c r="F117" s="162"/>
      <c r="G117" s="162"/>
      <c r="H117" s="162"/>
      <c r="I117" s="162"/>
      <c r="J117" s="162"/>
      <c r="K117" s="162"/>
      <c r="L117" s="162"/>
      <c r="T117" s="162"/>
      <c r="U117" s="162"/>
      <c r="V117" s="162"/>
      <c r="W117" s="162"/>
      <c r="X117" s="162"/>
      <c r="Y117" s="162"/>
      <c r="Z117" s="162"/>
      <c r="AA117" s="162"/>
      <c r="AB117" s="162"/>
      <c r="AC117" s="162"/>
      <c r="AD117" s="162"/>
      <c r="AE117" s="162"/>
      <c r="AG117" s="162"/>
      <c r="AH117" s="162"/>
      <c r="AI117" s="162"/>
      <c r="AJ117" s="162"/>
      <c r="AK117" s="162"/>
      <c r="AL117" s="162"/>
      <c r="AM117" s="162"/>
      <c r="AN117" s="162"/>
      <c r="AO117" s="162"/>
      <c r="AP117" s="162"/>
      <c r="AQ117" s="162"/>
      <c r="AR117" s="162"/>
      <c r="AS117" s="162"/>
      <c r="AT117" s="162"/>
      <c r="AU117" s="162"/>
      <c r="AV117" s="162"/>
      <c r="AW117" s="162"/>
      <c r="AX117" s="162"/>
      <c r="AY117" s="162"/>
      <c r="AZ117" s="162"/>
      <c r="BA117" s="162"/>
      <c r="BB117" s="171"/>
      <c r="BC117" s="162"/>
      <c r="BD117" s="171"/>
      <c r="BO117" s="162"/>
      <c r="BP117" s="162"/>
      <c r="BQ117" s="162"/>
      <c r="BR117" s="162"/>
      <c r="BS117" s="162"/>
      <c r="BT117" s="162"/>
      <c r="BU117" s="162"/>
      <c r="BV117" s="162"/>
      <c r="BW117" s="162"/>
      <c r="BX117" s="162"/>
      <c r="BY117" s="162"/>
      <c r="BZ117" s="162"/>
      <c r="CA117" s="162"/>
      <c r="CB117" s="162"/>
      <c r="CC117" s="162"/>
      <c r="CD117" s="162"/>
      <c r="CE117" s="162"/>
      <c r="CF117" s="162"/>
      <c r="CG117" s="162"/>
      <c r="CH117" s="162"/>
      <c r="CI117" s="162"/>
      <c r="CJ117" s="162"/>
    </row>
    <row r="118" spans="1:88" ht="15.75" customHeight="1">
      <c r="A118" s="162"/>
      <c r="B118" s="163"/>
      <c r="C118" s="164"/>
      <c r="D118" s="162"/>
      <c r="E118" s="162"/>
      <c r="F118" s="162"/>
      <c r="G118" s="162"/>
      <c r="H118" s="162"/>
      <c r="I118" s="162"/>
      <c r="J118" s="162"/>
      <c r="K118" s="162"/>
      <c r="L118" s="162"/>
      <c r="T118" s="162"/>
      <c r="U118" s="162"/>
      <c r="V118" s="162"/>
      <c r="W118" s="162"/>
      <c r="X118" s="162"/>
      <c r="Y118" s="162"/>
      <c r="Z118" s="162"/>
      <c r="AA118" s="162"/>
      <c r="AB118" s="162"/>
      <c r="AC118" s="162"/>
      <c r="AD118" s="162"/>
      <c r="AE118" s="162"/>
      <c r="AG118" s="162"/>
      <c r="AH118" s="162"/>
      <c r="AI118" s="162"/>
      <c r="AJ118" s="162"/>
      <c r="AK118" s="162"/>
      <c r="AL118" s="162"/>
      <c r="AM118" s="162"/>
      <c r="AN118" s="162"/>
      <c r="AO118" s="162"/>
      <c r="AP118" s="162"/>
      <c r="AQ118" s="162"/>
      <c r="AR118" s="162"/>
      <c r="AS118" s="162"/>
      <c r="AT118" s="162"/>
      <c r="AU118" s="162"/>
      <c r="AV118" s="162"/>
      <c r="AW118" s="162"/>
      <c r="AX118" s="162"/>
      <c r="AY118" s="162"/>
      <c r="AZ118" s="162"/>
      <c r="BA118" s="162"/>
      <c r="BB118" s="171"/>
      <c r="BC118" s="162"/>
      <c r="BD118" s="171"/>
      <c r="BO118" s="162"/>
      <c r="BP118" s="162"/>
      <c r="BQ118" s="162"/>
      <c r="BR118" s="162"/>
      <c r="BS118" s="162"/>
      <c r="BT118" s="162"/>
      <c r="BU118" s="162"/>
      <c r="BV118" s="162"/>
      <c r="BW118" s="162"/>
      <c r="BX118" s="162"/>
      <c r="BY118" s="162"/>
      <c r="BZ118" s="162"/>
      <c r="CA118" s="162"/>
      <c r="CB118" s="162"/>
      <c r="CC118" s="162"/>
      <c r="CD118" s="162"/>
      <c r="CE118" s="162"/>
      <c r="CF118" s="162"/>
      <c r="CG118" s="162"/>
      <c r="CH118" s="162"/>
      <c r="CI118" s="162"/>
      <c r="CJ118" s="162"/>
    </row>
    <row r="119" spans="1:88" ht="15.75" customHeight="1">
      <c r="A119" s="162"/>
      <c r="B119" s="163"/>
      <c r="C119" s="164"/>
      <c r="D119" s="162"/>
      <c r="E119" s="162"/>
      <c r="F119" s="162"/>
      <c r="G119" s="162"/>
      <c r="H119" s="162"/>
      <c r="I119" s="162"/>
      <c r="J119" s="162"/>
      <c r="K119" s="162"/>
      <c r="L119" s="162"/>
      <c r="T119" s="162"/>
      <c r="U119" s="162"/>
      <c r="V119" s="162"/>
      <c r="W119" s="162"/>
      <c r="X119" s="162"/>
      <c r="Y119" s="162"/>
      <c r="Z119" s="162"/>
      <c r="AA119" s="162"/>
      <c r="AB119" s="162"/>
      <c r="AC119" s="162"/>
      <c r="AD119" s="162"/>
      <c r="AE119" s="162"/>
      <c r="AG119" s="162"/>
      <c r="AH119" s="162"/>
      <c r="AI119" s="162"/>
      <c r="AJ119" s="162"/>
      <c r="AK119" s="162"/>
      <c r="AL119" s="162"/>
      <c r="AM119" s="162"/>
      <c r="AN119" s="162"/>
      <c r="AO119" s="162"/>
      <c r="AP119" s="162"/>
      <c r="AQ119" s="162"/>
      <c r="AR119" s="162"/>
      <c r="AS119" s="162"/>
      <c r="AT119" s="162"/>
      <c r="AU119" s="162"/>
      <c r="AV119" s="162"/>
      <c r="AW119" s="162"/>
      <c r="AX119" s="162"/>
      <c r="AY119" s="162"/>
      <c r="AZ119" s="162"/>
      <c r="BA119" s="162"/>
      <c r="BB119" s="171"/>
      <c r="BC119" s="162"/>
      <c r="BD119" s="171"/>
      <c r="BO119" s="162"/>
      <c r="BP119" s="162"/>
      <c r="BQ119" s="162"/>
      <c r="BR119" s="162"/>
      <c r="BS119" s="162"/>
      <c r="BT119" s="162"/>
      <c r="BU119" s="162"/>
      <c r="BV119" s="162"/>
      <c r="BW119" s="162"/>
      <c r="BX119" s="162"/>
      <c r="BY119" s="162"/>
      <c r="BZ119" s="162"/>
      <c r="CA119" s="162"/>
      <c r="CB119" s="162"/>
      <c r="CC119" s="162"/>
      <c r="CD119" s="162"/>
      <c r="CE119" s="162"/>
      <c r="CF119" s="162"/>
      <c r="CG119" s="162"/>
      <c r="CH119" s="162"/>
      <c r="CI119" s="162"/>
      <c r="CJ119" s="162"/>
    </row>
    <row r="120" spans="1:88" ht="15.75" customHeight="1">
      <c r="A120" s="162"/>
      <c r="B120" s="163"/>
      <c r="C120" s="164"/>
      <c r="D120" s="162"/>
      <c r="E120" s="162"/>
      <c r="F120" s="162"/>
      <c r="G120" s="162"/>
      <c r="H120" s="162"/>
      <c r="I120" s="162"/>
      <c r="J120" s="162"/>
      <c r="K120" s="162"/>
      <c r="L120" s="162"/>
      <c r="T120" s="162"/>
      <c r="U120" s="162"/>
      <c r="V120" s="162"/>
      <c r="W120" s="162"/>
      <c r="X120" s="162"/>
      <c r="Y120" s="162"/>
      <c r="Z120" s="162"/>
      <c r="AA120" s="162"/>
      <c r="AB120" s="162"/>
      <c r="AC120" s="162"/>
      <c r="AD120" s="162"/>
      <c r="AE120" s="162"/>
      <c r="AG120" s="162"/>
      <c r="AH120" s="162"/>
      <c r="AI120" s="162"/>
      <c r="AJ120" s="162"/>
      <c r="AK120" s="162"/>
      <c r="AL120" s="162"/>
      <c r="AM120" s="162"/>
      <c r="AN120" s="162"/>
      <c r="AO120" s="162"/>
      <c r="AP120" s="162"/>
      <c r="AQ120" s="162"/>
      <c r="AR120" s="162"/>
      <c r="AS120" s="162"/>
      <c r="AT120" s="162"/>
      <c r="AU120" s="162"/>
      <c r="AV120" s="162"/>
      <c r="AW120" s="162"/>
      <c r="AX120" s="162"/>
      <c r="AY120" s="162"/>
      <c r="AZ120" s="162"/>
      <c r="BA120" s="162"/>
      <c r="BB120" s="171"/>
      <c r="BC120" s="162"/>
      <c r="BD120" s="171"/>
      <c r="BO120" s="162"/>
      <c r="BP120" s="162"/>
      <c r="BQ120" s="162"/>
      <c r="BR120" s="162"/>
      <c r="BS120" s="162"/>
      <c r="BT120" s="162"/>
      <c r="BU120" s="162"/>
      <c r="BV120" s="162"/>
      <c r="BW120" s="162"/>
      <c r="BX120" s="162"/>
      <c r="BY120" s="162"/>
      <c r="BZ120" s="162"/>
      <c r="CA120" s="162"/>
      <c r="CB120" s="162"/>
      <c r="CC120" s="162"/>
      <c r="CD120" s="162"/>
      <c r="CE120" s="162"/>
      <c r="CF120" s="162"/>
      <c r="CG120" s="162"/>
      <c r="CH120" s="162"/>
      <c r="CI120" s="162"/>
      <c r="CJ120" s="162"/>
    </row>
    <row r="121" spans="1:88" ht="15.75" customHeight="1">
      <c r="A121" s="162"/>
      <c r="B121" s="163"/>
      <c r="C121" s="164"/>
      <c r="D121" s="162"/>
      <c r="E121" s="162"/>
      <c r="F121" s="162"/>
      <c r="G121" s="162"/>
      <c r="H121" s="162"/>
      <c r="I121" s="162"/>
      <c r="J121" s="162"/>
      <c r="K121" s="162"/>
      <c r="L121" s="162"/>
      <c r="T121" s="162"/>
      <c r="U121" s="162"/>
      <c r="V121" s="162"/>
      <c r="W121" s="162"/>
      <c r="X121" s="162"/>
      <c r="Y121" s="162"/>
      <c r="Z121" s="162"/>
      <c r="AA121" s="162"/>
      <c r="AB121" s="162"/>
      <c r="AC121" s="162"/>
      <c r="AD121" s="162"/>
      <c r="AE121" s="162"/>
      <c r="AG121" s="162"/>
      <c r="AH121" s="162"/>
      <c r="AI121" s="162"/>
      <c r="AJ121" s="162"/>
      <c r="AK121" s="162"/>
      <c r="AL121" s="162"/>
      <c r="AM121" s="162"/>
      <c r="AN121" s="162"/>
      <c r="AO121" s="162"/>
      <c r="AP121" s="162"/>
      <c r="AQ121" s="162"/>
      <c r="AR121" s="162"/>
      <c r="AS121" s="162"/>
      <c r="AT121" s="162"/>
      <c r="AU121" s="162"/>
      <c r="AV121" s="162"/>
      <c r="AW121" s="162"/>
      <c r="AX121" s="162"/>
      <c r="AY121" s="162"/>
      <c r="AZ121" s="162"/>
      <c r="BA121" s="162"/>
      <c r="BB121" s="171"/>
      <c r="BC121" s="162"/>
      <c r="BD121" s="171"/>
      <c r="BO121" s="162"/>
      <c r="BP121" s="162"/>
      <c r="BQ121" s="162"/>
      <c r="BR121" s="162"/>
      <c r="BS121" s="162"/>
      <c r="BT121" s="162"/>
      <c r="BU121" s="162"/>
      <c r="BV121" s="162"/>
      <c r="BW121" s="162"/>
      <c r="BX121" s="162"/>
      <c r="BY121" s="162"/>
      <c r="BZ121" s="162"/>
      <c r="CA121" s="162"/>
      <c r="CB121" s="162"/>
      <c r="CC121" s="162"/>
      <c r="CD121" s="162"/>
      <c r="CE121" s="162"/>
      <c r="CF121" s="162"/>
      <c r="CG121" s="162"/>
      <c r="CH121" s="162"/>
      <c r="CI121" s="162"/>
      <c r="CJ121" s="162"/>
    </row>
    <row r="122" spans="1:88" ht="15.75" customHeight="1">
      <c r="A122" s="162"/>
      <c r="B122" s="163"/>
      <c r="C122" s="164"/>
      <c r="D122" s="162"/>
      <c r="E122" s="162"/>
      <c r="F122" s="162"/>
      <c r="G122" s="162"/>
      <c r="H122" s="162"/>
      <c r="I122" s="162"/>
      <c r="J122" s="162"/>
      <c r="K122" s="162"/>
      <c r="L122" s="162"/>
      <c r="T122" s="162"/>
      <c r="U122" s="162"/>
      <c r="V122" s="162"/>
      <c r="W122" s="162"/>
      <c r="X122" s="162"/>
      <c r="Y122" s="162"/>
      <c r="Z122" s="162"/>
      <c r="AA122" s="162"/>
      <c r="AB122" s="162"/>
      <c r="AC122" s="162"/>
      <c r="AD122" s="162"/>
      <c r="AE122" s="162"/>
      <c r="AG122" s="162"/>
      <c r="AH122" s="162"/>
      <c r="AI122" s="162"/>
      <c r="AJ122" s="162"/>
      <c r="AK122" s="162"/>
      <c r="AL122" s="162"/>
      <c r="AM122" s="162"/>
      <c r="AN122" s="162"/>
      <c r="AO122" s="162"/>
      <c r="AP122" s="162"/>
      <c r="AQ122" s="162"/>
      <c r="AR122" s="162"/>
      <c r="AS122" s="162"/>
      <c r="AT122" s="162"/>
      <c r="AU122" s="162"/>
      <c r="AV122" s="162"/>
      <c r="AW122" s="162"/>
      <c r="AX122" s="162"/>
      <c r="AY122" s="162"/>
      <c r="AZ122" s="162"/>
      <c r="BA122" s="162"/>
      <c r="BB122" s="171"/>
      <c r="BC122" s="162"/>
      <c r="BD122" s="171"/>
      <c r="BO122" s="162"/>
      <c r="BP122" s="162"/>
      <c r="BQ122" s="162"/>
      <c r="BR122" s="162"/>
      <c r="BS122" s="162"/>
      <c r="BT122" s="162"/>
      <c r="BU122" s="162"/>
      <c r="BV122" s="162"/>
      <c r="BW122" s="162"/>
      <c r="BX122" s="162"/>
      <c r="BY122" s="162"/>
      <c r="BZ122" s="162"/>
      <c r="CA122" s="162"/>
      <c r="CB122" s="162"/>
      <c r="CC122" s="162"/>
      <c r="CD122" s="162"/>
      <c r="CE122" s="162"/>
      <c r="CF122" s="162"/>
      <c r="CG122" s="162"/>
      <c r="CH122" s="162"/>
      <c r="CI122" s="162"/>
      <c r="CJ122" s="162"/>
    </row>
    <row r="123" spans="1:88" ht="15.75" customHeight="1">
      <c r="A123" s="162"/>
      <c r="B123" s="163"/>
      <c r="C123" s="164"/>
      <c r="D123" s="162"/>
      <c r="E123" s="162"/>
      <c r="F123" s="162"/>
      <c r="G123" s="162"/>
      <c r="H123" s="162"/>
      <c r="I123" s="162"/>
      <c r="J123" s="162"/>
      <c r="K123" s="162"/>
      <c r="L123" s="162"/>
      <c r="T123" s="162"/>
      <c r="U123" s="162"/>
      <c r="V123" s="162"/>
      <c r="W123" s="162"/>
      <c r="X123" s="162"/>
      <c r="Y123" s="162"/>
      <c r="Z123" s="162"/>
      <c r="AA123" s="162"/>
      <c r="AB123" s="162"/>
      <c r="AC123" s="162"/>
      <c r="AD123" s="162"/>
      <c r="AE123" s="162"/>
      <c r="AG123" s="162"/>
      <c r="AH123" s="162"/>
      <c r="AI123" s="162"/>
      <c r="AJ123" s="162"/>
      <c r="AK123" s="162"/>
      <c r="AL123" s="162"/>
      <c r="AM123" s="162"/>
      <c r="AN123" s="162"/>
      <c r="AO123" s="162"/>
      <c r="AP123" s="162"/>
      <c r="AQ123" s="162"/>
      <c r="AR123" s="162"/>
      <c r="AS123" s="162"/>
      <c r="AT123" s="162"/>
      <c r="AU123" s="162"/>
      <c r="AV123" s="162"/>
      <c r="AW123" s="162"/>
      <c r="AX123" s="162"/>
      <c r="AY123" s="162"/>
      <c r="AZ123" s="162"/>
      <c r="BA123" s="162"/>
      <c r="BB123" s="171"/>
      <c r="BC123" s="162"/>
      <c r="BD123" s="171"/>
      <c r="BO123" s="162"/>
      <c r="BP123" s="162"/>
      <c r="BQ123" s="162"/>
      <c r="BR123" s="162"/>
      <c r="BS123" s="162"/>
      <c r="BT123" s="162"/>
      <c r="BU123" s="162"/>
      <c r="BV123" s="162"/>
      <c r="BW123" s="162"/>
      <c r="BX123" s="162"/>
      <c r="BY123" s="162"/>
      <c r="BZ123" s="162"/>
      <c r="CA123" s="162"/>
      <c r="CB123" s="162"/>
      <c r="CC123" s="162"/>
      <c r="CD123" s="162"/>
      <c r="CE123" s="162"/>
      <c r="CF123" s="162"/>
      <c r="CG123" s="162"/>
      <c r="CH123" s="162"/>
      <c r="CI123" s="162"/>
      <c r="CJ123" s="162"/>
    </row>
    <row r="124" spans="1:88" ht="15.75" customHeight="1">
      <c r="A124" s="162"/>
      <c r="B124" s="163"/>
      <c r="C124" s="164"/>
      <c r="D124" s="162"/>
      <c r="E124" s="162"/>
      <c r="F124" s="162"/>
      <c r="G124" s="162"/>
      <c r="H124" s="162"/>
      <c r="I124" s="162"/>
      <c r="J124" s="162"/>
      <c r="K124" s="162"/>
      <c r="L124" s="162"/>
      <c r="T124" s="162"/>
      <c r="U124" s="162"/>
      <c r="V124" s="162"/>
      <c r="W124" s="162"/>
      <c r="X124" s="162"/>
      <c r="Y124" s="162"/>
      <c r="Z124" s="162"/>
      <c r="AA124" s="162"/>
      <c r="AB124" s="162"/>
      <c r="AC124" s="162"/>
      <c r="AD124" s="162"/>
      <c r="AE124" s="162"/>
      <c r="AG124" s="162"/>
      <c r="AH124" s="162"/>
      <c r="AI124" s="162"/>
      <c r="AJ124" s="162"/>
      <c r="AK124" s="162"/>
      <c r="AL124" s="162"/>
      <c r="AM124" s="162"/>
      <c r="AN124" s="162"/>
      <c r="AO124" s="162"/>
      <c r="AP124" s="162"/>
      <c r="AQ124" s="162"/>
      <c r="AR124" s="162"/>
      <c r="AS124" s="162"/>
      <c r="AT124" s="162"/>
      <c r="AU124" s="162"/>
      <c r="AV124" s="162"/>
      <c r="AW124" s="162"/>
      <c r="AX124" s="162"/>
      <c r="AY124" s="162"/>
      <c r="AZ124" s="162"/>
      <c r="BA124" s="162"/>
      <c r="BB124" s="171"/>
      <c r="BC124" s="162"/>
      <c r="BD124" s="171"/>
      <c r="BO124" s="162"/>
      <c r="BP124" s="162"/>
      <c r="BQ124" s="162"/>
      <c r="BR124" s="162"/>
      <c r="BS124" s="162"/>
      <c r="BT124" s="162"/>
      <c r="BU124" s="162"/>
      <c r="BV124" s="162"/>
      <c r="BW124" s="162"/>
      <c r="BX124" s="162"/>
      <c r="BY124" s="162"/>
      <c r="BZ124" s="162"/>
      <c r="CA124" s="162"/>
      <c r="CB124" s="162"/>
      <c r="CC124" s="162"/>
      <c r="CD124" s="162"/>
      <c r="CE124" s="162"/>
      <c r="CF124" s="162"/>
      <c r="CG124" s="162"/>
      <c r="CH124" s="162"/>
      <c r="CI124" s="162"/>
      <c r="CJ124" s="162"/>
    </row>
    <row r="125" spans="1:88" ht="15.75" customHeight="1">
      <c r="A125" s="162"/>
      <c r="B125" s="163"/>
      <c r="C125" s="164"/>
      <c r="D125" s="162"/>
      <c r="E125" s="162"/>
      <c r="F125" s="162"/>
      <c r="G125" s="162"/>
      <c r="H125" s="162"/>
      <c r="I125" s="162"/>
      <c r="J125" s="162"/>
      <c r="K125" s="162"/>
      <c r="L125" s="162"/>
      <c r="T125" s="162"/>
      <c r="U125" s="162"/>
      <c r="V125" s="162"/>
      <c r="W125" s="162"/>
      <c r="X125" s="162"/>
      <c r="Y125" s="162"/>
      <c r="Z125" s="162"/>
      <c r="AA125" s="162"/>
      <c r="AB125" s="162"/>
      <c r="AC125" s="162"/>
      <c r="AD125" s="162"/>
      <c r="AE125" s="162"/>
      <c r="AG125" s="162"/>
      <c r="AH125" s="162"/>
      <c r="AI125" s="162"/>
      <c r="AJ125" s="162"/>
      <c r="AK125" s="162"/>
      <c r="AL125" s="162"/>
      <c r="AM125" s="162"/>
      <c r="AN125" s="162"/>
      <c r="AO125" s="162"/>
      <c r="AP125" s="162"/>
      <c r="AQ125" s="162"/>
      <c r="AR125" s="162"/>
      <c r="AS125" s="162"/>
      <c r="AT125" s="162"/>
      <c r="AU125" s="162"/>
      <c r="AV125" s="162"/>
      <c r="AW125" s="162"/>
      <c r="AX125" s="162"/>
      <c r="AY125" s="162"/>
      <c r="AZ125" s="162"/>
      <c r="BA125" s="162"/>
      <c r="BB125" s="171"/>
      <c r="BC125" s="162"/>
      <c r="BD125" s="171"/>
      <c r="BO125" s="162"/>
      <c r="BP125" s="162"/>
      <c r="BQ125" s="162"/>
      <c r="BR125" s="162"/>
      <c r="BS125" s="162"/>
      <c r="BT125" s="162"/>
      <c r="BU125" s="162"/>
      <c r="BV125" s="162"/>
      <c r="BW125" s="162"/>
      <c r="BX125" s="162"/>
      <c r="BY125" s="162"/>
      <c r="BZ125" s="162"/>
      <c r="CA125" s="162"/>
      <c r="CB125" s="162"/>
      <c r="CC125" s="162"/>
      <c r="CD125" s="162"/>
      <c r="CE125" s="162"/>
      <c r="CF125" s="162"/>
      <c r="CG125" s="162"/>
      <c r="CH125" s="162"/>
      <c r="CI125" s="162"/>
      <c r="CJ125" s="162"/>
    </row>
    <row r="126" spans="1:88" ht="15.75" customHeight="1">
      <c r="A126" s="162"/>
      <c r="B126" s="163"/>
      <c r="C126" s="164"/>
      <c r="D126" s="162"/>
      <c r="E126" s="162"/>
      <c r="F126" s="162"/>
      <c r="G126" s="162"/>
      <c r="H126" s="162"/>
      <c r="I126" s="162"/>
      <c r="J126" s="162"/>
      <c r="K126" s="162"/>
      <c r="L126" s="162"/>
      <c r="T126" s="162"/>
      <c r="U126" s="162"/>
      <c r="V126" s="162"/>
      <c r="W126" s="162"/>
      <c r="X126" s="162"/>
      <c r="Y126" s="162"/>
      <c r="Z126" s="162"/>
      <c r="AA126" s="162"/>
      <c r="AB126" s="162"/>
      <c r="AC126" s="162"/>
      <c r="AD126" s="162"/>
      <c r="AE126" s="162"/>
      <c r="AG126" s="162"/>
      <c r="AH126" s="162"/>
      <c r="AI126" s="162"/>
      <c r="AJ126" s="162"/>
      <c r="AK126" s="162"/>
      <c r="AL126" s="162"/>
      <c r="AM126" s="162"/>
      <c r="AN126" s="162"/>
      <c r="AO126" s="162"/>
      <c r="AP126" s="162"/>
      <c r="AQ126" s="162"/>
      <c r="AR126" s="162"/>
      <c r="AS126" s="162"/>
      <c r="AT126" s="162"/>
      <c r="AU126" s="162"/>
      <c r="AV126" s="162"/>
      <c r="AW126" s="162"/>
      <c r="AX126" s="162"/>
      <c r="AY126" s="162"/>
      <c r="AZ126" s="162"/>
      <c r="BA126" s="162"/>
      <c r="BB126" s="171"/>
      <c r="BC126" s="162"/>
      <c r="BD126" s="171"/>
      <c r="BO126" s="162"/>
      <c r="BP126" s="162"/>
      <c r="BQ126" s="162"/>
      <c r="BR126" s="162"/>
      <c r="BS126" s="162"/>
      <c r="BT126" s="162"/>
      <c r="BU126" s="162"/>
      <c r="BV126" s="162"/>
      <c r="BW126" s="162"/>
      <c r="BX126" s="162"/>
      <c r="BY126" s="162"/>
      <c r="BZ126" s="162"/>
      <c r="CA126" s="162"/>
      <c r="CB126" s="162"/>
      <c r="CC126" s="162"/>
      <c r="CD126" s="162"/>
      <c r="CE126" s="162"/>
      <c r="CF126" s="162"/>
      <c r="CG126" s="162"/>
      <c r="CH126" s="162"/>
      <c r="CI126" s="162"/>
      <c r="CJ126" s="162"/>
    </row>
    <row r="127" spans="1:88" ht="15.75" customHeight="1">
      <c r="A127" s="162"/>
      <c r="B127" s="163"/>
      <c r="C127" s="164"/>
      <c r="D127" s="162"/>
      <c r="E127" s="162"/>
      <c r="F127" s="162"/>
      <c r="G127" s="162"/>
      <c r="H127" s="162"/>
      <c r="I127" s="162"/>
      <c r="J127" s="162"/>
      <c r="K127" s="162"/>
      <c r="L127" s="162"/>
      <c r="T127" s="162"/>
      <c r="U127" s="162"/>
      <c r="V127" s="162"/>
      <c r="W127" s="162"/>
      <c r="X127" s="162"/>
      <c r="Y127" s="162"/>
      <c r="Z127" s="162"/>
      <c r="AA127" s="162"/>
      <c r="AB127" s="162"/>
      <c r="AC127" s="162"/>
      <c r="AD127" s="162"/>
      <c r="AE127" s="162"/>
      <c r="AG127" s="162"/>
      <c r="AH127" s="162"/>
      <c r="AI127" s="162"/>
      <c r="AJ127" s="162"/>
      <c r="AK127" s="162"/>
      <c r="AL127" s="162"/>
      <c r="AM127" s="162"/>
      <c r="AN127" s="162"/>
      <c r="AO127" s="162"/>
      <c r="AP127" s="162"/>
      <c r="AQ127" s="162"/>
      <c r="AR127" s="162"/>
      <c r="AS127" s="162"/>
      <c r="AT127" s="162"/>
      <c r="AU127" s="162"/>
      <c r="AV127" s="162"/>
      <c r="AW127" s="162"/>
      <c r="AX127" s="162"/>
      <c r="AY127" s="162"/>
      <c r="AZ127" s="162"/>
      <c r="BA127" s="162"/>
      <c r="BB127" s="171"/>
      <c r="BC127" s="162"/>
      <c r="BD127" s="171"/>
      <c r="BO127" s="162"/>
      <c r="BP127" s="162"/>
      <c r="BQ127" s="162"/>
      <c r="BR127" s="162"/>
      <c r="BS127" s="162"/>
      <c r="BT127" s="162"/>
      <c r="BU127" s="162"/>
      <c r="BV127" s="162"/>
      <c r="BW127" s="162"/>
      <c r="BX127" s="162"/>
      <c r="BY127" s="162"/>
      <c r="BZ127" s="162"/>
      <c r="CA127" s="162"/>
      <c r="CB127" s="162"/>
      <c r="CC127" s="162"/>
      <c r="CD127" s="162"/>
      <c r="CE127" s="162"/>
      <c r="CF127" s="162"/>
      <c r="CG127" s="162"/>
      <c r="CH127" s="162"/>
      <c r="CI127" s="162"/>
      <c r="CJ127" s="162"/>
    </row>
    <row r="128" spans="1:88" ht="15.75" customHeight="1">
      <c r="A128" s="162"/>
      <c r="B128" s="163"/>
      <c r="C128" s="164"/>
      <c r="D128" s="162"/>
      <c r="E128" s="162"/>
      <c r="F128" s="162"/>
      <c r="G128" s="162"/>
      <c r="H128" s="162"/>
      <c r="I128" s="162"/>
      <c r="J128" s="162"/>
      <c r="K128" s="162"/>
      <c r="L128" s="162"/>
      <c r="T128" s="162"/>
      <c r="U128" s="162"/>
      <c r="V128" s="162"/>
      <c r="W128" s="162"/>
      <c r="X128" s="162"/>
      <c r="Y128" s="162"/>
      <c r="Z128" s="162"/>
      <c r="AA128" s="162"/>
      <c r="AB128" s="162"/>
      <c r="AC128" s="162"/>
      <c r="AD128" s="162"/>
      <c r="AE128" s="162"/>
      <c r="AG128" s="162"/>
      <c r="AH128" s="162"/>
      <c r="AI128" s="162"/>
      <c r="AJ128" s="162"/>
      <c r="AK128" s="162"/>
      <c r="AL128" s="162"/>
      <c r="AM128" s="162"/>
      <c r="AN128" s="162"/>
      <c r="AO128" s="162"/>
      <c r="AP128" s="162"/>
      <c r="AQ128" s="162"/>
      <c r="AR128" s="162"/>
      <c r="AS128" s="162"/>
      <c r="AT128" s="162"/>
      <c r="AU128" s="162"/>
      <c r="AV128" s="162"/>
      <c r="AW128" s="162"/>
      <c r="AX128" s="162"/>
      <c r="AY128" s="162"/>
      <c r="AZ128" s="162"/>
      <c r="BA128" s="162"/>
      <c r="BB128" s="171"/>
      <c r="BC128" s="162"/>
      <c r="BD128" s="171"/>
      <c r="BO128" s="162"/>
      <c r="BP128" s="162"/>
      <c r="BQ128" s="162"/>
      <c r="BR128" s="162"/>
      <c r="BS128" s="162"/>
      <c r="BT128" s="162"/>
      <c r="BU128" s="162"/>
      <c r="BV128" s="162"/>
      <c r="BW128" s="162"/>
      <c r="BX128" s="162"/>
      <c r="BY128" s="162"/>
      <c r="BZ128" s="162"/>
      <c r="CA128" s="162"/>
      <c r="CB128" s="162"/>
      <c r="CC128" s="162"/>
      <c r="CD128" s="162"/>
      <c r="CE128" s="162"/>
      <c r="CF128" s="162"/>
      <c r="CG128" s="162"/>
      <c r="CH128" s="162"/>
      <c r="CI128" s="162"/>
      <c r="CJ128" s="162"/>
    </row>
    <row r="129" spans="1:88" ht="15.75" customHeight="1">
      <c r="A129" s="162"/>
      <c r="B129" s="163"/>
      <c r="C129" s="164"/>
      <c r="D129" s="162"/>
      <c r="E129" s="162"/>
      <c r="F129" s="162"/>
      <c r="G129" s="162"/>
      <c r="H129" s="162"/>
      <c r="I129" s="162"/>
      <c r="J129" s="162"/>
      <c r="K129" s="162"/>
      <c r="L129" s="162"/>
      <c r="T129" s="162"/>
      <c r="U129" s="162"/>
      <c r="V129" s="162"/>
      <c r="W129" s="162"/>
      <c r="X129" s="162"/>
      <c r="Y129" s="162"/>
      <c r="Z129" s="162"/>
      <c r="AA129" s="162"/>
      <c r="AB129" s="162"/>
      <c r="AC129" s="162"/>
      <c r="AD129" s="162"/>
      <c r="AE129" s="162"/>
      <c r="AG129" s="162"/>
      <c r="AH129" s="162"/>
      <c r="AI129" s="162"/>
      <c r="AJ129" s="162"/>
      <c r="AK129" s="162"/>
      <c r="AL129" s="162"/>
      <c r="AM129" s="162"/>
      <c r="AN129" s="162"/>
      <c r="AO129" s="162"/>
      <c r="AP129" s="162"/>
      <c r="AQ129" s="162"/>
      <c r="AR129" s="162"/>
      <c r="AS129" s="162"/>
      <c r="AT129" s="162"/>
      <c r="AU129" s="162"/>
      <c r="AV129" s="162"/>
      <c r="AW129" s="162"/>
      <c r="AX129" s="162"/>
      <c r="AY129" s="162"/>
      <c r="AZ129" s="162"/>
      <c r="BA129" s="162"/>
      <c r="BB129" s="171"/>
      <c r="BC129" s="162"/>
      <c r="BD129" s="171"/>
      <c r="BO129" s="162"/>
      <c r="BP129" s="162"/>
      <c r="BQ129" s="162"/>
      <c r="BR129" s="162"/>
      <c r="BS129" s="162"/>
      <c r="BT129" s="162"/>
      <c r="BU129" s="162"/>
      <c r="BV129" s="162"/>
      <c r="BW129" s="162"/>
      <c r="BX129" s="162"/>
      <c r="BY129" s="162"/>
      <c r="BZ129" s="162"/>
      <c r="CA129" s="162"/>
      <c r="CB129" s="162"/>
      <c r="CC129" s="162"/>
      <c r="CD129" s="162"/>
      <c r="CE129" s="162"/>
      <c r="CF129" s="162"/>
      <c r="CG129" s="162"/>
      <c r="CH129" s="162"/>
      <c r="CI129" s="162"/>
      <c r="CJ129" s="162"/>
    </row>
    <row r="130" spans="1:88" ht="15.75" customHeight="1">
      <c r="A130" s="162"/>
      <c r="B130" s="163"/>
      <c r="C130" s="164"/>
      <c r="D130" s="162"/>
      <c r="E130" s="162"/>
      <c r="F130" s="162"/>
      <c r="G130" s="162"/>
      <c r="H130" s="162"/>
      <c r="I130" s="162"/>
      <c r="J130" s="162"/>
      <c r="K130" s="162"/>
      <c r="L130" s="162"/>
      <c r="T130" s="162"/>
      <c r="U130" s="162"/>
      <c r="V130" s="162"/>
      <c r="W130" s="162"/>
      <c r="X130" s="162"/>
      <c r="Y130" s="162"/>
      <c r="Z130" s="162"/>
      <c r="AA130" s="162"/>
      <c r="AB130" s="162"/>
      <c r="AC130" s="162"/>
      <c r="AD130" s="162"/>
      <c r="AE130" s="162"/>
      <c r="AG130" s="162"/>
      <c r="AH130" s="162"/>
      <c r="AI130" s="162"/>
      <c r="AJ130" s="162"/>
      <c r="AK130" s="162"/>
      <c r="AL130" s="162"/>
      <c r="AM130" s="162"/>
      <c r="AN130" s="162"/>
      <c r="AO130" s="162"/>
      <c r="AP130" s="162"/>
      <c r="AQ130" s="162"/>
      <c r="AR130" s="162"/>
      <c r="AS130" s="162"/>
      <c r="AT130" s="162"/>
      <c r="AU130" s="162"/>
      <c r="AV130" s="162"/>
      <c r="AW130" s="162"/>
      <c r="AX130" s="162"/>
      <c r="AY130" s="162"/>
      <c r="AZ130" s="162"/>
      <c r="BA130" s="162"/>
      <c r="BB130" s="171"/>
      <c r="BC130" s="162"/>
      <c r="BD130" s="171"/>
      <c r="BO130" s="162"/>
      <c r="BP130" s="162"/>
      <c r="BQ130" s="162"/>
      <c r="BR130" s="162"/>
      <c r="BS130" s="162"/>
      <c r="BT130" s="162"/>
      <c r="BU130" s="162"/>
      <c r="BV130" s="162"/>
      <c r="BW130" s="162"/>
      <c r="BX130" s="162"/>
      <c r="BY130" s="162"/>
      <c r="BZ130" s="162"/>
      <c r="CA130" s="162"/>
      <c r="CB130" s="162"/>
      <c r="CC130" s="162"/>
      <c r="CD130" s="162"/>
      <c r="CE130" s="162"/>
      <c r="CF130" s="162"/>
      <c r="CG130" s="162"/>
      <c r="CH130" s="162"/>
      <c r="CI130" s="162"/>
      <c r="CJ130" s="162"/>
    </row>
    <row r="131" spans="1:88" ht="15.75" customHeight="1">
      <c r="A131" s="162"/>
      <c r="B131" s="163"/>
      <c r="C131" s="164"/>
      <c r="D131" s="162"/>
      <c r="E131" s="162"/>
      <c r="F131" s="162"/>
      <c r="G131" s="162"/>
      <c r="H131" s="162"/>
      <c r="I131" s="162"/>
      <c r="J131" s="162"/>
      <c r="K131" s="162"/>
      <c r="L131" s="162"/>
      <c r="T131" s="162"/>
      <c r="U131" s="162"/>
      <c r="V131" s="162"/>
      <c r="W131" s="162"/>
      <c r="X131" s="162"/>
      <c r="Y131" s="162"/>
      <c r="Z131" s="162"/>
      <c r="AA131" s="162"/>
      <c r="AB131" s="162"/>
      <c r="AC131" s="162"/>
      <c r="AD131" s="162"/>
      <c r="AE131" s="162"/>
      <c r="AG131" s="162"/>
      <c r="AH131" s="162"/>
      <c r="AI131" s="162"/>
      <c r="AJ131" s="162"/>
      <c r="AK131" s="162"/>
      <c r="AL131" s="162"/>
      <c r="AM131" s="162"/>
      <c r="AN131" s="162"/>
      <c r="AO131" s="162"/>
      <c r="AP131" s="162"/>
      <c r="AQ131" s="162"/>
      <c r="AR131" s="162"/>
      <c r="AS131" s="162"/>
      <c r="AT131" s="162"/>
      <c r="AU131" s="162"/>
      <c r="AV131" s="162"/>
      <c r="AW131" s="162"/>
      <c r="AX131" s="162"/>
      <c r="AY131" s="162"/>
      <c r="AZ131" s="162"/>
      <c r="BA131" s="162"/>
      <c r="BB131" s="171"/>
      <c r="BC131" s="162"/>
      <c r="BD131" s="171"/>
      <c r="BO131" s="162"/>
      <c r="BP131" s="162"/>
      <c r="BQ131" s="162"/>
      <c r="BR131" s="162"/>
      <c r="BS131" s="162"/>
      <c r="BT131" s="162"/>
      <c r="BU131" s="162"/>
      <c r="BV131" s="162"/>
      <c r="BW131" s="162"/>
      <c r="BX131" s="162"/>
      <c r="BY131" s="162"/>
      <c r="BZ131" s="162"/>
      <c r="CA131" s="162"/>
      <c r="CB131" s="162"/>
      <c r="CC131" s="162"/>
      <c r="CD131" s="162"/>
      <c r="CE131" s="162"/>
      <c r="CF131" s="162"/>
      <c r="CG131" s="162"/>
      <c r="CH131" s="162"/>
      <c r="CI131" s="162"/>
      <c r="CJ131" s="162"/>
    </row>
    <row r="132" spans="1:88" ht="15.75" customHeight="1">
      <c r="A132" s="162"/>
      <c r="B132" s="163"/>
      <c r="C132" s="164"/>
      <c r="D132" s="162"/>
      <c r="E132" s="162"/>
      <c r="F132" s="162"/>
      <c r="G132" s="162"/>
      <c r="H132" s="162"/>
      <c r="I132" s="162"/>
      <c r="J132" s="162"/>
      <c r="K132" s="162"/>
      <c r="L132" s="162"/>
      <c r="T132" s="162"/>
      <c r="U132" s="162"/>
      <c r="V132" s="162"/>
      <c r="W132" s="162"/>
      <c r="X132" s="162"/>
      <c r="Y132" s="162"/>
      <c r="Z132" s="162"/>
      <c r="AA132" s="162"/>
      <c r="AB132" s="162"/>
      <c r="AC132" s="162"/>
      <c r="AD132" s="162"/>
      <c r="AE132" s="162"/>
      <c r="AG132" s="162"/>
      <c r="AH132" s="162"/>
      <c r="AI132" s="162"/>
      <c r="AJ132" s="162"/>
      <c r="AK132" s="162"/>
      <c r="AL132" s="162"/>
      <c r="AM132" s="162"/>
      <c r="AN132" s="162"/>
      <c r="AO132" s="162"/>
      <c r="AP132" s="162"/>
      <c r="AQ132" s="162"/>
      <c r="AR132" s="162"/>
      <c r="AS132" s="162"/>
      <c r="AT132" s="162"/>
      <c r="AU132" s="162"/>
      <c r="AV132" s="162"/>
      <c r="AW132" s="162"/>
      <c r="AX132" s="162"/>
      <c r="AY132" s="162"/>
      <c r="AZ132" s="162"/>
      <c r="BA132" s="162"/>
      <c r="BB132" s="171"/>
      <c r="BC132" s="162"/>
      <c r="BD132" s="171"/>
      <c r="BO132" s="162"/>
      <c r="BP132" s="162"/>
      <c r="BQ132" s="162"/>
      <c r="BR132" s="162"/>
      <c r="BS132" s="162"/>
      <c r="BT132" s="162"/>
      <c r="BU132" s="162"/>
      <c r="BV132" s="162"/>
      <c r="BW132" s="162"/>
      <c r="BX132" s="162"/>
      <c r="BY132" s="162"/>
      <c r="BZ132" s="162"/>
      <c r="CA132" s="162"/>
      <c r="CB132" s="162"/>
      <c r="CC132" s="162"/>
      <c r="CD132" s="162"/>
      <c r="CE132" s="162"/>
      <c r="CF132" s="162"/>
      <c r="CG132" s="162"/>
      <c r="CH132" s="162"/>
      <c r="CI132" s="162"/>
      <c r="CJ132" s="162"/>
    </row>
    <row r="133" spans="1:88" ht="15.75" customHeight="1">
      <c r="A133" s="162"/>
      <c r="B133" s="163"/>
      <c r="C133" s="164"/>
      <c r="D133" s="162"/>
      <c r="E133" s="162"/>
      <c r="F133" s="162"/>
      <c r="G133" s="162"/>
      <c r="H133" s="162"/>
      <c r="I133" s="162"/>
      <c r="J133" s="162"/>
      <c r="K133" s="162"/>
      <c r="L133" s="162"/>
      <c r="T133" s="162"/>
      <c r="U133" s="162"/>
      <c r="V133" s="162"/>
      <c r="W133" s="162"/>
      <c r="X133" s="162"/>
      <c r="Y133" s="162"/>
      <c r="Z133" s="162"/>
      <c r="AA133" s="162"/>
      <c r="AB133" s="162"/>
      <c r="AC133" s="162"/>
      <c r="AD133" s="162"/>
      <c r="AE133" s="162"/>
      <c r="AG133" s="162"/>
      <c r="AH133" s="162"/>
      <c r="AI133" s="162"/>
      <c r="AJ133" s="162"/>
      <c r="AK133" s="162"/>
      <c r="AL133" s="162"/>
      <c r="AM133" s="162"/>
      <c r="AN133" s="162"/>
      <c r="AO133" s="162"/>
      <c r="AP133" s="162"/>
      <c r="AQ133" s="162"/>
      <c r="AR133" s="162"/>
      <c r="AS133" s="162"/>
      <c r="AT133" s="162"/>
      <c r="AU133" s="162"/>
      <c r="AV133" s="162"/>
      <c r="AW133" s="162"/>
      <c r="AX133" s="162"/>
      <c r="AY133" s="162"/>
      <c r="AZ133" s="162"/>
      <c r="BA133" s="162"/>
      <c r="BB133" s="171"/>
      <c r="BC133" s="162"/>
      <c r="BD133" s="171"/>
      <c r="BO133" s="162"/>
      <c r="BP133" s="162"/>
      <c r="BQ133" s="162"/>
      <c r="BR133" s="162"/>
      <c r="BS133" s="162"/>
      <c r="BT133" s="162"/>
      <c r="BU133" s="162"/>
      <c r="BV133" s="162"/>
      <c r="BW133" s="162"/>
      <c r="BX133" s="162"/>
      <c r="BY133" s="162"/>
      <c r="BZ133" s="162"/>
      <c r="CA133" s="162"/>
      <c r="CB133" s="162"/>
      <c r="CC133" s="162"/>
      <c r="CD133" s="162"/>
      <c r="CE133" s="162"/>
      <c r="CF133" s="162"/>
      <c r="CG133" s="162"/>
      <c r="CH133" s="162"/>
      <c r="CI133" s="162"/>
      <c r="CJ133" s="162"/>
    </row>
    <row r="134" spans="1:88" ht="15.75" customHeight="1">
      <c r="A134" s="162"/>
      <c r="B134" s="163"/>
      <c r="C134" s="164"/>
      <c r="D134" s="162"/>
      <c r="E134" s="162"/>
      <c r="F134" s="162"/>
      <c r="G134" s="162"/>
      <c r="H134" s="162"/>
      <c r="I134" s="162"/>
      <c r="J134" s="162"/>
      <c r="K134" s="162"/>
      <c r="L134" s="162"/>
      <c r="T134" s="162"/>
      <c r="U134" s="162"/>
      <c r="V134" s="162"/>
      <c r="W134" s="162"/>
      <c r="X134" s="162"/>
      <c r="Y134" s="162"/>
      <c r="Z134" s="162"/>
      <c r="AA134" s="162"/>
      <c r="AB134" s="162"/>
      <c r="AC134" s="162"/>
      <c r="AD134" s="162"/>
      <c r="AE134" s="162"/>
      <c r="AG134" s="162"/>
      <c r="AH134" s="162"/>
      <c r="AI134" s="162"/>
      <c r="AJ134" s="162"/>
      <c r="AK134" s="162"/>
      <c r="AL134" s="162"/>
      <c r="AM134" s="162"/>
      <c r="AN134" s="162"/>
      <c r="AO134" s="162"/>
      <c r="AP134" s="162"/>
      <c r="AQ134" s="162"/>
      <c r="AR134" s="162"/>
      <c r="AS134" s="162"/>
      <c r="AT134" s="162"/>
      <c r="AU134" s="162"/>
      <c r="AV134" s="162"/>
      <c r="AW134" s="162"/>
      <c r="AX134" s="162"/>
      <c r="AY134" s="162"/>
      <c r="AZ134" s="162"/>
      <c r="BA134" s="162"/>
      <c r="BB134" s="171"/>
      <c r="BC134" s="162"/>
      <c r="BD134" s="171"/>
      <c r="BO134" s="162"/>
      <c r="BP134" s="162"/>
      <c r="BQ134" s="162"/>
      <c r="BR134" s="162"/>
      <c r="BS134" s="162"/>
      <c r="BT134" s="162"/>
      <c r="BU134" s="162"/>
      <c r="BV134" s="162"/>
      <c r="BW134" s="162"/>
      <c r="BX134" s="162"/>
      <c r="BY134" s="162"/>
      <c r="BZ134" s="162"/>
      <c r="CA134" s="162"/>
      <c r="CB134" s="162"/>
      <c r="CC134" s="162"/>
      <c r="CD134" s="162"/>
      <c r="CE134" s="162"/>
      <c r="CF134" s="162"/>
      <c r="CG134" s="162"/>
      <c r="CH134" s="162"/>
      <c r="CI134" s="162"/>
      <c r="CJ134" s="162"/>
    </row>
    <row r="135" spans="1:88" ht="15.75" customHeight="1">
      <c r="A135" s="162"/>
      <c r="B135" s="163"/>
      <c r="C135" s="164"/>
      <c r="D135" s="162"/>
      <c r="E135" s="162"/>
      <c r="F135" s="162"/>
      <c r="G135" s="162"/>
      <c r="H135" s="162"/>
      <c r="I135" s="162"/>
      <c r="J135" s="162"/>
      <c r="K135" s="162"/>
      <c r="L135" s="162"/>
      <c r="T135" s="162"/>
      <c r="U135" s="162"/>
      <c r="V135" s="162"/>
      <c r="W135" s="162"/>
      <c r="X135" s="162"/>
      <c r="Y135" s="162"/>
      <c r="Z135" s="162"/>
      <c r="AA135" s="162"/>
      <c r="AB135" s="162"/>
      <c r="AC135" s="162"/>
      <c r="AD135" s="162"/>
      <c r="AE135" s="162"/>
      <c r="AG135" s="162"/>
      <c r="AH135" s="162"/>
      <c r="AI135" s="162"/>
      <c r="AJ135" s="162"/>
      <c r="AK135" s="162"/>
      <c r="AL135" s="162"/>
      <c r="AM135" s="162"/>
      <c r="AN135" s="162"/>
      <c r="AO135" s="162"/>
      <c r="AP135" s="162"/>
      <c r="AQ135" s="162"/>
      <c r="AR135" s="162"/>
      <c r="AS135" s="162"/>
      <c r="AT135" s="162"/>
      <c r="AU135" s="162"/>
      <c r="AV135" s="162"/>
      <c r="AW135" s="162"/>
      <c r="AX135" s="162"/>
      <c r="AY135" s="162"/>
      <c r="AZ135" s="162"/>
      <c r="BA135" s="162"/>
      <c r="BB135" s="171"/>
      <c r="BC135" s="162"/>
      <c r="BD135" s="171"/>
      <c r="BO135" s="162"/>
      <c r="BP135" s="162"/>
      <c r="BQ135" s="162"/>
      <c r="BR135" s="162"/>
      <c r="BS135" s="162"/>
      <c r="BT135" s="162"/>
      <c r="BU135" s="162"/>
      <c r="BV135" s="162"/>
      <c r="BW135" s="162"/>
      <c r="BX135" s="162"/>
      <c r="BY135" s="162"/>
      <c r="BZ135" s="162"/>
      <c r="CA135" s="162"/>
      <c r="CB135" s="162"/>
      <c r="CC135" s="162"/>
      <c r="CD135" s="162"/>
      <c r="CE135" s="162"/>
      <c r="CF135" s="162"/>
      <c r="CG135" s="162"/>
      <c r="CH135" s="162"/>
      <c r="CI135" s="162"/>
      <c r="CJ135" s="162"/>
    </row>
    <row r="136" spans="1:88" ht="15.75" customHeight="1">
      <c r="A136" s="162"/>
      <c r="B136" s="163"/>
      <c r="C136" s="164"/>
      <c r="D136" s="162"/>
      <c r="E136" s="162"/>
      <c r="F136" s="162"/>
      <c r="G136" s="162"/>
      <c r="H136" s="162"/>
      <c r="I136" s="162"/>
      <c r="J136" s="162"/>
      <c r="K136" s="162"/>
      <c r="L136" s="162"/>
      <c r="T136" s="162"/>
      <c r="U136" s="162"/>
      <c r="V136" s="162"/>
      <c r="W136" s="162"/>
      <c r="X136" s="162"/>
      <c r="Y136" s="162"/>
      <c r="Z136" s="162"/>
      <c r="AA136" s="162"/>
      <c r="AB136" s="162"/>
      <c r="AC136" s="162"/>
      <c r="AD136" s="162"/>
      <c r="AE136" s="162"/>
      <c r="AG136" s="162"/>
      <c r="AH136" s="162"/>
      <c r="AI136" s="162"/>
      <c r="AJ136" s="162"/>
      <c r="AK136" s="162"/>
      <c r="AL136" s="162"/>
      <c r="AM136" s="162"/>
      <c r="AN136" s="162"/>
      <c r="AO136" s="162"/>
      <c r="AP136" s="162"/>
      <c r="AQ136" s="162"/>
      <c r="AR136" s="162"/>
      <c r="AS136" s="162"/>
      <c r="AT136" s="162"/>
      <c r="AU136" s="162"/>
      <c r="AV136" s="162"/>
      <c r="AW136" s="162"/>
      <c r="AX136" s="162"/>
      <c r="AY136" s="162"/>
      <c r="AZ136" s="162"/>
      <c r="BA136" s="162"/>
      <c r="BB136" s="171"/>
      <c r="BC136" s="162"/>
      <c r="BD136" s="171"/>
      <c r="BO136" s="162"/>
      <c r="BP136" s="162"/>
      <c r="BQ136" s="162"/>
      <c r="BR136" s="162"/>
      <c r="BS136" s="162"/>
      <c r="BT136" s="162"/>
      <c r="BU136" s="162"/>
      <c r="BV136" s="162"/>
      <c r="BW136" s="162"/>
      <c r="BX136" s="162"/>
      <c r="BY136" s="162"/>
      <c r="BZ136" s="162"/>
      <c r="CA136" s="162"/>
      <c r="CB136" s="162"/>
      <c r="CC136" s="162"/>
      <c r="CD136" s="162"/>
      <c r="CE136" s="162"/>
      <c r="CF136" s="162"/>
      <c r="CG136" s="162"/>
      <c r="CH136" s="162"/>
      <c r="CI136" s="162"/>
      <c r="CJ136" s="162"/>
    </row>
    <row r="137" spans="1:88" ht="15.75" customHeight="1">
      <c r="A137" s="162"/>
      <c r="B137" s="163"/>
      <c r="C137" s="164"/>
      <c r="D137" s="162"/>
      <c r="E137" s="162"/>
      <c r="F137" s="162"/>
      <c r="G137" s="162"/>
      <c r="H137" s="162"/>
      <c r="I137" s="162"/>
      <c r="J137" s="162"/>
      <c r="K137" s="162"/>
      <c r="L137" s="162"/>
      <c r="T137" s="162"/>
      <c r="U137" s="162"/>
      <c r="V137" s="162"/>
      <c r="W137" s="162"/>
      <c r="X137" s="162"/>
      <c r="Y137" s="162"/>
      <c r="Z137" s="162"/>
      <c r="AA137" s="162"/>
      <c r="AB137" s="162"/>
      <c r="AC137" s="162"/>
      <c r="AD137" s="162"/>
      <c r="AE137" s="162"/>
      <c r="AG137" s="162"/>
      <c r="AH137" s="162"/>
      <c r="AI137" s="162"/>
      <c r="AJ137" s="162"/>
      <c r="AK137" s="162"/>
      <c r="AL137" s="162"/>
      <c r="AM137" s="162"/>
      <c r="AN137" s="162"/>
      <c r="AO137" s="162"/>
      <c r="AP137" s="162"/>
      <c r="AQ137" s="162"/>
      <c r="AR137" s="162"/>
      <c r="AS137" s="162"/>
      <c r="AT137" s="162"/>
      <c r="AU137" s="162"/>
      <c r="AV137" s="162"/>
      <c r="AW137" s="162"/>
      <c r="AX137" s="162"/>
      <c r="AY137" s="162"/>
      <c r="AZ137" s="162"/>
      <c r="BA137" s="162"/>
      <c r="BB137" s="171"/>
      <c r="BC137" s="162"/>
      <c r="BD137" s="171"/>
      <c r="BO137" s="162"/>
      <c r="BP137" s="162"/>
      <c r="BQ137" s="162"/>
      <c r="BR137" s="162"/>
      <c r="BS137" s="162"/>
      <c r="BT137" s="162"/>
      <c r="BU137" s="162"/>
      <c r="BV137" s="162"/>
      <c r="BW137" s="162"/>
      <c r="BX137" s="162"/>
      <c r="BY137" s="162"/>
      <c r="BZ137" s="162"/>
      <c r="CA137" s="162"/>
      <c r="CB137" s="162"/>
      <c r="CC137" s="162"/>
      <c r="CD137" s="162"/>
      <c r="CE137" s="162"/>
      <c r="CF137" s="162"/>
      <c r="CG137" s="162"/>
      <c r="CH137" s="162"/>
      <c r="CI137" s="162"/>
      <c r="CJ137" s="162"/>
    </row>
    <row r="138" spans="1:88" ht="15.75" customHeight="1">
      <c r="A138" s="162"/>
      <c r="B138" s="163"/>
      <c r="C138" s="164"/>
      <c r="D138" s="162"/>
      <c r="E138" s="162"/>
      <c r="F138" s="162"/>
      <c r="G138" s="162"/>
      <c r="H138" s="162"/>
      <c r="I138" s="162"/>
      <c r="J138" s="162"/>
      <c r="K138" s="162"/>
      <c r="L138" s="162"/>
      <c r="T138" s="162"/>
      <c r="U138" s="162"/>
      <c r="V138" s="162"/>
      <c r="W138" s="162"/>
      <c r="X138" s="162"/>
      <c r="Y138" s="162"/>
      <c r="Z138" s="162"/>
      <c r="AA138" s="162"/>
      <c r="AB138" s="162"/>
      <c r="AC138" s="162"/>
      <c r="AD138" s="162"/>
      <c r="AE138" s="162"/>
      <c r="AG138" s="162"/>
      <c r="AH138" s="162"/>
      <c r="AI138" s="162"/>
      <c r="AJ138" s="162"/>
      <c r="AK138" s="162"/>
      <c r="AL138" s="162"/>
      <c r="AM138" s="162"/>
      <c r="AN138" s="162"/>
      <c r="AO138" s="162"/>
      <c r="AP138" s="162"/>
      <c r="AQ138" s="162"/>
      <c r="AR138" s="162"/>
      <c r="AS138" s="162"/>
      <c r="AT138" s="162"/>
      <c r="AU138" s="162"/>
      <c r="AV138" s="162"/>
      <c r="AW138" s="162"/>
      <c r="AX138" s="162"/>
      <c r="AY138" s="162"/>
      <c r="AZ138" s="162"/>
      <c r="BA138" s="162"/>
      <c r="BB138" s="171"/>
      <c r="BC138" s="162"/>
      <c r="BD138" s="171"/>
      <c r="BO138" s="162"/>
      <c r="BP138" s="162"/>
      <c r="BQ138" s="162"/>
      <c r="BR138" s="162"/>
      <c r="BS138" s="162"/>
      <c r="BT138" s="162"/>
      <c r="BU138" s="162"/>
      <c r="BV138" s="162"/>
      <c r="BW138" s="162"/>
      <c r="BX138" s="162"/>
      <c r="BY138" s="162"/>
      <c r="BZ138" s="162"/>
      <c r="CA138" s="162"/>
      <c r="CB138" s="162"/>
      <c r="CC138" s="162"/>
      <c r="CD138" s="162"/>
      <c r="CE138" s="162"/>
      <c r="CF138" s="162"/>
      <c r="CG138" s="162"/>
      <c r="CH138" s="162"/>
      <c r="CI138" s="162"/>
      <c r="CJ138" s="162"/>
    </row>
    <row r="139" spans="1:88" ht="15.75" customHeight="1">
      <c r="A139" s="162"/>
      <c r="B139" s="163"/>
      <c r="C139" s="164"/>
      <c r="D139" s="162"/>
      <c r="E139" s="162"/>
      <c r="F139" s="162"/>
      <c r="G139" s="162"/>
      <c r="H139" s="162"/>
      <c r="I139" s="162"/>
      <c r="J139" s="162"/>
      <c r="K139" s="162"/>
      <c r="L139" s="162"/>
      <c r="T139" s="162"/>
      <c r="U139" s="162"/>
      <c r="V139" s="162"/>
      <c r="W139" s="162"/>
      <c r="X139" s="162"/>
      <c r="Y139" s="162"/>
      <c r="Z139" s="162"/>
      <c r="AA139" s="162"/>
      <c r="AB139" s="162"/>
      <c r="AC139" s="162"/>
      <c r="AD139" s="162"/>
      <c r="AE139" s="162"/>
      <c r="AG139" s="162"/>
      <c r="AH139" s="162"/>
      <c r="AI139" s="162"/>
      <c r="AJ139" s="162"/>
      <c r="AK139" s="162"/>
      <c r="AL139" s="162"/>
      <c r="AM139" s="162"/>
      <c r="AN139" s="162"/>
      <c r="AO139" s="162"/>
      <c r="AP139" s="162"/>
      <c r="AQ139" s="162"/>
      <c r="AR139" s="162"/>
      <c r="AS139" s="162"/>
      <c r="AT139" s="162"/>
      <c r="AU139" s="162"/>
      <c r="AV139" s="162"/>
      <c r="AW139" s="162"/>
      <c r="AX139" s="162"/>
      <c r="AY139" s="162"/>
      <c r="AZ139" s="162"/>
      <c r="BA139" s="162"/>
      <c r="BB139" s="171"/>
      <c r="BC139" s="162"/>
      <c r="BD139" s="171"/>
      <c r="BO139" s="162"/>
      <c r="BP139" s="162"/>
      <c r="BQ139" s="162"/>
      <c r="BR139" s="162"/>
      <c r="BS139" s="162"/>
      <c r="BT139" s="162"/>
      <c r="BU139" s="162"/>
      <c r="BV139" s="162"/>
      <c r="BW139" s="162"/>
      <c r="BX139" s="162"/>
      <c r="BY139" s="162"/>
      <c r="BZ139" s="162"/>
      <c r="CA139" s="162"/>
      <c r="CB139" s="162"/>
      <c r="CC139" s="162"/>
      <c r="CD139" s="162"/>
      <c r="CE139" s="162"/>
      <c r="CF139" s="162"/>
      <c r="CG139" s="162"/>
      <c r="CH139" s="162"/>
      <c r="CI139" s="162"/>
      <c r="CJ139" s="162"/>
    </row>
    <row r="140" spans="1:88" ht="15.75" customHeight="1">
      <c r="A140" s="162"/>
      <c r="B140" s="163"/>
      <c r="C140" s="164"/>
      <c r="D140" s="162"/>
      <c r="E140" s="162"/>
      <c r="F140" s="162"/>
      <c r="G140" s="162"/>
      <c r="H140" s="162"/>
      <c r="I140" s="162"/>
      <c r="J140" s="162"/>
      <c r="K140" s="162"/>
      <c r="L140" s="162"/>
      <c r="T140" s="162"/>
      <c r="U140" s="162"/>
      <c r="V140" s="162"/>
      <c r="W140" s="162"/>
      <c r="X140" s="162"/>
      <c r="Y140" s="162"/>
      <c r="Z140" s="162"/>
      <c r="AA140" s="162"/>
      <c r="AB140" s="162"/>
      <c r="AC140" s="162"/>
      <c r="AD140" s="162"/>
      <c r="AE140" s="162"/>
      <c r="AG140" s="162"/>
      <c r="AH140" s="162"/>
      <c r="AI140" s="162"/>
      <c r="AJ140" s="162"/>
      <c r="AK140" s="162"/>
      <c r="AL140" s="162"/>
      <c r="AM140" s="162"/>
      <c r="AN140" s="162"/>
      <c r="AO140" s="162"/>
      <c r="AP140" s="162"/>
      <c r="AQ140" s="162"/>
      <c r="AR140" s="162"/>
      <c r="AS140" s="162"/>
      <c r="AT140" s="162"/>
      <c r="AU140" s="162"/>
      <c r="AV140" s="162"/>
      <c r="AW140" s="162"/>
      <c r="AX140" s="162"/>
      <c r="AY140" s="162"/>
      <c r="AZ140" s="162"/>
      <c r="BA140" s="162"/>
      <c r="BB140" s="171"/>
      <c r="BC140" s="162"/>
      <c r="BD140" s="171"/>
      <c r="BO140" s="162"/>
      <c r="BP140" s="162"/>
      <c r="BQ140" s="162"/>
      <c r="BR140" s="162"/>
      <c r="BS140" s="162"/>
      <c r="BT140" s="162"/>
      <c r="BU140" s="162"/>
      <c r="BV140" s="162"/>
      <c r="BW140" s="162"/>
      <c r="BX140" s="162"/>
      <c r="BY140" s="162"/>
      <c r="BZ140" s="162"/>
      <c r="CA140" s="162"/>
      <c r="CB140" s="162"/>
      <c r="CC140" s="162"/>
      <c r="CD140" s="162"/>
      <c r="CE140" s="162"/>
      <c r="CF140" s="162"/>
      <c r="CG140" s="162"/>
      <c r="CH140" s="162"/>
      <c r="CI140" s="162"/>
      <c r="CJ140" s="162"/>
    </row>
    <row r="141" spans="1:88" ht="15.75" customHeight="1">
      <c r="A141" s="162"/>
      <c r="B141" s="163"/>
      <c r="C141" s="164"/>
      <c r="D141" s="162"/>
      <c r="E141" s="162"/>
      <c r="F141" s="162"/>
      <c r="G141" s="162"/>
      <c r="H141" s="162"/>
      <c r="I141" s="162"/>
      <c r="J141" s="162"/>
      <c r="K141" s="162"/>
      <c r="L141" s="162"/>
      <c r="T141" s="162"/>
      <c r="U141" s="162"/>
      <c r="V141" s="162"/>
      <c r="W141" s="162"/>
      <c r="X141" s="162"/>
      <c r="Y141" s="162"/>
      <c r="Z141" s="162"/>
      <c r="AA141" s="162"/>
      <c r="AB141" s="162"/>
      <c r="AC141" s="162"/>
      <c r="AD141" s="162"/>
      <c r="AE141" s="162"/>
      <c r="AG141" s="162"/>
      <c r="AH141" s="162"/>
      <c r="AI141" s="162"/>
      <c r="AJ141" s="162"/>
      <c r="AK141" s="162"/>
      <c r="AL141" s="162"/>
      <c r="AM141" s="162"/>
      <c r="AN141" s="162"/>
      <c r="AO141" s="162"/>
      <c r="AP141" s="162"/>
      <c r="AQ141" s="162"/>
      <c r="AR141" s="162"/>
      <c r="AS141" s="162"/>
      <c r="AT141" s="162"/>
      <c r="AU141" s="162"/>
      <c r="AV141" s="162"/>
      <c r="AW141" s="162"/>
      <c r="AX141" s="162"/>
      <c r="AY141" s="162"/>
      <c r="AZ141" s="162"/>
      <c r="BA141" s="162"/>
      <c r="BB141" s="171"/>
      <c r="BC141" s="162"/>
      <c r="BD141" s="171"/>
      <c r="BO141" s="162"/>
      <c r="BP141" s="162"/>
      <c r="BQ141" s="162"/>
      <c r="BR141" s="162"/>
      <c r="BS141" s="162"/>
      <c r="BT141" s="162"/>
      <c r="BU141" s="162"/>
      <c r="BV141" s="162"/>
      <c r="BW141" s="162"/>
      <c r="BX141" s="162"/>
      <c r="BY141" s="162"/>
      <c r="BZ141" s="162"/>
      <c r="CA141" s="162"/>
      <c r="CB141" s="162"/>
      <c r="CC141" s="162"/>
      <c r="CD141" s="162"/>
      <c r="CE141" s="162"/>
      <c r="CF141" s="162"/>
      <c r="CG141" s="162"/>
      <c r="CH141" s="162"/>
      <c r="CI141" s="162"/>
      <c r="CJ141" s="162"/>
    </row>
    <row r="142" spans="1:88" ht="15.75" customHeight="1">
      <c r="A142" s="162"/>
      <c r="B142" s="163"/>
      <c r="C142" s="164"/>
      <c r="D142" s="162"/>
      <c r="E142" s="162"/>
      <c r="F142" s="162"/>
      <c r="G142" s="162"/>
      <c r="H142" s="162"/>
      <c r="I142" s="162"/>
      <c r="J142" s="162"/>
      <c r="K142" s="162"/>
      <c r="L142" s="162"/>
      <c r="T142" s="162"/>
      <c r="U142" s="162"/>
      <c r="V142" s="162"/>
      <c r="W142" s="162"/>
      <c r="X142" s="162"/>
      <c r="Y142" s="162"/>
      <c r="Z142" s="162"/>
      <c r="AA142" s="162"/>
      <c r="AB142" s="162"/>
      <c r="AC142" s="162"/>
      <c r="AD142" s="162"/>
      <c r="AE142" s="162"/>
      <c r="AG142" s="162"/>
      <c r="AH142" s="162"/>
      <c r="AI142" s="162"/>
      <c r="AJ142" s="162"/>
      <c r="AK142" s="162"/>
      <c r="AL142" s="162"/>
      <c r="AM142" s="162"/>
      <c r="AN142" s="162"/>
      <c r="AO142" s="162"/>
      <c r="AP142" s="162"/>
      <c r="AQ142" s="162"/>
      <c r="AR142" s="162"/>
      <c r="AS142" s="162"/>
      <c r="AT142" s="162"/>
      <c r="AU142" s="162"/>
      <c r="AV142" s="162"/>
      <c r="AW142" s="162"/>
      <c r="AX142" s="162"/>
      <c r="AY142" s="162"/>
      <c r="AZ142" s="162"/>
      <c r="BA142" s="162"/>
      <c r="BB142" s="171"/>
      <c r="BC142" s="162"/>
      <c r="BD142" s="171"/>
      <c r="BO142" s="162"/>
      <c r="BP142" s="162"/>
      <c r="BQ142" s="162"/>
      <c r="BR142" s="162"/>
      <c r="BS142" s="162"/>
      <c r="BT142" s="162"/>
      <c r="BU142" s="162"/>
      <c r="BV142" s="162"/>
      <c r="BW142" s="162"/>
      <c r="BX142" s="162"/>
      <c r="BY142" s="162"/>
      <c r="BZ142" s="162"/>
      <c r="CA142" s="162"/>
      <c r="CB142" s="162"/>
      <c r="CC142" s="162"/>
      <c r="CD142" s="162"/>
      <c r="CE142" s="162"/>
      <c r="CF142" s="162"/>
      <c r="CG142" s="162"/>
      <c r="CH142" s="162"/>
      <c r="CI142" s="162"/>
      <c r="CJ142" s="162"/>
    </row>
    <row r="143" spans="1:88" ht="15.75" customHeight="1">
      <c r="A143" s="162"/>
      <c r="B143" s="163"/>
      <c r="C143" s="164"/>
      <c r="D143" s="162"/>
      <c r="E143" s="162"/>
      <c r="F143" s="162"/>
      <c r="G143" s="162"/>
      <c r="H143" s="162"/>
      <c r="I143" s="162"/>
      <c r="J143" s="162"/>
      <c r="K143" s="162"/>
      <c r="L143" s="162"/>
      <c r="T143" s="162"/>
      <c r="U143" s="162"/>
      <c r="V143" s="162"/>
      <c r="W143" s="162"/>
      <c r="X143" s="162"/>
      <c r="Y143" s="162"/>
      <c r="Z143" s="162"/>
      <c r="AA143" s="162"/>
      <c r="AB143" s="162"/>
      <c r="AC143" s="162"/>
      <c r="AD143" s="162"/>
      <c r="AE143" s="162"/>
      <c r="AG143" s="162"/>
      <c r="AH143" s="162"/>
      <c r="AI143" s="162"/>
      <c r="AJ143" s="162"/>
      <c r="AK143" s="162"/>
      <c r="AL143" s="162"/>
      <c r="AM143" s="162"/>
      <c r="AN143" s="162"/>
      <c r="AO143" s="162"/>
      <c r="AP143" s="162"/>
      <c r="AQ143" s="162"/>
      <c r="AR143" s="162"/>
      <c r="AS143" s="162"/>
      <c r="AT143" s="162"/>
      <c r="AU143" s="162"/>
      <c r="AV143" s="162"/>
      <c r="AW143" s="162"/>
      <c r="AX143" s="162"/>
      <c r="AY143" s="162"/>
      <c r="AZ143" s="162"/>
      <c r="BA143" s="162"/>
      <c r="BB143" s="171"/>
      <c r="BC143" s="162"/>
      <c r="BD143" s="171"/>
      <c r="BO143" s="162"/>
      <c r="BP143" s="162"/>
      <c r="BQ143" s="162"/>
      <c r="BR143" s="162"/>
      <c r="BS143" s="162"/>
      <c r="BT143" s="162"/>
      <c r="BU143" s="162"/>
      <c r="BV143" s="162"/>
      <c r="BW143" s="162"/>
      <c r="BX143" s="162"/>
      <c r="BY143" s="162"/>
      <c r="BZ143" s="162"/>
      <c r="CA143" s="162"/>
      <c r="CB143" s="162"/>
      <c r="CC143" s="162"/>
      <c r="CD143" s="162"/>
      <c r="CE143" s="162"/>
      <c r="CF143" s="162"/>
      <c r="CG143" s="162"/>
      <c r="CH143" s="162"/>
      <c r="CI143" s="162"/>
      <c r="CJ143" s="162"/>
    </row>
    <row r="144" spans="1:88" ht="15.75" customHeight="1">
      <c r="A144" s="162"/>
      <c r="B144" s="163"/>
      <c r="C144" s="164"/>
      <c r="D144" s="162"/>
      <c r="E144" s="162"/>
      <c r="F144" s="162"/>
      <c r="G144" s="162"/>
      <c r="H144" s="162"/>
      <c r="I144" s="162"/>
      <c r="J144" s="162"/>
      <c r="K144" s="162"/>
      <c r="L144" s="162"/>
      <c r="T144" s="162"/>
      <c r="U144" s="162"/>
      <c r="V144" s="162"/>
      <c r="W144" s="162"/>
      <c r="X144" s="162"/>
      <c r="Y144" s="162"/>
      <c r="Z144" s="162"/>
      <c r="AA144" s="162"/>
      <c r="AB144" s="162"/>
      <c r="AC144" s="162"/>
      <c r="AD144" s="162"/>
      <c r="AE144" s="162"/>
      <c r="AG144" s="162"/>
      <c r="AH144" s="162"/>
      <c r="AI144" s="162"/>
      <c r="AJ144" s="162"/>
      <c r="AK144" s="162"/>
      <c r="AL144" s="162"/>
      <c r="AM144" s="162"/>
      <c r="AN144" s="162"/>
      <c r="AO144" s="162"/>
      <c r="AP144" s="162"/>
      <c r="AQ144" s="162"/>
      <c r="AR144" s="162"/>
      <c r="AS144" s="162"/>
      <c r="AT144" s="162"/>
      <c r="AU144" s="162"/>
      <c r="AV144" s="162"/>
      <c r="AW144" s="162"/>
      <c r="AX144" s="162"/>
      <c r="AY144" s="162"/>
      <c r="AZ144" s="162"/>
      <c r="BA144" s="162"/>
      <c r="BB144" s="171"/>
      <c r="BC144" s="162"/>
      <c r="BD144" s="171"/>
      <c r="BO144" s="162"/>
      <c r="BP144" s="162"/>
      <c r="BQ144" s="162"/>
      <c r="BR144" s="162"/>
      <c r="BS144" s="162"/>
      <c r="BT144" s="162"/>
      <c r="BU144" s="162"/>
      <c r="BV144" s="162"/>
      <c r="BW144" s="162"/>
      <c r="BX144" s="162"/>
      <c r="BY144" s="162"/>
      <c r="BZ144" s="162"/>
      <c r="CA144" s="162"/>
      <c r="CB144" s="162"/>
      <c r="CC144" s="162"/>
      <c r="CD144" s="162"/>
      <c r="CE144" s="162"/>
      <c r="CF144" s="162"/>
      <c r="CG144" s="162"/>
      <c r="CH144" s="162"/>
      <c r="CI144" s="162"/>
      <c r="CJ144" s="162"/>
    </row>
    <row r="145" spans="1:88" ht="15.75" customHeight="1">
      <c r="A145" s="162"/>
      <c r="B145" s="163"/>
      <c r="C145" s="164"/>
      <c r="D145" s="162"/>
      <c r="E145" s="162"/>
      <c r="F145" s="162"/>
      <c r="G145" s="162"/>
      <c r="H145" s="162"/>
      <c r="I145" s="162"/>
      <c r="J145" s="162"/>
      <c r="K145" s="162"/>
      <c r="L145" s="162"/>
      <c r="T145" s="162"/>
      <c r="U145" s="162"/>
      <c r="V145" s="162"/>
      <c r="W145" s="162"/>
      <c r="X145" s="162"/>
      <c r="Y145" s="162"/>
      <c r="Z145" s="162"/>
      <c r="AA145" s="162"/>
      <c r="AB145" s="162"/>
      <c r="AC145" s="162"/>
      <c r="AD145" s="162"/>
      <c r="AE145" s="162"/>
      <c r="AG145" s="162"/>
      <c r="AH145" s="162"/>
      <c r="AI145" s="162"/>
      <c r="AJ145" s="162"/>
      <c r="AK145" s="162"/>
      <c r="AL145" s="162"/>
      <c r="AM145" s="162"/>
      <c r="AN145" s="162"/>
      <c r="AO145" s="162"/>
      <c r="AP145" s="162"/>
      <c r="AQ145" s="162"/>
      <c r="AR145" s="162"/>
      <c r="AS145" s="162"/>
      <c r="AT145" s="162"/>
      <c r="AU145" s="162"/>
      <c r="AV145" s="162"/>
      <c r="AW145" s="162"/>
      <c r="AX145" s="162"/>
      <c r="AY145" s="162"/>
      <c r="AZ145" s="162"/>
      <c r="BA145" s="162"/>
      <c r="BB145" s="171"/>
      <c r="BC145" s="162"/>
      <c r="BD145" s="171"/>
      <c r="BO145" s="162"/>
      <c r="BP145" s="162"/>
      <c r="BQ145" s="162"/>
      <c r="BR145" s="162"/>
      <c r="BS145" s="162"/>
      <c r="BT145" s="162"/>
      <c r="BU145" s="162"/>
      <c r="BV145" s="162"/>
      <c r="BW145" s="162"/>
      <c r="BX145" s="162"/>
      <c r="BY145" s="162"/>
      <c r="BZ145" s="162"/>
      <c r="CA145" s="162"/>
      <c r="CB145" s="162"/>
      <c r="CC145" s="162"/>
      <c r="CD145" s="162"/>
      <c r="CE145" s="162"/>
      <c r="CF145" s="162"/>
      <c r="CG145" s="162"/>
      <c r="CH145" s="162"/>
      <c r="CI145" s="162"/>
      <c r="CJ145" s="162"/>
    </row>
    <row r="146" spans="1:88" ht="15.75" customHeight="1">
      <c r="A146" s="162"/>
      <c r="B146" s="163"/>
      <c r="C146" s="164"/>
      <c r="D146" s="162"/>
      <c r="E146" s="162"/>
      <c r="F146" s="162"/>
      <c r="G146" s="162"/>
      <c r="H146" s="162"/>
      <c r="I146" s="162"/>
      <c r="J146" s="162"/>
      <c r="K146" s="162"/>
      <c r="L146" s="162"/>
      <c r="T146" s="162"/>
      <c r="U146" s="162"/>
      <c r="V146" s="162"/>
      <c r="W146" s="162"/>
      <c r="X146" s="162"/>
      <c r="Y146" s="162"/>
      <c r="Z146" s="162"/>
      <c r="AA146" s="162"/>
      <c r="AB146" s="162"/>
      <c r="AC146" s="162"/>
      <c r="AD146" s="162"/>
      <c r="AE146" s="162"/>
      <c r="AG146" s="162"/>
      <c r="AH146" s="162"/>
      <c r="AI146" s="162"/>
      <c r="AJ146" s="162"/>
      <c r="AK146" s="162"/>
      <c r="AL146" s="162"/>
      <c r="AM146" s="162"/>
      <c r="AN146" s="162"/>
      <c r="AO146" s="162"/>
      <c r="AP146" s="162"/>
      <c r="AQ146" s="162"/>
      <c r="AR146" s="162"/>
      <c r="AS146" s="162"/>
      <c r="AT146" s="162"/>
      <c r="AU146" s="162"/>
      <c r="AV146" s="162"/>
      <c r="AW146" s="162"/>
      <c r="AX146" s="162"/>
      <c r="AY146" s="162"/>
      <c r="AZ146" s="162"/>
      <c r="BA146" s="162"/>
      <c r="BB146" s="171"/>
      <c r="BC146" s="162"/>
      <c r="BD146" s="171"/>
      <c r="BO146" s="162"/>
      <c r="BP146" s="162"/>
      <c r="BQ146" s="162"/>
      <c r="BR146" s="162"/>
      <c r="BS146" s="162"/>
      <c r="BT146" s="162"/>
      <c r="BU146" s="162"/>
      <c r="BV146" s="162"/>
      <c r="BW146" s="162"/>
      <c r="BX146" s="162"/>
      <c r="BY146" s="162"/>
      <c r="BZ146" s="162"/>
      <c r="CA146" s="162"/>
      <c r="CB146" s="162"/>
      <c r="CC146" s="162"/>
      <c r="CD146" s="162"/>
      <c r="CE146" s="162"/>
      <c r="CF146" s="162"/>
      <c r="CG146" s="162"/>
      <c r="CH146" s="162"/>
      <c r="CI146" s="162"/>
      <c r="CJ146" s="162"/>
    </row>
    <row r="147" spans="1:88" ht="15.75" customHeight="1">
      <c r="A147" s="162"/>
      <c r="B147" s="163"/>
      <c r="C147" s="164"/>
      <c r="D147" s="162"/>
      <c r="E147" s="162"/>
      <c r="F147" s="162"/>
      <c r="G147" s="162"/>
      <c r="H147" s="162"/>
      <c r="I147" s="162"/>
      <c r="J147" s="162"/>
      <c r="K147" s="162"/>
      <c r="L147" s="162"/>
      <c r="T147" s="162"/>
      <c r="U147" s="162"/>
      <c r="V147" s="162"/>
      <c r="W147" s="162"/>
      <c r="X147" s="162"/>
      <c r="Y147" s="162"/>
      <c r="Z147" s="162"/>
      <c r="AA147" s="162"/>
      <c r="AB147" s="162"/>
      <c r="AC147" s="162"/>
      <c r="AD147" s="162"/>
      <c r="AE147" s="162"/>
      <c r="AG147" s="162"/>
      <c r="AH147" s="162"/>
      <c r="AI147" s="162"/>
      <c r="AJ147" s="162"/>
      <c r="AK147" s="162"/>
      <c r="AL147" s="162"/>
      <c r="AM147" s="162"/>
      <c r="AN147" s="162"/>
      <c r="AO147" s="162"/>
      <c r="AP147" s="162"/>
      <c r="AQ147" s="162"/>
      <c r="AR147" s="162"/>
      <c r="AS147" s="162"/>
      <c r="AT147" s="162"/>
      <c r="AU147" s="162"/>
      <c r="AV147" s="162"/>
      <c r="AW147" s="162"/>
      <c r="AX147" s="162"/>
      <c r="AY147" s="162"/>
      <c r="AZ147" s="162"/>
      <c r="BA147" s="162"/>
      <c r="BB147" s="171"/>
      <c r="BC147" s="162"/>
      <c r="BD147" s="171"/>
      <c r="BO147" s="162"/>
      <c r="BP147" s="162"/>
      <c r="BQ147" s="162"/>
      <c r="BR147" s="162"/>
      <c r="BS147" s="162"/>
      <c r="BT147" s="162"/>
      <c r="BU147" s="162"/>
      <c r="BV147" s="162"/>
      <c r="BW147" s="162"/>
      <c r="BX147" s="162"/>
      <c r="BY147" s="162"/>
      <c r="BZ147" s="162"/>
      <c r="CA147" s="162"/>
      <c r="CB147" s="162"/>
      <c r="CC147" s="162"/>
      <c r="CD147" s="162"/>
      <c r="CE147" s="162"/>
      <c r="CF147" s="162"/>
      <c r="CG147" s="162"/>
      <c r="CH147" s="162"/>
      <c r="CI147" s="162"/>
      <c r="CJ147" s="162"/>
    </row>
    <row r="148" spans="1:88" ht="15.75" customHeight="1">
      <c r="A148" s="162"/>
      <c r="B148" s="163"/>
      <c r="C148" s="164"/>
      <c r="D148" s="162"/>
      <c r="E148" s="162"/>
      <c r="F148" s="162"/>
      <c r="G148" s="162"/>
      <c r="H148" s="162"/>
      <c r="I148" s="162"/>
      <c r="J148" s="162"/>
      <c r="K148" s="162"/>
      <c r="L148" s="162"/>
      <c r="T148" s="162"/>
      <c r="U148" s="162"/>
      <c r="V148" s="162"/>
      <c r="W148" s="162"/>
      <c r="X148" s="162"/>
      <c r="Y148" s="162"/>
      <c r="Z148" s="162"/>
      <c r="AA148" s="162"/>
      <c r="AB148" s="162"/>
      <c r="AC148" s="162"/>
      <c r="AD148" s="162"/>
      <c r="AE148" s="162"/>
      <c r="AG148" s="162"/>
      <c r="AH148" s="162"/>
      <c r="AI148" s="162"/>
      <c r="AJ148" s="162"/>
      <c r="AK148" s="162"/>
      <c r="AL148" s="162"/>
      <c r="AM148" s="162"/>
      <c r="AN148" s="162"/>
      <c r="AO148" s="162"/>
      <c r="AP148" s="162"/>
      <c r="AQ148" s="162"/>
      <c r="AR148" s="162"/>
      <c r="AS148" s="162"/>
      <c r="AT148" s="162"/>
      <c r="AU148" s="162"/>
      <c r="AV148" s="162"/>
      <c r="AW148" s="162"/>
      <c r="AX148" s="162"/>
      <c r="AY148" s="162"/>
      <c r="AZ148" s="162"/>
      <c r="BA148" s="162"/>
      <c r="BB148" s="171"/>
      <c r="BC148" s="162"/>
      <c r="BD148" s="171"/>
      <c r="BO148" s="162"/>
      <c r="BP148" s="162"/>
      <c r="BQ148" s="162"/>
      <c r="BR148" s="162"/>
      <c r="BS148" s="162"/>
      <c r="BT148" s="162"/>
      <c r="BU148" s="162"/>
      <c r="BV148" s="162"/>
      <c r="BW148" s="162"/>
      <c r="BX148" s="162"/>
      <c r="BY148" s="162"/>
      <c r="BZ148" s="162"/>
      <c r="CA148" s="162"/>
      <c r="CB148" s="162"/>
      <c r="CC148" s="162"/>
      <c r="CD148" s="162"/>
      <c r="CE148" s="162"/>
      <c r="CF148" s="162"/>
      <c r="CG148" s="162"/>
      <c r="CH148" s="162"/>
      <c r="CI148" s="162"/>
      <c r="CJ148" s="162"/>
    </row>
    <row r="149" spans="1:88" ht="15.75" customHeight="1">
      <c r="A149" s="162"/>
      <c r="B149" s="163"/>
      <c r="C149" s="164"/>
      <c r="D149" s="162"/>
      <c r="E149" s="162"/>
      <c r="F149" s="162"/>
      <c r="G149" s="162"/>
      <c r="H149" s="162"/>
      <c r="I149" s="162"/>
      <c r="J149" s="162"/>
      <c r="K149" s="162"/>
      <c r="L149" s="162"/>
      <c r="T149" s="162"/>
      <c r="U149" s="162"/>
      <c r="V149" s="162"/>
      <c r="W149" s="162"/>
      <c r="X149" s="162"/>
      <c r="Y149" s="162"/>
      <c r="Z149" s="162"/>
      <c r="AA149" s="162"/>
      <c r="AB149" s="162"/>
      <c r="AC149" s="162"/>
      <c r="AD149" s="162"/>
      <c r="AE149" s="162"/>
      <c r="AG149" s="162"/>
      <c r="AH149" s="162"/>
      <c r="AI149" s="162"/>
      <c r="AJ149" s="162"/>
      <c r="AK149" s="162"/>
      <c r="AL149" s="162"/>
      <c r="AM149" s="162"/>
      <c r="AN149" s="162"/>
      <c r="AO149" s="162"/>
      <c r="AP149" s="162"/>
      <c r="AQ149" s="162"/>
      <c r="AR149" s="162"/>
      <c r="AS149" s="162"/>
      <c r="AT149" s="162"/>
      <c r="AU149" s="162"/>
      <c r="AV149" s="162"/>
      <c r="AW149" s="162"/>
      <c r="AX149" s="162"/>
      <c r="AY149" s="162"/>
      <c r="AZ149" s="162"/>
      <c r="BA149" s="162"/>
      <c r="BB149" s="171"/>
      <c r="BC149" s="162"/>
      <c r="BD149" s="171"/>
      <c r="BO149" s="162"/>
      <c r="BP149" s="162"/>
      <c r="BQ149" s="162"/>
      <c r="BR149" s="162"/>
      <c r="BS149" s="162"/>
      <c r="BT149" s="162"/>
      <c r="BU149" s="162"/>
      <c r="BV149" s="162"/>
      <c r="BW149" s="162"/>
      <c r="BX149" s="162"/>
      <c r="BY149" s="162"/>
      <c r="BZ149" s="162"/>
      <c r="CA149" s="162"/>
      <c r="CB149" s="162"/>
      <c r="CC149" s="162"/>
      <c r="CD149" s="162"/>
      <c r="CE149" s="162"/>
      <c r="CF149" s="162"/>
      <c r="CG149" s="162"/>
      <c r="CH149" s="162"/>
      <c r="CI149" s="162"/>
      <c r="CJ149" s="162"/>
    </row>
    <row r="150" spans="1:88" ht="15.75" customHeight="1">
      <c r="A150" s="162"/>
      <c r="B150" s="163"/>
      <c r="C150" s="164"/>
      <c r="D150" s="162"/>
      <c r="E150" s="162"/>
      <c r="F150" s="162"/>
      <c r="G150" s="162"/>
      <c r="H150" s="162"/>
      <c r="I150" s="162"/>
      <c r="J150" s="162"/>
      <c r="K150" s="162"/>
      <c r="L150" s="162"/>
      <c r="T150" s="162"/>
      <c r="U150" s="162"/>
      <c r="V150" s="162"/>
      <c r="W150" s="162"/>
      <c r="X150" s="162"/>
      <c r="Y150" s="162"/>
      <c r="Z150" s="162"/>
      <c r="AA150" s="162"/>
      <c r="AB150" s="162"/>
      <c r="AC150" s="162"/>
      <c r="AD150" s="162"/>
      <c r="AE150" s="162"/>
      <c r="AG150" s="162"/>
      <c r="AH150" s="162"/>
      <c r="AI150" s="162"/>
      <c r="AJ150" s="162"/>
      <c r="AK150" s="162"/>
      <c r="AL150" s="162"/>
      <c r="AM150" s="162"/>
      <c r="AN150" s="162"/>
      <c r="AO150" s="162"/>
      <c r="AP150" s="162"/>
      <c r="AQ150" s="162"/>
      <c r="AR150" s="162"/>
      <c r="AS150" s="162"/>
      <c r="AT150" s="162"/>
      <c r="AU150" s="162"/>
      <c r="AV150" s="162"/>
      <c r="AW150" s="162"/>
      <c r="AX150" s="162"/>
      <c r="AY150" s="162"/>
      <c r="AZ150" s="162"/>
      <c r="BA150" s="162"/>
      <c r="BB150" s="171"/>
      <c r="BC150" s="162"/>
      <c r="BD150" s="171"/>
      <c r="BO150" s="162"/>
      <c r="BP150" s="162"/>
      <c r="BQ150" s="162"/>
      <c r="BR150" s="162"/>
      <c r="BS150" s="162"/>
      <c r="BT150" s="162"/>
      <c r="BU150" s="162"/>
      <c r="BV150" s="162"/>
      <c r="BW150" s="162"/>
      <c r="BX150" s="162"/>
      <c r="BY150" s="162"/>
      <c r="BZ150" s="162"/>
      <c r="CA150" s="162"/>
      <c r="CB150" s="162"/>
      <c r="CC150" s="162"/>
      <c r="CD150" s="162"/>
      <c r="CE150" s="162"/>
      <c r="CF150" s="162"/>
      <c r="CG150" s="162"/>
      <c r="CH150" s="162"/>
      <c r="CI150" s="162"/>
      <c r="CJ150" s="162"/>
    </row>
    <row r="151" spans="1:88" ht="15.75" customHeight="1">
      <c r="A151" s="162"/>
      <c r="B151" s="163"/>
      <c r="C151" s="164"/>
      <c r="D151" s="162"/>
      <c r="E151" s="162"/>
      <c r="F151" s="162"/>
      <c r="G151" s="162"/>
      <c r="H151" s="162"/>
      <c r="I151" s="162"/>
      <c r="J151" s="162"/>
      <c r="K151" s="162"/>
      <c r="L151" s="162"/>
      <c r="T151" s="162"/>
      <c r="U151" s="162"/>
      <c r="V151" s="162"/>
      <c r="W151" s="162"/>
      <c r="X151" s="162"/>
      <c r="Y151" s="162"/>
      <c r="Z151" s="162"/>
      <c r="AA151" s="162"/>
      <c r="AB151" s="162"/>
      <c r="AC151" s="162"/>
      <c r="AD151" s="162"/>
      <c r="AE151" s="162"/>
      <c r="AG151" s="162"/>
      <c r="AH151" s="162"/>
      <c r="AI151" s="162"/>
      <c r="AJ151" s="162"/>
      <c r="AK151" s="162"/>
      <c r="AL151" s="162"/>
      <c r="AM151" s="162"/>
      <c r="AN151" s="162"/>
      <c r="AO151" s="162"/>
      <c r="AP151" s="162"/>
      <c r="AQ151" s="162"/>
      <c r="AR151" s="162"/>
      <c r="AS151" s="162"/>
      <c r="AT151" s="162"/>
      <c r="AU151" s="162"/>
      <c r="AV151" s="162"/>
      <c r="AW151" s="162"/>
      <c r="AX151" s="162"/>
      <c r="AY151" s="162"/>
      <c r="AZ151" s="162"/>
      <c r="BA151" s="162"/>
      <c r="BB151" s="171"/>
      <c r="BC151" s="162"/>
      <c r="BD151" s="171"/>
      <c r="BO151" s="162"/>
      <c r="BP151" s="162"/>
      <c r="BQ151" s="162"/>
      <c r="BR151" s="162"/>
      <c r="BS151" s="162"/>
      <c r="BT151" s="162"/>
      <c r="BU151" s="162"/>
      <c r="BV151" s="162"/>
      <c r="BW151" s="162"/>
      <c r="BX151" s="162"/>
      <c r="BY151" s="162"/>
      <c r="BZ151" s="162"/>
      <c r="CA151" s="162"/>
      <c r="CB151" s="162"/>
      <c r="CC151" s="162"/>
      <c r="CD151" s="162"/>
      <c r="CE151" s="162"/>
      <c r="CF151" s="162"/>
      <c r="CG151" s="162"/>
      <c r="CH151" s="162"/>
      <c r="CI151" s="162"/>
      <c r="CJ151" s="162"/>
    </row>
    <row r="152" spans="1:88" ht="15.75" customHeight="1">
      <c r="A152" s="162"/>
      <c r="B152" s="163"/>
      <c r="C152" s="164"/>
      <c r="D152" s="162"/>
      <c r="E152" s="162"/>
      <c r="F152" s="162"/>
      <c r="G152" s="162"/>
      <c r="H152" s="162"/>
      <c r="I152" s="162"/>
      <c r="J152" s="162"/>
      <c r="K152" s="162"/>
      <c r="L152" s="162"/>
      <c r="T152" s="162"/>
      <c r="U152" s="162"/>
      <c r="V152" s="162"/>
      <c r="W152" s="162"/>
      <c r="X152" s="162"/>
      <c r="Y152" s="162"/>
      <c r="Z152" s="162"/>
      <c r="AA152" s="162"/>
      <c r="AB152" s="162"/>
      <c r="AC152" s="162"/>
      <c r="AD152" s="162"/>
      <c r="AE152" s="162"/>
      <c r="AG152" s="162"/>
      <c r="AH152" s="162"/>
      <c r="AI152" s="162"/>
      <c r="AJ152" s="162"/>
      <c r="AK152" s="162"/>
      <c r="AL152" s="162"/>
      <c r="AM152" s="162"/>
      <c r="AN152" s="162"/>
      <c r="AO152" s="162"/>
      <c r="AP152" s="162"/>
      <c r="AQ152" s="162"/>
      <c r="AR152" s="162"/>
      <c r="AS152" s="162"/>
      <c r="AT152" s="162"/>
      <c r="AU152" s="162"/>
      <c r="AV152" s="162"/>
      <c r="AW152" s="162"/>
      <c r="AX152" s="162"/>
      <c r="AY152" s="162"/>
      <c r="AZ152" s="162"/>
      <c r="BA152" s="162"/>
      <c r="BB152" s="171"/>
      <c r="BC152" s="162"/>
      <c r="BD152" s="171"/>
      <c r="BO152" s="162"/>
      <c r="BP152" s="162"/>
      <c r="BQ152" s="162"/>
      <c r="BR152" s="162"/>
      <c r="BS152" s="162"/>
      <c r="BT152" s="162"/>
      <c r="BU152" s="162"/>
      <c r="BV152" s="162"/>
      <c r="BW152" s="162"/>
      <c r="BX152" s="162"/>
      <c r="BY152" s="162"/>
      <c r="BZ152" s="162"/>
      <c r="CA152" s="162"/>
      <c r="CB152" s="162"/>
      <c r="CC152" s="162"/>
      <c r="CD152" s="162"/>
      <c r="CE152" s="162"/>
      <c r="CF152" s="162"/>
      <c r="CG152" s="162"/>
      <c r="CH152" s="162"/>
      <c r="CI152" s="162"/>
      <c r="CJ152" s="162"/>
    </row>
    <row r="153" spans="1:88" ht="15.75" customHeight="1">
      <c r="A153" s="162"/>
      <c r="B153" s="163"/>
      <c r="C153" s="164"/>
      <c r="D153" s="162"/>
      <c r="E153" s="162"/>
      <c r="F153" s="162"/>
      <c r="G153" s="162"/>
      <c r="H153" s="162"/>
      <c r="I153" s="162"/>
      <c r="J153" s="162"/>
      <c r="K153" s="162"/>
      <c r="L153" s="162"/>
      <c r="T153" s="162"/>
      <c r="U153" s="162"/>
      <c r="V153" s="162"/>
      <c r="W153" s="162"/>
      <c r="X153" s="162"/>
      <c r="Y153" s="162"/>
      <c r="Z153" s="162"/>
      <c r="AA153" s="162"/>
      <c r="AB153" s="162"/>
      <c r="AC153" s="162"/>
      <c r="AD153" s="162"/>
      <c r="AE153" s="162"/>
      <c r="AG153" s="162"/>
      <c r="AH153" s="162"/>
      <c r="AI153" s="162"/>
      <c r="AJ153" s="162"/>
      <c r="AK153" s="162"/>
      <c r="AL153" s="162"/>
      <c r="AM153" s="162"/>
      <c r="AN153" s="162"/>
      <c r="AO153" s="162"/>
      <c r="AP153" s="162"/>
      <c r="AQ153" s="162"/>
      <c r="AR153" s="162"/>
      <c r="AS153" s="162"/>
      <c r="AT153" s="162"/>
      <c r="AU153" s="162"/>
      <c r="AV153" s="162"/>
      <c r="AW153" s="162"/>
      <c r="AX153" s="162"/>
      <c r="AY153" s="162"/>
      <c r="AZ153" s="162"/>
      <c r="BA153" s="162"/>
      <c r="BB153" s="171"/>
      <c r="BC153" s="162"/>
      <c r="BD153" s="171"/>
      <c r="BO153" s="162"/>
      <c r="BP153" s="162"/>
      <c r="BQ153" s="162"/>
      <c r="BR153" s="162"/>
      <c r="BS153" s="162"/>
      <c r="BT153" s="162"/>
      <c r="BU153" s="162"/>
      <c r="BV153" s="162"/>
      <c r="BW153" s="162"/>
      <c r="BX153" s="162"/>
      <c r="BY153" s="162"/>
      <c r="BZ153" s="162"/>
      <c r="CA153" s="162"/>
      <c r="CB153" s="162"/>
      <c r="CC153" s="162"/>
      <c r="CD153" s="162"/>
      <c r="CE153" s="162"/>
      <c r="CF153" s="162"/>
      <c r="CG153" s="162"/>
      <c r="CH153" s="162"/>
      <c r="CI153" s="162"/>
      <c r="CJ153" s="162"/>
    </row>
    <row r="154" spans="1:88" ht="15.75" customHeight="1">
      <c r="A154" s="162"/>
      <c r="B154" s="163"/>
      <c r="C154" s="164"/>
      <c r="D154" s="162"/>
      <c r="E154" s="162"/>
      <c r="F154" s="162"/>
      <c r="G154" s="162"/>
      <c r="H154" s="162"/>
      <c r="I154" s="162"/>
      <c r="J154" s="162"/>
      <c r="K154" s="162"/>
      <c r="L154" s="162"/>
      <c r="T154" s="162"/>
      <c r="U154" s="162"/>
      <c r="V154" s="162"/>
      <c r="W154" s="162"/>
      <c r="X154" s="162"/>
      <c r="Y154" s="162"/>
      <c r="Z154" s="162"/>
      <c r="AA154" s="162"/>
      <c r="AB154" s="162"/>
      <c r="AC154" s="162"/>
      <c r="AD154" s="162"/>
      <c r="AE154" s="162"/>
      <c r="AG154" s="162"/>
      <c r="AH154" s="162"/>
      <c r="AI154" s="162"/>
      <c r="AJ154" s="162"/>
      <c r="AK154" s="162"/>
      <c r="AL154" s="162"/>
      <c r="AM154" s="162"/>
      <c r="AN154" s="162"/>
      <c r="AO154" s="162"/>
      <c r="AP154" s="162"/>
      <c r="AQ154" s="162"/>
      <c r="AR154" s="162"/>
      <c r="AS154" s="162"/>
      <c r="AT154" s="162"/>
      <c r="AU154" s="162"/>
      <c r="AV154" s="162"/>
      <c r="AW154" s="162"/>
      <c r="AX154" s="162"/>
      <c r="AY154" s="162"/>
      <c r="AZ154" s="162"/>
      <c r="BA154" s="162"/>
      <c r="BB154" s="171"/>
      <c r="BC154" s="162"/>
      <c r="BD154" s="171"/>
      <c r="BO154" s="162"/>
      <c r="BP154" s="162"/>
      <c r="BQ154" s="162"/>
      <c r="BR154" s="162"/>
      <c r="BS154" s="162"/>
      <c r="BT154" s="162"/>
      <c r="BU154" s="162"/>
      <c r="BV154" s="162"/>
      <c r="BW154" s="162"/>
      <c r="BX154" s="162"/>
      <c r="BY154" s="162"/>
      <c r="BZ154" s="162"/>
      <c r="CA154" s="162"/>
      <c r="CB154" s="162"/>
      <c r="CC154" s="162"/>
      <c r="CD154" s="162"/>
      <c r="CE154" s="162"/>
      <c r="CF154" s="162"/>
      <c r="CG154" s="162"/>
      <c r="CH154" s="162"/>
      <c r="CI154" s="162"/>
      <c r="CJ154" s="162"/>
    </row>
    <row r="155" spans="1:88" ht="15.75" customHeight="1">
      <c r="A155" s="162"/>
      <c r="B155" s="163"/>
      <c r="C155" s="164"/>
      <c r="D155" s="162"/>
      <c r="E155" s="162"/>
      <c r="F155" s="162"/>
      <c r="G155" s="162"/>
      <c r="H155" s="162"/>
      <c r="I155" s="162"/>
      <c r="J155" s="162"/>
      <c r="K155" s="162"/>
      <c r="L155" s="162"/>
      <c r="T155" s="162"/>
      <c r="U155" s="162"/>
      <c r="V155" s="162"/>
      <c r="W155" s="162"/>
      <c r="X155" s="162"/>
      <c r="Y155" s="162"/>
      <c r="Z155" s="162"/>
      <c r="AA155" s="162"/>
      <c r="AB155" s="162"/>
      <c r="AC155" s="162"/>
      <c r="AD155" s="162"/>
      <c r="AE155" s="162"/>
      <c r="AG155" s="162"/>
      <c r="AH155" s="162"/>
      <c r="AI155" s="162"/>
      <c r="AJ155" s="162"/>
      <c r="AK155" s="162"/>
      <c r="AL155" s="162"/>
      <c r="AM155" s="162"/>
      <c r="AN155" s="162"/>
      <c r="AO155" s="162"/>
      <c r="AP155" s="162"/>
      <c r="AQ155" s="162"/>
      <c r="AR155" s="162"/>
      <c r="AS155" s="162"/>
      <c r="AT155" s="162"/>
      <c r="AU155" s="162"/>
      <c r="AV155" s="162"/>
      <c r="AW155" s="162"/>
      <c r="AX155" s="162"/>
      <c r="AY155" s="162"/>
      <c r="AZ155" s="162"/>
      <c r="BA155" s="162"/>
      <c r="BB155" s="171"/>
      <c r="BC155" s="162"/>
      <c r="BD155" s="171"/>
      <c r="BO155" s="162"/>
      <c r="BP155" s="162"/>
      <c r="BQ155" s="162"/>
      <c r="BR155" s="162"/>
      <c r="BS155" s="162"/>
      <c r="BT155" s="162"/>
      <c r="BU155" s="162"/>
      <c r="BV155" s="162"/>
      <c r="BW155" s="162"/>
      <c r="BX155" s="162"/>
      <c r="BY155" s="162"/>
      <c r="BZ155" s="162"/>
      <c r="CA155" s="162"/>
      <c r="CB155" s="162"/>
      <c r="CC155" s="162"/>
      <c r="CD155" s="162"/>
      <c r="CE155" s="162"/>
      <c r="CF155" s="162"/>
      <c r="CG155" s="162"/>
      <c r="CH155" s="162"/>
      <c r="CI155" s="162"/>
      <c r="CJ155" s="162"/>
    </row>
    <row r="156" spans="1:88" ht="15.75" customHeight="1">
      <c r="A156" s="162"/>
      <c r="B156" s="163"/>
      <c r="C156" s="164"/>
      <c r="D156" s="162"/>
      <c r="E156" s="162"/>
      <c r="F156" s="162"/>
      <c r="G156" s="162"/>
      <c r="H156" s="162"/>
      <c r="I156" s="162"/>
      <c r="J156" s="162"/>
      <c r="K156" s="162"/>
      <c r="L156" s="162"/>
      <c r="T156" s="162"/>
      <c r="U156" s="162"/>
      <c r="V156" s="162"/>
      <c r="W156" s="162"/>
      <c r="X156" s="162"/>
      <c r="Y156" s="162"/>
      <c r="Z156" s="162"/>
      <c r="AA156" s="162"/>
      <c r="AB156" s="162"/>
      <c r="AC156" s="162"/>
      <c r="AD156" s="162"/>
      <c r="AE156" s="162"/>
      <c r="AG156" s="162"/>
      <c r="AH156" s="162"/>
      <c r="AI156" s="162"/>
      <c r="AJ156" s="162"/>
      <c r="AK156" s="162"/>
      <c r="AL156" s="162"/>
      <c r="AM156" s="162"/>
      <c r="AN156" s="162"/>
      <c r="AO156" s="162"/>
      <c r="AP156" s="162"/>
      <c r="AQ156" s="162"/>
      <c r="AR156" s="162"/>
      <c r="AS156" s="162"/>
      <c r="AT156" s="162"/>
      <c r="AU156" s="162"/>
      <c r="AV156" s="162"/>
      <c r="AW156" s="162"/>
      <c r="AX156" s="162"/>
      <c r="AY156" s="162"/>
      <c r="AZ156" s="162"/>
      <c r="BA156" s="162"/>
      <c r="BB156" s="171"/>
      <c r="BC156" s="162"/>
      <c r="BD156" s="171"/>
      <c r="BO156" s="162"/>
      <c r="BP156" s="162"/>
      <c r="BQ156" s="162"/>
      <c r="BR156" s="162"/>
      <c r="BS156" s="162"/>
      <c r="BT156" s="162"/>
      <c r="BU156" s="162"/>
      <c r="BV156" s="162"/>
      <c r="BW156" s="162"/>
      <c r="BX156" s="162"/>
      <c r="BY156" s="162"/>
      <c r="BZ156" s="162"/>
      <c r="CA156" s="162"/>
      <c r="CB156" s="162"/>
      <c r="CC156" s="162"/>
      <c r="CD156" s="162"/>
      <c r="CE156" s="162"/>
      <c r="CF156" s="162"/>
      <c r="CG156" s="162"/>
      <c r="CH156" s="162"/>
      <c r="CI156" s="162"/>
      <c r="CJ156" s="162"/>
    </row>
    <row r="157" spans="1:88" ht="15.75" customHeight="1">
      <c r="A157" s="162"/>
      <c r="B157" s="163"/>
      <c r="C157" s="164"/>
      <c r="D157" s="162"/>
      <c r="E157" s="162"/>
      <c r="F157" s="162"/>
      <c r="G157" s="162"/>
      <c r="H157" s="162"/>
      <c r="I157" s="162"/>
      <c r="J157" s="162"/>
      <c r="K157" s="162"/>
      <c r="L157" s="162"/>
      <c r="T157" s="162"/>
      <c r="U157" s="162"/>
      <c r="V157" s="162"/>
      <c r="W157" s="162"/>
      <c r="X157" s="162"/>
      <c r="Y157" s="162"/>
      <c r="Z157" s="162"/>
      <c r="AA157" s="162"/>
      <c r="AB157" s="162"/>
      <c r="AC157" s="162"/>
      <c r="AD157" s="162"/>
      <c r="AE157" s="162"/>
      <c r="AG157" s="162"/>
      <c r="AH157" s="162"/>
      <c r="AI157" s="162"/>
      <c r="AJ157" s="162"/>
      <c r="AK157" s="162"/>
      <c r="AL157" s="162"/>
      <c r="AM157" s="162"/>
      <c r="AN157" s="162"/>
      <c r="AO157" s="162"/>
      <c r="AP157" s="162"/>
      <c r="AQ157" s="162"/>
      <c r="AR157" s="162"/>
      <c r="AS157" s="162"/>
      <c r="AT157" s="162"/>
      <c r="AU157" s="162"/>
      <c r="AV157" s="162"/>
      <c r="AW157" s="162"/>
      <c r="AX157" s="162"/>
      <c r="AY157" s="162"/>
      <c r="AZ157" s="162"/>
      <c r="BA157" s="162"/>
      <c r="BB157" s="171"/>
      <c r="BC157" s="162"/>
      <c r="BD157" s="171"/>
      <c r="BO157" s="162"/>
      <c r="BP157" s="162"/>
      <c r="BQ157" s="162"/>
      <c r="BR157" s="162"/>
      <c r="BS157" s="162"/>
      <c r="BT157" s="162"/>
      <c r="BU157" s="162"/>
      <c r="BV157" s="162"/>
      <c r="BW157" s="162"/>
      <c r="BX157" s="162"/>
      <c r="BY157" s="162"/>
      <c r="BZ157" s="162"/>
      <c r="CA157" s="162"/>
      <c r="CB157" s="162"/>
      <c r="CC157" s="162"/>
      <c r="CD157" s="162"/>
      <c r="CE157" s="162"/>
      <c r="CF157" s="162"/>
      <c r="CG157" s="162"/>
      <c r="CH157" s="162"/>
      <c r="CI157" s="162"/>
      <c r="CJ157" s="162"/>
    </row>
    <row r="158" spans="1:88" ht="15.75" customHeight="1">
      <c r="A158" s="162"/>
      <c r="B158" s="163"/>
      <c r="C158" s="164"/>
      <c r="D158" s="162"/>
      <c r="E158" s="162"/>
      <c r="F158" s="162"/>
      <c r="G158" s="162"/>
      <c r="H158" s="162"/>
      <c r="I158" s="162"/>
      <c r="J158" s="162"/>
      <c r="K158" s="162"/>
      <c r="L158" s="162"/>
      <c r="T158" s="162"/>
      <c r="U158" s="162"/>
      <c r="V158" s="162"/>
      <c r="W158" s="162"/>
      <c r="X158" s="162"/>
      <c r="Y158" s="162"/>
      <c r="Z158" s="162"/>
      <c r="AA158" s="162"/>
      <c r="AB158" s="162"/>
      <c r="AC158" s="162"/>
      <c r="AD158" s="162"/>
      <c r="AE158" s="162"/>
      <c r="AG158" s="162"/>
      <c r="AH158" s="162"/>
      <c r="AI158" s="162"/>
      <c r="AJ158" s="162"/>
      <c r="AK158" s="162"/>
      <c r="AL158" s="162"/>
      <c r="AM158" s="162"/>
      <c r="AN158" s="162"/>
      <c r="AO158" s="162"/>
      <c r="AP158" s="162"/>
      <c r="AQ158" s="162"/>
      <c r="AR158" s="162"/>
      <c r="AS158" s="162"/>
      <c r="AT158" s="162"/>
      <c r="AU158" s="162"/>
      <c r="AV158" s="162"/>
      <c r="AW158" s="162"/>
      <c r="AX158" s="162"/>
      <c r="AY158" s="162"/>
      <c r="AZ158" s="162"/>
      <c r="BA158" s="162"/>
      <c r="BB158" s="171"/>
      <c r="BC158" s="162"/>
      <c r="BD158" s="171"/>
      <c r="BO158" s="162"/>
      <c r="BP158" s="162"/>
      <c r="BQ158" s="162"/>
      <c r="BR158" s="162"/>
      <c r="BS158" s="162"/>
      <c r="BT158" s="162"/>
      <c r="BU158" s="162"/>
      <c r="BV158" s="162"/>
      <c r="BW158" s="162"/>
      <c r="BX158" s="162"/>
      <c r="BY158" s="162"/>
      <c r="BZ158" s="162"/>
      <c r="CA158" s="162"/>
      <c r="CB158" s="162"/>
      <c r="CC158" s="162"/>
      <c r="CD158" s="162"/>
      <c r="CE158" s="162"/>
      <c r="CF158" s="162"/>
      <c r="CG158" s="162"/>
      <c r="CH158" s="162"/>
      <c r="CI158" s="162"/>
      <c r="CJ158" s="162"/>
    </row>
    <row r="159" spans="1:88" ht="15.75" customHeight="1">
      <c r="A159" s="162"/>
      <c r="B159" s="163"/>
      <c r="C159" s="164"/>
      <c r="D159" s="162"/>
      <c r="E159" s="162"/>
      <c r="F159" s="162"/>
      <c r="G159" s="162"/>
      <c r="H159" s="162"/>
      <c r="I159" s="162"/>
      <c r="J159" s="162"/>
      <c r="K159" s="162"/>
      <c r="L159" s="162"/>
      <c r="T159" s="162"/>
      <c r="U159" s="162"/>
      <c r="V159" s="162"/>
      <c r="W159" s="162"/>
      <c r="X159" s="162"/>
      <c r="Y159" s="162"/>
      <c r="Z159" s="162"/>
      <c r="AA159" s="162"/>
      <c r="AB159" s="162"/>
      <c r="AC159" s="162"/>
      <c r="AD159" s="162"/>
      <c r="AE159" s="162"/>
      <c r="AG159" s="162"/>
      <c r="AH159" s="162"/>
      <c r="AI159" s="162"/>
      <c r="AJ159" s="162"/>
      <c r="AK159" s="162"/>
      <c r="AL159" s="162"/>
      <c r="AM159" s="162"/>
      <c r="AN159" s="162"/>
      <c r="AO159" s="162"/>
      <c r="AP159" s="162"/>
      <c r="AQ159" s="162"/>
      <c r="AR159" s="162"/>
      <c r="AS159" s="162"/>
      <c r="AT159" s="162"/>
      <c r="AU159" s="162"/>
      <c r="AV159" s="162"/>
      <c r="AW159" s="162"/>
      <c r="AX159" s="162"/>
      <c r="AY159" s="162"/>
      <c r="AZ159" s="162"/>
      <c r="BA159" s="162"/>
      <c r="BB159" s="171"/>
      <c r="BC159" s="162"/>
      <c r="BD159" s="171"/>
      <c r="BO159" s="162"/>
      <c r="BP159" s="162"/>
      <c r="BQ159" s="162"/>
      <c r="BR159" s="162"/>
      <c r="BS159" s="162"/>
      <c r="BT159" s="162"/>
      <c r="BU159" s="162"/>
      <c r="BV159" s="162"/>
      <c r="BW159" s="162"/>
      <c r="BX159" s="162"/>
      <c r="BY159" s="162"/>
      <c r="BZ159" s="162"/>
      <c r="CA159" s="162"/>
      <c r="CB159" s="162"/>
      <c r="CC159" s="162"/>
      <c r="CD159" s="162"/>
      <c r="CE159" s="162"/>
      <c r="CF159" s="162"/>
      <c r="CG159" s="162"/>
      <c r="CH159" s="162"/>
      <c r="CI159" s="162"/>
      <c r="CJ159" s="162"/>
    </row>
    <row r="160" spans="1:88" ht="15.75" customHeight="1">
      <c r="A160" s="162"/>
      <c r="B160" s="163"/>
      <c r="C160" s="164"/>
      <c r="D160" s="162"/>
      <c r="E160" s="162"/>
      <c r="F160" s="162"/>
      <c r="G160" s="162"/>
      <c r="H160" s="162"/>
      <c r="I160" s="162"/>
      <c r="J160" s="162"/>
      <c r="K160" s="162"/>
      <c r="L160" s="162"/>
      <c r="T160" s="162"/>
      <c r="U160" s="162"/>
      <c r="V160" s="162"/>
      <c r="W160" s="162"/>
      <c r="X160" s="162"/>
      <c r="Y160" s="162"/>
      <c r="Z160" s="162"/>
      <c r="AA160" s="162"/>
      <c r="AB160" s="162"/>
      <c r="AC160" s="162"/>
      <c r="AD160" s="162"/>
      <c r="AE160" s="162"/>
      <c r="AG160" s="162"/>
      <c r="AH160" s="162"/>
      <c r="AI160" s="162"/>
      <c r="AJ160" s="162"/>
      <c r="AK160" s="162"/>
      <c r="AL160" s="162"/>
      <c r="AM160" s="162"/>
      <c r="AN160" s="162"/>
      <c r="AO160" s="162"/>
      <c r="AP160" s="162"/>
      <c r="AQ160" s="162"/>
      <c r="AR160" s="162"/>
      <c r="AS160" s="162"/>
      <c r="AT160" s="162"/>
      <c r="AU160" s="162"/>
      <c r="AV160" s="162"/>
      <c r="AW160" s="162"/>
      <c r="AX160" s="162"/>
      <c r="AY160" s="162"/>
      <c r="AZ160" s="162"/>
      <c r="BA160" s="162"/>
      <c r="BB160" s="171"/>
      <c r="BC160" s="162"/>
      <c r="BD160" s="171"/>
      <c r="BO160" s="162"/>
      <c r="BP160" s="162"/>
      <c r="BQ160" s="162"/>
      <c r="BR160" s="162"/>
      <c r="BS160" s="162"/>
      <c r="BT160" s="162"/>
      <c r="BU160" s="162"/>
      <c r="BV160" s="162"/>
      <c r="BW160" s="162"/>
      <c r="BX160" s="162"/>
      <c r="BY160" s="162"/>
      <c r="BZ160" s="162"/>
      <c r="CA160" s="162"/>
      <c r="CB160" s="162"/>
      <c r="CC160" s="162"/>
      <c r="CD160" s="162"/>
      <c r="CE160" s="162"/>
      <c r="CF160" s="162"/>
      <c r="CG160" s="162"/>
      <c r="CH160" s="162"/>
      <c r="CI160" s="162"/>
      <c r="CJ160" s="162"/>
    </row>
    <row r="161" spans="1:88" ht="15.75" customHeight="1">
      <c r="A161" s="162"/>
      <c r="B161" s="163"/>
      <c r="C161" s="164"/>
      <c r="D161" s="162"/>
      <c r="E161" s="162"/>
      <c r="F161" s="162"/>
      <c r="G161" s="162"/>
      <c r="H161" s="162"/>
      <c r="I161" s="162"/>
      <c r="J161" s="162"/>
      <c r="K161" s="162"/>
      <c r="L161" s="162"/>
      <c r="T161" s="162"/>
      <c r="U161" s="162"/>
      <c r="V161" s="162"/>
      <c r="W161" s="162"/>
      <c r="X161" s="162"/>
      <c r="Y161" s="162"/>
      <c r="Z161" s="162"/>
      <c r="AA161" s="162"/>
      <c r="AB161" s="162"/>
      <c r="AC161" s="162"/>
      <c r="AD161" s="162"/>
      <c r="AE161" s="162"/>
      <c r="AG161" s="162"/>
      <c r="AH161" s="162"/>
      <c r="AI161" s="162"/>
      <c r="AJ161" s="162"/>
      <c r="AK161" s="162"/>
      <c r="AL161" s="162"/>
      <c r="AM161" s="162"/>
      <c r="AN161" s="162"/>
      <c r="AO161" s="162"/>
      <c r="AP161" s="162"/>
      <c r="AQ161" s="162"/>
      <c r="AR161" s="162"/>
      <c r="AS161" s="162"/>
      <c r="AT161" s="162"/>
      <c r="AU161" s="162"/>
      <c r="AV161" s="162"/>
      <c r="AW161" s="162"/>
      <c r="AX161" s="162"/>
      <c r="AY161" s="162"/>
      <c r="AZ161" s="162"/>
      <c r="BA161" s="162"/>
      <c r="BB161" s="171"/>
      <c r="BC161" s="162"/>
      <c r="BD161" s="171"/>
      <c r="BO161" s="162"/>
      <c r="BP161" s="162"/>
      <c r="BQ161" s="162"/>
      <c r="BR161" s="162"/>
      <c r="BS161" s="162"/>
      <c r="BT161" s="162"/>
      <c r="BU161" s="162"/>
      <c r="BV161" s="162"/>
      <c r="BW161" s="162"/>
      <c r="BX161" s="162"/>
      <c r="BY161" s="162"/>
      <c r="BZ161" s="162"/>
      <c r="CA161" s="162"/>
      <c r="CB161" s="162"/>
      <c r="CC161" s="162"/>
      <c r="CD161" s="162"/>
      <c r="CE161" s="162"/>
      <c r="CF161" s="162"/>
      <c r="CG161" s="162"/>
      <c r="CH161" s="162"/>
      <c r="CI161" s="162"/>
      <c r="CJ161" s="162"/>
    </row>
    <row r="162" spans="1:88" ht="15.75" customHeight="1">
      <c r="A162" s="162"/>
      <c r="B162" s="163"/>
      <c r="C162" s="164"/>
      <c r="D162" s="162"/>
      <c r="E162" s="162"/>
      <c r="F162" s="162"/>
      <c r="G162" s="162"/>
      <c r="H162" s="162"/>
      <c r="I162" s="162"/>
      <c r="J162" s="162"/>
      <c r="K162" s="162"/>
      <c r="L162" s="162"/>
      <c r="T162" s="162"/>
      <c r="U162" s="162"/>
      <c r="V162" s="162"/>
      <c r="W162" s="162"/>
      <c r="X162" s="162"/>
      <c r="Y162" s="162"/>
      <c r="Z162" s="162"/>
      <c r="AA162" s="162"/>
      <c r="AB162" s="162"/>
      <c r="AC162" s="162"/>
      <c r="AD162" s="162"/>
      <c r="AE162" s="162"/>
      <c r="AG162" s="162"/>
      <c r="AH162" s="162"/>
      <c r="AI162" s="162"/>
      <c r="AJ162" s="162"/>
      <c r="AK162" s="162"/>
      <c r="AL162" s="162"/>
      <c r="AM162" s="162"/>
      <c r="AN162" s="162"/>
      <c r="AO162" s="162"/>
      <c r="AP162" s="162"/>
      <c r="AQ162" s="162"/>
      <c r="AR162" s="162"/>
      <c r="AS162" s="162"/>
      <c r="AT162" s="162"/>
      <c r="AU162" s="162"/>
      <c r="AV162" s="162"/>
      <c r="AW162" s="162"/>
      <c r="AX162" s="162"/>
      <c r="AY162" s="162"/>
      <c r="AZ162" s="162"/>
      <c r="BA162" s="162"/>
      <c r="BB162" s="171"/>
      <c r="BC162" s="162"/>
      <c r="BD162" s="171"/>
      <c r="BO162" s="162"/>
      <c r="BP162" s="162"/>
      <c r="BQ162" s="162"/>
      <c r="BR162" s="162"/>
      <c r="BS162" s="162"/>
      <c r="BT162" s="162"/>
      <c r="BU162" s="162"/>
      <c r="BV162" s="162"/>
      <c r="BW162" s="162"/>
      <c r="BX162" s="162"/>
      <c r="BY162" s="162"/>
      <c r="BZ162" s="162"/>
      <c r="CA162" s="162"/>
      <c r="CB162" s="162"/>
      <c r="CC162" s="162"/>
      <c r="CD162" s="162"/>
      <c r="CE162" s="162"/>
      <c r="CF162" s="162"/>
      <c r="CG162" s="162"/>
      <c r="CH162" s="162"/>
      <c r="CI162" s="162"/>
      <c r="CJ162" s="162"/>
    </row>
    <row r="163" spans="1:88" ht="15.75" customHeight="1">
      <c r="A163" s="162"/>
      <c r="B163" s="163"/>
      <c r="C163" s="164"/>
      <c r="D163" s="162"/>
      <c r="E163" s="162"/>
      <c r="F163" s="162"/>
      <c r="G163" s="162"/>
      <c r="H163" s="162"/>
      <c r="I163" s="162"/>
      <c r="J163" s="162"/>
      <c r="K163" s="162"/>
      <c r="L163" s="162"/>
      <c r="T163" s="162"/>
      <c r="U163" s="162"/>
      <c r="V163" s="162"/>
      <c r="W163" s="162"/>
      <c r="X163" s="162"/>
      <c r="Y163" s="162"/>
      <c r="Z163" s="162"/>
      <c r="AA163" s="162"/>
      <c r="AB163" s="162"/>
      <c r="AC163" s="162"/>
      <c r="AD163" s="162"/>
      <c r="AE163" s="162"/>
      <c r="AG163" s="162"/>
      <c r="AH163" s="162"/>
      <c r="AI163" s="162"/>
      <c r="AJ163" s="162"/>
      <c r="AK163" s="162"/>
      <c r="AL163" s="162"/>
      <c r="AM163" s="162"/>
      <c r="AN163" s="162"/>
      <c r="AO163" s="162"/>
      <c r="AP163" s="162"/>
      <c r="AQ163" s="162"/>
      <c r="AR163" s="162"/>
      <c r="AS163" s="162"/>
      <c r="AT163" s="162"/>
      <c r="AU163" s="162"/>
      <c r="AV163" s="162"/>
      <c r="AW163" s="162"/>
      <c r="AX163" s="162"/>
      <c r="AY163" s="162"/>
      <c r="AZ163" s="162"/>
      <c r="BA163" s="162"/>
      <c r="BB163" s="171"/>
      <c r="BC163" s="162"/>
      <c r="BD163" s="171"/>
      <c r="BO163" s="162"/>
      <c r="BP163" s="162"/>
      <c r="BQ163" s="162"/>
      <c r="BR163" s="162"/>
      <c r="BS163" s="162"/>
      <c r="BT163" s="162"/>
      <c r="BU163" s="162"/>
      <c r="BV163" s="162"/>
      <c r="BW163" s="162"/>
      <c r="BX163" s="162"/>
      <c r="BY163" s="162"/>
      <c r="BZ163" s="162"/>
      <c r="CA163" s="162"/>
      <c r="CB163" s="162"/>
      <c r="CC163" s="162"/>
      <c r="CD163" s="162"/>
      <c r="CE163" s="162"/>
      <c r="CF163" s="162"/>
      <c r="CG163" s="162"/>
      <c r="CH163" s="162"/>
      <c r="CI163" s="162"/>
      <c r="CJ163" s="162"/>
    </row>
    <row r="164" spans="1:88" ht="15.75" customHeight="1">
      <c r="A164" s="162"/>
      <c r="B164" s="163"/>
      <c r="C164" s="164"/>
      <c r="D164" s="162"/>
      <c r="E164" s="162"/>
      <c r="F164" s="162"/>
      <c r="G164" s="162"/>
      <c r="H164" s="162"/>
      <c r="I164" s="162"/>
      <c r="J164" s="162"/>
      <c r="K164" s="162"/>
      <c r="L164" s="162"/>
      <c r="T164" s="162"/>
      <c r="U164" s="162"/>
      <c r="V164" s="162"/>
      <c r="W164" s="162"/>
      <c r="X164" s="162"/>
      <c r="Y164" s="162"/>
      <c r="Z164" s="162"/>
      <c r="AA164" s="162"/>
      <c r="AB164" s="162"/>
      <c r="AC164" s="162"/>
      <c r="AD164" s="162"/>
      <c r="AE164" s="162"/>
      <c r="AG164" s="162"/>
      <c r="AH164" s="162"/>
      <c r="AI164" s="162"/>
      <c r="AJ164" s="162"/>
      <c r="AK164" s="162"/>
      <c r="AL164" s="162"/>
      <c r="AM164" s="162"/>
      <c r="AN164" s="162"/>
      <c r="AO164" s="162"/>
      <c r="AP164" s="162"/>
      <c r="AQ164" s="162"/>
      <c r="AR164" s="162"/>
      <c r="AS164" s="162"/>
      <c r="AT164" s="162"/>
      <c r="AU164" s="162"/>
      <c r="AV164" s="162"/>
      <c r="AW164" s="162"/>
      <c r="AX164" s="162"/>
      <c r="AY164" s="162"/>
      <c r="AZ164" s="162"/>
      <c r="BA164" s="162"/>
      <c r="BB164" s="171"/>
      <c r="BC164" s="162"/>
      <c r="BD164" s="171"/>
      <c r="BO164" s="162"/>
      <c r="BP164" s="162"/>
      <c r="BQ164" s="162"/>
      <c r="BR164" s="162"/>
      <c r="BS164" s="162"/>
      <c r="BT164" s="162"/>
      <c r="BU164" s="162"/>
      <c r="BV164" s="162"/>
      <c r="BW164" s="162"/>
      <c r="BX164" s="162"/>
      <c r="BY164" s="162"/>
      <c r="BZ164" s="162"/>
      <c r="CA164" s="162"/>
      <c r="CB164" s="162"/>
      <c r="CC164" s="162"/>
      <c r="CD164" s="162"/>
      <c r="CE164" s="162"/>
      <c r="CF164" s="162"/>
      <c r="CG164" s="162"/>
      <c r="CH164" s="162"/>
      <c r="CI164" s="162"/>
      <c r="CJ164" s="162"/>
    </row>
    <row r="165" spans="1:88" ht="15.75" customHeight="1">
      <c r="A165" s="162"/>
      <c r="B165" s="163"/>
      <c r="C165" s="164"/>
      <c r="D165" s="162"/>
      <c r="E165" s="162"/>
      <c r="F165" s="162"/>
      <c r="G165" s="162"/>
      <c r="H165" s="162"/>
      <c r="I165" s="162"/>
      <c r="J165" s="162"/>
      <c r="K165" s="162"/>
      <c r="L165" s="162"/>
      <c r="T165" s="162"/>
      <c r="U165" s="162"/>
      <c r="V165" s="162"/>
      <c r="W165" s="162"/>
      <c r="X165" s="162"/>
      <c r="Y165" s="162"/>
      <c r="Z165" s="162"/>
      <c r="AA165" s="162"/>
      <c r="AB165" s="162"/>
      <c r="AC165" s="162"/>
      <c r="AD165" s="162"/>
      <c r="AE165" s="162"/>
      <c r="AG165" s="162"/>
      <c r="AH165" s="162"/>
      <c r="AI165" s="162"/>
      <c r="AJ165" s="162"/>
      <c r="AK165" s="162"/>
      <c r="AL165" s="162"/>
      <c r="AM165" s="162"/>
      <c r="AN165" s="162"/>
      <c r="AO165" s="162"/>
      <c r="AP165" s="162"/>
      <c r="AQ165" s="162"/>
      <c r="AR165" s="162"/>
      <c r="AS165" s="162"/>
      <c r="AT165" s="162"/>
      <c r="AU165" s="162"/>
      <c r="AV165" s="162"/>
      <c r="AW165" s="162"/>
      <c r="AX165" s="162"/>
      <c r="AY165" s="162"/>
      <c r="AZ165" s="162"/>
      <c r="BA165" s="162"/>
      <c r="BB165" s="171"/>
      <c r="BC165" s="162"/>
      <c r="BD165" s="171"/>
      <c r="BO165" s="162"/>
      <c r="BP165" s="162"/>
      <c r="BQ165" s="162"/>
      <c r="BR165" s="162"/>
      <c r="BS165" s="162"/>
      <c r="BT165" s="162"/>
      <c r="BU165" s="162"/>
      <c r="BV165" s="162"/>
      <c r="BW165" s="162"/>
      <c r="BX165" s="162"/>
      <c r="BY165" s="162"/>
      <c r="BZ165" s="162"/>
      <c r="CA165" s="162"/>
      <c r="CB165" s="162"/>
      <c r="CC165" s="162"/>
      <c r="CD165" s="162"/>
      <c r="CE165" s="162"/>
      <c r="CF165" s="162"/>
      <c r="CG165" s="162"/>
      <c r="CH165" s="162"/>
      <c r="CI165" s="162"/>
      <c r="CJ165" s="162"/>
    </row>
    <row r="166" spans="1:88" ht="15.75" customHeight="1">
      <c r="A166" s="162"/>
      <c r="B166" s="163"/>
      <c r="C166" s="164"/>
      <c r="D166" s="162"/>
      <c r="E166" s="162"/>
      <c r="F166" s="162"/>
      <c r="G166" s="162"/>
      <c r="H166" s="162"/>
      <c r="I166" s="162"/>
      <c r="J166" s="162"/>
      <c r="K166" s="162"/>
      <c r="L166" s="162"/>
      <c r="T166" s="162"/>
      <c r="U166" s="162"/>
      <c r="V166" s="162"/>
      <c r="W166" s="162"/>
      <c r="X166" s="162"/>
      <c r="Y166" s="162"/>
      <c r="Z166" s="162"/>
      <c r="AA166" s="162"/>
      <c r="AB166" s="162"/>
      <c r="AC166" s="162"/>
      <c r="AD166" s="162"/>
      <c r="AE166" s="162"/>
      <c r="AG166" s="162"/>
      <c r="AH166" s="162"/>
      <c r="AI166" s="162"/>
      <c r="AJ166" s="162"/>
      <c r="AK166" s="162"/>
      <c r="AL166" s="162"/>
      <c r="AM166" s="162"/>
      <c r="AN166" s="162"/>
      <c r="AO166" s="162"/>
      <c r="AP166" s="162"/>
      <c r="AQ166" s="162"/>
      <c r="AR166" s="162"/>
      <c r="AS166" s="162"/>
      <c r="AT166" s="162"/>
      <c r="AU166" s="162"/>
      <c r="AV166" s="162"/>
      <c r="AW166" s="162"/>
      <c r="AX166" s="162"/>
      <c r="AY166" s="162"/>
      <c r="AZ166" s="162"/>
      <c r="BA166" s="162"/>
      <c r="BB166" s="171"/>
      <c r="BC166" s="162"/>
      <c r="BD166" s="171"/>
      <c r="BO166" s="162"/>
      <c r="BP166" s="162"/>
      <c r="BQ166" s="162"/>
      <c r="BR166" s="162"/>
      <c r="BS166" s="162"/>
      <c r="BT166" s="162"/>
      <c r="BU166" s="162"/>
      <c r="BV166" s="162"/>
      <c r="BW166" s="162"/>
      <c r="BX166" s="162"/>
      <c r="BY166" s="162"/>
      <c r="BZ166" s="162"/>
      <c r="CA166" s="162"/>
      <c r="CB166" s="162"/>
      <c r="CC166" s="162"/>
      <c r="CD166" s="162"/>
      <c r="CE166" s="162"/>
      <c r="CF166" s="162"/>
      <c r="CG166" s="162"/>
      <c r="CH166" s="162"/>
      <c r="CI166" s="162"/>
      <c r="CJ166" s="162"/>
    </row>
    <row r="167" spans="1:88" ht="15.75" customHeight="1">
      <c r="A167" s="162"/>
      <c r="B167" s="163"/>
      <c r="C167" s="164"/>
      <c r="D167" s="162"/>
      <c r="E167" s="162"/>
      <c r="F167" s="162"/>
      <c r="G167" s="162"/>
      <c r="H167" s="162"/>
      <c r="I167" s="162"/>
      <c r="J167" s="162"/>
      <c r="K167" s="162"/>
      <c r="L167" s="162"/>
      <c r="T167" s="162"/>
      <c r="U167" s="162"/>
      <c r="V167" s="162"/>
      <c r="W167" s="162"/>
      <c r="X167" s="162"/>
      <c r="Y167" s="162"/>
      <c r="Z167" s="162"/>
      <c r="AA167" s="162"/>
      <c r="AB167" s="162"/>
      <c r="AC167" s="162"/>
      <c r="AD167" s="162"/>
      <c r="AE167" s="162"/>
      <c r="AG167" s="162"/>
      <c r="AH167" s="162"/>
      <c r="AI167" s="162"/>
      <c r="AJ167" s="162"/>
      <c r="AK167" s="162"/>
      <c r="AL167" s="162"/>
      <c r="AM167" s="162"/>
      <c r="AN167" s="162"/>
      <c r="AO167" s="162"/>
      <c r="AP167" s="162"/>
      <c r="AQ167" s="162"/>
      <c r="AR167" s="162"/>
      <c r="AS167" s="162"/>
      <c r="AT167" s="162"/>
      <c r="AU167" s="162"/>
      <c r="AV167" s="162"/>
      <c r="AW167" s="162"/>
      <c r="AX167" s="162"/>
      <c r="AY167" s="162"/>
      <c r="AZ167" s="162"/>
      <c r="BA167" s="162"/>
      <c r="BB167" s="171"/>
      <c r="BC167" s="162"/>
      <c r="BD167" s="171"/>
      <c r="BO167" s="162"/>
      <c r="BP167" s="162"/>
      <c r="BQ167" s="162"/>
      <c r="BR167" s="162"/>
      <c r="BS167" s="162"/>
      <c r="BT167" s="162"/>
      <c r="BU167" s="162"/>
      <c r="BV167" s="162"/>
      <c r="BW167" s="162"/>
      <c r="BX167" s="162"/>
      <c r="BY167" s="162"/>
      <c r="BZ167" s="162"/>
      <c r="CA167" s="162"/>
      <c r="CB167" s="162"/>
      <c r="CC167" s="162"/>
      <c r="CD167" s="162"/>
      <c r="CE167" s="162"/>
      <c r="CF167" s="162"/>
      <c r="CG167" s="162"/>
      <c r="CH167" s="162"/>
      <c r="CI167" s="162"/>
      <c r="CJ167" s="162"/>
    </row>
    <row r="168" spans="1:88" ht="15.75" customHeight="1">
      <c r="A168" s="162"/>
      <c r="B168" s="163"/>
      <c r="C168" s="164"/>
      <c r="D168" s="162"/>
      <c r="E168" s="162"/>
      <c r="F168" s="162"/>
      <c r="G168" s="162"/>
      <c r="H168" s="162"/>
      <c r="I168" s="162"/>
      <c r="J168" s="162"/>
      <c r="K168" s="162"/>
      <c r="L168" s="162"/>
      <c r="T168" s="162"/>
      <c r="U168" s="162"/>
      <c r="V168" s="162"/>
      <c r="W168" s="162"/>
      <c r="X168" s="162"/>
      <c r="Y168" s="162"/>
      <c r="Z168" s="162"/>
      <c r="AA168" s="162"/>
      <c r="AB168" s="162"/>
      <c r="AC168" s="162"/>
      <c r="AD168" s="162"/>
      <c r="AE168" s="162"/>
      <c r="AG168" s="162"/>
      <c r="AH168" s="162"/>
      <c r="AI168" s="162"/>
      <c r="AJ168" s="162"/>
      <c r="AK168" s="162"/>
      <c r="AL168" s="162"/>
      <c r="AM168" s="162"/>
      <c r="AN168" s="162"/>
      <c r="AO168" s="162"/>
      <c r="AP168" s="162"/>
      <c r="AQ168" s="162"/>
      <c r="AR168" s="162"/>
      <c r="AS168" s="162"/>
      <c r="AT168" s="162"/>
      <c r="AU168" s="162"/>
      <c r="AV168" s="162"/>
      <c r="AW168" s="162"/>
      <c r="AX168" s="162"/>
      <c r="AY168" s="162"/>
      <c r="AZ168" s="162"/>
      <c r="BA168" s="162"/>
      <c r="BB168" s="171"/>
      <c r="BC168" s="162"/>
      <c r="BD168" s="171"/>
      <c r="BO168" s="162"/>
      <c r="BP168" s="162"/>
      <c r="BQ168" s="162"/>
      <c r="BR168" s="162"/>
      <c r="BS168" s="162"/>
      <c r="BT168" s="162"/>
      <c r="BU168" s="162"/>
      <c r="BV168" s="162"/>
      <c r="BW168" s="162"/>
      <c r="BX168" s="162"/>
      <c r="BY168" s="162"/>
      <c r="BZ168" s="162"/>
      <c r="CA168" s="162"/>
      <c r="CB168" s="162"/>
      <c r="CC168" s="162"/>
      <c r="CD168" s="162"/>
      <c r="CE168" s="162"/>
      <c r="CF168" s="162"/>
      <c r="CG168" s="162"/>
      <c r="CH168" s="162"/>
      <c r="CI168" s="162"/>
      <c r="CJ168" s="162"/>
    </row>
    <row r="169" spans="1:88" ht="15.75" customHeight="1">
      <c r="A169" s="162"/>
      <c r="B169" s="163"/>
      <c r="C169" s="164"/>
      <c r="D169" s="162"/>
      <c r="E169" s="162"/>
      <c r="F169" s="162"/>
      <c r="G169" s="162"/>
      <c r="H169" s="162"/>
      <c r="I169" s="162"/>
      <c r="J169" s="162"/>
      <c r="K169" s="162"/>
      <c r="L169" s="162"/>
      <c r="T169" s="162"/>
      <c r="U169" s="162"/>
      <c r="V169" s="162"/>
      <c r="W169" s="162"/>
      <c r="X169" s="162"/>
      <c r="Y169" s="162"/>
      <c r="Z169" s="162"/>
      <c r="AA169" s="162"/>
      <c r="AB169" s="162"/>
      <c r="AC169" s="162"/>
      <c r="AD169" s="162"/>
      <c r="AE169" s="162"/>
      <c r="AG169" s="162"/>
      <c r="AH169" s="162"/>
      <c r="AI169" s="162"/>
      <c r="AJ169" s="162"/>
      <c r="AK169" s="162"/>
      <c r="AL169" s="162"/>
      <c r="AM169" s="162"/>
      <c r="AN169" s="162"/>
      <c r="AO169" s="162"/>
      <c r="AP169" s="162"/>
      <c r="AQ169" s="162"/>
      <c r="AR169" s="162"/>
      <c r="AS169" s="162"/>
      <c r="AT169" s="162"/>
      <c r="AU169" s="162"/>
      <c r="AV169" s="162"/>
      <c r="AW169" s="162"/>
      <c r="AX169" s="162"/>
      <c r="AY169" s="162"/>
      <c r="AZ169" s="162"/>
      <c r="BA169" s="162"/>
      <c r="BB169" s="171"/>
      <c r="BC169" s="162"/>
      <c r="BD169" s="171"/>
      <c r="BO169" s="162"/>
      <c r="BP169" s="162"/>
      <c r="BQ169" s="162"/>
      <c r="BR169" s="162"/>
      <c r="BS169" s="162"/>
      <c r="BT169" s="162"/>
      <c r="BU169" s="162"/>
      <c r="BV169" s="162"/>
      <c r="BW169" s="162"/>
      <c r="BX169" s="162"/>
      <c r="BY169" s="162"/>
      <c r="BZ169" s="162"/>
      <c r="CA169" s="162"/>
      <c r="CB169" s="162"/>
      <c r="CC169" s="162"/>
      <c r="CD169" s="162"/>
      <c r="CE169" s="162"/>
      <c r="CF169" s="162"/>
      <c r="CG169" s="162"/>
      <c r="CH169" s="162"/>
      <c r="CI169" s="162"/>
      <c r="CJ169" s="162"/>
    </row>
    <row r="170" spans="1:88" ht="15.75" customHeight="1">
      <c r="A170" s="162"/>
      <c r="B170" s="163"/>
      <c r="C170" s="164"/>
      <c r="D170" s="162"/>
      <c r="E170" s="162"/>
      <c r="F170" s="162"/>
      <c r="G170" s="162"/>
      <c r="H170" s="162"/>
      <c r="I170" s="162"/>
      <c r="J170" s="162"/>
      <c r="K170" s="162"/>
      <c r="L170" s="162"/>
      <c r="T170" s="162"/>
      <c r="U170" s="162"/>
      <c r="V170" s="162"/>
      <c r="W170" s="162"/>
      <c r="X170" s="162"/>
      <c r="Y170" s="162"/>
      <c r="Z170" s="162"/>
      <c r="AA170" s="162"/>
      <c r="AB170" s="162"/>
      <c r="AC170" s="162"/>
      <c r="AD170" s="162"/>
      <c r="AE170" s="162"/>
      <c r="AG170" s="162"/>
      <c r="AH170" s="162"/>
      <c r="AI170" s="162"/>
      <c r="AJ170" s="162"/>
      <c r="AK170" s="162"/>
      <c r="AL170" s="162"/>
      <c r="AM170" s="162"/>
      <c r="AN170" s="162"/>
      <c r="AO170" s="162"/>
      <c r="AP170" s="162"/>
      <c r="AQ170" s="162"/>
      <c r="AR170" s="162"/>
      <c r="AS170" s="162"/>
      <c r="AT170" s="162"/>
      <c r="AU170" s="162"/>
      <c r="AV170" s="162"/>
      <c r="AW170" s="162"/>
      <c r="AX170" s="162"/>
      <c r="AY170" s="162"/>
      <c r="AZ170" s="162"/>
      <c r="BA170" s="162"/>
      <c r="BB170" s="171"/>
      <c r="BC170" s="162"/>
      <c r="BD170" s="171"/>
      <c r="BO170" s="162"/>
      <c r="BP170" s="162"/>
      <c r="BQ170" s="162"/>
      <c r="BR170" s="162"/>
      <c r="BS170" s="162"/>
      <c r="BT170" s="162"/>
      <c r="BU170" s="162"/>
      <c r="BV170" s="162"/>
      <c r="BW170" s="162"/>
      <c r="BX170" s="162"/>
      <c r="BY170" s="162"/>
      <c r="BZ170" s="162"/>
      <c r="CA170" s="162"/>
      <c r="CB170" s="162"/>
      <c r="CC170" s="162"/>
      <c r="CD170" s="162"/>
      <c r="CE170" s="162"/>
      <c r="CF170" s="162"/>
      <c r="CG170" s="162"/>
      <c r="CH170" s="162"/>
      <c r="CI170" s="162"/>
      <c r="CJ170" s="162"/>
    </row>
    <row r="171" spans="1:88" ht="15.75" customHeight="1">
      <c r="A171" s="162"/>
      <c r="B171" s="163"/>
      <c r="C171" s="164"/>
      <c r="D171" s="162"/>
      <c r="E171" s="162"/>
      <c r="F171" s="162"/>
      <c r="G171" s="162"/>
      <c r="H171" s="162"/>
      <c r="I171" s="162"/>
      <c r="J171" s="162"/>
      <c r="K171" s="162"/>
      <c r="L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G171" s="162"/>
      <c r="AH171" s="162"/>
      <c r="AI171" s="162"/>
      <c r="AJ171" s="162"/>
      <c r="AK171" s="162"/>
      <c r="AL171" s="162"/>
      <c r="AM171" s="162"/>
      <c r="AN171" s="162"/>
      <c r="AO171" s="162"/>
      <c r="AP171" s="162"/>
      <c r="AQ171" s="162"/>
      <c r="AR171" s="162"/>
      <c r="AS171" s="162"/>
      <c r="AT171" s="162"/>
      <c r="AU171" s="162"/>
      <c r="AV171" s="162"/>
      <c r="AW171" s="162"/>
      <c r="AX171" s="162"/>
      <c r="AY171" s="162"/>
      <c r="AZ171" s="162"/>
      <c r="BA171" s="162"/>
      <c r="BB171" s="171"/>
      <c r="BC171" s="162"/>
      <c r="BD171" s="171"/>
      <c r="BO171" s="162"/>
      <c r="BP171" s="162"/>
      <c r="BQ171" s="162"/>
      <c r="BR171" s="162"/>
      <c r="BS171" s="162"/>
      <c r="BT171" s="162"/>
      <c r="BU171" s="162"/>
      <c r="BV171" s="162"/>
      <c r="BW171" s="162"/>
      <c r="BX171" s="162"/>
      <c r="BY171" s="162"/>
      <c r="BZ171" s="162"/>
      <c r="CA171" s="162"/>
      <c r="CB171" s="162"/>
      <c r="CC171" s="162"/>
      <c r="CD171" s="162"/>
      <c r="CE171" s="162"/>
      <c r="CF171" s="162"/>
      <c r="CG171" s="162"/>
      <c r="CH171" s="162"/>
      <c r="CI171" s="162"/>
      <c r="CJ171" s="162"/>
    </row>
    <row r="172" spans="1:88" ht="15.75" customHeight="1">
      <c r="A172" s="162"/>
      <c r="B172" s="163"/>
      <c r="C172" s="164"/>
      <c r="D172" s="162"/>
      <c r="E172" s="162"/>
      <c r="F172" s="162"/>
      <c r="G172" s="162"/>
      <c r="H172" s="162"/>
      <c r="I172" s="162"/>
      <c r="J172" s="162"/>
      <c r="K172" s="162"/>
      <c r="L172" s="162"/>
      <c r="T172" s="162"/>
      <c r="U172" s="162"/>
      <c r="V172" s="162"/>
      <c r="W172" s="162"/>
      <c r="X172" s="162"/>
      <c r="Y172" s="162"/>
      <c r="Z172" s="162"/>
      <c r="AA172" s="162"/>
      <c r="AB172" s="162"/>
      <c r="AC172" s="162"/>
      <c r="AD172" s="162"/>
      <c r="AE172" s="162"/>
      <c r="AG172" s="162"/>
      <c r="AH172" s="162"/>
      <c r="AI172" s="162"/>
      <c r="AJ172" s="162"/>
      <c r="AK172" s="162"/>
      <c r="AL172" s="162"/>
      <c r="AM172" s="162"/>
      <c r="AN172" s="162"/>
      <c r="AO172" s="162"/>
      <c r="AP172" s="162"/>
      <c r="AQ172" s="162"/>
      <c r="AR172" s="162"/>
      <c r="AS172" s="162"/>
      <c r="AT172" s="162"/>
      <c r="AU172" s="162"/>
      <c r="AV172" s="162"/>
      <c r="AW172" s="162"/>
      <c r="AX172" s="162"/>
      <c r="AY172" s="162"/>
      <c r="AZ172" s="162"/>
      <c r="BA172" s="162"/>
      <c r="BB172" s="171"/>
      <c r="BC172" s="162"/>
      <c r="BD172" s="171"/>
      <c r="BO172" s="162"/>
      <c r="BP172" s="162"/>
      <c r="BQ172" s="162"/>
      <c r="BR172" s="162"/>
      <c r="BS172" s="162"/>
      <c r="BT172" s="162"/>
      <c r="BU172" s="162"/>
      <c r="BV172" s="162"/>
      <c r="BW172" s="162"/>
      <c r="BX172" s="162"/>
      <c r="BY172" s="162"/>
      <c r="BZ172" s="162"/>
      <c r="CA172" s="162"/>
      <c r="CB172" s="162"/>
      <c r="CC172" s="162"/>
      <c r="CD172" s="162"/>
      <c r="CE172" s="162"/>
      <c r="CF172" s="162"/>
      <c r="CG172" s="162"/>
      <c r="CH172" s="162"/>
      <c r="CI172" s="162"/>
      <c r="CJ172" s="162"/>
    </row>
    <row r="173" spans="1:88" ht="15.75" customHeight="1">
      <c r="A173" s="162"/>
      <c r="B173" s="163"/>
      <c r="C173" s="164"/>
      <c r="D173" s="162"/>
      <c r="E173" s="162"/>
      <c r="F173" s="162"/>
      <c r="G173" s="162"/>
      <c r="H173" s="162"/>
      <c r="I173" s="162"/>
      <c r="J173" s="162"/>
      <c r="K173" s="162"/>
      <c r="L173" s="162"/>
      <c r="T173" s="162"/>
      <c r="U173" s="162"/>
      <c r="V173" s="162"/>
      <c r="W173" s="162"/>
      <c r="X173" s="162"/>
      <c r="Y173" s="162"/>
      <c r="Z173" s="162"/>
      <c r="AA173" s="162"/>
      <c r="AB173" s="162"/>
      <c r="AC173" s="162"/>
      <c r="AD173" s="162"/>
      <c r="AE173" s="162"/>
      <c r="AG173" s="162"/>
      <c r="AH173" s="162"/>
      <c r="AI173" s="162"/>
      <c r="AJ173" s="162"/>
      <c r="AK173" s="162"/>
      <c r="AL173" s="162"/>
      <c r="AM173" s="162"/>
      <c r="AN173" s="162"/>
      <c r="AO173" s="162"/>
      <c r="AP173" s="162"/>
      <c r="AQ173" s="162"/>
      <c r="AR173" s="162"/>
      <c r="AS173" s="162"/>
      <c r="AT173" s="162"/>
      <c r="AU173" s="162"/>
      <c r="AV173" s="162"/>
      <c r="AW173" s="162"/>
      <c r="AX173" s="162"/>
      <c r="AY173" s="162"/>
      <c r="AZ173" s="162"/>
      <c r="BA173" s="162"/>
      <c r="BB173" s="171"/>
      <c r="BC173" s="162"/>
      <c r="BD173" s="171"/>
      <c r="BO173" s="162"/>
      <c r="BP173" s="162"/>
      <c r="BQ173" s="162"/>
      <c r="BR173" s="162"/>
      <c r="BS173" s="162"/>
      <c r="BT173" s="162"/>
      <c r="BU173" s="162"/>
      <c r="BV173" s="162"/>
      <c r="BW173" s="162"/>
      <c r="BX173" s="162"/>
      <c r="BY173" s="162"/>
      <c r="BZ173" s="162"/>
      <c r="CA173" s="162"/>
      <c r="CB173" s="162"/>
      <c r="CC173" s="162"/>
      <c r="CD173" s="162"/>
      <c r="CE173" s="162"/>
      <c r="CF173" s="162"/>
      <c r="CG173" s="162"/>
      <c r="CH173" s="162"/>
      <c r="CI173" s="162"/>
      <c r="CJ173" s="162"/>
    </row>
    <row r="174" spans="1:88" ht="15.75" customHeight="1">
      <c r="A174" s="162"/>
      <c r="B174" s="163"/>
      <c r="C174" s="164"/>
      <c r="D174" s="162"/>
      <c r="E174" s="162"/>
      <c r="F174" s="162"/>
      <c r="G174" s="162"/>
      <c r="H174" s="162"/>
      <c r="I174" s="162"/>
      <c r="J174" s="162"/>
      <c r="K174" s="162"/>
      <c r="L174" s="162"/>
      <c r="T174" s="162"/>
      <c r="U174" s="162"/>
      <c r="V174" s="162"/>
      <c r="W174" s="162"/>
      <c r="X174" s="162"/>
      <c r="Y174" s="162"/>
      <c r="Z174" s="162"/>
      <c r="AA174" s="162"/>
      <c r="AB174" s="162"/>
      <c r="AC174" s="162"/>
      <c r="AD174" s="162"/>
      <c r="AE174" s="162"/>
      <c r="AG174" s="162"/>
      <c r="AH174" s="162"/>
      <c r="AI174" s="162"/>
      <c r="AJ174" s="162"/>
      <c r="AK174" s="162"/>
      <c r="AL174" s="162"/>
      <c r="AM174" s="162"/>
      <c r="AN174" s="162"/>
      <c r="AO174" s="162"/>
      <c r="AP174" s="162"/>
      <c r="AQ174" s="162"/>
      <c r="AR174" s="162"/>
      <c r="AS174" s="162"/>
      <c r="AT174" s="162"/>
      <c r="AU174" s="162"/>
      <c r="AV174" s="162"/>
      <c r="AW174" s="162"/>
      <c r="AX174" s="162"/>
      <c r="AY174" s="162"/>
      <c r="AZ174" s="162"/>
      <c r="BA174" s="162"/>
      <c r="BB174" s="171"/>
      <c r="BC174" s="162"/>
      <c r="BD174" s="171"/>
      <c r="BO174" s="162"/>
      <c r="BP174" s="162"/>
      <c r="BQ174" s="162"/>
      <c r="BR174" s="162"/>
      <c r="BS174" s="162"/>
      <c r="BT174" s="162"/>
      <c r="BU174" s="162"/>
      <c r="BV174" s="162"/>
      <c r="BW174" s="162"/>
      <c r="BX174" s="162"/>
      <c r="BY174" s="162"/>
      <c r="BZ174" s="162"/>
      <c r="CA174" s="162"/>
      <c r="CB174" s="162"/>
      <c r="CC174" s="162"/>
      <c r="CD174" s="162"/>
      <c r="CE174" s="162"/>
      <c r="CF174" s="162"/>
      <c r="CG174" s="162"/>
      <c r="CH174" s="162"/>
      <c r="CI174" s="162"/>
      <c r="CJ174" s="162"/>
    </row>
    <row r="175" spans="1:88" ht="15.75" customHeight="1">
      <c r="A175" s="162"/>
      <c r="B175" s="163"/>
      <c r="C175" s="164"/>
      <c r="D175" s="162"/>
      <c r="E175" s="162"/>
      <c r="F175" s="162"/>
      <c r="G175" s="162"/>
      <c r="H175" s="162"/>
      <c r="I175" s="162"/>
      <c r="J175" s="162"/>
      <c r="K175" s="162"/>
      <c r="L175" s="162"/>
      <c r="T175" s="162"/>
      <c r="U175" s="162"/>
      <c r="V175" s="162"/>
      <c r="W175" s="162"/>
      <c r="X175" s="162"/>
      <c r="Y175" s="162"/>
      <c r="Z175" s="162"/>
      <c r="AA175" s="162"/>
      <c r="AB175" s="162"/>
      <c r="AC175" s="162"/>
      <c r="AD175" s="162"/>
      <c r="AE175" s="162"/>
      <c r="AG175" s="162"/>
      <c r="AH175" s="162"/>
      <c r="AI175" s="162"/>
      <c r="AJ175" s="162"/>
      <c r="AK175" s="162"/>
      <c r="AL175" s="162"/>
      <c r="AM175" s="162"/>
      <c r="AN175" s="162"/>
      <c r="AO175" s="162"/>
      <c r="AP175" s="162"/>
      <c r="AQ175" s="162"/>
      <c r="AR175" s="162"/>
      <c r="AS175" s="162"/>
      <c r="AT175" s="162"/>
      <c r="AU175" s="162"/>
      <c r="AV175" s="162"/>
      <c r="AW175" s="162"/>
      <c r="AX175" s="162"/>
      <c r="AY175" s="162"/>
      <c r="AZ175" s="162"/>
      <c r="BA175" s="162"/>
      <c r="BB175" s="171"/>
      <c r="BC175" s="162"/>
      <c r="BD175" s="171"/>
      <c r="BO175" s="162"/>
      <c r="BP175" s="162"/>
      <c r="BQ175" s="162"/>
      <c r="BR175" s="162"/>
      <c r="BS175" s="162"/>
      <c r="BT175" s="162"/>
      <c r="BU175" s="162"/>
      <c r="BV175" s="162"/>
      <c r="BW175" s="162"/>
      <c r="BX175" s="162"/>
      <c r="BY175" s="162"/>
      <c r="BZ175" s="162"/>
      <c r="CA175" s="162"/>
      <c r="CB175" s="162"/>
      <c r="CC175" s="162"/>
      <c r="CD175" s="162"/>
      <c r="CE175" s="162"/>
      <c r="CF175" s="162"/>
      <c r="CG175" s="162"/>
      <c r="CH175" s="162"/>
      <c r="CI175" s="162"/>
      <c r="CJ175" s="162"/>
    </row>
    <row r="176" spans="1:88" ht="15.75" customHeight="1">
      <c r="A176" s="162"/>
      <c r="B176" s="163"/>
      <c r="C176" s="164"/>
      <c r="D176" s="162"/>
      <c r="E176" s="162"/>
      <c r="F176" s="162"/>
      <c r="G176" s="162"/>
      <c r="H176" s="162"/>
      <c r="I176" s="162"/>
      <c r="J176" s="162"/>
      <c r="K176" s="162"/>
      <c r="L176" s="162"/>
      <c r="T176" s="162"/>
      <c r="U176" s="162"/>
      <c r="V176" s="162"/>
      <c r="W176" s="162"/>
      <c r="X176" s="162"/>
      <c r="Y176" s="162"/>
      <c r="Z176" s="162"/>
      <c r="AA176" s="162"/>
      <c r="AB176" s="162"/>
      <c r="AC176" s="162"/>
      <c r="AD176" s="162"/>
      <c r="AE176" s="162"/>
      <c r="AG176" s="162"/>
      <c r="AH176" s="162"/>
      <c r="AI176" s="162"/>
      <c r="AJ176" s="162"/>
      <c r="AK176" s="162"/>
      <c r="AL176" s="162"/>
      <c r="AM176" s="162"/>
      <c r="AN176" s="162"/>
      <c r="AO176" s="162"/>
      <c r="AP176" s="162"/>
      <c r="AQ176" s="162"/>
      <c r="AR176" s="162"/>
      <c r="AS176" s="162"/>
      <c r="AT176" s="162"/>
      <c r="AU176" s="162"/>
      <c r="AV176" s="162"/>
      <c r="AW176" s="162"/>
      <c r="AX176" s="162"/>
      <c r="AY176" s="162"/>
      <c r="AZ176" s="162"/>
      <c r="BA176" s="162"/>
      <c r="BB176" s="171"/>
      <c r="BC176" s="162"/>
      <c r="BD176" s="171"/>
      <c r="BO176" s="162"/>
      <c r="BP176" s="162"/>
      <c r="BQ176" s="162"/>
      <c r="BR176" s="162"/>
      <c r="BS176" s="162"/>
      <c r="BT176" s="162"/>
      <c r="BU176" s="162"/>
      <c r="BV176" s="162"/>
      <c r="BW176" s="162"/>
      <c r="BX176" s="162"/>
      <c r="BY176" s="162"/>
      <c r="BZ176" s="162"/>
      <c r="CA176" s="162"/>
      <c r="CB176" s="162"/>
      <c r="CC176" s="162"/>
      <c r="CD176" s="162"/>
      <c r="CE176" s="162"/>
      <c r="CF176" s="162"/>
      <c r="CG176" s="162"/>
      <c r="CH176" s="162"/>
      <c r="CI176" s="162"/>
      <c r="CJ176" s="162"/>
    </row>
    <row r="177" spans="1:88" ht="15.75" customHeight="1">
      <c r="A177" s="162"/>
      <c r="B177" s="163"/>
      <c r="C177" s="164"/>
      <c r="D177" s="162"/>
      <c r="E177" s="162"/>
      <c r="F177" s="162"/>
      <c r="G177" s="162"/>
      <c r="H177" s="162"/>
      <c r="I177" s="162"/>
      <c r="J177" s="162"/>
      <c r="K177" s="162"/>
      <c r="L177" s="162"/>
      <c r="T177" s="162"/>
      <c r="U177" s="162"/>
      <c r="V177" s="162"/>
      <c r="W177" s="162"/>
      <c r="X177" s="162"/>
      <c r="Y177" s="162"/>
      <c r="Z177" s="162"/>
      <c r="AA177" s="162"/>
      <c r="AB177" s="162"/>
      <c r="AC177" s="162"/>
      <c r="AD177" s="162"/>
      <c r="AE177" s="162"/>
      <c r="AG177" s="162"/>
      <c r="AH177" s="162"/>
      <c r="AI177" s="162"/>
      <c r="AJ177" s="162"/>
      <c r="AK177" s="162"/>
      <c r="AL177" s="162"/>
      <c r="AM177" s="162"/>
      <c r="AN177" s="162"/>
      <c r="AO177" s="162"/>
      <c r="AP177" s="162"/>
      <c r="AQ177" s="162"/>
      <c r="AR177" s="162"/>
      <c r="AS177" s="162"/>
      <c r="AT177" s="162"/>
      <c r="AU177" s="162"/>
      <c r="AV177" s="162"/>
      <c r="AW177" s="162"/>
      <c r="AX177" s="162"/>
      <c r="AY177" s="162"/>
      <c r="AZ177" s="162"/>
      <c r="BA177" s="162"/>
      <c r="BB177" s="171"/>
      <c r="BC177" s="162"/>
      <c r="BD177" s="171"/>
      <c r="BO177" s="162"/>
      <c r="BP177" s="162"/>
      <c r="BQ177" s="162"/>
      <c r="BR177" s="162"/>
      <c r="BS177" s="162"/>
      <c r="BT177" s="162"/>
      <c r="BU177" s="162"/>
      <c r="BV177" s="162"/>
      <c r="BW177" s="162"/>
      <c r="BX177" s="162"/>
      <c r="BY177" s="162"/>
      <c r="BZ177" s="162"/>
      <c r="CA177" s="162"/>
      <c r="CB177" s="162"/>
      <c r="CC177" s="162"/>
      <c r="CD177" s="162"/>
      <c r="CE177" s="162"/>
      <c r="CF177" s="162"/>
      <c r="CG177" s="162"/>
      <c r="CH177" s="162"/>
      <c r="CI177" s="162"/>
      <c r="CJ177" s="162"/>
    </row>
    <row r="178" spans="1:88" ht="15.75" customHeight="1">
      <c r="A178" s="162"/>
      <c r="B178" s="163"/>
      <c r="C178" s="164"/>
      <c r="D178" s="162"/>
      <c r="E178" s="162"/>
      <c r="F178" s="162"/>
      <c r="G178" s="162"/>
      <c r="H178" s="162"/>
      <c r="I178" s="162"/>
      <c r="J178" s="162"/>
      <c r="K178" s="162"/>
      <c r="L178" s="162"/>
      <c r="T178" s="162"/>
      <c r="U178" s="162"/>
      <c r="V178" s="162"/>
      <c r="W178" s="162"/>
      <c r="X178" s="162"/>
      <c r="Y178" s="162"/>
      <c r="Z178" s="162"/>
      <c r="AA178" s="162"/>
      <c r="AB178" s="162"/>
      <c r="AC178" s="162"/>
      <c r="AD178" s="162"/>
      <c r="AE178" s="162"/>
      <c r="AG178" s="162"/>
      <c r="AH178" s="162"/>
      <c r="AI178" s="162"/>
      <c r="AJ178" s="162"/>
      <c r="AK178" s="162"/>
      <c r="AL178" s="162"/>
      <c r="AM178" s="162"/>
      <c r="AN178" s="162"/>
      <c r="AO178" s="162"/>
      <c r="AP178" s="162"/>
      <c r="AQ178" s="162"/>
      <c r="AR178" s="162"/>
      <c r="AS178" s="162"/>
      <c r="AT178" s="162"/>
      <c r="AU178" s="162"/>
      <c r="AV178" s="162"/>
      <c r="AW178" s="162"/>
      <c r="AX178" s="162"/>
      <c r="AY178" s="162"/>
      <c r="AZ178" s="162"/>
      <c r="BA178" s="162"/>
      <c r="BB178" s="171"/>
      <c r="BC178" s="162"/>
      <c r="BD178" s="171"/>
      <c r="BO178" s="162"/>
      <c r="BP178" s="162"/>
      <c r="BQ178" s="162"/>
      <c r="BR178" s="162"/>
      <c r="BS178" s="162"/>
      <c r="BT178" s="162"/>
      <c r="BU178" s="162"/>
      <c r="BV178" s="162"/>
      <c r="BW178" s="162"/>
      <c r="BX178" s="162"/>
      <c r="BY178" s="162"/>
      <c r="BZ178" s="162"/>
      <c r="CA178" s="162"/>
      <c r="CB178" s="162"/>
      <c r="CC178" s="162"/>
      <c r="CD178" s="162"/>
      <c r="CE178" s="162"/>
      <c r="CF178" s="162"/>
      <c r="CG178" s="162"/>
      <c r="CH178" s="162"/>
      <c r="CI178" s="162"/>
      <c r="CJ178" s="162"/>
    </row>
    <row r="179" spans="1:88" ht="15.75" customHeight="1">
      <c r="A179" s="162"/>
      <c r="B179" s="163"/>
      <c r="C179" s="164"/>
      <c r="D179" s="162"/>
      <c r="E179" s="162"/>
      <c r="F179" s="162"/>
      <c r="G179" s="162"/>
      <c r="H179" s="162"/>
      <c r="I179" s="162"/>
      <c r="J179" s="162"/>
      <c r="K179" s="162"/>
      <c r="L179" s="162"/>
      <c r="T179" s="162"/>
      <c r="U179" s="162"/>
      <c r="V179" s="162"/>
      <c r="W179" s="162"/>
      <c r="X179" s="162"/>
      <c r="Y179" s="162"/>
      <c r="Z179" s="162"/>
      <c r="AA179" s="162"/>
      <c r="AB179" s="162"/>
      <c r="AC179" s="162"/>
      <c r="AD179" s="162"/>
      <c r="AE179" s="162"/>
      <c r="AG179" s="162"/>
      <c r="AH179" s="162"/>
      <c r="AI179" s="162"/>
      <c r="AJ179" s="162"/>
      <c r="AK179" s="162"/>
      <c r="AL179" s="162"/>
      <c r="AM179" s="162"/>
      <c r="AN179" s="162"/>
      <c r="AO179" s="162"/>
      <c r="AP179" s="162"/>
      <c r="AQ179" s="162"/>
      <c r="AR179" s="162"/>
      <c r="AS179" s="162"/>
      <c r="AT179" s="162"/>
      <c r="AU179" s="162"/>
      <c r="AV179" s="162"/>
      <c r="AW179" s="162"/>
      <c r="AX179" s="162"/>
      <c r="AY179" s="162"/>
      <c r="AZ179" s="162"/>
      <c r="BA179" s="162"/>
      <c r="BB179" s="171"/>
      <c r="BC179" s="162"/>
      <c r="BD179" s="171"/>
      <c r="BO179" s="162"/>
      <c r="BP179" s="162"/>
      <c r="BQ179" s="162"/>
      <c r="BR179" s="162"/>
      <c r="BS179" s="162"/>
      <c r="BT179" s="162"/>
      <c r="BU179" s="162"/>
      <c r="BV179" s="162"/>
      <c r="BW179" s="162"/>
      <c r="BX179" s="162"/>
      <c r="BY179" s="162"/>
      <c r="BZ179" s="162"/>
      <c r="CA179" s="162"/>
      <c r="CB179" s="162"/>
      <c r="CC179" s="162"/>
      <c r="CD179" s="162"/>
      <c r="CE179" s="162"/>
      <c r="CF179" s="162"/>
      <c r="CG179" s="162"/>
      <c r="CH179" s="162"/>
      <c r="CI179" s="162"/>
      <c r="CJ179" s="162"/>
    </row>
    <row r="180" spans="1:88" ht="15.75" customHeight="1">
      <c r="A180" s="162"/>
      <c r="B180" s="163"/>
      <c r="C180" s="164"/>
      <c r="D180" s="162"/>
      <c r="E180" s="162"/>
      <c r="F180" s="162"/>
      <c r="G180" s="162"/>
      <c r="H180" s="162"/>
      <c r="I180" s="162"/>
      <c r="J180" s="162"/>
      <c r="K180" s="162"/>
      <c r="L180" s="162"/>
      <c r="T180" s="162"/>
      <c r="U180" s="162"/>
      <c r="V180" s="162"/>
      <c r="W180" s="162"/>
      <c r="X180" s="162"/>
      <c r="Y180" s="162"/>
      <c r="Z180" s="162"/>
      <c r="AA180" s="162"/>
      <c r="AB180" s="162"/>
      <c r="AC180" s="162"/>
      <c r="AD180" s="162"/>
      <c r="AE180" s="162"/>
      <c r="AG180" s="162"/>
      <c r="AH180" s="162"/>
      <c r="AI180" s="162"/>
      <c r="AJ180" s="162"/>
      <c r="AK180" s="162"/>
      <c r="AL180" s="162"/>
      <c r="AM180" s="162"/>
      <c r="AN180" s="162"/>
      <c r="AO180" s="162"/>
      <c r="AP180" s="162"/>
      <c r="AQ180" s="162"/>
      <c r="AR180" s="162"/>
      <c r="AS180" s="162"/>
      <c r="AT180" s="162"/>
      <c r="AU180" s="162"/>
      <c r="AV180" s="162"/>
      <c r="AW180" s="162"/>
      <c r="AX180" s="162"/>
      <c r="AY180" s="162"/>
      <c r="AZ180" s="162"/>
      <c r="BA180" s="162"/>
      <c r="BB180" s="171"/>
      <c r="BC180" s="162"/>
      <c r="BD180" s="171"/>
      <c r="BO180" s="162"/>
      <c r="BP180" s="162"/>
      <c r="BQ180" s="162"/>
      <c r="BR180" s="162"/>
      <c r="BS180" s="162"/>
      <c r="BT180" s="162"/>
      <c r="BU180" s="162"/>
      <c r="BV180" s="162"/>
      <c r="BW180" s="162"/>
      <c r="BX180" s="162"/>
      <c r="BY180" s="162"/>
      <c r="BZ180" s="162"/>
      <c r="CA180" s="162"/>
      <c r="CB180" s="162"/>
      <c r="CC180" s="162"/>
      <c r="CD180" s="162"/>
      <c r="CE180" s="162"/>
      <c r="CF180" s="162"/>
      <c r="CG180" s="162"/>
      <c r="CH180" s="162"/>
      <c r="CI180" s="162"/>
      <c r="CJ180" s="162"/>
    </row>
    <row r="181" spans="1:88" ht="15.75" customHeight="1">
      <c r="A181" s="162"/>
      <c r="B181" s="163"/>
      <c r="C181" s="164"/>
      <c r="D181" s="162"/>
      <c r="E181" s="162"/>
      <c r="F181" s="162"/>
      <c r="G181" s="162"/>
      <c r="H181" s="162"/>
      <c r="I181" s="162"/>
      <c r="J181" s="162"/>
      <c r="K181" s="162"/>
      <c r="L181" s="162"/>
      <c r="T181" s="162"/>
      <c r="U181" s="162"/>
      <c r="V181" s="162"/>
      <c r="W181" s="162"/>
      <c r="X181" s="162"/>
      <c r="Y181" s="162"/>
      <c r="Z181" s="162"/>
      <c r="AA181" s="162"/>
      <c r="AB181" s="162"/>
      <c r="AC181" s="162"/>
      <c r="AD181" s="162"/>
      <c r="AE181" s="162"/>
      <c r="AG181" s="162"/>
      <c r="AH181" s="162"/>
      <c r="AI181" s="162"/>
      <c r="AJ181" s="162"/>
      <c r="AK181" s="162"/>
      <c r="AL181" s="162"/>
      <c r="AM181" s="162"/>
      <c r="AN181" s="162"/>
      <c r="AO181" s="162"/>
      <c r="AP181" s="162"/>
      <c r="AQ181" s="162"/>
      <c r="AR181" s="162"/>
      <c r="AS181" s="162"/>
      <c r="AT181" s="162"/>
      <c r="AU181" s="162"/>
      <c r="AV181" s="162"/>
      <c r="AW181" s="162"/>
      <c r="AX181" s="162"/>
      <c r="AY181" s="162"/>
      <c r="AZ181" s="162"/>
      <c r="BA181" s="162"/>
      <c r="BB181" s="171"/>
      <c r="BC181" s="162"/>
      <c r="BD181" s="171"/>
      <c r="BO181" s="162"/>
      <c r="BP181" s="162"/>
      <c r="BQ181" s="162"/>
      <c r="BR181" s="162"/>
      <c r="BS181" s="162"/>
      <c r="BT181" s="162"/>
      <c r="BU181" s="162"/>
      <c r="BV181" s="162"/>
      <c r="BW181" s="162"/>
      <c r="BX181" s="162"/>
      <c r="BY181" s="162"/>
      <c r="BZ181" s="162"/>
      <c r="CA181" s="162"/>
      <c r="CB181" s="162"/>
      <c r="CC181" s="162"/>
      <c r="CD181" s="162"/>
      <c r="CE181" s="162"/>
      <c r="CF181" s="162"/>
      <c r="CG181" s="162"/>
      <c r="CH181" s="162"/>
      <c r="CI181" s="162"/>
      <c r="CJ181" s="162"/>
    </row>
    <row r="182" spans="1:88" ht="15.75" customHeight="1">
      <c r="A182" s="162"/>
      <c r="B182" s="163"/>
      <c r="C182" s="164"/>
      <c r="D182" s="162"/>
      <c r="E182" s="162"/>
      <c r="F182" s="162"/>
      <c r="G182" s="162"/>
      <c r="H182" s="162"/>
      <c r="I182" s="162"/>
      <c r="J182" s="162"/>
      <c r="K182" s="162"/>
      <c r="L182" s="162"/>
      <c r="T182" s="162"/>
      <c r="U182" s="162"/>
      <c r="V182" s="162"/>
      <c r="W182" s="162"/>
      <c r="X182" s="162"/>
      <c r="Y182" s="162"/>
      <c r="Z182" s="162"/>
      <c r="AA182" s="162"/>
      <c r="AB182" s="162"/>
      <c r="AC182" s="162"/>
      <c r="AD182" s="162"/>
      <c r="AE182" s="162"/>
      <c r="AG182" s="162"/>
      <c r="AH182" s="162"/>
      <c r="AI182" s="162"/>
      <c r="AJ182" s="162"/>
      <c r="AK182" s="162"/>
      <c r="AL182" s="162"/>
      <c r="AM182" s="162"/>
      <c r="AN182" s="162"/>
      <c r="AO182" s="162"/>
      <c r="AP182" s="162"/>
      <c r="AQ182" s="162"/>
      <c r="AR182" s="162"/>
      <c r="AS182" s="162"/>
      <c r="AT182" s="162"/>
      <c r="AU182" s="162"/>
      <c r="AV182" s="162"/>
      <c r="AW182" s="162"/>
      <c r="AX182" s="162"/>
      <c r="AY182" s="162"/>
      <c r="AZ182" s="162"/>
      <c r="BA182" s="162"/>
      <c r="BB182" s="171"/>
      <c r="BC182" s="162"/>
      <c r="BD182" s="171"/>
      <c r="BO182" s="162"/>
      <c r="BP182" s="162"/>
      <c r="BQ182" s="162"/>
      <c r="BR182" s="162"/>
      <c r="BS182" s="162"/>
      <c r="BT182" s="162"/>
      <c r="BU182" s="162"/>
      <c r="BV182" s="162"/>
      <c r="BW182" s="162"/>
      <c r="BX182" s="162"/>
      <c r="BY182" s="162"/>
      <c r="BZ182" s="162"/>
      <c r="CA182" s="162"/>
      <c r="CB182" s="162"/>
      <c r="CC182" s="162"/>
      <c r="CD182" s="162"/>
      <c r="CE182" s="162"/>
      <c r="CF182" s="162"/>
      <c r="CG182" s="162"/>
      <c r="CH182" s="162"/>
      <c r="CI182" s="162"/>
      <c r="CJ182" s="162"/>
    </row>
    <row r="183" spans="1:88" ht="15.75" customHeight="1">
      <c r="A183" s="162"/>
      <c r="B183" s="163"/>
      <c r="C183" s="164"/>
      <c r="D183" s="162"/>
      <c r="E183" s="162"/>
      <c r="F183" s="162"/>
      <c r="G183" s="162"/>
      <c r="H183" s="162"/>
      <c r="I183" s="162"/>
      <c r="J183" s="162"/>
      <c r="K183" s="162"/>
      <c r="L183" s="162"/>
      <c r="T183" s="162"/>
      <c r="U183" s="162"/>
      <c r="V183" s="162"/>
      <c r="W183" s="162"/>
      <c r="X183" s="162"/>
      <c r="Y183" s="162"/>
      <c r="Z183" s="162"/>
      <c r="AA183" s="162"/>
      <c r="AB183" s="162"/>
      <c r="AC183" s="162"/>
      <c r="AD183" s="162"/>
      <c r="AE183" s="162"/>
      <c r="AG183" s="162"/>
      <c r="AH183" s="162"/>
      <c r="AI183" s="162"/>
      <c r="AJ183" s="162"/>
      <c r="AK183" s="162"/>
      <c r="AL183" s="162"/>
      <c r="AM183" s="162"/>
      <c r="AN183" s="162"/>
      <c r="AO183" s="162"/>
      <c r="AP183" s="162"/>
      <c r="AQ183" s="162"/>
      <c r="AR183" s="162"/>
      <c r="AS183" s="162"/>
      <c r="AT183" s="162"/>
      <c r="AU183" s="162"/>
      <c r="AV183" s="162"/>
      <c r="AW183" s="162"/>
      <c r="AX183" s="162"/>
      <c r="AY183" s="162"/>
      <c r="AZ183" s="162"/>
      <c r="BA183" s="162"/>
      <c r="BB183" s="171"/>
      <c r="BC183" s="162"/>
      <c r="BD183" s="171"/>
      <c r="BO183" s="162"/>
      <c r="BP183" s="162"/>
      <c r="BQ183" s="162"/>
      <c r="BR183" s="162"/>
      <c r="BS183" s="162"/>
      <c r="BT183" s="162"/>
      <c r="BU183" s="162"/>
      <c r="BV183" s="162"/>
      <c r="BW183" s="162"/>
      <c r="BX183" s="162"/>
      <c r="BY183" s="162"/>
      <c r="BZ183" s="162"/>
      <c r="CA183" s="162"/>
      <c r="CB183" s="162"/>
      <c r="CC183" s="162"/>
      <c r="CD183" s="162"/>
      <c r="CE183" s="162"/>
      <c r="CF183" s="162"/>
      <c r="CG183" s="162"/>
      <c r="CH183" s="162"/>
      <c r="CI183" s="162"/>
      <c r="CJ183" s="162"/>
    </row>
    <row r="184" spans="1:88" ht="15.75" customHeight="1">
      <c r="A184" s="162"/>
      <c r="B184" s="163"/>
      <c r="C184" s="164"/>
      <c r="D184" s="162"/>
      <c r="E184" s="162"/>
      <c r="F184" s="162"/>
      <c r="G184" s="162"/>
      <c r="H184" s="162"/>
      <c r="I184" s="162"/>
      <c r="J184" s="162"/>
      <c r="K184" s="162"/>
      <c r="L184" s="162"/>
      <c r="T184" s="162"/>
      <c r="U184" s="162"/>
      <c r="V184" s="162"/>
      <c r="W184" s="162"/>
      <c r="X184" s="162"/>
      <c r="Y184" s="162"/>
      <c r="Z184" s="162"/>
      <c r="AA184" s="162"/>
      <c r="AB184" s="162"/>
      <c r="AC184" s="162"/>
      <c r="AD184" s="162"/>
      <c r="AE184" s="162"/>
      <c r="AG184" s="162"/>
      <c r="AH184" s="162"/>
      <c r="AI184" s="162"/>
      <c r="AJ184" s="162"/>
      <c r="AK184" s="162"/>
      <c r="AL184" s="162"/>
      <c r="AM184" s="162"/>
      <c r="AN184" s="162"/>
      <c r="AO184" s="162"/>
      <c r="AP184" s="162"/>
      <c r="AQ184" s="162"/>
      <c r="AR184" s="162"/>
      <c r="AS184" s="162"/>
      <c r="AT184" s="162"/>
      <c r="AU184" s="162"/>
      <c r="AV184" s="162"/>
      <c r="AW184" s="162"/>
      <c r="AX184" s="162"/>
      <c r="AY184" s="162"/>
      <c r="AZ184" s="162"/>
      <c r="BA184" s="162"/>
      <c r="BB184" s="171"/>
      <c r="BC184" s="162"/>
      <c r="BD184" s="171"/>
      <c r="BO184" s="162"/>
      <c r="BP184" s="162"/>
      <c r="BQ184" s="162"/>
      <c r="BR184" s="162"/>
      <c r="BS184" s="162"/>
      <c r="BT184" s="162"/>
      <c r="BU184" s="162"/>
      <c r="BV184" s="162"/>
      <c r="BW184" s="162"/>
      <c r="BX184" s="162"/>
      <c r="BY184" s="162"/>
      <c r="BZ184" s="162"/>
      <c r="CA184" s="162"/>
      <c r="CB184" s="162"/>
      <c r="CC184" s="162"/>
      <c r="CD184" s="162"/>
      <c r="CE184" s="162"/>
      <c r="CF184" s="162"/>
      <c r="CG184" s="162"/>
      <c r="CH184" s="162"/>
      <c r="CI184" s="162"/>
      <c r="CJ184" s="162"/>
    </row>
    <row r="185" spans="1:88" ht="15.75" customHeight="1">
      <c r="A185" s="162"/>
      <c r="B185" s="163"/>
      <c r="C185" s="164"/>
      <c r="D185" s="162"/>
      <c r="E185" s="162"/>
      <c r="F185" s="162"/>
      <c r="G185" s="162"/>
      <c r="H185" s="162"/>
      <c r="I185" s="162"/>
      <c r="J185" s="162"/>
      <c r="K185" s="162"/>
      <c r="L185" s="162"/>
      <c r="T185" s="162"/>
      <c r="U185" s="162"/>
      <c r="V185" s="162"/>
      <c r="W185" s="162"/>
      <c r="X185" s="162"/>
      <c r="Y185" s="162"/>
      <c r="Z185" s="162"/>
      <c r="AA185" s="162"/>
      <c r="AB185" s="162"/>
      <c r="AC185" s="162"/>
      <c r="AD185" s="162"/>
      <c r="AE185" s="162"/>
      <c r="AG185" s="162"/>
      <c r="AH185" s="162"/>
      <c r="AI185" s="162"/>
      <c r="AJ185" s="162"/>
      <c r="AK185" s="162"/>
      <c r="AL185" s="162"/>
      <c r="AM185" s="162"/>
      <c r="AN185" s="162"/>
      <c r="AO185" s="162"/>
      <c r="AP185" s="162"/>
      <c r="AQ185" s="162"/>
      <c r="AR185" s="162"/>
      <c r="AS185" s="162"/>
      <c r="AT185" s="162"/>
      <c r="AU185" s="162"/>
      <c r="AV185" s="162"/>
      <c r="AW185" s="162"/>
      <c r="AX185" s="162"/>
      <c r="AY185" s="162"/>
      <c r="AZ185" s="162"/>
      <c r="BA185" s="162"/>
      <c r="BB185" s="171"/>
      <c r="BC185" s="162"/>
      <c r="BD185" s="171"/>
      <c r="BO185" s="162"/>
      <c r="BP185" s="162"/>
      <c r="BQ185" s="162"/>
      <c r="BR185" s="162"/>
      <c r="BS185" s="162"/>
      <c r="BT185" s="162"/>
      <c r="BU185" s="162"/>
      <c r="BV185" s="162"/>
      <c r="BW185" s="162"/>
      <c r="BX185" s="162"/>
      <c r="BY185" s="162"/>
      <c r="BZ185" s="162"/>
      <c r="CA185" s="162"/>
      <c r="CB185" s="162"/>
      <c r="CC185" s="162"/>
      <c r="CD185" s="162"/>
      <c r="CE185" s="162"/>
      <c r="CF185" s="162"/>
      <c r="CG185" s="162"/>
      <c r="CH185" s="162"/>
      <c r="CI185" s="162"/>
      <c r="CJ185" s="162"/>
    </row>
    <row r="186" spans="1:88" ht="15.75" customHeight="1">
      <c r="A186" s="162"/>
      <c r="B186" s="163"/>
      <c r="C186" s="164"/>
      <c r="D186" s="162"/>
      <c r="E186" s="162"/>
      <c r="F186" s="162"/>
      <c r="G186" s="162"/>
      <c r="H186" s="162"/>
      <c r="I186" s="162"/>
      <c r="J186" s="162"/>
      <c r="K186" s="162"/>
      <c r="L186" s="162"/>
      <c r="T186" s="162"/>
      <c r="U186" s="162"/>
      <c r="V186" s="162"/>
      <c r="W186" s="162"/>
      <c r="X186" s="162"/>
      <c r="Y186" s="162"/>
      <c r="Z186" s="162"/>
      <c r="AA186" s="162"/>
      <c r="AB186" s="162"/>
      <c r="AC186" s="162"/>
      <c r="AD186" s="162"/>
      <c r="AE186" s="162"/>
      <c r="AG186" s="162"/>
      <c r="AH186" s="162"/>
      <c r="AI186" s="162"/>
      <c r="AJ186" s="162"/>
      <c r="AK186" s="162"/>
      <c r="AL186" s="162"/>
      <c r="AM186" s="162"/>
      <c r="AN186" s="162"/>
      <c r="AO186" s="162"/>
      <c r="AP186" s="162"/>
      <c r="AQ186" s="162"/>
      <c r="AR186" s="162"/>
      <c r="AS186" s="162"/>
      <c r="AT186" s="162"/>
      <c r="AU186" s="162"/>
      <c r="AV186" s="162"/>
      <c r="AW186" s="162"/>
      <c r="AX186" s="162"/>
      <c r="AY186" s="162"/>
      <c r="AZ186" s="162"/>
      <c r="BA186" s="162"/>
      <c r="BB186" s="171"/>
      <c r="BC186" s="162"/>
      <c r="BD186" s="171"/>
      <c r="BO186" s="162"/>
      <c r="BP186" s="162"/>
      <c r="BQ186" s="162"/>
      <c r="BR186" s="162"/>
      <c r="BS186" s="162"/>
      <c r="BT186" s="162"/>
      <c r="BU186" s="162"/>
      <c r="BV186" s="162"/>
      <c r="BW186" s="162"/>
      <c r="BX186" s="162"/>
      <c r="BY186" s="162"/>
      <c r="BZ186" s="162"/>
      <c r="CA186" s="162"/>
      <c r="CB186" s="162"/>
      <c r="CC186" s="162"/>
      <c r="CD186" s="162"/>
      <c r="CE186" s="162"/>
      <c r="CF186" s="162"/>
      <c r="CG186" s="162"/>
      <c r="CH186" s="162"/>
      <c r="CI186" s="162"/>
      <c r="CJ186" s="162"/>
    </row>
    <row r="187" spans="1:88" ht="15.75" customHeight="1">
      <c r="A187" s="162"/>
      <c r="B187" s="163"/>
      <c r="C187" s="164"/>
      <c r="D187" s="162"/>
      <c r="E187" s="162"/>
      <c r="F187" s="162"/>
      <c r="G187" s="162"/>
      <c r="H187" s="162"/>
      <c r="I187" s="162"/>
      <c r="J187" s="162"/>
      <c r="K187" s="162"/>
      <c r="L187" s="162"/>
      <c r="T187" s="162"/>
      <c r="U187" s="162"/>
      <c r="V187" s="162"/>
      <c r="W187" s="162"/>
      <c r="X187" s="162"/>
      <c r="Y187" s="162"/>
      <c r="Z187" s="162"/>
      <c r="AA187" s="162"/>
      <c r="AB187" s="162"/>
      <c r="AC187" s="162"/>
      <c r="AD187" s="162"/>
      <c r="AE187" s="162"/>
      <c r="AG187" s="162"/>
      <c r="AH187" s="162"/>
      <c r="AI187" s="162"/>
      <c r="AJ187" s="162"/>
      <c r="AK187" s="162"/>
      <c r="AL187" s="162"/>
      <c r="AM187" s="162"/>
      <c r="AN187" s="162"/>
      <c r="AO187" s="162"/>
      <c r="AP187" s="162"/>
      <c r="AQ187" s="162"/>
      <c r="AR187" s="162"/>
      <c r="AS187" s="162"/>
      <c r="AT187" s="162"/>
      <c r="AU187" s="162"/>
      <c r="AV187" s="162"/>
      <c r="AW187" s="162"/>
      <c r="AX187" s="162"/>
      <c r="AY187" s="162"/>
      <c r="AZ187" s="162"/>
      <c r="BA187" s="162"/>
      <c r="BB187" s="171"/>
      <c r="BC187" s="162"/>
      <c r="BD187" s="171"/>
      <c r="BO187" s="162"/>
      <c r="BP187" s="162"/>
      <c r="BQ187" s="162"/>
      <c r="BR187" s="162"/>
      <c r="BS187" s="162"/>
      <c r="BT187" s="162"/>
      <c r="BU187" s="162"/>
      <c r="BV187" s="162"/>
      <c r="BW187" s="162"/>
      <c r="BX187" s="162"/>
      <c r="BY187" s="162"/>
      <c r="BZ187" s="162"/>
      <c r="CA187" s="162"/>
      <c r="CB187" s="162"/>
      <c r="CC187" s="162"/>
      <c r="CD187" s="162"/>
      <c r="CE187" s="162"/>
      <c r="CF187" s="162"/>
      <c r="CG187" s="162"/>
      <c r="CH187" s="162"/>
      <c r="CI187" s="162"/>
      <c r="CJ187" s="162"/>
    </row>
    <row r="188" spans="1:88" ht="15.75" customHeight="1">
      <c r="A188" s="162"/>
      <c r="B188" s="163"/>
      <c r="C188" s="164"/>
      <c r="D188" s="162"/>
      <c r="E188" s="162"/>
      <c r="F188" s="162"/>
      <c r="G188" s="162"/>
      <c r="H188" s="162"/>
      <c r="I188" s="162"/>
      <c r="J188" s="162"/>
      <c r="K188" s="162"/>
      <c r="L188" s="162"/>
      <c r="T188" s="162"/>
      <c r="U188" s="162"/>
      <c r="V188" s="162"/>
      <c r="W188" s="162"/>
      <c r="X188" s="162"/>
      <c r="Y188" s="162"/>
      <c r="Z188" s="162"/>
      <c r="AA188" s="162"/>
      <c r="AB188" s="162"/>
      <c r="AC188" s="162"/>
      <c r="AD188" s="162"/>
      <c r="AE188" s="162"/>
      <c r="AG188" s="162"/>
      <c r="AH188" s="162"/>
      <c r="AI188" s="162"/>
      <c r="AJ188" s="162"/>
      <c r="AK188" s="162"/>
      <c r="AL188" s="162"/>
      <c r="AM188" s="162"/>
      <c r="AN188" s="162"/>
      <c r="AO188" s="162"/>
      <c r="AP188" s="162"/>
      <c r="AQ188" s="162"/>
      <c r="AR188" s="162"/>
      <c r="AS188" s="162"/>
      <c r="AT188" s="162"/>
      <c r="AU188" s="162"/>
      <c r="AV188" s="162"/>
      <c r="AW188" s="162"/>
      <c r="AX188" s="162"/>
      <c r="AY188" s="162"/>
      <c r="AZ188" s="162"/>
      <c r="BA188" s="162"/>
      <c r="BB188" s="171"/>
      <c r="BC188" s="162"/>
      <c r="BD188" s="171"/>
      <c r="BO188" s="162"/>
      <c r="BP188" s="162"/>
      <c r="BQ188" s="162"/>
      <c r="BR188" s="162"/>
      <c r="BS188" s="162"/>
      <c r="BT188" s="162"/>
      <c r="BU188" s="162"/>
      <c r="BV188" s="162"/>
      <c r="BW188" s="162"/>
      <c r="BX188" s="162"/>
      <c r="BY188" s="162"/>
      <c r="BZ188" s="162"/>
      <c r="CA188" s="162"/>
      <c r="CB188" s="162"/>
      <c r="CC188" s="162"/>
      <c r="CD188" s="162"/>
      <c r="CE188" s="162"/>
      <c r="CF188" s="162"/>
      <c r="CG188" s="162"/>
      <c r="CH188" s="162"/>
      <c r="CI188" s="162"/>
      <c r="CJ188" s="162"/>
    </row>
    <row r="189" spans="1:88" ht="15.75" customHeight="1">
      <c r="A189" s="162"/>
      <c r="B189" s="163"/>
      <c r="C189" s="164"/>
      <c r="D189" s="162"/>
      <c r="E189" s="162"/>
      <c r="F189" s="162"/>
      <c r="G189" s="162"/>
      <c r="H189" s="162"/>
      <c r="I189" s="162"/>
      <c r="J189" s="162"/>
      <c r="K189" s="162"/>
      <c r="L189" s="162"/>
      <c r="T189" s="162"/>
      <c r="U189" s="162"/>
      <c r="V189" s="162"/>
      <c r="W189" s="162"/>
      <c r="X189" s="162"/>
      <c r="Y189" s="162"/>
      <c r="Z189" s="162"/>
      <c r="AA189" s="162"/>
      <c r="AB189" s="162"/>
      <c r="AC189" s="162"/>
      <c r="AD189" s="162"/>
      <c r="AE189" s="162"/>
      <c r="AG189" s="162"/>
      <c r="AH189" s="162"/>
      <c r="AI189" s="162"/>
      <c r="AJ189" s="162"/>
      <c r="AK189" s="162"/>
      <c r="AL189" s="162"/>
      <c r="AM189" s="162"/>
      <c r="AN189" s="162"/>
      <c r="AO189" s="162"/>
      <c r="AP189" s="162"/>
      <c r="AQ189" s="162"/>
      <c r="AR189" s="162"/>
      <c r="AS189" s="162"/>
      <c r="AT189" s="162"/>
      <c r="AU189" s="162"/>
      <c r="AV189" s="162"/>
      <c r="AW189" s="162"/>
      <c r="AX189" s="162"/>
      <c r="AY189" s="162"/>
      <c r="AZ189" s="162"/>
      <c r="BA189" s="162"/>
      <c r="BB189" s="171"/>
      <c r="BC189" s="162"/>
      <c r="BD189" s="171"/>
      <c r="BO189" s="162"/>
      <c r="BP189" s="162"/>
      <c r="BQ189" s="162"/>
      <c r="BR189" s="162"/>
      <c r="BS189" s="162"/>
      <c r="BT189" s="162"/>
      <c r="BU189" s="162"/>
      <c r="BV189" s="162"/>
      <c r="BW189" s="162"/>
      <c r="BX189" s="162"/>
      <c r="BY189" s="162"/>
      <c r="BZ189" s="162"/>
      <c r="CA189" s="162"/>
      <c r="CB189" s="162"/>
      <c r="CC189" s="162"/>
      <c r="CD189" s="162"/>
      <c r="CE189" s="162"/>
      <c r="CF189" s="162"/>
      <c r="CG189" s="162"/>
      <c r="CH189" s="162"/>
      <c r="CI189" s="162"/>
      <c r="CJ189" s="162"/>
    </row>
    <row r="190" spans="1:88" ht="15.75" customHeight="1">
      <c r="A190" s="162"/>
      <c r="B190" s="163"/>
      <c r="C190" s="164"/>
      <c r="D190" s="162"/>
      <c r="E190" s="162"/>
      <c r="F190" s="162"/>
      <c r="G190" s="162"/>
      <c r="H190" s="162"/>
      <c r="I190" s="162"/>
      <c r="J190" s="162"/>
      <c r="K190" s="162"/>
      <c r="L190" s="162"/>
      <c r="T190" s="162"/>
      <c r="U190" s="162"/>
      <c r="V190" s="162"/>
      <c r="W190" s="162"/>
      <c r="X190" s="162"/>
      <c r="Y190" s="162"/>
      <c r="Z190" s="162"/>
      <c r="AA190" s="162"/>
      <c r="AB190" s="162"/>
      <c r="AC190" s="162"/>
      <c r="AD190" s="162"/>
      <c r="AE190" s="162"/>
      <c r="AG190" s="162"/>
      <c r="AH190" s="162"/>
      <c r="AI190" s="162"/>
      <c r="AJ190" s="162"/>
      <c r="AK190" s="162"/>
      <c r="AL190" s="162"/>
      <c r="AM190" s="162"/>
      <c r="AN190" s="162"/>
      <c r="AO190" s="162"/>
      <c r="AP190" s="162"/>
      <c r="AQ190" s="162"/>
      <c r="AR190" s="162"/>
      <c r="AS190" s="162"/>
      <c r="AT190" s="162"/>
      <c r="AU190" s="162"/>
      <c r="AV190" s="162"/>
      <c r="AW190" s="162"/>
      <c r="AX190" s="162"/>
      <c r="AY190" s="162"/>
      <c r="AZ190" s="162"/>
      <c r="BA190" s="162"/>
      <c r="BB190" s="171"/>
      <c r="BC190" s="162"/>
      <c r="BD190" s="171"/>
      <c r="BO190" s="162"/>
      <c r="BP190" s="162"/>
      <c r="BQ190" s="162"/>
      <c r="BR190" s="162"/>
      <c r="BS190" s="162"/>
      <c r="BT190" s="162"/>
      <c r="BU190" s="162"/>
      <c r="BV190" s="162"/>
      <c r="BW190" s="162"/>
      <c r="BX190" s="162"/>
      <c r="BY190" s="162"/>
      <c r="BZ190" s="162"/>
      <c r="CA190" s="162"/>
      <c r="CB190" s="162"/>
      <c r="CC190" s="162"/>
      <c r="CD190" s="162"/>
      <c r="CE190" s="162"/>
      <c r="CF190" s="162"/>
      <c r="CG190" s="162"/>
      <c r="CH190" s="162"/>
      <c r="CI190" s="162"/>
      <c r="CJ190" s="162"/>
    </row>
    <row r="191" spans="1:88" ht="15.75" customHeight="1">
      <c r="A191" s="162"/>
      <c r="B191" s="163"/>
      <c r="C191" s="164"/>
      <c r="D191" s="162"/>
      <c r="E191" s="162"/>
      <c r="F191" s="162"/>
      <c r="G191" s="162"/>
      <c r="H191" s="162"/>
      <c r="I191" s="162"/>
      <c r="J191" s="162"/>
      <c r="K191" s="162"/>
      <c r="L191" s="162"/>
      <c r="T191" s="162"/>
      <c r="U191" s="162"/>
      <c r="V191" s="162"/>
      <c r="W191" s="162"/>
      <c r="X191" s="162"/>
      <c r="Y191" s="162"/>
      <c r="Z191" s="162"/>
      <c r="AA191" s="162"/>
      <c r="AB191" s="162"/>
      <c r="AC191" s="162"/>
      <c r="AD191" s="162"/>
      <c r="AE191" s="162"/>
      <c r="AG191" s="162"/>
      <c r="AH191" s="162"/>
      <c r="AI191" s="162"/>
      <c r="AJ191" s="162"/>
      <c r="AK191" s="162"/>
      <c r="AL191" s="162"/>
      <c r="AM191" s="162"/>
      <c r="AN191" s="162"/>
      <c r="AO191" s="162"/>
      <c r="AP191" s="162"/>
      <c r="AQ191" s="162"/>
      <c r="AR191" s="162"/>
      <c r="AS191" s="162"/>
      <c r="AT191" s="162"/>
      <c r="AU191" s="162"/>
      <c r="AV191" s="162"/>
      <c r="AW191" s="162"/>
      <c r="AX191" s="162"/>
      <c r="AY191" s="162"/>
      <c r="AZ191" s="162"/>
      <c r="BA191" s="162"/>
      <c r="BB191" s="171"/>
      <c r="BC191" s="162"/>
      <c r="BD191" s="171"/>
      <c r="BO191" s="162"/>
      <c r="BP191" s="162"/>
      <c r="BQ191" s="162"/>
      <c r="BR191" s="162"/>
      <c r="BS191" s="162"/>
      <c r="BT191" s="162"/>
      <c r="BU191" s="162"/>
      <c r="BV191" s="162"/>
      <c r="BW191" s="162"/>
      <c r="BX191" s="162"/>
      <c r="BY191" s="162"/>
      <c r="BZ191" s="162"/>
      <c r="CA191" s="162"/>
      <c r="CB191" s="162"/>
      <c r="CC191" s="162"/>
      <c r="CD191" s="162"/>
      <c r="CE191" s="162"/>
      <c r="CF191" s="162"/>
      <c r="CG191" s="162"/>
      <c r="CH191" s="162"/>
      <c r="CI191" s="162"/>
      <c r="CJ191" s="162"/>
    </row>
    <row r="192" spans="1:88" ht="15.75" customHeight="1">
      <c r="A192" s="162"/>
      <c r="B192" s="163"/>
      <c r="C192" s="164"/>
      <c r="D192" s="162"/>
      <c r="E192" s="162"/>
      <c r="F192" s="162"/>
      <c r="G192" s="162"/>
      <c r="H192" s="162"/>
      <c r="I192" s="162"/>
      <c r="J192" s="162"/>
      <c r="K192" s="162"/>
      <c r="L192" s="162"/>
      <c r="T192" s="162"/>
      <c r="U192" s="162"/>
      <c r="V192" s="162"/>
      <c r="W192" s="162"/>
      <c r="X192" s="162"/>
      <c r="Y192" s="162"/>
      <c r="Z192" s="162"/>
      <c r="AA192" s="162"/>
      <c r="AB192" s="162"/>
      <c r="AC192" s="162"/>
      <c r="AD192" s="162"/>
      <c r="AE192" s="162"/>
      <c r="AG192" s="162"/>
      <c r="AH192" s="162"/>
      <c r="AI192" s="162"/>
      <c r="AJ192" s="162"/>
      <c r="AK192" s="162"/>
      <c r="AL192" s="162"/>
      <c r="AM192" s="162"/>
      <c r="AN192" s="162"/>
      <c r="AO192" s="162"/>
      <c r="AP192" s="162"/>
      <c r="AQ192" s="162"/>
      <c r="AR192" s="162"/>
      <c r="AS192" s="162"/>
      <c r="AT192" s="162"/>
      <c r="AU192" s="162"/>
      <c r="AV192" s="162"/>
      <c r="AW192" s="162"/>
      <c r="AX192" s="162"/>
      <c r="AY192" s="162"/>
      <c r="AZ192" s="162"/>
      <c r="BA192" s="162"/>
      <c r="BB192" s="171"/>
      <c r="BC192" s="162"/>
      <c r="BD192" s="171"/>
      <c r="BO192" s="162"/>
      <c r="BP192" s="162"/>
      <c r="BQ192" s="162"/>
      <c r="BR192" s="162"/>
      <c r="BS192" s="162"/>
      <c r="BT192" s="162"/>
      <c r="BU192" s="162"/>
      <c r="BV192" s="162"/>
      <c r="BW192" s="162"/>
      <c r="BX192" s="162"/>
      <c r="BY192" s="162"/>
      <c r="BZ192" s="162"/>
      <c r="CA192" s="162"/>
      <c r="CB192" s="162"/>
      <c r="CC192" s="162"/>
      <c r="CD192" s="162"/>
      <c r="CE192" s="162"/>
      <c r="CF192" s="162"/>
      <c r="CG192" s="162"/>
      <c r="CH192" s="162"/>
      <c r="CI192" s="162"/>
      <c r="CJ192" s="162"/>
    </row>
    <row r="193" spans="1:88" ht="15.75" customHeight="1">
      <c r="A193" s="162"/>
      <c r="B193" s="163"/>
      <c r="C193" s="164"/>
      <c r="D193" s="162"/>
      <c r="E193" s="162"/>
      <c r="F193" s="162"/>
      <c r="G193" s="162"/>
      <c r="H193" s="162"/>
      <c r="I193" s="162"/>
      <c r="J193" s="162"/>
      <c r="K193" s="162"/>
      <c r="L193" s="162"/>
      <c r="T193" s="162"/>
      <c r="U193" s="162"/>
      <c r="V193" s="162"/>
      <c r="W193" s="162"/>
      <c r="X193" s="162"/>
      <c r="Y193" s="162"/>
      <c r="Z193" s="162"/>
      <c r="AA193" s="162"/>
      <c r="AB193" s="162"/>
      <c r="AC193" s="162"/>
      <c r="AD193" s="162"/>
      <c r="AE193" s="162"/>
      <c r="AG193" s="162"/>
      <c r="AH193" s="162"/>
      <c r="AI193" s="162"/>
      <c r="AJ193" s="162"/>
      <c r="AK193" s="162"/>
      <c r="AL193" s="162"/>
      <c r="AM193" s="162"/>
      <c r="AN193" s="162"/>
      <c r="AO193" s="162"/>
      <c r="AP193" s="162"/>
      <c r="AQ193" s="162"/>
      <c r="AR193" s="162"/>
      <c r="AS193" s="162"/>
      <c r="AT193" s="162"/>
      <c r="AU193" s="162"/>
      <c r="AV193" s="162"/>
      <c r="AW193" s="162"/>
      <c r="AX193" s="162"/>
      <c r="AY193" s="162"/>
      <c r="AZ193" s="162"/>
      <c r="BA193" s="162"/>
      <c r="BB193" s="171"/>
      <c r="BC193" s="162"/>
      <c r="BD193" s="171"/>
      <c r="BO193" s="162"/>
      <c r="BP193" s="162"/>
      <c r="BQ193" s="162"/>
      <c r="BR193" s="162"/>
      <c r="BS193" s="162"/>
      <c r="BT193" s="162"/>
      <c r="BU193" s="162"/>
      <c r="BV193" s="162"/>
      <c r="BW193" s="162"/>
      <c r="BX193" s="162"/>
      <c r="BY193" s="162"/>
      <c r="BZ193" s="162"/>
      <c r="CA193" s="162"/>
      <c r="CB193" s="162"/>
      <c r="CC193" s="162"/>
      <c r="CD193" s="162"/>
      <c r="CE193" s="162"/>
      <c r="CF193" s="162"/>
      <c r="CG193" s="162"/>
      <c r="CH193" s="162"/>
      <c r="CI193" s="162"/>
      <c r="CJ193" s="162"/>
    </row>
    <row r="194" spans="1:88" ht="15.75" customHeight="1">
      <c r="A194" s="162"/>
      <c r="B194" s="163"/>
      <c r="C194" s="164"/>
      <c r="D194" s="162"/>
      <c r="E194" s="162"/>
      <c r="F194" s="162"/>
      <c r="G194" s="162"/>
      <c r="H194" s="162"/>
      <c r="I194" s="162"/>
      <c r="J194" s="162"/>
      <c r="K194" s="162"/>
      <c r="L194" s="162"/>
      <c r="T194" s="162"/>
      <c r="U194" s="162"/>
      <c r="V194" s="162"/>
      <c r="W194" s="162"/>
      <c r="X194" s="162"/>
      <c r="Y194" s="162"/>
      <c r="Z194" s="162"/>
      <c r="AA194" s="162"/>
      <c r="AB194" s="162"/>
      <c r="AC194" s="162"/>
      <c r="AD194" s="162"/>
      <c r="AE194" s="162"/>
      <c r="AG194" s="162"/>
      <c r="AH194" s="162"/>
      <c r="AI194" s="162"/>
      <c r="AJ194" s="162"/>
      <c r="AK194" s="162"/>
      <c r="AL194" s="162"/>
      <c r="AM194" s="162"/>
      <c r="AN194" s="162"/>
      <c r="AO194" s="162"/>
      <c r="AP194" s="162"/>
      <c r="AQ194" s="162"/>
      <c r="AR194" s="162"/>
      <c r="AS194" s="162"/>
      <c r="AT194" s="162"/>
      <c r="AU194" s="162"/>
      <c r="AV194" s="162"/>
      <c r="AW194" s="162"/>
      <c r="AX194" s="162"/>
      <c r="AY194" s="162"/>
      <c r="AZ194" s="162"/>
      <c r="BA194" s="162"/>
      <c r="BB194" s="171"/>
      <c r="BC194" s="162"/>
      <c r="BD194" s="171"/>
      <c r="BO194" s="162"/>
      <c r="BP194" s="162"/>
      <c r="BQ194" s="162"/>
      <c r="BR194" s="162"/>
      <c r="BS194" s="162"/>
      <c r="BT194" s="162"/>
      <c r="BU194" s="162"/>
      <c r="BV194" s="162"/>
      <c r="BW194" s="162"/>
      <c r="BX194" s="162"/>
      <c r="BY194" s="162"/>
      <c r="BZ194" s="162"/>
      <c r="CA194" s="162"/>
      <c r="CB194" s="162"/>
      <c r="CC194" s="162"/>
      <c r="CD194" s="162"/>
      <c r="CE194" s="162"/>
      <c r="CF194" s="162"/>
      <c r="CG194" s="162"/>
      <c r="CH194" s="162"/>
      <c r="CI194" s="162"/>
      <c r="CJ194" s="162"/>
    </row>
    <row r="195" spans="1:88" ht="15.75" customHeight="1">
      <c r="A195" s="162"/>
      <c r="B195" s="163"/>
      <c r="C195" s="164"/>
      <c r="D195" s="162"/>
      <c r="E195" s="162"/>
      <c r="F195" s="162"/>
      <c r="G195" s="162"/>
      <c r="H195" s="162"/>
      <c r="I195" s="162"/>
      <c r="J195" s="162"/>
      <c r="K195" s="162"/>
      <c r="L195" s="162"/>
      <c r="T195" s="162"/>
      <c r="U195" s="162"/>
      <c r="V195" s="162"/>
      <c r="W195" s="162"/>
      <c r="X195" s="162"/>
      <c r="Y195" s="162"/>
      <c r="Z195" s="162"/>
      <c r="AA195" s="162"/>
      <c r="AB195" s="162"/>
      <c r="AC195" s="162"/>
      <c r="AD195" s="162"/>
      <c r="AE195" s="162"/>
      <c r="AG195" s="162"/>
      <c r="AH195" s="162"/>
      <c r="AI195" s="162"/>
      <c r="AJ195" s="162"/>
      <c r="AK195" s="162"/>
      <c r="AL195" s="162"/>
      <c r="AM195" s="162"/>
      <c r="AN195" s="162"/>
      <c r="AO195" s="162"/>
      <c r="AP195" s="162"/>
      <c r="AQ195" s="162"/>
      <c r="AR195" s="162"/>
      <c r="AS195" s="162"/>
      <c r="AT195" s="162"/>
      <c r="AU195" s="162"/>
      <c r="AV195" s="162"/>
      <c r="AW195" s="162"/>
      <c r="AX195" s="162"/>
      <c r="AY195" s="162"/>
      <c r="AZ195" s="162"/>
      <c r="BA195" s="162"/>
      <c r="BB195" s="171"/>
      <c r="BC195" s="162"/>
      <c r="BD195" s="171"/>
      <c r="BO195" s="162"/>
      <c r="BP195" s="162"/>
      <c r="BQ195" s="162"/>
      <c r="BR195" s="162"/>
      <c r="BS195" s="162"/>
      <c r="BT195" s="162"/>
      <c r="BU195" s="162"/>
      <c r="BV195" s="162"/>
      <c r="BW195" s="162"/>
      <c r="BX195" s="162"/>
      <c r="BY195" s="162"/>
      <c r="BZ195" s="162"/>
      <c r="CA195" s="162"/>
      <c r="CB195" s="162"/>
      <c r="CC195" s="162"/>
      <c r="CD195" s="162"/>
      <c r="CE195" s="162"/>
      <c r="CF195" s="162"/>
      <c r="CG195" s="162"/>
      <c r="CH195" s="162"/>
      <c r="CI195" s="162"/>
      <c r="CJ195" s="162"/>
    </row>
    <row r="196" spans="1:88" ht="15.75" customHeight="1">
      <c r="A196" s="162"/>
      <c r="B196" s="163"/>
      <c r="C196" s="164"/>
      <c r="D196" s="162"/>
      <c r="E196" s="162"/>
      <c r="F196" s="162"/>
      <c r="G196" s="162"/>
      <c r="H196" s="162"/>
      <c r="I196" s="162"/>
      <c r="J196" s="162"/>
      <c r="K196" s="162"/>
      <c r="L196" s="162"/>
      <c r="T196" s="162"/>
      <c r="U196" s="162"/>
      <c r="V196" s="162"/>
      <c r="W196" s="162"/>
      <c r="X196" s="162"/>
      <c r="Y196" s="162"/>
      <c r="Z196" s="162"/>
      <c r="AA196" s="162"/>
      <c r="AB196" s="162"/>
      <c r="AC196" s="162"/>
      <c r="AD196" s="162"/>
      <c r="AE196" s="162"/>
      <c r="AG196" s="162"/>
      <c r="AH196" s="162"/>
      <c r="AI196" s="162"/>
      <c r="AJ196" s="162"/>
      <c r="AK196" s="162"/>
      <c r="AL196" s="162"/>
      <c r="AM196" s="162"/>
      <c r="AN196" s="162"/>
      <c r="AO196" s="162"/>
      <c r="AP196" s="162"/>
      <c r="AQ196" s="162"/>
      <c r="AR196" s="162"/>
      <c r="AS196" s="162"/>
      <c r="AT196" s="162"/>
      <c r="AU196" s="162"/>
      <c r="AV196" s="162"/>
      <c r="AW196" s="162"/>
      <c r="AX196" s="162"/>
      <c r="AY196" s="162"/>
      <c r="AZ196" s="162"/>
      <c r="BA196" s="162"/>
      <c r="BB196" s="171"/>
      <c r="BC196" s="162"/>
      <c r="BD196" s="171"/>
      <c r="BO196" s="162"/>
      <c r="BP196" s="162"/>
      <c r="BQ196" s="162"/>
      <c r="BR196" s="162"/>
      <c r="BS196" s="162"/>
      <c r="BT196" s="162"/>
      <c r="BU196" s="162"/>
      <c r="BV196" s="162"/>
      <c r="BW196" s="162"/>
      <c r="BX196" s="162"/>
      <c r="BY196" s="162"/>
      <c r="BZ196" s="162"/>
      <c r="CA196" s="162"/>
      <c r="CB196" s="162"/>
      <c r="CC196" s="162"/>
      <c r="CD196" s="162"/>
      <c r="CE196" s="162"/>
      <c r="CF196" s="162"/>
      <c r="CG196" s="162"/>
      <c r="CH196" s="162"/>
      <c r="CI196" s="162"/>
      <c r="CJ196" s="162"/>
    </row>
    <row r="197" spans="1:88" ht="15.75" customHeight="1">
      <c r="A197" s="162"/>
      <c r="B197" s="163"/>
      <c r="C197" s="164"/>
      <c r="D197" s="162"/>
      <c r="E197" s="162"/>
      <c r="F197" s="162"/>
      <c r="G197" s="162"/>
      <c r="H197" s="162"/>
      <c r="I197" s="162"/>
      <c r="J197" s="162"/>
      <c r="K197" s="162"/>
      <c r="L197" s="162"/>
      <c r="T197" s="162"/>
      <c r="U197" s="162"/>
      <c r="V197" s="162"/>
      <c r="W197" s="162"/>
      <c r="X197" s="162"/>
      <c r="Y197" s="162"/>
      <c r="Z197" s="162"/>
      <c r="AA197" s="162"/>
      <c r="AB197" s="162"/>
      <c r="AC197" s="162"/>
      <c r="AD197" s="162"/>
      <c r="AE197" s="162"/>
      <c r="AG197" s="162"/>
      <c r="AH197" s="162"/>
      <c r="AI197" s="162"/>
      <c r="AJ197" s="162"/>
      <c r="AK197" s="162"/>
      <c r="AL197" s="162"/>
      <c r="AM197" s="162"/>
      <c r="AN197" s="162"/>
      <c r="AO197" s="162"/>
      <c r="AP197" s="162"/>
      <c r="AQ197" s="162"/>
      <c r="AR197" s="162"/>
      <c r="AS197" s="162"/>
      <c r="AT197" s="162"/>
      <c r="AU197" s="162"/>
      <c r="AV197" s="162"/>
      <c r="AW197" s="162"/>
      <c r="AX197" s="162"/>
      <c r="AY197" s="162"/>
      <c r="AZ197" s="162"/>
      <c r="BA197" s="162"/>
      <c r="BB197" s="171"/>
      <c r="BC197" s="162"/>
      <c r="BD197" s="171"/>
      <c r="BO197" s="162"/>
      <c r="BP197" s="162"/>
      <c r="BQ197" s="162"/>
      <c r="BR197" s="162"/>
      <c r="BS197" s="162"/>
      <c r="BT197" s="162"/>
      <c r="BU197" s="162"/>
      <c r="BV197" s="162"/>
      <c r="BW197" s="162"/>
      <c r="BX197" s="162"/>
      <c r="BY197" s="162"/>
      <c r="BZ197" s="162"/>
      <c r="CA197" s="162"/>
      <c r="CB197" s="162"/>
      <c r="CC197" s="162"/>
      <c r="CD197" s="162"/>
      <c r="CE197" s="162"/>
      <c r="CF197" s="162"/>
      <c r="CG197" s="162"/>
      <c r="CH197" s="162"/>
      <c r="CI197" s="162"/>
      <c r="CJ197" s="162"/>
    </row>
    <row r="198" spans="1:88" ht="15.75" customHeight="1">
      <c r="A198" s="162"/>
      <c r="B198" s="163"/>
      <c r="C198" s="164"/>
      <c r="D198" s="162"/>
      <c r="E198" s="162"/>
      <c r="F198" s="162"/>
      <c r="G198" s="162"/>
      <c r="H198" s="162"/>
      <c r="I198" s="162"/>
      <c r="J198" s="162"/>
      <c r="K198" s="162"/>
      <c r="L198" s="162"/>
      <c r="T198" s="162"/>
      <c r="U198" s="162"/>
      <c r="V198" s="162"/>
      <c r="W198" s="162"/>
      <c r="X198" s="162"/>
      <c r="Y198" s="162"/>
      <c r="Z198" s="162"/>
      <c r="AA198" s="162"/>
      <c r="AB198" s="162"/>
      <c r="AC198" s="162"/>
      <c r="AD198" s="162"/>
      <c r="AE198" s="162"/>
      <c r="AG198" s="162"/>
      <c r="AH198" s="162"/>
      <c r="AI198" s="162"/>
      <c r="AJ198" s="162"/>
      <c r="AK198" s="162"/>
      <c r="AL198" s="162"/>
      <c r="AM198" s="162"/>
      <c r="AN198" s="162"/>
      <c r="AO198" s="162"/>
      <c r="AP198" s="162"/>
      <c r="AQ198" s="162"/>
      <c r="AR198" s="162"/>
      <c r="AS198" s="162"/>
      <c r="AT198" s="162"/>
      <c r="AU198" s="162"/>
      <c r="AV198" s="162"/>
      <c r="AW198" s="162"/>
      <c r="AX198" s="162"/>
      <c r="AY198" s="162"/>
      <c r="AZ198" s="162"/>
      <c r="BA198" s="162"/>
      <c r="BB198" s="171"/>
      <c r="BC198" s="162"/>
      <c r="BD198" s="171"/>
      <c r="BO198" s="162"/>
      <c r="BP198" s="162"/>
      <c r="BQ198" s="162"/>
      <c r="BR198" s="162"/>
      <c r="BS198" s="162"/>
      <c r="BT198" s="162"/>
      <c r="BU198" s="162"/>
      <c r="BV198" s="162"/>
      <c r="BW198" s="162"/>
      <c r="BX198" s="162"/>
      <c r="BY198" s="162"/>
      <c r="BZ198" s="162"/>
      <c r="CA198" s="162"/>
      <c r="CB198" s="162"/>
      <c r="CC198" s="162"/>
      <c r="CD198" s="162"/>
      <c r="CE198" s="162"/>
      <c r="CF198" s="162"/>
      <c r="CG198" s="162"/>
      <c r="CH198" s="162"/>
      <c r="CI198" s="162"/>
      <c r="CJ198" s="162"/>
    </row>
    <row r="199" spans="1:88" ht="15.75" customHeight="1">
      <c r="A199" s="162"/>
      <c r="B199" s="163"/>
      <c r="C199" s="164"/>
      <c r="D199" s="162"/>
      <c r="E199" s="162"/>
      <c r="F199" s="162"/>
      <c r="G199" s="162"/>
      <c r="H199" s="162"/>
      <c r="I199" s="162"/>
      <c r="J199" s="162"/>
      <c r="K199" s="162"/>
      <c r="L199" s="162"/>
      <c r="T199" s="162"/>
      <c r="U199" s="162"/>
      <c r="V199" s="162"/>
      <c r="W199" s="162"/>
      <c r="X199" s="162"/>
      <c r="Y199" s="162"/>
      <c r="Z199" s="162"/>
      <c r="AA199" s="162"/>
      <c r="AB199" s="162"/>
      <c r="AC199" s="162"/>
      <c r="AD199" s="162"/>
      <c r="AE199" s="162"/>
      <c r="AG199" s="162"/>
      <c r="AH199" s="162"/>
      <c r="AI199" s="162"/>
      <c r="AJ199" s="162"/>
      <c r="AK199" s="162"/>
      <c r="AL199" s="162"/>
      <c r="AM199" s="162"/>
      <c r="AN199" s="162"/>
      <c r="AO199" s="162"/>
      <c r="AP199" s="162"/>
      <c r="AQ199" s="162"/>
      <c r="AR199" s="162"/>
      <c r="AS199" s="162"/>
      <c r="AT199" s="162"/>
      <c r="AU199" s="162"/>
      <c r="AV199" s="162"/>
      <c r="AW199" s="162"/>
      <c r="AX199" s="162"/>
      <c r="AY199" s="162"/>
      <c r="AZ199" s="162"/>
      <c r="BA199" s="162"/>
      <c r="BB199" s="171"/>
      <c r="BC199" s="162"/>
      <c r="BD199" s="171"/>
      <c r="BO199" s="162"/>
      <c r="BP199" s="162"/>
      <c r="BQ199" s="162"/>
      <c r="BR199" s="162"/>
      <c r="BS199" s="162"/>
      <c r="BT199" s="162"/>
      <c r="BU199" s="162"/>
      <c r="BV199" s="162"/>
      <c r="BW199" s="162"/>
      <c r="BX199" s="162"/>
      <c r="BY199" s="162"/>
      <c r="BZ199" s="162"/>
      <c r="CA199" s="162"/>
      <c r="CB199" s="162"/>
      <c r="CC199" s="162"/>
      <c r="CD199" s="162"/>
      <c r="CE199" s="162"/>
      <c r="CF199" s="162"/>
      <c r="CG199" s="162"/>
      <c r="CH199" s="162"/>
      <c r="CI199" s="162"/>
      <c r="CJ199" s="162"/>
    </row>
    <row r="200" spans="1:88" ht="15.75" customHeight="1">
      <c r="A200" s="162"/>
      <c r="B200" s="163"/>
      <c r="C200" s="164"/>
      <c r="D200" s="162"/>
      <c r="E200" s="162"/>
      <c r="F200" s="162"/>
      <c r="G200" s="162"/>
      <c r="H200" s="162"/>
      <c r="I200" s="162"/>
      <c r="J200" s="162"/>
      <c r="K200" s="162"/>
      <c r="L200" s="162"/>
      <c r="T200" s="162"/>
      <c r="U200" s="162"/>
      <c r="V200" s="162"/>
      <c r="W200" s="162"/>
      <c r="X200" s="162"/>
      <c r="Y200" s="162"/>
      <c r="Z200" s="162"/>
      <c r="AA200" s="162"/>
      <c r="AB200" s="162"/>
      <c r="AC200" s="162"/>
      <c r="AD200" s="162"/>
      <c r="AE200" s="162"/>
      <c r="AG200" s="162"/>
      <c r="AH200" s="162"/>
      <c r="AI200" s="162"/>
      <c r="AJ200" s="162"/>
      <c r="AK200" s="162"/>
      <c r="AL200" s="162"/>
      <c r="AM200" s="162"/>
      <c r="AN200" s="162"/>
      <c r="AO200" s="162"/>
      <c r="AP200" s="162"/>
      <c r="AQ200" s="162"/>
      <c r="AR200" s="162"/>
      <c r="AS200" s="162"/>
      <c r="AT200" s="162"/>
      <c r="AU200" s="162"/>
      <c r="AV200" s="162"/>
      <c r="AW200" s="162"/>
      <c r="AX200" s="162"/>
      <c r="AY200" s="162"/>
      <c r="AZ200" s="162"/>
      <c r="BA200" s="162"/>
      <c r="BB200" s="171"/>
      <c r="BC200" s="162"/>
      <c r="BD200" s="171"/>
      <c r="BO200" s="162"/>
      <c r="BP200" s="162"/>
      <c r="BQ200" s="162"/>
      <c r="BR200" s="162"/>
      <c r="BS200" s="162"/>
      <c r="BT200" s="162"/>
      <c r="BU200" s="162"/>
      <c r="BV200" s="162"/>
      <c r="BW200" s="162"/>
      <c r="BX200" s="162"/>
      <c r="BY200" s="162"/>
      <c r="BZ200" s="162"/>
      <c r="CA200" s="162"/>
      <c r="CB200" s="162"/>
      <c r="CC200" s="162"/>
      <c r="CD200" s="162"/>
      <c r="CE200" s="162"/>
      <c r="CF200" s="162"/>
      <c r="CG200" s="162"/>
      <c r="CH200" s="162"/>
      <c r="CI200" s="162"/>
      <c r="CJ200" s="162"/>
    </row>
    <row r="201" spans="1:88" ht="15.75" customHeight="1">
      <c r="A201" s="162"/>
      <c r="B201" s="163"/>
      <c r="C201" s="164"/>
      <c r="D201" s="162"/>
      <c r="E201" s="162"/>
      <c r="F201" s="162"/>
      <c r="G201" s="162"/>
      <c r="H201" s="162"/>
      <c r="I201" s="162"/>
      <c r="J201" s="162"/>
      <c r="K201" s="162"/>
      <c r="L201" s="162"/>
      <c r="T201" s="162"/>
      <c r="U201" s="162"/>
      <c r="V201" s="162"/>
      <c r="W201" s="162"/>
      <c r="X201" s="162"/>
      <c r="Y201" s="162"/>
      <c r="Z201" s="162"/>
      <c r="AA201" s="162"/>
      <c r="AB201" s="162"/>
      <c r="AC201" s="162"/>
      <c r="AD201" s="162"/>
      <c r="AE201" s="162"/>
      <c r="AG201" s="162"/>
      <c r="AH201" s="162"/>
      <c r="AI201" s="162"/>
      <c r="AJ201" s="162"/>
      <c r="AK201" s="162"/>
      <c r="AL201" s="162"/>
      <c r="AM201" s="162"/>
      <c r="AN201" s="162"/>
      <c r="AO201" s="162"/>
      <c r="AP201" s="162"/>
      <c r="AQ201" s="162"/>
      <c r="AR201" s="162"/>
      <c r="AS201" s="162"/>
      <c r="AT201" s="162"/>
      <c r="AU201" s="162"/>
      <c r="AV201" s="162"/>
      <c r="AW201" s="162"/>
      <c r="AX201" s="162"/>
      <c r="AY201" s="162"/>
      <c r="AZ201" s="162"/>
      <c r="BA201" s="162"/>
      <c r="BB201" s="171"/>
      <c r="BC201" s="162"/>
      <c r="BD201" s="171"/>
      <c r="BO201" s="162"/>
      <c r="BP201" s="162"/>
      <c r="BQ201" s="162"/>
      <c r="BR201" s="162"/>
      <c r="BS201" s="162"/>
      <c r="BT201" s="162"/>
      <c r="BU201" s="162"/>
      <c r="BV201" s="162"/>
      <c r="BW201" s="162"/>
      <c r="BX201" s="162"/>
      <c r="BY201" s="162"/>
      <c r="BZ201" s="162"/>
      <c r="CA201" s="162"/>
      <c r="CB201" s="162"/>
      <c r="CC201" s="162"/>
      <c r="CD201" s="162"/>
      <c r="CE201" s="162"/>
      <c r="CF201" s="162"/>
      <c r="CG201" s="162"/>
      <c r="CH201" s="162"/>
      <c r="CI201" s="162"/>
      <c r="CJ201" s="162"/>
    </row>
    <row r="202" spans="1:88" ht="15.75" customHeight="1">
      <c r="A202" s="162"/>
      <c r="B202" s="163"/>
      <c r="C202" s="164"/>
      <c r="D202" s="162"/>
      <c r="E202" s="162"/>
      <c r="F202" s="162"/>
      <c r="G202" s="162"/>
      <c r="H202" s="162"/>
      <c r="I202" s="162"/>
      <c r="J202" s="162"/>
      <c r="K202" s="162"/>
      <c r="L202" s="162"/>
      <c r="T202" s="162"/>
      <c r="U202" s="162"/>
      <c r="V202" s="162"/>
      <c r="W202" s="162"/>
      <c r="X202" s="162"/>
      <c r="Y202" s="162"/>
      <c r="Z202" s="162"/>
      <c r="AA202" s="162"/>
      <c r="AB202" s="162"/>
      <c r="AC202" s="162"/>
      <c r="AD202" s="162"/>
      <c r="AE202" s="162"/>
      <c r="AG202" s="162"/>
      <c r="AH202" s="162"/>
      <c r="AI202" s="162"/>
      <c r="AJ202" s="162"/>
      <c r="AK202" s="162"/>
      <c r="AL202" s="162"/>
      <c r="AM202" s="162"/>
      <c r="AN202" s="162"/>
      <c r="AO202" s="162"/>
      <c r="AP202" s="162"/>
      <c r="AQ202" s="162"/>
      <c r="AR202" s="162"/>
      <c r="AS202" s="162"/>
      <c r="AT202" s="162"/>
      <c r="AU202" s="162"/>
      <c r="AV202" s="162"/>
      <c r="AW202" s="162"/>
      <c r="AX202" s="162"/>
      <c r="AY202" s="162"/>
      <c r="AZ202" s="162"/>
      <c r="BA202" s="162"/>
      <c r="BB202" s="171"/>
      <c r="BC202" s="162"/>
      <c r="BD202" s="171"/>
      <c r="BO202" s="162"/>
      <c r="BP202" s="162"/>
      <c r="BQ202" s="162"/>
      <c r="BR202" s="162"/>
      <c r="BS202" s="162"/>
      <c r="BT202" s="162"/>
      <c r="BU202" s="162"/>
      <c r="BV202" s="162"/>
      <c r="BW202" s="162"/>
      <c r="BX202" s="162"/>
      <c r="BY202" s="162"/>
      <c r="BZ202" s="162"/>
      <c r="CA202" s="162"/>
      <c r="CB202" s="162"/>
      <c r="CC202" s="162"/>
      <c r="CD202" s="162"/>
      <c r="CE202" s="162"/>
      <c r="CF202" s="162"/>
      <c r="CG202" s="162"/>
      <c r="CH202" s="162"/>
      <c r="CI202" s="162"/>
      <c r="CJ202" s="162"/>
    </row>
    <row r="203" spans="1:88" ht="15.75" customHeight="1">
      <c r="A203" s="162"/>
      <c r="B203" s="163"/>
      <c r="C203" s="164"/>
      <c r="D203" s="162"/>
      <c r="E203" s="162"/>
      <c r="F203" s="162"/>
      <c r="G203" s="162"/>
      <c r="H203" s="162"/>
      <c r="I203" s="162"/>
      <c r="J203" s="162"/>
      <c r="K203" s="162"/>
      <c r="L203" s="162"/>
      <c r="T203" s="162"/>
      <c r="U203" s="162"/>
      <c r="V203" s="162"/>
      <c r="W203" s="162"/>
      <c r="X203" s="162"/>
      <c r="Y203" s="162"/>
      <c r="Z203" s="162"/>
      <c r="AA203" s="162"/>
      <c r="AB203" s="162"/>
      <c r="AC203" s="162"/>
      <c r="AD203" s="162"/>
      <c r="AE203" s="162"/>
      <c r="AG203" s="162"/>
      <c r="AH203" s="162"/>
      <c r="AI203" s="162"/>
      <c r="AJ203" s="162"/>
      <c r="AK203" s="162"/>
      <c r="AL203" s="162"/>
      <c r="AM203" s="162"/>
      <c r="AN203" s="162"/>
      <c r="AO203" s="162"/>
      <c r="AP203" s="162"/>
      <c r="AQ203" s="162"/>
      <c r="AR203" s="162"/>
      <c r="AS203" s="162"/>
      <c r="AT203" s="162"/>
      <c r="AU203" s="162"/>
      <c r="AV203" s="162"/>
      <c r="AW203" s="162"/>
      <c r="AX203" s="162"/>
      <c r="AY203" s="162"/>
      <c r="AZ203" s="162"/>
      <c r="BA203" s="162"/>
      <c r="BB203" s="171"/>
      <c r="BC203" s="162"/>
      <c r="BD203" s="171"/>
      <c r="BO203" s="162"/>
      <c r="BP203" s="162"/>
      <c r="BQ203" s="162"/>
      <c r="BR203" s="162"/>
      <c r="BS203" s="162"/>
      <c r="BT203" s="162"/>
      <c r="BU203" s="162"/>
      <c r="BV203" s="162"/>
      <c r="BW203" s="162"/>
      <c r="BX203" s="162"/>
      <c r="BY203" s="162"/>
      <c r="BZ203" s="162"/>
      <c r="CA203" s="162"/>
      <c r="CB203" s="162"/>
      <c r="CC203" s="162"/>
      <c r="CD203" s="162"/>
      <c r="CE203" s="162"/>
      <c r="CF203" s="162"/>
      <c r="CG203" s="162"/>
      <c r="CH203" s="162"/>
      <c r="CI203" s="162"/>
      <c r="CJ203" s="162"/>
    </row>
    <row r="204" spans="1:88" ht="15.75" customHeight="1">
      <c r="A204" s="162"/>
      <c r="B204" s="163"/>
      <c r="C204" s="164"/>
      <c r="D204" s="162"/>
      <c r="E204" s="162"/>
      <c r="F204" s="162"/>
      <c r="G204" s="162"/>
      <c r="H204" s="162"/>
      <c r="I204" s="162"/>
      <c r="J204" s="162"/>
      <c r="K204" s="162"/>
      <c r="L204" s="162"/>
      <c r="T204" s="162"/>
      <c r="U204" s="162"/>
      <c r="V204" s="162"/>
      <c r="W204" s="162"/>
      <c r="X204" s="162"/>
      <c r="Y204" s="162"/>
      <c r="Z204" s="162"/>
      <c r="AA204" s="162"/>
      <c r="AB204" s="162"/>
      <c r="AC204" s="162"/>
      <c r="AD204" s="162"/>
      <c r="AE204" s="162"/>
      <c r="AG204" s="162"/>
      <c r="AH204" s="162"/>
      <c r="AI204" s="162"/>
      <c r="AJ204" s="162"/>
      <c r="AK204" s="162"/>
      <c r="AL204" s="162"/>
      <c r="AM204" s="162"/>
      <c r="AN204" s="162"/>
      <c r="AO204" s="162"/>
      <c r="AP204" s="162"/>
      <c r="AQ204" s="162"/>
      <c r="AR204" s="162"/>
      <c r="AS204" s="162"/>
      <c r="AT204" s="162"/>
      <c r="AU204" s="162"/>
      <c r="AV204" s="162"/>
      <c r="AW204" s="162"/>
      <c r="AX204" s="162"/>
      <c r="AY204" s="162"/>
      <c r="AZ204" s="162"/>
      <c r="BA204" s="162"/>
      <c r="BB204" s="171"/>
      <c r="BC204" s="162"/>
      <c r="BD204" s="171"/>
      <c r="BO204" s="162"/>
      <c r="BP204" s="162"/>
      <c r="BQ204" s="162"/>
      <c r="BR204" s="162"/>
      <c r="BS204" s="162"/>
      <c r="BT204" s="162"/>
      <c r="BU204" s="162"/>
      <c r="BV204" s="162"/>
      <c r="BW204" s="162"/>
      <c r="BX204" s="162"/>
      <c r="BY204" s="162"/>
      <c r="BZ204" s="162"/>
      <c r="CA204" s="162"/>
      <c r="CB204" s="162"/>
      <c r="CC204" s="162"/>
      <c r="CD204" s="162"/>
      <c r="CE204" s="162"/>
      <c r="CF204" s="162"/>
      <c r="CG204" s="162"/>
      <c r="CH204" s="162"/>
      <c r="CI204" s="162"/>
      <c r="CJ204" s="162"/>
    </row>
    <row r="205" spans="1:88" ht="15.75" customHeight="1">
      <c r="A205" s="162"/>
      <c r="B205" s="163"/>
      <c r="C205" s="164"/>
      <c r="D205" s="162"/>
      <c r="E205" s="162"/>
      <c r="F205" s="162"/>
      <c r="G205" s="162"/>
      <c r="H205" s="162"/>
      <c r="I205" s="162"/>
      <c r="J205" s="162"/>
      <c r="K205" s="162"/>
      <c r="L205" s="162"/>
      <c r="T205" s="162"/>
      <c r="U205" s="162"/>
      <c r="V205" s="162"/>
      <c r="W205" s="162"/>
      <c r="X205" s="162"/>
      <c r="Y205" s="162"/>
      <c r="Z205" s="162"/>
      <c r="AA205" s="162"/>
      <c r="AB205" s="162"/>
      <c r="AC205" s="162"/>
      <c r="AD205" s="162"/>
      <c r="AE205" s="162"/>
      <c r="AG205" s="162"/>
      <c r="AH205" s="162"/>
      <c r="AI205" s="162"/>
      <c r="AJ205" s="162"/>
      <c r="AK205" s="162"/>
      <c r="AL205" s="162"/>
      <c r="AM205" s="162"/>
      <c r="AN205" s="162"/>
      <c r="AO205" s="162"/>
      <c r="AP205" s="162"/>
      <c r="AQ205" s="162"/>
      <c r="AR205" s="162"/>
      <c r="AS205" s="162"/>
      <c r="AT205" s="162"/>
      <c r="AU205" s="162"/>
      <c r="AV205" s="162"/>
      <c r="AW205" s="162"/>
      <c r="AX205" s="162"/>
      <c r="AY205" s="162"/>
      <c r="AZ205" s="162"/>
      <c r="BA205" s="162"/>
      <c r="BB205" s="171"/>
      <c r="BC205" s="162"/>
      <c r="BD205" s="171"/>
      <c r="BO205" s="162"/>
      <c r="BP205" s="162"/>
      <c r="BQ205" s="162"/>
      <c r="BR205" s="162"/>
      <c r="BS205" s="162"/>
      <c r="BT205" s="162"/>
      <c r="BU205" s="162"/>
      <c r="BV205" s="162"/>
      <c r="BW205" s="162"/>
      <c r="BX205" s="162"/>
      <c r="BY205" s="162"/>
      <c r="BZ205" s="162"/>
      <c r="CA205" s="162"/>
      <c r="CB205" s="162"/>
      <c r="CC205" s="162"/>
      <c r="CD205" s="162"/>
      <c r="CE205" s="162"/>
      <c r="CF205" s="162"/>
      <c r="CG205" s="162"/>
      <c r="CH205" s="162"/>
      <c r="CI205" s="162"/>
      <c r="CJ205" s="162"/>
    </row>
    <row r="206" spans="1:88" ht="15.75" customHeight="1">
      <c r="A206" s="162"/>
      <c r="B206" s="163"/>
      <c r="C206" s="164"/>
      <c r="D206" s="162"/>
      <c r="E206" s="162"/>
      <c r="F206" s="162"/>
      <c r="G206" s="162"/>
      <c r="H206" s="162"/>
      <c r="I206" s="162"/>
      <c r="J206" s="162"/>
      <c r="K206" s="162"/>
      <c r="L206" s="162"/>
      <c r="T206" s="162"/>
      <c r="U206" s="162"/>
      <c r="V206" s="162"/>
      <c r="W206" s="162"/>
      <c r="X206" s="162"/>
      <c r="Y206" s="162"/>
      <c r="Z206" s="162"/>
      <c r="AA206" s="162"/>
      <c r="AB206" s="162"/>
      <c r="AC206" s="162"/>
      <c r="AD206" s="162"/>
      <c r="AE206" s="162"/>
      <c r="AG206" s="162"/>
      <c r="AH206" s="162"/>
      <c r="AI206" s="162"/>
      <c r="AJ206" s="162"/>
      <c r="AK206" s="162"/>
      <c r="AL206" s="162"/>
      <c r="AM206" s="162"/>
      <c r="AN206" s="162"/>
      <c r="AO206" s="162"/>
      <c r="AP206" s="162"/>
      <c r="AQ206" s="162"/>
      <c r="AR206" s="162"/>
      <c r="AS206" s="162"/>
      <c r="AT206" s="162"/>
      <c r="AU206" s="162"/>
      <c r="AV206" s="162"/>
      <c r="AW206" s="162"/>
      <c r="AX206" s="162"/>
      <c r="AY206" s="162"/>
      <c r="AZ206" s="162"/>
      <c r="BA206" s="162"/>
      <c r="BB206" s="171"/>
      <c r="BC206" s="162"/>
      <c r="BD206" s="171"/>
      <c r="BO206" s="162"/>
      <c r="BP206" s="162"/>
      <c r="BQ206" s="162"/>
      <c r="BR206" s="162"/>
      <c r="BS206" s="162"/>
      <c r="BT206" s="162"/>
      <c r="BU206" s="162"/>
      <c r="BV206" s="162"/>
      <c r="BW206" s="162"/>
      <c r="BX206" s="162"/>
      <c r="BY206" s="162"/>
      <c r="BZ206" s="162"/>
      <c r="CA206" s="162"/>
      <c r="CB206" s="162"/>
      <c r="CC206" s="162"/>
      <c r="CD206" s="162"/>
      <c r="CE206" s="162"/>
      <c r="CF206" s="162"/>
      <c r="CG206" s="162"/>
      <c r="CH206" s="162"/>
      <c r="CI206" s="162"/>
      <c r="CJ206" s="162"/>
    </row>
    <row r="207" spans="1:88" ht="15.75" customHeight="1">
      <c r="A207" s="162"/>
      <c r="B207" s="163"/>
      <c r="C207" s="164"/>
      <c r="D207" s="162"/>
      <c r="E207" s="162"/>
      <c r="F207" s="162"/>
      <c r="G207" s="162"/>
      <c r="H207" s="162"/>
      <c r="I207" s="162"/>
      <c r="J207" s="162"/>
      <c r="K207" s="162"/>
      <c r="L207" s="162"/>
      <c r="T207" s="162"/>
      <c r="U207" s="162"/>
      <c r="V207" s="162"/>
      <c r="W207" s="162"/>
      <c r="X207" s="162"/>
      <c r="Y207" s="162"/>
      <c r="Z207" s="162"/>
      <c r="AA207" s="162"/>
      <c r="AB207" s="162"/>
      <c r="AC207" s="162"/>
      <c r="AD207" s="162"/>
      <c r="AE207" s="162"/>
      <c r="AG207" s="162"/>
      <c r="AH207" s="162"/>
      <c r="AI207" s="162"/>
      <c r="AJ207" s="162"/>
      <c r="AK207" s="162"/>
      <c r="AL207" s="162"/>
      <c r="AM207" s="162"/>
      <c r="AN207" s="162"/>
      <c r="AO207" s="162"/>
      <c r="AP207" s="162"/>
      <c r="AQ207" s="162"/>
      <c r="AR207" s="162"/>
      <c r="AS207" s="162"/>
      <c r="AT207" s="162"/>
      <c r="AU207" s="162"/>
      <c r="AV207" s="162"/>
      <c r="AW207" s="162"/>
      <c r="AX207" s="162"/>
      <c r="AY207" s="162"/>
      <c r="AZ207" s="162"/>
      <c r="BA207" s="162"/>
      <c r="BB207" s="171"/>
      <c r="BC207" s="162"/>
      <c r="BD207" s="171"/>
      <c r="BO207" s="162"/>
      <c r="BP207" s="162"/>
      <c r="BQ207" s="162"/>
      <c r="BR207" s="162"/>
      <c r="BS207" s="162"/>
      <c r="BT207" s="162"/>
      <c r="BU207" s="162"/>
      <c r="BV207" s="162"/>
      <c r="BW207" s="162"/>
      <c r="BX207" s="162"/>
      <c r="BY207" s="162"/>
      <c r="BZ207" s="162"/>
      <c r="CA207" s="162"/>
      <c r="CB207" s="162"/>
      <c r="CC207" s="162"/>
      <c r="CD207" s="162"/>
      <c r="CE207" s="162"/>
      <c r="CF207" s="162"/>
      <c r="CG207" s="162"/>
      <c r="CH207" s="162"/>
      <c r="CI207" s="162"/>
      <c r="CJ207" s="162"/>
    </row>
    <row r="208" spans="1:88" ht="15.75" customHeight="1">
      <c r="A208" s="162"/>
      <c r="B208" s="163"/>
      <c r="C208" s="164"/>
      <c r="D208" s="162"/>
      <c r="E208" s="162"/>
      <c r="F208" s="162"/>
      <c r="G208" s="162"/>
      <c r="H208" s="162"/>
      <c r="I208" s="162"/>
      <c r="J208" s="162"/>
      <c r="K208" s="162"/>
      <c r="L208" s="162"/>
      <c r="T208" s="162"/>
      <c r="U208" s="162"/>
      <c r="V208" s="162"/>
      <c r="W208" s="162"/>
      <c r="X208" s="162"/>
      <c r="Y208" s="162"/>
      <c r="Z208" s="162"/>
      <c r="AA208" s="162"/>
      <c r="AB208" s="162"/>
      <c r="AC208" s="162"/>
      <c r="AD208" s="162"/>
      <c r="AE208" s="162"/>
      <c r="AG208" s="162"/>
      <c r="AH208" s="162"/>
      <c r="AI208" s="162"/>
      <c r="AJ208" s="162"/>
      <c r="AK208" s="162"/>
      <c r="AL208" s="162"/>
      <c r="AM208" s="162"/>
      <c r="AN208" s="162"/>
      <c r="AO208" s="162"/>
      <c r="AP208" s="162"/>
      <c r="AQ208" s="162"/>
      <c r="AR208" s="162"/>
      <c r="AS208" s="162"/>
      <c r="AT208" s="162"/>
      <c r="AU208" s="162"/>
      <c r="AV208" s="162"/>
      <c r="AW208" s="162"/>
      <c r="AX208" s="162"/>
      <c r="AY208" s="162"/>
      <c r="AZ208" s="162"/>
      <c r="BA208" s="162"/>
      <c r="BB208" s="171"/>
      <c r="BC208" s="162"/>
      <c r="BD208" s="171"/>
      <c r="BO208" s="162"/>
      <c r="BP208" s="162"/>
      <c r="BQ208" s="162"/>
      <c r="BR208" s="162"/>
      <c r="BS208" s="162"/>
      <c r="BT208" s="162"/>
      <c r="BU208" s="162"/>
      <c r="BV208" s="162"/>
      <c r="BW208" s="162"/>
      <c r="BX208" s="162"/>
      <c r="BY208" s="162"/>
      <c r="BZ208" s="162"/>
      <c r="CA208" s="162"/>
      <c r="CB208" s="162"/>
      <c r="CC208" s="162"/>
      <c r="CD208" s="162"/>
      <c r="CE208" s="162"/>
      <c r="CF208" s="162"/>
      <c r="CG208" s="162"/>
      <c r="CH208" s="162"/>
      <c r="CI208" s="162"/>
      <c r="CJ208" s="162"/>
    </row>
    <row r="209" spans="1:88" ht="15.75" customHeight="1">
      <c r="A209" s="162"/>
      <c r="B209" s="163"/>
      <c r="C209" s="164"/>
      <c r="D209" s="162"/>
      <c r="E209" s="162"/>
      <c r="F209" s="162"/>
      <c r="G209" s="162"/>
      <c r="H209" s="162"/>
      <c r="I209" s="162"/>
      <c r="J209" s="162"/>
      <c r="K209" s="162"/>
      <c r="L209" s="162"/>
      <c r="T209" s="162"/>
      <c r="U209" s="162"/>
      <c r="V209" s="162"/>
      <c r="W209" s="162"/>
      <c r="X209" s="162"/>
      <c r="Y209" s="162"/>
      <c r="Z209" s="162"/>
      <c r="AA209" s="162"/>
      <c r="AB209" s="162"/>
      <c r="AC209" s="162"/>
      <c r="AD209" s="162"/>
      <c r="AE209" s="162"/>
      <c r="AG209" s="162"/>
      <c r="AH209" s="162"/>
      <c r="AI209" s="162"/>
      <c r="AJ209" s="162"/>
      <c r="AK209" s="162"/>
      <c r="AL209" s="162"/>
      <c r="AM209" s="162"/>
      <c r="AN209" s="162"/>
      <c r="AO209" s="162"/>
      <c r="AP209" s="162"/>
      <c r="AQ209" s="162"/>
      <c r="AR209" s="162"/>
      <c r="AS209" s="162"/>
      <c r="AT209" s="162"/>
      <c r="AU209" s="162"/>
      <c r="AV209" s="162"/>
      <c r="AW209" s="162"/>
      <c r="AX209" s="162"/>
      <c r="AY209" s="162"/>
      <c r="AZ209" s="162"/>
      <c r="BA209" s="162"/>
      <c r="BB209" s="171"/>
      <c r="BC209" s="162"/>
      <c r="BD209" s="171"/>
      <c r="BO209" s="162"/>
      <c r="BP209" s="162"/>
      <c r="BQ209" s="162"/>
      <c r="BR209" s="162"/>
      <c r="BS209" s="162"/>
      <c r="BT209" s="162"/>
      <c r="BU209" s="162"/>
      <c r="BV209" s="162"/>
      <c r="BW209" s="162"/>
      <c r="BX209" s="162"/>
      <c r="BY209" s="162"/>
      <c r="BZ209" s="162"/>
      <c r="CA209" s="162"/>
      <c r="CB209" s="162"/>
      <c r="CC209" s="162"/>
      <c r="CD209" s="162"/>
      <c r="CE209" s="162"/>
      <c r="CF209" s="162"/>
      <c r="CG209" s="162"/>
      <c r="CH209" s="162"/>
      <c r="CI209" s="162"/>
      <c r="CJ209" s="162"/>
    </row>
    <row r="210" spans="1:88" ht="15.75" customHeight="1">
      <c r="A210" s="162"/>
      <c r="B210" s="163"/>
      <c r="C210" s="164"/>
      <c r="D210" s="162"/>
      <c r="E210" s="162"/>
      <c r="F210" s="162"/>
      <c r="G210" s="162"/>
      <c r="H210" s="162"/>
      <c r="I210" s="162"/>
      <c r="J210" s="162"/>
      <c r="K210" s="162"/>
      <c r="L210" s="162"/>
      <c r="T210" s="162"/>
      <c r="U210" s="162"/>
      <c r="V210" s="162"/>
      <c r="W210" s="162"/>
      <c r="X210" s="162"/>
      <c r="Y210" s="162"/>
      <c r="Z210" s="162"/>
      <c r="AA210" s="162"/>
      <c r="AB210" s="162"/>
      <c r="AC210" s="162"/>
      <c r="AD210" s="162"/>
      <c r="AE210" s="162"/>
      <c r="AG210" s="162"/>
      <c r="AH210" s="162"/>
      <c r="AI210" s="162"/>
      <c r="AJ210" s="162"/>
      <c r="AK210" s="162"/>
      <c r="AL210" s="162"/>
      <c r="AM210" s="162"/>
      <c r="AN210" s="162"/>
      <c r="AO210" s="162"/>
      <c r="AP210" s="162"/>
      <c r="AQ210" s="162"/>
      <c r="AR210" s="162"/>
      <c r="AS210" s="162"/>
      <c r="AT210" s="162"/>
      <c r="AU210" s="162"/>
      <c r="AV210" s="162"/>
      <c r="AW210" s="162"/>
      <c r="AX210" s="162"/>
      <c r="AY210" s="162"/>
      <c r="AZ210" s="162"/>
      <c r="BA210" s="162"/>
      <c r="BB210" s="171"/>
      <c r="BC210" s="162"/>
      <c r="BD210" s="171"/>
      <c r="BO210" s="162"/>
      <c r="BP210" s="162"/>
      <c r="BQ210" s="162"/>
      <c r="BR210" s="162"/>
      <c r="BS210" s="162"/>
      <c r="BT210" s="162"/>
      <c r="BU210" s="162"/>
      <c r="BV210" s="162"/>
      <c r="BW210" s="162"/>
      <c r="BX210" s="162"/>
      <c r="BY210" s="162"/>
      <c r="BZ210" s="162"/>
      <c r="CA210" s="162"/>
      <c r="CB210" s="162"/>
      <c r="CC210" s="162"/>
      <c r="CD210" s="162"/>
      <c r="CE210" s="162"/>
      <c r="CF210" s="162"/>
      <c r="CG210" s="162"/>
      <c r="CH210" s="162"/>
      <c r="CI210" s="162"/>
      <c r="CJ210" s="162"/>
    </row>
    <row r="211" spans="1:88" ht="15.75" customHeight="1">
      <c r="A211" s="162"/>
      <c r="B211" s="163"/>
      <c r="C211" s="164"/>
      <c r="D211" s="162"/>
      <c r="E211" s="162"/>
      <c r="F211" s="162"/>
      <c r="G211" s="162"/>
      <c r="H211" s="162"/>
      <c r="I211" s="162"/>
      <c r="J211" s="162"/>
      <c r="K211" s="162"/>
      <c r="L211" s="162"/>
      <c r="T211" s="162"/>
      <c r="U211" s="162"/>
      <c r="V211" s="162"/>
      <c r="W211" s="162"/>
      <c r="X211" s="162"/>
      <c r="Y211" s="162"/>
      <c r="Z211" s="162"/>
      <c r="AA211" s="162"/>
      <c r="AB211" s="162"/>
      <c r="AC211" s="162"/>
      <c r="AD211" s="162"/>
      <c r="AE211" s="162"/>
      <c r="AG211" s="162"/>
      <c r="AH211" s="162"/>
      <c r="AI211" s="162"/>
      <c r="AJ211" s="162"/>
      <c r="AK211" s="162"/>
      <c r="AL211" s="162"/>
      <c r="AM211" s="162"/>
      <c r="AN211" s="162"/>
      <c r="AO211" s="162"/>
      <c r="AP211" s="162"/>
      <c r="AQ211" s="162"/>
      <c r="AR211" s="162"/>
      <c r="AS211" s="162"/>
      <c r="AT211" s="162"/>
      <c r="AU211" s="162"/>
      <c r="AV211" s="162"/>
      <c r="AW211" s="162"/>
      <c r="AX211" s="162"/>
      <c r="AY211" s="162"/>
      <c r="AZ211" s="162"/>
      <c r="BA211" s="162"/>
      <c r="BB211" s="171"/>
      <c r="BC211" s="162"/>
      <c r="BD211" s="171"/>
      <c r="BO211" s="162"/>
      <c r="BP211" s="162"/>
      <c r="BQ211" s="162"/>
      <c r="BR211" s="162"/>
      <c r="BS211" s="162"/>
      <c r="BT211" s="162"/>
      <c r="BU211" s="162"/>
      <c r="BV211" s="162"/>
      <c r="BW211" s="162"/>
      <c r="BX211" s="162"/>
      <c r="BY211" s="162"/>
      <c r="BZ211" s="162"/>
      <c r="CA211" s="162"/>
      <c r="CB211" s="162"/>
      <c r="CC211" s="162"/>
      <c r="CD211" s="162"/>
      <c r="CE211" s="162"/>
      <c r="CF211" s="162"/>
      <c r="CG211" s="162"/>
      <c r="CH211" s="162"/>
      <c r="CI211" s="162"/>
      <c r="CJ211" s="162"/>
    </row>
    <row r="212" spans="1:88" ht="15.75" customHeight="1">
      <c r="A212" s="162"/>
      <c r="B212" s="163"/>
      <c r="C212" s="164"/>
      <c r="D212" s="162"/>
      <c r="E212" s="162"/>
      <c r="F212" s="162"/>
      <c r="G212" s="162"/>
      <c r="H212" s="162"/>
      <c r="I212" s="162"/>
      <c r="J212" s="162"/>
      <c r="K212" s="162"/>
      <c r="L212" s="162"/>
      <c r="T212" s="162"/>
      <c r="U212" s="162"/>
      <c r="V212" s="162"/>
      <c r="W212" s="162"/>
      <c r="X212" s="162"/>
      <c r="Y212" s="162"/>
      <c r="Z212" s="162"/>
      <c r="AA212" s="162"/>
      <c r="AB212" s="162"/>
      <c r="AC212" s="162"/>
      <c r="AD212" s="162"/>
      <c r="AE212" s="162"/>
      <c r="AG212" s="162"/>
      <c r="AH212" s="162"/>
      <c r="AI212" s="162"/>
      <c r="AJ212" s="162"/>
      <c r="AK212" s="162"/>
      <c r="AL212" s="162"/>
      <c r="AM212" s="162"/>
      <c r="AN212" s="162"/>
      <c r="AO212" s="162"/>
      <c r="AP212" s="162"/>
      <c r="AQ212" s="162"/>
      <c r="AR212" s="162"/>
      <c r="AS212" s="162"/>
      <c r="AT212" s="162"/>
      <c r="AU212" s="162"/>
      <c r="AV212" s="162"/>
      <c r="AW212" s="162"/>
      <c r="AX212" s="162"/>
      <c r="AY212" s="162"/>
      <c r="AZ212" s="162"/>
      <c r="BA212" s="162"/>
      <c r="BB212" s="171"/>
      <c r="BC212" s="162"/>
      <c r="BD212" s="171"/>
      <c r="BO212" s="162"/>
      <c r="BP212" s="162"/>
      <c r="BQ212" s="162"/>
      <c r="BR212" s="162"/>
      <c r="BS212" s="162"/>
      <c r="BT212" s="162"/>
      <c r="BU212" s="162"/>
      <c r="BV212" s="162"/>
      <c r="BW212" s="162"/>
      <c r="BX212" s="162"/>
      <c r="BY212" s="162"/>
      <c r="BZ212" s="162"/>
      <c r="CA212" s="162"/>
      <c r="CB212" s="162"/>
      <c r="CC212" s="162"/>
      <c r="CD212" s="162"/>
      <c r="CE212" s="162"/>
      <c r="CF212" s="162"/>
      <c r="CG212" s="162"/>
      <c r="CH212" s="162"/>
      <c r="CI212" s="162"/>
      <c r="CJ212" s="162"/>
    </row>
    <row r="213" spans="1:88" ht="15.75" customHeight="1">
      <c r="A213" s="162"/>
      <c r="B213" s="163"/>
      <c r="C213" s="164"/>
      <c r="D213" s="162"/>
      <c r="E213" s="162"/>
      <c r="F213" s="162"/>
      <c r="G213" s="162"/>
      <c r="H213" s="162"/>
      <c r="I213" s="162"/>
      <c r="J213" s="162"/>
      <c r="K213" s="162"/>
      <c r="L213" s="162"/>
      <c r="T213" s="162"/>
      <c r="U213" s="162"/>
      <c r="V213" s="162"/>
      <c r="W213" s="162"/>
      <c r="X213" s="162"/>
      <c r="Y213" s="162"/>
      <c r="Z213" s="162"/>
      <c r="AA213" s="162"/>
      <c r="AB213" s="162"/>
      <c r="AC213" s="162"/>
      <c r="AD213" s="162"/>
      <c r="AE213" s="162"/>
      <c r="AG213" s="162"/>
      <c r="AH213" s="162"/>
      <c r="AI213" s="162"/>
      <c r="AJ213" s="162"/>
      <c r="AK213" s="162"/>
      <c r="AL213" s="162"/>
      <c r="AM213" s="162"/>
      <c r="AN213" s="162"/>
      <c r="AO213" s="162"/>
      <c r="AP213" s="162"/>
      <c r="AQ213" s="162"/>
      <c r="AR213" s="162"/>
      <c r="AS213" s="162"/>
      <c r="AT213" s="162"/>
      <c r="AU213" s="162"/>
      <c r="AV213" s="162"/>
      <c r="AW213" s="162"/>
      <c r="AX213" s="162"/>
      <c r="AY213" s="162"/>
      <c r="AZ213" s="162"/>
      <c r="BA213" s="162"/>
      <c r="BB213" s="171"/>
      <c r="BC213" s="162"/>
      <c r="BD213" s="171"/>
      <c r="BO213" s="162"/>
      <c r="BP213" s="162"/>
      <c r="BQ213" s="162"/>
      <c r="BR213" s="162"/>
      <c r="BS213" s="162"/>
      <c r="BT213" s="162"/>
      <c r="BU213" s="162"/>
      <c r="BV213" s="162"/>
      <c r="BW213" s="162"/>
      <c r="BX213" s="162"/>
      <c r="BY213" s="162"/>
      <c r="BZ213" s="162"/>
      <c r="CA213" s="162"/>
      <c r="CB213" s="162"/>
      <c r="CC213" s="162"/>
      <c r="CD213" s="162"/>
      <c r="CE213" s="162"/>
      <c r="CF213" s="162"/>
      <c r="CG213" s="162"/>
      <c r="CH213" s="162"/>
      <c r="CI213" s="162"/>
      <c r="CJ213" s="162"/>
    </row>
    <row r="214" spans="1:88" ht="15.75" customHeight="1">
      <c r="A214" s="162"/>
      <c r="B214" s="163"/>
      <c r="C214" s="164"/>
      <c r="D214" s="162"/>
      <c r="E214" s="162"/>
      <c r="F214" s="162"/>
      <c r="G214" s="162"/>
      <c r="H214" s="162"/>
      <c r="I214" s="162"/>
      <c r="J214" s="162"/>
      <c r="K214" s="162"/>
      <c r="L214" s="162"/>
      <c r="T214" s="162"/>
      <c r="U214" s="162"/>
      <c r="V214" s="162"/>
      <c r="W214" s="162"/>
      <c r="X214" s="162"/>
      <c r="Y214" s="162"/>
      <c r="Z214" s="162"/>
      <c r="AA214" s="162"/>
      <c r="AB214" s="162"/>
      <c r="AC214" s="162"/>
      <c r="AD214" s="162"/>
      <c r="AE214" s="162"/>
      <c r="AG214" s="162"/>
      <c r="AH214" s="162"/>
      <c r="AI214" s="162"/>
      <c r="AJ214" s="162"/>
      <c r="AK214" s="162"/>
      <c r="AL214" s="162"/>
      <c r="AM214" s="162"/>
      <c r="AN214" s="162"/>
      <c r="AO214" s="162"/>
      <c r="AP214" s="162"/>
      <c r="AQ214" s="162"/>
      <c r="AR214" s="162"/>
      <c r="AS214" s="162"/>
      <c r="AT214" s="162"/>
      <c r="AU214" s="162"/>
      <c r="AV214" s="162"/>
      <c r="AW214" s="162"/>
      <c r="AX214" s="162"/>
      <c r="AY214" s="162"/>
      <c r="AZ214" s="162"/>
      <c r="BA214" s="162"/>
      <c r="BB214" s="171"/>
      <c r="BC214" s="162"/>
      <c r="BD214" s="171"/>
      <c r="BO214" s="162"/>
      <c r="BP214" s="162"/>
      <c r="BQ214" s="162"/>
      <c r="BR214" s="162"/>
      <c r="BS214" s="162"/>
      <c r="BT214" s="162"/>
      <c r="BU214" s="162"/>
      <c r="BV214" s="162"/>
      <c r="BW214" s="162"/>
      <c r="BX214" s="162"/>
      <c r="BY214" s="162"/>
      <c r="BZ214" s="162"/>
      <c r="CA214" s="162"/>
      <c r="CB214" s="162"/>
      <c r="CC214" s="162"/>
      <c r="CD214" s="162"/>
      <c r="CE214" s="162"/>
      <c r="CF214" s="162"/>
      <c r="CG214" s="162"/>
      <c r="CH214" s="162"/>
      <c r="CI214" s="162"/>
      <c r="CJ214" s="162"/>
    </row>
    <row r="215" spans="1:88" ht="15.75" customHeight="1">
      <c r="A215" s="162"/>
      <c r="B215" s="163"/>
      <c r="C215" s="164"/>
      <c r="D215" s="162"/>
      <c r="E215" s="162"/>
      <c r="F215" s="162"/>
      <c r="G215" s="162"/>
      <c r="H215" s="162"/>
      <c r="I215" s="162"/>
      <c r="J215" s="162"/>
      <c r="K215" s="162"/>
      <c r="L215" s="162"/>
      <c r="T215" s="162"/>
      <c r="U215" s="162"/>
      <c r="V215" s="162"/>
      <c r="W215" s="162"/>
      <c r="X215" s="162"/>
      <c r="Y215" s="162"/>
      <c r="Z215" s="162"/>
      <c r="AA215" s="162"/>
      <c r="AB215" s="162"/>
      <c r="AC215" s="162"/>
      <c r="AD215" s="162"/>
      <c r="AE215" s="162"/>
      <c r="AG215" s="162"/>
      <c r="AH215" s="162"/>
      <c r="AI215" s="162"/>
      <c r="AJ215" s="162"/>
      <c r="AK215" s="162"/>
      <c r="AL215" s="162"/>
      <c r="AM215" s="162"/>
      <c r="AN215" s="162"/>
      <c r="AO215" s="162"/>
      <c r="AP215" s="162"/>
      <c r="AQ215" s="162"/>
      <c r="AR215" s="162"/>
      <c r="AS215" s="162"/>
      <c r="AT215" s="162"/>
      <c r="AU215" s="162"/>
      <c r="AV215" s="162"/>
      <c r="AW215" s="162"/>
      <c r="AX215" s="162"/>
      <c r="AY215" s="162"/>
      <c r="AZ215" s="162"/>
      <c r="BA215" s="162"/>
      <c r="BB215" s="171"/>
      <c r="BC215" s="162"/>
      <c r="BD215" s="171"/>
      <c r="BO215" s="162"/>
      <c r="BP215" s="162"/>
      <c r="BQ215" s="162"/>
      <c r="BR215" s="162"/>
      <c r="BS215" s="162"/>
      <c r="BT215" s="162"/>
      <c r="BU215" s="162"/>
      <c r="BV215" s="162"/>
      <c r="BW215" s="162"/>
      <c r="BX215" s="162"/>
      <c r="BY215" s="162"/>
      <c r="BZ215" s="162"/>
      <c r="CA215" s="162"/>
      <c r="CB215" s="162"/>
      <c r="CC215" s="162"/>
      <c r="CD215" s="162"/>
      <c r="CE215" s="162"/>
      <c r="CF215" s="162"/>
      <c r="CG215" s="162"/>
      <c r="CH215" s="162"/>
      <c r="CI215" s="162"/>
      <c r="CJ215" s="162"/>
    </row>
    <row r="216" spans="1:88" ht="15.75" customHeight="1">
      <c r="A216" s="162"/>
      <c r="B216" s="163"/>
      <c r="C216" s="164"/>
      <c r="D216" s="162"/>
      <c r="E216" s="162"/>
      <c r="F216" s="162"/>
      <c r="G216" s="162"/>
      <c r="H216" s="162"/>
      <c r="I216" s="162"/>
      <c r="J216" s="162"/>
      <c r="K216" s="162"/>
      <c r="L216" s="162"/>
      <c r="T216" s="162"/>
      <c r="U216" s="162"/>
      <c r="V216" s="162"/>
      <c r="W216" s="162"/>
      <c r="X216" s="162"/>
      <c r="Y216" s="162"/>
      <c r="Z216" s="162"/>
      <c r="AA216" s="162"/>
      <c r="AB216" s="162"/>
      <c r="AC216" s="162"/>
      <c r="AD216" s="162"/>
      <c r="AE216" s="162"/>
      <c r="AG216" s="162"/>
      <c r="AH216" s="162"/>
      <c r="AI216" s="162"/>
      <c r="AJ216" s="162"/>
      <c r="AK216" s="162"/>
      <c r="AL216" s="162"/>
      <c r="AM216" s="162"/>
      <c r="AN216" s="162"/>
      <c r="AO216" s="162"/>
      <c r="AP216" s="162"/>
      <c r="AQ216" s="162"/>
      <c r="AR216" s="162"/>
      <c r="AS216" s="162"/>
      <c r="AT216" s="162"/>
      <c r="AU216" s="162"/>
      <c r="AV216" s="162"/>
      <c r="AW216" s="162"/>
      <c r="AX216" s="162"/>
      <c r="AY216" s="162"/>
      <c r="AZ216" s="162"/>
      <c r="BA216" s="162"/>
      <c r="BB216" s="171"/>
      <c r="BC216" s="162"/>
      <c r="BD216" s="171"/>
      <c r="BO216" s="162"/>
      <c r="BP216" s="162"/>
      <c r="BQ216" s="162"/>
      <c r="BR216" s="162"/>
      <c r="BS216" s="162"/>
      <c r="BT216" s="162"/>
      <c r="BU216" s="162"/>
      <c r="BV216" s="162"/>
      <c r="BW216" s="162"/>
      <c r="BX216" s="162"/>
      <c r="BY216" s="162"/>
      <c r="BZ216" s="162"/>
      <c r="CA216" s="162"/>
      <c r="CB216" s="162"/>
      <c r="CC216" s="162"/>
      <c r="CD216" s="162"/>
      <c r="CE216" s="162"/>
      <c r="CF216" s="162"/>
      <c r="CG216" s="162"/>
      <c r="CH216" s="162"/>
      <c r="CI216" s="162"/>
      <c r="CJ216" s="162"/>
    </row>
    <row r="217" spans="1:88" ht="15.75" customHeight="1">
      <c r="A217" s="162"/>
      <c r="B217" s="163"/>
      <c r="C217" s="164"/>
      <c r="D217" s="162"/>
      <c r="E217" s="162"/>
      <c r="F217" s="162"/>
      <c r="G217" s="162"/>
      <c r="H217" s="162"/>
      <c r="I217" s="162"/>
      <c r="J217" s="162"/>
      <c r="K217" s="162"/>
      <c r="L217" s="162"/>
      <c r="T217" s="162"/>
      <c r="U217" s="162"/>
      <c r="V217" s="162"/>
      <c r="W217" s="162"/>
      <c r="X217" s="162"/>
      <c r="Y217" s="162"/>
      <c r="Z217" s="162"/>
      <c r="AA217" s="162"/>
      <c r="AB217" s="162"/>
      <c r="AC217" s="162"/>
      <c r="AD217" s="162"/>
      <c r="AE217" s="162"/>
      <c r="AG217" s="162"/>
      <c r="AH217" s="162"/>
      <c r="AI217" s="162"/>
      <c r="AJ217" s="162"/>
      <c r="AK217" s="162"/>
      <c r="AL217" s="162"/>
      <c r="AM217" s="162"/>
      <c r="AN217" s="162"/>
      <c r="AO217" s="162"/>
      <c r="AP217" s="162"/>
      <c r="AQ217" s="162"/>
      <c r="AR217" s="162"/>
      <c r="AS217" s="162"/>
      <c r="AT217" s="162"/>
      <c r="AU217" s="162"/>
      <c r="AV217" s="162"/>
      <c r="AW217" s="162"/>
      <c r="AX217" s="162"/>
      <c r="AY217" s="162"/>
      <c r="AZ217" s="162"/>
      <c r="BA217" s="162"/>
      <c r="BB217" s="171"/>
      <c r="BC217" s="162"/>
      <c r="BD217" s="171"/>
      <c r="BO217" s="162"/>
      <c r="BP217" s="162"/>
      <c r="BQ217" s="162"/>
      <c r="BR217" s="162"/>
      <c r="BS217" s="162"/>
      <c r="BT217" s="162"/>
      <c r="BU217" s="162"/>
      <c r="BV217" s="162"/>
      <c r="BW217" s="162"/>
      <c r="BX217" s="162"/>
      <c r="BY217" s="162"/>
      <c r="BZ217" s="162"/>
      <c r="CA217" s="162"/>
      <c r="CB217" s="162"/>
      <c r="CC217" s="162"/>
      <c r="CD217" s="162"/>
      <c r="CE217" s="162"/>
      <c r="CF217" s="162"/>
      <c r="CG217" s="162"/>
      <c r="CH217" s="162"/>
      <c r="CI217" s="162"/>
      <c r="CJ217" s="162"/>
    </row>
    <row r="218" spans="1:88" ht="15.75" customHeight="1">
      <c r="A218" s="162"/>
      <c r="B218" s="163"/>
      <c r="C218" s="164"/>
      <c r="D218" s="162"/>
      <c r="E218" s="162"/>
      <c r="F218" s="162"/>
      <c r="G218" s="162"/>
      <c r="H218" s="162"/>
      <c r="I218" s="162"/>
      <c r="J218" s="162"/>
      <c r="K218" s="162"/>
      <c r="L218" s="162"/>
      <c r="T218" s="162"/>
      <c r="U218" s="162"/>
      <c r="V218" s="162"/>
      <c r="W218" s="162"/>
      <c r="X218" s="162"/>
      <c r="Y218" s="162"/>
      <c r="Z218" s="162"/>
      <c r="AA218" s="162"/>
      <c r="AB218" s="162"/>
      <c r="AC218" s="162"/>
      <c r="AD218" s="162"/>
      <c r="AE218" s="162"/>
      <c r="AG218" s="162"/>
      <c r="AH218" s="162"/>
      <c r="AI218" s="162"/>
      <c r="AJ218" s="162"/>
      <c r="AK218" s="162"/>
      <c r="AL218" s="162"/>
      <c r="AM218" s="162"/>
      <c r="AN218" s="162"/>
      <c r="AO218" s="162"/>
      <c r="AP218" s="162"/>
      <c r="AQ218" s="162"/>
      <c r="AR218" s="162"/>
      <c r="AS218" s="162"/>
      <c r="AT218" s="162"/>
      <c r="AU218" s="162"/>
      <c r="AV218" s="162"/>
      <c r="AW218" s="162"/>
      <c r="AX218" s="162"/>
      <c r="AY218" s="162"/>
      <c r="AZ218" s="162"/>
      <c r="BA218" s="162"/>
      <c r="BB218" s="171"/>
      <c r="BC218" s="162"/>
      <c r="BD218" s="171"/>
      <c r="BO218" s="162"/>
      <c r="BP218" s="162"/>
      <c r="BQ218" s="162"/>
      <c r="BR218" s="162"/>
      <c r="BS218" s="162"/>
      <c r="BT218" s="162"/>
      <c r="BU218" s="162"/>
      <c r="BV218" s="162"/>
      <c r="BW218" s="162"/>
      <c r="BX218" s="162"/>
      <c r="BY218" s="162"/>
      <c r="BZ218" s="162"/>
      <c r="CA218" s="162"/>
      <c r="CB218" s="162"/>
      <c r="CC218" s="162"/>
      <c r="CD218" s="162"/>
      <c r="CE218" s="162"/>
      <c r="CF218" s="162"/>
      <c r="CG218" s="162"/>
      <c r="CH218" s="162"/>
      <c r="CI218" s="162"/>
      <c r="CJ218" s="162"/>
    </row>
    <row r="219" spans="1:88" ht="15.75" customHeight="1">
      <c r="A219" s="162"/>
      <c r="B219" s="163"/>
      <c r="C219" s="164"/>
      <c r="D219" s="162"/>
      <c r="E219" s="162"/>
      <c r="F219" s="162"/>
      <c r="G219" s="162"/>
      <c r="H219" s="162"/>
      <c r="I219" s="162"/>
      <c r="J219" s="162"/>
      <c r="K219" s="162"/>
      <c r="L219" s="162"/>
      <c r="T219" s="162"/>
      <c r="U219" s="162"/>
      <c r="V219" s="162"/>
      <c r="W219" s="162"/>
      <c r="X219" s="162"/>
      <c r="Y219" s="162"/>
      <c r="Z219" s="162"/>
      <c r="AA219" s="162"/>
      <c r="AB219" s="162"/>
      <c r="AC219" s="162"/>
      <c r="AD219" s="162"/>
      <c r="AE219" s="162"/>
      <c r="AG219" s="162"/>
      <c r="AH219" s="162"/>
      <c r="AI219" s="162"/>
      <c r="AJ219" s="162"/>
      <c r="AK219" s="162"/>
      <c r="AL219" s="162"/>
      <c r="AM219" s="162"/>
      <c r="AN219" s="162"/>
      <c r="AO219" s="162"/>
      <c r="AP219" s="162"/>
      <c r="AQ219" s="162"/>
      <c r="AR219" s="162"/>
      <c r="AS219" s="162"/>
      <c r="AT219" s="162"/>
      <c r="AU219" s="162"/>
      <c r="AV219" s="162"/>
      <c r="AW219" s="162"/>
      <c r="AX219" s="162"/>
      <c r="AY219" s="162"/>
      <c r="AZ219" s="162"/>
      <c r="BA219" s="162"/>
      <c r="BB219" s="171"/>
      <c r="BC219" s="162"/>
      <c r="BD219" s="171"/>
      <c r="BO219" s="162"/>
      <c r="BP219" s="162"/>
      <c r="BQ219" s="162"/>
      <c r="BR219" s="162"/>
      <c r="BS219" s="162"/>
      <c r="BT219" s="162"/>
      <c r="BU219" s="162"/>
      <c r="BV219" s="162"/>
      <c r="BW219" s="162"/>
      <c r="BX219" s="162"/>
      <c r="BY219" s="162"/>
      <c r="BZ219" s="162"/>
      <c r="CA219" s="162"/>
      <c r="CB219" s="162"/>
      <c r="CC219" s="162"/>
      <c r="CD219" s="162"/>
      <c r="CE219" s="162"/>
      <c r="CF219" s="162"/>
      <c r="CG219" s="162"/>
      <c r="CH219" s="162"/>
      <c r="CI219" s="162"/>
      <c r="CJ219" s="162"/>
    </row>
    <row r="220" spans="1:88" ht="15.75" customHeight="1">
      <c r="A220" s="162"/>
      <c r="B220" s="163"/>
      <c r="C220" s="164"/>
      <c r="D220" s="162"/>
      <c r="E220" s="162"/>
      <c r="F220" s="162"/>
      <c r="G220" s="162"/>
      <c r="H220" s="162"/>
      <c r="I220" s="162"/>
      <c r="J220" s="162"/>
      <c r="K220" s="162"/>
      <c r="L220" s="162"/>
      <c r="T220" s="162"/>
      <c r="U220" s="162"/>
      <c r="V220" s="162"/>
      <c r="W220" s="162"/>
      <c r="X220" s="162"/>
      <c r="Y220" s="162"/>
      <c r="Z220" s="162"/>
      <c r="AA220" s="162"/>
      <c r="AB220" s="162"/>
      <c r="AC220" s="162"/>
      <c r="AD220" s="162"/>
      <c r="AE220" s="162"/>
      <c r="AG220" s="162"/>
      <c r="AH220" s="162"/>
      <c r="AI220" s="162"/>
      <c r="AJ220" s="162"/>
      <c r="AK220" s="162"/>
      <c r="AL220" s="162"/>
      <c r="AM220" s="162"/>
      <c r="AN220" s="162"/>
      <c r="AO220" s="162"/>
      <c r="AP220" s="162"/>
      <c r="AQ220" s="162"/>
      <c r="AR220" s="162"/>
      <c r="AS220" s="162"/>
      <c r="AT220" s="162"/>
      <c r="AU220" s="162"/>
      <c r="AV220" s="162"/>
      <c r="AW220" s="162"/>
      <c r="AX220" s="162"/>
      <c r="AY220" s="162"/>
      <c r="AZ220" s="162"/>
      <c r="BA220" s="162"/>
      <c r="BB220" s="171"/>
      <c r="BC220" s="162"/>
      <c r="BD220" s="171"/>
      <c r="BO220" s="162"/>
      <c r="BP220" s="162"/>
      <c r="BQ220" s="162"/>
      <c r="BR220" s="162"/>
      <c r="BS220" s="162"/>
      <c r="BT220" s="162"/>
      <c r="BU220" s="162"/>
      <c r="BV220" s="162"/>
      <c r="BW220" s="162"/>
      <c r="BX220" s="162"/>
      <c r="BY220" s="162"/>
      <c r="BZ220" s="162"/>
      <c r="CA220" s="162"/>
      <c r="CB220" s="162"/>
      <c r="CC220" s="162"/>
      <c r="CD220" s="162"/>
      <c r="CE220" s="162"/>
      <c r="CF220" s="162"/>
      <c r="CG220" s="162"/>
      <c r="CH220" s="162"/>
      <c r="CI220" s="162"/>
      <c r="CJ220" s="162"/>
    </row>
    <row r="221" spans="1:88" ht="15.75" customHeight="1">
      <c r="A221" s="162"/>
      <c r="B221" s="163"/>
      <c r="C221" s="164"/>
      <c r="D221" s="162"/>
      <c r="E221" s="162"/>
      <c r="F221" s="162"/>
      <c r="G221" s="162"/>
      <c r="H221" s="162"/>
      <c r="I221" s="162"/>
      <c r="J221" s="162"/>
      <c r="K221" s="162"/>
      <c r="L221" s="162"/>
      <c r="T221" s="162"/>
      <c r="U221" s="162"/>
      <c r="V221" s="162"/>
      <c r="W221" s="162"/>
      <c r="X221" s="162"/>
      <c r="Y221" s="162"/>
      <c r="Z221" s="162"/>
      <c r="AA221" s="162"/>
      <c r="AB221" s="162"/>
      <c r="AC221" s="162"/>
      <c r="AD221" s="162"/>
      <c r="AE221" s="162"/>
      <c r="AG221" s="162"/>
      <c r="AH221" s="162"/>
      <c r="AI221" s="162"/>
      <c r="AJ221" s="162"/>
      <c r="AK221" s="162"/>
      <c r="AL221" s="162"/>
      <c r="AM221" s="162"/>
      <c r="AN221" s="162"/>
      <c r="AO221" s="162"/>
      <c r="AP221" s="162"/>
      <c r="AQ221" s="162"/>
      <c r="AR221" s="162"/>
      <c r="AS221" s="162"/>
      <c r="AT221" s="162"/>
      <c r="AU221" s="162"/>
      <c r="AV221" s="162"/>
      <c r="AW221" s="162"/>
      <c r="AX221" s="162"/>
      <c r="AY221" s="162"/>
      <c r="AZ221" s="162"/>
      <c r="BA221" s="162"/>
      <c r="BB221" s="171"/>
      <c r="BC221" s="162"/>
      <c r="BD221" s="171"/>
      <c r="BO221" s="162"/>
      <c r="BP221" s="162"/>
      <c r="BQ221" s="162"/>
      <c r="BR221" s="162"/>
      <c r="BS221" s="162"/>
      <c r="BT221" s="162"/>
      <c r="BU221" s="162"/>
      <c r="BV221" s="162"/>
      <c r="BW221" s="162"/>
      <c r="BX221" s="162"/>
      <c r="BY221" s="162"/>
      <c r="BZ221" s="162"/>
      <c r="CA221" s="162"/>
      <c r="CB221" s="162"/>
      <c r="CC221" s="162"/>
      <c r="CD221" s="162"/>
      <c r="CE221" s="162"/>
      <c r="CF221" s="162"/>
      <c r="CG221" s="162"/>
      <c r="CH221" s="162"/>
      <c r="CI221" s="162"/>
      <c r="CJ221" s="162"/>
    </row>
    <row r="222" spans="1:88" ht="15.75" customHeight="1">
      <c r="A222" s="162"/>
      <c r="B222" s="163"/>
      <c r="C222" s="164"/>
      <c r="D222" s="162"/>
      <c r="E222" s="162"/>
      <c r="F222" s="162"/>
      <c r="G222" s="162"/>
      <c r="H222" s="162"/>
      <c r="I222" s="162"/>
      <c r="J222" s="162"/>
      <c r="K222" s="162"/>
      <c r="L222" s="162"/>
      <c r="T222" s="162"/>
      <c r="U222" s="162"/>
      <c r="V222" s="162"/>
      <c r="W222" s="162"/>
      <c r="X222" s="162"/>
      <c r="Y222" s="162"/>
      <c r="Z222" s="162"/>
      <c r="AA222" s="162"/>
      <c r="AB222" s="162"/>
      <c r="AC222" s="162"/>
      <c r="AD222" s="162"/>
      <c r="AE222" s="162"/>
      <c r="AG222" s="162"/>
      <c r="AH222" s="162"/>
      <c r="AI222" s="162"/>
      <c r="AJ222" s="162"/>
      <c r="AK222" s="162"/>
      <c r="AL222" s="162"/>
      <c r="AM222" s="162"/>
      <c r="AN222" s="162"/>
      <c r="AO222" s="162"/>
      <c r="AP222" s="162"/>
      <c r="AQ222" s="162"/>
      <c r="AR222" s="162"/>
      <c r="AS222" s="162"/>
      <c r="AT222" s="162"/>
      <c r="AU222" s="162"/>
      <c r="AV222" s="162"/>
      <c r="AW222" s="162"/>
      <c r="AX222" s="162"/>
      <c r="AY222" s="162"/>
      <c r="AZ222" s="162"/>
      <c r="BA222" s="162"/>
      <c r="BB222" s="171"/>
      <c r="BC222" s="162"/>
      <c r="BD222" s="171"/>
      <c r="BO222" s="162"/>
      <c r="BP222" s="162"/>
      <c r="BQ222" s="162"/>
      <c r="BR222" s="162"/>
      <c r="BS222" s="162"/>
      <c r="BT222" s="162"/>
      <c r="BU222" s="162"/>
      <c r="BV222" s="162"/>
      <c r="BW222" s="162"/>
      <c r="BX222" s="162"/>
      <c r="BY222" s="162"/>
      <c r="BZ222" s="162"/>
      <c r="CA222" s="162"/>
      <c r="CB222" s="162"/>
      <c r="CC222" s="162"/>
      <c r="CD222" s="162"/>
      <c r="CE222" s="162"/>
      <c r="CF222" s="162"/>
      <c r="CG222" s="162"/>
      <c r="CH222" s="162"/>
      <c r="CI222" s="162"/>
      <c r="CJ222" s="162"/>
    </row>
    <row r="223" spans="1:88" ht="15.75" customHeight="1">
      <c r="A223" s="162"/>
      <c r="B223" s="163"/>
      <c r="C223" s="164"/>
      <c r="D223" s="162"/>
      <c r="E223" s="162"/>
      <c r="F223" s="162"/>
      <c r="G223" s="162"/>
      <c r="H223" s="162"/>
      <c r="I223" s="162"/>
      <c r="J223" s="162"/>
      <c r="K223" s="162"/>
      <c r="L223" s="162"/>
      <c r="T223" s="162"/>
      <c r="U223" s="162"/>
      <c r="V223" s="162"/>
      <c r="W223" s="162"/>
      <c r="X223" s="162"/>
      <c r="Y223" s="162"/>
      <c r="Z223" s="162"/>
      <c r="AA223" s="162"/>
      <c r="AB223" s="162"/>
      <c r="AC223" s="162"/>
      <c r="AD223" s="162"/>
      <c r="AE223" s="162"/>
      <c r="AG223" s="162"/>
      <c r="AH223" s="162"/>
      <c r="AI223" s="162"/>
      <c r="AJ223" s="162"/>
      <c r="AK223" s="162"/>
      <c r="AL223" s="162"/>
      <c r="AM223" s="162"/>
      <c r="AN223" s="162"/>
      <c r="AO223" s="162"/>
      <c r="AP223" s="162"/>
      <c r="AQ223" s="162"/>
      <c r="AR223" s="162"/>
      <c r="AS223" s="162"/>
      <c r="AT223" s="162"/>
      <c r="AU223" s="162"/>
      <c r="AV223" s="162"/>
      <c r="AW223" s="162"/>
      <c r="AX223" s="162"/>
      <c r="AY223" s="162"/>
      <c r="AZ223" s="162"/>
      <c r="BA223" s="162"/>
      <c r="BB223" s="171"/>
      <c r="BC223" s="162"/>
      <c r="BD223" s="171"/>
      <c r="BO223" s="162"/>
      <c r="BP223" s="162"/>
      <c r="BQ223" s="162"/>
      <c r="BR223" s="162"/>
      <c r="BS223" s="162"/>
      <c r="BT223" s="162"/>
      <c r="BU223" s="162"/>
      <c r="BV223" s="162"/>
      <c r="BW223" s="162"/>
      <c r="BX223" s="162"/>
      <c r="BY223" s="162"/>
      <c r="BZ223" s="162"/>
      <c r="CA223" s="162"/>
      <c r="CB223" s="162"/>
      <c r="CC223" s="162"/>
      <c r="CD223" s="162"/>
      <c r="CE223" s="162"/>
      <c r="CF223" s="162"/>
      <c r="CG223" s="162"/>
      <c r="CH223" s="162"/>
      <c r="CI223" s="162"/>
      <c r="CJ223" s="162"/>
    </row>
    <row r="224" spans="1:88" ht="15.75" customHeight="1">
      <c r="A224" s="162"/>
      <c r="B224" s="163"/>
      <c r="C224" s="164"/>
      <c r="D224" s="162"/>
      <c r="E224" s="162"/>
      <c r="F224" s="162"/>
      <c r="G224" s="162"/>
      <c r="H224" s="162"/>
      <c r="I224" s="162"/>
      <c r="J224" s="162"/>
      <c r="K224" s="162"/>
      <c r="L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G224" s="162"/>
      <c r="AH224" s="162"/>
      <c r="AI224" s="162"/>
      <c r="AJ224" s="162"/>
      <c r="AK224" s="162"/>
      <c r="AL224" s="162"/>
      <c r="AM224" s="162"/>
      <c r="AN224" s="162"/>
      <c r="AO224" s="162"/>
      <c r="AP224" s="162"/>
      <c r="AQ224" s="162"/>
      <c r="AR224" s="162"/>
      <c r="AS224" s="162"/>
      <c r="AT224" s="162"/>
      <c r="AU224" s="162"/>
      <c r="AV224" s="162"/>
      <c r="AW224" s="162"/>
      <c r="AX224" s="162"/>
      <c r="AY224" s="162"/>
      <c r="AZ224" s="162"/>
      <c r="BA224" s="162"/>
      <c r="BB224" s="171"/>
      <c r="BC224" s="162"/>
      <c r="BD224" s="171"/>
      <c r="BO224" s="162"/>
      <c r="BP224" s="162"/>
      <c r="BQ224" s="162"/>
      <c r="BR224" s="162"/>
      <c r="BS224" s="162"/>
      <c r="BT224" s="162"/>
      <c r="BU224" s="162"/>
      <c r="BV224" s="162"/>
      <c r="BW224" s="162"/>
      <c r="BX224" s="162"/>
      <c r="BY224" s="162"/>
      <c r="BZ224" s="162"/>
      <c r="CA224" s="162"/>
      <c r="CB224" s="162"/>
      <c r="CC224" s="162"/>
      <c r="CD224" s="162"/>
      <c r="CE224" s="162"/>
      <c r="CF224" s="162"/>
      <c r="CG224" s="162"/>
      <c r="CH224" s="162"/>
      <c r="CI224" s="162"/>
      <c r="CJ224" s="162"/>
    </row>
    <row r="225" spans="1:88" ht="15.75" customHeight="1">
      <c r="A225" s="162"/>
      <c r="B225" s="163"/>
      <c r="C225" s="164"/>
      <c r="D225" s="162"/>
      <c r="E225" s="162"/>
      <c r="F225" s="162"/>
      <c r="G225" s="162"/>
      <c r="H225" s="162"/>
      <c r="I225" s="162"/>
      <c r="J225" s="162"/>
      <c r="K225" s="162"/>
      <c r="L225" s="162"/>
      <c r="T225" s="162"/>
      <c r="U225" s="162"/>
      <c r="V225" s="162"/>
      <c r="W225" s="162"/>
      <c r="X225" s="162"/>
      <c r="Y225" s="162"/>
      <c r="Z225" s="162"/>
      <c r="AA225" s="162"/>
      <c r="AB225" s="162"/>
      <c r="AC225" s="162"/>
      <c r="AD225" s="162"/>
      <c r="AE225" s="162"/>
      <c r="AG225" s="162"/>
      <c r="AH225" s="162"/>
      <c r="AI225" s="162"/>
      <c r="AJ225" s="162"/>
      <c r="AK225" s="162"/>
      <c r="AL225" s="162"/>
      <c r="AM225" s="162"/>
      <c r="AN225" s="162"/>
      <c r="AO225" s="162"/>
      <c r="AP225" s="162"/>
      <c r="AQ225" s="162"/>
      <c r="AR225" s="162"/>
      <c r="AS225" s="162"/>
      <c r="AT225" s="162"/>
      <c r="AU225" s="162"/>
      <c r="AV225" s="162"/>
      <c r="AW225" s="162"/>
      <c r="AX225" s="162"/>
      <c r="AY225" s="162"/>
      <c r="AZ225" s="162"/>
      <c r="BA225" s="162"/>
      <c r="BB225" s="171"/>
      <c r="BC225" s="162"/>
      <c r="BD225" s="171"/>
      <c r="BO225" s="162"/>
      <c r="BP225" s="162"/>
      <c r="BQ225" s="162"/>
      <c r="BR225" s="162"/>
      <c r="BS225" s="162"/>
      <c r="BT225" s="162"/>
      <c r="BU225" s="162"/>
      <c r="BV225" s="162"/>
      <c r="BW225" s="162"/>
      <c r="BX225" s="162"/>
      <c r="BY225" s="162"/>
      <c r="BZ225" s="162"/>
      <c r="CA225" s="162"/>
      <c r="CB225" s="162"/>
      <c r="CC225" s="162"/>
      <c r="CD225" s="162"/>
      <c r="CE225" s="162"/>
      <c r="CF225" s="162"/>
      <c r="CG225" s="162"/>
      <c r="CH225" s="162"/>
      <c r="CI225" s="162"/>
      <c r="CJ225" s="162"/>
    </row>
    <row r="226" spans="1:88" ht="15.75" customHeight="1">
      <c r="A226" s="162"/>
      <c r="B226" s="163"/>
      <c r="C226" s="164"/>
      <c r="D226" s="162"/>
      <c r="E226" s="162"/>
      <c r="F226" s="162"/>
      <c r="G226" s="162"/>
      <c r="H226" s="162"/>
      <c r="I226" s="162"/>
      <c r="J226" s="162"/>
      <c r="K226" s="162"/>
      <c r="L226" s="162"/>
      <c r="T226" s="162"/>
      <c r="U226" s="162"/>
      <c r="V226" s="162"/>
      <c r="W226" s="162"/>
      <c r="X226" s="162"/>
      <c r="Y226" s="162"/>
      <c r="Z226" s="162"/>
      <c r="AA226" s="162"/>
      <c r="AB226" s="162"/>
      <c r="AC226" s="162"/>
      <c r="AD226" s="162"/>
      <c r="AE226" s="162"/>
      <c r="AG226" s="162"/>
      <c r="AH226" s="162"/>
      <c r="AI226" s="162"/>
      <c r="AJ226" s="162"/>
      <c r="AK226" s="162"/>
      <c r="AL226" s="162"/>
      <c r="AM226" s="162"/>
      <c r="AN226" s="162"/>
      <c r="AO226" s="162"/>
      <c r="AP226" s="162"/>
      <c r="AQ226" s="162"/>
      <c r="AR226" s="162"/>
      <c r="AS226" s="162"/>
      <c r="AT226" s="162"/>
      <c r="AU226" s="162"/>
      <c r="AV226" s="162"/>
      <c r="AW226" s="162"/>
      <c r="AX226" s="162"/>
      <c r="AY226" s="162"/>
      <c r="AZ226" s="162"/>
      <c r="BA226" s="162"/>
      <c r="BB226" s="171"/>
      <c r="BC226" s="162"/>
      <c r="BD226" s="171"/>
      <c r="BO226" s="162"/>
      <c r="BP226" s="162"/>
      <c r="BQ226" s="162"/>
      <c r="BR226" s="162"/>
      <c r="BS226" s="162"/>
      <c r="BT226" s="162"/>
      <c r="BU226" s="162"/>
      <c r="BV226" s="162"/>
      <c r="BW226" s="162"/>
      <c r="BX226" s="162"/>
      <c r="BY226" s="162"/>
      <c r="BZ226" s="162"/>
      <c r="CA226" s="162"/>
      <c r="CB226" s="162"/>
      <c r="CC226" s="162"/>
      <c r="CD226" s="162"/>
      <c r="CE226" s="162"/>
      <c r="CF226" s="162"/>
      <c r="CG226" s="162"/>
      <c r="CH226" s="162"/>
      <c r="CI226" s="162"/>
      <c r="CJ226" s="162"/>
    </row>
    <row r="227" spans="1:88" ht="15.75" customHeight="1">
      <c r="A227" s="162"/>
      <c r="B227" s="163"/>
      <c r="C227" s="164"/>
      <c r="D227" s="162"/>
      <c r="E227" s="162"/>
      <c r="F227" s="162"/>
      <c r="G227" s="162"/>
      <c r="H227" s="162"/>
      <c r="I227" s="162"/>
      <c r="J227" s="162"/>
      <c r="K227" s="162"/>
      <c r="L227" s="162"/>
      <c r="T227" s="162"/>
      <c r="U227" s="162"/>
      <c r="V227" s="162"/>
      <c r="W227" s="162"/>
      <c r="X227" s="162"/>
      <c r="Y227" s="162"/>
      <c r="Z227" s="162"/>
      <c r="AA227" s="162"/>
      <c r="AB227" s="162"/>
      <c r="AC227" s="162"/>
      <c r="AD227" s="162"/>
      <c r="AE227" s="162"/>
      <c r="AG227" s="162"/>
      <c r="AH227" s="162"/>
      <c r="AI227" s="162"/>
      <c r="AJ227" s="162"/>
      <c r="AK227" s="162"/>
      <c r="AL227" s="162"/>
      <c r="AM227" s="162"/>
      <c r="AN227" s="162"/>
      <c r="AO227" s="162"/>
      <c r="AP227" s="162"/>
      <c r="AQ227" s="162"/>
      <c r="AR227" s="162"/>
      <c r="AS227" s="162"/>
      <c r="AT227" s="162"/>
      <c r="AU227" s="162"/>
      <c r="AV227" s="162"/>
      <c r="AW227" s="162"/>
      <c r="AX227" s="162"/>
      <c r="AY227" s="162"/>
      <c r="AZ227" s="162"/>
      <c r="BA227" s="162"/>
      <c r="BB227" s="171"/>
      <c r="BC227" s="162"/>
      <c r="BD227" s="171"/>
      <c r="BO227" s="162"/>
      <c r="BP227" s="162"/>
      <c r="BQ227" s="162"/>
      <c r="BR227" s="162"/>
      <c r="BS227" s="162"/>
      <c r="BT227" s="162"/>
      <c r="BU227" s="162"/>
      <c r="BV227" s="162"/>
      <c r="BW227" s="162"/>
      <c r="BX227" s="162"/>
      <c r="BY227" s="162"/>
      <c r="BZ227" s="162"/>
      <c r="CA227" s="162"/>
      <c r="CB227" s="162"/>
      <c r="CC227" s="162"/>
      <c r="CD227" s="162"/>
      <c r="CE227" s="162"/>
      <c r="CF227" s="162"/>
      <c r="CG227" s="162"/>
      <c r="CH227" s="162"/>
      <c r="CI227" s="162"/>
      <c r="CJ227" s="162"/>
    </row>
    <row r="228" spans="1:88" ht="15.75" customHeight="1">
      <c r="A228" s="162"/>
      <c r="B228" s="163"/>
      <c r="C228" s="164"/>
      <c r="D228" s="162"/>
      <c r="E228" s="162"/>
      <c r="F228" s="162"/>
      <c r="G228" s="162"/>
      <c r="H228" s="162"/>
      <c r="I228" s="162"/>
      <c r="J228" s="162"/>
      <c r="K228" s="162"/>
      <c r="L228" s="162"/>
      <c r="T228" s="162"/>
      <c r="U228" s="162"/>
      <c r="V228" s="162"/>
      <c r="W228" s="162"/>
      <c r="X228" s="162"/>
      <c r="Y228" s="162"/>
      <c r="Z228" s="162"/>
      <c r="AA228" s="162"/>
      <c r="AB228" s="162"/>
      <c r="AC228" s="162"/>
      <c r="AD228" s="162"/>
      <c r="AE228" s="162"/>
      <c r="AG228" s="162"/>
      <c r="AH228" s="162"/>
      <c r="AI228" s="162"/>
      <c r="AJ228" s="162"/>
      <c r="AK228" s="162"/>
      <c r="AL228" s="162"/>
      <c r="AM228" s="162"/>
      <c r="AN228" s="162"/>
      <c r="AO228" s="162"/>
      <c r="AP228" s="162"/>
      <c r="AQ228" s="162"/>
      <c r="AR228" s="162"/>
      <c r="AS228" s="162"/>
      <c r="AT228" s="162"/>
      <c r="AU228" s="162"/>
      <c r="AV228" s="162"/>
      <c r="AW228" s="162"/>
      <c r="AX228" s="162"/>
      <c r="AY228" s="162"/>
      <c r="AZ228" s="162"/>
      <c r="BA228" s="162"/>
      <c r="BB228" s="171"/>
      <c r="BC228" s="162"/>
      <c r="BD228" s="171"/>
      <c r="BO228" s="162"/>
      <c r="BP228" s="162"/>
      <c r="BQ228" s="162"/>
      <c r="BR228" s="162"/>
      <c r="BS228" s="162"/>
      <c r="BT228" s="162"/>
      <c r="BU228" s="162"/>
      <c r="BV228" s="162"/>
      <c r="BW228" s="162"/>
      <c r="BX228" s="162"/>
      <c r="BY228" s="162"/>
      <c r="BZ228" s="162"/>
      <c r="CA228" s="162"/>
      <c r="CB228" s="162"/>
      <c r="CC228" s="162"/>
      <c r="CD228" s="162"/>
      <c r="CE228" s="162"/>
      <c r="CF228" s="162"/>
      <c r="CG228" s="162"/>
      <c r="CH228" s="162"/>
      <c r="CI228" s="162"/>
      <c r="CJ228" s="162"/>
    </row>
    <row r="229" spans="1:88" ht="15.75" customHeight="1">
      <c r="A229" s="162"/>
      <c r="B229" s="163"/>
      <c r="C229" s="164"/>
      <c r="D229" s="162"/>
      <c r="E229" s="162"/>
      <c r="F229" s="162"/>
      <c r="G229" s="162"/>
      <c r="H229" s="162"/>
      <c r="I229" s="162"/>
      <c r="J229" s="162"/>
      <c r="K229" s="162"/>
      <c r="L229" s="162"/>
      <c r="T229" s="162"/>
      <c r="U229" s="162"/>
      <c r="V229" s="162"/>
      <c r="W229" s="162"/>
      <c r="X229" s="162"/>
      <c r="Y229" s="162"/>
      <c r="Z229" s="162"/>
      <c r="AA229" s="162"/>
      <c r="AB229" s="162"/>
      <c r="AC229" s="162"/>
      <c r="AD229" s="162"/>
      <c r="AE229" s="162"/>
      <c r="AG229" s="162"/>
      <c r="AH229" s="162"/>
      <c r="AI229" s="162"/>
      <c r="AJ229" s="162"/>
      <c r="AK229" s="162"/>
      <c r="AL229" s="162"/>
      <c r="AM229" s="162"/>
      <c r="AN229" s="162"/>
      <c r="AO229" s="162"/>
      <c r="AP229" s="162"/>
      <c r="AQ229" s="162"/>
      <c r="AR229" s="162"/>
      <c r="AS229" s="162"/>
      <c r="AT229" s="162"/>
      <c r="AU229" s="162"/>
      <c r="AV229" s="162"/>
      <c r="AW229" s="162"/>
      <c r="AX229" s="162"/>
      <c r="AY229" s="162"/>
      <c r="AZ229" s="162"/>
      <c r="BA229" s="162"/>
      <c r="BB229" s="171"/>
      <c r="BC229" s="162"/>
      <c r="BD229" s="171"/>
      <c r="BO229" s="162"/>
      <c r="BP229" s="162"/>
      <c r="BQ229" s="162"/>
      <c r="BR229" s="162"/>
      <c r="BS229" s="162"/>
      <c r="BT229" s="162"/>
      <c r="BU229" s="162"/>
      <c r="BV229" s="162"/>
      <c r="BW229" s="162"/>
      <c r="BX229" s="162"/>
      <c r="BY229" s="162"/>
      <c r="BZ229" s="162"/>
      <c r="CA229" s="162"/>
      <c r="CB229" s="162"/>
      <c r="CC229" s="162"/>
      <c r="CD229" s="162"/>
      <c r="CE229" s="162"/>
      <c r="CF229" s="162"/>
      <c r="CG229" s="162"/>
      <c r="CH229" s="162"/>
      <c r="CI229" s="162"/>
      <c r="CJ229" s="162"/>
    </row>
    <row r="230" spans="1:88" ht="15.75" customHeight="1">
      <c r="A230" s="162"/>
      <c r="B230" s="163"/>
      <c r="C230" s="164"/>
      <c r="D230" s="162"/>
      <c r="E230" s="162"/>
      <c r="F230" s="162"/>
      <c r="G230" s="162"/>
      <c r="H230" s="162"/>
      <c r="I230" s="162"/>
      <c r="J230" s="162"/>
      <c r="K230" s="162"/>
      <c r="L230" s="162"/>
      <c r="T230" s="162"/>
      <c r="U230" s="162"/>
      <c r="V230" s="162"/>
      <c r="W230" s="162"/>
      <c r="X230" s="162"/>
      <c r="Y230" s="162"/>
      <c r="Z230" s="162"/>
      <c r="AA230" s="162"/>
      <c r="AB230" s="162"/>
      <c r="AC230" s="162"/>
      <c r="AD230" s="162"/>
      <c r="AE230" s="162"/>
      <c r="AG230" s="162"/>
      <c r="AH230" s="162"/>
      <c r="AI230" s="162"/>
      <c r="AJ230" s="162"/>
      <c r="AK230" s="162"/>
      <c r="AL230" s="162"/>
      <c r="AM230" s="162"/>
      <c r="AN230" s="162"/>
      <c r="AO230" s="162"/>
      <c r="AP230" s="162"/>
      <c r="AQ230" s="162"/>
      <c r="AR230" s="162"/>
      <c r="AS230" s="162"/>
      <c r="AT230" s="162"/>
      <c r="AU230" s="162"/>
      <c r="AV230" s="162"/>
      <c r="AW230" s="162"/>
      <c r="AX230" s="162"/>
      <c r="AY230" s="162"/>
      <c r="AZ230" s="162"/>
      <c r="BA230" s="162"/>
      <c r="BB230" s="171"/>
      <c r="BC230" s="162"/>
      <c r="BD230" s="171"/>
      <c r="BO230" s="162"/>
      <c r="BP230" s="162"/>
      <c r="BQ230" s="162"/>
      <c r="BR230" s="162"/>
      <c r="BS230" s="162"/>
      <c r="BT230" s="162"/>
      <c r="BU230" s="162"/>
      <c r="BV230" s="162"/>
      <c r="BW230" s="162"/>
      <c r="BX230" s="162"/>
      <c r="BY230" s="162"/>
      <c r="BZ230" s="162"/>
      <c r="CA230" s="162"/>
      <c r="CB230" s="162"/>
      <c r="CC230" s="162"/>
      <c r="CD230" s="162"/>
      <c r="CE230" s="162"/>
      <c r="CF230" s="162"/>
      <c r="CG230" s="162"/>
      <c r="CH230" s="162"/>
      <c r="CI230" s="162"/>
      <c r="CJ230" s="162"/>
    </row>
    <row r="231" spans="1:88" ht="15.75" customHeight="1">
      <c r="A231" s="162"/>
      <c r="B231" s="163"/>
      <c r="C231" s="164"/>
      <c r="D231" s="162"/>
      <c r="E231" s="162"/>
      <c r="F231" s="162"/>
      <c r="G231" s="162"/>
      <c r="H231" s="162"/>
      <c r="I231" s="162"/>
      <c r="J231" s="162"/>
      <c r="K231" s="162"/>
      <c r="L231" s="162"/>
      <c r="T231" s="162"/>
      <c r="U231" s="162"/>
      <c r="V231" s="162"/>
      <c r="W231" s="162"/>
      <c r="X231" s="162"/>
      <c r="Y231" s="162"/>
      <c r="Z231" s="162"/>
      <c r="AA231" s="162"/>
      <c r="AB231" s="162"/>
      <c r="AC231" s="162"/>
      <c r="AD231" s="162"/>
      <c r="AE231" s="162"/>
      <c r="AG231" s="162"/>
      <c r="AH231" s="162"/>
      <c r="AI231" s="162"/>
      <c r="AJ231" s="162"/>
      <c r="AK231" s="162"/>
      <c r="AL231" s="162"/>
      <c r="AM231" s="162"/>
      <c r="AN231" s="162"/>
      <c r="AO231" s="162"/>
      <c r="AP231" s="162"/>
      <c r="AQ231" s="162"/>
      <c r="AR231" s="162"/>
      <c r="AS231" s="162"/>
      <c r="AT231" s="162"/>
      <c r="AU231" s="162"/>
      <c r="AV231" s="162"/>
      <c r="AW231" s="162"/>
      <c r="AX231" s="162"/>
      <c r="AY231" s="162"/>
      <c r="AZ231" s="162"/>
      <c r="BA231" s="162"/>
      <c r="BB231" s="171"/>
      <c r="BC231" s="162"/>
      <c r="BD231" s="171"/>
      <c r="BO231" s="162"/>
      <c r="BP231" s="162"/>
      <c r="BQ231" s="162"/>
      <c r="BR231" s="162"/>
      <c r="BS231" s="162"/>
      <c r="BT231" s="162"/>
      <c r="BU231" s="162"/>
      <c r="BV231" s="162"/>
      <c r="BW231" s="162"/>
      <c r="BX231" s="162"/>
      <c r="BY231" s="162"/>
      <c r="BZ231" s="162"/>
      <c r="CA231" s="162"/>
      <c r="CB231" s="162"/>
      <c r="CC231" s="162"/>
      <c r="CD231" s="162"/>
      <c r="CE231" s="162"/>
      <c r="CF231" s="162"/>
      <c r="CG231" s="162"/>
      <c r="CH231" s="162"/>
      <c r="CI231" s="162"/>
      <c r="CJ231" s="162"/>
    </row>
    <row r="232" spans="1:88" ht="15.75" customHeight="1">
      <c r="A232" s="162"/>
      <c r="B232" s="163"/>
      <c r="C232" s="164"/>
      <c r="D232" s="162"/>
      <c r="E232" s="162"/>
      <c r="F232" s="162"/>
      <c r="G232" s="162"/>
      <c r="H232" s="162"/>
      <c r="I232" s="162"/>
      <c r="J232" s="162"/>
      <c r="K232" s="162"/>
      <c r="L232" s="162"/>
      <c r="T232" s="162"/>
      <c r="U232" s="162"/>
      <c r="V232" s="162"/>
      <c r="W232" s="162"/>
      <c r="X232" s="162"/>
      <c r="Y232" s="162"/>
      <c r="Z232" s="162"/>
      <c r="AA232" s="162"/>
      <c r="AB232" s="162"/>
      <c r="AC232" s="162"/>
      <c r="AD232" s="162"/>
      <c r="AE232" s="162"/>
      <c r="AG232" s="162"/>
      <c r="AH232" s="162"/>
      <c r="AI232" s="162"/>
      <c r="AJ232" s="162"/>
      <c r="AK232" s="162"/>
      <c r="AL232" s="162"/>
      <c r="AM232" s="162"/>
      <c r="AN232" s="162"/>
      <c r="AO232" s="162"/>
      <c r="AP232" s="162"/>
      <c r="AQ232" s="162"/>
      <c r="AR232" s="162"/>
      <c r="AS232" s="162"/>
      <c r="AT232" s="162"/>
      <c r="AU232" s="162"/>
      <c r="AV232" s="162"/>
      <c r="AW232" s="162"/>
      <c r="AX232" s="162"/>
      <c r="AY232" s="162"/>
      <c r="AZ232" s="162"/>
      <c r="BA232" s="162"/>
      <c r="BB232" s="171"/>
      <c r="BC232" s="162"/>
      <c r="BD232" s="171"/>
      <c r="BO232" s="162"/>
      <c r="BP232" s="162"/>
      <c r="BQ232" s="162"/>
      <c r="BR232" s="162"/>
      <c r="BS232" s="162"/>
      <c r="BT232" s="162"/>
      <c r="BU232" s="162"/>
      <c r="BV232" s="162"/>
      <c r="BW232" s="162"/>
      <c r="BX232" s="162"/>
      <c r="BY232" s="162"/>
      <c r="BZ232" s="162"/>
      <c r="CA232" s="162"/>
      <c r="CB232" s="162"/>
      <c r="CC232" s="162"/>
      <c r="CD232" s="162"/>
      <c r="CE232" s="162"/>
      <c r="CF232" s="162"/>
      <c r="CG232" s="162"/>
      <c r="CH232" s="162"/>
      <c r="CI232" s="162"/>
      <c r="CJ232" s="162"/>
    </row>
    <row r="233" spans="1:88" ht="15.75" customHeight="1">
      <c r="A233" s="162"/>
      <c r="B233" s="163"/>
      <c r="C233" s="164"/>
      <c r="D233" s="162"/>
      <c r="E233" s="162"/>
      <c r="F233" s="162"/>
      <c r="G233" s="162"/>
      <c r="H233" s="162"/>
      <c r="I233" s="162"/>
      <c r="J233" s="162"/>
      <c r="K233" s="162"/>
      <c r="L233" s="162"/>
      <c r="T233" s="162"/>
      <c r="U233" s="162"/>
      <c r="V233" s="162"/>
      <c r="W233" s="162"/>
      <c r="X233" s="162"/>
      <c r="Y233" s="162"/>
      <c r="Z233" s="162"/>
      <c r="AA233" s="162"/>
      <c r="AB233" s="162"/>
      <c r="AC233" s="162"/>
      <c r="AD233" s="162"/>
      <c r="AE233" s="162"/>
      <c r="AG233" s="162"/>
      <c r="AH233" s="162"/>
      <c r="AI233" s="162"/>
      <c r="AJ233" s="162"/>
      <c r="AK233" s="162"/>
      <c r="AL233" s="162"/>
      <c r="AM233" s="162"/>
      <c r="AN233" s="162"/>
      <c r="AO233" s="162"/>
      <c r="AP233" s="162"/>
      <c r="AQ233" s="162"/>
      <c r="AR233" s="162"/>
      <c r="AS233" s="162"/>
      <c r="AT233" s="162"/>
      <c r="AU233" s="162"/>
      <c r="AV233" s="162"/>
      <c r="AW233" s="162"/>
      <c r="AX233" s="162"/>
      <c r="AY233" s="162"/>
      <c r="AZ233" s="162"/>
      <c r="BA233" s="162"/>
      <c r="BB233" s="171"/>
      <c r="BC233" s="162"/>
      <c r="BD233" s="171"/>
      <c r="BO233" s="162"/>
      <c r="BP233" s="162"/>
      <c r="BQ233" s="162"/>
      <c r="BR233" s="162"/>
      <c r="BS233" s="162"/>
      <c r="BT233" s="162"/>
      <c r="BU233" s="162"/>
      <c r="BV233" s="162"/>
      <c r="BW233" s="162"/>
      <c r="BX233" s="162"/>
      <c r="BY233" s="162"/>
      <c r="BZ233" s="162"/>
      <c r="CA233" s="162"/>
      <c r="CB233" s="162"/>
      <c r="CC233" s="162"/>
      <c r="CD233" s="162"/>
      <c r="CE233" s="162"/>
      <c r="CF233" s="162"/>
      <c r="CG233" s="162"/>
      <c r="CH233" s="162"/>
      <c r="CI233" s="162"/>
      <c r="CJ233" s="162"/>
    </row>
    <row r="234" spans="1:88" ht="15.75" customHeight="1">
      <c r="A234" s="162"/>
      <c r="B234" s="163"/>
      <c r="C234" s="164"/>
      <c r="D234" s="162"/>
      <c r="E234" s="162"/>
      <c r="F234" s="162"/>
      <c r="G234" s="162"/>
      <c r="H234" s="162"/>
      <c r="I234" s="162"/>
      <c r="J234" s="162"/>
      <c r="K234" s="162"/>
      <c r="L234" s="162"/>
      <c r="T234" s="162"/>
      <c r="U234" s="162"/>
      <c r="V234" s="162"/>
      <c r="W234" s="162"/>
      <c r="X234" s="162"/>
      <c r="Y234" s="162"/>
      <c r="Z234" s="162"/>
      <c r="AA234" s="162"/>
      <c r="AB234" s="162"/>
      <c r="AC234" s="162"/>
      <c r="AD234" s="162"/>
      <c r="AE234" s="162"/>
      <c r="AG234" s="162"/>
      <c r="AH234" s="162"/>
      <c r="AI234" s="162"/>
      <c r="AJ234" s="162"/>
      <c r="AK234" s="162"/>
      <c r="AL234" s="162"/>
      <c r="AM234" s="162"/>
      <c r="AN234" s="162"/>
      <c r="AO234" s="162"/>
      <c r="AP234" s="162"/>
      <c r="AQ234" s="162"/>
      <c r="AR234" s="162"/>
      <c r="AS234" s="162"/>
      <c r="AT234" s="162"/>
      <c r="AU234" s="162"/>
      <c r="AV234" s="162"/>
      <c r="AW234" s="162"/>
      <c r="AX234" s="162"/>
      <c r="AY234" s="162"/>
      <c r="AZ234" s="162"/>
      <c r="BA234" s="162"/>
      <c r="BB234" s="171"/>
      <c r="BC234" s="162"/>
      <c r="BD234" s="171"/>
      <c r="BO234" s="162"/>
      <c r="BP234" s="162"/>
      <c r="BQ234" s="162"/>
      <c r="BR234" s="162"/>
      <c r="BS234" s="162"/>
      <c r="BT234" s="162"/>
      <c r="BU234" s="162"/>
      <c r="BV234" s="162"/>
      <c r="BW234" s="162"/>
      <c r="BX234" s="162"/>
      <c r="BY234" s="162"/>
      <c r="BZ234" s="162"/>
      <c r="CA234" s="162"/>
      <c r="CB234" s="162"/>
      <c r="CC234" s="162"/>
      <c r="CD234" s="162"/>
      <c r="CE234" s="162"/>
      <c r="CF234" s="162"/>
      <c r="CG234" s="162"/>
      <c r="CH234" s="162"/>
      <c r="CI234" s="162"/>
      <c r="CJ234" s="162"/>
    </row>
    <row r="235" spans="1:88" ht="15.75" customHeight="1">
      <c r="A235" s="162"/>
      <c r="B235" s="163"/>
      <c r="C235" s="164"/>
      <c r="D235" s="162"/>
      <c r="E235" s="162"/>
      <c r="F235" s="162"/>
      <c r="G235" s="162"/>
      <c r="H235" s="162"/>
      <c r="I235" s="162"/>
      <c r="J235" s="162"/>
      <c r="K235" s="162"/>
      <c r="L235" s="162"/>
      <c r="T235" s="162"/>
      <c r="U235" s="162"/>
      <c r="V235" s="162"/>
      <c r="W235" s="162"/>
      <c r="X235" s="162"/>
      <c r="Y235" s="162"/>
      <c r="Z235" s="162"/>
      <c r="AA235" s="162"/>
      <c r="AB235" s="162"/>
      <c r="AC235" s="162"/>
      <c r="AD235" s="162"/>
      <c r="AE235" s="162"/>
      <c r="AG235" s="162"/>
      <c r="AH235" s="162"/>
      <c r="AI235" s="162"/>
      <c r="AJ235" s="162"/>
      <c r="AK235" s="162"/>
      <c r="AL235" s="162"/>
      <c r="AM235" s="162"/>
      <c r="AN235" s="162"/>
      <c r="AO235" s="162"/>
      <c r="AP235" s="162"/>
      <c r="AQ235" s="162"/>
      <c r="AR235" s="162"/>
      <c r="AS235" s="162"/>
      <c r="AT235" s="162"/>
      <c r="AU235" s="162"/>
      <c r="AV235" s="162"/>
      <c r="AW235" s="162"/>
      <c r="AX235" s="162"/>
      <c r="AY235" s="162"/>
      <c r="AZ235" s="162"/>
      <c r="BA235" s="162"/>
      <c r="BB235" s="171"/>
      <c r="BC235" s="162"/>
      <c r="BD235" s="171"/>
      <c r="BO235" s="162"/>
      <c r="BP235" s="162"/>
      <c r="BQ235" s="162"/>
      <c r="BR235" s="162"/>
      <c r="BS235" s="162"/>
      <c r="BT235" s="162"/>
      <c r="BU235" s="162"/>
      <c r="BV235" s="162"/>
      <c r="BW235" s="162"/>
      <c r="BX235" s="162"/>
      <c r="BY235" s="162"/>
      <c r="BZ235" s="162"/>
      <c r="CA235" s="162"/>
      <c r="CB235" s="162"/>
      <c r="CC235" s="162"/>
      <c r="CD235" s="162"/>
      <c r="CE235" s="162"/>
      <c r="CF235" s="162"/>
      <c r="CG235" s="162"/>
      <c r="CH235" s="162"/>
      <c r="CI235" s="162"/>
      <c r="CJ235" s="162"/>
    </row>
    <row r="236" spans="1:88" ht="15.75" customHeight="1">
      <c r="A236" s="162"/>
      <c r="B236" s="163"/>
      <c r="C236" s="164"/>
      <c r="D236" s="162"/>
      <c r="E236" s="162"/>
      <c r="F236" s="162"/>
      <c r="G236" s="162"/>
      <c r="H236" s="162"/>
      <c r="I236" s="162"/>
      <c r="J236" s="162"/>
      <c r="K236" s="162"/>
      <c r="L236" s="162"/>
      <c r="T236" s="162"/>
      <c r="U236" s="162"/>
      <c r="V236" s="162"/>
      <c r="W236" s="162"/>
      <c r="X236" s="162"/>
      <c r="Y236" s="162"/>
      <c r="Z236" s="162"/>
      <c r="AA236" s="162"/>
      <c r="AB236" s="162"/>
      <c r="AC236" s="162"/>
      <c r="AD236" s="162"/>
      <c r="AE236" s="162"/>
      <c r="AG236" s="162"/>
      <c r="AH236" s="162"/>
      <c r="AI236" s="162"/>
      <c r="AJ236" s="162"/>
      <c r="AK236" s="162"/>
      <c r="AL236" s="162"/>
      <c r="AM236" s="162"/>
      <c r="AN236" s="162"/>
      <c r="AO236" s="162"/>
      <c r="AP236" s="162"/>
      <c r="AQ236" s="162"/>
      <c r="AR236" s="162"/>
      <c r="AS236" s="162"/>
      <c r="AT236" s="162"/>
      <c r="AU236" s="162"/>
      <c r="AV236" s="162"/>
      <c r="AW236" s="162"/>
      <c r="AX236" s="162"/>
      <c r="AY236" s="162"/>
      <c r="AZ236" s="162"/>
      <c r="BA236" s="162"/>
      <c r="BB236" s="171"/>
      <c r="BC236" s="162"/>
      <c r="BD236" s="171"/>
      <c r="BO236" s="162"/>
      <c r="BP236" s="162"/>
      <c r="BQ236" s="162"/>
      <c r="BR236" s="162"/>
      <c r="BS236" s="162"/>
      <c r="BT236" s="162"/>
      <c r="BU236" s="162"/>
      <c r="BV236" s="162"/>
      <c r="BW236" s="162"/>
      <c r="BX236" s="162"/>
      <c r="BY236" s="162"/>
      <c r="BZ236" s="162"/>
      <c r="CA236" s="162"/>
      <c r="CB236" s="162"/>
      <c r="CC236" s="162"/>
      <c r="CD236" s="162"/>
      <c r="CE236" s="162"/>
      <c r="CF236" s="162"/>
      <c r="CG236" s="162"/>
      <c r="CH236" s="162"/>
      <c r="CI236" s="162"/>
      <c r="CJ236" s="162"/>
    </row>
    <row r="237" spans="1:88" ht="15.75" customHeight="1">
      <c r="A237" s="162"/>
      <c r="B237" s="163"/>
      <c r="C237" s="164"/>
      <c r="D237" s="162"/>
      <c r="E237" s="162"/>
      <c r="F237" s="162"/>
      <c r="G237" s="162"/>
      <c r="H237" s="162"/>
      <c r="I237" s="162"/>
      <c r="J237" s="162"/>
      <c r="K237" s="162"/>
      <c r="L237" s="162"/>
      <c r="T237" s="162"/>
      <c r="U237" s="162"/>
      <c r="V237" s="162"/>
      <c r="W237" s="162"/>
      <c r="X237" s="162"/>
      <c r="Y237" s="162"/>
      <c r="Z237" s="162"/>
      <c r="AA237" s="162"/>
      <c r="AB237" s="162"/>
      <c r="AC237" s="162"/>
      <c r="AD237" s="162"/>
      <c r="AE237" s="162"/>
      <c r="AG237" s="162"/>
      <c r="AH237" s="162"/>
      <c r="AI237" s="162"/>
      <c r="AJ237" s="162"/>
      <c r="AK237" s="162"/>
      <c r="AL237" s="162"/>
      <c r="AM237" s="162"/>
      <c r="AN237" s="162"/>
      <c r="AO237" s="162"/>
      <c r="AP237" s="162"/>
      <c r="AQ237" s="162"/>
      <c r="AR237" s="162"/>
      <c r="AS237" s="162"/>
      <c r="AT237" s="162"/>
      <c r="AU237" s="162"/>
      <c r="AV237" s="162"/>
      <c r="AW237" s="162"/>
      <c r="AX237" s="162"/>
      <c r="AY237" s="162"/>
      <c r="AZ237" s="162"/>
      <c r="BA237" s="162"/>
      <c r="BB237" s="171"/>
      <c r="BC237" s="162"/>
      <c r="BD237" s="171"/>
      <c r="BO237" s="162"/>
      <c r="BP237" s="162"/>
      <c r="BQ237" s="162"/>
      <c r="BR237" s="162"/>
      <c r="BS237" s="162"/>
      <c r="BT237" s="162"/>
      <c r="BU237" s="162"/>
      <c r="BV237" s="162"/>
      <c r="BW237" s="162"/>
      <c r="BX237" s="162"/>
      <c r="BY237" s="162"/>
      <c r="BZ237" s="162"/>
      <c r="CA237" s="162"/>
      <c r="CB237" s="162"/>
      <c r="CC237" s="162"/>
      <c r="CD237" s="162"/>
      <c r="CE237" s="162"/>
      <c r="CF237" s="162"/>
      <c r="CG237" s="162"/>
      <c r="CH237" s="162"/>
      <c r="CI237" s="162"/>
      <c r="CJ237" s="162"/>
    </row>
    <row r="238" spans="1:88" ht="15.75" customHeight="1">
      <c r="A238" s="162"/>
      <c r="B238" s="163"/>
      <c r="C238" s="164"/>
      <c r="D238" s="162"/>
      <c r="E238" s="162"/>
      <c r="F238" s="162"/>
      <c r="G238" s="162"/>
      <c r="H238" s="162"/>
      <c r="I238" s="162"/>
      <c r="J238" s="162"/>
      <c r="K238" s="162"/>
      <c r="L238" s="162"/>
      <c r="T238" s="162"/>
      <c r="U238" s="162"/>
      <c r="V238" s="162"/>
      <c r="W238" s="162"/>
      <c r="X238" s="162"/>
      <c r="Y238" s="162"/>
      <c r="Z238" s="162"/>
      <c r="AA238" s="162"/>
      <c r="AB238" s="162"/>
      <c r="AC238" s="162"/>
      <c r="AD238" s="162"/>
      <c r="AE238" s="162"/>
      <c r="AG238" s="162"/>
      <c r="AH238" s="162"/>
      <c r="AI238" s="162"/>
      <c r="AJ238" s="162"/>
      <c r="AK238" s="162"/>
      <c r="AL238" s="162"/>
      <c r="AM238" s="162"/>
      <c r="AN238" s="162"/>
      <c r="AO238" s="162"/>
      <c r="AP238" s="162"/>
      <c r="AQ238" s="162"/>
      <c r="AR238" s="162"/>
      <c r="AS238" s="162"/>
      <c r="AT238" s="162"/>
      <c r="AU238" s="162"/>
      <c r="AV238" s="162"/>
      <c r="AW238" s="162"/>
      <c r="AX238" s="162"/>
      <c r="AY238" s="162"/>
      <c r="AZ238" s="162"/>
      <c r="BA238" s="162"/>
      <c r="BB238" s="171"/>
      <c r="BC238" s="162"/>
      <c r="BD238" s="171"/>
      <c r="BO238" s="162"/>
      <c r="BP238" s="162"/>
      <c r="BQ238" s="162"/>
      <c r="BR238" s="162"/>
      <c r="BS238" s="162"/>
      <c r="BT238" s="162"/>
      <c r="BU238" s="162"/>
      <c r="BV238" s="162"/>
      <c r="BW238" s="162"/>
      <c r="BX238" s="162"/>
      <c r="BY238" s="162"/>
      <c r="BZ238" s="162"/>
      <c r="CA238" s="162"/>
      <c r="CB238" s="162"/>
      <c r="CC238" s="162"/>
      <c r="CD238" s="162"/>
      <c r="CE238" s="162"/>
      <c r="CF238" s="162"/>
      <c r="CG238" s="162"/>
      <c r="CH238" s="162"/>
      <c r="CI238" s="162"/>
      <c r="CJ238" s="162"/>
    </row>
    <row r="239" spans="1:88" ht="15.75" customHeight="1">
      <c r="A239" s="162"/>
      <c r="B239" s="163"/>
      <c r="C239" s="164"/>
      <c r="D239" s="162"/>
      <c r="E239" s="162"/>
      <c r="F239" s="162"/>
      <c r="G239" s="162"/>
      <c r="H239" s="162"/>
      <c r="I239" s="162"/>
      <c r="J239" s="162"/>
      <c r="K239" s="162"/>
      <c r="L239" s="162"/>
      <c r="T239" s="162"/>
      <c r="U239" s="162"/>
      <c r="V239" s="162"/>
      <c r="W239" s="162"/>
      <c r="X239" s="162"/>
      <c r="Y239" s="162"/>
      <c r="Z239" s="162"/>
      <c r="AA239" s="162"/>
      <c r="AB239" s="162"/>
      <c r="AC239" s="162"/>
      <c r="AD239" s="162"/>
      <c r="AE239" s="162"/>
      <c r="AG239" s="162"/>
      <c r="AH239" s="162"/>
      <c r="AI239" s="162"/>
      <c r="AJ239" s="162"/>
      <c r="AK239" s="162"/>
      <c r="AL239" s="162"/>
      <c r="AM239" s="162"/>
      <c r="AN239" s="162"/>
      <c r="AO239" s="162"/>
      <c r="AP239" s="162"/>
      <c r="AQ239" s="162"/>
      <c r="AR239" s="162"/>
      <c r="AS239" s="162"/>
      <c r="AT239" s="162"/>
      <c r="AU239" s="162"/>
      <c r="AV239" s="162"/>
      <c r="AW239" s="162"/>
      <c r="AX239" s="162"/>
      <c r="AY239" s="162"/>
      <c r="AZ239" s="162"/>
      <c r="BA239" s="162"/>
      <c r="BB239" s="171"/>
      <c r="BC239" s="162"/>
      <c r="BD239" s="171"/>
      <c r="BO239" s="162"/>
      <c r="BP239" s="162"/>
      <c r="BQ239" s="162"/>
      <c r="BR239" s="162"/>
      <c r="BS239" s="162"/>
      <c r="BT239" s="162"/>
      <c r="BU239" s="162"/>
      <c r="BV239" s="162"/>
      <c r="BW239" s="162"/>
      <c r="BX239" s="162"/>
      <c r="BY239" s="162"/>
      <c r="BZ239" s="162"/>
      <c r="CA239" s="162"/>
      <c r="CB239" s="162"/>
      <c r="CC239" s="162"/>
      <c r="CD239" s="162"/>
      <c r="CE239" s="162"/>
      <c r="CF239" s="162"/>
      <c r="CG239" s="162"/>
      <c r="CH239" s="162"/>
      <c r="CI239" s="162"/>
      <c r="CJ239" s="162"/>
    </row>
    <row r="240" spans="1:88" ht="15.75" customHeight="1">
      <c r="A240" s="162"/>
      <c r="B240" s="163"/>
      <c r="C240" s="164"/>
      <c r="D240" s="162"/>
      <c r="E240" s="162"/>
      <c r="F240" s="162"/>
      <c r="G240" s="162"/>
      <c r="H240" s="162"/>
      <c r="I240" s="162"/>
      <c r="J240" s="162"/>
      <c r="K240" s="162"/>
      <c r="L240" s="162"/>
      <c r="T240" s="162"/>
      <c r="U240" s="162"/>
      <c r="V240" s="162"/>
      <c r="W240" s="162"/>
      <c r="X240" s="162"/>
      <c r="Y240" s="162"/>
      <c r="Z240" s="162"/>
      <c r="AA240" s="162"/>
      <c r="AB240" s="162"/>
      <c r="AC240" s="162"/>
      <c r="AD240" s="162"/>
      <c r="AE240" s="162"/>
      <c r="AG240" s="162"/>
      <c r="AH240" s="162"/>
      <c r="AI240" s="162"/>
      <c r="AJ240" s="162"/>
      <c r="AK240" s="162"/>
      <c r="AL240" s="162"/>
      <c r="AM240" s="162"/>
      <c r="AN240" s="162"/>
      <c r="AO240" s="162"/>
      <c r="AP240" s="162"/>
      <c r="AQ240" s="162"/>
      <c r="AR240" s="162"/>
      <c r="AS240" s="162"/>
      <c r="AT240" s="162"/>
      <c r="AU240" s="162"/>
      <c r="AV240" s="162"/>
      <c r="AW240" s="162"/>
      <c r="AX240" s="162"/>
      <c r="AY240" s="162"/>
      <c r="AZ240" s="162"/>
      <c r="BA240" s="162"/>
      <c r="BB240" s="171"/>
      <c r="BC240" s="162"/>
      <c r="BD240" s="171"/>
      <c r="BO240" s="162"/>
      <c r="BP240" s="162"/>
      <c r="BQ240" s="162"/>
      <c r="BR240" s="162"/>
      <c r="BS240" s="162"/>
      <c r="BT240" s="162"/>
      <c r="BU240" s="162"/>
      <c r="BV240" s="162"/>
      <c r="BW240" s="162"/>
      <c r="BX240" s="162"/>
      <c r="BY240" s="162"/>
      <c r="BZ240" s="162"/>
      <c r="CA240" s="162"/>
      <c r="CB240" s="162"/>
      <c r="CC240" s="162"/>
      <c r="CD240" s="162"/>
      <c r="CE240" s="162"/>
      <c r="CF240" s="162"/>
      <c r="CG240" s="162"/>
      <c r="CH240" s="162"/>
      <c r="CI240" s="162"/>
      <c r="CJ240" s="162"/>
    </row>
    <row r="241" spans="1:88" ht="15.75" customHeight="1">
      <c r="A241" s="162"/>
      <c r="B241" s="163"/>
      <c r="C241" s="164"/>
      <c r="D241" s="162"/>
      <c r="E241" s="162"/>
      <c r="F241" s="162"/>
      <c r="G241" s="162"/>
      <c r="H241" s="162"/>
      <c r="I241" s="162"/>
      <c r="J241" s="162"/>
      <c r="K241" s="162"/>
      <c r="L241" s="162"/>
      <c r="T241" s="162"/>
      <c r="U241" s="162"/>
      <c r="V241" s="162"/>
      <c r="W241" s="162"/>
      <c r="X241" s="162"/>
      <c r="Y241" s="162"/>
      <c r="Z241" s="162"/>
      <c r="AA241" s="162"/>
      <c r="AB241" s="162"/>
      <c r="AC241" s="162"/>
      <c r="AD241" s="162"/>
      <c r="AE241" s="162"/>
      <c r="AG241" s="162"/>
      <c r="AH241" s="162"/>
      <c r="AI241" s="162"/>
      <c r="AJ241" s="162"/>
      <c r="AK241" s="162"/>
      <c r="AL241" s="162"/>
      <c r="AM241" s="162"/>
      <c r="AN241" s="162"/>
      <c r="AO241" s="162"/>
      <c r="AP241" s="162"/>
      <c r="AQ241" s="162"/>
      <c r="AR241" s="162"/>
      <c r="AS241" s="162"/>
      <c r="AT241" s="162"/>
      <c r="AU241" s="162"/>
      <c r="AV241" s="162"/>
      <c r="AW241" s="162"/>
      <c r="AX241" s="162"/>
      <c r="AY241" s="162"/>
      <c r="AZ241" s="162"/>
      <c r="BA241" s="162"/>
      <c r="BB241" s="171"/>
      <c r="BC241" s="162"/>
      <c r="BD241" s="171"/>
      <c r="BO241" s="162"/>
      <c r="BP241" s="162"/>
      <c r="BQ241" s="162"/>
      <c r="BR241" s="162"/>
      <c r="BS241" s="162"/>
      <c r="BT241" s="162"/>
      <c r="BU241" s="162"/>
      <c r="BV241" s="162"/>
      <c r="BW241" s="162"/>
      <c r="BX241" s="162"/>
      <c r="BY241" s="162"/>
      <c r="BZ241" s="162"/>
      <c r="CA241" s="162"/>
      <c r="CB241" s="162"/>
      <c r="CC241" s="162"/>
      <c r="CD241" s="162"/>
      <c r="CE241" s="162"/>
      <c r="CF241" s="162"/>
      <c r="CG241" s="162"/>
      <c r="CH241" s="162"/>
      <c r="CI241" s="162"/>
      <c r="CJ241" s="162"/>
    </row>
    <row r="242" spans="1:88" ht="15.75" customHeight="1">
      <c r="A242" s="162"/>
      <c r="B242" s="163"/>
      <c r="C242" s="164"/>
      <c r="D242" s="162"/>
      <c r="E242" s="162"/>
      <c r="F242" s="162"/>
      <c r="G242" s="162"/>
      <c r="H242" s="162"/>
      <c r="I242" s="162"/>
      <c r="J242" s="162"/>
      <c r="K242" s="162"/>
      <c r="L242" s="162"/>
      <c r="T242" s="162"/>
      <c r="U242" s="162"/>
      <c r="V242" s="162"/>
      <c r="W242" s="162"/>
      <c r="X242" s="162"/>
      <c r="Y242" s="162"/>
      <c r="Z242" s="162"/>
      <c r="AA242" s="162"/>
      <c r="AB242" s="162"/>
      <c r="AC242" s="162"/>
      <c r="AD242" s="162"/>
      <c r="AE242" s="162"/>
      <c r="AG242" s="162"/>
      <c r="AH242" s="162"/>
      <c r="AI242" s="162"/>
      <c r="AJ242" s="162"/>
      <c r="AK242" s="162"/>
      <c r="AL242" s="162"/>
      <c r="AM242" s="162"/>
      <c r="AN242" s="162"/>
      <c r="AO242" s="162"/>
      <c r="AP242" s="162"/>
      <c r="AQ242" s="162"/>
      <c r="AR242" s="162"/>
      <c r="AS242" s="162"/>
      <c r="AT242" s="162"/>
      <c r="AU242" s="162"/>
      <c r="AV242" s="162"/>
      <c r="AW242" s="162"/>
      <c r="AX242" s="162"/>
      <c r="AY242" s="162"/>
      <c r="AZ242" s="162"/>
      <c r="BA242" s="162"/>
      <c r="BB242" s="171"/>
      <c r="BC242" s="162"/>
      <c r="BD242" s="171"/>
      <c r="BO242" s="162"/>
      <c r="BP242" s="162"/>
      <c r="BQ242" s="162"/>
      <c r="BR242" s="162"/>
      <c r="BS242" s="162"/>
      <c r="BT242" s="162"/>
      <c r="BU242" s="162"/>
      <c r="BV242" s="162"/>
      <c r="BW242" s="162"/>
      <c r="BX242" s="162"/>
      <c r="BY242" s="162"/>
      <c r="BZ242" s="162"/>
      <c r="CA242" s="162"/>
      <c r="CB242" s="162"/>
      <c r="CC242" s="162"/>
      <c r="CD242" s="162"/>
      <c r="CE242" s="162"/>
      <c r="CF242" s="162"/>
      <c r="CG242" s="162"/>
      <c r="CH242" s="162"/>
      <c r="CI242" s="162"/>
      <c r="CJ242" s="162"/>
    </row>
    <row r="243" spans="1:88" ht="15.75" customHeight="1">
      <c r="A243" s="162"/>
      <c r="B243" s="163"/>
      <c r="C243" s="164"/>
      <c r="D243" s="162"/>
      <c r="E243" s="162"/>
      <c r="F243" s="162"/>
      <c r="G243" s="162"/>
      <c r="H243" s="162"/>
      <c r="I243" s="162"/>
      <c r="J243" s="162"/>
      <c r="K243" s="162"/>
      <c r="L243" s="162"/>
      <c r="T243" s="162"/>
      <c r="U243" s="162"/>
      <c r="V243" s="162"/>
      <c r="W243" s="162"/>
      <c r="X243" s="162"/>
      <c r="Y243" s="162"/>
      <c r="Z243" s="162"/>
      <c r="AA243" s="162"/>
      <c r="AB243" s="162"/>
      <c r="AC243" s="162"/>
      <c r="AD243" s="162"/>
      <c r="AE243" s="162"/>
      <c r="AG243" s="162"/>
      <c r="AH243" s="162"/>
      <c r="AI243" s="162"/>
      <c r="AJ243" s="162"/>
      <c r="AK243" s="162"/>
      <c r="AL243" s="162"/>
      <c r="AM243" s="162"/>
      <c r="AN243" s="162"/>
      <c r="AO243" s="162"/>
      <c r="AP243" s="162"/>
      <c r="AQ243" s="162"/>
      <c r="AR243" s="162"/>
      <c r="AS243" s="162"/>
      <c r="AT243" s="162"/>
      <c r="AU243" s="162"/>
      <c r="AV243" s="162"/>
      <c r="AW243" s="162"/>
      <c r="AX243" s="162"/>
      <c r="AY243" s="162"/>
      <c r="AZ243" s="162"/>
      <c r="BA243" s="162"/>
      <c r="BB243" s="171"/>
      <c r="BC243" s="162"/>
      <c r="BD243" s="171"/>
      <c r="BO243" s="162"/>
      <c r="BP243" s="162"/>
      <c r="BQ243" s="162"/>
      <c r="BR243" s="162"/>
      <c r="BS243" s="162"/>
      <c r="BT243" s="162"/>
      <c r="BU243" s="162"/>
      <c r="BV243" s="162"/>
      <c r="BW243" s="162"/>
      <c r="BX243" s="162"/>
      <c r="BY243" s="162"/>
      <c r="BZ243" s="162"/>
      <c r="CA243" s="162"/>
      <c r="CB243" s="162"/>
      <c r="CC243" s="162"/>
      <c r="CD243" s="162"/>
      <c r="CE243" s="162"/>
      <c r="CF243" s="162"/>
      <c r="CG243" s="162"/>
      <c r="CH243" s="162"/>
      <c r="CI243" s="162"/>
      <c r="CJ243" s="162"/>
    </row>
    <row r="244" spans="1:88" ht="15.75" customHeight="1">
      <c r="A244" s="162"/>
      <c r="B244" s="163"/>
      <c r="C244" s="164"/>
      <c r="D244" s="162"/>
      <c r="E244" s="162"/>
      <c r="F244" s="162"/>
      <c r="G244" s="162"/>
      <c r="H244" s="162"/>
      <c r="I244" s="162"/>
      <c r="J244" s="162"/>
      <c r="K244" s="162"/>
      <c r="L244" s="162"/>
      <c r="T244" s="162"/>
      <c r="U244" s="162"/>
      <c r="V244" s="162"/>
      <c r="W244" s="162"/>
      <c r="X244" s="162"/>
      <c r="Y244" s="162"/>
      <c r="Z244" s="162"/>
      <c r="AA244" s="162"/>
      <c r="AB244" s="162"/>
      <c r="AC244" s="162"/>
      <c r="AD244" s="162"/>
      <c r="AE244" s="162"/>
      <c r="AG244" s="162"/>
      <c r="AH244" s="162"/>
      <c r="AI244" s="162"/>
      <c r="AJ244" s="162"/>
      <c r="AK244" s="162"/>
      <c r="AL244" s="162"/>
      <c r="AM244" s="162"/>
      <c r="AN244" s="162"/>
      <c r="AO244" s="162"/>
      <c r="AP244" s="162"/>
      <c r="AQ244" s="162"/>
      <c r="AR244" s="162"/>
      <c r="AS244" s="162"/>
      <c r="AT244" s="162"/>
      <c r="AU244" s="162"/>
      <c r="AV244" s="162"/>
      <c r="AW244" s="162"/>
      <c r="AX244" s="162"/>
      <c r="AY244" s="162"/>
      <c r="AZ244" s="162"/>
      <c r="BA244" s="162"/>
      <c r="BB244" s="171"/>
      <c r="BC244" s="162"/>
      <c r="BD244" s="171"/>
      <c r="BO244" s="162"/>
      <c r="BP244" s="162"/>
      <c r="BQ244" s="162"/>
      <c r="BR244" s="162"/>
      <c r="BS244" s="162"/>
      <c r="BT244" s="162"/>
      <c r="BU244" s="162"/>
      <c r="BV244" s="162"/>
      <c r="BW244" s="162"/>
      <c r="BX244" s="162"/>
      <c r="BY244" s="162"/>
      <c r="BZ244" s="162"/>
      <c r="CA244" s="162"/>
      <c r="CB244" s="162"/>
      <c r="CC244" s="162"/>
      <c r="CD244" s="162"/>
      <c r="CE244" s="162"/>
      <c r="CF244" s="162"/>
      <c r="CG244" s="162"/>
      <c r="CH244" s="162"/>
      <c r="CI244" s="162"/>
      <c r="CJ244" s="162"/>
    </row>
    <row r="245" spans="1:88" ht="15.75" customHeight="1">
      <c r="A245" s="162"/>
      <c r="B245" s="163"/>
      <c r="C245" s="164"/>
      <c r="D245" s="162"/>
      <c r="E245" s="162"/>
      <c r="F245" s="162"/>
      <c r="G245" s="162"/>
      <c r="H245" s="162"/>
      <c r="I245" s="162"/>
      <c r="J245" s="162"/>
      <c r="K245" s="162"/>
      <c r="L245" s="162"/>
      <c r="T245" s="162"/>
      <c r="U245" s="162"/>
      <c r="V245" s="162"/>
      <c r="W245" s="162"/>
      <c r="X245" s="162"/>
      <c r="Y245" s="162"/>
      <c r="Z245" s="162"/>
      <c r="AA245" s="162"/>
      <c r="AB245" s="162"/>
      <c r="AC245" s="162"/>
      <c r="AD245" s="162"/>
      <c r="AE245" s="162"/>
      <c r="AG245" s="162"/>
      <c r="AH245" s="162"/>
      <c r="AI245" s="162"/>
      <c r="AJ245" s="162"/>
      <c r="AK245" s="162"/>
      <c r="AL245" s="162"/>
      <c r="AM245" s="162"/>
      <c r="AN245" s="162"/>
      <c r="AO245" s="162"/>
      <c r="AP245" s="162"/>
      <c r="AQ245" s="162"/>
      <c r="AR245" s="162"/>
      <c r="AS245" s="162"/>
      <c r="AT245" s="162"/>
      <c r="AU245" s="162"/>
      <c r="AV245" s="162"/>
      <c r="AW245" s="162"/>
      <c r="AX245" s="162"/>
      <c r="AY245" s="162"/>
      <c r="AZ245" s="162"/>
      <c r="BA245" s="162"/>
      <c r="BB245" s="171"/>
      <c r="BC245" s="162"/>
      <c r="BD245" s="171"/>
      <c r="BO245" s="162"/>
      <c r="BP245" s="162"/>
      <c r="BQ245" s="162"/>
      <c r="BR245" s="162"/>
      <c r="BS245" s="162"/>
      <c r="BT245" s="162"/>
      <c r="BU245" s="162"/>
      <c r="BV245" s="162"/>
      <c r="BW245" s="162"/>
      <c r="BX245" s="162"/>
      <c r="BY245" s="162"/>
      <c r="BZ245" s="162"/>
      <c r="CA245" s="162"/>
      <c r="CB245" s="162"/>
      <c r="CC245" s="162"/>
      <c r="CD245" s="162"/>
      <c r="CE245" s="162"/>
      <c r="CF245" s="162"/>
      <c r="CG245" s="162"/>
      <c r="CH245" s="162"/>
      <c r="CI245" s="162"/>
      <c r="CJ245" s="162"/>
    </row>
    <row r="246" spans="1:88" ht="15.75" customHeight="1">
      <c r="A246" s="162"/>
      <c r="B246" s="163"/>
      <c r="C246" s="164"/>
      <c r="D246" s="162"/>
      <c r="E246" s="162"/>
      <c r="F246" s="162"/>
      <c r="G246" s="162"/>
      <c r="H246" s="162"/>
      <c r="I246" s="162"/>
      <c r="J246" s="162"/>
      <c r="K246" s="162"/>
      <c r="L246" s="162"/>
      <c r="T246" s="162"/>
      <c r="U246" s="162"/>
      <c r="V246" s="162"/>
      <c r="W246" s="162"/>
      <c r="X246" s="162"/>
      <c r="Y246" s="162"/>
      <c r="Z246" s="162"/>
      <c r="AA246" s="162"/>
      <c r="AB246" s="162"/>
      <c r="AC246" s="162"/>
      <c r="AD246" s="162"/>
      <c r="AE246" s="162"/>
      <c r="AG246" s="162"/>
      <c r="AH246" s="162"/>
      <c r="AI246" s="162"/>
      <c r="AJ246" s="162"/>
      <c r="AK246" s="162"/>
      <c r="AL246" s="162"/>
      <c r="AM246" s="162"/>
      <c r="AN246" s="162"/>
      <c r="AO246" s="162"/>
      <c r="AP246" s="162"/>
      <c r="AQ246" s="162"/>
      <c r="AR246" s="162"/>
      <c r="AS246" s="162"/>
      <c r="AT246" s="162"/>
      <c r="AU246" s="162"/>
      <c r="AV246" s="162"/>
      <c r="AW246" s="162"/>
      <c r="AX246" s="162"/>
      <c r="AY246" s="162"/>
      <c r="AZ246" s="162"/>
      <c r="BA246" s="162"/>
      <c r="BB246" s="171"/>
      <c r="BC246" s="162"/>
      <c r="BD246" s="171"/>
      <c r="BO246" s="162"/>
      <c r="BP246" s="162"/>
      <c r="BQ246" s="162"/>
      <c r="BR246" s="162"/>
      <c r="BS246" s="162"/>
      <c r="BT246" s="162"/>
      <c r="BU246" s="162"/>
      <c r="BV246" s="162"/>
      <c r="BW246" s="162"/>
      <c r="BX246" s="162"/>
      <c r="BY246" s="162"/>
      <c r="BZ246" s="162"/>
      <c r="CA246" s="162"/>
      <c r="CB246" s="162"/>
      <c r="CC246" s="162"/>
      <c r="CD246" s="162"/>
      <c r="CE246" s="162"/>
      <c r="CF246" s="162"/>
      <c r="CG246" s="162"/>
      <c r="CH246" s="162"/>
      <c r="CI246" s="162"/>
      <c r="CJ246" s="162"/>
    </row>
    <row r="247" spans="1:88" ht="15.75" customHeight="1">
      <c r="A247" s="162"/>
      <c r="B247" s="163"/>
      <c r="C247" s="164"/>
      <c r="D247" s="162"/>
      <c r="E247" s="162"/>
      <c r="F247" s="162"/>
      <c r="G247" s="162"/>
      <c r="H247" s="162"/>
      <c r="I247" s="162"/>
      <c r="J247" s="162"/>
      <c r="K247" s="162"/>
      <c r="L247" s="162"/>
      <c r="T247" s="162"/>
      <c r="U247" s="162"/>
      <c r="V247" s="162"/>
      <c r="W247" s="162"/>
      <c r="X247" s="162"/>
      <c r="Y247" s="162"/>
      <c r="Z247" s="162"/>
      <c r="AA247" s="162"/>
      <c r="AB247" s="162"/>
      <c r="AC247" s="162"/>
      <c r="AD247" s="162"/>
      <c r="AE247" s="162"/>
      <c r="AG247" s="162"/>
      <c r="AH247" s="162"/>
      <c r="AI247" s="162"/>
      <c r="AJ247" s="162"/>
      <c r="AK247" s="162"/>
      <c r="AL247" s="162"/>
      <c r="AM247" s="162"/>
      <c r="AN247" s="162"/>
      <c r="AO247" s="162"/>
      <c r="AP247" s="162"/>
      <c r="AQ247" s="162"/>
      <c r="AR247" s="162"/>
      <c r="AS247" s="162"/>
      <c r="AT247" s="162"/>
      <c r="AU247" s="162"/>
      <c r="AV247" s="162"/>
      <c r="AW247" s="162"/>
      <c r="AX247" s="162"/>
      <c r="AY247" s="162"/>
      <c r="AZ247" s="162"/>
      <c r="BA247" s="162"/>
      <c r="BB247" s="171"/>
      <c r="BC247" s="162"/>
      <c r="BD247" s="171"/>
      <c r="CB247" s="162"/>
      <c r="CC247" s="162"/>
      <c r="CD247" s="162"/>
      <c r="CE247" s="162"/>
      <c r="CF247" s="162"/>
      <c r="CH247" s="162"/>
      <c r="CI247" s="162"/>
      <c r="CJ247" s="162"/>
    </row>
    <row r="248" spans="1:88" ht="15.75" customHeight="1"/>
    <row r="249" spans="1:88" ht="15.75" customHeight="1"/>
    <row r="250" spans="1:88" ht="15.75" customHeight="1"/>
    <row r="251" spans="1:88" ht="15.75" customHeight="1"/>
    <row r="252" spans="1:88" ht="15.75" customHeight="1"/>
    <row r="253" spans="1:88" ht="15.75" customHeight="1"/>
    <row r="254" spans="1:88" ht="15.75" customHeight="1"/>
    <row r="255" spans="1:88" ht="15.75" customHeight="1"/>
    <row r="256" spans="1:88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D50:K54"/>
    <mergeCell ref="L50:S54"/>
    <mergeCell ref="T50:Z54"/>
    <mergeCell ref="AF50:AM54"/>
    <mergeCell ref="AN3:AR3"/>
    <mergeCell ref="AS3:AZ3"/>
    <mergeCell ref="BO3:BV3"/>
    <mergeCell ref="BW3:CC3"/>
    <mergeCell ref="CD3:CJ3"/>
    <mergeCell ref="AN39:AO39"/>
    <mergeCell ref="B3:B4"/>
    <mergeCell ref="D3:K3"/>
    <mergeCell ref="L3:S3"/>
    <mergeCell ref="T3:Z3"/>
    <mergeCell ref="AA3:AE3"/>
    <mergeCell ref="AF3:AM3"/>
  </mergeCells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２０２５.05</vt:lpstr>
      <vt:lpstr>2025.06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Nouvell Pousse</dc:creator>
  <cp:lastModifiedBy>Nouvell Pousse</cp:lastModifiedBy>
  <dcterms:created xsi:type="dcterms:W3CDTF">2026-02-11T11:00:44Z</dcterms:created>
  <dcterms:modified xsi:type="dcterms:W3CDTF">2026-02-11T11:06:09Z</dcterms:modified>
</cp:coreProperties>
</file>