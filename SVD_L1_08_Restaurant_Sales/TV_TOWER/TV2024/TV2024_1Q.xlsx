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iiga/Desktop/"/>
    </mc:Choice>
  </mc:AlternateContent>
  <xr:revisionPtr revIDLastSave="0" documentId="8_{A6F2492A-E531-7E4A-949C-A0458188734C}" xr6:coauthVersionLast="47" xr6:coauthVersionMax="47" xr10:uidLastSave="{00000000-0000-0000-0000-000000000000}"/>
  <bookViews>
    <workbookView xWindow="14240" yWindow="1840" windowWidth="28300" windowHeight="17360" activeTab="2" xr2:uid="{15024F66-E2BF-6F49-8CC8-0E05278B4F0D}"/>
  </bookViews>
  <sheets>
    <sheet name="2024.04" sheetId="1" r:id="rId1"/>
    <sheet name="2024.05" sheetId="2" r:id="rId2"/>
    <sheet name="2024.06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0" i="3" l="1"/>
  <c r="BH70" i="3"/>
  <c r="BI69" i="3"/>
  <c r="BH69" i="3"/>
  <c r="BJ69" i="3" s="1"/>
  <c r="BJ68" i="3"/>
  <c r="BI68" i="3"/>
  <c r="BH68" i="3"/>
  <c r="BI67" i="3"/>
  <c r="BH67" i="3"/>
  <c r="BJ67" i="3" s="1"/>
  <c r="BI66" i="3"/>
  <c r="BH66" i="3"/>
  <c r="BJ66" i="3" s="1"/>
  <c r="BI65" i="3"/>
  <c r="BH65" i="3"/>
  <c r="BJ65" i="3" s="1"/>
  <c r="BI64" i="3"/>
  <c r="BH64" i="3"/>
  <c r="BJ64" i="3" s="1"/>
  <c r="BI63" i="3"/>
  <c r="BH63" i="3"/>
  <c r="BJ63" i="3" s="1"/>
  <c r="BI62" i="3"/>
  <c r="BH62" i="3"/>
  <c r="BJ62" i="3" s="1"/>
  <c r="BI61" i="3"/>
  <c r="BH61" i="3"/>
  <c r="BJ61" i="3" s="1"/>
  <c r="BI60" i="3"/>
  <c r="BJ60" i="3" s="1"/>
  <c r="BH60" i="3"/>
  <c r="BI59" i="3"/>
  <c r="BH59" i="3"/>
  <c r="BJ59" i="3" s="1"/>
  <c r="BI58" i="3"/>
  <c r="BJ58" i="3" s="1"/>
  <c r="BH58" i="3"/>
  <c r="BI57" i="3"/>
  <c r="BH57" i="3"/>
  <c r="BI56" i="3"/>
  <c r="BH56" i="3"/>
  <c r="BJ56" i="3" s="1"/>
  <c r="Y56" i="3"/>
  <c r="X57" i="3" s="1"/>
  <c r="BI55" i="3"/>
  <c r="BH55" i="3"/>
  <c r="BJ55" i="3" s="1"/>
  <c r="AW55" i="3"/>
  <c r="AV55" i="3"/>
  <c r="AT55" i="3"/>
  <c r="AS55" i="3"/>
  <c r="BI54" i="3"/>
  <c r="BH54" i="3"/>
  <c r="BJ54" i="3" s="1"/>
  <c r="Y54" i="3"/>
  <c r="BI53" i="3"/>
  <c r="BH53" i="3"/>
  <c r="X53" i="3"/>
  <c r="BJ52" i="3"/>
  <c r="BI52" i="3"/>
  <c r="BH52" i="3"/>
  <c r="Y52" i="3"/>
  <c r="X52" i="3"/>
  <c r="BI51" i="3"/>
  <c r="BJ51" i="3" s="1"/>
  <c r="BH51" i="3"/>
  <c r="BI50" i="3"/>
  <c r="BH50" i="3"/>
  <c r="AQ49" i="3"/>
  <c r="AQ50" i="3" s="1"/>
  <c r="AE49" i="3"/>
  <c r="S48" i="3"/>
  <c r="Q48" i="3"/>
  <c r="K48" i="3"/>
  <c r="I48" i="3"/>
  <c r="K46" i="3"/>
  <c r="BG45" i="3"/>
  <c r="W45" i="3"/>
  <c r="BG44" i="3"/>
  <c r="BA44" i="3"/>
  <c r="BE43" i="3"/>
  <c r="BG43" i="3" s="1"/>
  <c r="V41" i="3"/>
  <c r="AQ38" i="3"/>
  <c r="AA38" i="3"/>
  <c r="AI38" i="3" s="1"/>
  <c r="O38" i="3"/>
  <c r="U38" i="3" s="1"/>
  <c r="AU37" i="3"/>
  <c r="AK37" i="3"/>
  <c r="AC37" i="3"/>
  <c r="AD37" i="3" s="1"/>
  <c r="AB37" i="3"/>
  <c r="BI36" i="3"/>
  <c r="BH36" i="3"/>
  <c r="BG36" i="3"/>
  <c r="BF36" i="3"/>
  <c r="BE36" i="3"/>
  <c r="BD36" i="3"/>
  <c r="BC36" i="3"/>
  <c r="AU36" i="3"/>
  <c r="AS36" i="3"/>
  <c r="AS37" i="3" s="1"/>
  <c r="BE42" i="3" s="1"/>
  <c r="BE46" i="3" s="1"/>
  <c r="AQ36" i="3"/>
  <c r="AQ37" i="3" s="1"/>
  <c r="AR37" i="3" s="1"/>
  <c r="AP36" i="3"/>
  <c r="AO36" i="3"/>
  <c r="AK36" i="3"/>
  <c r="AI36" i="3"/>
  <c r="AI37" i="3" s="1"/>
  <c r="AJ37" i="3" s="1"/>
  <c r="AH36" i="3"/>
  <c r="AG36" i="3"/>
  <c r="AD36" i="3"/>
  <c r="AC36" i="3"/>
  <c r="AB36" i="3"/>
  <c r="AA36" i="3"/>
  <c r="AA37" i="3" s="1"/>
  <c r="Z36" i="3"/>
  <c r="Y36" i="3"/>
  <c r="X36" i="3"/>
  <c r="L36" i="3"/>
  <c r="H36" i="3"/>
  <c r="H37" i="3" s="1"/>
  <c r="I37" i="3" s="1"/>
  <c r="G36" i="3"/>
  <c r="F36" i="3"/>
  <c r="F37" i="3" s="1"/>
  <c r="E36" i="3"/>
  <c r="F38" i="3" s="1"/>
  <c r="D36" i="3"/>
  <c r="C36" i="3"/>
  <c r="BJ35" i="3"/>
  <c r="BL35" i="3" s="1"/>
  <c r="BB35" i="3"/>
  <c r="AX35" i="3"/>
  <c r="AW35" i="3"/>
  <c r="AV35" i="3"/>
  <c r="AT35" i="3"/>
  <c r="AR35" i="3"/>
  <c r="AN35" i="3"/>
  <c r="AM35" i="3"/>
  <c r="AL35" i="3"/>
  <c r="AJ35" i="3"/>
  <c r="AF35" i="3"/>
  <c r="AE35" i="3"/>
  <c r="AD35" i="3"/>
  <c r="AB35" i="3"/>
  <c r="V35" i="3"/>
  <c r="AZ35" i="3" s="1"/>
  <c r="T35" i="3"/>
  <c r="P35" i="3"/>
  <c r="Q35" i="3" s="1"/>
  <c r="N35" i="3"/>
  <c r="R35" i="3" s="1"/>
  <c r="M35" i="3"/>
  <c r="S35" i="3" s="1"/>
  <c r="K35" i="3"/>
  <c r="J35" i="3"/>
  <c r="W35" i="3" s="1"/>
  <c r="BA35" i="3" s="1"/>
  <c r="I35" i="3"/>
  <c r="G35" i="3"/>
  <c r="BL34" i="3"/>
  <c r="BJ34" i="3"/>
  <c r="BB34" i="3"/>
  <c r="AV34" i="3"/>
  <c r="AW34" i="3" s="1"/>
  <c r="AT34" i="3"/>
  <c r="AR34" i="3"/>
  <c r="AN34" i="3"/>
  <c r="AM34" i="3"/>
  <c r="AL34" i="3"/>
  <c r="AJ34" i="3"/>
  <c r="AE34" i="3"/>
  <c r="AF34" i="3" s="1"/>
  <c r="AD34" i="3"/>
  <c r="AB34" i="3"/>
  <c r="V34" i="3"/>
  <c r="AZ34" i="3" s="1"/>
  <c r="T34" i="3"/>
  <c r="P34" i="3"/>
  <c r="Q34" i="3" s="1"/>
  <c r="N34" i="3"/>
  <c r="M34" i="3"/>
  <c r="AX34" i="3" s="1"/>
  <c r="J34" i="3"/>
  <c r="K34" i="3" s="1"/>
  <c r="I34" i="3"/>
  <c r="G34" i="3"/>
  <c r="BL33" i="3"/>
  <c r="BJ33" i="3"/>
  <c r="BB33" i="3"/>
  <c r="AX33" i="3"/>
  <c r="AV33" i="3"/>
  <c r="AW33" i="3" s="1"/>
  <c r="AT33" i="3"/>
  <c r="AR33" i="3"/>
  <c r="AM33" i="3"/>
  <c r="AN33" i="3" s="1"/>
  <c r="AL33" i="3"/>
  <c r="AJ33" i="3"/>
  <c r="AE33" i="3"/>
  <c r="AF33" i="3" s="1"/>
  <c r="AD33" i="3"/>
  <c r="AB33" i="3"/>
  <c r="V33" i="3"/>
  <c r="AZ33" i="3" s="1"/>
  <c r="U33" i="3"/>
  <c r="AY33" i="3" s="1"/>
  <c r="T33" i="3"/>
  <c r="S33" i="3"/>
  <c r="R33" i="3"/>
  <c r="P33" i="3"/>
  <c r="N33" i="3"/>
  <c r="M33" i="3"/>
  <c r="Q33" i="3" s="1"/>
  <c r="K33" i="3"/>
  <c r="J33" i="3"/>
  <c r="W33" i="3" s="1"/>
  <c r="BA33" i="3" s="1"/>
  <c r="I33" i="3"/>
  <c r="G33" i="3"/>
  <c r="BJ32" i="3"/>
  <c r="BL32" i="3" s="1"/>
  <c r="BB32" i="3"/>
  <c r="AX32" i="3"/>
  <c r="AW32" i="3"/>
  <c r="AV32" i="3"/>
  <c r="AT32" i="3"/>
  <c r="AR32" i="3"/>
  <c r="AM32" i="3"/>
  <c r="AN32" i="3" s="1"/>
  <c r="AL32" i="3"/>
  <c r="AJ32" i="3"/>
  <c r="AE32" i="3"/>
  <c r="AF32" i="3" s="1"/>
  <c r="AD32" i="3"/>
  <c r="AB32" i="3"/>
  <c r="V32" i="3"/>
  <c r="AZ32" i="3" s="1"/>
  <c r="U32" i="3"/>
  <c r="AY32" i="3" s="1"/>
  <c r="T32" i="3"/>
  <c r="S32" i="3"/>
  <c r="R32" i="3"/>
  <c r="Q32" i="3"/>
  <c r="P32" i="3"/>
  <c r="N32" i="3"/>
  <c r="O32" i="3" s="1"/>
  <c r="M32" i="3"/>
  <c r="J32" i="3"/>
  <c r="W32" i="3" s="1"/>
  <c r="BA32" i="3" s="1"/>
  <c r="I32" i="3"/>
  <c r="G32" i="3"/>
  <c r="BJ31" i="3"/>
  <c r="BL31" i="3" s="1"/>
  <c r="BB31" i="3"/>
  <c r="AX31" i="3"/>
  <c r="AV31" i="3"/>
  <c r="AW31" i="3" s="1"/>
  <c r="AT31" i="3"/>
  <c r="AR31" i="3"/>
  <c r="AN31" i="3"/>
  <c r="AM31" i="3"/>
  <c r="AL31" i="3"/>
  <c r="AJ31" i="3"/>
  <c r="AF31" i="3"/>
  <c r="AE31" i="3"/>
  <c r="AD31" i="3"/>
  <c r="AB31" i="3"/>
  <c r="V31" i="3"/>
  <c r="AZ31" i="3" s="1"/>
  <c r="U31" i="3"/>
  <c r="AY31" i="3" s="1"/>
  <c r="T31" i="3"/>
  <c r="P31" i="3"/>
  <c r="R31" i="3" s="1"/>
  <c r="W31" i="3" s="1"/>
  <c r="BA31" i="3" s="1"/>
  <c r="O31" i="3"/>
  <c r="N31" i="3"/>
  <c r="M31" i="3"/>
  <c r="J31" i="3"/>
  <c r="K31" i="3" s="1"/>
  <c r="I31" i="3"/>
  <c r="G31" i="3"/>
  <c r="BJ30" i="3"/>
  <c r="BL30" i="3" s="1"/>
  <c r="BB30" i="3"/>
  <c r="AX30" i="3"/>
  <c r="AV30" i="3"/>
  <c r="AW30" i="3" s="1"/>
  <c r="AT30" i="3"/>
  <c r="AR30" i="3"/>
  <c r="AN30" i="3"/>
  <c r="AM30" i="3"/>
  <c r="AL30" i="3"/>
  <c r="AJ30" i="3"/>
  <c r="AF30" i="3"/>
  <c r="AE30" i="3"/>
  <c r="AD30" i="3"/>
  <c r="AB30" i="3"/>
  <c r="U30" i="3"/>
  <c r="AY30" i="3" s="1"/>
  <c r="T30" i="3"/>
  <c r="R30" i="3"/>
  <c r="S30" i="3" s="1"/>
  <c r="P30" i="3"/>
  <c r="V30" i="3" s="1"/>
  <c r="AZ30" i="3" s="1"/>
  <c r="O30" i="3"/>
  <c r="N30" i="3"/>
  <c r="M30" i="3"/>
  <c r="J30" i="3"/>
  <c r="K30" i="3" s="1"/>
  <c r="I30" i="3"/>
  <c r="G30" i="3"/>
  <c r="BJ29" i="3"/>
  <c r="BL29" i="3" s="1"/>
  <c r="BB29" i="3"/>
  <c r="AZ29" i="3"/>
  <c r="AV29" i="3"/>
  <c r="AW29" i="3" s="1"/>
  <c r="AT29" i="3"/>
  <c r="AR29" i="3"/>
  <c r="AM29" i="3"/>
  <c r="AN29" i="3" s="1"/>
  <c r="AL29" i="3"/>
  <c r="AJ29" i="3"/>
  <c r="AF29" i="3"/>
  <c r="AE29" i="3"/>
  <c r="AD29" i="3"/>
  <c r="AB29" i="3"/>
  <c r="T29" i="3"/>
  <c r="P29" i="3"/>
  <c r="V29" i="3" s="1"/>
  <c r="N29" i="3"/>
  <c r="M29" i="3"/>
  <c r="AX29" i="3" s="1"/>
  <c r="J29" i="3"/>
  <c r="K29" i="3" s="1"/>
  <c r="I29" i="3"/>
  <c r="G29" i="3"/>
  <c r="BJ28" i="3"/>
  <c r="BL28" i="3" s="1"/>
  <c r="BB28" i="3"/>
  <c r="AV28" i="3"/>
  <c r="AW28" i="3" s="1"/>
  <c r="AT28" i="3"/>
  <c r="AR28" i="3"/>
  <c r="AN28" i="3"/>
  <c r="AM28" i="3"/>
  <c r="AL28" i="3"/>
  <c r="AJ28" i="3"/>
  <c r="AE28" i="3"/>
  <c r="AF28" i="3" s="1"/>
  <c r="AD28" i="3"/>
  <c r="AB28" i="3"/>
  <c r="P28" i="3"/>
  <c r="N28" i="3"/>
  <c r="M28" i="3"/>
  <c r="K28" i="3"/>
  <c r="J28" i="3"/>
  <c r="I28" i="3"/>
  <c r="G28" i="3"/>
  <c r="BL27" i="3"/>
  <c r="BJ27" i="3"/>
  <c r="BB27" i="3"/>
  <c r="AZ27" i="3"/>
  <c r="AY27" i="3"/>
  <c r="AX27" i="3"/>
  <c r="AW27" i="3"/>
  <c r="AV27" i="3"/>
  <c r="AT27" i="3"/>
  <c r="AR27" i="3"/>
  <c r="AN27" i="3"/>
  <c r="AM27" i="3"/>
  <c r="AL27" i="3"/>
  <c r="AJ27" i="3"/>
  <c r="AE27" i="3"/>
  <c r="AF27" i="3" s="1"/>
  <c r="AD27" i="3"/>
  <c r="AB27" i="3"/>
  <c r="P27" i="3"/>
  <c r="V27" i="3" s="1"/>
  <c r="N27" i="3"/>
  <c r="U27" i="3" s="1"/>
  <c r="M27" i="3"/>
  <c r="T27" i="3" s="1"/>
  <c r="K27" i="3"/>
  <c r="J27" i="3"/>
  <c r="I27" i="3"/>
  <c r="G27" i="3"/>
  <c r="BJ26" i="3"/>
  <c r="BL26" i="3" s="1"/>
  <c r="BB26" i="3"/>
  <c r="AW26" i="3"/>
  <c r="AV26" i="3"/>
  <c r="AT26" i="3"/>
  <c r="AR26" i="3"/>
  <c r="AN26" i="3"/>
  <c r="AM26" i="3"/>
  <c r="AL26" i="3"/>
  <c r="AJ26" i="3"/>
  <c r="AE26" i="3"/>
  <c r="AF26" i="3" s="1"/>
  <c r="AD26" i="3"/>
  <c r="AB26" i="3"/>
  <c r="P26" i="3"/>
  <c r="V26" i="3" s="1"/>
  <c r="AZ26" i="3" s="1"/>
  <c r="N26" i="3"/>
  <c r="M26" i="3"/>
  <c r="J26" i="3"/>
  <c r="I26" i="3"/>
  <c r="G26" i="3"/>
  <c r="BJ25" i="3"/>
  <c r="BL25" i="3" s="1"/>
  <c r="BB25" i="3"/>
  <c r="AV25" i="3"/>
  <c r="AW25" i="3" s="1"/>
  <c r="AT25" i="3"/>
  <c r="AR25" i="3"/>
  <c r="AN25" i="3"/>
  <c r="AM25" i="3"/>
  <c r="AL25" i="3"/>
  <c r="AJ25" i="3"/>
  <c r="AE25" i="3"/>
  <c r="AF25" i="3" s="1"/>
  <c r="AD25" i="3"/>
  <c r="AB25" i="3"/>
  <c r="P25" i="3"/>
  <c r="V25" i="3" s="1"/>
  <c r="AZ25" i="3" s="1"/>
  <c r="N25" i="3"/>
  <c r="U25" i="3" s="1"/>
  <c r="AY25" i="3" s="1"/>
  <c r="M25" i="3"/>
  <c r="J25" i="3"/>
  <c r="I25" i="3"/>
  <c r="G25" i="3"/>
  <c r="BJ24" i="3"/>
  <c r="BL24" i="3" s="1"/>
  <c r="BB24" i="3"/>
  <c r="AX24" i="3"/>
  <c r="AV24" i="3"/>
  <c r="AW24" i="3" s="1"/>
  <c r="AT24" i="3"/>
  <c r="AR24" i="3"/>
  <c r="AM24" i="3"/>
  <c r="AN24" i="3" s="1"/>
  <c r="AL24" i="3"/>
  <c r="AJ24" i="3"/>
  <c r="AF24" i="3"/>
  <c r="AE24" i="3"/>
  <c r="AD24" i="3"/>
  <c r="AB24" i="3"/>
  <c r="U24" i="3"/>
  <c r="AY24" i="3" s="1"/>
  <c r="P24" i="3"/>
  <c r="O24" i="3"/>
  <c r="N24" i="3"/>
  <c r="R24" i="3" s="1"/>
  <c r="W24" i="3" s="1"/>
  <c r="BA24" i="3" s="1"/>
  <c r="M24" i="3"/>
  <c r="T24" i="3" s="1"/>
  <c r="K24" i="3"/>
  <c r="J24" i="3"/>
  <c r="I24" i="3"/>
  <c r="G24" i="3"/>
  <c r="BJ23" i="3"/>
  <c r="BL23" i="3" s="1"/>
  <c r="BB23" i="3"/>
  <c r="AX23" i="3"/>
  <c r="AV23" i="3"/>
  <c r="AW23" i="3" s="1"/>
  <c r="AT23" i="3"/>
  <c r="AR23" i="3"/>
  <c r="AM23" i="3"/>
  <c r="AN23" i="3" s="1"/>
  <c r="AL23" i="3"/>
  <c r="AJ23" i="3"/>
  <c r="AF23" i="3"/>
  <c r="AE23" i="3"/>
  <c r="AD23" i="3"/>
  <c r="AB23" i="3"/>
  <c r="W23" i="3"/>
  <c r="BA23" i="3" s="1"/>
  <c r="V23" i="3"/>
  <c r="AZ23" i="3" s="1"/>
  <c r="U23" i="3"/>
  <c r="AY23" i="3" s="1"/>
  <c r="T23" i="3"/>
  <c r="P23" i="3"/>
  <c r="Q23" i="3" s="1"/>
  <c r="N23" i="3"/>
  <c r="R23" i="3" s="1"/>
  <c r="M23" i="3"/>
  <c r="S23" i="3" s="1"/>
  <c r="J23" i="3"/>
  <c r="K23" i="3" s="1"/>
  <c r="I23" i="3"/>
  <c r="G23" i="3"/>
  <c r="BJ22" i="3"/>
  <c r="BL22" i="3" s="1"/>
  <c r="BB22" i="3"/>
  <c r="AZ22" i="3"/>
  <c r="AV22" i="3"/>
  <c r="AW22" i="3" s="1"/>
  <c r="AT22" i="3"/>
  <c r="AR22" i="3"/>
  <c r="AN22" i="3"/>
  <c r="AM22" i="3"/>
  <c r="AL22" i="3"/>
  <c r="AJ22" i="3"/>
  <c r="AE22" i="3"/>
  <c r="AF22" i="3" s="1"/>
  <c r="AD22" i="3"/>
  <c r="AB22" i="3"/>
  <c r="V22" i="3"/>
  <c r="U22" i="3"/>
  <c r="AY22" i="3" s="1"/>
  <c r="P22" i="3"/>
  <c r="N22" i="3"/>
  <c r="M22" i="3"/>
  <c r="J22" i="3"/>
  <c r="K22" i="3" s="1"/>
  <c r="I22" i="3"/>
  <c r="G22" i="3"/>
  <c r="BL21" i="3"/>
  <c r="BJ21" i="3"/>
  <c r="BB21" i="3"/>
  <c r="AY21" i="3"/>
  <c r="AV21" i="3"/>
  <c r="AW21" i="3" s="1"/>
  <c r="AT21" i="3"/>
  <c r="AR21" i="3"/>
  <c r="AR49" i="3" s="1"/>
  <c r="AR50" i="3" s="1"/>
  <c r="AN21" i="3"/>
  <c r="AM21" i="3"/>
  <c r="AL21" i="3"/>
  <c r="AJ21" i="3"/>
  <c r="AE21" i="3"/>
  <c r="AF21" i="3" s="1"/>
  <c r="AD21" i="3"/>
  <c r="AB21" i="3"/>
  <c r="V21" i="3"/>
  <c r="AZ21" i="3" s="1"/>
  <c r="U21" i="3"/>
  <c r="R21" i="3"/>
  <c r="P21" i="3"/>
  <c r="N21" i="3"/>
  <c r="M21" i="3"/>
  <c r="Q21" i="3" s="1"/>
  <c r="K21" i="3"/>
  <c r="J21" i="3"/>
  <c r="W21" i="3" s="1"/>
  <c r="BA21" i="3" s="1"/>
  <c r="I21" i="3"/>
  <c r="G21" i="3"/>
  <c r="BJ20" i="3"/>
  <c r="BL20" i="3" s="1"/>
  <c r="BB20" i="3"/>
  <c r="AX20" i="3"/>
  <c r="AW20" i="3"/>
  <c r="AV20" i="3"/>
  <c r="AT20" i="3"/>
  <c r="AR20" i="3"/>
  <c r="AN20" i="3"/>
  <c r="AM20" i="3"/>
  <c r="AL20" i="3"/>
  <c r="AJ20" i="3"/>
  <c r="AF20" i="3"/>
  <c r="AE20" i="3"/>
  <c r="AD20" i="3"/>
  <c r="AB20" i="3"/>
  <c r="U20" i="3"/>
  <c r="AY20" i="3" s="1"/>
  <c r="T20" i="3"/>
  <c r="R20" i="3"/>
  <c r="S20" i="3" s="1"/>
  <c r="Q20" i="3"/>
  <c r="P20" i="3"/>
  <c r="V20" i="3" s="1"/>
  <c r="AZ20" i="3" s="1"/>
  <c r="N20" i="3"/>
  <c r="M20" i="3"/>
  <c r="O20" i="3" s="1"/>
  <c r="J20" i="3"/>
  <c r="K20" i="3" s="1"/>
  <c r="I20" i="3"/>
  <c r="G20" i="3"/>
  <c r="BJ19" i="3"/>
  <c r="BL19" i="3" s="1"/>
  <c r="BB19" i="3"/>
  <c r="AX19" i="3"/>
  <c r="AW19" i="3"/>
  <c r="AV19" i="3"/>
  <c r="AT19" i="3"/>
  <c r="AR19" i="3"/>
  <c r="AM19" i="3"/>
  <c r="AN19" i="3" s="1"/>
  <c r="AL19" i="3"/>
  <c r="AJ19" i="3"/>
  <c r="AF19" i="3"/>
  <c r="AE19" i="3"/>
  <c r="AD19" i="3"/>
  <c r="AB19" i="3"/>
  <c r="W19" i="3"/>
  <c r="BA19" i="3" s="1"/>
  <c r="U19" i="3"/>
  <c r="AY19" i="3" s="1"/>
  <c r="T19" i="3"/>
  <c r="R19" i="3"/>
  <c r="S19" i="3" s="1"/>
  <c r="P19" i="3"/>
  <c r="V19" i="3" s="1"/>
  <c r="AZ19" i="3" s="1"/>
  <c r="O19" i="3"/>
  <c r="N19" i="3"/>
  <c r="M19" i="3"/>
  <c r="J19" i="3"/>
  <c r="K19" i="3" s="1"/>
  <c r="I19" i="3"/>
  <c r="G19" i="3"/>
  <c r="BJ18" i="3"/>
  <c r="BL18" i="3" s="1"/>
  <c r="BB18" i="3"/>
  <c r="AV18" i="3"/>
  <c r="AW18" i="3" s="1"/>
  <c r="AT18" i="3"/>
  <c r="AR18" i="3"/>
  <c r="AM18" i="3"/>
  <c r="AN18" i="3" s="1"/>
  <c r="AL18" i="3"/>
  <c r="AJ18" i="3"/>
  <c r="AF18" i="3"/>
  <c r="AE18" i="3"/>
  <c r="AD18" i="3"/>
  <c r="AB18" i="3"/>
  <c r="U18" i="3"/>
  <c r="AY18" i="3" s="1"/>
  <c r="T18" i="3"/>
  <c r="P18" i="3"/>
  <c r="O18" i="3"/>
  <c r="N18" i="3"/>
  <c r="M18" i="3"/>
  <c r="AX18" i="3" s="1"/>
  <c r="J18" i="3"/>
  <c r="I18" i="3"/>
  <c r="G18" i="3"/>
  <c r="BJ17" i="3"/>
  <c r="BL17" i="3" s="1"/>
  <c r="BB17" i="3"/>
  <c r="AV17" i="3"/>
  <c r="AW17" i="3" s="1"/>
  <c r="AT17" i="3"/>
  <c r="AR17" i="3"/>
  <c r="AN17" i="3"/>
  <c r="AM17" i="3"/>
  <c r="AL17" i="3"/>
  <c r="AJ17" i="3"/>
  <c r="AE17" i="3"/>
  <c r="AF17" i="3" s="1"/>
  <c r="AD17" i="3"/>
  <c r="AB17" i="3"/>
  <c r="U17" i="3"/>
  <c r="AY17" i="3" s="1"/>
  <c r="T17" i="3"/>
  <c r="R17" i="3"/>
  <c r="S17" i="3" s="1"/>
  <c r="Q17" i="3"/>
  <c r="P17" i="3"/>
  <c r="V17" i="3" s="1"/>
  <c r="AZ17" i="3" s="1"/>
  <c r="O17" i="3"/>
  <c r="N17" i="3"/>
  <c r="M17" i="3"/>
  <c r="AX17" i="3" s="1"/>
  <c r="K17" i="3"/>
  <c r="J17" i="3"/>
  <c r="I17" i="3"/>
  <c r="G17" i="3"/>
  <c r="BJ16" i="3"/>
  <c r="BL16" i="3" s="1"/>
  <c r="BB16" i="3"/>
  <c r="AZ16" i="3"/>
  <c r="AW16" i="3"/>
  <c r="AV16" i="3"/>
  <c r="AT16" i="3"/>
  <c r="AR16" i="3"/>
  <c r="AN16" i="3"/>
  <c r="AM16" i="3"/>
  <c r="AL16" i="3"/>
  <c r="AJ16" i="3"/>
  <c r="AE16" i="3"/>
  <c r="AF16" i="3" s="1"/>
  <c r="AD16" i="3"/>
  <c r="AB16" i="3"/>
  <c r="P16" i="3"/>
  <c r="V16" i="3" s="1"/>
  <c r="O16" i="3"/>
  <c r="N16" i="3"/>
  <c r="M16" i="3"/>
  <c r="AX16" i="3" s="1"/>
  <c r="K16" i="3"/>
  <c r="J16" i="3"/>
  <c r="I16" i="3"/>
  <c r="G16" i="3"/>
  <c r="BL15" i="3"/>
  <c r="BJ15" i="3"/>
  <c r="BB15" i="3"/>
  <c r="AV15" i="3"/>
  <c r="AW15" i="3" s="1"/>
  <c r="AT15" i="3"/>
  <c r="AR15" i="3"/>
  <c r="AN15" i="3"/>
  <c r="AM15" i="3"/>
  <c r="AL15" i="3"/>
  <c r="AJ15" i="3"/>
  <c r="AE15" i="3"/>
  <c r="AF15" i="3" s="1"/>
  <c r="AD15" i="3"/>
  <c r="AB15" i="3"/>
  <c r="P15" i="3"/>
  <c r="P36" i="3" s="1"/>
  <c r="N15" i="3"/>
  <c r="M15" i="3"/>
  <c r="K15" i="3"/>
  <c r="J15" i="3"/>
  <c r="I15" i="3"/>
  <c r="G15" i="3"/>
  <c r="BL14" i="3"/>
  <c r="BJ14" i="3"/>
  <c r="BB14" i="3"/>
  <c r="AZ14" i="3"/>
  <c r="AY14" i="3"/>
  <c r="AX14" i="3"/>
  <c r="AW14" i="3"/>
  <c r="AV14" i="3"/>
  <c r="AT14" i="3"/>
  <c r="AR14" i="3"/>
  <c r="AN14" i="3"/>
  <c r="AM14" i="3"/>
  <c r="AL14" i="3"/>
  <c r="AJ14" i="3"/>
  <c r="AE14" i="3"/>
  <c r="AF14" i="3" s="1"/>
  <c r="AD14" i="3"/>
  <c r="AB14" i="3"/>
  <c r="P14" i="3"/>
  <c r="V14" i="3" s="1"/>
  <c r="N14" i="3"/>
  <c r="U14" i="3" s="1"/>
  <c r="M14" i="3"/>
  <c r="J14" i="3"/>
  <c r="K14" i="3" s="1"/>
  <c r="I14" i="3"/>
  <c r="G14" i="3"/>
  <c r="BJ13" i="3"/>
  <c r="BL13" i="3" s="1"/>
  <c r="BB13" i="3"/>
  <c r="AV13" i="3"/>
  <c r="AW13" i="3" s="1"/>
  <c r="AT13" i="3"/>
  <c r="AR13" i="3"/>
  <c r="AM13" i="3"/>
  <c r="AN13" i="3" s="1"/>
  <c r="AL13" i="3"/>
  <c r="AJ13" i="3"/>
  <c r="AE13" i="3"/>
  <c r="AF13" i="3" s="1"/>
  <c r="AD13" i="3"/>
  <c r="AB13" i="3"/>
  <c r="P13" i="3"/>
  <c r="V13" i="3" s="1"/>
  <c r="AZ13" i="3" s="1"/>
  <c r="N13" i="3"/>
  <c r="M13" i="3"/>
  <c r="J13" i="3"/>
  <c r="I13" i="3"/>
  <c r="G13" i="3"/>
  <c r="BJ12" i="3"/>
  <c r="BL12" i="3" s="1"/>
  <c r="BB12" i="3"/>
  <c r="AW12" i="3"/>
  <c r="AV12" i="3"/>
  <c r="AT12" i="3"/>
  <c r="AR12" i="3"/>
  <c r="AN12" i="3"/>
  <c r="AM12" i="3"/>
  <c r="AL12" i="3"/>
  <c r="AJ12" i="3"/>
  <c r="AF12" i="3"/>
  <c r="AE12" i="3"/>
  <c r="AD12" i="3"/>
  <c r="AB12" i="3"/>
  <c r="U12" i="3"/>
  <c r="AY12" i="3" s="1"/>
  <c r="P12" i="3"/>
  <c r="N12" i="3"/>
  <c r="R12" i="3" s="1"/>
  <c r="W12" i="3" s="1"/>
  <c r="BA12" i="3" s="1"/>
  <c r="M12" i="3"/>
  <c r="K12" i="3"/>
  <c r="J12" i="3"/>
  <c r="I12" i="3"/>
  <c r="G12" i="3"/>
  <c r="BL11" i="3"/>
  <c r="BJ11" i="3"/>
  <c r="BB11" i="3"/>
  <c r="AX11" i="3"/>
  <c r="AV11" i="3"/>
  <c r="AW11" i="3" s="1"/>
  <c r="AT11" i="3"/>
  <c r="AR11" i="3"/>
  <c r="AM11" i="3"/>
  <c r="AN11" i="3" s="1"/>
  <c r="AL11" i="3"/>
  <c r="AJ11" i="3"/>
  <c r="AF11" i="3"/>
  <c r="AE11" i="3"/>
  <c r="AD11" i="3"/>
  <c r="AB11" i="3"/>
  <c r="W11" i="3"/>
  <c r="V11" i="3"/>
  <c r="AZ11" i="3" s="1"/>
  <c r="U11" i="3"/>
  <c r="AY11" i="3" s="1"/>
  <c r="T11" i="3"/>
  <c r="P11" i="3"/>
  <c r="Q11" i="3" s="1"/>
  <c r="N11" i="3"/>
  <c r="R11" i="3" s="1"/>
  <c r="M11" i="3"/>
  <c r="S11" i="3" s="1"/>
  <c r="K11" i="3"/>
  <c r="J11" i="3"/>
  <c r="I11" i="3"/>
  <c r="G11" i="3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J10" i="3"/>
  <c r="BL10" i="3" s="1"/>
  <c r="BB10" i="3"/>
  <c r="AZ10" i="3"/>
  <c r="AV10" i="3"/>
  <c r="AW10" i="3" s="1"/>
  <c r="AT10" i="3"/>
  <c r="AR10" i="3"/>
  <c r="AN10" i="3"/>
  <c r="AM10" i="3"/>
  <c r="AL10" i="3"/>
  <c r="AJ10" i="3"/>
  <c r="AE10" i="3"/>
  <c r="AF10" i="3" s="1"/>
  <c r="AD10" i="3"/>
  <c r="AB10" i="3"/>
  <c r="V10" i="3"/>
  <c r="P10" i="3"/>
  <c r="N10" i="3"/>
  <c r="M10" i="3"/>
  <c r="J10" i="3"/>
  <c r="I10" i="3"/>
  <c r="G10" i="3"/>
  <c r="BL9" i="3"/>
  <c r="BJ9" i="3"/>
  <c r="BB9" i="3"/>
  <c r="AZ9" i="3"/>
  <c r="AX9" i="3"/>
  <c r="AV9" i="3"/>
  <c r="AW9" i="3" s="1"/>
  <c r="AT9" i="3"/>
  <c r="AR9" i="3"/>
  <c r="AM9" i="3"/>
  <c r="AN9" i="3" s="1"/>
  <c r="AL9" i="3"/>
  <c r="AJ9" i="3"/>
  <c r="AE9" i="3"/>
  <c r="AF9" i="3" s="1"/>
  <c r="AD9" i="3"/>
  <c r="AB9" i="3"/>
  <c r="V9" i="3"/>
  <c r="T9" i="3"/>
  <c r="R9" i="3"/>
  <c r="S9" i="3" s="1"/>
  <c r="P9" i="3"/>
  <c r="Q9" i="3" s="1"/>
  <c r="N9" i="3"/>
  <c r="M9" i="3"/>
  <c r="K9" i="3"/>
  <c r="J9" i="3"/>
  <c r="I9" i="3"/>
  <c r="G9" i="3"/>
  <c r="BJ8" i="3"/>
  <c r="BL8" i="3" s="1"/>
  <c r="BB8" i="3"/>
  <c r="AY8" i="3"/>
  <c r="AX8" i="3"/>
  <c r="AW8" i="3"/>
  <c r="AV8" i="3"/>
  <c r="AT8" i="3"/>
  <c r="AR8" i="3"/>
  <c r="AN8" i="3"/>
  <c r="AM8" i="3"/>
  <c r="AL8" i="3"/>
  <c r="AJ8" i="3"/>
  <c r="AF8" i="3"/>
  <c r="AE8" i="3"/>
  <c r="AD8" i="3"/>
  <c r="AB8" i="3"/>
  <c r="W8" i="3"/>
  <c r="BA8" i="3" s="1"/>
  <c r="V8" i="3"/>
  <c r="AZ8" i="3" s="1"/>
  <c r="U8" i="3"/>
  <c r="R8" i="3"/>
  <c r="P8" i="3"/>
  <c r="N8" i="3"/>
  <c r="M8" i="3"/>
  <c r="J8" i="3"/>
  <c r="K8" i="3" s="1"/>
  <c r="I8" i="3"/>
  <c r="G8" i="3"/>
  <c r="BJ7" i="3"/>
  <c r="BL7" i="3" s="1"/>
  <c r="BB7" i="3"/>
  <c r="AX7" i="3"/>
  <c r="AV7" i="3"/>
  <c r="AW7" i="3" s="1"/>
  <c r="AT7" i="3"/>
  <c r="AR7" i="3"/>
  <c r="AN7" i="3"/>
  <c r="AM7" i="3"/>
  <c r="AL7" i="3"/>
  <c r="AJ7" i="3"/>
  <c r="AE7" i="3"/>
  <c r="AF7" i="3" s="1"/>
  <c r="AD7" i="3"/>
  <c r="AB7" i="3"/>
  <c r="V7" i="3"/>
  <c r="AZ7" i="3" s="1"/>
  <c r="U7" i="3"/>
  <c r="AY7" i="3" s="1"/>
  <c r="T7" i="3"/>
  <c r="R7" i="3"/>
  <c r="S7" i="3" s="1"/>
  <c r="Q7" i="3"/>
  <c r="P7" i="3"/>
  <c r="N7" i="3"/>
  <c r="O7" i="3" s="1"/>
  <c r="M7" i="3"/>
  <c r="J7" i="3"/>
  <c r="K7" i="3" s="1"/>
  <c r="I7" i="3"/>
  <c r="G7" i="3"/>
  <c r="BJ6" i="3"/>
  <c r="BL6" i="3" s="1"/>
  <c r="BB6" i="3"/>
  <c r="AW6" i="3"/>
  <c r="AV6" i="3"/>
  <c r="AT6" i="3"/>
  <c r="AR6" i="3"/>
  <c r="AN6" i="3"/>
  <c r="AM6" i="3"/>
  <c r="AL6" i="3"/>
  <c r="AJ6" i="3"/>
  <c r="AF6" i="3"/>
  <c r="AE6" i="3"/>
  <c r="AD6" i="3"/>
  <c r="AB6" i="3"/>
  <c r="U6" i="3"/>
  <c r="AY6" i="3" s="1"/>
  <c r="T6" i="3"/>
  <c r="P6" i="3"/>
  <c r="V6" i="3" s="1"/>
  <c r="AZ6" i="3" s="1"/>
  <c r="O6" i="3"/>
  <c r="N6" i="3"/>
  <c r="M6" i="3"/>
  <c r="AX6" i="3" s="1"/>
  <c r="J6" i="3"/>
  <c r="I6" i="3"/>
  <c r="G6" i="3"/>
  <c r="BJ5" i="3"/>
  <c r="BJ36" i="3" s="1"/>
  <c r="BJ37" i="3" s="1"/>
  <c r="BB5" i="3"/>
  <c r="AX5" i="3"/>
  <c r="AV5" i="3"/>
  <c r="AT5" i="3"/>
  <c r="AR5" i="3"/>
  <c r="AN5" i="3"/>
  <c r="AM5" i="3"/>
  <c r="AL5" i="3"/>
  <c r="AJ5" i="3"/>
  <c r="AE5" i="3"/>
  <c r="AF5" i="3" s="1"/>
  <c r="AD5" i="3"/>
  <c r="AB5" i="3"/>
  <c r="V5" i="3"/>
  <c r="AZ5" i="3" s="1"/>
  <c r="U5" i="3"/>
  <c r="T5" i="3"/>
  <c r="R5" i="3"/>
  <c r="S5" i="3" s="1"/>
  <c r="Q5" i="3"/>
  <c r="P5" i="3"/>
  <c r="N5" i="3"/>
  <c r="M5" i="3"/>
  <c r="K5" i="3"/>
  <c r="J5" i="3"/>
  <c r="I5" i="3"/>
  <c r="G5" i="3"/>
  <c r="B5" i="3"/>
  <c r="B6" i="3" s="1"/>
  <c r="B7" i="3" s="1"/>
  <c r="B8" i="3" s="1"/>
  <c r="B9" i="3" s="1"/>
  <c r="B10" i="3" s="1"/>
  <c r="BI70" i="2"/>
  <c r="BH70" i="2"/>
  <c r="BJ70" i="2" s="1"/>
  <c r="BJ69" i="2"/>
  <c r="BI69" i="2"/>
  <c r="BH69" i="2"/>
  <c r="BI68" i="2"/>
  <c r="BJ68" i="2" s="1"/>
  <c r="BH68" i="2"/>
  <c r="BI67" i="2"/>
  <c r="BH67" i="2"/>
  <c r="BJ67" i="2" s="1"/>
  <c r="BI66" i="2"/>
  <c r="BH66" i="2"/>
  <c r="BJ66" i="2" s="1"/>
  <c r="BJ65" i="2"/>
  <c r="BI65" i="2"/>
  <c r="BH65" i="2"/>
  <c r="BI64" i="2"/>
  <c r="BH64" i="2"/>
  <c r="BJ64" i="2" s="1"/>
  <c r="BI63" i="2"/>
  <c r="BH63" i="2"/>
  <c r="BJ63" i="2" s="1"/>
  <c r="BI62" i="2"/>
  <c r="BH62" i="2"/>
  <c r="BJ62" i="2" s="1"/>
  <c r="BJ61" i="2"/>
  <c r="BI61" i="2"/>
  <c r="BH61" i="2"/>
  <c r="BI60" i="2"/>
  <c r="BH60" i="2"/>
  <c r="BJ60" i="2" s="1"/>
  <c r="BI59" i="2"/>
  <c r="BH59" i="2"/>
  <c r="BJ59" i="2" s="1"/>
  <c r="BJ58" i="2"/>
  <c r="BI58" i="2"/>
  <c r="BH58" i="2"/>
  <c r="BI57" i="2"/>
  <c r="BH57" i="2"/>
  <c r="BJ57" i="2" s="1"/>
  <c r="BI56" i="2"/>
  <c r="BH56" i="2"/>
  <c r="BJ56" i="2" s="1"/>
  <c r="Y56" i="2"/>
  <c r="X57" i="2" s="1"/>
  <c r="X56" i="2"/>
  <c r="I56" i="2"/>
  <c r="BI55" i="2"/>
  <c r="BH55" i="2"/>
  <c r="BJ55" i="2" s="1"/>
  <c r="X55" i="2"/>
  <c r="BJ54" i="2"/>
  <c r="BI54" i="2"/>
  <c r="BH54" i="2"/>
  <c r="Y54" i="2"/>
  <c r="X54" i="2"/>
  <c r="BI53" i="2"/>
  <c r="BH53" i="2"/>
  <c r="BJ53" i="2" s="1"/>
  <c r="BI52" i="2"/>
  <c r="BH52" i="2"/>
  <c r="BJ52" i="2" s="1"/>
  <c r="Y52" i="2"/>
  <c r="BI51" i="2"/>
  <c r="BH51" i="2"/>
  <c r="BJ51" i="2" s="1"/>
  <c r="BI50" i="2"/>
  <c r="BH50" i="2"/>
  <c r="AQ50" i="2"/>
  <c r="AQ49" i="2"/>
  <c r="AE49" i="2"/>
  <c r="S48" i="2"/>
  <c r="Q48" i="2"/>
  <c r="K48" i="2"/>
  <c r="I48" i="2"/>
  <c r="BE46" i="2"/>
  <c r="AN46" i="2"/>
  <c r="AW46" i="2" s="1"/>
  <c r="AF46" i="2"/>
  <c r="S46" i="2"/>
  <c r="X46" i="2" s="1"/>
  <c r="K46" i="2"/>
  <c r="BG45" i="2"/>
  <c r="W45" i="2"/>
  <c r="BG44" i="2"/>
  <c r="BA44" i="2"/>
  <c r="BE43" i="2"/>
  <c r="BG43" i="2" s="1"/>
  <c r="AY41" i="2"/>
  <c r="V41" i="2"/>
  <c r="AY39" i="2"/>
  <c r="AV39" i="2"/>
  <c r="AS39" i="2"/>
  <c r="AV38" i="2"/>
  <c r="AQ38" i="2"/>
  <c r="AI38" i="2"/>
  <c r="AA38" i="2"/>
  <c r="O38" i="2"/>
  <c r="U38" i="2" s="1"/>
  <c r="AS37" i="2"/>
  <c r="BE42" i="2" s="1"/>
  <c r="AK37" i="2"/>
  <c r="F37" i="2"/>
  <c r="G37" i="2" s="1"/>
  <c r="BI36" i="2"/>
  <c r="BH36" i="2"/>
  <c r="BG36" i="2"/>
  <c r="BF36" i="2"/>
  <c r="BE36" i="2"/>
  <c r="BD36" i="2"/>
  <c r="BC36" i="2"/>
  <c r="AU36" i="2"/>
  <c r="AU37" i="2" s="1"/>
  <c r="AS36" i="2"/>
  <c r="AQ36" i="2"/>
  <c r="AQ37" i="2" s="1"/>
  <c r="AR37" i="2" s="1"/>
  <c r="AP36" i="2"/>
  <c r="AO36" i="2"/>
  <c r="AK36" i="2"/>
  <c r="AI36" i="2"/>
  <c r="AI37" i="2" s="1"/>
  <c r="AH36" i="2"/>
  <c r="AG36" i="2"/>
  <c r="AC36" i="2"/>
  <c r="AC37" i="2" s="1"/>
  <c r="AD37" i="2" s="1"/>
  <c r="AA36" i="2"/>
  <c r="AA37" i="2" s="1"/>
  <c r="AB37" i="2" s="1"/>
  <c r="Z36" i="2"/>
  <c r="AB36" i="2" s="1"/>
  <c r="Y36" i="2"/>
  <c r="X36" i="2"/>
  <c r="L36" i="2"/>
  <c r="H36" i="2"/>
  <c r="H37" i="2" s="1"/>
  <c r="I37" i="2" s="1"/>
  <c r="F36" i="2"/>
  <c r="G36" i="2" s="1"/>
  <c r="E36" i="2"/>
  <c r="F38" i="2" s="1"/>
  <c r="D36" i="2"/>
  <c r="C36" i="2"/>
  <c r="BJ35" i="2"/>
  <c r="BL35" i="2" s="1"/>
  <c r="BB35" i="2"/>
  <c r="AX35" i="2"/>
  <c r="AV35" i="2"/>
  <c r="AW35" i="2" s="1"/>
  <c r="AT35" i="2"/>
  <c r="AR35" i="2"/>
  <c r="AN35" i="2"/>
  <c r="AM35" i="2"/>
  <c r="AL35" i="2"/>
  <c r="AJ35" i="2"/>
  <c r="AF35" i="2"/>
  <c r="AE35" i="2"/>
  <c r="AD35" i="2"/>
  <c r="AB35" i="2"/>
  <c r="W35" i="2"/>
  <c r="V35" i="2"/>
  <c r="AZ35" i="2" s="1"/>
  <c r="P35" i="2"/>
  <c r="Q35" i="2" s="1"/>
  <c r="N35" i="2"/>
  <c r="R35" i="2" s="1"/>
  <c r="M35" i="2"/>
  <c r="T35" i="2" s="1"/>
  <c r="J35" i="2"/>
  <c r="K35" i="2" s="1"/>
  <c r="I35" i="2"/>
  <c r="G35" i="2"/>
  <c r="BL34" i="2"/>
  <c r="BJ34" i="2"/>
  <c r="BB34" i="2"/>
  <c r="AV34" i="2"/>
  <c r="AW34" i="2" s="1"/>
  <c r="AT34" i="2"/>
  <c r="AR34" i="2"/>
  <c r="AM34" i="2"/>
  <c r="AN34" i="2" s="1"/>
  <c r="AL34" i="2"/>
  <c r="AJ34" i="2"/>
  <c r="AE34" i="2"/>
  <c r="AF34" i="2" s="1"/>
  <c r="AD34" i="2"/>
  <c r="AB34" i="2"/>
  <c r="V34" i="2"/>
  <c r="AZ34" i="2" s="1"/>
  <c r="P34" i="2"/>
  <c r="N34" i="2"/>
  <c r="R34" i="2" s="1"/>
  <c r="M34" i="2"/>
  <c r="J34" i="2"/>
  <c r="K34" i="2" s="1"/>
  <c r="I34" i="2"/>
  <c r="G34" i="2"/>
  <c r="BJ33" i="2"/>
  <c r="BL33" i="2" s="1"/>
  <c r="BB33" i="2"/>
  <c r="AZ33" i="2"/>
  <c r="AV33" i="2"/>
  <c r="AW33" i="2" s="1"/>
  <c r="AT33" i="2"/>
  <c r="AR33" i="2"/>
  <c r="AN33" i="2"/>
  <c r="AM33" i="2"/>
  <c r="AL33" i="2"/>
  <c r="AJ33" i="2"/>
  <c r="AE33" i="2"/>
  <c r="AF33" i="2" s="1"/>
  <c r="AD33" i="2"/>
  <c r="AB33" i="2"/>
  <c r="V33" i="2"/>
  <c r="U33" i="2"/>
  <c r="AY33" i="2" s="1"/>
  <c r="T33" i="2"/>
  <c r="P33" i="2"/>
  <c r="N33" i="2"/>
  <c r="M33" i="2"/>
  <c r="Q33" i="2" s="1"/>
  <c r="K33" i="2"/>
  <c r="J33" i="2"/>
  <c r="I33" i="2"/>
  <c r="G33" i="2"/>
  <c r="BL32" i="2"/>
  <c r="BJ32" i="2"/>
  <c r="BB32" i="2"/>
  <c r="AZ32" i="2"/>
  <c r="AY32" i="2"/>
  <c r="AW32" i="2"/>
  <c r="AV32" i="2"/>
  <c r="AT32" i="2"/>
  <c r="AR32" i="2"/>
  <c r="AM32" i="2"/>
  <c r="AN32" i="2" s="1"/>
  <c r="AL32" i="2"/>
  <c r="AJ32" i="2"/>
  <c r="AE32" i="2"/>
  <c r="AF32" i="2" s="1"/>
  <c r="AD32" i="2"/>
  <c r="AB32" i="2"/>
  <c r="V32" i="2"/>
  <c r="U32" i="2"/>
  <c r="T32" i="2"/>
  <c r="S32" i="2"/>
  <c r="R32" i="2"/>
  <c r="P32" i="2"/>
  <c r="N32" i="2"/>
  <c r="M32" i="2"/>
  <c r="AX32" i="2" s="1"/>
  <c r="J32" i="2"/>
  <c r="K32" i="2" s="1"/>
  <c r="I32" i="2"/>
  <c r="G32" i="2"/>
  <c r="BJ31" i="2"/>
  <c r="BL31" i="2" s="1"/>
  <c r="BB31" i="2"/>
  <c r="AY31" i="2"/>
  <c r="AX31" i="2"/>
  <c r="AV31" i="2"/>
  <c r="AW31" i="2" s="1"/>
  <c r="AT31" i="2"/>
  <c r="AR31" i="2"/>
  <c r="AN31" i="2"/>
  <c r="AM31" i="2"/>
  <c r="AL31" i="2"/>
  <c r="AJ31" i="2"/>
  <c r="AE31" i="2"/>
  <c r="AF31" i="2" s="1"/>
  <c r="AD31" i="2"/>
  <c r="AB31" i="2"/>
  <c r="V31" i="2"/>
  <c r="AZ31" i="2" s="1"/>
  <c r="U31" i="2"/>
  <c r="T31" i="2"/>
  <c r="R31" i="2"/>
  <c r="Q31" i="2"/>
  <c r="P31" i="2"/>
  <c r="N31" i="2"/>
  <c r="O31" i="2" s="1"/>
  <c r="M31" i="2"/>
  <c r="K31" i="2"/>
  <c r="J31" i="2"/>
  <c r="I31" i="2"/>
  <c r="G31" i="2"/>
  <c r="BJ30" i="2"/>
  <c r="BL30" i="2" s="1"/>
  <c r="BB30" i="2"/>
  <c r="AX30" i="2"/>
  <c r="AW30" i="2"/>
  <c r="AV30" i="2"/>
  <c r="AT30" i="2"/>
  <c r="AR30" i="2"/>
  <c r="AN30" i="2"/>
  <c r="AM30" i="2"/>
  <c r="AL30" i="2"/>
  <c r="AJ30" i="2"/>
  <c r="AE30" i="2"/>
  <c r="AF30" i="2" s="1"/>
  <c r="AD30" i="2"/>
  <c r="AB30" i="2"/>
  <c r="W30" i="2"/>
  <c r="BA30" i="2" s="1"/>
  <c r="V30" i="2"/>
  <c r="AZ30" i="2" s="1"/>
  <c r="U30" i="2"/>
  <c r="AY30" i="2" s="1"/>
  <c r="T30" i="2"/>
  <c r="R30" i="2"/>
  <c r="S30" i="2" s="1"/>
  <c r="Q30" i="2"/>
  <c r="P30" i="2"/>
  <c r="N30" i="2"/>
  <c r="O30" i="2" s="1"/>
  <c r="M30" i="2"/>
  <c r="J30" i="2"/>
  <c r="K30" i="2" s="1"/>
  <c r="I30" i="2"/>
  <c r="G30" i="2"/>
  <c r="BJ29" i="2"/>
  <c r="BL29" i="2" s="1"/>
  <c r="BB29" i="2"/>
  <c r="AX29" i="2"/>
  <c r="AW29" i="2"/>
  <c r="AV29" i="2"/>
  <c r="AT29" i="2"/>
  <c r="AR29" i="2"/>
  <c r="AN29" i="2"/>
  <c r="AM29" i="2"/>
  <c r="AL29" i="2"/>
  <c r="AJ29" i="2"/>
  <c r="AF29" i="2"/>
  <c r="AE29" i="2"/>
  <c r="AD29" i="2"/>
  <c r="AB29" i="2"/>
  <c r="V29" i="2"/>
  <c r="AZ29" i="2" s="1"/>
  <c r="U29" i="2"/>
  <c r="AY29" i="2" s="1"/>
  <c r="T29" i="2"/>
  <c r="Q29" i="2"/>
  <c r="P29" i="2"/>
  <c r="R29" i="2" s="1"/>
  <c r="O29" i="2"/>
  <c r="N29" i="2"/>
  <c r="M29" i="2"/>
  <c r="J29" i="2"/>
  <c r="K29" i="2" s="1"/>
  <c r="I29" i="2"/>
  <c r="G29" i="2"/>
  <c r="BJ28" i="2"/>
  <c r="BL28" i="2" s="1"/>
  <c r="BB28" i="2"/>
  <c r="AX28" i="2"/>
  <c r="AW28" i="2"/>
  <c r="AV28" i="2"/>
  <c r="AT28" i="2"/>
  <c r="AR28" i="2"/>
  <c r="AN28" i="2"/>
  <c r="AM28" i="2"/>
  <c r="AL28" i="2"/>
  <c r="AJ28" i="2"/>
  <c r="AF28" i="2"/>
  <c r="AE28" i="2"/>
  <c r="AD28" i="2"/>
  <c r="AB28" i="2"/>
  <c r="T28" i="2"/>
  <c r="P28" i="2"/>
  <c r="N28" i="2"/>
  <c r="M28" i="2"/>
  <c r="J28" i="2"/>
  <c r="K28" i="2" s="1"/>
  <c r="I28" i="2"/>
  <c r="G28" i="2"/>
  <c r="BL27" i="2"/>
  <c r="BJ27" i="2"/>
  <c r="BB27" i="2"/>
  <c r="AZ27" i="2"/>
  <c r="AY27" i="2"/>
  <c r="AW27" i="2"/>
  <c r="AV27" i="2"/>
  <c r="AT27" i="2"/>
  <c r="AR27" i="2"/>
  <c r="AM27" i="2"/>
  <c r="AN27" i="2" s="1"/>
  <c r="AL27" i="2"/>
  <c r="AJ27" i="2"/>
  <c r="AE27" i="2"/>
  <c r="AF27" i="2" s="1"/>
  <c r="AD27" i="2"/>
  <c r="AB27" i="2"/>
  <c r="T27" i="2"/>
  <c r="R27" i="2"/>
  <c r="S27" i="2" s="1"/>
  <c r="P27" i="2"/>
  <c r="V27" i="2" s="1"/>
  <c r="N27" i="2"/>
  <c r="U27" i="2" s="1"/>
  <c r="M27" i="2"/>
  <c r="AX27" i="2" s="1"/>
  <c r="J27" i="2"/>
  <c r="K27" i="2" s="1"/>
  <c r="I27" i="2"/>
  <c r="G27" i="2"/>
  <c r="BJ26" i="2"/>
  <c r="BL26" i="2" s="1"/>
  <c r="BB26" i="2"/>
  <c r="AZ26" i="2"/>
  <c r="AW26" i="2"/>
  <c r="AV26" i="2"/>
  <c r="AT26" i="2"/>
  <c r="AR26" i="2"/>
  <c r="AM26" i="2"/>
  <c r="AN26" i="2" s="1"/>
  <c r="AL26" i="2"/>
  <c r="AJ26" i="2"/>
  <c r="AE26" i="2"/>
  <c r="AF26" i="2" s="1"/>
  <c r="AD26" i="2"/>
  <c r="AB26" i="2"/>
  <c r="P26" i="2"/>
  <c r="V26" i="2" s="1"/>
  <c r="N26" i="2"/>
  <c r="M26" i="2"/>
  <c r="K26" i="2"/>
  <c r="J26" i="2"/>
  <c r="I26" i="2"/>
  <c r="G26" i="2"/>
  <c r="BJ25" i="2"/>
  <c r="BL25" i="2" s="1"/>
  <c r="BB25" i="2"/>
  <c r="AW25" i="2"/>
  <c r="AV25" i="2"/>
  <c r="AT25" i="2"/>
  <c r="AR25" i="2"/>
  <c r="AM25" i="2"/>
  <c r="AN25" i="2" s="1"/>
  <c r="AL25" i="2"/>
  <c r="AJ25" i="2"/>
  <c r="AE25" i="2"/>
  <c r="AF25" i="2" s="1"/>
  <c r="AD25" i="2"/>
  <c r="AB25" i="2"/>
  <c r="P25" i="2"/>
  <c r="V25" i="2" s="1"/>
  <c r="AZ25" i="2" s="1"/>
  <c r="N25" i="2"/>
  <c r="U25" i="2" s="1"/>
  <c r="AY25" i="2" s="1"/>
  <c r="M25" i="2"/>
  <c r="J25" i="2"/>
  <c r="I25" i="2"/>
  <c r="G25" i="2"/>
  <c r="BJ24" i="2"/>
  <c r="BL24" i="2" s="1"/>
  <c r="BB24" i="2"/>
  <c r="AX24" i="2"/>
  <c r="AW24" i="2"/>
  <c r="AV24" i="2"/>
  <c r="AT24" i="2"/>
  <c r="AR24" i="2"/>
  <c r="AM24" i="2"/>
  <c r="AN24" i="2" s="1"/>
  <c r="AL24" i="2"/>
  <c r="AJ24" i="2"/>
  <c r="AF24" i="2"/>
  <c r="AE24" i="2"/>
  <c r="AD24" i="2"/>
  <c r="AB24" i="2"/>
  <c r="P24" i="2"/>
  <c r="O24" i="2"/>
  <c r="N24" i="2"/>
  <c r="U24" i="2" s="1"/>
  <c r="AY24" i="2" s="1"/>
  <c r="M24" i="2"/>
  <c r="T24" i="2" s="1"/>
  <c r="J24" i="2"/>
  <c r="I24" i="2"/>
  <c r="G24" i="2"/>
  <c r="BJ23" i="2"/>
  <c r="BL23" i="2" s="1"/>
  <c r="BB23" i="2"/>
  <c r="AX23" i="2"/>
  <c r="AW23" i="2"/>
  <c r="AV23" i="2"/>
  <c r="AT23" i="2"/>
  <c r="AR23" i="2"/>
  <c r="AN23" i="2"/>
  <c r="AM23" i="2"/>
  <c r="AL23" i="2"/>
  <c r="AJ23" i="2"/>
  <c r="AE23" i="2"/>
  <c r="AF23" i="2" s="1"/>
  <c r="AD23" i="2"/>
  <c r="AB23" i="2"/>
  <c r="P23" i="2"/>
  <c r="Q23" i="2" s="1"/>
  <c r="N23" i="2"/>
  <c r="M23" i="2"/>
  <c r="T23" i="2" s="1"/>
  <c r="J23" i="2"/>
  <c r="K23" i="2" s="1"/>
  <c r="I23" i="2"/>
  <c r="G23" i="2"/>
  <c r="BL22" i="2"/>
  <c r="BJ22" i="2"/>
  <c r="BB22" i="2"/>
  <c r="AV22" i="2"/>
  <c r="AW22" i="2" s="1"/>
  <c r="AT22" i="2"/>
  <c r="AR22" i="2"/>
  <c r="AN22" i="2"/>
  <c r="AM22" i="2"/>
  <c r="AL22" i="2"/>
  <c r="AJ22" i="2"/>
  <c r="AE22" i="2"/>
  <c r="AF22" i="2" s="1"/>
  <c r="AD22" i="2"/>
  <c r="AB22" i="2"/>
  <c r="V22" i="2"/>
  <c r="AZ22" i="2" s="1"/>
  <c r="U22" i="2"/>
  <c r="AY22" i="2" s="1"/>
  <c r="T22" i="2"/>
  <c r="P22" i="2"/>
  <c r="N22" i="2"/>
  <c r="R22" i="2" s="1"/>
  <c r="M22" i="2"/>
  <c r="J22" i="2"/>
  <c r="K22" i="2" s="1"/>
  <c r="I22" i="2"/>
  <c r="G22" i="2"/>
  <c r="BJ21" i="2"/>
  <c r="BL21" i="2" s="1"/>
  <c r="BB21" i="2"/>
  <c r="AZ21" i="2"/>
  <c r="AV21" i="2"/>
  <c r="AW21" i="2" s="1"/>
  <c r="AT21" i="2"/>
  <c r="AS49" i="2" s="1"/>
  <c r="AS50" i="2" s="1"/>
  <c r="AR21" i="2"/>
  <c r="AN21" i="2"/>
  <c r="AM21" i="2"/>
  <c r="AL21" i="2"/>
  <c r="AJ21" i="2"/>
  <c r="AE21" i="2"/>
  <c r="AF21" i="2" s="1"/>
  <c r="AD21" i="2"/>
  <c r="AB21" i="2"/>
  <c r="V21" i="2"/>
  <c r="P21" i="2"/>
  <c r="N21" i="2"/>
  <c r="M21" i="2"/>
  <c r="K21" i="2"/>
  <c r="J21" i="2"/>
  <c r="I21" i="2"/>
  <c r="G21" i="2"/>
  <c r="BL20" i="2"/>
  <c r="BJ20" i="2"/>
  <c r="BB20" i="2"/>
  <c r="AZ20" i="2"/>
  <c r="AY20" i="2"/>
  <c r="AX20" i="2"/>
  <c r="AW20" i="2"/>
  <c r="AV20" i="2"/>
  <c r="AT20" i="2"/>
  <c r="AR20" i="2"/>
  <c r="AM20" i="2"/>
  <c r="AN20" i="2" s="1"/>
  <c r="AL20" i="2"/>
  <c r="AJ20" i="2"/>
  <c r="AE20" i="2"/>
  <c r="AF20" i="2" s="1"/>
  <c r="AD20" i="2"/>
  <c r="AB20" i="2"/>
  <c r="V20" i="2"/>
  <c r="U20" i="2"/>
  <c r="T20" i="2"/>
  <c r="R20" i="2"/>
  <c r="W20" i="2" s="1"/>
  <c r="P20" i="2"/>
  <c r="Q20" i="2" s="1"/>
  <c r="N20" i="2"/>
  <c r="O20" i="2" s="1"/>
  <c r="M20" i="2"/>
  <c r="K20" i="2"/>
  <c r="J20" i="2"/>
  <c r="I20" i="2"/>
  <c r="G20" i="2"/>
  <c r="BL19" i="2"/>
  <c r="BJ19" i="2"/>
  <c r="BB19" i="2"/>
  <c r="AY19" i="2"/>
  <c r="AX19" i="2"/>
  <c r="AW19" i="2"/>
  <c r="AV19" i="2"/>
  <c r="AT19" i="2"/>
  <c r="AR19" i="2"/>
  <c r="AM19" i="2"/>
  <c r="AN19" i="2" s="1"/>
  <c r="AL19" i="2"/>
  <c r="AJ19" i="2"/>
  <c r="AF19" i="2"/>
  <c r="AE19" i="2"/>
  <c r="AD19" i="2"/>
  <c r="AB19" i="2"/>
  <c r="W19" i="2"/>
  <c r="BA19" i="2" s="1"/>
  <c r="V19" i="2"/>
  <c r="AZ19" i="2" s="1"/>
  <c r="U19" i="2"/>
  <c r="T19" i="2"/>
  <c r="R19" i="2"/>
  <c r="S19" i="2" s="1"/>
  <c r="Q19" i="2"/>
  <c r="P19" i="2"/>
  <c r="N19" i="2"/>
  <c r="M19" i="2"/>
  <c r="O19" i="2" s="1"/>
  <c r="J19" i="2"/>
  <c r="K19" i="2" s="1"/>
  <c r="I19" i="2"/>
  <c r="G19" i="2"/>
  <c r="BL18" i="2"/>
  <c r="BJ18" i="2"/>
  <c r="BB18" i="2"/>
  <c r="AX18" i="2"/>
  <c r="AV18" i="2"/>
  <c r="AW18" i="2" s="1"/>
  <c r="AT18" i="2"/>
  <c r="AR18" i="2"/>
  <c r="AN18" i="2"/>
  <c r="AM18" i="2"/>
  <c r="AL18" i="2"/>
  <c r="AJ18" i="2"/>
  <c r="AE18" i="2"/>
  <c r="AF18" i="2" s="1"/>
  <c r="AD18" i="2"/>
  <c r="AB18" i="2"/>
  <c r="U18" i="2"/>
  <c r="AY18" i="2" s="1"/>
  <c r="T18" i="2"/>
  <c r="P18" i="2"/>
  <c r="N18" i="2"/>
  <c r="O18" i="2" s="1"/>
  <c r="M18" i="2"/>
  <c r="J18" i="2"/>
  <c r="K18" i="2" s="1"/>
  <c r="I18" i="2"/>
  <c r="G18" i="2"/>
  <c r="BJ17" i="2"/>
  <c r="BL17" i="2" s="1"/>
  <c r="BB17" i="2"/>
  <c r="AV17" i="2"/>
  <c r="AW17" i="2" s="1"/>
  <c r="AT17" i="2"/>
  <c r="AR17" i="2"/>
  <c r="AM17" i="2"/>
  <c r="AN17" i="2" s="1"/>
  <c r="AL17" i="2"/>
  <c r="AJ17" i="2"/>
  <c r="AF17" i="2"/>
  <c r="AE17" i="2"/>
  <c r="AD17" i="2"/>
  <c r="AB17" i="2"/>
  <c r="U17" i="2"/>
  <c r="AY17" i="2" s="1"/>
  <c r="T17" i="2"/>
  <c r="P17" i="2"/>
  <c r="O17" i="2"/>
  <c r="N17" i="2"/>
  <c r="M17" i="2"/>
  <c r="AX17" i="2" s="1"/>
  <c r="J17" i="2"/>
  <c r="I17" i="2"/>
  <c r="G17" i="2"/>
  <c r="BJ16" i="2"/>
  <c r="BL16" i="2" s="1"/>
  <c r="BB16" i="2"/>
  <c r="AZ16" i="2"/>
  <c r="AX16" i="2"/>
  <c r="AV16" i="2"/>
  <c r="AW16" i="2" s="1"/>
  <c r="AT16" i="2"/>
  <c r="AR16" i="2"/>
  <c r="AN16" i="2"/>
  <c r="AM16" i="2"/>
  <c r="AL16" i="2"/>
  <c r="AJ16" i="2"/>
  <c r="AF16" i="2"/>
  <c r="AE16" i="2"/>
  <c r="AD16" i="2"/>
  <c r="AB16" i="2"/>
  <c r="U16" i="2"/>
  <c r="AY16" i="2" s="1"/>
  <c r="T16" i="2"/>
  <c r="Q16" i="2"/>
  <c r="P16" i="2"/>
  <c r="V16" i="2" s="1"/>
  <c r="N16" i="2"/>
  <c r="R16" i="2" s="1"/>
  <c r="S16" i="2" s="1"/>
  <c r="M16" i="2"/>
  <c r="K16" i="2"/>
  <c r="J16" i="2"/>
  <c r="I16" i="2"/>
  <c r="G16" i="2"/>
  <c r="BL15" i="2"/>
  <c r="BJ15" i="2"/>
  <c r="BB15" i="2"/>
  <c r="AW15" i="2"/>
  <c r="AV15" i="2"/>
  <c r="AT15" i="2"/>
  <c r="AR15" i="2"/>
  <c r="AN15" i="2"/>
  <c r="AM15" i="2"/>
  <c r="AL15" i="2"/>
  <c r="AJ15" i="2"/>
  <c r="AF15" i="2"/>
  <c r="AE15" i="2"/>
  <c r="AD15" i="2"/>
  <c r="AB15" i="2"/>
  <c r="T15" i="2"/>
  <c r="P15" i="2"/>
  <c r="N15" i="2"/>
  <c r="M15" i="2"/>
  <c r="AX15" i="2" s="1"/>
  <c r="J15" i="2"/>
  <c r="K15" i="2" s="1"/>
  <c r="I15" i="2"/>
  <c r="G15" i="2"/>
  <c r="BJ14" i="2"/>
  <c r="BL14" i="2" s="1"/>
  <c r="BB14" i="2"/>
  <c r="AZ14" i="2"/>
  <c r="AY14" i="2"/>
  <c r="AX14" i="2"/>
  <c r="AV14" i="2"/>
  <c r="AW14" i="2" s="1"/>
  <c r="AT14" i="2"/>
  <c r="AR14" i="2"/>
  <c r="AN14" i="2"/>
  <c r="AM14" i="2"/>
  <c r="AL14" i="2"/>
  <c r="AJ14" i="2"/>
  <c r="AF14" i="2"/>
  <c r="AE14" i="2"/>
  <c r="AD14" i="2"/>
  <c r="AB14" i="2"/>
  <c r="R14" i="2"/>
  <c r="S14" i="2" s="1"/>
  <c r="P14" i="2"/>
  <c r="V14" i="2" s="1"/>
  <c r="N14" i="2"/>
  <c r="U14" i="2" s="1"/>
  <c r="M14" i="2"/>
  <c r="T14" i="2" s="1"/>
  <c r="K14" i="2"/>
  <c r="J14" i="2"/>
  <c r="I14" i="2"/>
  <c r="G14" i="2"/>
  <c r="BJ13" i="2"/>
  <c r="BL13" i="2" s="1"/>
  <c r="BB13" i="2"/>
  <c r="AW13" i="2"/>
  <c r="AV13" i="2"/>
  <c r="AT13" i="2"/>
  <c r="AR13" i="2"/>
  <c r="AN13" i="2"/>
  <c r="AM13" i="2"/>
  <c r="AL13" i="2"/>
  <c r="AJ13" i="2"/>
  <c r="AE13" i="2"/>
  <c r="AF13" i="2" s="1"/>
  <c r="AD13" i="2"/>
  <c r="AB13" i="2"/>
  <c r="R13" i="2"/>
  <c r="Q13" i="2"/>
  <c r="P13" i="2"/>
  <c r="V13" i="2" s="1"/>
  <c r="AZ13" i="2" s="1"/>
  <c r="N13" i="2"/>
  <c r="M13" i="2"/>
  <c r="T13" i="2" s="1"/>
  <c r="J13" i="2"/>
  <c r="I13" i="2"/>
  <c r="G13" i="2"/>
  <c r="BJ12" i="2"/>
  <c r="BL12" i="2" s="1"/>
  <c r="BB12" i="2"/>
  <c r="AY12" i="2"/>
  <c r="AV12" i="2"/>
  <c r="AW12" i="2" s="1"/>
  <c r="AT12" i="2"/>
  <c r="AR12" i="2"/>
  <c r="AN12" i="2"/>
  <c r="AM12" i="2"/>
  <c r="AL12" i="2"/>
  <c r="AJ12" i="2"/>
  <c r="AF12" i="2"/>
  <c r="AE12" i="2"/>
  <c r="AD12" i="2"/>
  <c r="AB12" i="2"/>
  <c r="V12" i="2"/>
  <c r="AZ12" i="2" s="1"/>
  <c r="R12" i="2"/>
  <c r="Q12" i="2"/>
  <c r="P12" i="2"/>
  <c r="N12" i="2"/>
  <c r="U12" i="2" s="1"/>
  <c r="M12" i="2"/>
  <c r="AX12" i="2" s="1"/>
  <c r="J12" i="2"/>
  <c r="I12" i="2"/>
  <c r="G12" i="2"/>
  <c r="BJ11" i="2"/>
  <c r="BL11" i="2" s="1"/>
  <c r="BB11" i="2"/>
  <c r="AX11" i="2"/>
  <c r="AW11" i="2"/>
  <c r="AV11" i="2"/>
  <c r="AT11" i="2"/>
  <c r="AR11" i="2"/>
  <c r="AN11" i="2"/>
  <c r="AM11" i="2"/>
  <c r="AL11" i="2"/>
  <c r="AJ11" i="2"/>
  <c r="AE11" i="2"/>
  <c r="AF11" i="2" s="1"/>
  <c r="AD11" i="2"/>
  <c r="AB11" i="2"/>
  <c r="U11" i="2"/>
  <c r="AY11" i="2" s="1"/>
  <c r="P11" i="2"/>
  <c r="O11" i="2"/>
  <c r="N11" i="2"/>
  <c r="M11" i="2"/>
  <c r="T11" i="2" s="1"/>
  <c r="J11" i="2"/>
  <c r="I11" i="2"/>
  <c r="G11" i="2"/>
  <c r="BL10" i="2"/>
  <c r="BJ10" i="2"/>
  <c r="BB10" i="2"/>
  <c r="AY10" i="2"/>
  <c r="AV10" i="2"/>
  <c r="AW10" i="2" s="1"/>
  <c r="AT10" i="2"/>
  <c r="AR10" i="2"/>
  <c r="AN10" i="2"/>
  <c r="AM10" i="2"/>
  <c r="AL10" i="2"/>
  <c r="AJ10" i="2"/>
  <c r="AE10" i="2"/>
  <c r="AF10" i="2" s="1"/>
  <c r="AD10" i="2"/>
  <c r="AB10" i="2"/>
  <c r="U10" i="2"/>
  <c r="T10" i="2"/>
  <c r="P10" i="2"/>
  <c r="N10" i="2"/>
  <c r="M10" i="2"/>
  <c r="J10" i="2"/>
  <c r="K10" i="2" s="1"/>
  <c r="I10" i="2"/>
  <c r="G10" i="2"/>
  <c r="BJ9" i="2"/>
  <c r="BL9" i="2" s="1"/>
  <c r="BB9" i="2"/>
  <c r="AZ9" i="2"/>
  <c r="AV9" i="2"/>
  <c r="AW9" i="2" s="1"/>
  <c r="AT9" i="2"/>
  <c r="AR9" i="2"/>
  <c r="AN9" i="2"/>
  <c r="AM9" i="2"/>
  <c r="AL9" i="2"/>
  <c r="AJ9" i="2"/>
  <c r="AE9" i="2"/>
  <c r="AF9" i="2" s="1"/>
  <c r="AD9" i="2"/>
  <c r="AB9" i="2"/>
  <c r="V9" i="2"/>
  <c r="P9" i="2"/>
  <c r="N9" i="2"/>
  <c r="O9" i="2" s="1"/>
  <c r="M9" i="2"/>
  <c r="Q9" i="2" s="1"/>
  <c r="K9" i="2"/>
  <c r="J9" i="2"/>
  <c r="I9" i="2"/>
  <c r="G9" i="2"/>
  <c r="BL8" i="2"/>
  <c r="BJ8" i="2"/>
  <c r="BB8" i="2"/>
  <c r="AZ8" i="2"/>
  <c r="AY8" i="2"/>
  <c r="AX8" i="2"/>
  <c r="AW8" i="2"/>
  <c r="AV8" i="2"/>
  <c r="AT8" i="2"/>
  <c r="AR8" i="2"/>
  <c r="AN8" i="2"/>
  <c r="AM8" i="2"/>
  <c r="AL8" i="2"/>
  <c r="AJ8" i="2"/>
  <c r="AE8" i="2"/>
  <c r="AF8" i="2" s="1"/>
  <c r="AD8" i="2"/>
  <c r="AB8" i="2"/>
  <c r="W8" i="2"/>
  <c r="BA8" i="2" s="1"/>
  <c r="V8" i="2"/>
  <c r="U8" i="2"/>
  <c r="T8" i="2"/>
  <c r="R8" i="2"/>
  <c r="S8" i="2" s="1"/>
  <c r="P8" i="2"/>
  <c r="N8" i="2"/>
  <c r="M8" i="2"/>
  <c r="J8" i="2"/>
  <c r="K8" i="2" s="1"/>
  <c r="I8" i="2"/>
  <c r="G8" i="2"/>
  <c r="BJ7" i="2"/>
  <c r="BL7" i="2" s="1"/>
  <c r="BB7" i="2"/>
  <c r="AY7" i="2"/>
  <c r="AV7" i="2"/>
  <c r="AW7" i="2" s="1"/>
  <c r="AT7" i="2"/>
  <c r="AR7" i="2"/>
  <c r="AN7" i="2"/>
  <c r="AM7" i="2"/>
  <c r="AL7" i="2"/>
  <c r="AJ7" i="2"/>
  <c r="AF7" i="2"/>
  <c r="AE7" i="2"/>
  <c r="AD7" i="2"/>
  <c r="AB7" i="2"/>
  <c r="V7" i="2"/>
  <c r="AZ7" i="2" s="1"/>
  <c r="U7" i="2"/>
  <c r="R7" i="2"/>
  <c r="W7" i="2" s="1"/>
  <c r="BA7" i="2" s="1"/>
  <c r="P7" i="2"/>
  <c r="N7" i="2"/>
  <c r="M7" i="2"/>
  <c r="K7" i="2"/>
  <c r="J7" i="2"/>
  <c r="I7" i="2"/>
  <c r="G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J6" i="2"/>
  <c r="BL6" i="2" s="1"/>
  <c r="BB6" i="2"/>
  <c r="AX6" i="2"/>
  <c r="AV6" i="2"/>
  <c r="AW6" i="2" s="1"/>
  <c r="AT6" i="2"/>
  <c r="AR6" i="2"/>
  <c r="AN6" i="2"/>
  <c r="AM6" i="2"/>
  <c r="AL6" i="2"/>
  <c r="AJ6" i="2"/>
  <c r="AE6" i="2"/>
  <c r="AF6" i="2" s="1"/>
  <c r="AD6" i="2"/>
  <c r="AB6" i="2"/>
  <c r="V6" i="2"/>
  <c r="AZ6" i="2" s="1"/>
  <c r="U6" i="2"/>
  <c r="AY6" i="2" s="1"/>
  <c r="T6" i="2"/>
  <c r="S6" i="2"/>
  <c r="Q6" i="2"/>
  <c r="P6" i="2"/>
  <c r="R6" i="2" s="1"/>
  <c r="N6" i="2"/>
  <c r="O6" i="2" s="1"/>
  <c r="M6" i="2"/>
  <c r="J6" i="2"/>
  <c r="W6" i="2" s="1"/>
  <c r="BA6" i="2" s="1"/>
  <c r="I6" i="2"/>
  <c r="J50" i="2" s="1"/>
  <c r="G6" i="2"/>
  <c r="BJ5" i="2"/>
  <c r="BB5" i="2"/>
  <c r="AW5" i="2"/>
  <c r="AV5" i="2"/>
  <c r="AT5" i="2"/>
  <c r="AR5" i="2"/>
  <c r="AN5" i="2"/>
  <c r="AM5" i="2"/>
  <c r="AL5" i="2"/>
  <c r="AJ5" i="2"/>
  <c r="AF5" i="2"/>
  <c r="AE5" i="2"/>
  <c r="AD5" i="2"/>
  <c r="AB5" i="2"/>
  <c r="U5" i="2"/>
  <c r="T5" i="2"/>
  <c r="R5" i="2"/>
  <c r="S5" i="2" s="1"/>
  <c r="Q5" i="2"/>
  <c r="P5" i="2"/>
  <c r="O5" i="2"/>
  <c r="N5" i="2"/>
  <c r="M5" i="2"/>
  <c r="AX5" i="2" s="1"/>
  <c r="J5" i="2"/>
  <c r="I5" i="2"/>
  <c r="G5" i="2"/>
  <c r="B5" i="2"/>
  <c r="B6" i="2" s="1"/>
  <c r="BI70" i="1"/>
  <c r="BH70" i="1"/>
  <c r="BJ70" i="1" s="1"/>
  <c r="BJ69" i="1"/>
  <c r="BI69" i="1"/>
  <c r="BH69" i="1"/>
  <c r="BI68" i="1"/>
  <c r="BH68" i="1"/>
  <c r="BJ68" i="1" s="1"/>
  <c r="BI67" i="1"/>
  <c r="BH67" i="1"/>
  <c r="BJ67" i="1" s="1"/>
  <c r="BI66" i="1"/>
  <c r="BH66" i="1"/>
  <c r="BJ66" i="1" s="1"/>
  <c r="BJ65" i="1"/>
  <c r="BI65" i="1"/>
  <c r="BH65" i="1"/>
  <c r="BI64" i="1"/>
  <c r="BH64" i="1"/>
  <c r="BJ64" i="1" s="1"/>
  <c r="BI63" i="1"/>
  <c r="BH63" i="1"/>
  <c r="BJ63" i="1" s="1"/>
  <c r="BI62" i="1"/>
  <c r="BH62" i="1"/>
  <c r="BJ62" i="1" s="1"/>
  <c r="BJ61" i="1"/>
  <c r="BI61" i="1"/>
  <c r="BH61" i="1"/>
  <c r="BI60" i="1"/>
  <c r="BH60" i="1"/>
  <c r="BJ60" i="1" s="1"/>
  <c r="BI59" i="1"/>
  <c r="BH59" i="1"/>
  <c r="BJ59" i="1" s="1"/>
  <c r="BI58" i="1"/>
  <c r="BH58" i="1"/>
  <c r="BJ58" i="1" s="1"/>
  <c r="BI57" i="1"/>
  <c r="BH57" i="1"/>
  <c r="BJ57" i="1" s="1"/>
  <c r="BI56" i="1"/>
  <c r="BH56" i="1"/>
  <c r="BJ56" i="1" s="1"/>
  <c r="Y56" i="1"/>
  <c r="X57" i="1" s="1"/>
  <c r="X56" i="1"/>
  <c r="BJ55" i="1"/>
  <c r="BI55" i="1"/>
  <c r="BH55" i="1"/>
  <c r="X55" i="1"/>
  <c r="BI54" i="1"/>
  <c r="BJ54" i="1" s="1"/>
  <c r="BH54" i="1"/>
  <c r="Y54" i="1"/>
  <c r="X54" i="1" s="1"/>
  <c r="BI53" i="1"/>
  <c r="BH53" i="1"/>
  <c r="BJ53" i="1" s="1"/>
  <c r="BI52" i="1"/>
  <c r="BH52" i="1"/>
  <c r="BJ52" i="1" s="1"/>
  <c r="Y52" i="1"/>
  <c r="Y58" i="1" s="1"/>
  <c r="BI51" i="1"/>
  <c r="BH51" i="1"/>
  <c r="BJ51" i="1" s="1"/>
  <c r="BI50" i="1"/>
  <c r="BH50" i="1"/>
  <c r="AS50" i="1"/>
  <c r="AQ50" i="1"/>
  <c r="AS49" i="1"/>
  <c r="AQ49" i="1"/>
  <c r="AE49" i="1"/>
  <c r="S48" i="1"/>
  <c r="Q48" i="1"/>
  <c r="K48" i="1"/>
  <c r="I48" i="1"/>
  <c r="K46" i="1"/>
  <c r="AF46" i="1" s="1"/>
  <c r="AN46" i="1" s="1"/>
  <c r="AW46" i="1" s="1"/>
  <c r="BG45" i="1"/>
  <c r="W45" i="1"/>
  <c r="BG44" i="1"/>
  <c r="BA44" i="1"/>
  <c r="BE43" i="1"/>
  <c r="BG43" i="1" s="1"/>
  <c r="V41" i="1"/>
  <c r="AQ38" i="1"/>
  <c r="AI38" i="1"/>
  <c r="AA38" i="1"/>
  <c r="O38" i="1"/>
  <c r="U38" i="1" s="1"/>
  <c r="BF37" i="1"/>
  <c r="AL37" i="1"/>
  <c r="H37" i="1"/>
  <c r="F37" i="1"/>
  <c r="G37" i="1" s="1"/>
  <c r="BI36" i="1"/>
  <c r="BH36" i="1"/>
  <c r="BG36" i="1"/>
  <c r="BF36" i="1"/>
  <c r="BE36" i="1"/>
  <c r="BD36" i="1"/>
  <c r="BC36" i="1"/>
  <c r="AU36" i="1"/>
  <c r="AU37" i="1" s="1"/>
  <c r="AS36" i="1"/>
  <c r="AS37" i="1" s="1"/>
  <c r="AQ36" i="1"/>
  <c r="AQ37" i="1" s="1"/>
  <c r="AR37" i="1" s="1"/>
  <c r="AP36" i="1"/>
  <c r="AO36" i="1"/>
  <c r="AK36" i="1"/>
  <c r="AK37" i="1" s="1"/>
  <c r="AI36" i="1"/>
  <c r="AI37" i="1" s="1"/>
  <c r="AJ37" i="1" s="1"/>
  <c r="AH36" i="1"/>
  <c r="AG36" i="1"/>
  <c r="AC36" i="1"/>
  <c r="AC37" i="1" s="1"/>
  <c r="AD37" i="1" s="1"/>
  <c r="AA36" i="1"/>
  <c r="AB36" i="1" s="1"/>
  <c r="Z36" i="1"/>
  <c r="Y36" i="1"/>
  <c r="X36" i="1"/>
  <c r="L36" i="1"/>
  <c r="H36" i="1"/>
  <c r="F36" i="1"/>
  <c r="E36" i="1"/>
  <c r="F38" i="1" s="1"/>
  <c r="D36" i="1"/>
  <c r="C36" i="1"/>
  <c r="BL35" i="1"/>
  <c r="BJ35" i="1"/>
  <c r="BB35" i="1"/>
  <c r="AX35" i="1"/>
  <c r="AW35" i="1"/>
  <c r="AV35" i="1"/>
  <c r="AT35" i="1"/>
  <c r="AR35" i="1"/>
  <c r="AN35" i="1"/>
  <c r="AM35" i="1"/>
  <c r="AL35" i="1"/>
  <c r="AJ35" i="1"/>
  <c r="AF35" i="1"/>
  <c r="AE35" i="1"/>
  <c r="AD35" i="1"/>
  <c r="AB35" i="1"/>
  <c r="U35" i="1"/>
  <c r="AY35" i="1" s="1"/>
  <c r="T35" i="1"/>
  <c r="P35" i="1"/>
  <c r="V35" i="1" s="1"/>
  <c r="AZ35" i="1" s="1"/>
  <c r="N35" i="1"/>
  <c r="O35" i="1" s="1"/>
  <c r="M35" i="1"/>
  <c r="K35" i="1"/>
  <c r="J35" i="1"/>
  <c r="I35" i="1"/>
  <c r="G35" i="1"/>
  <c r="BJ34" i="1"/>
  <c r="BL34" i="1" s="1"/>
  <c r="BB34" i="1"/>
  <c r="AX34" i="1"/>
  <c r="AV34" i="1"/>
  <c r="AW34" i="1" s="1"/>
  <c r="AT34" i="1"/>
  <c r="AR34" i="1"/>
  <c r="AN34" i="1"/>
  <c r="AM34" i="1"/>
  <c r="AL34" i="1"/>
  <c r="AJ34" i="1"/>
  <c r="AE34" i="1"/>
  <c r="AF34" i="1" s="1"/>
  <c r="AD34" i="1"/>
  <c r="AB34" i="1"/>
  <c r="T34" i="1"/>
  <c r="P34" i="1"/>
  <c r="N34" i="1"/>
  <c r="M34" i="1"/>
  <c r="K34" i="1"/>
  <c r="J34" i="1"/>
  <c r="I34" i="1"/>
  <c r="G34" i="1"/>
  <c r="BL33" i="1"/>
  <c r="BJ33" i="1"/>
  <c r="BB33" i="1"/>
  <c r="AZ33" i="1"/>
  <c r="AY33" i="1"/>
  <c r="AW33" i="1"/>
  <c r="AV33" i="1"/>
  <c r="AT33" i="1"/>
  <c r="AR33" i="1"/>
  <c r="AN33" i="1"/>
  <c r="AM33" i="1"/>
  <c r="AL33" i="1"/>
  <c r="AJ33" i="1"/>
  <c r="AE33" i="1"/>
  <c r="AF33" i="1" s="1"/>
  <c r="AD33" i="1"/>
  <c r="AB33" i="1"/>
  <c r="P33" i="1"/>
  <c r="V33" i="1" s="1"/>
  <c r="N33" i="1"/>
  <c r="U33" i="1" s="1"/>
  <c r="M33" i="1"/>
  <c r="J33" i="1"/>
  <c r="K33" i="1" s="1"/>
  <c r="I33" i="1"/>
  <c r="G33" i="1"/>
  <c r="BL32" i="1"/>
  <c r="BJ32" i="1"/>
  <c r="BB32" i="1"/>
  <c r="AX32" i="1"/>
  <c r="AV32" i="1"/>
  <c r="AW32" i="1" s="1"/>
  <c r="AT32" i="1"/>
  <c r="AR32" i="1"/>
  <c r="AN32" i="1"/>
  <c r="AM32" i="1"/>
  <c r="AL32" i="1"/>
  <c r="AJ32" i="1"/>
  <c r="AE32" i="1"/>
  <c r="AF32" i="1" s="1"/>
  <c r="AD32" i="1"/>
  <c r="AB32" i="1"/>
  <c r="Q32" i="1"/>
  <c r="P32" i="1"/>
  <c r="V32" i="1" s="1"/>
  <c r="AZ32" i="1" s="1"/>
  <c r="N32" i="1"/>
  <c r="R32" i="1" s="1"/>
  <c r="M32" i="1"/>
  <c r="K32" i="1"/>
  <c r="J32" i="1"/>
  <c r="I32" i="1"/>
  <c r="G32" i="1"/>
  <c r="BJ31" i="1"/>
  <c r="BL31" i="1" s="1"/>
  <c r="BB31" i="1"/>
  <c r="AW31" i="1"/>
  <c r="AV31" i="1"/>
  <c r="AT31" i="1"/>
  <c r="AR31" i="1"/>
  <c r="AN31" i="1"/>
  <c r="AM31" i="1"/>
  <c r="AL31" i="1"/>
  <c r="AJ31" i="1"/>
  <c r="AE31" i="1"/>
  <c r="AF31" i="1" s="1"/>
  <c r="AD31" i="1"/>
  <c r="AB31" i="1"/>
  <c r="Q31" i="1"/>
  <c r="P31" i="1"/>
  <c r="N31" i="1"/>
  <c r="U31" i="1" s="1"/>
  <c r="AY31" i="1" s="1"/>
  <c r="M31" i="1"/>
  <c r="J31" i="1"/>
  <c r="I31" i="1"/>
  <c r="G31" i="1"/>
  <c r="BJ30" i="1"/>
  <c r="BL30" i="1" s="1"/>
  <c r="BB30" i="1"/>
  <c r="AX30" i="1"/>
  <c r="AW30" i="1"/>
  <c r="AV30" i="1"/>
  <c r="AT30" i="1"/>
  <c r="AR30" i="1"/>
  <c r="AN30" i="1"/>
  <c r="AM30" i="1"/>
  <c r="AL30" i="1"/>
  <c r="AJ30" i="1"/>
  <c r="AF30" i="1"/>
  <c r="AE30" i="1"/>
  <c r="AD30" i="1"/>
  <c r="AB30" i="1"/>
  <c r="P30" i="1"/>
  <c r="V30" i="1" s="1"/>
  <c r="AZ30" i="1" s="1"/>
  <c r="O30" i="1"/>
  <c r="N30" i="1"/>
  <c r="U30" i="1" s="1"/>
  <c r="AY30" i="1" s="1"/>
  <c r="M30" i="1"/>
  <c r="T30" i="1" s="1"/>
  <c r="J30" i="1"/>
  <c r="I30" i="1"/>
  <c r="G30" i="1"/>
  <c r="BJ29" i="1"/>
  <c r="BL29" i="1" s="1"/>
  <c r="BB29" i="1"/>
  <c r="AX29" i="1"/>
  <c r="AW29" i="1"/>
  <c r="AV29" i="1"/>
  <c r="AT29" i="1"/>
  <c r="AR29" i="1"/>
  <c r="AN29" i="1"/>
  <c r="AM29" i="1"/>
  <c r="AL29" i="1"/>
  <c r="AJ29" i="1"/>
  <c r="AE29" i="1"/>
  <c r="AF29" i="1" s="1"/>
  <c r="AD29" i="1"/>
  <c r="AB29" i="1"/>
  <c r="P29" i="1"/>
  <c r="Q29" i="1" s="1"/>
  <c r="O29" i="1"/>
  <c r="N29" i="1"/>
  <c r="M29" i="1"/>
  <c r="T29" i="1" s="1"/>
  <c r="J29" i="1"/>
  <c r="K29" i="1" s="1"/>
  <c r="I29" i="1"/>
  <c r="G29" i="1"/>
  <c r="BJ28" i="1"/>
  <c r="BL28" i="1" s="1"/>
  <c r="BB28" i="1"/>
  <c r="AW28" i="1"/>
  <c r="AV28" i="1"/>
  <c r="AT28" i="1"/>
  <c r="AR28" i="1"/>
  <c r="AN28" i="1"/>
  <c r="AM28" i="1"/>
  <c r="AL28" i="1"/>
  <c r="AJ28" i="1"/>
  <c r="AF28" i="1"/>
  <c r="AE28" i="1"/>
  <c r="AD28" i="1"/>
  <c r="AB28" i="1"/>
  <c r="V28" i="1"/>
  <c r="AZ28" i="1" s="1"/>
  <c r="U28" i="1"/>
  <c r="AY28" i="1" s="1"/>
  <c r="T28" i="1"/>
  <c r="P28" i="1"/>
  <c r="Q28" i="1" s="1"/>
  <c r="N28" i="1"/>
  <c r="R28" i="1" s="1"/>
  <c r="M28" i="1"/>
  <c r="J28" i="1"/>
  <c r="K28" i="1" s="1"/>
  <c r="I28" i="1"/>
  <c r="G28" i="1"/>
  <c r="BJ27" i="1"/>
  <c r="BL27" i="1" s="1"/>
  <c r="BB27" i="1"/>
  <c r="AZ27" i="1"/>
  <c r="AX27" i="1"/>
  <c r="AW27" i="1"/>
  <c r="AV27" i="1"/>
  <c r="AT27" i="1"/>
  <c r="AR27" i="1"/>
  <c r="AN27" i="1"/>
  <c r="AM27" i="1"/>
  <c r="AL27" i="1"/>
  <c r="AJ27" i="1"/>
  <c r="AE27" i="1"/>
  <c r="AF27" i="1" s="1"/>
  <c r="AD27" i="1"/>
  <c r="AB27" i="1"/>
  <c r="V27" i="1"/>
  <c r="P27" i="1"/>
  <c r="N27" i="1"/>
  <c r="M27" i="1"/>
  <c r="Q27" i="1" s="1"/>
  <c r="K27" i="1"/>
  <c r="J27" i="1"/>
  <c r="I27" i="1"/>
  <c r="G27" i="1"/>
  <c r="BL26" i="1"/>
  <c r="BJ26" i="1"/>
  <c r="BB26" i="1"/>
  <c r="AZ26" i="1"/>
  <c r="AY26" i="1"/>
  <c r="AX26" i="1"/>
  <c r="AW26" i="1"/>
  <c r="AV26" i="1"/>
  <c r="AT26" i="1"/>
  <c r="AR26" i="1"/>
  <c r="AN26" i="1"/>
  <c r="AM26" i="1"/>
  <c r="AL26" i="1"/>
  <c r="AJ26" i="1"/>
  <c r="AE26" i="1"/>
  <c r="AF26" i="1" s="1"/>
  <c r="AD26" i="1"/>
  <c r="AB26" i="1"/>
  <c r="V26" i="1"/>
  <c r="U26" i="1"/>
  <c r="T26" i="1"/>
  <c r="R26" i="1"/>
  <c r="W26" i="1" s="1"/>
  <c r="BA26" i="1" s="1"/>
  <c r="P26" i="1"/>
  <c r="N26" i="1"/>
  <c r="O26" i="1" s="1"/>
  <c r="M26" i="1"/>
  <c r="Q26" i="1" s="1"/>
  <c r="J26" i="1"/>
  <c r="K26" i="1" s="1"/>
  <c r="I26" i="1"/>
  <c r="G26" i="1"/>
  <c r="BJ25" i="1"/>
  <c r="BL25" i="1" s="1"/>
  <c r="BB25" i="1"/>
  <c r="AY25" i="1"/>
  <c r="AX25" i="1"/>
  <c r="AW25" i="1"/>
  <c r="AV25" i="1"/>
  <c r="AT25" i="1"/>
  <c r="AR25" i="1"/>
  <c r="AN25" i="1"/>
  <c r="AM25" i="1"/>
  <c r="AL25" i="1"/>
  <c r="AJ25" i="1"/>
  <c r="AE25" i="1"/>
  <c r="AF25" i="1" s="1"/>
  <c r="AD25" i="1"/>
  <c r="AB25" i="1"/>
  <c r="V25" i="1"/>
  <c r="AZ25" i="1" s="1"/>
  <c r="U25" i="1"/>
  <c r="T25" i="1"/>
  <c r="S25" i="1"/>
  <c r="R25" i="1"/>
  <c r="Q25" i="1"/>
  <c r="P25" i="1"/>
  <c r="N25" i="1"/>
  <c r="M25" i="1"/>
  <c r="O25" i="1" s="1"/>
  <c r="J25" i="1"/>
  <c r="K25" i="1" s="1"/>
  <c r="I25" i="1"/>
  <c r="G25" i="1"/>
  <c r="BJ24" i="1"/>
  <c r="BL24" i="1" s="1"/>
  <c r="BB24" i="1"/>
  <c r="AX24" i="1"/>
  <c r="AW24" i="1"/>
  <c r="AV24" i="1"/>
  <c r="AT24" i="1"/>
  <c r="AR24" i="1"/>
  <c r="AN24" i="1"/>
  <c r="AM24" i="1"/>
  <c r="AL24" i="1"/>
  <c r="AJ24" i="1"/>
  <c r="AE24" i="1"/>
  <c r="AF24" i="1" s="1"/>
  <c r="AD24" i="1"/>
  <c r="AB24" i="1"/>
  <c r="U24" i="1"/>
  <c r="AY24" i="1" s="1"/>
  <c r="T24" i="1"/>
  <c r="P24" i="1"/>
  <c r="V24" i="1" s="1"/>
  <c r="AZ24" i="1" s="1"/>
  <c r="N24" i="1"/>
  <c r="M24" i="1"/>
  <c r="O24" i="1" s="1"/>
  <c r="J24" i="1"/>
  <c r="K24" i="1" s="1"/>
  <c r="I24" i="1"/>
  <c r="G24" i="1"/>
  <c r="BJ23" i="1"/>
  <c r="BL23" i="1" s="1"/>
  <c r="BB23" i="1"/>
  <c r="AX23" i="1"/>
  <c r="AW23" i="1"/>
  <c r="AV23" i="1"/>
  <c r="AT23" i="1"/>
  <c r="AR23" i="1"/>
  <c r="AM23" i="1"/>
  <c r="AN23" i="1" s="1"/>
  <c r="AL23" i="1"/>
  <c r="AJ23" i="1"/>
  <c r="AF23" i="1"/>
  <c r="AE23" i="1"/>
  <c r="AD23" i="1"/>
  <c r="AB23" i="1"/>
  <c r="U23" i="1"/>
  <c r="AY23" i="1" s="1"/>
  <c r="T23" i="1"/>
  <c r="Q23" i="1"/>
  <c r="P23" i="1"/>
  <c r="R23" i="1" s="1"/>
  <c r="S23" i="1" s="1"/>
  <c r="O23" i="1"/>
  <c r="N23" i="1"/>
  <c r="M23" i="1"/>
  <c r="J23" i="1"/>
  <c r="I23" i="1"/>
  <c r="G23" i="1"/>
  <c r="BJ22" i="1"/>
  <c r="BL22" i="1" s="1"/>
  <c r="BB22" i="1"/>
  <c r="AW22" i="1"/>
  <c r="AV22" i="1"/>
  <c r="AT22" i="1"/>
  <c r="AR22" i="1"/>
  <c r="AN22" i="1"/>
  <c r="AM22" i="1"/>
  <c r="AL22" i="1"/>
  <c r="AJ22" i="1"/>
  <c r="AE22" i="1"/>
  <c r="AF22" i="1" s="1"/>
  <c r="AD22" i="1"/>
  <c r="AB22" i="1"/>
  <c r="U22" i="1"/>
  <c r="AY22" i="1" s="1"/>
  <c r="T22" i="1"/>
  <c r="P22" i="1"/>
  <c r="N22" i="1"/>
  <c r="R22" i="1" s="1"/>
  <c r="S22" i="1" s="1"/>
  <c r="M22" i="1"/>
  <c r="AX22" i="1" s="1"/>
  <c r="J22" i="1"/>
  <c r="K22" i="1" s="1"/>
  <c r="I22" i="1"/>
  <c r="G22" i="1"/>
  <c r="BL21" i="1"/>
  <c r="BJ21" i="1"/>
  <c r="BB21" i="1"/>
  <c r="AW21" i="1"/>
  <c r="AV21" i="1"/>
  <c r="AT21" i="1"/>
  <c r="AR21" i="1"/>
  <c r="AN21" i="1"/>
  <c r="AM21" i="1"/>
  <c r="AL21" i="1"/>
  <c r="AJ21" i="1"/>
  <c r="AF21" i="1"/>
  <c r="AE21" i="1"/>
  <c r="AD21" i="1"/>
  <c r="AB21" i="1"/>
  <c r="P21" i="1"/>
  <c r="V21" i="1" s="1"/>
  <c r="AZ21" i="1" s="1"/>
  <c r="N21" i="1"/>
  <c r="U21" i="1" s="1"/>
  <c r="AY21" i="1" s="1"/>
  <c r="M21" i="1"/>
  <c r="AX21" i="1" s="1"/>
  <c r="J21" i="1"/>
  <c r="K21" i="1" s="1"/>
  <c r="I21" i="1"/>
  <c r="G21" i="1"/>
  <c r="BJ20" i="1"/>
  <c r="BL20" i="1" s="1"/>
  <c r="BB20" i="1"/>
  <c r="AX20" i="1"/>
  <c r="AW20" i="1"/>
  <c r="AV20" i="1"/>
  <c r="AT20" i="1"/>
  <c r="AR20" i="1"/>
  <c r="AN20" i="1"/>
  <c r="AM20" i="1"/>
  <c r="AL20" i="1"/>
  <c r="AJ20" i="1"/>
  <c r="AE20" i="1"/>
  <c r="AF20" i="1" s="1"/>
  <c r="AD20" i="1"/>
  <c r="AB20" i="1"/>
  <c r="Q20" i="1"/>
  <c r="P20" i="1"/>
  <c r="V20" i="1" s="1"/>
  <c r="AZ20" i="1" s="1"/>
  <c r="N20" i="1"/>
  <c r="M20" i="1"/>
  <c r="T20" i="1" s="1"/>
  <c r="K20" i="1"/>
  <c r="J20" i="1"/>
  <c r="I20" i="1"/>
  <c r="G20" i="1"/>
  <c r="BL19" i="1"/>
  <c r="BJ19" i="1"/>
  <c r="BB19" i="1"/>
  <c r="AY19" i="1"/>
  <c r="AX19" i="1"/>
  <c r="AW19" i="1"/>
  <c r="AV19" i="1"/>
  <c r="AT19" i="1"/>
  <c r="AR19" i="1"/>
  <c r="AN19" i="1"/>
  <c r="AM19" i="1"/>
  <c r="AL19" i="1"/>
  <c r="AJ19" i="1"/>
  <c r="AE19" i="1"/>
  <c r="AF19" i="1" s="1"/>
  <c r="AD19" i="1"/>
  <c r="AB19" i="1"/>
  <c r="W19" i="1"/>
  <c r="BA19" i="1" s="1"/>
  <c r="R19" i="1"/>
  <c r="Q19" i="1"/>
  <c r="P19" i="1"/>
  <c r="V19" i="1" s="1"/>
  <c r="AZ19" i="1" s="1"/>
  <c r="N19" i="1"/>
  <c r="U19" i="1" s="1"/>
  <c r="M19" i="1"/>
  <c r="J19" i="1"/>
  <c r="K19" i="1" s="1"/>
  <c r="I19" i="1"/>
  <c r="G19" i="1"/>
  <c r="BJ18" i="1"/>
  <c r="BL18" i="1" s="1"/>
  <c r="BB18" i="1"/>
  <c r="BA18" i="1"/>
  <c r="AX18" i="1"/>
  <c r="AW18" i="1"/>
  <c r="AV18" i="1"/>
  <c r="AT18" i="1"/>
  <c r="AR18" i="1"/>
  <c r="AN18" i="1"/>
  <c r="AM18" i="1"/>
  <c r="AL18" i="1"/>
  <c r="AJ18" i="1"/>
  <c r="AF18" i="1"/>
  <c r="AE18" i="1"/>
  <c r="AD18" i="1"/>
  <c r="AB18" i="1"/>
  <c r="W18" i="1"/>
  <c r="P18" i="1"/>
  <c r="R18" i="1" s="1"/>
  <c r="O18" i="1"/>
  <c r="N18" i="1"/>
  <c r="U18" i="1" s="1"/>
  <c r="AY18" i="1" s="1"/>
  <c r="M18" i="1"/>
  <c r="T18" i="1" s="1"/>
  <c r="J18" i="1"/>
  <c r="K18" i="1" s="1"/>
  <c r="I18" i="1"/>
  <c r="G18" i="1"/>
  <c r="BJ17" i="1"/>
  <c r="BL17" i="1" s="1"/>
  <c r="BB17" i="1"/>
  <c r="AX17" i="1"/>
  <c r="AW17" i="1"/>
  <c r="AV17" i="1"/>
  <c r="AT17" i="1"/>
  <c r="AR17" i="1"/>
  <c r="AN17" i="1"/>
  <c r="AM17" i="1"/>
  <c r="AL17" i="1"/>
  <c r="AJ17" i="1"/>
  <c r="AF17" i="1"/>
  <c r="AE17" i="1"/>
  <c r="AD17" i="1"/>
  <c r="AB17" i="1"/>
  <c r="V17" i="1"/>
  <c r="AZ17" i="1" s="1"/>
  <c r="P17" i="1"/>
  <c r="Q17" i="1" s="1"/>
  <c r="N17" i="1"/>
  <c r="R17" i="1" s="1"/>
  <c r="M17" i="1"/>
  <c r="T17" i="1" s="1"/>
  <c r="J17" i="1"/>
  <c r="K17" i="1" s="1"/>
  <c r="I17" i="1"/>
  <c r="G17" i="1"/>
  <c r="BL16" i="1"/>
  <c r="BJ16" i="1"/>
  <c r="BB16" i="1"/>
  <c r="AZ16" i="1"/>
  <c r="AW16" i="1"/>
  <c r="AV16" i="1"/>
  <c r="AT16" i="1"/>
  <c r="AR16" i="1"/>
  <c r="AM16" i="1"/>
  <c r="AN16" i="1" s="1"/>
  <c r="AL16" i="1"/>
  <c r="AJ16" i="1"/>
  <c r="AE16" i="1"/>
  <c r="AF16" i="1" s="1"/>
  <c r="AD16" i="1"/>
  <c r="AB16" i="1"/>
  <c r="V16" i="1"/>
  <c r="T16" i="1"/>
  <c r="P16" i="1"/>
  <c r="Q16" i="1" s="1"/>
  <c r="N16" i="1"/>
  <c r="R16" i="1" s="1"/>
  <c r="M16" i="1"/>
  <c r="J16" i="1"/>
  <c r="K16" i="1" s="1"/>
  <c r="I16" i="1"/>
  <c r="G16" i="1"/>
  <c r="BJ15" i="1"/>
  <c r="BL15" i="1" s="1"/>
  <c r="BB15" i="1"/>
  <c r="AZ15" i="1"/>
  <c r="AY15" i="1"/>
  <c r="AX15" i="1"/>
  <c r="AW15" i="1"/>
  <c r="AV15" i="1"/>
  <c r="AT15" i="1"/>
  <c r="AR15" i="1"/>
  <c r="AN15" i="1"/>
  <c r="AM15" i="1"/>
  <c r="AL15" i="1"/>
  <c r="AJ15" i="1"/>
  <c r="AE15" i="1"/>
  <c r="AF15" i="1" s="1"/>
  <c r="AD15" i="1"/>
  <c r="AB15" i="1"/>
  <c r="V15" i="1"/>
  <c r="U15" i="1"/>
  <c r="T15" i="1"/>
  <c r="P15" i="1"/>
  <c r="N15" i="1"/>
  <c r="M15" i="1"/>
  <c r="K15" i="1"/>
  <c r="J15" i="1"/>
  <c r="I15" i="1"/>
  <c r="G15" i="1"/>
  <c r="BL14" i="1"/>
  <c r="BJ14" i="1"/>
  <c r="BB14" i="1"/>
  <c r="AZ14" i="1"/>
  <c r="AY14" i="1"/>
  <c r="AW14" i="1"/>
  <c r="AV14" i="1"/>
  <c r="AT14" i="1"/>
  <c r="AR14" i="1"/>
  <c r="AR49" i="1" s="1"/>
  <c r="AR50" i="1" s="1"/>
  <c r="AN14" i="1"/>
  <c r="AM14" i="1"/>
  <c r="AL14" i="1"/>
  <c r="AJ14" i="1"/>
  <c r="AF14" i="1"/>
  <c r="AE14" i="1"/>
  <c r="AD14" i="1"/>
  <c r="AB14" i="1"/>
  <c r="V14" i="1"/>
  <c r="U14" i="1"/>
  <c r="R14" i="1"/>
  <c r="W14" i="1" s="1"/>
  <c r="BA14" i="1" s="1"/>
  <c r="P14" i="1"/>
  <c r="Q14" i="1" s="1"/>
  <c r="N14" i="1"/>
  <c r="M14" i="1"/>
  <c r="AX14" i="1" s="1"/>
  <c r="K14" i="1"/>
  <c r="J14" i="1"/>
  <c r="I14" i="1"/>
  <c r="G14" i="1"/>
  <c r="BL13" i="1"/>
  <c r="BJ13" i="1"/>
  <c r="BB13" i="1"/>
  <c r="AY13" i="1"/>
  <c r="AX13" i="1"/>
  <c r="AW13" i="1"/>
  <c r="AV13" i="1"/>
  <c r="AT13" i="1"/>
  <c r="AR13" i="1"/>
  <c r="AM13" i="1"/>
  <c r="AN13" i="1" s="1"/>
  <c r="AL13" i="1"/>
  <c r="AJ13" i="1"/>
  <c r="AF13" i="1"/>
  <c r="AE13" i="1"/>
  <c r="AD13" i="1"/>
  <c r="AB13" i="1"/>
  <c r="V13" i="1"/>
  <c r="AZ13" i="1" s="1"/>
  <c r="U13" i="1"/>
  <c r="T13" i="1"/>
  <c r="R13" i="1"/>
  <c r="S13" i="1" s="1"/>
  <c r="Q13" i="1"/>
  <c r="P13" i="1"/>
  <c r="N13" i="1"/>
  <c r="M13" i="1"/>
  <c r="O13" i="1" s="1"/>
  <c r="J13" i="1"/>
  <c r="K13" i="1" s="1"/>
  <c r="I13" i="1"/>
  <c r="G13" i="1"/>
  <c r="BJ12" i="1"/>
  <c r="BL12" i="1" s="1"/>
  <c r="BB12" i="1"/>
  <c r="AX12" i="1"/>
  <c r="AW12" i="1"/>
  <c r="AV12" i="1"/>
  <c r="AT12" i="1"/>
  <c r="AR12" i="1"/>
  <c r="AN12" i="1"/>
  <c r="AM12" i="1"/>
  <c r="AL12" i="1"/>
  <c r="AJ12" i="1"/>
  <c r="AE12" i="1"/>
  <c r="AF12" i="1" s="1"/>
  <c r="AD12" i="1"/>
  <c r="AB12" i="1"/>
  <c r="V12" i="1"/>
  <c r="AZ12" i="1" s="1"/>
  <c r="U12" i="1"/>
  <c r="AY12" i="1" s="1"/>
  <c r="T12" i="1"/>
  <c r="R12" i="1"/>
  <c r="W12" i="1" s="1"/>
  <c r="BA12" i="1" s="1"/>
  <c r="Q12" i="1"/>
  <c r="P12" i="1"/>
  <c r="N12" i="1"/>
  <c r="O12" i="1" s="1"/>
  <c r="M12" i="1"/>
  <c r="J12" i="1"/>
  <c r="K12" i="1" s="1"/>
  <c r="I12" i="1"/>
  <c r="G12" i="1"/>
  <c r="BL11" i="1"/>
  <c r="BJ11" i="1"/>
  <c r="BB11" i="1"/>
  <c r="AW11" i="1"/>
  <c r="AV11" i="1"/>
  <c r="AT11" i="1"/>
  <c r="AR11" i="1"/>
  <c r="AN11" i="1"/>
  <c r="AM11" i="1"/>
  <c r="AL11" i="1"/>
  <c r="AJ11" i="1"/>
  <c r="AF11" i="1"/>
  <c r="AE11" i="1"/>
  <c r="AD11" i="1"/>
  <c r="AB11" i="1"/>
  <c r="V11" i="1"/>
  <c r="AZ11" i="1" s="1"/>
  <c r="U11" i="1"/>
  <c r="AY11" i="1" s="1"/>
  <c r="T11" i="1"/>
  <c r="R11" i="1"/>
  <c r="S11" i="1" s="1"/>
  <c r="P11" i="1"/>
  <c r="Q11" i="1" s="1"/>
  <c r="O11" i="1"/>
  <c r="N11" i="1"/>
  <c r="M11" i="1"/>
  <c r="AX11" i="1" s="1"/>
  <c r="J11" i="1"/>
  <c r="I11" i="1"/>
  <c r="G11" i="1"/>
  <c r="BJ10" i="1"/>
  <c r="BL10" i="1" s="1"/>
  <c r="BB10" i="1"/>
  <c r="AW10" i="1"/>
  <c r="AV10" i="1"/>
  <c r="AT10" i="1"/>
  <c r="AR10" i="1"/>
  <c r="AN10" i="1"/>
  <c r="AM10" i="1"/>
  <c r="AL10" i="1"/>
  <c r="AJ10" i="1"/>
  <c r="AF10" i="1"/>
  <c r="AE10" i="1"/>
  <c r="AD10" i="1"/>
  <c r="AB10" i="1"/>
  <c r="T10" i="1"/>
  <c r="Q10" i="1"/>
  <c r="P10" i="1"/>
  <c r="V10" i="1" s="1"/>
  <c r="AZ10" i="1" s="1"/>
  <c r="N10" i="1"/>
  <c r="R10" i="1" s="1"/>
  <c r="S10" i="1" s="1"/>
  <c r="M10" i="1"/>
  <c r="AX10" i="1" s="1"/>
  <c r="J10" i="1"/>
  <c r="K10" i="1" s="1"/>
  <c r="I10" i="1"/>
  <c r="G10" i="1"/>
  <c r="BL9" i="1"/>
  <c r="BJ9" i="1"/>
  <c r="BB9" i="1"/>
  <c r="AY9" i="1"/>
  <c r="AW9" i="1"/>
  <c r="AV9" i="1"/>
  <c r="AT9" i="1"/>
  <c r="AR9" i="1"/>
  <c r="AN9" i="1"/>
  <c r="AM9" i="1"/>
  <c r="AL9" i="1"/>
  <c r="AJ9" i="1"/>
  <c r="AE9" i="1"/>
  <c r="AF9" i="1" s="1"/>
  <c r="AD9" i="1"/>
  <c r="AB9" i="1"/>
  <c r="T9" i="1"/>
  <c r="R9" i="1"/>
  <c r="S9" i="1" s="1"/>
  <c r="P9" i="1"/>
  <c r="O9" i="1"/>
  <c r="N9" i="1"/>
  <c r="U9" i="1" s="1"/>
  <c r="M9" i="1"/>
  <c r="AX9" i="1" s="1"/>
  <c r="J9" i="1"/>
  <c r="K9" i="1" s="1"/>
  <c r="I9" i="1"/>
  <c r="G9" i="1"/>
  <c r="BJ8" i="1"/>
  <c r="BL8" i="1" s="1"/>
  <c r="BB8" i="1"/>
  <c r="AY8" i="1"/>
  <c r="AW8" i="1"/>
  <c r="AV8" i="1"/>
  <c r="AT8" i="1"/>
  <c r="AR8" i="1"/>
  <c r="AN8" i="1"/>
  <c r="AM8" i="1"/>
  <c r="AL8" i="1"/>
  <c r="AJ8" i="1"/>
  <c r="AF8" i="1"/>
  <c r="AE8" i="1"/>
  <c r="AD8" i="1"/>
  <c r="AB8" i="1"/>
  <c r="R8" i="1"/>
  <c r="P8" i="1"/>
  <c r="V8" i="1" s="1"/>
  <c r="AZ8" i="1" s="1"/>
  <c r="N8" i="1"/>
  <c r="U8" i="1" s="1"/>
  <c r="M8" i="1"/>
  <c r="T8" i="1" s="1"/>
  <c r="K8" i="1"/>
  <c r="J8" i="1"/>
  <c r="W8" i="1" s="1"/>
  <c r="BA8" i="1" s="1"/>
  <c r="I8" i="1"/>
  <c r="G8" i="1"/>
  <c r="BJ7" i="1"/>
  <c r="BL7" i="1" s="1"/>
  <c r="BB7" i="1"/>
  <c r="AW7" i="1"/>
  <c r="AV7" i="1"/>
  <c r="AT7" i="1"/>
  <c r="AR7" i="1"/>
  <c r="AN7" i="1"/>
  <c r="AM7" i="1"/>
  <c r="AM36" i="1" s="1"/>
  <c r="AL7" i="1"/>
  <c r="AJ7" i="1"/>
  <c r="AE7" i="1"/>
  <c r="AF7" i="1" s="1"/>
  <c r="AD7" i="1"/>
  <c r="AB7" i="1"/>
  <c r="P7" i="1"/>
  <c r="V7" i="1" s="1"/>
  <c r="AZ7" i="1" s="1"/>
  <c r="N7" i="1"/>
  <c r="M7" i="1"/>
  <c r="K7" i="1"/>
  <c r="J7" i="1"/>
  <c r="I7" i="1"/>
  <c r="G7" i="1"/>
  <c r="BJ6" i="1"/>
  <c r="BL6" i="1" s="1"/>
  <c r="BB6" i="1"/>
  <c r="AY6" i="1"/>
  <c r="AX6" i="1"/>
  <c r="AW6" i="1"/>
  <c r="AV6" i="1"/>
  <c r="AT6" i="1"/>
  <c r="AR6" i="1"/>
  <c r="AN6" i="1"/>
  <c r="AM6" i="1"/>
  <c r="AL6" i="1"/>
  <c r="AJ6" i="1"/>
  <c r="AF6" i="1"/>
  <c r="AE6" i="1"/>
  <c r="AD6" i="1"/>
  <c r="AB6" i="1"/>
  <c r="V6" i="1"/>
  <c r="AZ6" i="1" s="1"/>
  <c r="P6" i="1"/>
  <c r="R6" i="1" s="1"/>
  <c r="W6" i="1" s="1"/>
  <c r="BA6" i="1" s="1"/>
  <c r="N6" i="1"/>
  <c r="U6" i="1" s="1"/>
  <c r="M6" i="1"/>
  <c r="J6" i="1"/>
  <c r="K6" i="1" s="1"/>
  <c r="I6" i="1"/>
  <c r="J50" i="1" s="1"/>
  <c r="G6" i="1"/>
  <c r="BJ5" i="1"/>
  <c r="BB5" i="1"/>
  <c r="BB36" i="1" s="1"/>
  <c r="BB37" i="1" s="1"/>
  <c r="AX5" i="1"/>
  <c r="AW5" i="1"/>
  <c r="AV5" i="1"/>
  <c r="AT5" i="1"/>
  <c r="AR5" i="1"/>
  <c r="AN5" i="1"/>
  <c r="AM5" i="1"/>
  <c r="AL5" i="1"/>
  <c r="AJ5" i="1"/>
  <c r="AE5" i="1"/>
  <c r="AE36" i="1" s="1"/>
  <c r="AD5" i="1"/>
  <c r="AB5" i="1"/>
  <c r="P5" i="1"/>
  <c r="O5" i="1"/>
  <c r="N5" i="1"/>
  <c r="R5" i="1" s="1"/>
  <c r="M5" i="1"/>
  <c r="T5" i="1" s="1"/>
  <c r="J5" i="1"/>
  <c r="I5" i="1"/>
  <c r="J49" i="1" s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P37" i="3" l="1"/>
  <c r="T12" i="3"/>
  <c r="S12" i="3"/>
  <c r="AX12" i="3"/>
  <c r="W16" i="3"/>
  <c r="BA16" i="3" s="1"/>
  <c r="O12" i="3"/>
  <c r="R29" i="3"/>
  <c r="S29" i="3" s="1"/>
  <c r="U29" i="3"/>
  <c r="AY29" i="3" s="1"/>
  <c r="O29" i="3"/>
  <c r="K6" i="3"/>
  <c r="J36" i="3"/>
  <c r="BA11" i="3"/>
  <c r="T15" i="3"/>
  <c r="AX15" i="3"/>
  <c r="S15" i="3"/>
  <c r="R34" i="3"/>
  <c r="S34" i="3" s="1"/>
  <c r="O34" i="3"/>
  <c r="U34" i="3"/>
  <c r="AY34" i="3" s="1"/>
  <c r="AE36" i="3"/>
  <c r="AT37" i="3"/>
  <c r="U15" i="3"/>
  <c r="AY15" i="3" s="1"/>
  <c r="R15" i="3"/>
  <c r="V18" i="3"/>
  <c r="AZ18" i="3" s="1"/>
  <c r="R18" i="3"/>
  <c r="S18" i="3" s="1"/>
  <c r="Q18" i="3"/>
  <c r="Q24" i="3"/>
  <c r="V24" i="3"/>
  <c r="AZ24" i="3" s="1"/>
  <c r="W26" i="3"/>
  <c r="BA26" i="3" s="1"/>
  <c r="O15" i="3"/>
  <c r="K26" i="3"/>
  <c r="AX28" i="3"/>
  <c r="T28" i="3"/>
  <c r="BH71" i="3"/>
  <c r="BJ50" i="3"/>
  <c r="X55" i="3"/>
  <c r="X54" i="3"/>
  <c r="Y58" i="3"/>
  <c r="BJ57" i="3"/>
  <c r="U28" i="3"/>
  <c r="AY28" i="3" s="1"/>
  <c r="R28" i="3"/>
  <c r="S28" i="3" s="1"/>
  <c r="BI71" i="3"/>
  <c r="O28" i="3"/>
  <c r="R36" i="3"/>
  <c r="S46" i="3"/>
  <c r="X46" i="3" s="1"/>
  <c r="AF46" i="3"/>
  <c r="AN46" i="3" s="1"/>
  <c r="AW46" i="3" s="1"/>
  <c r="T26" i="3"/>
  <c r="AX26" i="3"/>
  <c r="Q26" i="3"/>
  <c r="AW5" i="3"/>
  <c r="AV36" i="3"/>
  <c r="W13" i="3"/>
  <c r="BA13" i="3" s="1"/>
  <c r="K13" i="3"/>
  <c r="V28" i="3"/>
  <c r="AZ28" i="3" s="1"/>
  <c r="Q28" i="3"/>
  <c r="O8" i="3"/>
  <c r="T8" i="3"/>
  <c r="S8" i="3"/>
  <c r="Q8" i="3"/>
  <c r="V15" i="3"/>
  <c r="AZ15" i="3" s="1"/>
  <c r="Q15" i="3"/>
  <c r="AY5" i="3"/>
  <c r="K10" i="3"/>
  <c r="W10" i="3"/>
  <c r="BA10" i="3" s="1"/>
  <c r="W25" i="3"/>
  <c r="BA25" i="3" s="1"/>
  <c r="T25" i="3"/>
  <c r="AX25" i="3"/>
  <c r="S31" i="3"/>
  <c r="O9" i="3"/>
  <c r="U9" i="3"/>
  <c r="AY9" i="3" s="1"/>
  <c r="Q10" i="3"/>
  <c r="AX10" i="3"/>
  <c r="AX36" i="3" s="1"/>
  <c r="T10" i="3"/>
  <c r="T36" i="3" s="1"/>
  <c r="S10" i="3"/>
  <c r="K25" i="3"/>
  <c r="K32" i="3"/>
  <c r="R10" i="3"/>
  <c r="O10" i="3"/>
  <c r="Q12" i="3"/>
  <c r="U26" i="3"/>
  <c r="AY26" i="3" s="1"/>
  <c r="O26" i="3"/>
  <c r="W27" i="3"/>
  <c r="BA27" i="3" s="1"/>
  <c r="O35" i="3"/>
  <c r="J49" i="3"/>
  <c r="Q6" i="3"/>
  <c r="T13" i="3"/>
  <c r="O21" i="3"/>
  <c r="Q25" i="3"/>
  <c r="W5" i="3"/>
  <c r="R6" i="3"/>
  <c r="S6" i="3" s="1"/>
  <c r="W7" i="3"/>
  <c r="BA7" i="3" s="1"/>
  <c r="V12" i="3"/>
  <c r="AZ12" i="3" s="1"/>
  <c r="AZ36" i="3" s="1"/>
  <c r="AZ37" i="3" s="1"/>
  <c r="U13" i="3"/>
  <c r="AY13" i="3" s="1"/>
  <c r="R13" i="3"/>
  <c r="S13" i="3" s="1"/>
  <c r="O13" i="3"/>
  <c r="T14" i="3"/>
  <c r="U16" i="3"/>
  <c r="AY16" i="3" s="1"/>
  <c r="R16" i="3"/>
  <c r="Q19" i="3"/>
  <c r="W20" i="3"/>
  <c r="BA20" i="3" s="1"/>
  <c r="Q29" i="3"/>
  <c r="Q30" i="3"/>
  <c r="G37" i="3"/>
  <c r="K37" i="3" s="1"/>
  <c r="U35" i="3"/>
  <c r="AY35" i="3" s="1"/>
  <c r="Q22" i="3"/>
  <c r="AX22" i="3"/>
  <c r="M36" i="3"/>
  <c r="N38" i="3" s="1"/>
  <c r="U10" i="3"/>
  <c r="AY10" i="3" s="1"/>
  <c r="Q13" i="3"/>
  <c r="W17" i="3"/>
  <c r="BA17" i="3" s="1"/>
  <c r="S21" i="3"/>
  <c r="R22" i="3"/>
  <c r="S22" i="3" s="1"/>
  <c r="O22" i="3"/>
  <c r="N36" i="3"/>
  <c r="BL5" i="3"/>
  <c r="BL36" i="3" s="1"/>
  <c r="W9" i="3"/>
  <c r="BA9" i="3" s="1"/>
  <c r="AX13" i="3"/>
  <c r="Q16" i="3"/>
  <c r="T21" i="3"/>
  <c r="O33" i="3"/>
  <c r="AL37" i="3"/>
  <c r="BB36" i="3"/>
  <c r="BB37" i="3" s="1"/>
  <c r="R26" i="3"/>
  <c r="S26" i="3" s="1"/>
  <c r="O14" i="3"/>
  <c r="O27" i="3"/>
  <c r="O5" i="3"/>
  <c r="O11" i="3"/>
  <c r="Q14" i="3"/>
  <c r="AS49" i="3"/>
  <c r="AS50" i="3" s="1"/>
  <c r="W15" i="3"/>
  <c r="BA15" i="3" s="1"/>
  <c r="S16" i="3"/>
  <c r="AX21" i="3"/>
  <c r="O23" i="3"/>
  <c r="R27" i="3"/>
  <c r="S27" i="3" s="1"/>
  <c r="Q31" i="3"/>
  <c r="X56" i="3"/>
  <c r="BJ70" i="3"/>
  <c r="AM36" i="3"/>
  <c r="J50" i="3"/>
  <c r="R14" i="3"/>
  <c r="W14" i="3" s="1"/>
  <c r="BA14" i="3" s="1"/>
  <c r="T16" i="3"/>
  <c r="T22" i="3"/>
  <c r="BJ53" i="3"/>
  <c r="W22" i="3"/>
  <c r="BA22" i="3" s="1"/>
  <c r="O25" i="3"/>
  <c r="Q27" i="3"/>
  <c r="I36" i="3"/>
  <c r="W30" i="3"/>
  <c r="BA30" i="3" s="1"/>
  <c r="K18" i="3"/>
  <c r="W29" i="3"/>
  <c r="BA29" i="3" s="1"/>
  <c r="R25" i="3"/>
  <c r="S25" i="3" s="1"/>
  <c r="S24" i="3"/>
  <c r="K5" i="2"/>
  <c r="W5" i="2"/>
  <c r="J36" i="2"/>
  <c r="V11" i="2"/>
  <c r="AZ11" i="2" s="1"/>
  <c r="Q11" i="2"/>
  <c r="R18" i="2"/>
  <c r="Q18" i="2"/>
  <c r="W31" i="2"/>
  <c r="BA31" i="2" s="1"/>
  <c r="S31" i="2"/>
  <c r="W24" i="2"/>
  <c r="BA24" i="2" s="1"/>
  <c r="K24" i="2"/>
  <c r="K6" i="2"/>
  <c r="R17" i="2"/>
  <c r="S17" i="2" s="1"/>
  <c r="Q17" i="2"/>
  <c r="AM36" i="2"/>
  <c r="AJ37" i="2"/>
  <c r="M36" i="2"/>
  <c r="N38" i="2" s="1"/>
  <c r="O7" i="2"/>
  <c r="AX7" i="2"/>
  <c r="T7" i="2"/>
  <c r="T36" i="2" s="1"/>
  <c r="Q7" i="2"/>
  <c r="V17" i="2"/>
  <c r="AZ17" i="2" s="1"/>
  <c r="R23" i="2"/>
  <c r="W23" i="2" s="1"/>
  <c r="BA23" i="2" s="1"/>
  <c r="U23" i="2"/>
  <c r="AY23" i="2" s="1"/>
  <c r="R24" i="2"/>
  <c r="V24" i="2"/>
  <c r="AZ24" i="2" s="1"/>
  <c r="Q24" i="2"/>
  <c r="O23" i="2"/>
  <c r="T26" i="2"/>
  <c r="AX26" i="2"/>
  <c r="S26" i="2"/>
  <c r="Q26" i="2"/>
  <c r="V28" i="2"/>
  <c r="AZ28" i="2" s="1"/>
  <c r="Q28" i="2"/>
  <c r="K37" i="2"/>
  <c r="BH71" i="2"/>
  <c r="BJ50" i="2"/>
  <c r="BJ71" i="2" s="1"/>
  <c r="BF46" i="2" s="1"/>
  <c r="BG46" i="2" s="1"/>
  <c r="K11" i="2"/>
  <c r="K12" i="2"/>
  <c r="W12" i="2"/>
  <c r="BA12" i="2" s="1"/>
  <c r="W13" i="2"/>
  <c r="BA13" i="2" s="1"/>
  <c r="AL37" i="2"/>
  <c r="BB36" i="2"/>
  <c r="BB37" i="2" s="1"/>
  <c r="S7" i="2"/>
  <c r="K13" i="2"/>
  <c r="R9" i="2"/>
  <c r="S9" i="2" s="1"/>
  <c r="U9" i="2"/>
  <c r="AY9" i="2" s="1"/>
  <c r="Q10" i="2"/>
  <c r="V10" i="2"/>
  <c r="AZ10" i="2" s="1"/>
  <c r="V18" i="2"/>
  <c r="AZ18" i="2" s="1"/>
  <c r="BJ36" i="2"/>
  <c r="BJ37" i="2" s="1"/>
  <c r="BL5" i="2"/>
  <c r="BL36" i="2" s="1"/>
  <c r="U15" i="2"/>
  <c r="AY15" i="2" s="1"/>
  <c r="R15" i="2"/>
  <c r="S15" i="2" s="1"/>
  <c r="O15" i="2"/>
  <c r="W25" i="2"/>
  <c r="BA25" i="2" s="1"/>
  <c r="S34" i="2"/>
  <c r="AX34" i="2"/>
  <c r="T34" i="2"/>
  <c r="BA35" i="2"/>
  <c r="X52" i="2"/>
  <c r="Y58" i="2"/>
  <c r="X53" i="2"/>
  <c r="W14" i="2"/>
  <c r="BA14" i="2" s="1"/>
  <c r="BA20" i="2"/>
  <c r="Q21" i="2"/>
  <c r="AX21" i="2"/>
  <c r="T21" i="2"/>
  <c r="S21" i="2"/>
  <c r="T25" i="2"/>
  <c r="AX25" i="2"/>
  <c r="W33" i="2"/>
  <c r="BA33" i="2" s="1"/>
  <c r="BI71" i="2"/>
  <c r="N36" i="2"/>
  <c r="W9" i="2"/>
  <c r="BA9" i="2" s="1"/>
  <c r="AD36" i="2"/>
  <c r="U13" i="2"/>
  <c r="AY13" i="2" s="1"/>
  <c r="O13" i="2"/>
  <c r="V15" i="2"/>
  <c r="AZ15" i="2" s="1"/>
  <c r="Q15" i="2"/>
  <c r="S20" i="2"/>
  <c r="R28" i="2"/>
  <c r="S28" i="2" s="1"/>
  <c r="AE36" i="2"/>
  <c r="AT37" i="2"/>
  <c r="P36" i="2"/>
  <c r="W10" i="2"/>
  <c r="BA10" i="2" s="1"/>
  <c r="R11" i="2"/>
  <c r="S11" i="2" s="1"/>
  <c r="W16" i="2"/>
  <c r="BA16" i="2" s="1"/>
  <c r="W21" i="2"/>
  <c r="BA21" i="2" s="1"/>
  <c r="V23" i="2"/>
  <c r="AZ23" i="2" s="1"/>
  <c r="K25" i="2"/>
  <c r="W26" i="2"/>
  <c r="BA26" i="2" s="1"/>
  <c r="O28" i="2"/>
  <c r="W32" i="2"/>
  <c r="BA32" i="2" s="1"/>
  <c r="R33" i="2"/>
  <c r="S33" i="2" s="1"/>
  <c r="O33" i="2"/>
  <c r="BH46" i="2"/>
  <c r="S13" i="2"/>
  <c r="R21" i="2"/>
  <c r="O21" i="2"/>
  <c r="U26" i="2"/>
  <c r="AY26" i="2" s="1"/>
  <c r="O26" i="2"/>
  <c r="O34" i="2"/>
  <c r="AY5" i="2"/>
  <c r="AY36" i="2" s="1"/>
  <c r="AY37" i="2" s="1"/>
  <c r="O16" i="2"/>
  <c r="S22" i="2"/>
  <c r="AX22" i="2"/>
  <c r="U28" i="2"/>
  <c r="AY28" i="2" s="1"/>
  <c r="AX33" i="2"/>
  <c r="Q34" i="2"/>
  <c r="V5" i="2"/>
  <c r="AV36" i="2"/>
  <c r="T9" i="2"/>
  <c r="S10" i="2"/>
  <c r="AX10" i="2"/>
  <c r="O14" i="2"/>
  <c r="W17" i="2"/>
  <c r="BA17" i="2" s="1"/>
  <c r="R25" i="2"/>
  <c r="S25" i="2" s="1"/>
  <c r="W29" i="2"/>
  <c r="BA29" i="2" s="1"/>
  <c r="S29" i="2"/>
  <c r="O32" i="2"/>
  <c r="O35" i="2"/>
  <c r="T12" i="2"/>
  <c r="S12" i="2"/>
  <c r="AX13" i="2"/>
  <c r="Q25" i="2"/>
  <c r="O8" i="2"/>
  <c r="R10" i="2"/>
  <c r="O12" i="2"/>
  <c r="AR49" i="2"/>
  <c r="AR50" i="2" s="1"/>
  <c r="O22" i="2"/>
  <c r="R26" i="2"/>
  <c r="Q32" i="2"/>
  <c r="U34" i="2"/>
  <c r="AY34" i="2" s="1"/>
  <c r="J49" i="2"/>
  <c r="Q8" i="2"/>
  <c r="AX9" i="2"/>
  <c r="AX36" i="2" s="1"/>
  <c r="O10" i="2"/>
  <c r="Q14" i="2"/>
  <c r="U21" i="2"/>
  <c r="AY21" i="2" s="1"/>
  <c r="Q22" i="2"/>
  <c r="O27" i="2"/>
  <c r="U35" i="2"/>
  <c r="AY35" i="2" s="1"/>
  <c r="W22" i="2"/>
  <c r="BA22" i="2" s="1"/>
  <c r="W34" i="2"/>
  <c r="BA34" i="2" s="1"/>
  <c r="O25" i="2"/>
  <c r="Q27" i="2"/>
  <c r="I36" i="2"/>
  <c r="K17" i="2"/>
  <c r="S24" i="2"/>
  <c r="W28" i="2"/>
  <c r="BA28" i="2" s="1"/>
  <c r="S23" i="2"/>
  <c r="W27" i="2"/>
  <c r="BA27" i="2" s="1"/>
  <c r="S35" i="2"/>
  <c r="BE42" i="1"/>
  <c r="BE46" i="1" s="1"/>
  <c r="AT37" i="1"/>
  <c r="BB45" i="1"/>
  <c r="BC45" i="1"/>
  <c r="AN36" i="1"/>
  <c r="AM37" i="1"/>
  <c r="S15" i="1"/>
  <c r="K37" i="1"/>
  <c r="U20" i="1"/>
  <c r="AY20" i="1" s="1"/>
  <c r="O20" i="1"/>
  <c r="U34" i="1"/>
  <c r="AY34" i="1" s="1"/>
  <c r="R34" i="1"/>
  <c r="S34" i="1" s="1"/>
  <c r="Q6" i="1"/>
  <c r="T7" i="1"/>
  <c r="V9" i="1"/>
  <c r="AZ9" i="1" s="1"/>
  <c r="Q9" i="1"/>
  <c r="W13" i="1"/>
  <c r="BA13" i="1" s="1"/>
  <c r="O14" i="1"/>
  <c r="O16" i="1"/>
  <c r="W25" i="1"/>
  <c r="BA25" i="1" s="1"/>
  <c r="R29" i="1"/>
  <c r="W29" i="1" s="1"/>
  <c r="BA29" i="1" s="1"/>
  <c r="O34" i="1"/>
  <c r="AF36" i="1"/>
  <c r="AE37" i="1"/>
  <c r="U7" i="1"/>
  <c r="AY7" i="1" s="1"/>
  <c r="O7" i="1"/>
  <c r="J36" i="1"/>
  <c r="Q24" i="1"/>
  <c r="K30" i="1"/>
  <c r="BJ36" i="1"/>
  <c r="BJ37" i="1" s="1"/>
  <c r="S12" i="1"/>
  <c r="S14" i="1"/>
  <c r="U16" i="1"/>
  <c r="AY16" i="1" s="1"/>
  <c r="O17" i="1"/>
  <c r="R24" i="1"/>
  <c r="W27" i="1"/>
  <c r="BA27" i="1" s="1"/>
  <c r="U29" i="1"/>
  <c r="AY29" i="1" s="1"/>
  <c r="W32" i="1"/>
  <c r="BA32" i="1" s="1"/>
  <c r="Q35" i="1"/>
  <c r="G36" i="1"/>
  <c r="AD36" i="1"/>
  <c r="I37" i="1"/>
  <c r="S46" i="1"/>
  <c r="X46" i="1" s="1"/>
  <c r="V34" i="1"/>
  <c r="AZ34" i="1" s="1"/>
  <c r="Q34" i="1"/>
  <c r="R20" i="1"/>
  <c r="S20" i="1" s="1"/>
  <c r="BI71" i="1"/>
  <c r="K5" i="1"/>
  <c r="Q7" i="1"/>
  <c r="O21" i="1"/>
  <c r="R7" i="1"/>
  <c r="W7" i="1" s="1"/>
  <c r="BA7" i="1" s="1"/>
  <c r="O10" i="1"/>
  <c r="T14" i="1"/>
  <c r="T36" i="1" s="1"/>
  <c r="V23" i="1"/>
  <c r="AZ23" i="1" s="1"/>
  <c r="V29" i="1"/>
  <c r="AZ29" i="1" s="1"/>
  <c r="K31" i="1"/>
  <c r="R35" i="1"/>
  <c r="I36" i="1"/>
  <c r="BJ50" i="1"/>
  <c r="BJ71" i="1" s="1"/>
  <c r="BF46" i="1" s="1"/>
  <c r="BG46" i="1" s="1"/>
  <c r="BH71" i="1"/>
  <c r="S26" i="1"/>
  <c r="AX7" i="1"/>
  <c r="O8" i="1"/>
  <c r="W11" i="1"/>
  <c r="BA11" i="1" s="1"/>
  <c r="W15" i="1"/>
  <c r="BA15" i="1" s="1"/>
  <c r="U17" i="1"/>
  <c r="AY17" i="1" s="1"/>
  <c r="R21" i="1"/>
  <c r="T31" i="1"/>
  <c r="T32" i="1"/>
  <c r="S32" i="1"/>
  <c r="AX33" i="1"/>
  <c r="T33" i="1"/>
  <c r="X52" i="1"/>
  <c r="X59" i="1"/>
  <c r="X58" i="1"/>
  <c r="AF5" i="1"/>
  <c r="R27" i="1"/>
  <c r="O27" i="1"/>
  <c r="Q8" i="1"/>
  <c r="W17" i="1"/>
  <c r="BA17" i="1" s="1"/>
  <c r="T21" i="1"/>
  <c r="V31" i="1"/>
  <c r="AZ31" i="1" s="1"/>
  <c r="R31" i="1"/>
  <c r="S31" i="1" s="1"/>
  <c r="O33" i="1"/>
  <c r="N36" i="1"/>
  <c r="M36" i="1"/>
  <c r="N38" i="1" s="1"/>
  <c r="Q5" i="1"/>
  <c r="P36" i="1"/>
  <c r="T6" i="1"/>
  <c r="S6" i="1"/>
  <c r="O22" i="1"/>
  <c r="S27" i="1"/>
  <c r="S28" i="1"/>
  <c r="AX28" i="1"/>
  <c r="W34" i="1"/>
  <c r="BA34" i="1" s="1"/>
  <c r="V5" i="1"/>
  <c r="AV36" i="1"/>
  <c r="S8" i="1"/>
  <c r="U10" i="1"/>
  <c r="AY10" i="1" s="1"/>
  <c r="Q15" i="1"/>
  <c r="Q18" i="1"/>
  <c r="V22" i="1"/>
  <c r="AZ22" i="1" s="1"/>
  <c r="Q22" i="1"/>
  <c r="T27" i="1"/>
  <c r="AX31" i="1"/>
  <c r="R33" i="1"/>
  <c r="S33" i="1" s="1"/>
  <c r="X53" i="1"/>
  <c r="S21" i="1"/>
  <c r="Q30" i="1"/>
  <c r="R30" i="1"/>
  <c r="S30" i="1" s="1"/>
  <c r="U32" i="1"/>
  <c r="AY32" i="1" s="1"/>
  <c r="O32" i="1"/>
  <c r="U5" i="1"/>
  <c r="R15" i="1"/>
  <c r="O15" i="1"/>
  <c r="T19" i="1"/>
  <c r="S19" i="1"/>
  <c r="W20" i="1"/>
  <c r="BA20" i="1" s="1"/>
  <c r="W23" i="1"/>
  <c r="BA23" i="1" s="1"/>
  <c r="W5" i="1"/>
  <c r="O6" i="1"/>
  <c r="AX8" i="1"/>
  <c r="AX36" i="1" s="1"/>
  <c r="S16" i="1"/>
  <c r="AX16" i="1"/>
  <c r="V18" i="1"/>
  <c r="AZ18" i="1" s="1"/>
  <c r="U27" i="1"/>
  <c r="AY27" i="1" s="1"/>
  <c r="O28" i="1"/>
  <c r="W16" i="1"/>
  <c r="BA16" i="1" s="1"/>
  <c r="W28" i="1"/>
  <c r="BA28" i="1" s="1"/>
  <c r="AA37" i="1"/>
  <c r="AB37" i="1" s="1"/>
  <c r="O19" i="1"/>
  <c r="Q21" i="1"/>
  <c r="O31" i="1"/>
  <c r="Q33" i="1"/>
  <c r="BL5" i="1"/>
  <c r="BL36" i="1" s="1"/>
  <c r="W10" i="1"/>
  <c r="BA10" i="1" s="1"/>
  <c r="K11" i="1"/>
  <c r="S18" i="1"/>
  <c r="W22" i="1"/>
  <c r="BA22" i="1" s="1"/>
  <c r="K23" i="1"/>
  <c r="S5" i="1"/>
  <c r="W9" i="1"/>
  <c r="BA9" i="1" s="1"/>
  <c r="S17" i="1"/>
  <c r="W21" i="1"/>
  <c r="BA21" i="1" s="1"/>
  <c r="S29" i="1"/>
  <c r="W33" i="1"/>
  <c r="BA33" i="1" s="1"/>
  <c r="BC38" i="3" l="1"/>
  <c r="S14" i="3"/>
  <c r="AW36" i="3"/>
  <c r="AV37" i="3"/>
  <c r="AY36" i="3"/>
  <c r="AY37" i="3" s="1"/>
  <c r="X59" i="3"/>
  <c r="X58" i="3"/>
  <c r="AF36" i="3"/>
  <c r="AE37" i="3"/>
  <c r="V36" i="3"/>
  <c r="V37" i="3" s="1"/>
  <c r="U36" i="3"/>
  <c r="U37" i="3" s="1"/>
  <c r="W34" i="3"/>
  <c r="BA34" i="3" s="1"/>
  <c r="O36" i="3"/>
  <c r="N37" i="3"/>
  <c r="O37" i="3" s="1"/>
  <c r="BA5" i="3"/>
  <c r="BC45" i="3"/>
  <c r="BB45" i="3"/>
  <c r="BJ71" i="3"/>
  <c r="BF46" i="3" s="1"/>
  <c r="J37" i="3"/>
  <c r="K36" i="3"/>
  <c r="Q36" i="3"/>
  <c r="S36" i="3"/>
  <c r="R37" i="3"/>
  <c r="AN36" i="3"/>
  <c r="AM37" i="3"/>
  <c r="W28" i="3"/>
  <c r="BA28" i="3" s="1"/>
  <c r="W18" i="3"/>
  <c r="BA18" i="3" s="1"/>
  <c r="W6" i="3"/>
  <c r="BA6" i="3" s="1"/>
  <c r="Q37" i="3"/>
  <c r="BC38" i="2"/>
  <c r="S18" i="2"/>
  <c r="W18" i="2"/>
  <c r="BA18" i="2" s="1"/>
  <c r="AM37" i="2"/>
  <c r="AN36" i="2"/>
  <c r="J37" i="2"/>
  <c r="K36" i="2"/>
  <c r="BC45" i="2"/>
  <c r="BB45" i="2"/>
  <c r="AZ5" i="2"/>
  <c r="AZ36" i="2" s="1"/>
  <c r="AZ37" i="2" s="1"/>
  <c r="V36" i="2"/>
  <c r="V37" i="2" s="1"/>
  <c r="O36" i="2"/>
  <c r="N37" i="2"/>
  <c r="O37" i="2" s="1"/>
  <c r="X59" i="2"/>
  <c r="X58" i="2"/>
  <c r="W15" i="2"/>
  <c r="BA15" i="2" s="1"/>
  <c r="AF36" i="2"/>
  <c r="AE37" i="2"/>
  <c r="BA5" i="2"/>
  <c r="W36" i="2"/>
  <c r="W37" i="2" s="1"/>
  <c r="AW36" i="2"/>
  <c r="AV37" i="2"/>
  <c r="P37" i="2"/>
  <c r="Q37" i="2" s="1"/>
  <c r="Q36" i="2"/>
  <c r="W11" i="2"/>
  <c r="BA11" i="2" s="1"/>
  <c r="U36" i="2"/>
  <c r="U37" i="2" s="1"/>
  <c r="R36" i="2"/>
  <c r="BC38" i="1"/>
  <c r="P37" i="1"/>
  <c r="Q37" i="1" s="1"/>
  <c r="Q36" i="1"/>
  <c r="R36" i="1"/>
  <c r="BA5" i="1"/>
  <c r="S7" i="1"/>
  <c r="W31" i="1"/>
  <c r="BA31" i="1" s="1"/>
  <c r="O36" i="1"/>
  <c r="N37" i="1"/>
  <c r="O37" i="1" s="1"/>
  <c r="K36" i="1"/>
  <c r="J37" i="1"/>
  <c r="AF37" i="1"/>
  <c r="AE46" i="1"/>
  <c r="AE47" i="1" s="1"/>
  <c r="AF47" i="1"/>
  <c r="AF38" i="1"/>
  <c r="AM46" i="1"/>
  <c r="AM47" i="1" s="1"/>
  <c r="AN37" i="1"/>
  <c r="AN38" i="1"/>
  <c r="AN47" i="1"/>
  <c r="W30" i="1"/>
  <c r="BA30" i="1" s="1"/>
  <c r="S24" i="1"/>
  <c r="W24" i="1"/>
  <c r="BA24" i="1" s="1"/>
  <c r="W35" i="1"/>
  <c r="BA35" i="1" s="1"/>
  <c r="S35" i="1"/>
  <c r="V36" i="1"/>
  <c r="V37" i="1" s="1"/>
  <c r="AZ5" i="1"/>
  <c r="AZ36" i="1" s="1"/>
  <c r="AZ37" i="1" s="1"/>
  <c r="AW36" i="1"/>
  <c r="AV37" i="1"/>
  <c r="U36" i="1"/>
  <c r="U37" i="1" s="1"/>
  <c r="AY5" i="1"/>
  <c r="AY36" i="1" s="1"/>
  <c r="AY37" i="1" s="1"/>
  <c r="BH46" i="1"/>
  <c r="AF47" i="3" l="1"/>
  <c r="AF37" i="3"/>
  <c r="AF38" i="3"/>
  <c r="AE46" i="3"/>
  <c r="AE47" i="3" s="1"/>
  <c r="K47" i="3"/>
  <c r="K38" i="3"/>
  <c r="J46" i="3"/>
  <c r="J47" i="3" s="1"/>
  <c r="BG46" i="3"/>
  <c r="BH46" i="3"/>
  <c r="W36" i="3"/>
  <c r="W37" i="3" s="1"/>
  <c r="BA36" i="3"/>
  <c r="R46" i="3"/>
  <c r="S38" i="3"/>
  <c r="S37" i="3"/>
  <c r="S47" i="3"/>
  <c r="AW38" i="3"/>
  <c r="AW37" i="3"/>
  <c r="AV46" i="3"/>
  <c r="AV47" i="3" s="1"/>
  <c r="AW47" i="3"/>
  <c r="AN47" i="3"/>
  <c r="AN37" i="3"/>
  <c r="AN38" i="3"/>
  <c r="AM46" i="3"/>
  <c r="AM47" i="3" s="1"/>
  <c r="X47" i="2"/>
  <c r="W38" i="2"/>
  <c r="W46" i="2"/>
  <c r="W47" i="2" s="1"/>
  <c r="BA36" i="2"/>
  <c r="AF47" i="2"/>
  <c r="AE46" i="2"/>
  <c r="AE47" i="2" s="1"/>
  <c r="AF37" i="2"/>
  <c r="AF38" i="2"/>
  <c r="K38" i="2"/>
  <c r="J46" i="2"/>
  <c r="J47" i="2" s="1"/>
  <c r="K47" i="2"/>
  <c r="AN38" i="2"/>
  <c r="AN37" i="2"/>
  <c r="AM46" i="2"/>
  <c r="AM47" i="2" s="1"/>
  <c r="AN47" i="2"/>
  <c r="S36" i="2"/>
  <c r="R37" i="2"/>
  <c r="AW38" i="2"/>
  <c r="AV46" i="2"/>
  <c r="AV47" i="2" s="1"/>
  <c r="AW37" i="2"/>
  <c r="AW47" i="2"/>
  <c r="J46" i="1"/>
  <c r="J47" i="1" s="1"/>
  <c r="K47" i="1"/>
  <c r="K38" i="1"/>
  <c r="BA36" i="1"/>
  <c r="AV46" i="1"/>
  <c r="AV47" i="1" s="1"/>
  <c r="AW37" i="1"/>
  <c r="AW47" i="1"/>
  <c r="AW38" i="1"/>
  <c r="W36" i="1"/>
  <c r="W37" i="1" s="1"/>
  <c r="R37" i="1"/>
  <c r="S36" i="1"/>
  <c r="BA37" i="3" l="1"/>
  <c r="BA39" i="3"/>
  <c r="BB39" i="3" s="1"/>
  <c r="W38" i="3"/>
  <c r="X47" i="3"/>
  <c r="W46" i="3"/>
  <c r="W47" i="3" s="1"/>
  <c r="T47" i="3"/>
  <c r="R47" i="3"/>
  <c r="S47" i="2"/>
  <c r="S38" i="2"/>
  <c r="S37" i="2"/>
  <c r="R46" i="2"/>
  <c r="R47" i="2" s="1"/>
  <c r="BA39" i="2"/>
  <c r="BB39" i="2" s="1"/>
  <c r="BA37" i="2"/>
  <c r="S37" i="1"/>
  <c r="S47" i="1"/>
  <c r="S38" i="1"/>
  <c r="R46" i="1"/>
  <c r="R47" i="1" s="1"/>
  <c r="BA39" i="1"/>
  <c r="BB39" i="1" s="1"/>
  <c r="BA37" i="1"/>
  <c r="X47" i="1"/>
  <c r="W38" i="1"/>
  <c r="W46" i="1"/>
  <c r="W47" i="1" s="1"/>
  <c r="BA43" i="3" l="1"/>
  <c r="BA40" i="3"/>
  <c r="BB41" i="3" s="1"/>
  <c r="BB38" i="3"/>
  <c r="BA45" i="3"/>
  <c r="BA46" i="3" s="1"/>
  <c r="BB46" i="3"/>
  <c r="BB46" i="2"/>
  <c r="BA40" i="2"/>
  <c r="BB41" i="2" s="1"/>
  <c r="BA45" i="2"/>
  <c r="BA46" i="2" s="1"/>
  <c r="BB38" i="2"/>
  <c r="BA43" i="2"/>
  <c r="BA45" i="1"/>
  <c r="BA46" i="1" s="1"/>
  <c r="BA40" i="1"/>
  <c r="BB41" i="1" s="1"/>
  <c r="BA43" i="1"/>
  <c r="BB46" i="1"/>
  <c r="BB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9637D8B-3D40-0F48-A2AC-762FD90A2761}">
      <text>
        <r>
          <rPr>
            <b/>
            <sz val="12"/>
            <color indexed="8"/>
            <rFont val="メイリオ1"/>
            <family val="3"/>
          </rPr>
          <t>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8A28B83-E536-724E-BF60-A50E15320915}">
      <text>
        <r>
          <rPr>
            <b/>
            <sz val="12"/>
            <color indexed="8"/>
            <rFont val="メイリオ1"/>
            <family val="3"/>
          </rPr>
          <t>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6F689109-F08D-AB47-BFC7-8CC9F1EF2975}">
      <text>
        <r>
          <rPr>
            <b/>
            <sz val="12"/>
            <color indexed="8"/>
            <rFont val="メイリオ1"/>
            <family val="3"/>
          </rPr>
          <t>月の数字のみ入力</t>
        </r>
      </text>
    </comment>
  </commentList>
</comments>
</file>

<file path=xl/sharedStrings.xml><?xml version="1.0" encoding="utf-8"?>
<sst xmlns="http://schemas.openxmlformats.org/spreadsheetml/2006/main" count="504" uniqueCount="107">
  <si>
    <t>※割引反映前</t>
  </si>
  <si>
    <t>金額：(税込)</t>
  </si>
  <si>
    <t>GA</t>
    <phoneticPr fontId="9"/>
  </si>
  <si>
    <t>LUNCH</t>
  </si>
  <si>
    <t>DINNER（計算式あり・入力不要）</t>
  </si>
  <si>
    <t>レストランTOTAL売上（税込）</t>
  </si>
  <si>
    <t>EAT-IN・T/O（税込）</t>
    <phoneticPr fontId="9"/>
  </si>
  <si>
    <t>宴会（テレビ塔ケータリング）手数料払い出し済み</t>
    <rPh sb="0" eb="2">
      <t xml:space="preserve">エンカイ </t>
    </rPh>
    <rPh sb="14" eb="17">
      <t xml:space="preserve">テスウリョウ </t>
    </rPh>
    <rPh sb="17" eb="18">
      <t xml:space="preserve">ハライダシズミ </t>
    </rPh>
    <phoneticPr fontId="9"/>
  </si>
  <si>
    <t>ビアガーデン 9/3まで　ピコレワインフェア9/9~10/1まで</t>
    <phoneticPr fontId="9"/>
  </si>
  <si>
    <t>L+D＋T/O＋宴会場+BG（人数は含まず）TOTAL</t>
    <rPh sb="19" eb="22">
      <t xml:space="preserve">エンカイジョウ </t>
    </rPh>
    <phoneticPr fontId="9"/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</si>
  <si>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</si>
  <si>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</si>
  <si>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</si>
  <si>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</si>
  <si>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</si>
  <si>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</si>
  <si>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</si>
  <si>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</si>
  <si>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</si>
  <si>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</si>
  <si>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</si>
  <si>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</si>
  <si>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</si>
  <si>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</si>
  <si>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</si>
  <si>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</si>
  <si>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</si>
  <si>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</si>
  <si>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</si>
  <si>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件数</t>
    <rPh sb="0" eb="2">
      <t xml:space="preserve">ケンスウ </t>
    </rPh>
    <phoneticPr fontId="9"/>
  </si>
  <si>
    <t>テント利用料</t>
    <rPh sb="3" eb="6">
      <t xml:space="preserve">リヨウリョウ </t>
    </rPh>
    <phoneticPr fontId="9"/>
  </si>
  <si>
    <t>その他</t>
    <phoneticPr fontId="9"/>
  </si>
  <si>
    <t>客数</t>
  </si>
  <si>
    <t>料理</t>
  </si>
  <si>
    <t>飲料</t>
  </si>
  <si>
    <t>室料</t>
    <rPh sb="0" eb="2">
      <t xml:space="preserve">シツリョウ </t>
    </rPh>
    <phoneticPr fontId="9"/>
  </si>
  <si>
    <t>展望台チケット（各種利用料）</t>
    <rPh sb="0" eb="3">
      <t xml:space="preserve">テンボウダイ </t>
    </rPh>
    <rPh sb="8" eb="10">
      <t xml:space="preserve">カクシュ </t>
    </rPh>
    <rPh sb="10" eb="13">
      <t xml:space="preserve">リヨウリョウ </t>
    </rPh>
    <phoneticPr fontId="9"/>
  </si>
  <si>
    <t>花束（各種利用料）</t>
    <rPh sb="3" eb="5">
      <t xml:space="preserve">カクシュ </t>
    </rPh>
    <rPh sb="5" eb="8">
      <t xml:space="preserve">リヨウリョウ </t>
    </rPh>
    <phoneticPr fontId="9"/>
  </si>
  <si>
    <t>招待券</t>
    <phoneticPr fontId="9"/>
  </si>
  <si>
    <t>売上合計　　　　　（花束預り金除く）</t>
  </si>
  <si>
    <t>(割引）</t>
    <rPh sb="1" eb="3">
      <t>ワリビキ</t>
    </rPh>
    <phoneticPr fontId="11"/>
  </si>
  <si>
    <t>強風の為展望台ストップ</t>
    <rPh sb="0" eb="2">
      <t>キョウフウ</t>
    </rPh>
    <rPh sb="3" eb="4">
      <t>タメ</t>
    </rPh>
    <rPh sb="4" eb="7">
      <t>テンボウダイ</t>
    </rPh>
    <phoneticPr fontId="11"/>
  </si>
  <si>
    <t>割引</t>
    <rPh sb="0" eb="2">
      <t>ワリビキ</t>
    </rPh>
    <phoneticPr fontId="11"/>
  </si>
  <si>
    <t>税抜金額</t>
  </si>
  <si>
    <t>入客</t>
  </si>
  <si>
    <t>一日平均</t>
  </si>
  <si>
    <t>■ランチコメント</t>
  </si>
  <si>
    <t>■ディナーコメント</t>
  </si>
  <si>
    <t>■EAT-INコメント</t>
    <phoneticPr fontId="9"/>
  </si>
  <si>
    <t>■宴会コメント</t>
    <rPh sb="1" eb="3">
      <t xml:space="preserve">エンカイ </t>
    </rPh>
    <phoneticPr fontId="9"/>
  </si>
  <si>
    <t>■BGコメント</t>
    <phoneticPr fontId="9"/>
  </si>
  <si>
    <t>　1日売上平均（税込）</t>
  </si>
  <si>
    <t>　1日売上平均</t>
  </si>
  <si>
    <t>その他予算</t>
  </si>
  <si>
    <t>TOTAL予算</t>
  </si>
  <si>
    <t>7/25現在</t>
    <rPh sb="4" eb="6">
      <t xml:space="preserve">ゲンザイ </t>
    </rPh>
    <phoneticPr fontId="9"/>
  </si>
  <si>
    <t>ランチ予算</t>
  </si>
  <si>
    <t>当月残り日数</t>
  </si>
  <si>
    <t>ディナー予算</t>
  </si>
  <si>
    <t>レストラン予算</t>
    <phoneticPr fontId="9"/>
  </si>
  <si>
    <t>テイク予算</t>
  </si>
  <si>
    <t>宴会予算</t>
    <rPh sb="0" eb="2">
      <t xml:space="preserve">エンカイ </t>
    </rPh>
    <phoneticPr fontId="9"/>
  </si>
  <si>
    <t>ビアガーデン予算</t>
    <phoneticPr fontId="9"/>
  </si>
  <si>
    <t>予算まで</t>
  </si>
  <si>
    <t>粗利</t>
    <rPh sb="0" eb="2">
      <t xml:space="preserve">アラリ </t>
    </rPh>
    <phoneticPr fontId="9"/>
  </si>
  <si>
    <t>達成まで一日あたり</t>
  </si>
  <si>
    <t>平日BV単価</t>
    <rPh sb="0" eb="2">
      <t>ヘイジツ</t>
    </rPh>
    <rPh sb="4" eb="6">
      <t>タンカ</t>
    </rPh>
    <phoneticPr fontId="9"/>
  </si>
  <si>
    <t>スタートから</t>
    <phoneticPr fontId="9"/>
  </si>
  <si>
    <t>単価</t>
    <rPh sb="0" eb="2">
      <t xml:space="preserve">タンカ </t>
    </rPh>
    <phoneticPr fontId="9"/>
  </si>
  <si>
    <t>数量</t>
    <rPh sb="0" eb="2">
      <t xml:space="preserve">スウリョウ </t>
    </rPh>
    <phoneticPr fontId="9"/>
  </si>
  <si>
    <t>残数</t>
    <rPh sb="0" eb="2">
      <t xml:space="preserve">ザンスウ </t>
    </rPh>
    <phoneticPr fontId="9"/>
  </si>
  <si>
    <t>発注数</t>
    <rPh sb="0" eb="3">
      <t xml:space="preserve">ハッチュウスウ </t>
    </rPh>
    <phoneticPr fontId="9"/>
  </si>
  <si>
    <t>発注金額</t>
    <rPh sb="0" eb="4">
      <t xml:space="preserve">ハッチュウキンガク </t>
    </rPh>
    <phoneticPr fontId="9"/>
  </si>
  <si>
    <t>棚卸</t>
    <rPh sb="0" eb="2">
      <t xml:space="preserve">タナオロシ </t>
    </rPh>
    <phoneticPr fontId="9"/>
  </si>
  <si>
    <t>使用金額</t>
    <rPh sb="0" eb="4">
      <t xml:space="preserve">シヨウキンガク </t>
    </rPh>
    <phoneticPr fontId="9"/>
  </si>
  <si>
    <t>週末BV単価</t>
    <rPh sb="0" eb="2">
      <t>シュウマツ</t>
    </rPh>
    <rPh sb="4" eb="6">
      <t>タンカ</t>
    </rPh>
    <phoneticPr fontId="9"/>
  </si>
  <si>
    <t>焼酎</t>
    <rPh sb="0" eb="2">
      <t xml:space="preserve">ショウチュウ </t>
    </rPh>
    <phoneticPr fontId="9"/>
  </si>
  <si>
    <t>24日終了時点</t>
    <rPh sb="2" eb="3">
      <t xml:space="preserve">ニチ </t>
    </rPh>
    <rPh sb="3" eb="7">
      <t xml:space="preserve">シュウリョウジテン </t>
    </rPh>
    <phoneticPr fontId="9"/>
  </si>
  <si>
    <t>クラシック20</t>
    <phoneticPr fontId="9"/>
  </si>
  <si>
    <t>JW</t>
    <phoneticPr fontId="9"/>
  </si>
  <si>
    <t>L</t>
    <phoneticPr fontId="9"/>
  </si>
  <si>
    <t>ソラチ10</t>
    <phoneticPr fontId="9"/>
  </si>
  <si>
    <t>D</t>
    <phoneticPr fontId="9"/>
  </si>
  <si>
    <t>ç</t>
    <phoneticPr fontId="9"/>
  </si>
  <si>
    <t>余市ケルナー</t>
    <rPh sb="0" eb="2">
      <t xml:space="preserve">ヨイチ </t>
    </rPh>
    <phoneticPr fontId="9"/>
  </si>
  <si>
    <t>NP</t>
    <phoneticPr fontId="9"/>
  </si>
  <si>
    <t>余市ツバい</t>
    <rPh sb="0" eb="1">
      <t xml:space="preserve">ヨイチ </t>
    </rPh>
    <phoneticPr fontId="9"/>
  </si>
  <si>
    <t>ポールスター</t>
    <phoneticPr fontId="9"/>
  </si>
  <si>
    <t>テタンジェ</t>
    <phoneticPr fontId="9"/>
  </si>
  <si>
    <t>ノクターン</t>
    <phoneticPr fontId="9"/>
  </si>
  <si>
    <t>TOTAL</t>
    <phoneticPr fontId="9"/>
  </si>
  <si>
    <t>カベルネ史ラーズ</t>
    <rPh sb="4" eb="5">
      <t xml:space="preserve">シラーズ </t>
    </rPh>
    <phoneticPr fontId="9"/>
  </si>
  <si>
    <t>シャルドネ</t>
    <phoneticPr fontId="9"/>
  </si>
  <si>
    <t>ベリンじゃ</t>
    <phoneticPr fontId="9"/>
  </si>
  <si>
    <t>氷彩サワー</t>
    <rPh sb="0" eb="1">
      <t xml:space="preserve">コオリ </t>
    </rPh>
    <rPh sb="1" eb="2">
      <t xml:space="preserve">イロドル </t>
    </rPh>
    <phoneticPr fontId="9"/>
  </si>
  <si>
    <t>デュワーズ</t>
    <phoneticPr fontId="9"/>
  </si>
  <si>
    <t>カシス</t>
    <phoneticPr fontId="9"/>
  </si>
  <si>
    <t>ピーチ</t>
    <phoneticPr fontId="9"/>
  </si>
  <si>
    <t>ウーロン</t>
    <phoneticPr fontId="9"/>
  </si>
  <si>
    <t>プレミアムフリー</t>
    <phoneticPr fontId="9"/>
  </si>
  <si>
    <t>コーン茶</t>
    <phoneticPr fontId="9"/>
  </si>
  <si>
    <t>オレンジセコマ</t>
    <phoneticPr fontId="9"/>
  </si>
  <si>
    <t>オレンジリボン</t>
    <phoneticPr fontId="9"/>
  </si>
  <si>
    <t>炭酸ガス</t>
    <rPh sb="0" eb="2">
      <t xml:space="preserve">タンサンガス </t>
    </rPh>
    <phoneticPr fontId="9"/>
  </si>
  <si>
    <t>ビアガーデン 9/8まで　ピコレコラボ9/14~10/6まで</t>
    <phoneticPr fontId="9"/>
  </si>
  <si>
    <t>ビアガ</t>
    <phoneticPr fontId="9"/>
  </si>
  <si>
    <t>ピコレ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</si>
</sst>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80" formatCode="0&quot;年&quot;"/>
    <numFmt numFmtId="181" formatCode="0&quot;月&quot;"/>
    <numFmt numFmtId="182" formatCode="d&quot;日(&quot;ddd\)"/>
    <numFmt numFmtId="183" formatCode="0&quot;件&quot;"/>
    <numFmt numFmtId="184" formatCode="0&quot;名&quot;"/>
    <numFmt numFmtId="185" formatCode="0\ "/>
    <numFmt numFmtId="186" formatCode="#,##0.00\ "/>
    <numFmt numFmtId="187" formatCode="0.0"/>
    <numFmt numFmtId="188" formatCode="\¥#,##0;[Red]&quot;¥-&quot;#,##0"/>
    <numFmt numFmtId="189" formatCode="#,##0.0;[Red]\-#,##0.0"/>
    <numFmt numFmtId="190" formatCode="0.0%"/>
    <numFmt numFmtId="191" formatCode="0.0_ "/>
    <numFmt numFmtId="192" formatCode="0_ "/>
  </numFmts>
  <fonts count="2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8"/>
      <name val="游ゴシック"/>
      <family val="3"/>
      <charset val="128"/>
      <scheme val="minor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"/>
      <name val="游ゴシック"/>
      <family val="3"/>
      <charset val="128"/>
      <scheme val="minor"/>
    </font>
    <font>
      <sz val="8"/>
      <color indexed="8"/>
      <name val="游ゴシック"/>
      <family val="3"/>
      <charset val="128"/>
      <scheme val="minor"/>
    </font>
    <font>
      <b/>
      <sz val="12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b/>
      <sz val="7"/>
      <color indexed="8"/>
      <name val="游ゴシック"/>
      <family val="3"/>
      <charset val="128"/>
      <scheme val="minor"/>
    </font>
    <font>
      <b/>
      <sz val="6"/>
      <color indexed="8"/>
      <name val="游ゴシック"/>
      <family val="3"/>
      <charset val="128"/>
      <scheme val="minor"/>
    </font>
    <font>
      <sz val="9"/>
      <color indexed="10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  <font>
      <sz val="11"/>
      <color indexed="8"/>
      <name val="游ゴシック"/>
      <family val="3"/>
      <charset val="128"/>
      <scheme val="minor"/>
    </font>
    <font>
      <b/>
      <sz val="11"/>
      <color indexed="8"/>
      <name val="游ゴシック (本文)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indexed="8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2"/>
      <color indexed="8"/>
      <name val="メイリオ1"/>
      <family val="3"/>
    </font>
  </fonts>
  <fills count="19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3"/>
      </patternFill>
    </fill>
    <fill>
      <patternFill patternType="solid">
        <fgColor theme="9" tint="0.79998168889431442"/>
        <bgColor indexed="43"/>
      </patternFill>
    </fill>
    <fill>
      <patternFill patternType="solid">
        <fgColor theme="7" tint="0.59999389629810485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8" tint="0.79998168889431442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38" fontId="3" fillId="0" borderId="0"/>
    <xf numFmtId="188" fontId="3" fillId="0" borderId="0"/>
  </cellStyleXfs>
  <cellXfs count="220">
    <xf numFmtId="0" fontId="0" fillId="0" borderId="0" xfId="0">
      <alignment vertical="center"/>
    </xf>
    <xf numFmtId="0" fontId="4" fillId="0" borderId="0" xfId="3" applyFont="1" applyAlignment="1">
      <alignment horizontal="center" vertical="center"/>
    </xf>
    <xf numFmtId="0" fontId="6" fillId="0" borderId="0" xfId="3" applyFont="1" applyAlignment="1">
      <alignment horizontal="left" vertical="center" wrapText="1"/>
    </xf>
    <xf numFmtId="0" fontId="4" fillId="0" borderId="0" xfId="3" applyFont="1" applyAlignment="1">
      <alignment horizontal="center" vertical="center" wrapText="1"/>
    </xf>
    <xf numFmtId="38" fontId="4" fillId="0" borderId="0" xfId="4" applyFont="1" applyAlignment="1">
      <alignment horizontal="center" vertical="center" wrapText="1"/>
    </xf>
    <xf numFmtId="180" fontId="7" fillId="0" borderId="0" xfId="3" applyNumberFormat="1" applyFont="1" applyAlignment="1">
      <alignment horizontal="center" vertical="center" wrapText="1"/>
    </xf>
    <xf numFmtId="181" fontId="6" fillId="0" borderId="0" xfId="3" applyNumberFormat="1" applyFont="1" applyAlignment="1">
      <alignment horizontal="left" vertical="center" wrapText="1"/>
    </xf>
    <xf numFmtId="181" fontId="6" fillId="0" borderId="0" xfId="3" applyNumberFormat="1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180" fontId="4" fillId="0" borderId="0" xfId="3" applyNumberFormat="1" applyFont="1" applyAlignment="1">
      <alignment horizontal="center" vertical="center" wrapText="1"/>
    </xf>
    <xf numFmtId="181" fontId="8" fillId="0" borderId="1" xfId="3" applyNumberFormat="1" applyFont="1" applyBorder="1" applyAlignment="1">
      <alignment horizontal="center" vertical="center" wrapText="1"/>
    </xf>
    <xf numFmtId="181" fontId="4" fillId="0" borderId="2" xfId="3" applyNumberFormat="1" applyFont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4" borderId="3" xfId="3" applyFont="1" applyFill="1" applyBorder="1" applyAlignment="1">
      <alignment horizontal="center" vertical="center" wrapText="1"/>
    </xf>
    <xf numFmtId="0" fontId="10" fillId="5" borderId="5" xfId="3" applyFont="1" applyFill="1" applyBorder="1" applyAlignment="1">
      <alignment horizontal="center" vertical="center" wrapText="1"/>
    </xf>
    <xf numFmtId="0" fontId="10" fillId="5" borderId="6" xfId="3" applyFont="1" applyFill="1" applyBorder="1" applyAlignment="1">
      <alignment horizontal="center" vertical="center" wrapText="1"/>
    </xf>
    <xf numFmtId="0" fontId="10" fillId="5" borderId="7" xfId="3" applyFont="1" applyFill="1" applyBorder="1" applyAlignment="1">
      <alignment horizontal="center" vertical="center" wrapText="1"/>
    </xf>
    <xf numFmtId="0" fontId="10" fillId="6" borderId="5" xfId="3" applyFont="1" applyFill="1" applyBorder="1" applyAlignment="1">
      <alignment horizontal="center" vertical="center" wrapText="1"/>
    </xf>
    <xf numFmtId="0" fontId="10" fillId="6" borderId="6" xfId="3" applyFont="1" applyFill="1" applyBorder="1" applyAlignment="1">
      <alignment horizontal="center" vertical="center" wrapText="1"/>
    </xf>
    <xf numFmtId="0" fontId="10" fillId="6" borderId="7" xfId="3" applyFont="1" applyFill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7" borderId="9" xfId="3" applyFont="1" applyFill="1" applyBorder="1" applyAlignment="1">
      <alignment horizontal="center" vertical="center" wrapText="1"/>
    </xf>
    <xf numFmtId="0" fontId="10" fillId="7" borderId="10" xfId="3" applyFont="1" applyFill="1" applyBorder="1" applyAlignment="1">
      <alignment horizontal="center" vertical="center" wrapText="1"/>
    </xf>
    <xf numFmtId="0" fontId="10" fillId="7" borderId="11" xfId="3" applyFont="1" applyFill="1" applyBorder="1" applyAlignment="1">
      <alignment horizontal="center" vertical="center" wrapText="1"/>
    </xf>
    <xf numFmtId="180" fontId="6" fillId="0" borderId="0" xfId="3" applyNumberFormat="1" applyFont="1" applyAlignment="1">
      <alignment horizontal="center" vertical="center" wrapText="1"/>
    </xf>
    <xf numFmtId="181" fontId="6" fillId="0" borderId="12" xfId="3" applyNumberFormat="1" applyFont="1" applyBorder="1" applyAlignment="1">
      <alignment horizontal="center" vertical="center" wrapText="1"/>
    </xf>
    <xf numFmtId="0" fontId="6" fillId="0" borderId="13" xfId="3" applyFont="1" applyBorder="1" applyAlignment="1">
      <alignment horizontal="center" vertical="center" wrapText="1"/>
    </xf>
    <xf numFmtId="0" fontId="6" fillId="2" borderId="13" xfId="3" applyFont="1" applyFill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3" borderId="13" xfId="3" applyFont="1" applyFill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6" fillId="4" borderId="13" xfId="3" applyFont="1" applyFill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6" fillId="5" borderId="13" xfId="3" applyFont="1" applyFill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6" borderId="13" xfId="3" applyFont="1" applyFill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38" fontId="6" fillId="0" borderId="21" xfId="4" applyFont="1" applyBorder="1" applyAlignment="1">
      <alignment horizontal="center" vertical="center" wrapText="1"/>
    </xf>
    <xf numFmtId="38" fontId="6" fillId="0" borderId="0" xfId="4" applyFont="1" applyAlignment="1">
      <alignment horizontal="center" vertical="center" wrapText="1"/>
    </xf>
    <xf numFmtId="0" fontId="4" fillId="0" borderId="0" xfId="3" applyFont="1"/>
    <xf numFmtId="182" fontId="2" fillId="0" borderId="22" xfId="3" applyNumberFormat="1" applyFont="1" applyBorder="1" applyAlignment="1">
      <alignment horizontal="left"/>
    </xf>
    <xf numFmtId="38" fontId="4" fillId="0" borderId="22" xfId="3" applyNumberFormat="1" applyFont="1" applyBorder="1"/>
    <xf numFmtId="183" fontId="4" fillId="0" borderId="23" xfId="3" applyNumberFormat="1" applyFont="1" applyBorder="1"/>
    <xf numFmtId="184" fontId="4" fillId="2" borderId="23" xfId="4" applyNumberFormat="1" applyFont="1" applyFill="1" applyBorder="1"/>
    <xf numFmtId="38" fontId="4" fillId="8" borderId="23" xfId="4" applyFont="1" applyFill="1" applyBorder="1"/>
    <xf numFmtId="38" fontId="6" fillId="0" borderId="24" xfId="4" applyFont="1" applyBorder="1"/>
    <xf numFmtId="38" fontId="6" fillId="0" borderId="22" xfId="4" applyFont="1" applyBorder="1"/>
    <xf numFmtId="38" fontId="10" fillId="2" borderId="23" xfId="4" applyFont="1" applyFill="1" applyBorder="1"/>
    <xf numFmtId="40" fontId="4" fillId="0" borderId="25" xfId="3" applyNumberFormat="1" applyFont="1" applyBorder="1"/>
    <xf numFmtId="185" fontId="4" fillId="0" borderId="23" xfId="3" applyNumberFormat="1" applyFont="1" applyBorder="1"/>
    <xf numFmtId="184" fontId="4" fillId="3" borderId="23" xfId="4" applyNumberFormat="1" applyFont="1" applyFill="1" applyBorder="1"/>
    <xf numFmtId="38" fontId="4" fillId="0" borderId="23" xfId="4" applyFont="1" applyBorder="1"/>
    <xf numFmtId="38" fontId="10" fillId="0" borderId="20" xfId="4" applyFont="1" applyBorder="1"/>
    <xf numFmtId="184" fontId="4" fillId="0" borderId="26" xfId="4" applyNumberFormat="1" applyFont="1" applyBorder="1"/>
    <xf numFmtId="38" fontId="4" fillId="9" borderId="22" xfId="4" applyFont="1" applyFill="1" applyBorder="1"/>
    <xf numFmtId="183" fontId="4" fillId="4" borderId="23" xfId="3" applyNumberFormat="1" applyFont="1" applyFill="1" applyBorder="1"/>
    <xf numFmtId="184" fontId="4" fillId="10" borderId="23" xfId="4" applyNumberFormat="1" applyFont="1" applyFill="1" applyBorder="1"/>
    <xf numFmtId="38" fontId="4" fillId="3" borderId="20" xfId="4" applyFont="1" applyFill="1" applyBorder="1"/>
    <xf numFmtId="40" fontId="4" fillId="11" borderId="20" xfId="3" applyNumberFormat="1" applyFont="1" applyFill="1" applyBorder="1"/>
    <xf numFmtId="40" fontId="4" fillId="0" borderId="24" xfId="3" applyNumberFormat="1" applyFont="1" applyBorder="1"/>
    <xf numFmtId="38" fontId="4" fillId="12" borderId="20" xfId="3" applyNumberFormat="1" applyFont="1" applyFill="1" applyBorder="1"/>
    <xf numFmtId="38" fontId="6" fillId="3" borderId="20" xfId="4" applyFont="1" applyFill="1" applyBorder="1"/>
    <xf numFmtId="184" fontId="4" fillId="0" borderId="24" xfId="4" applyNumberFormat="1" applyFont="1" applyBorder="1"/>
    <xf numFmtId="38" fontId="10" fillId="0" borderId="22" xfId="4" applyFont="1" applyBorder="1"/>
    <xf numFmtId="38" fontId="4" fillId="0" borderId="22" xfId="4" applyFont="1" applyBorder="1"/>
    <xf numFmtId="38" fontId="4" fillId="13" borderId="4" xfId="4" applyFont="1" applyFill="1" applyBorder="1"/>
    <xf numFmtId="38" fontId="4" fillId="13" borderId="20" xfId="4" applyFont="1" applyFill="1" applyBorder="1"/>
    <xf numFmtId="38" fontId="6" fillId="13" borderId="20" xfId="4" applyFont="1" applyFill="1" applyBorder="1"/>
    <xf numFmtId="38" fontId="10" fillId="9" borderId="21" xfId="4" applyFont="1" applyFill="1" applyBorder="1"/>
    <xf numFmtId="38" fontId="4" fillId="0" borderId="0" xfId="4" applyFont="1"/>
    <xf numFmtId="182" fontId="2" fillId="0" borderId="5" xfId="3" applyNumberFormat="1" applyFont="1" applyBorder="1" applyAlignment="1">
      <alignment horizontal="left"/>
    </xf>
    <xf numFmtId="38" fontId="4" fillId="0" borderId="5" xfId="3" applyNumberFormat="1" applyFont="1" applyBorder="1"/>
    <xf numFmtId="184" fontId="4" fillId="0" borderId="4" xfId="4" applyNumberFormat="1" applyFont="1" applyBorder="1"/>
    <xf numFmtId="38" fontId="4" fillId="0" borderId="20" xfId="4" applyFont="1" applyBorder="1"/>
    <xf numFmtId="184" fontId="4" fillId="0" borderId="7" xfId="4" applyNumberFormat="1" applyFont="1" applyBorder="1"/>
    <xf numFmtId="38" fontId="7" fillId="0" borderId="5" xfId="3" applyNumberFormat="1" applyFont="1" applyBorder="1"/>
    <xf numFmtId="38" fontId="6" fillId="14" borderId="22" xfId="4" applyFont="1" applyFill="1" applyBorder="1"/>
    <xf numFmtId="38" fontId="4" fillId="0" borderId="0" xfId="3" applyNumberFormat="1" applyFont="1"/>
    <xf numFmtId="38" fontId="6" fillId="15" borderId="20" xfId="4" applyFont="1" applyFill="1" applyBorder="1"/>
    <xf numFmtId="183" fontId="4" fillId="4" borderId="20" xfId="3" applyNumberFormat="1" applyFont="1" applyFill="1" applyBorder="1"/>
    <xf numFmtId="184" fontId="4" fillId="10" borderId="20" xfId="4" applyNumberFormat="1" applyFont="1" applyFill="1" applyBorder="1"/>
    <xf numFmtId="38" fontId="4" fillId="8" borderId="20" xfId="4" applyFont="1" applyFill="1" applyBorder="1"/>
    <xf numFmtId="184" fontId="4" fillId="3" borderId="2" xfId="4" applyNumberFormat="1" applyFont="1" applyFill="1" applyBorder="1"/>
    <xf numFmtId="184" fontId="4" fillId="0" borderId="27" xfId="4" applyNumberFormat="1" applyFont="1" applyBorder="1"/>
    <xf numFmtId="38" fontId="4" fillId="0" borderId="2" xfId="4" applyFont="1" applyBorder="1"/>
    <xf numFmtId="38" fontId="4" fillId="9" borderId="3" xfId="4" applyFont="1" applyFill="1" applyBorder="1"/>
    <xf numFmtId="183" fontId="4" fillId="4" borderId="2" xfId="3" applyNumberFormat="1" applyFont="1" applyFill="1" applyBorder="1"/>
    <xf numFmtId="184" fontId="4" fillId="10" borderId="2" xfId="4" applyNumberFormat="1" applyFont="1" applyFill="1" applyBorder="1"/>
    <xf numFmtId="38" fontId="4" fillId="8" borderId="2" xfId="4" applyFont="1" applyFill="1" applyBorder="1"/>
    <xf numFmtId="38" fontId="6" fillId="0" borderId="28" xfId="4" applyFont="1" applyBorder="1"/>
    <xf numFmtId="38" fontId="6" fillId="0" borderId="29" xfId="4" applyFont="1" applyBorder="1"/>
    <xf numFmtId="38" fontId="4" fillId="3" borderId="2" xfId="4" applyFont="1" applyFill="1" applyBorder="1"/>
    <xf numFmtId="40" fontId="4" fillId="11" borderId="2" xfId="3" applyNumberFormat="1" applyFont="1" applyFill="1" applyBorder="1"/>
    <xf numFmtId="38" fontId="4" fillId="12" borderId="2" xfId="3" applyNumberFormat="1" applyFont="1" applyFill="1" applyBorder="1"/>
    <xf numFmtId="184" fontId="4" fillId="0" borderId="28" xfId="4" applyNumberFormat="1" applyFont="1" applyBorder="1"/>
    <xf numFmtId="38" fontId="4" fillId="13" borderId="30" xfId="4" applyFont="1" applyFill="1" applyBorder="1"/>
    <xf numFmtId="38" fontId="4" fillId="13" borderId="13" xfId="4" applyFont="1" applyFill="1" applyBorder="1"/>
    <xf numFmtId="38" fontId="6" fillId="13" borderId="13" xfId="4" applyFont="1" applyFill="1" applyBorder="1"/>
    <xf numFmtId="0" fontId="6" fillId="0" borderId="31" xfId="3" applyFont="1" applyBorder="1" applyAlignment="1">
      <alignment horizontal="left"/>
    </xf>
    <xf numFmtId="38" fontId="6" fillId="0" borderId="10" xfId="3" applyNumberFormat="1" applyFont="1" applyBorder="1"/>
    <xf numFmtId="183" fontId="6" fillId="0" borderId="32" xfId="3" applyNumberFormat="1" applyFont="1" applyBorder="1"/>
    <xf numFmtId="184" fontId="6" fillId="0" borderId="10" xfId="3" applyNumberFormat="1" applyFont="1" applyBorder="1"/>
    <xf numFmtId="38" fontId="12" fillId="0" borderId="32" xfId="3" applyNumberFormat="1" applyFont="1" applyBorder="1"/>
    <xf numFmtId="38" fontId="6" fillId="0" borderId="32" xfId="3" applyNumberFormat="1" applyFont="1" applyBorder="1"/>
    <xf numFmtId="38" fontId="6" fillId="0" borderId="31" xfId="3" applyNumberFormat="1" applyFont="1" applyBorder="1"/>
    <xf numFmtId="38" fontId="6" fillId="7" borderId="10" xfId="3" applyNumberFormat="1" applyFont="1" applyFill="1" applyBorder="1"/>
    <xf numFmtId="186" fontId="6" fillId="0" borderId="10" xfId="3" applyNumberFormat="1" applyFont="1" applyBorder="1" applyAlignment="1">
      <alignment shrinkToFit="1"/>
    </xf>
    <xf numFmtId="185" fontId="6" fillId="0" borderId="32" xfId="3" applyNumberFormat="1" applyFont="1" applyBorder="1"/>
    <xf numFmtId="38" fontId="12" fillId="0" borderId="10" xfId="3" applyNumberFormat="1" applyFont="1" applyBorder="1"/>
    <xf numFmtId="38" fontId="10" fillId="7" borderId="10" xfId="3" applyNumberFormat="1" applyFont="1" applyFill="1" applyBorder="1"/>
    <xf numFmtId="186" fontId="13" fillId="0" borderId="32" xfId="3" applyNumberFormat="1" applyFont="1" applyBorder="1" applyAlignment="1">
      <alignment shrinkToFit="1"/>
    </xf>
    <xf numFmtId="0" fontId="6" fillId="0" borderId="10" xfId="3" applyFont="1" applyBorder="1"/>
    <xf numFmtId="186" fontId="6" fillId="0" borderId="33" xfId="3" applyNumberFormat="1" applyFont="1" applyBorder="1"/>
    <xf numFmtId="183" fontId="6" fillId="11" borderId="32" xfId="3" applyNumberFormat="1" applyFont="1" applyFill="1" applyBorder="1"/>
    <xf numFmtId="186" fontId="6" fillId="0" borderId="32" xfId="3" applyNumberFormat="1" applyFont="1" applyBorder="1"/>
    <xf numFmtId="183" fontId="14" fillId="12" borderId="32" xfId="3" applyNumberFormat="1" applyFont="1" applyFill="1" applyBorder="1"/>
    <xf numFmtId="184" fontId="6" fillId="0" borderId="32" xfId="3" applyNumberFormat="1" applyFont="1" applyBorder="1"/>
    <xf numFmtId="38" fontId="6" fillId="0" borderId="10" xfId="4" applyFont="1" applyBorder="1"/>
    <xf numFmtId="38" fontId="6" fillId="7" borderId="23" xfId="4" applyFont="1" applyFill="1" applyBorder="1"/>
    <xf numFmtId="38" fontId="10" fillId="7" borderId="23" xfId="4" applyFont="1" applyFill="1" applyBorder="1"/>
    <xf numFmtId="0" fontId="6" fillId="0" borderId="0" xfId="3" applyFont="1"/>
    <xf numFmtId="38" fontId="6" fillId="14" borderId="20" xfId="4" applyFont="1" applyFill="1" applyBorder="1"/>
    <xf numFmtId="0" fontId="6" fillId="0" borderId="0" xfId="3" applyFont="1" applyAlignment="1">
      <alignment horizontal="left"/>
    </xf>
    <xf numFmtId="0" fontId="6" fillId="0" borderId="5" xfId="3" applyFont="1" applyBorder="1"/>
    <xf numFmtId="38" fontId="12" fillId="0" borderId="20" xfId="4" applyFont="1" applyBorder="1"/>
    <xf numFmtId="38" fontId="10" fillId="7" borderId="20" xfId="4" applyFont="1" applyFill="1" applyBorder="1"/>
    <xf numFmtId="38" fontId="6" fillId="0" borderId="20" xfId="4" applyFont="1" applyBorder="1"/>
    <xf numFmtId="38" fontId="6" fillId="7" borderId="20" xfId="4" applyFont="1" applyFill="1" applyBorder="1"/>
    <xf numFmtId="186" fontId="6" fillId="0" borderId="0" xfId="3" applyNumberFormat="1" applyFont="1" applyAlignment="1">
      <alignment shrinkToFit="1"/>
    </xf>
    <xf numFmtId="183" fontId="6" fillId="0" borderId="0" xfId="3" applyNumberFormat="1" applyFont="1"/>
    <xf numFmtId="186" fontId="12" fillId="0" borderId="0" xfId="3" applyNumberFormat="1" applyFont="1"/>
    <xf numFmtId="0" fontId="6" fillId="0" borderId="7" xfId="3" applyFont="1" applyBorder="1"/>
    <xf numFmtId="186" fontId="6" fillId="0" borderId="0" xfId="3" applyNumberFormat="1" applyFont="1"/>
    <xf numFmtId="186" fontId="6" fillId="0" borderId="34" xfId="3" applyNumberFormat="1" applyFont="1" applyBorder="1"/>
    <xf numFmtId="0" fontId="6" fillId="0" borderId="6" xfId="3" applyFont="1" applyBorder="1"/>
    <xf numFmtId="38" fontId="6" fillId="0" borderId="7" xfId="4" applyFont="1" applyBorder="1"/>
    <xf numFmtId="38" fontId="6" fillId="0" borderId="0" xfId="3" applyNumberFormat="1" applyFont="1"/>
    <xf numFmtId="38" fontId="6" fillId="0" borderId="0" xfId="4" applyFont="1"/>
    <xf numFmtId="0" fontId="4" fillId="0" borderId="0" xfId="3" applyFont="1" applyAlignment="1">
      <alignment horizontal="right"/>
    </xf>
    <xf numFmtId="187" fontId="6" fillId="0" borderId="0" xfId="3" applyNumberFormat="1" applyFont="1"/>
    <xf numFmtId="187" fontId="6" fillId="8" borderId="0" xfId="3" applyNumberFormat="1" applyFont="1" applyFill="1"/>
    <xf numFmtId="187" fontId="6" fillId="0" borderId="0" xfId="3" applyNumberFormat="1" applyFont="1" applyAlignment="1">
      <alignment horizontal="right"/>
    </xf>
    <xf numFmtId="188" fontId="6" fillId="0" borderId="0" xfId="5" applyFont="1"/>
    <xf numFmtId="188" fontId="6" fillId="0" borderId="0" xfId="5" applyFont="1" applyAlignment="1">
      <alignment shrinkToFit="1"/>
    </xf>
    <xf numFmtId="187" fontId="4" fillId="0" borderId="0" xfId="3" applyNumberFormat="1" applyFont="1"/>
    <xf numFmtId="187" fontId="6" fillId="4" borderId="0" xfId="3" applyNumberFormat="1" applyFont="1" applyFill="1"/>
    <xf numFmtId="184" fontId="4" fillId="0" borderId="0" xfId="3" applyNumberFormat="1" applyFont="1"/>
    <xf numFmtId="0" fontId="4" fillId="0" borderId="24" xfId="3" applyFont="1" applyBorder="1"/>
    <xf numFmtId="0" fontId="4" fillId="0" borderId="29" xfId="3" applyFont="1" applyBorder="1" applyAlignment="1">
      <alignment horizontal="right"/>
    </xf>
    <xf numFmtId="187" fontId="6" fillId="14" borderId="0" xfId="3" applyNumberFormat="1" applyFont="1" applyFill="1"/>
    <xf numFmtId="0" fontId="4" fillId="0" borderId="34" xfId="3" applyFont="1" applyBorder="1"/>
    <xf numFmtId="189" fontId="4" fillId="0" borderId="0" xfId="4" applyNumberFormat="1" applyFont="1"/>
    <xf numFmtId="0" fontId="15" fillId="0" borderId="20" xfId="3" applyFont="1" applyBorder="1" applyAlignment="1">
      <alignment horizontal="left" vertical="top" wrapText="1"/>
    </xf>
    <xf numFmtId="38" fontId="16" fillId="0" borderId="0" xfId="3" applyNumberFormat="1" applyFont="1" applyAlignment="1">
      <alignment vertical="center"/>
    </xf>
    <xf numFmtId="0" fontId="4" fillId="0" borderId="0" xfId="3" applyFont="1" applyAlignment="1">
      <alignment horizontal="center"/>
    </xf>
    <xf numFmtId="38" fontId="4" fillId="0" borderId="0" xfId="1" applyFont="1" applyAlignment="1"/>
    <xf numFmtId="10" fontId="1" fillId="0" borderId="0" xfId="2" applyNumberFormat="1" applyAlignment="1"/>
    <xf numFmtId="0" fontId="6" fillId="0" borderId="0" xfId="3" applyFont="1" applyAlignment="1">
      <alignment horizontal="center"/>
    </xf>
    <xf numFmtId="38" fontId="6" fillId="0" borderId="0" xfId="4" applyFont="1" applyAlignment="1">
      <alignment horizontal="right"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right" vertical="center"/>
    </xf>
    <xf numFmtId="0" fontId="6" fillId="0" borderId="0" xfId="3" applyFont="1" applyAlignment="1">
      <alignment horizontal="center" vertical="center" shrinkToFit="1"/>
    </xf>
    <xf numFmtId="190" fontId="6" fillId="0" borderId="0" xfId="2" applyNumberFormat="1" applyFont="1" applyAlignment="1"/>
    <xf numFmtId="191" fontId="6" fillId="7" borderId="0" xfId="3" applyNumberFormat="1" applyFont="1" applyFill="1"/>
    <xf numFmtId="0" fontId="10" fillId="0" borderId="0" xfId="3" applyFont="1" applyAlignment="1">
      <alignment vertical="center"/>
    </xf>
    <xf numFmtId="0" fontId="10" fillId="0" borderId="0" xfId="3" applyFont="1" applyAlignment="1">
      <alignment horizontal="right" vertical="center"/>
    </xf>
    <xf numFmtId="188" fontId="10" fillId="0" borderId="0" xfId="5" applyFont="1" applyAlignment="1">
      <alignment vertical="center"/>
    </xf>
    <xf numFmtId="10" fontId="10" fillId="0" borderId="0" xfId="2" applyNumberFormat="1" applyFont="1" applyAlignment="1">
      <alignment vertical="center"/>
    </xf>
    <xf numFmtId="0" fontId="17" fillId="0" borderId="0" xfId="3" applyFont="1" applyAlignment="1">
      <alignment vertical="center"/>
    </xf>
    <xf numFmtId="38" fontId="18" fillId="0" borderId="0" xfId="3" applyNumberFormat="1" applyFont="1"/>
    <xf numFmtId="38" fontId="18" fillId="0" borderId="0" xfId="1" applyFont="1" applyAlignment="1"/>
    <xf numFmtId="10" fontId="18" fillId="0" borderId="0" xfId="2" applyNumberFormat="1" applyFont="1" applyAlignment="1"/>
    <xf numFmtId="38" fontId="18" fillId="0" borderId="0" xfId="4" applyFont="1"/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88" fontId="19" fillId="0" borderId="0" xfId="5" applyFont="1" applyAlignment="1">
      <alignment vertical="center"/>
    </xf>
    <xf numFmtId="10" fontId="19" fillId="0" borderId="0" xfId="2" applyNumberFormat="1" applyFont="1" applyAlignment="1">
      <alignment vertical="center"/>
    </xf>
    <xf numFmtId="38" fontId="17" fillId="0" borderId="0" xfId="4" applyFont="1" applyAlignment="1">
      <alignment vertical="center"/>
    </xf>
    <xf numFmtId="0" fontId="4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38" fontId="4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84" fontId="4" fillId="0" borderId="0" xfId="3" applyNumberFormat="1" applyFont="1" applyAlignment="1">
      <alignment horizontal="left" vertical="center"/>
    </xf>
    <xf numFmtId="38" fontId="4" fillId="0" borderId="0" xfId="3" applyNumberFormat="1" applyFont="1" applyAlignment="1">
      <alignment horizontal="left" vertical="center"/>
    </xf>
    <xf numFmtId="0" fontId="4" fillId="0" borderId="0" xfId="3" applyFont="1" applyAlignment="1">
      <alignment vertical="center"/>
    </xf>
    <xf numFmtId="38" fontId="4" fillId="0" borderId="0" xfId="4" applyFont="1" applyAlignment="1">
      <alignment horizontal="left" vertical="center"/>
    </xf>
    <xf numFmtId="0" fontId="20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192" fontId="4" fillId="0" borderId="0" xfId="3" applyNumberFormat="1" applyFont="1" applyAlignment="1">
      <alignment horizontal="center" vertical="center"/>
    </xf>
    <xf numFmtId="38" fontId="4" fillId="0" borderId="0" xfId="1" applyFont="1" applyAlignment="1">
      <alignment horizontal="right" vertical="center"/>
    </xf>
    <xf numFmtId="38" fontId="0" fillId="0" borderId="0" xfId="1" applyFont="1" applyAlignment="1">
      <alignment horizontal="right" vertical="center"/>
    </xf>
    <xf numFmtId="38" fontId="4" fillId="0" borderId="0" xfId="4" applyFont="1" applyAlignment="1">
      <alignment vertical="center"/>
    </xf>
    <xf numFmtId="38" fontId="8" fillId="0" borderId="0" xfId="4" applyFont="1" applyAlignment="1">
      <alignment vertical="center"/>
    </xf>
    <xf numFmtId="38" fontId="6" fillId="0" borderId="0" xfId="4" applyFont="1" applyAlignment="1">
      <alignment vertical="center"/>
    </xf>
    <xf numFmtId="38" fontId="20" fillId="0" borderId="0" xfId="4" applyFont="1" applyAlignment="1">
      <alignment vertical="center"/>
    </xf>
    <xf numFmtId="0" fontId="20" fillId="0" borderId="0" xfId="3" applyFont="1" applyAlignment="1">
      <alignment vertical="center"/>
    </xf>
    <xf numFmtId="38" fontId="6" fillId="16" borderId="35" xfId="4" applyFont="1" applyFill="1" applyBorder="1" applyAlignment="1">
      <alignment horizontal="center" vertical="center"/>
    </xf>
    <xf numFmtId="38" fontId="6" fillId="0" borderId="35" xfId="4" applyFont="1" applyBorder="1" applyAlignment="1">
      <alignment horizontal="center" vertical="center"/>
    </xf>
    <xf numFmtId="38" fontId="20" fillId="0" borderId="35" xfId="1" applyFont="1" applyBorder="1" applyAlignment="1">
      <alignment horizontal="right" vertical="center"/>
    </xf>
    <xf numFmtId="190" fontId="1" fillId="0" borderId="35" xfId="2" applyNumberFormat="1" applyBorder="1" applyAlignment="1">
      <alignment horizontal="right" vertical="center"/>
    </xf>
    <xf numFmtId="38" fontId="8" fillId="0" borderId="35" xfId="3" applyNumberFormat="1" applyFont="1" applyBorder="1" applyAlignment="1">
      <alignment horizontal="right" vertical="center"/>
    </xf>
    <xf numFmtId="0" fontId="8" fillId="0" borderId="35" xfId="3" applyFont="1" applyBorder="1" applyAlignment="1">
      <alignment horizontal="right" vertical="center"/>
    </xf>
    <xf numFmtId="38" fontId="6" fillId="17" borderId="35" xfId="4" applyFont="1" applyFill="1" applyBorder="1" applyAlignment="1">
      <alignment horizontal="center" vertical="center"/>
    </xf>
    <xf numFmtId="38" fontId="20" fillId="0" borderId="0" xfId="3" applyNumberFormat="1" applyFont="1" applyAlignment="1">
      <alignment vertical="center"/>
    </xf>
    <xf numFmtId="38" fontId="4" fillId="0" borderId="0" xfId="1" applyFont="1" applyAlignment="1">
      <alignment horizontal="right"/>
    </xf>
    <xf numFmtId="0" fontId="6" fillId="18" borderId="35" xfId="3" applyFont="1" applyFill="1" applyBorder="1" applyAlignment="1">
      <alignment horizontal="center" vertical="center"/>
    </xf>
    <xf numFmtId="0" fontId="6" fillId="0" borderId="35" xfId="3" applyFont="1" applyBorder="1" applyAlignment="1">
      <alignment horizontal="center" vertical="center"/>
    </xf>
    <xf numFmtId="0" fontId="6" fillId="0" borderId="35" xfId="3" applyFont="1" applyBorder="1" applyAlignment="1">
      <alignment horizontal="center" vertical="center"/>
    </xf>
    <xf numFmtId="38" fontId="21" fillId="0" borderId="35" xfId="3" applyNumberFormat="1" applyFont="1" applyBorder="1" applyAlignment="1">
      <alignment horizontal="right" vertical="center"/>
    </xf>
    <xf numFmtId="0" fontId="21" fillId="0" borderId="35" xfId="3" applyFont="1" applyBorder="1" applyAlignment="1">
      <alignment horizontal="right" vertical="center"/>
    </xf>
    <xf numFmtId="38" fontId="10" fillId="0" borderId="0" xfId="3" applyNumberFormat="1" applyFont="1"/>
    <xf numFmtId="38" fontId="10" fillId="0" borderId="0" xfId="3" applyNumberFormat="1" applyFont="1" applyAlignment="1">
      <alignment vertical="center"/>
    </xf>
  </cellXfs>
  <cellStyles count="6">
    <cellStyle name="Excel Built-in Comma [0]" xfId="4" xr:uid="{18F8D606-0C37-FD42-84E1-A2617FAD6EB9}"/>
    <cellStyle name="Excel Built-in Currency [0]" xfId="5" xr:uid="{DCE1BADE-1B91-E142-BF70-075FA4F73F91}"/>
    <cellStyle name="Excel Built-in Normal 1" xfId="3" xr:uid="{AAAD032F-7660-574B-BAB6-D0433AC29AEC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toshiiga/Desktop/GA&#22770;&#19978;&#26085;&#22577;.xlsx" TargetMode="External"/><Relationship Id="rId1" Type="http://schemas.openxmlformats.org/officeDocument/2006/relationships/externalLinkPath" Target="GA&#22770;&#19978;&#26085;&#22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料飲部全体進捗（月終了時点）"/>
      <sheetName val="R7GA予算"/>
      <sheetName val="2026(2)"/>
      <sheetName val="2025(2)"/>
      <sheetName val="2026(1)"/>
      <sheetName val="2025(1)"/>
      <sheetName val="2025(12)"/>
      <sheetName val="2024(12)"/>
      <sheetName val="2025(11)"/>
      <sheetName val="2024(11)"/>
      <sheetName val="2025(10)"/>
      <sheetName val="2024(10)"/>
      <sheetName val="2023(10)"/>
      <sheetName val="2025(9)"/>
      <sheetName val="2024(9)"/>
      <sheetName val="2023(9)"/>
      <sheetName val="2025(8)"/>
      <sheetName val="2024(8)"/>
      <sheetName val="2023(8)"/>
      <sheetName val="2025(7)"/>
      <sheetName val="2024(7)"/>
      <sheetName val="2023(7)"/>
      <sheetName val="2025(6)"/>
      <sheetName val="2024(6)"/>
      <sheetName val="2023(6)"/>
      <sheetName val="2025(5)"/>
      <sheetName val="2024(5)"/>
      <sheetName val="2025(4)"/>
      <sheetName val="2024(4)"/>
      <sheetName val="2025(3)"/>
      <sheetName val="2024(3)"/>
      <sheetName val="2024(2)"/>
      <sheetName val="2024(1)"/>
      <sheetName val="2023(12)"/>
      <sheetName val="2023(11)"/>
      <sheetName val="1stQuarter"/>
      <sheetName val="2023(5)"/>
      <sheetName val="料飲部全体進捗（8月終了時点） (2)"/>
      <sheetName val="2023(4)"/>
      <sheetName val="FBテイクアウト売上比率（JW）"/>
      <sheetName val="顧客リスト（リピーター）流入（JW）"/>
      <sheetName val="R4_ R3対比（客数・客単価）"/>
      <sheetName val="R4施策"/>
      <sheetName val="2022 (1)"/>
      <sheetName val="2022 (12)"/>
      <sheetName val="2021 (12)"/>
      <sheetName val="2022 (11)"/>
      <sheetName val="2021 (11)"/>
      <sheetName val="2022 (10)"/>
      <sheetName val="2021 (10)"/>
      <sheetName val="2022 (9)"/>
      <sheetName val="2021 (9)"/>
      <sheetName val="2022 (8)"/>
      <sheetName val="2021 (8)"/>
      <sheetName val="2022 (7)"/>
      <sheetName val="2021 (7)"/>
      <sheetName val="2022 (6)"/>
      <sheetName val="2021 (6)"/>
      <sheetName val="2022 (5)"/>
      <sheetName val="2021 (5)"/>
      <sheetName val="2022 (4)"/>
      <sheetName val="2021 (4)"/>
      <sheetName val="下期ー年度累計数値報告 (2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7">
          <cell r="AS37">
            <v>15843636.363636361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F807-AFA4-894E-A749-ACA9243DFBA1}">
  <dimension ref="A1:BN224"/>
  <sheetViews>
    <sheetView workbookViewId="0">
      <selection sqref="A1:XFD104857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6" s="3" customFormat="1">
      <c r="A1" s="1" t="s">
        <v>0</v>
      </c>
      <c r="B1" s="2"/>
      <c r="BJ1" s="4"/>
      <c r="BL1" s="4"/>
    </row>
    <row r="2" spans="1:66" s="3" customFormat="1" ht="35" thickBot="1">
      <c r="A2" s="5">
        <v>2024</v>
      </c>
      <c r="B2" s="6">
        <v>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6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8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6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6" ht="20" customHeight="1" thickTop="1">
      <c r="B5" s="48">
        <f>DATE($A$2,$B$2,1)</f>
        <v>45383</v>
      </c>
      <c r="C5" s="49"/>
      <c r="D5" s="50"/>
      <c r="E5" s="51">
        <v>22</v>
      </c>
      <c r="F5" s="52">
        <v>82280</v>
      </c>
      <c r="G5" s="53">
        <f t="shared" ref="G5:G35" si="0">ROUNDDOWN(F5/1.1,0)/E5</f>
        <v>3400</v>
      </c>
      <c r="H5" s="52">
        <v>18280</v>
      </c>
      <c r="I5" s="54">
        <f t="shared" ref="I5:I35" si="1">ROUNDDOWN(H5/1.1,0)/E5</f>
        <v>755.36363636363637</v>
      </c>
      <c r="J5" s="55">
        <f t="shared" ref="J5:J35" si="2">F5+H5</f>
        <v>100560</v>
      </c>
      <c r="K5" s="56">
        <f t="shared" ref="K5:K35" si="3">IF(E5="","",J5/E5)</f>
        <v>4570.909090909091</v>
      </c>
      <c r="L5" s="57"/>
      <c r="M5" s="58">
        <f t="shared" ref="M5:N35" si="4">BC5-E5</f>
        <v>8</v>
      </c>
      <c r="N5" s="59">
        <f t="shared" si="4"/>
        <v>106370</v>
      </c>
      <c r="O5" s="53">
        <f t="shared" ref="O5:O35" si="5">ROUNDDOWN(N5/1.1,0)/M5</f>
        <v>12087.5</v>
      </c>
      <c r="P5" s="59">
        <f t="shared" ref="P5:P35" si="6">BE5-H5</f>
        <v>37400</v>
      </c>
      <c r="Q5" s="54">
        <f t="shared" ref="Q5:Q35" si="7">ROUNDDOWN(P5/1.1,0)/M5</f>
        <v>4250</v>
      </c>
      <c r="R5" s="60">
        <f t="shared" ref="R5:R35" si="8">N5+P5</f>
        <v>143770</v>
      </c>
      <c r="S5" s="56">
        <f t="shared" ref="S5:S35" si="9">IF(M5="","",R5/M5)</f>
        <v>17971.25</v>
      </c>
      <c r="T5" s="61">
        <f t="shared" ref="T5:U35" si="10">E5+M5</f>
        <v>30</v>
      </c>
      <c r="U5" s="59">
        <f t="shared" si="10"/>
        <v>188650</v>
      </c>
      <c r="V5" s="59">
        <f t="shared" ref="V5:V35" si="11">H5+P5</f>
        <v>55680</v>
      </c>
      <c r="W5" s="62">
        <f t="shared" ref="W5:W35" si="12">J5+R5</f>
        <v>244330</v>
      </c>
      <c r="X5" s="59"/>
      <c r="Y5" s="63"/>
      <c r="Z5" s="64">
        <v>14</v>
      </c>
      <c r="AA5" s="52">
        <v>6440</v>
      </c>
      <c r="AB5" s="53">
        <f t="shared" ref="AB5:AB35" si="13">AA5/Z5</f>
        <v>460</v>
      </c>
      <c r="AC5" s="52">
        <v>1400</v>
      </c>
      <c r="AD5" s="54">
        <f t="shared" ref="AD5:AD35" si="14">AC5/Z5</f>
        <v>100</v>
      </c>
      <c r="AE5" s="65">
        <f t="shared" ref="AE5:AE35" si="15">AA5+AC5</f>
        <v>7840</v>
      </c>
      <c r="AF5" s="56">
        <f t="shared" ref="AF5:AF35" si="16">IF(Z5="","",AE5/Z5)</f>
        <v>560</v>
      </c>
      <c r="AG5" s="66"/>
      <c r="AH5" s="64">
        <v>44</v>
      </c>
      <c r="AI5" s="52">
        <v>172260</v>
      </c>
      <c r="AJ5" s="53">
        <f t="shared" ref="AJ5:AJ35" si="17">AI5/AH5</f>
        <v>3915</v>
      </c>
      <c r="AK5" s="52">
        <v>76560</v>
      </c>
      <c r="AL5" s="54">
        <f t="shared" ref="AL5:AL35" si="18">AK5/AH5</f>
        <v>1740</v>
      </c>
      <c r="AM5" s="65">
        <f>AI5+AK5</f>
        <v>248820</v>
      </c>
      <c r="AN5" s="67">
        <f t="shared" ref="AN5:AN35" si="19">IF(AH5="","",AM5/AH5)</f>
        <v>5655</v>
      </c>
      <c r="AO5" s="68"/>
      <c r="AP5" s="64"/>
      <c r="AQ5" s="52"/>
      <c r="AR5" s="53" t="e">
        <f t="shared" ref="AR5:AR35" si="20">AQ5/AP5</f>
        <v>#DIV/0!</v>
      </c>
      <c r="AS5" s="52"/>
      <c r="AT5" s="54" t="e">
        <f t="shared" ref="AT5:AT35" si="21">AS5/AP5</f>
        <v>#DIV/0!</v>
      </c>
      <c r="AU5" s="54"/>
      <c r="AV5" s="69">
        <f>AQ5+AS5+AU5</f>
        <v>0</v>
      </c>
      <c r="AW5" s="67" t="str">
        <f t="shared" ref="AW5:AW35" si="22">IF(AP5="","",AV5/AP5)</f>
        <v/>
      </c>
      <c r="AX5" s="70">
        <f t="shared" ref="AX5:AX35" si="23">SUM(E5,M5)</f>
        <v>30</v>
      </c>
      <c r="AY5" s="59">
        <f t="shared" ref="AY5:AY35" si="24">U5+AA5+AI5+AQ5</f>
        <v>367350</v>
      </c>
      <c r="AZ5" s="59">
        <f t="shared" ref="AZ5:AZ35" si="25">V5+AC5+AK5+AS5</f>
        <v>133640</v>
      </c>
      <c r="BA5" s="71">
        <f t="shared" ref="BA5:BA35" si="26">W5+AE5+AM5+AV5</f>
        <v>500990</v>
      </c>
      <c r="BB5" s="72">
        <f>BF5+BG5</f>
        <v>5500</v>
      </c>
      <c r="BC5" s="73">
        <v>30</v>
      </c>
      <c r="BD5" s="74">
        <v>188650</v>
      </c>
      <c r="BE5" s="74">
        <v>55680</v>
      </c>
      <c r="BF5" s="75">
        <v>5500</v>
      </c>
      <c r="BG5" s="75"/>
      <c r="BH5" s="75">
        <v>3300</v>
      </c>
      <c r="BI5" s="75"/>
      <c r="BJ5" s="76">
        <f>SUM(BD5:BG5)</f>
        <v>249830</v>
      </c>
      <c r="BK5" s="47">
        <v>1</v>
      </c>
      <c r="BL5" s="77">
        <f t="shared" ref="BL5:BL35" si="27">BI5+BJ5</f>
        <v>249830</v>
      </c>
    </row>
    <row r="6" spans="1:66" ht="20" customHeight="1">
      <c r="B6" s="78">
        <f t="shared" ref="B6:B34" si="28">B5+1</f>
        <v>45384</v>
      </c>
      <c r="C6" s="79"/>
      <c r="D6" s="50"/>
      <c r="E6" s="51">
        <v>18</v>
      </c>
      <c r="F6" s="52">
        <v>62690</v>
      </c>
      <c r="G6" s="53">
        <f t="shared" si="0"/>
        <v>3166.1111111111113</v>
      </c>
      <c r="H6" s="52">
        <v>6270</v>
      </c>
      <c r="I6" s="54">
        <f t="shared" si="1"/>
        <v>316.66666666666669</v>
      </c>
      <c r="J6" s="55">
        <f t="shared" si="2"/>
        <v>68960</v>
      </c>
      <c r="K6" s="56">
        <f t="shared" si="3"/>
        <v>3831.1111111111113</v>
      </c>
      <c r="L6" s="57"/>
      <c r="M6" s="58">
        <f t="shared" si="4"/>
        <v>11</v>
      </c>
      <c r="N6" s="59">
        <f t="shared" si="4"/>
        <v>114070</v>
      </c>
      <c r="O6" s="53">
        <f t="shared" si="5"/>
        <v>9427.2727272727279</v>
      </c>
      <c r="P6" s="59">
        <f t="shared" si="6"/>
        <v>25160</v>
      </c>
      <c r="Q6" s="54">
        <f t="shared" si="7"/>
        <v>2079.2727272727275</v>
      </c>
      <c r="R6" s="60">
        <f t="shared" si="8"/>
        <v>139230</v>
      </c>
      <c r="S6" s="56">
        <f t="shared" si="9"/>
        <v>12657.272727272728</v>
      </c>
      <c r="T6" s="80">
        <f t="shared" si="10"/>
        <v>29</v>
      </c>
      <c r="U6" s="59">
        <f t="shared" si="10"/>
        <v>176760</v>
      </c>
      <c r="V6" s="59">
        <f t="shared" si="11"/>
        <v>31430</v>
      </c>
      <c r="W6" s="62">
        <f t="shared" si="12"/>
        <v>208190</v>
      </c>
      <c r="X6" s="81"/>
      <c r="Y6" s="63"/>
      <c r="Z6" s="64">
        <v>11</v>
      </c>
      <c r="AA6" s="52">
        <v>4450</v>
      </c>
      <c r="AB6" s="53">
        <f t="shared" si="13"/>
        <v>404.54545454545456</v>
      </c>
      <c r="AC6" s="52">
        <v>3700</v>
      </c>
      <c r="AD6" s="54">
        <f t="shared" si="14"/>
        <v>336.36363636363637</v>
      </c>
      <c r="AE6" s="65">
        <f>AA6+AC6</f>
        <v>8150</v>
      </c>
      <c r="AF6" s="56">
        <f t="shared" si="16"/>
        <v>740.90909090909088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/>
      <c r="AQ6" s="52"/>
      <c r="AR6" s="53" t="e">
        <f t="shared" si="20"/>
        <v>#DIV/0!</v>
      </c>
      <c r="AS6" s="52"/>
      <c r="AT6" s="54" t="e">
        <f t="shared" si="21"/>
        <v>#DIV/0!</v>
      </c>
      <c r="AU6" s="54"/>
      <c r="AV6" s="69">
        <f t="shared" ref="AV6:AV35" si="30">AQ6+AS6+AU6</f>
        <v>0</v>
      </c>
      <c r="AW6" s="67" t="str">
        <f t="shared" si="22"/>
        <v/>
      </c>
      <c r="AX6" s="82">
        <f t="shared" si="23"/>
        <v>29</v>
      </c>
      <c r="AY6" s="59">
        <f t="shared" si="24"/>
        <v>181210</v>
      </c>
      <c r="AZ6" s="59">
        <f t="shared" si="25"/>
        <v>35130</v>
      </c>
      <c r="BA6" s="71">
        <f t="shared" si="26"/>
        <v>216340</v>
      </c>
      <c r="BB6" s="72">
        <f t="shared" ref="BB6:BB35" si="31">BF6+BG6</f>
        <v>4400</v>
      </c>
      <c r="BC6" s="73">
        <v>29</v>
      </c>
      <c r="BD6" s="74">
        <v>176760</v>
      </c>
      <c r="BE6" s="74">
        <v>31430</v>
      </c>
      <c r="BF6" s="75">
        <v>4400</v>
      </c>
      <c r="BG6" s="75"/>
      <c r="BH6" s="75"/>
      <c r="BI6" s="75"/>
      <c r="BJ6" s="76">
        <f t="shared" ref="BJ6:BJ35" si="32">SUM(BD6:BG6)</f>
        <v>212590</v>
      </c>
      <c r="BK6" s="47">
        <v>2</v>
      </c>
      <c r="BL6" s="77">
        <f t="shared" si="27"/>
        <v>212590</v>
      </c>
    </row>
    <row r="7" spans="1:66" ht="20" customHeight="1">
      <c r="B7" s="78">
        <f>B6+1</f>
        <v>45385</v>
      </c>
      <c r="C7" s="79"/>
      <c r="D7" s="50"/>
      <c r="E7" s="51">
        <v>25</v>
      </c>
      <c r="F7" s="52">
        <v>103730</v>
      </c>
      <c r="G7" s="53">
        <f t="shared" si="0"/>
        <v>3772</v>
      </c>
      <c r="H7" s="52">
        <v>18590</v>
      </c>
      <c r="I7" s="54">
        <f t="shared" si="1"/>
        <v>676</v>
      </c>
      <c r="J7" s="55">
        <f t="shared" si="2"/>
        <v>122320</v>
      </c>
      <c r="K7" s="56">
        <f t="shared" si="3"/>
        <v>4892.8</v>
      </c>
      <c r="L7" s="57"/>
      <c r="M7" s="58">
        <f t="shared" si="4"/>
        <v>11</v>
      </c>
      <c r="N7" s="59">
        <f t="shared" si="4"/>
        <v>93940</v>
      </c>
      <c r="O7" s="53">
        <f t="shared" si="5"/>
        <v>7763.636363636364</v>
      </c>
      <c r="P7" s="59">
        <f t="shared" si="6"/>
        <v>37010</v>
      </c>
      <c r="Q7" s="54">
        <f t="shared" si="7"/>
        <v>3058.6363636363635</v>
      </c>
      <c r="R7" s="60">
        <f t="shared" si="8"/>
        <v>130950</v>
      </c>
      <c r="S7" s="56">
        <f t="shared" si="9"/>
        <v>11904.545454545454</v>
      </c>
      <c r="T7" s="80">
        <f t="shared" si="10"/>
        <v>36</v>
      </c>
      <c r="U7" s="59">
        <f t="shared" si="10"/>
        <v>197670</v>
      </c>
      <c r="V7" s="59">
        <f t="shared" si="11"/>
        <v>55600</v>
      </c>
      <c r="W7" s="62">
        <f t="shared" si="12"/>
        <v>253270</v>
      </c>
      <c r="X7" s="81"/>
      <c r="Y7" s="63"/>
      <c r="Z7" s="64">
        <v>78</v>
      </c>
      <c r="AA7" s="52">
        <v>28600</v>
      </c>
      <c r="AB7" s="53">
        <f t="shared" si="13"/>
        <v>366.66666666666669</v>
      </c>
      <c r="AC7" s="52">
        <v>2450</v>
      </c>
      <c r="AD7" s="54">
        <f t="shared" si="14"/>
        <v>31.410256410256409</v>
      </c>
      <c r="AE7" s="65">
        <f t="shared" si="15"/>
        <v>31050</v>
      </c>
      <c r="AF7" s="56">
        <f t="shared" si="16"/>
        <v>398.07692307692309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/>
      <c r="AQ7" s="52"/>
      <c r="AR7" s="53" t="e">
        <f t="shared" si="20"/>
        <v>#DIV/0!</v>
      </c>
      <c r="AS7" s="52"/>
      <c r="AT7" s="54" t="e">
        <f t="shared" si="21"/>
        <v>#DIV/0!</v>
      </c>
      <c r="AU7" s="54"/>
      <c r="AV7" s="69">
        <f t="shared" si="30"/>
        <v>0</v>
      </c>
      <c r="AW7" s="67" t="str">
        <f t="shared" si="22"/>
        <v/>
      </c>
      <c r="AX7" s="82">
        <f t="shared" si="23"/>
        <v>36</v>
      </c>
      <c r="AY7" s="59">
        <f t="shared" si="24"/>
        <v>226270</v>
      </c>
      <c r="AZ7" s="59">
        <f t="shared" si="25"/>
        <v>58050</v>
      </c>
      <c r="BA7" s="71">
        <f>W7+AE7+AM7+AV7+BM7</f>
        <v>282340</v>
      </c>
      <c r="BB7" s="72">
        <f t="shared" si="31"/>
        <v>0</v>
      </c>
      <c r="BC7" s="73">
        <v>36</v>
      </c>
      <c r="BD7" s="74">
        <v>197670</v>
      </c>
      <c r="BE7" s="74">
        <v>55600</v>
      </c>
      <c r="BF7" s="75"/>
      <c r="BG7" s="75"/>
      <c r="BH7" s="75"/>
      <c r="BI7" s="75"/>
      <c r="BJ7" s="76">
        <f t="shared" si="32"/>
        <v>253270</v>
      </c>
      <c r="BK7" s="47">
        <v>3</v>
      </c>
      <c r="BL7" s="77">
        <f t="shared" si="27"/>
        <v>253270</v>
      </c>
      <c r="BM7" s="47">
        <v>-1980</v>
      </c>
      <c r="BN7" s="47" t="s">
        <v>40</v>
      </c>
    </row>
    <row r="8" spans="1:66" ht="20" customHeight="1">
      <c r="B8" s="78">
        <f t="shared" si="28"/>
        <v>45386</v>
      </c>
      <c r="C8" s="79"/>
      <c r="D8" s="50"/>
      <c r="E8" s="51">
        <v>9</v>
      </c>
      <c r="F8" s="52">
        <v>34540</v>
      </c>
      <c r="G8" s="53">
        <f t="shared" si="0"/>
        <v>3488.8888888888887</v>
      </c>
      <c r="H8" s="52">
        <v>9680</v>
      </c>
      <c r="I8" s="54">
        <f t="shared" si="1"/>
        <v>977.77777777777783</v>
      </c>
      <c r="J8" s="55">
        <f t="shared" si="2"/>
        <v>44220</v>
      </c>
      <c r="K8" s="56">
        <f t="shared" si="3"/>
        <v>4913.333333333333</v>
      </c>
      <c r="L8" s="57"/>
      <c r="M8" s="58">
        <f t="shared" si="4"/>
        <v>6</v>
      </c>
      <c r="N8" s="59">
        <f t="shared" si="4"/>
        <v>48620</v>
      </c>
      <c r="O8" s="53">
        <f t="shared" si="5"/>
        <v>7366.666666666667</v>
      </c>
      <c r="P8" s="59">
        <f t="shared" si="6"/>
        <v>8250</v>
      </c>
      <c r="Q8" s="54">
        <f t="shared" si="7"/>
        <v>1250</v>
      </c>
      <c r="R8" s="60">
        <f t="shared" si="8"/>
        <v>56870</v>
      </c>
      <c r="S8" s="56">
        <f t="shared" si="9"/>
        <v>9478.3333333333339</v>
      </c>
      <c r="T8" s="80">
        <f t="shared" si="10"/>
        <v>15</v>
      </c>
      <c r="U8" s="59">
        <f t="shared" si="10"/>
        <v>83160</v>
      </c>
      <c r="V8" s="59">
        <f t="shared" si="11"/>
        <v>17930</v>
      </c>
      <c r="W8" s="62">
        <f t="shared" si="12"/>
        <v>101090</v>
      </c>
      <c r="X8" s="81"/>
      <c r="Y8" s="63"/>
      <c r="Z8" s="64">
        <v>17</v>
      </c>
      <c r="AA8" s="52">
        <v>7270</v>
      </c>
      <c r="AB8" s="53">
        <f t="shared" si="13"/>
        <v>427.64705882352939</v>
      </c>
      <c r="AC8" s="52">
        <v>2500</v>
      </c>
      <c r="AD8" s="54">
        <f t="shared" si="14"/>
        <v>147.05882352941177</v>
      </c>
      <c r="AE8" s="65">
        <f t="shared" si="15"/>
        <v>9770</v>
      </c>
      <c r="AF8" s="56">
        <f t="shared" si="16"/>
        <v>574.70588235294122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/>
      <c r="AQ8" s="52"/>
      <c r="AR8" s="53" t="e">
        <f t="shared" si="20"/>
        <v>#DIV/0!</v>
      </c>
      <c r="AS8" s="52"/>
      <c r="AT8" s="54" t="e">
        <f t="shared" si="21"/>
        <v>#DIV/0!</v>
      </c>
      <c r="AU8" s="54"/>
      <c r="AV8" s="69">
        <f t="shared" si="30"/>
        <v>0</v>
      </c>
      <c r="AW8" s="67" t="str">
        <f t="shared" si="22"/>
        <v/>
      </c>
      <c r="AX8" s="82">
        <f t="shared" si="23"/>
        <v>15</v>
      </c>
      <c r="AY8" s="59">
        <f t="shared" si="24"/>
        <v>90430</v>
      </c>
      <c r="AZ8" s="59">
        <f t="shared" si="25"/>
        <v>20430</v>
      </c>
      <c r="BA8" s="71">
        <f t="shared" si="26"/>
        <v>110860</v>
      </c>
      <c r="BB8" s="72">
        <f t="shared" si="31"/>
        <v>4400</v>
      </c>
      <c r="BC8" s="73">
        <v>15</v>
      </c>
      <c r="BD8" s="74">
        <v>83160</v>
      </c>
      <c r="BE8" s="74">
        <v>17930</v>
      </c>
      <c r="BF8" s="75">
        <v>4400</v>
      </c>
      <c r="BG8" s="75"/>
      <c r="BH8" s="75"/>
      <c r="BI8" s="75"/>
      <c r="BJ8" s="76">
        <f t="shared" si="32"/>
        <v>105490</v>
      </c>
      <c r="BK8" s="47">
        <v>4</v>
      </c>
      <c r="BL8" s="77">
        <f t="shared" si="27"/>
        <v>105490</v>
      </c>
    </row>
    <row r="9" spans="1:66" ht="20" customHeight="1">
      <c r="B9" s="78">
        <f t="shared" si="28"/>
        <v>45387</v>
      </c>
      <c r="C9" s="79"/>
      <c r="D9" s="50"/>
      <c r="E9" s="51">
        <v>17</v>
      </c>
      <c r="F9" s="52">
        <v>70070</v>
      </c>
      <c r="G9" s="53">
        <f t="shared" si="0"/>
        <v>3747.0588235294117</v>
      </c>
      <c r="H9" s="52">
        <v>11710</v>
      </c>
      <c r="I9" s="54">
        <f t="shared" si="1"/>
        <v>626.17647058823525</v>
      </c>
      <c r="J9" s="55">
        <f t="shared" si="2"/>
        <v>81780</v>
      </c>
      <c r="K9" s="56">
        <f t="shared" si="3"/>
        <v>4810.588235294118</v>
      </c>
      <c r="L9" s="57"/>
      <c r="M9" s="58">
        <f t="shared" si="4"/>
        <v>0</v>
      </c>
      <c r="N9" s="59">
        <f t="shared" si="4"/>
        <v>0</v>
      </c>
      <c r="O9" s="53" t="e">
        <f t="shared" si="5"/>
        <v>#DIV/0!</v>
      </c>
      <c r="P9" s="59">
        <f t="shared" si="6"/>
        <v>0</v>
      </c>
      <c r="Q9" s="54" t="e">
        <f t="shared" si="7"/>
        <v>#DIV/0!</v>
      </c>
      <c r="R9" s="60">
        <f t="shared" si="8"/>
        <v>0</v>
      </c>
      <c r="S9" s="56" t="e">
        <f t="shared" si="9"/>
        <v>#DIV/0!</v>
      </c>
      <c r="T9" s="80">
        <f t="shared" si="10"/>
        <v>17</v>
      </c>
      <c r="U9" s="59">
        <f t="shared" si="10"/>
        <v>70070</v>
      </c>
      <c r="V9" s="59">
        <f t="shared" si="11"/>
        <v>11710</v>
      </c>
      <c r="W9" s="62">
        <f t="shared" si="12"/>
        <v>81780</v>
      </c>
      <c r="X9" s="81"/>
      <c r="Y9" s="63"/>
      <c r="Z9" s="64">
        <v>20</v>
      </c>
      <c r="AA9" s="52">
        <v>8020</v>
      </c>
      <c r="AB9" s="53">
        <f t="shared" si="13"/>
        <v>401</v>
      </c>
      <c r="AC9" s="52">
        <v>4400</v>
      </c>
      <c r="AD9" s="54">
        <f t="shared" si="14"/>
        <v>220</v>
      </c>
      <c r="AE9" s="65">
        <f t="shared" si="15"/>
        <v>12420</v>
      </c>
      <c r="AF9" s="56">
        <f t="shared" si="16"/>
        <v>621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/>
      <c r="AQ9" s="52"/>
      <c r="AR9" s="53" t="e">
        <f t="shared" si="20"/>
        <v>#DIV/0!</v>
      </c>
      <c r="AS9" s="52"/>
      <c r="AT9" s="54" t="e">
        <f t="shared" si="21"/>
        <v>#DIV/0!</v>
      </c>
      <c r="AU9" s="54"/>
      <c r="AV9" s="69">
        <f t="shared" si="30"/>
        <v>0</v>
      </c>
      <c r="AW9" s="67" t="str">
        <f>IF(AP9="","",AV9/AP9)</f>
        <v/>
      </c>
      <c r="AX9" s="82">
        <f t="shared" si="23"/>
        <v>17</v>
      </c>
      <c r="AY9" s="59">
        <f t="shared" si="24"/>
        <v>78090</v>
      </c>
      <c r="AZ9" s="59">
        <f t="shared" si="25"/>
        <v>16110</v>
      </c>
      <c r="BA9" s="71">
        <f>W9+AE9+AM9+AV9</f>
        <v>94200</v>
      </c>
      <c r="BB9" s="72">
        <f t="shared" si="31"/>
        <v>2200</v>
      </c>
      <c r="BC9" s="73">
        <v>17</v>
      </c>
      <c r="BD9" s="74">
        <v>70070</v>
      </c>
      <c r="BE9" s="74">
        <v>11710</v>
      </c>
      <c r="BF9" s="75">
        <v>2200</v>
      </c>
      <c r="BG9" s="75"/>
      <c r="BH9" s="75"/>
      <c r="BI9" s="75">
        <v>9900</v>
      </c>
      <c r="BJ9" s="76">
        <f t="shared" si="32"/>
        <v>83980</v>
      </c>
      <c r="BK9" s="47">
        <v>5</v>
      </c>
      <c r="BL9" s="77">
        <f t="shared" si="27"/>
        <v>93880</v>
      </c>
    </row>
    <row r="10" spans="1:66" ht="20" customHeight="1">
      <c r="B10" s="78">
        <f t="shared" si="28"/>
        <v>45388</v>
      </c>
      <c r="C10" s="79"/>
      <c r="D10" s="50"/>
      <c r="E10" s="51">
        <v>20</v>
      </c>
      <c r="F10" s="52">
        <v>97570</v>
      </c>
      <c r="G10" s="53">
        <f t="shared" si="0"/>
        <v>4435</v>
      </c>
      <c r="H10" s="52">
        <v>15550</v>
      </c>
      <c r="I10" s="54">
        <f t="shared" si="1"/>
        <v>706.8</v>
      </c>
      <c r="J10" s="55">
        <f t="shared" si="2"/>
        <v>113120</v>
      </c>
      <c r="K10" s="56">
        <f t="shared" si="3"/>
        <v>5656</v>
      </c>
      <c r="L10" s="57"/>
      <c r="M10" s="58">
        <f t="shared" si="4"/>
        <v>19</v>
      </c>
      <c r="N10" s="59">
        <f t="shared" si="4"/>
        <v>169840</v>
      </c>
      <c r="O10" s="53">
        <f t="shared" si="5"/>
        <v>8126.3157894736842</v>
      </c>
      <c r="P10" s="59">
        <f t="shared" si="6"/>
        <v>33530</v>
      </c>
      <c r="Q10" s="54">
        <f t="shared" si="7"/>
        <v>1604.2631578947369</v>
      </c>
      <c r="R10" s="60">
        <f t="shared" si="8"/>
        <v>203370</v>
      </c>
      <c r="S10" s="56">
        <f t="shared" si="9"/>
        <v>10703.684210526315</v>
      </c>
      <c r="T10" s="80">
        <f t="shared" si="10"/>
        <v>39</v>
      </c>
      <c r="U10" s="59">
        <f t="shared" si="10"/>
        <v>267410</v>
      </c>
      <c r="V10" s="59">
        <f t="shared" si="11"/>
        <v>49080</v>
      </c>
      <c r="W10" s="62">
        <f t="shared" si="12"/>
        <v>316490</v>
      </c>
      <c r="X10" s="81"/>
      <c r="Y10" s="63"/>
      <c r="Z10" s="64">
        <v>50</v>
      </c>
      <c r="AA10" s="52">
        <v>20140</v>
      </c>
      <c r="AB10" s="53">
        <f t="shared" si="13"/>
        <v>402.8</v>
      </c>
      <c r="AC10" s="52">
        <v>10650</v>
      </c>
      <c r="AD10" s="54">
        <f t="shared" si="14"/>
        <v>213</v>
      </c>
      <c r="AE10" s="65">
        <f t="shared" si="15"/>
        <v>30790</v>
      </c>
      <c r="AF10" s="56">
        <f t="shared" si="16"/>
        <v>615.79999999999995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/>
      <c r="AQ10" s="52"/>
      <c r="AR10" s="53" t="e">
        <f t="shared" si="20"/>
        <v>#DIV/0!</v>
      </c>
      <c r="AS10" s="52"/>
      <c r="AT10" s="54" t="e">
        <f t="shared" si="21"/>
        <v>#DIV/0!</v>
      </c>
      <c r="AU10" s="54"/>
      <c r="AV10" s="69">
        <f t="shared" si="30"/>
        <v>0</v>
      </c>
      <c r="AW10" s="67" t="str">
        <f t="shared" si="22"/>
        <v/>
      </c>
      <c r="AX10" s="82">
        <f t="shared" si="23"/>
        <v>39</v>
      </c>
      <c r="AY10" s="59">
        <f t="shared" si="24"/>
        <v>287550</v>
      </c>
      <c r="AZ10" s="59">
        <f t="shared" si="25"/>
        <v>59730</v>
      </c>
      <c r="BA10" s="71">
        <f t="shared" si="26"/>
        <v>347280</v>
      </c>
      <c r="BB10" s="72">
        <f t="shared" si="31"/>
        <v>2750</v>
      </c>
      <c r="BC10" s="73">
        <v>39</v>
      </c>
      <c r="BD10" s="74">
        <v>267410</v>
      </c>
      <c r="BE10" s="74">
        <v>49080</v>
      </c>
      <c r="BF10" s="75">
        <v>2750</v>
      </c>
      <c r="BG10" s="75"/>
      <c r="BH10" s="75"/>
      <c r="BI10" s="75"/>
      <c r="BJ10" s="76">
        <f t="shared" si="32"/>
        <v>319240</v>
      </c>
      <c r="BK10" s="47">
        <v>6</v>
      </c>
      <c r="BL10" s="77">
        <f t="shared" si="27"/>
        <v>319240</v>
      </c>
    </row>
    <row r="11" spans="1:66" ht="20" customHeight="1">
      <c r="B11" s="78">
        <f t="shared" si="28"/>
        <v>45389</v>
      </c>
      <c r="C11" s="79"/>
      <c r="D11" s="50"/>
      <c r="E11" s="51">
        <v>35</v>
      </c>
      <c r="F11" s="52">
        <v>161370</v>
      </c>
      <c r="G11" s="53">
        <f t="shared" si="0"/>
        <v>4191.4285714285716</v>
      </c>
      <c r="H11" s="52">
        <v>44830</v>
      </c>
      <c r="I11" s="54">
        <f t="shared" si="1"/>
        <v>1164.4000000000001</v>
      </c>
      <c r="J11" s="55">
        <f t="shared" si="2"/>
        <v>206200</v>
      </c>
      <c r="K11" s="56">
        <f t="shared" si="3"/>
        <v>5891.4285714285716</v>
      </c>
      <c r="L11" s="57"/>
      <c r="M11" s="58">
        <f t="shared" si="4"/>
        <v>7</v>
      </c>
      <c r="N11" s="59">
        <f t="shared" si="4"/>
        <v>141210</v>
      </c>
      <c r="O11" s="53">
        <f t="shared" si="5"/>
        <v>18338.857142857141</v>
      </c>
      <c r="P11" s="59">
        <f t="shared" si="6"/>
        <v>18110</v>
      </c>
      <c r="Q11" s="54">
        <f t="shared" si="7"/>
        <v>2351.8571428571427</v>
      </c>
      <c r="R11" s="60">
        <f t="shared" si="8"/>
        <v>159320</v>
      </c>
      <c r="S11" s="56">
        <f t="shared" si="9"/>
        <v>22760</v>
      </c>
      <c r="T11" s="80">
        <f t="shared" si="10"/>
        <v>42</v>
      </c>
      <c r="U11" s="59">
        <f t="shared" si="10"/>
        <v>302580</v>
      </c>
      <c r="V11" s="59">
        <f t="shared" si="11"/>
        <v>62940</v>
      </c>
      <c r="W11" s="62">
        <f t="shared" si="12"/>
        <v>365520</v>
      </c>
      <c r="X11" s="81"/>
      <c r="Y11" s="63"/>
      <c r="Z11" s="64">
        <v>28</v>
      </c>
      <c r="AA11" s="52">
        <v>12020</v>
      </c>
      <c r="AB11" s="53">
        <f t="shared" si="13"/>
        <v>429.28571428571428</v>
      </c>
      <c r="AC11" s="52">
        <v>900</v>
      </c>
      <c r="AD11" s="54">
        <f t="shared" si="14"/>
        <v>32.142857142857146</v>
      </c>
      <c r="AE11" s="65">
        <f t="shared" si="15"/>
        <v>12920</v>
      </c>
      <c r="AF11" s="56">
        <f t="shared" si="16"/>
        <v>461.42857142857144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/>
      <c r="AQ11" s="52"/>
      <c r="AR11" s="53" t="e">
        <f t="shared" si="20"/>
        <v>#DIV/0!</v>
      </c>
      <c r="AS11" s="52"/>
      <c r="AT11" s="54" t="e">
        <f t="shared" si="21"/>
        <v>#DIV/0!</v>
      </c>
      <c r="AU11" s="54"/>
      <c r="AV11" s="69">
        <f t="shared" si="30"/>
        <v>0</v>
      </c>
      <c r="AW11" s="67" t="str">
        <f t="shared" si="22"/>
        <v/>
      </c>
      <c r="AX11" s="82">
        <f t="shared" si="23"/>
        <v>42</v>
      </c>
      <c r="AY11" s="59">
        <f t="shared" si="24"/>
        <v>314600</v>
      </c>
      <c r="AZ11" s="59">
        <f t="shared" si="25"/>
        <v>63840</v>
      </c>
      <c r="BA11" s="71">
        <f t="shared" si="26"/>
        <v>378440</v>
      </c>
      <c r="BB11" s="72">
        <f t="shared" si="31"/>
        <v>2750</v>
      </c>
      <c r="BC11" s="73">
        <v>42</v>
      </c>
      <c r="BD11" s="74">
        <v>302580</v>
      </c>
      <c r="BE11" s="74">
        <v>62940</v>
      </c>
      <c r="BF11" s="75">
        <v>2750</v>
      </c>
      <c r="BG11" s="75"/>
      <c r="BH11" s="75"/>
      <c r="BI11" s="75"/>
      <c r="BJ11" s="76">
        <f t="shared" si="32"/>
        <v>368270</v>
      </c>
      <c r="BK11" s="47">
        <v>7</v>
      </c>
      <c r="BL11" s="77">
        <f t="shared" si="27"/>
        <v>368270</v>
      </c>
    </row>
    <row r="12" spans="1:66" ht="20" customHeight="1">
      <c r="B12" s="78">
        <f t="shared" si="28"/>
        <v>45390</v>
      </c>
      <c r="C12" s="83"/>
      <c r="D12" s="50"/>
      <c r="E12" s="51">
        <v>17</v>
      </c>
      <c r="F12" s="52">
        <v>64570</v>
      </c>
      <c r="G12" s="53">
        <f t="shared" si="0"/>
        <v>3452.9411764705883</v>
      </c>
      <c r="H12" s="52">
        <v>11750</v>
      </c>
      <c r="I12" s="54">
        <f t="shared" si="1"/>
        <v>628.29411764705878</v>
      </c>
      <c r="J12" s="55">
        <f t="shared" si="2"/>
        <v>76320</v>
      </c>
      <c r="K12" s="56">
        <f t="shared" si="3"/>
        <v>4489.411764705882</v>
      </c>
      <c r="L12" s="57"/>
      <c r="M12" s="58">
        <f t="shared" si="4"/>
        <v>0</v>
      </c>
      <c r="N12" s="59">
        <f t="shared" si="4"/>
        <v>0</v>
      </c>
      <c r="O12" s="53" t="e">
        <f t="shared" si="5"/>
        <v>#DIV/0!</v>
      </c>
      <c r="P12" s="59">
        <f t="shared" si="6"/>
        <v>0</v>
      </c>
      <c r="Q12" s="84" t="e">
        <f t="shared" si="7"/>
        <v>#DIV/0!</v>
      </c>
      <c r="R12" s="60">
        <f t="shared" si="8"/>
        <v>0</v>
      </c>
      <c r="S12" s="56" t="e">
        <f t="shared" si="9"/>
        <v>#DIV/0!</v>
      </c>
      <c r="T12" s="80">
        <f t="shared" si="10"/>
        <v>17</v>
      </c>
      <c r="U12" s="59">
        <f t="shared" si="10"/>
        <v>64570</v>
      </c>
      <c r="V12" s="59">
        <f t="shared" si="11"/>
        <v>11750</v>
      </c>
      <c r="W12" s="62">
        <f t="shared" si="12"/>
        <v>76320</v>
      </c>
      <c r="X12" s="81"/>
      <c r="Y12" s="63"/>
      <c r="Z12" s="64">
        <v>21</v>
      </c>
      <c r="AA12" s="52">
        <v>9040</v>
      </c>
      <c r="AB12" s="53">
        <f t="shared" si="13"/>
        <v>430.47619047619048</v>
      </c>
      <c r="AC12" s="52">
        <v>2600</v>
      </c>
      <c r="AD12" s="54">
        <f t="shared" si="14"/>
        <v>123.80952380952381</v>
      </c>
      <c r="AE12" s="65">
        <f t="shared" si="15"/>
        <v>11640</v>
      </c>
      <c r="AF12" s="56">
        <f t="shared" si="16"/>
        <v>554.28571428571433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/>
      <c r="AQ12" s="52"/>
      <c r="AR12" s="53" t="e">
        <f t="shared" si="20"/>
        <v>#DIV/0!</v>
      </c>
      <c r="AS12" s="52"/>
      <c r="AT12" s="54" t="e">
        <f t="shared" si="21"/>
        <v>#DIV/0!</v>
      </c>
      <c r="AU12" s="54"/>
      <c r="AV12" s="69">
        <f t="shared" si="30"/>
        <v>0</v>
      </c>
      <c r="AW12" s="67" t="str">
        <f t="shared" si="22"/>
        <v/>
      </c>
      <c r="AX12" s="82">
        <f t="shared" si="23"/>
        <v>17</v>
      </c>
      <c r="AY12" s="59">
        <f t="shared" si="24"/>
        <v>73610</v>
      </c>
      <c r="AZ12" s="59">
        <f t="shared" si="25"/>
        <v>14350</v>
      </c>
      <c r="BA12" s="71">
        <f t="shared" si="26"/>
        <v>87960</v>
      </c>
      <c r="BB12" s="72">
        <f t="shared" si="31"/>
        <v>1100</v>
      </c>
      <c r="BC12" s="73">
        <v>17</v>
      </c>
      <c r="BD12" s="74">
        <v>64570</v>
      </c>
      <c r="BE12" s="74">
        <v>11750</v>
      </c>
      <c r="BF12" s="75">
        <v>1100</v>
      </c>
      <c r="BG12" s="75"/>
      <c r="BH12" s="75"/>
      <c r="BI12" s="75"/>
      <c r="BJ12" s="76">
        <f t="shared" si="32"/>
        <v>77420</v>
      </c>
      <c r="BK12" s="47">
        <v>8</v>
      </c>
      <c r="BL12" s="77">
        <f t="shared" si="27"/>
        <v>77420</v>
      </c>
    </row>
    <row r="13" spans="1:66" ht="20" customHeight="1">
      <c r="B13" s="78">
        <f t="shared" si="28"/>
        <v>45391</v>
      </c>
      <c r="C13" s="79"/>
      <c r="D13" s="50"/>
      <c r="E13" s="51">
        <v>23</v>
      </c>
      <c r="F13" s="52">
        <v>76750</v>
      </c>
      <c r="G13" s="53">
        <f t="shared" si="0"/>
        <v>3033.5652173913045</v>
      </c>
      <c r="H13" s="52">
        <v>2970</v>
      </c>
      <c r="I13" s="54">
        <f t="shared" si="1"/>
        <v>117.39130434782609</v>
      </c>
      <c r="J13" s="55">
        <f t="shared" si="2"/>
        <v>79720</v>
      </c>
      <c r="K13" s="56">
        <f t="shared" si="3"/>
        <v>3466.086956521739</v>
      </c>
      <c r="L13" s="57"/>
      <c r="M13" s="58">
        <f t="shared" si="4"/>
        <v>13</v>
      </c>
      <c r="N13" s="59">
        <f t="shared" si="4"/>
        <v>127520</v>
      </c>
      <c r="O13" s="53">
        <f t="shared" si="5"/>
        <v>8917.461538461539</v>
      </c>
      <c r="P13" s="59">
        <f t="shared" si="6"/>
        <v>44320</v>
      </c>
      <c r="Q13" s="54">
        <f t="shared" si="7"/>
        <v>3099.2307692307691</v>
      </c>
      <c r="R13" s="60">
        <f t="shared" si="8"/>
        <v>171840</v>
      </c>
      <c r="S13" s="56">
        <f t="shared" si="9"/>
        <v>13218.461538461539</v>
      </c>
      <c r="T13" s="80">
        <f t="shared" si="10"/>
        <v>36</v>
      </c>
      <c r="U13" s="59">
        <f t="shared" si="10"/>
        <v>204270</v>
      </c>
      <c r="V13" s="59">
        <f t="shared" si="11"/>
        <v>47290</v>
      </c>
      <c r="W13" s="62">
        <f t="shared" si="12"/>
        <v>251560</v>
      </c>
      <c r="X13" s="81"/>
      <c r="Y13" s="63"/>
      <c r="Z13" s="64">
        <v>11</v>
      </c>
      <c r="AA13" s="52">
        <v>4570</v>
      </c>
      <c r="AB13" s="53">
        <f t="shared" si="13"/>
        <v>415.45454545454544</v>
      </c>
      <c r="AC13" s="52">
        <v>1150</v>
      </c>
      <c r="AD13" s="54">
        <f t="shared" si="14"/>
        <v>104.54545454545455</v>
      </c>
      <c r="AE13" s="65">
        <f t="shared" si="15"/>
        <v>5720</v>
      </c>
      <c r="AF13" s="56">
        <f t="shared" si="16"/>
        <v>520</v>
      </c>
      <c r="AG13" s="66"/>
      <c r="AH13" s="64">
        <v>20</v>
      </c>
      <c r="AI13" s="52">
        <v>78300</v>
      </c>
      <c r="AJ13" s="53">
        <f t="shared" si="17"/>
        <v>3915</v>
      </c>
      <c r="AK13" s="52">
        <v>26100</v>
      </c>
      <c r="AL13" s="54">
        <f t="shared" si="18"/>
        <v>1305</v>
      </c>
      <c r="AM13" s="65">
        <f t="shared" si="29"/>
        <v>104400</v>
      </c>
      <c r="AN13" s="67">
        <f t="shared" si="19"/>
        <v>5220</v>
      </c>
      <c r="AO13" s="68"/>
      <c r="AP13" s="64"/>
      <c r="AQ13" s="52"/>
      <c r="AR13" s="53" t="e">
        <f t="shared" si="20"/>
        <v>#DIV/0!</v>
      </c>
      <c r="AS13" s="52"/>
      <c r="AT13" s="54" t="e">
        <f t="shared" si="21"/>
        <v>#DIV/0!</v>
      </c>
      <c r="AU13" s="54"/>
      <c r="AV13" s="69">
        <f>AQ13+AS13+AU13</f>
        <v>0</v>
      </c>
      <c r="AW13" s="67" t="str">
        <f t="shared" si="22"/>
        <v/>
      </c>
      <c r="AX13" s="82">
        <f t="shared" si="23"/>
        <v>36</v>
      </c>
      <c r="AY13" s="59">
        <f t="shared" si="24"/>
        <v>287140</v>
      </c>
      <c r="AZ13" s="59">
        <f t="shared" si="25"/>
        <v>74540</v>
      </c>
      <c r="BA13" s="71">
        <f t="shared" si="26"/>
        <v>361680</v>
      </c>
      <c r="BB13" s="72">
        <f t="shared" si="31"/>
        <v>0</v>
      </c>
      <c r="BC13" s="73">
        <v>36</v>
      </c>
      <c r="BD13" s="74">
        <v>204270</v>
      </c>
      <c r="BE13" s="74">
        <v>47290</v>
      </c>
      <c r="BF13" s="75"/>
      <c r="BG13" s="75"/>
      <c r="BH13" s="75"/>
      <c r="BI13" s="75"/>
      <c r="BJ13" s="76">
        <f t="shared" si="32"/>
        <v>251560</v>
      </c>
      <c r="BK13" s="47">
        <v>9</v>
      </c>
      <c r="BL13" s="77">
        <f t="shared" si="27"/>
        <v>251560</v>
      </c>
      <c r="BM13" s="47" t="s">
        <v>41</v>
      </c>
    </row>
    <row r="14" spans="1:66" ht="20" customHeight="1">
      <c r="B14" s="78">
        <f t="shared" si="28"/>
        <v>45392</v>
      </c>
      <c r="C14" s="79"/>
      <c r="D14" s="50"/>
      <c r="E14" s="51"/>
      <c r="F14" s="52"/>
      <c r="G14" s="53" t="e">
        <f t="shared" si="0"/>
        <v>#DIV/0!</v>
      </c>
      <c r="H14" s="52"/>
      <c r="I14" s="54" t="e">
        <f t="shared" si="1"/>
        <v>#DIV/0!</v>
      </c>
      <c r="J14" s="55">
        <f t="shared" si="2"/>
        <v>0</v>
      </c>
      <c r="K14" s="56" t="str">
        <f t="shared" si="3"/>
        <v/>
      </c>
      <c r="L14" s="57"/>
      <c r="M14" s="58">
        <f t="shared" si="4"/>
        <v>0</v>
      </c>
      <c r="N14" s="59">
        <f t="shared" si="4"/>
        <v>0</v>
      </c>
      <c r="O14" s="53" t="e">
        <f t="shared" si="5"/>
        <v>#DIV/0!</v>
      </c>
      <c r="P14" s="59">
        <f t="shared" si="6"/>
        <v>0</v>
      </c>
      <c r="Q14" s="54" t="e">
        <f t="shared" si="7"/>
        <v>#DIV/0!</v>
      </c>
      <c r="R14" s="60">
        <f t="shared" si="8"/>
        <v>0</v>
      </c>
      <c r="S14" s="56" t="e">
        <f t="shared" si="9"/>
        <v>#DIV/0!</v>
      </c>
      <c r="T14" s="80">
        <f t="shared" si="10"/>
        <v>0</v>
      </c>
      <c r="U14" s="59">
        <f t="shared" si="10"/>
        <v>0</v>
      </c>
      <c r="V14" s="59">
        <f t="shared" si="11"/>
        <v>0</v>
      </c>
      <c r="W14" s="62">
        <f t="shared" si="12"/>
        <v>0</v>
      </c>
      <c r="X14" s="81"/>
      <c r="Y14" s="63"/>
      <c r="Z14" s="64"/>
      <c r="AA14" s="52"/>
      <c r="AB14" s="53" t="e">
        <f t="shared" si="13"/>
        <v>#DIV/0!</v>
      </c>
      <c r="AC14" s="52"/>
      <c r="AD14" s="54" t="e">
        <f t="shared" si="14"/>
        <v>#DIV/0!</v>
      </c>
      <c r="AE14" s="65">
        <f t="shared" si="15"/>
        <v>0</v>
      </c>
      <c r="AF14" s="56" t="str">
        <f t="shared" si="16"/>
        <v/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/>
      <c r="AQ14" s="52"/>
      <c r="AR14" s="53" t="e">
        <f t="shared" si="20"/>
        <v>#DIV/0!</v>
      </c>
      <c r="AS14" s="52"/>
      <c r="AT14" s="54" t="e">
        <f t="shared" si="21"/>
        <v>#DIV/0!</v>
      </c>
      <c r="AU14" s="54"/>
      <c r="AV14" s="69">
        <f t="shared" si="30"/>
        <v>0</v>
      </c>
      <c r="AW14" s="67" t="str">
        <f t="shared" si="22"/>
        <v/>
      </c>
      <c r="AX14" s="82">
        <f t="shared" si="23"/>
        <v>0</v>
      </c>
      <c r="AY14" s="59">
        <f t="shared" si="24"/>
        <v>0</v>
      </c>
      <c r="AZ14" s="59">
        <f t="shared" si="25"/>
        <v>0</v>
      </c>
      <c r="BA14" s="71">
        <f t="shared" si="26"/>
        <v>0</v>
      </c>
      <c r="BB14" s="72">
        <f t="shared" si="31"/>
        <v>0</v>
      </c>
      <c r="BC14" s="73"/>
      <c r="BD14" s="74"/>
      <c r="BE14" s="74"/>
      <c r="BF14" s="75"/>
      <c r="BG14" s="75"/>
      <c r="BH14" s="75"/>
      <c r="BI14" s="75"/>
      <c r="BJ14" s="76">
        <f t="shared" si="32"/>
        <v>0</v>
      </c>
      <c r="BK14" s="47">
        <v>10</v>
      </c>
      <c r="BL14" s="77">
        <f t="shared" si="27"/>
        <v>0</v>
      </c>
    </row>
    <row r="15" spans="1:66" ht="20" customHeight="1">
      <c r="B15" s="78">
        <f t="shared" si="28"/>
        <v>45393</v>
      </c>
      <c r="C15" s="83"/>
      <c r="D15" s="50"/>
      <c r="E15" s="51">
        <v>23</v>
      </c>
      <c r="F15" s="52">
        <v>94380</v>
      </c>
      <c r="G15" s="53">
        <f t="shared" si="0"/>
        <v>3730.4347826086955</v>
      </c>
      <c r="H15" s="52">
        <v>15550</v>
      </c>
      <c r="I15" s="54">
        <f t="shared" si="1"/>
        <v>614.60869565217388</v>
      </c>
      <c r="J15" s="55">
        <f t="shared" si="2"/>
        <v>109930</v>
      </c>
      <c r="K15" s="56">
        <f t="shared" si="3"/>
        <v>4779.565217391304</v>
      </c>
      <c r="L15" s="57"/>
      <c r="M15" s="58">
        <f t="shared" si="4"/>
        <v>13</v>
      </c>
      <c r="N15" s="59">
        <f t="shared" si="4"/>
        <v>157410</v>
      </c>
      <c r="O15" s="53">
        <f t="shared" si="5"/>
        <v>11007.692307692309</v>
      </c>
      <c r="P15" s="59">
        <f t="shared" si="6"/>
        <v>41450</v>
      </c>
      <c r="Q15" s="54">
        <f t="shared" si="7"/>
        <v>2898.5384615384614</v>
      </c>
      <c r="R15" s="60">
        <f t="shared" si="8"/>
        <v>198860</v>
      </c>
      <c r="S15" s="56">
        <f t="shared" si="9"/>
        <v>15296.923076923076</v>
      </c>
      <c r="T15" s="80">
        <f t="shared" si="10"/>
        <v>36</v>
      </c>
      <c r="U15" s="59">
        <f t="shared" si="10"/>
        <v>251790</v>
      </c>
      <c r="V15" s="59">
        <f t="shared" si="11"/>
        <v>57000</v>
      </c>
      <c r="W15" s="62">
        <f t="shared" si="12"/>
        <v>308790</v>
      </c>
      <c r="X15" s="81"/>
      <c r="Y15" s="63"/>
      <c r="Z15" s="64">
        <v>5</v>
      </c>
      <c r="AA15" s="52">
        <v>2450</v>
      </c>
      <c r="AB15" s="53">
        <f t="shared" si="13"/>
        <v>490</v>
      </c>
      <c r="AC15" s="52">
        <v>1700</v>
      </c>
      <c r="AD15" s="54">
        <f t="shared" si="14"/>
        <v>340</v>
      </c>
      <c r="AE15" s="65">
        <f t="shared" si="15"/>
        <v>4150</v>
      </c>
      <c r="AF15" s="56">
        <f t="shared" si="16"/>
        <v>830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/>
      <c r="AQ15" s="52"/>
      <c r="AR15" s="53" t="e">
        <f t="shared" si="20"/>
        <v>#DIV/0!</v>
      </c>
      <c r="AS15" s="52"/>
      <c r="AT15" s="54" t="e">
        <f t="shared" si="21"/>
        <v>#DIV/0!</v>
      </c>
      <c r="AU15" s="54"/>
      <c r="AV15" s="69">
        <f t="shared" si="30"/>
        <v>0</v>
      </c>
      <c r="AW15" s="67" t="str">
        <f t="shared" si="22"/>
        <v/>
      </c>
      <c r="AX15" s="82">
        <f t="shared" si="23"/>
        <v>36</v>
      </c>
      <c r="AY15" s="59">
        <f t="shared" si="24"/>
        <v>254240</v>
      </c>
      <c r="AZ15" s="59">
        <f t="shared" si="25"/>
        <v>58700</v>
      </c>
      <c r="BA15" s="71">
        <f>W15+AE15+AM15+AV15-BM15</f>
        <v>309178</v>
      </c>
      <c r="BB15" s="72">
        <f t="shared" si="31"/>
        <v>7700</v>
      </c>
      <c r="BC15" s="73">
        <v>36</v>
      </c>
      <c r="BD15" s="74">
        <v>251790</v>
      </c>
      <c r="BE15" s="74">
        <v>57000</v>
      </c>
      <c r="BF15" s="75">
        <v>7700</v>
      </c>
      <c r="BG15" s="75"/>
      <c r="BH15" s="75"/>
      <c r="BI15" s="75"/>
      <c r="BJ15" s="76">
        <f t="shared" si="32"/>
        <v>316490</v>
      </c>
      <c r="BK15" s="47">
        <v>11</v>
      </c>
      <c r="BL15" s="77">
        <f t="shared" si="27"/>
        <v>316490</v>
      </c>
      <c r="BM15" s="47">
        <v>3762</v>
      </c>
      <c r="BN15" s="47" t="s">
        <v>42</v>
      </c>
    </row>
    <row r="16" spans="1:66" ht="20" customHeight="1">
      <c r="B16" s="78">
        <f t="shared" si="28"/>
        <v>45394</v>
      </c>
      <c r="C16" s="79"/>
      <c r="D16" s="50"/>
      <c r="E16" s="51">
        <v>32</v>
      </c>
      <c r="F16" s="52">
        <v>127270</v>
      </c>
      <c r="G16" s="53">
        <f t="shared" si="0"/>
        <v>3615.625</v>
      </c>
      <c r="H16" s="52">
        <v>17250</v>
      </c>
      <c r="I16" s="54">
        <f t="shared" si="1"/>
        <v>490.03125</v>
      </c>
      <c r="J16" s="55">
        <f t="shared" si="2"/>
        <v>144520</v>
      </c>
      <c r="K16" s="56">
        <f t="shared" si="3"/>
        <v>4516.25</v>
      </c>
      <c r="L16" s="57"/>
      <c r="M16" s="58">
        <f t="shared" si="4"/>
        <v>13</v>
      </c>
      <c r="N16" s="59">
        <f t="shared" si="4"/>
        <v>88500</v>
      </c>
      <c r="O16" s="53">
        <f t="shared" si="5"/>
        <v>6188.7692307692305</v>
      </c>
      <c r="P16" s="59">
        <f t="shared" si="6"/>
        <v>54670</v>
      </c>
      <c r="Q16" s="54">
        <f t="shared" si="7"/>
        <v>3823.0769230769229</v>
      </c>
      <c r="R16" s="60">
        <f t="shared" si="8"/>
        <v>143170</v>
      </c>
      <c r="S16" s="56">
        <f t="shared" si="9"/>
        <v>11013.076923076924</v>
      </c>
      <c r="T16" s="80">
        <f t="shared" si="10"/>
        <v>45</v>
      </c>
      <c r="U16" s="59">
        <f t="shared" si="10"/>
        <v>215770</v>
      </c>
      <c r="V16" s="59">
        <f t="shared" si="11"/>
        <v>71920</v>
      </c>
      <c r="W16" s="62">
        <f t="shared" si="12"/>
        <v>287690</v>
      </c>
      <c r="X16" s="81"/>
      <c r="Y16" s="63"/>
      <c r="Z16" s="64">
        <v>21</v>
      </c>
      <c r="AA16" s="52">
        <v>9500</v>
      </c>
      <c r="AB16" s="53">
        <f t="shared" si="13"/>
        <v>452.38095238095241</v>
      </c>
      <c r="AC16" s="52">
        <v>3800</v>
      </c>
      <c r="AD16" s="54">
        <f t="shared" si="14"/>
        <v>180.95238095238096</v>
      </c>
      <c r="AE16" s="65">
        <f t="shared" si="15"/>
        <v>13300</v>
      </c>
      <c r="AF16" s="56">
        <f t="shared" si="16"/>
        <v>633.33333333333337</v>
      </c>
      <c r="AG16" s="66"/>
      <c r="AH16" s="64">
        <v>10</v>
      </c>
      <c r="AI16" s="52">
        <v>39150</v>
      </c>
      <c r="AJ16" s="53">
        <f t="shared" si="17"/>
        <v>3915</v>
      </c>
      <c r="AK16" s="52">
        <v>13050</v>
      </c>
      <c r="AL16" s="54">
        <f t="shared" si="18"/>
        <v>1305</v>
      </c>
      <c r="AM16" s="65">
        <f t="shared" si="29"/>
        <v>52200</v>
      </c>
      <c r="AN16" s="67">
        <f t="shared" si="19"/>
        <v>5220</v>
      </c>
      <c r="AO16" s="68"/>
      <c r="AP16" s="64"/>
      <c r="AQ16" s="52"/>
      <c r="AR16" s="53" t="e">
        <f t="shared" si="20"/>
        <v>#DIV/0!</v>
      </c>
      <c r="AS16" s="52"/>
      <c r="AT16" s="54" t="e">
        <f t="shared" si="21"/>
        <v>#DIV/0!</v>
      </c>
      <c r="AU16" s="54"/>
      <c r="AV16" s="69">
        <f t="shared" si="30"/>
        <v>0</v>
      </c>
      <c r="AW16" s="67" t="str">
        <f t="shared" si="22"/>
        <v/>
      </c>
      <c r="AX16" s="82">
        <f t="shared" si="23"/>
        <v>45</v>
      </c>
      <c r="AY16" s="59">
        <f t="shared" si="24"/>
        <v>264420</v>
      </c>
      <c r="AZ16" s="59">
        <f t="shared" si="25"/>
        <v>88770</v>
      </c>
      <c r="BA16" s="71">
        <f t="shared" si="26"/>
        <v>353190</v>
      </c>
      <c r="BB16" s="72">
        <f t="shared" si="31"/>
        <v>1100</v>
      </c>
      <c r="BC16" s="73">
        <v>45</v>
      </c>
      <c r="BD16" s="74">
        <v>215770</v>
      </c>
      <c r="BE16" s="74">
        <v>71920</v>
      </c>
      <c r="BF16" s="75">
        <v>1100</v>
      </c>
      <c r="BG16" s="75"/>
      <c r="BH16" s="75"/>
      <c r="BI16" s="75"/>
      <c r="BJ16" s="76">
        <f t="shared" si="32"/>
        <v>288790</v>
      </c>
      <c r="BK16" s="47">
        <v>12</v>
      </c>
      <c r="BL16" s="77">
        <f t="shared" si="27"/>
        <v>288790</v>
      </c>
    </row>
    <row r="17" spans="2:66" ht="20" customHeight="1">
      <c r="B17" s="78">
        <f t="shared" si="28"/>
        <v>45395</v>
      </c>
      <c r="C17" s="83"/>
      <c r="D17" s="50"/>
      <c r="E17" s="51">
        <v>35</v>
      </c>
      <c r="F17" s="52">
        <v>150590</v>
      </c>
      <c r="G17" s="53">
        <f t="shared" si="0"/>
        <v>3911.4285714285716</v>
      </c>
      <c r="H17" s="52">
        <v>72800</v>
      </c>
      <c r="I17" s="54">
        <f t="shared" si="1"/>
        <v>1890.8857142857144</v>
      </c>
      <c r="J17" s="55">
        <f t="shared" si="2"/>
        <v>223390</v>
      </c>
      <c r="K17" s="56">
        <f t="shared" si="3"/>
        <v>6382.5714285714284</v>
      </c>
      <c r="L17" s="57"/>
      <c r="M17" s="58">
        <f t="shared" si="4"/>
        <v>29</v>
      </c>
      <c r="N17" s="59">
        <f t="shared" si="4"/>
        <v>266300</v>
      </c>
      <c r="O17" s="53">
        <f t="shared" si="5"/>
        <v>8347.9310344827591</v>
      </c>
      <c r="P17" s="59">
        <f t="shared" si="6"/>
        <v>56020</v>
      </c>
      <c r="Q17" s="54">
        <f t="shared" si="7"/>
        <v>1756.1034482758621</v>
      </c>
      <c r="R17" s="60">
        <f t="shared" si="8"/>
        <v>322320</v>
      </c>
      <c r="S17" s="56">
        <f t="shared" si="9"/>
        <v>11114.48275862069</v>
      </c>
      <c r="T17" s="80">
        <f>E17+M17</f>
        <v>64</v>
      </c>
      <c r="U17" s="59">
        <f t="shared" si="10"/>
        <v>416890</v>
      </c>
      <c r="V17" s="59">
        <f t="shared" si="11"/>
        <v>128820</v>
      </c>
      <c r="W17" s="62">
        <f t="shared" si="12"/>
        <v>545710</v>
      </c>
      <c r="X17" s="81"/>
      <c r="Y17" s="63"/>
      <c r="Z17" s="64">
        <v>29</v>
      </c>
      <c r="AA17" s="52">
        <v>13660</v>
      </c>
      <c r="AB17" s="53">
        <f t="shared" si="13"/>
        <v>471.0344827586207</v>
      </c>
      <c r="AC17" s="52">
        <v>5850</v>
      </c>
      <c r="AD17" s="54">
        <f t="shared" si="14"/>
        <v>201.72413793103448</v>
      </c>
      <c r="AE17" s="65">
        <f t="shared" si="15"/>
        <v>19510</v>
      </c>
      <c r="AF17" s="56">
        <f t="shared" si="16"/>
        <v>672.75862068965512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9"/>
        <v>0</v>
      </c>
      <c r="AN17" s="67" t="str">
        <f t="shared" si="19"/>
        <v/>
      </c>
      <c r="AO17" s="68"/>
      <c r="AP17" s="64"/>
      <c r="AQ17" s="52"/>
      <c r="AR17" s="53" t="e">
        <f t="shared" si="20"/>
        <v>#DIV/0!</v>
      </c>
      <c r="AS17" s="52"/>
      <c r="AT17" s="54" t="e">
        <f t="shared" si="21"/>
        <v>#DIV/0!</v>
      </c>
      <c r="AU17" s="54"/>
      <c r="AV17" s="69">
        <f t="shared" si="30"/>
        <v>0</v>
      </c>
      <c r="AW17" s="67" t="str">
        <f t="shared" si="22"/>
        <v/>
      </c>
      <c r="AX17" s="82">
        <f t="shared" si="23"/>
        <v>64</v>
      </c>
      <c r="AY17" s="59">
        <f t="shared" si="24"/>
        <v>430550</v>
      </c>
      <c r="AZ17" s="59">
        <f t="shared" si="25"/>
        <v>134670</v>
      </c>
      <c r="BA17" s="71">
        <f t="shared" si="26"/>
        <v>565220</v>
      </c>
      <c r="BB17" s="72">
        <f t="shared" si="31"/>
        <v>7150</v>
      </c>
      <c r="BC17" s="73">
        <v>64</v>
      </c>
      <c r="BD17" s="74">
        <v>416890</v>
      </c>
      <c r="BE17" s="74">
        <v>128820</v>
      </c>
      <c r="BF17" s="75">
        <v>7150</v>
      </c>
      <c r="BG17" s="75"/>
      <c r="BH17" s="75"/>
      <c r="BI17" s="75"/>
      <c r="BJ17" s="76">
        <f t="shared" si="32"/>
        <v>552860</v>
      </c>
      <c r="BK17" s="47">
        <v>13</v>
      </c>
      <c r="BL17" s="77">
        <f t="shared" si="27"/>
        <v>552860</v>
      </c>
    </row>
    <row r="18" spans="2:66" ht="20" customHeight="1">
      <c r="B18" s="78">
        <f t="shared" si="28"/>
        <v>45396</v>
      </c>
      <c r="C18" s="79"/>
      <c r="D18" s="50"/>
      <c r="E18" s="51">
        <v>20</v>
      </c>
      <c r="F18" s="52">
        <v>87560</v>
      </c>
      <c r="G18" s="53">
        <f t="shared" si="0"/>
        <v>3980</v>
      </c>
      <c r="H18" s="52">
        <v>14060</v>
      </c>
      <c r="I18" s="54">
        <f t="shared" si="1"/>
        <v>639.04999999999995</v>
      </c>
      <c r="J18" s="55">
        <f t="shared" si="2"/>
        <v>101620</v>
      </c>
      <c r="K18" s="56">
        <f t="shared" si="3"/>
        <v>5081</v>
      </c>
      <c r="L18" s="57"/>
      <c r="M18" s="58">
        <f t="shared" si="4"/>
        <v>10</v>
      </c>
      <c r="N18" s="59">
        <f t="shared" si="4"/>
        <v>118470</v>
      </c>
      <c r="O18" s="53">
        <f t="shared" si="5"/>
        <v>10770</v>
      </c>
      <c r="P18" s="59">
        <f t="shared" si="6"/>
        <v>27090</v>
      </c>
      <c r="Q18" s="54">
        <f t="shared" si="7"/>
        <v>2462.6999999999998</v>
      </c>
      <c r="R18" s="60">
        <f t="shared" si="8"/>
        <v>145560</v>
      </c>
      <c r="S18" s="56">
        <f t="shared" si="9"/>
        <v>14556</v>
      </c>
      <c r="T18" s="80">
        <f t="shared" si="10"/>
        <v>30</v>
      </c>
      <c r="U18" s="59">
        <f t="shared" si="10"/>
        <v>206030</v>
      </c>
      <c r="V18" s="59">
        <f t="shared" si="11"/>
        <v>41150</v>
      </c>
      <c r="W18" s="62">
        <f t="shared" si="12"/>
        <v>247180</v>
      </c>
      <c r="X18" s="81"/>
      <c r="Y18" s="63"/>
      <c r="Z18" s="64">
        <v>27</v>
      </c>
      <c r="AA18" s="52">
        <v>11670</v>
      </c>
      <c r="AB18" s="53">
        <f t="shared" si="13"/>
        <v>432.22222222222223</v>
      </c>
      <c r="AC18" s="52">
        <v>3750</v>
      </c>
      <c r="AD18" s="54">
        <f t="shared" si="14"/>
        <v>138.88888888888889</v>
      </c>
      <c r="AE18" s="65">
        <f t="shared" si="15"/>
        <v>15420</v>
      </c>
      <c r="AF18" s="56">
        <f t="shared" si="16"/>
        <v>571.11111111111109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/>
      <c r="AQ18" s="52"/>
      <c r="AR18" s="53" t="e">
        <f t="shared" si="20"/>
        <v>#DIV/0!</v>
      </c>
      <c r="AS18" s="52"/>
      <c r="AT18" s="54" t="e">
        <f t="shared" si="21"/>
        <v>#DIV/0!</v>
      </c>
      <c r="AU18" s="54"/>
      <c r="AV18" s="69">
        <f t="shared" si="30"/>
        <v>0</v>
      </c>
      <c r="AW18" s="67" t="str">
        <f t="shared" si="22"/>
        <v/>
      </c>
      <c r="AX18" s="82">
        <f t="shared" si="23"/>
        <v>30</v>
      </c>
      <c r="AY18" s="59">
        <f t="shared" si="24"/>
        <v>217700</v>
      </c>
      <c r="AZ18" s="59">
        <f t="shared" si="25"/>
        <v>44900</v>
      </c>
      <c r="BA18" s="71">
        <f t="shared" si="26"/>
        <v>262600</v>
      </c>
      <c r="BB18" s="72">
        <f t="shared" si="31"/>
        <v>2200</v>
      </c>
      <c r="BC18" s="73">
        <v>30</v>
      </c>
      <c r="BD18" s="74">
        <v>206030</v>
      </c>
      <c r="BE18" s="74">
        <v>41150</v>
      </c>
      <c r="BF18" s="75">
        <v>2200</v>
      </c>
      <c r="BG18" s="75"/>
      <c r="BH18" s="75"/>
      <c r="BI18" s="75"/>
      <c r="BJ18" s="76">
        <f t="shared" si="32"/>
        <v>249380</v>
      </c>
      <c r="BK18" s="47">
        <v>14</v>
      </c>
      <c r="BL18" s="77">
        <f t="shared" si="27"/>
        <v>249380</v>
      </c>
    </row>
    <row r="19" spans="2:66" ht="20" customHeight="1">
      <c r="B19" s="78">
        <f t="shared" si="28"/>
        <v>45397</v>
      </c>
      <c r="C19" s="79"/>
      <c r="D19" s="50"/>
      <c r="E19" s="51">
        <v>27</v>
      </c>
      <c r="F19" s="52">
        <v>94050</v>
      </c>
      <c r="G19" s="53">
        <f t="shared" si="0"/>
        <v>3166.6666666666665</v>
      </c>
      <c r="H19" s="52">
        <v>13400</v>
      </c>
      <c r="I19" s="54">
        <f t="shared" si="1"/>
        <v>451.14814814814815</v>
      </c>
      <c r="J19" s="55">
        <f t="shared" si="2"/>
        <v>107450</v>
      </c>
      <c r="K19" s="56">
        <f t="shared" si="3"/>
        <v>3979.6296296296296</v>
      </c>
      <c r="L19" s="57"/>
      <c r="M19" s="58">
        <f t="shared" si="4"/>
        <v>13</v>
      </c>
      <c r="N19" s="59">
        <f t="shared" si="4"/>
        <v>117850</v>
      </c>
      <c r="O19" s="53">
        <f t="shared" si="5"/>
        <v>8241.2307692307695</v>
      </c>
      <c r="P19" s="59">
        <f t="shared" si="6"/>
        <v>47660</v>
      </c>
      <c r="Q19" s="84">
        <f t="shared" si="7"/>
        <v>3332.8461538461538</v>
      </c>
      <c r="R19" s="60">
        <f t="shared" si="8"/>
        <v>165510</v>
      </c>
      <c r="S19" s="56">
        <f t="shared" si="9"/>
        <v>12731.538461538461</v>
      </c>
      <c r="T19" s="80">
        <f t="shared" si="10"/>
        <v>40</v>
      </c>
      <c r="U19" s="59">
        <f t="shared" si="10"/>
        <v>211900</v>
      </c>
      <c r="V19" s="59">
        <f t="shared" si="11"/>
        <v>61060</v>
      </c>
      <c r="W19" s="62">
        <f t="shared" si="12"/>
        <v>272960</v>
      </c>
      <c r="X19" s="81"/>
      <c r="Y19" s="63"/>
      <c r="Z19" s="64">
        <v>25</v>
      </c>
      <c r="AA19" s="52">
        <v>11750</v>
      </c>
      <c r="AB19" s="53">
        <f t="shared" si="13"/>
        <v>470</v>
      </c>
      <c r="AC19" s="52">
        <v>3700</v>
      </c>
      <c r="AD19" s="54">
        <f t="shared" si="14"/>
        <v>148</v>
      </c>
      <c r="AE19" s="65">
        <f t="shared" si="15"/>
        <v>15450</v>
      </c>
      <c r="AF19" s="56">
        <f t="shared" si="16"/>
        <v>618</v>
      </c>
      <c r="AG19" s="66"/>
      <c r="AH19" s="64"/>
      <c r="AI19" s="52"/>
      <c r="AJ19" s="53" t="e">
        <f t="shared" si="17"/>
        <v>#DIV/0!</v>
      </c>
      <c r="AK19" s="52"/>
      <c r="AL19" s="54" t="e">
        <f t="shared" si="18"/>
        <v>#DIV/0!</v>
      </c>
      <c r="AM19" s="65">
        <f t="shared" si="29"/>
        <v>0</v>
      </c>
      <c r="AN19" s="67" t="str">
        <f t="shared" si="19"/>
        <v/>
      </c>
      <c r="AO19" s="68"/>
      <c r="AP19" s="64"/>
      <c r="AQ19" s="52"/>
      <c r="AR19" s="53" t="e">
        <f t="shared" si="20"/>
        <v>#DIV/0!</v>
      </c>
      <c r="AS19" s="52"/>
      <c r="AT19" s="54" t="e">
        <f t="shared" si="21"/>
        <v>#DIV/0!</v>
      </c>
      <c r="AU19" s="54"/>
      <c r="AV19" s="69">
        <f t="shared" si="30"/>
        <v>0</v>
      </c>
      <c r="AW19" s="67" t="str">
        <f t="shared" si="22"/>
        <v/>
      </c>
      <c r="AX19" s="82">
        <f t="shared" si="23"/>
        <v>40</v>
      </c>
      <c r="AY19" s="59">
        <f t="shared" si="24"/>
        <v>223650</v>
      </c>
      <c r="AZ19" s="59">
        <f t="shared" si="25"/>
        <v>64760</v>
      </c>
      <c r="BA19" s="71">
        <f t="shared" si="26"/>
        <v>288410</v>
      </c>
      <c r="BB19" s="72">
        <f t="shared" si="31"/>
        <v>0</v>
      </c>
      <c r="BC19" s="73">
        <v>40</v>
      </c>
      <c r="BD19" s="74">
        <v>211900</v>
      </c>
      <c r="BE19" s="74">
        <v>61060</v>
      </c>
      <c r="BF19" s="75"/>
      <c r="BG19" s="75"/>
      <c r="BH19" s="75"/>
      <c r="BI19" s="75"/>
      <c r="BJ19" s="76">
        <f t="shared" si="32"/>
        <v>272960</v>
      </c>
      <c r="BK19" s="47">
        <v>15</v>
      </c>
      <c r="BL19" s="77">
        <f t="shared" si="27"/>
        <v>272960</v>
      </c>
    </row>
    <row r="20" spans="2:66" ht="20" customHeight="1">
      <c r="B20" s="78">
        <f t="shared" si="28"/>
        <v>45398</v>
      </c>
      <c r="C20" s="79"/>
      <c r="D20" s="50"/>
      <c r="E20" s="51">
        <v>25</v>
      </c>
      <c r="F20" s="52">
        <v>90530</v>
      </c>
      <c r="G20" s="53">
        <f t="shared" si="0"/>
        <v>3292</v>
      </c>
      <c r="H20" s="52">
        <v>7910</v>
      </c>
      <c r="I20" s="53">
        <f t="shared" si="1"/>
        <v>287.60000000000002</v>
      </c>
      <c r="J20" s="55">
        <f t="shared" si="2"/>
        <v>98440</v>
      </c>
      <c r="K20" s="56">
        <f t="shared" si="3"/>
        <v>3937.6</v>
      </c>
      <c r="L20" s="57"/>
      <c r="M20" s="58">
        <f t="shared" si="4"/>
        <v>6</v>
      </c>
      <c r="N20" s="59">
        <f t="shared" si="4"/>
        <v>70400</v>
      </c>
      <c r="O20" s="53">
        <f t="shared" si="5"/>
        <v>10666.666666666666</v>
      </c>
      <c r="P20" s="59">
        <f t="shared" si="6"/>
        <v>23700</v>
      </c>
      <c r="Q20" s="84">
        <f t="shared" si="7"/>
        <v>3590.8333333333335</v>
      </c>
      <c r="R20" s="60">
        <f t="shared" si="8"/>
        <v>94100</v>
      </c>
      <c r="S20" s="56">
        <f t="shared" si="9"/>
        <v>15683.333333333334</v>
      </c>
      <c r="T20" s="80">
        <f t="shared" si="10"/>
        <v>31</v>
      </c>
      <c r="U20" s="59">
        <f t="shared" si="10"/>
        <v>160930</v>
      </c>
      <c r="V20" s="59">
        <f t="shared" si="11"/>
        <v>31610</v>
      </c>
      <c r="W20" s="62">
        <f t="shared" si="12"/>
        <v>192540</v>
      </c>
      <c r="X20" s="81"/>
      <c r="Y20" s="63"/>
      <c r="Z20" s="64">
        <v>13</v>
      </c>
      <c r="AA20" s="52">
        <v>6690</v>
      </c>
      <c r="AB20" s="53">
        <f t="shared" si="13"/>
        <v>514.61538461538464</v>
      </c>
      <c r="AC20" s="52">
        <v>2900</v>
      </c>
      <c r="AD20" s="54">
        <f t="shared" si="14"/>
        <v>223.07692307692307</v>
      </c>
      <c r="AE20" s="65">
        <f t="shared" si="15"/>
        <v>9590</v>
      </c>
      <c r="AF20" s="56">
        <f t="shared" si="16"/>
        <v>737.69230769230774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9"/>
        <v>0</v>
      </c>
      <c r="AN20" s="67" t="str">
        <f t="shared" si="19"/>
        <v/>
      </c>
      <c r="AO20" s="68"/>
      <c r="AP20" s="64"/>
      <c r="AQ20" s="52"/>
      <c r="AR20" s="53" t="e">
        <f t="shared" si="20"/>
        <v>#DIV/0!</v>
      </c>
      <c r="AS20" s="52"/>
      <c r="AT20" s="54" t="e">
        <f t="shared" si="21"/>
        <v>#DIV/0!</v>
      </c>
      <c r="AU20" s="54"/>
      <c r="AV20" s="69">
        <f t="shared" si="30"/>
        <v>0</v>
      </c>
      <c r="AW20" s="67" t="str">
        <f t="shared" si="22"/>
        <v/>
      </c>
      <c r="AX20" s="82">
        <f t="shared" si="23"/>
        <v>31</v>
      </c>
      <c r="AY20" s="59">
        <f t="shared" si="24"/>
        <v>167620</v>
      </c>
      <c r="AZ20" s="59">
        <f t="shared" si="25"/>
        <v>34510</v>
      </c>
      <c r="BA20" s="71">
        <f t="shared" si="26"/>
        <v>202130</v>
      </c>
      <c r="BB20" s="72">
        <f t="shared" si="31"/>
        <v>2200</v>
      </c>
      <c r="BC20" s="73">
        <v>31</v>
      </c>
      <c r="BD20" s="74">
        <v>160930</v>
      </c>
      <c r="BE20" s="74">
        <v>31610</v>
      </c>
      <c r="BF20" s="75">
        <v>2200</v>
      </c>
      <c r="BG20" s="75"/>
      <c r="BH20" s="75"/>
      <c r="BI20" s="75"/>
      <c r="BJ20" s="76">
        <f t="shared" si="32"/>
        <v>194740</v>
      </c>
      <c r="BK20" s="47">
        <v>16</v>
      </c>
      <c r="BL20" s="77">
        <f t="shared" si="27"/>
        <v>194740</v>
      </c>
    </row>
    <row r="21" spans="2:66" ht="20" customHeight="1">
      <c r="B21" s="78">
        <f t="shared" si="28"/>
        <v>45399</v>
      </c>
      <c r="C21" s="79"/>
      <c r="D21" s="50"/>
      <c r="E21" s="51">
        <v>41</v>
      </c>
      <c r="F21" s="52">
        <v>159610</v>
      </c>
      <c r="G21" s="53">
        <f t="shared" si="0"/>
        <v>3539.0243902439024</v>
      </c>
      <c r="H21" s="52">
        <v>20130</v>
      </c>
      <c r="I21" s="53">
        <f t="shared" si="1"/>
        <v>446.34146341463412</v>
      </c>
      <c r="J21" s="55">
        <f t="shared" si="2"/>
        <v>179740</v>
      </c>
      <c r="K21" s="56">
        <f t="shared" si="3"/>
        <v>4383.9024390243903</v>
      </c>
      <c r="L21" s="57"/>
      <c r="M21" s="58">
        <f t="shared" si="4"/>
        <v>9</v>
      </c>
      <c r="N21" s="59">
        <f t="shared" si="4"/>
        <v>104500</v>
      </c>
      <c r="O21" s="53">
        <f t="shared" si="5"/>
        <v>10555.555555555555</v>
      </c>
      <c r="P21" s="59">
        <f t="shared" si="6"/>
        <v>10720</v>
      </c>
      <c r="Q21" s="84">
        <f t="shared" si="7"/>
        <v>1082.7777777777778</v>
      </c>
      <c r="R21" s="60">
        <f>N21+P21</f>
        <v>115220</v>
      </c>
      <c r="S21" s="56">
        <f t="shared" si="9"/>
        <v>12802.222222222223</v>
      </c>
      <c r="T21" s="80">
        <f t="shared" si="10"/>
        <v>50</v>
      </c>
      <c r="U21" s="59">
        <f t="shared" si="10"/>
        <v>264110</v>
      </c>
      <c r="V21" s="59">
        <f t="shared" si="11"/>
        <v>30850</v>
      </c>
      <c r="W21" s="62">
        <f t="shared" si="12"/>
        <v>294960</v>
      </c>
      <c r="X21" s="81"/>
      <c r="Y21" s="63"/>
      <c r="Z21" s="64">
        <v>10</v>
      </c>
      <c r="AA21" s="52">
        <v>4300</v>
      </c>
      <c r="AB21" s="53">
        <f t="shared" si="13"/>
        <v>430</v>
      </c>
      <c r="AC21" s="52">
        <v>1900</v>
      </c>
      <c r="AD21" s="54">
        <f t="shared" si="14"/>
        <v>190</v>
      </c>
      <c r="AE21" s="65">
        <f t="shared" si="15"/>
        <v>6200</v>
      </c>
      <c r="AF21" s="56">
        <f t="shared" si="16"/>
        <v>620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/>
      <c r="AQ21" s="52"/>
      <c r="AR21" s="53" t="e">
        <f t="shared" si="20"/>
        <v>#DIV/0!</v>
      </c>
      <c r="AS21" s="52"/>
      <c r="AT21" s="54" t="e">
        <f t="shared" si="21"/>
        <v>#DIV/0!</v>
      </c>
      <c r="AU21" s="54"/>
      <c r="AV21" s="69">
        <f t="shared" si="30"/>
        <v>0</v>
      </c>
      <c r="AW21" s="67" t="str">
        <f t="shared" si="22"/>
        <v/>
      </c>
      <c r="AX21" s="82">
        <f t="shared" si="23"/>
        <v>50</v>
      </c>
      <c r="AY21" s="59">
        <f t="shared" si="24"/>
        <v>268410</v>
      </c>
      <c r="AZ21" s="59">
        <f t="shared" si="25"/>
        <v>32750</v>
      </c>
      <c r="BA21" s="71">
        <f>W21+AE21+AM21+AV21</f>
        <v>301160</v>
      </c>
      <c r="BB21" s="72">
        <f t="shared" si="31"/>
        <v>3850</v>
      </c>
      <c r="BC21" s="73">
        <v>50</v>
      </c>
      <c r="BD21" s="74">
        <v>264110</v>
      </c>
      <c r="BE21" s="74">
        <v>30850</v>
      </c>
      <c r="BF21" s="75">
        <v>3850</v>
      </c>
      <c r="BG21" s="75"/>
      <c r="BH21" s="75"/>
      <c r="BI21" s="75"/>
      <c r="BJ21" s="76">
        <f t="shared" si="32"/>
        <v>298810</v>
      </c>
      <c r="BK21" s="47">
        <v>17</v>
      </c>
      <c r="BL21" s="77">
        <f t="shared" si="27"/>
        <v>298810</v>
      </c>
    </row>
    <row r="22" spans="2:66" ht="20" customHeight="1">
      <c r="B22" s="78">
        <f t="shared" si="28"/>
        <v>45400</v>
      </c>
      <c r="C22" s="79"/>
      <c r="D22" s="50"/>
      <c r="E22" s="51">
        <v>18</v>
      </c>
      <c r="F22" s="52">
        <v>65510</v>
      </c>
      <c r="G22" s="53">
        <f t="shared" si="0"/>
        <v>3308.5555555555557</v>
      </c>
      <c r="H22" s="52">
        <v>7140</v>
      </c>
      <c r="I22" s="53">
        <f t="shared" si="1"/>
        <v>360.55555555555554</v>
      </c>
      <c r="J22" s="55">
        <f t="shared" si="2"/>
        <v>72650</v>
      </c>
      <c r="K22" s="56">
        <f t="shared" si="3"/>
        <v>4036.1111111111113</v>
      </c>
      <c r="L22" s="57"/>
      <c r="M22" s="58">
        <f t="shared" si="4"/>
        <v>4</v>
      </c>
      <c r="N22" s="59">
        <f t="shared" si="4"/>
        <v>48400</v>
      </c>
      <c r="O22" s="53">
        <f t="shared" si="5"/>
        <v>11000</v>
      </c>
      <c r="P22" s="59">
        <f t="shared" si="6"/>
        <v>13200</v>
      </c>
      <c r="Q22" s="84">
        <f t="shared" si="7"/>
        <v>3000</v>
      </c>
      <c r="R22" s="60">
        <f t="shared" si="8"/>
        <v>61600</v>
      </c>
      <c r="S22" s="56">
        <f t="shared" si="9"/>
        <v>15400</v>
      </c>
      <c r="T22" s="80">
        <f t="shared" si="10"/>
        <v>22</v>
      </c>
      <c r="U22" s="59">
        <f t="shared" si="10"/>
        <v>113910</v>
      </c>
      <c r="V22" s="59">
        <f t="shared" si="11"/>
        <v>20340</v>
      </c>
      <c r="W22" s="62">
        <f t="shared" si="12"/>
        <v>134250</v>
      </c>
      <c r="X22" s="81"/>
      <c r="Y22" s="63"/>
      <c r="Z22" s="64">
        <v>9</v>
      </c>
      <c r="AA22" s="52">
        <v>5240</v>
      </c>
      <c r="AB22" s="53">
        <f t="shared" si="13"/>
        <v>582.22222222222217</v>
      </c>
      <c r="AC22" s="52">
        <v>8850</v>
      </c>
      <c r="AD22" s="54">
        <f t="shared" si="14"/>
        <v>983.33333333333337</v>
      </c>
      <c r="AE22" s="65">
        <f t="shared" si="15"/>
        <v>14090</v>
      </c>
      <c r="AF22" s="56">
        <f t="shared" si="16"/>
        <v>1565.5555555555557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/>
      <c r="AQ22" s="52"/>
      <c r="AR22" s="53" t="e">
        <f t="shared" si="20"/>
        <v>#DIV/0!</v>
      </c>
      <c r="AS22" s="52"/>
      <c r="AT22" s="54" t="e">
        <f t="shared" si="21"/>
        <v>#DIV/0!</v>
      </c>
      <c r="AU22" s="54"/>
      <c r="AV22" s="69">
        <f t="shared" si="30"/>
        <v>0</v>
      </c>
      <c r="AW22" s="67" t="str">
        <f t="shared" si="22"/>
        <v/>
      </c>
      <c r="AX22" s="82">
        <f t="shared" si="23"/>
        <v>22</v>
      </c>
      <c r="AY22" s="59">
        <f t="shared" si="24"/>
        <v>119150</v>
      </c>
      <c r="AZ22" s="59">
        <f t="shared" si="25"/>
        <v>29190</v>
      </c>
      <c r="BA22" s="71">
        <f t="shared" si="26"/>
        <v>148340</v>
      </c>
      <c r="BB22" s="72">
        <f t="shared" si="31"/>
        <v>4400</v>
      </c>
      <c r="BC22" s="73">
        <v>22</v>
      </c>
      <c r="BD22" s="74">
        <v>113910</v>
      </c>
      <c r="BE22" s="74">
        <v>20340</v>
      </c>
      <c r="BF22" s="75">
        <v>4400</v>
      </c>
      <c r="BG22" s="75"/>
      <c r="BH22" s="75"/>
      <c r="BI22" s="75"/>
      <c r="BJ22" s="76">
        <f t="shared" si="32"/>
        <v>138650</v>
      </c>
      <c r="BK22" s="47">
        <v>18</v>
      </c>
      <c r="BL22" s="77">
        <f t="shared" si="27"/>
        <v>138650</v>
      </c>
      <c r="BN22" s="85"/>
    </row>
    <row r="23" spans="2:66" ht="20" customHeight="1">
      <c r="B23" s="78">
        <f t="shared" si="28"/>
        <v>45401</v>
      </c>
      <c r="C23" s="79"/>
      <c r="D23" s="50"/>
      <c r="E23" s="51">
        <v>22</v>
      </c>
      <c r="F23" s="52">
        <v>86900</v>
      </c>
      <c r="G23" s="53">
        <f t="shared" si="0"/>
        <v>3590.909090909091</v>
      </c>
      <c r="H23" s="52">
        <v>10920</v>
      </c>
      <c r="I23" s="53">
        <f t="shared" si="1"/>
        <v>451.22727272727275</v>
      </c>
      <c r="J23" s="55">
        <f t="shared" si="2"/>
        <v>97820</v>
      </c>
      <c r="K23" s="56">
        <f t="shared" si="3"/>
        <v>4446.363636363636</v>
      </c>
      <c r="L23" s="57"/>
      <c r="M23" s="58">
        <f t="shared" si="4"/>
        <v>22</v>
      </c>
      <c r="N23" s="59">
        <f t="shared" si="4"/>
        <v>238700</v>
      </c>
      <c r="O23" s="53">
        <f t="shared" si="5"/>
        <v>9863.636363636364</v>
      </c>
      <c r="P23" s="59">
        <f t="shared" si="6"/>
        <v>75570</v>
      </c>
      <c r="Q23" s="84">
        <f t="shared" si="7"/>
        <v>3122.7272727272725</v>
      </c>
      <c r="R23" s="60">
        <f t="shared" si="8"/>
        <v>314270</v>
      </c>
      <c r="S23" s="56">
        <f t="shared" si="9"/>
        <v>14285</v>
      </c>
      <c r="T23" s="80">
        <f t="shared" si="10"/>
        <v>44</v>
      </c>
      <c r="U23" s="59">
        <f t="shared" si="10"/>
        <v>325600</v>
      </c>
      <c r="V23" s="59">
        <f t="shared" si="11"/>
        <v>86490</v>
      </c>
      <c r="W23" s="62">
        <f t="shared" si="12"/>
        <v>412090</v>
      </c>
      <c r="X23" s="81"/>
      <c r="Y23" s="63"/>
      <c r="Z23" s="64">
        <v>7</v>
      </c>
      <c r="AA23" s="52">
        <v>3250</v>
      </c>
      <c r="AB23" s="53">
        <f t="shared" si="13"/>
        <v>464.28571428571428</v>
      </c>
      <c r="AC23" s="52">
        <v>3100</v>
      </c>
      <c r="AD23" s="54">
        <f t="shared" si="14"/>
        <v>442.85714285714283</v>
      </c>
      <c r="AE23" s="65">
        <f t="shared" si="15"/>
        <v>6350</v>
      </c>
      <c r="AF23" s="56">
        <f t="shared" si="16"/>
        <v>907.14285714285711</v>
      </c>
      <c r="AG23" s="66"/>
      <c r="AH23" s="64">
        <v>36</v>
      </c>
      <c r="AI23" s="52">
        <v>140940</v>
      </c>
      <c r="AJ23" s="53">
        <f t="shared" si="17"/>
        <v>3915</v>
      </c>
      <c r="AK23" s="52">
        <v>46980</v>
      </c>
      <c r="AL23" s="54">
        <f t="shared" si="18"/>
        <v>1305</v>
      </c>
      <c r="AM23" s="65">
        <f t="shared" si="29"/>
        <v>187920</v>
      </c>
      <c r="AN23" s="67">
        <f t="shared" si="19"/>
        <v>5220</v>
      </c>
      <c r="AO23" s="68"/>
      <c r="AP23" s="64"/>
      <c r="AQ23" s="52"/>
      <c r="AR23" s="53" t="e">
        <f t="shared" si="20"/>
        <v>#DIV/0!</v>
      </c>
      <c r="AS23" s="52"/>
      <c r="AT23" s="54" t="e">
        <f t="shared" si="21"/>
        <v>#DIV/0!</v>
      </c>
      <c r="AU23" s="54"/>
      <c r="AV23" s="69">
        <f t="shared" si="30"/>
        <v>0</v>
      </c>
      <c r="AW23" s="67" t="str">
        <f>IF(AP23="","",AV23/AP23)</f>
        <v/>
      </c>
      <c r="AX23" s="82">
        <f t="shared" si="23"/>
        <v>44</v>
      </c>
      <c r="AY23" s="59">
        <f t="shared" si="24"/>
        <v>469790</v>
      </c>
      <c r="AZ23" s="59">
        <f t="shared" si="25"/>
        <v>136570</v>
      </c>
      <c r="BA23" s="71">
        <f t="shared" si="26"/>
        <v>606360</v>
      </c>
      <c r="BB23" s="72">
        <f t="shared" si="31"/>
        <v>0</v>
      </c>
      <c r="BC23" s="73">
        <v>44</v>
      </c>
      <c r="BD23" s="74">
        <v>325600</v>
      </c>
      <c r="BE23" s="74">
        <v>86490</v>
      </c>
      <c r="BF23" s="75"/>
      <c r="BG23" s="75"/>
      <c r="BH23" s="75"/>
      <c r="BI23" s="75"/>
      <c r="BJ23" s="76">
        <f>SUM(BD23:BG23)</f>
        <v>412090</v>
      </c>
      <c r="BK23" s="47">
        <v>19</v>
      </c>
      <c r="BL23" s="77">
        <f t="shared" si="27"/>
        <v>412090</v>
      </c>
    </row>
    <row r="24" spans="2:66" ht="20" customHeight="1">
      <c r="B24" s="78">
        <f t="shared" si="28"/>
        <v>45402</v>
      </c>
      <c r="C24" s="79"/>
      <c r="D24" s="50"/>
      <c r="E24" s="51">
        <v>29</v>
      </c>
      <c r="F24" s="52">
        <v>159280</v>
      </c>
      <c r="G24" s="53">
        <f t="shared" si="0"/>
        <v>4993.1034482758623</v>
      </c>
      <c r="H24" s="52">
        <v>33080</v>
      </c>
      <c r="I24" s="53">
        <f t="shared" si="1"/>
        <v>1036.9655172413793</v>
      </c>
      <c r="J24" s="55">
        <f t="shared" si="2"/>
        <v>192360</v>
      </c>
      <c r="K24" s="56">
        <f t="shared" si="3"/>
        <v>6633.1034482758623</v>
      </c>
      <c r="L24" s="57"/>
      <c r="M24" s="58">
        <f t="shared" si="4"/>
        <v>18</v>
      </c>
      <c r="N24" s="59">
        <f t="shared" si="4"/>
        <v>170500</v>
      </c>
      <c r="O24" s="53">
        <f t="shared" si="5"/>
        <v>8611.1111111111113</v>
      </c>
      <c r="P24" s="59">
        <f t="shared" si="6"/>
        <v>43660</v>
      </c>
      <c r="Q24" s="84">
        <f t="shared" si="7"/>
        <v>2205</v>
      </c>
      <c r="R24" s="60">
        <f t="shared" si="8"/>
        <v>214160</v>
      </c>
      <c r="S24" s="56">
        <f t="shared" si="9"/>
        <v>11897.777777777777</v>
      </c>
      <c r="T24" s="80">
        <f t="shared" si="10"/>
        <v>47</v>
      </c>
      <c r="U24" s="59">
        <f t="shared" si="10"/>
        <v>329780</v>
      </c>
      <c r="V24" s="59">
        <f t="shared" si="11"/>
        <v>76740</v>
      </c>
      <c r="W24" s="62">
        <f t="shared" si="12"/>
        <v>406520</v>
      </c>
      <c r="X24" s="81"/>
      <c r="Y24" s="63"/>
      <c r="Z24" s="64">
        <v>13</v>
      </c>
      <c r="AA24" s="52">
        <v>6490</v>
      </c>
      <c r="AB24" s="53">
        <f t="shared" si="13"/>
        <v>499.23076923076923</v>
      </c>
      <c r="AC24" s="52">
        <v>3600</v>
      </c>
      <c r="AD24" s="54">
        <f t="shared" si="14"/>
        <v>276.92307692307691</v>
      </c>
      <c r="AE24" s="65">
        <f t="shared" si="15"/>
        <v>10090</v>
      </c>
      <c r="AF24" s="56">
        <f t="shared" si="16"/>
        <v>776.15384615384619</v>
      </c>
      <c r="AG24" s="66"/>
      <c r="AH24" s="64"/>
      <c r="AI24" s="52"/>
      <c r="AJ24" s="53" t="e">
        <f t="shared" si="17"/>
        <v>#DIV/0!</v>
      </c>
      <c r="AK24" s="52"/>
      <c r="AL24" s="54" t="e">
        <f t="shared" si="18"/>
        <v>#DIV/0!</v>
      </c>
      <c r="AM24" s="65">
        <f t="shared" si="29"/>
        <v>0</v>
      </c>
      <c r="AN24" s="67" t="str">
        <f t="shared" si="19"/>
        <v/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0"/>
        <v>0</v>
      </c>
      <c r="AW24" s="67" t="str">
        <f t="shared" si="22"/>
        <v/>
      </c>
      <c r="AX24" s="82">
        <f t="shared" si="23"/>
        <v>47</v>
      </c>
      <c r="AY24" s="59">
        <f t="shared" si="24"/>
        <v>336270</v>
      </c>
      <c r="AZ24" s="59">
        <f t="shared" si="25"/>
        <v>80340</v>
      </c>
      <c r="BA24" s="71">
        <f t="shared" si="26"/>
        <v>416610</v>
      </c>
      <c r="BB24" s="72">
        <f t="shared" si="31"/>
        <v>2200</v>
      </c>
      <c r="BC24" s="73">
        <v>47</v>
      </c>
      <c r="BD24" s="74">
        <v>329780</v>
      </c>
      <c r="BE24" s="74">
        <v>76740</v>
      </c>
      <c r="BF24" s="75">
        <v>2200</v>
      </c>
      <c r="BG24" s="75"/>
      <c r="BH24" s="75"/>
      <c r="BI24" s="75"/>
      <c r="BJ24" s="76">
        <f t="shared" si="32"/>
        <v>408720</v>
      </c>
      <c r="BK24" s="47">
        <v>20</v>
      </c>
      <c r="BL24" s="77">
        <f t="shared" si="27"/>
        <v>408720</v>
      </c>
    </row>
    <row r="25" spans="2:66" ht="20" customHeight="1">
      <c r="B25" s="78">
        <f t="shared" si="28"/>
        <v>45403</v>
      </c>
      <c r="C25" s="79"/>
      <c r="D25" s="50"/>
      <c r="E25" s="51">
        <v>9</v>
      </c>
      <c r="F25" s="52">
        <v>31680</v>
      </c>
      <c r="G25" s="53">
        <f t="shared" si="0"/>
        <v>3200</v>
      </c>
      <c r="H25" s="52">
        <v>11210</v>
      </c>
      <c r="I25" s="53">
        <f t="shared" si="1"/>
        <v>1132.2222222222222</v>
      </c>
      <c r="J25" s="55">
        <f t="shared" si="2"/>
        <v>42890</v>
      </c>
      <c r="K25" s="56">
        <f t="shared" si="3"/>
        <v>4765.5555555555557</v>
      </c>
      <c r="L25" s="57"/>
      <c r="M25" s="58">
        <f t="shared" si="4"/>
        <v>5</v>
      </c>
      <c r="N25" s="59">
        <f t="shared" si="4"/>
        <v>42130</v>
      </c>
      <c r="O25" s="53">
        <f t="shared" si="5"/>
        <v>7660</v>
      </c>
      <c r="P25" s="59">
        <f t="shared" si="6"/>
        <v>2960</v>
      </c>
      <c r="Q25" s="84">
        <f t="shared" si="7"/>
        <v>538</v>
      </c>
      <c r="R25" s="60">
        <f t="shared" si="8"/>
        <v>45090</v>
      </c>
      <c r="S25" s="56">
        <f t="shared" si="9"/>
        <v>9018</v>
      </c>
      <c r="T25" s="80">
        <f t="shared" si="10"/>
        <v>14</v>
      </c>
      <c r="U25" s="59">
        <f t="shared" si="10"/>
        <v>73810</v>
      </c>
      <c r="V25" s="59">
        <f t="shared" si="11"/>
        <v>14170</v>
      </c>
      <c r="W25" s="62">
        <f t="shared" si="12"/>
        <v>87980</v>
      </c>
      <c r="X25" s="81"/>
      <c r="Y25" s="63"/>
      <c r="Z25" s="64">
        <v>21</v>
      </c>
      <c r="AA25" s="52">
        <v>8450</v>
      </c>
      <c r="AB25" s="53">
        <f t="shared" si="13"/>
        <v>402.38095238095241</v>
      </c>
      <c r="AC25" s="52">
        <v>3350</v>
      </c>
      <c r="AD25" s="54">
        <f t="shared" si="14"/>
        <v>159.52380952380952</v>
      </c>
      <c r="AE25" s="65">
        <f t="shared" si="15"/>
        <v>11800</v>
      </c>
      <c r="AF25" s="56">
        <f t="shared" si="16"/>
        <v>561.90476190476193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9"/>
        <v>0</v>
      </c>
      <c r="AN25" s="67" t="str">
        <f t="shared" si="19"/>
        <v/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0"/>
        <v>0</v>
      </c>
      <c r="AW25" s="67" t="str">
        <f t="shared" si="22"/>
        <v/>
      </c>
      <c r="AX25" s="82">
        <f t="shared" si="23"/>
        <v>14</v>
      </c>
      <c r="AY25" s="59">
        <f t="shared" si="24"/>
        <v>82260</v>
      </c>
      <c r="AZ25" s="59">
        <f t="shared" si="25"/>
        <v>17520</v>
      </c>
      <c r="BA25" s="71">
        <f t="shared" si="26"/>
        <v>99780</v>
      </c>
      <c r="BB25" s="72">
        <f t="shared" si="31"/>
        <v>3300</v>
      </c>
      <c r="BC25" s="73">
        <v>14</v>
      </c>
      <c r="BD25" s="74">
        <v>73810</v>
      </c>
      <c r="BE25" s="74">
        <v>14170</v>
      </c>
      <c r="BF25" s="75">
        <v>3300</v>
      </c>
      <c r="BG25" s="75"/>
      <c r="BH25" s="75"/>
      <c r="BI25" s="75"/>
      <c r="BJ25" s="76">
        <f t="shared" si="32"/>
        <v>91280</v>
      </c>
      <c r="BK25" s="47">
        <v>21</v>
      </c>
      <c r="BL25" s="77">
        <f t="shared" si="27"/>
        <v>91280</v>
      </c>
    </row>
    <row r="26" spans="2:66" ht="20" customHeight="1">
      <c r="B26" s="78">
        <f t="shared" si="28"/>
        <v>45404</v>
      </c>
      <c r="C26" s="79"/>
      <c r="D26" s="50"/>
      <c r="E26" s="51">
        <v>33</v>
      </c>
      <c r="F26" s="52">
        <v>104610</v>
      </c>
      <c r="G26" s="53">
        <f t="shared" si="0"/>
        <v>2881.818181818182</v>
      </c>
      <c r="H26" s="52">
        <v>25280</v>
      </c>
      <c r="I26" s="53">
        <f t="shared" si="1"/>
        <v>696.39393939393938</v>
      </c>
      <c r="J26" s="55">
        <f t="shared" si="2"/>
        <v>129890</v>
      </c>
      <c r="K26" s="56">
        <f t="shared" si="3"/>
        <v>3936.060606060606</v>
      </c>
      <c r="L26" s="57"/>
      <c r="M26" s="58">
        <f t="shared" si="4"/>
        <v>15</v>
      </c>
      <c r="N26" s="59">
        <f t="shared" si="4"/>
        <v>136450</v>
      </c>
      <c r="O26" s="53">
        <f t="shared" si="5"/>
        <v>8269.6666666666661</v>
      </c>
      <c r="P26" s="59">
        <f t="shared" si="6"/>
        <v>46360</v>
      </c>
      <c r="Q26" s="84">
        <f t="shared" si="7"/>
        <v>2809.6666666666665</v>
      </c>
      <c r="R26" s="60">
        <f t="shared" si="8"/>
        <v>182810</v>
      </c>
      <c r="S26" s="56">
        <f t="shared" si="9"/>
        <v>12187.333333333334</v>
      </c>
      <c r="T26" s="80">
        <f t="shared" si="10"/>
        <v>48</v>
      </c>
      <c r="U26" s="59">
        <f t="shared" si="10"/>
        <v>241060</v>
      </c>
      <c r="V26" s="59">
        <f t="shared" si="11"/>
        <v>71640</v>
      </c>
      <c r="W26" s="62">
        <f t="shared" si="12"/>
        <v>312700</v>
      </c>
      <c r="X26" s="81"/>
      <c r="Y26" s="63"/>
      <c r="Z26" s="64">
        <v>18</v>
      </c>
      <c r="AA26" s="52">
        <v>7770</v>
      </c>
      <c r="AB26" s="53">
        <f t="shared" si="13"/>
        <v>431.66666666666669</v>
      </c>
      <c r="AC26" s="52">
        <v>3350</v>
      </c>
      <c r="AD26" s="54">
        <f t="shared" si="14"/>
        <v>186.11111111111111</v>
      </c>
      <c r="AE26" s="65">
        <f t="shared" si="15"/>
        <v>11120</v>
      </c>
      <c r="AF26" s="56">
        <f t="shared" si="16"/>
        <v>617.77777777777783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9"/>
        <v>0</v>
      </c>
      <c r="AN26" s="67" t="str">
        <f t="shared" si="19"/>
        <v/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0"/>
        <v>0</v>
      </c>
      <c r="AW26" s="67" t="str">
        <f t="shared" si="22"/>
        <v/>
      </c>
      <c r="AX26" s="82">
        <f t="shared" si="23"/>
        <v>48</v>
      </c>
      <c r="AY26" s="59">
        <f t="shared" si="24"/>
        <v>248830</v>
      </c>
      <c r="AZ26" s="59">
        <f t="shared" si="25"/>
        <v>74990</v>
      </c>
      <c r="BA26" s="71">
        <f>W26+AE26+AM26+AV26</f>
        <v>323820</v>
      </c>
      <c r="BB26" s="72">
        <f>BF26+BG26</f>
        <v>7150</v>
      </c>
      <c r="BC26" s="73">
        <v>48</v>
      </c>
      <c r="BD26" s="74">
        <v>241060</v>
      </c>
      <c r="BE26" s="74">
        <v>71640</v>
      </c>
      <c r="BF26" s="75">
        <v>7150</v>
      </c>
      <c r="BG26" s="75"/>
      <c r="BH26" s="75"/>
      <c r="BI26" s="75"/>
      <c r="BJ26" s="76">
        <f t="shared" si="32"/>
        <v>319850</v>
      </c>
      <c r="BK26" s="47">
        <v>22</v>
      </c>
      <c r="BL26" s="77">
        <f t="shared" si="27"/>
        <v>319850</v>
      </c>
    </row>
    <row r="27" spans="2:66" ht="20" customHeight="1">
      <c r="B27" s="78">
        <f t="shared" si="28"/>
        <v>45405</v>
      </c>
      <c r="C27" s="79"/>
      <c r="D27" s="50"/>
      <c r="E27" s="51">
        <v>23</v>
      </c>
      <c r="F27" s="52">
        <v>84040</v>
      </c>
      <c r="G27" s="53">
        <f t="shared" si="0"/>
        <v>3321.7391304347825</v>
      </c>
      <c r="H27" s="52">
        <v>8880</v>
      </c>
      <c r="I27" s="53">
        <f t="shared" si="1"/>
        <v>350.95652173913044</v>
      </c>
      <c r="J27" s="55">
        <f t="shared" si="2"/>
        <v>92920</v>
      </c>
      <c r="K27" s="56">
        <f t="shared" si="3"/>
        <v>4040</v>
      </c>
      <c r="L27" s="57"/>
      <c r="M27" s="58">
        <f t="shared" si="4"/>
        <v>4</v>
      </c>
      <c r="N27" s="59">
        <f t="shared" si="4"/>
        <v>44000</v>
      </c>
      <c r="O27" s="53">
        <f t="shared" si="5"/>
        <v>10000</v>
      </c>
      <c r="P27" s="59">
        <f t="shared" si="6"/>
        <v>6320</v>
      </c>
      <c r="Q27" s="54">
        <f t="shared" si="7"/>
        <v>1436.25</v>
      </c>
      <c r="R27" s="60">
        <f t="shared" si="8"/>
        <v>50320</v>
      </c>
      <c r="S27" s="56">
        <f t="shared" si="9"/>
        <v>12580</v>
      </c>
      <c r="T27" s="80">
        <f t="shared" si="10"/>
        <v>27</v>
      </c>
      <c r="U27" s="59">
        <f t="shared" si="10"/>
        <v>128040</v>
      </c>
      <c r="V27" s="59">
        <f t="shared" si="11"/>
        <v>15200</v>
      </c>
      <c r="W27" s="62">
        <f t="shared" si="12"/>
        <v>143240</v>
      </c>
      <c r="X27" s="81"/>
      <c r="Y27" s="63"/>
      <c r="Z27" s="64">
        <v>9</v>
      </c>
      <c r="AA27" s="52">
        <v>3550</v>
      </c>
      <c r="AB27" s="53">
        <f t="shared" si="13"/>
        <v>394.44444444444446</v>
      </c>
      <c r="AC27" s="52">
        <v>3450</v>
      </c>
      <c r="AD27" s="54">
        <f t="shared" si="14"/>
        <v>383.33333333333331</v>
      </c>
      <c r="AE27" s="65">
        <f t="shared" si="15"/>
        <v>7000</v>
      </c>
      <c r="AF27" s="56">
        <f t="shared" si="16"/>
        <v>777.77777777777783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9"/>
        <v>0</v>
      </c>
      <c r="AN27" s="67" t="str">
        <f t="shared" si="19"/>
        <v/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0"/>
        <v>0</v>
      </c>
      <c r="AW27" s="67" t="str">
        <f t="shared" si="22"/>
        <v/>
      </c>
      <c r="AX27" s="82">
        <f t="shared" si="23"/>
        <v>27</v>
      </c>
      <c r="AY27" s="59">
        <f t="shared" si="24"/>
        <v>131590</v>
      </c>
      <c r="AZ27" s="59">
        <f t="shared" si="25"/>
        <v>18650</v>
      </c>
      <c r="BA27" s="71">
        <f>W27+AE27+AM27+AV27-BM27</f>
        <v>148260</v>
      </c>
      <c r="BB27" s="72">
        <f t="shared" si="31"/>
        <v>2200</v>
      </c>
      <c r="BC27" s="73">
        <v>27</v>
      </c>
      <c r="BD27" s="74">
        <v>128040</v>
      </c>
      <c r="BE27" s="74">
        <v>15200</v>
      </c>
      <c r="BF27" s="75">
        <v>2200</v>
      </c>
      <c r="BG27" s="75"/>
      <c r="BH27" s="75">
        <v>3300</v>
      </c>
      <c r="BI27" s="75"/>
      <c r="BJ27" s="76">
        <f t="shared" si="32"/>
        <v>145440</v>
      </c>
      <c r="BK27" s="47">
        <v>23</v>
      </c>
      <c r="BL27" s="77">
        <f t="shared" si="27"/>
        <v>145440</v>
      </c>
      <c r="BM27" s="47">
        <v>1980</v>
      </c>
      <c r="BN27" s="47" t="s">
        <v>42</v>
      </c>
    </row>
    <row r="28" spans="2:66" ht="20" customHeight="1">
      <c r="B28" s="78">
        <f>B27+1</f>
        <v>45406</v>
      </c>
      <c r="C28" s="79"/>
      <c r="D28" s="50"/>
      <c r="E28" s="51">
        <v>27</v>
      </c>
      <c r="F28" s="52">
        <v>113630</v>
      </c>
      <c r="G28" s="53">
        <f t="shared" si="0"/>
        <v>3825.9259259259261</v>
      </c>
      <c r="H28" s="52">
        <v>24620</v>
      </c>
      <c r="I28" s="53">
        <f t="shared" si="1"/>
        <v>828.92592592592598</v>
      </c>
      <c r="J28" s="55">
        <f t="shared" si="2"/>
        <v>138250</v>
      </c>
      <c r="K28" s="56">
        <f t="shared" si="3"/>
        <v>5120.3703703703704</v>
      </c>
      <c r="L28" s="57"/>
      <c r="M28" s="58">
        <f t="shared" si="4"/>
        <v>4</v>
      </c>
      <c r="N28" s="59">
        <f t="shared" si="4"/>
        <v>37400</v>
      </c>
      <c r="O28" s="53">
        <f t="shared" si="5"/>
        <v>8500</v>
      </c>
      <c r="P28" s="59">
        <f t="shared" si="6"/>
        <v>12320</v>
      </c>
      <c r="Q28" s="54">
        <f>ROUNDDOWN(P28/1.1,0)/M28</f>
        <v>2800</v>
      </c>
      <c r="R28" s="60">
        <f t="shared" si="8"/>
        <v>49720</v>
      </c>
      <c r="S28" s="56">
        <f t="shared" si="9"/>
        <v>12430</v>
      </c>
      <c r="T28" s="80">
        <f t="shared" si="10"/>
        <v>31</v>
      </c>
      <c r="U28" s="59">
        <f t="shared" si="10"/>
        <v>151030</v>
      </c>
      <c r="V28" s="59">
        <f t="shared" si="11"/>
        <v>36940</v>
      </c>
      <c r="W28" s="62">
        <f t="shared" si="12"/>
        <v>187970</v>
      </c>
      <c r="X28" s="81"/>
      <c r="Y28" s="63"/>
      <c r="Z28" s="64">
        <v>5</v>
      </c>
      <c r="AA28" s="52">
        <v>2570</v>
      </c>
      <c r="AB28" s="53">
        <f t="shared" si="13"/>
        <v>514</v>
      </c>
      <c r="AC28" s="52">
        <v>7000</v>
      </c>
      <c r="AD28" s="54">
        <f t="shared" si="14"/>
        <v>1400</v>
      </c>
      <c r="AE28" s="65">
        <f t="shared" si="15"/>
        <v>9570</v>
      </c>
      <c r="AF28" s="56">
        <f t="shared" si="16"/>
        <v>1914</v>
      </c>
      <c r="AG28" s="66"/>
      <c r="AH28" s="64"/>
      <c r="AI28" s="52"/>
      <c r="AJ28" s="53" t="e">
        <f t="shared" si="17"/>
        <v>#DIV/0!</v>
      </c>
      <c r="AK28" s="52"/>
      <c r="AL28" s="54" t="e">
        <f t="shared" si="18"/>
        <v>#DIV/0!</v>
      </c>
      <c r="AM28" s="65">
        <f t="shared" si="29"/>
        <v>0</v>
      </c>
      <c r="AN28" s="67" t="str">
        <f t="shared" si="19"/>
        <v/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6">
        <f t="shared" si="30"/>
        <v>0</v>
      </c>
      <c r="AW28" s="67" t="str">
        <f t="shared" si="22"/>
        <v/>
      </c>
      <c r="AX28" s="82">
        <f t="shared" si="23"/>
        <v>31</v>
      </c>
      <c r="AY28" s="59">
        <f t="shared" si="24"/>
        <v>153600</v>
      </c>
      <c r="AZ28" s="59">
        <f t="shared" si="25"/>
        <v>43940</v>
      </c>
      <c r="BA28" s="71">
        <f t="shared" si="26"/>
        <v>197540</v>
      </c>
      <c r="BB28" s="72">
        <f t="shared" si="31"/>
        <v>2750</v>
      </c>
      <c r="BC28" s="73">
        <v>31</v>
      </c>
      <c r="BD28" s="74">
        <v>151030</v>
      </c>
      <c r="BE28" s="74">
        <v>36940</v>
      </c>
      <c r="BF28" s="75">
        <v>2750</v>
      </c>
      <c r="BG28" s="75"/>
      <c r="BH28" s="75"/>
      <c r="BI28" s="75"/>
      <c r="BJ28" s="76">
        <f t="shared" si="32"/>
        <v>190720</v>
      </c>
      <c r="BK28" s="47">
        <v>24</v>
      </c>
      <c r="BL28" s="77">
        <f t="shared" si="27"/>
        <v>190720</v>
      </c>
    </row>
    <row r="29" spans="2:66" ht="20" customHeight="1">
      <c r="B29" s="78">
        <f t="shared" si="28"/>
        <v>45407</v>
      </c>
      <c r="C29" s="79"/>
      <c r="D29" s="50"/>
      <c r="E29" s="51">
        <v>19</v>
      </c>
      <c r="F29" s="52">
        <v>64350</v>
      </c>
      <c r="G29" s="53">
        <f t="shared" si="0"/>
        <v>3078.9473684210525</v>
      </c>
      <c r="H29" s="52">
        <v>9240</v>
      </c>
      <c r="I29" s="53">
        <f t="shared" si="1"/>
        <v>442.10526315789474</v>
      </c>
      <c r="J29" s="55">
        <f t="shared" si="2"/>
        <v>73590</v>
      </c>
      <c r="K29" s="56">
        <f t="shared" si="3"/>
        <v>3873.1578947368421</v>
      </c>
      <c r="L29" s="57"/>
      <c r="M29" s="58">
        <f t="shared" si="4"/>
        <v>9</v>
      </c>
      <c r="N29" s="59">
        <f t="shared" si="4"/>
        <v>111100</v>
      </c>
      <c r="O29" s="53">
        <f t="shared" si="5"/>
        <v>11222.222222222223</v>
      </c>
      <c r="P29" s="59">
        <f t="shared" si="6"/>
        <v>39980</v>
      </c>
      <c r="Q29" s="54">
        <f t="shared" si="7"/>
        <v>4038.3333333333335</v>
      </c>
      <c r="R29" s="60">
        <f t="shared" si="8"/>
        <v>151080</v>
      </c>
      <c r="S29" s="56">
        <f t="shared" si="9"/>
        <v>16786.666666666668</v>
      </c>
      <c r="T29" s="80">
        <f t="shared" si="10"/>
        <v>28</v>
      </c>
      <c r="U29" s="59">
        <f t="shared" si="10"/>
        <v>175450</v>
      </c>
      <c r="V29" s="59">
        <f t="shared" si="11"/>
        <v>49220</v>
      </c>
      <c r="W29" s="62">
        <f t="shared" si="12"/>
        <v>224670</v>
      </c>
      <c r="X29" s="81"/>
      <c r="Y29" s="63"/>
      <c r="Z29" s="64">
        <v>15</v>
      </c>
      <c r="AA29" s="52">
        <v>10830</v>
      </c>
      <c r="AB29" s="53">
        <f t="shared" si="13"/>
        <v>722</v>
      </c>
      <c r="AC29" s="52">
        <v>2780</v>
      </c>
      <c r="AD29" s="54">
        <f t="shared" si="14"/>
        <v>185.33333333333334</v>
      </c>
      <c r="AE29" s="65">
        <f t="shared" si="15"/>
        <v>13610</v>
      </c>
      <c r="AF29" s="56">
        <f t="shared" si="16"/>
        <v>907.33333333333337</v>
      </c>
      <c r="AG29" s="66"/>
      <c r="AH29" s="64">
        <v>50</v>
      </c>
      <c r="AI29" s="52">
        <v>195750</v>
      </c>
      <c r="AJ29" s="53">
        <f t="shared" si="17"/>
        <v>3915</v>
      </c>
      <c r="AK29" s="52">
        <v>65250</v>
      </c>
      <c r="AL29" s="54">
        <f t="shared" si="18"/>
        <v>1305</v>
      </c>
      <c r="AM29" s="65">
        <f t="shared" si="29"/>
        <v>261000</v>
      </c>
      <c r="AN29" s="67">
        <f t="shared" si="19"/>
        <v>5220</v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0"/>
        <v>0</v>
      </c>
      <c r="AW29" s="67" t="str">
        <f t="shared" si="22"/>
        <v/>
      </c>
      <c r="AX29" s="82">
        <f t="shared" si="23"/>
        <v>28</v>
      </c>
      <c r="AY29" s="59">
        <f t="shared" si="24"/>
        <v>382030</v>
      </c>
      <c r="AZ29" s="59">
        <f t="shared" si="25"/>
        <v>117250</v>
      </c>
      <c r="BA29" s="71">
        <f t="shared" si="26"/>
        <v>499280</v>
      </c>
      <c r="BB29" s="72">
        <f t="shared" si="31"/>
        <v>7700</v>
      </c>
      <c r="BC29" s="73">
        <v>28</v>
      </c>
      <c r="BD29" s="74">
        <v>175450</v>
      </c>
      <c r="BE29" s="74">
        <v>49220</v>
      </c>
      <c r="BF29" s="75">
        <v>7700</v>
      </c>
      <c r="BG29" s="75"/>
      <c r="BH29" s="75"/>
      <c r="BI29" s="75"/>
      <c r="BJ29" s="76">
        <f t="shared" si="32"/>
        <v>232370</v>
      </c>
      <c r="BK29" s="47">
        <v>25</v>
      </c>
      <c r="BL29" s="77">
        <f t="shared" si="27"/>
        <v>232370</v>
      </c>
    </row>
    <row r="30" spans="2:66" ht="20" customHeight="1">
      <c r="B30" s="78">
        <f t="shared" si="28"/>
        <v>45408</v>
      </c>
      <c r="C30" s="79"/>
      <c r="D30" s="50"/>
      <c r="E30" s="51">
        <v>21</v>
      </c>
      <c r="F30" s="52">
        <v>74250</v>
      </c>
      <c r="G30" s="53">
        <f t="shared" si="0"/>
        <v>3214.2857142857142</v>
      </c>
      <c r="H30" s="52">
        <v>7530</v>
      </c>
      <c r="I30" s="53">
        <f t="shared" si="1"/>
        <v>325.95238095238096</v>
      </c>
      <c r="J30" s="55">
        <f t="shared" si="2"/>
        <v>81780</v>
      </c>
      <c r="K30" s="56">
        <f t="shared" si="3"/>
        <v>3894.2857142857142</v>
      </c>
      <c r="L30" s="57"/>
      <c r="M30" s="58">
        <f t="shared" si="4"/>
        <v>8</v>
      </c>
      <c r="N30" s="59">
        <f t="shared" si="4"/>
        <v>100960</v>
      </c>
      <c r="O30" s="53">
        <f t="shared" si="5"/>
        <v>11472.625</v>
      </c>
      <c r="P30" s="59">
        <f t="shared" si="6"/>
        <v>45090</v>
      </c>
      <c r="Q30" s="53">
        <f t="shared" si="7"/>
        <v>5123.75</v>
      </c>
      <c r="R30" s="60">
        <f t="shared" si="8"/>
        <v>146050</v>
      </c>
      <c r="S30" s="56">
        <f t="shared" si="9"/>
        <v>18256.25</v>
      </c>
      <c r="T30" s="80">
        <f t="shared" si="10"/>
        <v>29</v>
      </c>
      <c r="U30" s="59">
        <f t="shared" si="10"/>
        <v>175210</v>
      </c>
      <c r="V30" s="59">
        <f t="shared" si="11"/>
        <v>52620</v>
      </c>
      <c r="W30" s="62">
        <f t="shared" si="12"/>
        <v>227830</v>
      </c>
      <c r="X30" s="81"/>
      <c r="Y30" s="63"/>
      <c r="Z30" s="64">
        <v>21</v>
      </c>
      <c r="AA30" s="52">
        <v>9150</v>
      </c>
      <c r="AB30" s="53">
        <f t="shared" si="13"/>
        <v>435.71428571428572</v>
      </c>
      <c r="AC30" s="52">
        <v>3000</v>
      </c>
      <c r="AD30" s="54">
        <f t="shared" si="14"/>
        <v>142.85714285714286</v>
      </c>
      <c r="AE30" s="65">
        <f t="shared" si="15"/>
        <v>12150</v>
      </c>
      <c r="AF30" s="56">
        <f t="shared" si="16"/>
        <v>578.57142857142856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0"/>
        <v>0</v>
      </c>
      <c r="AW30" s="67" t="str">
        <f t="shared" si="22"/>
        <v/>
      </c>
      <c r="AX30" s="82">
        <f t="shared" si="23"/>
        <v>29</v>
      </c>
      <c r="AY30" s="59">
        <f t="shared" si="24"/>
        <v>184360</v>
      </c>
      <c r="AZ30" s="59">
        <f t="shared" si="25"/>
        <v>55620</v>
      </c>
      <c r="BA30" s="71">
        <f t="shared" si="26"/>
        <v>239980</v>
      </c>
      <c r="BB30" s="72">
        <f>BF30+BG30</f>
        <v>0</v>
      </c>
      <c r="BC30" s="73">
        <v>29</v>
      </c>
      <c r="BD30" s="74">
        <v>175210</v>
      </c>
      <c r="BE30" s="74">
        <v>52620</v>
      </c>
      <c r="BF30" s="75"/>
      <c r="BG30" s="75"/>
      <c r="BH30" s="75"/>
      <c r="BI30" s="75"/>
      <c r="BJ30" s="76">
        <f t="shared" si="32"/>
        <v>227830</v>
      </c>
      <c r="BK30" s="47">
        <v>26</v>
      </c>
      <c r="BL30" s="77">
        <f t="shared" si="27"/>
        <v>227830</v>
      </c>
    </row>
    <row r="31" spans="2:66" ht="20" customHeight="1">
      <c r="B31" s="78">
        <f t="shared" si="28"/>
        <v>45409</v>
      </c>
      <c r="C31" s="79"/>
      <c r="D31" s="50"/>
      <c r="E31" s="51">
        <v>30</v>
      </c>
      <c r="F31" s="52">
        <v>127600</v>
      </c>
      <c r="G31" s="53">
        <f t="shared" si="0"/>
        <v>3866.6666666666665</v>
      </c>
      <c r="H31" s="52">
        <v>26800</v>
      </c>
      <c r="I31" s="53">
        <f t="shared" si="1"/>
        <v>812.1</v>
      </c>
      <c r="J31" s="55">
        <f t="shared" si="2"/>
        <v>154400</v>
      </c>
      <c r="K31" s="56">
        <f t="shared" si="3"/>
        <v>5146.666666666667</v>
      </c>
      <c r="L31" s="57"/>
      <c r="M31" s="58">
        <f t="shared" si="4"/>
        <v>26</v>
      </c>
      <c r="N31" s="59">
        <f t="shared" si="4"/>
        <v>301290</v>
      </c>
      <c r="O31" s="53">
        <f t="shared" si="5"/>
        <v>10534.615384615385</v>
      </c>
      <c r="P31" s="59">
        <f t="shared" si="6"/>
        <v>80010</v>
      </c>
      <c r="Q31" s="53">
        <f t="shared" si="7"/>
        <v>2797.5384615384614</v>
      </c>
      <c r="R31" s="60">
        <f t="shared" si="8"/>
        <v>381300</v>
      </c>
      <c r="S31" s="56">
        <f t="shared" si="9"/>
        <v>14665.384615384615</v>
      </c>
      <c r="T31" s="80">
        <f t="shared" si="10"/>
        <v>56</v>
      </c>
      <c r="U31" s="59">
        <f t="shared" si="10"/>
        <v>428890</v>
      </c>
      <c r="V31" s="59">
        <f t="shared" si="11"/>
        <v>106810</v>
      </c>
      <c r="W31" s="62">
        <f t="shared" si="12"/>
        <v>535700</v>
      </c>
      <c r="X31" s="81"/>
      <c r="Y31" s="63"/>
      <c r="Z31" s="64">
        <v>18</v>
      </c>
      <c r="AA31" s="52">
        <v>7320</v>
      </c>
      <c r="AB31" s="53">
        <f t="shared" si="13"/>
        <v>406.66666666666669</v>
      </c>
      <c r="AC31" s="52">
        <v>500</v>
      </c>
      <c r="AD31" s="54">
        <f t="shared" si="14"/>
        <v>27.777777777777779</v>
      </c>
      <c r="AE31" s="65">
        <f t="shared" si="15"/>
        <v>7820</v>
      </c>
      <c r="AF31" s="56">
        <f t="shared" si="16"/>
        <v>434.44444444444446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>
        <v>179</v>
      </c>
      <c r="AQ31" s="52">
        <v>121100</v>
      </c>
      <c r="AR31" s="53">
        <f t="shared" si="20"/>
        <v>676.53631284916196</v>
      </c>
      <c r="AS31" s="52">
        <v>122400</v>
      </c>
      <c r="AT31" s="54">
        <f t="shared" si="21"/>
        <v>683.79888268156424</v>
      </c>
      <c r="AU31" s="54"/>
      <c r="AV31" s="69">
        <f t="shared" si="30"/>
        <v>243500</v>
      </c>
      <c r="AW31" s="67">
        <f t="shared" si="22"/>
        <v>1360.3351955307262</v>
      </c>
      <c r="AX31" s="82">
        <f t="shared" si="23"/>
        <v>56</v>
      </c>
      <c r="AY31" s="59">
        <f t="shared" si="24"/>
        <v>557310</v>
      </c>
      <c r="AZ31" s="59">
        <f t="shared" si="25"/>
        <v>229710</v>
      </c>
      <c r="BA31" s="71">
        <f>W31+AE31+AM31+AV31</f>
        <v>787020</v>
      </c>
      <c r="BB31" s="72">
        <f t="shared" si="31"/>
        <v>6050</v>
      </c>
      <c r="BC31" s="73">
        <v>56</v>
      </c>
      <c r="BD31" s="74">
        <v>428890</v>
      </c>
      <c r="BE31" s="74">
        <v>106810</v>
      </c>
      <c r="BF31" s="75">
        <v>6050</v>
      </c>
      <c r="BG31" s="75"/>
      <c r="BH31" s="75"/>
      <c r="BI31" s="75"/>
      <c r="BJ31" s="76">
        <f t="shared" si="32"/>
        <v>541750</v>
      </c>
      <c r="BK31" s="47">
        <v>27</v>
      </c>
      <c r="BL31" s="77">
        <f t="shared" si="27"/>
        <v>541750</v>
      </c>
    </row>
    <row r="32" spans="2:66" ht="20" customHeight="1">
      <c r="B32" s="78">
        <f t="shared" si="28"/>
        <v>45410</v>
      </c>
      <c r="C32" s="79"/>
      <c r="D32" s="50"/>
      <c r="E32" s="51">
        <v>28</v>
      </c>
      <c r="F32" s="52">
        <v>198940</v>
      </c>
      <c r="G32" s="53">
        <f t="shared" si="0"/>
        <v>6459.0714285714284</v>
      </c>
      <c r="H32" s="52">
        <v>66240</v>
      </c>
      <c r="I32" s="53">
        <f t="shared" si="1"/>
        <v>2150.6428571428573</v>
      </c>
      <c r="J32" s="55">
        <f t="shared" si="2"/>
        <v>265180</v>
      </c>
      <c r="K32" s="56">
        <f t="shared" si="3"/>
        <v>9470.7142857142862</v>
      </c>
      <c r="L32" s="57"/>
      <c r="M32" s="58">
        <f t="shared" si="4"/>
        <v>29</v>
      </c>
      <c r="N32" s="59">
        <f t="shared" si="4"/>
        <v>226380</v>
      </c>
      <c r="O32" s="53">
        <f t="shared" si="5"/>
        <v>7096.5517241379312</v>
      </c>
      <c r="P32" s="59">
        <f t="shared" si="6"/>
        <v>51460</v>
      </c>
      <c r="Q32" s="53">
        <f t="shared" si="7"/>
        <v>1613.1379310344828</v>
      </c>
      <c r="R32" s="60">
        <f t="shared" si="8"/>
        <v>277840</v>
      </c>
      <c r="S32" s="56">
        <f t="shared" si="9"/>
        <v>9580.689655172413</v>
      </c>
      <c r="T32" s="80">
        <f t="shared" si="10"/>
        <v>57</v>
      </c>
      <c r="U32" s="59">
        <f t="shared" si="10"/>
        <v>425320</v>
      </c>
      <c r="V32" s="59">
        <f t="shared" si="11"/>
        <v>117700</v>
      </c>
      <c r="W32" s="62">
        <f t="shared" si="12"/>
        <v>543020</v>
      </c>
      <c r="X32" s="81"/>
      <c r="Y32" s="63"/>
      <c r="Z32" s="64">
        <v>9</v>
      </c>
      <c r="AA32" s="52">
        <v>6020</v>
      </c>
      <c r="AB32" s="53">
        <f t="shared" si="13"/>
        <v>668.88888888888891</v>
      </c>
      <c r="AC32" s="52">
        <v>1800</v>
      </c>
      <c r="AD32" s="54">
        <f t="shared" si="14"/>
        <v>200</v>
      </c>
      <c r="AE32" s="65">
        <f t="shared" si="15"/>
        <v>7820</v>
      </c>
      <c r="AF32" s="56">
        <f t="shared" si="16"/>
        <v>868.88888888888891</v>
      </c>
      <c r="AG32" s="66"/>
      <c r="AH32" s="64"/>
      <c r="AI32" s="52"/>
      <c r="AJ32" s="53" t="e">
        <f t="shared" si="17"/>
        <v>#DIV/0!</v>
      </c>
      <c r="AK32" s="52"/>
      <c r="AL32" s="54" t="e">
        <f t="shared" si="18"/>
        <v>#DIV/0!</v>
      </c>
      <c r="AM32" s="65">
        <f t="shared" si="29"/>
        <v>0</v>
      </c>
      <c r="AN32" s="67" t="str">
        <f t="shared" si="19"/>
        <v/>
      </c>
      <c r="AO32" s="68"/>
      <c r="AP32" s="64">
        <v>99</v>
      </c>
      <c r="AQ32" s="52">
        <v>79750</v>
      </c>
      <c r="AR32" s="53">
        <f t="shared" si="20"/>
        <v>805.55555555555554</v>
      </c>
      <c r="AS32" s="52">
        <v>56750</v>
      </c>
      <c r="AT32" s="54">
        <f t="shared" si="21"/>
        <v>573.23232323232321</v>
      </c>
      <c r="AU32" s="54"/>
      <c r="AV32" s="69">
        <f t="shared" si="30"/>
        <v>136500</v>
      </c>
      <c r="AW32" s="67">
        <f t="shared" si="22"/>
        <v>1378.7878787878788</v>
      </c>
      <c r="AX32" s="82">
        <f t="shared" si="23"/>
        <v>57</v>
      </c>
      <c r="AY32" s="59">
        <f>U32+AA32+AI32+AQ32</f>
        <v>511090</v>
      </c>
      <c r="AZ32" s="59">
        <f t="shared" si="25"/>
        <v>176250</v>
      </c>
      <c r="BA32" s="71">
        <f>W32+AE32+AM32+AV32</f>
        <v>687340</v>
      </c>
      <c r="BB32" s="72">
        <f>BF32+BG32</f>
        <v>2200</v>
      </c>
      <c r="BC32" s="73">
        <v>57</v>
      </c>
      <c r="BD32" s="74">
        <v>425320</v>
      </c>
      <c r="BE32" s="74">
        <v>117700</v>
      </c>
      <c r="BF32" s="75">
        <v>2200</v>
      </c>
      <c r="BG32" s="75"/>
      <c r="BH32" s="75"/>
      <c r="BI32" s="75"/>
      <c r="BJ32" s="76">
        <f>SUM(BD32:BG32)</f>
        <v>545220</v>
      </c>
      <c r="BK32" s="47">
        <v>28</v>
      </c>
      <c r="BL32" s="77">
        <f t="shared" si="27"/>
        <v>545220</v>
      </c>
    </row>
    <row r="33" spans="2:65" ht="20" customHeight="1">
      <c r="B33" s="78">
        <f t="shared" si="28"/>
        <v>45411</v>
      </c>
      <c r="C33" s="79"/>
      <c r="D33" s="50"/>
      <c r="E33" s="51">
        <v>35</v>
      </c>
      <c r="F33" s="52">
        <v>175560</v>
      </c>
      <c r="G33" s="53">
        <f t="shared" si="0"/>
        <v>4560</v>
      </c>
      <c r="H33" s="52">
        <v>32340</v>
      </c>
      <c r="I33" s="53">
        <f t="shared" si="1"/>
        <v>840</v>
      </c>
      <c r="J33" s="55">
        <f t="shared" si="2"/>
        <v>207900</v>
      </c>
      <c r="K33" s="56">
        <f t="shared" si="3"/>
        <v>5940</v>
      </c>
      <c r="L33" s="57"/>
      <c r="M33" s="58">
        <f t="shared" si="4"/>
        <v>10</v>
      </c>
      <c r="N33" s="59">
        <f t="shared" si="4"/>
        <v>95590</v>
      </c>
      <c r="O33" s="53">
        <f t="shared" si="5"/>
        <v>8690</v>
      </c>
      <c r="P33" s="59">
        <f t="shared" si="6"/>
        <v>13640</v>
      </c>
      <c r="Q33" s="53">
        <f t="shared" si="7"/>
        <v>1240</v>
      </c>
      <c r="R33" s="60">
        <f t="shared" si="8"/>
        <v>109230</v>
      </c>
      <c r="S33" s="56">
        <f t="shared" si="9"/>
        <v>10923</v>
      </c>
      <c r="T33" s="80">
        <f t="shared" si="10"/>
        <v>45</v>
      </c>
      <c r="U33" s="59">
        <f t="shared" si="10"/>
        <v>271150</v>
      </c>
      <c r="V33" s="59">
        <f t="shared" si="11"/>
        <v>45980</v>
      </c>
      <c r="W33" s="62">
        <f>J33+R33</f>
        <v>317130</v>
      </c>
      <c r="X33" s="81"/>
      <c r="Y33" s="63"/>
      <c r="Z33" s="64">
        <v>18</v>
      </c>
      <c r="AA33" s="52">
        <v>6500</v>
      </c>
      <c r="AB33" s="53">
        <f t="shared" si="13"/>
        <v>361.11111111111109</v>
      </c>
      <c r="AC33" s="52">
        <v>3930</v>
      </c>
      <c r="AD33" s="54">
        <f t="shared" si="14"/>
        <v>218.33333333333334</v>
      </c>
      <c r="AE33" s="65">
        <f t="shared" si="15"/>
        <v>10430</v>
      </c>
      <c r="AF33" s="56">
        <f t="shared" si="16"/>
        <v>579.44444444444446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>
        <v>79</v>
      </c>
      <c r="AQ33" s="52">
        <v>76300</v>
      </c>
      <c r="AR33" s="53">
        <f t="shared" si="20"/>
        <v>965.82278481012656</v>
      </c>
      <c r="AS33" s="52">
        <v>43000</v>
      </c>
      <c r="AT33" s="54">
        <f t="shared" si="21"/>
        <v>544.30379746835445</v>
      </c>
      <c r="AU33" s="54"/>
      <c r="AV33" s="69">
        <f t="shared" si="30"/>
        <v>119300</v>
      </c>
      <c r="AW33" s="67">
        <f t="shared" si="22"/>
        <v>1510.126582278481</v>
      </c>
      <c r="AX33" s="82">
        <f t="shared" si="23"/>
        <v>45</v>
      </c>
      <c r="AY33" s="59">
        <f t="shared" si="24"/>
        <v>353950</v>
      </c>
      <c r="AZ33" s="59">
        <f t="shared" si="25"/>
        <v>92910</v>
      </c>
      <c r="BA33" s="71">
        <f>W33+AE33+AM33+AV33</f>
        <v>446860</v>
      </c>
      <c r="BB33" s="72">
        <f t="shared" si="31"/>
        <v>5500</v>
      </c>
      <c r="BC33" s="73">
        <v>45</v>
      </c>
      <c r="BD33" s="74">
        <v>271150</v>
      </c>
      <c r="BE33" s="74">
        <v>45980</v>
      </c>
      <c r="BF33" s="75">
        <v>5500</v>
      </c>
      <c r="BG33" s="75"/>
      <c r="BH33" s="75"/>
      <c r="BI33" s="75"/>
      <c r="BJ33" s="76">
        <f t="shared" si="32"/>
        <v>322630</v>
      </c>
      <c r="BK33" s="47">
        <v>29</v>
      </c>
      <c r="BL33" s="77">
        <f t="shared" si="27"/>
        <v>322630</v>
      </c>
    </row>
    <row r="34" spans="2:65" ht="20" customHeight="1">
      <c r="B34" s="78">
        <f t="shared" si="28"/>
        <v>45412</v>
      </c>
      <c r="C34" s="79"/>
      <c r="D34" s="50"/>
      <c r="E34" s="51">
        <v>31</v>
      </c>
      <c r="F34" s="52">
        <v>105490</v>
      </c>
      <c r="G34" s="53">
        <f t="shared" si="0"/>
        <v>3093.5483870967741</v>
      </c>
      <c r="H34" s="52">
        <v>19120</v>
      </c>
      <c r="I34" s="53">
        <f t="shared" si="1"/>
        <v>560.67741935483866</v>
      </c>
      <c r="J34" s="55">
        <f t="shared" si="2"/>
        <v>124610</v>
      </c>
      <c r="K34" s="56">
        <f t="shared" si="3"/>
        <v>4019.6774193548385</v>
      </c>
      <c r="L34" s="57"/>
      <c r="M34" s="58">
        <f t="shared" si="4"/>
        <v>7</v>
      </c>
      <c r="N34" s="59">
        <f t="shared" si="4"/>
        <v>99550</v>
      </c>
      <c r="O34" s="53">
        <f t="shared" si="5"/>
        <v>12928.571428571429</v>
      </c>
      <c r="P34" s="59">
        <f t="shared" si="6"/>
        <v>32390</v>
      </c>
      <c r="Q34" s="53">
        <f t="shared" si="7"/>
        <v>4206.4285714285716</v>
      </c>
      <c r="R34" s="60">
        <f t="shared" si="8"/>
        <v>131940</v>
      </c>
      <c r="S34" s="56">
        <f t="shared" si="9"/>
        <v>18848.571428571428</v>
      </c>
      <c r="T34" s="80">
        <f t="shared" si="10"/>
        <v>38</v>
      </c>
      <c r="U34" s="59">
        <f t="shared" si="10"/>
        <v>205040</v>
      </c>
      <c r="V34" s="59">
        <f t="shared" si="11"/>
        <v>51510</v>
      </c>
      <c r="W34" s="62">
        <f t="shared" si="12"/>
        <v>256550</v>
      </c>
      <c r="X34" s="81"/>
      <c r="Y34" s="87"/>
      <c r="Z34" s="88">
        <v>17</v>
      </c>
      <c r="AA34" s="89">
        <v>7270</v>
      </c>
      <c r="AB34" s="53">
        <f t="shared" si="13"/>
        <v>427.64705882352939</v>
      </c>
      <c r="AC34" s="89">
        <v>4670</v>
      </c>
      <c r="AD34" s="54">
        <f t="shared" si="14"/>
        <v>274.70588235294116</v>
      </c>
      <c r="AE34" s="65">
        <f t="shared" si="15"/>
        <v>11940</v>
      </c>
      <c r="AF34" s="56">
        <f t="shared" si="16"/>
        <v>702.35294117647061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9"/>
        <v>0</v>
      </c>
      <c r="AN34" s="67" t="str">
        <f t="shared" si="19"/>
        <v/>
      </c>
      <c r="AO34" s="68"/>
      <c r="AP34" s="88">
        <v>43</v>
      </c>
      <c r="AQ34" s="89">
        <v>28950</v>
      </c>
      <c r="AR34" s="53">
        <f t="shared" si="20"/>
        <v>673.25581395348843</v>
      </c>
      <c r="AS34" s="89">
        <v>20900</v>
      </c>
      <c r="AT34" s="54">
        <f t="shared" si="21"/>
        <v>486.04651162790697</v>
      </c>
      <c r="AU34" s="54"/>
      <c r="AV34" s="69">
        <f t="shared" si="30"/>
        <v>49850</v>
      </c>
      <c r="AW34" s="67">
        <f t="shared" si="22"/>
        <v>1159.3023255813953</v>
      </c>
      <c r="AX34" s="82">
        <f t="shared" si="23"/>
        <v>38</v>
      </c>
      <c r="AY34" s="59">
        <f t="shared" si="24"/>
        <v>241260</v>
      </c>
      <c r="AZ34" s="59">
        <f t="shared" si="25"/>
        <v>77080</v>
      </c>
      <c r="BA34" s="71">
        <f>W34+AE34+AM34+AV34-BM34</f>
        <v>315370</v>
      </c>
      <c r="BB34" s="72">
        <f t="shared" si="31"/>
        <v>0</v>
      </c>
      <c r="BC34" s="73">
        <v>38</v>
      </c>
      <c r="BD34" s="74">
        <v>205040</v>
      </c>
      <c r="BE34" s="74">
        <v>51510</v>
      </c>
      <c r="BF34" s="75"/>
      <c r="BG34" s="75"/>
      <c r="BH34" s="75"/>
      <c r="BI34" s="75"/>
      <c r="BJ34" s="76">
        <f t="shared" si="32"/>
        <v>256550</v>
      </c>
      <c r="BK34" s="47">
        <v>30</v>
      </c>
      <c r="BL34" s="77">
        <f t="shared" si="27"/>
        <v>256550</v>
      </c>
      <c r="BM34" s="47">
        <v>2970</v>
      </c>
    </row>
    <row r="35" spans="2:65" ht="20" customHeight="1" thickBot="1">
      <c r="B35" s="78"/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90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1">
        <f t="shared" si="10"/>
        <v>0</v>
      </c>
      <c r="U35" s="92">
        <f t="shared" si="10"/>
        <v>0</v>
      </c>
      <c r="V35" s="92">
        <f t="shared" si="11"/>
        <v>0</v>
      </c>
      <c r="W35" s="93">
        <f t="shared" si="12"/>
        <v>0</v>
      </c>
      <c r="X35" s="92"/>
      <c r="Y35" s="94"/>
      <c r="Z35" s="95"/>
      <c r="AA35" s="96"/>
      <c r="AB35" s="97" t="e">
        <f t="shared" si="13"/>
        <v>#DIV/0!</v>
      </c>
      <c r="AC35" s="96"/>
      <c r="AD35" s="98" t="e">
        <f t="shared" si="14"/>
        <v>#DIV/0!</v>
      </c>
      <c r="AE35" s="99">
        <f t="shared" si="15"/>
        <v>0</v>
      </c>
      <c r="AF35" s="56" t="str">
        <f t="shared" si="16"/>
        <v/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30"/>
        <v>0</v>
      </c>
      <c r="AW35" s="67" t="str">
        <f t="shared" si="22"/>
        <v/>
      </c>
      <c r="AX35" s="102">
        <f t="shared" si="23"/>
        <v>0</v>
      </c>
      <c r="AY35" s="59">
        <f t="shared" si="24"/>
        <v>0</v>
      </c>
      <c r="AZ35" s="59">
        <f t="shared" si="25"/>
        <v>0</v>
      </c>
      <c r="BA35" s="71">
        <f t="shared" si="26"/>
        <v>0</v>
      </c>
      <c r="BB35" s="72">
        <f t="shared" si="31"/>
        <v>0</v>
      </c>
      <c r="BC35" s="103"/>
      <c r="BD35" s="104"/>
      <c r="BE35" s="104"/>
      <c r="BF35" s="105"/>
      <c r="BG35" s="105"/>
      <c r="BH35" s="105"/>
      <c r="BI35" s="105"/>
      <c r="BJ35" s="76">
        <f t="shared" si="32"/>
        <v>0</v>
      </c>
      <c r="BK35" s="47">
        <v>31</v>
      </c>
      <c r="BL35" s="77">
        <f t="shared" si="27"/>
        <v>0</v>
      </c>
    </row>
    <row r="36" spans="2:65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714</v>
      </c>
      <c r="F36" s="110">
        <f>SUM(F5:F35)</f>
        <v>2949400</v>
      </c>
      <c r="G36" s="111">
        <f>F36/E36</f>
        <v>4130.8123249299724</v>
      </c>
      <c r="H36" s="107">
        <f>SUM(H5:H35)</f>
        <v>583130</v>
      </c>
      <c r="I36" s="112">
        <f>H36/E36</f>
        <v>816.70868347338933</v>
      </c>
      <c r="J36" s="113">
        <f>SUM(J5:J35)</f>
        <v>3532530</v>
      </c>
      <c r="K36" s="114">
        <f>J36/E36</f>
        <v>4947.5210084033615</v>
      </c>
      <c r="L36" s="115">
        <f>SUM(L5:L35)</f>
        <v>0</v>
      </c>
      <c r="M36" s="109">
        <f>SUM(M5:M35)</f>
        <v>329</v>
      </c>
      <c r="N36" s="110">
        <f>SUM(N5:N35)</f>
        <v>3377450</v>
      </c>
      <c r="O36" s="111">
        <f>N36/M36</f>
        <v>10265.80547112462</v>
      </c>
      <c r="P36" s="116">
        <f>SUM(P5:P35)</f>
        <v>928050</v>
      </c>
      <c r="Q36" s="112">
        <f>P36/M36</f>
        <v>2820.8206686930093</v>
      </c>
      <c r="R36" s="117">
        <f>SUM(R5:R35)</f>
        <v>4305500</v>
      </c>
      <c r="S36" s="118">
        <f>R36/M36</f>
        <v>13086.626139817628</v>
      </c>
      <c r="T36" s="109">
        <f t="shared" ref="T36:AA36" si="33">SUM(T5:T35)</f>
        <v>1043</v>
      </c>
      <c r="U36" s="116">
        <f t="shared" si="33"/>
        <v>6326850</v>
      </c>
      <c r="V36" s="116">
        <f t="shared" si="33"/>
        <v>1511180</v>
      </c>
      <c r="W36" s="113">
        <f>SUM(W5:W35)</f>
        <v>7838030</v>
      </c>
      <c r="X36" s="119">
        <f t="shared" si="33"/>
        <v>0</v>
      </c>
      <c r="Y36" s="108">
        <f t="shared" si="33"/>
        <v>0</v>
      </c>
      <c r="Z36" s="109">
        <f t="shared" si="33"/>
        <v>560</v>
      </c>
      <c r="AA36" s="111">
        <f t="shared" si="33"/>
        <v>244980</v>
      </c>
      <c r="AB36" s="111">
        <f>AA36/Z36</f>
        <v>437.46428571428572</v>
      </c>
      <c r="AC36" s="107">
        <f>SUM(AC5:AC35)</f>
        <v>102730</v>
      </c>
      <c r="AD36" s="112">
        <f>AC36/Z36</f>
        <v>183.44642857142858</v>
      </c>
      <c r="AE36" s="117">
        <f>SUM(AE5:AE35)</f>
        <v>347710</v>
      </c>
      <c r="AF36" s="120">
        <f>AE36/Z36</f>
        <v>620.91071428571433</v>
      </c>
      <c r="AG36" s="121">
        <f t="shared" ref="AG36:AI36" si="34">SUM(AG5:AG35)</f>
        <v>0</v>
      </c>
      <c r="AH36" s="109">
        <f t="shared" si="34"/>
        <v>160</v>
      </c>
      <c r="AI36" s="111">
        <f t="shared" si="34"/>
        <v>626400</v>
      </c>
      <c r="AJ36" s="111"/>
      <c r="AK36" s="107">
        <f>SUM(AK5:AK35)</f>
        <v>227940</v>
      </c>
      <c r="AL36" s="112"/>
      <c r="AM36" s="117">
        <f>SUM(AM5:AM35)</f>
        <v>854340</v>
      </c>
      <c r="AN36" s="122">
        <f>AM36/AH36</f>
        <v>5339.625</v>
      </c>
      <c r="AO36" s="123">
        <f t="shared" ref="AO36:AQ36" si="35">SUM(AO5:AO35)</f>
        <v>0</v>
      </c>
      <c r="AP36" s="109">
        <f t="shared" si="35"/>
        <v>400</v>
      </c>
      <c r="AQ36" s="111">
        <f t="shared" si="35"/>
        <v>306100</v>
      </c>
      <c r="AR36" s="111"/>
      <c r="AS36" s="107">
        <f>SUM(AS5:AS35)</f>
        <v>243050</v>
      </c>
      <c r="AT36" s="112"/>
      <c r="AU36" s="107">
        <f>SUM(AU5:AU35)</f>
        <v>0</v>
      </c>
      <c r="AV36" s="117">
        <f>SUM(AV5:AV35)</f>
        <v>549150</v>
      </c>
      <c r="AW36" s="122">
        <f>AV36/AP36</f>
        <v>1372.875</v>
      </c>
      <c r="AX36" s="124">
        <f t="shared" ref="AX36:BJ36" si="36">SUM(AX5:AX35)</f>
        <v>1043</v>
      </c>
      <c r="AY36" s="116">
        <f t="shared" si="36"/>
        <v>7504330</v>
      </c>
      <c r="AZ36" s="116">
        <f t="shared" si="36"/>
        <v>2084900</v>
      </c>
      <c r="BA36" s="117">
        <f>SUM(BA5:BA35)</f>
        <v>9578538</v>
      </c>
      <c r="BB36" s="125">
        <f t="shared" si="36"/>
        <v>90750</v>
      </c>
      <c r="BC36" s="126">
        <f t="shared" si="36"/>
        <v>1043</v>
      </c>
      <c r="BD36" s="126">
        <f t="shared" si="36"/>
        <v>6326850</v>
      </c>
      <c r="BE36" s="126">
        <f t="shared" si="36"/>
        <v>1511180</v>
      </c>
      <c r="BF36" s="126">
        <f t="shared" si="36"/>
        <v>90750</v>
      </c>
      <c r="BG36" s="126">
        <f t="shared" si="36"/>
        <v>0</v>
      </c>
      <c r="BH36" s="126">
        <f t="shared" si="36"/>
        <v>6600</v>
      </c>
      <c r="BI36" s="126">
        <f t="shared" si="36"/>
        <v>9900</v>
      </c>
      <c r="BJ36" s="127">
        <f t="shared" si="36"/>
        <v>7928780</v>
      </c>
      <c r="BL36" s="129">
        <f>SUM(BL5:BL35)</f>
        <v>7938680</v>
      </c>
    </row>
    <row r="37" spans="2:65" s="128" customFormat="1" ht="18">
      <c r="B37" s="130"/>
      <c r="E37" s="131" t="s">
        <v>43</v>
      </c>
      <c r="F37" s="132">
        <f>F36/1.1</f>
        <v>2681272.7272727271</v>
      </c>
      <c r="G37" s="133">
        <f>F37/E36</f>
        <v>3755.2839317545195</v>
      </c>
      <c r="H37" s="134">
        <f>H36/1.1</f>
        <v>530118.18181818177</v>
      </c>
      <c r="I37" s="133">
        <f>H37/E36</f>
        <v>742.46243952126292</v>
      </c>
      <c r="J37" s="135">
        <f>J36/1.1</f>
        <v>3211390.9090909087</v>
      </c>
      <c r="K37" s="136">
        <f>G37+I37</f>
        <v>4497.7463712757826</v>
      </c>
      <c r="L37" s="137"/>
      <c r="M37" s="131" t="s">
        <v>43</v>
      </c>
      <c r="N37" s="132">
        <f>N36/1.1</f>
        <v>3070409.0909090908</v>
      </c>
      <c r="O37" s="133">
        <f>N37/M36</f>
        <v>9332.5504282951097</v>
      </c>
      <c r="P37" s="134">
        <f>P36/1.1</f>
        <v>843681.81818181812</v>
      </c>
      <c r="Q37" s="133">
        <f>P37/M36</f>
        <v>2564.3824260845536</v>
      </c>
      <c r="R37" s="133">
        <f>R36/1.1</f>
        <v>3914090.9090909087</v>
      </c>
      <c r="S37" s="138">
        <f>R37/M36</f>
        <v>11896.932854379662</v>
      </c>
      <c r="T37" s="131" t="s">
        <v>43</v>
      </c>
      <c r="U37" s="132">
        <f>U36/1.1</f>
        <v>5751681.8181818174</v>
      </c>
      <c r="V37" s="132">
        <f>V36/1.1</f>
        <v>1373800</v>
      </c>
      <c r="W37" s="135">
        <f>W36/1.1</f>
        <v>7125481.8181818174</v>
      </c>
      <c r="X37" s="139"/>
      <c r="Y37" s="137"/>
      <c r="Z37" s="131" t="s">
        <v>43</v>
      </c>
      <c r="AA37" s="132">
        <f>AA36/1.1</f>
        <v>222709.09090909088</v>
      </c>
      <c r="AB37" s="134">
        <f>AA37/Z36</f>
        <v>397.69480519480516</v>
      </c>
      <c r="AC37" s="134">
        <f>AC36/1.1</f>
        <v>93390.909090909088</v>
      </c>
      <c r="AD37" s="134">
        <f>AC37/Z36</f>
        <v>166.76948051948051</v>
      </c>
      <c r="AE37" s="133">
        <f>AE36/1.1</f>
        <v>316100</v>
      </c>
      <c r="AF37" s="140">
        <f>AE37/Z36</f>
        <v>564.46428571428567</v>
      </c>
      <c r="AG37" s="137"/>
      <c r="AH37" s="131" t="s">
        <v>43</v>
      </c>
      <c r="AI37" s="132">
        <f>AI36/1.1</f>
        <v>569454.54545454541</v>
      </c>
      <c r="AJ37" s="134">
        <f>AI37/AH36</f>
        <v>3559.090909090909</v>
      </c>
      <c r="AK37" s="134">
        <f>AK36/1.1</f>
        <v>207218.18181818179</v>
      </c>
      <c r="AL37" s="134">
        <f>AK37/AH36</f>
        <v>1295.1136363636363</v>
      </c>
      <c r="AM37" s="133">
        <f>AM36/1.1</f>
        <v>776672.72727272718</v>
      </c>
      <c r="AN37" s="141" t="e">
        <f>AM37/AG36</f>
        <v>#DIV/0!</v>
      </c>
      <c r="AO37" s="137"/>
      <c r="AP37" s="131" t="s">
        <v>43</v>
      </c>
      <c r="AQ37" s="132">
        <f>AQ36/1.1</f>
        <v>278272.72727272724</v>
      </c>
      <c r="AR37" s="134">
        <f>AQ37/AP36</f>
        <v>695.68181818181813</v>
      </c>
      <c r="AS37" s="134">
        <f>AS36/1.1</f>
        <v>220954.54545454544</v>
      </c>
      <c r="AT37" s="134">
        <f>AS37/AP36</f>
        <v>552.38636363636363</v>
      </c>
      <c r="AU37" s="134">
        <f>AU36/1.1</f>
        <v>0</v>
      </c>
      <c r="AV37" s="133">
        <f>AV36/1.1</f>
        <v>499227.27272727271</v>
      </c>
      <c r="AW37" s="141">
        <f>AV37/AP36</f>
        <v>1248.0681818181818</v>
      </c>
      <c r="AX37" s="142" t="s">
        <v>43</v>
      </c>
      <c r="AY37" s="132">
        <f>AY36/1.1</f>
        <v>6822118.1818181816</v>
      </c>
      <c r="AZ37" s="132">
        <f>AZ36/1.1</f>
        <v>1895363.6363636362</v>
      </c>
      <c r="BA37" s="133">
        <f>BA36/1.1</f>
        <v>8707761.8181818184</v>
      </c>
      <c r="BB37" s="143">
        <f>BB36/1.1</f>
        <v>82500</v>
      </c>
      <c r="BF37" s="128">
        <f>BF36/1.1</f>
        <v>82500</v>
      </c>
      <c r="BG37" s="144"/>
      <c r="BJ37" s="145">
        <f>BJ36/1.1</f>
        <v>7207981.8181818174</v>
      </c>
      <c r="BL37" s="145"/>
    </row>
    <row r="38" spans="2:65">
      <c r="C38" s="47">
        <v>29</v>
      </c>
      <c r="E38" s="146" t="s">
        <v>44</v>
      </c>
      <c r="F38" s="147">
        <f>E36/G38</f>
        <v>24.620689655172413</v>
      </c>
      <c r="G38" s="148">
        <v>29</v>
      </c>
      <c r="H38" s="147"/>
      <c r="I38" s="147"/>
      <c r="J38" s="149" t="s">
        <v>45</v>
      </c>
      <c r="K38" s="150">
        <f>J37/G38</f>
        <v>110737.61755485892</v>
      </c>
      <c r="M38" s="146" t="s">
        <v>44</v>
      </c>
      <c r="N38" s="147">
        <f>M36/O38</f>
        <v>11.344827586206897</v>
      </c>
      <c r="O38" s="148">
        <f>G38</f>
        <v>29</v>
      </c>
      <c r="P38" s="147"/>
      <c r="Q38" s="147"/>
      <c r="R38" s="149" t="s">
        <v>45</v>
      </c>
      <c r="S38" s="151">
        <f>R37/O38</f>
        <v>134968.65203761755</v>
      </c>
      <c r="U38" s="152">
        <f>O38</f>
        <v>29</v>
      </c>
      <c r="W38" s="85">
        <f>W37/U38</f>
        <v>245706.26959247646</v>
      </c>
      <c r="X38" s="77"/>
      <c r="AA38" s="153">
        <f>G38</f>
        <v>29</v>
      </c>
      <c r="AB38" s="147"/>
      <c r="AC38" s="147"/>
      <c r="AD38" s="147"/>
      <c r="AE38" s="147"/>
      <c r="AF38" s="150">
        <f>AE37/AA38</f>
        <v>10900</v>
      </c>
      <c r="AI38" s="153">
        <f>AA38</f>
        <v>29</v>
      </c>
      <c r="AJ38" s="147"/>
      <c r="AK38" s="147"/>
      <c r="AL38" s="147"/>
      <c r="AM38" s="147"/>
      <c r="AN38" s="150">
        <f>AM37/AI38</f>
        <v>26781.81818181818</v>
      </c>
      <c r="AQ38" s="153">
        <f>G38</f>
        <v>29</v>
      </c>
      <c r="AR38" s="147"/>
      <c r="AS38" s="147"/>
      <c r="AT38" s="147"/>
      <c r="AU38" s="147"/>
      <c r="AV38" s="147"/>
      <c r="AW38" s="150">
        <f>AV37/AQ38</f>
        <v>17214.733542319747</v>
      </c>
      <c r="BA38" s="85"/>
      <c r="BB38" s="77" t="e">
        <f>BA37/BC37</f>
        <v>#DIV/0!</v>
      </c>
      <c r="BC38" s="154">
        <f>AX36+T36</f>
        <v>2086</v>
      </c>
      <c r="BG38" s="85"/>
    </row>
    <row r="39" spans="2:65">
      <c r="D39" s="155" t="s">
        <v>46</v>
      </c>
      <c r="E39" s="156"/>
      <c r="F39" s="147"/>
      <c r="G39" s="157"/>
      <c r="H39" s="147"/>
      <c r="I39" s="147"/>
      <c r="J39" s="149"/>
      <c r="K39" s="150"/>
      <c r="L39" s="158" t="s">
        <v>47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48</v>
      </c>
      <c r="AA39" s="147"/>
      <c r="AB39" s="147"/>
      <c r="AC39" s="147"/>
      <c r="AD39" s="147"/>
      <c r="AE39" s="147"/>
      <c r="AF39" s="150"/>
      <c r="AG39" s="158" t="s">
        <v>49</v>
      </c>
      <c r="AI39" s="147"/>
      <c r="AJ39" s="147"/>
      <c r="AK39" s="147"/>
      <c r="AL39" s="147"/>
      <c r="AM39" s="147"/>
      <c r="AN39" s="150"/>
      <c r="AO39" s="158" t="s">
        <v>50</v>
      </c>
      <c r="AQ39" s="147"/>
      <c r="AR39" s="147"/>
      <c r="AS39" s="147"/>
      <c r="AT39" s="147"/>
      <c r="AU39" s="147"/>
      <c r="AV39" s="147"/>
      <c r="AW39" s="150"/>
      <c r="BA39" s="77">
        <f>BA36+BB36</f>
        <v>9669288</v>
      </c>
      <c r="BB39" s="159">
        <f>BA39/G38</f>
        <v>333423.72413793101</v>
      </c>
      <c r="BC39" s="47" t="s">
        <v>51</v>
      </c>
      <c r="BG39" s="85"/>
    </row>
    <row r="40" spans="2:65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8790261.8181818184</v>
      </c>
    </row>
    <row r="41" spans="2:65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303112.47648902819</v>
      </c>
      <c r="BC41" s="47" t="s">
        <v>52</v>
      </c>
      <c r="BD41" s="47">
        <v>9</v>
      </c>
    </row>
    <row r="42" spans="2:65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220954.54545454544</v>
      </c>
    </row>
    <row r="43" spans="2:65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8790261.8181818184</v>
      </c>
      <c r="BB43" s="162" t="s">
        <v>53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5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54</v>
      </c>
      <c r="BA44" s="145">
        <f>J45+R45+AE45+BB44+AM45+AV45</f>
        <v>6096460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55</v>
      </c>
    </row>
    <row r="45" spans="2:65" ht="21" customHeight="1">
      <c r="H45" s="167"/>
      <c r="I45" s="168" t="s">
        <v>56</v>
      </c>
      <c r="J45" s="145">
        <v>1480000</v>
      </c>
      <c r="K45" s="169" t="s">
        <v>57</v>
      </c>
      <c r="L45" s="128"/>
      <c r="M45" s="128"/>
      <c r="N45" s="128"/>
      <c r="O45" s="128"/>
      <c r="P45" s="128"/>
      <c r="Q45" s="168" t="s">
        <v>58</v>
      </c>
      <c r="R45" s="145">
        <v>3700000</v>
      </c>
      <c r="S45" s="169" t="s">
        <v>57</v>
      </c>
      <c r="T45" s="128">
        <v>10</v>
      </c>
      <c r="U45" s="128"/>
      <c r="V45" s="168" t="s">
        <v>59</v>
      </c>
      <c r="W45" s="145">
        <f>J45+R45</f>
        <v>5180000</v>
      </c>
      <c r="X45" s="169" t="s">
        <v>57</v>
      </c>
      <c r="Y45" s="128"/>
      <c r="Z45" s="128"/>
      <c r="AA45" s="128"/>
      <c r="AB45" s="128"/>
      <c r="AC45" s="128"/>
      <c r="AD45" s="167" t="s">
        <v>60</v>
      </c>
      <c r="AE45" s="145">
        <v>108000</v>
      </c>
      <c r="AF45" s="169" t="s">
        <v>57</v>
      </c>
      <c r="AG45" s="169"/>
      <c r="AH45" s="169"/>
      <c r="AI45" s="169"/>
      <c r="AJ45" s="169"/>
      <c r="AK45" s="128"/>
      <c r="AL45" s="168" t="s">
        <v>61</v>
      </c>
      <c r="AM45" s="145">
        <v>548460</v>
      </c>
      <c r="AN45" s="169" t="s">
        <v>57</v>
      </c>
      <c r="AO45" s="169"/>
      <c r="AP45" s="169"/>
      <c r="AQ45" s="169"/>
      <c r="AR45" s="169"/>
      <c r="AS45" s="128"/>
      <c r="AT45" s="168" t="s">
        <v>62</v>
      </c>
      <c r="AU45" s="168"/>
      <c r="AV45" s="145">
        <v>260000</v>
      </c>
      <c r="AW45" s="169" t="s">
        <v>57</v>
      </c>
      <c r="AX45" s="128"/>
      <c r="AY45" s="128"/>
      <c r="AZ45" s="165" t="s">
        <v>63</v>
      </c>
      <c r="BA45" s="144">
        <f>BA44-BA37-BB37</f>
        <v>-2693801.8181818184</v>
      </c>
      <c r="BB45" s="144">
        <f>BB44-BB37</f>
        <v>-82500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64</v>
      </c>
      <c r="BL45" s="47"/>
    </row>
    <row r="46" spans="2:65" ht="21" customHeight="1">
      <c r="H46" s="167"/>
      <c r="I46" s="167" t="s">
        <v>63</v>
      </c>
      <c r="J46" s="144">
        <f>J45-J37</f>
        <v>-1731390.9090909087</v>
      </c>
      <c r="K46" s="171">
        <f>C38-G38</f>
        <v>0</v>
      </c>
      <c r="L46" s="128"/>
      <c r="M46" s="128"/>
      <c r="N46" s="128"/>
      <c r="O46" s="128"/>
      <c r="P46" s="128"/>
      <c r="Q46" s="167" t="s">
        <v>63</v>
      </c>
      <c r="R46" s="144">
        <f>R45-R37</f>
        <v>-214090.90909090871</v>
      </c>
      <c r="S46" s="128">
        <f>K46</f>
        <v>0</v>
      </c>
      <c r="T46" s="128"/>
      <c r="U46" s="128"/>
      <c r="V46" s="167" t="s">
        <v>63</v>
      </c>
      <c r="W46" s="144">
        <f>W45-W37</f>
        <v>-1945481.8181818174</v>
      </c>
      <c r="X46" s="128">
        <f>S46</f>
        <v>0</v>
      </c>
      <c r="Y46" s="128"/>
      <c r="Z46" s="128"/>
      <c r="AA46" s="128"/>
      <c r="AB46" s="128"/>
      <c r="AC46" s="128"/>
      <c r="AD46" s="167" t="s">
        <v>63</v>
      </c>
      <c r="AE46" s="144">
        <f>AE45-AE37</f>
        <v>-208100</v>
      </c>
      <c r="AF46" s="128">
        <f>K46</f>
        <v>0</v>
      </c>
      <c r="AG46" s="128"/>
      <c r="AH46" s="128"/>
      <c r="AI46" s="128"/>
      <c r="AJ46" s="128"/>
      <c r="AK46" s="128"/>
      <c r="AL46" s="167" t="s">
        <v>63</v>
      </c>
      <c r="AM46" s="144">
        <f>AM45-AM37</f>
        <v>-228212.72727272718</v>
      </c>
      <c r="AN46" s="128">
        <f>AF46</f>
        <v>0</v>
      </c>
      <c r="AO46" s="128"/>
      <c r="AP46" s="128"/>
      <c r="AQ46" s="128"/>
      <c r="AR46" s="128"/>
      <c r="AS46" s="128"/>
      <c r="AT46" s="167" t="s">
        <v>63</v>
      </c>
      <c r="AU46" s="167"/>
      <c r="AV46" s="144">
        <f>AV45-AV37</f>
        <v>-239227.27272727271</v>
      </c>
      <c r="AW46" s="128">
        <f>AN46</f>
        <v>0</v>
      </c>
      <c r="AX46" s="128"/>
      <c r="AY46" s="172"/>
      <c r="AZ46" s="173" t="s">
        <v>65</v>
      </c>
      <c r="BA46" s="174" t="e">
        <f>BA45/K46</f>
        <v>#DIV/0!</v>
      </c>
      <c r="BB46" s="175">
        <f>(BA37+BB37)/BA44</f>
        <v>1.4418632810158385</v>
      </c>
      <c r="BC46" s="172"/>
      <c r="BD46" s="176"/>
      <c r="BE46" s="177">
        <f>SUM(BE41:BE45)</f>
        <v>23821999.909090906</v>
      </c>
      <c r="BF46" s="178">
        <f>BJ71</f>
        <v>9138052</v>
      </c>
      <c r="BG46" s="179">
        <f>BF46/BE46</f>
        <v>0.38359718054203978</v>
      </c>
      <c r="BH46" s="180">
        <f>BE46-BF46</f>
        <v>14683947.909090906</v>
      </c>
      <c r="BL46" s="47"/>
    </row>
    <row r="47" spans="2:65" s="176" customFormat="1" ht="26" customHeight="1">
      <c r="B47" s="181"/>
      <c r="H47" s="182"/>
      <c r="I47" s="173" t="s">
        <v>65</v>
      </c>
      <c r="J47" s="183" t="e">
        <f>J46/K46</f>
        <v>#DIV/0!</v>
      </c>
      <c r="K47" s="184">
        <f>J37/J45</f>
        <v>2.1698587223587222</v>
      </c>
      <c r="L47" s="172"/>
      <c r="M47" s="172"/>
      <c r="N47" s="172"/>
      <c r="O47" s="172"/>
      <c r="P47" s="172"/>
      <c r="Q47" s="173" t="s">
        <v>65</v>
      </c>
      <c r="R47" s="174" t="e">
        <f>R46/S46</f>
        <v>#DIV/0!</v>
      </c>
      <c r="S47" s="184">
        <f>R37/R45</f>
        <v>1.0578624078624077</v>
      </c>
      <c r="T47" s="172"/>
      <c r="U47" s="172"/>
      <c r="V47" s="173" t="s">
        <v>65</v>
      </c>
      <c r="W47" s="174" t="e">
        <f>W46/X46</f>
        <v>#DIV/0!</v>
      </c>
      <c r="X47" s="184">
        <f>W37/W45</f>
        <v>1.3755756405756405</v>
      </c>
      <c r="Y47" s="172"/>
      <c r="Z47" s="172"/>
      <c r="AA47" s="172"/>
      <c r="AB47" s="172"/>
      <c r="AC47" s="172"/>
      <c r="AD47" s="173" t="s">
        <v>65</v>
      </c>
      <c r="AE47" s="183" t="e">
        <f>AE46/AF46</f>
        <v>#DIV/0!</v>
      </c>
      <c r="AF47" s="184">
        <f>AE37/AE45</f>
        <v>2.9268518518518518</v>
      </c>
      <c r="AG47" s="184"/>
      <c r="AH47" s="184"/>
      <c r="AI47" s="184"/>
      <c r="AJ47" s="184"/>
      <c r="AK47" s="172"/>
      <c r="AL47" s="173" t="s">
        <v>65</v>
      </c>
      <c r="AM47" s="174" t="e">
        <f>AM46/AN46</f>
        <v>#DIV/0!</v>
      </c>
      <c r="AN47" s="184">
        <f>AM37/AM45</f>
        <v>1.4160973038557547</v>
      </c>
      <c r="AO47" s="184"/>
      <c r="AP47" s="184"/>
      <c r="AQ47" s="184"/>
      <c r="AR47" s="184"/>
      <c r="AS47" s="172"/>
      <c r="AT47" s="173" t="s">
        <v>65</v>
      </c>
      <c r="AU47" s="173"/>
      <c r="AV47" s="174" t="e">
        <f>AV46/AW46</f>
        <v>#DIV/0!</v>
      </c>
      <c r="AW47" s="184">
        <f>AV37/AV45</f>
        <v>1.9201048951048951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5">
      <c r="H48" s="47">
        <v>400</v>
      </c>
      <c r="I48" s="47">
        <f>H48/29</f>
        <v>13.793103448275861</v>
      </c>
      <c r="K48" s="47">
        <f>J45/31</f>
        <v>47741.93548387097</v>
      </c>
      <c r="P48" s="47">
        <v>868</v>
      </c>
      <c r="Q48" s="47">
        <f>P48/31</f>
        <v>28</v>
      </c>
      <c r="S48" s="47">
        <f>R45/31</f>
        <v>119354.83870967742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66</v>
      </c>
      <c r="J49" s="188">
        <f>(I5+I8+I9+I10+I11+I12+I15+I16+I17+I18+I19+I22+I23+I24+I25+I26)/16</f>
        <v>788.86876985019455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3600</v>
      </c>
      <c r="AQ49" s="190">
        <f>AP14+AP21</f>
        <v>0</v>
      </c>
      <c r="AR49" s="191" t="e">
        <f>AR14+AR21</f>
        <v>#DIV/0!</v>
      </c>
      <c r="AS49" s="191" t="e">
        <f>AT14+AT21</f>
        <v>#DIV/0!</v>
      </c>
      <c r="AY49" s="1"/>
      <c r="AZ49" s="1"/>
      <c r="BA49" s="1"/>
      <c r="BB49" s="1"/>
      <c r="BC49" s="192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3" t="s">
        <v>72</v>
      </c>
      <c r="BI49" s="193" t="s">
        <v>73</v>
      </c>
      <c r="BJ49" s="193" t="s">
        <v>74</v>
      </c>
    </row>
    <row r="50" spans="2:62" s="1" customFormat="1" ht="24" customHeight="1">
      <c r="B50" s="187"/>
      <c r="I50" s="1" t="s">
        <v>75</v>
      </c>
      <c r="J50" s="188" t="e">
        <f>(I6+I7+I13+I14+I20+I21+I27)/7</f>
        <v>#DIV/0!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0</v>
      </c>
      <c r="AR50" s="196" t="e">
        <f t="shared" ref="AR50:AS50" si="38">AR49/2</f>
        <v>#DIV/0!</v>
      </c>
      <c r="AS50" s="196" t="e">
        <f t="shared" si="38"/>
        <v>#DIV/0!</v>
      </c>
      <c r="AY50" s="186"/>
      <c r="AZ50" s="186"/>
      <c r="BA50" s="186"/>
      <c r="BB50" s="186"/>
      <c r="BC50" s="192" t="s">
        <v>76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77</v>
      </c>
      <c r="V51" s="201"/>
      <c r="W51" s="202"/>
      <c r="X51" s="203"/>
      <c r="Y51" s="192"/>
      <c r="Z51" s="199"/>
      <c r="BC51" s="192" t="s">
        <v>78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79</v>
      </c>
      <c r="V52" s="205" t="s">
        <v>80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81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82</v>
      </c>
      <c r="W53" s="206"/>
      <c r="X53" s="207" t="e">
        <f>W53/Y52</f>
        <v>#DIV/0!</v>
      </c>
      <c r="Y53" s="209"/>
      <c r="Z53" s="209"/>
      <c r="AA53" s="209"/>
      <c r="BA53" s="186" t="s">
        <v>83</v>
      </c>
      <c r="BC53" s="192" t="s">
        <v>84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85</v>
      </c>
      <c r="V54" s="205" t="s">
        <v>80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86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82</v>
      </c>
      <c r="W55" s="206"/>
      <c r="X55" s="207" t="e">
        <f t="shared" ref="X55" si="44">W55/Y54</f>
        <v>#DIV/0!</v>
      </c>
      <c r="Y55" s="209"/>
      <c r="Z55" s="209"/>
      <c r="AA55" s="209"/>
      <c r="AY55" s="47"/>
      <c r="AZ55" s="47"/>
      <c r="BA55" s="47"/>
      <c r="BB55" s="47"/>
      <c r="BC55" s="192" t="s">
        <v>87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U56" s="213" t="s">
        <v>2</v>
      </c>
      <c r="V56" s="214" t="s">
        <v>80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88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82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89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90</v>
      </c>
      <c r="V58" s="214" t="s">
        <v>80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91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82</v>
      </c>
      <c r="W59" s="206"/>
      <c r="X59" s="207" t="e">
        <f t="shared" si="47"/>
        <v>#DIV/0!</v>
      </c>
      <c r="Y59" s="217"/>
      <c r="Z59" s="217"/>
      <c r="AA59" s="217"/>
      <c r="BC59" s="192" t="s">
        <v>92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93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94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95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96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97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98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99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100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101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102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103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5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BBE0-7873-054F-9DA7-04A01ADAB44F}">
  <dimension ref="A1:BN224"/>
  <sheetViews>
    <sheetView workbookViewId="0">
      <selection sqref="A1:XFD104857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6" s="3" customFormat="1">
      <c r="A1" s="1" t="s">
        <v>0</v>
      </c>
      <c r="B1" s="2"/>
      <c r="BJ1" s="4"/>
      <c r="BL1" s="4"/>
    </row>
    <row r="2" spans="1:66" s="3" customFormat="1" ht="35" thickBot="1">
      <c r="A2" s="5">
        <v>2024</v>
      </c>
      <c r="B2" s="6">
        <v>5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6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104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6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6" ht="20" customHeight="1" thickTop="1">
      <c r="B5" s="48">
        <f>DATE($A$2,$B$2,1)</f>
        <v>45413</v>
      </c>
      <c r="C5" s="49"/>
      <c r="D5" s="50"/>
      <c r="E5" s="51">
        <v>26</v>
      </c>
      <c r="F5" s="52">
        <v>92620</v>
      </c>
      <c r="G5" s="53">
        <f t="shared" ref="G5:G35" si="0">ROUNDDOWN(F5/1.1,0)/E5</f>
        <v>3238.4615384615386</v>
      </c>
      <c r="H5" s="52">
        <v>9130</v>
      </c>
      <c r="I5" s="54">
        <f t="shared" ref="I5:I35" si="1">ROUNDDOWN(H5/1.1,0)/E5</f>
        <v>319.23076923076923</v>
      </c>
      <c r="J5" s="55">
        <f t="shared" ref="J5:J35" si="2">F5+H5</f>
        <v>101750</v>
      </c>
      <c r="K5" s="56">
        <f t="shared" ref="K5:K35" si="3">IF(E5="","",J5/E5)</f>
        <v>3913.4615384615386</v>
      </c>
      <c r="L5" s="57"/>
      <c r="M5" s="58">
        <f t="shared" ref="M5:N35" si="4">BC5-E5</f>
        <v>6</v>
      </c>
      <c r="N5" s="59">
        <f t="shared" si="4"/>
        <v>74800</v>
      </c>
      <c r="O5" s="53">
        <f t="shared" ref="O5:O35" si="5">ROUNDDOWN(N5/1.1,0)/M5</f>
        <v>11333.333333333334</v>
      </c>
      <c r="P5" s="59">
        <f t="shared" ref="P5:P35" si="6">BE5-H5</f>
        <v>17380</v>
      </c>
      <c r="Q5" s="54">
        <f t="shared" ref="Q5:Q35" si="7">ROUNDDOWN(P5/1.1,0)/M5</f>
        <v>2633.3333333333335</v>
      </c>
      <c r="R5" s="60">
        <f t="shared" ref="R5:R35" si="8">N5+P5</f>
        <v>92180</v>
      </c>
      <c r="S5" s="56">
        <f t="shared" ref="S5:S35" si="9">IF(M5="","",R5/M5)</f>
        <v>15363.333333333334</v>
      </c>
      <c r="T5" s="61">
        <f t="shared" ref="T5:U35" si="10">E5+M5</f>
        <v>32</v>
      </c>
      <c r="U5" s="59">
        <f t="shared" si="10"/>
        <v>167420</v>
      </c>
      <c r="V5" s="59">
        <f t="shared" ref="V5:V35" si="11">H5+P5</f>
        <v>26510</v>
      </c>
      <c r="W5" s="62">
        <f t="shared" ref="W5:W35" si="12">J5+R5</f>
        <v>193930</v>
      </c>
      <c r="X5" s="59"/>
      <c r="Y5" s="63"/>
      <c r="Z5" s="64">
        <v>28</v>
      </c>
      <c r="AA5" s="52">
        <v>10300</v>
      </c>
      <c r="AB5" s="53">
        <f t="shared" ref="AB5:AB35" si="13">AA5/Z5</f>
        <v>367.85714285714283</v>
      </c>
      <c r="AC5" s="52">
        <v>1500</v>
      </c>
      <c r="AD5" s="54">
        <f t="shared" ref="AD5:AD35" si="14">AC5/Z5</f>
        <v>53.571428571428569</v>
      </c>
      <c r="AE5" s="65">
        <f t="shared" ref="AE5:AE35" si="15">AA5+AC5</f>
        <v>11800</v>
      </c>
      <c r="AF5" s="56">
        <f t="shared" ref="AF5:AF35" si="16">IF(Z5="","",AE5/Z5)</f>
        <v>421.42857142857144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84</v>
      </c>
      <c r="AQ5" s="52">
        <v>62100</v>
      </c>
      <c r="AR5" s="53">
        <f t="shared" ref="AR5:AR35" si="20">AQ5/AP5</f>
        <v>739.28571428571433</v>
      </c>
      <c r="AS5" s="52">
        <v>38650</v>
      </c>
      <c r="AT5" s="54">
        <f t="shared" ref="AT5:AT35" si="21">AS5/AP5</f>
        <v>460.11904761904759</v>
      </c>
      <c r="AU5" s="54"/>
      <c r="AV5" s="69">
        <f>AQ5+AS5+AU5</f>
        <v>100750</v>
      </c>
      <c r="AW5" s="67">
        <f t="shared" ref="AW5:AW35" si="22">IF(AP5="","",AV5/AP5)</f>
        <v>1199.4047619047619</v>
      </c>
      <c r="AX5" s="70">
        <f t="shared" ref="AX5:AX35" si="23">SUM(E5,M5)</f>
        <v>32</v>
      </c>
      <c r="AY5" s="59">
        <f t="shared" ref="AY5:AY35" si="24">U5+AA5+AI5+AQ5</f>
        <v>239820</v>
      </c>
      <c r="AZ5" s="59">
        <f t="shared" ref="AZ5:AZ35" si="25">V5+AC5+AK5+AS5</f>
        <v>66660</v>
      </c>
      <c r="BA5" s="71">
        <f t="shared" ref="BA5:BA35" si="26">W5+AE5+AM5+AV5</f>
        <v>306480</v>
      </c>
      <c r="BB5" s="72">
        <f>BF5+BG5</f>
        <v>0</v>
      </c>
      <c r="BC5" s="73">
        <v>32</v>
      </c>
      <c r="BD5" s="74">
        <v>167420</v>
      </c>
      <c r="BE5" s="74">
        <v>26510</v>
      </c>
      <c r="BF5" s="75"/>
      <c r="BG5" s="75"/>
      <c r="BH5" s="75"/>
      <c r="BI5" s="75"/>
      <c r="BJ5" s="76">
        <f>SUM(BD5:BG5)</f>
        <v>193930</v>
      </c>
      <c r="BK5" s="47">
        <v>1</v>
      </c>
      <c r="BL5" s="77">
        <f t="shared" ref="BL5:BL35" si="27">BI5+BJ5</f>
        <v>193930</v>
      </c>
    </row>
    <row r="6" spans="1:66" ht="20" customHeight="1">
      <c r="B6" s="78">
        <f t="shared" ref="B6:B35" si="28">B5+1</f>
        <v>45414</v>
      </c>
      <c r="C6" s="79"/>
      <c r="D6" s="50"/>
      <c r="E6" s="51">
        <v>25</v>
      </c>
      <c r="F6" s="52">
        <v>114620</v>
      </c>
      <c r="G6" s="53">
        <f t="shared" si="0"/>
        <v>4168</v>
      </c>
      <c r="H6" s="52">
        <v>28920</v>
      </c>
      <c r="I6" s="54">
        <f t="shared" si="1"/>
        <v>1051.5999999999999</v>
      </c>
      <c r="J6" s="55">
        <f t="shared" si="2"/>
        <v>143540</v>
      </c>
      <c r="K6" s="56">
        <f t="shared" si="3"/>
        <v>5741.6</v>
      </c>
      <c r="L6" s="57"/>
      <c r="M6" s="58">
        <f t="shared" si="4"/>
        <v>15</v>
      </c>
      <c r="N6" s="59">
        <f t="shared" si="4"/>
        <v>153790</v>
      </c>
      <c r="O6" s="53">
        <f t="shared" si="5"/>
        <v>9320.6</v>
      </c>
      <c r="P6" s="59">
        <f t="shared" si="6"/>
        <v>35020</v>
      </c>
      <c r="Q6" s="54">
        <f t="shared" si="7"/>
        <v>2122.4</v>
      </c>
      <c r="R6" s="60">
        <f t="shared" si="8"/>
        <v>188810</v>
      </c>
      <c r="S6" s="56">
        <f t="shared" si="9"/>
        <v>12587.333333333334</v>
      </c>
      <c r="T6" s="80">
        <f t="shared" si="10"/>
        <v>40</v>
      </c>
      <c r="U6" s="59">
        <f t="shared" si="10"/>
        <v>268410</v>
      </c>
      <c r="V6" s="59">
        <f t="shared" si="11"/>
        <v>63940</v>
      </c>
      <c r="W6" s="62">
        <f t="shared" si="12"/>
        <v>332350</v>
      </c>
      <c r="X6" s="81"/>
      <c r="Y6" s="63"/>
      <c r="Z6" s="64">
        <v>24</v>
      </c>
      <c r="AA6" s="52">
        <v>11280</v>
      </c>
      <c r="AB6" s="53">
        <f t="shared" si="13"/>
        <v>470</v>
      </c>
      <c r="AC6" s="52">
        <v>5900</v>
      </c>
      <c r="AD6" s="54">
        <f t="shared" si="14"/>
        <v>245.83333333333334</v>
      </c>
      <c r="AE6" s="65">
        <f>AA6+AC6</f>
        <v>17180</v>
      </c>
      <c r="AF6" s="56">
        <f t="shared" si="16"/>
        <v>715.83333333333337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9">AI6+AK6</f>
        <v>0</v>
      </c>
      <c r="AN6" s="67" t="str">
        <f t="shared" si="19"/>
        <v/>
      </c>
      <c r="AO6" s="68"/>
      <c r="AP6" s="64">
        <v>124</v>
      </c>
      <c r="AQ6" s="52">
        <v>68800</v>
      </c>
      <c r="AR6" s="53">
        <f t="shared" si="20"/>
        <v>554.83870967741939</v>
      </c>
      <c r="AS6" s="52">
        <v>92000</v>
      </c>
      <c r="AT6" s="54">
        <f t="shared" si="21"/>
        <v>741.93548387096769</v>
      </c>
      <c r="AU6" s="54"/>
      <c r="AV6" s="69">
        <f>AQ6+AS6+AU6-BM6</f>
        <v>160340</v>
      </c>
      <c r="AW6" s="67">
        <f t="shared" si="22"/>
        <v>1293.0645161290322</v>
      </c>
      <c r="AX6" s="82">
        <f t="shared" si="23"/>
        <v>40</v>
      </c>
      <c r="AY6" s="59">
        <f t="shared" si="24"/>
        <v>348490</v>
      </c>
      <c r="AZ6" s="59">
        <f t="shared" si="25"/>
        <v>161840</v>
      </c>
      <c r="BA6" s="71">
        <f>W6+AE6+AM6+AV6</f>
        <v>509870</v>
      </c>
      <c r="BB6" s="72">
        <f>BF6+BG6</f>
        <v>4400</v>
      </c>
      <c r="BC6" s="73">
        <v>40</v>
      </c>
      <c r="BD6" s="74">
        <v>268410</v>
      </c>
      <c r="BE6" s="74">
        <v>63940</v>
      </c>
      <c r="BF6" s="75">
        <v>4400</v>
      </c>
      <c r="BG6" s="75"/>
      <c r="BH6" s="75">
        <v>3300</v>
      </c>
      <c r="BI6" s="75"/>
      <c r="BJ6" s="76">
        <f t="shared" ref="BJ6:BJ35" si="30">SUM(BD6:BG6)</f>
        <v>336750</v>
      </c>
      <c r="BK6" s="47">
        <v>2</v>
      </c>
      <c r="BL6" s="77">
        <f t="shared" si="27"/>
        <v>336750</v>
      </c>
      <c r="BM6" s="47">
        <v>460</v>
      </c>
      <c r="BN6" s="47" t="s">
        <v>42</v>
      </c>
    </row>
    <row r="7" spans="1:66" ht="20" customHeight="1">
      <c r="B7" s="78">
        <f>B6+1</f>
        <v>45415</v>
      </c>
      <c r="C7" s="79"/>
      <c r="D7" s="50"/>
      <c r="E7" s="51">
        <v>26</v>
      </c>
      <c r="F7" s="52">
        <v>120120</v>
      </c>
      <c r="G7" s="53">
        <f t="shared" si="0"/>
        <v>4200</v>
      </c>
      <c r="H7" s="52">
        <v>29780</v>
      </c>
      <c r="I7" s="54">
        <f t="shared" si="1"/>
        <v>1041.2307692307693</v>
      </c>
      <c r="J7" s="55">
        <f t="shared" si="2"/>
        <v>149900</v>
      </c>
      <c r="K7" s="56">
        <f t="shared" si="3"/>
        <v>5765.3846153846152</v>
      </c>
      <c r="L7" s="57"/>
      <c r="M7" s="58">
        <f t="shared" si="4"/>
        <v>20</v>
      </c>
      <c r="N7" s="59">
        <f t="shared" si="4"/>
        <v>162360</v>
      </c>
      <c r="O7" s="53">
        <f t="shared" si="5"/>
        <v>7380</v>
      </c>
      <c r="P7" s="59">
        <f t="shared" si="6"/>
        <v>34730</v>
      </c>
      <c r="Q7" s="54">
        <f t="shared" si="7"/>
        <v>1578.6</v>
      </c>
      <c r="R7" s="60">
        <f t="shared" si="8"/>
        <v>197090</v>
      </c>
      <c r="S7" s="56">
        <f t="shared" si="9"/>
        <v>9854.5</v>
      </c>
      <c r="T7" s="80">
        <f t="shared" si="10"/>
        <v>46</v>
      </c>
      <c r="U7" s="59">
        <f t="shared" si="10"/>
        <v>282480</v>
      </c>
      <c r="V7" s="59">
        <f t="shared" si="11"/>
        <v>64510</v>
      </c>
      <c r="W7" s="62">
        <f t="shared" si="12"/>
        <v>346990</v>
      </c>
      <c r="X7" s="81"/>
      <c r="Y7" s="63"/>
      <c r="Z7" s="64">
        <v>20</v>
      </c>
      <c r="AA7" s="52">
        <v>11450</v>
      </c>
      <c r="AB7" s="53">
        <f t="shared" si="13"/>
        <v>572.5</v>
      </c>
      <c r="AC7" s="52">
        <v>7300</v>
      </c>
      <c r="AD7" s="54">
        <f t="shared" si="14"/>
        <v>365</v>
      </c>
      <c r="AE7" s="65">
        <f t="shared" si="15"/>
        <v>18750</v>
      </c>
      <c r="AF7" s="56">
        <f t="shared" si="16"/>
        <v>937.5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9"/>
        <v>0</v>
      </c>
      <c r="AN7" s="67" t="str">
        <f t="shared" si="19"/>
        <v/>
      </c>
      <c r="AO7" s="68"/>
      <c r="AP7" s="64">
        <v>139</v>
      </c>
      <c r="AQ7" s="52">
        <v>89750</v>
      </c>
      <c r="AR7" s="53">
        <f t="shared" si="20"/>
        <v>645.68345323741005</v>
      </c>
      <c r="AS7" s="52">
        <v>74250</v>
      </c>
      <c r="AT7" s="54">
        <f t="shared" si="21"/>
        <v>534.17266187050359</v>
      </c>
      <c r="AU7" s="54"/>
      <c r="AV7" s="69">
        <f t="shared" ref="AV7:AV35" si="31">AQ7+AS7+AU7</f>
        <v>164000</v>
      </c>
      <c r="AW7" s="67">
        <f t="shared" si="22"/>
        <v>1179.8561151079136</v>
      </c>
      <c r="AX7" s="82">
        <f t="shared" si="23"/>
        <v>46</v>
      </c>
      <c r="AY7" s="59">
        <f t="shared" si="24"/>
        <v>383680</v>
      </c>
      <c r="AZ7" s="59">
        <f t="shared" si="25"/>
        <v>146060</v>
      </c>
      <c r="BA7" s="71">
        <f>W7+AE7+AM7+AV7-BM7</f>
        <v>527760</v>
      </c>
      <c r="BB7" s="72">
        <f t="shared" ref="BB7:BB35" si="32">BF7+BG7</f>
        <v>2200</v>
      </c>
      <c r="BC7" s="73">
        <v>46</v>
      </c>
      <c r="BD7" s="74">
        <v>282480</v>
      </c>
      <c r="BE7" s="74">
        <v>64510</v>
      </c>
      <c r="BF7" s="75">
        <v>2200</v>
      </c>
      <c r="BG7" s="75"/>
      <c r="BH7" s="75"/>
      <c r="BI7" s="75"/>
      <c r="BJ7" s="76">
        <f t="shared" si="30"/>
        <v>349190</v>
      </c>
      <c r="BK7" s="47">
        <v>3</v>
      </c>
      <c r="BL7" s="77">
        <f t="shared" si="27"/>
        <v>349190</v>
      </c>
      <c r="BM7" s="47">
        <v>1980</v>
      </c>
      <c r="BN7" s="47" t="s">
        <v>42</v>
      </c>
    </row>
    <row r="8" spans="1:66" ht="20" customHeight="1">
      <c r="B8" s="78">
        <f t="shared" si="28"/>
        <v>45416</v>
      </c>
      <c r="C8" s="79"/>
      <c r="D8" s="50"/>
      <c r="E8" s="51">
        <v>26</v>
      </c>
      <c r="F8" s="52">
        <v>96030</v>
      </c>
      <c r="G8" s="53">
        <f t="shared" si="0"/>
        <v>3357.6923076923076</v>
      </c>
      <c r="H8" s="52">
        <v>13350</v>
      </c>
      <c r="I8" s="54">
        <f t="shared" si="1"/>
        <v>466.76923076923077</v>
      </c>
      <c r="J8" s="55">
        <f t="shared" si="2"/>
        <v>109380</v>
      </c>
      <c r="K8" s="56">
        <f t="shared" si="3"/>
        <v>4206.9230769230771</v>
      </c>
      <c r="L8" s="57"/>
      <c r="M8" s="58">
        <f t="shared" si="4"/>
        <v>24</v>
      </c>
      <c r="N8" s="59">
        <f t="shared" si="4"/>
        <v>222750</v>
      </c>
      <c r="O8" s="53">
        <f t="shared" si="5"/>
        <v>8437.5</v>
      </c>
      <c r="P8" s="59">
        <f t="shared" si="6"/>
        <v>48490</v>
      </c>
      <c r="Q8" s="54">
        <f t="shared" si="7"/>
        <v>1836.7083333333333</v>
      </c>
      <c r="R8" s="60">
        <f t="shared" si="8"/>
        <v>271240</v>
      </c>
      <c r="S8" s="56">
        <f t="shared" si="9"/>
        <v>11301.666666666666</v>
      </c>
      <c r="T8" s="80">
        <f t="shared" si="10"/>
        <v>50</v>
      </c>
      <c r="U8" s="59">
        <f t="shared" si="10"/>
        <v>318780</v>
      </c>
      <c r="V8" s="59">
        <f t="shared" si="11"/>
        <v>61840</v>
      </c>
      <c r="W8" s="62">
        <f t="shared" si="12"/>
        <v>380620</v>
      </c>
      <c r="X8" s="81"/>
      <c r="Y8" s="63"/>
      <c r="Z8" s="64">
        <v>30</v>
      </c>
      <c r="AA8" s="52">
        <v>11940</v>
      </c>
      <c r="AB8" s="53">
        <f t="shared" si="13"/>
        <v>398</v>
      </c>
      <c r="AC8" s="52">
        <v>4550</v>
      </c>
      <c r="AD8" s="54">
        <f t="shared" si="14"/>
        <v>151.66666666666666</v>
      </c>
      <c r="AE8" s="65">
        <f t="shared" si="15"/>
        <v>16490</v>
      </c>
      <c r="AF8" s="56">
        <f t="shared" si="16"/>
        <v>549.66666666666663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9"/>
        <v>0</v>
      </c>
      <c r="AN8" s="67" t="str">
        <f t="shared" si="19"/>
        <v/>
      </c>
      <c r="AO8" s="68"/>
      <c r="AP8" s="64">
        <v>185</v>
      </c>
      <c r="AQ8" s="52">
        <v>119750</v>
      </c>
      <c r="AR8" s="53">
        <f t="shared" si="20"/>
        <v>647.29729729729729</v>
      </c>
      <c r="AS8" s="52">
        <v>118500</v>
      </c>
      <c r="AT8" s="54">
        <f t="shared" si="21"/>
        <v>640.54054054054052</v>
      </c>
      <c r="AU8" s="54"/>
      <c r="AV8" s="69">
        <f t="shared" si="31"/>
        <v>238250</v>
      </c>
      <c r="AW8" s="67">
        <f t="shared" si="22"/>
        <v>1287.8378378378379</v>
      </c>
      <c r="AX8" s="82">
        <f t="shared" si="23"/>
        <v>50</v>
      </c>
      <c r="AY8" s="59">
        <f t="shared" si="24"/>
        <v>450470</v>
      </c>
      <c r="AZ8" s="59">
        <f t="shared" si="25"/>
        <v>184890</v>
      </c>
      <c r="BA8" s="71">
        <f t="shared" si="26"/>
        <v>635360</v>
      </c>
      <c r="BB8" s="72">
        <f t="shared" si="32"/>
        <v>4400</v>
      </c>
      <c r="BC8" s="73">
        <v>50</v>
      </c>
      <c r="BD8" s="74">
        <v>318780</v>
      </c>
      <c r="BE8" s="74">
        <v>61840</v>
      </c>
      <c r="BF8" s="75">
        <v>4400</v>
      </c>
      <c r="BG8" s="75"/>
      <c r="BH8" s="75"/>
      <c r="BI8" s="75"/>
      <c r="BJ8" s="76">
        <f t="shared" si="30"/>
        <v>385020</v>
      </c>
      <c r="BK8" s="47">
        <v>4</v>
      </c>
      <c r="BL8" s="77">
        <f t="shared" si="27"/>
        <v>385020</v>
      </c>
    </row>
    <row r="9" spans="1:66" ht="20" customHeight="1">
      <c r="B9" s="78">
        <f t="shared" si="28"/>
        <v>45417</v>
      </c>
      <c r="C9" s="79"/>
      <c r="D9" s="50"/>
      <c r="E9" s="51">
        <v>36</v>
      </c>
      <c r="F9" s="52">
        <v>172700</v>
      </c>
      <c r="G9" s="53">
        <f t="shared" si="0"/>
        <v>4361.1111111111113</v>
      </c>
      <c r="H9" s="52">
        <v>38640</v>
      </c>
      <c r="I9" s="54">
        <f t="shared" si="1"/>
        <v>975.75</v>
      </c>
      <c r="J9" s="55">
        <f t="shared" si="2"/>
        <v>211340</v>
      </c>
      <c r="K9" s="56">
        <f t="shared" si="3"/>
        <v>5870.5555555555557</v>
      </c>
      <c r="L9" s="57"/>
      <c r="M9" s="58">
        <f t="shared" si="4"/>
        <v>18</v>
      </c>
      <c r="N9" s="59">
        <f t="shared" si="4"/>
        <v>147400</v>
      </c>
      <c r="O9" s="53">
        <f t="shared" si="5"/>
        <v>7444.4444444444443</v>
      </c>
      <c r="P9" s="59">
        <f t="shared" si="6"/>
        <v>33470</v>
      </c>
      <c r="Q9" s="54">
        <f t="shared" si="7"/>
        <v>1690.3888888888889</v>
      </c>
      <c r="R9" s="60">
        <f t="shared" si="8"/>
        <v>180870</v>
      </c>
      <c r="S9" s="56">
        <f t="shared" si="9"/>
        <v>10048.333333333334</v>
      </c>
      <c r="T9" s="80">
        <f t="shared" si="10"/>
        <v>54</v>
      </c>
      <c r="U9" s="59">
        <f t="shared" si="10"/>
        <v>320100</v>
      </c>
      <c r="V9" s="59">
        <f t="shared" si="11"/>
        <v>72110</v>
      </c>
      <c r="W9" s="62">
        <f t="shared" si="12"/>
        <v>392210</v>
      </c>
      <c r="X9" s="81"/>
      <c r="Y9" s="63"/>
      <c r="Z9" s="64">
        <v>14</v>
      </c>
      <c r="AA9" s="52">
        <v>5720</v>
      </c>
      <c r="AB9" s="53">
        <f t="shared" si="13"/>
        <v>408.57142857142856</v>
      </c>
      <c r="AC9" s="52">
        <v>3600</v>
      </c>
      <c r="AD9" s="54">
        <f t="shared" si="14"/>
        <v>257.14285714285717</v>
      </c>
      <c r="AE9" s="65">
        <f t="shared" si="15"/>
        <v>9320</v>
      </c>
      <c r="AF9" s="56">
        <f t="shared" si="16"/>
        <v>665.71428571428567</v>
      </c>
      <c r="AG9" s="66"/>
      <c r="AH9" s="64"/>
      <c r="AI9" s="52"/>
      <c r="AJ9" s="53" t="e">
        <f t="shared" si="17"/>
        <v>#DIV/0!</v>
      </c>
      <c r="AK9" s="52"/>
      <c r="AL9" s="54" t="e">
        <f t="shared" si="18"/>
        <v>#DIV/0!</v>
      </c>
      <c r="AM9" s="65">
        <f t="shared" si="29"/>
        <v>0</v>
      </c>
      <c r="AN9" s="67" t="str">
        <f t="shared" si="19"/>
        <v/>
      </c>
      <c r="AO9" s="68"/>
      <c r="AP9" s="64">
        <v>179</v>
      </c>
      <c r="AQ9" s="52">
        <v>152900</v>
      </c>
      <c r="AR9" s="53">
        <f t="shared" si="20"/>
        <v>854.18994413407825</v>
      </c>
      <c r="AS9" s="52">
        <v>95200</v>
      </c>
      <c r="AT9" s="54">
        <f t="shared" si="21"/>
        <v>531.84357541899442</v>
      </c>
      <c r="AU9" s="54"/>
      <c r="AV9" s="69">
        <f t="shared" si="31"/>
        <v>248100</v>
      </c>
      <c r="AW9" s="67">
        <f>IF(AP9="","",AV9/AP9)</f>
        <v>1386.0335195530727</v>
      </c>
      <c r="AX9" s="82">
        <f t="shared" si="23"/>
        <v>54</v>
      </c>
      <c r="AY9" s="59">
        <f t="shared" si="24"/>
        <v>478720</v>
      </c>
      <c r="AZ9" s="59">
        <f t="shared" si="25"/>
        <v>170910</v>
      </c>
      <c r="BA9" s="71">
        <f>W9+AE9+AM9+AV9</f>
        <v>649630</v>
      </c>
      <c r="BB9" s="72">
        <f t="shared" si="32"/>
        <v>2200</v>
      </c>
      <c r="BC9" s="73">
        <v>54</v>
      </c>
      <c r="BD9" s="74">
        <v>320100</v>
      </c>
      <c r="BE9" s="74">
        <v>72110</v>
      </c>
      <c r="BF9" s="75">
        <v>2200</v>
      </c>
      <c r="BG9" s="75"/>
      <c r="BH9" s="75"/>
      <c r="BI9" s="75"/>
      <c r="BJ9" s="76">
        <f t="shared" si="30"/>
        <v>394410</v>
      </c>
      <c r="BK9" s="47">
        <v>5</v>
      </c>
      <c r="BL9" s="77">
        <f t="shared" si="27"/>
        <v>394410</v>
      </c>
    </row>
    <row r="10" spans="1:66" ht="20" customHeight="1">
      <c r="B10" s="78">
        <f t="shared" si="28"/>
        <v>45418</v>
      </c>
      <c r="C10" s="79"/>
      <c r="D10" s="50"/>
      <c r="E10" s="51">
        <v>19</v>
      </c>
      <c r="F10" s="52">
        <v>75570</v>
      </c>
      <c r="G10" s="53">
        <f t="shared" si="0"/>
        <v>3615.7894736842104</v>
      </c>
      <c r="H10" s="52">
        <v>18940</v>
      </c>
      <c r="I10" s="54">
        <f t="shared" si="1"/>
        <v>906.21052631578948</v>
      </c>
      <c r="J10" s="55">
        <f t="shared" si="2"/>
        <v>94510</v>
      </c>
      <c r="K10" s="56">
        <f t="shared" si="3"/>
        <v>4974.2105263157891</v>
      </c>
      <c r="L10" s="57"/>
      <c r="M10" s="58">
        <f t="shared" si="4"/>
        <v>10</v>
      </c>
      <c r="N10" s="59">
        <f t="shared" si="4"/>
        <v>113080</v>
      </c>
      <c r="O10" s="53">
        <f t="shared" si="5"/>
        <v>10280</v>
      </c>
      <c r="P10" s="59">
        <f t="shared" si="6"/>
        <v>26230</v>
      </c>
      <c r="Q10" s="54">
        <f t="shared" si="7"/>
        <v>2384.5</v>
      </c>
      <c r="R10" s="60">
        <f t="shared" si="8"/>
        <v>139310</v>
      </c>
      <c r="S10" s="56">
        <f t="shared" si="9"/>
        <v>13931</v>
      </c>
      <c r="T10" s="80">
        <f t="shared" si="10"/>
        <v>29</v>
      </c>
      <c r="U10" s="59">
        <f t="shared" si="10"/>
        <v>188650</v>
      </c>
      <c r="V10" s="59">
        <f t="shared" si="11"/>
        <v>45170</v>
      </c>
      <c r="W10" s="62">
        <f t="shared" si="12"/>
        <v>233820</v>
      </c>
      <c r="X10" s="81"/>
      <c r="Y10" s="63"/>
      <c r="Z10" s="64">
        <v>3</v>
      </c>
      <c r="AA10" s="52">
        <v>1250</v>
      </c>
      <c r="AB10" s="53">
        <f t="shared" si="13"/>
        <v>416.66666666666669</v>
      </c>
      <c r="AC10" s="52">
        <v>2100</v>
      </c>
      <c r="AD10" s="54">
        <f t="shared" si="14"/>
        <v>700</v>
      </c>
      <c r="AE10" s="65">
        <f t="shared" si="15"/>
        <v>3350</v>
      </c>
      <c r="AF10" s="56">
        <f t="shared" si="16"/>
        <v>1116.6666666666667</v>
      </c>
      <c r="AG10" s="66"/>
      <c r="AH10" s="64"/>
      <c r="AI10" s="52"/>
      <c r="AJ10" s="53" t="e">
        <f t="shared" si="17"/>
        <v>#DIV/0!</v>
      </c>
      <c r="AK10" s="52"/>
      <c r="AL10" s="54" t="e">
        <f t="shared" si="18"/>
        <v>#DIV/0!</v>
      </c>
      <c r="AM10" s="65">
        <f t="shared" si="29"/>
        <v>0</v>
      </c>
      <c r="AN10" s="67" t="str">
        <f t="shared" si="19"/>
        <v/>
      </c>
      <c r="AO10" s="68"/>
      <c r="AP10" s="64">
        <v>59</v>
      </c>
      <c r="AQ10" s="52">
        <v>55300</v>
      </c>
      <c r="AR10" s="53">
        <f t="shared" si="20"/>
        <v>937.28813559322032</v>
      </c>
      <c r="AS10" s="52">
        <v>23250</v>
      </c>
      <c r="AT10" s="54">
        <f t="shared" si="21"/>
        <v>394.06779661016947</v>
      </c>
      <c r="AU10" s="54"/>
      <c r="AV10" s="69">
        <f>AQ10+AS10+AU10-BM10</f>
        <v>78290</v>
      </c>
      <c r="AW10" s="67">
        <f t="shared" si="22"/>
        <v>1326.949152542373</v>
      </c>
      <c r="AX10" s="82">
        <f t="shared" si="23"/>
        <v>29</v>
      </c>
      <c r="AY10" s="59">
        <f t="shared" si="24"/>
        <v>245200</v>
      </c>
      <c r="AZ10" s="59">
        <f t="shared" si="25"/>
        <v>70520</v>
      </c>
      <c r="BA10" s="71">
        <f t="shared" si="26"/>
        <v>315460</v>
      </c>
      <c r="BB10" s="72">
        <f t="shared" si="32"/>
        <v>0</v>
      </c>
      <c r="BC10" s="73">
        <v>29</v>
      </c>
      <c r="BD10" s="74">
        <v>188650</v>
      </c>
      <c r="BE10" s="74">
        <v>45170</v>
      </c>
      <c r="BF10" s="75"/>
      <c r="BG10" s="75"/>
      <c r="BH10" s="75">
        <v>3300</v>
      </c>
      <c r="BI10" s="75"/>
      <c r="BJ10" s="76">
        <f t="shared" si="30"/>
        <v>233820</v>
      </c>
      <c r="BK10" s="47">
        <v>6</v>
      </c>
      <c r="BL10" s="77">
        <f t="shared" si="27"/>
        <v>233820</v>
      </c>
      <c r="BM10" s="47">
        <v>260</v>
      </c>
      <c r="BN10" s="47" t="s">
        <v>42</v>
      </c>
    </row>
    <row r="11" spans="1:66" ht="20" customHeight="1">
      <c r="B11" s="78">
        <f t="shared" si="28"/>
        <v>45419</v>
      </c>
      <c r="C11" s="79"/>
      <c r="D11" s="50"/>
      <c r="E11" s="51">
        <v>25</v>
      </c>
      <c r="F11" s="52">
        <v>98340</v>
      </c>
      <c r="G11" s="53">
        <f t="shared" si="0"/>
        <v>3576</v>
      </c>
      <c r="H11" s="52">
        <v>11600</v>
      </c>
      <c r="I11" s="54">
        <f t="shared" si="1"/>
        <v>421.8</v>
      </c>
      <c r="J11" s="55">
        <f t="shared" si="2"/>
        <v>109940</v>
      </c>
      <c r="K11" s="56">
        <f t="shared" si="3"/>
        <v>4397.6000000000004</v>
      </c>
      <c r="L11" s="57"/>
      <c r="M11" s="58">
        <f t="shared" si="4"/>
        <v>7</v>
      </c>
      <c r="N11" s="59">
        <f t="shared" si="4"/>
        <v>61820</v>
      </c>
      <c r="O11" s="53">
        <f t="shared" si="5"/>
        <v>8028.5714285714284</v>
      </c>
      <c r="P11" s="59">
        <f t="shared" si="6"/>
        <v>28600</v>
      </c>
      <c r="Q11" s="54">
        <f t="shared" si="7"/>
        <v>3714.2857142857142</v>
      </c>
      <c r="R11" s="60">
        <f t="shared" si="8"/>
        <v>90420</v>
      </c>
      <c r="S11" s="56">
        <f t="shared" si="9"/>
        <v>12917.142857142857</v>
      </c>
      <c r="T11" s="80">
        <f t="shared" si="10"/>
        <v>32</v>
      </c>
      <c r="U11" s="59">
        <f t="shared" si="10"/>
        <v>160160</v>
      </c>
      <c r="V11" s="59">
        <f t="shared" si="11"/>
        <v>40200</v>
      </c>
      <c r="W11" s="62">
        <f t="shared" si="12"/>
        <v>200360</v>
      </c>
      <c r="X11" s="81"/>
      <c r="Y11" s="63"/>
      <c r="Z11" s="64">
        <v>9</v>
      </c>
      <c r="AA11" s="52">
        <v>3990</v>
      </c>
      <c r="AB11" s="53">
        <f t="shared" si="13"/>
        <v>443.33333333333331</v>
      </c>
      <c r="AC11" s="52">
        <v>0</v>
      </c>
      <c r="AD11" s="54">
        <f t="shared" si="14"/>
        <v>0</v>
      </c>
      <c r="AE11" s="65">
        <f t="shared" si="15"/>
        <v>3990</v>
      </c>
      <c r="AF11" s="56">
        <f t="shared" si="16"/>
        <v>443.33333333333331</v>
      </c>
      <c r="AG11" s="66"/>
      <c r="AH11" s="64"/>
      <c r="AI11" s="52"/>
      <c r="AJ11" s="53" t="e">
        <f t="shared" si="17"/>
        <v>#DIV/0!</v>
      </c>
      <c r="AK11" s="52"/>
      <c r="AL11" s="54" t="e">
        <f t="shared" si="18"/>
        <v>#DIV/0!</v>
      </c>
      <c r="AM11" s="65">
        <f t="shared" si="29"/>
        <v>0</v>
      </c>
      <c r="AN11" s="67" t="str">
        <f t="shared" si="19"/>
        <v/>
      </c>
      <c r="AO11" s="68"/>
      <c r="AP11" s="64">
        <v>28</v>
      </c>
      <c r="AQ11" s="52">
        <v>20500</v>
      </c>
      <c r="AR11" s="53">
        <f t="shared" si="20"/>
        <v>732.14285714285711</v>
      </c>
      <c r="AS11" s="52">
        <v>18500</v>
      </c>
      <c r="AT11" s="54">
        <f t="shared" si="21"/>
        <v>660.71428571428567</v>
      </c>
      <c r="AU11" s="54"/>
      <c r="AV11" s="69">
        <f t="shared" si="31"/>
        <v>39000</v>
      </c>
      <c r="AW11" s="67">
        <f t="shared" si="22"/>
        <v>1392.8571428571429</v>
      </c>
      <c r="AX11" s="82">
        <f t="shared" si="23"/>
        <v>32</v>
      </c>
      <c r="AY11" s="59">
        <f t="shared" si="24"/>
        <v>184650</v>
      </c>
      <c r="AZ11" s="59">
        <f t="shared" si="25"/>
        <v>58700</v>
      </c>
      <c r="BA11" s="71">
        <f t="shared" si="26"/>
        <v>243350</v>
      </c>
      <c r="BB11" s="72">
        <f t="shared" si="32"/>
        <v>0</v>
      </c>
      <c r="BC11" s="73">
        <v>32</v>
      </c>
      <c r="BD11" s="74">
        <v>160160</v>
      </c>
      <c r="BE11" s="74">
        <v>40200</v>
      </c>
      <c r="BF11" s="75"/>
      <c r="BG11" s="75"/>
      <c r="BH11" s="75"/>
      <c r="BI11" s="75"/>
      <c r="BJ11" s="76">
        <f t="shared" si="30"/>
        <v>200360</v>
      </c>
      <c r="BK11" s="47">
        <v>7</v>
      </c>
      <c r="BL11" s="77">
        <f t="shared" si="27"/>
        <v>200360</v>
      </c>
    </row>
    <row r="12" spans="1:66" ht="20" customHeight="1">
      <c r="B12" s="78">
        <f t="shared" si="28"/>
        <v>45420</v>
      </c>
      <c r="C12" s="83"/>
      <c r="D12" s="50"/>
      <c r="E12" s="51">
        <v>21</v>
      </c>
      <c r="F12" s="52">
        <v>63690</v>
      </c>
      <c r="G12" s="53">
        <f t="shared" si="0"/>
        <v>2757.1428571428573</v>
      </c>
      <c r="H12" s="52">
        <v>11700</v>
      </c>
      <c r="I12" s="54">
        <f t="shared" si="1"/>
        <v>506.47619047619048</v>
      </c>
      <c r="J12" s="55">
        <f t="shared" si="2"/>
        <v>75390</v>
      </c>
      <c r="K12" s="56">
        <f t="shared" si="3"/>
        <v>3590</v>
      </c>
      <c r="L12" s="57"/>
      <c r="M12" s="58">
        <f t="shared" si="4"/>
        <v>0</v>
      </c>
      <c r="N12" s="59">
        <f t="shared" si="4"/>
        <v>0</v>
      </c>
      <c r="O12" s="53" t="e">
        <f t="shared" si="5"/>
        <v>#DIV/0!</v>
      </c>
      <c r="P12" s="59">
        <f t="shared" si="6"/>
        <v>0</v>
      </c>
      <c r="Q12" s="84" t="e">
        <f t="shared" si="7"/>
        <v>#DIV/0!</v>
      </c>
      <c r="R12" s="60">
        <f t="shared" si="8"/>
        <v>0</v>
      </c>
      <c r="S12" s="56" t="e">
        <f t="shared" si="9"/>
        <v>#DIV/0!</v>
      </c>
      <c r="T12" s="80">
        <f t="shared" si="10"/>
        <v>21</v>
      </c>
      <c r="U12" s="59">
        <f t="shared" si="10"/>
        <v>63690</v>
      </c>
      <c r="V12" s="59">
        <f t="shared" si="11"/>
        <v>11700</v>
      </c>
      <c r="W12" s="62">
        <f t="shared" si="12"/>
        <v>75390</v>
      </c>
      <c r="X12" s="81"/>
      <c r="Y12" s="63"/>
      <c r="Z12" s="64">
        <v>2</v>
      </c>
      <c r="AA12" s="52">
        <v>1050</v>
      </c>
      <c r="AB12" s="53">
        <f t="shared" si="13"/>
        <v>525</v>
      </c>
      <c r="AC12" s="52">
        <v>0</v>
      </c>
      <c r="AD12" s="54">
        <f t="shared" si="14"/>
        <v>0</v>
      </c>
      <c r="AE12" s="65">
        <f t="shared" si="15"/>
        <v>1050</v>
      </c>
      <c r="AF12" s="56">
        <f t="shared" si="16"/>
        <v>525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9"/>
        <v>0</v>
      </c>
      <c r="AN12" s="67" t="str">
        <f t="shared" si="19"/>
        <v/>
      </c>
      <c r="AO12" s="68"/>
      <c r="AP12" s="64">
        <v>17</v>
      </c>
      <c r="AQ12" s="52">
        <v>28850</v>
      </c>
      <c r="AR12" s="53">
        <f t="shared" si="20"/>
        <v>1697.0588235294117</v>
      </c>
      <c r="AS12" s="52">
        <v>13300</v>
      </c>
      <c r="AT12" s="54">
        <f t="shared" si="21"/>
        <v>782.35294117647061</v>
      </c>
      <c r="AU12" s="54"/>
      <c r="AV12" s="69">
        <f t="shared" si="31"/>
        <v>42150</v>
      </c>
      <c r="AW12" s="67">
        <f t="shared" si="22"/>
        <v>2479.4117647058824</v>
      </c>
      <c r="AX12" s="82">
        <f t="shared" si="23"/>
        <v>21</v>
      </c>
      <c r="AY12" s="59">
        <f t="shared" si="24"/>
        <v>93590</v>
      </c>
      <c r="AZ12" s="59">
        <f t="shared" si="25"/>
        <v>25000</v>
      </c>
      <c r="BA12" s="71">
        <f t="shared" si="26"/>
        <v>118590</v>
      </c>
      <c r="BB12" s="72">
        <f t="shared" si="32"/>
        <v>2200</v>
      </c>
      <c r="BC12" s="73">
        <v>21</v>
      </c>
      <c r="BD12" s="74">
        <v>63690</v>
      </c>
      <c r="BE12" s="74">
        <v>11700</v>
      </c>
      <c r="BF12" s="75">
        <v>2200</v>
      </c>
      <c r="BG12" s="75"/>
      <c r="BH12" s="75"/>
      <c r="BI12" s="75"/>
      <c r="BJ12" s="76">
        <f t="shared" si="30"/>
        <v>77590</v>
      </c>
      <c r="BK12" s="47">
        <v>8</v>
      </c>
      <c r="BL12" s="77">
        <f t="shared" si="27"/>
        <v>77590</v>
      </c>
    </row>
    <row r="13" spans="1:66" ht="20" customHeight="1">
      <c r="B13" s="78">
        <f t="shared" si="28"/>
        <v>45421</v>
      </c>
      <c r="C13" s="79"/>
      <c r="D13" s="50"/>
      <c r="E13" s="51">
        <v>24</v>
      </c>
      <c r="F13" s="52">
        <v>86130</v>
      </c>
      <c r="G13" s="53">
        <f t="shared" si="0"/>
        <v>3262.5</v>
      </c>
      <c r="H13" s="52">
        <v>18840</v>
      </c>
      <c r="I13" s="54">
        <f t="shared" si="1"/>
        <v>713.625</v>
      </c>
      <c r="J13" s="55">
        <f t="shared" si="2"/>
        <v>104970</v>
      </c>
      <c r="K13" s="56">
        <f t="shared" si="3"/>
        <v>4373.75</v>
      </c>
      <c r="L13" s="57"/>
      <c r="M13" s="58">
        <f t="shared" si="4"/>
        <v>7</v>
      </c>
      <c r="N13" s="59">
        <f t="shared" si="4"/>
        <v>70340</v>
      </c>
      <c r="O13" s="53">
        <f t="shared" si="5"/>
        <v>9135</v>
      </c>
      <c r="P13" s="59">
        <f t="shared" si="6"/>
        <v>17380</v>
      </c>
      <c r="Q13" s="54">
        <f t="shared" si="7"/>
        <v>2257.1428571428573</v>
      </c>
      <c r="R13" s="60">
        <f t="shared" si="8"/>
        <v>87720</v>
      </c>
      <c r="S13" s="56">
        <f t="shared" si="9"/>
        <v>12531.428571428571</v>
      </c>
      <c r="T13" s="80">
        <f t="shared" si="10"/>
        <v>31</v>
      </c>
      <c r="U13" s="59">
        <f t="shared" si="10"/>
        <v>156470</v>
      </c>
      <c r="V13" s="59">
        <f t="shared" si="11"/>
        <v>36220</v>
      </c>
      <c r="W13" s="62">
        <f t="shared" si="12"/>
        <v>192690</v>
      </c>
      <c r="X13" s="81"/>
      <c r="Y13" s="63"/>
      <c r="Z13" s="64">
        <v>11</v>
      </c>
      <c r="AA13" s="52">
        <v>5170</v>
      </c>
      <c r="AB13" s="53">
        <f t="shared" si="13"/>
        <v>470</v>
      </c>
      <c r="AC13" s="52">
        <v>6220</v>
      </c>
      <c r="AD13" s="54">
        <f t="shared" si="14"/>
        <v>565.4545454545455</v>
      </c>
      <c r="AE13" s="65">
        <f t="shared" si="15"/>
        <v>11390</v>
      </c>
      <c r="AF13" s="56">
        <f t="shared" si="16"/>
        <v>1035.4545454545455</v>
      </c>
      <c r="AG13" s="66"/>
      <c r="AH13" s="64"/>
      <c r="AI13" s="52"/>
      <c r="AJ13" s="53" t="e">
        <f t="shared" si="17"/>
        <v>#DIV/0!</v>
      </c>
      <c r="AK13" s="52"/>
      <c r="AL13" s="54" t="e">
        <f t="shared" si="18"/>
        <v>#DIV/0!</v>
      </c>
      <c r="AM13" s="65">
        <f t="shared" si="29"/>
        <v>0</v>
      </c>
      <c r="AN13" s="67" t="str">
        <f t="shared" si="19"/>
        <v/>
      </c>
      <c r="AO13" s="68"/>
      <c r="AP13" s="64">
        <v>37</v>
      </c>
      <c r="AQ13" s="52">
        <v>24950</v>
      </c>
      <c r="AR13" s="53">
        <f t="shared" si="20"/>
        <v>674.32432432432438</v>
      </c>
      <c r="AS13" s="52">
        <v>14150</v>
      </c>
      <c r="AT13" s="54">
        <f t="shared" si="21"/>
        <v>382.43243243243245</v>
      </c>
      <c r="AU13" s="54"/>
      <c r="AV13" s="69">
        <f>AQ13+AS13+AU13</f>
        <v>39100</v>
      </c>
      <c r="AW13" s="67">
        <f t="shared" si="22"/>
        <v>1056.7567567567567</v>
      </c>
      <c r="AX13" s="82">
        <f t="shared" si="23"/>
        <v>31</v>
      </c>
      <c r="AY13" s="59">
        <f t="shared" si="24"/>
        <v>186590</v>
      </c>
      <c r="AZ13" s="59">
        <f t="shared" si="25"/>
        <v>56590</v>
      </c>
      <c r="BA13" s="71">
        <f t="shared" si="26"/>
        <v>243180</v>
      </c>
      <c r="BB13" s="72">
        <f t="shared" si="32"/>
        <v>0</v>
      </c>
      <c r="BC13" s="73">
        <v>31</v>
      </c>
      <c r="BD13" s="74">
        <v>156470</v>
      </c>
      <c r="BE13" s="74">
        <v>36220</v>
      </c>
      <c r="BF13" s="75"/>
      <c r="BG13" s="75"/>
      <c r="BH13" s="75">
        <v>3300</v>
      </c>
      <c r="BI13" s="75"/>
      <c r="BJ13" s="76">
        <f t="shared" si="30"/>
        <v>192690</v>
      </c>
      <c r="BK13" s="47">
        <v>9</v>
      </c>
      <c r="BL13" s="77">
        <f t="shared" si="27"/>
        <v>192690</v>
      </c>
    </row>
    <row r="14" spans="1:66" ht="20" customHeight="1">
      <c r="B14" s="78">
        <f t="shared" si="28"/>
        <v>45422</v>
      </c>
      <c r="C14" s="79"/>
      <c r="D14" s="50"/>
      <c r="E14" s="51">
        <v>26</v>
      </c>
      <c r="F14" s="52">
        <v>104170</v>
      </c>
      <c r="G14" s="53">
        <f t="shared" si="0"/>
        <v>3642.3076923076924</v>
      </c>
      <c r="H14" s="52">
        <v>23040</v>
      </c>
      <c r="I14" s="54">
        <f t="shared" si="1"/>
        <v>805.57692307692309</v>
      </c>
      <c r="J14" s="55">
        <f t="shared" si="2"/>
        <v>127210</v>
      </c>
      <c r="K14" s="56">
        <f t="shared" si="3"/>
        <v>4892.6923076923076</v>
      </c>
      <c r="L14" s="57"/>
      <c r="M14" s="58">
        <f t="shared" si="4"/>
        <v>6</v>
      </c>
      <c r="N14" s="59">
        <f t="shared" si="4"/>
        <v>56760</v>
      </c>
      <c r="O14" s="53">
        <f t="shared" si="5"/>
        <v>8600</v>
      </c>
      <c r="P14" s="59">
        <f t="shared" si="6"/>
        <v>11880</v>
      </c>
      <c r="Q14" s="54">
        <f t="shared" si="7"/>
        <v>1800</v>
      </c>
      <c r="R14" s="60">
        <f t="shared" si="8"/>
        <v>68640</v>
      </c>
      <c r="S14" s="56">
        <f t="shared" si="9"/>
        <v>11440</v>
      </c>
      <c r="T14" s="80">
        <f t="shared" si="10"/>
        <v>32</v>
      </c>
      <c r="U14" s="59">
        <f t="shared" si="10"/>
        <v>160930</v>
      </c>
      <c r="V14" s="59">
        <f t="shared" si="11"/>
        <v>34920</v>
      </c>
      <c r="W14" s="62">
        <f t="shared" si="12"/>
        <v>195850</v>
      </c>
      <c r="X14" s="81"/>
      <c r="Y14" s="63"/>
      <c r="Z14" s="64">
        <v>12</v>
      </c>
      <c r="AA14" s="52">
        <v>5540</v>
      </c>
      <c r="AB14" s="53">
        <f t="shared" si="13"/>
        <v>461.66666666666669</v>
      </c>
      <c r="AC14" s="52">
        <v>2190</v>
      </c>
      <c r="AD14" s="54">
        <f t="shared" si="14"/>
        <v>182.5</v>
      </c>
      <c r="AE14" s="65">
        <f t="shared" si="15"/>
        <v>7730</v>
      </c>
      <c r="AF14" s="56">
        <f t="shared" si="16"/>
        <v>644.16666666666663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9"/>
        <v>0</v>
      </c>
      <c r="AN14" s="67" t="str">
        <f t="shared" si="19"/>
        <v/>
      </c>
      <c r="AO14" s="68"/>
      <c r="AP14" s="64">
        <v>55</v>
      </c>
      <c r="AQ14" s="52">
        <v>54700</v>
      </c>
      <c r="AR14" s="53">
        <f t="shared" si="20"/>
        <v>994.5454545454545</v>
      </c>
      <c r="AS14" s="52">
        <v>22150</v>
      </c>
      <c r="AT14" s="54">
        <f t="shared" si="21"/>
        <v>402.72727272727275</v>
      </c>
      <c r="AU14" s="54"/>
      <c r="AV14" s="69">
        <f t="shared" si="31"/>
        <v>76850</v>
      </c>
      <c r="AW14" s="67">
        <f t="shared" si="22"/>
        <v>1397.2727272727273</v>
      </c>
      <c r="AX14" s="82">
        <f t="shared" si="23"/>
        <v>32</v>
      </c>
      <c r="AY14" s="59">
        <f t="shared" si="24"/>
        <v>221170</v>
      </c>
      <c r="AZ14" s="59">
        <f t="shared" si="25"/>
        <v>59260</v>
      </c>
      <c r="BA14" s="71">
        <f t="shared" si="26"/>
        <v>280430</v>
      </c>
      <c r="BB14" s="72">
        <f t="shared" si="32"/>
        <v>0</v>
      </c>
      <c r="BC14" s="73">
        <v>32</v>
      </c>
      <c r="BD14" s="74">
        <v>160930</v>
      </c>
      <c r="BE14" s="74">
        <v>34920</v>
      </c>
      <c r="BF14" s="75"/>
      <c r="BG14" s="75"/>
      <c r="BH14" s="75"/>
      <c r="BI14" s="75"/>
      <c r="BJ14" s="76">
        <f t="shared" si="30"/>
        <v>195850</v>
      </c>
      <c r="BK14" s="47">
        <v>10</v>
      </c>
      <c r="BL14" s="77">
        <f t="shared" si="27"/>
        <v>195850</v>
      </c>
    </row>
    <row r="15" spans="1:66" ht="20" customHeight="1">
      <c r="B15" s="78">
        <f t="shared" si="28"/>
        <v>45423</v>
      </c>
      <c r="C15" s="83"/>
      <c r="D15" s="50"/>
      <c r="E15" s="51">
        <v>35</v>
      </c>
      <c r="F15" s="52">
        <v>128920</v>
      </c>
      <c r="G15" s="53">
        <f t="shared" si="0"/>
        <v>3348.5714285714284</v>
      </c>
      <c r="H15" s="52">
        <v>22150</v>
      </c>
      <c r="I15" s="54">
        <f t="shared" si="1"/>
        <v>575.31428571428569</v>
      </c>
      <c r="J15" s="55">
        <f t="shared" si="2"/>
        <v>151070</v>
      </c>
      <c r="K15" s="56">
        <f t="shared" si="3"/>
        <v>4316.2857142857147</v>
      </c>
      <c r="L15" s="57"/>
      <c r="M15" s="58">
        <f t="shared" si="4"/>
        <v>31</v>
      </c>
      <c r="N15" s="59">
        <f t="shared" si="4"/>
        <v>323840</v>
      </c>
      <c r="O15" s="53">
        <f t="shared" si="5"/>
        <v>9496.7741935483864</v>
      </c>
      <c r="P15" s="59">
        <f t="shared" si="6"/>
        <v>63560</v>
      </c>
      <c r="Q15" s="54">
        <f t="shared" si="7"/>
        <v>1863.9032258064517</v>
      </c>
      <c r="R15" s="60">
        <f t="shared" si="8"/>
        <v>387400</v>
      </c>
      <c r="S15" s="56">
        <f t="shared" si="9"/>
        <v>12496.774193548386</v>
      </c>
      <c r="T15" s="80">
        <f t="shared" si="10"/>
        <v>66</v>
      </c>
      <c r="U15" s="59">
        <f t="shared" si="10"/>
        <v>452760</v>
      </c>
      <c r="V15" s="59">
        <f t="shared" si="11"/>
        <v>85710</v>
      </c>
      <c r="W15" s="62">
        <f t="shared" si="12"/>
        <v>538470</v>
      </c>
      <c r="X15" s="81"/>
      <c r="Y15" s="63"/>
      <c r="Z15" s="64">
        <v>29</v>
      </c>
      <c r="AA15" s="52">
        <v>12390</v>
      </c>
      <c r="AB15" s="53">
        <f t="shared" si="13"/>
        <v>427.24137931034483</v>
      </c>
      <c r="AC15" s="52">
        <v>1650</v>
      </c>
      <c r="AD15" s="54">
        <f t="shared" si="14"/>
        <v>56.896551724137929</v>
      </c>
      <c r="AE15" s="65">
        <f t="shared" si="15"/>
        <v>14040</v>
      </c>
      <c r="AF15" s="56">
        <f t="shared" si="16"/>
        <v>484.13793103448273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9"/>
        <v>0</v>
      </c>
      <c r="AN15" s="67" t="str">
        <f t="shared" si="19"/>
        <v/>
      </c>
      <c r="AO15" s="68"/>
      <c r="AP15" s="64">
        <v>146</v>
      </c>
      <c r="AQ15" s="52">
        <v>110900</v>
      </c>
      <c r="AR15" s="53">
        <f t="shared" si="20"/>
        <v>759.58904109589037</v>
      </c>
      <c r="AS15" s="52">
        <v>77100</v>
      </c>
      <c r="AT15" s="54">
        <f t="shared" si="21"/>
        <v>528.08219178082197</v>
      </c>
      <c r="AU15" s="54"/>
      <c r="AV15" s="69">
        <f>AQ15+AS15+AU15-BN15</f>
        <v>186100</v>
      </c>
      <c r="AW15" s="67">
        <f t="shared" si="22"/>
        <v>1274.6575342465753</v>
      </c>
      <c r="AX15" s="82">
        <f t="shared" si="23"/>
        <v>66</v>
      </c>
      <c r="AY15" s="59">
        <f t="shared" si="24"/>
        <v>576050</v>
      </c>
      <c r="AZ15" s="59">
        <f t="shared" si="25"/>
        <v>164460</v>
      </c>
      <c r="BA15" s="71">
        <f>W15+AE15+AM15+AV15-BM15</f>
        <v>725036</v>
      </c>
      <c r="BB15" s="72">
        <f t="shared" si="32"/>
        <v>11550</v>
      </c>
      <c r="BC15" s="73">
        <v>66</v>
      </c>
      <c r="BD15" s="74">
        <v>452760</v>
      </c>
      <c r="BE15" s="74">
        <v>85710</v>
      </c>
      <c r="BF15" s="75">
        <v>9900</v>
      </c>
      <c r="BG15" s="75">
        <v>1650</v>
      </c>
      <c r="BH15" s="75"/>
      <c r="BI15" s="75"/>
      <c r="BJ15" s="76">
        <f t="shared" si="30"/>
        <v>550020</v>
      </c>
      <c r="BK15" s="47">
        <v>11</v>
      </c>
      <c r="BL15" s="77">
        <f t="shared" si="27"/>
        <v>550020</v>
      </c>
      <c r="BM15" s="47">
        <v>13574</v>
      </c>
      <c r="BN15" s="47">
        <v>1900</v>
      </c>
    </row>
    <row r="16" spans="1:66" ht="20" customHeight="1">
      <c r="B16" s="78">
        <f t="shared" si="28"/>
        <v>45424</v>
      </c>
      <c r="C16" s="79"/>
      <c r="D16" s="50"/>
      <c r="E16" s="51">
        <v>38</v>
      </c>
      <c r="F16" s="52">
        <v>135960</v>
      </c>
      <c r="G16" s="53">
        <f t="shared" si="0"/>
        <v>3252.6315789473683</v>
      </c>
      <c r="H16" s="52">
        <v>22650</v>
      </c>
      <c r="I16" s="54">
        <f t="shared" si="1"/>
        <v>541.84210526315792</v>
      </c>
      <c r="J16" s="55">
        <f t="shared" si="2"/>
        <v>158610</v>
      </c>
      <c r="K16" s="56">
        <f t="shared" si="3"/>
        <v>4173.9473684210525</v>
      </c>
      <c r="L16" s="57"/>
      <c r="M16" s="58">
        <f t="shared" si="4"/>
        <v>4</v>
      </c>
      <c r="N16" s="59">
        <f t="shared" si="4"/>
        <v>25520</v>
      </c>
      <c r="O16" s="53">
        <f t="shared" si="5"/>
        <v>5800</v>
      </c>
      <c r="P16" s="59">
        <f t="shared" si="6"/>
        <v>12850</v>
      </c>
      <c r="Q16" s="54">
        <f t="shared" si="7"/>
        <v>2920.25</v>
      </c>
      <c r="R16" s="60">
        <f t="shared" si="8"/>
        <v>38370</v>
      </c>
      <c r="S16" s="56">
        <f t="shared" si="9"/>
        <v>9592.5</v>
      </c>
      <c r="T16" s="80">
        <f t="shared" si="10"/>
        <v>42</v>
      </c>
      <c r="U16" s="59">
        <f t="shared" si="10"/>
        <v>161480</v>
      </c>
      <c r="V16" s="59">
        <f t="shared" si="11"/>
        <v>35500</v>
      </c>
      <c r="W16" s="62">
        <f t="shared" si="12"/>
        <v>196980</v>
      </c>
      <c r="X16" s="81"/>
      <c r="Y16" s="63"/>
      <c r="Z16" s="64">
        <v>10</v>
      </c>
      <c r="AA16" s="52">
        <v>4620</v>
      </c>
      <c r="AB16" s="53">
        <f t="shared" si="13"/>
        <v>462</v>
      </c>
      <c r="AC16" s="52">
        <v>2170</v>
      </c>
      <c r="AD16" s="54">
        <f t="shared" si="14"/>
        <v>217</v>
      </c>
      <c r="AE16" s="65">
        <f t="shared" si="15"/>
        <v>6790</v>
      </c>
      <c r="AF16" s="56">
        <f t="shared" si="16"/>
        <v>679</v>
      </c>
      <c r="AG16" s="66"/>
      <c r="AH16" s="64">
        <v>18</v>
      </c>
      <c r="AI16" s="52">
        <v>70470</v>
      </c>
      <c r="AJ16" s="53">
        <f t="shared" si="17"/>
        <v>3915</v>
      </c>
      <c r="AK16" s="52">
        <v>23490</v>
      </c>
      <c r="AL16" s="54">
        <f t="shared" si="18"/>
        <v>1305</v>
      </c>
      <c r="AM16" s="65">
        <f t="shared" si="29"/>
        <v>93960</v>
      </c>
      <c r="AN16" s="67">
        <f t="shared" si="19"/>
        <v>5220</v>
      </c>
      <c r="AO16" s="68"/>
      <c r="AP16" s="64">
        <v>86</v>
      </c>
      <c r="AQ16" s="52">
        <v>77400</v>
      </c>
      <c r="AR16" s="53">
        <f t="shared" si="20"/>
        <v>900</v>
      </c>
      <c r="AS16" s="52">
        <v>39500</v>
      </c>
      <c r="AT16" s="54">
        <f t="shared" si="21"/>
        <v>459.30232558139534</v>
      </c>
      <c r="AU16" s="54"/>
      <c r="AV16" s="69">
        <f>AQ16+AS16+AU16-BM16</f>
        <v>115480</v>
      </c>
      <c r="AW16" s="67">
        <f t="shared" si="22"/>
        <v>1342.7906976744187</v>
      </c>
      <c r="AX16" s="82">
        <f t="shared" si="23"/>
        <v>42</v>
      </c>
      <c r="AY16" s="59">
        <f t="shared" si="24"/>
        <v>313970</v>
      </c>
      <c r="AZ16" s="59">
        <f t="shared" si="25"/>
        <v>100660</v>
      </c>
      <c r="BA16" s="71">
        <f t="shared" si="26"/>
        <v>413210</v>
      </c>
      <c r="BB16" s="72">
        <f t="shared" si="32"/>
        <v>1100</v>
      </c>
      <c r="BC16" s="73">
        <v>42</v>
      </c>
      <c r="BD16" s="74">
        <v>161480</v>
      </c>
      <c r="BE16" s="74">
        <v>35500</v>
      </c>
      <c r="BF16" s="75">
        <v>1100</v>
      </c>
      <c r="BG16" s="75"/>
      <c r="BH16" s="75">
        <v>3300</v>
      </c>
      <c r="BI16" s="75"/>
      <c r="BJ16" s="76">
        <f t="shared" si="30"/>
        <v>198080</v>
      </c>
      <c r="BK16" s="47">
        <v>12</v>
      </c>
      <c r="BL16" s="77">
        <f t="shared" si="27"/>
        <v>198080</v>
      </c>
      <c r="BM16" s="47">
        <v>1420</v>
      </c>
    </row>
    <row r="17" spans="2:66" ht="20" customHeight="1">
      <c r="B17" s="78">
        <f t="shared" si="28"/>
        <v>45425</v>
      </c>
      <c r="C17" s="83"/>
      <c r="D17" s="50"/>
      <c r="E17" s="51">
        <v>27</v>
      </c>
      <c r="F17" s="52">
        <v>117810</v>
      </c>
      <c r="G17" s="53">
        <f t="shared" si="0"/>
        <v>3966.6666666666665</v>
      </c>
      <c r="H17" s="52">
        <v>12340</v>
      </c>
      <c r="I17" s="54">
        <f t="shared" si="1"/>
        <v>415.48148148148147</v>
      </c>
      <c r="J17" s="55">
        <f t="shared" si="2"/>
        <v>130150</v>
      </c>
      <c r="K17" s="56">
        <f t="shared" si="3"/>
        <v>4820.3703703703704</v>
      </c>
      <c r="L17" s="57"/>
      <c r="M17" s="58">
        <f t="shared" si="4"/>
        <v>8</v>
      </c>
      <c r="N17" s="59">
        <f t="shared" si="4"/>
        <v>78100</v>
      </c>
      <c r="O17" s="53">
        <f t="shared" si="5"/>
        <v>8875</v>
      </c>
      <c r="P17" s="59">
        <f t="shared" si="6"/>
        <v>19140</v>
      </c>
      <c r="Q17" s="54">
        <f t="shared" si="7"/>
        <v>2175</v>
      </c>
      <c r="R17" s="60">
        <f t="shared" si="8"/>
        <v>97240</v>
      </c>
      <c r="S17" s="56">
        <f t="shared" si="9"/>
        <v>12155</v>
      </c>
      <c r="T17" s="80">
        <f>E17+M17</f>
        <v>35</v>
      </c>
      <c r="U17" s="59">
        <f t="shared" si="10"/>
        <v>195910</v>
      </c>
      <c r="V17" s="59">
        <f t="shared" si="11"/>
        <v>31480</v>
      </c>
      <c r="W17" s="62">
        <f t="shared" si="12"/>
        <v>227390</v>
      </c>
      <c r="X17" s="81"/>
      <c r="Y17" s="63"/>
      <c r="Z17" s="64">
        <v>7</v>
      </c>
      <c r="AA17" s="52">
        <v>2450</v>
      </c>
      <c r="AB17" s="53">
        <f t="shared" si="13"/>
        <v>350</v>
      </c>
      <c r="AC17" s="52">
        <v>500</v>
      </c>
      <c r="AD17" s="54">
        <f t="shared" si="14"/>
        <v>71.428571428571431</v>
      </c>
      <c r="AE17" s="65">
        <f t="shared" si="15"/>
        <v>2950</v>
      </c>
      <c r="AF17" s="56">
        <f t="shared" si="16"/>
        <v>421.42857142857144</v>
      </c>
      <c r="AG17" s="66"/>
      <c r="AH17" s="64">
        <v>77</v>
      </c>
      <c r="AI17" s="52">
        <v>301455</v>
      </c>
      <c r="AJ17" s="53">
        <f t="shared" si="17"/>
        <v>3915</v>
      </c>
      <c r="AK17" s="52">
        <v>100485</v>
      </c>
      <c r="AL17" s="54">
        <f t="shared" si="18"/>
        <v>1305</v>
      </c>
      <c r="AM17" s="65">
        <f t="shared" si="29"/>
        <v>401940</v>
      </c>
      <c r="AN17" s="67">
        <f t="shared" si="19"/>
        <v>5220</v>
      </c>
      <c r="AO17" s="68"/>
      <c r="AP17" s="64">
        <v>53</v>
      </c>
      <c r="AQ17" s="52">
        <v>41550</v>
      </c>
      <c r="AR17" s="53">
        <f t="shared" si="20"/>
        <v>783.96226415094338</v>
      </c>
      <c r="AS17" s="52">
        <v>39600</v>
      </c>
      <c r="AT17" s="54">
        <f t="shared" si="21"/>
        <v>747.16981132075466</v>
      </c>
      <c r="AU17" s="54"/>
      <c r="AV17" s="69">
        <f t="shared" si="31"/>
        <v>81150</v>
      </c>
      <c r="AW17" s="67">
        <f t="shared" si="22"/>
        <v>1531.132075471698</v>
      </c>
      <c r="AX17" s="82">
        <f t="shared" si="23"/>
        <v>35</v>
      </c>
      <c r="AY17" s="59">
        <f t="shared" si="24"/>
        <v>541365</v>
      </c>
      <c r="AZ17" s="59">
        <f t="shared" si="25"/>
        <v>172065</v>
      </c>
      <c r="BA17" s="71">
        <f t="shared" si="26"/>
        <v>713430</v>
      </c>
      <c r="BB17" s="72">
        <f t="shared" si="32"/>
        <v>0</v>
      </c>
      <c r="BC17" s="73">
        <v>35</v>
      </c>
      <c r="BD17" s="74">
        <v>195910</v>
      </c>
      <c r="BE17" s="74">
        <v>31480</v>
      </c>
      <c r="BF17" s="75"/>
      <c r="BG17" s="75"/>
      <c r="BH17" s="75"/>
      <c r="BI17" s="75"/>
      <c r="BJ17" s="76">
        <f t="shared" si="30"/>
        <v>227390</v>
      </c>
      <c r="BK17" s="47">
        <v>13</v>
      </c>
      <c r="BL17" s="77">
        <f t="shared" si="27"/>
        <v>227390</v>
      </c>
    </row>
    <row r="18" spans="2:66" ht="20" customHeight="1">
      <c r="B18" s="78">
        <f t="shared" si="28"/>
        <v>45426</v>
      </c>
      <c r="C18" s="79"/>
      <c r="D18" s="50"/>
      <c r="E18" s="51">
        <v>34</v>
      </c>
      <c r="F18" s="52">
        <v>131230</v>
      </c>
      <c r="G18" s="53">
        <f t="shared" si="0"/>
        <v>3508.8235294117649</v>
      </c>
      <c r="H18" s="52">
        <v>9280</v>
      </c>
      <c r="I18" s="54">
        <f t="shared" si="1"/>
        <v>248.11764705882354</v>
      </c>
      <c r="J18" s="55">
        <f t="shared" si="2"/>
        <v>140510</v>
      </c>
      <c r="K18" s="56">
        <f t="shared" si="3"/>
        <v>4132.6470588235297</v>
      </c>
      <c r="L18" s="57"/>
      <c r="M18" s="58">
        <f t="shared" si="4"/>
        <v>6</v>
      </c>
      <c r="N18" s="59">
        <f t="shared" si="4"/>
        <v>52560</v>
      </c>
      <c r="O18" s="53">
        <f t="shared" si="5"/>
        <v>7963.5</v>
      </c>
      <c r="P18" s="59">
        <f t="shared" si="6"/>
        <v>8910</v>
      </c>
      <c r="Q18" s="54">
        <f t="shared" si="7"/>
        <v>1350</v>
      </c>
      <c r="R18" s="60">
        <f t="shared" si="8"/>
        <v>61470</v>
      </c>
      <c r="S18" s="56">
        <f t="shared" si="9"/>
        <v>10245</v>
      </c>
      <c r="T18" s="80">
        <f t="shared" si="10"/>
        <v>40</v>
      </c>
      <c r="U18" s="59">
        <f t="shared" si="10"/>
        <v>183790</v>
      </c>
      <c r="V18" s="59">
        <f t="shared" si="11"/>
        <v>18190</v>
      </c>
      <c r="W18" s="62">
        <f t="shared" si="12"/>
        <v>201980</v>
      </c>
      <c r="X18" s="81"/>
      <c r="Y18" s="63"/>
      <c r="Z18" s="64">
        <v>14</v>
      </c>
      <c r="AA18" s="52">
        <v>6220</v>
      </c>
      <c r="AB18" s="53">
        <f t="shared" si="13"/>
        <v>444.28571428571428</v>
      </c>
      <c r="AC18" s="52">
        <v>3450</v>
      </c>
      <c r="AD18" s="54">
        <f t="shared" si="14"/>
        <v>246.42857142857142</v>
      </c>
      <c r="AE18" s="65">
        <f t="shared" si="15"/>
        <v>9670</v>
      </c>
      <c r="AF18" s="56">
        <f t="shared" si="16"/>
        <v>690.71428571428567</v>
      </c>
      <c r="AG18" s="66"/>
      <c r="AH18" s="64"/>
      <c r="AI18" s="52"/>
      <c r="AJ18" s="53" t="e">
        <f t="shared" si="17"/>
        <v>#DIV/0!</v>
      </c>
      <c r="AK18" s="52"/>
      <c r="AL18" s="54" t="e">
        <f t="shared" si="18"/>
        <v>#DIV/0!</v>
      </c>
      <c r="AM18" s="65">
        <f t="shared" si="29"/>
        <v>0</v>
      </c>
      <c r="AN18" s="67" t="str">
        <f t="shared" si="19"/>
        <v/>
      </c>
      <c r="AO18" s="68"/>
      <c r="AP18" s="64">
        <v>93</v>
      </c>
      <c r="AQ18" s="52">
        <v>66400</v>
      </c>
      <c r="AR18" s="53">
        <f t="shared" si="20"/>
        <v>713.97849462365593</v>
      </c>
      <c r="AS18" s="52">
        <v>46950</v>
      </c>
      <c r="AT18" s="54">
        <f t="shared" si="21"/>
        <v>504.83870967741933</v>
      </c>
      <c r="AU18" s="54"/>
      <c r="AV18" s="69">
        <f t="shared" si="31"/>
        <v>113350</v>
      </c>
      <c r="AW18" s="67">
        <f t="shared" si="22"/>
        <v>1218.8172043010752</v>
      </c>
      <c r="AX18" s="82">
        <f t="shared" si="23"/>
        <v>40</v>
      </c>
      <c r="AY18" s="59">
        <f t="shared" si="24"/>
        <v>256410</v>
      </c>
      <c r="AZ18" s="59">
        <f t="shared" si="25"/>
        <v>68590</v>
      </c>
      <c r="BA18" s="71">
        <f t="shared" si="26"/>
        <v>325000</v>
      </c>
      <c r="BB18" s="72">
        <f t="shared" si="32"/>
        <v>1100</v>
      </c>
      <c r="BC18" s="73">
        <v>40</v>
      </c>
      <c r="BD18" s="74">
        <v>183790</v>
      </c>
      <c r="BE18" s="74">
        <v>18190</v>
      </c>
      <c r="BF18" s="75">
        <v>1100</v>
      </c>
      <c r="BG18" s="75"/>
      <c r="BH18" s="75"/>
      <c r="BI18" s="75"/>
      <c r="BJ18" s="76">
        <f t="shared" si="30"/>
        <v>203080</v>
      </c>
      <c r="BK18" s="47">
        <v>14</v>
      </c>
      <c r="BL18" s="77">
        <f t="shared" si="27"/>
        <v>203080</v>
      </c>
    </row>
    <row r="19" spans="2:66" ht="20" customHeight="1">
      <c r="B19" s="78">
        <f t="shared" si="28"/>
        <v>45427</v>
      </c>
      <c r="C19" s="79"/>
      <c r="D19" s="50"/>
      <c r="E19" s="51">
        <v>29</v>
      </c>
      <c r="F19" s="52">
        <v>126060</v>
      </c>
      <c r="G19" s="53">
        <f t="shared" si="0"/>
        <v>3951.7241379310344</v>
      </c>
      <c r="H19" s="52">
        <v>8230</v>
      </c>
      <c r="I19" s="54">
        <f t="shared" si="1"/>
        <v>257.9655172413793</v>
      </c>
      <c r="J19" s="55">
        <f t="shared" si="2"/>
        <v>134290</v>
      </c>
      <c r="K19" s="56">
        <f t="shared" si="3"/>
        <v>4630.6896551724139</v>
      </c>
      <c r="L19" s="57"/>
      <c r="M19" s="58">
        <f t="shared" si="4"/>
        <v>8</v>
      </c>
      <c r="N19" s="59">
        <f t="shared" si="4"/>
        <v>61270</v>
      </c>
      <c r="O19" s="53">
        <f t="shared" si="5"/>
        <v>6962.5</v>
      </c>
      <c r="P19" s="59">
        <f t="shared" si="6"/>
        <v>10330</v>
      </c>
      <c r="Q19" s="84">
        <f t="shared" si="7"/>
        <v>1173.75</v>
      </c>
      <c r="R19" s="60">
        <f t="shared" si="8"/>
        <v>71600</v>
      </c>
      <c r="S19" s="56">
        <f t="shared" si="9"/>
        <v>8950</v>
      </c>
      <c r="T19" s="80">
        <f t="shared" si="10"/>
        <v>37</v>
      </c>
      <c r="U19" s="59">
        <f t="shared" si="10"/>
        <v>187330</v>
      </c>
      <c r="V19" s="59">
        <f t="shared" si="11"/>
        <v>18560</v>
      </c>
      <c r="W19" s="62">
        <f t="shared" si="12"/>
        <v>205890</v>
      </c>
      <c r="X19" s="81"/>
      <c r="Y19" s="63"/>
      <c r="Z19" s="64">
        <v>17</v>
      </c>
      <c r="AA19" s="52">
        <v>6990</v>
      </c>
      <c r="AB19" s="53">
        <f t="shared" si="13"/>
        <v>411.1764705882353</v>
      </c>
      <c r="AC19" s="52">
        <v>3700</v>
      </c>
      <c r="AD19" s="54">
        <f t="shared" si="14"/>
        <v>217.64705882352942</v>
      </c>
      <c r="AE19" s="65">
        <f t="shared" si="15"/>
        <v>10690</v>
      </c>
      <c r="AF19" s="56">
        <f t="shared" si="16"/>
        <v>628.82352941176475</v>
      </c>
      <c r="AG19" s="66"/>
      <c r="AH19" s="64">
        <v>28</v>
      </c>
      <c r="AI19" s="52">
        <v>109620</v>
      </c>
      <c r="AJ19" s="53">
        <f t="shared" si="17"/>
        <v>3915</v>
      </c>
      <c r="AK19" s="52">
        <v>36540</v>
      </c>
      <c r="AL19" s="54">
        <f t="shared" si="18"/>
        <v>1305</v>
      </c>
      <c r="AM19" s="65">
        <f t="shared" si="29"/>
        <v>146160</v>
      </c>
      <c r="AN19" s="67">
        <f t="shared" si="19"/>
        <v>5220</v>
      </c>
      <c r="AO19" s="68"/>
      <c r="AP19" s="64">
        <v>66</v>
      </c>
      <c r="AQ19" s="52">
        <v>50400</v>
      </c>
      <c r="AR19" s="53">
        <f t="shared" si="20"/>
        <v>763.63636363636363</v>
      </c>
      <c r="AS19" s="52">
        <v>25600</v>
      </c>
      <c r="AT19" s="54">
        <f t="shared" si="21"/>
        <v>387.87878787878788</v>
      </c>
      <c r="AU19" s="54"/>
      <c r="AV19" s="69">
        <f t="shared" si="31"/>
        <v>76000</v>
      </c>
      <c r="AW19" s="67">
        <f t="shared" si="22"/>
        <v>1151.5151515151515</v>
      </c>
      <c r="AX19" s="82">
        <f t="shared" si="23"/>
        <v>37</v>
      </c>
      <c r="AY19" s="59">
        <f t="shared" si="24"/>
        <v>354340</v>
      </c>
      <c r="AZ19" s="59">
        <f t="shared" si="25"/>
        <v>84400</v>
      </c>
      <c r="BA19" s="71">
        <f t="shared" si="26"/>
        <v>438740</v>
      </c>
      <c r="BB19" s="72">
        <f t="shared" si="32"/>
        <v>3300</v>
      </c>
      <c r="BC19" s="73">
        <v>37</v>
      </c>
      <c r="BD19" s="74">
        <v>187330</v>
      </c>
      <c r="BE19" s="74">
        <v>18560</v>
      </c>
      <c r="BF19" s="75">
        <v>1100</v>
      </c>
      <c r="BG19" s="75">
        <v>2200</v>
      </c>
      <c r="BH19" s="75"/>
      <c r="BI19" s="75"/>
      <c r="BJ19" s="76">
        <f t="shared" si="30"/>
        <v>209190</v>
      </c>
      <c r="BK19" s="47">
        <v>15</v>
      </c>
      <c r="BL19" s="77">
        <f t="shared" si="27"/>
        <v>209190</v>
      </c>
    </row>
    <row r="20" spans="2:66" ht="20" customHeight="1">
      <c r="B20" s="78">
        <f t="shared" si="28"/>
        <v>45428</v>
      </c>
      <c r="C20" s="79"/>
      <c r="D20" s="50"/>
      <c r="E20" s="51">
        <v>26</v>
      </c>
      <c r="F20" s="52">
        <v>93830</v>
      </c>
      <c r="G20" s="53">
        <f t="shared" si="0"/>
        <v>3280.7692307692309</v>
      </c>
      <c r="H20" s="52">
        <v>16250</v>
      </c>
      <c r="I20" s="53">
        <f t="shared" si="1"/>
        <v>568.15384615384619</v>
      </c>
      <c r="J20" s="55">
        <f t="shared" si="2"/>
        <v>110080</v>
      </c>
      <c r="K20" s="56">
        <f t="shared" si="3"/>
        <v>4233.8461538461543</v>
      </c>
      <c r="L20" s="57"/>
      <c r="M20" s="58">
        <f t="shared" si="4"/>
        <v>4</v>
      </c>
      <c r="N20" s="59">
        <f t="shared" si="4"/>
        <v>49500</v>
      </c>
      <c r="O20" s="53">
        <f t="shared" si="5"/>
        <v>11250</v>
      </c>
      <c r="P20" s="59">
        <f t="shared" si="6"/>
        <v>13690</v>
      </c>
      <c r="Q20" s="84">
        <f t="shared" si="7"/>
        <v>3111.25</v>
      </c>
      <c r="R20" s="60">
        <f t="shared" si="8"/>
        <v>63190</v>
      </c>
      <c r="S20" s="56">
        <f t="shared" si="9"/>
        <v>15797.5</v>
      </c>
      <c r="T20" s="80">
        <f t="shared" si="10"/>
        <v>30</v>
      </c>
      <c r="U20" s="59">
        <f t="shared" si="10"/>
        <v>143330</v>
      </c>
      <c r="V20" s="59">
        <f t="shared" si="11"/>
        <v>29940</v>
      </c>
      <c r="W20" s="62">
        <f t="shared" si="12"/>
        <v>173270</v>
      </c>
      <c r="X20" s="81"/>
      <c r="Y20" s="63"/>
      <c r="Z20" s="64">
        <v>10</v>
      </c>
      <c r="AA20" s="52">
        <v>4600</v>
      </c>
      <c r="AB20" s="53">
        <f t="shared" si="13"/>
        <v>460</v>
      </c>
      <c r="AC20" s="52">
        <v>3300</v>
      </c>
      <c r="AD20" s="54">
        <f t="shared" si="14"/>
        <v>330</v>
      </c>
      <c r="AE20" s="65">
        <f t="shared" si="15"/>
        <v>7900</v>
      </c>
      <c r="AF20" s="56">
        <f t="shared" si="16"/>
        <v>790</v>
      </c>
      <c r="AG20" s="66"/>
      <c r="AH20" s="64">
        <v>52</v>
      </c>
      <c r="AI20" s="52">
        <v>170955</v>
      </c>
      <c r="AJ20" s="53">
        <f t="shared" si="17"/>
        <v>3287.5961538461538</v>
      </c>
      <c r="AK20" s="52">
        <v>74733</v>
      </c>
      <c r="AL20" s="54">
        <f t="shared" si="18"/>
        <v>1437.1730769230769</v>
      </c>
      <c r="AM20" s="65">
        <f t="shared" si="29"/>
        <v>245688</v>
      </c>
      <c r="AN20" s="67">
        <f t="shared" si="19"/>
        <v>4724.7692307692305</v>
      </c>
      <c r="AO20" s="68"/>
      <c r="AP20" s="64">
        <v>77</v>
      </c>
      <c r="AQ20" s="52">
        <v>64400</v>
      </c>
      <c r="AR20" s="53">
        <f t="shared" si="20"/>
        <v>836.36363636363637</v>
      </c>
      <c r="AS20" s="52">
        <v>59400</v>
      </c>
      <c r="AT20" s="54">
        <f t="shared" si="21"/>
        <v>771.42857142857144</v>
      </c>
      <c r="AU20" s="54"/>
      <c r="AV20" s="69">
        <f t="shared" si="31"/>
        <v>123800</v>
      </c>
      <c r="AW20" s="67">
        <f t="shared" si="22"/>
        <v>1607.7922077922078</v>
      </c>
      <c r="AX20" s="82">
        <f t="shared" si="23"/>
        <v>30</v>
      </c>
      <c r="AY20" s="59">
        <f t="shared" si="24"/>
        <v>383285</v>
      </c>
      <c r="AZ20" s="59">
        <f t="shared" si="25"/>
        <v>167373</v>
      </c>
      <c r="BA20" s="71">
        <f t="shared" si="26"/>
        <v>550658</v>
      </c>
      <c r="BB20" s="72">
        <f t="shared" si="32"/>
        <v>1100</v>
      </c>
      <c r="BC20" s="73">
        <v>30</v>
      </c>
      <c r="BD20" s="74">
        <v>143330</v>
      </c>
      <c r="BE20" s="74">
        <v>29940</v>
      </c>
      <c r="BF20" s="75"/>
      <c r="BG20" s="75">
        <v>1100</v>
      </c>
      <c r="BH20" s="75"/>
      <c r="BI20" s="75"/>
      <c r="BJ20" s="76">
        <f t="shared" si="30"/>
        <v>174370</v>
      </c>
      <c r="BK20" s="47">
        <v>16</v>
      </c>
      <c r="BL20" s="77">
        <f t="shared" si="27"/>
        <v>174370</v>
      </c>
    </row>
    <row r="21" spans="2:66" ht="20" customHeight="1">
      <c r="B21" s="78">
        <f t="shared" si="28"/>
        <v>45429</v>
      </c>
      <c r="C21" s="79"/>
      <c r="D21" s="50"/>
      <c r="E21" s="51">
        <v>23</v>
      </c>
      <c r="F21" s="52">
        <v>86460</v>
      </c>
      <c r="G21" s="53">
        <f t="shared" si="0"/>
        <v>3417.391304347826</v>
      </c>
      <c r="H21" s="52">
        <v>13390</v>
      </c>
      <c r="I21" s="53">
        <f t="shared" si="1"/>
        <v>529.21739130434787</v>
      </c>
      <c r="J21" s="55">
        <f t="shared" si="2"/>
        <v>99850</v>
      </c>
      <c r="K21" s="56">
        <f t="shared" si="3"/>
        <v>4341.304347826087</v>
      </c>
      <c r="L21" s="57"/>
      <c r="M21" s="58">
        <f t="shared" si="4"/>
        <v>19</v>
      </c>
      <c r="N21" s="59">
        <f t="shared" si="4"/>
        <v>153020</v>
      </c>
      <c r="O21" s="53">
        <f t="shared" si="5"/>
        <v>7321.5263157894733</v>
      </c>
      <c r="P21" s="59">
        <f t="shared" si="6"/>
        <v>29680</v>
      </c>
      <c r="Q21" s="84">
        <f t="shared" si="7"/>
        <v>1420.0526315789473</v>
      </c>
      <c r="R21" s="60">
        <f>N21+P21</f>
        <v>182700</v>
      </c>
      <c r="S21" s="56">
        <f t="shared" si="9"/>
        <v>9615.78947368421</v>
      </c>
      <c r="T21" s="80">
        <f t="shared" si="10"/>
        <v>42</v>
      </c>
      <c r="U21" s="59">
        <f t="shared" si="10"/>
        <v>239480</v>
      </c>
      <c r="V21" s="59">
        <f t="shared" si="11"/>
        <v>43070</v>
      </c>
      <c r="W21" s="62">
        <f t="shared" si="12"/>
        <v>282550</v>
      </c>
      <c r="X21" s="81"/>
      <c r="Y21" s="63"/>
      <c r="Z21" s="64">
        <v>12</v>
      </c>
      <c r="AA21" s="52">
        <v>5640</v>
      </c>
      <c r="AB21" s="53">
        <f t="shared" si="13"/>
        <v>470</v>
      </c>
      <c r="AC21" s="52">
        <v>3050</v>
      </c>
      <c r="AD21" s="54">
        <f t="shared" si="14"/>
        <v>254.16666666666666</v>
      </c>
      <c r="AE21" s="65">
        <f t="shared" si="15"/>
        <v>8690</v>
      </c>
      <c r="AF21" s="56">
        <f t="shared" si="16"/>
        <v>724.16666666666663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9"/>
        <v>0</v>
      </c>
      <c r="AN21" s="67" t="str">
        <f t="shared" si="19"/>
        <v/>
      </c>
      <c r="AO21" s="68"/>
      <c r="AP21" s="64">
        <v>91</v>
      </c>
      <c r="AQ21" s="52">
        <v>102000</v>
      </c>
      <c r="AR21" s="53">
        <f t="shared" si="20"/>
        <v>1120.8791208791208</v>
      </c>
      <c r="AS21" s="52">
        <v>77400</v>
      </c>
      <c r="AT21" s="54">
        <f t="shared" si="21"/>
        <v>850.54945054945051</v>
      </c>
      <c r="AU21" s="54"/>
      <c r="AV21" s="69">
        <f t="shared" si="31"/>
        <v>179400</v>
      </c>
      <c r="AW21" s="67">
        <f t="shared" si="22"/>
        <v>1971.4285714285713</v>
      </c>
      <c r="AX21" s="82">
        <f t="shared" si="23"/>
        <v>42</v>
      </c>
      <c r="AY21" s="59">
        <f t="shared" si="24"/>
        <v>347120</v>
      </c>
      <c r="AZ21" s="59">
        <f t="shared" si="25"/>
        <v>123520</v>
      </c>
      <c r="BA21" s="71">
        <f>W21+AE21+AM21+AV21</f>
        <v>470640</v>
      </c>
      <c r="BB21" s="72">
        <f t="shared" si="32"/>
        <v>0</v>
      </c>
      <c r="BC21" s="73">
        <v>42</v>
      </c>
      <c r="BD21" s="74">
        <v>239480</v>
      </c>
      <c r="BE21" s="74">
        <v>43070</v>
      </c>
      <c r="BF21" s="75"/>
      <c r="BG21" s="75"/>
      <c r="BH21" s="75">
        <v>3300</v>
      </c>
      <c r="BI21" s="75"/>
      <c r="BJ21" s="76">
        <f t="shared" si="30"/>
        <v>282550</v>
      </c>
      <c r="BK21" s="47">
        <v>17</v>
      </c>
      <c r="BL21" s="77">
        <f t="shared" si="27"/>
        <v>282550</v>
      </c>
    </row>
    <row r="22" spans="2:66" ht="20" customHeight="1">
      <c r="B22" s="78">
        <f t="shared" si="28"/>
        <v>45430</v>
      </c>
      <c r="C22" s="79"/>
      <c r="D22" s="50"/>
      <c r="E22" s="51">
        <v>29</v>
      </c>
      <c r="F22" s="52">
        <v>120120</v>
      </c>
      <c r="G22" s="53">
        <f t="shared" si="0"/>
        <v>3765.5172413793102</v>
      </c>
      <c r="H22" s="52">
        <v>17990</v>
      </c>
      <c r="I22" s="53">
        <f t="shared" si="1"/>
        <v>563.93103448275861</v>
      </c>
      <c r="J22" s="55">
        <f t="shared" si="2"/>
        <v>138110</v>
      </c>
      <c r="K22" s="56">
        <f t="shared" si="3"/>
        <v>4762.4137931034484</v>
      </c>
      <c r="L22" s="57"/>
      <c r="M22" s="58">
        <f t="shared" si="4"/>
        <v>15</v>
      </c>
      <c r="N22" s="59">
        <f t="shared" si="4"/>
        <v>163570</v>
      </c>
      <c r="O22" s="53">
        <f t="shared" si="5"/>
        <v>9913.3333333333339</v>
      </c>
      <c r="P22" s="59">
        <f t="shared" si="6"/>
        <v>42770</v>
      </c>
      <c r="Q22" s="84">
        <f t="shared" si="7"/>
        <v>2592.0666666666666</v>
      </c>
      <c r="R22" s="60">
        <f t="shared" si="8"/>
        <v>206340</v>
      </c>
      <c r="S22" s="56">
        <f t="shared" si="9"/>
        <v>13756</v>
      </c>
      <c r="T22" s="80">
        <f t="shared" si="10"/>
        <v>44</v>
      </c>
      <c r="U22" s="59">
        <f t="shared" si="10"/>
        <v>283690</v>
      </c>
      <c r="V22" s="59">
        <f t="shared" si="11"/>
        <v>60760</v>
      </c>
      <c r="W22" s="62">
        <f t="shared" si="12"/>
        <v>344450</v>
      </c>
      <c r="X22" s="81"/>
      <c r="Y22" s="63"/>
      <c r="Z22" s="64">
        <v>38</v>
      </c>
      <c r="AA22" s="52">
        <v>15140</v>
      </c>
      <c r="AB22" s="53">
        <f t="shared" si="13"/>
        <v>398.42105263157896</v>
      </c>
      <c r="AC22" s="52">
        <v>7500</v>
      </c>
      <c r="AD22" s="54">
        <f t="shared" si="14"/>
        <v>197.36842105263159</v>
      </c>
      <c r="AE22" s="65">
        <f t="shared" si="15"/>
        <v>22640</v>
      </c>
      <c r="AF22" s="56">
        <f t="shared" si="16"/>
        <v>595.78947368421052</v>
      </c>
      <c r="AG22" s="66"/>
      <c r="AH22" s="64"/>
      <c r="AI22" s="52"/>
      <c r="AJ22" s="53" t="e">
        <f t="shared" si="17"/>
        <v>#DIV/0!</v>
      </c>
      <c r="AK22" s="52"/>
      <c r="AL22" s="54" t="e">
        <f t="shared" si="18"/>
        <v>#DIV/0!</v>
      </c>
      <c r="AM22" s="65">
        <f t="shared" si="29"/>
        <v>0</v>
      </c>
      <c r="AN22" s="67" t="str">
        <f t="shared" si="19"/>
        <v/>
      </c>
      <c r="AO22" s="68"/>
      <c r="AP22" s="64">
        <v>275</v>
      </c>
      <c r="AQ22" s="52">
        <v>182100</v>
      </c>
      <c r="AR22" s="53">
        <f t="shared" si="20"/>
        <v>662.18181818181813</v>
      </c>
      <c r="AS22" s="52">
        <v>194350</v>
      </c>
      <c r="AT22" s="54">
        <f t="shared" si="21"/>
        <v>706.72727272727275</v>
      </c>
      <c r="AU22" s="54"/>
      <c r="AV22" s="69">
        <f t="shared" si="31"/>
        <v>376450</v>
      </c>
      <c r="AW22" s="67">
        <f t="shared" si="22"/>
        <v>1368.909090909091</v>
      </c>
      <c r="AX22" s="82">
        <f t="shared" si="23"/>
        <v>44</v>
      </c>
      <c r="AY22" s="59">
        <f t="shared" si="24"/>
        <v>480930</v>
      </c>
      <c r="AZ22" s="59">
        <f t="shared" si="25"/>
        <v>262610</v>
      </c>
      <c r="BA22" s="71">
        <f t="shared" si="26"/>
        <v>743540</v>
      </c>
      <c r="BB22" s="72">
        <f t="shared" si="32"/>
        <v>6600</v>
      </c>
      <c r="BC22" s="73">
        <v>44</v>
      </c>
      <c r="BD22" s="74">
        <v>283690</v>
      </c>
      <c r="BE22" s="74">
        <v>60760</v>
      </c>
      <c r="BF22" s="75">
        <v>6600</v>
      </c>
      <c r="BG22" s="75"/>
      <c r="BH22" s="75">
        <v>2200</v>
      </c>
      <c r="BI22" s="75"/>
      <c r="BJ22" s="76">
        <f t="shared" si="30"/>
        <v>351050</v>
      </c>
      <c r="BK22" s="47">
        <v>18</v>
      </c>
      <c r="BL22" s="77">
        <f t="shared" si="27"/>
        <v>351050</v>
      </c>
      <c r="BN22" s="85"/>
    </row>
    <row r="23" spans="2:66" ht="20" customHeight="1">
      <c r="B23" s="78">
        <f t="shared" si="28"/>
        <v>45431</v>
      </c>
      <c r="C23" s="79"/>
      <c r="D23" s="50"/>
      <c r="E23" s="51">
        <v>33</v>
      </c>
      <c r="F23" s="52">
        <v>178090</v>
      </c>
      <c r="G23" s="53">
        <f t="shared" si="0"/>
        <v>4906.060606060606</v>
      </c>
      <c r="H23" s="52">
        <v>28640</v>
      </c>
      <c r="I23" s="53">
        <f t="shared" si="1"/>
        <v>788.969696969697</v>
      </c>
      <c r="J23" s="55">
        <f t="shared" si="2"/>
        <v>206730</v>
      </c>
      <c r="K23" s="56">
        <f t="shared" si="3"/>
        <v>6264.545454545455</v>
      </c>
      <c r="L23" s="57"/>
      <c r="M23" s="58">
        <f t="shared" si="4"/>
        <v>12</v>
      </c>
      <c r="N23" s="59">
        <f t="shared" si="4"/>
        <v>118030</v>
      </c>
      <c r="O23" s="53">
        <f t="shared" si="5"/>
        <v>8941.6666666666661</v>
      </c>
      <c r="P23" s="59">
        <f t="shared" si="6"/>
        <v>50860</v>
      </c>
      <c r="Q23" s="84">
        <f t="shared" si="7"/>
        <v>3853</v>
      </c>
      <c r="R23" s="60">
        <f t="shared" si="8"/>
        <v>168890</v>
      </c>
      <c r="S23" s="56">
        <f t="shared" si="9"/>
        <v>14074.166666666666</v>
      </c>
      <c r="T23" s="80">
        <f t="shared" si="10"/>
        <v>45</v>
      </c>
      <c r="U23" s="59">
        <f t="shared" si="10"/>
        <v>296120</v>
      </c>
      <c r="V23" s="59">
        <f t="shared" si="11"/>
        <v>79500</v>
      </c>
      <c r="W23" s="62">
        <f t="shared" si="12"/>
        <v>375620</v>
      </c>
      <c r="X23" s="81"/>
      <c r="Y23" s="63"/>
      <c r="Z23" s="64">
        <v>15</v>
      </c>
      <c r="AA23" s="52">
        <v>6890</v>
      </c>
      <c r="AB23" s="53">
        <f t="shared" si="13"/>
        <v>459.33333333333331</v>
      </c>
      <c r="AC23" s="52">
        <v>3120</v>
      </c>
      <c r="AD23" s="54">
        <f t="shared" si="14"/>
        <v>208</v>
      </c>
      <c r="AE23" s="65">
        <f t="shared" si="15"/>
        <v>10010</v>
      </c>
      <c r="AF23" s="56">
        <f t="shared" si="16"/>
        <v>667.33333333333337</v>
      </c>
      <c r="AG23" s="66"/>
      <c r="AH23" s="64"/>
      <c r="AI23" s="52"/>
      <c r="AJ23" s="53" t="e">
        <f t="shared" si="17"/>
        <v>#DIV/0!</v>
      </c>
      <c r="AK23" s="52"/>
      <c r="AL23" s="54" t="e">
        <f t="shared" si="18"/>
        <v>#DIV/0!</v>
      </c>
      <c r="AM23" s="65">
        <f t="shared" si="29"/>
        <v>0</v>
      </c>
      <c r="AN23" s="67" t="str">
        <f t="shared" si="19"/>
        <v/>
      </c>
      <c r="AO23" s="68"/>
      <c r="AP23" s="64">
        <v>175</v>
      </c>
      <c r="AQ23" s="52">
        <v>122350</v>
      </c>
      <c r="AR23" s="53">
        <f t="shared" si="20"/>
        <v>699.14285714285711</v>
      </c>
      <c r="AS23" s="52">
        <v>122200</v>
      </c>
      <c r="AT23" s="54">
        <f t="shared" si="21"/>
        <v>698.28571428571433</v>
      </c>
      <c r="AU23" s="54"/>
      <c r="AV23" s="69">
        <f t="shared" si="31"/>
        <v>244550</v>
      </c>
      <c r="AW23" s="67">
        <f>IF(AP23="","",AV23/AP23)</f>
        <v>1397.4285714285713</v>
      </c>
      <c r="AX23" s="82">
        <f t="shared" si="23"/>
        <v>45</v>
      </c>
      <c r="AY23" s="59">
        <f t="shared" si="24"/>
        <v>425360</v>
      </c>
      <c r="AZ23" s="59">
        <f t="shared" si="25"/>
        <v>204820</v>
      </c>
      <c r="BA23" s="71">
        <f t="shared" si="26"/>
        <v>630180</v>
      </c>
      <c r="BB23" s="72">
        <f t="shared" si="32"/>
        <v>7150</v>
      </c>
      <c r="BC23" s="73">
        <v>45</v>
      </c>
      <c r="BD23" s="74">
        <v>296120</v>
      </c>
      <c r="BE23" s="74">
        <v>79500</v>
      </c>
      <c r="BF23" s="75">
        <v>6050</v>
      </c>
      <c r="BG23" s="75">
        <v>1100</v>
      </c>
      <c r="BH23" s="75">
        <v>3300</v>
      </c>
      <c r="BI23" s="75"/>
      <c r="BJ23" s="76">
        <f>SUM(BD23:BG23)</f>
        <v>382770</v>
      </c>
      <c r="BK23" s="47">
        <v>19</v>
      </c>
      <c r="BL23" s="77">
        <f t="shared" si="27"/>
        <v>382770</v>
      </c>
    </row>
    <row r="24" spans="2:66" ht="20" customHeight="1">
      <c r="B24" s="78">
        <f t="shared" si="28"/>
        <v>45432</v>
      </c>
      <c r="C24" s="79"/>
      <c r="D24" s="50"/>
      <c r="E24" s="51">
        <v>23</v>
      </c>
      <c r="F24" s="52">
        <v>76120</v>
      </c>
      <c r="G24" s="53">
        <f t="shared" si="0"/>
        <v>3008.695652173913</v>
      </c>
      <c r="H24" s="52">
        <v>7580</v>
      </c>
      <c r="I24" s="53">
        <f t="shared" si="1"/>
        <v>299.56521739130437</v>
      </c>
      <c r="J24" s="55">
        <f t="shared" si="2"/>
        <v>83700</v>
      </c>
      <c r="K24" s="56">
        <f t="shared" si="3"/>
        <v>3639.1304347826085</v>
      </c>
      <c r="L24" s="57"/>
      <c r="M24" s="58">
        <f t="shared" si="4"/>
        <v>25</v>
      </c>
      <c r="N24" s="59">
        <f t="shared" si="4"/>
        <v>255530</v>
      </c>
      <c r="O24" s="53">
        <f t="shared" si="5"/>
        <v>9292</v>
      </c>
      <c r="P24" s="59">
        <f t="shared" si="6"/>
        <v>60820</v>
      </c>
      <c r="Q24" s="84">
        <f t="shared" si="7"/>
        <v>2211.6</v>
      </c>
      <c r="R24" s="60">
        <f t="shared" si="8"/>
        <v>316350</v>
      </c>
      <c r="S24" s="56">
        <f t="shared" si="9"/>
        <v>12654</v>
      </c>
      <c r="T24" s="80">
        <f t="shared" si="10"/>
        <v>48</v>
      </c>
      <c r="U24" s="59">
        <f t="shared" si="10"/>
        <v>331650</v>
      </c>
      <c r="V24" s="59">
        <f t="shared" si="11"/>
        <v>68400</v>
      </c>
      <c r="W24" s="62">
        <f t="shared" si="12"/>
        <v>400050</v>
      </c>
      <c r="X24" s="81"/>
      <c r="Y24" s="63"/>
      <c r="Z24" s="64">
        <v>8</v>
      </c>
      <c r="AA24" s="52">
        <v>4120</v>
      </c>
      <c r="AB24" s="53">
        <f t="shared" si="13"/>
        <v>515</v>
      </c>
      <c r="AC24" s="52">
        <v>4970</v>
      </c>
      <c r="AD24" s="54">
        <f t="shared" si="14"/>
        <v>621.25</v>
      </c>
      <c r="AE24" s="65">
        <f t="shared" si="15"/>
        <v>9090</v>
      </c>
      <c r="AF24" s="56">
        <f t="shared" si="16"/>
        <v>1136.25</v>
      </c>
      <c r="AG24" s="66"/>
      <c r="AH24" s="64">
        <v>32</v>
      </c>
      <c r="AI24" s="52">
        <v>125280</v>
      </c>
      <c r="AJ24" s="53">
        <f t="shared" si="17"/>
        <v>3915</v>
      </c>
      <c r="AK24" s="52">
        <v>41760</v>
      </c>
      <c r="AL24" s="54">
        <f t="shared" si="18"/>
        <v>1305</v>
      </c>
      <c r="AM24" s="65">
        <f t="shared" si="29"/>
        <v>167040</v>
      </c>
      <c r="AN24" s="67">
        <f t="shared" si="19"/>
        <v>5220</v>
      </c>
      <c r="AO24" s="68"/>
      <c r="AP24" s="64"/>
      <c r="AQ24" s="52"/>
      <c r="AR24" s="53" t="e">
        <f t="shared" si="20"/>
        <v>#DIV/0!</v>
      </c>
      <c r="AS24" s="52"/>
      <c r="AT24" s="54" t="e">
        <f t="shared" si="21"/>
        <v>#DIV/0!</v>
      </c>
      <c r="AU24" s="54"/>
      <c r="AV24" s="69">
        <f t="shared" si="31"/>
        <v>0</v>
      </c>
      <c r="AW24" s="67" t="str">
        <f t="shared" si="22"/>
        <v/>
      </c>
      <c r="AX24" s="82">
        <f t="shared" si="23"/>
        <v>48</v>
      </c>
      <c r="AY24" s="59">
        <f t="shared" si="24"/>
        <v>461050</v>
      </c>
      <c r="AZ24" s="59">
        <f t="shared" si="25"/>
        <v>115130</v>
      </c>
      <c r="BA24" s="71">
        <f t="shared" si="26"/>
        <v>576180</v>
      </c>
      <c r="BB24" s="72">
        <f t="shared" si="32"/>
        <v>1100</v>
      </c>
      <c r="BC24" s="73">
        <v>48</v>
      </c>
      <c r="BD24" s="74">
        <v>331650</v>
      </c>
      <c r="BE24" s="74">
        <v>68400</v>
      </c>
      <c r="BF24" s="75"/>
      <c r="BG24" s="75">
        <v>1100</v>
      </c>
      <c r="BH24" s="75"/>
      <c r="BI24" s="75"/>
      <c r="BJ24" s="76">
        <f t="shared" si="30"/>
        <v>401150</v>
      </c>
      <c r="BK24" s="47">
        <v>20</v>
      </c>
      <c r="BL24" s="77">
        <f t="shared" si="27"/>
        <v>401150</v>
      </c>
    </row>
    <row r="25" spans="2:66" ht="20" customHeight="1">
      <c r="B25" s="78">
        <f t="shared" si="28"/>
        <v>45433</v>
      </c>
      <c r="C25" s="79"/>
      <c r="D25" s="50"/>
      <c r="E25" s="51">
        <v>20</v>
      </c>
      <c r="F25" s="52">
        <v>73700</v>
      </c>
      <c r="G25" s="53">
        <f t="shared" si="0"/>
        <v>3350</v>
      </c>
      <c r="H25" s="52">
        <v>9660</v>
      </c>
      <c r="I25" s="53">
        <f t="shared" si="1"/>
        <v>439.05</v>
      </c>
      <c r="J25" s="55">
        <f t="shared" si="2"/>
        <v>83360</v>
      </c>
      <c r="K25" s="56">
        <f t="shared" si="3"/>
        <v>4168</v>
      </c>
      <c r="L25" s="57"/>
      <c r="M25" s="58">
        <f t="shared" si="4"/>
        <v>6</v>
      </c>
      <c r="N25" s="59">
        <f t="shared" si="4"/>
        <v>48620</v>
      </c>
      <c r="O25" s="53">
        <f t="shared" si="5"/>
        <v>7366.666666666667</v>
      </c>
      <c r="P25" s="59">
        <f t="shared" si="6"/>
        <v>4990</v>
      </c>
      <c r="Q25" s="84">
        <f t="shared" si="7"/>
        <v>756</v>
      </c>
      <c r="R25" s="60">
        <f t="shared" si="8"/>
        <v>53610</v>
      </c>
      <c r="S25" s="56">
        <f t="shared" si="9"/>
        <v>8935</v>
      </c>
      <c r="T25" s="80">
        <f t="shared" si="10"/>
        <v>26</v>
      </c>
      <c r="U25" s="59">
        <f t="shared" si="10"/>
        <v>122320</v>
      </c>
      <c r="V25" s="59">
        <f t="shared" si="11"/>
        <v>14650</v>
      </c>
      <c r="W25" s="62">
        <f t="shared" si="12"/>
        <v>136970</v>
      </c>
      <c r="X25" s="81"/>
      <c r="Y25" s="63"/>
      <c r="Z25" s="64">
        <v>15</v>
      </c>
      <c r="AA25" s="52">
        <v>7710</v>
      </c>
      <c r="AB25" s="53">
        <f t="shared" si="13"/>
        <v>514</v>
      </c>
      <c r="AC25" s="52">
        <v>1700</v>
      </c>
      <c r="AD25" s="54">
        <f t="shared" si="14"/>
        <v>113.33333333333333</v>
      </c>
      <c r="AE25" s="65">
        <f t="shared" si="15"/>
        <v>9410</v>
      </c>
      <c r="AF25" s="56">
        <f t="shared" si="16"/>
        <v>627.33333333333337</v>
      </c>
      <c r="AG25" s="66"/>
      <c r="AH25" s="64">
        <v>23</v>
      </c>
      <c r="AI25" s="52">
        <v>130065</v>
      </c>
      <c r="AJ25" s="53">
        <f t="shared" si="17"/>
        <v>5655</v>
      </c>
      <c r="AK25" s="52">
        <v>30015</v>
      </c>
      <c r="AL25" s="54">
        <f t="shared" si="18"/>
        <v>1305</v>
      </c>
      <c r="AM25" s="65">
        <f t="shared" si="29"/>
        <v>160080</v>
      </c>
      <c r="AN25" s="67">
        <f t="shared" si="19"/>
        <v>6960</v>
      </c>
      <c r="AO25" s="68"/>
      <c r="AP25" s="64"/>
      <c r="AQ25" s="52"/>
      <c r="AR25" s="53" t="e">
        <f t="shared" si="20"/>
        <v>#DIV/0!</v>
      </c>
      <c r="AS25" s="52"/>
      <c r="AT25" s="54" t="e">
        <f t="shared" si="21"/>
        <v>#DIV/0!</v>
      </c>
      <c r="AU25" s="54"/>
      <c r="AV25" s="69">
        <f t="shared" si="31"/>
        <v>0</v>
      </c>
      <c r="AW25" s="67" t="str">
        <f t="shared" si="22"/>
        <v/>
      </c>
      <c r="AX25" s="82">
        <f t="shared" si="23"/>
        <v>26</v>
      </c>
      <c r="AY25" s="59">
        <f t="shared" si="24"/>
        <v>260095</v>
      </c>
      <c r="AZ25" s="59">
        <f t="shared" si="25"/>
        <v>46365</v>
      </c>
      <c r="BA25" s="71">
        <f t="shared" si="26"/>
        <v>306460</v>
      </c>
      <c r="BB25" s="72">
        <f t="shared" si="32"/>
        <v>1100</v>
      </c>
      <c r="BC25" s="73">
        <v>26</v>
      </c>
      <c r="BD25" s="74">
        <v>122320</v>
      </c>
      <c r="BE25" s="74">
        <v>14650</v>
      </c>
      <c r="BF25" s="75"/>
      <c r="BG25" s="75">
        <v>1100</v>
      </c>
      <c r="BH25" s="75"/>
      <c r="BI25" s="75"/>
      <c r="BJ25" s="76">
        <f t="shared" si="30"/>
        <v>138070</v>
      </c>
      <c r="BK25" s="47">
        <v>21</v>
      </c>
      <c r="BL25" s="77">
        <f t="shared" si="27"/>
        <v>138070</v>
      </c>
    </row>
    <row r="26" spans="2:66" ht="20" customHeight="1">
      <c r="B26" s="78">
        <f t="shared" si="28"/>
        <v>45434</v>
      </c>
      <c r="C26" s="79"/>
      <c r="D26" s="50"/>
      <c r="E26" s="51">
        <v>24</v>
      </c>
      <c r="F26" s="52">
        <v>82170</v>
      </c>
      <c r="G26" s="53">
        <f t="shared" si="0"/>
        <v>3112.5</v>
      </c>
      <c r="H26" s="52">
        <v>7580</v>
      </c>
      <c r="I26" s="53">
        <f t="shared" si="1"/>
        <v>287.08333333333331</v>
      </c>
      <c r="J26" s="55">
        <f t="shared" si="2"/>
        <v>89750</v>
      </c>
      <c r="K26" s="56">
        <f t="shared" si="3"/>
        <v>3739.5833333333335</v>
      </c>
      <c r="L26" s="57"/>
      <c r="M26" s="58">
        <f t="shared" si="4"/>
        <v>11</v>
      </c>
      <c r="N26" s="59">
        <f t="shared" si="4"/>
        <v>94930</v>
      </c>
      <c r="O26" s="53">
        <f t="shared" si="5"/>
        <v>7845.454545454545</v>
      </c>
      <c r="P26" s="59">
        <f t="shared" si="6"/>
        <v>37610</v>
      </c>
      <c r="Q26" s="84">
        <f t="shared" si="7"/>
        <v>3108.181818181818</v>
      </c>
      <c r="R26" s="60">
        <f t="shared" si="8"/>
        <v>132540</v>
      </c>
      <c r="S26" s="56">
        <f t="shared" si="9"/>
        <v>12049.09090909091</v>
      </c>
      <c r="T26" s="80">
        <f t="shared" si="10"/>
        <v>35</v>
      </c>
      <c r="U26" s="59">
        <f t="shared" si="10"/>
        <v>177100</v>
      </c>
      <c r="V26" s="59">
        <f t="shared" si="11"/>
        <v>45190</v>
      </c>
      <c r="W26" s="62">
        <f t="shared" si="12"/>
        <v>222290</v>
      </c>
      <c r="X26" s="81"/>
      <c r="Y26" s="63"/>
      <c r="Z26" s="64">
        <v>14</v>
      </c>
      <c r="AA26" s="52">
        <v>5900</v>
      </c>
      <c r="AB26" s="53">
        <f t="shared" si="13"/>
        <v>421.42857142857144</v>
      </c>
      <c r="AC26" s="52">
        <v>2100</v>
      </c>
      <c r="AD26" s="54">
        <f t="shared" si="14"/>
        <v>150</v>
      </c>
      <c r="AE26" s="65">
        <f t="shared" si="15"/>
        <v>8000</v>
      </c>
      <c r="AF26" s="56">
        <f t="shared" si="16"/>
        <v>571.42857142857144</v>
      </c>
      <c r="AG26" s="66"/>
      <c r="AH26" s="64">
        <v>1</v>
      </c>
      <c r="AI26" s="52"/>
      <c r="AJ26" s="53">
        <f t="shared" si="17"/>
        <v>0</v>
      </c>
      <c r="AK26" s="52">
        <v>2392</v>
      </c>
      <c r="AL26" s="54">
        <f t="shared" si="18"/>
        <v>2392</v>
      </c>
      <c r="AM26" s="65">
        <f t="shared" si="29"/>
        <v>2392</v>
      </c>
      <c r="AN26" s="67">
        <f t="shared" si="19"/>
        <v>2392</v>
      </c>
      <c r="AO26" s="68"/>
      <c r="AP26" s="64"/>
      <c r="AQ26" s="52"/>
      <c r="AR26" s="53" t="e">
        <f t="shared" si="20"/>
        <v>#DIV/0!</v>
      </c>
      <c r="AS26" s="52"/>
      <c r="AT26" s="54" t="e">
        <f t="shared" si="21"/>
        <v>#DIV/0!</v>
      </c>
      <c r="AU26" s="54"/>
      <c r="AV26" s="69">
        <f t="shared" si="31"/>
        <v>0</v>
      </c>
      <c r="AW26" s="67" t="str">
        <f t="shared" si="22"/>
        <v/>
      </c>
      <c r="AX26" s="82">
        <f t="shared" si="23"/>
        <v>35</v>
      </c>
      <c r="AY26" s="59">
        <f t="shared" si="24"/>
        <v>183000</v>
      </c>
      <c r="AZ26" s="59">
        <f t="shared" si="25"/>
        <v>49682</v>
      </c>
      <c r="BA26" s="71">
        <f>W26+AE26+AM26+AV26</f>
        <v>232682</v>
      </c>
      <c r="BB26" s="72">
        <f>BF26+BG26</f>
        <v>3300</v>
      </c>
      <c r="BC26" s="73">
        <v>35</v>
      </c>
      <c r="BD26" s="74">
        <v>177100</v>
      </c>
      <c r="BE26" s="74">
        <v>45190</v>
      </c>
      <c r="BF26" s="75">
        <v>3300</v>
      </c>
      <c r="BG26" s="75"/>
      <c r="BH26" s="75"/>
      <c r="BI26" s="75"/>
      <c r="BJ26" s="76">
        <f t="shared" si="30"/>
        <v>225590</v>
      </c>
      <c r="BK26" s="47">
        <v>22</v>
      </c>
      <c r="BL26" s="77">
        <f t="shared" si="27"/>
        <v>225590</v>
      </c>
    </row>
    <row r="27" spans="2:66" ht="20" customHeight="1">
      <c r="B27" s="78">
        <f t="shared" si="28"/>
        <v>45435</v>
      </c>
      <c r="C27" s="79"/>
      <c r="D27" s="50"/>
      <c r="E27" s="51">
        <v>31</v>
      </c>
      <c r="F27" s="52">
        <v>130790</v>
      </c>
      <c r="G27" s="53">
        <f t="shared" si="0"/>
        <v>3835.483870967742</v>
      </c>
      <c r="H27" s="52">
        <v>18970</v>
      </c>
      <c r="I27" s="53">
        <f t="shared" si="1"/>
        <v>556.29032258064512</v>
      </c>
      <c r="J27" s="55">
        <f t="shared" si="2"/>
        <v>149760</v>
      </c>
      <c r="K27" s="56">
        <f t="shared" si="3"/>
        <v>4830.9677419354839</v>
      </c>
      <c r="L27" s="57"/>
      <c r="M27" s="58">
        <f t="shared" si="4"/>
        <v>6</v>
      </c>
      <c r="N27" s="59">
        <f t="shared" si="4"/>
        <v>61160</v>
      </c>
      <c r="O27" s="53">
        <f t="shared" si="5"/>
        <v>9266.6666666666661</v>
      </c>
      <c r="P27" s="59">
        <f t="shared" si="6"/>
        <v>26180</v>
      </c>
      <c r="Q27" s="54">
        <f t="shared" si="7"/>
        <v>3966.6666666666665</v>
      </c>
      <c r="R27" s="60">
        <f t="shared" si="8"/>
        <v>87340</v>
      </c>
      <c r="S27" s="56">
        <f t="shared" si="9"/>
        <v>14556.666666666666</v>
      </c>
      <c r="T27" s="80">
        <f t="shared" si="10"/>
        <v>37</v>
      </c>
      <c r="U27" s="59">
        <f t="shared" si="10"/>
        <v>191950</v>
      </c>
      <c r="V27" s="59">
        <f t="shared" si="11"/>
        <v>45150</v>
      </c>
      <c r="W27" s="62">
        <f t="shared" si="12"/>
        <v>237100</v>
      </c>
      <c r="X27" s="81"/>
      <c r="Y27" s="63"/>
      <c r="Z27" s="64">
        <v>10</v>
      </c>
      <c r="AA27" s="52">
        <v>5140</v>
      </c>
      <c r="AB27" s="53">
        <f t="shared" si="13"/>
        <v>514</v>
      </c>
      <c r="AC27" s="52">
        <v>1900</v>
      </c>
      <c r="AD27" s="54">
        <f t="shared" si="14"/>
        <v>190</v>
      </c>
      <c r="AE27" s="65">
        <f t="shared" si="15"/>
        <v>7040</v>
      </c>
      <c r="AF27" s="56">
        <f t="shared" si="16"/>
        <v>704</v>
      </c>
      <c r="AG27" s="66"/>
      <c r="AH27" s="64">
        <v>22</v>
      </c>
      <c r="AI27" s="52">
        <v>124410</v>
      </c>
      <c r="AJ27" s="53">
        <f t="shared" si="17"/>
        <v>5655</v>
      </c>
      <c r="AK27" s="52">
        <v>28710</v>
      </c>
      <c r="AL27" s="54">
        <f t="shared" si="18"/>
        <v>1305</v>
      </c>
      <c r="AM27" s="65">
        <f t="shared" si="29"/>
        <v>153120</v>
      </c>
      <c r="AN27" s="67">
        <f t="shared" si="19"/>
        <v>6960</v>
      </c>
      <c r="AO27" s="68"/>
      <c r="AP27" s="64"/>
      <c r="AQ27" s="52"/>
      <c r="AR27" s="53" t="e">
        <f t="shared" si="20"/>
        <v>#DIV/0!</v>
      </c>
      <c r="AS27" s="52"/>
      <c r="AT27" s="54" t="e">
        <f t="shared" si="21"/>
        <v>#DIV/0!</v>
      </c>
      <c r="AU27" s="54"/>
      <c r="AV27" s="69">
        <f t="shared" si="31"/>
        <v>0</v>
      </c>
      <c r="AW27" s="67" t="str">
        <f t="shared" si="22"/>
        <v/>
      </c>
      <c r="AX27" s="82">
        <f t="shared" si="23"/>
        <v>37</v>
      </c>
      <c r="AY27" s="59">
        <f t="shared" si="24"/>
        <v>321500</v>
      </c>
      <c r="AZ27" s="59">
        <f t="shared" si="25"/>
        <v>75760</v>
      </c>
      <c r="BA27" s="71">
        <f>W27+AE27+AM27+AV27-BM27</f>
        <v>397260</v>
      </c>
      <c r="BB27" s="72">
        <f t="shared" si="32"/>
        <v>0</v>
      </c>
      <c r="BC27" s="73">
        <v>37</v>
      </c>
      <c r="BD27" s="74">
        <v>191950</v>
      </c>
      <c r="BE27" s="74">
        <v>45150</v>
      </c>
      <c r="BF27" s="75"/>
      <c r="BG27" s="75"/>
      <c r="BH27" s="75"/>
      <c r="BI27" s="75"/>
      <c r="BJ27" s="76">
        <f t="shared" si="30"/>
        <v>237100</v>
      </c>
      <c r="BK27" s="47">
        <v>23</v>
      </c>
      <c r="BL27" s="77">
        <f t="shared" si="27"/>
        <v>237100</v>
      </c>
    </row>
    <row r="28" spans="2:66" ht="20" customHeight="1">
      <c r="B28" s="78">
        <f>B27+1</f>
        <v>45436</v>
      </c>
      <c r="C28" s="79"/>
      <c r="D28" s="50"/>
      <c r="E28" s="51">
        <v>34</v>
      </c>
      <c r="F28" s="52">
        <v>139150</v>
      </c>
      <c r="G28" s="53">
        <f t="shared" si="0"/>
        <v>3720.5882352941176</v>
      </c>
      <c r="H28" s="52">
        <v>16860</v>
      </c>
      <c r="I28" s="53">
        <f t="shared" si="1"/>
        <v>450.79411764705884</v>
      </c>
      <c r="J28" s="55">
        <f t="shared" si="2"/>
        <v>156010</v>
      </c>
      <c r="K28" s="56">
        <f t="shared" si="3"/>
        <v>4588.5294117647063</v>
      </c>
      <c r="L28" s="57"/>
      <c r="M28" s="58">
        <f t="shared" si="4"/>
        <v>6</v>
      </c>
      <c r="N28" s="59">
        <f t="shared" si="4"/>
        <v>38280</v>
      </c>
      <c r="O28" s="53">
        <f t="shared" si="5"/>
        <v>5800</v>
      </c>
      <c r="P28" s="59">
        <f t="shared" si="6"/>
        <v>11770</v>
      </c>
      <c r="Q28" s="54">
        <f>ROUNDDOWN(P28/1.1,0)/M28</f>
        <v>1783.3333333333333</v>
      </c>
      <c r="R28" s="60">
        <f t="shared" si="8"/>
        <v>50050</v>
      </c>
      <c r="S28" s="56">
        <f t="shared" si="9"/>
        <v>8341.6666666666661</v>
      </c>
      <c r="T28" s="80">
        <f t="shared" si="10"/>
        <v>40</v>
      </c>
      <c r="U28" s="59">
        <f t="shared" si="10"/>
        <v>177430</v>
      </c>
      <c r="V28" s="59">
        <f t="shared" si="11"/>
        <v>28630</v>
      </c>
      <c r="W28" s="62">
        <f t="shared" si="12"/>
        <v>206060</v>
      </c>
      <c r="X28" s="81"/>
      <c r="Y28" s="63"/>
      <c r="Z28" s="64">
        <v>20</v>
      </c>
      <c r="AA28" s="52">
        <v>9400</v>
      </c>
      <c r="AB28" s="53">
        <f t="shared" si="13"/>
        <v>470</v>
      </c>
      <c r="AC28" s="52">
        <v>2750</v>
      </c>
      <c r="AD28" s="54">
        <f t="shared" si="14"/>
        <v>137.5</v>
      </c>
      <c r="AE28" s="65">
        <f t="shared" si="15"/>
        <v>12150</v>
      </c>
      <c r="AF28" s="56">
        <f t="shared" si="16"/>
        <v>607.5</v>
      </c>
      <c r="AG28" s="66"/>
      <c r="AH28" s="64">
        <v>55</v>
      </c>
      <c r="AI28" s="52">
        <v>152250</v>
      </c>
      <c r="AJ28" s="53">
        <f t="shared" si="17"/>
        <v>2768.181818181818</v>
      </c>
      <c r="AK28" s="52">
        <v>71775</v>
      </c>
      <c r="AL28" s="54">
        <f t="shared" si="18"/>
        <v>1305</v>
      </c>
      <c r="AM28" s="65">
        <f t="shared" si="29"/>
        <v>224025</v>
      </c>
      <c r="AN28" s="67">
        <f t="shared" si="19"/>
        <v>4073.181818181818</v>
      </c>
      <c r="AO28" s="68"/>
      <c r="AP28" s="64"/>
      <c r="AQ28" s="52"/>
      <c r="AR28" s="53" t="e">
        <f t="shared" si="20"/>
        <v>#DIV/0!</v>
      </c>
      <c r="AS28" s="52"/>
      <c r="AT28" s="54" t="e">
        <f t="shared" si="21"/>
        <v>#DIV/0!</v>
      </c>
      <c r="AU28" s="54"/>
      <c r="AV28" s="86">
        <f t="shared" si="31"/>
        <v>0</v>
      </c>
      <c r="AW28" s="67" t="str">
        <f t="shared" si="22"/>
        <v/>
      </c>
      <c r="AX28" s="82">
        <f t="shared" si="23"/>
        <v>40</v>
      </c>
      <c r="AY28" s="59">
        <f t="shared" si="24"/>
        <v>339080</v>
      </c>
      <c r="AZ28" s="59">
        <f t="shared" si="25"/>
        <v>103155</v>
      </c>
      <c r="BA28" s="71">
        <f t="shared" si="26"/>
        <v>442235</v>
      </c>
      <c r="BB28" s="72">
        <f t="shared" si="32"/>
        <v>3300</v>
      </c>
      <c r="BC28" s="73">
        <v>40</v>
      </c>
      <c r="BD28" s="74">
        <v>177430</v>
      </c>
      <c r="BE28" s="74">
        <v>28630</v>
      </c>
      <c r="BF28" s="75">
        <v>3300</v>
      </c>
      <c r="BG28" s="75"/>
      <c r="BH28" s="75"/>
      <c r="BI28" s="75"/>
      <c r="BJ28" s="76">
        <f t="shared" si="30"/>
        <v>209360</v>
      </c>
      <c r="BK28" s="47">
        <v>24</v>
      </c>
      <c r="BL28" s="77">
        <f t="shared" si="27"/>
        <v>209360</v>
      </c>
    </row>
    <row r="29" spans="2:66" ht="20" customHeight="1">
      <c r="B29" s="78">
        <f t="shared" si="28"/>
        <v>45437</v>
      </c>
      <c r="C29" s="79"/>
      <c r="D29" s="50"/>
      <c r="E29" s="51">
        <v>17</v>
      </c>
      <c r="F29" s="52">
        <v>79410</v>
      </c>
      <c r="G29" s="53">
        <f t="shared" si="0"/>
        <v>4246.4705882352937</v>
      </c>
      <c r="H29" s="52">
        <v>21120</v>
      </c>
      <c r="I29" s="53">
        <f t="shared" si="1"/>
        <v>1129.4117647058824</v>
      </c>
      <c r="J29" s="55">
        <f t="shared" si="2"/>
        <v>100530</v>
      </c>
      <c r="K29" s="56">
        <f t="shared" si="3"/>
        <v>5913.5294117647063</v>
      </c>
      <c r="L29" s="57"/>
      <c r="M29" s="58">
        <f t="shared" si="4"/>
        <v>31</v>
      </c>
      <c r="N29" s="59">
        <f t="shared" si="4"/>
        <v>342260</v>
      </c>
      <c r="O29" s="53">
        <f t="shared" si="5"/>
        <v>10036.935483870968</v>
      </c>
      <c r="P29" s="59">
        <f t="shared" si="6"/>
        <v>76530</v>
      </c>
      <c r="Q29" s="54">
        <f t="shared" si="7"/>
        <v>2244.2580645161293</v>
      </c>
      <c r="R29" s="60">
        <f t="shared" si="8"/>
        <v>418790</v>
      </c>
      <c r="S29" s="56">
        <f t="shared" si="9"/>
        <v>13509.354838709678</v>
      </c>
      <c r="T29" s="80">
        <f t="shared" si="10"/>
        <v>48</v>
      </c>
      <c r="U29" s="59">
        <f t="shared" si="10"/>
        <v>421670</v>
      </c>
      <c r="V29" s="59">
        <f t="shared" si="11"/>
        <v>97650</v>
      </c>
      <c r="W29" s="62">
        <f t="shared" si="12"/>
        <v>519320</v>
      </c>
      <c r="X29" s="81"/>
      <c r="Y29" s="63"/>
      <c r="Z29" s="64">
        <v>4</v>
      </c>
      <c r="AA29" s="52">
        <v>1600</v>
      </c>
      <c r="AB29" s="53">
        <f t="shared" si="13"/>
        <v>400</v>
      </c>
      <c r="AC29" s="52">
        <v>2650</v>
      </c>
      <c r="AD29" s="54">
        <f t="shared" si="14"/>
        <v>662.5</v>
      </c>
      <c r="AE29" s="65">
        <f t="shared" si="15"/>
        <v>4250</v>
      </c>
      <c r="AF29" s="56">
        <f t="shared" si="16"/>
        <v>1062.5</v>
      </c>
      <c r="AG29" s="66"/>
      <c r="AH29" s="64"/>
      <c r="AI29" s="52"/>
      <c r="AJ29" s="53" t="e">
        <f t="shared" si="17"/>
        <v>#DIV/0!</v>
      </c>
      <c r="AK29" s="52"/>
      <c r="AL29" s="54" t="e">
        <f t="shared" si="18"/>
        <v>#DIV/0!</v>
      </c>
      <c r="AM29" s="65">
        <f t="shared" si="29"/>
        <v>0</v>
      </c>
      <c r="AN29" s="67" t="str">
        <f t="shared" si="19"/>
        <v/>
      </c>
      <c r="AO29" s="68"/>
      <c r="AP29" s="64"/>
      <c r="AQ29" s="52"/>
      <c r="AR29" s="53" t="e">
        <f t="shared" si="20"/>
        <v>#DIV/0!</v>
      </c>
      <c r="AS29" s="52"/>
      <c r="AT29" s="54" t="e">
        <f t="shared" si="21"/>
        <v>#DIV/0!</v>
      </c>
      <c r="AU29" s="54"/>
      <c r="AV29" s="69">
        <f t="shared" si="31"/>
        <v>0</v>
      </c>
      <c r="AW29" s="67" t="str">
        <f t="shared" si="22"/>
        <v/>
      </c>
      <c r="AX29" s="82">
        <f t="shared" si="23"/>
        <v>48</v>
      </c>
      <c r="AY29" s="59">
        <f t="shared" si="24"/>
        <v>423270</v>
      </c>
      <c r="AZ29" s="59">
        <f t="shared" si="25"/>
        <v>100300</v>
      </c>
      <c r="BA29" s="71">
        <f t="shared" si="26"/>
        <v>523570</v>
      </c>
      <c r="BB29" s="72">
        <f t="shared" si="32"/>
        <v>12100</v>
      </c>
      <c r="BC29" s="73">
        <v>48</v>
      </c>
      <c r="BD29" s="74">
        <v>421670</v>
      </c>
      <c r="BE29" s="74">
        <v>97650</v>
      </c>
      <c r="BF29" s="75">
        <v>9900</v>
      </c>
      <c r="BG29" s="75">
        <v>2200</v>
      </c>
      <c r="BH29" s="75"/>
      <c r="BI29" s="75"/>
      <c r="BJ29" s="76">
        <f t="shared" si="30"/>
        <v>531420</v>
      </c>
      <c r="BK29" s="47">
        <v>25</v>
      </c>
      <c r="BL29" s="77">
        <f t="shared" si="27"/>
        <v>531420</v>
      </c>
    </row>
    <row r="30" spans="2:66" ht="20" customHeight="1">
      <c r="B30" s="78">
        <f t="shared" si="28"/>
        <v>45438</v>
      </c>
      <c r="C30" s="79"/>
      <c r="D30" s="50"/>
      <c r="E30" s="51">
        <v>18</v>
      </c>
      <c r="F30" s="52">
        <v>70840</v>
      </c>
      <c r="G30" s="53">
        <f t="shared" si="0"/>
        <v>3577.7777777777778</v>
      </c>
      <c r="H30" s="52">
        <v>13490</v>
      </c>
      <c r="I30" s="53">
        <f t="shared" si="1"/>
        <v>681.27777777777783</v>
      </c>
      <c r="J30" s="55">
        <f t="shared" si="2"/>
        <v>84330</v>
      </c>
      <c r="K30" s="56">
        <f t="shared" si="3"/>
        <v>4685</v>
      </c>
      <c r="L30" s="57"/>
      <c r="M30" s="58">
        <f t="shared" si="4"/>
        <v>15</v>
      </c>
      <c r="N30" s="59">
        <f t="shared" si="4"/>
        <v>145730</v>
      </c>
      <c r="O30" s="53">
        <f t="shared" si="5"/>
        <v>8832.0666666666675</v>
      </c>
      <c r="P30" s="59">
        <f t="shared" si="6"/>
        <v>54070</v>
      </c>
      <c r="Q30" s="53">
        <f t="shared" si="7"/>
        <v>3276.9333333333334</v>
      </c>
      <c r="R30" s="60">
        <f t="shared" si="8"/>
        <v>199800</v>
      </c>
      <c r="S30" s="56">
        <f t="shared" si="9"/>
        <v>13320</v>
      </c>
      <c r="T30" s="80">
        <f t="shared" si="10"/>
        <v>33</v>
      </c>
      <c r="U30" s="59">
        <f t="shared" si="10"/>
        <v>216570</v>
      </c>
      <c r="V30" s="59">
        <f t="shared" si="11"/>
        <v>67560</v>
      </c>
      <c r="W30" s="62">
        <f t="shared" si="12"/>
        <v>284130</v>
      </c>
      <c r="X30" s="81"/>
      <c r="Y30" s="63"/>
      <c r="Z30" s="64">
        <v>28</v>
      </c>
      <c r="AA30" s="52">
        <v>11620</v>
      </c>
      <c r="AB30" s="53">
        <f t="shared" si="13"/>
        <v>415</v>
      </c>
      <c r="AC30" s="52">
        <v>1750</v>
      </c>
      <c r="AD30" s="54">
        <f t="shared" si="14"/>
        <v>62.5</v>
      </c>
      <c r="AE30" s="65">
        <f t="shared" si="15"/>
        <v>13370</v>
      </c>
      <c r="AF30" s="56">
        <f t="shared" si="16"/>
        <v>477.5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9"/>
        <v>0</v>
      </c>
      <c r="AN30" s="67" t="str">
        <f t="shared" si="19"/>
        <v/>
      </c>
      <c r="AO30" s="68"/>
      <c r="AP30" s="64"/>
      <c r="AQ30" s="52"/>
      <c r="AR30" s="53" t="e">
        <f t="shared" si="20"/>
        <v>#DIV/0!</v>
      </c>
      <c r="AS30" s="52"/>
      <c r="AT30" s="54" t="e">
        <f t="shared" si="21"/>
        <v>#DIV/0!</v>
      </c>
      <c r="AU30" s="54"/>
      <c r="AV30" s="69">
        <f t="shared" si="31"/>
        <v>0</v>
      </c>
      <c r="AW30" s="67" t="str">
        <f t="shared" si="22"/>
        <v/>
      </c>
      <c r="AX30" s="82">
        <f t="shared" si="23"/>
        <v>33</v>
      </c>
      <c r="AY30" s="59">
        <f t="shared" si="24"/>
        <v>228190</v>
      </c>
      <c r="AZ30" s="59">
        <f t="shared" si="25"/>
        <v>69310</v>
      </c>
      <c r="BA30" s="71">
        <f t="shared" si="26"/>
        <v>297500</v>
      </c>
      <c r="BB30" s="72">
        <f>BF30+BG30</f>
        <v>2200</v>
      </c>
      <c r="BC30" s="73">
        <v>33</v>
      </c>
      <c r="BD30" s="74">
        <v>216570</v>
      </c>
      <c r="BE30" s="74">
        <v>67560</v>
      </c>
      <c r="BF30" s="75">
        <v>2200</v>
      </c>
      <c r="BG30" s="75"/>
      <c r="BH30" s="75"/>
      <c r="BI30" s="75"/>
      <c r="BJ30" s="76">
        <f t="shared" si="30"/>
        <v>286330</v>
      </c>
      <c r="BK30" s="47">
        <v>26</v>
      </c>
      <c r="BL30" s="77">
        <f t="shared" si="27"/>
        <v>286330</v>
      </c>
    </row>
    <row r="31" spans="2:66" ht="20" customHeight="1">
      <c r="B31" s="78">
        <f t="shared" si="28"/>
        <v>45439</v>
      </c>
      <c r="C31" s="79"/>
      <c r="D31" s="50"/>
      <c r="E31" s="51">
        <v>14</v>
      </c>
      <c r="F31" s="52">
        <v>49500</v>
      </c>
      <c r="G31" s="53">
        <f t="shared" si="0"/>
        <v>3214.2857142857142</v>
      </c>
      <c r="H31" s="52">
        <v>4950</v>
      </c>
      <c r="I31" s="53">
        <f t="shared" si="1"/>
        <v>321.42857142857144</v>
      </c>
      <c r="J31" s="55">
        <f t="shared" si="2"/>
        <v>54450</v>
      </c>
      <c r="K31" s="56">
        <f t="shared" si="3"/>
        <v>3889.2857142857142</v>
      </c>
      <c r="L31" s="57"/>
      <c r="M31" s="58">
        <f t="shared" si="4"/>
        <v>5</v>
      </c>
      <c r="N31" s="59">
        <f t="shared" si="4"/>
        <v>51260</v>
      </c>
      <c r="O31" s="53">
        <f t="shared" si="5"/>
        <v>9320</v>
      </c>
      <c r="P31" s="59">
        <f t="shared" si="6"/>
        <v>6260</v>
      </c>
      <c r="Q31" s="53">
        <f t="shared" si="7"/>
        <v>1138</v>
      </c>
      <c r="R31" s="60">
        <f t="shared" si="8"/>
        <v>57520</v>
      </c>
      <c r="S31" s="56">
        <f t="shared" si="9"/>
        <v>11504</v>
      </c>
      <c r="T31" s="80">
        <f t="shared" si="10"/>
        <v>19</v>
      </c>
      <c r="U31" s="59">
        <f t="shared" si="10"/>
        <v>100760</v>
      </c>
      <c r="V31" s="59">
        <f t="shared" si="11"/>
        <v>11210</v>
      </c>
      <c r="W31" s="62">
        <f t="shared" si="12"/>
        <v>111970</v>
      </c>
      <c r="X31" s="81"/>
      <c r="Y31" s="63"/>
      <c r="Z31" s="64">
        <v>12</v>
      </c>
      <c r="AA31" s="52">
        <v>4800</v>
      </c>
      <c r="AB31" s="53">
        <f t="shared" si="13"/>
        <v>400</v>
      </c>
      <c r="AC31" s="52">
        <v>4770</v>
      </c>
      <c r="AD31" s="54">
        <f t="shared" si="14"/>
        <v>397.5</v>
      </c>
      <c r="AE31" s="65">
        <f t="shared" si="15"/>
        <v>9570</v>
      </c>
      <c r="AF31" s="56">
        <f t="shared" si="16"/>
        <v>797.5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9"/>
        <v>0</v>
      </c>
      <c r="AN31" s="67" t="str">
        <f t="shared" si="19"/>
        <v/>
      </c>
      <c r="AO31" s="68"/>
      <c r="AP31" s="64">
        <v>17</v>
      </c>
      <c r="AQ31" s="52">
        <v>43000</v>
      </c>
      <c r="AR31" s="53">
        <f t="shared" si="20"/>
        <v>2529.4117647058824</v>
      </c>
      <c r="AS31" s="52">
        <v>26200</v>
      </c>
      <c r="AT31" s="54">
        <f t="shared" si="21"/>
        <v>1541.1764705882354</v>
      </c>
      <c r="AU31" s="54"/>
      <c r="AV31" s="69">
        <f t="shared" si="31"/>
        <v>69200</v>
      </c>
      <c r="AW31" s="67">
        <f t="shared" si="22"/>
        <v>4070.5882352941176</v>
      </c>
      <c r="AX31" s="82">
        <f t="shared" si="23"/>
        <v>19</v>
      </c>
      <c r="AY31" s="59">
        <f t="shared" si="24"/>
        <v>148560</v>
      </c>
      <c r="AZ31" s="59">
        <f t="shared" si="25"/>
        <v>42180</v>
      </c>
      <c r="BA31" s="71">
        <f>W31+AE31+AM31+AV31-BM31</f>
        <v>188760</v>
      </c>
      <c r="BB31" s="72">
        <f t="shared" si="32"/>
        <v>4950</v>
      </c>
      <c r="BC31" s="73">
        <v>19</v>
      </c>
      <c r="BD31" s="74">
        <v>100760</v>
      </c>
      <c r="BE31" s="74">
        <v>11210</v>
      </c>
      <c r="BF31" s="75">
        <v>4950</v>
      </c>
      <c r="BG31" s="75"/>
      <c r="BH31" s="75"/>
      <c r="BI31" s="75"/>
      <c r="BJ31" s="76">
        <f t="shared" si="30"/>
        <v>116920</v>
      </c>
      <c r="BK31" s="47">
        <v>27</v>
      </c>
      <c r="BL31" s="77">
        <f t="shared" si="27"/>
        <v>116920</v>
      </c>
      <c r="BM31" s="47">
        <v>1980</v>
      </c>
    </row>
    <row r="32" spans="2:66" ht="20" customHeight="1">
      <c r="B32" s="78">
        <f t="shared" si="28"/>
        <v>45440</v>
      </c>
      <c r="C32" s="79"/>
      <c r="D32" s="50"/>
      <c r="E32" s="51">
        <v>15</v>
      </c>
      <c r="F32" s="52">
        <v>53350</v>
      </c>
      <c r="G32" s="53">
        <f t="shared" si="0"/>
        <v>3233.3333333333335</v>
      </c>
      <c r="H32" s="52">
        <v>7120</v>
      </c>
      <c r="I32" s="53">
        <f t="shared" si="1"/>
        <v>431.46666666666664</v>
      </c>
      <c r="J32" s="55">
        <f t="shared" si="2"/>
        <v>60470</v>
      </c>
      <c r="K32" s="56">
        <f t="shared" si="3"/>
        <v>4031.3333333333335</v>
      </c>
      <c r="L32" s="57"/>
      <c r="M32" s="58">
        <f t="shared" si="4"/>
        <v>8</v>
      </c>
      <c r="N32" s="59">
        <f t="shared" si="4"/>
        <v>72160</v>
      </c>
      <c r="O32" s="53">
        <f t="shared" si="5"/>
        <v>8200</v>
      </c>
      <c r="P32" s="59">
        <f t="shared" si="6"/>
        <v>22870</v>
      </c>
      <c r="Q32" s="53">
        <f t="shared" si="7"/>
        <v>2598.75</v>
      </c>
      <c r="R32" s="60">
        <f t="shared" si="8"/>
        <v>95030</v>
      </c>
      <c r="S32" s="56">
        <f t="shared" si="9"/>
        <v>11878.75</v>
      </c>
      <c r="T32" s="80">
        <f t="shared" si="10"/>
        <v>23</v>
      </c>
      <c r="U32" s="59">
        <f t="shared" si="10"/>
        <v>125510</v>
      </c>
      <c r="V32" s="59">
        <f t="shared" si="11"/>
        <v>29990</v>
      </c>
      <c r="W32" s="62">
        <f t="shared" si="12"/>
        <v>155500</v>
      </c>
      <c r="X32" s="81"/>
      <c r="Y32" s="63"/>
      <c r="Z32" s="64">
        <v>7</v>
      </c>
      <c r="AA32" s="52">
        <v>3620</v>
      </c>
      <c r="AB32" s="53">
        <f t="shared" si="13"/>
        <v>517.14285714285711</v>
      </c>
      <c r="AC32" s="52">
        <v>2000</v>
      </c>
      <c r="AD32" s="54">
        <f t="shared" si="14"/>
        <v>285.71428571428572</v>
      </c>
      <c r="AE32" s="65">
        <f t="shared" si="15"/>
        <v>5620</v>
      </c>
      <c r="AF32" s="56">
        <f t="shared" si="16"/>
        <v>802.85714285714289</v>
      </c>
      <c r="AG32" s="66"/>
      <c r="AH32" s="64">
        <v>65</v>
      </c>
      <c r="AI32" s="52">
        <v>254475</v>
      </c>
      <c r="AJ32" s="53">
        <f t="shared" si="17"/>
        <v>3915</v>
      </c>
      <c r="AK32" s="52">
        <v>84825</v>
      </c>
      <c r="AL32" s="54">
        <f t="shared" si="18"/>
        <v>1305</v>
      </c>
      <c r="AM32" s="65">
        <f t="shared" si="29"/>
        <v>339300</v>
      </c>
      <c r="AN32" s="67">
        <f t="shared" si="19"/>
        <v>5220</v>
      </c>
      <c r="AO32" s="68"/>
      <c r="AP32" s="64">
        <v>16</v>
      </c>
      <c r="AQ32" s="52">
        <v>43400</v>
      </c>
      <c r="AR32" s="53">
        <f t="shared" si="20"/>
        <v>2712.5</v>
      </c>
      <c r="AS32" s="52">
        <v>22550</v>
      </c>
      <c r="AT32" s="54">
        <f t="shared" si="21"/>
        <v>1409.375</v>
      </c>
      <c r="AU32" s="54"/>
      <c r="AV32" s="69">
        <f t="shared" si="31"/>
        <v>65950</v>
      </c>
      <c r="AW32" s="67">
        <f t="shared" si="22"/>
        <v>4121.875</v>
      </c>
      <c r="AX32" s="82">
        <f t="shared" si="23"/>
        <v>23</v>
      </c>
      <c r="AY32" s="59">
        <f>U32+AA32+AI32+AQ32</f>
        <v>427005</v>
      </c>
      <c r="AZ32" s="59">
        <f t="shared" si="25"/>
        <v>139365</v>
      </c>
      <c r="BA32" s="71">
        <f>W32+AE32+AM32+AV32-BM32</f>
        <v>564390</v>
      </c>
      <c r="BB32" s="72">
        <f>BF32+BG32</f>
        <v>3300</v>
      </c>
      <c r="BC32" s="73">
        <v>23</v>
      </c>
      <c r="BD32" s="74">
        <v>125510</v>
      </c>
      <c r="BE32" s="74">
        <v>29990</v>
      </c>
      <c r="BF32" s="75">
        <v>1100</v>
      </c>
      <c r="BG32" s="75">
        <v>2200</v>
      </c>
      <c r="BH32" s="75"/>
      <c r="BI32" s="75">
        <v>9900</v>
      </c>
      <c r="BJ32" s="76">
        <f>SUM(BD32:BG32)</f>
        <v>158800</v>
      </c>
      <c r="BK32" s="47">
        <v>28</v>
      </c>
      <c r="BL32" s="77">
        <f t="shared" si="27"/>
        <v>168700</v>
      </c>
      <c r="BM32" s="47">
        <v>1980</v>
      </c>
    </row>
    <row r="33" spans="2:65" ht="20" customHeight="1">
      <c r="B33" s="78">
        <f t="shared" si="28"/>
        <v>45441</v>
      </c>
      <c r="C33" s="79"/>
      <c r="D33" s="50"/>
      <c r="E33" s="51">
        <v>36</v>
      </c>
      <c r="F33" s="52">
        <v>131340</v>
      </c>
      <c r="G33" s="53">
        <f t="shared" si="0"/>
        <v>3316.6666666666665</v>
      </c>
      <c r="H33" s="52">
        <v>13320</v>
      </c>
      <c r="I33" s="53">
        <f t="shared" si="1"/>
        <v>336.36111111111109</v>
      </c>
      <c r="J33" s="55">
        <f t="shared" si="2"/>
        <v>144660</v>
      </c>
      <c r="K33" s="56">
        <f t="shared" si="3"/>
        <v>4018.3333333333335</v>
      </c>
      <c r="L33" s="57"/>
      <c r="M33" s="58">
        <f t="shared" si="4"/>
        <v>6</v>
      </c>
      <c r="N33" s="59">
        <f t="shared" si="4"/>
        <v>61600</v>
      </c>
      <c r="O33" s="53">
        <f t="shared" si="5"/>
        <v>9333.3333333333339</v>
      </c>
      <c r="P33" s="59">
        <f t="shared" si="6"/>
        <v>27610</v>
      </c>
      <c r="Q33" s="53">
        <f t="shared" si="7"/>
        <v>4183.333333333333</v>
      </c>
      <c r="R33" s="60">
        <f t="shared" si="8"/>
        <v>89210</v>
      </c>
      <c r="S33" s="56">
        <f t="shared" si="9"/>
        <v>14868.333333333334</v>
      </c>
      <c r="T33" s="80">
        <f t="shared" si="10"/>
        <v>42</v>
      </c>
      <c r="U33" s="59">
        <f t="shared" si="10"/>
        <v>192940</v>
      </c>
      <c r="V33" s="59">
        <f t="shared" si="11"/>
        <v>40930</v>
      </c>
      <c r="W33" s="62">
        <f>J33+R33</f>
        <v>233870</v>
      </c>
      <c r="X33" s="81"/>
      <c r="Y33" s="63"/>
      <c r="Z33" s="64">
        <v>7</v>
      </c>
      <c r="AA33" s="52">
        <v>4310</v>
      </c>
      <c r="AB33" s="53">
        <f t="shared" si="13"/>
        <v>615.71428571428567</v>
      </c>
      <c r="AC33" s="52">
        <v>2920</v>
      </c>
      <c r="AD33" s="54">
        <f t="shared" si="14"/>
        <v>417.14285714285717</v>
      </c>
      <c r="AE33" s="65">
        <f t="shared" si="15"/>
        <v>7230</v>
      </c>
      <c r="AF33" s="56">
        <f t="shared" si="16"/>
        <v>1032.8571428571429</v>
      </c>
      <c r="AG33" s="66"/>
      <c r="AH33" s="64"/>
      <c r="AI33" s="52"/>
      <c r="AJ33" s="53" t="e">
        <f t="shared" si="17"/>
        <v>#DIV/0!</v>
      </c>
      <c r="AK33" s="52"/>
      <c r="AL33" s="54" t="e">
        <f t="shared" si="18"/>
        <v>#DIV/0!</v>
      </c>
      <c r="AM33" s="65">
        <f t="shared" si="29"/>
        <v>0</v>
      </c>
      <c r="AN33" s="67" t="str">
        <f t="shared" si="19"/>
        <v/>
      </c>
      <c r="AO33" s="68"/>
      <c r="AP33" s="64">
        <v>9</v>
      </c>
      <c r="AQ33" s="52">
        <v>9700</v>
      </c>
      <c r="AR33" s="53">
        <f t="shared" si="20"/>
        <v>1077.7777777777778</v>
      </c>
      <c r="AS33" s="52">
        <v>11600</v>
      </c>
      <c r="AT33" s="54">
        <f t="shared" si="21"/>
        <v>1288.8888888888889</v>
      </c>
      <c r="AU33" s="54"/>
      <c r="AV33" s="69">
        <f t="shared" si="31"/>
        <v>21300</v>
      </c>
      <c r="AW33" s="67">
        <f t="shared" si="22"/>
        <v>2366.6666666666665</v>
      </c>
      <c r="AX33" s="82">
        <f t="shared" si="23"/>
        <v>42</v>
      </c>
      <c r="AY33" s="59">
        <f t="shared" si="24"/>
        <v>206950</v>
      </c>
      <c r="AZ33" s="59">
        <f t="shared" si="25"/>
        <v>55450</v>
      </c>
      <c r="BA33" s="71">
        <f>W33+AE33+AM33+AV33-BM33</f>
        <v>260420</v>
      </c>
      <c r="BB33" s="72">
        <f t="shared" si="32"/>
        <v>2750</v>
      </c>
      <c r="BC33" s="73">
        <v>42</v>
      </c>
      <c r="BD33" s="74">
        <v>192940</v>
      </c>
      <c r="BE33" s="74">
        <v>40930</v>
      </c>
      <c r="BF33" s="75">
        <v>2750</v>
      </c>
      <c r="BG33" s="75"/>
      <c r="BH33" s="75"/>
      <c r="BI33" s="75"/>
      <c r="BJ33" s="76">
        <f t="shared" si="30"/>
        <v>236620</v>
      </c>
      <c r="BK33" s="47">
        <v>29</v>
      </c>
      <c r="BL33" s="77">
        <f t="shared" si="27"/>
        <v>236620</v>
      </c>
      <c r="BM33" s="47">
        <v>1980</v>
      </c>
    </row>
    <row r="34" spans="2:65" ht="20" customHeight="1">
      <c r="B34" s="78">
        <f t="shared" si="28"/>
        <v>45442</v>
      </c>
      <c r="C34" s="79"/>
      <c r="D34" s="50"/>
      <c r="E34" s="51">
        <v>22</v>
      </c>
      <c r="F34" s="52">
        <v>78540</v>
      </c>
      <c r="G34" s="53">
        <f t="shared" si="0"/>
        <v>3245.4545454545455</v>
      </c>
      <c r="H34" s="52">
        <v>7440</v>
      </c>
      <c r="I34" s="53">
        <f t="shared" si="1"/>
        <v>307.40909090909093</v>
      </c>
      <c r="J34" s="55">
        <f t="shared" si="2"/>
        <v>85980</v>
      </c>
      <c r="K34" s="56">
        <f t="shared" si="3"/>
        <v>3908.181818181818</v>
      </c>
      <c r="L34" s="57"/>
      <c r="M34" s="58">
        <f t="shared" si="4"/>
        <v>12</v>
      </c>
      <c r="N34" s="59">
        <f t="shared" si="4"/>
        <v>123530</v>
      </c>
      <c r="O34" s="53">
        <f t="shared" si="5"/>
        <v>9358.3333333333339</v>
      </c>
      <c r="P34" s="59">
        <f t="shared" si="6"/>
        <v>27160</v>
      </c>
      <c r="Q34" s="53">
        <f t="shared" si="7"/>
        <v>2057.5</v>
      </c>
      <c r="R34" s="60">
        <f t="shared" si="8"/>
        <v>150690</v>
      </c>
      <c r="S34" s="56">
        <f t="shared" si="9"/>
        <v>12557.5</v>
      </c>
      <c r="T34" s="80">
        <f t="shared" si="10"/>
        <v>34</v>
      </c>
      <c r="U34" s="59">
        <f t="shared" si="10"/>
        <v>202070</v>
      </c>
      <c r="V34" s="59">
        <f t="shared" si="11"/>
        <v>34600</v>
      </c>
      <c r="W34" s="62">
        <f t="shared" si="12"/>
        <v>236670</v>
      </c>
      <c r="X34" s="81"/>
      <c r="Y34" s="87"/>
      <c r="Z34" s="88">
        <v>13</v>
      </c>
      <c r="AA34" s="89">
        <v>5850</v>
      </c>
      <c r="AB34" s="53">
        <f t="shared" si="13"/>
        <v>450</v>
      </c>
      <c r="AC34" s="89">
        <v>5180</v>
      </c>
      <c r="AD34" s="54">
        <f t="shared" si="14"/>
        <v>398.46153846153845</v>
      </c>
      <c r="AE34" s="65">
        <f t="shared" si="15"/>
        <v>11030</v>
      </c>
      <c r="AF34" s="56">
        <f t="shared" si="16"/>
        <v>848.46153846153845</v>
      </c>
      <c r="AG34" s="66"/>
      <c r="AH34" s="88">
        <v>15</v>
      </c>
      <c r="AI34" s="89">
        <v>0</v>
      </c>
      <c r="AJ34" s="53">
        <f t="shared" si="17"/>
        <v>0</v>
      </c>
      <c r="AK34" s="89">
        <v>7177</v>
      </c>
      <c r="AL34" s="54">
        <f t="shared" si="18"/>
        <v>478.46666666666664</v>
      </c>
      <c r="AM34" s="65">
        <f t="shared" si="29"/>
        <v>7177</v>
      </c>
      <c r="AN34" s="67">
        <f t="shared" si="19"/>
        <v>478.46666666666664</v>
      </c>
      <c r="AO34" s="68"/>
      <c r="AP34" s="88">
        <v>24</v>
      </c>
      <c r="AQ34" s="89">
        <v>50950</v>
      </c>
      <c r="AR34" s="53">
        <f t="shared" si="20"/>
        <v>2122.9166666666665</v>
      </c>
      <c r="AS34" s="89">
        <v>32150</v>
      </c>
      <c r="AT34" s="54">
        <f t="shared" si="21"/>
        <v>1339.5833333333333</v>
      </c>
      <c r="AU34" s="54"/>
      <c r="AV34" s="69">
        <f t="shared" si="31"/>
        <v>83100</v>
      </c>
      <c r="AW34" s="67">
        <f t="shared" si="22"/>
        <v>3462.5</v>
      </c>
      <c r="AX34" s="82">
        <f t="shared" si="23"/>
        <v>34</v>
      </c>
      <c r="AY34" s="59">
        <f t="shared" si="24"/>
        <v>258870</v>
      </c>
      <c r="AZ34" s="59">
        <f t="shared" si="25"/>
        <v>79107</v>
      </c>
      <c r="BA34" s="71">
        <f>W34+AE34+AM34+AV34-BM34</f>
        <v>337977</v>
      </c>
      <c r="BB34" s="72">
        <f t="shared" si="32"/>
        <v>3850</v>
      </c>
      <c r="BC34" s="73">
        <v>34</v>
      </c>
      <c r="BD34" s="74">
        <v>202070</v>
      </c>
      <c r="BE34" s="74">
        <v>34600</v>
      </c>
      <c r="BF34" s="75">
        <v>2200</v>
      </c>
      <c r="BG34" s="75">
        <v>1650</v>
      </c>
      <c r="BH34" s="75"/>
      <c r="BI34" s="75"/>
      <c r="BJ34" s="76">
        <f t="shared" si="30"/>
        <v>240520</v>
      </c>
      <c r="BK34" s="47">
        <v>30</v>
      </c>
      <c r="BL34" s="77">
        <f t="shared" si="27"/>
        <v>240520</v>
      </c>
    </row>
    <row r="35" spans="2:65" ht="20" customHeight="1" thickBot="1">
      <c r="B35" s="78">
        <f t="shared" si="28"/>
        <v>45443</v>
      </c>
      <c r="C35" s="79"/>
      <c r="D35" s="50"/>
      <c r="E35" s="51">
        <v>23</v>
      </c>
      <c r="F35" s="52">
        <v>87890</v>
      </c>
      <c r="G35" s="53">
        <f t="shared" si="0"/>
        <v>3473.913043478261</v>
      </c>
      <c r="H35" s="52">
        <v>5480</v>
      </c>
      <c r="I35" s="53">
        <f t="shared" si="1"/>
        <v>216.56521739130434</v>
      </c>
      <c r="J35" s="55">
        <f t="shared" si="2"/>
        <v>93370</v>
      </c>
      <c r="K35" s="56">
        <f t="shared" si="3"/>
        <v>4059.5652173913045</v>
      </c>
      <c r="L35" s="57"/>
      <c r="M35" s="90">
        <f t="shared" si="4"/>
        <v>5</v>
      </c>
      <c r="N35" s="59">
        <f t="shared" si="4"/>
        <v>52800</v>
      </c>
      <c r="O35" s="53">
        <f t="shared" si="5"/>
        <v>9600</v>
      </c>
      <c r="P35" s="59">
        <f t="shared" si="6"/>
        <v>15290</v>
      </c>
      <c r="Q35" s="53">
        <f t="shared" si="7"/>
        <v>2780</v>
      </c>
      <c r="R35" s="60">
        <f t="shared" si="8"/>
        <v>68090</v>
      </c>
      <c r="S35" s="56">
        <f t="shared" si="9"/>
        <v>13618</v>
      </c>
      <c r="T35" s="91">
        <f t="shared" si="10"/>
        <v>28</v>
      </c>
      <c r="U35" s="92">
        <f t="shared" si="10"/>
        <v>140690</v>
      </c>
      <c r="V35" s="92">
        <f t="shared" si="11"/>
        <v>20770</v>
      </c>
      <c r="W35" s="93">
        <f t="shared" si="12"/>
        <v>161460</v>
      </c>
      <c r="X35" s="92"/>
      <c r="Y35" s="94"/>
      <c r="Z35" s="95">
        <v>15</v>
      </c>
      <c r="AA35" s="96">
        <v>7180</v>
      </c>
      <c r="AB35" s="97">
        <f t="shared" si="13"/>
        <v>478.66666666666669</v>
      </c>
      <c r="AC35" s="96">
        <v>4290</v>
      </c>
      <c r="AD35" s="98">
        <f t="shared" si="14"/>
        <v>286</v>
      </c>
      <c r="AE35" s="99">
        <f t="shared" si="15"/>
        <v>11470</v>
      </c>
      <c r="AF35" s="56">
        <f t="shared" si="16"/>
        <v>764.66666666666663</v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9"/>
        <v>0</v>
      </c>
      <c r="AN35" s="67" t="str">
        <f t="shared" si="19"/>
        <v/>
      </c>
      <c r="AO35" s="101"/>
      <c r="AP35" s="95">
        <v>67</v>
      </c>
      <c r="AQ35" s="96">
        <v>183050</v>
      </c>
      <c r="AR35" s="97">
        <f t="shared" si="20"/>
        <v>2732.0895522388059</v>
      </c>
      <c r="AS35" s="96">
        <v>100400</v>
      </c>
      <c r="AT35" s="98">
        <f t="shared" si="21"/>
        <v>1498.5074626865671</v>
      </c>
      <c r="AU35" s="98">
        <v>4950</v>
      </c>
      <c r="AV35" s="69">
        <f t="shared" si="31"/>
        <v>288400</v>
      </c>
      <c r="AW35" s="67">
        <f t="shared" si="22"/>
        <v>4304.4776119402986</v>
      </c>
      <c r="AX35" s="102">
        <f t="shared" si="23"/>
        <v>28</v>
      </c>
      <c r="AY35" s="59">
        <f t="shared" si="24"/>
        <v>330920</v>
      </c>
      <c r="AZ35" s="59">
        <f t="shared" si="25"/>
        <v>125460</v>
      </c>
      <c r="BA35" s="71">
        <f t="shared" si="26"/>
        <v>461330</v>
      </c>
      <c r="BB35" s="72">
        <f t="shared" si="32"/>
        <v>1650</v>
      </c>
      <c r="BC35" s="103">
        <v>28</v>
      </c>
      <c r="BD35" s="104">
        <v>140690</v>
      </c>
      <c r="BE35" s="104">
        <v>20770</v>
      </c>
      <c r="BF35" s="105"/>
      <c r="BG35" s="105">
        <v>1650</v>
      </c>
      <c r="BH35" s="105"/>
      <c r="BI35" s="105"/>
      <c r="BJ35" s="76">
        <f t="shared" si="30"/>
        <v>163110</v>
      </c>
      <c r="BK35" s="47">
        <v>31</v>
      </c>
      <c r="BL35" s="77">
        <f t="shared" si="27"/>
        <v>163110</v>
      </c>
    </row>
    <row r="36" spans="2:65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805</v>
      </c>
      <c r="F36" s="110">
        <f>SUM(F5:F35)</f>
        <v>3195270</v>
      </c>
      <c r="G36" s="111">
        <f>F36/E36</f>
        <v>3969.2795031055903</v>
      </c>
      <c r="H36" s="107">
        <f>SUM(H5:H35)</f>
        <v>488430</v>
      </c>
      <c r="I36" s="112">
        <f>H36/E36</f>
        <v>606.74534161490681</v>
      </c>
      <c r="J36" s="113">
        <f>SUM(J5:J35)</f>
        <v>3683700</v>
      </c>
      <c r="K36" s="114">
        <f>J36/E36</f>
        <v>4576.0248447204967</v>
      </c>
      <c r="L36" s="115">
        <f>SUM(L5:L35)</f>
        <v>0</v>
      </c>
      <c r="M36" s="109">
        <f>SUM(M5:M35)</f>
        <v>356</v>
      </c>
      <c r="N36" s="110">
        <f>SUM(N5:N35)</f>
        <v>3436370</v>
      </c>
      <c r="O36" s="111">
        <f>N36/M36</f>
        <v>9652.7247191011229</v>
      </c>
      <c r="P36" s="116">
        <f>SUM(P5:P35)</f>
        <v>876130</v>
      </c>
      <c r="Q36" s="112">
        <f>P36/M36</f>
        <v>2461.0393258426966</v>
      </c>
      <c r="R36" s="117">
        <f>SUM(R5:R35)</f>
        <v>4312500</v>
      </c>
      <c r="S36" s="118">
        <f>R36/M36</f>
        <v>12113.76404494382</v>
      </c>
      <c r="T36" s="109">
        <f t="shared" ref="T36:AA36" si="33">SUM(T5:T35)</f>
        <v>1161</v>
      </c>
      <c r="U36" s="116">
        <f t="shared" si="33"/>
        <v>6631640</v>
      </c>
      <c r="V36" s="116">
        <f t="shared" si="33"/>
        <v>1364560</v>
      </c>
      <c r="W36" s="113">
        <f>SUM(W5:W35)</f>
        <v>7996200</v>
      </c>
      <c r="X36" s="119">
        <f t="shared" si="33"/>
        <v>0</v>
      </c>
      <c r="Y36" s="108">
        <f t="shared" si="33"/>
        <v>0</v>
      </c>
      <c r="Z36" s="109">
        <f t="shared" si="33"/>
        <v>458</v>
      </c>
      <c r="AA36" s="111">
        <f t="shared" si="33"/>
        <v>203880</v>
      </c>
      <c r="AB36" s="111">
        <f>AA36/Z36</f>
        <v>445.15283842794759</v>
      </c>
      <c r="AC36" s="107">
        <f>SUM(AC5:AC35)</f>
        <v>98780</v>
      </c>
      <c r="AD36" s="112">
        <f>AC36/Z36</f>
        <v>215.6768558951965</v>
      </c>
      <c r="AE36" s="117">
        <f>SUM(AE5:AE35)</f>
        <v>302660</v>
      </c>
      <c r="AF36" s="120">
        <f>AE36/Z36</f>
        <v>660.82969432314405</v>
      </c>
      <c r="AG36" s="121">
        <f t="shared" ref="AG36:AI36" si="34">SUM(AG5:AG35)</f>
        <v>0</v>
      </c>
      <c r="AH36" s="109">
        <f t="shared" si="34"/>
        <v>388</v>
      </c>
      <c r="AI36" s="111">
        <f t="shared" si="34"/>
        <v>1438980</v>
      </c>
      <c r="AJ36" s="111"/>
      <c r="AK36" s="107">
        <f>SUM(AK5:AK35)</f>
        <v>501902</v>
      </c>
      <c r="AL36" s="112"/>
      <c r="AM36" s="117">
        <f>SUM(AM5:AM35)</f>
        <v>1940882</v>
      </c>
      <c r="AN36" s="122">
        <f>AM36/AH36</f>
        <v>5002.2731958762888</v>
      </c>
      <c r="AO36" s="123">
        <f t="shared" ref="AO36:AQ36" si="35">SUM(AO5:AO35)</f>
        <v>0</v>
      </c>
      <c r="AP36" s="109">
        <f t="shared" si="35"/>
        <v>2102</v>
      </c>
      <c r="AQ36" s="111">
        <f t="shared" si="35"/>
        <v>1825200</v>
      </c>
      <c r="AR36" s="111"/>
      <c r="AS36" s="107">
        <f>SUM(AS5:AS35)</f>
        <v>1384950</v>
      </c>
      <c r="AT36" s="112"/>
      <c r="AU36" s="107">
        <f>SUM(AU5:AU35)</f>
        <v>4950</v>
      </c>
      <c r="AV36" s="117">
        <f>SUM(AV5:AV35)</f>
        <v>3211060</v>
      </c>
      <c r="AW36" s="122">
        <f>AV36/AP36</f>
        <v>1527.6213130352046</v>
      </c>
      <c r="AX36" s="124">
        <f t="shared" ref="AX36:BJ36" si="36">SUM(AX5:AX35)</f>
        <v>1161</v>
      </c>
      <c r="AY36" s="116">
        <f t="shared" si="36"/>
        <v>10099700</v>
      </c>
      <c r="AZ36" s="116">
        <f t="shared" si="36"/>
        <v>3350192</v>
      </c>
      <c r="BA36" s="117">
        <f>SUM(BA5:BA35)</f>
        <v>13429308</v>
      </c>
      <c r="BB36" s="125">
        <f>SUM(BB5:BB35)</f>
        <v>86900</v>
      </c>
      <c r="BC36" s="126">
        <f t="shared" si="36"/>
        <v>1161</v>
      </c>
      <c r="BD36" s="126">
        <f t="shared" si="36"/>
        <v>6631640</v>
      </c>
      <c r="BE36" s="126">
        <f t="shared" si="36"/>
        <v>1364560</v>
      </c>
      <c r="BF36" s="126">
        <f t="shared" si="36"/>
        <v>70950</v>
      </c>
      <c r="BG36" s="126">
        <f t="shared" si="36"/>
        <v>15950</v>
      </c>
      <c r="BH36" s="126">
        <f t="shared" si="36"/>
        <v>22000</v>
      </c>
      <c r="BI36" s="126">
        <f t="shared" si="36"/>
        <v>9900</v>
      </c>
      <c r="BJ36" s="127">
        <f t="shared" si="36"/>
        <v>8083100</v>
      </c>
      <c r="BL36" s="129">
        <f>SUM(BL5:BL35)</f>
        <v>8093000</v>
      </c>
    </row>
    <row r="37" spans="2:65" s="128" customFormat="1" ht="18">
      <c r="B37" s="130"/>
      <c r="E37" s="131" t="s">
        <v>43</v>
      </c>
      <c r="F37" s="132">
        <f>F36/1.1</f>
        <v>2904790.9090909087</v>
      </c>
      <c r="G37" s="133">
        <f>F37/E36</f>
        <v>3608.4359119141723</v>
      </c>
      <c r="H37" s="134">
        <f>H36/1.1</f>
        <v>444027.27272727271</v>
      </c>
      <c r="I37" s="133">
        <f>H37/E36</f>
        <v>551.58667419536982</v>
      </c>
      <c r="J37" s="135">
        <f>J36/1.1</f>
        <v>3348818.1818181816</v>
      </c>
      <c r="K37" s="136">
        <f>G37+I37</f>
        <v>4160.0225861095423</v>
      </c>
      <c r="L37" s="137"/>
      <c r="M37" s="131" t="s">
        <v>43</v>
      </c>
      <c r="N37" s="132">
        <f>N36/1.1</f>
        <v>3123972.7272727271</v>
      </c>
      <c r="O37" s="133">
        <f>N37/M36</f>
        <v>8775.2042900919296</v>
      </c>
      <c r="P37" s="134">
        <f>P36/1.1</f>
        <v>796481.81818181812</v>
      </c>
      <c r="Q37" s="133">
        <f>P37/M36</f>
        <v>2237.3084780388149</v>
      </c>
      <c r="R37" s="133">
        <f>R36/1.1</f>
        <v>3920454.5454545449</v>
      </c>
      <c r="S37" s="138">
        <f>R37/M36</f>
        <v>11012.512768130744</v>
      </c>
      <c r="T37" s="131" t="s">
        <v>43</v>
      </c>
      <c r="U37" s="132">
        <f>U36/1.1</f>
        <v>6028763.6363636358</v>
      </c>
      <c r="V37" s="132">
        <f>V36/1.1</f>
        <v>1240509.0909090908</v>
      </c>
      <c r="W37" s="135">
        <f>W36/1.1</f>
        <v>7269272.7272727266</v>
      </c>
      <c r="X37" s="139"/>
      <c r="Y37" s="137"/>
      <c r="Z37" s="131" t="s">
        <v>43</v>
      </c>
      <c r="AA37" s="132">
        <f>AA36/1.1</f>
        <v>185345.45454545453</v>
      </c>
      <c r="AB37" s="134">
        <f>AA37/Z36</f>
        <v>404.68439857086139</v>
      </c>
      <c r="AC37" s="134">
        <f>AC36/1.1</f>
        <v>89800</v>
      </c>
      <c r="AD37" s="134">
        <f>AC37/Z36</f>
        <v>196.06986899563319</v>
      </c>
      <c r="AE37" s="133">
        <f>AE36/1.1</f>
        <v>275145.45454545453</v>
      </c>
      <c r="AF37" s="140">
        <f>AE37/Z36</f>
        <v>600.7542675664946</v>
      </c>
      <c r="AG37" s="137"/>
      <c r="AH37" s="131" t="s">
        <v>43</v>
      </c>
      <c r="AI37" s="132">
        <f>AI36/1.1</f>
        <v>1308163.6363636362</v>
      </c>
      <c r="AJ37" s="134">
        <f>AI37/AH36</f>
        <v>3371.5557638238047</v>
      </c>
      <c r="AK37" s="134">
        <f>AK36/1.1</f>
        <v>456274.54545454541</v>
      </c>
      <c r="AL37" s="134">
        <f>AK37/AH36</f>
        <v>1175.9653233364572</v>
      </c>
      <c r="AM37" s="133">
        <f>AM36/1.1</f>
        <v>1764438.1818181816</v>
      </c>
      <c r="AN37" s="141" t="e">
        <f>AM37/AG36</f>
        <v>#DIV/0!</v>
      </c>
      <c r="AO37" s="137"/>
      <c r="AP37" s="131" t="s">
        <v>43</v>
      </c>
      <c r="AQ37" s="132">
        <f>AQ36/1.1</f>
        <v>1659272.7272727271</v>
      </c>
      <c r="AR37" s="134">
        <f>AQ37/AP36</f>
        <v>789.37808148084071</v>
      </c>
      <c r="AS37" s="134">
        <f>AS36/1.1</f>
        <v>1259045.4545454544</v>
      </c>
      <c r="AT37" s="134">
        <f>AS37/AP36</f>
        <v>598.97500216244259</v>
      </c>
      <c r="AU37" s="134">
        <f>AU36/1.1</f>
        <v>4500</v>
      </c>
      <c r="AV37" s="133">
        <f>AV36/1.1</f>
        <v>2919145.4545454541</v>
      </c>
      <c r="AW37" s="141">
        <f>AV37/AP36</f>
        <v>1388.746648213822</v>
      </c>
      <c r="AX37" s="142" t="s">
        <v>43</v>
      </c>
      <c r="AY37" s="132">
        <f>AY36/1.1</f>
        <v>9181545.4545454532</v>
      </c>
      <c r="AZ37" s="132">
        <f>AZ36/1.1</f>
        <v>3045629.0909090908</v>
      </c>
      <c r="BA37" s="133">
        <f>BA36/1.1</f>
        <v>12208461.818181816</v>
      </c>
      <c r="BB37" s="143">
        <f>BB36/1.1</f>
        <v>79000</v>
      </c>
      <c r="BG37" s="144"/>
      <c r="BJ37" s="145">
        <f>BJ36/1.1</f>
        <v>7348272.7272727266</v>
      </c>
      <c r="BL37" s="145"/>
    </row>
    <row r="38" spans="2:65">
      <c r="C38" s="47">
        <v>31</v>
      </c>
      <c r="E38" s="146" t="s">
        <v>44</v>
      </c>
      <c r="F38" s="147">
        <f>E36/G38</f>
        <v>25.967741935483872</v>
      </c>
      <c r="G38" s="148">
        <v>31</v>
      </c>
      <c r="H38" s="147"/>
      <c r="I38" s="147"/>
      <c r="J38" s="149" t="s">
        <v>45</v>
      </c>
      <c r="K38" s="150">
        <f>J37/G38</f>
        <v>108026.39296187683</v>
      </c>
      <c r="M38" s="146" t="s">
        <v>44</v>
      </c>
      <c r="N38" s="147">
        <f>M36/O38</f>
        <v>11.483870967741936</v>
      </c>
      <c r="O38" s="148">
        <f>G38</f>
        <v>31</v>
      </c>
      <c r="P38" s="147"/>
      <c r="Q38" s="147"/>
      <c r="R38" s="149" t="s">
        <v>45</v>
      </c>
      <c r="S38" s="151">
        <f>R37/O38</f>
        <v>126466.27565982404</v>
      </c>
      <c r="U38" s="152">
        <f>O38</f>
        <v>31</v>
      </c>
      <c r="W38" s="85">
        <f>W37/U38</f>
        <v>234492.66862170087</v>
      </c>
      <c r="X38" s="77"/>
      <c r="AA38" s="153">
        <f>G38</f>
        <v>31</v>
      </c>
      <c r="AB38" s="147"/>
      <c r="AC38" s="147"/>
      <c r="AD38" s="147"/>
      <c r="AE38" s="147"/>
      <c r="AF38" s="150">
        <f>AE37/AA38</f>
        <v>8875.6598240469211</v>
      </c>
      <c r="AI38" s="153">
        <f>AA38</f>
        <v>31</v>
      </c>
      <c r="AJ38" s="147"/>
      <c r="AK38" s="147"/>
      <c r="AL38" s="147"/>
      <c r="AM38" s="147"/>
      <c r="AN38" s="150">
        <f>AM37/AI38</f>
        <v>56917.360703812308</v>
      </c>
      <c r="AQ38" s="153">
        <f>G38</f>
        <v>31</v>
      </c>
      <c r="AR38" s="147"/>
      <c r="AS38" s="147"/>
      <c r="AT38" s="147" t="s">
        <v>105</v>
      </c>
      <c r="AU38" s="147">
        <v>527950</v>
      </c>
      <c r="AV38" s="147">
        <f>AU38/1.1</f>
        <v>479954.54545454541</v>
      </c>
      <c r="AW38" s="150">
        <f>AV37/AQ38</f>
        <v>94165.982404692069</v>
      </c>
      <c r="AY38" s="47">
        <v>1192050</v>
      </c>
      <c r="BA38" s="85"/>
      <c r="BB38" s="77" t="e">
        <f>BA37/BC37</f>
        <v>#DIV/0!</v>
      </c>
      <c r="BC38" s="154">
        <f>AX36+T36</f>
        <v>2322</v>
      </c>
      <c r="BG38" s="85"/>
    </row>
    <row r="39" spans="2:65">
      <c r="D39" s="155" t="s">
        <v>46</v>
      </c>
      <c r="E39" s="156"/>
      <c r="F39" s="147"/>
      <c r="G39" s="157"/>
      <c r="H39" s="147"/>
      <c r="I39" s="147"/>
      <c r="J39" s="149"/>
      <c r="K39" s="150"/>
      <c r="L39" s="158" t="s">
        <v>47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48</v>
      </c>
      <c r="AA39" s="147"/>
      <c r="AB39" s="147"/>
      <c r="AC39" s="147"/>
      <c r="AD39" s="147"/>
      <c r="AE39" s="147"/>
      <c r="AF39" s="150"/>
      <c r="AG39" s="158" t="s">
        <v>49</v>
      </c>
      <c r="AI39" s="147"/>
      <c r="AJ39" s="147"/>
      <c r="AK39" s="147"/>
      <c r="AL39" s="147"/>
      <c r="AM39" s="147"/>
      <c r="AN39" s="150"/>
      <c r="AO39" s="158" t="s">
        <v>50</v>
      </c>
      <c r="AQ39" s="147"/>
      <c r="AR39" s="147">
        <v>1192050</v>
      </c>
      <c r="AS39" s="147">
        <f>AR39/1.1</f>
        <v>1083681.8181818181</v>
      </c>
      <c r="AT39" s="147" t="s">
        <v>106</v>
      </c>
      <c r="AU39" s="147">
        <v>2683110</v>
      </c>
      <c r="AV39" s="147">
        <f>AU39/1.1</f>
        <v>2439190.9090909087</v>
      </c>
      <c r="AW39" s="150"/>
      <c r="AY39" s="47">
        <f>AY38/1.1</f>
        <v>1083681.8181818181</v>
      </c>
      <c r="BA39" s="77">
        <f>BA36+BB36</f>
        <v>13516208</v>
      </c>
      <c r="BB39" s="159">
        <f>BA39/G38</f>
        <v>436006.70967741933</v>
      </c>
      <c r="BC39" s="47" t="s">
        <v>51</v>
      </c>
      <c r="BG39" s="85"/>
    </row>
    <row r="40" spans="2:65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Y40" s="47">
        <v>192900</v>
      </c>
      <c r="BA40" s="161">
        <f>BA37+BB37</f>
        <v>12287461.818181816</v>
      </c>
    </row>
    <row r="41" spans="2:65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Y41" s="47">
        <f>AY40/1.1</f>
        <v>175363.63636363635</v>
      </c>
      <c r="BA41" s="77"/>
      <c r="BB41" s="159">
        <f>BA40/G38</f>
        <v>396369.73607038119</v>
      </c>
      <c r="BC41" s="47" t="s">
        <v>52</v>
      </c>
      <c r="BD41" s="47">
        <v>9</v>
      </c>
    </row>
    <row r="42" spans="2:65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1259045.4545454544</v>
      </c>
    </row>
    <row r="43" spans="2:65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12287461.818181816</v>
      </c>
      <c r="BB43" s="162" t="s">
        <v>53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5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54</v>
      </c>
      <c r="BA44" s="145">
        <f>J45+R45+AE45+BB44+AM45+AV45</f>
        <v>12412616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55</v>
      </c>
    </row>
    <row r="45" spans="2:65" ht="21" customHeight="1">
      <c r="H45" s="167"/>
      <c r="I45" s="168" t="s">
        <v>56</v>
      </c>
      <c r="J45" s="145">
        <v>3795376</v>
      </c>
      <c r="K45" s="169" t="s">
        <v>57</v>
      </c>
      <c r="L45" s="128"/>
      <c r="M45" s="128"/>
      <c r="N45" s="128"/>
      <c r="O45" s="128"/>
      <c r="P45" s="128"/>
      <c r="Q45" s="168" t="s">
        <v>58</v>
      </c>
      <c r="R45" s="145">
        <v>5061500</v>
      </c>
      <c r="S45" s="169" t="s">
        <v>57</v>
      </c>
      <c r="T45" s="128">
        <v>10</v>
      </c>
      <c r="U45" s="128"/>
      <c r="V45" s="168" t="s">
        <v>59</v>
      </c>
      <c r="W45" s="145">
        <f>J45+R45</f>
        <v>8856876</v>
      </c>
      <c r="X45" s="169" t="s">
        <v>57</v>
      </c>
      <c r="Y45" s="128"/>
      <c r="Z45" s="128"/>
      <c r="AA45" s="128"/>
      <c r="AB45" s="128"/>
      <c r="AC45" s="128"/>
      <c r="AD45" s="167" t="s">
        <v>60</v>
      </c>
      <c r="AE45" s="145">
        <v>356400</v>
      </c>
      <c r="AF45" s="169" t="s">
        <v>57</v>
      </c>
      <c r="AG45" s="169"/>
      <c r="AH45" s="169"/>
      <c r="AI45" s="169"/>
      <c r="AJ45" s="169"/>
      <c r="AK45" s="128"/>
      <c r="AL45" s="168" t="s">
        <v>61</v>
      </c>
      <c r="AM45" s="145">
        <v>1346220</v>
      </c>
      <c r="AN45" s="169" t="s">
        <v>57</v>
      </c>
      <c r="AO45" s="169"/>
      <c r="AP45" s="169"/>
      <c r="AQ45" s="169"/>
      <c r="AR45" s="169"/>
      <c r="AS45" s="128"/>
      <c r="AT45" s="168" t="s">
        <v>62</v>
      </c>
      <c r="AU45" s="168"/>
      <c r="AV45" s="145">
        <v>1853120</v>
      </c>
      <c r="AW45" s="169" t="s">
        <v>57</v>
      </c>
      <c r="AX45" s="128"/>
      <c r="AY45" s="128"/>
      <c r="AZ45" s="165" t="s">
        <v>63</v>
      </c>
      <c r="BA45" s="144">
        <f>BA44-BA37-BB37</f>
        <v>125154.18181818351</v>
      </c>
      <c r="BB45" s="144">
        <f>BB44-BB37</f>
        <v>-79000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64</v>
      </c>
      <c r="BL45" s="47"/>
    </row>
    <row r="46" spans="2:65" ht="21" customHeight="1">
      <c r="H46" s="167"/>
      <c r="I46" s="167" t="s">
        <v>63</v>
      </c>
      <c r="J46" s="144">
        <f>J45-J37</f>
        <v>446557.81818181835</v>
      </c>
      <c r="K46" s="171">
        <f>C38-G38</f>
        <v>0</v>
      </c>
      <c r="L46" s="128"/>
      <c r="M46" s="128"/>
      <c r="N46" s="128"/>
      <c r="O46" s="128"/>
      <c r="P46" s="128"/>
      <c r="Q46" s="167" t="s">
        <v>63</v>
      </c>
      <c r="R46" s="144">
        <f>R45-R37</f>
        <v>1141045.4545454551</v>
      </c>
      <c r="S46" s="128">
        <f>K46</f>
        <v>0</v>
      </c>
      <c r="T46" s="128"/>
      <c r="U46" s="128"/>
      <c r="V46" s="167" t="s">
        <v>63</v>
      </c>
      <c r="W46" s="144">
        <f>W45-W37</f>
        <v>1587603.2727272734</v>
      </c>
      <c r="X46" s="128">
        <f>S46</f>
        <v>0</v>
      </c>
      <c r="Y46" s="128"/>
      <c r="Z46" s="128"/>
      <c r="AA46" s="128"/>
      <c r="AB46" s="128"/>
      <c r="AC46" s="128"/>
      <c r="AD46" s="167" t="s">
        <v>63</v>
      </c>
      <c r="AE46" s="144">
        <f>AE45-AE37</f>
        <v>81254.54545454547</v>
      </c>
      <c r="AF46" s="128">
        <f>K46</f>
        <v>0</v>
      </c>
      <c r="AG46" s="128"/>
      <c r="AH46" s="128"/>
      <c r="AI46" s="128"/>
      <c r="AJ46" s="128"/>
      <c r="AK46" s="128"/>
      <c r="AL46" s="167" t="s">
        <v>63</v>
      </c>
      <c r="AM46" s="144">
        <f>AM45-AM37</f>
        <v>-418218.18181818165</v>
      </c>
      <c r="AN46" s="128">
        <f>AF46</f>
        <v>0</v>
      </c>
      <c r="AO46" s="128"/>
      <c r="AP46" s="128"/>
      <c r="AQ46" s="128"/>
      <c r="AR46" s="128"/>
      <c r="AS46" s="128"/>
      <c r="AT46" s="167" t="s">
        <v>63</v>
      </c>
      <c r="AU46" s="167"/>
      <c r="AV46" s="144">
        <f>AV45-AV37</f>
        <v>-1066025.4545454541</v>
      </c>
      <c r="AW46" s="128">
        <f>AN46</f>
        <v>0</v>
      </c>
      <c r="AX46" s="128"/>
      <c r="AY46" s="172"/>
      <c r="AZ46" s="173" t="s">
        <v>65</v>
      </c>
      <c r="BA46" s="174" t="e">
        <f>BA45/K46</f>
        <v>#DIV/0!</v>
      </c>
      <c r="BB46" s="175">
        <f>(BA37+BB37)/BA44</f>
        <v>0.9899171792780681</v>
      </c>
      <c r="BC46" s="172"/>
      <c r="BD46" s="176"/>
      <c r="BE46" s="177">
        <f>SUM(BE41:BE45)</f>
        <v>24860090.818181816</v>
      </c>
      <c r="BF46" s="178">
        <f>BJ71</f>
        <v>9138052</v>
      </c>
      <c r="BG46" s="179">
        <f>BF46/BE46</f>
        <v>0.36757918813863472</v>
      </c>
      <c r="BH46" s="180">
        <f>BE46-BF46</f>
        <v>15722038.818181816</v>
      </c>
      <c r="BL46" s="47"/>
    </row>
    <row r="47" spans="2:65" s="176" customFormat="1" ht="26" customHeight="1">
      <c r="B47" s="181"/>
      <c r="H47" s="182"/>
      <c r="I47" s="173" t="s">
        <v>65</v>
      </c>
      <c r="J47" s="183" t="e">
        <f>J46/K46</f>
        <v>#DIV/0!</v>
      </c>
      <c r="K47" s="184">
        <f>J37/J45</f>
        <v>0.88234161300966796</v>
      </c>
      <c r="L47" s="172"/>
      <c r="M47" s="172"/>
      <c r="N47" s="172"/>
      <c r="O47" s="172"/>
      <c r="P47" s="172"/>
      <c r="Q47" s="173" t="s">
        <v>65</v>
      </c>
      <c r="R47" s="174" t="e">
        <f>R46/S46</f>
        <v>#DIV/0!</v>
      </c>
      <c r="S47" s="184">
        <f>R37/R45</f>
        <v>0.77456377466255955</v>
      </c>
      <c r="T47" s="172"/>
      <c r="U47" s="172"/>
      <c r="V47" s="173" t="s">
        <v>65</v>
      </c>
      <c r="W47" s="174" t="e">
        <f>W46/X46</f>
        <v>#DIV/0!</v>
      </c>
      <c r="X47" s="184">
        <f>W37/W45</f>
        <v>0.82074906855111518</v>
      </c>
      <c r="Y47" s="172"/>
      <c r="Z47" s="172"/>
      <c r="AA47" s="172"/>
      <c r="AB47" s="172"/>
      <c r="AC47" s="172"/>
      <c r="AD47" s="173" t="s">
        <v>65</v>
      </c>
      <c r="AE47" s="183" t="e">
        <f>AE46/AF46</f>
        <v>#DIV/0!</v>
      </c>
      <c r="AF47" s="184">
        <f>AE37/AE45</f>
        <v>0.77201305989184776</v>
      </c>
      <c r="AG47" s="184"/>
      <c r="AH47" s="184"/>
      <c r="AI47" s="184"/>
      <c r="AJ47" s="184"/>
      <c r="AK47" s="172"/>
      <c r="AL47" s="173" t="s">
        <v>65</v>
      </c>
      <c r="AM47" s="174" t="e">
        <f>AM46/AN46</f>
        <v>#DIV/0!</v>
      </c>
      <c r="AN47" s="184">
        <f>AM37/AM45</f>
        <v>1.3106610968624606</v>
      </c>
      <c r="AO47" s="184"/>
      <c r="AP47" s="184"/>
      <c r="AQ47" s="184"/>
      <c r="AR47" s="184"/>
      <c r="AS47" s="172"/>
      <c r="AT47" s="173" t="s">
        <v>65</v>
      </c>
      <c r="AU47" s="173"/>
      <c r="AV47" s="174" t="e">
        <f>AV46/AW46</f>
        <v>#DIV/0!</v>
      </c>
      <c r="AW47" s="184">
        <f>AV37/AV45</f>
        <v>1.575259807538343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5">
      <c r="H48" s="47">
        <v>923</v>
      </c>
      <c r="I48" s="47">
        <f>H48/31</f>
        <v>29.774193548387096</v>
      </c>
      <c r="K48" s="47">
        <f>J45/31</f>
        <v>122431.48387096774</v>
      </c>
      <c r="P48" s="47">
        <v>530</v>
      </c>
      <c r="Q48" s="47">
        <f>P48/31</f>
        <v>17.096774193548388</v>
      </c>
      <c r="S48" s="47">
        <f>R45/31</f>
        <v>163274.19354838709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66</v>
      </c>
      <c r="J49" s="188">
        <f>(I5+I8+I9+I10+I11+I12+I15+I16+I17+I18+I19+I22+I23+I24+I25+I26)/16</f>
        <v>500.84731473301252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11880</v>
      </c>
      <c r="AQ49" s="190">
        <f>AP14+AP21</f>
        <v>146</v>
      </c>
      <c r="AR49" s="191">
        <f>AR14+AR21</f>
        <v>2115.4245754245753</v>
      </c>
      <c r="AS49" s="191">
        <f>AT14+AT21</f>
        <v>1253.2767232767233</v>
      </c>
      <c r="AY49" s="1"/>
      <c r="AZ49" s="1"/>
      <c r="BA49" s="1"/>
      <c r="BB49" s="1"/>
      <c r="BC49" s="192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3" t="s">
        <v>72</v>
      </c>
      <c r="BI49" s="193" t="s">
        <v>73</v>
      </c>
      <c r="BJ49" s="193" t="s">
        <v>74</v>
      </c>
    </row>
    <row r="50" spans="2:62" s="1" customFormat="1" ht="24" customHeight="1">
      <c r="B50" s="187"/>
      <c r="I50" s="1" t="s">
        <v>75</v>
      </c>
      <c r="J50" s="188">
        <f>(I6+I7+I13+I14+I20+I21+I27)/7</f>
        <v>752.24203604950435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73</v>
      </c>
      <c r="AR50" s="196">
        <f t="shared" ref="AR50:AS50" si="38">AR49/2</f>
        <v>1057.7122877122877</v>
      </c>
      <c r="AS50" s="196">
        <f t="shared" si="38"/>
        <v>626.63836163836163</v>
      </c>
      <c r="AY50" s="186"/>
      <c r="AZ50" s="186"/>
      <c r="BA50" s="186"/>
      <c r="BB50" s="186"/>
      <c r="BC50" s="192" t="s">
        <v>76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77</v>
      </c>
      <c r="V51" s="201"/>
      <c r="W51" s="202"/>
      <c r="X51" s="203"/>
      <c r="Y51" s="192"/>
      <c r="Z51" s="199"/>
      <c r="BC51" s="192" t="s">
        <v>78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79</v>
      </c>
      <c r="V52" s="205" t="s">
        <v>80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81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82</v>
      </c>
      <c r="W53" s="206"/>
      <c r="X53" s="207" t="e">
        <f>W53/Y52</f>
        <v>#DIV/0!</v>
      </c>
      <c r="Y53" s="209"/>
      <c r="Z53" s="209"/>
      <c r="AA53" s="209"/>
      <c r="BA53" s="186" t="s">
        <v>83</v>
      </c>
      <c r="BC53" s="192" t="s">
        <v>84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85</v>
      </c>
      <c r="V54" s="205" t="s">
        <v>80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86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82</v>
      </c>
      <c r="W55" s="206"/>
      <c r="X55" s="207" t="e">
        <f t="shared" ref="X55" si="44">W55/Y54</f>
        <v>#DIV/0!</v>
      </c>
      <c r="Y55" s="209"/>
      <c r="Z55" s="209"/>
      <c r="AA55" s="209"/>
      <c r="AY55" s="47"/>
      <c r="AZ55" s="47"/>
      <c r="BA55" s="47"/>
      <c r="BB55" s="47"/>
      <c r="BC55" s="192" t="s">
        <v>87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I56" s="47">
        <f>1365660+501902+103290</f>
        <v>1970852</v>
      </c>
      <c r="U56" s="213" t="s">
        <v>2</v>
      </c>
      <c r="V56" s="214" t="s">
        <v>80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88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82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89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90</v>
      </c>
      <c r="V58" s="214" t="s">
        <v>80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91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82</v>
      </c>
      <c r="W59" s="206"/>
      <c r="X59" s="207" t="e">
        <f t="shared" si="47"/>
        <v>#DIV/0!</v>
      </c>
      <c r="Y59" s="217"/>
      <c r="Z59" s="217"/>
      <c r="AA59" s="217"/>
      <c r="BC59" s="192" t="s">
        <v>92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93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94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95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96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97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98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99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100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101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102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103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5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8C1C-E4D6-5D45-8420-4EF3453EE88D}">
  <dimension ref="A1:BN224"/>
  <sheetViews>
    <sheetView tabSelected="1" workbookViewId="0">
      <selection activeCell="A16" sqref="A16"/>
    </sheetView>
  </sheetViews>
  <sheetFormatPr baseColWidth="10" defaultColWidth="11.140625" defaultRowHeight="16"/>
  <cols>
    <col min="1" max="1" width="11.140625" style="47"/>
    <col min="2" max="2" width="10.42578125" style="130" customWidth="1"/>
    <col min="3" max="3" width="12.42578125" style="47" customWidth="1"/>
    <col min="4" max="4" width="4.140625" style="47" customWidth="1"/>
    <col min="5" max="9" width="8.42578125" style="47" customWidth="1"/>
    <col min="10" max="10" width="12" style="47" customWidth="1"/>
    <col min="11" max="11" width="8.42578125" style="47" customWidth="1"/>
    <col min="12" max="12" width="3.85546875" style="47" customWidth="1"/>
    <col min="13" max="17" width="8.42578125" style="47" customWidth="1"/>
    <col min="18" max="18" width="12.42578125" style="47" customWidth="1"/>
    <col min="19" max="19" width="8.42578125" style="47" customWidth="1"/>
    <col min="20" max="23" width="11.140625" style="47"/>
    <col min="24" max="24" width="7.5703125" style="47" customWidth="1"/>
    <col min="25" max="25" width="3" style="47" customWidth="1"/>
    <col min="26" max="30" width="7.5703125" style="47" customWidth="1"/>
    <col min="31" max="31" width="10" style="47" customWidth="1"/>
    <col min="32" max="32" width="7.5703125" style="47" customWidth="1"/>
    <col min="33" max="33" width="3.5703125" style="47" customWidth="1"/>
    <col min="34" max="38" width="7.5703125" style="47" customWidth="1"/>
    <col min="39" max="39" width="11.85546875" style="47" customWidth="1"/>
    <col min="40" max="40" width="10" style="47" customWidth="1"/>
    <col min="41" max="41" width="4.140625" style="47" customWidth="1"/>
    <col min="42" max="46" width="7.5703125" style="47" customWidth="1"/>
    <col min="47" max="47" width="9.140625" style="47" customWidth="1"/>
    <col min="48" max="48" width="11.28515625" style="47" customWidth="1"/>
    <col min="49" max="49" width="7.5703125" style="47" customWidth="1"/>
    <col min="50" max="50" width="5.7109375" style="47" customWidth="1"/>
    <col min="51" max="52" width="9.140625" style="47" customWidth="1"/>
    <col min="53" max="53" width="13.5703125" style="47" customWidth="1"/>
    <col min="54" max="54" width="11.140625" style="47"/>
    <col min="55" max="55" width="14.85546875" style="47" customWidth="1"/>
    <col min="56" max="61" width="11.140625" style="47"/>
    <col min="62" max="62" width="11.140625" style="77"/>
    <col min="63" max="63" width="11.140625" style="47"/>
    <col min="64" max="64" width="11.140625" style="77"/>
    <col min="65" max="16384" width="11.140625" style="47"/>
  </cols>
  <sheetData>
    <row r="1" spans="1:66" s="3" customFormat="1">
      <c r="A1" s="1" t="s">
        <v>0</v>
      </c>
      <c r="B1" s="2"/>
      <c r="BJ1" s="4"/>
      <c r="BL1" s="4"/>
    </row>
    <row r="2" spans="1:66" s="3" customFormat="1" ht="35" thickBot="1">
      <c r="A2" s="5">
        <v>2024</v>
      </c>
      <c r="B2" s="6">
        <v>6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3" t="s">
        <v>1</v>
      </c>
      <c r="Y2" s="8"/>
      <c r="Z2" s="8"/>
      <c r="AA2" s="8"/>
      <c r="AB2" s="8"/>
      <c r="AC2" s="8"/>
      <c r="AD2" s="8"/>
      <c r="BB2" s="3" t="s">
        <v>1</v>
      </c>
      <c r="BJ2" s="4"/>
      <c r="BL2" s="4"/>
    </row>
    <row r="3" spans="1:66" s="3" customFormat="1" ht="33" customHeight="1" thickTop="1" thickBot="1">
      <c r="A3" s="9"/>
      <c r="B3" s="10" t="s">
        <v>2</v>
      </c>
      <c r="C3" s="11"/>
      <c r="D3" s="12" t="s">
        <v>3</v>
      </c>
      <c r="E3" s="12"/>
      <c r="F3" s="12"/>
      <c r="G3" s="12"/>
      <c r="H3" s="12"/>
      <c r="I3" s="12"/>
      <c r="J3" s="12"/>
      <c r="K3" s="12"/>
      <c r="L3" s="13" t="s">
        <v>4</v>
      </c>
      <c r="M3" s="13"/>
      <c r="N3" s="13"/>
      <c r="O3" s="13"/>
      <c r="P3" s="13"/>
      <c r="Q3" s="13"/>
      <c r="R3" s="13"/>
      <c r="S3" s="13"/>
      <c r="T3" s="14" t="s">
        <v>5</v>
      </c>
      <c r="U3" s="14"/>
      <c r="V3" s="14"/>
      <c r="W3" s="14"/>
      <c r="X3" s="14"/>
      <c r="Y3" s="15" t="s">
        <v>6</v>
      </c>
      <c r="Z3" s="15"/>
      <c r="AA3" s="15"/>
      <c r="AB3" s="15"/>
      <c r="AC3" s="15"/>
      <c r="AD3" s="15"/>
      <c r="AE3" s="15"/>
      <c r="AF3" s="15"/>
      <c r="AG3" s="16" t="s">
        <v>7</v>
      </c>
      <c r="AH3" s="17"/>
      <c r="AI3" s="17"/>
      <c r="AJ3" s="17"/>
      <c r="AK3" s="17"/>
      <c r="AL3" s="17"/>
      <c r="AM3" s="17"/>
      <c r="AN3" s="18"/>
      <c r="AO3" s="19" t="s">
        <v>104</v>
      </c>
      <c r="AP3" s="20"/>
      <c r="AQ3" s="20"/>
      <c r="AR3" s="20"/>
      <c r="AS3" s="20"/>
      <c r="AT3" s="20"/>
      <c r="AU3" s="20"/>
      <c r="AV3" s="20"/>
      <c r="AW3" s="21"/>
      <c r="AX3" s="22" t="s">
        <v>9</v>
      </c>
      <c r="AY3" s="14"/>
      <c r="AZ3" s="14"/>
      <c r="BA3" s="14"/>
      <c r="BB3" s="23"/>
      <c r="BC3" s="24" t="s">
        <v>10</v>
      </c>
      <c r="BD3" s="25"/>
      <c r="BE3" s="25"/>
      <c r="BF3" s="25"/>
      <c r="BG3" s="25"/>
      <c r="BH3" s="25"/>
      <c r="BI3" s="25"/>
      <c r="BJ3" s="26"/>
      <c r="BL3" s="4"/>
    </row>
    <row r="4" spans="1:66" s="8" customFormat="1" ht="53.25" customHeight="1" thickTop="1" thickBot="1">
      <c r="A4" s="27"/>
      <c r="B4" s="10"/>
      <c r="C4" s="28" t="s">
        <v>11</v>
      </c>
      <c r="D4" s="29" t="s">
        <v>12</v>
      </c>
      <c r="E4" s="30" t="s">
        <v>13</v>
      </c>
      <c r="F4" s="29" t="s">
        <v>14</v>
      </c>
      <c r="G4" s="31" t="s">
        <v>15</v>
      </c>
      <c r="H4" s="29" t="s">
        <v>16</v>
      </c>
      <c r="I4" s="32" t="s">
        <v>17</v>
      </c>
      <c r="J4" s="30" t="s">
        <v>18</v>
      </c>
      <c r="K4" s="29" t="s">
        <v>19</v>
      </c>
      <c r="L4" s="29" t="s">
        <v>20</v>
      </c>
      <c r="M4" s="33" t="s">
        <v>13</v>
      </c>
      <c r="N4" s="29" t="s">
        <v>14</v>
      </c>
      <c r="O4" s="31" t="s">
        <v>15</v>
      </c>
      <c r="P4" s="29" t="s">
        <v>16</v>
      </c>
      <c r="Q4" s="32" t="s">
        <v>17</v>
      </c>
      <c r="R4" s="30" t="s">
        <v>18</v>
      </c>
      <c r="S4" s="34" t="s">
        <v>19</v>
      </c>
      <c r="T4" s="35" t="s">
        <v>21</v>
      </c>
      <c r="U4" s="36" t="s">
        <v>22</v>
      </c>
      <c r="V4" s="36" t="s">
        <v>23</v>
      </c>
      <c r="W4" s="37" t="s">
        <v>24</v>
      </c>
      <c r="X4" s="36"/>
      <c r="Y4" s="38" t="s">
        <v>25</v>
      </c>
      <c r="Z4" s="29" t="s">
        <v>13</v>
      </c>
      <c r="AA4" s="29" t="s">
        <v>22</v>
      </c>
      <c r="AB4" s="31" t="s">
        <v>26</v>
      </c>
      <c r="AC4" s="29" t="s">
        <v>23</v>
      </c>
      <c r="AD4" s="32" t="s">
        <v>27</v>
      </c>
      <c r="AE4" s="33" t="s">
        <v>28</v>
      </c>
      <c r="AF4" s="39" t="s">
        <v>19</v>
      </c>
      <c r="AG4" s="40" t="s">
        <v>29</v>
      </c>
      <c r="AH4" s="29" t="s">
        <v>13</v>
      </c>
      <c r="AI4" s="29" t="s">
        <v>22</v>
      </c>
      <c r="AJ4" s="31" t="s">
        <v>26</v>
      </c>
      <c r="AK4" s="29" t="s">
        <v>23</v>
      </c>
      <c r="AL4" s="32" t="s">
        <v>27</v>
      </c>
      <c r="AM4" s="33" t="s">
        <v>28</v>
      </c>
      <c r="AN4" s="41" t="s">
        <v>19</v>
      </c>
      <c r="AO4" s="42" t="s">
        <v>29</v>
      </c>
      <c r="AP4" s="29" t="s">
        <v>13</v>
      </c>
      <c r="AQ4" s="29" t="s">
        <v>22</v>
      </c>
      <c r="AR4" s="31" t="s">
        <v>26</v>
      </c>
      <c r="AS4" s="29" t="s">
        <v>23</v>
      </c>
      <c r="AT4" s="32" t="s">
        <v>27</v>
      </c>
      <c r="AU4" s="32" t="s">
        <v>30</v>
      </c>
      <c r="AV4" s="33" t="s">
        <v>28</v>
      </c>
      <c r="AW4" s="41" t="s">
        <v>19</v>
      </c>
      <c r="AX4" s="41" t="s">
        <v>21</v>
      </c>
      <c r="AY4" s="36" t="s">
        <v>22</v>
      </c>
      <c r="AZ4" s="36" t="s">
        <v>23</v>
      </c>
      <c r="BA4" s="37" t="s">
        <v>24</v>
      </c>
      <c r="BB4" s="37" t="s">
        <v>31</v>
      </c>
      <c r="BC4" s="43" t="s">
        <v>32</v>
      </c>
      <c r="BD4" s="44" t="s">
        <v>33</v>
      </c>
      <c r="BE4" s="44" t="s">
        <v>34</v>
      </c>
      <c r="BF4" s="44" t="s">
        <v>35</v>
      </c>
      <c r="BG4" s="44" t="s">
        <v>36</v>
      </c>
      <c r="BH4" s="44" t="s">
        <v>37</v>
      </c>
      <c r="BI4" s="44" t="s">
        <v>38</v>
      </c>
      <c r="BJ4" s="45" t="s">
        <v>39</v>
      </c>
      <c r="BL4" s="46"/>
    </row>
    <row r="5" spans="1:66" ht="20" customHeight="1" thickTop="1">
      <c r="B5" s="48">
        <f>DATE($A$2,$B$2,1)</f>
        <v>45444</v>
      </c>
      <c r="C5" s="49"/>
      <c r="D5" s="50"/>
      <c r="E5" s="51">
        <v>13</v>
      </c>
      <c r="F5" s="52">
        <v>48620</v>
      </c>
      <c r="G5" s="53">
        <f t="shared" ref="G5:G35" si="0">ROUNDDOWN(F5/1.1,0)/E5</f>
        <v>3400</v>
      </c>
      <c r="H5" s="52">
        <v>13530</v>
      </c>
      <c r="I5" s="54">
        <f t="shared" ref="I5:I35" si="1">ROUNDDOWN(H5/1.1,0)/E5</f>
        <v>946.15384615384619</v>
      </c>
      <c r="J5" s="55">
        <f t="shared" ref="J5:J35" si="2">F5+H5</f>
        <v>62150</v>
      </c>
      <c r="K5" s="56">
        <f t="shared" ref="K5:K35" si="3">IF(E5="","",J5/E5)</f>
        <v>4780.7692307692305</v>
      </c>
      <c r="L5" s="57"/>
      <c r="M5" s="58">
        <f t="shared" ref="M5:N35" si="4">BC5-E5</f>
        <v>12</v>
      </c>
      <c r="N5" s="59">
        <f t="shared" si="4"/>
        <v>93280</v>
      </c>
      <c r="O5" s="53">
        <f t="shared" ref="O5:O35" si="5">ROUNDDOWN(N5/1.1,0)/M5</f>
        <v>7066.666666666667</v>
      </c>
      <c r="P5" s="59">
        <f t="shared" ref="P5:P35" si="6">BE5-H5</f>
        <v>15430</v>
      </c>
      <c r="Q5" s="54">
        <f t="shared" ref="Q5:Q35" si="7">ROUNDDOWN(P5/1.1,0)/M5</f>
        <v>1168.9166666666667</v>
      </c>
      <c r="R5" s="60">
        <f t="shared" ref="R5:R35" si="8">N5+P5</f>
        <v>108710</v>
      </c>
      <c r="S5" s="56">
        <f t="shared" ref="S5:S35" si="9">IF(M5="","",R5/M5)</f>
        <v>9059.1666666666661</v>
      </c>
      <c r="T5" s="61">
        <f t="shared" ref="T5:U35" si="10">E5+M5</f>
        <v>25</v>
      </c>
      <c r="U5" s="59">
        <f t="shared" si="10"/>
        <v>141900</v>
      </c>
      <c r="V5" s="59">
        <f t="shared" ref="V5:V35" si="11">H5+P5</f>
        <v>28960</v>
      </c>
      <c r="W5" s="62">
        <f t="shared" ref="W5:W35" si="12">J5+R5</f>
        <v>170860</v>
      </c>
      <c r="X5" s="59"/>
      <c r="Y5" s="63"/>
      <c r="Z5" s="64">
        <v>33</v>
      </c>
      <c r="AA5" s="52">
        <v>17810</v>
      </c>
      <c r="AB5" s="53">
        <f t="shared" ref="AB5:AB35" si="13">AA5/Z5</f>
        <v>539.69696969696975</v>
      </c>
      <c r="AC5" s="52">
        <v>9490</v>
      </c>
      <c r="AD5" s="54">
        <f t="shared" ref="AD5:AD35" si="14">AC5/Z5</f>
        <v>287.57575757575756</v>
      </c>
      <c r="AE5" s="65">
        <f t="shared" ref="AE5:AE35" si="15">AA5+AC5</f>
        <v>27300</v>
      </c>
      <c r="AF5" s="56">
        <f t="shared" ref="AF5:AF35" si="16">IF(Z5="","",AE5/Z5)</f>
        <v>827.27272727272725</v>
      </c>
      <c r="AG5" s="66"/>
      <c r="AH5" s="64"/>
      <c r="AI5" s="52"/>
      <c r="AJ5" s="53" t="e">
        <f t="shared" ref="AJ5:AJ35" si="17">AI5/AH5</f>
        <v>#DIV/0!</v>
      </c>
      <c r="AK5" s="52"/>
      <c r="AL5" s="54" t="e">
        <f t="shared" ref="AL5:AL35" si="18">AK5/AH5</f>
        <v>#DIV/0!</v>
      </c>
      <c r="AM5" s="65">
        <f>AI5+AK5</f>
        <v>0</v>
      </c>
      <c r="AN5" s="67" t="str">
        <f t="shared" ref="AN5:AN35" si="19">IF(AH5="","",AM5/AH5)</f>
        <v/>
      </c>
      <c r="AO5" s="68"/>
      <c r="AP5" s="64">
        <v>214</v>
      </c>
      <c r="AQ5" s="52">
        <v>429850</v>
      </c>
      <c r="AR5" s="53">
        <f t="shared" ref="AR5:AR35" si="20">AQ5/AP5</f>
        <v>2008.6448598130842</v>
      </c>
      <c r="AS5" s="52">
        <v>258400</v>
      </c>
      <c r="AT5" s="54">
        <f t="shared" ref="AT5:AT35" si="21">AS5/AP5</f>
        <v>1207.4766355140187</v>
      </c>
      <c r="AU5" s="54">
        <v>2750</v>
      </c>
      <c r="AV5" s="69">
        <f>AQ5+AS5+AU5</f>
        <v>691000</v>
      </c>
      <c r="AW5" s="67">
        <f t="shared" ref="AW5:AW35" si="22">IF(AP5="","",AV5/AP5)</f>
        <v>3228.9719626168226</v>
      </c>
      <c r="AX5" s="70">
        <f t="shared" ref="AX5:AX35" si="23">SUM(E5,M5)</f>
        <v>25</v>
      </c>
      <c r="AY5" s="59">
        <f t="shared" ref="AY5:AY35" si="24">U5+AA5+AI5+AQ5</f>
        <v>589560</v>
      </c>
      <c r="AZ5" s="59">
        <f t="shared" ref="AZ5:AZ35" si="25">V5+AC5+AK5+AS5</f>
        <v>296850</v>
      </c>
      <c r="BA5" s="71">
        <f>W5+AE5+AM5+AV5-BM5</f>
        <v>887752</v>
      </c>
      <c r="BB5" s="72">
        <f>BF5+BG5</f>
        <v>0</v>
      </c>
      <c r="BC5" s="73">
        <v>25</v>
      </c>
      <c r="BD5" s="74">
        <v>141900</v>
      </c>
      <c r="BE5" s="74">
        <v>28960</v>
      </c>
      <c r="BF5" s="75"/>
      <c r="BG5" s="75"/>
      <c r="BH5" s="75"/>
      <c r="BI5" s="75"/>
      <c r="BJ5" s="76">
        <f>SUM(BD5:BG5)</f>
        <v>170860</v>
      </c>
      <c r="BK5" s="47">
        <v>1</v>
      </c>
      <c r="BL5" s="77">
        <f t="shared" ref="BL5:BL35" si="26">BI5+BJ5</f>
        <v>170860</v>
      </c>
      <c r="BM5" s="47">
        <v>1408</v>
      </c>
    </row>
    <row r="6" spans="1:66" ht="20" customHeight="1">
      <c r="B6" s="78">
        <f t="shared" ref="B6:B35" si="27">B5+1</f>
        <v>45445</v>
      </c>
      <c r="C6" s="79"/>
      <c r="D6" s="50"/>
      <c r="E6" s="51">
        <v>23</v>
      </c>
      <c r="F6" s="52">
        <v>117370</v>
      </c>
      <c r="G6" s="53">
        <f t="shared" si="0"/>
        <v>4639.130434782609</v>
      </c>
      <c r="H6" s="52">
        <v>16280</v>
      </c>
      <c r="I6" s="54">
        <f t="shared" si="1"/>
        <v>643.47826086956525</v>
      </c>
      <c r="J6" s="55">
        <f t="shared" si="2"/>
        <v>133650</v>
      </c>
      <c r="K6" s="56">
        <f t="shared" si="3"/>
        <v>5810.869565217391</v>
      </c>
      <c r="L6" s="57"/>
      <c r="M6" s="58">
        <f t="shared" si="4"/>
        <v>10</v>
      </c>
      <c r="N6" s="59">
        <f t="shared" si="4"/>
        <v>102300</v>
      </c>
      <c r="O6" s="53">
        <f t="shared" si="5"/>
        <v>9300</v>
      </c>
      <c r="P6" s="59">
        <f t="shared" si="6"/>
        <v>29810</v>
      </c>
      <c r="Q6" s="54">
        <f t="shared" si="7"/>
        <v>2710</v>
      </c>
      <c r="R6" s="60">
        <f t="shared" si="8"/>
        <v>132110</v>
      </c>
      <c r="S6" s="56">
        <f t="shared" si="9"/>
        <v>13211</v>
      </c>
      <c r="T6" s="80">
        <f t="shared" si="10"/>
        <v>33</v>
      </c>
      <c r="U6" s="59">
        <f t="shared" si="10"/>
        <v>219670</v>
      </c>
      <c r="V6" s="59">
        <f t="shared" si="11"/>
        <v>46090</v>
      </c>
      <c r="W6" s="62">
        <f t="shared" si="12"/>
        <v>265760</v>
      </c>
      <c r="X6" s="81"/>
      <c r="Y6" s="63"/>
      <c r="Z6" s="64">
        <v>10</v>
      </c>
      <c r="AA6" s="52">
        <v>5220</v>
      </c>
      <c r="AB6" s="53">
        <f t="shared" si="13"/>
        <v>522</v>
      </c>
      <c r="AC6" s="52">
        <v>4860</v>
      </c>
      <c r="AD6" s="54">
        <f t="shared" si="14"/>
        <v>486</v>
      </c>
      <c r="AE6" s="65">
        <f>AA6+AC6</f>
        <v>10080</v>
      </c>
      <c r="AF6" s="56">
        <f t="shared" si="16"/>
        <v>1008</v>
      </c>
      <c r="AG6" s="66"/>
      <c r="AH6" s="64"/>
      <c r="AI6" s="52"/>
      <c r="AJ6" s="53" t="e">
        <f t="shared" si="17"/>
        <v>#DIV/0!</v>
      </c>
      <c r="AK6" s="52"/>
      <c r="AL6" s="54" t="e">
        <f t="shared" si="18"/>
        <v>#DIV/0!</v>
      </c>
      <c r="AM6" s="65">
        <f t="shared" ref="AM6:AM35" si="28">AI6+AK6</f>
        <v>0</v>
      </c>
      <c r="AN6" s="67" t="str">
        <f t="shared" si="19"/>
        <v/>
      </c>
      <c r="AO6" s="68"/>
      <c r="AP6" s="64">
        <v>176</v>
      </c>
      <c r="AQ6" s="52">
        <v>399250</v>
      </c>
      <c r="AR6" s="53">
        <f t="shared" si="20"/>
        <v>2268.465909090909</v>
      </c>
      <c r="AS6" s="52">
        <v>226050</v>
      </c>
      <c r="AT6" s="54">
        <f t="shared" si="21"/>
        <v>1284.375</v>
      </c>
      <c r="AU6" s="54"/>
      <c r="AV6" s="69">
        <f t="shared" ref="AV6:AV35" si="29">AQ6+AS6+AU6</f>
        <v>625300</v>
      </c>
      <c r="AW6" s="67">
        <f t="shared" si="22"/>
        <v>3552.840909090909</v>
      </c>
      <c r="AX6" s="82">
        <f t="shared" si="23"/>
        <v>33</v>
      </c>
      <c r="AY6" s="59">
        <f t="shared" si="24"/>
        <v>624140</v>
      </c>
      <c r="AZ6" s="59">
        <f t="shared" si="25"/>
        <v>277000</v>
      </c>
      <c r="BA6" s="71">
        <f>W6+AE6+AM6+AV6</f>
        <v>901140</v>
      </c>
      <c r="BB6" s="72">
        <f>BF6+BG6</f>
        <v>0</v>
      </c>
      <c r="BC6" s="73">
        <v>33</v>
      </c>
      <c r="BD6" s="74">
        <v>219670</v>
      </c>
      <c r="BE6" s="74">
        <v>46090</v>
      </c>
      <c r="BF6" s="75"/>
      <c r="BG6" s="75"/>
      <c r="BH6" s="75">
        <v>3300</v>
      </c>
      <c r="BI6" s="75"/>
      <c r="BJ6" s="76">
        <f t="shared" ref="BJ6:BJ35" si="30">SUM(BD6:BG6)</f>
        <v>265760</v>
      </c>
      <c r="BK6" s="47">
        <v>2</v>
      </c>
      <c r="BL6" s="77">
        <f t="shared" si="26"/>
        <v>265760</v>
      </c>
    </row>
    <row r="7" spans="1:66" ht="20" customHeight="1">
      <c r="B7" s="78">
        <f>B6+1</f>
        <v>45446</v>
      </c>
      <c r="C7" s="79"/>
      <c r="D7" s="50"/>
      <c r="E7" s="51">
        <v>24</v>
      </c>
      <c r="F7" s="52">
        <v>80520</v>
      </c>
      <c r="G7" s="53">
        <f t="shared" si="0"/>
        <v>3050</v>
      </c>
      <c r="H7" s="52">
        <v>19900</v>
      </c>
      <c r="I7" s="54">
        <f t="shared" si="1"/>
        <v>753.75</v>
      </c>
      <c r="J7" s="55">
        <f t="shared" si="2"/>
        <v>100420</v>
      </c>
      <c r="K7" s="56">
        <f t="shared" si="3"/>
        <v>4184.166666666667</v>
      </c>
      <c r="L7" s="57"/>
      <c r="M7" s="58">
        <f t="shared" si="4"/>
        <v>6</v>
      </c>
      <c r="N7" s="59">
        <f t="shared" si="4"/>
        <v>74800</v>
      </c>
      <c r="O7" s="53">
        <f t="shared" si="5"/>
        <v>11333.333333333334</v>
      </c>
      <c r="P7" s="59">
        <f t="shared" si="6"/>
        <v>24600</v>
      </c>
      <c r="Q7" s="54">
        <f t="shared" si="7"/>
        <v>3727.1666666666665</v>
      </c>
      <c r="R7" s="60">
        <f t="shared" si="8"/>
        <v>99400</v>
      </c>
      <c r="S7" s="56">
        <f t="shared" si="9"/>
        <v>16566.666666666668</v>
      </c>
      <c r="T7" s="80">
        <f t="shared" si="10"/>
        <v>30</v>
      </c>
      <c r="U7" s="59">
        <f t="shared" si="10"/>
        <v>155320</v>
      </c>
      <c r="V7" s="59">
        <f t="shared" si="11"/>
        <v>44500</v>
      </c>
      <c r="W7" s="62">
        <f t="shared" si="12"/>
        <v>199820</v>
      </c>
      <c r="X7" s="81"/>
      <c r="Y7" s="63"/>
      <c r="Z7" s="64">
        <v>17</v>
      </c>
      <c r="AA7" s="52">
        <v>8210</v>
      </c>
      <c r="AB7" s="53">
        <f t="shared" si="13"/>
        <v>482.94117647058823</v>
      </c>
      <c r="AC7" s="52">
        <v>2800</v>
      </c>
      <c r="AD7" s="54">
        <f t="shared" si="14"/>
        <v>164.70588235294119</v>
      </c>
      <c r="AE7" s="65">
        <f t="shared" si="15"/>
        <v>11010</v>
      </c>
      <c r="AF7" s="56">
        <f t="shared" si="16"/>
        <v>647.64705882352939</v>
      </c>
      <c r="AG7" s="66"/>
      <c r="AH7" s="64"/>
      <c r="AI7" s="52"/>
      <c r="AJ7" s="53" t="e">
        <f t="shared" si="17"/>
        <v>#DIV/0!</v>
      </c>
      <c r="AK7" s="52"/>
      <c r="AL7" s="54" t="e">
        <f t="shared" si="18"/>
        <v>#DIV/0!</v>
      </c>
      <c r="AM7" s="65">
        <f t="shared" si="28"/>
        <v>0</v>
      </c>
      <c r="AN7" s="67" t="str">
        <f t="shared" si="19"/>
        <v/>
      </c>
      <c r="AO7" s="68"/>
      <c r="AP7" s="64">
        <v>46</v>
      </c>
      <c r="AQ7" s="52">
        <v>112350</v>
      </c>
      <c r="AR7" s="53">
        <f t="shared" si="20"/>
        <v>2442.391304347826</v>
      </c>
      <c r="AS7" s="52">
        <v>64800</v>
      </c>
      <c r="AT7" s="54">
        <f t="shared" si="21"/>
        <v>1408.695652173913</v>
      </c>
      <c r="AU7" s="54"/>
      <c r="AV7" s="69">
        <f t="shared" si="29"/>
        <v>177150</v>
      </c>
      <c r="AW7" s="67">
        <f t="shared" si="22"/>
        <v>3851.086956521739</v>
      </c>
      <c r="AX7" s="82">
        <f t="shared" si="23"/>
        <v>30</v>
      </c>
      <c r="AY7" s="59">
        <f t="shared" si="24"/>
        <v>275880</v>
      </c>
      <c r="AZ7" s="59">
        <f t="shared" si="25"/>
        <v>112100</v>
      </c>
      <c r="BA7" s="71">
        <f>W7+AE7+AM7+AV7-BM7</f>
        <v>387980</v>
      </c>
      <c r="BB7" s="72">
        <f t="shared" ref="BB7:BB35" si="31">BF7+BG7</f>
        <v>1100</v>
      </c>
      <c r="BC7" s="73">
        <v>30</v>
      </c>
      <c r="BD7" s="74">
        <v>155320</v>
      </c>
      <c r="BE7" s="74">
        <v>44500</v>
      </c>
      <c r="BF7" s="75">
        <v>1100</v>
      </c>
      <c r="BG7" s="75"/>
      <c r="BH7" s="75"/>
      <c r="BI7" s="75"/>
      <c r="BJ7" s="76">
        <f t="shared" si="30"/>
        <v>200920</v>
      </c>
      <c r="BK7" s="47">
        <v>3</v>
      </c>
      <c r="BL7" s="77">
        <f t="shared" si="26"/>
        <v>200920</v>
      </c>
    </row>
    <row r="8" spans="1:66" ht="20" customHeight="1">
      <c r="B8" s="78">
        <f t="shared" si="27"/>
        <v>45447</v>
      </c>
      <c r="C8" s="79"/>
      <c r="D8" s="50"/>
      <c r="E8" s="51">
        <v>16</v>
      </c>
      <c r="F8" s="52">
        <v>57420</v>
      </c>
      <c r="G8" s="53">
        <f t="shared" si="0"/>
        <v>3262.5</v>
      </c>
      <c r="H8" s="52">
        <v>1980</v>
      </c>
      <c r="I8" s="54">
        <f t="shared" si="1"/>
        <v>112.5</v>
      </c>
      <c r="J8" s="55">
        <f t="shared" si="2"/>
        <v>59400</v>
      </c>
      <c r="K8" s="56">
        <f t="shared" si="3"/>
        <v>3712.5</v>
      </c>
      <c r="L8" s="57"/>
      <c r="M8" s="58">
        <f t="shared" si="4"/>
        <v>5</v>
      </c>
      <c r="N8" s="59">
        <f t="shared" si="4"/>
        <v>53400</v>
      </c>
      <c r="O8" s="53">
        <f t="shared" si="5"/>
        <v>9709</v>
      </c>
      <c r="P8" s="59">
        <f t="shared" si="6"/>
        <v>14660</v>
      </c>
      <c r="Q8" s="54">
        <f t="shared" si="7"/>
        <v>2665.4</v>
      </c>
      <c r="R8" s="60">
        <f t="shared" si="8"/>
        <v>68060</v>
      </c>
      <c r="S8" s="56">
        <f t="shared" si="9"/>
        <v>13612</v>
      </c>
      <c r="T8" s="80">
        <f t="shared" si="10"/>
        <v>21</v>
      </c>
      <c r="U8" s="59">
        <f t="shared" si="10"/>
        <v>110820</v>
      </c>
      <c r="V8" s="59">
        <f t="shared" si="11"/>
        <v>16640</v>
      </c>
      <c r="W8" s="62">
        <f t="shared" si="12"/>
        <v>127460</v>
      </c>
      <c r="X8" s="81"/>
      <c r="Y8" s="63"/>
      <c r="Z8" s="64">
        <v>11</v>
      </c>
      <c r="AA8" s="52">
        <v>5610</v>
      </c>
      <c r="AB8" s="53">
        <f t="shared" si="13"/>
        <v>510</v>
      </c>
      <c r="AC8" s="52">
        <v>3390</v>
      </c>
      <c r="AD8" s="54">
        <f t="shared" si="14"/>
        <v>308.18181818181819</v>
      </c>
      <c r="AE8" s="65">
        <f t="shared" si="15"/>
        <v>9000</v>
      </c>
      <c r="AF8" s="56">
        <f t="shared" si="16"/>
        <v>818.18181818181813</v>
      </c>
      <c r="AG8" s="66"/>
      <c r="AH8" s="64"/>
      <c r="AI8" s="52"/>
      <c r="AJ8" s="53" t="e">
        <f t="shared" si="17"/>
        <v>#DIV/0!</v>
      </c>
      <c r="AK8" s="52"/>
      <c r="AL8" s="54" t="e">
        <f t="shared" si="18"/>
        <v>#DIV/0!</v>
      </c>
      <c r="AM8" s="65">
        <f t="shared" si="28"/>
        <v>0</v>
      </c>
      <c r="AN8" s="67" t="str">
        <f t="shared" si="19"/>
        <v/>
      </c>
      <c r="AO8" s="68"/>
      <c r="AP8" s="64">
        <v>31</v>
      </c>
      <c r="AQ8" s="52">
        <v>53050</v>
      </c>
      <c r="AR8" s="53">
        <f t="shared" si="20"/>
        <v>1711.2903225806451</v>
      </c>
      <c r="AS8" s="52">
        <v>37250</v>
      </c>
      <c r="AT8" s="54">
        <f t="shared" si="21"/>
        <v>1201.6129032258063</v>
      </c>
      <c r="AU8" s="54"/>
      <c r="AV8" s="69">
        <f t="shared" si="29"/>
        <v>90300</v>
      </c>
      <c r="AW8" s="67">
        <f t="shared" si="22"/>
        <v>2912.9032258064517</v>
      </c>
      <c r="AX8" s="82">
        <f t="shared" si="23"/>
        <v>21</v>
      </c>
      <c r="AY8" s="59">
        <f t="shared" si="24"/>
        <v>169480</v>
      </c>
      <c r="AZ8" s="59">
        <f t="shared" si="25"/>
        <v>57280</v>
      </c>
      <c r="BA8" s="71">
        <f t="shared" ref="BA8:BA35" si="32">W8+AE8+AM8+AV8</f>
        <v>226760</v>
      </c>
      <c r="BB8" s="72">
        <f t="shared" si="31"/>
        <v>1100</v>
      </c>
      <c r="BC8" s="73">
        <v>21</v>
      </c>
      <c r="BD8" s="74">
        <v>110820</v>
      </c>
      <c r="BE8" s="74">
        <v>16640</v>
      </c>
      <c r="BF8" s="75">
        <v>1100</v>
      </c>
      <c r="BG8" s="75"/>
      <c r="BH8" s="75"/>
      <c r="BI8" s="75"/>
      <c r="BJ8" s="76">
        <f t="shared" si="30"/>
        <v>128560</v>
      </c>
      <c r="BK8" s="47">
        <v>4</v>
      </c>
      <c r="BL8" s="77">
        <f t="shared" si="26"/>
        <v>128560</v>
      </c>
    </row>
    <row r="9" spans="1:66" ht="20" customHeight="1">
      <c r="B9" s="78">
        <f t="shared" si="27"/>
        <v>45448</v>
      </c>
      <c r="C9" s="79"/>
      <c r="D9" s="50"/>
      <c r="E9" s="51">
        <v>25</v>
      </c>
      <c r="F9" s="52">
        <v>92510</v>
      </c>
      <c r="G9" s="53">
        <f t="shared" si="0"/>
        <v>3364</v>
      </c>
      <c r="H9" s="52">
        <v>3950</v>
      </c>
      <c r="I9" s="54">
        <f t="shared" si="1"/>
        <v>143.6</v>
      </c>
      <c r="J9" s="55">
        <f t="shared" si="2"/>
        <v>96460</v>
      </c>
      <c r="K9" s="56">
        <f t="shared" si="3"/>
        <v>3858.4</v>
      </c>
      <c r="L9" s="57"/>
      <c r="M9" s="58">
        <f t="shared" si="4"/>
        <v>10</v>
      </c>
      <c r="N9" s="59">
        <f t="shared" si="4"/>
        <v>135000</v>
      </c>
      <c r="O9" s="53">
        <f t="shared" si="5"/>
        <v>12272.7</v>
      </c>
      <c r="P9" s="59">
        <f t="shared" si="6"/>
        <v>39970</v>
      </c>
      <c r="Q9" s="54">
        <f t="shared" si="7"/>
        <v>3633.6</v>
      </c>
      <c r="R9" s="60">
        <f t="shared" si="8"/>
        <v>174970</v>
      </c>
      <c r="S9" s="56">
        <f t="shared" si="9"/>
        <v>17497</v>
      </c>
      <c r="T9" s="80">
        <f t="shared" si="10"/>
        <v>35</v>
      </c>
      <c r="U9" s="59">
        <f t="shared" si="10"/>
        <v>227510</v>
      </c>
      <c r="V9" s="59">
        <f t="shared" si="11"/>
        <v>43920</v>
      </c>
      <c r="W9" s="62">
        <f t="shared" si="12"/>
        <v>271430</v>
      </c>
      <c r="X9" s="81"/>
      <c r="Y9" s="63"/>
      <c r="Z9" s="64">
        <v>9</v>
      </c>
      <c r="AA9" s="52">
        <v>5130</v>
      </c>
      <c r="AB9" s="53">
        <f t="shared" si="13"/>
        <v>570</v>
      </c>
      <c r="AC9" s="52">
        <v>4340</v>
      </c>
      <c r="AD9" s="54">
        <f t="shared" si="14"/>
        <v>482.22222222222223</v>
      </c>
      <c r="AE9" s="65">
        <f t="shared" si="15"/>
        <v>9470</v>
      </c>
      <c r="AF9" s="56">
        <f t="shared" si="16"/>
        <v>1052.2222222222222</v>
      </c>
      <c r="AG9" s="66"/>
      <c r="AH9" s="64">
        <v>33</v>
      </c>
      <c r="AI9" s="52">
        <v>86130</v>
      </c>
      <c r="AJ9" s="53">
        <f t="shared" si="17"/>
        <v>2610</v>
      </c>
      <c r="AK9" s="52">
        <v>43065</v>
      </c>
      <c r="AL9" s="54">
        <f t="shared" si="18"/>
        <v>1305</v>
      </c>
      <c r="AM9" s="65">
        <f t="shared" si="28"/>
        <v>129195</v>
      </c>
      <c r="AN9" s="67">
        <f t="shared" si="19"/>
        <v>3915</v>
      </c>
      <c r="AO9" s="68"/>
      <c r="AP9" s="64">
        <v>21</v>
      </c>
      <c r="AQ9" s="52">
        <v>139450</v>
      </c>
      <c r="AR9" s="53">
        <f t="shared" si="20"/>
        <v>6640.4761904761908</v>
      </c>
      <c r="AS9" s="52">
        <v>69900</v>
      </c>
      <c r="AT9" s="54">
        <f t="shared" si="21"/>
        <v>3328.5714285714284</v>
      </c>
      <c r="AU9" s="54">
        <v>2200</v>
      </c>
      <c r="AV9" s="69">
        <f t="shared" si="29"/>
        <v>211550</v>
      </c>
      <c r="AW9" s="67">
        <f>IF(AP9="","",AV9/AP9)</f>
        <v>10073.809523809523</v>
      </c>
      <c r="AX9" s="82">
        <f t="shared" si="23"/>
        <v>35</v>
      </c>
      <c r="AY9" s="59">
        <f t="shared" si="24"/>
        <v>458220</v>
      </c>
      <c r="AZ9" s="59">
        <f t="shared" si="25"/>
        <v>161225</v>
      </c>
      <c r="BA9" s="71">
        <f>W9+AE9+AM9+AV9</f>
        <v>621645</v>
      </c>
      <c r="BB9" s="72">
        <f t="shared" si="31"/>
        <v>0</v>
      </c>
      <c r="BC9" s="73">
        <v>35</v>
      </c>
      <c r="BD9" s="74">
        <v>227510</v>
      </c>
      <c r="BE9" s="74">
        <v>43920</v>
      </c>
      <c r="BF9" s="75"/>
      <c r="BG9" s="75"/>
      <c r="BH9" s="75"/>
      <c r="BI9" s="75"/>
      <c r="BJ9" s="76">
        <f t="shared" si="30"/>
        <v>271430</v>
      </c>
      <c r="BK9" s="47">
        <v>5</v>
      </c>
      <c r="BL9" s="77">
        <f t="shared" si="26"/>
        <v>271430</v>
      </c>
    </row>
    <row r="10" spans="1:66" ht="20" customHeight="1">
      <c r="B10" s="78">
        <f t="shared" si="27"/>
        <v>45449</v>
      </c>
      <c r="C10" s="79"/>
      <c r="D10" s="50"/>
      <c r="E10" s="51">
        <v>28</v>
      </c>
      <c r="F10" s="52">
        <v>116820</v>
      </c>
      <c r="G10" s="53">
        <f t="shared" si="0"/>
        <v>3792.8571428571427</v>
      </c>
      <c r="H10" s="52">
        <v>16710</v>
      </c>
      <c r="I10" s="54">
        <f t="shared" si="1"/>
        <v>542.5</v>
      </c>
      <c r="J10" s="55">
        <f t="shared" si="2"/>
        <v>133530</v>
      </c>
      <c r="K10" s="56">
        <f t="shared" si="3"/>
        <v>4768.9285714285716</v>
      </c>
      <c r="L10" s="57"/>
      <c r="M10" s="58">
        <f t="shared" si="4"/>
        <v>6</v>
      </c>
      <c r="N10" s="59">
        <f t="shared" si="4"/>
        <v>66000</v>
      </c>
      <c r="O10" s="53">
        <f t="shared" si="5"/>
        <v>10000</v>
      </c>
      <c r="P10" s="59">
        <f t="shared" si="6"/>
        <v>19240</v>
      </c>
      <c r="Q10" s="54">
        <f t="shared" si="7"/>
        <v>2915</v>
      </c>
      <c r="R10" s="60">
        <f t="shared" si="8"/>
        <v>85240</v>
      </c>
      <c r="S10" s="56">
        <f t="shared" si="9"/>
        <v>14206.666666666666</v>
      </c>
      <c r="T10" s="80">
        <f t="shared" si="10"/>
        <v>34</v>
      </c>
      <c r="U10" s="59">
        <f t="shared" si="10"/>
        <v>182820</v>
      </c>
      <c r="V10" s="59">
        <f t="shared" si="11"/>
        <v>35950</v>
      </c>
      <c r="W10" s="62">
        <f t="shared" si="12"/>
        <v>218770</v>
      </c>
      <c r="X10" s="81"/>
      <c r="Y10" s="63"/>
      <c r="Z10" s="64">
        <v>12</v>
      </c>
      <c r="AA10" s="52">
        <v>6500</v>
      </c>
      <c r="AB10" s="53">
        <f t="shared" si="13"/>
        <v>541.66666666666663</v>
      </c>
      <c r="AC10" s="52">
        <v>4840</v>
      </c>
      <c r="AD10" s="54">
        <f t="shared" si="14"/>
        <v>403.33333333333331</v>
      </c>
      <c r="AE10" s="65">
        <f t="shared" si="15"/>
        <v>11340</v>
      </c>
      <c r="AF10" s="56">
        <f t="shared" si="16"/>
        <v>945</v>
      </c>
      <c r="AG10" s="66"/>
      <c r="AH10" s="64">
        <v>34</v>
      </c>
      <c r="AI10" s="52">
        <v>192270</v>
      </c>
      <c r="AJ10" s="53">
        <f t="shared" si="17"/>
        <v>5655</v>
      </c>
      <c r="AK10" s="52">
        <v>44370</v>
      </c>
      <c r="AL10" s="54">
        <f t="shared" si="18"/>
        <v>1305</v>
      </c>
      <c r="AM10" s="65">
        <f t="shared" si="28"/>
        <v>236640</v>
      </c>
      <c r="AN10" s="67">
        <f t="shared" si="19"/>
        <v>6960</v>
      </c>
      <c r="AO10" s="68"/>
      <c r="AP10" s="64">
        <v>41</v>
      </c>
      <c r="AQ10" s="52">
        <v>85950</v>
      </c>
      <c r="AR10" s="53">
        <f t="shared" si="20"/>
        <v>2096.3414634146343</v>
      </c>
      <c r="AS10" s="52">
        <v>51350</v>
      </c>
      <c r="AT10" s="54">
        <f t="shared" si="21"/>
        <v>1252.439024390244</v>
      </c>
      <c r="AU10" s="54"/>
      <c r="AV10" s="69">
        <f t="shared" si="29"/>
        <v>137300</v>
      </c>
      <c r="AW10" s="67">
        <f t="shared" si="22"/>
        <v>3348.7804878048782</v>
      </c>
      <c r="AX10" s="82">
        <f t="shared" si="23"/>
        <v>34</v>
      </c>
      <c r="AY10" s="59">
        <f t="shared" si="24"/>
        <v>467540</v>
      </c>
      <c r="AZ10" s="59">
        <f t="shared" si="25"/>
        <v>136510</v>
      </c>
      <c r="BA10" s="71">
        <f t="shared" si="32"/>
        <v>604050</v>
      </c>
      <c r="BB10" s="72">
        <f t="shared" si="31"/>
        <v>2200</v>
      </c>
      <c r="BC10" s="73">
        <v>34</v>
      </c>
      <c r="BD10" s="74">
        <v>182820</v>
      </c>
      <c r="BE10" s="74">
        <v>35950</v>
      </c>
      <c r="BF10" s="75">
        <v>1100</v>
      </c>
      <c r="BG10" s="75">
        <v>1100</v>
      </c>
      <c r="BH10" s="75"/>
      <c r="BI10" s="75"/>
      <c r="BJ10" s="76">
        <f t="shared" si="30"/>
        <v>220970</v>
      </c>
      <c r="BK10" s="47">
        <v>6</v>
      </c>
      <c r="BL10" s="77">
        <f t="shared" si="26"/>
        <v>220970</v>
      </c>
    </row>
    <row r="11" spans="1:66" ht="20" customHeight="1">
      <c r="B11" s="78">
        <f t="shared" si="27"/>
        <v>45450</v>
      </c>
      <c r="C11" s="79"/>
      <c r="D11" s="50"/>
      <c r="E11" s="51">
        <v>19</v>
      </c>
      <c r="F11" s="52">
        <v>73700</v>
      </c>
      <c r="G11" s="53">
        <f t="shared" si="0"/>
        <v>3526.3157894736842</v>
      </c>
      <c r="H11" s="52">
        <v>14070</v>
      </c>
      <c r="I11" s="54">
        <f t="shared" si="1"/>
        <v>673.15789473684208</v>
      </c>
      <c r="J11" s="55">
        <f t="shared" si="2"/>
        <v>87770</v>
      </c>
      <c r="K11" s="56">
        <f t="shared" si="3"/>
        <v>4619.4736842105267</v>
      </c>
      <c r="L11" s="57"/>
      <c r="M11" s="58">
        <f t="shared" si="4"/>
        <v>19</v>
      </c>
      <c r="N11" s="59">
        <f t="shared" si="4"/>
        <v>189200</v>
      </c>
      <c r="O11" s="53">
        <f t="shared" si="5"/>
        <v>9052.6315789473683</v>
      </c>
      <c r="P11" s="59">
        <f t="shared" si="6"/>
        <v>34400</v>
      </c>
      <c r="Q11" s="54">
        <f t="shared" si="7"/>
        <v>1645.8947368421052</v>
      </c>
      <c r="R11" s="60">
        <f t="shared" si="8"/>
        <v>223600</v>
      </c>
      <c r="S11" s="56">
        <f t="shared" si="9"/>
        <v>11768.421052631578</v>
      </c>
      <c r="T11" s="80">
        <f t="shared" si="10"/>
        <v>38</v>
      </c>
      <c r="U11" s="59">
        <f t="shared" si="10"/>
        <v>262900</v>
      </c>
      <c r="V11" s="59">
        <f t="shared" si="11"/>
        <v>48470</v>
      </c>
      <c r="W11" s="62">
        <f t="shared" si="12"/>
        <v>311370</v>
      </c>
      <c r="X11" s="81"/>
      <c r="Y11" s="63"/>
      <c r="Z11" s="64">
        <v>11</v>
      </c>
      <c r="AA11" s="52">
        <v>4470</v>
      </c>
      <c r="AB11" s="53">
        <f t="shared" si="13"/>
        <v>406.36363636363637</v>
      </c>
      <c r="AC11" s="52">
        <v>500</v>
      </c>
      <c r="AD11" s="54">
        <f t="shared" si="14"/>
        <v>45.454545454545453</v>
      </c>
      <c r="AE11" s="65">
        <f t="shared" si="15"/>
        <v>4970</v>
      </c>
      <c r="AF11" s="56">
        <f t="shared" si="16"/>
        <v>451.81818181818181</v>
      </c>
      <c r="AG11" s="66"/>
      <c r="AH11" s="64">
        <v>43</v>
      </c>
      <c r="AI11" s="52">
        <v>168345</v>
      </c>
      <c r="AJ11" s="53">
        <f t="shared" si="17"/>
        <v>3915</v>
      </c>
      <c r="AK11" s="52">
        <v>69510</v>
      </c>
      <c r="AL11" s="54">
        <f t="shared" si="18"/>
        <v>1616.5116279069769</v>
      </c>
      <c r="AM11" s="65">
        <f t="shared" si="28"/>
        <v>237855</v>
      </c>
      <c r="AN11" s="67">
        <f t="shared" si="19"/>
        <v>5531.5116279069771</v>
      </c>
      <c r="AO11" s="68"/>
      <c r="AP11" s="64">
        <v>121</v>
      </c>
      <c r="AQ11" s="52">
        <v>277200</v>
      </c>
      <c r="AR11" s="53">
        <f t="shared" si="20"/>
        <v>2290.909090909091</v>
      </c>
      <c r="AS11" s="52">
        <v>162050</v>
      </c>
      <c r="AT11" s="54">
        <f t="shared" si="21"/>
        <v>1339.2561983471073</v>
      </c>
      <c r="AU11" s="54">
        <v>2200</v>
      </c>
      <c r="AV11" s="69">
        <f>AQ11+AS11+AU11-BN11</f>
        <v>439890</v>
      </c>
      <c r="AW11" s="67">
        <f t="shared" si="22"/>
        <v>3635.4545454545455</v>
      </c>
      <c r="AX11" s="82">
        <f t="shared" si="23"/>
        <v>38</v>
      </c>
      <c r="AY11" s="59">
        <f t="shared" si="24"/>
        <v>712915</v>
      </c>
      <c r="AZ11" s="59">
        <f t="shared" si="25"/>
        <v>280530</v>
      </c>
      <c r="BA11" s="71">
        <f>W11+AE11+AM11+AV11-BM11</f>
        <v>993931</v>
      </c>
      <c r="BB11" s="72">
        <f t="shared" si="31"/>
        <v>1100</v>
      </c>
      <c r="BC11" s="73">
        <v>38</v>
      </c>
      <c r="BD11" s="74">
        <v>262900</v>
      </c>
      <c r="BE11" s="74">
        <v>48470</v>
      </c>
      <c r="BF11" s="75">
        <v>1100</v>
      </c>
      <c r="BG11" s="75"/>
      <c r="BH11" s="75"/>
      <c r="BI11" s="75"/>
      <c r="BJ11" s="76">
        <f t="shared" si="30"/>
        <v>312470</v>
      </c>
      <c r="BK11" s="47">
        <v>7</v>
      </c>
      <c r="BL11" s="77">
        <f t="shared" si="26"/>
        <v>312470</v>
      </c>
      <c r="BM11" s="47">
        <v>154</v>
      </c>
      <c r="BN11" s="47">
        <v>1560</v>
      </c>
    </row>
    <row r="12" spans="1:66" ht="20" customHeight="1">
      <c r="B12" s="78">
        <f t="shared" si="27"/>
        <v>45451</v>
      </c>
      <c r="C12" s="83"/>
      <c r="D12" s="50"/>
      <c r="E12" s="51">
        <v>27</v>
      </c>
      <c r="F12" s="52">
        <v>117920</v>
      </c>
      <c r="G12" s="53">
        <f t="shared" si="0"/>
        <v>3970.3703703703704</v>
      </c>
      <c r="H12" s="52">
        <v>15600</v>
      </c>
      <c r="I12" s="54">
        <f t="shared" si="1"/>
        <v>525.22222222222217</v>
      </c>
      <c r="J12" s="55">
        <f t="shared" si="2"/>
        <v>133520</v>
      </c>
      <c r="K12" s="56">
        <f t="shared" si="3"/>
        <v>4945.1851851851852</v>
      </c>
      <c r="L12" s="57"/>
      <c r="M12" s="58">
        <f t="shared" si="4"/>
        <v>27</v>
      </c>
      <c r="N12" s="59">
        <f t="shared" si="4"/>
        <v>223520</v>
      </c>
      <c r="O12" s="53">
        <f t="shared" si="5"/>
        <v>7525.9259259259261</v>
      </c>
      <c r="P12" s="59">
        <f t="shared" si="6"/>
        <v>31200</v>
      </c>
      <c r="Q12" s="84">
        <f t="shared" si="7"/>
        <v>1050.4814814814815</v>
      </c>
      <c r="R12" s="60">
        <f t="shared" si="8"/>
        <v>254720</v>
      </c>
      <c r="S12" s="56">
        <f t="shared" si="9"/>
        <v>9434.0740740740748</v>
      </c>
      <c r="T12" s="80">
        <f t="shared" si="10"/>
        <v>54</v>
      </c>
      <c r="U12" s="59">
        <f t="shared" si="10"/>
        <v>341440</v>
      </c>
      <c r="V12" s="59">
        <f t="shared" si="11"/>
        <v>46800</v>
      </c>
      <c r="W12" s="62">
        <f t="shared" si="12"/>
        <v>388240</v>
      </c>
      <c r="X12" s="81"/>
      <c r="Y12" s="63"/>
      <c r="Z12" s="64">
        <v>20</v>
      </c>
      <c r="AA12" s="52">
        <v>8830</v>
      </c>
      <c r="AB12" s="53">
        <f t="shared" si="13"/>
        <v>441.5</v>
      </c>
      <c r="AC12" s="52">
        <v>3700</v>
      </c>
      <c r="AD12" s="54">
        <f t="shared" si="14"/>
        <v>185</v>
      </c>
      <c r="AE12" s="65">
        <f t="shared" si="15"/>
        <v>12530</v>
      </c>
      <c r="AF12" s="56">
        <f t="shared" si="16"/>
        <v>626.5</v>
      </c>
      <c r="AG12" s="66"/>
      <c r="AH12" s="64"/>
      <c r="AI12" s="52"/>
      <c r="AJ12" s="53" t="e">
        <f t="shared" si="17"/>
        <v>#DIV/0!</v>
      </c>
      <c r="AK12" s="52"/>
      <c r="AL12" s="54" t="e">
        <f t="shared" si="18"/>
        <v>#DIV/0!</v>
      </c>
      <c r="AM12" s="65">
        <f t="shared" si="28"/>
        <v>0</v>
      </c>
      <c r="AN12" s="67" t="str">
        <f t="shared" si="19"/>
        <v/>
      </c>
      <c r="AO12" s="68"/>
      <c r="AP12" s="64">
        <v>345</v>
      </c>
      <c r="AQ12" s="52">
        <v>950050</v>
      </c>
      <c r="AR12" s="53">
        <f t="shared" si="20"/>
        <v>2753.768115942029</v>
      </c>
      <c r="AS12" s="52">
        <v>523480</v>
      </c>
      <c r="AT12" s="54">
        <f t="shared" si="21"/>
        <v>1517.3333333333333</v>
      </c>
      <c r="AU12" s="54">
        <v>8250</v>
      </c>
      <c r="AV12" s="69">
        <f t="shared" si="29"/>
        <v>1481780</v>
      </c>
      <c r="AW12" s="67">
        <f t="shared" si="22"/>
        <v>4295.014492753623</v>
      </c>
      <c r="AX12" s="82">
        <f t="shared" si="23"/>
        <v>54</v>
      </c>
      <c r="AY12" s="59">
        <f t="shared" si="24"/>
        <v>1300320</v>
      </c>
      <c r="AZ12" s="59">
        <f t="shared" si="25"/>
        <v>573980</v>
      </c>
      <c r="BA12" s="71">
        <f>W12+AE12+AM12+AV12-BM12</f>
        <v>1862874</v>
      </c>
      <c r="BB12" s="72">
        <f t="shared" si="31"/>
        <v>0</v>
      </c>
      <c r="BC12" s="73">
        <v>54</v>
      </c>
      <c r="BD12" s="74">
        <v>341440</v>
      </c>
      <c r="BE12" s="74">
        <v>46800</v>
      </c>
      <c r="BF12" s="75"/>
      <c r="BG12" s="75"/>
      <c r="BH12" s="75">
        <v>5000</v>
      </c>
      <c r="BI12" s="75"/>
      <c r="BJ12" s="76">
        <f t="shared" si="30"/>
        <v>388240</v>
      </c>
      <c r="BK12" s="47">
        <v>8</v>
      </c>
      <c r="BL12" s="77">
        <f t="shared" si="26"/>
        <v>388240</v>
      </c>
      <c r="BM12" s="47">
        <v>19676</v>
      </c>
    </row>
    <row r="13" spans="1:66" ht="20" customHeight="1">
      <c r="B13" s="78">
        <f t="shared" si="27"/>
        <v>45452</v>
      </c>
      <c r="C13" s="79"/>
      <c r="D13" s="50"/>
      <c r="E13" s="51">
        <v>29</v>
      </c>
      <c r="F13" s="52">
        <v>105820</v>
      </c>
      <c r="G13" s="53">
        <f t="shared" si="0"/>
        <v>3317.2413793103447</v>
      </c>
      <c r="H13" s="52">
        <v>24090</v>
      </c>
      <c r="I13" s="54">
        <f t="shared" si="1"/>
        <v>755.17241379310349</v>
      </c>
      <c r="J13" s="55">
        <f t="shared" si="2"/>
        <v>129910</v>
      </c>
      <c r="K13" s="56">
        <f t="shared" si="3"/>
        <v>4479.6551724137935</v>
      </c>
      <c r="L13" s="57"/>
      <c r="M13" s="58">
        <f t="shared" si="4"/>
        <v>23</v>
      </c>
      <c r="N13" s="59">
        <f t="shared" si="4"/>
        <v>221210</v>
      </c>
      <c r="O13" s="53">
        <f t="shared" si="5"/>
        <v>8743.4782608695659</v>
      </c>
      <c r="P13" s="59">
        <f t="shared" si="6"/>
        <v>52310</v>
      </c>
      <c r="Q13" s="54">
        <f t="shared" si="7"/>
        <v>2067.5652173913045</v>
      </c>
      <c r="R13" s="60">
        <f t="shared" si="8"/>
        <v>273520</v>
      </c>
      <c r="S13" s="56">
        <f t="shared" si="9"/>
        <v>11892.173913043478</v>
      </c>
      <c r="T13" s="80">
        <f t="shared" si="10"/>
        <v>52</v>
      </c>
      <c r="U13" s="59">
        <f t="shared" si="10"/>
        <v>327030</v>
      </c>
      <c r="V13" s="59">
        <f t="shared" si="11"/>
        <v>76400</v>
      </c>
      <c r="W13" s="62">
        <f t="shared" si="12"/>
        <v>403430</v>
      </c>
      <c r="X13" s="81"/>
      <c r="Y13" s="63"/>
      <c r="Z13" s="64">
        <v>25</v>
      </c>
      <c r="AA13" s="52">
        <v>12050</v>
      </c>
      <c r="AB13" s="53">
        <f t="shared" si="13"/>
        <v>482</v>
      </c>
      <c r="AC13" s="52">
        <v>1500</v>
      </c>
      <c r="AD13" s="54">
        <f t="shared" si="14"/>
        <v>60</v>
      </c>
      <c r="AE13" s="65">
        <f t="shared" si="15"/>
        <v>13550</v>
      </c>
      <c r="AF13" s="56">
        <f t="shared" si="16"/>
        <v>542</v>
      </c>
      <c r="AG13" s="66"/>
      <c r="AH13" s="64">
        <v>57</v>
      </c>
      <c r="AI13" s="52">
        <v>223155</v>
      </c>
      <c r="AJ13" s="53">
        <f t="shared" si="17"/>
        <v>3915</v>
      </c>
      <c r="AK13" s="52">
        <v>74385</v>
      </c>
      <c r="AL13" s="54">
        <f t="shared" si="18"/>
        <v>1305</v>
      </c>
      <c r="AM13" s="65">
        <f t="shared" si="28"/>
        <v>297540</v>
      </c>
      <c r="AN13" s="67">
        <f t="shared" si="19"/>
        <v>5220</v>
      </c>
      <c r="AO13" s="68"/>
      <c r="AP13" s="64">
        <v>54</v>
      </c>
      <c r="AQ13" s="52">
        <v>160350</v>
      </c>
      <c r="AR13" s="53">
        <f t="shared" si="20"/>
        <v>2969.4444444444443</v>
      </c>
      <c r="AS13" s="52">
        <v>78200</v>
      </c>
      <c r="AT13" s="54">
        <f t="shared" si="21"/>
        <v>1448.148148148148</v>
      </c>
      <c r="AU13" s="54"/>
      <c r="AV13" s="69">
        <f t="shared" si="29"/>
        <v>238550</v>
      </c>
      <c r="AW13" s="67">
        <f t="shared" si="22"/>
        <v>4417.5925925925922</v>
      </c>
      <c r="AX13" s="82">
        <f t="shared" si="23"/>
        <v>52</v>
      </c>
      <c r="AY13" s="59">
        <f t="shared" si="24"/>
        <v>722585</v>
      </c>
      <c r="AZ13" s="59">
        <f t="shared" si="25"/>
        <v>230485</v>
      </c>
      <c r="BA13" s="71">
        <f t="shared" si="32"/>
        <v>953070</v>
      </c>
      <c r="BB13" s="72">
        <f t="shared" si="31"/>
        <v>1100</v>
      </c>
      <c r="BC13" s="73">
        <v>52</v>
      </c>
      <c r="BD13" s="74">
        <v>327030</v>
      </c>
      <c r="BE13" s="74">
        <v>76400</v>
      </c>
      <c r="BF13" s="75">
        <v>1100</v>
      </c>
      <c r="BG13" s="75"/>
      <c r="BH13" s="75"/>
      <c r="BI13" s="75"/>
      <c r="BJ13" s="76">
        <f t="shared" si="30"/>
        <v>404530</v>
      </c>
      <c r="BK13" s="47">
        <v>9</v>
      </c>
      <c r="BL13" s="77">
        <f t="shared" si="26"/>
        <v>404530</v>
      </c>
    </row>
    <row r="14" spans="1:66" ht="20" customHeight="1">
      <c r="B14" s="78">
        <f t="shared" si="27"/>
        <v>45453</v>
      </c>
      <c r="C14" s="79"/>
      <c r="D14" s="50"/>
      <c r="E14" s="51">
        <v>13</v>
      </c>
      <c r="F14" s="52">
        <v>57200</v>
      </c>
      <c r="G14" s="53">
        <f t="shared" si="0"/>
        <v>4000</v>
      </c>
      <c r="H14" s="52">
        <v>5540</v>
      </c>
      <c r="I14" s="54">
        <f t="shared" si="1"/>
        <v>387.38461538461536</v>
      </c>
      <c r="J14" s="55">
        <f t="shared" si="2"/>
        <v>62740</v>
      </c>
      <c r="K14" s="56">
        <f t="shared" si="3"/>
        <v>4826.1538461538457</v>
      </c>
      <c r="L14" s="57"/>
      <c r="M14" s="58">
        <f t="shared" si="4"/>
        <v>7</v>
      </c>
      <c r="N14" s="59">
        <f t="shared" si="4"/>
        <v>56760</v>
      </c>
      <c r="O14" s="53">
        <f t="shared" si="5"/>
        <v>7371.4285714285716</v>
      </c>
      <c r="P14" s="59">
        <f t="shared" si="6"/>
        <v>21010</v>
      </c>
      <c r="Q14" s="54">
        <f t="shared" si="7"/>
        <v>2728.5714285714284</v>
      </c>
      <c r="R14" s="60">
        <f t="shared" si="8"/>
        <v>77770</v>
      </c>
      <c r="S14" s="56">
        <f t="shared" si="9"/>
        <v>11110</v>
      </c>
      <c r="T14" s="80">
        <f t="shared" si="10"/>
        <v>20</v>
      </c>
      <c r="U14" s="59">
        <f t="shared" si="10"/>
        <v>113960</v>
      </c>
      <c r="V14" s="59">
        <f t="shared" si="11"/>
        <v>26550</v>
      </c>
      <c r="W14" s="62">
        <f t="shared" si="12"/>
        <v>140510</v>
      </c>
      <c r="X14" s="81"/>
      <c r="Y14" s="63"/>
      <c r="Z14" s="64">
        <v>12</v>
      </c>
      <c r="AA14" s="52">
        <v>5420</v>
      </c>
      <c r="AB14" s="53">
        <f t="shared" si="13"/>
        <v>451.66666666666669</v>
      </c>
      <c r="AC14" s="52">
        <v>0</v>
      </c>
      <c r="AD14" s="54">
        <f t="shared" si="14"/>
        <v>0</v>
      </c>
      <c r="AE14" s="65">
        <f t="shared" si="15"/>
        <v>5420</v>
      </c>
      <c r="AF14" s="56">
        <f t="shared" si="16"/>
        <v>451.66666666666669</v>
      </c>
      <c r="AG14" s="66"/>
      <c r="AH14" s="64"/>
      <c r="AI14" s="52"/>
      <c r="AJ14" s="53" t="e">
        <f t="shared" si="17"/>
        <v>#DIV/0!</v>
      </c>
      <c r="AK14" s="52"/>
      <c r="AL14" s="54" t="e">
        <f t="shared" si="18"/>
        <v>#DIV/0!</v>
      </c>
      <c r="AM14" s="65">
        <f t="shared" si="28"/>
        <v>0</v>
      </c>
      <c r="AN14" s="67" t="str">
        <f t="shared" si="19"/>
        <v/>
      </c>
      <c r="AO14" s="68"/>
      <c r="AP14" s="64">
        <v>122</v>
      </c>
      <c r="AQ14" s="52">
        <v>303200</v>
      </c>
      <c r="AR14" s="53">
        <f t="shared" si="20"/>
        <v>2485.2459016393441</v>
      </c>
      <c r="AS14" s="52">
        <v>182950</v>
      </c>
      <c r="AT14" s="54">
        <f t="shared" si="21"/>
        <v>1499.5901639344263</v>
      </c>
      <c r="AU14" s="54"/>
      <c r="AV14" s="69">
        <f t="shared" si="29"/>
        <v>486150</v>
      </c>
      <c r="AW14" s="67">
        <f t="shared" si="22"/>
        <v>3984.8360655737706</v>
      </c>
      <c r="AX14" s="82">
        <f t="shared" si="23"/>
        <v>20</v>
      </c>
      <c r="AY14" s="59">
        <f t="shared" si="24"/>
        <v>422580</v>
      </c>
      <c r="AZ14" s="59">
        <f t="shared" si="25"/>
        <v>209500</v>
      </c>
      <c r="BA14" s="71">
        <f t="shared" si="32"/>
        <v>632080</v>
      </c>
      <c r="BB14" s="72">
        <f t="shared" si="31"/>
        <v>2200</v>
      </c>
      <c r="BC14" s="73">
        <v>20</v>
      </c>
      <c r="BD14" s="74">
        <v>113960</v>
      </c>
      <c r="BE14" s="74">
        <v>26550</v>
      </c>
      <c r="BF14" s="75">
        <v>2200</v>
      </c>
      <c r="BG14" s="75"/>
      <c r="BH14" s="75"/>
      <c r="BI14" s="75"/>
      <c r="BJ14" s="76">
        <f t="shared" si="30"/>
        <v>142710</v>
      </c>
      <c r="BK14" s="47">
        <v>10</v>
      </c>
      <c r="BL14" s="77">
        <f t="shared" si="26"/>
        <v>142710</v>
      </c>
    </row>
    <row r="15" spans="1:66" ht="20" customHeight="1">
      <c r="B15" s="78">
        <f t="shared" si="27"/>
        <v>45454</v>
      </c>
      <c r="C15" s="83"/>
      <c r="D15" s="50"/>
      <c r="E15" s="51">
        <v>27</v>
      </c>
      <c r="F15" s="52">
        <v>105820</v>
      </c>
      <c r="G15" s="53">
        <f t="shared" si="0"/>
        <v>3562.962962962963</v>
      </c>
      <c r="H15" s="52">
        <v>23620</v>
      </c>
      <c r="I15" s="54">
        <f t="shared" si="1"/>
        <v>795.25925925925924</v>
      </c>
      <c r="J15" s="55">
        <f t="shared" si="2"/>
        <v>129440</v>
      </c>
      <c r="K15" s="56">
        <f t="shared" si="3"/>
        <v>4794.0740740740739</v>
      </c>
      <c r="L15" s="57"/>
      <c r="M15" s="58">
        <f t="shared" si="4"/>
        <v>40</v>
      </c>
      <c r="N15" s="59">
        <f t="shared" si="4"/>
        <v>241890</v>
      </c>
      <c r="O15" s="53">
        <f t="shared" si="5"/>
        <v>5497.5</v>
      </c>
      <c r="P15" s="59">
        <f t="shared" si="6"/>
        <v>96940</v>
      </c>
      <c r="Q15" s="54">
        <f t="shared" si="7"/>
        <v>2203.1750000000002</v>
      </c>
      <c r="R15" s="60">
        <f t="shared" si="8"/>
        <v>338830</v>
      </c>
      <c r="S15" s="56">
        <f t="shared" si="9"/>
        <v>8470.75</v>
      </c>
      <c r="T15" s="80">
        <f t="shared" si="10"/>
        <v>67</v>
      </c>
      <c r="U15" s="59">
        <f t="shared" si="10"/>
        <v>347710</v>
      </c>
      <c r="V15" s="59">
        <f t="shared" si="11"/>
        <v>120560</v>
      </c>
      <c r="W15" s="62">
        <f t="shared" si="12"/>
        <v>468270</v>
      </c>
      <c r="X15" s="81"/>
      <c r="Y15" s="63"/>
      <c r="Z15" s="64">
        <v>4</v>
      </c>
      <c r="AA15" s="52">
        <v>1700</v>
      </c>
      <c r="AB15" s="53">
        <f t="shared" si="13"/>
        <v>425</v>
      </c>
      <c r="AC15" s="52">
        <v>1000</v>
      </c>
      <c r="AD15" s="54">
        <f t="shared" si="14"/>
        <v>250</v>
      </c>
      <c r="AE15" s="65">
        <f t="shared" si="15"/>
        <v>2700</v>
      </c>
      <c r="AF15" s="56">
        <f t="shared" si="16"/>
        <v>675</v>
      </c>
      <c r="AG15" s="66"/>
      <c r="AH15" s="64"/>
      <c r="AI15" s="52"/>
      <c r="AJ15" s="53" t="e">
        <f t="shared" si="17"/>
        <v>#DIV/0!</v>
      </c>
      <c r="AK15" s="52"/>
      <c r="AL15" s="54" t="e">
        <f t="shared" si="18"/>
        <v>#DIV/0!</v>
      </c>
      <c r="AM15" s="65">
        <f t="shared" si="28"/>
        <v>0</v>
      </c>
      <c r="AN15" s="67" t="str">
        <f t="shared" si="19"/>
        <v/>
      </c>
      <c r="AO15" s="68"/>
      <c r="AP15" s="64">
        <v>163</v>
      </c>
      <c r="AQ15" s="52">
        <v>340950</v>
      </c>
      <c r="AR15" s="53">
        <f t="shared" si="20"/>
        <v>2091.717791411043</v>
      </c>
      <c r="AS15" s="52">
        <v>241750</v>
      </c>
      <c r="AT15" s="54">
        <f t="shared" si="21"/>
        <v>1483.1288343558283</v>
      </c>
      <c r="AU15" s="54"/>
      <c r="AV15" s="69">
        <f>AQ15+AS15+AU15-BN15</f>
        <v>580500</v>
      </c>
      <c r="AW15" s="67">
        <f t="shared" si="22"/>
        <v>3561.3496932515336</v>
      </c>
      <c r="AX15" s="82">
        <f t="shared" si="23"/>
        <v>67</v>
      </c>
      <c r="AY15" s="59">
        <f t="shared" si="24"/>
        <v>690360</v>
      </c>
      <c r="AZ15" s="59">
        <f t="shared" si="25"/>
        <v>363310</v>
      </c>
      <c r="BA15" s="71">
        <f>W15+AE15+AM15+AV15-BM15</f>
        <v>1051470</v>
      </c>
      <c r="BB15" s="72">
        <f t="shared" si="31"/>
        <v>0</v>
      </c>
      <c r="BC15" s="73">
        <v>67</v>
      </c>
      <c r="BD15" s="74">
        <v>347710</v>
      </c>
      <c r="BE15" s="74">
        <v>120560</v>
      </c>
      <c r="BF15" s="75"/>
      <c r="BG15" s="75"/>
      <c r="BH15" s="75"/>
      <c r="BI15" s="75"/>
      <c r="BJ15" s="76">
        <f t="shared" si="30"/>
        <v>468270</v>
      </c>
      <c r="BK15" s="47">
        <v>11</v>
      </c>
      <c r="BL15" s="77">
        <f t="shared" si="26"/>
        <v>468270</v>
      </c>
      <c r="BN15" s="47">
        <v>2200</v>
      </c>
    </row>
    <row r="16" spans="1:66" ht="20" customHeight="1">
      <c r="B16" s="78">
        <f t="shared" si="27"/>
        <v>45455</v>
      </c>
      <c r="C16" s="79"/>
      <c r="D16" s="50"/>
      <c r="E16" s="51">
        <v>24</v>
      </c>
      <c r="F16" s="52">
        <v>85580</v>
      </c>
      <c r="G16" s="53">
        <f t="shared" si="0"/>
        <v>3241.6666666666665</v>
      </c>
      <c r="H16" s="52">
        <v>20460</v>
      </c>
      <c r="I16" s="54">
        <f t="shared" si="1"/>
        <v>775</v>
      </c>
      <c r="J16" s="55">
        <f t="shared" si="2"/>
        <v>106040</v>
      </c>
      <c r="K16" s="56">
        <f t="shared" si="3"/>
        <v>4418.333333333333</v>
      </c>
      <c r="L16" s="57"/>
      <c r="M16" s="58">
        <f t="shared" si="4"/>
        <v>30</v>
      </c>
      <c r="N16" s="59">
        <f t="shared" si="4"/>
        <v>338800</v>
      </c>
      <c r="O16" s="53">
        <f t="shared" si="5"/>
        <v>10266.666666666666</v>
      </c>
      <c r="P16" s="59">
        <f t="shared" si="6"/>
        <v>141980</v>
      </c>
      <c r="Q16" s="54">
        <f t="shared" si="7"/>
        <v>4302.3999999999996</v>
      </c>
      <c r="R16" s="60">
        <f t="shared" si="8"/>
        <v>480780</v>
      </c>
      <c r="S16" s="56">
        <f t="shared" si="9"/>
        <v>16026</v>
      </c>
      <c r="T16" s="80">
        <f t="shared" si="10"/>
        <v>54</v>
      </c>
      <c r="U16" s="59">
        <f t="shared" si="10"/>
        <v>424380</v>
      </c>
      <c r="V16" s="59">
        <f t="shared" si="11"/>
        <v>162440</v>
      </c>
      <c r="W16" s="62">
        <f t="shared" si="12"/>
        <v>586820</v>
      </c>
      <c r="X16" s="81"/>
      <c r="Y16" s="63"/>
      <c r="Z16" s="64">
        <v>22</v>
      </c>
      <c r="AA16" s="52">
        <v>9420</v>
      </c>
      <c r="AB16" s="53">
        <f t="shared" si="13"/>
        <v>428.18181818181819</v>
      </c>
      <c r="AC16" s="52">
        <v>1500</v>
      </c>
      <c r="AD16" s="54">
        <f t="shared" si="14"/>
        <v>68.181818181818187</v>
      </c>
      <c r="AE16" s="65">
        <f t="shared" si="15"/>
        <v>10920</v>
      </c>
      <c r="AF16" s="56">
        <f t="shared" si="16"/>
        <v>496.36363636363637</v>
      </c>
      <c r="AG16" s="66"/>
      <c r="AH16" s="64"/>
      <c r="AI16" s="52"/>
      <c r="AJ16" s="53" t="e">
        <f t="shared" si="17"/>
        <v>#DIV/0!</v>
      </c>
      <c r="AK16" s="52"/>
      <c r="AL16" s="54" t="e">
        <f t="shared" si="18"/>
        <v>#DIV/0!</v>
      </c>
      <c r="AM16" s="65">
        <f t="shared" si="28"/>
        <v>0</v>
      </c>
      <c r="AN16" s="67" t="str">
        <f t="shared" si="19"/>
        <v/>
      </c>
      <c r="AO16" s="68"/>
      <c r="AP16" s="64">
        <v>205</v>
      </c>
      <c r="AQ16" s="52">
        <v>482550</v>
      </c>
      <c r="AR16" s="53">
        <f t="shared" si="20"/>
        <v>2353.9024390243903</v>
      </c>
      <c r="AS16" s="52">
        <v>315800</v>
      </c>
      <c r="AT16" s="54">
        <f t="shared" si="21"/>
        <v>1540.4878048780488</v>
      </c>
      <c r="AU16" s="54">
        <v>9900</v>
      </c>
      <c r="AV16" s="69">
        <f t="shared" si="29"/>
        <v>808250</v>
      </c>
      <c r="AW16" s="67">
        <f t="shared" si="22"/>
        <v>3942.6829268292681</v>
      </c>
      <c r="AX16" s="82">
        <f t="shared" si="23"/>
        <v>54</v>
      </c>
      <c r="AY16" s="59">
        <f t="shared" si="24"/>
        <v>916350</v>
      </c>
      <c r="AZ16" s="59">
        <f t="shared" si="25"/>
        <v>479740</v>
      </c>
      <c r="BA16" s="71">
        <f>W16+AE16+AM16+AV16-BM16</f>
        <v>1404582</v>
      </c>
      <c r="BB16" s="72">
        <f t="shared" si="31"/>
        <v>2200</v>
      </c>
      <c r="BC16" s="73">
        <v>54</v>
      </c>
      <c r="BD16" s="74">
        <v>424380</v>
      </c>
      <c r="BE16" s="74">
        <v>162440</v>
      </c>
      <c r="BF16" s="75">
        <v>2200</v>
      </c>
      <c r="BG16" s="75"/>
      <c r="BH16" s="75"/>
      <c r="BI16" s="75"/>
      <c r="BJ16" s="76">
        <f t="shared" si="30"/>
        <v>589020</v>
      </c>
      <c r="BK16" s="47">
        <v>12</v>
      </c>
      <c r="BL16" s="77">
        <f t="shared" si="26"/>
        <v>589020</v>
      </c>
      <c r="BM16" s="47">
        <v>1408</v>
      </c>
    </row>
    <row r="17" spans="2:66" ht="20" customHeight="1">
      <c r="B17" s="78">
        <f t="shared" si="27"/>
        <v>45456</v>
      </c>
      <c r="C17" s="83"/>
      <c r="D17" s="50"/>
      <c r="E17" s="51">
        <v>31</v>
      </c>
      <c r="F17" s="52">
        <v>108790</v>
      </c>
      <c r="G17" s="53">
        <f t="shared" si="0"/>
        <v>3190.3225806451615</v>
      </c>
      <c r="H17" s="52">
        <v>14130</v>
      </c>
      <c r="I17" s="54">
        <f t="shared" si="1"/>
        <v>414.35483870967744</v>
      </c>
      <c r="J17" s="55">
        <f t="shared" si="2"/>
        <v>122920</v>
      </c>
      <c r="K17" s="56">
        <f t="shared" si="3"/>
        <v>3965.1612903225805</v>
      </c>
      <c r="L17" s="57"/>
      <c r="M17" s="58">
        <f t="shared" si="4"/>
        <v>6</v>
      </c>
      <c r="N17" s="59">
        <f t="shared" si="4"/>
        <v>74800</v>
      </c>
      <c r="O17" s="53">
        <f t="shared" si="5"/>
        <v>11333.333333333334</v>
      </c>
      <c r="P17" s="59">
        <f t="shared" si="6"/>
        <v>9180</v>
      </c>
      <c r="Q17" s="54">
        <f t="shared" si="7"/>
        <v>1390.8333333333333</v>
      </c>
      <c r="R17" s="60">
        <f t="shared" si="8"/>
        <v>83980</v>
      </c>
      <c r="S17" s="56">
        <f t="shared" si="9"/>
        <v>13996.666666666666</v>
      </c>
      <c r="T17" s="80">
        <f>E17+M17</f>
        <v>37</v>
      </c>
      <c r="U17" s="59">
        <f t="shared" si="10"/>
        <v>183590</v>
      </c>
      <c r="V17" s="59">
        <f t="shared" si="11"/>
        <v>23310</v>
      </c>
      <c r="W17" s="62">
        <f t="shared" si="12"/>
        <v>206900</v>
      </c>
      <c r="X17" s="81"/>
      <c r="Y17" s="63"/>
      <c r="Z17" s="64">
        <v>26</v>
      </c>
      <c r="AA17" s="52">
        <v>10800</v>
      </c>
      <c r="AB17" s="53">
        <f t="shared" si="13"/>
        <v>415.38461538461536</v>
      </c>
      <c r="AC17" s="52">
        <v>6300</v>
      </c>
      <c r="AD17" s="54">
        <f t="shared" si="14"/>
        <v>242.30769230769232</v>
      </c>
      <c r="AE17" s="65">
        <f t="shared" si="15"/>
        <v>17100</v>
      </c>
      <c r="AF17" s="56">
        <f t="shared" si="16"/>
        <v>657.69230769230774</v>
      </c>
      <c r="AG17" s="66"/>
      <c r="AH17" s="64"/>
      <c r="AI17" s="52"/>
      <c r="AJ17" s="53" t="e">
        <f t="shared" si="17"/>
        <v>#DIV/0!</v>
      </c>
      <c r="AK17" s="52"/>
      <c r="AL17" s="54" t="e">
        <f t="shared" si="18"/>
        <v>#DIV/0!</v>
      </c>
      <c r="AM17" s="65">
        <f t="shared" si="28"/>
        <v>0</v>
      </c>
      <c r="AN17" s="67" t="str">
        <f t="shared" si="19"/>
        <v/>
      </c>
      <c r="AO17" s="68"/>
      <c r="AP17" s="64">
        <v>279</v>
      </c>
      <c r="AQ17" s="52">
        <v>869900</v>
      </c>
      <c r="AR17" s="53">
        <f t="shared" si="20"/>
        <v>3117.9211469534052</v>
      </c>
      <c r="AS17" s="52">
        <v>476050</v>
      </c>
      <c r="AT17" s="54">
        <f t="shared" si="21"/>
        <v>1706.2724014336918</v>
      </c>
      <c r="AU17" s="54">
        <v>6050</v>
      </c>
      <c r="AV17" s="69">
        <f t="shared" si="29"/>
        <v>1352000</v>
      </c>
      <c r="AW17" s="67">
        <f t="shared" si="22"/>
        <v>4845.8781362007167</v>
      </c>
      <c r="AX17" s="82">
        <f t="shared" si="23"/>
        <v>37</v>
      </c>
      <c r="AY17" s="59">
        <f t="shared" si="24"/>
        <v>1064290</v>
      </c>
      <c r="AZ17" s="59">
        <f t="shared" si="25"/>
        <v>505660</v>
      </c>
      <c r="BA17" s="71">
        <f t="shared" si="32"/>
        <v>1576000</v>
      </c>
      <c r="BB17" s="72">
        <f t="shared" si="31"/>
        <v>3300</v>
      </c>
      <c r="BC17" s="73">
        <v>37</v>
      </c>
      <c r="BD17" s="74">
        <v>183590</v>
      </c>
      <c r="BE17" s="74">
        <v>23310</v>
      </c>
      <c r="BF17" s="75">
        <v>3300</v>
      </c>
      <c r="BG17" s="75"/>
      <c r="BH17" s="75">
        <v>4000</v>
      </c>
      <c r="BI17" s="75"/>
      <c r="BJ17" s="76">
        <f t="shared" si="30"/>
        <v>210200</v>
      </c>
      <c r="BK17" s="47">
        <v>13</v>
      </c>
      <c r="BL17" s="77">
        <f t="shared" si="26"/>
        <v>210200</v>
      </c>
    </row>
    <row r="18" spans="2:66" ht="20" customHeight="1">
      <c r="B18" s="78">
        <f t="shared" si="27"/>
        <v>45457</v>
      </c>
      <c r="C18" s="79"/>
      <c r="D18" s="50"/>
      <c r="E18" s="51">
        <v>21</v>
      </c>
      <c r="F18" s="52">
        <v>75790</v>
      </c>
      <c r="G18" s="53">
        <f t="shared" si="0"/>
        <v>3280.9523809523807</v>
      </c>
      <c r="H18" s="52">
        <v>7560</v>
      </c>
      <c r="I18" s="54">
        <f t="shared" si="1"/>
        <v>327.23809523809524</v>
      </c>
      <c r="J18" s="55">
        <f t="shared" si="2"/>
        <v>83350</v>
      </c>
      <c r="K18" s="56">
        <f t="shared" si="3"/>
        <v>3969.0476190476193</v>
      </c>
      <c r="L18" s="57"/>
      <c r="M18" s="58">
        <f t="shared" si="4"/>
        <v>30</v>
      </c>
      <c r="N18" s="59">
        <f t="shared" si="4"/>
        <v>276740</v>
      </c>
      <c r="O18" s="53">
        <f t="shared" si="5"/>
        <v>8386.0333333333328</v>
      </c>
      <c r="P18" s="59">
        <f t="shared" si="6"/>
        <v>78160</v>
      </c>
      <c r="Q18" s="54">
        <f t="shared" si="7"/>
        <v>2368.4666666666667</v>
      </c>
      <c r="R18" s="60">
        <f t="shared" si="8"/>
        <v>354900</v>
      </c>
      <c r="S18" s="56">
        <f t="shared" si="9"/>
        <v>11830</v>
      </c>
      <c r="T18" s="80">
        <f t="shared" si="10"/>
        <v>51</v>
      </c>
      <c r="U18" s="59">
        <f t="shared" si="10"/>
        <v>352530</v>
      </c>
      <c r="V18" s="59">
        <f t="shared" si="11"/>
        <v>85720</v>
      </c>
      <c r="W18" s="62">
        <f t="shared" si="12"/>
        <v>438250</v>
      </c>
      <c r="X18" s="81"/>
      <c r="Y18" s="63"/>
      <c r="Z18" s="64">
        <v>8</v>
      </c>
      <c r="AA18" s="52">
        <v>4140</v>
      </c>
      <c r="AB18" s="53">
        <f t="shared" si="13"/>
        <v>517.5</v>
      </c>
      <c r="AC18" s="52">
        <v>1200</v>
      </c>
      <c r="AD18" s="54">
        <f t="shared" si="14"/>
        <v>150</v>
      </c>
      <c r="AE18" s="65">
        <f t="shared" si="15"/>
        <v>5340</v>
      </c>
      <c r="AF18" s="56">
        <f t="shared" si="16"/>
        <v>667.5</v>
      </c>
      <c r="AG18" s="66"/>
      <c r="AH18" s="64">
        <v>50</v>
      </c>
      <c r="AI18" s="52">
        <v>282750</v>
      </c>
      <c r="AJ18" s="53">
        <f t="shared" si="17"/>
        <v>5655</v>
      </c>
      <c r="AK18" s="52">
        <v>87000</v>
      </c>
      <c r="AL18" s="54">
        <f t="shared" si="18"/>
        <v>1740</v>
      </c>
      <c r="AM18" s="65">
        <f t="shared" si="28"/>
        <v>369750</v>
      </c>
      <c r="AN18" s="67">
        <f t="shared" si="19"/>
        <v>7395</v>
      </c>
      <c r="AO18" s="68"/>
      <c r="AP18" s="64">
        <v>154</v>
      </c>
      <c r="AQ18" s="52">
        <v>465400</v>
      </c>
      <c r="AR18" s="53">
        <f t="shared" si="20"/>
        <v>3022.0779220779223</v>
      </c>
      <c r="AS18" s="52">
        <v>250500</v>
      </c>
      <c r="AT18" s="54">
        <f t="shared" si="21"/>
        <v>1626.6233766233765</v>
      </c>
      <c r="AU18" s="54">
        <v>2750</v>
      </c>
      <c r="AV18" s="69">
        <f>AQ18+AS18+AU18-BN18</f>
        <v>716720</v>
      </c>
      <c r="AW18" s="67">
        <f t="shared" si="22"/>
        <v>4654.0259740259744</v>
      </c>
      <c r="AX18" s="82">
        <f t="shared" si="23"/>
        <v>51</v>
      </c>
      <c r="AY18" s="59">
        <f t="shared" si="24"/>
        <v>1104820</v>
      </c>
      <c r="AZ18" s="59">
        <f t="shared" si="25"/>
        <v>424420</v>
      </c>
      <c r="BA18" s="71">
        <f t="shared" si="32"/>
        <v>1530060</v>
      </c>
      <c r="BB18" s="72">
        <f t="shared" si="31"/>
        <v>1650</v>
      </c>
      <c r="BC18" s="73">
        <v>51</v>
      </c>
      <c r="BD18" s="74">
        <v>352530</v>
      </c>
      <c r="BE18" s="74">
        <v>85720</v>
      </c>
      <c r="BF18" s="75">
        <v>1650</v>
      </c>
      <c r="BG18" s="75"/>
      <c r="BH18" s="75"/>
      <c r="BI18" s="75"/>
      <c r="BJ18" s="76">
        <f t="shared" si="30"/>
        <v>439900</v>
      </c>
      <c r="BK18" s="47">
        <v>14</v>
      </c>
      <c r="BL18" s="77">
        <f t="shared" si="26"/>
        <v>439900</v>
      </c>
      <c r="BN18" s="47">
        <v>1930</v>
      </c>
    </row>
    <row r="19" spans="2:66" ht="20" customHeight="1">
      <c r="B19" s="78">
        <f t="shared" si="27"/>
        <v>45458</v>
      </c>
      <c r="C19" s="79"/>
      <c r="D19" s="50"/>
      <c r="E19" s="51">
        <v>31</v>
      </c>
      <c r="F19" s="52">
        <v>134310</v>
      </c>
      <c r="G19" s="53">
        <f t="shared" si="0"/>
        <v>3938.7096774193546</v>
      </c>
      <c r="H19" s="52">
        <v>21420</v>
      </c>
      <c r="I19" s="54">
        <f t="shared" si="1"/>
        <v>628.12903225806451</v>
      </c>
      <c r="J19" s="55">
        <f t="shared" si="2"/>
        <v>155730</v>
      </c>
      <c r="K19" s="56">
        <f t="shared" si="3"/>
        <v>5023.5483870967746</v>
      </c>
      <c r="L19" s="57"/>
      <c r="M19" s="58">
        <f t="shared" si="4"/>
        <v>27</v>
      </c>
      <c r="N19" s="59">
        <f t="shared" si="4"/>
        <v>244090</v>
      </c>
      <c r="O19" s="53">
        <f t="shared" si="5"/>
        <v>8218.5185185185182</v>
      </c>
      <c r="P19" s="59">
        <f t="shared" si="6"/>
        <v>54530</v>
      </c>
      <c r="Q19" s="84">
        <f t="shared" si="7"/>
        <v>1836</v>
      </c>
      <c r="R19" s="60">
        <f t="shared" si="8"/>
        <v>298620</v>
      </c>
      <c r="S19" s="56">
        <f t="shared" si="9"/>
        <v>11060</v>
      </c>
      <c r="T19" s="80">
        <f t="shared" si="10"/>
        <v>58</v>
      </c>
      <c r="U19" s="59">
        <f t="shared" si="10"/>
        <v>378400</v>
      </c>
      <c r="V19" s="59">
        <f t="shared" si="11"/>
        <v>75950</v>
      </c>
      <c r="W19" s="62">
        <f t="shared" si="12"/>
        <v>454350</v>
      </c>
      <c r="X19" s="81"/>
      <c r="Y19" s="63"/>
      <c r="Z19" s="64">
        <v>27</v>
      </c>
      <c r="AA19" s="52">
        <v>11510</v>
      </c>
      <c r="AB19" s="53">
        <f t="shared" si="13"/>
        <v>426.2962962962963</v>
      </c>
      <c r="AC19" s="52">
        <v>2200</v>
      </c>
      <c r="AD19" s="54">
        <f t="shared" si="14"/>
        <v>81.481481481481481</v>
      </c>
      <c r="AE19" s="65">
        <f t="shared" si="15"/>
        <v>13710</v>
      </c>
      <c r="AF19" s="56">
        <f t="shared" si="16"/>
        <v>507.77777777777777</v>
      </c>
      <c r="AG19" s="66"/>
      <c r="AH19" s="64">
        <v>29</v>
      </c>
      <c r="AI19" s="52">
        <v>113535</v>
      </c>
      <c r="AJ19" s="53">
        <f t="shared" si="17"/>
        <v>3915</v>
      </c>
      <c r="AK19" s="52">
        <v>40524</v>
      </c>
      <c r="AL19" s="54">
        <f t="shared" si="18"/>
        <v>1397.3793103448277</v>
      </c>
      <c r="AM19" s="65">
        <f t="shared" si="28"/>
        <v>154059</v>
      </c>
      <c r="AN19" s="67">
        <f t="shared" si="19"/>
        <v>5312.3793103448279</v>
      </c>
      <c r="AO19" s="68"/>
      <c r="AP19" s="64">
        <v>300</v>
      </c>
      <c r="AQ19" s="52">
        <v>765900</v>
      </c>
      <c r="AR19" s="53">
        <f t="shared" si="20"/>
        <v>2553</v>
      </c>
      <c r="AS19" s="52">
        <v>420650</v>
      </c>
      <c r="AT19" s="54">
        <f t="shared" si="21"/>
        <v>1402.1666666666667</v>
      </c>
      <c r="AU19" s="54">
        <v>2200</v>
      </c>
      <c r="AV19" s="69">
        <f>AQ19+AS19+AU19-BN19</f>
        <v>1179610</v>
      </c>
      <c r="AW19" s="67">
        <f t="shared" si="22"/>
        <v>3932.0333333333333</v>
      </c>
      <c r="AX19" s="82">
        <f t="shared" si="23"/>
        <v>58</v>
      </c>
      <c r="AY19" s="59">
        <f t="shared" si="24"/>
        <v>1269345</v>
      </c>
      <c r="AZ19" s="59">
        <f t="shared" si="25"/>
        <v>539324</v>
      </c>
      <c r="BA19" s="71">
        <f>W19+AE19+AM19+AV19-BM19</f>
        <v>1801309</v>
      </c>
      <c r="BB19" s="72">
        <f t="shared" si="31"/>
        <v>9350</v>
      </c>
      <c r="BC19" s="73">
        <v>58</v>
      </c>
      <c r="BD19" s="74">
        <v>378400</v>
      </c>
      <c r="BE19" s="74">
        <v>75950</v>
      </c>
      <c r="BF19" s="75">
        <v>9350</v>
      </c>
      <c r="BG19" s="75"/>
      <c r="BH19" s="75"/>
      <c r="BI19" s="75"/>
      <c r="BJ19" s="76">
        <f t="shared" si="30"/>
        <v>463700</v>
      </c>
      <c r="BK19" s="47">
        <v>15</v>
      </c>
      <c r="BL19" s="77">
        <f t="shared" si="26"/>
        <v>463700</v>
      </c>
      <c r="BM19" s="47">
        <v>420</v>
      </c>
      <c r="BN19" s="47">
        <v>9140</v>
      </c>
    </row>
    <row r="20" spans="2:66" ht="20" customHeight="1">
      <c r="B20" s="78">
        <f t="shared" si="27"/>
        <v>45459</v>
      </c>
      <c r="C20" s="79"/>
      <c r="D20" s="50"/>
      <c r="E20" s="51">
        <v>26</v>
      </c>
      <c r="F20" s="52">
        <v>94490</v>
      </c>
      <c r="G20" s="53">
        <f t="shared" si="0"/>
        <v>3303.8461538461538</v>
      </c>
      <c r="H20" s="52">
        <v>11920</v>
      </c>
      <c r="I20" s="53">
        <f t="shared" si="1"/>
        <v>416.76923076923077</v>
      </c>
      <c r="J20" s="55">
        <f t="shared" si="2"/>
        <v>106410</v>
      </c>
      <c r="K20" s="56">
        <f t="shared" si="3"/>
        <v>4092.6923076923076</v>
      </c>
      <c r="L20" s="57"/>
      <c r="M20" s="58">
        <f t="shared" si="4"/>
        <v>15</v>
      </c>
      <c r="N20" s="59">
        <f t="shared" si="4"/>
        <v>168740</v>
      </c>
      <c r="O20" s="53">
        <f t="shared" si="5"/>
        <v>10226.666666666666</v>
      </c>
      <c r="P20" s="59">
        <f t="shared" si="6"/>
        <v>35140</v>
      </c>
      <c r="Q20" s="84">
        <f t="shared" si="7"/>
        <v>2129.6666666666665</v>
      </c>
      <c r="R20" s="60">
        <f t="shared" si="8"/>
        <v>203880</v>
      </c>
      <c r="S20" s="56">
        <f t="shared" si="9"/>
        <v>13592</v>
      </c>
      <c r="T20" s="80">
        <f t="shared" si="10"/>
        <v>41</v>
      </c>
      <c r="U20" s="59">
        <f t="shared" si="10"/>
        <v>263230</v>
      </c>
      <c r="V20" s="59">
        <f t="shared" si="11"/>
        <v>47060</v>
      </c>
      <c r="W20" s="62">
        <f t="shared" si="12"/>
        <v>310290</v>
      </c>
      <c r="X20" s="81"/>
      <c r="Y20" s="63"/>
      <c r="Z20" s="64">
        <v>20</v>
      </c>
      <c r="AA20" s="52">
        <v>8840</v>
      </c>
      <c r="AB20" s="53">
        <f t="shared" si="13"/>
        <v>442</v>
      </c>
      <c r="AC20" s="52">
        <v>2700</v>
      </c>
      <c r="AD20" s="54">
        <f t="shared" si="14"/>
        <v>135</v>
      </c>
      <c r="AE20" s="65">
        <f t="shared" si="15"/>
        <v>11540</v>
      </c>
      <c r="AF20" s="56">
        <f t="shared" si="16"/>
        <v>577</v>
      </c>
      <c r="AG20" s="66"/>
      <c r="AH20" s="64"/>
      <c r="AI20" s="52"/>
      <c r="AJ20" s="53" t="e">
        <f t="shared" si="17"/>
        <v>#DIV/0!</v>
      </c>
      <c r="AK20" s="52"/>
      <c r="AL20" s="54" t="e">
        <f t="shared" si="18"/>
        <v>#DIV/0!</v>
      </c>
      <c r="AM20" s="65">
        <f t="shared" si="28"/>
        <v>0</v>
      </c>
      <c r="AN20" s="67" t="str">
        <f t="shared" si="19"/>
        <v/>
      </c>
      <c r="AO20" s="68"/>
      <c r="AP20" s="64">
        <v>101</v>
      </c>
      <c r="AQ20" s="52">
        <v>274850</v>
      </c>
      <c r="AR20" s="53">
        <f t="shared" si="20"/>
        <v>2721.2871287128714</v>
      </c>
      <c r="AS20" s="52">
        <v>143400</v>
      </c>
      <c r="AT20" s="54">
        <f t="shared" si="21"/>
        <v>1419.8019801980197</v>
      </c>
      <c r="AU20" s="54">
        <v>12100</v>
      </c>
      <c r="AV20" s="69">
        <f>AQ20+AS20+AU20-BN20</f>
        <v>428910</v>
      </c>
      <c r="AW20" s="67">
        <f t="shared" si="22"/>
        <v>4246.6336633663368</v>
      </c>
      <c r="AX20" s="82">
        <f t="shared" si="23"/>
        <v>41</v>
      </c>
      <c r="AY20" s="59">
        <f t="shared" si="24"/>
        <v>546920</v>
      </c>
      <c r="AZ20" s="59">
        <f t="shared" si="25"/>
        <v>193160</v>
      </c>
      <c r="BA20" s="71">
        <f t="shared" si="32"/>
        <v>750740</v>
      </c>
      <c r="BB20" s="72">
        <f t="shared" si="31"/>
        <v>4400</v>
      </c>
      <c r="BC20" s="73">
        <v>41</v>
      </c>
      <c r="BD20" s="74">
        <v>263230</v>
      </c>
      <c r="BE20" s="74">
        <v>47060</v>
      </c>
      <c r="BF20" s="75">
        <v>3300</v>
      </c>
      <c r="BG20" s="75">
        <v>1100</v>
      </c>
      <c r="BH20" s="75"/>
      <c r="BI20" s="75"/>
      <c r="BJ20" s="76">
        <f t="shared" si="30"/>
        <v>314690</v>
      </c>
      <c r="BK20" s="47">
        <v>16</v>
      </c>
      <c r="BL20" s="77">
        <f t="shared" si="26"/>
        <v>314690</v>
      </c>
      <c r="BN20" s="47">
        <v>1440</v>
      </c>
    </row>
    <row r="21" spans="2:66" ht="20" customHeight="1">
      <c r="B21" s="78">
        <f t="shared" si="27"/>
        <v>45460</v>
      </c>
      <c r="C21" s="79"/>
      <c r="D21" s="50"/>
      <c r="E21" s="51">
        <v>25</v>
      </c>
      <c r="F21" s="52">
        <v>96140</v>
      </c>
      <c r="G21" s="53">
        <f t="shared" si="0"/>
        <v>3496</v>
      </c>
      <c r="H21" s="52">
        <v>9070</v>
      </c>
      <c r="I21" s="53">
        <f t="shared" si="1"/>
        <v>329.8</v>
      </c>
      <c r="J21" s="55">
        <f t="shared" si="2"/>
        <v>105210</v>
      </c>
      <c r="K21" s="56">
        <f t="shared" si="3"/>
        <v>4208.3999999999996</v>
      </c>
      <c r="L21" s="57"/>
      <c r="M21" s="58">
        <f t="shared" si="4"/>
        <v>6</v>
      </c>
      <c r="N21" s="59">
        <f t="shared" si="4"/>
        <v>75900</v>
      </c>
      <c r="O21" s="53">
        <f t="shared" si="5"/>
        <v>11500</v>
      </c>
      <c r="P21" s="59">
        <f t="shared" si="6"/>
        <v>22270</v>
      </c>
      <c r="Q21" s="84">
        <f t="shared" si="7"/>
        <v>3374.1666666666665</v>
      </c>
      <c r="R21" s="60">
        <f>N21+P21</f>
        <v>98170</v>
      </c>
      <c r="S21" s="56">
        <f t="shared" si="9"/>
        <v>16361.666666666666</v>
      </c>
      <c r="T21" s="80">
        <f t="shared" si="10"/>
        <v>31</v>
      </c>
      <c r="U21" s="59">
        <f t="shared" si="10"/>
        <v>172040</v>
      </c>
      <c r="V21" s="59">
        <f t="shared" si="11"/>
        <v>31340</v>
      </c>
      <c r="W21" s="62">
        <f t="shared" si="12"/>
        <v>203380</v>
      </c>
      <c r="X21" s="81"/>
      <c r="Y21" s="63"/>
      <c r="Z21" s="64">
        <v>15</v>
      </c>
      <c r="AA21" s="52">
        <v>6250</v>
      </c>
      <c r="AB21" s="53">
        <f t="shared" si="13"/>
        <v>416.66666666666669</v>
      </c>
      <c r="AC21" s="52">
        <v>1200</v>
      </c>
      <c r="AD21" s="54">
        <f t="shared" si="14"/>
        <v>80</v>
      </c>
      <c r="AE21" s="65">
        <f t="shared" si="15"/>
        <v>7450</v>
      </c>
      <c r="AF21" s="56">
        <f t="shared" si="16"/>
        <v>496.66666666666669</v>
      </c>
      <c r="AG21" s="66"/>
      <c r="AH21" s="64"/>
      <c r="AI21" s="52"/>
      <c r="AJ21" s="53" t="e">
        <f t="shared" si="17"/>
        <v>#DIV/0!</v>
      </c>
      <c r="AK21" s="52"/>
      <c r="AL21" s="54" t="e">
        <f t="shared" si="18"/>
        <v>#DIV/0!</v>
      </c>
      <c r="AM21" s="65">
        <f t="shared" si="28"/>
        <v>0</v>
      </c>
      <c r="AN21" s="67" t="str">
        <f t="shared" si="19"/>
        <v/>
      </c>
      <c r="AO21" s="68"/>
      <c r="AP21" s="64">
        <v>136</v>
      </c>
      <c r="AQ21" s="52">
        <v>319450</v>
      </c>
      <c r="AR21" s="53">
        <f t="shared" si="20"/>
        <v>2348.8970588235293</v>
      </c>
      <c r="AS21" s="52">
        <v>215000</v>
      </c>
      <c r="AT21" s="54">
        <f t="shared" si="21"/>
        <v>1580.8823529411766</v>
      </c>
      <c r="AU21" s="54"/>
      <c r="AV21" s="69">
        <f t="shared" si="29"/>
        <v>534450</v>
      </c>
      <c r="AW21" s="67">
        <f t="shared" si="22"/>
        <v>3929.7794117647059</v>
      </c>
      <c r="AX21" s="82">
        <f t="shared" si="23"/>
        <v>31</v>
      </c>
      <c r="AY21" s="59">
        <f t="shared" si="24"/>
        <v>497740</v>
      </c>
      <c r="AZ21" s="59">
        <f t="shared" si="25"/>
        <v>247540</v>
      </c>
      <c r="BA21" s="71">
        <f>W21+AE21+AM21+AV21-BM21</f>
        <v>737360</v>
      </c>
      <c r="BB21" s="72">
        <f t="shared" si="31"/>
        <v>1100</v>
      </c>
      <c r="BC21" s="73">
        <v>31</v>
      </c>
      <c r="BD21" s="74">
        <v>172040</v>
      </c>
      <c r="BE21" s="74">
        <v>31340</v>
      </c>
      <c r="BF21" s="75">
        <v>1100</v>
      </c>
      <c r="BG21" s="75"/>
      <c r="BH21" s="75">
        <v>4000</v>
      </c>
      <c r="BI21" s="75">
        <v>39600</v>
      </c>
      <c r="BJ21" s="76">
        <f t="shared" si="30"/>
        <v>204480</v>
      </c>
      <c r="BK21" s="47">
        <v>17</v>
      </c>
      <c r="BL21" s="77">
        <f t="shared" si="26"/>
        <v>244080</v>
      </c>
      <c r="BM21" s="47">
        <v>7920</v>
      </c>
    </row>
    <row r="22" spans="2:66" ht="20" customHeight="1">
      <c r="B22" s="78">
        <f t="shared" si="27"/>
        <v>45461</v>
      </c>
      <c r="C22" s="79"/>
      <c r="D22" s="50"/>
      <c r="E22" s="51">
        <v>24</v>
      </c>
      <c r="F22" s="52">
        <v>98560</v>
      </c>
      <c r="G22" s="53">
        <f t="shared" si="0"/>
        <v>3733.3333333333335</v>
      </c>
      <c r="H22" s="52">
        <v>10940</v>
      </c>
      <c r="I22" s="53">
        <f t="shared" si="1"/>
        <v>414.375</v>
      </c>
      <c r="J22" s="55">
        <f t="shared" si="2"/>
        <v>109500</v>
      </c>
      <c r="K22" s="56">
        <f t="shared" si="3"/>
        <v>4562.5</v>
      </c>
      <c r="L22" s="57"/>
      <c r="M22" s="58">
        <f t="shared" si="4"/>
        <v>13</v>
      </c>
      <c r="N22" s="59">
        <f t="shared" si="4"/>
        <v>107030</v>
      </c>
      <c r="O22" s="53">
        <f t="shared" si="5"/>
        <v>7484.6153846153848</v>
      </c>
      <c r="P22" s="59">
        <f t="shared" si="6"/>
        <v>33220</v>
      </c>
      <c r="Q22" s="84">
        <f t="shared" si="7"/>
        <v>2323.0769230769229</v>
      </c>
      <c r="R22" s="60">
        <f t="shared" si="8"/>
        <v>140250</v>
      </c>
      <c r="S22" s="56">
        <f t="shared" si="9"/>
        <v>10788.461538461539</v>
      </c>
      <c r="T22" s="80">
        <f t="shared" si="10"/>
        <v>37</v>
      </c>
      <c r="U22" s="59">
        <f t="shared" si="10"/>
        <v>205590</v>
      </c>
      <c r="V22" s="59">
        <f t="shared" si="11"/>
        <v>44160</v>
      </c>
      <c r="W22" s="62">
        <f t="shared" si="12"/>
        <v>249750</v>
      </c>
      <c r="X22" s="81"/>
      <c r="Y22" s="63"/>
      <c r="Z22" s="64">
        <v>12</v>
      </c>
      <c r="AA22" s="52">
        <v>5820</v>
      </c>
      <c r="AB22" s="53">
        <f t="shared" si="13"/>
        <v>485</v>
      </c>
      <c r="AC22" s="52">
        <v>1600</v>
      </c>
      <c r="AD22" s="54">
        <f t="shared" si="14"/>
        <v>133.33333333333334</v>
      </c>
      <c r="AE22" s="65">
        <f t="shared" si="15"/>
        <v>7420</v>
      </c>
      <c r="AF22" s="56">
        <f t="shared" si="16"/>
        <v>618.33333333333337</v>
      </c>
      <c r="AG22" s="66"/>
      <c r="AH22" s="64">
        <v>13</v>
      </c>
      <c r="AI22" s="52">
        <v>49851</v>
      </c>
      <c r="AJ22" s="53">
        <f t="shared" si="17"/>
        <v>3834.6923076923076</v>
      </c>
      <c r="AK22" s="52">
        <v>18531</v>
      </c>
      <c r="AL22" s="54">
        <f t="shared" si="18"/>
        <v>1425.4615384615386</v>
      </c>
      <c r="AM22" s="65">
        <f t="shared" si="28"/>
        <v>68382</v>
      </c>
      <c r="AN22" s="67">
        <f t="shared" si="19"/>
        <v>5260.1538461538457</v>
      </c>
      <c r="AO22" s="68"/>
      <c r="AP22" s="64">
        <v>81</v>
      </c>
      <c r="AQ22" s="52">
        <v>216100</v>
      </c>
      <c r="AR22" s="53">
        <f t="shared" si="20"/>
        <v>2667.9012345679012</v>
      </c>
      <c r="AS22" s="52">
        <v>112300</v>
      </c>
      <c r="AT22" s="54">
        <f t="shared" si="21"/>
        <v>1386.4197530864199</v>
      </c>
      <c r="AU22" s="54">
        <v>6600</v>
      </c>
      <c r="AV22" s="69">
        <f>AQ22+AS22+AU22-BN22</f>
        <v>334280</v>
      </c>
      <c r="AW22" s="67">
        <f t="shared" si="22"/>
        <v>4126.9135802469136</v>
      </c>
      <c r="AX22" s="82">
        <f t="shared" si="23"/>
        <v>37</v>
      </c>
      <c r="AY22" s="59">
        <f t="shared" si="24"/>
        <v>477361</v>
      </c>
      <c r="AZ22" s="59">
        <f t="shared" si="25"/>
        <v>176591</v>
      </c>
      <c r="BA22" s="71">
        <f t="shared" si="32"/>
        <v>659832</v>
      </c>
      <c r="BB22" s="72">
        <f t="shared" si="31"/>
        <v>3850</v>
      </c>
      <c r="BC22" s="73">
        <v>37</v>
      </c>
      <c r="BD22" s="74">
        <v>205590</v>
      </c>
      <c r="BE22" s="74">
        <v>44160</v>
      </c>
      <c r="BF22" s="75">
        <v>3850</v>
      </c>
      <c r="BG22" s="75"/>
      <c r="BH22" s="75"/>
      <c r="BI22" s="75"/>
      <c r="BJ22" s="76">
        <f t="shared" si="30"/>
        <v>253600</v>
      </c>
      <c r="BK22" s="47">
        <v>18</v>
      </c>
      <c r="BL22" s="77">
        <f t="shared" si="26"/>
        <v>253600</v>
      </c>
      <c r="BN22" s="47">
        <v>720</v>
      </c>
    </row>
    <row r="23" spans="2:66" ht="20" customHeight="1">
      <c r="B23" s="78">
        <f t="shared" si="27"/>
        <v>45462</v>
      </c>
      <c r="C23" s="79"/>
      <c r="D23" s="50"/>
      <c r="E23" s="51">
        <v>26</v>
      </c>
      <c r="F23" s="52">
        <v>101860</v>
      </c>
      <c r="G23" s="53">
        <f t="shared" si="0"/>
        <v>3561.5384615384614</v>
      </c>
      <c r="H23" s="52">
        <v>7860</v>
      </c>
      <c r="I23" s="53">
        <f t="shared" si="1"/>
        <v>274.80769230769232</v>
      </c>
      <c r="J23" s="55">
        <f t="shared" si="2"/>
        <v>109720</v>
      </c>
      <c r="K23" s="56">
        <f t="shared" si="3"/>
        <v>4220</v>
      </c>
      <c r="L23" s="57"/>
      <c r="M23" s="58">
        <f t="shared" si="4"/>
        <v>31</v>
      </c>
      <c r="N23" s="59">
        <f t="shared" si="4"/>
        <v>155000</v>
      </c>
      <c r="O23" s="53">
        <f t="shared" si="5"/>
        <v>4545.4516129032254</v>
      </c>
      <c r="P23" s="59">
        <f t="shared" si="6"/>
        <v>62000</v>
      </c>
      <c r="Q23" s="84">
        <f t="shared" si="7"/>
        <v>1818.1612903225807</v>
      </c>
      <c r="R23" s="60">
        <f t="shared" si="8"/>
        <v>217000</v>
      </c>
      <c r="S23" s="56">
        <f t="shared" si="9"/>
        <v>7000</v>
      </c>
      <c r="T23" s="80">
        <f t="shared" si="10"/>
        <v>57</v>
      </c>
      <c r="U23" s="59">
        <f t="shared" si="10"/>
        <v>256860</v>
      </c>
      <c r="V23" s="59">
        <f t="shared" si="11"/>
        <v>69860</v>
      </c>
      <c r="W23" s="62">
        <f t="shared" si="12"/>
        <v>326720</v>
      </c>
      <c r="X23" s="81"/>
      <c r="Y23" s="63"/>
      <c r="Z23" s="64">
        <v>11</v>
      </c>
      <c r="AA23" s="52">
        <v>4250</v>
      </c>
      <c r="AB23" s="53">
        <f t="shared" si="13"/>
        <v>386.36363636363637</v>
      </c>
      <c r="AC23" s="52">
        <v>3700</v>
      </c>
      <c r="AD23" s="54">
        <f t="shared" si="14"/>
        <v>336.36363636363637</v>
      </c>
      <c r="AE23" s="65">
        <f t="shared" si="15"/>
        <v>7950</v>
      </c>
      <c r="AF23" s="56">
        <f t="shared" si="16"/>
        <v>722.72727272727275</v>
      </c>
      <c r="AG23" s="66"/>
      <c r="AH23" s="64">
        <v>27</v>
      </c>
      <c r="AI23" s="52">
        <v>82215</v>
      </c>
      <c r="AJ23" s="53">
        <f t="shared" si="17"/>
        <v>3045</v>
      </c>
      <c r="AK23" s="52">
        <v>35235</v>
      </c>
      <c r="AL23" s="54">
        <f t="shared" si="18"/>
        <v>1305</v>
      </c>
      <c r="AM23" s="65">
        <f t="shared" si="28"/>
        <v>117450</v>
      </c>
      <c r="AN23" s="67">
        <f t="shared" si="19"/>
        <v>4350</v>
      </c>
      <c r="AO23" s="68"/>
      <c r="AP23" s="64">
        <v>175</v>
      </c>
      <c r="AQ23" s="52">
        <v>453600</v>
      </c>
      <c r="AR23" s="53">
        <f t="shared" si="20"/>
        <v>2592</v>
      </c>
      <c r="AS23" s="52">
        <v>248150</v>
      </c>
      <c r="AT23" s="54">
        <f t="shared" si="21"/>
        <v>1418</v>
      </c>
      <c r="AU23" s="54">
        <v>1100</v>
      </c>
      <c r="AV23" s="69">
        <f t="shared" si="29"/>
        <v>702850</v>
      </c>
      <c r="AW23" s="67">
        <f>IF(AP23="","",AV23/AP23)</f>
        <v>4016.2857142857142</v>
      </c>
      <c r="AX23" s="82">
        <f t="shared" si="23"/>
        <v>57</v>
      </c>
      <c r="AY23" s="59">
        <f t="shared" si="24"/>
        <v>796925</v>
      </c>
      <c r="AZ23" s="59">
        <f t="shared" si="25"/>
        <v>356945</v>
      </c>
      <c r="BA23" s="71">
        <f t="shared" si="32"/>
        <v>1154970</v>
      </c>
      <c r="BB23" s="72">
        <f t="shared" si="31"/>
        <v>3300</v>
      </c>
      <c r="BC23" s="73">
        <v>57</v>
      </c>
      <c r="BD23" s="74">
        <v>256860</v>
      </c>
      <c r="BE23" s="74">
        <v>69860</v>
      </c>
      <c r="BF23" s="75">
        <v>3300</v>
      </c>
      <c r="BG23" s="75"/>
      <c r="BH23" s="75"/>
      <c r="BI23" s="75"/>
      <c r="BJ23" s="76">
        <f>SUM(BD23:BG23)</f>
        <v>330020</v>
      </c>
      <c r="BK23" s="47">
        <v>19</v>
      </c>
      <c r="BL23" s="77">
        <f t="shared" si="26"/>
        <v>330020</v>
      </c>
    </row>
    <row r="24" spans="2:66" ht="20" customHeight="1">
      <c r="B24" s="78">
        <f t="shared" si="27"/>
        <v>45463</v>
      </c>
      <c r="C24" s="79"/>
      <c r="D24" s="50"/>
      <c r="E24" s="51">
        <v>28</v>
      </c>
      <c r="F24" s="52">
        <v>96580</v>
      </c>
      <c r="G24" s="53">
        <f t="shared" si="0"/>
        <v>3135.7142857142858</v>
      </c>
      <c r="H24" s="52">
        <v>14250</v>
      </c>
      <c r="I24" s="53">
        <f t="shared" si="1"/>
        <v>462.64285714285717</v>
      </c>
      <c r="J24" s="55">
        <f t="shared" si="2"/>
        <v>110830</v>
      </c>
      <c r="K24" s="56">
        <f t="shared" si="3"/>
        <v>3958.2142857142858</v>
      </c>
      <c r="L24" s="57"/>
      <c r="M24" s="58">
        <f t="shared" si="4"/>
        <v>30</v>
      </c>
      <c r="N24" s="59">
        <f t="shared" si="4"/>
        <v>254800</v>
      </c>
      <c r="O24" s="53">
        <f t="shared" si="5"/>
        <v>7721.2</v>
      </c>
      <c r="P24" s="59">
        <f t="shared" si="6"/>
        <v>69950</v>
      </c>
      <c r="Q24" s="84">
        <f t="shared" si="7"/>
        <v>2119.6666666666665</v>
      </c>
      <c r="R24" s="60">
        <f t="shared" si="8"/>
        <v>324750</v>
      </c>
      <c r="S24" s="56">
        <f t="shared" si="9"/>
        <v>10825</v>
      </c>
      <c r="T24" s="80">
        <f t="shared" si="10"/>
        <v>58</v>
      </c>
      <c r="U24" s="59">
        <f t="shared" si="10"/>
        <v>351380</v>
      </c>
      <c r="V24" s="59">
        <f t="shared" si="11"/>
        <v>84200</v>
      </c>
      <c r="W24" s="62">
        <f t="shared" si="12"/>
        <v>435580</v>
      </c>
      <c r="X24" s="81"/>
      <c r="Y24" s="63"/>
      <c r="Z24" s="64">
        <v>26</v>
      </c>
      <c r="AA24" s="52">
        <v>11700</v>
      </c>
      <c r="AB24" s="53">
        <f t="shared" si="13"/>
        <v>450</v>
      </c>
      <c r="AC24" s="52">
        <v>6860</v>
      </c>
      <c r="AD24" s="54">
        <f t="shared" si="14"/>
        <v>263.84615384615387</v>
      </c>
      <c r="AE24" s="65">
        <f t="shared" si="15"/>
        <v>18560</v>
      </c>
      <c r="AF24" s="56">
        <f t="shared" si="16"/>
        <v>713.84615384615381</v>
      </c>
      <c r="AG24" s="66"/>
      <c r="AH24" s="64">
        <v>35</v>
      </c>
      <c r="AI24" s="52">
        <v>137025</v>
      </c>
      <c r="AJ24" s="53">
        <f t="shared" si="17"/>
        <v>3915</v>
      </c>
      <c r="AK24" s="52">
        <v>45675</v>
      </c>
      <c r="AL24" s="54">
        <f t="shared" si="18"/>
        <v>1305</v>
      </c>
      <c r="AM24" s="65">
        <f t="shared" si="28"/>
        <v>182700</v>
      </c>
      <c r="AN24" s="67">
        <f t="shared" si="19"/>
        <v>5220</v>
      </c>
      <c r="AO24" s="68"/>
      <c r="AP24" s="64">
        <v>153</v>
      </c>
      <c r="AQ24" s="52">
        <v>383750</v>
      </c>
      <c r="AR24" s="53">
        <f t="shared" si="20"/>
        <v>2508.169934640523</v>
      </c>
      <c r="AS24" s="52">
        <v>224150</v>
      </c>
      <c r="AT24" s="54">
        <f t="shared" si="21"/>
        <v>1465.0326797385621</v>
      </c>
      <c r="AU24" s="54">
        <v>2750</v>
      </c>
      <c r="AV24" s="69">
        <f t="shared" si="29"/>
        <v>610650</v>
      </c>
      <c r="AW24" s="67">
        <f t="shared" si="22"/>
        <v>3991.1764705882351</v>
      </c>
      <c r="AX24" s="82">
        <f t="shared" si="23"/>
        <v>58</v>
      </c>
      <c r="AY24" s="59">
        <f t="shared" si="24"/>
        <v>883855</v>
      </c>
      <c r="AZ24" s="59">
        <f t="shared" si="25"/>
        <v>360885</v>
      </c>
      <c r="BA24" s="71">
        <f t="shared" si="32"/>
        <v>1247490</v>
      </c>
      <c r="BB24" s="72">
        <f t="shared" si="31"/>
        <v>1100</v>
      </c>
      <c r="BC24" s="73">
        <v>58</v>
      </c>
      <c r="BD24" s="74">
        <v>351380</v>
      </c>
      <c r="BE24" s="74">
        <v>84200</v>
      </c>
      <c r="BF24" s="75">
        <v>1100</v>
      </c>
      <c r="BG24" s="75"/>
      <c r="BH24" s="75"/>
      <c r="BI24" s="75"/>
      <c r="BJ24" s="76">
        <f t="shared" si="30"/>
        <v>436680</v>
      </c>
      <c r="BK24" s="47">
        <v>20</v>
      </c>
      <c r="BL24" s="77">
        <f t="shared" si="26"/>
        <v>436680</v>
      </c>
    </row>
    <row r="25" spans="2:66" ht="20" customHeight="1">
      <c r="B25" s="78">
        <f t="shared" si="27"/>
        <v>45464</v>
      </c>
      <c r="C25" s="79"/>
      <c r="D25" s="50"/>
      <c r="E25" s="51">
        <v>38</v>
      </c>
      <c r="F25" s="52">
        <v>135300</v>
      </c>
      <c r="G25" s="53">
        <f t="shared" si="0"/>
        <v>3236.8421052631579</v>
      </c>
      <c r="H25" s="52">
        <v>11460</v>
      </c>
      <c r="I25" s="53">
        <f t="shared" si="1"/>
        <v>274.15789473684208</v>
      </c>
      <c r="J25" s="55">
        <f t="shared" si="2"/>
        <v>146760</v>
      </c>
      <c r="K25" s="56">
        <f t="shared" si="3"/>
        <v>3862.1052631578946</v>
      </c>
      <c r="L25" s="57"/>
      <c r="M25" s="58">
        <f t="shared" si="4"/>
        <v>13</v>
      </c>
      <c r="N25" s="59">
        <f t="shared" si="4"/>
        <v>149270</v>
      </c>
      <c r="O25" s="53">
        <f t="shared" si="5"/>
        <v>10438.461538461539</v>
      </c>
      <c r="P25" s="59">
        <f t="shared" si="6"/>
        <v>35960</v>
      </c>
      <c r="Q25" s="84">
        <f t="shared" si="7"/>
        <v>2514.6153846153848</v>
      </c>
      <c r="R25" s="60">
        <f t="shared" si="8"/>
        <v>185230</v>
      </c>
      <c r="S25" s="56">
        <f t="shared" si="9"/>
        <v>14248.461538461539</v>
      </c>
      <c r="T25" s="80">
        <f t="shared" si="10"/>
        <v>51</v>
      </c>
      <c r="U25" s="59">
        <f t="shared" si="10"/>
        <v>284570</v>
      </c>
      <c r="V25" s="59">
        <f t="shared" si="11"/>
        <v>47420</v>
      </c>
      <c r="W25" s="62">
        <f t="shared" si="12"/>
        <v>331990</v>
      </c>
      <c r="X25" s="81"/>
      <c r="Y25" s="63"/>
      <c r="Z25" s="64">
        <v>23</v>
      </c>
      <c r="AA25" s="52">
        <v>10830</v>
      </c>
      <c r="AB25" s="53">
        <f t="shared" si="13"/>
        <v>470.86956521739131</v>
      </c>
      <c r="AC25" s="52">
        <v>5870</v>
      </c>
      <c r="AD25" s="54">
        <f t="shared" si="14"/>
        <v>255.21739130434781</v>
      </c>
      <c r="AE25" s="65">
        <f t="shared" si="15"/>
        <v>16700</v>
      </c>
      <c r="AF25" s="56">
        <f t="shared" si="16"/>
        <v>726.08695652173913</v>
      </c>
      <c r="AG25" s="66"/>
      <c r="AH25" s="64"/>
      <c r="AI25" s="52"/>
      <c r="AJ25" s="53" t="e">
        <f t="shared" si="17"/>
        <v>#DIV/0!</v>
      </c>
      <c r="AK25" s="52"/>
      <c r="AL25" s="54" t="e">
        <f t="shared" si="18"/>
        <v>#DIV/0!</v>
      </c>
      <c r="AM25" s="65">
        <f t="shared" si="28"/>
        <v>0</v>
      </c>
      <c r="AN25" s="67" t="str">
        <f t="shared" si="19"/>
        <v/>
      </c>
      <c r="AO25" s="68"/>
      <c r="AP25" s="64">
        <v>184</v>
      </c>
      <c r="AQ25" s="52">
        <v>414350</v>
      </c>
      <c r="AR25" s="53">
        <f t="shared" si="20"/>
        <v>2251.9021739130435</v>
      </c>
      <c r="AS25" s="52">
        <v>253850</v>
      </c>
      <c r="AT25" s="54">
        <f t="shared" si="21"/>
        <v>1379.6195652173913</v>
      </c>
      <c r="AU25" s="54">
        <v>3300</v>
      </c>
      <c r="AV25" s="69">
        <f>AQ25+AS25+AU25-BN25</f>
        <v>668200</v>
      </c>
      <c r="AW25" s="67">
        <f t="shared" si="22"/>
        <v>3631.521739130435</v>
      </c>
      <c r="AX25" s="82">
        <f t="shared" si="23"/>
        <v>51</v>
      </c>
      <c r="AY25" s="59">
        <f t="shared" si="24"/>
        <v>709750</v>
      </c>
      <c r="AZ25" s="59">
        <f t="shared" si="25"/>
        <v>307140</v>
      </c>
      <c r="BA25" s="71">
        <f t="shared" si="32"/>
        <v>1016890</v>
      </c>
      <c r="BB25" s="72">
        <f t="shared" si="31"/>
        <v>2200</v>
      </c>
      <c r="BC25" s="73">
        <v>51</v>
      </c>
      <c r="BD25" s="74">
        <v>284570</v>
      </c>
      <c r="BE25" s="74">
        <v>47420</v>
      </c>
      <c r="BF25" s="75">
        <v>2200</v>
      </c>
      <c r="BG25" s="75"/>
      <c r="BH25" s="75"/>
      <c r="BI25" s="75">
        <v>9900</v>
      </c>
      <c r="BJ25" s="76">
        <f t="shared" si="30"/>
        <v>334190</v>
      </c>
      <c r="BK25" s="47">
        <v>21</v>
      </c>
      <c r="BL25" s="77">
        <f t="shared" si="26"/>
        <v>344090</v>
      </c>
      <c r="BN25" s="47">
        <v>3300</v>
      </c>
    </row>
    <row r="26" spans="2:66" ht="20" customHeight="1">
      <c r="B26" s="78">
        <f t="shared" si="27"/>
        <v>45465</v>
      </c>
      <c r="C26" s="79"/>
      <c r="D26" s="50"/>
      <c r="E26" s="51">
        <v>37</v>
      </c>
      <c r="F26" s="52">
        <v>173980</v>
      </c>
      <c r="G26" s="53">
        <f t="shared" si="0"/>
        <v>4274.6756756756758</v>
      </c>
      <c r="H26" s="52">
        <v>41720</v>
      </c>
      <c r="I26" s="53">
        <f t="shared" si="1"/>
        <v>1025.0540540540539</v>
      </c>
      <c r="J26" s="55">
        <f t="shared" si="2"/>
        <v>215700</v>
      </c>
      <c r="K26" s="56">
        <f t="shared" si="3"/>
        <v>5829.72972972973</v>
      </c>
      <c r="L26" s="57"/>
      <c r="M26" s="58">
        <f t="shared" si="4"/>
        <v>19</v>
      </c>
      <c r="N26" s="59">
        <f t="shared" si="4"/>
        <v>193470</v>
      </c>
      <c r="O26" s="53">
        <f t="shared" si="5"/>
        <v>9256.894736842105</v>
      </c>
      <c r="P26" s="59">
        <f t="shared" si="6"/>
        <v>33870</v>
      </c>
      <c r="Q26" s="84">
        <f t="shared" si="7"/>
        <v>1620.5263157894738</v>
      </c>
      <c r="R26" s="60">
        <f t="shared" si="8"/>
        <v>227340</v>
      </c>
      <c r="S26" s="56">
        <f t="shared" si="9"/>
        <v>11965.263157894737</v>
      </c>
      <c r="T26" s="80">
        <f t="shared" si="10"/>
        <v>56</v>
      </c>
      <c r="U26" s="59">
        <f t="shared" si="10"/>
        <v>367450</v>
      </c>
      <c r="V26" s="59">
        <f t="shared" si="11"/>
        <v>75590</v>
      </c>
      <c r="W26" s="62">
        <f t="shared" si="12"/>
        <v>443040</v>
      </c>
      <c r="X26" s="81"/>
      <c r="Y26" s="63"/>
      <c r="Z26" s="64">
        <v>22</v>
      </c>
      <c r="AA26" s="52">
        <v>9900</v>
      </c>
      <c r="AB26" s="53">
        <f t="shared" si="13"/>
        <v>450</v>
      </c>
      <c r="AC26" s="52">
        <v>4370</v>
      </c>
      <c r="AD26" s="54">
        <f t="shared" si="14"/>
        <v>198.63636363636363</v>
      </c>
      <c r="AE26" s="65">
        <f t="shared" si="15"/>
        <v>14270</v>
      </c>
      <c r="AF26" s="56">
        <f t="shared" si="16"/>
        <v>648.63636363636363</v>
      </c>
      <c r="AG26" s="66"/>
      <c r="AH26" s="64"/>
      <c r="AI26" s="52"/>
      <c r="AJ26" s="53" t="e">
        <f t="shared" si="17"/>
        <v>#DIV/0!</v>
      </c>
      <c r="AK26" s="52"/>
      <c r="AL26" s="54" t="e">
        <f t="shared" si="18"/>
        <v>#DIV/0!</v>
      </c>
      <c r="AM26" s="65">
        <f t="shared" si="28"/>
        <v>0</v>
      </c>
      <c r="AN26" s="67" t="str">
        <f t="shared" si="19"/>
        <v/>
      </c>
      <c r="AO26" s="68"/>
      <c r="AP26" s="64">
        <v>316</v>
      </c>
      <c r="AQ26" s="52">
        <v>845550</v>
      </c>
      <c r="AR26" s="53">
        <f t="shared" si="20"/>
        <v>2675.7911392405063</v>
      </c>
      <c r="AS26" s="52">
        <v>454050</v>
      </c>
      <c r="AT26" s="54">
        <f t="shared" si="21"/>
        <v>1436.867088607595</v>
      </c>
      <c r="AU26" s="54">
        <v>9350</v>
      </c>
      <c r="AV26" s="69">
        <f>AQ26+AS26+AU26-BN26</f>
        <v>1307950</v>
      </c>
      <c r="AW26" s="67">
        <f t="shared" si="22"/>
        <v>4139.0822784810125</v>
      </c>
      <c r="AX26" s="82">
        <f t="shared" si="23"/>
        <v>56</v>
      </c>
      <c r="AY26" s="59">
        <f t="shared" si="24"/>
        <v>1222900</v>
      </c>
      <c r="AZ26" s="59">
        <f t="shared" si="25"/>
        <v>534010</v>
      </c>
      <c r="BA26" s="71">
        <f>W26+AE26+AM26+AV26</f>
        <v>1765260</v>
      </c>
      <c r="BB26" s="72">
        <f>BF26+BG26</f>
        <v>4400</v>
      </c>
      <c r="BC26" s="73">
        <v>56</v>
      </c>
      <c r="BD26" s="74">
        <v>367450</v>
      </c>
      <c r="BE26" s="74">
        <v>75590</v>
      </c>
      <c r="BF26" s="75">
        <v>3300</v>
      </c>
      <c r="BG26" s="75">
        <v>1100</v>
      </c>
      <c r="BH26" s="75"/>
      <c r="BI26" s="75">
        <v>10000</v>
      </c>
      <c r="BJ26" s="76">
        <f t="shared" si="30"/>
        <v>447440</v>
      </c>
      <c r="BK26" s="47">
        <v>22</v>
      </c>
      <c r="BL26" s="77">
        <f t="shared" si="26"/>
        <v>457440</v>
      </c>
      <c r="BN26" s="47">
        <v>1000</v>
      </c>
    </row>
    <row r="27" spans="2:66" ht="20" customHeight="1">
      <c r="B27" s="78">
        <f t="shared" si="27"/>
        <v>45466</v>
      </c>
      <c r="C27" s="79"/>
      <c r="D27" s="50"/>
      <c r="E27" s="51">
        <v>45</v>
      </c>
      <c r="F27" s="52">
        <v>264880</v>
      </c>
      <c r="G27" s="53">
        <f t="shared" si="0"/>
        <v>5351.1111111111113</v>
      </c>
      <c r="H27" s="52">
        <v>32730</v>
      </c>
      <c r="I27" s="53">
        <f t="shared" si="1"/>
        <v>661.2</v>
      </c>
      <c r="J27" s="55">
        <f t="shared" si="2"/>
        <v>297610</v>
      </c>
      <c r="K27" s="56">
        <f t="shared" si="3"/>
        <v>6613.5555555555557</v>
      </c>
      <c r="L27" s="57"/>
      <c r="M27" s="58">
        <f t="shared" si="4"/>
        <v>18</v>
      </c>
      <c r="N27" s="59">
        <f t="shared" si="4"/>
        <v>182820</v>
      </c>
      <c r="O27" s="53">
        <f t="shared" si="5"/>
        <v>9233.3333333333339</v>
      </c>
      <c r="P27" s="59">
        <f t="shared" si="6"/>
        <v>40410</v>
      </c>
      <c r="Q27" s="54">
        <f t="shared" si="7"/>
        <v>2040.8888888888889</v>
      </c>
      <c r="R27" s="60">
        <f t="shared" si="8"/>
        <v>223230</v>
      </c>
      <c r="S27" s="56">
        <f t="shared" si="9"/>
        <v>12401.666666666666</v>
      </c>
      <c r="T27" s="80">
        <f t="shared" si="10"/>
        <v>63</v>
      </c>
      <c r="U27" s="59">
        <f t="shared" si="10"/>
        <v>447700</v>
      </c>
      <c r="V27" s="59">
        <f t="shared" si="11"/>
        <v>73140</v>
      </c>
      <c r="W27" s="62">
        <f t="shared" si="12"/>
        <v>520840</v>
      </c>
      <c r="X27" s="81"/>
      <c r="Y27" s="63"/>
      <c r="Z27" s="64">
        <v>27</v>
      </c>
      <c r="AA27" s="52">
        <v>11830</v>
      </c>
      <c r="AB27" s="53">
        <f t="shared" si="13"/>
        <v>438.14814814814815</v>
      </c>
      <c r="AC27" s="52">
        <v>2700</v>
      </c>
      <c r="AD27" s="54">
        <f t="shared" si="14"/>
        <v>100</v>
      </c>
      <c r="AE27" s="65">
        <f t="shared" si="15"/>
        <v>14530</v>
      </c>
      <c r="AF27" s="56">
        <f t="shared" si="16"/>
        <v>538.14814814814815</v>
      </c>
      <c r="AG27" s="66"/>
      <c r="AH27" s="64"/>
      <c r="AI27" s="52"/>
      <c r="AJ27" s="53" t="e">
        <f t="shared" si="17"/>
        <v>#DIV/0!</v>
      </c>
      <c r="AK27" s="52"/>
      <c r="AL27" s="54" t="e">
        <f t="shared" si="18"/>
        <v>#DIV/0!</v>
      </c>
      <c r="AM27" s="65">
        <f t="shared" si="28"/>
        <v>0</v>
      </c>
      <c r="AN27" s="67" t="str">
        <f t="shared" si="19"/>
        <v/>
      </c>
      <c r="AO27" s="68"/>
      <c r="AP27" s="64">
        <v>208</v>
      </c>
      <c r="AQ27" s="52">
        <v>561900</v>
      </c>
      <c r="AR27" s="53">
        <f t="shared" si="20"/>
        <v>2701.4423076923076</v>
      </c>
      <c r="AS27" s="52">
        <v>314100</v>
      </c>
      <c r="AT27" s="54">
        <f t="shared" si="21"/>
        <v>1510.0961538461538</v>
      </c>
      <c r="AU27" s="54"/>
      <c r="AV27" s="69">
        <f>AQ27+AS27+AU27-BN27</f>
        <v>870500</v>
      </c>
      <c r="AW27" s="67">
        <f t="shared" si="22"/>
        <v>4185.0961538461543</v>
      </c>
      <c r="AX27" s="82">
        <f t="shared" si="23"/>
        <v>63</v>
      </c>
      <c r="AY27" s="59">
        <f t="shared" si="24"/>
        <v>1021430</v>
      </c>
      <c r="AZ27" s="59">
        <f t="shared" si="25"/>
        <v>389940</v>
      </c>
      <c r="BA27" s="71">
        <f>W27+AE27+AM27+AV27-BM27</f>
        <v>1405870</v>
      </c>
      <c r="BB27" s="72">
        <f t="shared" si="31"/>
        <v>4400</v>
      </c>
      <c r="BC27" s="73">
        <v>63</v>
      </c>
      <c r="BD27" s="74">
        <v>447700</v>
      </c>
      <c r="BE27" s="74">
        <v>73140</v>
      </c>
      <c r="BF27" s="75">
        <v>3300</v>
      </c>
      <c r="BG27" s="75">
        <v>1100</v>
      </c>
      <c r="BH27" s="75"/>
      <c r="BI27" s="75">
        <v>3300</v>
      </c>
      <c r="BJ27" s="76">
        <f t="shared" si="30"/>
        <v>525240</v>
      </c>
      <c r="BK27" s="47">
        <v>23</v>
      </c>
      <c r="BL27" s="77">
        <f t="shared" si="26"/>
        <v>528540</v>
      </c>
      <c r="BN27" s="47">
        <v>5500</v>
      </c>
    </row>
    <row r="28" spans="2:66" ht="20" customHeight="1">
      <c r="B28" s="78">
        <f>B27+1</f>
        <v>45467</v>
      </c>
      <c r="C28" s="79"/>
      <c r="D28" s="50"/>
      <c r="E28" s="51">
        <v>28</v>
      </c>
      <c r="F28" s="52">
        <v>126500</v>
      </c>
      <c r="G28" s="53">
        <f t="shared" si="0"/>
        <v>4107.1428571428569</v>
      </c>
      <c r="H28" s="52">
        <v>23820</v>
      </c>
      <c r="I28" s="53">
        <f t="shared" si="1"/>
        <v>773.35714285714289</v>
      </c>
      <c r="J28" s="55">
        <f t="shared" si="2"/>
        <v>150320</v>
      </c>
      <c r="K28" s="56">
        <f t="shared" si="3"/>
        <v>5368.5714285714284</v>
      </c>
      <c r="L28" s="57"/>
      <c r="M28" s="58">
        <f t="shared" si="4"/>
        <v>20</v>
      </c>
      <c r="N28" s="59">
        <f t="shared" si="4"/>
        <v>188760</v>
      </c>
      <c r="O28" s="53">
        <f t="shared" si="5"/>
        <v>8580</v>
      </c>
      <c r="P28" s="59">
        <f t="shared" si="6"/>
        <v>28690</v>
      </c>
      <c r="Q28" s="54">
        <f>ROUNDDOWN(P28/1.1,0)/M28</f>
        <v>1304.05</v>
      </c>
      <c r="R28" s="60">
        <f t="shared" si="8"/>
        <v>217450</v>
      </c>
      <c r="S28" s="56">
        <f t="shared" si="9"/>
        <v>10872.5</v>
      </c>
      <c r="T28" s="80">
        <f t="shared" si="10"/>
        <v>48</v>
      </c>
      <c r="U28" s="59">
        <f t="shared" si="10"/>
        <v>315260</v>
      </c>
      <c r="V28" s="59">
        <f t="shared" si="11"/>
        <v>52510</v>
      </c>
      <c r="W28" s="62">
        <f t="shared" si="12"/>
        <v>367770</v>
      </c>
      <c r="X28" s="81"/>
      <c r="Y28" s="63"/>
      <c r="Z28" s="64">
        <v>18</v>
      </c>
      <c r="AA28" s="52">
        <v>7760</v>
      </c>
      <c r="AB28" s="53">
        <f t="shared" si="13"/>
        <v>431.11111111111109</v>
      </c>
      <c r="AC28" s="52">
        <v>2610</v>
      </c>
      <c r="AD28" s="54">
        <f t="shared" si="14"/>
        <v>145</v>
      </c>
      <c r="AE28" s="65">
        <f t="shared" si="15"/>
        <v>10370</v>
      </c>
      <c r="AF28" s="56">
        <f t="shared" si="16"/>
        <v>576.11111111111109</v>
      </c>
      <c r="AG28" s="66"/>
      <c r="AH28" s="64">
        <v>22</v>
      </c>
      <c r="AI28" s="52">
        <v>86130</v>
      </c>
      <c r="AJ28" s="53">
        <f t="shared" si="17"/>
        <v>3915</v>
      </c>
      <c r="AK28" s="52">
        <v>28710</v>
      </c>
      <c r="AL28" s="54">
        <f t="shared" si="18"/>
        <v>1305</v>
      </c>
      <c r="AM28" s="65">
        <f t="shared" si="28"/>
        <v>114840</v>
      </c>
      <c r="AN28" s="67">
        <f t="shared" si="19"/>
        <v>5220</v>
      </c>
      <c r="AO28" s="68"/>
      <c r="AP28" s="64">
        <v>85</v>
      </c>
      <c r="AQ28" s="52">
        <v>147100</v>
      </c>
      <c r="AR28" s="53">
        <f t="shared" si="20"/>
        <v>1730.5882352941176</v>
      </c>
      <c r="AS28" s="52">
        <v>94800</v>
      </c>
      <c r="AT28" s="54">
        <f t="shared" si="21"/>
        <v>1115.2941176470588</v>
      </c>
      <c r="AU28" s="54">
        <v>3850</v>
      </c>
      <c r="AV28" s="69">
        <f t="shared" si="29"/>
        <v>245750</v>
      </c>
      <c r="AW28" s="67">
        <f t="shared" si="22"/>
        <v>2891.1764705882351</v>
      </c>
      <c r="AX28" s="82">
        <f t="shared" si="23"/>
        <v>48</v>
      </c>
      <c r="AY28" s="59">
        <f t="shared" si="24"/>
        <v>556250</v>
      </c>
      <c r="AZ28" s="59">
        <f t="shared" si="25"/>
        <v>178630</v>
      </c>
      <c r="BA28" s="71">
        <f>W28+AE28+AM28+AV28-BM28</f>
        <v>730810</v>
      </c>
      <c r="BB28" s="72">
        <f t="shared" si="31"/>
        <v>2750</v>
      </c>
      <c r="BC28" s="73">
        <v>48</v>
      </c>
      <c r="BD28" s="74">
        <v>315260</v>
      </c>
      <c r="BE28" s="74">
        <v>52510</v>
      </c>
      <c r="BF28" s="75">
        <v>1650</v>
      </c>
      <c r="BG28" s="75">
        <v>1100</v>
      </c>
      <c r="BH28" s="75"/>
      <c r="BI28" s="75"/>
      <c r="BJ28" s="76">
        <f t="shared" si="30"/>
        <v>370520</v>
      </c>
      <c r="BK28" s="47">
        <v>24</v>
      </c>
      <c r="BL28" s="77">
        <f t="shared" si="26"/>
        <v>370520</v>
      </c>
      <c r="BM28" s="47">
        <v>7920</v>
      </c>
    </row>
    <row r="29" spans="2:66" ht="20" customHeight="1">
      <c r="B29" s="78">
        <f t="shared" si="27"/>
        <v>45468</v>
      </c>
      <c r="C29" s="79"/>
      <c r="D29" s="50"/>
      <c r="E29" s="51">
        <v>26</v>
      </c>
      <c r="F29" s="52">
        <v>98120</v>
      </c>
      <c r="G29" s="53">
        <f t="shared" si="0"/>
        <v>3430.7692307692309</v>
      </c>
      <c r="H29" s="52">
        <v>20510</v>
      </c>
      <c r="I29" s="53">
        <f t="shared" si="1"/>
        <v>717.11538461538464</v>
      </c>
      <c r="J29" s="55">
        <f t="shared" si="2"/>
        <v>118630</v>
      </c>
      <c r="K29" s="56">
        <f t="shared" si="3"/>
        <v>4562.6923076923076</v>
      </c>
      <c r="L29" s="57"/>
      <c r="M29" s="58">
        <f t="shared" si="4"/>
        <v>0</v>
      </c>
      <c r="N29" s="59">
        <f t="shared" si="4"/>
        <v>0</v>
      </c>
      <c r="O29" s="53" t="e">
        <f t="shared" si="5"/>
        <v>#DIV/0!</v>
      </c>
      <c r="P29" s="59">
        <f t="shared" si="6"/>
        <v>0</v>
      </c>
      <c r="Q29" s="54" t="e">
        <f t="shared" si="7"/>
        <v>#DIV/0!</v>
      </c>
      <c r="R29" s="60">
        <f t="shared" si="8"/>
        <v>0</v>
      </c>
      <c r="S29" s="56" t="e">
        <f t="shared" si="9"/>
        <v>#DIV/0!</v>
      </c>
      <c r="T29" s="80">
        <f t="shared" si="10"/>
        <v>26</v>
      </c>
      <c r="U29" s="59">
        <f t="shared" si="10"/>
        <v>98120</v>
      </c>
      <c r="V29" s="59">
        <f t="shared" si="11"/>
        <v>20510</v>
      </c>
      <c r="W29" s="62">
        <f t="shared" si="12"/>
        <v>118630</v>
      </c>
      <c r="X29" s="81"/>
      <c r="Y29" s="63"/>
      <c r="Z29" s="64">
        <v>14</v>
      </c>
      <c r="AA29" s="52">
        <v>7580</v>
      </c>
      <c r="AB29" s="53">
        <f t="shared" si="13"/>
        <v>541.42857142857144</v>
      </c>
      <c r="AC29" s="52">
        <v>4900</v>
      </c>
      <c r="AD29" s="54">
        <f t="shared" si="14"/>
        <v>350</v>
      </c>
      <c r="AE29" s="65">
        <f t="shared" si="15"/>
        <v>12480</v>
      </c>
      <c r="AF29" s="56">
        <f t="shared" si="16"/>
        <v>891.42857142857144</v>
      </c>
      <c r="AG29" s="66"/>
      <c r="AH29" s="64">
        <v>24</v>
      </c>
      <c r="AI29" s="52">
        <v>93960</v>
      </c>
      <c r="AJ29" s="53">
        <f t="shared" si="17"/>
        <v>3915</v>
      </c>
      <c r="AK29" s="52">
        <v>31320</v>
      </c>
      <c r="AL29" s="54">
        <f t="shared" si="18"/>
        <v>1305</v>
      </c>
      <c r="AM29" s="65">
        <f t="shared" si="28"/>
        <v>125280</v>
      </c>
      <c r="AN29" s="67">
        <f t="shared" si="19"/>
        <v>5220</v>
      </c>
      <c r="AO29" s="68"/>
      <c r="AP29" s="64">
        <v>64</v>
      </c>
      <c r="AQ29" s="52">
        <v>171050</v>
      </c>
      <c r="AR29" s="53">
        <f t="shared" si="20"/>
        <v>2672.65625</v>
      </c>
      <c r="AS29" s="52">
        <v>89950</v>
      </c>
      <c r="AT29" s="54">
        <f t="shared" si="21"/>
        <v>1405.46875</v>
      </c>
      <c r="AU29" s="54">
        <v>1650</v>
      </c>
      <c r="AV29" s="69">
        <f t="shared" si="29"/>
        <v>262650</v>
      </c>
      <c r="AW29" s="67">
        <f t="shared" si="22"/>
        <v>4103.90625</v>
      </c>
      <c r="AX29" s="82">
        <f t="shared" si="23"/>
        <v>26</v>
      </c>
      <c r="AY29" s="59">
        <f t="shared" si="24"/>
        <v>370710</v>
      </c>
      <c r="AZ29" s="59">
        <f t="shared" si="25"/>
        <v>146680</v>
      </c>
      <c r="BA29" s="71">
        <f t="shared" si="32"/>
        <v>519040</v>
      </c>
      <c r="BB29" s="72">
        <f t="shared" si="31"/>
        <v>0</v>
      </c>
      <c r="BC29" s="73">
        <v>26</v>
      </c>
      <c r="BD29" s="74">
        <v>98120</v>
      </c>
      <c r="BE29" s="74">
        <v>20510</v>
      </c>
      <c r="BF29" s="75"/>
      <c r="BG29" s="75"/>
      <c r="BH29" s="75"/>
      <c r="BI29" s="75"/>
      <c r="BJ29" s="76">
        <f t="shared" si="30"/>
        <v>118630</v>
      </c>
      <c r="BK29" s="47">
        <v>25</v>
      </c>
      <c r="BL29" s="77">
        <f t="shared" si="26"/>
        <v>118630</v>
      </c>
    </row>
    <row r="30" spans="2:66" ht="20" customHeight="1">
      <c r="B30" s="78">
        <f t="shared" si="27"/>
        <v>45469</v>
      </c>
      <c r="C30" s="79"/>
      <c r="D30" s="50"/>
      <c r="E30" s="51">
        <v>22</v>
      </c>
      <c r="F30" s="52">
        <v>82830</v>
      </c>
      <c r="G30" s="53">
        <f t="shared" si="0"/>
        <v>3422.7272727272725</v>
      </c>
      <c r="H30" s="52">
        <v>4830</v>
      </c>
      <c r="I30" s="53">
        <f t="shared" si="1"/>
        <v>199.54545454545453</v>
      </c>
      <c r="J30" s="55">
        <f t="shared" si="2"/>
        <v>87660</v>
      </c>
      <c r="K30" s="56">
        <f t="shared" si="3"/>
        <v>3984.5454545454545</v>
      </c>
      <c r="L30" s="57"/>
      <c r="M30" s="58">
        <f t="shared" si="4"/>
        <v>22</v>
      </c>
      <c r="N30" s="59">
        <f t="shared" si="4"/>
        <v>223300</v>
      </c>
      <c r="O30" s="53">
        <f t="shared" si="5"/>
        <v>9227.2727272727279</v>
      </c>
      <c r="P30" s="59">
        <f t="shared" si="6"/>
        <v>54570</v>
      </c>
      <c r="Q30" s="53">
        <f t="shared" si="7"/>
        <v>2254.9545454545455</v>
      </c>
      <c r="R30" s="60">
        <f t="shared" si="8"/>
        <v>277870</v>
      </c>
      <c r="S30" s="56">
        <f t="shared" si="9"/>
        <v>12630.454545454546</v>
      </c>
      <c r="T30" s="80">
        <f t="shared" si="10"/>
        <v>44</v>
      </c>
      <c r="U30" s="59">
        <f t="shared" si="10"/>
        <v>306130</v>
      </c>
      <c r="V30" s="59">
        <f t="shared" si="11"/>
        <v>59400</v>
      </c>
      <c r="W30" s="62">
        <f t="shared" si="12"/>
        <v>365530</v>
      </c>
      <c r="X30" s="81"/>
      <c r="Y30" s="63"/>
      <c r="Z30" s="64">
        <v>15</v>
      </c>
      <c r="AA30" s="52">
        <v>6790</v>
      </c>
      <c r="AB30" s="53">
        <f t="shared" si="13"/>
        <v>452.66666666666669</v>
      </c>
      <c r="AC30" s="52">
        <v>1300</v>
      </c>
      <c r="AD30" s="54">
        <f t="shared" si="14"/>
        <v>86.666666666666671</v>
      </c>
      <c r="AE30" s="65">
        <f t="shared" si="15"/>
        <v>8090</v>
      </c>
      <c r="AF30" s="56">
        <f t="shared" si="16"/>
        <v>539.33333333333337</v>
      </c>
      <c r="AG30" s="66"/>
      <c r="AH30" s="64"/>
      <c r="AI30" s="52"/>
      <c r="AJ30" s="53" t="e">
        <f t="shared" si="17"/>
        <v>#DIV/0!</v>
      </c>
      <c r="AK30" s="52"/>
      <c r="AL30" s="54" t="e">
        <f t="shared" si="18"/>
        <v>#DIV/0!</v>
      </c>
      <c r="AM30" s="65">
        <f t="shared" si="28"/>
        <v>0</v>
      </c>
      <c r="AN30" s="67" t="str">
        <f t="shared" si="19"/>
        <v/>
      </c>
      <c r="AO30" s="68"/>
      <c r="AP30" s="64">
        <v>62</v>
      </c>
      <c r="AQ30" s="52">
        <v>129100</v>
      </c>
      <c r="AR30" s="53">
        <f t="shared" si="20"/>
        <v>2082.2580645161293</v>
      </c>
      <c r="AS30" s="52">
        <v>73700</v>
      </c>
      <c r="AT30" s="54">
        <f t="shared" si="21"/>
        <v>1188.7096774193549</v>
      </c>
      <c r="AU30" s="54">
        <v>3850</v>
      </c>
      <c r="AV30" s="69">
        <f t="shared" si="29"/>
        <v>206650</v>
      </c>
      <c r="AW30" s="67">
        <f t="shared" si="22"/>
        <v>3333.0645161290322</v>
      </c>
      <c r="AX30" s="82">
        <f t="shared" si="23"/>
        <v>44</v>
      </c>
      <c r="AY30" s="59">
        <f t="shared" si="24"/>
        <v>442020</v>
      </c>
      <c r="AZ30" s="59">
        <f t="shared" si="25"/>
        <v>134400</v>
      </c>
      <c r="BA30" s="71">
        <f>W30+AE30+AM30+AV30-BM30</f>
        <v>570750</v>
      </c>
      <c r="BB30" s="72">
        <f>BF30+BG30</f>
        <v>5500</v>
      </c>
      <c r="BC30" s="73">
        <v>44</v>
      </c>
      <c r="BD30" s="74">
        <v>306130</v>
      </c>
      <c r="BE30" s="74">
        <v>59400</v>
      </c>
      <c r="BF30" s="75">
        <v>4400</v>
      </c>
      <c r="BG30" s="75">
        <v>1100</v>
      </c>
      <c r="BH30" s="75"/>
      <c r="BI30" s="75"/>
      <c r="BJ30" s="76">
        <f t="shared" si="30"/>
        <v>371030</v>
      </c>
      <c r="BK30" s="47">
        <v>26</v>
      </c>
      <c r="BL30" s="77">
        <f t="shared" si="26"/>
        <v>371030</v>
      </c>
      <c r="BM30" s="47">
        <v>9520</v>
      </c>
    </row>
    <row r="31" spans="2:66" ht="20" customHeight="1">
      <c r="B31" s="78">
        <f t="shared" si="27"/>
        <v>45470</v>
      </c>
      <c r="C31" s="79"/>
      <c r="D31" s="50"/>
      <c r="E31" s="51">
        <v>24</v>
      </c>
      <c r="F31" s="52">
        <v>78320</v>
      </c>
      <c r="G31" s="53">
        <f t="shared" si="0"/>
        <v>2966.6666666666665</v>
      </c>
      <c r="H31" s="52">
        <v>10050</v>
      </c>
      <c r="I31" s="53">
        <f t="shared" si="1"/>
        <v>380.66666666666669</v>
      </c>
      <c r="J31" s="55">
        <f t="shared" si="2"/>
        <v>88370</v>
      </c>
      <c r="K31" s="56">
        <f t="shared" si="3"/>
        <v>3682.0833333333335</v>
      </c>
      <c r="L31" s="57"/>
      <c r="M31" s="58">
        <f t="shared" si="4"/>
        <v>32</v>
      </c>
      <c r="N31" s="59">
        <f t="shared" si="4"/>
        <v>387200</v>
      </c>
      <c r="O31" s="53">
        <f t="shared" si="5"/>
        <v>11000</v>
      </c>
      <c r="P31" s="59">
        <f t="shared" si="6"/>
        <v>92800</v>
      </c>
      <c r="Q31" s="53">
        <f t="shared" si="7"/>
        <v>2636.34375</v>
      </c>
      <c r="R31" s="60">
        <f t="shared" si="8"/>
        <v>480000</v>
      </c>
      <c r="S31" s="56">
        <f t="shared" si="9"/>
        <v>15000</v>
      </c>
      <c r="T31" s="80">
        <f t="shared" si="10"/>
        <v>56</v>
      </c>
      <c r="U31" s="59">
        <f t="shared" si="10"/>
        <v>465520</v>
      </c>
      <c r="V31" s="59">
        <f t="shared" si="11"/>
        <v>102850</v>
      </c>
      <c r="W31" s="62">
        <f t="shared" si="12"/>
        <v>568370</v>
      </c>
      <c r="X31" s="81"/>
      <c r="Y31" s="63"/>
      <c r="Z31" s="64">
        <v>12</v>
      </c>
      <c r="AA31" s="52">
        <v>5640</v>
      </c>
      <c r="AB31" s="53">
        <f t="shared" si="13"/>
        <v>470</v>
      </c>
      <c r="AC31" s="52">
        <v>1600</v>
      </c>
      <c r="AD31" s="54">
        <f t="shared" si="14"/>
        <v>133.33333333333334</v>
      </c>
      <c r="AE31" s="65">
        <f t="shared" si="15"/>
        <v>7240</v>
      </c>
      <c r="AF31" s="56">
        <f t="shared" si="16"/>
        <v>603.33333333333337</v>
      </c>
      <c r="AG31" s="66"/>
      <c r="AH31" s="64"/>
      <c r="AI31" s="52"/>
      <c r="AJ31" s="53" t="e">
        <f t="shared" si="17"/>
        <v>#DIV/0!</v>
      </c>
      <c r="AK31" s="52"/>
      <c r="AL31" s="54" t="e">
        <f t="shared" si="18"/>
        <v>#DIV/0!</v>
      </c>
      <c r="AM31" s="65">
        <f t="shared" si="28"/>
        <v>0</v>
      </c>
      <c r="AN31" s="67" t="str">
        <f t="shared" si="19"/>
        <v/>
      </c>
      <c r="AO31" s="68"/>
      <c r="AP31" s="64">
        <v>145</v>
      </c>
      <c r="AQ31" s="52">
        <v>371050</v>
      </c>
      <c r="AR31" s="53">
        <f t="shared" si="20"/>
        <v>2558.9655172413795</v>
      </c>
      <c r="AS31" s="52">
        <v>219550</v>
      </c>
      <c r="AT31" s="54">
        <f t="shared" si="21"/>
        <v>1514.1379310344828</v>
      </c>
      <c r="AU31" s="54"/>
      <c r="AV31" s="69">
        <f t="shared" si="29"/>
        <v>590600</v>
      </c>
      <c r="AW31" s="67">
        <f t="shared" si="22"/>
        <v>4073.1034482758619</v>
      </c>
      <c r="AX31" s="82">
        <f t="shared" si="23"/>
        <v>56</v>
      </c>
      <c r="AY31" s="59">
        <f t="shared" si="24"/>
        <v>842210</v>
      </c>
      <c r="AZ31" s="59">
        <f t="shared" si="25"/>
        <v>324000</v>
      </c>
      <c r="BA31" s="71">
        <f>W31+AE31+AM31+AV31-BM31</f>
        <v>1166210</v>
      </c>
      <c r="BB31" s="72">
        <f t="shared" si="31"/>
        <v>1650</v>
      </c>
      <c r="BC31" s="73">
        <v>56</v>
      </c>
      <c r="BD31" s="74">
        <v>465520</v>
      </c>
      <c r="BE31" s="74">
        <v>102850</v>
      </c>
      <c r="BF31" s="75">
        <v>1650</v>
      </c>
      <c r="BG31" s="75"/>
      <c r="BH31" s="75"/>
      <c r="BI31" s="75"/>
      <c r="BJ31" s="76">
        <f t="shared" si="30"/>
        <v>570020</v>
      </c>
      <c r="BK31" s="47">
        <v>27</v>
      </c>
      <c r="BL31" s="77">
        <f t="shared" si="26"/>
        <v>570020</v>
      </c>
    </row>
    <row r="32" spans="2:66" ht="20" customHeight="1">
      <c r="B32" s="78">
        <f t="shared" si="27"/>
        <v>45471</v>
      </c>
      <c r="C32" s="79"/>
      <c r="D32" s="50"/>
      <c r="E32" s="51">
        <v>31</v>
      </c>
      <c r="F32" s="52">
        <v>132220</v>
      </c>
      <c r="G32" s="53">
        <f t="shared" si="0"/>
        <v>3877.4193548387098</v>
      </c>
      <c r="H32" s="52">
        <v>20880</v>
      </c>
      <c r="I32" s="53">
        <f t="shared" si="1"/>
        <v>612.29032258064512</v>
      </c>
      <c r="J32" s="55">
        <f t="shared" si="2"/>
        <v>153100</v>
      </c>
      <c r="K32" s="56">
        <f t="shared" si="3"/>
        <v>4938.7096774193551</v>
      </c>
      <c r="L32" s="57"/>
      <c r="M32" s="58">
        <f t="shared" si="4"/>
        <v>29</v>
      </c>
      <c r="N32" s="59">
        <f t="shared" si="4"/>
        <v>281050</v>
      </c>
      <c r="O32" s="53">
        <f t="shared" si="5"/>
        <v>8810.3448275862065</v>
      </c>
      <c r="P32" s="59">
        <f t="shared" si="6"/>
        <v>50510</v>
      </c>
      <c r="Q32" s="53">
        <f t="shared" si="7"/>
        <v>1583.3793103448277</v>
      </c>
      <c r="R32" s="60">
        <f t="shared" si="8"/>
        <v>331560</v>
      </c>
      <c r="S32" s="56">
        <f t="shared" si="9"/>
        <v>11433.103448275862</v>
      </c>
      <c r="T32" s="80">
        <f t="shared" si="10"/>
        <v>60</v>
      </c>
      <c r="U32" s="59">
        <f t="shared" si="10"/>
        <v>413270</v>
      </c>
      <c r="V32" s="59">
        <f t="shared" si="11"/>
        <v>71390</v>
      </c>
      <c r="W32" s="62">
        <f t="shared" si="12"/>
        <v>484660</v>
      </c>
      <c r="X32" s="81"/>
      <c r="Y32" s="63"/>
      <c r="Z32" s="64">
        <v>9</v>
      </c>
      <c r="AA32" s="52">
        <v>4190</v>
      </c>
      <c r="AB32" s="53">
        <f t="shared" si="13"/>
        <v>465.55555555555554</v>
      </c>
      <c r="AC32" s="52">
        <v>3300</v>
      </c>
      <c r="AD32" s="54">
        <f t="shared" si="14"/>
        <v>366.66666666666669</v>
      </c>
      <c r="AE32" s="65">
        <f t="shared" si="15"/>
        <v>7490</v>
      </c>
      <c r="AF32" s="56">
        <f t="shared" si="16"/>
        <v>832.22222222222217</v>
      </c>
      <c r="AG32" s="66"/>
      <c r="AH32" s="64">
        <v>36</v>
      </c>
      <c r="AI32" s="52">
        <v>140940</v>
      </c>
      <c r="AJ32" s="53">
        <f t="shared" si="17"/>
        <v>3915</v>
      </c>
      <c r="AK32" s="52">
        <v>46980</v>
      </c>
      <c r="AL32" s="54">
        <f t="shared" si="18"/>
        <v>1305</v>
      </c>
      <c r="AM32" s="65">
        <f t="shared" si="28"/>
        <v>187920</v>
      </c>
      <c r="AN32" s="67">
        <f t="shared" si="19"/>
        <v>5220</v>
      </c>
      <c r="AO32" s="68"/>
      <c r="AP32" s="64">
        <v>329</v>
      </c>
      <c r="AQ32" s="52">
        <v>873700</v>
      </c>
      <c r="AR32" s="53">
        <f t="shared" si="20"/>
        <v>2655.6231003039516</v>
      </c>
      <c r="AS32" s="52">
        <v>504150</v>
      </c>
      <c r="AT32" s="54">
        <f t="shared" si="21"/>
        <v>1532.3708206686931</v>
      </c>
      <c r="AU32" s="54">
        <v>6600</v>
      </c>
      <c r="AV32" s="69">
        <f t="shared" si="29"/>
        <v>1384450</v>
      </c>
      <c r="AW32" s="67">
        <f t="shared" si="22"/>
        <v>4208.0547112462009</v>
      </c>
      <c r="AX32" s="82">
        <f t="shared" si="23"/>
        <v>60</v>
      </c>
      <c r="AY32" s="59">
        <f>U32+AA32+AI32+AQ32</f>
        <v>1432100</v>
      </c>
      <c r="AZ32" s="59">
        <f t="shared" si="25"/>
        <v>625820</v>
      </c>
      <c r="BA32" s="71">
        <f>W32+AE32+AM32+AV32</f>
        <v>2064520</v>
      </c>
      <c r="BB32" s="72">
        <f>BF32+BG32</f>
        <v>10450</v>
      </c>
      <c r="BC32" s="73">
        <v>60</v>
      </c>
      <c r="BD32" s="74">
        <v>413270</v>
      </c>
      <c r="BE32" s="74">
        <v>71390</v>
      </c>
      <c r="BF32" s="75">
        <v>7150</v>
      </c>
      <c r="BG32" s="75">
        <v>3300</v>
      </c>
      <c r="BH32" s="75">
        <v>6600</v>
      </c>
      <c r="BI32" s="75"/>
      <c r="BJ32" s="76">
        <f>SUM(BD32:BG32)</f>
        <v>495110</v>
      </c>
      <c r="BK32" s="47">
        <v>28</v>
      </c>
      <c r="BL32" s="77">
        <f t="shared" si="26"/>
        <v>495110</v>
      </c>
    </row>
    <row r="33" spans="2:64" ht="20" customHeight="1">
      <c r="B33" s="78">
        <f t="shared" si="27"/>
        <v>45472</v>
      </c>
      <c r="C33" s="79"/>
      <c r="D33" s="50"/>
      <c r="E33" s="51">
        <v>23</v>
      </c>
      <c r="F33" s="52">
        <v>95260</v>
      </c>
      <c r="G33" s="53">
        <f t="shared" si="0"/>
        <v>3765.217391304348</v>
      </c>
      <c r="H33" s="52">
        <v>18730</v>
      </c>
      <c r="I33" s="53">
        <f t="shared" si="1"/>
        <v>740.304347826087</v>
      </c>
      <c r="J33" s="55">
        <f t="shared" si="2"/>
        <v>113990</v>
      </c>
      <c r="K33" s="56">
        <f t="shared" si="3"/>
        <v>4956.086956521739</v>
      </c>
      <c r="L33" s="57"/>
      <c r="M33" s="58">
        <f t="shared" si="4"/>
        <v>36</v>
      </c>
      <c r="N33" s="59">
        <f t="shared" si="4"/>
        <v>257400</v>
      </c>
      <c r="O33" s="53">
        <f t="shared" si="5"/>
        <v>6500</v>
      </c>
      <c r="P33" s="59">
        <f t="shared" si="6"/>
        <v>72600</v>
      </c>
      <c r="Q33" s="53">
        <f t="shared" si="7"/>
        <v>1833.3333333333333</v>
      </c>
      <c r="R33" s="60">
        <f t="shared" si="8"/>
        <v>330000</v>
      </c>
      <c r="S33" s="56">
        <f t="shared" si="9"/>
        <v>9166.6666666666661</v>
      </c>
      <c r="T33" s="80">
        <f t="shared" si="10"/>
        <v>59</v>
      </c>
      <c r="U33" s="59">
        <f t="shared" si="10"/>
        <v>352660</v>
      </c>
      <c r="V33" s="59">
        <f t="shared" si="11"/>
        <v>91330</v>
      </c>
      <c r="W33" s="62">
        <f>J33+R33</f>
        <v>443990</v>
      </c>
      <c r="X33" s="81"/>
      <c r="Y33" s="63"/>
      <c r="Z33" s="64">
        <v>14</v>
      </c>
      <c r="AA33" s="52">
        <v>6150</v>
      </c>
      <c r="AB33" s="53">
        <f t="shared" si="13"/>
        <v>439.28571428571428</v>
      </c>
      <c r="AC33" s="52">
        <v>2650</v>
      </c>
      <c r="AD33" s="54">
        <f t="shared" si="14"/>
        <v>189.28571428571428</v>
      </c>
      <c r="AE33" s="65">
        <f t="shared" si="15"/>
        <v>8800</v>
      </c>
      <c r="AF33" s="56">
        <f t="shared" si="16"/>
        <v>628.57142857142856</v>
      </c>
      <c r="AG33" s="66"/>
      <c r="AH33" s="64">
        <v>17</v>
      </c>
      <c r="AI33" s="52">
        <v>66555</v>
      </c>
      <c r="AJ33" s="53">
        <f t="shared" si="17"/>
        <v>3915</v>
      </c>
      <c r="AK33" s="52">
        <v>32538</v>
      </c>
      <c r="AL33" s="54">
        <f t="shared" si="18"/>
        <v>1914</v>
      </c>
      <c r="AM33" s="65">
        <f t="shared" si="28"/>
        <v>99093</v>
      </c>
      <c r="AN33" s="67">
        <f t="shared" si="19"/>
        <v>5829</v>
      </c>
      <c r="AO33" s="68"/>
      <c r="AP33" s="64">
        <v>507</v>
      </c>
      <c r="AQ33" s="52">
        <v>1461500</v>
      </c>
      <c r="AR33" s="53">
        <f t="shared" si="20"/>
        <v>2882.6429980276134</v>
      </c>
      <c r="AS33" s="52">
        <v>844250</v>
      </c>
      <c r="AT33" s="54">
        <f t="shared" si="21"/>
        <v>1665.1873767258382</v>
      </c>
      <c r="AU33" s="54">
        <v>34100</v>
      </c>
      <c r="AV33" s="69">
        <f t="shared" si="29"/>
        <v>2339850</v>
      </c>
      <c r="AW33" s="67">
        <f t="shared" si="22"/>
        <v>4615.0887573964501</v>
      </c>
      <c r="AX33" s="82">
        <f t="shared" si="23"/>
        <v>59</v>
      </c>
      <c r="AY33" s="59">
        <f t="shared" si="24"/>
        <v>1886865</v>
      </c>
      <c r="AZ33" s="59">
        <f t="shared" si="25"/>
        <v>970768</v>
      </c>
      <c r="BA33" s="71">
        <f>W33+AE33+AM33+AV33-BM33</f>
        <v>2891733</v>
      </c>
      <c r="BB33" s="72">
        <f t="shared" si="31"/>
        <v>0</v>
      </c>
      <c r="BC33" s="73">
        <v>59</v>
      </c>
      <c r="BD33" s="74">
        <v>352660</v>
      </c>
      <c r="BE33" s="74">
        <v>91330</v>
      </c>
      <c r="BF33" s="75"/>
      <c r="BG33" s="75"/>
      <c r="BH33" s="75"/>
      <c r="BI33" s="75"/>
      <c r="BJ33" s="76">
        <f t="shared" si="30"/>
        <v>443990</v>
      </c>
      <c r="BK33" s="47">
        <v>29</v>
      </c>
      <c r="BL33" s="77">
        <f t="shared" si="26"/>
        <v>443990</v>
      </c>
    </row>
    <row r="34" spans="2:64" ht="20" customHeight="1">
      <c r="B34" s="78">
        <f t="shared" si="27"/>
        <v>45473</v>
      </c>
      <c r="C34" s="79"/>
      <c r="D34" s="50"/>
      <c r="E34" s="51">
        <v>23</v>
      </c>
      <c r="F34" s="52">
        <v>96800</v>
      </c>
      <c r="G34" s="53">
        <f t="shared" si="0"/>
        <v>3826.086956521739</v>
      </c>
      <c r="H34" s="52">
        <v>25760</v>
      </c>
      <c r="I34" s="53">
        <f t="shared" si="1"/>
        <v>1018.1739130434783</v>
      </c>
      <c r="J34" s="55">
        <f t="shared" si="2"/>
        <v>122560</v>
      </c>
      <c r="K34" s="56">
        <f t="shared" si="3"/>
        <v>5328.695652173913</v>
      </c>
      <c r="L34" s="57"/>
      <c r="M34" s="58">
        <f t="shared" si="4"/>
        <v>12</v>
      </c>
      <c r="N34" s="59">
        <f t="shared" si="4"/>
        <v>133760</v>
      </c>
      <c r="O34" s="53">
        <f t="shared" si="5"/>
        <v>10133.333333333334</v>
      </c>
      <c r="P34" s="59">
        <f t="shared" si="6"/>
        <v>44080</v>
      </c>
      <c r="Q34" s="53">
        <f t="shared" si="7"/>
        <v>3339.3333333333335</v>
      </c>
      <c r="R34" s="60">
        <f t="shared" si="8"/>
        <v>177840</v>
      </c>
      <c r="S34" s="56">
        <f t="shared" si="9"/>
        <v>14820</v>
      </c>
      <c r="T34" s="80">
        <f t="shared" si="10"/>
        <v>35</v>
      </c>
      <c r="U34" s="59">
        <f t="shared" si="10"/>
        <v>230560</v>
      </c>
      <c r="V34" s="59">
        <f t="shared" si="11"/>
        <v>69840</v>
      </c>
      <c r="W34" s="62">
        <f t="shared" si="12"/>
        <v>300400</v>
      </c>
      <c r="X34" s="81"/>
      <c r="Y34" s="87"/>
      <c r="Z34" s="88">
        <v>30</v>
      </c>
      <c r="AA34" s="89">
        <v>13390</v>
      </c>
      <c r="AB34" s="53">
        <f t="shared" si="13"/>
        <v>446.33333333333331</v>
      </c>
      <c r="AC34" s="89">
        <v>10980</v>
      </c>
      <c r="AD34" s="54">
        <f t="shared" si="14"/>
        <v>366</v>
      </c>
      <c r="AE34" s="65">
        <f t="shared" si="15"/>
        <v>24370</v>
      </c>
      <c r="AF34" s="56">
        <f t="shared" si="16"/>
        <v>812.33333333333337</v>
      </c>
      <c r="AG34" s="66"/>
      <c r="AH34" s="88"/>
      <c r="AI34" s="89"/>
      <c r="AJ34" s="53" t="e">
        <f t="shared" si="17"/>
        <v>#DIV/0!</v>
      </c>
      <c r="AK34" s="89"/>
      <c r="AL34" s="54" t="e">
        <f t="shared" si="18"/>
        <v>#DIV/0!</v>
      </c>
      <c r="AM34" s="65">
        <f t="shared" si="28"/>
        <v>0</v>
      </c>
      <c r="AN34" s="67" t="str">
        <f t="shared" si="19"/>
        <v/>
      </c>
      <c r="AO34" s="68"/>
      <c r="AP34" s="88">
        <v>326</v>
      </c>
      <c r="AQ34" s="89">
        <v>865650</v>
      </c>
      <c r="AR34" s="53">
        <f t="shared" si="20"/>
        <v>2655.3680981595094</v>
      </c>
      <c r="AS34" s="89">
        <v>503350</v>
      </c>
      <c r="AT34" s="54">
        <f t="shared" si="21"/>
        <v>1544.0184049079755</v>
      </c>
      <c r="AU34" s="54">
        <v>14300</v>
      </c>
      <c r="AV34" s="69">
        <f t="shared" si="29"/>
        <v>1383300</v>
      </c>
      <c r="AW34" s="67">
        <f t="shared" si="22"/>
        <v>4243.251533742331</v>
      </c>
      <c r="AX34" s="82">
        <f t="shared" si="23"/>
        <v>35</v>
      </c>
      <c r="AY34" s="59">
        <f t="shared" si="24"/>
        <v>1109600</v>
      </c>
      <c r="AZ34" s="59">
        <f t="shared" si="25"/>
        <v>584170</v>
      </c>
      <c r="BA34" s="71">
        <f>W34+AE34+AM34+AV34-BM34</f>
        <v>1708070</v>
      </c>
      <c r="BB34" s="72">
        <f t="shared" si="31"/>
        <v>7700</v>
      </c>
      <c r="BC34" s="73">
        <v>35</v>
      </c>
      <c r="BD34" s="74">
        <v>230560</v>
      </c>
      <c r="BE34" s="74">
        <v>69840</v>
      </c>
      <c r="BF34" s="75">
        <v>7700</v>
      </c>
      <c r="BG34" s="75"/>
      <c r="BH34" s="75"/>
      <c r="BI34" s="75"/>
      <c r="BJ34" s="76">
        <f t="shared" si="30"/>
        <v>308100</v>
      </c>
      <c r="BK34" s="47">
        <v>30</v>
      </c>
      <c r="BL34" s="77">
        <f t="shared" si="26"/>
        <v>308100</v>
      </c>
    </row>
    <row r="35" spans="2:64" ht="20" customHeight="1" thickBot="1">
      <c r="B35" s="78">
        <f t="shared" si="27"/>
        <v>45474</v>
      </c>
      <c r="C35" s="79"/>
      <c r="D35" s="50"/>
      <c r="E35" s="51"/>
      <c r="F35" s="52"/>
      <c r="G35" s="53" t="e">
        <f t="shared" si="0"/>
        <v>#DIV/0!</v>
      </c>
      <c r="H35" s="52"/>
      <c r="I35" s="53" t="e">
        <f t="shared" si="1"/>
        <v>#DIV/0!</v>
      </c>
      <c r="J35" s="55">
        <f t="shared" si="2"/>
        <v>0</v>
      </c>
      <c r="K35" s="56" t="str">
        <f t="shared" si="3"/>
        <v/>
      </c>
      <c r="L35" s="57"/>
      <c r="M35" s="90">
        <f t="shared" si="4"/>
        <v>0</v>
      </c>
      <c r="N35" s="59">
        <f t="shared" si="4"/>
        <v>0</v>
      </c>
      <c r="O35" s="53" t="e">
        <f t="shared" si="5"/>
        <v>#DIV/0!</v>
      </c>
      <c r="P35" s="59">
        <f t="shared" si="6"/>
        <v>0</v>
      </c>
      <c r="Q35" s="53" t="e">
        <f t="shared" si="7"/>
        <v>#DIV/0!</v>
      </c>
      <c r="R35" s="60">
        <f t="shared" si="8"/>
        <v>0</v>
      </c>
      <c r="S35" s="56" t="e">
        <f t="shared" si="9"/>
        <v>#DIV/0!</v>
      </c>
      <c r="T35" s="91">
        <f t="shared" si="10"/>
        <v>0</v>
      </c>
      <c r="U35" s="92">
        <f t="shared" si="10"/>
        <v>0</v>
      </c>
      <c r="V35" s="92">
        <f t="shared" si="11"/>
        <v>0</v>
      </c>
      <c r="W35" s="93">
        <f t="shared" si="12"/>
        <v>0</v>
      </c>
      <c r="X35" s="92"/>
      <c r="Y35" s="94"/>
      <c r="Z35" s="95"/>
      <c r="AA35" s="96"/>
      <c r="AB35" s="97" t="e">
        <f t="shared" si="13"/>
        <v>#DIV/0!</v>
      </c>
      <c r="AC35" s="96"/>
      <c r="AD35" s="98" t="e">
        <f t="shared" si="14"/>
        <v>#DIV/0!</v>
      </c>
      <c r="AE35" s="99">
        <f t="shared" si="15"/>
        <v>0</v>
      </c>
      <c r="AF35" s="56" t="str">
        <f t="shared" si="16"/>
        <v/>
      </c>
      <c r="AG35" s="100"/>
      <c r="AH35" s="95"/>
      <c r="AI35" s="96"/>
      <c r="AJ35" s="97" t="e">
        <f t="shared" si="17"/>
        <v>#DIV/0!</v>
      </c>
      <c r="AK35" s="96"/>
      <c r="AL35" s="98" t="e">
        <f t="shared" si="18"/>
        <v>#DIV/0!</v>
      </c>
      <c r="AM35" s="65">
        <f t="shared" si="28"/>
        <v>0</v>
      </c>
      <c r="AN35" s="67" t="str">
        <f t="shared" si="19"/>
        <v/>
      </c>
      <c r="AO35" s="101"/>
      <c r="AP35" s="95"/>
      <c r="AQ35" s="96"/>
      <c r="AR35" s="97" t="e">
        <f t="shared" si="20"/>
        <v>#DIV/0!</v>
      </c>
      <c r="AS35" s="96"/>
      <c r="AT35" s="98" t="e">
        <f t="shared" si="21"/>
        <v>#DIV/0!</v>
      </c>
      <c r="AU35" s="98"/>
      <c r="AV35" s="69">
        <f t="shared" si="29"/>
        <v>0</v>
      </c>
      <c r="AW35" s="67" t="str">
        <f t="shared" si="22"/>
        <v/>
      </c>
      <c r="AX35" s="102">
        <f t="shared" si="23"/>
        <v>0</v>
      </c>
      <c r="AY35" s="59">
        <f t="shared" si="24"/>
        <v>0</v>
      </c>
      <c r="AZ35" s="59">
        <f t="shared" si="25"/>
        <v>0</v>
      </c>
      <c r="BA35" s="71">
        <f t="shared" si="32"/>
        <v>0</v>
      </c>
      <c r="BB35" s="72">
        <f t="shared" si="31"/>
        <v>0</v>
      </c>
      <c r="BC35" s="103"/>
      <c r="BD35" s="104"/>
      <c r="BE35" s="104"/>
      <c r="BF35" s="105"/>
      <c r="BG35" s="105"/>
      <c r="BH35" s="105"/>
      <c r="BI35" s="105"/>
      <c r="BJ35" s="76">
        <f t="shared" si="30"/>
        <v>0</v>
      </c>
      <c r="BK35" s="47">
        <v>31</v>
      </c>
      <c r="BL35" s="77">
        <f t="shared" si="26"/>
        <v>0</v>
      </c>
    </row>
    <row r="36" spans="2:64" s="128" customFormat="1" ht="20" customHeight="1" thickTop="1">
      <c r="B36" s="106" t="s">
        <v>28</v>
      </c>
      <c r="C36" s="107">
        <f>SUM(C5:C35)</f>
        <v>0</v>
      </c>
      <c r="D36" s="108">
        <f>SUM(D5:D35)</f>
        <v>0</v>
      </c>
      <c r="E36" s="109">
        <f>SUM(E5:E35)</f>
        <v>777</v>
      </c>
      <c r="F36" s="110">
        <f>SUM(F5:F35)</f>
        <v>3150030</v>
      </c>
      <c r="G36" s="111">
        <f>F36/E36</f>
        <v>4054.0926640926641</v>
      </c>
      <c r="H36" s="107">
        <f>SUM(H5:H35)</f>
        <v>483370</v>
      </c>
      <c r="I36" s="112">
        <f>H36/E36</f>
        <v>622.09781209781215</v>
      </c>
      <c r="J36" s="113">
        <f>SUM(J5:J35)</f>
        <v>3633400</v>
      </c>
      <c r="K36" s="114">
        <f>J36/E36</f>
        <v>4676.1904761904761</v>
      </c>
      <c r="L36" s="115">
        <f>SUM(L5:L35)</f>
        <v>0</v>
      </c>
      <c r="M36" s="109">
        <f>SUM(M5:M35)</f>
        <v>554</v>
      </c>
      <c r="N36" s="110">
        <f>SUM(N5:N35)</f>
        <v>5150290</v>
      </c>
      <c r="O36" s="111">
        <f>N36/M36</f>
        <v>9296.5523465703973</v>
      </c>
      <c r="P36" s="116">
        <f>SUM(P5:P35)</f>
        <v>1339490</v>
      </c>
      <c r="Q36" s="112">
        <f>P36/M36</f>
        <v>2417.8519855595669</v>
      </c>
      <c r="R36" s="117">
        <f>SUM(R5:R35)</f>
        <v>6489780</v>
      </c>
      <c r="S36" s="118">
        <f>R36/M36</f>
        <v>11714.404332129963</v>
      </c>
      <c r="T36" s="109">
        <f t="shared" ref="T36:AA36" si="33">SUM(T5:T35)</f>
        <v>1331</v>
      </c>
      <c r="U36" s="116">
        <f t="shared" si="33"/>
        <v>8300320</v>
      </c>
      <c r="V36" s="116">
        <f t="shared" si="33"/>
        <v>1822860</v>
      </c>
      <c r="W36" s="113">
        <f>SUM(W5:W35)</f>
        <v>10123180</v>
      </c>
      <c r="X36" s="119">
        <f t="shared" si="33"/>
        <v>0</v>
      </c>
      <c r="Y36" s="108">
        <f t="shared" si="33"/>
        <v>0</v>
      </c>
      <c r="Z36" s="109">
        <f t="shared" si="33"/>
        <v>515</v>
      </c>
      <c r="AA36" s="111">
        <f t="shared" si="33"/>
        <v>237740</v>
      </c>
      <c r="AB36" s="111">
        <f>AA36/Z36</f>
        <v>461.63106796116506</v>
      </c>
      <c r="AC36" s="107">
        <f>SUM(AC5:AC35)</f>
        <v>103960</v>
      </c>
      <c r="AD36" s="112">
        <f>AC36/Z36</f>
        <v>201.86407766990291</v>
      </c>
      <c r="AE36" s="117">
        <f>SUM(AE5:AE35)</f>
        <v>341700</v>
      </c>
      <c r="AF36" s="120">
        <f>AE36/Z36</f>
        <v>663.495145631068</v>
      </c>
      <c r="AG36" s="121">
        <f t="shared" ref="AG36:AI36" si="34">SUM(AG5:AG35)</f>
        <v>0</v>
      </c>
      <c r="AH36" s="109">
        <f t="shared" si="34"/>
        <v>420</v>
      </c>
      <c r="AI36" s="111">
        <f t="shared" si="34"/>
        <v>1722861</v>
      </c>
      <c r="AJ36" s="111"/>
      <c r="AK36" s="107">
        <f>SUM(AK5:AK35)</f>
        <v>597843</v>
      </c>
      <c r="AL36" s="112"/>
      <c r="AM36" s="117">
        <f>SUM(AM5:AM35)</f>
        <v>2320704</v>
      </c>
      <c r="AN36" s="122">
        <f>AM36/AH36</f>
        <v>5525.4857142857145</v>
      </c>
      <c r="AO36" s="123">
        <f t="shared" ref="AO36:AQ36" si="35">SUM(AO5:AO35)</f>
        <v>0</v>
      </c>
      <c r="AP36" s="109">
        <f t="shared" si="35"/>
        <v>5144</v>
      </c>
      <c r="AQ36" s="111">
        <f t="shared" si="35"/>
        <v>13324100</v>
      </c>
      <c r="AR36" s="111"/>
      <c r="AS36" s="107">
        <f>SUM(AS5:AS35)</f>
        <v>7653930</v>
      </c>
      <c r="AT36" s="112"/>
      <c r="AU36" s="107">
        <f>SUM(AU5:AU35)</f>
        <v>135850</v>
      </c>
      <c r="AV36" s="117">
        <f>SUM(AV5:AV35)</f>
        <v>21087090</v>
      </c>
      <c r="AW36" s="122">
        <f>AV36/AP36</f>
        <v>4099.3565318818037</v>
      </c>
      <c r="AX36" s="124">
        <f t="shared" ref="AX36:BJ36" si="36">SUM(AX5:AX35)</f>
        <v>1331</v>
      </c>
      <c r="AY36" s="116">
        <f t="shared" si="36"/>
        <v>23585021</v>
      </c>
      <c r="AZ36" s="116">
        <f t="shared" si="36"/>
        <v>10178593</v>
      </c>
      <c r="BA36" s="117">
        <f>SUM(BA5:BA35)</f>
        <v>33824248</v>
      </c>
      <c r="BB36" s="125">
        <f>SUM(BB5:BB35)</f>
        <v>78100</v>
      </c>
      <c r="BC36" s="126">
        <f t="shared" si="36"/>
        <v>1331</v>
      </c>
      <c r="BD36" s="126">
        <f t="shared" si="36"/>
        <v>8300320</v>
      </c>
      <c r="BE36" s="126">
        <f t="shared" si="36"/>
        <v>1822860</v>
      </c>
      <c r="BF36" s="126">
        <f t="shared" si="36"/>
        <v>68200</v>
      </c>
      <c r="BG36" s="126">
        <f t="shared" si="36"/>
        <v>9900</v>
      </c>
      <c r="BH36" s="126">
        <f t="shared" si="36"/>
        <v>22900</v>
      </c>
      <c r="BI36" s="126">
        <f t="shared" si="36"/>
        <v>62800</v>
      </c>
      <c r="BJ36" s="127">
        <f t="shared" si="36"/>
        <v>10201280</v>
      </c>
      <c r="BL36" s="129">
        <f>SUM(BL5:BL35)</f>
        <v>10264080</v>
      </c>
    </row>
    <row r="37" spans="2:64" s="128" customFormat="1" ht="18">
      <c r="B37" s="130"/>
      <c r="E37" s="131" t="s">
        <v>43</v>
      </c>
      <c r="F37" s="132">
        <f>F36/1.1</f>
        <v>2863663.6363636362</v>
      </c>
      <c r="G37" s="133">
        <f>F37/E36</f>
        <v>3685.5387855387853</v>
      </c>
      <c r="H37" s="134">
        <f>H36/1.1</f>
        <v>439427.27272727271</v>
      </c>
      <c r="I37" s="133">
        <f>H37/E36</f>
        <v>565.54346554346557</v>
      </c>
      <c r="J37" s="135">
        <f>J36/1.1</f>
        <v>3303090.9090909087</v>
      </c>
      <c r="K37" s="136">
        <f>G37+I37</f>
        <v>4251.0822510822509</v>
      </c>
      <c r="L37" s="137"/>
      <c r="M37" s="131" t="s">
        <v>43</v>
      </c>
      <c r="N37" s="132">
        <f>N36/1.1</f>
        <v>4682081.8181818174</v>
      </c>
      <c r="O37" s="133">
        <f>N37/M36</f>
        <v>8451.4112241549046</v>
      </c>
      <c r="P37" s="134">
        <f>P36/1.1</f>
        <v>1217718.1818181816</v>
      </c>
      <c r="Q37" s="133">
        <f>P37/M36</f>
        <v>2198.0472595996057</v>
      </c>
      <c r="R37" s="133">
        <f>R36/1.1</f>
        <v>5899799.9999999991</v>
      </c>
      <c r="S37" s="138">
        <f>R37/M36</f>
        <v>10649.458483754512</v>
      </c>
      <c r="T37" s="131" t="s">
        <v>43</v>
      </c>
      <c r="U37" s="132">
        <f>U36/1.1</f>
        <v>7545745.4545454541</v>
      </c>
      <c r="V37" s="132">
        <f>V36/1.1</f>
        <v>1657145.4545454544</v>
      </c>
      <c r="W37" s="135">
        <f>W36/1.1</f>
        <v>9202890.9090909082</v>
      </c>
      <c r="X37" s="139"/>
      <c r="Y37" s="137"/>
      <c r="Z37" s="131" t="s">
        <v>43</v>
      </c>
      <c r="AA37" s="132">
        <f>AA36/1.1</f>
        <v>216127.27272727271</v>
      </c>
      <c r="AB37" s="134">
        <f>AA37/Z36</f>
        <v>419.66460723742273</v>
      </c>
      <c r="AC37" s="134">
        <f>AC36/1.1</f>
        <v>94509.090909090897</v>
      </c>
      <c r="AD37" s="134">
        <f>AC37/Z36</f>
        <v>183.51279788172991</v>
      </c>
      <c r="AE37" s="133">
        <f>AE36/1.1</f>
        <v>310636.36363636359</v>
      </c>
      <c r="AF37" s="140">
        <f>AE37/Z36</f>
        <v>603.17740511915258</v>
      </c>
      <c r="AG37" s="137"/>
      <c r="AH37" s="131" t="s">
        <v>43</v>
      </c>
      <c r="AI37" s="132">
        <f>AI36/1.1</f>
        <v>1566237.2727272727</v>
      </c>
      <c r="AJ37" s="134">
        <f>AI37/AH36</f>
        <v>3729.1363636363635</v>
      </c>
      <c r="AK37" s="134">
        <f>AK36/1.1</f>
        <v>543493.63636363635</v>
      </c>
      <c r="AL37" s="134">
        <f>AK37/AH36</f>
        <v>1294.0324675324675</v>
      </c>
      <c r="AM37" s="133">
        <f>AM36/1.1</f>
        <v>2109730.9090909087</v>
      </c>
      <c r="AN37" s="141" t="e">
        <f>AM37/AG36</f>
        <v>#DIV/0!</v>
      </c>
      <c r="AO37" s="137"/>
      <c r="AP37" s="131" t="s">
        <v>43</v>
      </c>
      <c r="AQ37" s="132">
        <f>AQ36/1.1</f>
        <v>12112818.181818182</v>
      </c>
      <c r="AR37" s="134">
        <f>AQ37/AP36</f>
        <v>2354.7469249257742</v>
      </c>
      <c r="AS37" s="134">
        <f>AS36/1.1</f>
        <v>6958118.1818181816</v>
      </c>
      <c r="AT37" s="134">
        <f>AS37/AP36</f>
        <v>1352.6668316131768</v>
      </c>
      <c r="AU37" s="134">
        <f>AU36/1.1</f>
        <v>123499.99999999999</v>
      </c>
      <c r="AV37" s="133">
        <f>AV36/1.1</f>
        <v>19170081.818181816</v>
      </c>
      <c r="AW37" s="141">
        <f>AV37/AP36</f>
        <v>3726.6877562561854</v>
      </c>
      <c r="AX37" s="142" t="s">
        <v>43</v>
      </c>
      <c r="AY37" s="132">
        <f>AY36/1.1</f>
        <v>21440928.18181818</v>
      </c>
      <c r="AZ37" s="132">
        <f>AZ36/1.1</f>
        <v>9253266.3636363633</v>
      </c>
      <c r="BA37" s="133">
        <f>BA36/1.1</f>
        <v>30749316.36363636</v>
      </c>
      <c r="BB37" s="143">
        <f>BB36/1.1</f>
        <v>71000</v>
      </c>
      <c r="BG37" s="144"/>
      <c r="BJ37" s="145">
        <f>BJ36/1.1</f>
        <v>9273890.9090909082</v>
      </c>
      <c r="BL37" s="145"/>
    </row>
    <row r="38" spans="2:64">
      <c r="C38" s="47">
        <v>30</v>
      </c>
      <c r="E38" s="146" t="s">
        <v>44</v>
      </c>
      <c r="F38" s="147">
        <f>E36/G38</f>
        <v>25.9</v>
      </c>
      <c r="G38" s="148">
        <v>30</v>
      </c>
      <c r="H38" s="147"/>
      <c r="I38" s="147"/>
      <c r="J38" s="149" t="s">
        <v>45</v>
      </c>
      <c r="K38" s="150">
        <f>J37/G38</f>
        <v>110103.03030303029</v>
      </c>
      <c r="M38" s="146" t="s">
        <v>44</v>
      </c>
      <c r="N38" s="147">
        <f>M36/O38</f>
        <v>18.466666666666665</v>
      </c>
      <c r="O38" s="148">
        <f>G38</f>
        <v>30</v>
      </c>
      <c r="P38" s="147"/>
      <c r="Q38" s="147"/>
      <c r="R38" s="149" t="s">
        <v>45</v>
      </c>
      <c r="S38" s="151">
        <f>R37/O38</f>
        <v>196659.99999999997</v>
      </c>
      <c r="U38" s="152">
        <f>O38</f>
        <v>30</v>
      </c>
      <c r="W38" s="85">
        <f>W37/U38</f>
        <v>306763.03030303027</v>
      </c>
      <c r="X38" s="77"/>
      <c r="AA38" s="153">
        <f>G38</f>
        <v>30</v>
      </c>
      <c r="AB38" s="147"/>
      <c r="AC38" s="147"/>
      <c r="AD38" s="147"/>
      <c r="AE38" s="147"/>
      <c r="AF38" s="150">
        <f>AE37/AA38</f>
        <v>10354.545454545452</v>
      </c>
      <c r="AI38" s="153">
        <f>AA38</f>
        <v>30</v>
      </c>
      <c r="AJ38" s="147"/>
      <c r="AK38" s="147"/>
      <c r="AL38" s="147"/>
      <c r="AM38" s="147"/>
      <c r="AN38" s="150">
        <f>AM37/AI38</f>
        <v>70324.363636363618</v>
      </c>
      <c r="AQ38" s="153">
        <f>G38</f>
        <v>30</v>
      </c>
      <c r="AR38" s="147"/>
      <c r="AS38" s="147"/>
      <c r="AT38" s="147"/>
      <c r="AU38" s="147"/>
      <c r="AV38" s="147"/>
      <c r="AW38" s="150">
        <f>AV37/AQ38</f>
        <v>639002.72727272718</v>
      </c>
      <c r="BA38" s="85"/>
      <c r="BB38" s="77" t="e">
        <f>BA37/BC37</f>
        <v>#DIV/0!</v>
      </c>
      <c r="BC38" s="154">
        <f>AX36+T36</f>
        <v>2662</v>
      </c>
      <c r="BG38" s="85"/>
    </row>
    <row r="39" spans="2:64">
      <c r="D39" s="155" t="s">
        <v>46</v>
      </c>
      <c r="E39" s="156"/>
      <c r="F39" s="147"/>
      <c r="G39" s="157"/>
      <c r="H39" s="147"/>
      <c r="I39" s="147"/>
      <c r="J39" s="149"/>
      <c r="K39" s="150"/>
      <c r="L39" s="158" t="s">
        <v>47</v>
      </c>
      <c r="M39" s="146"/>
      <c r="N39" s="147"/>
      <c r="O39" s="147"/>
      <c r="P39" s="147"/>
      <c r="Q39" s="147"/>
      <c r="R39" s="149"/>
      <c r="S39" s="150"/>
      <c r="W39" s="85"/>
      <c r="X39" s="77"/>
      <c r="Y39" s="158" t="s">
        <v>48</v>
      </c>
      <c r="AA39" s="147"/>
      <c r="AB39" s="147"/>
      <c r="AC39" s="147"/>
      <c r="AD39" s="147"/>
      <c r="AE39" s="147"/>
      <c r="AF39" s="150"/>
      <c r="AG39" s="158" t="s">
        <v>49</v>
      </c>
      <c r="AI39" s="147"/>
      <c r="AJ39" s="147"/>
      <c r="AK39" s="147"/>
      <c r="AL39" s="147"/>
      <c r="AM39" s="147"/>
      <c r="AN39" s="150"/>
      <c r="AO39" s="158" t="s">
        <v>50</v>
      </c>
      <c r="AQ39" s="147"/>
      <c r="AR39" s="147"/>
      <c r="AS39" s="147"/>
      <c r="AT39" s="147"/>
      <c r="AU39" s="147"/>
      <c r="AV39" s="147"/>
      <c r="AW39" s="150"/>
      <c r="BA39" s="77">
        <f>BA36+BB36</f>
        <v>33902348</v>
      </c>
      <c r="BB39" s="159">
        <f>BA39/G38</f>
        <v>1130078.2666666666</v>
      </c>
      <c r="BC39" s="47" t="s">
        <v>51</v>
      </c>
      <c r="BG39" s="85"/>
    </row>
    <row r="40" spans="2:64" ht="21.5" customHeight="1"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47">
        <v>25</v>
      </c>
      <c r="W40" s="77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BA40" s="161">
        <f>BA37+BB37</f>
        <v>30820316.36363636</v>
      </c>
    </row>
    <row r="41" spans="2:64" ht="21.5" customHeight="1">
      <c r="C41" s="158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47">
        <v>15</v>
      </c>
      <c r="V41" s="47">
        <f>17+10+14+5+7+8+9+6</f>
        <v>76</v>
      </c>
      <c r="W41" s="85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BA41" s="77"/>
      <c r="BB41" s="159">
        <f>BA40/G38</f>
        <v>1027343.8787878787</v>
      </c>
      <c r="BC41" s="47" t="s">
        <v>52</v>
      </c>
      <c r="BD41" s="47">
        <v>9</v>
      </c>
    </row>
    <row r="42" spans="2:64" ht="21.5" customHeight="1">
      <c r="C42" s="158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47">
        <v>13</v>
      </c>
      <c r="W42" s="77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0"/>
      <c r="AQ42" s="160"/>
      <c r="AR42" s="160"/>
      <c r="AS42" s="160"/>
      <c r="AT42" s="160"/>
      <c r="AU42" s="160"/>
      <c r="AV42" s="160"/>
      <c r="AW42" s="160"/>
      <c r="BD42" s="47">
        <v>8</v>
      </c>
      <c r="BE42" s="85">
        <f>AS37</f>
        <v>6958118.1818181816</v>
      </c>
    </row>
    <row r="43" spans="2:64" ht="21.5" customHeight="1">
      <c r="C43" s="158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47">
        <v>10</v>
      </c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60"/>
      <c r="AP43" s="160"/>
      <c r="AQ43" s="160"/>
      <c r="AR43" s="160"/>
      <c r="AS43" s="160"/>
      <c r="AT43" s="160"/>
      <c r="AU43" s="160"/>
      <c r="AV43" s="160"/>
      <c r="AW43" s="160"/>
      <c r="BA43" s="85">
        <f>BA37+BB37</f>
        <v>30820316.36363636</v>
      </c>
      <c r="BB43" s="162" t="s">
        <v>53</v>
      </c>
      <c r="BD43" s="47">
        <v>7</v>
      </c>
      <c r="BE43" s="163">
        <f>'[1]2023(7)'!AS37</f>
        <v>15843636.363636361</v>
      </c>
      <c r="BF43" s="163">
        <v>6266320</v>
      </c>
      <c r="BG43" s="164">
        <f>BF43/BE43</f>
        <v>0.39551021344962134</v>
      </c>
    </row>
    <row r="44" spans="2:64" ht="21.5" customHeight="1">
      <c r="C44" s="158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47">
        <v>40</v>
      </c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Y44" s="128"/>
      <c r="AZ44" s="165" t="s">
        <v>54</v>
      </c>
      <c r="BA44" s="145">
        <f>J45+R45+AE45+BB44+AM45+AV45</f>
        <v>36988982</v>
      </c>
      <c r="BB44" s="166"/>
      <c r="BC44" s="128"/>
      <c r="BD44" s="47">
        <v>6</v>
      </c>
      <c r="BE44" s="163">
        <v>7119727</v>
      </c>
      <c r="BF44" s="163">
        <v>2680643</v>
      </c>
      <c r="BG44" s="164">
        <f t="shared" ref="BG44:BG45" si="37">BF44/BE44</f>
        <v>0.37650923975034434</v>
      </c>
      <c r="BH44" s="47" t="s">
        <v>55</v>
      </c>
    </row>
    <row r="45" spans="2:64" ht="21" customHeight="1">
      <c r="H45" s="167"/>
      <c r="I45" s="168" t="s">
        <v>56</v>
      </c>
      <c r="J45" s="145">
        <v>3828272</v>
      </c>
      <c r="K45" s="169" t="s">
        <v>57</v>
      </c>
      <c r="L45" s="128"/>
      <c r="M45" s="128"/>
      <c r="N45" s="128"/>
      <c r="O45" s="128"/>
      <c r="P45" s="128"/>
      <c r="Q45" s="168" t="s">
        <v>58</v>
      </c>
      <c r="R45" s="145">
        <v>5319350</v>
      </c>
      <c r="S45" s="169" t="s">
        <v>57</v>
      </c>
      <c r="T45" s="128">
        <v>10</v>
      </c>
      <c r="U45" s="128"/>
      <c r="V45" s="168" t="s">
        <v>59</v>
      </c>
      <c r="W45" s="145">
        <f>J45+R45</f>
        <v>9147622</v>
      </c>
      <c r="X45" s="169" t="s">
        <v>57</v>
      </c>
      <c r="Y45" s="128"/>
      <c r="Z45" s="128"/>
      <c r="AA45" s="128"/>
      <c r="AB45" s="128"/>
      <c r="AC45" s="128"/>
      <c r="AD45" s="167" t="s">
        <v>60</v>
      </c>
      <c r="AE45" s="145">
        <v>356400</v>
      </c>
      <c r="AF45" s="169" t="s">
        <v>57</v>
      </c>
      <c r="AG45" s="169"/>
      <c r="AH45" s="169"/>
      <c r="AI45" s="169"/>
      <c r="AJ45" s="169"/>
      <c r="AK45" s="128"/>
      <c r="AL45" s="168" t="s">
        <v>61</v>
      </c>
      <c r="AM45" s="145">
        <v>1794960</v>
      </c>
      <c r="AN45" s="169" t="s">
        <v>57</v>
      </c>
      <c r="AO45" s="169"/>
      <c r="AP45" s="169"/>
      <c r="AQ45" s="169"/>
      <c r="AR45" s="169"/>
      <c r="AS45" s="128"/>
      <c r="AT45" s="168" t="s">
        <v>62</v>
      </c>
      <c r="AU45" s="168"/>
      <c r="AV45" s="145">
        <v>25690000</v>
      </c>
      <c r="AW45" s="169" t="s">
        <v>57</v>
      </c>
      <c r="AX45" s="128"/>
      <c r="AY45" s="128"/>
      <c r="AZ45" s="165" t="s">
        <v>63</v>
      </c>
      <c r="BA45" s="144">
        <f>BA44-BA37-BB37</f>
        <v>6168665.6363636404</v>
      </c>
      <c r="BB45" s="144">
        <f>BB44-BB37</f>
        <v>-71000</v>
      </c>
      <c r="BC45" s="170" t="e">
        <f>BB37/BB44</f>
        <v>#DIV/0!</v>
      </c>
      <c r="BD45" s="47">
        <v>5</v>
      </c>
      <c r="BE45" s="163">
        <v>637682</v>
      </c>
      <c r="BF45" s="163"/>
      <c r="BG45" s="164">
        <f t="shared" si="37"/>
        <v>0</v>
      </c>
      <c r="BH45" s="77" t="s">
        <v>64</v>
      </c>
      <c r="BL45" s="47"/>
    </row>
    <row r="46" spans="2:64" ht="21" customHeight="1">
      <c r="H46" s="167"/>
      <c r="I46" s="167" t="s">
        <v>63</v>
      </c>
      <c r="J46" s="144">
        <f>J45-J37</f>
        <v>525181.09090909129</v>
      </c>
      <c r="K46" s="171">
        <f>C38-G38</f>
        <v>0</v>
      </c>
      <c r="L46" s="128"/>
      <c r="M46" s="128"/>
      <c r="N46" s="128"/>
      <c r="O46" s="128"/>
      <c r="P46" s="128"/>
      <c r="Q46" s="167" t="s">
        <v>63</v>
      </c>
      <c r="R46" s="144">
        <f>R45-R37</f>
        <v>-580449.99999999907</v>
      </c>
      <c r="S46" s="128">
        <f>K46</f>
        <v>0</v>
      </c>
      <c r="T46" s="128">
        <v>1300000</v>
      </c>
      <c r="U46" s="128"/>
      <c r="V46" s="167" t="s">
        <v>63</v>
      </c>
      <c r="W46" s="144">
        <f>W45-W37</f>
        <v>-55268.909090908244</v>
      </c>
      <c r="X46" s="128">
        <f>S46</f>
        <v>0</v>
      </c>
      <c r="Y46" s="128"/>
      <c r="Z46" s="128"/>
      <c r="AA46" s="128"/>
      <c r="AB46" s="128"/>
      <c r="AC46" s="128"/>
      <c r="AD46" s="167" t="s">
        <v>63</v>
      </c>
      <c r="AE46" s="144">
        <f>AE45-AE37</f>
        <v>45763.636363636411</v>
      </c>
      <c r="AF46" s="128">
        <f>K46</f>
        <v>0</v>
      </c>
      <c r="AG46" s="128"/>
      <c r="AH46" s="128"/>
      <c r="AI46" s="128"/>
      <c r="AJ46" s="128"/>
      <c r="AK46" s="128"/>
      <c r="AL46" s="167" t="s">
        <v>63</v>
      </c>
      <c r="AM46" s="144">
        <f>AM45-AM37</f>
        <v>-314770.90909090871</v>
      </c>
      <c r="AN46" s="128">
        <f>AF46</f>
        <v>0</v>
      </c>
      <c r="AO46" s="128"/>
      <c r="AP46" s="128"/>
      <c r="AQ46" s="128"/>
      <c r="AR46" s="128"/>
      <c r="AS46" s="128"/>
      <c r="AT46" s="167" t="s">
        <v>63</v>
      </c>
      <c r="AU46" s="167"/>
      <c r="AV46" s="144">
        <f>AV45-AV37</f>
        <v>6519918.1818181835</v>
      </c>
      <c r="AW46" s="128">
        <f>AN46</f>
        <v>0</v>
      </c>
      <c r="AX46" s="128"/>
      <c r="AY46" s="172"/>
      <c r="AZ46" s="173" t="s">
        <v>65</v>
      </c>
      <c r="BA46" s="174" t="e">
        <f>BA45/K46</f>
        <v>#DIV/0!</v>
      </c>
      <c r="BB46" s="175">
        <f>(BA37+BB37)/BA44</f>
        <v>0.83322964561815627</v>
      </c>
      <c r="BC46" s="172"/>
      <c r="BD46" s="176"/>
      <c r="BE46" s="177">
        <f>SUM(BE41:BE45)</f>
        <v>30559163.545454543</v>
      </c>
      <c r="BF46" s="178">
        <f>BJ71</f>
        <v>9138052</v>
      </c>
      <c r="BG46" s="179">
        <f>BF46/BE46</f>
        <v>0.29902821084771541</v>
      </c>
      <c r="BH46" s="180">
        <f>BE46-BF46</f>
        <v>21421111.545454543</v>
      </c>
      <c r="BL46" s="47"/>
    </row>
    <row r="47" spans="2:64" s="176" customFormat="1" ht="26" customHeight="1">
      <c r="B47" s="181"/>
      <c r="H47" s="182"/>
      <c r="I47" s="173" t="s">
        <v>65</v>
      </c>
      <c r="J47" s="183" t="e">
        <f>J46/K46</f>
        <v>#DIV/0!</v>
      </c>
      <c r="K47" s="184">
        <f>J37/J45</f>
        <v>0.86281510537676231</v>
      </c>
      <c r="L47" s="172"/>
      <c r="M47" s="172"/>
      <c r="N47" s="172"/>
      <c r="O47" s="172"/>
      <c r="P47" s="172"/>
      <c r="Q47" s="173" t="s">
        <v>65</v>
      </c>
      <c r="R47" s="174" t="e">
        <f>R46/S46</f>
        <v>#DIV/0!</v>
      </c>
      <c r="S47" s="184">
        <f>R37/R45</f>
        <v>1.1091204752460355</v>
      </c>
      <c r="T47" s="219">
        <f>T46-R46</f>
        <v>1880449.9999999991</v>
      </c>
      <c r="U47" s="172"/>
      <c r="V47" s="173" t="s">
        <v>65</v>
      </c>
      <c r="W47" s="174" t="e">
        <f>W46/X46</f>
        <v>#DIV/0!</v>
      </c>
      <c r="X47" s="184">
        <f>W37/W45</f>
        <v>1.0060418881640396</v>
      </c>
      <c r="Y47" s="172"/>
      <c r="Z47" s="172"/>
      <c r="AA47" s="172"/>
      <c r="AB47" s="172"/>
      <c r="AC47" s="172"/>
      <c r="AD47" s="173" t="s">
        <v>65</v>
      </c>
      <c r="AE47" s="183" t="e">
        <f>AE46/AF46</f>
        <v>#DIV/0!</v>
      </c>
      <c r="AF47" s="184">
        <f>AE37/AE45</f>
        <v>0.87159473523109876</v>
      </c>
      <c r="AG47" s="184"/>
      <c r="AH47" s="184"/>
      <c r="AI47" s="184"/>
      <c r="AJ47" s="184"/>
      <c r="AK47" s="172"/>
      <c r="AL47" s="173" t="s">
        <v>65</v>
      </c>
      <c r="AM47" s="174" t="e">
        <f>AM46/AN46</f>
        <v>#DIV/0!</v>
      </c>
      <c r="AN47" s="184">
        <f>AM37/AM45</f>
        <v>1.1753637457608574</v>
      </c>
      <c r="AO47" s="184"/>
      <c r="AP47" s="184"/>
      <c r="AQ47" s="184"/>
      <c r="AR47" s="184"/>
      <c r="AS47" s="172"/>
      <c r="AT47" s="173" t="s">
        <v>65</v>
      </c>
      <c r="AU47" s="173"/>
      <c r="AV47" s="174" t="e">
        <f>AV46/AW46</f>
        <v>#DIV/0!</v>
      </c>
      <c r="AW47" s="184">
        <f>AV37/AV45</f>
        <v>0.74620793375561756</v>
      </c>
      <c r="AX47" s="172"/>
      <c r="AY47" s="47"/>
      <c r="AZ47" s="47"/>
      <c r="BA47" s="85"/>
      <c r="BB47" s="47"/>
      <c r="BC47" s="47"/>
      <c r="BD47" s="47"/>
      <c r="BH47" s="185"/>
      <c r="BJ47" s="185"/>
    </row>
    <row r="48" spans="2:64">
      <c r="H48" s="47">
        <v>777</v>
      </c>
      <c r="I48" s="47">
        <f>H48/31</f>
        <v>25.06451612903226</v>
      </c>
      <c r="K48" s="47">
        <f>J45/31</f>
        <v>123492.64516129032</v>
      </c>
      <c r="P48" s="47">
        <v>554</v>
      </c>
      <c r="Q48" s="47">
        <f>P48/31</f>
        <v>17.870967741935484</v>
      </c>
      <c r="S48" s="47">
        <f>R45/31</f>
        <v>171591.93548387097</v>
      </c>
      <c r="AY48" s="186"/>
      <c r="AZ48" s="186"/>
      <c r="BA48" s="186"/>
      <c r="BB48" s="186"/>
      <c r="BC48" s="186"/>
      <c r="BD48" s="186"/>
      <c r="BH48" s="77"/>
      <c r="BL48" s="47"/>
    </row>
    <row r="49" spans="2:62" s="186" customFormat="1" ht="24" customHeight="1">
      <c r="B49" s="187"/>
      <c r="I49" s="186" t="s">
        <v>66</v>
      </c>
      <c r="J49" s="188">
        <f>(I5+I8+I9+I10+I11+I12+I15+I16+I17+I18+I19+I22+I23+I24+I25+I26)/16</f>
        <v>520.88454292621566</v>
      </c>
      <c r="K49" s="186">
        <v>800000</v>
      </c>
      <c r="L49" s="189"/>
      <c r="M49" s="47"/>
      <c r="N49" s="47"/>
      <c r="O49" s="47"/>
      <c r="P49" s="47"/>
      <c r="Q49" s="47"/>
      <c r="R49" s="189">
        <v>400000</v>
      </c>
      <c r="AE49" s="186">
        <f>AE45/30</f>
        <v>11880</v>
      </c>
      <c r="AQ49" s="190">
        <f>AP14+AP21</f>
        <v>258</v>
      </c>
      <c r="AR49" s="191">
        <f>AR14+AR21</f>
        <v>4834.1429604628738</v>
      </c>
      <c r="AS49" s="191">
        <f>AT14+AT21</f>
        <v>3080.4725168756031</v>
      </c>
      <c r="AY49" s="1"/>
      <c r="AZ49" s="1"/>
      <c r="BA49" s="1"/>
      <c r="BB49" s="1"/>
      <c r="BC49" s="192" t="s">
        <v>67</v>
      </c>
      <c r="BD49" s="1" t="s">
        <v>68</v>
      </c>
      <c r="BE49" s="1" t="s">
        <v>69</v>
      </c>
      <c r="BF49" s="1" t="s">
        <v>70</v>
      </c>
      <c r="BG49" s="1" t="s">
        <v>71</v>
      </c>
      <c r="BH49" s="193" t="s">
        <v>72</v>
      </c>
      <c r="BI49" s="193" t="s">
        <v>73</v>
      </c>
      <c r="BJ49" s="193" t="s">
        <v>74</v>
      </c>
    </row>
    <row r="50" spans="2:62" s="1" customFormat="1" ht="24" customHeight="1">
      <c r="B50" s="187"/>
      <c r="I50" s="1" t="s">
        <v>75</v>
      </c>
      <c r="J50" s="188">
        <f>(I6+I7+I13+I14+I20+I21+I27)/7</f>
        <v>563.93636011664501</v>
      </c>
      <c r="L50" s="194"/>
      <c r="M50" s="47"/>
      <c r="N50" s="47"/>
      <c r="O50" s="47"/>
      <c r="P50" s="47"/>
      <c r="Q50" s="47"/>
      <c r="R50" s="194"/>
      <c r="S50" s="194"/>
      <c r="Z50" s="195"/>
      <c r="AQ50" s="1">
        <f>AQ49/2</f>
        <v>129</v>
      </c>
      <c r="AR50" s="196">
        <f t="shared" ref="AR50:AS50" si="38">AR49/2</f>
        <v>2417.0714802314369</v>
      </c>
      <c r="AS50" s="196">
        <f t="shared" si="38"/>
        <v>1540.2362584378016</v>
      </c>
      <c r="AY50" s="186"/>
      <c r="AZ50" s="186"/>
      <c r="BA50" s="186"/>
      <c r="BB50" s="186"/>
      <c r="BC50" s="192" t="s">
        <v>76</v>
      </c>
      <c r="BD50" s="197">
        <v>1800</v>
      </c>
      <c r="BE50" s="197">
        <v>21</v>
      </c>
      <c r="BF50" s="198">
        <v>0</v>
      </c>
      <c r="BG50" s="197"/>
      <c r="BH50" s="199">
        <f>BE50*BD50</f>
        <v>37800</v>
      </c>
      <c r="BI50" s="199">
        <f>BD50*BF50</f>
        <v>0</v>
      </c>
      <c r="BJ50" s="199">
        <f>BH50-BI50</f>
        <v>37800</v>
      </c>
    </row>
    <row r="51" spans="2:62" s="186" customFormat="1" ht="24" customHeight="1">
      <c r="B51" s="187"/>
      <c r="K51" s="1"/>
      <c r="L51" s="194"/>
      <c r="M51" s="47"/>
      <c r="N51" s="47"/>
      <c r="O51" s="47"/>
      <c r="P51" s="47"/>
      <c r="Q51" s="47"/>
      <c r="R51" s="200"/>
      <c r="S51" s="201"/>
      <c r="T51" s="201"/>
      <c r="U51" s="201" t="s">
        <v>77</v>
      </c>
      <c r="V51" s="201"/>
      <c r="W51" s="202"/>
      <c r="X51" s="203"/>
      <c r="Y51" s="192"/>
      <c r="Z51" s="199"/>
      <c r="BC51" s="192" t="s">
        <v>78</v>
      </c>
      <c r="BD51" s="197">
        <v>10800</v>
      </c>
      <c r="BE51" s="197">
        <v>640</v>
      </c>
      <c r="BF51" s="197">
        <v>20</v>
      </c>
      <c r="BG51" s="197"/>
      <c r="BH51" s="199">
        <f t="shared" ref="BH51:BH70" si="39">BD51*BE51</f>
        <v>6912000</v>
      </c>
      <c r="BI51" s="199">
        <f t="shared" ref="BI51:BI70" si="40">BD51*BF51</f>
        <v>216000</v>
      </c>
      <c r="BJ51" s="199">
        <f t="shared" ref="BJ51:BJ70" si="41">BH51-BI51</f>
        <v>6696000</v>
      </c>
    </row>
    <row r="52" spans="2:62" s="186" customFormat="1" ht="24" customHeight="1">
      <c r="B52" s="187"/>
      <c r="K52" s="1"/>
      <c r="L52" s="194"/>
      <c r="M52" s="47"/>
      <c r="N52" s="47"/>
      <c r="O52" s="47"/>
      <c r="P52" s="47"/>
      <c r="Q52" s="47"/>
      <c r="R52" s="202"/>
      <c r="S52" s="201"/>
      <c r="T52" s="201"/>
      <c r="U52" s="204" t="s">
        <v>79</v>
      </c>
      <c r="V52" s="205" t="s">
        <v>80</v>
      </c>
      <c r="W52" s="206"/>
      <c r="X52" s="207" t="e">
        <f>W52/Y52</f>
        <v>#DIV/0!</v>
      </c>
      <c r="Y52" s="208">
        <f>W52+W53</f>
        <v>0</v>
      </c>
      <c r="Z52" s="209"/>
      <c r="AA52" s="209"/>
      <c r="BC52" s="192" t="s">
        <v>81</v>
      </c>
      <c r="BD52" s="197">
        <v>6120</v>
      </c>
      <c r="BE52" s="197">
        <v>40</v>
      </c>
      <c r="BF52" s="197">
        <v>4</v>
      </c>
      <c r="BG52" s="197"/>
      <c r="BH52" s="199">
        <f t="shared" si="39"/>
        <v>244800</v>
      </c>
      <c r="BI52" s="199">
        <f t="shared" si="40"/>
        <v>24480</v>
      </c>
      <c r="BJ52" s="199">
        <f t="shared" si="41"/>
        <v>220320</v>
      </c>
    </row>
    <row r="53" spans="2:62" s="186" customFormat="1" ht="24" customHeight="1">
      <c r="B53" s="187"/>
      <c r="K53" s="1"/>
      <c r="L53" s="194"/>
      <c r="M53" s="47"/>
      <c r="N53" s="47"/>
      <c r="O53" s="47"/>
      <c r="P53" s="47"/>
      <c r="Q53" s="47"/>
      <c r="R53" s="202"/>
      <c r="S53" s="201"/>
      <c r="T53" s="201"/>
      <c r="U53" s="204"/>
      <c r="V53" s="205" t="s">
        <v>82</v>
      </c>
      <c r="W53" s="206"/>
      <c r="X53" s="207" t="e">
        <f>W53/Y52</f>
        <v>#DIV/0!</v>
      </c>
      <c r="Y53" s="209"/>
      <c r="Z53" s="209"/>
      <c r="AA53" s="209"/>
      <c r="BA53" s="186" t="s">
        <v>83</v>
      </c>
      <c r="BC53" s="192" t="s">
        <v>84</v>
      </c>
      <c r="BD53" s="197">
        <v>1780</v>
      </c>
      <c r="BE53" s="197">
        <v>24</v>
      </c>
      <c r="BF53" s="197">
        <v>4</v>
      </c>
      <c r="BG53" s="197"/>
      <c r="BH53" s="199">
        <f t="shared" si="39"/>
        <v>42720</v>
      </c>
      <c r="BI53" s="199">
        <f t="shared" si="40"/>
        <v>7120</v>
      </c>
      <c r="BJ53" s="199">
        <f t="shared" si="41"/>
        <v>35600</v>
      </c>
    </row>
    <row r="54" spans="2:62" s="186" customFormat="1" ht="24" customHeight="1">
      <c r="B54" s="187"/>
      <c r="K54" s="1"/>
      <c r="L54" s="194"/>
      <c r="M54" s="47"/>
      <c r="N54" s="47"/>
      <c r="O54" s="47"/>
      <c r="P54" s="47"/>
      <c r="Q54" s="47"/>
      <c r="R54" s="202"/>
      <c r="S54" s="201"/>
      <c r="T54" s="201"/>
      <c r="U54" s="210" t="s">
        <v>85</v>
      </c>
      <c r="V54" s="205" t="s">
        <v>80</v>
      </c>
      <c r="W54" s="206"/>
      <c r="X54" s="207" t="e">
        <f t="shared" ref="X54" si="42">W54/Y54</f>
        <v>#DIV/0!</v>
      </c>
      <c r="Y54" s="208">
        <f t="shared" ref="Y54" si="43">W54+W55</f>
        <v>0</v>
      </c>
      <c r="Z54" s="209"/>
      <c r="AA54" s="209"/>
      <c r="BC54" s="192" t="s">
        <v>86</v>
      </c>
      <c r="BD54" s="197">
        <v>1780</v>
      </c>
      <c r="BE54" s="197">
        <v>24</v>
      </c>
      <c r="BF54" s="197">
        <v>20</v>
      </c>
      <c r="BG54" s="197"/>
      <c r="BH54" s="199">
        <f t="shared" si="39"/>
        <v>42720</v>
      </c>
      <c r="BI54" s="199">
        <f t="shared" si="40"/>
        <v>35600</v>
      </c>
      <c r="BJ54" s="199">
        <f t="shared" si="41"/>
        <v>7120</v>
      </c>
    </row>
    <row r="55" spans="2:62" s="186" customFormat="1" ht="24" customHeight="1">
      <c r="B55" s="187"/>
      <c r="L55" s="189"/>
      <c r="M55" s="47"/>
      <c r="N55" s="47"/>
      <c r="O55" s="47"/>
      <c r="P55" s="47"/>
      <c r="Q55" s="47"/>
      <c r="R55" s="211"/>
      <c r="S55" s="201"/>
      <c r="T55" s="201"/>
      <c r="U55" s="210"/>
      <c r="V55" s="205" t="s">
        <v>82</v>
      </c>
      <c r="W55" s="206"/>
      <c r="X55" s="207" t="e">
        <f t="shared" ref="X55" si="44">W55/Y54</f>
        <v>#DIV/0!</v>
      </c>
      <c r="Y55" s="209"/>
      <c r="Z55" s="209"/>
      <c r="AA55" s="209"/>
      <c r="AS55" s="186">
        <f>3915*17</f>
        <v>66555</v>
      </c>
      <c r="AT55" s="186">
        <f>1305*17</f>
        <v>22185</v>
      </c>
      <c r="AV55" s="186">
        <f>609*17</f>
        <v>10353</v>
      </c>
      <c r="AW55" s="186">
        <f>AT55+AV55</f>
        <v>32538</v>
      </c>
      <c r="AY55" s="47"/>
      <c r="AZ55" s="47"/>
      <c r="BA55" s="47"/>
      <c r="BB55" s="47"/>
      <c r="BC55" s="192" t="s">
        <v>87</v>
      </c>
      <c r="BD55" s="212">
        <v>8190</v>
      </c>
      <c r="BE55" s="197">
        <v>13</v>
      </c>
      <c r="BF55" s="197">
        <v>4</v>
      </c>
      <c r="BG55" s="197"/>
      <c r="BH55" s="199">
        <f t="shared" si="39"/>
        <v>106470</v>
      </c>
      <c r="BI55" s="199">
        <f t="shared" si="40"/>
        <v>32760</v>
      </c>
      <c r="BJ55" s="199">
        <f t="shared" si="41"/>
        <v>73710</v>
      </c>
    </row>
    <row r="56" spans="2:62" ht="24" customHeight="1">
      <c r="U56" s="213" t="s">
        <v>2</v>
      </c>
      <c r="V56" s="214" t="s">
        <v>80</v>
      </c>
      <c r="W56" s="206"/>
      <c r="X56" s="207" t="e">
        <f t="shared" ref="X56:X58" si="45">W56/Y56</f>
        <v>#DIV/0!</v>
      </c>
      <c r="Y56" s="208">
        <f t="shared" ref="Y56" si="46">W56+W57</f>
        <v>0</v>
      </c>
      <c r="Z56" s="209"/>
      <c r="AA56" s="209"/>
      <c r="BC56" s="192" t="s">
        <v>88</v>
      </c>
      <c r="BD56" s="212">
        <v>5784</v>
      </c>
      <c r="BE56" s="212">
        <v>36</v>
      </c>
      <c r="BF56" s="212">
        <v>28</v>
      </c>
      <c r="BG56" s="212"/>
      <c r="BH56" s="199">
        <f t="shared" si="39"/>
        <v>208224</v>
      </c>
      <c r="BI56" s="199">
        <f t="shared" si="40"/>
        <v>161952</v>
      </c>
      <c r="BJ56" s="199">
        <f t="shared" si="41"/>
        <v>46272</v>
      </c>
    </row>
    <row r="57" spans="2:62" ht="24" customHeight="1">
      <c r="U57" s="213"/>
      <c r="V57" s="214" t="s">
        <v>82</v>
      </c>
      <c r="W57" s="206"/>
      <c r="X57" s="207" t="e">
        <f t="shared" ref="X57:X59" si="47">W57/Y56</f>
        <v>#DIV/0!</v>
      </c>
      <c r="Y57" s="209"/>
      <c r="Z57" s="209"/>
      <c r="AA57" s="209"/>
      <c r="BC57" s="192" t="s">
        <v>89</v>
      </c>
      <c r="BD57" s="212">
        <v>6775</v>
      </c>
      <c r="BE57" s="212">
        <v>12</v>
      </c>
      <c r="BF57" s="212">
        <v>11</v>
      </c>
      <c r="BG57" s="212"/>
      <c r="BH57" s="199">
        <f t="shared" si="39"/>
        <v>81300</v>
      </c>
      <c r="BI57" s="199">
        <f t="shared" si="40"/>
        <v>74525</v>
      </c>
      <c r="BJ57" s="199">
        <f t="shared" si="41"/>
        <v>6775</v>
      </c>
    </row>
    <row r="58" spans="2:62" ht="24" customHeight="1">
      <c r="U58" s="215" t="s">
        <v>90</v>
      </c>
      <c r="V58" s="214" t="s">
        <v>80</v>
      </c>
      <c r="W58" s="206"/>
      <c r="X58" s="207" t="e">
        <f t="shared" si="45"/>
        <v>#DIV/0!</v>
      </c>
      <c r="Y58" s="216">
        <f>SUM(Y52:AA56)</f>
        <v>0</v>
      </c>
      <c r="Z58" s="217"/>
      <c r="AA58" s="217"/>
      <c r="BC58" s="192" t="s">
        <v>91</v>
      </c>
      <c r="BD58" s="212">
        <v>1755</v>
      </c>
      <c r="BE58" s="212">
        <v>14</v>
      </c>
      <c r="BF58" s="212">
        <v>2</v>
      </c>
      <c r="BG58" s="212"/>
      <c r="BH58" s="199">
        <f t="shared" si="39"/>
        <v>24570</v>
      </c>
      <c r="BI58" s="199">
        <f t="shared" si="40"/>
        <v>3510</v>
      </c>
      <c r="BJ58" s="199">
        <f t="shared" si="41"/>
        <v>21060</v>
      </c>
    </row>
    <row r="59" spans="2:62" ht="24" customHeight="1">
      <c r="U59" s="215"/>
      <c r="V59" s="214" t="s">
        <v>82</v>
      </c>
      <c r="W59" s="206"/>
      <c r="X59" s="207" t="e">
        <f t="shared" si="47"/>
        <v>#DIV/0!</v>
      </c>
      <c r="Y59" s="217"/>
      <c r="Z59" s="217"/>
      <c r="AA59" s="217"/>
      <c r="BC59" s="192" t="s">
        <v>92</v>
      </c>
      <c r="BD59" s="212">
        <v>1755</v>
      </c>
      <c r="BE59" s="212">
        <v>10</v>
      </c>
      <c r="BF59" s="212">
        <v>0</v>
      </c>
      <c r="BG59" s="212"/>
      <c r="BH59" s="199">
        <f t="shared" si="39"/>
        <v>17550</v>
      </c>
      <c r="BI59" s="199">
        <f t="shared" si="40"/>
        <v>0</v>
      </c>
      <c r="BJ59" s="199">
        <f t="shared" si="41"/>
        <v>17550</v>
      </c>
    </row>
    <row r="60" spans="2:62" ht="24" customHeight="1">
      <c r="BC60" s="192" t="s">
        <v>93</v>
      </c>
      <c r="BD60" s="212">
        <v>1075</v>
      </c>
      <c r="BE60" s="212">
        <v>96</v>
      </c>
      <c r="BF60" s="212">
        <v>38</v>
      </c>
      <c r="BG60" s="212"/>
      <c r="BH60" s="199">
        <f t="shared" si="39"/>
        <v>103200</v>
      </c>
      <c r="BI60" s="199">
        <f t="shared" si="40"/>
        <v>40850</v>
      </c>
      <c r="BJ60" s="199">
        <f t="shared" si="41"/>
        <v>62350</v>
      </c>
    </row>
    <row r="61" spans="2:62" ht="24" customHeight="1">
      <c r="BC61" s="192" t="s">
        <v>94</v>
      </c>
      <c r="BD61" s="212">
        <v>3860</v>
      </c>
      <c r="BE61" s="212">
        <v>166</v>
      </c>
      <c r="BF61" s="212">
        <v>13</v>
      </c>
      <c r="BG61" s="212"/>
      <c r="BH61" s="199">
        <f t="shared" si="39"/>
        <v>640760</v>
      </c>
      <c r="BI61" s="199">
        <f t="shared" si="40"/>
        <v>50180</v>
      </c>
      <c r="BJ61" s="199">
        <f t="shared" si="41"/>
        <v>590580</v>
      </c>
    </row>
    <row r="62" spans="2:62" ht="24" customHeight="1">
      <c r="BC62" s="192" t="s">
        <v>95</v>
      </c>
      <c r="BD62" s="212">
        <v>6450</v>
      </c>
      <c r="BE62" s="212">
        <v>137</v>
      </c>
      <c r="BF62" s="212">
        <v>12</v>
      </c>
      <c r="BG62" s="212"/>
      <c r="BH62" s="199">
        <f t="shared" si="39"/>
        <v>883650</v>
      </c>
      <c r="BI62" s="199">
        <f t="shared" si="40"/>
        <v>77400</v>
      </c>
      <c r="BJ62" s="199">
        <f t="shared" si="41"/>
        <v>806250</v>
      </c>
    </row>
    <row r="63" spans="2:62" ht="24" customHeight="1">
      <c r="BC63" s="192" t="s">
        <v>96</v>
      </c>
      <c r="BD63" s="212">
        <v>1380</v>
      </c>
      <c r="BE63" s="212">
        <v>35</v>
      </c>
      <c r="BF63" s="212">
        <v>5</v>
      </c>
      <c r="BG63" s="212"/>
      <c r="BH63" s="199">
        <f t="shared" si="39"/>
        <v>48300</v>
      </c>
      <c r="BI63" s="199">
        <f t="shared" si="40"/>
        <v>6900</v>
      </c>
      <c r="BJ63" s="199">
        <f t="shared" si="41"/>
        <v>41400</v>
      </c>
    </row>
    <row r="64" spans="2:62" ht="24" customHeight="1">
      <c r="BC64" s="192" t="s">
        <v>97</v>
      </c>
      <c r="BD64" s="212">
        <v>1380</v>
      </c>
      <c r="BE64" s="212">
        <v>39</v>
      </c>
      <c r="BF64" s="212">
        <v>6</v>
      </c>
      <c r="BG64" s="212"/>
      <c r="BH64" s="199">
        <f t="shared" si="39"/>
        <v>53820</v>
      </c>
      <c r="BI64" s="199">
        <f t="shared" si="40"/>
        <v>8280</v>
      </c>
      <c r="BJ64" s="199">
        <f t="shared" si="41"/>
        <v>45540</v>
      </c>
    </row>
    <row r="65" spans="55:62" ht="24" customHeight="1">
      <c r="BC65" s="192" t="s">
        <v>98</v>
      </c>
      <c r="BD65" s="212">
        <v>160</v>
      </c>
      <c r="BE65" s="212">
        <v>594</v>
      </c>
      <c r="BF65" s="212">
        <v>53</v>
      </c>
      <c r="BG65" s="212"/>
      <c r="BH65" s="199">
        <f t="shared" si="39"/>
        <v>95040</v>
      </c>
      <c r="BI65" s="199">
        <f t="shared" si="40"/>
        <v>8480</v>
      </c>
      <c r="BJ65" s="199">
        <f t="shared" si="41"/>
        <v>86560</v>
      </c>
    </row>
    <row r="66" spans="55:62" ht="24" customHeight="1">
      <c r="BC66" s="192" t="s">
        <v>99</v>
      </c>
      <c r="BD66" s="212">
        <v>160</v>
      </c>
      <c r="BE66" s="212">
        <v>300</v>
      </c>
      <c r="BF66" s="212">
        <v>47</v>
      </c>
      <c r="BG66" s="212"/>
      <c r="BH66" s="199">
        <f t="shared" si="39"/>
        <v>48000</v>
      </c>
      <c r="BI66" s="199">
        <f t="shared" si="40"/>
        <v>7520</v>
      </c>
      <c r="BJ66" s="199">
        <f t="shared" si="41"/>
        <v>40480</v>
      </c>
    </row>
    <row r="67" spans="55:62" ht="24" customHeight="1">
      <c r="BC67" s="192" t="s">
        <v>100</v>
      </c>
      <c r="BD67" s="212">
        <v>205</v>
      </c>
      <c r="BE67" s="212">
        <v>366</v>
      </c>
      <c r="BF67" s="212">
        <v>49</v>
      </c>
      <c r="BG67" s="212"/>
      <c r="BH67" s="199">
        <f t="shared" si="39"/>
        <v>75030</v>
      </c>
      <c r="BI67" s="199">
        <f t="shared" si="40"/>
        <v>10045</v>
      </c>
      <c r="BJ67" s="199">
        <f t="shared" si="41"/>
        <v>64985</v>
      </c>
    </row>
    <row r="68" spans="55:62" ht="24" customHeight="1">
      <c r="BC68" s="192" t="s">
        <v>101</v>
      </c>
      <c r="BD68" s="212">
        <v>295</v>
      </c>
      <c r="BE68" s="212">
        <v>612</v>
      </c>
      <c r="BF68" s="212">
        <v>86</v>
      </c>
      <c r="BG68" s="212"/>
      <c r="BH68" s="199">
        <f t="shared" si="39"/>
        <v>180540</v>
      </c>
      <c r="BI68" s="199">
        <f t="shared" si="40"/>
        <v>25370</v>
      </c>
      <c r="BJ68" s="199">
        <f t="shared" si="41"/>
        <v>155170</v>
      </c>
    </row>
    <row r="69" spans="55:62" ht="24" customHeight="1">
      <c r="BC69" s="192" t="s">
        <v>102</v>
      </c>
      <c r="BD69" s="212">
        <v>70</v>
      </c>
      <c r="BE69" s="212">
        <v>480</v>
      </c>
      <c r="BF69" s="212">
        <v>71</v>
      </c>
      <c r="BG69" s="212"/>
      <c r="BH69" s="199">
        <f t="shared" si="39"/>
        <v>33600</v>
      </c>
      <c r="BI69" s="199">
        <f t="shared" si="40"/>
        <v>4970</v>
      </c>
      <c r="BJ69" s="199">
        <f t="shared" si="41"/>
        <v>28630</v>
      </c>
    </row>
    <row r="70" spans="55:62" ht="24" customHeight="1">
      <c r="BC70" s="192" t="s">
        <v>103</v>
      </c>
      <c r="BD70" s="212">
        <v>2450</v>
      </c>
      <c r="BE70" s="212">
        <v>31</v>
      </c>
      <c r="BF70" s="212">
        <v>9</v>
      </c>
      <c r="BG70" s="212"/>
      <c r="BH70" s="199">
        <f t="shared" si="39"/>
        <v>75950</v>
      </c>
      <c r="BI70" s="199">
        <f t="shared" si="40"/>
        <v>22050</v>
      </c>
      <c r="BJ70" s="199">
        <f t="shared" si="41"/>
        <v>53900</v>
      </c>
    </row>
    <row r="71" spans="55:62" ht="24" customHeight="1">
      <c r="BC71" s="192"/>
      <c r="BH71" s="218">
        <f>SUM(BH50:BH70)</f>
        <v>9956044</v>
      </c>
      <c r="BI71" s="218">
        <f t="shared" ref="BI71:BJ71" si="48">SUM(BI50:BI70)</f>
        <v>817992</v>
      </c>
      <c r="BJ71" s="218">
        <f t="shared" si="48"/>
        <v>9138052</v>
      </c>
    </row>
    <row r="72" spans="55:62" ht="24" customHeight="1">
      <c r="BC72" s="192"/>
    </row>
    <row r="73" spans="55:62" ht="24" customHeight="1">
      <c r="BC73" s="192"/>
    </row>
    <row r="74" spans="55:62" ht="24" customHeight="1">
      <c r="BC74" s="192"/>
    </row>
    <row r="75" spans="55:62" ht="24" customHeight="1">
      <c r="BC75" s="192"/>
    </row>
    <row r="76" spans="55:62" ht="24" customHeight="1">
      <c r="BC76" s="192"/>
    </row>
    <row r="77" spans="55:62" ht="24" customHeight="1">
      <c r="BC77" s="192"/>
    </row>
    <row r="78" spans="55:62" ht="24" customHeight="1">
      <c r="BC78" s="192"/>
    </row>
    <row r="79" spans="55:62" ht="24" customHeight="1">
      <c r="BC79" s="192"/>
    </row>
    <row r="80" spans="55:62" ht="24" customHeight="1">
      <c r="BC80" s="192"/>
    </row>
    <row r="81" spans="55:55" ht="24" customHeight="1">
      <c r="BC81" s="192"/>
    </row>
    <row r="82" spans="55:55" ht="24" customHeight="1">
      <c r="BC82" s="192"/>
    </row>
    <row r="83" spans="55:55" ht="24" customHeight="1">
      <c r="BC83" s="192"/>
    </row>
    <row r="84" spans="55:55" ht="24" customHeight="1">
      <c r="BC84" s="192"/>
    </row>
    <row r="85" spans="55:55" ht="24" customHeight="1">
      <c r="BC85" s="192"/>
    </row>
    <row r="86" spans="55:55" ht="24" customHeight="1">
      <c r="BC86" s="192"/>
    </row>
    <row r="87" spans="55:55" ht="24" customHeight="1">
      <c r="BC87" s="192"/>
    </row>
    <row r="88" spans="55:55" ht="24" customHeight="1">
      <c r="BC88" s="192"/>
    </row>
    <row r="89" spans="55:55" ht="24" customHeight="1">
      <c r="BC89" s="192"/>
    </row>
    <row r="90" spans="55:55" ht="24" customHeight="1">
      <c r="BC90" s="192"/>
    </row>
    <row r="91" spans="55:55" ht="24" customHeight="1">
      <c r="BC91" s="192"/>
    </row>
    <row r="92" spans="55:55" ht="24" customHeight="1">
      <c r="BC92" s="192"/>
    </row>
    <row r="93" spans="55:55" ht="24" customHeight="1">
      <c r="BC93" s="192"/>
    </row>
    <row r="94" spans="55:55" ht="24" customHeight="1">
      <c r="BC94" s="192"/>
    </row>
    <row r="95" spans="55:55" ht="24" customHeight="1">
      <c r="BC95" s="192"/>
    </row>
    <row r="96" spans="55:55" ht="24" customHeight="1">
      <c r="BC96" s="192"/>
    </row>
    <row r="97" spans="55:55" ht="24" customHeight="1">
      <c r="BC97" s="192"/>
    </row>
    <row r="98" spans="55:55" ht="24" customHeight="1">
      <c r="BC98" s="192"/>
    </row>
    <row r="99" spans="55:55" ht="24" customHeight="1">
      <c r="BC99" s="192"/>
    </row>
    <row r="100" spans="55:55" ht="24" customHeight="1">
      <c r="BC100" s="192"/>
    </row>
    <row r="101" spans="55:55" ht="24" customHeight="1">
      <c r="BC101" s="192"/>
    </row>
    <row r="102" spans="55:55" ht="24" customHeight="1">
      <c r="BC102" s="192"/>
    </row>
    <row r="103" spans="55:55" ht="24" customHeight="1">
      <c r="BC103" s="192"/>
    </row>
    <row r="104" spans="55:55" ht="24" customHeight="1">
      <c r="BC104" s="192"/>
    </row>
    <row r="105" spans="55:55" ht="24" customHeight="1">
      <c r="BC105" s="192"/>
    </row>
    <row r="106" spans="55:55" ht="24" customHeight="1">
      <c r="BC106" s="192"/>
    </row>
    <row r="107" spans="55:55" ht="24" customHeight="1">
      <c r="BC107" s="192"/>
    </row>
    <row r="108" spans="55:55" ht="24" customHeight="1">
      <c r="BC108" s="192"/>
    </row>
    <row r="109" spans="55:55" ht="24" customHeight="1">
      <c r="BC109" s="192"/>
    </row>
    <row r="110" spans="55:55" ht="24" customHeight="1">
      <c r="BC110" s="192"/>
    </row>
    <row r="111" spans="55:55" ht="24" customHeight="1">
      <c r="BC111" s="192"/>
    </row>
    <row r="112" spans="55:55" ht="24" customHeight="1">
      <c r="BC112" s="192"/>
    </row>
    <row r="113" spans="55:55" ht="24" customHeight="1">
      <c r="BC113" s="192"/>
    </row>
    <row r="114" spans="55:55" ht="24" customHeight="1">
      <c r="BC114" s="192"/>
    </row>
    <row r="115" spans="55:55" ht="24" customHeight="1">
      <c r="BC115" s="192"/>
    </row>
    <row r="116" spans="55:55" ht="24" customHeight="1">
      <c r="BC116" s="192"/>
    </row>
    <row r="117" spans="55:55" ht="24" customHeight="1">
      <c r="BC117" s="192"/>
    </row>
    <row r="118" spans="55:55" ht="24" customHeight="1">
      <c r="BC118" s="192"/>
    </row>
    <row r="119" spans="55:55" ht="24" customHeight="1">
      <c r="BC119" s="192"/>
    </row>
    <row r="120" spans="55:55" ht="24" customHeight="1">
      <c r="BC120" s="192"/>
    </row>
    <row r="121" spans="55:55" ht="24" customHeight="1">
      <c r="BC121" s="192"/>
    </row>
    <row r="122" spans="55:55" ht="24" customHeight="1">
      <c r="BC122" s="192"/>
    </row>
    <row r="123" spans="55:55" ht="24" customHeight="1">
      <c r="BC123" s="192"/>
    </row>
    <row r="124" spans="55:55" ht="24" customHeight="1">
      <c r="BC124" s="192"/>
    </row>
    <row r="125" spans="55:55" ht="24" customHeight="1">
      <c r="BC125" s="192"/>
    </row>
    <row r="126" spans="55:55" ht="24" customHeight="1">
      <c r="BC126" s="192"/>
    </row>
    <row r="127" spans="55:55" ht="24" customHeight="1">
      <c r="BC127" s="192"/>
    </row>
    <row r="128" spans="55:55" ht="24" customHeight="1">
      <c r="BC128" s="192"/>
    </row>
    <row r="129" spans="55:55" ht="24" customHeight="1">
      <c r="BC129" s="192"/>
    </row>
    <row r="130" spans="55:55" ht="24" customHeight="1">
      <c r="BC130" s="192"/>
    </row>
    <row r="131" spans="55:55" ht="24" customHeight="1">
      <c r="BC131" s="192"/>
    </row>
    <row r="132" spans="55:55" ht="24" customHeight="1">
      <c r="BC132" s="192"/>
    </row>
    <row r="133" spans="55:55" ht="24" customHeight="1">
      <c r="BC133" s="192"/>
    </row>
    <row r="134" spans="55:55" ht="24" customHeight="1">
      <c r="BC134" s="192"/>
    </row>
    <row r="135" spans="55:55" ht="24" customHeight="1">
      <c r="BC135" s="192"/>
    </row>
    <row r="136" spans="55:55" ht="24" customHeight="1">
      <c r="BC136" s="192"/>
    </row>
    <row r="137" spans="55:55" ht="24" customHeight="1">
      <c r="BC137" s="192"/>
    </row>
    <row r="138" spans="55:55" ht="24" customHeight="1">
      <c r="BC138" s="192"/>
    </row>
    <row r="139" spans="55:55" ht="24" customHeight="1">
      <c r="BC139" s="192"/>
    </row>
    <row r="140" spans="55:55" ht="24" customHeight="1">
      <c r="BC140" s="192"/>
    </row>
    <row r="141" spans="55:55" ht="24" customHeight="1">
      <c r="BC141" s="192"/>
    </row>
    <row r="142" spans="55:55" ht="24" customHeight="1">
      <c r="BC142" s="192"/>
    </row>
    <row r="143" spans="55:55" ht="24" customHeight="1">
      <c r="BC143" s="192"/>
    </row>
    <row r="144" spans="55:55" ht="24" customHeight="1">
      <c r="BC144" s="192"/>
    </row>
    <row r="145" spans="55:55" ht="24" customHeight="1">
      <c r="BC145" s="192"/>
    </row>
    <row r="146" spans="55:55" ht="24" customHeight="1">
      <c r="BC146" s="192"/>
    </row>
    <row r="147" spans="55:55" ht="24" customHeight="1">
      <c r="BC147" s="192"/>
    </row>
    <row r="148" spans="55:55" ht="24" customHeight="1">
      <c r="BC148" s="192"/>
    </row>
    <row r="149" spans="55:55" ht="24" customHeight="1">
      <c r="BC149" s="192"/>
    </row>
    <row r="150" spans="55:55" ht="24" customHeight="1">
      <c r="BC150" s="192"/>
    </row>
    <row r="151" spans="55:55" ht="24" customHeight="1">
      <c r="BC151" s="192"/>
    </row>
    <row r="152" spans="55:55" ht="24" customHeight="1">
      <c r="BC152" s="192"/>
    </row>
    <row r="153" spans="55:55" ht="24" customHeight="1">
      <c r="BC153" s="192"/>
    </row>
    <row r="154" spans="55:55" ht="24" customHeight="1">
      <c r="BC154" s="192"/>
    </row>
    <row r="155" spans="55:55" ht="24" customHeight="1">
      <c r="BC155" s="192"/>
    </row>
    <row r="156" spans="55:55" ht="24" customHeight="1">
      <c r="BC156" s="192"/>
    </row>
    <row r="157" spans="55:55" ht="24" customHeight="1">
      <c r="BC157" s="192"/>
    </row>
    <row r="158" spans="55:55" ht="24" customHeight="1">
      <c r="BC158" s="192"/>
    </row>
    <row r="159" spans="55:55" ht="24" customHeight="1">
      <c r="BC159" s="192"/>
    </row>
    <row r="160" spans="55:55" ht="24" customHeight="1">
      <c r="BC160" s="192"/>
    </row>
    <row r="161" spans="55:55" ht="24" customHeight="1">
      <c r="BC161" s="192"/>
    </row>
    <row r="162" spans="55:55" ht="24" customHeight="1">
      <c r="BC162" s="192"/>
    </row>
    <row r="163" spans="55:55" ht="24" customHeight="1">
      <c r="BC163" s="192"/>
    </row>
    <row r="164" spans="55:55" ht="24" customHeight="1">
      <c r="BC164" s="192"/>
    </row>
    <row r="165" spans="55:55" ht="24" customHeight="1">
      <c r="BC165" s="192"/>
    </row>
    <row r="166" spans="55:55" ht="24" customHeight="1">
      <c r="BC166" s="192"/>
    </row>
    <row r="167" spans="55:55" ht="24" customHeight="1">
      <c r="BC167" s="192"/>
    </row>
    <row r="168" spans="55:55" ht="24" customHeight="1">
      <c r="BC168" s="192"/>
    </row>
    <row r="169" spans="55:55" ht="24" customHeight="1">
      <c r="BC169" s="192"/>
    </row>
    <row r="170" spans="55:55" ht="24" customHeight="1">
      <c r="BC170" s="192"/>
    </row>
    <row r="171" spans="55:55" ht="24" customHeight="1">
      <c r="BC171" s="192"/>
    </row>
    <row r="172" spans="55:55" ht="24" customHeight="1">
      <c r="BC172" s="192"/>
    </row>
    <row r="173" spans="55:55" ht="24" customHeight="1">
      <c r="BC173" s="192"/>
    </row>
    <row r="174" spans="55:55" ht="24" customHeight="1">
      <c r="BC174" s="192"/>
    </row>
    <row r="175" spans="55:55" ht="24" customHeight="1">
      <c r="BC175" s="192"/>
    </row>
    <row r="176" spans="55:55" ht="24" customHeight="1">
      <c r="BC176" s="192"/>
    </row>
    <row r="177" spans="55:55" ht="24" customHeight="1">
      <c r="BC177" s="192"/>
    </row>
    <row r="178" spans="55:55" ht="24" customHeight="1">
      <c r="BC178" s="192"/>
    </row>
    <row r="179" spans="55:55" ht="24" customHeight="1">
      <c r="BC179" s="192"/>
    </row>
    <row r="180" spans="55:55" ht="24" customHeight="1">
      <c r="BC180" s="192"/>
    </row>
    <row r="181" spans="55:55" ht="24" customHeight="1">
      <c r="BC181" s="192"/>
    </row>
    <row r="182" spans="55:55" ht="24" customHeight="1">
      <c r="BC182" s="192"/>
    </row>
    <row r="183" spans="55:55" ht="24" customHeight="1">
      <c r="BC183" s="192"/>
    </row>
    <row r="184" spans="55:55">
      <c r="BC184" s="192"/>
    </row>
    <row r="185" spans="55:55">
      <c r="BC185" s="192"/>
    </row>
    <row r="186" spans="55:55">
      <c r="BC186" s="192"/>
    </row>
    <row r="187" spans="55:55">
      <c r="BC187" s="192"/>
    </row>
    <row r="188" spans="55:55">
      <c r="BC188" s="192"/>
    </row>
    <row r="189" spans="55:55">
      <c r="BC189" s="192"/>
    </row>
    <row r="190" spans="55:55">
      <c r="BC190" s="192"/>
    </row>
    <row r="191" spans="55:55">
      <c r="BC191" s="192"/>
    </row>
    <row r="192" spans="55:55">
      <c r="BC192" s="192"/>
    </row>
    <row r="193" spans="55:55">
      <c r="BC193" s="192"/>
    </row>
    <row r="194" spans="55:55">
      <c r="BC194" s="192"/>
    </row>
    <row r="195" spans="55:55">
      <c r="BC195" s="192"/>
    </row>
    <row r="196" spans="55:55">
      <c r="BC196" s="192"/>
    </row>
    <row r="197" spans="55:55">
      <c r="BC197" s="192"/>
    </row>
    <row r="198" spans="55:55">
      <c r="BC198" s="192"/>
    </row>
    <row r="199" spans="55:55">
      <c r="BC199" s="192"/>
    </row>
    <row r="200" spans="55:55">
      <c r="BC200" s="192"/>
    </row>
    <row r="201" spans="55:55">
      <c r="BC201" s="192"/>
    </row>
    <row r="202" spans="55:55">
      <c r="BC202" s="192"/>
    </row>
    <row r="203" spans="55:55">
      <c r="BC203" s="192"/>
    </row>
    <row r="204" spans="55:55">
      <c r="BC204" s="192"/>
    </row>
    <row r="205" spans="55:55">
      <c r="BC205" s="192"/>
    </row>
    <row r="206" spans="55:55">
      <c r="BC206" s="192"/>
    </row>
    <row r="207" spans="55:55">
      <c r="BC207" s="192"/>
    </row>
    <row r="208" spans="55:55">
      <c r="BC208" s="192"/>
    </row>
    <row r="209" spans="55:55">
      <c r="BC209" s="192"/>
    </row>
    <row r="210" spans="55:55">
      <c r="BC210" s="192"/>
    </row>
    <row r="211" spans="55:55">
      <c r="BC211" s="192"/>
    </row>
    <row r="212" spans="55:55">
      <c r="BC212" s="192"/>
    </row>
    <row r="213" spans="55:55">
      <c r="BC213" s="192"/>
    </row>
    <row r="214" spans="55:55">
      <c r="BC214" s="192"/>
    </row>
    <row r="215" spans="55:55">
      <c r="BC215" s="192"/>
    </row>
    <row r="216" spans="55:55">
      <c r="BC216" s="192"/>
    </row>
    <row r="217" spans="55:55">
      <c r="BC217" s="192"/>
    </row>
    <row r="218" spans="55:55">
      <c r="BC218" s="192"/>
    </row>
    <row r="219" spans="55:55">
      <c r="BC219" s="192"/>
    </row>
    <row r="220" spans="55:55">
      <c r="BC220" s="192"/>
    </row>
    <row r="221" spans="55:55">
      <c r="BC221" s="192"/>
    </row>
    <row r="222" spans="55:55">
      <c r="BC222" s="192"/>
    </row>
    <row r="223" spans="55:55">
      <c r="BC223" s="192"/>
    </row>
    <row r="224" spans="55:55">
      <c r="BC224" s="192"/>
    </row>
  </sheetData>
  <mergeCells count="22">
    <mergeCell ref="U58:U59"/>
    <mergeCell ref="Y58:AA59"/>
    <mergeCell ref="U52:U53"/>
    <mergeCell ref="Y52:AA53"/>
    <mergeCell ref="U54:U55"/>
    <mergeCell ref="Y54:AA55"/>
    <mergeCell ref="U56:U57"/>
    <mergeCell ref="Y56:AA57"/>
    <mergeCell ref="AO3:AW3"/>
    <mergeCell ref="AX3:BB3"/>
    <mergeCell ref="BC3:BJ3"/>
    <mergeCell ref="D40:K44"/>
    <mergeCell ref="L40:S44"/>
    <mergeCell ref="Y40:AF44"/>
    <mergeCell ref="AG40:AN44"/>
    <mergeCell ref="AO40:AW44"/>
    <mergeCell ref="B3:B4"/>
    <mergeCell ref="D3:K3"/>
    <mergeCell ref="L3:S3"/>
    <mergeCell ref="T3:X3"/>
    <mergeCell ref="Y3:AF3"/>
    <mergeCell ref="AG3:AN3"/>
  </mergeCells>
  <phoneticPr fontId="5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2024.04</vt:lpstr>
      <vt:lpstr>2024.05</vt:lpstr>
      <vt:lpstr>2024.06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IGA</dc:creator>
  <cp:lastModifiedBy>SATOSHI IGA</cp:lastModifiedBy>
  <dcterms:created xsi:type="dcterms:W3CDTF">2026-02-11T11:23:35Z</dcterms:created>
  <dcterms:modified xsi:type="dcterms:W3CDTF">2026-02-11T11:25:18Z</dcterms:modified>
</cp:coreProperties>
</file>