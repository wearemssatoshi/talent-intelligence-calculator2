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ate1904="1"/>
  <mc:AlternateContent xmlns:mc="http://schemas.openxmlformats.org/markup-compatibility/2006">
    <mc:Choice Requires="x15">
      <x15ac:absPath xmlns:x15ac="http://schemas.microsoft.com/office/spreadsheetml/2010/11/ac" url="/Users/satoshiiga/Desktop/"/>
    </mc:Choice>
  </mc:AlternateContent>
  <xr:revisionPtr revIDLastSave="0" documentId="13_ncr:1_{3EBA063C-73CC-8C4E-8B2D-7B1DC9C7431E}" xr6:coauthVersionLast="47" xr6:coauthVersionMax="47" xr10:uidLastSave="{00000000-0000-0000-0000-000000000000}"/>
  <bookViews>
    <workbookView xWindow="4380" yWindow="680" windowWidth="26380" windowHeight="18960" firstSheet="3" activeTab="9" xr2:uid="{F528F252-A233-E440-9475-773F75A33E5B}"/>
  </bookViews>
  <sheets>
    <sheet name="2024レビュー" sheetId="54" r:id="rId1"/>
    <sheet name="2023レビュー" sheetId="45" r:id="rId2"/>
    <sheet name="天候指数対比" sheetId="56" r:id="rId3"/>
    <sheet name="2024計画値・予測・実績進捗" sheetId="39" r:id="rId4"/>
    <sheet name="2024.10月実績" sheetId="48" r:id="rId5"/>
    <sheet name="2024.9月実績" sheetId="38" r:id="rId6"/>
    <sheet name="2024.8月実績" sheetId="37" r:id="rId7"/>
    <sheet name="2024.7月実績" sheetId="36" r:id="rId8"/>
    <sheet name="2024.6月実績" sheetId="35" r:id="rId9"/>
    <sheet name="2024.5月実績" sheetId="33" r:id="rId10"/>
  </sheets>
  <definedNames>
    <definedName name="_xlnm.Print_Area" localSheetId="1">'2023レビュー'!$A$1:$S$52</definedName>
    <definedName name="_xlnm.Print_Area" localSheetId="0">'2024レビュー'!$A$1:$S$64</definedName>
    <definedName name="_xlnm.Print_Area" localSheetId="2">天候指数対比!$A$1:$AB$44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3" i="33" l="1"/>
  <c r="H62" i="33"/>
  <c r="H61" i="33"/>
  <c r="H60" i="33"/>
  <c r="H59" i="33"/>
  <c r="H58" i="33"/>
  <c r="H57" i="33"/>
  <c r="H53" i="33"/>
  <c r="H52" i="33"/>
  <c r="H51" i="33"/>
  <c r="H50" i="33"/>
  <c r="H49" i="33"/>
  <c r="H48" i="33"/>
  <c r="H47" i="33"/>
  <c r="H43" i="33"/>
  <c r="H42" i="33"/>
  <c r="H41" i="33"/>
  <c r="H40" i="33"/>
  <c r="H39" i="33"/>
  <c r="H38" i="33"/>
  <c r="H37" i="33"/>
  <c r="H33" i="33"/>
  <c r="H32" i="33"/>
  <c r="H31" i="33"/>
  <c r="H30" i="33"/>
  <c r="H29" i="33"/>
  <c r="H28" i="33"/>
  <c r="H27" i="33"/>
  <c r="H23" i="33"/>
  <c r="H22" i="33"/>
  <c r="H21" i="33"/>
  <c r="H20" i="33"/>
  <c r="H19" i="33"/>
  <c r="H18" i="33"/>
  <c r="H17" i="33"/>
  <c r="H8" i="33"/>
  <c r="H9" i="33"/>
  <c r="H10" i="33"/>
  <c r="H11" i="33"/>
  <c r="H12" i="33"/>
  <c r="H13" i="33"/>
  <c r="H7" i="33"/>
  <c r="H63" i="35"/>
  <c r="H62" i="35"/>
  <c r="H61" i="35"/>
  <c r="H60" i="35"/>
  <c r="H59" i="35"/>
  <c r="H58" i="35"/>
  <c r="H57" i="35"/>
  <c r="H53" i="35"/>
  <c r="H52" i="35"/>
  <c r="H51" i="35"/>
  <c r="H50" i="35"/>
  <c r="H49" i="35"/>
  <c r="H48" i="35"/>
  <c r="H47" i="35"/>
  <c r="H43" i="35"/>
  <c r="H42" i="35"/>
  <c r="H41" i="35"/>
  <c r="H40" i="35"/>
  <c r="H39" i="35"/>
  <c r="H38" i="35"/>
  <c r="H37" i="35"/>
  <c r="H33" i="35"/>
  <c r="H32" i="35"/>
  <c r="H31" i="35"/>
  <c r="H30" i="35"/>
  <c r="H29" i="35"/>
  <c r="H28" i="35"/>
  <c r="H27" i="35"/>
  <c r="H23" i="35"/>
  <c r="H22" i="35"/>
  <c r="H21" i="35"/>
  <c r="H20" i="35"/>
  <c r="H19" i="35"/>
  <c r="H18" i="35"/>
  <c r="H17" i="35"/>
  <c r="H8" i="35"/>
  <c r="H9" i="35"/>
  <c r="H10" i="35"/>
  <c r="H11" i="35"/>
  <c r="H12" i="35"/>
  <c r="H13" i="35"/>
  <c r="H7" i="35"/>
  <c r="D63" i="36"/>
  <c r="D62" i="36"/>
  <c r="D61" i="36"/>
  <c r="D60" i="36"/>
  <c r="D59" i="36"/>
  <c r="D58" i="36"/>
  <c r="D57" i="36"/>
  <c r="D53" i="36"/>
  <c r="D52" i="36"/>
  <c r="D51" i="36"/>
  <c r="D50" i="36"/>
  <c r="D49" i="36"/>
  <c r="D48" i="36"/>
  <c r="D47" i="36"/>
  <c r="D43" i="36"/>
  <c r="D42" i="36"/>
  <c r="D41" i="36"/>
  <c r="D40" i="36"/>
  <c r="D39" i="36"/>
  <c r="D38" i="36"/>
  <c r="D37" i="36"/>
  <c r="D33" i="36"/>
  <c r="D32" i="36"/>
  <c r="D31" i="36"/>
  <c r="D30" i="36"/>
  <c r="D29" i="36"/>
  <c r="D28" i="36"/>
  <c r="D27" i="36"/>
  <c r="D23" i="36"/>
  <c r="D22" i="36"/>
  <c r="D21" i="36"/>
  <c r="D20" i="36"/>
  <c r="D19" i="36"/>
  <c r="D18" i="36"/>
  <c r="D17" i="36"/>
  <c r="D8" i="36"/>
  <c r="D9" i="36"/>
  <c r="D10" i="36"/>
  <c r="D11" i="36"/>
  <c r="D12" i="36"/>
  <c r="D13" i="36"/>
  <c r="D7" i="36"/>
  <c r="E63" i="37"/>
  <c r="E62" i="37"/>
  <c r="E61" i="37"/>
  <c r="E60" i="37"/>
  <c r="E59" i="37"/>
  <c r="E58" i="37"/>
  <c r="E57" i="37"/>
  <c r="E53" i="37"/>
  <c r="E52" i="37"/>
  <c r="E51" i="37"/>
  <c r="E50" i="37"/>
  <c r="E49" i="37"/>
  <c r="E48" i="37"/>
  <c r="E47" i="37"/>
  <c r="E43" i="37"/>
  <c r="E42" i="37"/>
  <c r="E41" i="37"/>
  <c r="E40" i="37"/>
  <c r="E39" i="37"/>
  <c r="E38" i="37"/>
  <c r="E37" i="37"/>
  <c r="E33" i="37"/>
  <c r="E32" i="37"/>
  <c r="E31" i="37"/>
  <c r="E30" i="37"/>
  <c r="E29" i="37"/>
  <c r="E28" i="37"/>
  <c r="E27" i="37"/>
  <c r="E23" i="37"/>
  <c r="E22" i="37"/>
  <c r="E21" i="37"/>
  <c r="E20" i="37"/>
  <c r="E19" i="37"/>
  <c r="E18" i="37"/>
  <c r="E17" i="37"/>
  <c r="E8" i="37"/>
  <c r="E9" i="37"/>
  <c r="E10" i="37"/>
  <c r="E11" i="37"/>
  <c r="E12" i="37"/>
  <c r="E13" i="37"/>
  <c r="E7" i="37"/>
  <c r="D63" i="38" l="1"/>
  <c r="D62" i="38"/>
  <c r="D61" i="38"/>
  <c r="D60" i="38"/>
  <c r="D59" i="38"/>
  <c r="D58" i="38"/>
  <c r="D57" i="38"/>
  <c r="D53" i="38"/>
  <c r="D52" i="38"/>
  <c r="D51" i="38"/>
  <c r="D50" i="38"/>
  <c r="D49" i="38"/>
  <c r="D48" i="38"/>
  <c r="D47" i="38"/>
  <c r="D43" i="38"/>
  <c r="D42" i="38"/>
  <c r="D41" i="38"/>
  <c r="D40" i="38"/>
  <c r="D39" i="38"/>
  <c r="D38" i="38"/>
  <c r="D37" i="38"/>
  <c r="D33" i="38"/>
  <c r="D32" i="38"/>
  <c r="D31" i="38"/>
  <c r="D30" i="38"/>
  <c r="D29" i="38"/>
  <c r="D28" i="38"/>
  <c r="D27" i="38"/>
  <c r="D23" i="38"/>
  <c r="D22" i="38"/>
  <c r="D21" i="38"/>
  <c r="D20" i="38"/>
  <c r="D19" i="38"/>
  <c r="D18" i="38"/>
  <c r="D17" i="38"/>
  <c r="D8" i="38"/>
  <c r="D9" i="38"/>
  <c r="D10" i="38"/>
  <c r="D11" i="38"/>
  <c r="D12" i="38"/>
  <c r="D13" i="38"/>
  <c r="D7" i="38"/>
  <c r="D63" i="48"/>
  <c r="D62" i="48"/>
  <c r="D61" i="48"/>
  <c r="D60" i="48"/>
  <c r="D59" i="48"/>
  <c r="D58" i="48"/>
  <c r="D57" i="48"/>
  <c r="D53" i="48"/>
  <c r="D52" i="48"/>
  <c r="D51" i="48"/>
  <c r="D50" i="48"/>
  <c r="D49" i="48"/>
  <c r="D48" i="48"/>
  <c r="D47" i="48"/>
  <c r="D43" i="48"/>
  <c r="D42" i="48"/>
  <c r="D41" i="48"/>
  <c r="D40" i="48"/>
  <c r="D39" i="48"/>
  <c r="D38" i="48"/>
  <c r="D37" i="48"/>
  <c r="D33" i="48"/>
  <c r="D32" i="48"/>
  <c r="D31" i="48"/>
  <c r="D30" i="48"/>
  <c r="D29" i="48"/>
  <c r="D28" i="48"/>
  <c r="D27" i="48"/>
  <c r="D23" i="48"/>
  <c r="D22" i="48"/>
  <c r="D21" i="48"/>
  <c r="D20" i="48"/>
  <c r="D19" i="48"/>
  <c r="D18" i="48"/>
  <c r="D17" i="48"/>
  <c r="D8" i="48"/>
  <c r="D9" i="48"/>
  <c r="D10" i="48"/>
  <c r="D11" i="48"/>
  <c r="D12" i="48"/>
  <c r="D13" i="48"/>
  <c r="D7" i="48"/>
  <c r="AR12" i="39"/>
  <c r="AR11" i="39"/>
  <c r="AM12" i="39"/>
  <c r="AM11" i="39"/>
  <c r="AK11" i="39"/>
  <c r="AK13" i="39" s="1"/>
  <c r="AP11" i="39"/>
  <c r="AO13" i="39"/>
  <c r="AL13" i="39"/>
  <c r="AN13" i="39"/>
  <c r="AQ12" i="39" s="1"/>
  <c r="AP12" i="39"/>
  <c r="Y9" i="39"/>
  <c r="Q5" i="39"/>
  <c r="AL12" i="39"/>
  <c r="AI12" i="39"/>
  <c r="AG11" i="39"/>
  <c r="AI11" i="39" s="1"/>
  <c r="AE11" i="39"/>
  <c r="E55" i="45"/>
  <c r="N46" i="39"/>
  <c r="N49" i="39"/>
  <c r="AP13" i="39" l="1"/>
  <c r="AQ11" i="39"/>
  <c r="AI13" i="39"/>
  <c r="L52" i="39"/>
  <c r="H78" i="54"/>
  <c r="E78" i="54"/>
  <c r="C77" i="54"/>
  <c r="C78" i="54"/>
  <c r="F76" i="54"/>
  <c r="AJ12" i="39" l="1"/>
  <c r="AJ13" i="39"/>
  <c r="AJ11" i="39"/>
  <c r="J76" i="54"/>
  <c r="H76" i="54"/>
  <c r="L76" i="54" s="1"/>
  <c r="I60" i="54"/>
  <c r="I61" i="54"/>
  <c r="I78" i="54"/>
  <c r="N7" i="39"/>
  <c r="Y5" i="39"/>
  <c r="Y7" i="39"/>
  <c r="Y8" i="39"/>
  <c r="Y6" i="39"/>
  <c r="V22" i="39"/>
  <c r="AB43" i="56"/>
  <c r="G29" i="56"/>
  <c r="J29" i="56"/>
  <c r="L29" i="56"/>
  <c r="M29" i="56"/>
  <c r="G30" i="56"/>
  <c r="J30" i="56"/>
  <c r="L30" i="56"/>
  <c r="M30" i="56"/>
  <c r="G31" i="56"/>
  <c r="M31" i="56" s="1"/>
  <c r="J31" i="56"/>
  <c r="L31" i="56"/>
  <c r="AA39" i="56"/>
  <c r="Z39" i="56"/>
  <c r="AA38" i="56"/>
  <c r="Z38" i="56"/>
  <c r="AA37" i="56"/>
  <c r="Z37" i="56"/>
  <c r="AA28" i="56"/>
  <c r="Z28" i="56"/>
  <c r="AA27" i="56"/>
  <c r="Z27" i="56"/>
  <c r="AA26" i="56"/>
  <c r="Z26" i="56"/>
  <c r="AA17" i="56"/>
  <c r="Z17" i="56"/>
  <c r="AA16" i="56"/>
  <c r="Z16" i="56"/>
  <c r="AA15" i="56"/>
  <c r="Z15" i="56"/>
  <c r="AA6" i="56"/>
  <c r="Z6" i="56"/>
  <c r="AA5" i="56"/>
  <c r="Z5" i="56"/>
  <c r="AA4" i="56"/>
  <c r="Z4" i="56"/>
  <c r="M39" i="56"/>
  <c r="L39" i="56"/>
  <c r="M38" i="56"/>
  <c r="L38" i="56"/>
  <c r="M37" i="56"/>
  <c r="L37" i="56"/>
  <c r="M28" i="56"/>
  <c r="L28" i="56"/>
  <c r="M27" i="56"/>
  <c r="L27" i="56"/>
  <c r="M26" i="56"/>
  <c r="L26" i="56"/>
  <c r="W40" i="56"/>
  <c r="W41" i="56"/>
  <c r="X41" i="56" s="1"/>
  <c r="W42" i="56"/>
  <c r="X42" i="56" s="1"/>
  <c r="T40" i="56"/>
  <c r="Z40" i="56" s="1"/>
  <c r="T41" i="56"/>
  <c r="Z41" i="56" s="1"/>
  <c r="T42" i="56"/>
  <c r="U42" i="56" s="1"/>
  <c r="W38" i="56"/>
  <c r="W39" i="56"/>
  <c r="T38" i="56"/>
  <c r="T39" i="56"/>
  <c r="W37" i="56"/>
  <c r="T37" i="56"/>
  <c r="X40" i="56"/>
  <c r="X39" i="56"/>
  <c r="U39" i="56"/>
  <c r="X38" i="56"/>
  <c r="U38" i="56"/>
  <c r="X37" i="56"/>
  <c r="U37" i="56"/>
  <c r="W32" i="56"/>
  <c r="Y29" i="56" s="1"/>
  <c r="T32" i="56"/>
  <c r="V29" i="56" s="1"/>
  <c r="Z31" i="56"/>
  <c r="X31" i="56"/>
  <c r="U31" i="56"/>
  <c r="AA31" i="56" s="1"/>
  <c r="Z30" i="56"/>
  <c r="X30" i="56"/>
  <c r="U30" i="56"/>
  <c r="AA30" i="56" s="1"/>
  <c r="Z29" i="56"/>
  <c r="X29" i="56"/>
  <c r="U29" i="56"/>
  <c r="X28" i="56"/>
  <c r="U28" i="56"/>
  <c r="X27" i="56"/>
  <c r="U27" i="56"/>
  <c r="X26" i="56"/>
  <c r="V26" i="56"/>
  <c r="U26" i="56"/>
  <c r="W21" i="56"/>
  <c r="Y18" i="56" s="1"/>
  <c r="T21" i="56"/>
  <c r="V15" i="56" s="1"/>
  <c r="Z20" i="56"/>
  <c r="X20" i="56"/>
  <c r="U20" i="56"/>
  <c r="AA20" i="56" s="1"/>
  <c r="Z19" i="56"/>
  <c r="X19" i="56"/>
  <c r="U19" i="56"/>
  <c r="Z18" i="56"/>
  <c r="X18" i="56"/>
  <c r="U18" i="56"/>
  <c r="X17" i="56"/>
  <c r="U17" i="56"/>
  <c r="X16" i="56"/>
  <c r="U16" i="56"/>
  <c r="X15" i="56"/>
  <c r="U15" i="56"/>
  <c r="W10" i="56"/>
  <c r="Y7" i="56" s="1"/>
  <c r="T10" i="56"/>
  <c r="V7" i="56" s="1"/>
  <c r="Z9" i="56"/>
  <c r="X9" i="56"/>
  <c r="U9" i="56"/>
  <c r="Z8" i="56"/>
  <c r="X8" i="56"/>
  <c r="U8" i="56"/>
  <c r="AA8" i="56" s="1"/>
  <c r="Z7" i="56"/>
  <c r="X7" i="56"/>
  <c r="U7" i="56"/>
  <c r="AA7" i="56" s="1"/>
  <c r="X6" i="56"/>
  <c r="U6" i="56"/>
  <c r="X5" i="56"/>
  <c r="U5" i="56"/>
  <c r="X4" i="56"/>
  <c r="U4" i="56"/>
  <c r="I43" i="56"/>
  <c r="K40" i="56" s="1"/>
  <c r="F43" i="56"/>
  <c r="H40" i="56" s="1"/>
  <c r="L42" i="56"/>
  <c r="J42" i="56"/>
  <c r="G42" i="56"/>
  <c r="M42" i="56" s="1"/>
  <c r="L41" i="56"/>
  <c r="J41" i="56"/>
  <c r="G41" i="56"/>
  <c r="M41" i="56" s="1"/>
  <c r="L40" i="56"/>
  <c r="J40" i="56"/>
  <c r="G40" i="56"/>
  <c r="M40" i="56" s="1"/>
  <c r="J39" i="56"/>
  <c r="G39" i="56"/>
  <c r="J38" i="56"/>
  <c r="G38" i="56"/>
  <c r="J37" i="56"/>
  <c r="G37" i="56"/>
  <c r="I32" i="56"/>
  <c r="K29" i="56" s="1"/>
  <c r="F32" i="56"/>
  <c r="H29" i="56" s="1"/>
  <c r="N29" i="56" s="1"/>
  <c r="J28" i="56"/>
  <c r="G28" i="56"/>
  <c r="J27" i="56"/>
  <c r="G27" i="56"/>
  <c r="J26" i="56"/>
  <c r="G26" i="56"/>
  <c r="I21" i="56"/>
  <c r="K18" i="56" s="1"/>
  <c r="F21" i="56"/>
  <c r="H15" i="56" s="1"/>
  <c r="L20" i="56"/>
  <c r="J20" i="56"/>
  <c r="G20" i="56"/>
  <c r="M20" i="56" s="1"/>
  <c r="L19" i="56"/>
  <c r="J19" i="56"/>
  <c r="G19" i="56"/>
  <c r="M19" i="56" s="1"/>
  <c r="M18" i="56"/>
  <c r="L18" i="56"/>
  <c r="J18" i="56"/>
  <c r="G18" i="56"/>
  <c r="L17" i="56"/>
  <c r="J17" i="56"/>
  <c r="G17" i="56"/>
  <c r="M17" i="56" s="1"/>
  <c r="L16" i="56"/>
  <c r="J16" i="56"/>
  <c r="G16" i="56"/>
  <c r="L15" i="56"/>
  <c r="J15" i="56"/>
  <c r="G15" i="56"/>
  <c r="L5" i="56"/>
  <c r="M5" i="56"/>
  <c r="L6" i="56"/>
  <c r="L7" i="56"/>
  <c r="L8" i="56"/>
  <c r="L9" i="56"/>
  <c r="L4" i="56"/>
  <c r="J5" i="56"/>
  <c r="J6" i="56"/>
  <c r="J7" i="56"/>
  <c r="J8" i="56"/>
  <c r="J9" i="56"/>
  <c r="J4" i="56"/>
  <c r="I10" i="56"/>
  <c r="K4" i="56" s="1"/>
  <c r="F10" i="56"/>
  <c r="H7" i="56" s="1"/>
  <c r="G9" i="56"/>
  <c r="M9" i="56" s="1"/>
  <c r="G8" i="56"/>
  <c r="M8" i="56" s="1"/>
  <c r="G7" i="56"/>
  <c r="G6" i="56"/>
  <c r="M6" i="56" s="1"/>
  <c r="G5" i="56"/>
  <c r="G4" i="56"/>
  <c r="AZ7" i="54"/>
  <c r="AZ8" i="54"/>
  <c r="AZ9" i="54"/>
  <c r="AY6" i="54"/>
  <c r="AY7" i="54"/>
  <c r="AY8" i="54"/>
  <c r="AY9" i="54"/>
  <c r="AY11" i="54"/>
  <c r="AY5" i="54"/>
  <c r="AX6" i="54"/>
  <c r="AX7" i="54"/>
  <c r="AX8" i="54"/>
  <c r="AX9" i="54"/>
  <c r="AX11" i="54"/>
  <c r="AX5" i="54"/>
  <c r="AW6" i="54"/>
  <c r="AW7" i="54"/>
  <c r="AW8" i="54"/>
  <c r="AW9" i="54"/>
  <c r="AW10" i="54"/>
  <c r="AW11" i="54"/>
  <c r="AW5" i="54"/>
  <c r="AV6" i="54"/>
  <c r="AV7" i="54"/>
  <c r="AV8" i="54"/>
  <c r="AV9" i="54"/>
  <c r="AV10" i="54"/>
  <c r="AV11" i="54"/>
  <c r="AV5" i="54"/>
  <c r="AU11" i="54"/>
  <c r="AU9" i="54"/>
  <c r="AU8" i="54"/>
  <c r="AU7" i="54"/>
  <c r="AU6" i="54"/>
  <c r="AU5" i="54"/>
  <c r="BA5" i="54" s="1"/>
  <c r="AT10" i="54"/>
  <c r="AT12" i="54" s="1"/>
  <c r="AX12" i="54" s="1"/>
  <c r="AT14" i="54"/>
  <c r="AS14" i="54"/>
  <c r="AR14" i="54"/>
  <c r="AT13" i="54"/>
  <c r="AX13" i="54" s="1"/>
  <c r="AS13" i="54"/>
  <c r="AR13" i="54"/>
  <c r="AS12" i="54"/>
  <c r="AR12" i="54"/>
  <c r="AO6" i="54"/>
  <c r="BA6" i="54" s="1"/>
  <c r="AO7" i="54"/>
  <c r="BA7" i="54" s="1"/>
  <c r="AO8" i="54"/>
  <c r="BA8" i="54" s="1"/>
  <c r="AO9" i="54"/>
  <c r="BA9" i="54" s="1"/>
  <c r="AO10" i="54"/>
  <c r="AO11" i="54"/>
  <c r="AZ11" i="54" s="1"/>
  <c r="AO5" i="54"/>
  <c r="AZ5" i="54" s="1"/>
  <c r="AN14" i="54"/>
  <c r="AX14" i="54" s="1"/>
  <c r="AN12" i="54"/>
  <c r="AN13" i="54"/>
  <c r="AZ6" i="54" l="1"/>
  <c r="BA11" i="54"/>
  <c r="AY14" i="54"/>
  <c r="AX10" i="54"/>
  <c r="AY13" i="54"/>
  <c r="AY12" i="54"/>
  <c r="AY10" i="54"/>
  <c r="AU13" i="54"/>
  <c r="U40" i="56"/>
  <c r="AA40" i="56"/>
  <c r="AA42" i="56"/>
  <c r="Z42" i="56"/>
  <c r="W43" i="56"/>
  <c r="Y40" i="56" s="1"/>
  <c r="T43" i="56"/>
  <c r="U41" i="56"/>
  <c r="AA41" i="56" s="1"/>
  <c r="AA43" i="56" s="1"/>
  <c r="X43" i="56"/>
  <c r="W44" i="56" s="1"/>
  <c r="Z43" i="56"/>
  <c r="AA29" i="56"/>
  <c r="X32" i="56"/>
  <c r="W33" i="56" s="1"/>
  <c r="Z32" i="56"/>
  <c r="AA19" i="56"/>
  <c r="AA18" i="56"/>
  <c r="X21" i="56"/>
  <c r="W22" i="56"/>
  <c r="V18" i="56"/>
  <c r="V21" i="56" s="1"/>
  <c r="AA21" i="56"/>
  <c r="Z21" i="56"/>
  <c r="AA9" i="56"/>
  <c r="X10" i="56"/>
  <c r="W11" i="56" s="1"/>
  <c r="V4" i="56"/>
  <c r="Z10" i="56"/>
  <c r="U10" i="56"/>
  <c r="J43" i="56"/>
  <c r="I44" i="56" s="1"/>
  <c r="M43" i="56"/>
  <c r="N40" i="56"/>
  <c r="H37" i="56"/>
  <c r="H43" i="56" s="1"/>
  <c r="L43" i="56"/>
  <c r="J32" i="56"/>
  <c r="I33" i="56"/>
  <c r="H26" i="56"/>
  <c r="H32" i="56" s="1"/>
  <c r="G32" i="56"/>
  <c r="N32" i="56" s="1"/>
  <c r="L32" i="56"/>
  <c r="U43" i="56"/>
  <c r="Y37" i="56"/>
  <c r="Y43" i="56" s="1"/>
  <c r="AA32" i="56"/>
  <c r="AB29" i="56"/>
  <c r="V32" i="56"/>
  <c r="U32" i="56"/>
  <c r="Y26" i="56"/>
  <c r="Y32" i="56" s="1"/>
  <c r="U21" i="56"/>
  <c r="Y15" i="56"/>
  <c r="Y21" i="56" s="1"/>
  <c r="AB10" i="56"/>
  <c r="T11" i="56"/>
  <c r="V10" i="56"/>
  <c r="AB7" i="56"/>
  <c r="AA10" i="56"/>
  <c r="Y4" i="56"/>
  <c r="Y10" i="56" s="1"/>
  <c r="G43" i="56"/>
  <c r="K37" i="56"/>
  <c r="K43" i="56" s="1"/>
  <c r="M32" i="56"/>
  <c r="K26" i="56"/>
  <c r="K32" i="56" s="1"/>
  <c r="M7" i="56"/>
  <c r="L10" i="56"/>
  <c r="M4" i="56"/>
  <c r="M10" i="56"/>
  <c r="G21" i="56"/>
  <c r="J21" i="56"/>
  <c r="I22" i="56" s="1"/>
  <c r="L21" i="56"/>
  <c r="H18" i="56"/>
  <c r="H21" i="56" s="1"/>
  <c r="N18" i="56"/>
  <c r="M15" i="56"/>
  <c r="F22" i="56"/>
  <c r="N21" i="56"/>
  <c r="M16" i="56"/>
  <c r="M21" i="56" s="1"/>
  <c r="K15" i="56"/>
  <c r="K21" i="56" s="1"/>
  <c r="J10" i="56"/>
  <c r="I11" i="56" s="1"/>
  <c r="K7" i="56"/>
  <c r="H4" i="56"/>
  <c r="G10" i="56"/>
  <c r="AU14" i="54"/>
  <c r="AU12" i="54"/>
  <c r="AU10" i="54"/>
  <c r="AZ10" i="54" s="1"/>
  <c r="BA10" i="54" l="1"/>
  <c r="F33" i="56"/>
  <c r="V40" i="56"/>
  <c r="AB40" i="56" s="1"/>
  <c r="V37" i="56"/>
  <c r="V43" i="56" s="1"/>
  <c r="AB18" i="56"/>
  <c r="T44" i="56"/>
  <c r="AB37" i="56"/>
  <c r="AB32" i="56"/>
  <c r="T33" i="56"/>
  <c r="AB26" i="56"/>
  <c r="T22" i="56"/>
  <c r="AB21" i="56"/>
  <c r="AB15" i="56"/>
  <c r="AB4" i="56"/>
  <c r="AB11" i="56"/>
  <c r="Z11" i="56"/>
  <c r="F44" i="56"/>
  <c r="N43" i="56"/>
  <c r="N37" i="56"/>
  <c r="N33" i="56"/>
  <c r="L33" i="56"/>
  <c r="N26" i="56"/>
  <c r="F11" i="56"/>
  <c r="N10" i="56"/>
  <c r="H10" i="56"/>
  <c r="N4" i="56"/>
  <c r="K10" i="56"/>
  <c r="N7" i="56"/>
  <c r="N22" i="56"/>
  <c r="L22" i="56"/>
  <c r="N15" i="56"/>
  <c r="AB44" i="56" l="1"/>
  <c r="Z44" i="56"/>
  <c r="AB33" i="56"/>
  <c r="Z33" i="56"/>
  <c r="AB22" i="56"/>
  <c r="Z22" i="56"/>
  <c r="N44" i="56"/>
  <c r="L44" i="56"/>
  <c r="N11" i="56"/>
  <c r="L11" i="56"/>
  <c r="AM14" i="54" l="1"/>
  <c r="AM13" i="54"/>
  <c r="AM12" i="54"/>
  <c r="AL14" i="54"/>
  <c r="AL13" i="54"/>
  <c r="AL12" i="54"/>
  <c r="AO12" i="54" l="1"/>
  <c r="AV12" i="54"/>
  <c r="AW12" i="54"/>
  <c r="AO13" i="54"/>
  <c r="AV13" i="54"/>
  <c r="AW13" i="54"/>
  <c r="AO14" i="54"/>
  <c r="AV14" i="54"/>
  <c r="AW14" i="54"/>
  <c r="J86" i="54"/>
  <c r="AZ14" i="54" l="1"/>
  <c r="BA14" i="54"/>
  <c r="AZ13" i="54"/>
  <c r="BA13" i="54"/>
  <c r="AZ12" i="54"/>
  <c r="BA12" i="54"/>
  <c r="W11" i="54"/>
  <c r="V11" i="54"/>
  <c r="AG11" i="54"/>
  <c r="AG10" i="54"/>
  <c r="AG9" i="54"/>
  <c r="AG8" i="54"/>
  <c r="AG7" i="54"/>
  <c r="AG6" i="54"/>
  <c r="AG5" i="54"/>
  <c r="AF6" i="54"/>
  <c r="AF7" i="54"/>
  <c r="AF8" i="54"/>
  <c r="AF9" i="54"/>
  <c r="AF10" i="54"/>
  <c r="AF11" i="54"/>
  <c r="AF5" i="54"/>
  <c r="V13" i="54" l="1"/>
  <c r="H86" i="54"/>
  <c r="L86" i="54" s="1"/>
  <c r="T72" i="54" l="1"/>
  <c r="T69" i="54"/>
  <c r="T74" i="54"/>
  <c r="S73" i="54"/>
  <c r="T71" i="54"/>
  <c r="T70" i="54"/>
  <c r="J90" i="54"/>
  <c r="J74" i="54"/>
  <c r="J68" i="54"/>
  <c r="J78" i="54" s="1"/>
  <c r="I90" i="54"/>
  <c r="G90" i="54"/>
  <c r="F90" i="54"/>
  <c r="D90" i="54"/>
  <c r="I89" i="54"/>
  <c r="G89" i="54"/>
  <c r="F89" i="54"/>
  <c r="D89" i="54"/>
  <c r="I88" i="54"/>
  <c r="G88" i="54"/>
  <c r="F88" i="54"/>
  <c r="D88" i="54"/>
  <c r="H87" i="54"/>
  <c r="C87" i="54"/>
  <c r="C89" i="54" s="1"/>
  <c r="C86" i="54"/>
  <c r="E86" i="54" s="1"/>
  <c r="H85" i="54"/>
  <c r="L85" i="54" s="1"/>
  <c r="C85" i="54"/>
  <c r="E85" i="54" s="1"/>
  <c r="H84" i="54"/>
  <c r="L84" i="54" s="1"/>
  <c r="C84" i="54"/>
  <c r="E84" i="54" s="1"/>
  <c r="H83" i="54"/>
  <c r="C83" i="54"/>
  <c r="E83" i="54" s="1"/>
  <c r="H82" i="54"/>
  <c r="L82" i="54" s="1"/>
  <c r="C82" i="54"/>
  <c r="E82" i="54" s="1"/>
  <c r="H81" i="54"/>
  <c r="L81" i="54" s="1"/>
  <c r="E81" i="54"/>
  <c r="G78" i="54"/>
  <c r="F78" i="54"/>
  <c r="D78" i="54"/>
  <c r="I77" i="54"/>
  <c r="G77" i="54"/>
  <c r="F77" i="54"/>
  <c r="D77" i="54"/>
  <c r="I75" i="54"/>
  <c r="G75" i="54"/>
  <c r="F75" i="54"/>
  <c r="D75" i="54"/>
  <c r="C75" i="54"/>
  <c r="H74" i="54"/>
  <c r="E74" i="54"/>
  <c r="H73" i="54"/>
  <c r="L73" i="54" s="1"/>
  <c r="E73" i="54"/>
  <c r="H72" i="54"/>
  <c r="L72" i="54" s="1"/>
  <c r="E72" i="54"/>
  <c r="H71" i="54"/>
  <c r="L71" i="54" s="1"/>
  <c r="E71" i="54"/>
  <c r="H70" i="54"/>
  <c r="E70" i="54"/>
  <c r="H69" i="54"/>
  <c r="L69" i="54" s="1"/>
  <c r="E69" i="54"/>
  <c r="H68" i="54"/>
  <c r="E68" i="54"/>
  <c r="L46" i="39"/>
  <c r="L47" i="39"/>
  <c r="L48" i="39"/>
  <c r="L49" i="39"/>
  <c r="L45" i="39"/>
  <c r="E77" i="54" l="1"/>
  <c r="H77" i="54"/>
  <c r="L68" i="54"/>
  <c r="H89" i="54"/>
  <c r="L87" i="54"/>
  <c r="E75" i="54"/>
  <c r="H88" i="54"/>
  <c r="L83" i="54"/>
  <c r="L74" i="54"/>
  <c r="E88" i="54"/>
  <c r="L78" i="54"/>
  <c r="H75" i="54"/>
  <c r="L70" i="54"/>
  <c r="T73" i="54"/>
  <c r="H90" i="54"/>
  <c r="L90" i="54" s="1"/>
  <c r="C90" i="54"/>
  <c r="E87" i="54"/>
  <c r="E90" i="54" s="1"/>
  <c r="C88" i="54"/>
  <c r="E92" i="54" l="1"/>
  <c r="E93" i="54"/>
  <c r="E89" i="54"/>
  <c r="R53" i="39" l="1"/>
  <c r="P53" i="39"/>
  <c r="O53" i="39"/>
  <c r="M53" i="39"/>
  <c r="L53" i="39"/>
  <c r="R52" i="39"/>
  <c r="P52" i="39"/>
  <c r="O52" i="39"/>
  <c r="M52" i="39"/>
  <c r="R51" i="39"/>
  <c r="P51" i="39"/>
  <c r="O51" i="39"/>
  <c r="M51" i="39"/>
  <c r="L51" i="39"/>
  <c r="Q50" i="39"/>
  <c r="N50" i="39"/>
  <c r="Q49" i="39"/>
  <c r="Q48" i="39"/>
  <c r="N48" i="39"/>
  <c r="Q47" i="39"/>
  <c r="N47" i="39"/>
  <c r="Q46" i="39"/>
  <c r="Q45" i="39"/>
  <c r="N45" i="39"/>
  <c r="Q44" i="39"/>
  <c r="N44" i="39"/>
  <c r="X6" i="54"/>
  <c r="X7" i="54"/>
  <c r="X8" i="54"/>
  <c r="X9" i="54"/>
  <c r="X10" i="54"/>
  <c r="X5" i="54"/>
  <c r="AD74" i="48"/>
  <c r="AF68" i="48" s="1"/>
  <c r="AE73" i="48"/>
  <c r="AE72" i="48"/>
  <c r="AE71" i="48"/>
  <c r="AE70" i="48"/>
  <c r="AE69" i="48"/>
  <c r="AE68" i="48"/>
  <c r="S73" i="48"/>
  <c r="S73" i="38"/>
  <c r="R41" i="39"/>
  <c r="R40" i="39"/>
  <c r="R39" i="39"/>
  <c r="AE9" i="39"/>
  <c r="N52" i="39" l="1"/>
  <c r="Q52" i="39"/>
  <c r="Q51" i="39"/>
  <c r="N53" i="39"/>
  <c r="N51" i="39"/>
  <c r="Q53" i="39"/>
  <c r="X11" i="54"/>
  <c r="AE74" i="48"/>
  <c r="AD93" i="48" s="1"/>
  <c r="AF71" i="48"/>
  <c r="AF74" i="48" s="1"/>
  <c r="P41" i="39"/>
  <c r="O41" i="39"/>
  <c r="P40" i="39"/>
  <c r="O40" i="39"/>
  <c r="P39" i="39"/>
  <c r="O39" i="39"/>
  <c r="Q38" i="39"/>
  <c r="Q37" i="39"/>
  <c r="Q36" i="39"/>
  <c r="Q35" i="39"/>
  <c r="Q34" i="39"/>
  <c r="Q33" i="39"/>
  <c r="Q32" i="39"/>
  <c r="M40" i="39"/>
  <c r="L40" i="39"/>
  <c r="M41" i="39"/>
  <c r="L41" i="39"/>
  <c r="M39" i="39"/>
  <c r="L39" i="39"/>
  <c r="N33" i="39"/>
  <c r="N34" i="39"/>
  <c r="N35" i="39"/>
  <c r="N36" i="39"/>
  <c r="N37" i="39"/>
  <c r="N38" i="39"/>
  <c r="N32" i="39"/>
  <c r="N41" i="39" s="1"/>
  <c r="E48" i="54"/>
  <c r="B47" i="54"/>
  <c r="B38" i="54"/>
  <c r="I58" i="54"/>
  <c r="B58" i="54"/>
  <c r="I39" i="54"/>
  <c r="F32" i="54"/>
  <c r="F31" i="54"/>
  <c r="F30" i="54"/>
  <c r="F29" i="54"/>
  <c r="F28" i="54"/>
  <c r="F27" i="54"/>
  <c r="F26" i="54"/>
  <c r="E20" i="54"/>
  <c r="B16" i="54"/>
  <c r="B27" i="54" s="1"/>
  <c r="B28" i="54"/>
  <c r="B29" i="54"/>
  <c r="B30" i="54"/>
  <c r="B31" i="54"/>
  <c r="B32" i="54"/>
  <c r="B26" i="54"/>
  <c r="N39" i="39" l="1"/>
  <c r="N40" i="39"/>
  <c r="Q39" i="39"/>
  <c r="Q41" i="39"/>
  <c r="Q40" i="39"/>
  <c r="V17" i="54"/>
  <c r="T11" i="54"/>
  <c r="D27" i="54"/>
  <c r="G27" i="54"/>
  <c r="E28" i="54"/>
  <c r="D29" i="54"/>
  <c r="D30" i="54"/>
  <c r="E30" i="54"/>
  <c r="G30" i="54"/>
  <c r="H30" i="54"/>
  <c r="D16" i="54"/>
  <c r="E16" i="54"/>
  <c r="G16" i="54"/>
  <c r="H16" i="54"/>
  <c r="I16" i="54"/>
  <c r="D17" i="54"/>
  <c r="E17" i="54"/>
  <c r="G17" i="54"/>
  <c r="H17" i="54"/>
  <c r="I17" i="54"/>
  <c r="D18" i="54"/>
  <c r="E18" i="54"/>
  <c r="G18" i="54"/>
  <c r="H18" i="54"/>
  <c r="I18" i="54"/>
  <c r="D19" i="54"/>
  <c r="E19" i="54"/>
  <c r="G19" i="54"/>
  <c r="H19" i="54"/>
  <c r="I19" i="54"/>
  <c r="D20" i="54"/>
  <c r="G20" i="54"/>
  <c r="H20" i="54"/>
  <c r="I20" i="54"/>
  <c r="D38" i="54"/>
  <c r="F38" i="54"/>
  <c r="H38" i="54"/>
  <c r="I38" i="54"/>
  <c r="E47" i="54" s="1"/>
  <c r="G47" i="54" s="1"/>
  <c r="D39" i="54"/>
  <c r="F39" i="54"/>
  <c r="H39" i="54"/>
  <c r="D40" i="54"/>
  <c r="F40" i="54"/>
  <c r="H40" i="54"/>
  <c r="I40" i="54"/>
  <c r="E49" i="54" s="1"/>
  <c r="G49" i="54" s="1"/>
  <c r="H49" i="54" s="1"/>
  <c r="D41" i="54"/>
  <c r="F41" i="54"/>
  <c r="H41" i="54"/>
  <c r="I41" i="54"/>
  <c r="E50" i="54" s="1"/>
  <c r="D47" i="54"/>
  <c r="D48" i="54"/>
  <c r="D49" i="54"/>
  <c r="D50" i="54"/>
  <c r="D61" i="54"/>
  <c r="F61" i="54"/>
  <c r="G61" i="54"/>
  <c r="H61" i="54" s="1"/>
  <c r="D58" i="54"/>
  <c r="F58" i="54"/>
  <c r="G58" i="54"/>
  <c r="H58" i="54" s="1"/>
  <c r="I4" i="54"/>
  <c r="F11" i="54"/>
  <c r="C11" i="54"/>
  <c r="B11" i="54"/>
  <c r="I10" i="54"/>
  <c r="H10" i="54"/>
  <c r="G10" i="54"/>
  <c r="E10" i="54"/>
  <c r="D10" i="54"/>
  <c r="H4" i="54"/>
  <c r="G4" i="54"/>
  <c r="E4" i="54"/>
  <c r="D4" i="54"/>
  <c r="E64" i="54"/>
  <c r="C64" i="54"/>
  <c r="B64" i="54"/>
  <c r="I63" i="54"/>
  <c r="G63" i="54"/>
  <c r="H63" i="54" s="1"/>
  <c r="F63" i="54"/>
  <c r="D63" i="54"/>
  <c r="I62" i="54"/>
  <c r="G62" i="54"/>
  <c r="H62" i="54" s="1"/>
  <c r="F62" i="54"/>
  <c r="D62" i="54"/>
  <c r="G60" i="54"/>
  <c r="H60" i="54" s="1"/>
  <c r="F60" i="54"/>
  <c r="D60" i="54"/>
  <c r="I59" i="54"/>
  <c r="G59" i="54"/>
  <c r="F59" i="54"/>
  <c r="D59" i="54"/>
  <c r="I57" i="54"/>
  <c r="G57" i="54"/>
  <c r="H57" i="54" s="1"/>
  <c r="F57" i="54"/>
  <c r="D57" i="54"/>
  <c r="C53" i="54"/>
  <c r="B53" i="54"/>
  <c r="D52" i="54"/>
  <c r="D51" i="54"/>
  <c r="D46" i="54"/>
  <c r="G44" i="54"/>
  <c r="E44" i="54"/>
  <c r="C44" i="54"/>
  <c r="B44" i="54"/>
  <c r="I43" i="54"/>
  <c r="E52" i="54" s="1"/>
  <c r="H43" i="54"/>
  <c r="F43" i="54"/>
  <c r="D43" i="54"/>
  <c r="I42" i="54"/>
  <c r="E51" i="54" s="1"/>
  <c r="G51" i="54" s="1"/>
  <c r="H51" i="54" s="1"/>
  <c r="H42" i="54"/>
  <c r="F42" i="54"/>
  <c r="D42" i="54"/>
  <c r="I37" i="54"/>
  <c r="E46" i="54" s="1"/>
  <c r="H37" i="54"/>
  <c r="F37" i="54"/>
  <c r="D37" i="54"/>
  <c r="H32" i="54"/>
  <c r="H31" i="54"/>
  <c r="H26" i="54"/>
  <c r="F22" i="54"/>
  <c r="C22" i="54"/>
  <c r="B22" i="54"/>
  <c r="I21" i="54"/>
  <c r="H21" i="54"/>
  <c r="G21" i="54"/>
  <c r="E21" i="54"/>
  <c r="D21" i="54"/>
  <c r="I15" i="54"/>
  <c r="H15" i="54"/>
  <c r="G15" i="54"/>
  <c r="E15" i="54"/>
  <c r="D15" i="54"/>
  <c r="I9" i="54"/>
  <c r="H9" i="54"/>
  <c r="G9" i="54"/>
  <c r="E9" i="54"/>
  <c r="D9" i="54"/>
  <c r="I8" i="54"/>
  <c r="H8" i="54"/>
  <c r="G8" i="54"/>
  <c r="E8" i="54"/>
  <c r="D8" i="54"/>
  <c r="I7" i="54"/>
  <c r="H7" i="54"/>
  <c r="G7" i="54"/>
  <c r="E7" i="54"/>
  <c r="D7" i="54"/>
  <c r="I6" i="54"/>
  <c r="H6" i="54"/>
  <c r="G6" i="54"/>
  <c r="E6" i="54"/>
  <c r="D6" i="54"/>
  <c r="I5" i="54"/>
  <c r="H5" i="54"/>
  <c r="G5" i="54"/>
  <c r="E5" i="54"/>
  <c r="D5" i="54"/>
  <c r="I11" i="54" l="1"/>
  <c r="B33" i="54"/>
  <c r="E53" i="54"/>
  <c r="F53" i="54" s="1"/>
  <c r="G46" i="54"/>
  <c r="F49" i="54"/>
  <c r="F47" i="54"/>
  <c r="H47" i="54"/>
  <c r="D22" i="54"/>
  <c r="H27" i="54"/>
  <c r="G29" i="54"/>
  <c r="H29" i="54"/>
  <c r="E29" i="54"/>
  <c r="H28" i="54"/>
  <c r="G28" i="54"/>
  <c r="D28" i="54"/>
  <c r="E27" i="54"/>
  <c r="F50" i="54"/>
  <c r="G50" i="54"/>
  <c r="H50" i="54" s="1"/>
  <c r="F48" i="54"/>
  <c r="G48" i="54"/>
  <c r="H48" i="54" s="1"/>
  <c r="E11" i="54"/>
  <c r="D11" i="54"/>
  <c r="G64" i="54"/>
  <c r="H64" i="54" s="1"/>
  <c r="H11" i="54"/>
  <c r="C33" i="54"/>
  <c r="I22" i="54"/>
  <c r="I64" i="54"/>
  <c r="E22" i="54"/>
  <c r="H44" i="54"/>
  <c r="F33" i="54"/>
  <c r="D44" i="54"/>
  <c r="I44" i="54"/>
  <c r="D53" i="54"/>
  <c r="G11" i="54"/>
  <c r="F64" i="54"/>
  <c r="F46" i="54"/>
  <c r="G52" i="54"/>
  <c r="H52" i="54" s="1"/>
  <c r="F52" i="54"/>
  <c r="D31" i="54"/>
  <c r="F44" i="54"/>
  <c r="G22" i="54"/>
  <c r="E31" i="54"/>
  <c r="F51" i="54"/>
  <c r="H22" i="54"/>
  <c r="G31" i="54"/>
  <c r="D64" i="54"/>
  <c r="H59" i="54"/>
  <c r="D26" i="54"/>
  <c r="D32" i="54"/>
  <c r="E26" i="54"/>
  <c r="E32" i="54"/>
  <c r="G26" i="54"/>
  <c r="G32" i="54"/>
  <c r="N24" i="39"/>
  <c r="O24" i="39" s="1"/>
  <c r="D33" i="54" l="1"/>
  <c r="G33" i="54"/>
  <c r="E33" i="54"/>
  <c r="H33" i="54"/>
  <c r="H46" i="54"/>
  <c r="G53" i="54"/>
  <c r="H53" i="54" s="1"/>
  <c r="J24" i="38"/>
  <c r="J14" i="38"/>
  <c r="N8" i="39"/>
  <c r="I26" i="39" l="1"/>
  <c r="B37" i="39"/>
  <c r="F28" i="39"/>
  <c r="F30" i="39"/>
  <c r="E30" i="39"/>
  <c r="F37" i="39"/>
  <c r="F31" i="39"/>
  <c r="F33" i="39" s="1"/>
  <c r="F34" i="39" s="1"/>
  <c r="F35" i="39" s="1"/>
  <c r="D35" i="39"/>
  <c r="B31" i="39"/>
  <c r="B33" i="39" s="1"/>
  <c r="B34" i="39" s="1"/>
  <c r="B35" i="39" s="1"/>
  <c r="E37" i="39"/>
  <c r="D37" i="39"/>
  <c r="E31" i="39"/>
  <c r="E33" i="39" s="1"/>
  <c r="E34" i="39" s="1"/>
  <c r="E35" i="39" s="1"/>
  <c r="D31" i="39"/>
  <c r="D33" i="39" s="1"/>
  <c r="D34" i="39" s="1"/>
  <c r="B17" i="39"/>
  <c r="K64" i="38"/>
  <c r="L63" i="38"/>
  <c r="L62" i="38"/>
  <c r="L61" i="38"/>
  <c r="L60" i="38"/>
  <c r="L59" i="38"/>
  <c r="L58" i="38"/>
  <c r="L57" i="38"/>
  <c r="K54" i="38"/>
  <c r="L53" i="38"/>
  <c r="L52" i="38"/>
  <c r="L51" i="38"/>
  <c r="L50" i="38"/>
  <c r="L49" i="38"/>
  <c r="L48" i="38"/>
  <c r="L47" i="38"/>
  <c r="K44" i="38"/>
  <c r="L43" i="38"/>
  <c r="L42" i="38"/>
  <c r="L41" i="38"/>
  <c r="L40" i="38"/>
  <c r="L39" i="38"/>
  <c r="L38" i="38"/>
  <c r="L37" i="38"/>
  <c r="K34" i="38"/>
  <c r="L33" i="38"/>
  <c r="L32" i="38"/>
  <c r="L31" i="38"/>
  <c r="L30" i="38"/>
  <c r="L29" i="38"/>
  <c r="L28" i="38"/>
  <c r="L27" i="38"/>
  <c r="K24" i="38"/>
  <c r="L23" i="38"/>
  <c r="L22" i="38"/>
  <c r="L21" i="38"/>
  <c r="L20" i="38"/>
  <c r="L19" i="38"/>
  <c r="L18" i="38"/>
  <c r="L17" i="38"/>
  <c r="L7" i="38"/>
  <c r="K73" i="38"/>
  <c r="J73" i="38"/>
  <c r="K72" i="38"/>
  <c r="J72" i="38"/>
  <c r="K71" i="38"/>
  <c r="J71" i="38"/>
  <c r="K70" i="38"/>
  <c r="J70" i="38"/>
  <c r="K69" i="38"/>
  <c r="J69" i="38"/>
  <c r="K68" i="38"/>
  <c r="J68" i="38"/>
  <c r="K67" i="38"/>
  <c r="J67" i="38"/>
  <c r="K14" i="38"/>
  <c r="L13" i="38"/>
  <c r="L12" i="38"/>
  <c r="L11" i="38"/>
  <c r="L10" i="38"/>
  <c r="L9" i="38"/>
  <c r="L8" i="38"/>
  <c r="S101" i="37"/>
  <c r="M52" i="37"/>
  <c r="M50" i="37"/>
  <c r="M51" i="37"/>
  <c r="M53" i="37"/>
  <c r="J50" i="37"/>
  <c r="J51" i="37"/>
  <c r="J52" i="37"/>
  <c r="J53" i="37"/>
  <c r="H50" i="37"/>
  <c r="H51" i="37"/>
  <c r="H52" i="37"/>
  <c r="H53" i="37"/>
  <c r="I69" i="37"/>
  <c r="H49" i="37"/>
  <c r="J49" i="37"/>
  <c r="M49" i="37"/>
  <c r="M47" i="37"/>
  <c r="E32" i="39" l="1"/>
  <c r="F32" i="39"/>
  <c r="C34" i="39"/>
  <c r="C35" i="39" s="1"/>
  <c r="J74" i="38"/>
  <c r="D32" i="39"/>
  <c r="K74" i="38"/>
  <c r="H47" i="37"/>
  <c r="J47" i="37"/>
  <c r="H48" i="37"/>
  <c r="J48" i="37"/>
  <c r="I30" i="37" l="1"/>
  <c r="N102" i="37" l="1"/>
  <c r="M28" i="37"/>
  <c r="N98" i="37" l="1"/>
  <c r="U34" i="36"/>
  <c r="I23" i="37"/>
  <c r="L8" i="36" l="1"/>
  <c r="M63" i="37"/>
  <c r="M62" i="37"/>
  <c r="M61" i="37"/>
  <c r="M60" i="37"/>
  <c r="M59" i="37"/>
  <c r="M58" i="37"/>
  <c r="M57" i="37"/>
  <c r="M48" i="37"/>
  <c r="M43" i="37"/>
  <c r="M42" i="37"/>
  <c r="M41" i="37"/>
  <c r="M40" i="37"/>
  <c r="M39" i="37"/>
  <c r="M38" i="37"/>
  <c r="M37" i="37"/>
  <c r="M33" i="37"/>
  <c r="M32" i="37"/>
  <c r="M31" i="37"/>
  <c r="M30" i="37"/>
  <c r="M29" i="37"/>
  <c r="M27" i="37"/>
  <c r="M18" i="37"/>
  <c r="M19" i="37"/>
  <c r="M20" i="37"/>
  <c r="M21" i="37"/>
  <c r="M22" i="37"/>
  <c r="M23" i="37"/>
  <c r="M17" i="37"/>
  <c r="M8" i="37"/>
  <c r="M9" i="37"/>
  <c r="M10" i="37"/>
  <c r="M11" i="37"/>
  <c r="M12" i="37"/>
  <c r="M13" i="37"/>
  <c r="M7" i="37"/>
  <c r="L73" i="37"/>
  <c r="L72" i="37"/>
  <c r="L71" i="37"/>
  <c r="L70" i="37"/>
  <c r="L69" i="37"/>
  <c r="L68" i="37"/>
  <c r="L67" i="37"/>
  <c r="L64" i="37"/>
  <c r="L54" i="37"/>
  <c r="L44" i="37"/>
  <c r="L34" i="37"/>
  <c r="L24" i="37"/>
  <c r="L14" i="37"/>
  <c r="L74" i="37" l="1"/>
  <c r="E68" i="36"/>
  <c r="E67" i="36"/>
  <c r="L41" i="36"/>
  <c r="F40" i="36" l="1"/>
  <c r="L40" i="36" s="1"/>
  <c r="L39" i="36"/>
  <c r="L13" i="36" l="1"/>
  <c r="G49" i="36"/>
  <c r="L47" i="36"/>
  <c r="L63" i="36" l="1"/>
  <c r="L62" i="36"/>
  <c r="L61" i="36"/>
  <c r="L60" i="36"/>
  <c r="L59" i="36"/>
  <c r="L58" i="36"/>
  <c r="L57" i="36"/>
  <c r="L53" i="36"/>
  <c r="L52" i="36"/>
  <c r="L51" i="36"/>
  <c r="L50" i="36"/>
  <c r="L49" i="36"/>
  <c r="L48" i="36"/>
  <c r="L43" i="36"/>
  <c r="L42" i="36"/>
  <c r="L38" i="36"/>
  <c r="L37" i="36"/>
  <c r="L28" i="36"/>
  <c r="L29" i="36"/>
  <c r="L30" i="36"/>
  <c r="L31" i="36"/>
  <c r="L32" i="36"/>
  <c r="L33" i="36"/>
  <c r="L27" i="36"/>
  <c r="L23" i="36"/>
  <c r="L18" i="36"/>
  <c r="O13" i="35"/>
  <c r="K64" i="36"/>
  <c r="K54" i="36"/>
  <c r="K73" i="36"/>
  <c r="K72" i="36"/>
  <c r="K71" i="36"/>
  <c r="K70" i="36"/>
  <c r="K69" i="36"/>
  <c r="K68" i="36"/>
  <c r="K67" i="36"/>
  <c r="K44" i="36"/>
  <c r="K34" i="36"/>
  <c r="K24" i="36"/>
  <c r="K14" i="36"/>
  <c r="AP93" i="38"/>
  <c r="AR74" i="38"/>
  <c r="AT68" i="38" s="1"/>
  <c r="AS73" i="38"/>
  <c r="AS72" i="38"/>
  <c r="AT71" i="38"/>
  <c r="AS71" i="38"/>
  <c r="AS70" i="38"/>
  <c r="AS69" i="38"/>
  <c r="AS68" i="38"/>
  <c r="AL73" i="38"/>
  <c r="AK73" i="38"/>
  <c r="AJ73" i="38"/>
  <c r="AM73" i="38" s="1"/>
  <c r="AI73" i="38"/>
  <c r="AH73" i="38"/>
  <c r="AL72" i="38"/>
  <c r="AK72" i="38"/>
  <c r="AJ72" i="38"/>
  <c r="AI72" i="38"/>
  <c r="AH72" i="38"/>
  <c r="AL71" i="38"/>
  <c r="AK71" i="38"/>
  <c r="AJ71" i="38"/>
  <c r="AI71" i="38"/>
  <c r="AH71" i="38"/>
  <c r="AL70" i="38"/>
  <c r="AK70" i="38"/>
  <c r="AJ70" i="38"/>
  <c r="AI70" i="38"/>
  <c r="AH70" i="38"/>
  <c r="AL69" i="38"/>
  <c r="AK69" i="38"/>
  <c r="AJ69" i="38"/>
  <c r="AM69" i="38" s="1"/>
  <c r="AI69" i="38"/>
  <c r="AH69" i="38"/>
  <c r="AL68" i="38"/>
  <c r="AK68" i="38"/>
  <c r="AJ68" i="38"/>
  <c r="AI68" i="38"/>
  <c r="AH68" i="38"/>
  <c r="AL67" i="38"/>
  <c r="AK67" i="38"/>
  <c r="AJ67" i="38"/>
  <c r="AM67" i="38" s="1"/>
  <c r="AI67" i="38"/>
  <c r="AH67" i="38"/>
  <c r="AH65" i="38"/>
  <c r="AL64" i="38"/>
  <c r="AK64" i="38"/>
  <c r="AJ64" i="38"/>
  <c r="AM64" i="38" s="1"/>
  <c r="AI64" i="38"/>
  <c r="AH64" i="38"/>
  <c r="AM63" i="38"/>
  <c r="AM62" i="38"/>
  <c r="AM61" i="38"/>
  <c r="AM60" i="38"/>
  <c r="AM59" i="38"/>
  <c r="AM58" i="38"/>
  <c r="AM57" i="38"/>
  <c r="AH55" i="38"/>
  <c r="AL54" i="38"/>
  <c r="AK54" i="38"/>
  <c r="AJ54" i="38"/>
  <c r="AM54" i="38" s="1"/>
  <c r="AI54" i="38"/>
  <c r="AH54" i="38"/>
  <c r="AM53" i="38"/>
  <c r="AM52" i="38"/>
  <c r="AM51" i="38"/>
  <c r="AM50" i="38"/>
  <c r="AM49" i="38"/>
  <c r="AM48" i="38"/>
  <c r="AM47" i="38"/>
  <c r="AH45" i="38"/>
  <c r="AL44" i="38"/>
  <c r="AK44" i="38"/>
  <c r="AJ44" i="38"/>
  <c r="AM44" i="38" s="1"/>
  <c r="AI44" i="38"/>
  <c r="AH44" i="38"/>
  <c r="AM43" i="38"/>
  <c r="AM42" i="38"/>
  <c r="AM41" i="38"/>
  <c r="AM40" i="38"/>
  <c r="AM39" i="38"/>
  <c r="AM38" i="38"/>
  <c r="AM37" i="38"/>
  <c r="AH35" i="38"/>
  <c r="AL34" i="38"/>
  <c r="AK34" i="38"/>
  <c r="AJ34" i="38"/>
  <c r="AM34" i="38" s="1"/>
  <c r="AI34" i="38"/>
  <c r="AH34" i="38"/>
  <c r="AM33" i="38"/>
  <c r="AM32" i="38"/>
  <c r="AM31" i="38"/>
  <c r="AM30" i="38"/>
  <c r="AM29" i="38"/>
  <c r="AM28" i="38"/>
  <c r="AM27" i="38"/>
  <c r="AH25" i="38"/>
  <c r="AL24" i="38"/>
  <c r="AK24" i="38"/>
  <c r="AJ24" i="38"/>
  <c r="AM24" i="38" s="1"/>
  <c r="AI24" i="38"/>
  <c r="AH24" i="38"/>
  <c r="AM23" i="38"/>
  <c r="AM22" i="38"/>
  <c r="AM21" i="38"/>
  <c r="AM20" i="38"/>
  <c r="AM19" i="38"/>
  <c r="AM18" i="38"/>
  <c r="AM17" i="38"/>
  <c r="AH15" i="38"/>
  <c r="AL14" i="38"/>
  <c r="AK14" i="38"/>
  <c r="AJ14" i="38"/>
  <c r="AI14" i="38"/>
  <c r="AH14" i="38"/>
  <c r="AM13" i="38"/>
  <c r="AM12" i="38"/>
  <c r="AM11" i="38"/>
  <c r="AM10" i="38"/>
  <c r="AM9" i="38"/>
  <c r="AM8" i="38"/>
  <c r="AM7" i="38"/>
  <c r="AH5" i="38"/>
  <c r="AD74" i="38"/>
  <c r="AF68" i="38" s="1"/>
  <c r="AE73" i="38"/>
  <c r="AE72" i="38"/>
  <c r="AE71" i="38"/>
  <c r="AE70" i="38"/>
  <c r="AE69" i="38"/>
  <c r="AE68" i="38"/>
  <c r="AS74" i="37"/>
  <c r="AU68" i="37" s="1"/>
  <c r="AT73" i="37"/>
  <c r="AT72" i="37"/>
  <c r="AU71" i="37"/>
  <c r="AT71" i="37"/>
  <c r="AT70" i="37"/>
  <c r="AT69" i="37"/>
  <c r="AT68" i="37"/>
  <c r="AE74" i="37"/>
  <c r="AG71" i="37" s="1"/>
  <c r="AF73" i="37"/>
  <c r="AF72" i="37"/>
  <c r="AF71" i="37"/>
  <c r="AF70" i="37"/>
  <c r="AF69" i="37"/>
  <c r="AF68" i="37"/>
  <c r="AH73" i="37"/>
  <c r="AI14" i="37"/>
  <c r="AM73" i="37"/>
  <c r="AL73" i="37"/>
  <c r="AK73" i="37"/>
  <c r="AJ73" i="37"/>
  <c r="AI73" i="37"/>
  <c r="AM72" i="37"/>
  <c r="AL72" i="37"/>
  <c r="AK72" i="37"/>
  <c r="AJ72" i="37"/>
  <c r="AI72" i="37"/>
  <c r="AM71" i="37"/>
  <c r="AL71" i="37"/>
  <c r="AK71" i="37"/>
  <c r="AJ71" i="37"/>
  <c r="AI71" i="37"/>
  <c r="AM70" i="37"/>
  <c r="AL70" i="37"/>
  <c r="AK70" i="37"/>
  <c r="AJ70" i="37"/>
  <c r="AI70" i="37"/>
  <c r="AM69" i="37"/>
  <c r="AL69" i="37"/>
  <c r="AK69" i="37"/>
  <c r="AJ69" i="37"/>
  <c r="AI69" i="37"/>
  <c r="AM68" i="37"/>
  <c r="AL68" i="37"/>
  <c r="AK68" i="37"/>
  <c r="AJ68" i="37"/>
  <c r="AI68" i="37"/>
  <c r="AM67" i="37"/>
  <c r="AL67" i="37"/>
  <c r="AK67" i="37"/>
  <c r="AJ67" i="37"/>
  <c r="AI67" i="37"/>
  <c r="AP64" i="37"/>
  <c r="AM64" i="37"/>
  <c r="AL64" i="37"/>
  <c r="AK64" i="37"/>
  <c r="AN64" i="37" s="1"/>
  <c r="AJ64" i="37"/>
  <c r="AI64" i="37"/>
  <c r="AN63" i="37"/>
  <c r="AN62" i="37"/>
  <c r="AN61" i="37"/>
  <c r="AN60" i="37"/>
  <c r="AN59" i="37"/>
  <c r="AN58" i="37"/>
  <c r="AN57" i="37"/>
  <c r="AP54" i="37"/>
  <c r="AM54" i="37"/>
  <c r="AL54" i="37"/>
  <c r="AK54" i="37"/>
  <c r="AJ54" i="37"/>
  <c r="AI54" i="37"/>
  <c r="AN53" i="37"/>
  <c r="AN52" i="37"/>
  <c r="AN51" i="37"/>
  <c r="AN50" i="37"/>
  <c r="AN49" i="37"/>
  <c r="AN48" i="37"/>
  <c r="AN47" i="37"/>
  <c r="AP44" i="37"/>
  <c r="AM44" i="37"/>
  <c r="AL44" i="37"/>
  <c r="AK44" i="37"/>
  <c r="AJ44" i="37"/>
  <c r="AI44" i="37"/>
  <c r="AN43" i="37"/>
  <c r="AN42" i="37"/>
  <c r="AN41" i="37"/>
  <c r="AN40" i="37"/>
  <c r="AN39" i="37"/>
  <c r="AN38" i="37"/>
  <c r="AN37" i="37"/>
  <c r="AP34" i="37"/>
  <c r="AM34" i="37"/>
  <c r="AL34" i="37"/>
  <c r="AK34" i="37"/>
  <c r="AJ34" i="37"/>
  <c r="AI34" i="37"/>
  <c r="AN33" i="37"/>
  <c r="AN32" i="37"/>
  <c r="AN31" i="37"/>
  <c r="AN30" i="37"/>
  <c r="AN29" i="37"/>
  <c r="AN28" i="37"/>
  <c r="AN27" i="37"/>
  <c r="AP24" i="37"/>
  <c r="AM24" i="37"/>
  <c r="AL24" i="37"/>
  <c r="AK24" i="37"/>
  <c r="AJ24" i="37"/>
  <c r="AI24" i="37"/>
  <c r="AN23" i="37"/>
  <c r="AN22" i="37"/>
  <c r="AN21" i="37"/>
  <c r="AN20" i="37"/>
  <c r="AN19" i="37"/>
  <c r="AN18" i="37"/>
  <c r="AN17" i="37"/>
  <c r="AP14" i="37"/>
  <c r="AM14" i="37"/>
  <c r="AL14" i="37"/>
  <c r="AK14" i="37"/>
  <c r="AJ14" i="37"/>
  <c r="AN13" i="37"/>
  <c r="AN12" i="37"/>
  <c r="AN11" i="37"/>
  <c r="AN10" i="37"/>
  <c r="AN9" i="37"/>
  <c r="AN8" i="37"/>
  <c r="AN7" i="37"/>
  <c r="AS74" i="33"/>
  <c r="AU71" i="33" s="1"/>
  <c r="AT73" i="33"/>
  <c r="AT72" i="33"/>
  <c r="AT71" i="33"/>
  <c r="AT70" i="33"/>
  <c r="AT69" i="33"/>
  <c r="AT68" i="33"/>
  <c r="AD74" i="33"/>
  <c r="AF71" i="33" s="1"/>
  <c r="AE73" i="33"/>
  <c r="AE72" i="33"/>
  <c r="AE71" i="33"/>
  <c r="AE70" i="33"/>
  <c r="AE69" i="33"/>
  <c r="AE68" i="33"/>
  <c r="AS69" i="36"/>
  <c r="AR74" i="36"/>
  <c r="AT71" i="36" s="1"/>
  <c r="AS73" i="36"/>
  <c r="AS72" i="36"/>
  <c r="AS71" i="36"/>
  <c r="AS70" i="36"/>
  <c r="AS68" i="36"/>
  <c r="AD74" i="36"/>
  <c r="AF71" i="36" s="1"/>
  <c r="AE73" i="36"/>
  <c r="AE72" i="36"/>
  <c r="AE71" i="36"/>
  <c r="AE70" i="36"/>
  <c r="AE69" i="36"/>
  <c r="AE68" i="36"/>
  <c r="AU74" i="35"/>
  <c r="AW68" i="35" s="1"/>
  <c r="AV73" i="35"/>
  <c r="AV72" i="35"/>
  <c r="AW71" i="35"/>
  <c r="AV71" i="35"/>
  <c r="AV70" i="35"/>
  <c r="AV69" i="35"/>
  <c r="AV68" i="35"/>
  <c r="AG74" i="35"/>
  <c r="AI68" i="35" s="1"/>
  <c r="AH73" i="35"/>
  <c r="AH72" i="35"/>
  <c r="AH71" i="35"/>
  <c r="AH70" i="35"/>
  <c r="AH69" i="35"/>
  <c r="AH68" i="35"/>
  <c r="N6" i="39"/>
  <c r="X100" i="35"/>
  <c r="U4" i="35"/>
  <c r="V73" i="35"/>
  <c r="AL73" i="36"/>
  <c r="AK73" i="36"/>
  <c r="AJ73" i="36"/>
  <c r="AI73" i="36"/>
  <c r="AH73" i="36"/>
  <c r="AG73" i="36"/>
  <c r="AL72" i="36"/>
  <c r="AK72" i="36"/>
  <c r="AJ72" i="36"/>
  <c r="AI72" i="36"/>
  <c r="AH72" i="36"/>
  <c r="AL71" i="36"/>
  <c r="AK71" i="36"/>
  <c r="AJ71" i="36"/>
  <c r="AI71" i="36"/>
  <c r="AH71" i="36"/>
  <c r="AL70" i="36"/>
  <c r="AK70" i="36"/>
  <c r="AJ70" i="36"/>
  <c r="AI70" i="36"/>
  <c r="AH70" i="36"/>
  <c r="AL69" i="36"/>
  <c r="AK69" i="36"/>
  <c r="AJ69" i="36"/>
  <c r="AI69" i="36"/>
  <c r="AH69" i="36"/>
  <c r="AL68" i="36"/>
  <c r="AK68" i="36"/>
  <c r="AJ68" i="36"/>
  <c r="AM68" i="36" s="1"/>
  <c r="AI68" i="36"/>
  <c r="AH68" i="36"/>
  <c r="AL67" i="36"/>
  <c r="AK67" i="36"/>
  <c r="AJ67" i="36"/>
  <c r="AI67" i="36"/>
  <c r="AH67" i="36"/>
  <c r="AH65" i="36"/>
  <c r="AL64" i="36"/>
  <c r="AK64" i="36"/>
  <c r="AJ64" i="36"/>
  <c r="AI64" i="36"/>
  <c r="AH64" i="36"/>
  <c r="AM63" i="36"/>
  <c r="AM62" i="36"/>
  <c r="AM61" i="36"/>
  <c r="AM60" i="36"/>
  <c r="AM59" i="36"/>
  <c r="AM58" i="36"/>
  <c r="AM57" i="36"/>
  <c r="AH55" i="36"/>
  <c r="AL54" i="36"/>
  <c r="AK54" i="36"/>
  <c r="AJ54" i="36"/>
  <c r="AI54" i="36"/>
  <c r="AH54" i="36"/>
  <c r="AM53" i="36"/>
  <c r="AM52" i="36"/>
  <c r="AM51" i="36"/>
  <c r="AM50" i="36"/>
  <c r="AM49" i="36"/>
  <c r="AM48" i="36"/>
  <c r="AM47" i="36"/>
  <c r="AH45" i="36"/>
  <c r="AL44" i="36"/>
  <c r="AK44" i="36"/>
  <c r="AJ44" i="36"/>
  <c r="AM44" i="36" s="1"/>
  <c r="AI44" i="36"/>
  <c r="AH44" i="36"/>
  <c r="AM43" i="36"/>
  <c r="AM42" i="36"/>
  <c r="AM41" i="36"/>
  <c r="AM40" i="36"/>
  <c r="AM39" i="36"/>
  <c r="AM38" i="36"/>
  <c r="AM37" i="36"/>
  <c r="AH35" i="36"/>
  <c r="AL34" i="36"/>
  <c r="AK34" i="36"/>
  <c r="AJ34" i="36"/>
  <c r="AI34" i="36"/>
  <c r="AH34" i="36"/>
  <c r="AM33" i="36"/>
  <c r="AM32" i="36"/>
  <c r="AM31" i="36"/>
  <c r="AM30" i="36"/>
  <c r="AM29" i="36"/>
  <c r="AM28" i="36"/>
  <c r="AM27" i="36"/>
  <c r="AH25" i="36"/>
  <c r="AL24" i="36"/>
  <c r="AK24" i="36"/>
  <c r="AJ24" i="36"/>
  <c r="AI24" i="36"/>
  <c r="AH24" i="36"/>
  <c r="AM23" i="36"/>
  <c r="AM22" i="36"/>
  <c r="AM21" i="36"/>
  <c r="AM20" i="36"/>
  <c r="AM19" i="36"/>
  <c r="AM18" i="36"/>
  <c r="AM17" i="36"/>
  <c r="AH15" i="36"/>
  <c r="AL14" i="36"/>
  <c r="AK14" i="36"/>
  <c r="AJ14" i="36"/>
  <c r="AI14" i="36"/>
  <c r="AH14" i="36"/>
  <c r="AM13" i="36"/>
  <c r="AM12" i="36"/>
  <c r="AM11" i="36"/>
  <c r="AM10" i="36"/>
  <c r="AM9" i="36"/>
  <c r="AM8" i="36"/>
  <c r="AM7" i="36"/>
  <c r="AH5" i="36"/>
  <c r="O47" i="35"/>
  <c r="O48" i="35"/>
  <c r="AJ73" i="35"/>
  <c r="X73" i="35"/>
  <c r="AU68" i="33" l="1"/>
  <c r="AW74" i="35"/>
  <c r="AI71" i="35"/>
  <c r="AI74" i="35" s="1"/>
  <c r="AV74" i="35"/>
  <c r="AH74" i="35"/>
  <c r="AM72" i="36"/>
  <c r="AI74" i="36"/>
  <c r="AM72" i="38"/>
  <c r="AM71" i="38"/>
  <c r="AE74" i="38"/>
  <c r="AD93" i="38" s="1"/>
  <c r="AM68" i="38"/>
  <c r="AM70" i="38"/>
  <c r="AK74" i="38"/>
  <c r="AJ74" i="38"/>
  <c r="AL74" i="38"/>
  <c r="AH74" i="38"/>
  <c r="AI74" i="38"/>
  <c r="AN34" i="37"/>
  <c r="AN70" i="37"/>
  <c r="AG68" i="37"/>
  <c r="AG74" i="37" s="1"/>
  <c r="AN67" i="37"/>
  <c r="AN69" i="37"/>
  <c r="AN71" i="37"/>
  <c r="AI74" i="37"/>
  <c r="AF74" i="37"/>
  <c r="AE93" i="37" s="1"/>
  <c r="AN44" i="37"/>
  <c r="AM14" i="36"/>
  <c r="AM24" i="36"/>
  <c r="AM71" i="36"/>
  <c r="L68" i="36"/>
  <c r="K74" i="36"/>
  <c r="AM69" i="36"/>
  <c r="AM73" i="36"/>
  <c r="AM64" i="36"/>
  <c r="AM54" i="36"/>
  <c r="AM34" i="36"/>
  <c r="AM70" i="36"/>
  <c r="AH74" i="36"/>
  <c r="AJ74" i="36"/>
  <c r="AL74" i="36"/>
  <c r="AF68" i="36"/>
  <c r="AF74" i="36" s="1"/>
  <c r="AS74" i="38"/>
  <c r="AR93" i="38" s="1"/>
  <c r="AT74" i="38"/>
  <c r="AM14" i="38"/>
  <c r="AF71" i="38"/>
  <c r="AF74" i="38" s="1"/>
  <c r="AU74" i="37"/>
  <c r="AN72" i="37"/>
  <c r="AN54" i="37"/>
  <c r="AN24" i="37"/>
  <c r="AT74" i="37"/>
  <c r="AS93" i="37" s="1"/>
  <c r="AN68" i="37"/>
  <c r="AJ74" i="37"/>
  <c r="AM74" i="37"/>
  <c r="AL74" i="37"/>
  <c r="AN73" i="37"/>
  <c r="AN14" i="37"/>
  <c r="AK74" i="37"/>
  <c r="AS74" i="36"/>
  <c r="AR93" i="36" s="1"/>
  <c r="AT74" i="33"/>
  <c r="AS93" i="33" s="1"/>
  <c r="AU74" i="33"/>
  <c r="AE74" i="33"/>
  <c r="AD93" i="33" s="1"/>
  <c r="AF68" i="33"/>
  <c r="AF74" i="33" s="1"/>
  <c r="AE74" i="36"/>
  <c r="AD93" i="36" s="1"/>
  <c r="AT68" i="36"/>
  <c r="AT74" i="36" s="1"/>
  <c r="AM67" i="36"/>
  <c r="AK74" i="36"/>
  <c r="AG75" i="35" l="1"/>
  <c r="AG93" i="35"/>
  <c r="AU75" i="35"/>
  <c r="AU93" i="35"/>
  <c r="AC93" i="37"/>
  <c r="AE94" i="37"/>
  <c r="AM74" i="38"/>
  <c r="AM74" i="36"/>
  <c r="AN74" i="37"/>
  <c r="F6" i="39" l="1"/>
  <c r="J94" i="48" l="1"/>
  <c r="Q95" i="48" s="1"/>
  <c r="J94" i="38"/>
  <c r="Q95" i="38" s="1"/>
  <c r="L80" i="48"/>
  <c r="H80" i="48"/>
  <c r="D74" i="48"/>
  <c r="B74" i="48"/>
  <c r="X73" i="48"/>
  <c r="W73" i="48"/>
  <c r="V73" i="48"/>
  <c r="U73" i="48"/>
  <c r="T73" i="48"/>
  <c r="Q73" i="48"/>
  <c r="H73" i="48"/>
  <c r="F73" i="48"/>
  <c r="E73" i="48"/>
  <c r="X72" i="48"/>
  <c r="W72" i="48"/>
  <c r="V72" i="48"/>
  <c r="U72" i="48"/>
  <c r="T72" i="48"/>
  <c r="Q72" i="48"/>
  <c r="H72" i="48"/>
  <c r="F72" i="48"/>
  <c r="E72" i="48"/>
  <c r="X71" i="48"/>
  <c r="W71" i="48"/>
  <c r="V71" i="48"/>
  <c r="U71" i="48"/>
  <c r="T71" i="48"/>
  <c r="Q71" i="48"/>
  <c r="H71" i="48"/>
  <c r="F71" i="48"/>
  <c r="E71" i="48"/>
  <c r="X70" i="48"/>
  <c r="W70" i="48"/>
  <c r="V70" i="48"/>
  <c r="U70" i="48"/>
  <c r="T70" i="48"/>
  <c r="Q70" i="48"/>
  <c r="H70" i="48"/>
  <c r="F70" i="48"/>
  <c r="E70" i="48"/>
  <c r="X69" i="48"/>
  <c r="W69" i="48"/>
  <c r="V69" i="48"/>
  <c r="U69" i="48"/>
  <c r="T69" i="48"/>
  <c r="Q69" i="48"/>
  <c r="H69" i="48"/>
  <c r="F69" i="48"/>
  <c r="E69" i="48"/>
  <c r="X68" i="48"/>
  <c r="W68" i="48"/>
  <c r="V68" i="48"/>
  <c r="U68" i="48"/>
  <c r="T68" i="48"/>
  <c r="Q68" i="48"/>
  <c r="H68" i="48"/>
  <c r="F68" i="48"/>
  <c r="E68" i="48"/>
  <c r="X67" i="48"/>
  <c r="W67" i="48"/>
  <c r="V67" i="48"/>
  <c r="U67" i="48"/>
  <c r="T67" i="48"/>
  <c r="Q67" i="48"/>
  <c r="H67" i="48"/>
  <c r="F67" i="48"/>
  <c r="E67" i="48"/>
  <c r="T65" i="48"/>
  <c r="X64" i="48"/>
  <c r="W64" i="48"/>
  <c r="V64" i="48"/>
  <c r="Y64" i="48" s="1"/>
  <c r="U64" i="48"/>
  <c r="T64" i="48"/>
  <c r="H64" i="48"/>
  <c r="F64" i="48"/>
  <c r="L64" i="48" s="1"/>
  <c r="E64" i="48"/>
  <c r="Y63" i="48"/>
  <c r="L63" i="48"/>
  <c r="R63" i="48" s="1"/>
  <c r="I63" i="48"/>
  <c r="G63" i="48"/>
  <c r="Y62" i="48"/>
  <c r="L62" i="48"/>
  <c r="M62" i="48" s="1"/>
  <c r="I62" i="48"/>
  <c r="G62" i="48"/>
  <c r="Y61" i="48"/>
  <c r="L61" i="48"/>
  <c r="M61" i="48" s="1"/>
  <c r="I61" i="48"/>
  <c r="G61" i="48"/>
  <c r="Y60" i="48"/>
  <c r="L60" i="48"/>
  <c r="R60" i="48" s="1"/>
  <c r="I60" i="48"/>
  <c r="G60" i="48"/>
  <c r="Y59" i="48"/>
  <c r="L59" i="48"/>
  <c r="R59" i="48" s="1"/>
  <c r="I59" i="48"/>
  <c r="G59" i="48"/>
  <c r="Y58" i="48"/>
  <c r="L58" i="48"/>
  <c r="I58" i="48"/>
  <c r="G58" i="48"/>
  <c r="Y57" i="48"/>
  <c r="L57" i="48"/>
  <c r="R57" i="48" s="1"/>
  <c r="I57" i="48"/>
  <c r="G57" i="48"/>
  <c r="T55" i="48"/>
  <c r="X54" i="48"/>
  <c r="W54" i="48"/>
  <c r="V54" i="48"/>
  <c r="Y54" i="48" s="1"/>
  <c r="U54" i="48"/>
  <c r="T54" i="48"/>
  <c r="H54" i="48"/>
  <c r="F54" i="48"/>
  <c r="E54" i="48"/>
  <c r="I54" i="48" s="1"/>
  <c r="J54" i="48" s="1"/>
  <c r="Y53" i="48"/>
  <c r="L53" i="48"/>
  <c r="R53" i="48" s="1"/>
  <c r="I53" i="48"/>
  <c r="G53" i="48"/>
  <c r="Y52" i="48"/>
  <c r="L52" i="48"/>
  <c r="R52" i="48" s="1"/>
  <c r="I52" i="48"/>
  <c r="G52" i="48"/>
  <c r="Y51" i="48"/>
  <c r="L51" i="48"/>
  <c r="R51" i="48" s="1"/>
  <c r="I51" i="48"/>
  <c r="G51" i="48"/>
  <c r="Y50" i="48"/>
  <c r="L50" i="48"/>
  <c r="M50" i="48" s="1"/>
  <c r="I50" i="48"/>
  <c r="G50" i="48"/>
  <c r="Y49" i="48"/>
  <c r="L49" i="48"/>
  <c r="R49" i="48" s="1"/>
  <c r="I49" i="48"/>
  <c r="G49" i="48"/>
  <c r="Y48" i="48"/>
  <c r="L48" i="48"/>
  <c r="R48" i="48" s="1"/>
  <c r="I48" i="48"/>
  <c r="G48" i="48"/>
  <c r="Y47" i="48"/>
  <c r="L47" i="48"/>
  <c r="M47" i="48" s="1"/>
  <c r="I47" i="48"/>
  <c r="G47" i="48"/>
  <c r="T45" i="48"/>
  <c r="X44" i="48"/>
  <c r="W44" i="48"/>
  <c r="V44" i="48"/>
  <c r="Y44" i="48" s="1"/>
  <c r="U44" i="48"/>
  <c r="T44" i="48"/>
  <c r="H44" i="48"/>
  <c r="F44" i="48"/>
  <c r="E44" i="48"/>
  <c r="Y43" i="48"/>
  <c r="L43" i="48"/>
  <c r="R43" i="48" s="1"/>
  <c r="I43" i="48"/>
  <c r="G43" i="48"/>
  <c r="Y42" i="48"/>
  <c r="L42" i="48"/>
  <c r="M42" i="48" s="1"/>
  <c r="I42" i="48"/>
  <c r="G42" i="48"/>
  <c r="Y41" i="48"/>
  <c r="L41" i="48"/>
  <c r="R41" i="48" s="1"/>
  <c r="I41" i="48"/>
  <c r="G41" i="48"/>
  <c r="Y40" i="48"/>
  <c r="L40" i="48"/>
  <c r="I40" i="48"/>
  <c r="G40" i="48"/>
  <c r="Y39" i="48"/>
  <c r="L39" i="48"/>
  <c r="M39" i="48" s="1"/>
  <c r="I39" i="48"/>
  <c r="G39" i="48"/>
  <c r="Y38" i="48"/>
  <c r="L38" i="48"/>
  <c r="M38" i="48" s="1"/>
  <c r="I38" i="48"/>
  <c r="G38" i="48"/>
  <c r="Y37" i="48"/>
  <c r="L37" i="48"/>
  <c r="R37" i="48" s="1"/>
  <c r="I37" i="48"/>
  <c r="G37" i="48"/>
  <c r="T35" i="48"/>
  <c r="X34" i="48"/>
  <c r="W34" i="48"/>
  <c r="V34" i="48"/>
  <c r="Y34" i="48" s="1"/>
  <c r="U34" i="48"/>
  <c r="T34" i="48"/>
  <c r="Q34" i="48"/>
  <c r="H34" i="48"/>
  <c r="F34" i="48"/>
  <c r="G34" i="48" s="1"/>
  <c r="E34" i="48"/>
  <c r="Y33" i="48"/>
  <c r="L33" i="48"/>
  <c r="I33" i="48"/>
  <c r="G33" i="48"/>
  <c r="Y32" i="48"/>
  <c r="L32" i="48"/>
  <c r="I32" i="48"/>
  <c r="G32" i="48"/>
  <c r="Y31" i="48"/>
  <c r="L31" i="48"/>
  <c r="I31" i="48"/>
  <c r="G31" i="48"/>
  <c r="Y30" i="48"/>
  <c r="L30" i="48"/>
  <c r="R30" i="48" s="1"/>
  <c r="I30" i="48"/>
  <c r="G30" i="48"/>
  <c r="Y29" i="48"/>
  <c r="L29" i="48"/>
  <c r="R29" i="48" s="1"/>
  <c r="I29" i="48"/>
  <c r="G29" i="48"/>
  <c r="Y28" i="48"/>
  <c r="L28" i="48"/>
  <c r="R28" i="48" s="1"/>
  <c r="I28" i="48"/>
  <c r="G28" i="48"/>
  <c r="Y27" i="48"/>
  <c r="L27" i="48"/>
  <c r="R27" i="48" s="1"/>
  <c r="I27" i="48"/>
  <c r="G27" i="48"/>
  <c r="T25" i="48"/>
  <c r="X24" i="48"/>
  <c r="W24" i="48"/>
  <c r="V24" i="48"/>
  <c r="U24" i="48"/>
  <c r="T24" i="48"/>
  <c r="Q24" i="48"/>
  <c r="H24" i="48"/>
  <c r="F24" i="48"/>
  <c r="E24" i="48"/>
  <c r="Y23" i="48"/>
  <c r="L23" i="48"/>
  <c r="R23" i="48" s="1"/>
  <c r="I23" i="48"/>
  <c r="G23" i="48"/>
  <c r="Y22" i="48"/>
  <c r="L22" i="48"/>
  <c r="R22" i="48" s="1"/>
  <c r="I22" i="48"/>
  <c r="G22" i="48"/>
  <c r="Y21" i="48"/>
  <c r="L21" i="48"/>
  <c r="I21" i="48"/>
  <c r="G21" i="48"/>
  <c r="Y20" i="48"/>
  <c r="L20" i="48"/>
  <c r="R20" i="48" s="1"/>
  <c r="I20" i="48"/>
  <c r="G20" i="48"/>
  <c r="Y19" i="48"/>
  <c r="L19" i="48"/>
  <c r="I19" i="48"/>
  <c r="G19" i="48"/>
  <c r="Y18" i="48"/>
  <c r="L18" i="48"/>
  <c r="R18" i="48" s="1"/>
  <c r="I18" i="48"/>
  <c r="G18" i="48"/>
  <c r="Y17" i="48"/>
  <c r="L17" i="48"/>
  <c r="M17" i="48" s="1"/>
  <c r="I17" i="48"/>
  <c r="G17" i="48"/>
  <c r="T15" i="48"/>
  <c r="X14" i="48"/>
  <c r="W14" i="48"/>
  <c r="V14" i="48"/>
  <c r="U14" i="48"/>
  <c r="T14" i="48"/>
  <c r="Q14" i="48"/>
  <c r="H14" i="48"/>
  <c r="F14" i="48"/>
  <c r="E14" i="48"/>
  <c r="Y13" i="48"/>
  <c r="L13" i="48"/>
  <c r="R13" i="48" s="1"/>
  <c r="I13" i="48"/>
  <c r="G13" i="48"/>
  <c r="Y12" i="48"/>
  <c r="L12" i="48"/>
  <c r="I12" i="48"/>
  <c r="G12" i="48"/>
  <c r="Y11" i="48"/>
  <c r="L11" i="48"/>
  <c r="R11" i="48" s="1"/>
  <c r="I11" i="48"/>
  <c r="G11" i="48"/>
  <c r="Y10" i="48"/>
  <c r="L10" i="48"/>
  <c r="M10" i="48" s="1"/>
  <c r="I10" i="48"/>
  <c r="G10" i="48"/>
  <c r="Y9" i="48"/>
  <c r="L9" i="48"/>
  <c r="R9" i="48" s="1"/>
  <c r="I9" i="48"/>
  <c r="G9" i="48"/>
  <c r="Y8" i="48"/>
  <c r="L8" i="48"/>
  <c r="R8" i="48" s="1"/>
  <c r="I8" i="48"/>
  <c r="G8" i="48"/>
  <c r="Y7" i="48"/>
  <c r="L7" i="48"/>
  <c r="I7" i="48"/>
  <c r="G7" i="48"/>
  <c r="T5" i="48"/>
  <c r="R4" i="48"/>
  <c r="L34" i="48" l="1"/>
  <c r="G64" i="48"/>
  <c r="L24" i="48"/>
  <c r="R24" i="48" s="1"/>
  <c r="R62" i="48"/>
  <c r="M60" i="48"/>
  <c r="M51" i="48"/>
  <c r="M29" i="48"/>
  <c r="R50" i="48"/>
  <c r="R61" i="48"/>
  <c r="M53" i="48"/>
  <c r="L72" i="48"/>
  <c r="R72" i="48" s="1"/>
  <c r="M52" i="48"/>
  <c r="R38" i="48"/>
  <c r="X74" i="48"/>
  <c r="M20" i="48"/>
  <c r="M22" i="48"/>
  <c r="R39" i="48"/>
  <c r="M41" i="48"/>
  <c r="M18" i="48"/>
  <c r="I64" i="48"/>
  <c r="J64" i="48" s="1"/>
  <c r="M48" i="48"/>
  <c r="M49" i="48"/>
  <c r="Y24" i="48"/>
  <c r="L44" i="48"/>
  <c r="M44" i="48" s="1"/>
  <c r="G24" i="48"/>
  <c r="R42" i="48"/>
  <c r="Q74" i="48"/>
  <c r="I68" i="48"/>
  <c r="M27" i="48"/>
  <c r="M43" i="48"/>
  <c r="R17" i="48"/>
  <c r="R47" i="48"/>
  <c r="Y67" i="48"/>
  <c r="Y73" i="48"/>
  <c r="Y72" i="48"/>
  <c r="Y71" i="48"/>
  <c r="Y70" i="48"/>
  <c r="W74" i="48"/>
  <c r="Y14" i="48"/>
  <c r="V74" i="48"/>
  <c r="M24" i="48"/>
  <c r="I24" i="48"/>
  <c r="J24" i="48" s="1"/>
  <c r="R12" i="48"/>
  <c r="G72" i="48"/>
  <c r="I72" i="48"/>
  <c r="I71" i="48"/>
  <c r="M11" i="48"/>
  <c r="G70" i="48"/>
  <c r="I70" i="48"/>
  <c r="F74" i="48"/>
  <c r="Y69" i="48"/>
  <c r="M9" i="48"/>
  <c r="E74" i="48"/>
  <c r="E91" i="48" s="1"/>
  <c r="G68" i="48"/>
  <c r="I69" i="48"/>
  <c r="G14" i="48"/>
  <c r="I14" i="48"/>
  <c r="J14" i="48" s="1"/>
  <c r="G54" i="48"/>
  <c r="L54" i="48"/>
  <c r="M28" i="48"/>
  <c r="R34" i="48"/>
  <c r="M34" i="48"/>
  <c r="G44" i="48"/>
  <c r="R58" i="48"/>
  <c r="M58" i="48"/>
  <c r="I67" i="48"/>
  <c r="R19" i="48"/>
  <c r="M19" i="48"/>
  <c r="M37" i="48"/>
  <c r="I44" i="48"/>
  <c r="J44" i="48" s="1"/>
  <c r="R33" i="48"/>
  <c r="M33" i="48"/>
  <c r="R32" i="48"/>
  <c r="M32" i="48"/>
  <c r="M57" i="48"/>
  <c r="I34" i="48"/>
  <c r="J34" i="48" s="1"/>
  <c r="L67" i="48"/>
  <c r="L14" i="48"/>
  <c r="M23" i="48"/>
  <c r="R40" i="48"/>
  <c r="M40" i="48"/>
  <c r="M7" i="48"/>
  <c r="R7" i="48"/>
  <c r="L68" i="48"/>
  <c r="R68" i="48" s="1"/>
  <c r="M8" i="48"/>
  <c r="L69" i="48"/>
  <c r="R69" i="48" s="1"/>
  <c r="L70" i="48"/>
  <c r="R70" i="48" s="1"/>
  <c r="R10" i="48"/>
  <c r="M12" i="48"/>
  <c r="L71" i="48"/>
  <c r="R71" i="48" s="1"/>
  <c r="M21" i="48"/>
  <c r="M30" i="48"/>
  <c r="R31" i="48"/>
  <c r="M31" i="48"/>
  <c r="M59" i="48"/>
  <c r="R21" i="48"/>
  <c r="Y68" i="48"/>
  <c r="L73" i="48"/>
  <c r="R73" i="48" s="1"/>
  <c r="U74" i="48"/>
  <c r="M13" i="48"/>
  <c r="G67" i="48"/>
  <c r="G73" i="48"/>
  <c r="T74" i="48"/>
  <c r="I73" i="48"/>
  <c r="G71" i="48"/>
  <c r="R64" i="48"/>
  <c r="M64" i="48"/>
  <c r="M63" i="48"/>
  <c r="G69" i="48"/>
  <c r="H74" i="48"/>
  <c r="M70" i="48" l="1"/>
  <c r="M69" i="48"/>
  <c r="Y74" i="48"/>
  <c r="R44" i="48"/>
  <c r="M67" i="48"/>
  <c r="G74" i="48"/>
  <c r="E85" i="48"/>
  <c r="E84" i="48"/>
  <c r="E92" i="48"/>
  <c r="M68" i="48"/>
  <c r="R54" i="48"/>
  <c r="M54" i="48"/>
  <c r="M14" i="48"/>
  <c r="R14" i="48"/>
  <c r="L2" i="48"/>
  <c r="AA14" i="48"/>
  <c r="H92" i="48"/>
  <c r="H84" i="48"/>
  <c r="I74" i="48"/>
  <c r="H91" i="48"/>
  <c r="H85" i="48"/>
  <c r="M71" i="48"/>
  <c r="M72" i="48"/>
  <c r="M73" i="48"/>
  <c r="L74" i="48"/>
  <c r="L93" i="48" s="1"/>
  <c r="R67" i="48"/>
  <c r="K10" i="39" l="1"/>
  <c r="AB93" i="48"/>
  <c r="R95" i="48"/>
  <c r="M95" i="48"/>
  <c r="M74" i="48"/>
  <c r="L84" i="48"/>
  <c r="L91" i="48"/>
  <c r="L85" i="48"/>
  <c r="L92" i="48"/>
  <c r="R74" i="48"/>
  <c r="I10" i="39" l="1"/>
  <c r="Q93" i="48" l="1"/>
  <c r="R93" i="48"/>
  <c r="U48" i="35" l="1"/>
  <c r="U54" i="33" l="1"/>
  <c r="M30" i="39" l="1"/>
  <c r="L30" i="39"/>
  <c r="O29" i="39"/>
  <c r="N29" i="39"/>
  <c r="O28" i="39"/>
  <c r="N28" i="39"/>
  <c r="O27" i="39"/>
  <c r="N27" i="39"/>
  <c r="N30" i="39" s="1"/>
  <c r="O18" i="39"/>
  <c r="AA11" i="39"/>
  <c r="Z11" i="39"/>
  <c r="W11" i="39"/>
  <c r="V11" i="39"/>
  <c r="U11" i="39"/>
  <c r="T11" i="39"/>
  <c r="S11" i="39"/>
  <c r="I11" i="39"/>
  <c r="E11" i="39"/>
  <c r="C11" i="39"/>
  <c r="B11" i="39"/>
  <c r="Y10" i="39"/>
  <c r="Q10" i="39" s="1"/>
  <c r="P10" i="39" s="1"/>
  <c r="N10" i="39"/>
  <c r="O10" i="39" s="1"/>
  <c r="M10" i="39"/>
  <c r="L10" i="39"/>
  <c r="J10" i="39"/>
  <c r="G10" i="39"/>
  <c r="H10" i="39" s="1"/>
  <c r="F10" i="39"/>
  <c r="D10" i="39"/>
  <c r="AH9" i="39"/>
  <c r="Q9" i="39" s="1"/>
  <c r="N9" i="39"/>
  <c r="J9" i="39"/>
  <c r="G9" i="39"/>
  <c r="H9" i="39" s="1"/>
  <c r="F9" i="39"/>
  <c r="D9" i="39"/>
  <c r="J8" i="39"/>
  <c r="F8" i="39"/>
  <c r="D8" i="39"/>
  <c r="AH7" i="39"/>
  <c r="Q7" i="39" s="1"/>
  <c r="R7" i="39" s="1"/>
  <c r="G7" i="39" s="1"/>
  <c r="H7" i="39" s="1"/>
  <c r="J7" i="39"/>
  <c r="F7" i="39"/>
  <c r="D7" i="39"/>
  <c r="Q6" i="39"/>
  <c r="R6" i="39" s="1"/>
  <c r="J6" i="39"/>
  <c r="G6" i="39"/>
  <c r="H6" i="39" s="1"/>
  <c r="D6" i="39"/>
  <c r="P5" i="39"/>
  <c r="N5" i="39"/>
  <c r="M5" i="39"/>
  <c r="L5" i="39"/>
  <c r="J5" i="39"/>
  <c r="F5" i="39"/>
  <c r="D5" i="39"/>
  <c r="Y4" i="39"/>
  <c r="Q4" i="39" s="1"/>
  <c r="P4" i="39" s="1"/>
  <c r="N4" i="39"/>
  <c r="O4" i="39" s="1"/>
  <c r="M4" i="39"/>
  <c r="L4" i="39"/>
  <c r="J4" i="39"/>
  <c r="F4" i="39"/>
  <c r="D4" i="39"/>
  <c r="AM54" i="33"/>
  <c r="AL54" i="33"/>
  <c r="AK54" i="33"/>
  <c r="AJ54" i="33"/>
  <c r="AI54" i="33"/>
  <c r="AN53" i="33"/>
  <c r="AN52" i="33"/>
  <c r="AN51" i="33"/>
  <c r="AN50" i="33"/>
  <c r="AN49" i="33"/>
  <c r="AN48" i="33"/>
  <c r="AN47" i="33"/>
  <c r="AI45" i="33"/>
  <c r="AM44" i="33"/>
  <c r="AL44" i="33"/>
  <c r="AK44" i="33"/>
  <c r="AN44" i="33" s="1"/>
  <c r="AJ44" i="33"/>
  <c r="AI44" i="33"/>
  <c r="AN43" i="33"/>
  <c r="AN42" i="33"/>
  <c r="AN41" i="33"/>
  <c r="AN40" i="33"/>
  <c r="AN39" i="33"/>
  <c r="AN38" i="33"/>
  <c r="AN37" i="33"/>
  <c r="AM73" i="33"/>
  <c r="AL73" i="33"/>
  <c r="AK73" i="33"/>
  <c r="AN73" i="33" s="1"/>
  <c r="AJ73" i="33"/>
  <c r="AI73" i="33"/>
  <c r="AH73" i="33"/>
  <c r="AM72" i="33"/>
  <c r="AL72" i="33"/>
  <c r="AK72" i="33"/>
  <c r="AJ72" i="33"/>
  <c r="AI72" i="33"/>
  <c r="AM71" i="33"/>
  <c r="AL71" i="33"/>
  <c r="AK71" i="33"/>
  <c r="AJ71" i="33"/>
  <c r="AI71" i="33"/>
  <c r="AM70" i="33"/>
  <c r="AL70" i="33"/>
  <c r="AK70" i="33"/>
  <c r="AJ70" i="33"/>
  <c r="AI70" i="33"/>
  <c r="AM69" i="33"/>
  <c r="AL69" i="33"/>
  <c r="AK69" i="33"/>
  <c r="AJ69" i="33"/>
  <c r="AI69" i="33"/>
  <c r="AM68" i="33"/>
  <c r="AL68" i="33"/>
  <c r="AK68" i="33"/>
  <c r="AJ68" i="33"/>
  <c r="AI68" i="33"/>
  <c r="AM67" i="33"/>
  <c r="AL67" i="33"/>
  <c r="AK67" i="33"/>
  <c r="AK74" i="33" s="1"/>
  <c r="AJ67" i="33"/>
  <c r="AI67" i="33"/>
  <c r="AI65" i="33"/>
  <c r="AP64" i="33"/>
  <c r="AM64" i="33"/>
  <c r="AL64" i="33"/>
  <c r="AK64" i="33"/>
  <c r="AN64" i="33" s="1"/>
  <c r="AJ64" i="33"/>
  <c r="AI64" i="33"/>
  <c r="AN63" i="33"/>
  <c r="AN62" i="33"/>
  <c r="AN61" i="33"/>
  <c r="AN60" i="33"/>
  <c r="AN59" i="33"/>
  <c r="AN58" i="33"/>
  <c r="AN57" i="33"/>
  <c r="AI55" i="33"/>
  <c r="AI35" i="33"/>
  <c r="AM34" i="33"/>
  <c r="AL34" i="33"/>
  <c r="AK34" i="33"/>
  <c r="AN34" i="33" s="1"/>
  <c r="AJ34" i="33"/>
  <c r="AI34" i="33"/>
  <c r="AN33" i="33"/>
  <c r="AN32" i="33"/>
  <c r="AN31" i="33"/>
  <c r="AN30" i="33"/>
  <c r="AN29" i="33"/>
  <c r="AN28" i="33"/>
  <c r="AN27" i="33"/>
  <c r="AI25" i="33"/>
  <c r="AM24" i="33"/>
  <c r="AL24" i="33"/>
  <c r="AK24" i="33"/>
  <c r="AN24" i="33" s="1"/>
  <c r="AJ24" i="33"/>
  <c r="AI24" i="33"/>
  <c r="AN23" i="33"/>
  <c r="AN22" i="33"/>
  <c r="AN21" i="33"/>
  <c r="AN20" i="33"/>
  <c r="AN19" i="33"/>
  <c r="AN18" i="33"/>
  <c r="AN17" i="33"/>
  <c r="AI15" i="33"/>
  <c r="AM14" i="33"/>
  <c r="AL14" i="33"/>
  <c r="AK14" i="33"/>
  <c r="AN14" i="33" s="1"/>
  <c r="AJ14" i="33"/>
  <c r="AI14" i="33"/>
  <c r="AN13" i="33"/>
  <c r="AN12" i="33"/>
  <c r="AN11" i="33"/>
  <c r="AN10" i="33"/>
  <c r="AN9" i="33"/>
  <c r="AN8" i="33"/>
  <c r="AN7" i="33"/>
  <c r="AI5" i="33"/>
  <c r="AL14" i="35"/>
  <c r="AO73" i="35"/>
  <c r="AN73" i="35"/>
  <c r="AM73" i="35"/>
  <c r="AL73" i="35"/>
  <c r="AK73" i="35"/>
  <c r="AO72" i="35"/>
  <c r="AN72" i="35"/>
  <c r="AM72" i="35"/>
  <c r="AL72" i="35"/>
  <c r="AK72" i="35"/>
  <c r="AO71" i="35"/>
  <c r="AN71" i="35"/>
  <c r="AM71" i="35"/>
  <c r="AL71" i="35"/>
  <c r="AK71" i="35"/>
  <c r="AO70" i="35"/>
  <c r="AN70" i="35"/>
  <c r="AM70" i="35"/>
  <c r="AL70" i="35"/>
  <c r="AK70" i="35"/>
  <c r="AO69" i="35"/>
  <c r="AN69" i="35"/>
  <c r="AM69" i="35"/>
  <c r="AP69" i="35" s="1"/>
  <c r="AL69" i="35"/>
  <c r="AK69" i="35"/>
  <c r="AO68" i="35"/>
  <c r="AN68" i="35"/>
  <c r="AM68" i="35"/>
  <c r="AL68" i="35"/>
  <c r="AK68" i="35"/>
  <c r="AO67" i="35"/>
  <c r="AN67" i="35"/>
  <c r="AM67" i="35"/>
  <c r="AP67" i="35" s="1"/>
  <c r="AL67" i="35"/>
  <c r="AK67" i="35"/>
  <c r="AK65" i="35"/>
  <c r="AR64" i="35"/>
  <c r="AO64" i="35"/>
  <c r="AN64" i="35"/>
  <c r="AM64" i="35"/>
  <c r="AP64" i="35" s="1"/>
  <c r="AL64" i="35"/>
  <c r="AK64" i="35"/>
  <c r="AP63" i="35"/>
  <c r="AP62" i="35"/>
  <c r="AP61" i="35"/>
  <c r="AP60" i="35"/>
  <c r="AP59" i="35"/>
  <c r="AP58" i="35"/>
  <c r="AP57" i="35"/>
  <c r="AK55" i="35"/>
  <c r="AO54" i="35"/>
  <c r="AN54" i="35"/>
  <c r="AM54" i="35"/>
  <c r="AL54" i="35"/>
  <c r="AK54" i="35"/>
  <c r="AP53" i="35"/>
  <c r="AP52" i="35"/>
  <c r="AP51" i="35"/>
  <c r="AP50" i="35"/>
  <c r="AP49" i="35"/>
  <c r="AP48" i="35"/>
  <c r="AP47" i="35"/>
  <c r="AK45" i="35"/>
  <c r="AO44" i="35"/>
  <c r="AN44" i="35"/>
  <c r="AM44" i="35"/>
  <c r="AL44" i="35"/>
  <c r="AK44" i="35"/>
  <c r="AP43" i="35"/>
  <c r="AP42" i="35"/>
  <c r="AP41" i="35"/>
  <c r="AP40" i="35"/>
  <c r="AP39" i="35"/>
  <c r="AP38" i="35"/>
  <c r="AP37" i="35"/>
  <c r="AK35" i="35"/>
  <c r="AO34" i="35"/>
  <c r="AN34" i="35"/>
  <c r="AM34" i="35"/>
  <c r="AP34" i="35" s="1"/>
  <c r="AL34" i="35"/>
  <c r="AK34" i="35"/>
  <c r="AP33" i="35"/>
  <c r="AP32" i="35"/>
  <c r="AP31" i="35"/>
  <c r="AP30" i="35"/>
  <c r="AP29" i="35"/>
  <c r="AP28" i="35"/>
  <c r="AP27" i="35"/>
  <c r="AK25" i="35"/>
  <c r="AO24" i="35"/>
  <c r="AN24" i="35"/>
  <c r="AM24" i="35"/>
  <c r="AL24" i="35"/>
  <c r="AK24" i="35"/>
  <c r="AP23" i="35"/>
  <c r="AP22" i="35"/>
  <c r="AP21" i="35"/>
  <c r="AP20" i="35"/>
  <c r="AP19" i="35"/>
  <c r="AP18" i="35"/>
  <c r="AP17" i="35"/>
  <c r="AK15" i="35"/>
  <c r="AO14" i="35"/>
  <c r="AN14" i="35"/>
  <c r="AM14" i="35"/>
  <c r="AK14" i="35"/>
  <c r="AP13" i="35"/>
  <c r="AP12" i="35"/>
  <c r="AP11" i="35"/>
  <c r="AP10" i="35"/>
  <c r="AP9" i="35"/>
  <c r="AP8" i="35"/>
  <c r="AP7" i="35"/>
  <c r="AK5" i="35"/>
  <c r="I4" i="45"/>
  <c r="AJ74" i="33" l="1"/>
  <c r="AI74" i="33"/>
  <c r="AN71" i="33"/>
  <c r="AP72" i="35"/>
  <c r="AP68" i="35"/>
  <c r="AP73" i="35"/>
  <c r="AH8" i="39"/>
  <c r="Q8" i="39" s="1"/>
  <c r="R8" i="39" s="1"/>
  <c r="G8" i="39" s="1"/>
  <c r="H8" i="39" s="1"/>
  <c r="N11" i="39"/>
  <c r="J11" i="39"/>
  <c r="R5" i="39"/>
  <c r="G5" i="39" s="1"/>
  <c r="H5" i="39" s="1"/>
  <c r="O30" i="39"/>
  <c r="Y11" i="39"/>
  <c r="AP70" i="35"/>
  <c r="AP44" i="35"/>
  <c r="AK74" i="35"/>
  <c r="AL74" i="35"/>
  <c r="AP24" i="35"/>
  <c r="AN74" i="35"/>
  <c r="AO74" i="35"/>
  <c r="AP71" i="35"/>
  <c r="AM74" i="35"/>
  <c r="AP74" i="35" s="1"/>
  <c r="AN54" i="33"/>
  <c r="B13" i="39"/>
  <c r="R4" i="39"/>
  <c r="G4" i="39" s="1"/>
  <c r="H4" i="39" s="1"/>
  <c r="D11" i="39"/>
  <c r="O5" i="39"/>
  <c r="F11" i="39"/>
  <c r="AM74" i="33"/>
  <c r="AN67" i="33"/>
  <c r="AN69" i="33"/>
  <c r="AN70" i="33"/>
  <c r="AN68" i="33"/>
  <c r="AN72" i="33"/>
  <c r="AL74" i="33"/>
  <c r="AP54" i="35"/>
  <c r="AP14" i="35"/>
  <c r="Q11" i="39" l="1"/>
  <c r="AN74" i="33"/>
  <c r="R11" i="39"/>
  <c r="G11" i="39" s="1"/>
  <c r="H11" i="39" s="1"/>
  <c r="H17" i="45"/>
  <c r="G17" i="45"/>
  <c r="H16" i="45"/>
  <c r="G16" i="45"/>
  <c r="H15" i="45"/>
  <c r="G15" i="45"/>
  <c r="H14" i="45"/>
  <c r="G14" i="45"/>
  <c r="H13" i="45"/>
  <c r="G13" i="45"/>
  <c r="H8" i="45"/>
  <c r="G8" i="45"/>
  <c r="H7" i="45"/>
  <c r="G7" i="45"/>
  <c r="H6" i="45"/>
  <c r="G6" i="45"/>
  <c r="H5" i="45"/>
  <c r="G5" i="45"/>
  <c r="H4" i="45"/>
  <c r="G4" i="45"/>
  <c r="I17" i="45"/>
  <c r="I16" i="45"/>
  <c r="I15" i="45"/>
  <c r="I14" i="45"/>
  <c r="I13" i="45"/>
  <c r="I5" i="45"/>
  <c r="I6" i="45"/>
  <c r="I7" i="45"/>
  <c r="I8" i="45"/>
  <c r="E52" i="45" l="1"/>
  <c r="C52" i="45"/>
  <c r="I52" i="45" s="1"/>
  <c r="B52" i="45"/>
  <c r="I51" i="45"/>
  <c r="G51" i="45"/>
  <c r="H51" i="45" s="1"/>
  <c r="F51" i="45"/>
  <c r="D51" i="45"/>
  <c r="I50" i="45"/>
  <c r="G50" i="45"/>
  <c r="H50" i="45" s="1"/>
  <c r="F50" i="45"/>
  <c r="D50" i="45"/>
  <c r="I49" i="45"/>
  <c r="G49" i="45"/>
  <c r="H49" i="45" s="1"/>
  <c r="F49" i="45"/>
  <c r="D49" i="45"/>
  <c r="I48" i="45"/>
  <c r="G48" i="45"/>
  <c r="F48" i="45"/>
  <c r="D48" i="45"/>
  <c r="I47" i="45"/>
  <c r="G47" i="45"/>
  <c r="H47" i="45" s="1"/>
  <c r="F47" i="45"/>
  <c r="D47" i="45"/>
  <c r="C43" i="45"/>
  <c r="B43" i="45"/>
  <c r="D42" i="45"/>
  <c r="D41" i="45"/>
  <c r="D40" i="45"/>
  <c r="D39" i="45"/>
  <c r="D38" i="45"/>
  <c r="G36" i="45"/>
  <c r="E36" i="45"/>
  <c r="C36" i="45"/>
  <c r="B36" i="45"/>
  <c r="I35" i="45"/>
  <c r="E42" i="45" s="1"/>
  <c r="H35" i="45"/>
  <c r="F35" i="45"/>
  <c r="D35" i="45"/>
  <c r="I34" i="45"/>
  <c r="E41" i="45" s="1"/>
  <c r="G41" i="45" s="1"/>
  <c r="H41" i="45" s="1"/>
  <c r="H34" i="45"/>
  <c r="F34" i="45"/>
  <c r="D34" i="45"/>
  <c r="I33" i="45"/>
  <c r="E40" i="45" s="1"/>
  <c r="F40" i="45" s="1"/>
  <c r="H33" i="45"/>
  <c r="F33" i="45"/>
  <c r="D33" i="45"/>
  <c r="I32" i="45"/>
  <c r="E39" i="45" s="1"/>
  <c r="G39" i="45" s="1"/>
  <c r="H39" i="45" s="1"/>
  <c r="H32" i="45"/>
  <c r="F32" i="45"/>
  <c r="D32" i="45"/>
  <c r="I31" i="45"/>
  <c r="E38" i="45" s="1"/>
  <c r="H31" i="45"/>
  <c r="F31" i="45"/>
  <c r="D31" i="45"/>
  <c r="B26" i="45"/>
  <c r="B25" i="45"/>
  <c r="B24" i="45"/>
  <c r="B23" i="45"/>
  <c r="B22" i="45"/>
  <c r="D13" i="45"/>
  <c r="E13" i="45"/>
  <c r="D14" i="45"/>
  <c r="E14" i="45"/>
  <c r="D15" i="45"/>
  <c r="E15" i="45"/>
  <c r="D16" i="45"/>
  <c r="E16" i="45"/>
  <c r="D17" i="45"/>
  <c r="E17" i="45"/>
  <c r="B18" i="45"/>
  <c r="C18" i="45"/>
  <c r="F18" i="45"/>
  <c r="F9" i="45"/>
  <c r="E5" i="45"/>
  <c r="E6" i="45"/>
  <c r="E7" i="45"/>
  <c r="E8" i="45"/>
  <c r="E4" i="45"/>
  <c r="D5" i="45"/>
  <c r="D6" i="45"/>
  <c r="D7" i="45"/>
  <c r="D8" i="45"/>
  <c r="D4" i="45"/>
  <c r="B9" i="45"/>
  <c r="C9" i="45"/>
  <c r="X34" i="37"/>
  <c r="G24" i="45" l="1"/>
  <c r="H24" i="45"/>
  <c r="G23" i="45"/>
  <c r="H23" i="45"/>
  <c r="I9" i="45"/>
  <c r="H9" i="45"/>
  <c r="G9" i="45"/>
  <c r="E22" i="45"/>
  <c r="G22" i="45"/>
  <c r="H22" i="45"/>
  <c r="E25" i="45"/>
  <c r="G25" i="45"/>
  <c r="H25" i="45"/>
  <c r="G26" i="45"/>
  <c r="H26" i="45"/>
  <c r="H18" i="45"/>
  <c r="G18" i="45"/>
  <c r="G52" i="45"/>
  <c r="H52" i="45" s="1"/>
  <c r="I18" i="45"/>
  <c r="E9" i="45"/>
  <c r="B27" i="45"/>
  <c r="D36" i="45"/>
  <c r="F36" i="45"/>
  <c r="D18" i="45"/>
  <c r="F27" i="45"/>
  <c r="I36" i="45"/>
  <c r="D22" i="45"/>
  <c r="D52" i="45"/>
  <c r="D43" i="45"/>
  <c r="C27" i="45"/>
  <c r="E18" i="45"/>
  <c r="F52" i="45"/>
  <c r="E43" i="45"/>
  <c r="F43" i="45" s="1"/>
  <c r="G38" i="45"/>
  <c r="F38" i="45"/>
  <c r="F42" i="45"/>
  <c r="G42" i="45"/>
  <c r="H42" i="45" s="1"/>
  <c r="F39" i="45"/>
  <c r="D24" i="45"/>
  <c r="F41" i="45"/>
  <c r="E24" i="45"/>
  <c r="H36" i="45"/>
  <c r="D26" i="45"/>
  <c r="H48" i="45"/>
  <c r="D25" i="45"/>
  <c r="G40" i="45"/>
  <c r="H40" i="45" s="1"/>
  <c r="E26" i="45"/>
  <c r="D23" i="45"/>
  <c r="E23" i="45"/>
  <c r="D9" i="45"/>
  <c r="H27" i="45" l="1"/>
  <c r="G27" i="45"/>
  <c r="D27" i="45"/>
  <c r="E27" i="45"/>
  <c r="H38" i="45"/>
  <c r="G43" i="45"/>
  <c r="H43" i="45" s="1"/>
  <c r="X73" i="38"/>
  <c r="W73" i="38"/>
  <c r="V73" i="38"/>
  <c r="U73" i="38"/>
  <c r="T73" i="38"/>
  <c r="X72" i="38"/>
  <c r="W72" i="38"/>
  <c r="V72" i="38"/>
  <c r="U72" i="38"/>
  <c r="T72" i="38"/>
  <c r="X71" i="38"/>
  <c r="W71" i="38"/>
  <c r="V71" i="38"/>
  <c r="U71" i="38"/>
  <c r="T71" i="38"/>
  <c r="X70" i="38"/>
  <c r="W70" i="38"/>
  <c r="V70" i="38"/>
  <c r="U70" i="38"/>
  <c r="T70" i="38"/>
  <c r="X69" i="38"/>
  <c r="W69" i="38"/>
  <c r="V69" i="38"/>
  <c r="U69" i="38"/>
  <c r="T69" i="38"/>
  <c r="X68" i="38"/>
  <c r="W68" i="38"/>
  <c r="V68" i="38"/>
  <c r="U68" i="38"/>
  <c r="T68" i="38"/>
  <c r="X67" i="38"/>
  <c r="W67" i="38"/>
  <c r="V67" i="38"/>
  <c r="U67" i="38"/>
  <c r="T67" i="38"/>
  <c r="T65" i="38"/>
  <c r="X64" i="38"/>
  <c r="W64" i="38"/>
  <c r="V64" i="38"/>
  <c r="Y64" i="38" s="1"/>
  <c r="U64" i="38"/>
  <c r="T64" i="38"/>
  <c r="Y63" i="38"/>
  <c r="Y62" i="38"/>
  <c r="Y61" i="38"/>
  <c r="Y60" i="38"/>
  <c r="Y59" i="38"/>
  <c r="Y58" i="38"/>
  <c r="Y57" i="38"/>
  <c r="T55" i="38"/>
  <c r="X54" i="38"/>
  <c r="W54" i="38"/>
  <c r="V54" i="38"/>
  <c r="U54" i="38"/>
  <c r="T54" i="38"/>
  <c r="Y53" i="38"/>
  <c r="Y52" i="38"/>
  <c r="Y51" i="38"/>
  <c r="Y50" i="38"/>
  <c r="Y49" i="38"/>
  <c r="Y48" i="38"/>
  <c r="Y47" i="38"/>
  <c r="T45" i="38"/>
  <c r="X44" i="38"/>
  <c r="W44" i="38"/>
  <c r="V44" i="38"/>
  <c r="U44" i="38"/>
  <c r="T44" i="38"/>
  <c r="Y43" i="38"/>
  <c r="Y42" i="38"/>
  <c r="Y41" i="38"/>
  <c r="Y40" i="38"/>
  <c r="Y39" i="38"/>
  <c r="Y38" i="38"/>
  <c r="Y37" i="38"/>
  <c r="T35" i="38"/>
  <c r="X34" i="38"/>
  <c r="W34" i="38"/>
  <c r="V34" i="38"/>
  <c r="U34" i="38"/>
  <c r="T34" i="38"/>
  <c r="Y33" i="38"/>
  <c r="Y32" i="38"/>
  <c r="Y31" i="38"/>
  <c r="Y30" i="38"/>
  <c r="Y29" i="38"/>
  <c r="Y28" i="38"/>
  <c r="Y27" i="38"/>
  <c r="T25" i="38"/>
  <c r="X24" i="38"/>
  <c r="W24" i="38"/>
  <c r="V24" i="38"/>
  <c r="U24" i="38"/>
  <c r="T24" i="38"/>
  <c r="Y23" i="38"/>
  <c r="Y22" i="38"/>
  <c r="Y21" i="38"/>
  <c r="Y20" i="38"/>
  <c r="Y19" i="38"/>
  <c r="Y18" i="38"/>
  <c r="Y17" i="38"/>
  <c r="T15" i="38"/>
  <c r="X14" i="38"/>
  <c r="W14" i="38"/>
  <c r="V14" i="38"/>
  <c r="U14" i="38"/>
  <c r="T14" i="38"/>
  <c r="Y13" i="38"/>
  <c r="Y12" i="38"/>
  <c r="Y11" i="38"/>
  <c r="Y10" i="38"/>
  <c r="Y9" i="38"/>
  <c r="Y8" i="38"/>
  <c r="Y7" i="38"/>
  <c r="T5" i="38"/>
  <c r="Y73" i="37"/>
  <c r="X73" i="37"/>
  <c r="W73" i="37"/>
  <c r="V73" i="37"/>
  <c r="U73" i="37"/>
  <c r="T73" i="37"/>
  <c r="Y72" i="37"/>
  <c r="X72" i="37"/>
  <c r="W72" i="37"/>
  <c r="V72" i="37"/>
  <c r="U72" i="37"/>
  <c r="Y71" i="37"/>
  <c r="X71" i="37"/>
  <c r="W71" i="37"/>
  <c r="V71" i="37"/>
  <c r="U71" i="37"/>
  <c r="Y70" i="37"/>
  <c r="X70" i="37"/>
  <c r="W70" i="37"/>
  <c r="V70" i="37"/>
  <c r="U70" i="37"/>
  <c r="Y69" i="37"/>
  <c r="X69" i="37"/>
  <c r="W69" i="37"/>
  <c r="V69" i="37"/>
  <c r="U69" i="37"/>
  <c r="Y68" i="37"/>
  <c r="X68" i="37"/>
  <c r="W68" i="37"/>
  <c r="V68" i="37"/>
  <c r="U68" i="37"/>
  <c r="Y67" i="37"/>
  <c r="X67" i="37"/>
  <c r="W67" i="37"/>
  <c r="V67" i="37"/>
  <c r="U67" i="37"/>
  <c r="U65" i="37"/>
  <c r="AI65" i="37" s="1"/>
  <c r="Y64" i="37"/>
  <c r="X64" i="37"/>
  <c r="W64" i="37"/>
  <c r="Z64" i="37" s="1"/>
  <c r="V64" i="37"/>
  <c r="U64" i="37"/>
  <c r="Z63" i="37"/>
  <c r="Z62" i="37"/>
  <c r="Z61" i="37"/>
  <c r="Z60" i="37"/>
  <c r="Z59" i="37"/>
  <c r="Z58" i="37"/>
  <c r="Z57" i="37"/>
  <c r="U55" i="37"/>
  <c r="AI55" i="37" s="1"/>
  <c r="Y54" i="37"/>
  <c r="X54" i="37"/>
  <c r="W54" i="37"/>
  <c r="V54" i="37"/>
  <c r="U54" i="37"/>
  <c r="Z53" i="37"/>
  <c r="Z52" i="37"/>
  <c r="Z51" i="37"/>
  <c r="Z50" i="37"/>
  <c r="Z49" i="37"/>
  <c r="Z48" i="37"/>
  <c r="Z47" i="37"/>
  <c r="U45" i="37"/>
  <c r="AI45" i="37" s="1"/>
  <c r="Y44" i="37"/>
  <c r="X44" i="37"/>
  <c r="W44" i="37"/>
  <c r="V44" i="37"/>
  <c r="U44" i="37"/>
  <c r="Z43" i="37"/>
  <c r="Z42" i="37"/>
  <c r="Z41" i="37"/>
  <c r="Z40" i="37"/>
  <c r="Z39" i="37"/>
  <c r="Z38" i="37"/>
  <c r="Z37" i="37"/>
  <c r="U35" i="37"/>
  <c r="AI35" i="37" s="1"/>
  <c r="Y34" i="37"/>
  <c r="W34" i="37"/>
  <c r="V34" i="37"/>
  <c r="U34" i="37"/>
  <c r="Z33" i="37"/>
  <c r="Z32" i="37"/>
  <c r="Z31" i="37"/>
  <c r="Z30" i="37"/>
  <c r="Z29" i="37"/>
  <c r="Z28" i="37"/>
  <c r="Z27" i="37"/>
  <c r="U25" i="37"/>
  <c r="AI25" i="37" s="1"/>
  <c r="Y24" i="37"/>
  <c r="X24" i="37"/>
  <c r="W24" i="37"/>
  <c r="V24" i="37"/>
  <c r="U24" i="37"/>
  <c r="Z23" i="37"/>
  <c r="Z22" i="37"/>
  <c r="Z21" i="37"/>
  <c r="Z20" i="37"/>
  <c r="Z19" i="37"/>
  <c r="Z18" i="37"/>
  <c r="Z17" i="37"/>
  <c r="U15" i="37"/>
  <c r="AI15" i="37" s="1"/>
  <c r="Y14" i="37"/>
  <c r="X14" i="37"/>
  <c r="W14" i="37"/>
  <c r="V14" i="37"/>
  <c r="U14" i="37"/>
  <c r="Z13" i="37"/>
  <c r="Z12" i="37"/>
  <c r="Z11" i="37"/>
  <c r="Z10" i="37"/>
  <c r="Z9" i="37"/>
  <c r="Z8" i="37"/>
  <c r="Z7" i="37"/>
  <c r="U5" i="37"/>
  <c r="AI5" i="37" s="1"/>
  <c r="X73" i="33"/>
  <c r="W73" i="33"/>
  <c r="V73" i="33"/>
  <c r="U73" i="33"/>
  <c r="T73" i="33"/>
  <c r="S73" i="33"/>
  <c r="X72" i="33"/>
  <c r="W72" i="33"/>
  <c r="V72" i="33"/>
  <c r="U72" i="33"/>
  <c r="T72" i="33"/>
  <c r="X71" i="33"/>
  <c r="W71" i="33"/>
  <c r="V71" i="33"/>
  <c r="U71" i="33"/>
  <c r="T71" i="33"/>
  <c r="X70" i="33"/>
  <c r="W70" i="33"/>
  <c r="V70" i="33"/>
  <c r="U70" i="33"/>
  <c r="T70" i="33"/>
  <c r="X69" i="33"/>
  <c r="W69" i="33"/>
  <c r="V69" i="33"/>
  <c r="U69" i="33"/>
  <c r="T69" i="33"/>
  <c r="X68" i="33"/>
  <c r="W68" i="33"/>
  <c r="V68" i="33"/>
  <c r="U68" i="33"/>
  <c r="T68" i="33"/>
  <c r="X67" i="33"/>
  <c r="W67" i="33"/>
  <c r="V67" i="33"/>
  <c r="U67" i="33"/>
  <c r="T67" i="33"/>
  <c r="T65" i="33"/>
  <c r="X64" i="33"/>
  <c r="W64" i="33"/>
  <c r="V64" i="33"/>
  <c r="Y64" i="33" s="1"/>
  <c r="U64" i="33"/>
  <c r="T64" i="33"/>
  <c r="Y63" i="33"/>
  <c r="Y62" i="33"/>
  <c r="Y61" i="33"/>
  <c r="Y60" i="33"/>
  <c r="Y59" i="33"/>
  <c r="Y58" i="33"/>
  <c r="Y57" i="33"/>
  <c r="T55" i="33"/>
  <c r="X54" i="33"/>
  <c r="W54" i="33"/>
  <c r="V54" i="33"/>
  <c r="T54" i="33"/>
  <c r="Y53" i="33"/>
  <c r="Y52" i="33"/>
  <c r="Y51" i="33"/>
  <c r="Y50" i="33"/>
  <c r="Y49" i="33"/>
  <c r="Y48" i="33"/>
  <c r="Y47" i="33"/>
  <c r="T45" i="33"/>
  <c r="X44" i="33"/>
  <c r="W44" i="33"/>
  <c r="V44" i="33"/>
  <c r="U44" i="33"/>
  <c r="T44" i="33"/>
  <c r="Y43" i="33"/>
  <c r="Y42" i="33"/>
  <c r="Y41" i="33"/>
  <c r="Y40" i="33"/>
  <c r="Y39" i="33"/>
  <c r="Y38" i="33"/>
  <c r="Y37" i="33"/>
  <c r="T35" i="33"/>
  <c r="X34" i="33"/>
  <c r="W34" i="33"/>
  <c r="V34" i="33"/>
  <c r="U34" i="33"/>
  <c r="T34" i="33"/>
  <c r="Y33" i="33"/>
  <c r="Y32" i="33"/>
  <c r="Y31" i="33"/>
  <c r="Y30" i="33"/>
  <c r="Y29" i="33"/>
  <c r="Y28" i="33"/>
  <c r="Y27" i="33"/>
  <c r="T25" i="33"/>
  <c r="X24" i="33"/>
  <c r="W24" i="33"/>
  <c r="V24" i="33"/>
  <c r="Y24" i="33" s="1"/>
  <c r="U24" i="33"/>
  <c r="T24" i="33"/>
  <c r="Y23" i="33"/>
  <c r="Y22" i="33"/>
  <c r="Y21" i="33"/>
  <c r="Y20" i="33"/>
  <c r="Y19" i="33"/>
  <c r="Y18" i="33"/>
  <c r="Y17" i="33"/>
  <c r="T15" i="33"/>
  <c r="X14" i="33"/>
  <c r="W14" i="33"/>
  <c r="V14" i="33"/>
  <c r="Y14" i="33" s="1"/>
  <c r="U14" i="33"/>
  <c r="T14" i="33"/>
  <c r="Y13" i="33"/>
  <c r="Y12" i="33"/>
  <c r="Y11" i="33"/>
  <c r="Y10" i="33"/>
  <c r="Y9" i="33"/>
  <c r="Y8" i="33"/>
  <c r="Y7" i="33"/>
  <c r="T5" i="33"/>
  <c r="AA73" i="35"/>
  <c r="Z73" i="35"/>
  <c r="Y73" i="35"/>
  <c r="W73" i="35"/>
  <c r="AA72" i="35"/>
  <c r="Z72" i="35"/>
  <c r="Y72" i="35"/>
  <c r="X72" i="35"/>
  <c r="W72" i="35"/>
  <c r="AA71" i="35"/>
  <c r="Z71" i="35"/>
  <c r="Y71" i="35"/>
  <c r="X71" i="35"/>
  <c r="W71" i="35"/>
  <c r="AA70" i="35"/>
  <c r="Z70" i="35"/>
  <c r="Y70" i="35"/>
  <c r="X70" i="35"/>
  <c r="W70" i="35"/>
  <c r="AA69" i="35"/>
  <c r="Z69" i="35"/>
  <c r="Y69" i="35"/>
  <c r="X69" i="35"/>
  <c r="W69" i="35"/>
  <c r="AA68" i="35"/>
  <c r="Z68" i="35"/>
  <c r="Y68" i="35"/>
  <c r="X68" i="35"/>
  <c r="W68" i="35"/>
  <c r="AA67" i="35"/>
  <c r="Z67" i="35"/>
  <c r="Y67" i="35"/>
  <c r="X67" i="35"/>
  <c r="W67" i="35"/>
  <c r="W65" i="35"/>
  <c r="AA64" i="35"/>
  <c r="Z64" i="35"/>
  <c r="Y64" i="35"/>
  <c r="X64" i="35"/>
  <c r="W64" i="35"/>
  <c r="AB63" i="35"/>
  <c r="AB62" i="35"/>
  <c r="AB61" i="35"/>
  <c r="AB60" i="35"/>
  <c r="AB59" i="35"/>
  <c r="AB58" i="35"/>
  <c r="AB57" i="35"/>
  <c r="W55" i="35"/>
  <c r="AA54" i="35"/>
  <c r="Z54" i="35"/>
  <c r="Y54" i="35"/>
  <c r="X54" i="35"/>
  <c r="W54" i="35"/>
  <c r="AB53" i="35"/>
  <c r="AB52" i="35"/>
  <c r="AB51" i="35"/>
  <c r="AB50" i="35"/>
  <c r="AB49" i="35"/>
  <c r="AB48" i="35"/>
  <c r="AB47" i="35"/>
  <c r="W45" i="35"/>
  <c r="AA44" i="35"/>
  <c r="Z44" i="35"/>
  <c r="Y44" i="35"/>
  <c r="X44" i="35"/>
  <c r="W44" i="35"/>
  <c r="AB43" i="35"/>
  <c r="AB42" i="35"/>
  <c r="AB41" i="35"/>
  <c r="AB40" i="35"/>
  <c r="AB39" i="35"/>
  <c r="AB38" i="35"/>
  <c r="AB37" i="35"/>
  <c r="W35" i="35"/>
  <c r="AA34" i="35"/>
  <c r="Z34" i="35"/>
  <c r="Y34" i="35"/>
  <c r="X34" i="35"/>
  <c r="W34" i="35"/>
  <c r="AB33" i="35"/>
  <c r="AB32" i="35"/>
  <c r="AB31" i="35"/>
  <c r="AB30" i="35"/>
  <c r="AB29" i="35"/>
  <c r="AB28" i="35"/>
  <c r="AB27" i="35"/>
  <c r="W25" i="35"/>
  <c r="AA24" i="35"/>
  <c r="Z24" i="35"/>
  <c r="Y24" i="35"/>
  <c r="X24" i="35"/>
  <c r="W24" i="35"/>
  <c r="AB23" i="35"/>
  <c r="AB22" i="35"/>
  <c r="AB21" i="35"/>
  <c r="AB20" i="35"/>
  <c r="AB19" i="35"/>
  <c r="AB18" i="35"/>
  <c r="AB17" i="35"/>
  <c r="W15" i="35"/>
  <c r="AA14" i="35"/>
  <c r="Z14" i="35"/>
  <c r="Y14" i="35"/>
  <c r="X14" i="35"/>
  <c r="W14" i="35"/>
  <c r="AB13" i="35"/>
  <c r="AB12" i="35"/>
  <c r="AB11" i="35"/>
  <c r="AB10" i="35"/>
  <c r="AB9" i="35"/>
  <c r="AB8" i="35"/>
  <c r="AB7" i="35"/>
  <c r="W5" i="35"/>
  <c r="V68" i="36"/>
  <c r="W68" i="36"/>
  <c r="X68" i="36"/>
  <c r="V69" i="36"/>
  <c r="W69" i="36"/>
  <c r="X69" i="36"/>
  <c r="V70" i="36"/>
  <c r="W70" i="36"/>
  <c r="X70" i="36"/>
  <c r="V71" i="36"/>
  <c r="W71" i="36"/>
  <c r="X71" i="36"/>
  <c r="V72" i="36"/>
  <c r="W72" i="36"/>
  <c r="X72" i="36"/>
  <c r="V73" i="36"/>
  <c r="W73" i="36"/>
  <c r="X73" i="36"/>
  <c r="W67" i="36"/>
  <c r="X67" i="36"/>
  <c r="V67" i="36"/>
  <c r="Y63" i="36"/>
  <c r="Y62" i="36"/>
  <c r="Y61" i="36"/>
  <c r="Y60" i="36"/>
  <c r="Y59" i="36"/>
  <c r="Y58" i="36"/>
  <c r="Y57" i="36"/>
  <c r="Y53" i="36"/>
  <c r="Y52" i="36"/>
  <c r="Y51" i="36"/>
  <c r="Y50" i="36"/>
  <c r="Y49" i="36"/>
  <c r="Y48" i="36"/>
  <c r="Y47" i="36"/>
  <c r="Y43" i="36"/>
  <c r="Y42" i="36"/>
  <c r="Y41" i="36"/>
  <c r="Y40" i="36"/>
  <c r="Y39" i="36"/>
  <c r="Y38" i="36"/>
  <c r="Y37" i="36"/>
  <c r="Y33" i="36"/>
  <c r="Y32" i="36"/>
  <c r="Y31" i="36"/>
  <c r="Y30" i="36"/>
  <c r="Y29" i="36"/>
  <c r="Y28" i="36"/>
  <c r="Y27" i="36"/>
  <c r="Y23" i="36"/>
  <c r="Y22" i="36"/>
  <c r="Y21" i="36"/>
  <c r="Y20" i="36"/>
  <c r="Y19" i="36"/>
  <c r="Y18" i="36"/>
  <c r="Y17" i="36"/>
  <c r="X64" i="36"/>
  <c r="W64" i="36"/>
  <c r="V64" i="36"/>
  <c r="X54" i="36"/>
  <c r="W54" i="36"/>
  <c r="V54" i="36"/>
  <c r="X44" i="36"/>
  <c r="W44" i="36"/>
  <c r="V44" i="36"/>
  <c r="X34" i="36"/>
  <c r="W34" i="36"/>
  <c r="V34" i="36"/>
  <c r="X24" i="36"/>
  <c r="W24" i="36"/>
  <c r="V24" i="36"/>
  <c r="Y8" i="36"/>
  <c r="Y9" i="36"/>
  <c r="Y10" i="36"/>
  <c r="Y11" i="36"/>
  <c r="Y12" i="36"/>
  <c r="Y13" i="36"/>
  <c r="Y7" i="36"/>
  <c r="X14" i="36"/>
  <c r="W14" i="36"/>
  <c r="V14" i="36"/>
  <c r="U24" i="36"/>
  <c r="S73" i="36"/>
  <c r="U73" i="36"/>
  <c r="U72" i="36"/>
  <c r="U71" i="36"/>
  <c r="U70" i="36"/>
  <c r="U69" i="36"/>
  <c r="U68" i="36"/>
  <c r="U67" i="36"/>
  <c r="T73" i="36"/>
  <c r="T68" i="36"/>
  <c r="T69" i="36"/>
  <c r="T70" i="36"/>
  <c r="T71" i="36"/>
  <c r="T72" i="36"/>
  <c r="T67" i="36"/>
  <c r="T65" i="36"/>
  <c r="U64" i="36"/>
  <c r="T64" i="36"/>
  <c r="T55" i="36"/>
  <c r="U54" i="36"/>
  <c r="T54" i="36"/>
  <c r="T45" i="36"/>
  <c r="U44" i="36"/>
  <c r="T44" i="36"/>
  <c r="T35" i="36"/>
  <c r="T34" i="36"/>
  <c r="T25" i="36"/>
  <c r="T24" i="36"/>
  <c r="T15" i="36"/>
  <c r="U14" i="36"/>
  <c r="T14" i="36"/>
  <c r="T5" i="36"/>
  <c r="U74" i="33" l="1"/>
  <c r="Y54" i="33"/>
  <c r="Y54" i="38"/>
  <c r="Y70" i="38"/>
  <c r="Y44" i="38"/>
  <c r="Y72" i="38"/>
  <c r="V74" i="38"/>
  <c r="Y71" i="38"/>
  <c r="Y69" i="38"/>
  <c r="Z34" i="37"/>
  <c r="X74" i="35"/>
  <c r="Y69" i="36"/>
  <c r="Y70" i="36"/>
  <c r="Y72" i="36"/>
  <c r="Y67" i="36"/>
  <c r="Y68" i="36"/>
  <c r="V74" i="36"/>
  <c r="Y73" i="36"/>
  <c r="Y71" i="36"/>
  <c r="W74" i="36"/>
  <c r="Y14" i="36"/>
  <c r="AB24" i="35"/>
  <c r="Y71" i="33"/>
  <c r="Z54" i="37"/>
  <c r="Z24" i="37"/>
  <c r="Z73" i="37"/>
  <c r="Z44" i="37"/>
  <c r="AB54" i="35"/>
  <c r="AB44" i="35"/>
  <c r="AB34" i="35"/>
  <c r="AB71" i="35"/>
  <c r="Y69" i="33"/>
  <c r="Z70" i="37"/>
  <c r="Z72" i="37"/>
  <c r="Z71" i="37"/>
  <c r="Z67" i="37"/>
  <c r="Z69" i="37"/>
  <c r="V74" i="37"/>
  <c r="Z68" i="37"/>
  <c r="U74" i="37"/>
  <c r="Z14" i="37"/>
  <c r="Y74" i="37"/>
  <c r="W74" i="37"/>
  <c r="Y44" i="33"/>
  <c r="Y34" i="33"/>
  <c r="Y68" i="33"/>
  <c r="Y67" i="33"/>
  <c r="T74" i="33"/>
  <c r="Y72" i="33"/>
  <c r="Y70" i="33"/>
  <c r="Y73" i="33"/>
  <c r="V74" i="33"/>
  <c r="X74" i="33"/>
  <c r="W74" i="33"/>
  <c r="AB64" i="35"/>
  <c r="Y74" i="35"/>
  <c r="AB73" i="35"/>
  <c r="AA74" i="35"/>
  <c r="AB69" i="35"/>
  <c r="AB70" i="35"/>
  <c r="AB68" i="35"/>
  <c r="AB72" i="35"/>
  <c r="W74" i="35"/>
  <c r="AB14" i="35"/>
  <c r="Y14" i="38"/>
  <c r="Y68" i="38"/>
  <c r="T74" i="38"/>
  <c r="Y73" i="38"/>
  <c r="Y34" i="38"/>
  <c r="X74" i="38"/>
  <c r="Y24" i="38"/>
  <c r="U74" i="38"/>
  <c r="Y67" i="38"/>
  <c r="W74" i="38"/>
  <c r="X74" i="37"/>
  <c r="AB67" i="35"/>
  <c r="Z74" i="35"/>
  <c r="X74" i="36"/>
  <c r="Y64" i="36"/>
  <c r="Y54" i="36"/>
  <c r="Y44" i="36"/>
  <c r="Y34" i="36"/>
  <c r="Y24" i="36"/>
  <c r="U74" i="36"/>
  <c r="T74" i="36"/>
  <c r="Q64" i="36"/>
  <c r="Q73" i="36"/>
  <c r="Z74" i="37" l="1"/>
  <c r="Y74" i="38"/>
  <c r="Y74" i="36"/>
  <c r="Y93" i="36" s="1"/>
  <c r="Y74" i="33"/>
  <c r="AB74" i="35"/>
  <c r="AB93" i="35" s="1"/>
  <c r="Q54" i="36"/>
  <c r="K64" i="37" l="1"/>
  <c r="K54" i="37"/>
  <c r="K44" i="37"/>
  <c r="K34" i="37"/>
  <c r="K24" i="37"/>
  <c r="K14" i="37"/>
  <c r="K73" i="37"/>
  <c r="K72" i="37"/>
  <c r="K71" i="37"/>
  <c r="K70" i="37"/>
  <c r="K69" i="37"/>
  <c r="K68" i="37"/>
  <c r="K67" i="37"/>
  <c r="J73" i="36"/>
  <c r="J72" i="36"/>
  <c r="J71" i="36"/>
  <c r="J70" i="36"/>
  <c r="J69" i="36"/>
  <c r="J68" i="36"/>
  <c r="J67" i="36"/>
  <c r="J24" i="36"/>
  <c r="J64" i="36"/>
  <c r="J54" i="36"/>
  <c r="J44" i="36"/>
  <c r="J34" i="36"/>
  <c r="J14" i="36"/>
  <c r="H34" i="36"/>
  <c r="J74" i="36" l="1"/>
  <c r="J94" i="36" s="1"/>
  <c r="Q95" i="36" s="1"/>
  <c r="K74" i="37"/>
  <c r="R95" i="37" l="1"/>
  <c r="N73" i="35"/>
  <c r="N72" i="35"/>
  <c r="N71" i="35"/>
  <c r="N70" i="35"/>
  <c r="N69" i="35"/>
  <c r="N68" i="35"/>
  <c r="N67" i="35"/>
  <c r="N64" i="35"/>
  <c r="N54" i="35"/>
  <c r="N44" i="35"/>
  <c r="N34" i="35"/>
  <c r="N24" i="35"/>
  <c r="N14" i="35"/>
  <c r="N74" i="35" l="1"/>
  <c r="N94" i="35" s="1"/>
  <c r="T95" i="35" s="1"/>
  <c r="Q34" i="38"/>
  <c r="Q24" i="38"/>
  <c r="Q14" i="38"/>
  <c r="R64" i="37"/>
  <c r="R54" i="37"/>
  <c r="R44" i="37"/>
  <c r="R34" i="37"/>
  <c r="R24" i="37"/>
  <c r="R14" i="37"/>
  <c r="Q44" i="36"/>
  <c r="Q34" i="36"/>
  <c r="Q24" i="36"/>
  <c r="Q14" i="36"/>
  <c r="T64" i="35"/>
  <c r="T54" i="35"/>
  <c r="T44" i="35"/>
  <c r="T34" i="35"/>
  <c r="T24" i="35"/>
  <c r="T14" i="35"/>
  <c r="Q73" i="38"/>
  <c r="Q72" i="38"/>
  <c r="Q71" i="38"/>
  <c r="Q70" i="38"/>
  <c r="Q69" i="38"/>
  <c r="Q68" i="38"/>
  <c r="Q67" i="38"/>
  <c r="R73" i="37"/>
  <c r="R72" i="37"/>
  <c r="R71" i="37"/>
  <c r="R70" i="37"/>
  <c r="R69" i="37"/>
  <c r="R68" i="37"/>
  <c r="R67" i="37"/>
  <c r="Q72" i="36"/>
  <c r="Q71" i="36"/>
  <c r="Q70" i="36"/>
  <c r="Q69" i="36"/>
  <c r="Q68" i="36"/>
  <c r="Q67" i="36"/>
  <c r="T73" i="35"/>
  <c r="T72" i="35"/>
  <c r="T71" i="35"/>
  <c r="T70" i="35"/>
  <c r="T69" i="35"/>
  <c r="T68" i="35"/>
  <c r="T67" i="35"/>
  <c r="Q73" i="33"/>
  <c r="Q72" i="33"/>
  <c r="Q71" i="33"/>
  <c r="Q70" i="33"/>
  <c r="Q69" i="33"/>
  <c r="Q68" i="33"/>
  <c r="Q67" i="33"/>
  <c r="Q64" i="33"/>
  <c r="Q54" i="33"/>
  <c r="Q44" i="33"/>
  <c r="L80" i="38"/>
  <c r="H80" i="38"/>
  <c r="D74" i="38"/>
  <c r="H73" i="38"/>
  <c r="F73" i="38"/>
  <c r="E73" i="38"/>
  <c r="H72" i="38"/>
  <c r="F72" i="38"/>
  <c r="E72" i="38"/>
  <c r="H71" i="38"/>
  <c r="F71" i="38"/>
  <c r="E71" i="38"/>
  <c r="H70" i="38"/>
  <c r="F70" i="38"/>
  <c r="E70" i="38"/>
  <c r="H69" i="38"/>
  <c r="F69" i="38"/>
  <c r="E69" i="38"/>
  <c r="H68" i="38"/>
  <c r="F68" i="38"/>
  <c r="E68" i="38"/>
  <c r="H67" i="38"/>
  <c r="F67" i="38"/>
  <c r="E67" i="38"/>
  <c r="H64" i="38"/>
  <c r="F64" i="38"/>
  <c r="E64" i="38"/>
  <c r="R63" i="38"/>
  <c r="I63" i="38"/>
  <c r="G63" i="38"/>
  <c r="R62" i="38"/>
  <c r="I62" i="38"/>
  <c r="G62" i="38"/>
  <c r="R61" i="38"/>
  <c r="I61" i="38"/>
  <c r="G61" i="38"/>
  <c r="R60" i="38"/>
  <c r="I60" i="38"/>
  <c r="G60" i="38"/>
  <c r="R59" i="38"/>
  <c r="I59" i="38"/>
  <c r="G59" i="38"/>
  <c r="R58" i="38"/>
  <c r="I58" i="38"/>
  <c r="G58" i="38"/>
  <c r="R57" i="38"/>
  <c r="I57" i="38"/>
  <c r="G57" i="38"/>
  <c r="H54" i="38"/>
  <c r="F54" i="38"/>
  <c r="E54" i="38"/>
  <c r="R53" i="38"/>
  <c r="I53" i="38"/>
  <c r="G53" i="38"/>
  <c r="R52" i="38"/>
  <c r="I52" i="38"/>
  <c r="G52" i="38"/>
  <c r="R51" i="38"/>
  <c r="I51" i="38"/>
  <c r="G51" i="38"/>
  <c r="R50" i="38"/>
  <c r="I50" i="38"/>
  <c r="G50" i="38"/>
  <c r="R49" i="38"/>
  <c r="I49" i="38"/>
  <c r="G49" i="38"/>
  <c r="R48" i="38"/>
  <c r="I48" i="38"/>
  <c r="G48" i="38"/>
  <c r="R47" i="38"/>
  <c r="I47" i="38"/>
  <c r="G47" i="38"/>
  <c r="H44" i="38"/>
  <c r="F44" i="38"/>
  <c r="E44" i="38"/>
  <c r="R43" i="38"/>
  <c r="I43" i="38"/>
  <c r="G43" i="38"/>
  <c r="R42" i="38"/>
  <c r="I42" i="38"/>
  <c r="G42" i="38"/>
  <c r="R41" i="38"/>
  <c r="I41" i="38"/>
  <c r="G41" i="38"/>
  <c r="R40" i="38"/>
  <c r="I40" i="38"/>
  <c r="G40" i="38"/>
  <c r="R39" i="38"/>
  <c r="I39" i="38"/>
  <c r="G39" i="38"/>
  <c r="R38" i="38"/>
  <c r="M38" i="38"/>
  <c r="I38" i="38"/>
  <c r="G38" i="38"/>
  <c r="R37" i="38"/>
  <c r="I37" i="38"/>
  <c r="G37" i="38"/>
  <c r="H34" i="38"/>
  <c r="F34" i="38"/>
  <c r="E34" i="38"/>
  <c r="R33" i="38"/>
  <c r="I33" i="38"/>
  <c r="G33" i="38"/>
  <c r="R32" i="38"/>
  <c r="I32" i="38"/>
  <c r="G32" i="38"/>
  <c r="R31" i="38"/>
  <c r="I31" i="38"/>
  <c r="G31" i="38"/>
  <c r="R30" i="38"/>
  <c r="I30" i="38"/>
  <c r="G30" i="38"/>
  <c r="R29" i="38"/>
  <c r="I29" i="38"/>
  <c r="G29" i="38"/>
  <c r="R28" i="38"/>
  <c r="I28" i="38"/>
  <c r="G28" i="38"/>
  <c r="R27" i="38"/>
  <c r="I27" i="38"/>
  <c r="G27" i="38"/>
  <c r="H24" i="38"/>
  <c r="F24" i="38"/>
  <c r="E24" i="38"/>
  <c r="R23" i="38"/>
  <c r="I23" i="38"/>
  <c r="G23" i="38"/>
  <c r="R22" i="38"/>
  <c r="I22" i="38"/>
  <c r="G22" i="38"/>
  <c r="R21" i="38"/>
  <c r="I21" i="38"/>
  <c r="G21" i="38"/>
  <c r="R20" i="38"/>
  <c r="I20" i="38"/>
  <c r="G20" i="38"/>
  <c r="R19" i="38"/>
  <c r="I19" i="38"/>
  <c r="G19" i="38"/>
  <c r="R18" i="38"/>
  <c r="I18" i="38"/>
  <c r="G18" i="38"/>
  <c r="R17" i="38"/>
  <c r="I17" i="38"/>
  <c r="G17" i="38"/>
  <c r="H14" i="38"/>
  <c r="F14" i="38"/>
  <c r="E14" i="38"/>
  <c r="R13" i="38"/>
  <c r="I13" i="38"/>
  <c r="G13" i="38"/>
  <c r="R12" i="38"/>
  <c r="I12" i="38"/>
  <c r="G12" i="38"/>
  <c r="R11" i="38"/>
  <c r="I11" i="38"/>
  <c r="G11" i="38"/>
  <c r="I10" i="38"/>
  <c r="G10" i="38"/>
  <c r="M9" i="38"/>
  <c r="I9" i="38"/>
  <c r="G9" i="38"/>
  <c r="R8" i="38"/>
  <c r="I8" i="38"/>
  <c r="G8" i="38"/>
  <c r="R7" i="38"/>
  <c r="I7" i="38"/>
  <c r="G7" i="38"/>
  <c r="R4" i="38"/>
  <c r="E74" i="37"/>
  <c r="I73" i="37"/>
  <c r="G73" i="37"/>
  <c r="F73" i="37"/>
  <c r="I72" i="37"/>
  <c r="G72" i="37"/>
  <c r="F72" i="37"/>
  <c r="I71" i="37"/>
  <c r="G71" i="37"/>
  <c r="F71" i="37"/>
  <c r="I70" i="37"/>
  <c r="G70" i="37"/>
  <c r="F70" i="37"/>
  <c r="G69" i="37"/>
  <c r="F69" i="37"/>
  <c r="I68" i="37"/>
  <c r="G68" i="37"/>
  <c r="F68" i="37"/>
  <c r="I67" i="37"/>
  <c r="G67" i="37"/>
  <c r="F67" i="37"/>
  <c r="I64" i="37"/>
  <c r="G64" i="37"/>
  <c r="F64" i="37"/>
  <c r="S63" i="37"/>
  <c r="J63" i="37"/>
  <c r="H63" i="37"/>
  <c r="S62" i="37"/>
  <c r="J62" i="37"/>
  <c r="H62" i="37"/>
  <c r="S61" i="37"/>
  <c r="J61" i="37"/>
  <c r="H61" i="37"/>
  <c r="J60" i="37"/>
  <c r="H60" i="37"/>
  <c r="S59" i="37"/>
  <c r="J59" i="37"/>
  <c r="H59" i="37"/>
  <c r="S58" i="37"/>
  <c r="J58" i="37"/>
  <c r="H58" i="37"/>
  <c r="S57" i="37"/>
  <c r="J57" i="37"/>
  <c r="H57" i="37"/>
  <c r="I54" i="37"/>
  <c r="G54" i="37"/>
  <c r="F54" i="37"/>
  <c r="S53" i="37"/>
  <c r="S51" i="37"/>
  <c r="S50" i="37"/>
  <c r="N49" i="37"/>
  <c r="S47" i="37"/>
  <c r="D74" i="36"/>
  <c r="H73" i="36"/>
  <c r="F73" i="36"/>
  <c r="E73" i="36"/>
  <c r="H72" i="36"/>
  <c r="F72" i="36"/>
  <c r="E72" i="36"/>
  <c r="H71" i="36"/>
  <c r="F71" i="36"/>
  <c r="E71" i="36"/>
  <c r="H70" i="36"/>
  <c r="F70" i="36"/>
  <c r="E70" i="36"/>
  <c r="H69" i="36"/>
  <c r="F69" i="36"/>
  <c r="E69" i="36"/>
  <c r="H68" i="36"/>
  <c r="F68" i="36"/>
  <c r="H67" i="36"/>
  <c r="F67" i="36"/>
  <c r="H64" i="36"/>
  <c r="F64" i="36"/>
  <c r="L64" i="36" s="1"/>
  <c r="E64" i="36"/>
  <c r="R63" i="36"/>
  <c r="I63" i="36"/>
  <c r="G63" i="36"/>
  <c r="R62" i="36"/>
  <c r="I62" i="36"/>
  <c r="G62" i="36"/>
  <c r="R61" i="36"/>
  <c r="I61" i="36"/>
  <c r="G61" i="36"/>
  <c r="R60" i="36"/>
  <c r="I60" i="36"/>
  <c r="G60" i="36"/>
  <c r="R59" i="36"/>
  <c r="I59" i="36"/>
  <c r="G59" i="36"/>
  <c r="R58" i="36"/>
  <c r="I58" i="36"/>
  <c r="G58" i="36"/>
  <c r="R57" i="36"/>
  <c r="I57" i="36"/>
  <c r="G57" i="36"/>
  <c r="H54" i="36"/>
  <c r="F54" i="36"/>
  <c r="E54" i="36"/>
  <c r="I53" i="36"/>
  <c r="G53" i="36"/>
  <c r="I52" i="36"/>
  <c r="G52" i="36"/>
  <c r="R51" i="36"/>
  <c r="I51" i="36"/>
  <c r="G51" i="36"/>
  <c r="R50" i="36"/>
  <c r="I50" i="36"/>
  <c r="G50" i="36"/>
  <c r="I49" i="36"/>
  <c r="I48" i="36"/>
  <c r="G48" i="36"/>
  <c r="R47" i="36"/>
  <c r="I47" i="36"/>
  <c r="G47" i="36"/>
  <c r="L72" i="35"/>
  <c r="L71" i="35"/>
  <c r="L70" i="35"/>
  <c r="L69" i="35"/>
  <c r="L68" i="35"/>
  <c r="L67" i="35"/>
  <c r="L64" i="35"/>
  <c r="J64" i="35"/>
  <c r="I64" i="35"/>
  <c r="O63" i="35"/>
  <c r="U63" i="35" s="1"/>
  <c r="M63" i="35"/>
  <c r="K63" i="35"/>
  <c r="O62" i="35"/>
  <c r="U62" i="35" s="1"/>
  <c r="M62" i="35"/>
  <c r="K62" i="35"/>
  <c r="O61" i="35"/>
  <c r="U61" i="35" s="1"/>
  <c r="M61" i="35"/>
  <c r="K61" i="35"/>
  <c r="O60" i="35"/>
  <c r="P60" i="35" s="1"/>
  <c r="M60" i="35"/>
  <c r="K60" i="35"/>
  <c r="O59" i="35"/>
  <c r="P59" i="35" s="1"/>
  <c r="M59" i="35"/>
  <c r="K59" i="35"/>
  <c r="O58" i="35"/>
  <c r="U58" i="35" s="1"/>
  <c r="M58" i="35"/>
  <c r="K58" i="35"/>
  <c r="O57" i="35"/>
  <c r="U57" i="35" s="1"/>
  <c r="M57" i="35"/>
  <c r="K57" i="35"/>
  <c r="L80" i="36"/>
  <c r="H80" i="36"/>
  <c r="H44" i="36"/>
  <c r="F44" i="36"/>
  <c r="E44" i="36"/>
  <c r="R43" i="36"/>
  <c r="I43" i="36"/>
  <c r="G43" i="36"/>
  <c r="R42" i="36"/>
  <c r="I42" i="36"/>
  <c r="G42" i="36"/>
  <c r="I41" i="36"/>
  <c r="G41" i="36"/>
  <c r="R40" i="36"/>
  <c r="I40" i="36"/>
  <c r="G40" i="36"/>
  <c r="I39" i="36"/>
  <c r="G39" i="36"/>
  <c r="M38" i="36"/>
  <c r="I38" i="36"/>
  <c r="G38" i="36"/>
  <c r="R37" i="36"/>
  <c r="I37" i="36"/>
  <c r="G37" i="36"/>
  <c r="F34" i="36"/>
  <c r="L34" i="36" s="1"/>
  <c r="AA34" i="36" s="1"/>
  <c r="E34" i="36"/>
  <c r="R33" i="36"/>
  <c r="I33" i="36"/>
  <c r="G33" i="36"/>
  <c r="R32" i="36"/>
  <c r="I32" i="36"/>
  <c r="G32" i="36"/>
  <c r="M31" i="36"/>
  <c r="I31" i="36"/>
  <c r="G31" i="36"/>
  <c r="R30" i="36"/>
  <c r="I30" i="36"/>
  <c r="G30" i="36"/>
  <c r="R29" i="36"/>
  <c r="I29" i="36"/>
  <c r="G29" i="36"/>
  <c r="R28" i="36"/>
  <c r="I28" i="36"/>
  <c r="G28" i="36"/>
  <c r="R27" i="36"/>
  <c r="I27" i="36"/>
  <c r="G27" i="36"/>
  <c r="H24" i="36"/>
  <c r="F24" i="36"/>
  <c r="L24" i="36" s="1"/>
  <c r="E24" i="36"/>
  <c r="R23" i="36"/>
  <c r="I23" i="36"/>
  <c r="G23" i="36"/>
  <c r="L22" i="36"/>
  <c r="R22" i="36" s="1"/>
  <c r="I22" i="36"/>
  <c r="G22" i="36"/>
  <c r="L21" i="36"/>
  <c r="R21" i="36" s="1"/>
  <c r="I21" i="36"/>
  <c r="G21" i="36"/>
  <c r="L20" i="36"/>
  <c r="R20" i="36" s="1"/>
  <c r="I20" i="36"/>
  <c r="G20" i="36"/>
  <c r="L19" i="36"/>
  <c r="R19" i="36" s="1"/>
  <c r="I19" i="36"/>
  <c r="G19" i="36"/>
  <c r="M18" i="36"/>
  <c r="I18" i="36"/>
  <c r="G18" i="36"/>
  <c r="L17" i="36"/>
  <c r="R17" i="36" s="1"/>
  <c r="I17" i="36"/>
  <c r="G17" i="36"/>
  <c r="H14" i="36"/>
  <c r="F14" i="36"/>
  <c r="L14" i="36" s="1"/>
  <c r="E14" i="36"/>
  <c r="R13" i="36"/>
  <c r="I13" i="36"/>
  <c r="G13" i="36"/>
  <c r="L12" i="36"/>
  <c r="M12" i="36" s="1"/>
  <c r="I12" i="36"/>
  <c r="G12" i="36"/>
  <c r="L11" i="36"/>
  <c r="R11" i="36" s="1"/>
  <c r="I11" i="36"/>
  <c r="G11" i="36"/>
  <c r="L10" i="36"/>
  <c r="I10" i="36"/>
  <c r="G10" i="36"/>
  <c r="L9" i="36"/>
  <c r="I9" i="36"/>
  <c r="G9" i="36"/>
  <c r="R8" i="36"/>
  <c r="I8" i="36"/>
  <c r="G8" i="36"/>
  <c r="L7" i="36"/>
  <c r="I7" i="36"/>
  <c r="G7" i="36"/>
  <c r="R4" i="36"/>
  <c r="M80" i="37"/>
  <c r="I80" i="37"/>
  <c r="I44" i="37"/>
  <c r="G44" i="37"/>
  <c r="F44" i="37"/>
  <c r="S43" i="37"/>
  <c r="J43" i="37"/>
  <c r="H43" i="37"/>
  <c r="N42" i="37"/>
  <c r="J42" i="37"/>
  <c r="H42" i="37"/>
  <c r="S41" i="37"/>
  <c r="J41" i="37"/>
  <c r="H41" i="37"/>
  <c r="N40" i="37"/>
  <c r="J40" i="37"/>
  <c r="H40" i="37"/>
  <c r="S39" i="37"/>
  <c r="J39" i="37"/>
  <c r="H39" i="37"/>
  <c r="N38" i="37"/>
  <c r="J38" i="37"/>
  <c r="H38" i="37"/>
  <c r="S37" i="37"/>
  <c r="J37" i="37"/>
  <c r="H37" i="37"/>
  <c r="I34" i="37"/>
  <c r="G34" i="37"/>
  <c r="F34" i="37"/>
  <c r="N33" i="37"/>
  <c r="J33" i="37"/>
  <c r="H33" i="37"/>
  <c r="S32" i="37"/>
  <c r="J32" i="37"/>
  <c r="H32" i="37"/>
  <c r="N31" i="37"/>
  <c r="J31" i="37"/>
  <c r="H31" i="37"/>
  <c r="N30" i="37"/>
  <c r="J30" i="37"/>
  <c r="H30" i="37"/>
  <c r="S29" i="37"/>
  <c r="J29" i="37"/>
  <c r="H29" i="37"/>
  <c r="S28" i="37"/>
  <c r="J28" i="37"/>
  <c r="H28" i="37"/>
  <c r="S27" i="37"/>
  <c r="J27" i="37"/>
  <c r="H27" i="37"/>
  <c r="I24" i="37"/>
  <c r="G24" i="37"/>
  <c r="F24" i="37"/>
  <c r="N23" i="37"/>
  <c r="J23" i="37"/>
  <c r="H23" i="37"/>
  <c r="S22" i="37"/>
  <c r="J22" i="37"/>
  <c r="H22" i="37"/>
  <c r="S21" i="37"/>
  <c r="J21" i="37"/>
  <c r="H21" i="37"/>
  <c r="S20" i="37"/>
  <c r="J20" i="37"/>
  <c r="H20" i="37"/>
  <c r="N19" i="37"/>
  <c r="J19" i="37"/>
  <c r="H19" i="37"/>
  <c r="S18" i="37"/>
  <c r="J18" i="37"/>
  <c r="H18" i="37"/>
  <c r="N17" i="37"/>
  <c r="J17" i="37"/>
  <c r="H17" i="37"/>
  <c r="I14" i="37"/>
  <c r="G14" i="37"/>
  <c r="F14" i="37"/>
  <c r="S13" i="37"/>
  <c r="J13" i="37"/>
  <c r="H13" i="37"/>
  <c r="N12" i="37"/>
  <c r="J12" i="37"/>
  <c r="H12" i="37"/>
  <c r="S11" i="37"/>
  <c r="J11" i="37"/>
  <c r="H11" i="37"/>
  <c r="N10" i="37"/>
  <c r="J10" i="37"/>
  <c r="H10" i="37"/>
  <c r="J9" i="37"/>
  <c r="H9" i="37"/>
  <c r="N8" i="37"/>
  <c r="J8" i="37"/>
  <c r="H8" i="37"/>
  <c r="S7" i="37"/>
  <c r="J7" i="37"/>
  <c r="H7" i="37"/>
  <c r="S4" i="37"/>
  <c r="O80" i="35"/>
  <c r="L80" i="35"/>
  <c r="H74" i="35"/>
  <c r="L73" i="35"/>
  <c r="J73" i="35"/>
  <c r="I73" i="35"/>
  <c r="J72" i="35"/>
  <c r="I72" i="35"/>
  <c r="J71" i="35"/>
  <c r="I71" i="35"/>
  <c r="J70" i="35"/>
  <c r="I70" i="35"/>
  <c r="J69" i="35"/>
  <c r="I69" i="35"/>
  <c r="J68" i="35"/>
  <c r="I68" i="35"/>
  <c r="J67" i="35"/>
  <c r="I67" i="35"/>
  <c r="F64" i="35"/>
  <c r="L54" i="35"/>
  <c r="J54" i="35"/>
  <c r="O54" i="35" s="1"/>
  <c r="AD54" i="35" s="1"/>
  <c r="I54" i="35"/>
  <c r="F54" i="35"/>
  <c r="O53" i="35"/>
  <c r="M53" i="35"/>
  <c r="K53" i="35"/>
  <c r="O52" i="35"/>
  <c r="P52" i="35" s="1"/>
  <c r="M52" i="35"/>
  <c r="K52" i="35"/>
  <c r="O51" i="35"/>
  <c r="U51" i="35" s="1"/>
  <c r="M51" i="35"/>
  <c r="K51" i="35"/>
  <c r="O50" i="35"/>
  <c r="U50" i="35" s="1"/>
  <c r="M50" i="35"/>
  <c r="K50" i="35"/>
  <c r="O49" i="35"/>
  <c r="U49" i="35" s="1"/>
  <c r="M49" i="35"/>
  <c r="K49" i="35"/>
  <c r="M48" i="35"/>
  <c r="K48" i="35"/>
  <c r="U47" i="35"/>
  <c r="M47" i="35"/>
  <c r="K47" i="35"/>
  <c r="L44" i="35"/>
  <c r="J44" i="35"/>
  <c r="O44" i="35" s="1"/>
  <c r="I44" i="35"/>
  <c r="F44" i="35"/>
  <c r="O43" i="35"/>
  <c r="U43" i="35" s="1"/>
  <c r="M43" i="35"/>
  <c r="K43" i="35"/>
  <c r="O42" i="35"/>
  <c r="U42" i="35" s="1"/>
  <c r="M42" i="35"/>
  <c r="K42" i="35"/>
  <c r="O41" i="35"/>
  <c r="U41" i="35" s="1"/>
  <c r="M41" i="35"/>
  <c r="K41" i="35"/>
  <c r="O40" i="35"/>
  <c r="P40" i="35" s="1"/>
  <c r="M40" i="35"/>
  <c r="K40" i="35"/>
  <c r="O39" i="35"/>
  <c r="U39" i="35" s="1"/>
  <c r="M39" i="35"/>
  <c r="K39" i="35"/>
  <c r="O38" i="35"/>
  <c r="U38" i="35" s="1"/>
  <c r="M38" i="35"/>
  <c r="K38" i="35"/>
  <c r="O37" i="35"/>
  <c r="P37" i="35" s="1"/>
  <c r="M37" i="35"/>
  <c r="K37" i="35"/>
  <c r="L34" i="35"/>
  <c r="J34" i="35"/>
  <c r="I34" i="35"/>
  <c r="F34" i="35"/>
  <c r="O33" i="35"/>
  <c r="P33" i="35" s="1"/>
  <c r="M33" i="35"/>
  <c r="K33" i="35"/>
  <c r="O32" i="35"/>
  <c r="P32" i="35" s="1"/>
  <c r="M32" i="35"/>
  <c r="K32" i="35"/>
  <c r="O31" i="35"/>
  <c r="U31" i="35" s="1"/>
  <c r="M31" i="35"/>
  <c r="K31" i="35"/>
  <c r="O30" i="35"/>
  <c r="U30" i="35" s="1"/>
  <c r="M30" i="35"/>
  <c r="K30" i="35"/>
  <c r="O29" i="35"/>
  <c r="U29" i="35" s="1"/>
  <c r="M29" i="35"/>
  <c r="K29" i="35"/>
  <c r="O28" i="35"/>
  <c r="M28" i="35"/>
  <c r="K28" i="35"/>
  <c r="O27" i="35"/>
  <c r="P27" i="35" s="1"/>
  <c r="M27" i="35"/>
  <c r="K27" i="35"/>
  <c r="L24" i="35"/>
  <c r="J24" i="35"/>
  <c r="O24" i="35" s="1"/>
  <c r="I24" i="35"/>
  <c r="F24" i="35"/>
  <c r="O23" i="35"/>
  <c r="U23" i="35" s="1"/>
  <c r="M23" i="35"/>
  <c r="K23" i="35"/>
  <c r="O22" i="35"/>
  <c r="U22" i="35" s="1"/>
  <c r="M22" i="35"/>
  <c r="K22" i="35"/>
  <c r="O21" i="35"/>
  <c r="P21" i="35" s="1"/>
  <c r="M21" i="35"/>
  <c r="K21" i="35"/>
  <c r="O20" i="35"/>
  <c r="U20" i="35" s="1"/>
  <c r="M20" i="35"/>
  <c r="K20" i="35"/>
  <c r="O19" i="35"/>
  <c r="P19" i="35" s="1"/>
  <c r="M19" i="35"/>
  <c r="K19" i="35"/>
  <c r="O18" i="35"/>
  <c r="U18" i="35" s="1"/>
  <c r="M18" i="35"/>
  <c r="K18" i="35"/>
  <c r="O17" i="35"/>
  <c r="U17" i="35" s="1"/>
  <c r="M17" i="35"/>
  <c r="K17" i="35"/>
  <c r="L14" i="35"/>
  <c r="J14" i="35"/>
  <c r="I14" i="35"/>
  <c r="F14" i="35"/>
  <c r="U13" i="35"/>
  <c r="M13" i="35"/>
  <c r="K13" i="35"/>
  <c r="O12" i="35"/>
  <c r="U12" i="35" s="1"/>
  <c r="M12" i="35"/>
  <c r="K12" i="35"/>
  <c r="O11" i="35"/>
  <c r="P11" i="35" s="1"/>
  <c r="M11" i="35"/>
  <c r="K11" i="35"/>
  <c r="O10" i="35"/>
  <c r="U10" i="35" s="1"/>
  <c r="M10" i="35"/>
  <c r="K10" i="35"/>
  <c r="O9" i="35"/>
  <c r="U9" i="35" s="1"/>
  <c r="M9" i="35"/>
  <c r="K9" i="35"/>
  <c r="O8" i="35"/>
  <c r="U8" i="35" s="1"/>
  <c r="M8" i="35"/>
  <c r="K8" i="35"/>
  <c r="O7" i="35"/>
  <c r="O67" i="35" s="1"/>
  <c r="M7" i="35"/>
  <c r="K7" i="35"/>
  <c r="O53" i="33"/>
  <c r="R53" i="33" s="1"/>
  <c r="M53" i="33"/>
  <c r="K53" i="33"/>
  <c r="O52" i="33"/>
  <c r="R52" i="33" s="1"/>
  <c r="M52" i="33"/>
  <c r="K52" i="33"/>
  <c r="O51" i="33"/>
  <c r="R51" i="33" s="1"/>
  <c r="M51" i="33"/>
  <c r="K51" i="33"/>
  <c r="O50" i="33"/>
  <c r="P50" i="33" s="1"/>
  <c r="M50" i="33"/>
  <c r="K50" i="33"/>
  <c r="O49" i="33"/>
  <c r="R49" i="33" s="1"/>
  <c r="M49" i="33"/>
  <c r="K49" i="33"/>
  <c r="O48" i="33"/>
  <c r="R48" i="33" s="1"/>
  <c r="M48" i="33"/>
  <c r="K48" i="33"/>
  <c r="O47" i="33"/>
  <c r="R47" i="33" s="1"/>
  <c r="M47" i="33"/>
  <c r="K47" i="33"/>
  <c r="O43" i="33"/>
  <c r="R43" i="33" s="1"/>
  <c r="M43" i="33"/>
  <c r="K43" i="33"/>
  <c r="O42" i="33"/>
  <c r="P42" i="33" s="1"/>
  <c r="M42" i="33"/>
  <c r="K42" i="33"/>
  <c r="O41" i="33"/>
  <c r="R41" i="33" s="1"/>
  <c r="M41" i="33"/>
  <c r="K41" i="33"/>
  <c r="O40" i="33"/>
  <c r="P40" i="33" s="1"/>
  <c r="M40" i="33"/>
  <c r="K40" i="33"/>
  <c r="O39" i="33"/>
  <c r="R39" i="33" s="1"/>
  <c r="M39" i="33"/>
  <c r="K39" i="33"/>
  <c r="O38" i="33"/>
  <c r="R38" i="33" s="1"/>
  <c r="M38" i="33"/>
  <c r="K38" i="33"/>
  <c r="O37" i="33"/>
  <c r="P37" i="33" s="1"/>
  <c r="M37" i="33"/>
  <c r="K37" i="33"/>
  <c r="O33" i="33"/>
  <c r="R33" i="33" s="1"/>
  <c r="M33" i="33"/>
  <c r="K33" i="33"/>
  <c r="O32" i="33"/>
  <c r="R32" i="33" s="1"/>
  <c r="M32" i="33"/>
  <c r="K32" i="33"/>
  <c r="O31" i="33"/>
  <c r="P31" i="33" s="1"/>
  <c r="M31" i="33"/>
  <c r="K31" i="33"/>
  <c r="O30" i="33"/>
  <c r="P30" i="33" s="1"/>
  <c r="M30" i="33"/>
  <c r="K30" i="33"/>
  <c r="O29" i="33"/>
  <c r="R29" i="33" s="1"/>
  <c r="M29" i="33"/>
  <c r="K29" i="33"/>
  <c r="O28" i="33"/>
  <c r="R28" i="33" s="1"/>
  <c r="M28" i="33"/>
  <c r="K28" i="33"/>
  <c r="O27" i="33"/>
  <c r="P27" i="33" s="1"/>
  <c r="M27" i="33"/>
  <c r="K27" i="33"/>
  <c r="O22" i="33"/>
  <c r="R22" i="33" s="1"/>
  <c r="M22" i="33"/>
  <c r="K22" i="33"/>
  <c r="O21" i="33"/>
  <c r="P21" i="33" s="1"/>
  <c r="M21" i="33"/>
  <c r="K21" i="33"/>
  <c r="O20" i="33"/>
  <c r="P20" i="33" s="1"/>
  <c r="M20" i="33"/>
  <c r="K20" i="33"/>
  <c r="O19" i="33"/>
  <c r="P19" i="33" s="1"/>
  <c r="M19" i="33"/>
  <c r="K19" i="33"/>
  <c r="O18" i="33"/>
  <c r="R18" i="33" s="1"/>
  <c r="M18" i="33"/>
  <c r="K18" i="33"/>
  <c r="O17" i="33"/>
  <c r="R17" i="33" s="1"/>
  <c r="M17" i="33"/>
  <c r="K17" i="33"/>
  <c r="K8" i="33"/>
  <c r="M8" i="33"/>
  <c r="K9" i="33"/>
  <c r="M9" i="33"/>
  <c r="K10" i="33"/>
  <c r="M10" i="33"/>
  <c r="K11" i="33"/>
  <c r="M11" i="33"/>
  <c r="K12" i="33"/>
  <c r="M12" i="33"/>
  <c r="M7" i="33"/>
  <c r="K7" i="33"/>
  <c r="I67" i="33"/>
  <c r="J67" i="33"/>
  <c r="L64" i="33"/>
  <c r="J64" i="33"/>
  <c r="I64" i="33"/>
  <c r="O63" i="33"/>
  <c r="R63" i="33" s="1"/>
  <c r="M63" i="33"/>
  <c r="K63" i="33"/>
  <c r="O62" i="33"/>
  <c r="R62" i="33" s="1"/>
  <c r="O61" i="33"/>
  <c r="P61" i="33" s="1"/>
  <c r="O60" i="33"/>
  <c r="R60" i="33" s="1"/>
  <c r="O59" i="33"/>
  <c r="P59" i="33" s="1"/>
  <c r="O58" i="33"/>
  <c r="P58" i="33" s="1"/>
  <c r="O57" i="33"/>
  <c r="P57" i="33" s="1"/>
  <c r="L54" i="33"/>
  <c r="J54" i="33"/>
  <c r="I54" i="33"/>
  <c r="L34" i="33"/>
  <c r="J34" i="33"/>
  <c r="I34" i="33"/>
  <c r="L24" i="33"/>
  <c r="J24" i="33"/>
  <c r="I24" i="33"/>
  <c r="O23" i="33"/>
  <c r="P23" i="33" s="1"/>
  <c r="M23" i="33"/>
  <c r="K23" i="33"/>
  <c r="L14" i="33"/>
  <c r="J14" i="33"/>
  <c r="I14" i="33"/>
  <c r="O13" i="33"/>
  <c r="R13" i="33" s="1"/>
  <c r="M13" i="33"/>
  <c r="K13" i="33"/>
  <c r="O12" i="33"/>
  <c r="P12" i="33" s="1"/>
  <c r="O11" i="33"/>
  <c r="R11" i="33" s="1"/>
  <c r="O10" i="33"/>
  <c r="R10" i="33" s="1"/>
  <c r="O9" i="33"/>
  <c r="P9" i="33" s="1"/>
  <c r="O8" i="33"/>
  <c r="R8" i="33" s="1"/>
  <c r="O7" i="33"/>
  <c r="R7" i="33" s="1"/>
  <c r="J44" i="33"/>
  <c r="L44" i="33"/>
  <c r="O64" i="33" l="1"/>
  <c r="AA64" i="33" s="1"/>
  <c r="R58" i="33"/>
  <c r="P32" i="33"/>
  <c r="P7" i="33"/>
  <c r="R40" i="33"/>
  <c r="R37" i="33"/>
  <c r="O34" i="35"/>
  <c r="O14" i="35"/>
  <c r="O64" i="35"/>
  <c r="AD64" i="35" s="1"/>
  <c r="R7" i="36"/>
  <c r="L67" i="36"/>
  <c r="E74" i="36"/>
  <c r="J103" i="38" s="1"/>
  <c r="R9" i="36"/>
  <c r="L69" i="36"/>
  <c r="R69" i="36" s="1"/>
  <c r="M64" i="37"/>
  <c r="G34" i="38"/>
  <c r="G68" i="38"/>
  <c r="G71" i="38"/>
  <c r="G64" i="38"/>
  <c r="G73" i="38"/>
  <c r="I71" i="38"/>
  <c r="M60" i="38"/>
  <c r="M63" i="38"/>
  <c r="G72" i="38"/>
  <c r="I44" i="38"/>
  <c r="J44" i="38" s="1"/>
  <c r="L44" i="38" s="1"/>
  <c r="R44" i="38" s="1"/>
  <c r="I24" i="38"/>
  <c r="L24" i="38" s="1"/>
  <c r="M27" i="38"/>
  <c r="G54" i="38"/>
  <c r="I73" i="38"/>
  <c r="M54" i="37"/>
  <c r="M44" i="37"/>
  <c r="M34" i="37"/>
  <c r="M24" i="37"/>
  <c r="M14" i="37"/>
  <c r="AB14" i="37" s="1"/>
  <c r="AB64" i="37"/>
  <c r="L54" i="36"/>
  <c r="L44" i="36"/>
  <c r="G70" i="38"/>
  <c r="H64" i="37"/>
  <c r="P62" i="35"/>
  <c r="P57" i="35"/>
  <c r="Q74" i="33"/>
  <c r="G69" i="38"/>
  <c r="G64" i="36"/>
  <c r="M40" i="36"/>
  <c r="I68" i="38"/>
  <c r="E74" i="38"/>
  <c r="G14" i="38"/>
  <c r="M60" i="36"/>
  <c r="M18" i="38"/>
  <c r="M22" i="38"/>
  <c r="M30" i="38"/>
  <c r="G44" i="38"/>
  <c r="I64" i="38"/>
  <c r="J64" i="38" s="1"/>
  <c r="L64" i="38" s="1"/>
  <c r="L70" i="38"/>
  <c r="R70" i="38" s="1"/>
  <c r="M28" i="38"/>
  <c r="M40" i="38"/>
  <c r="M50" i="38"/>
  <c r="M8" i="38"/>
  <c r="M12" i="38"/>
  <c r="M42" i="38"/>
  <c r="R27" i="33"/>
  <c r="R12" i="36"/>
  <c r="F74" i="38"/>
  <c r="F93" i="38" s="1"/>
  <c r="I69" i="38"/>
  <c r="P18" i="33"/>
  <c r="R30" i="33"/>
  <c r="P8" i="35"/>
  <c r="M64" i="35"/>
  <c r="M59" i="36"/>
  <c r="M57" i="38"/>
  <c r="M59" i="38"/>
  <c r="G67" i="38"/>
  <c r="U60" i="35"/>
  <c r="N61" i="37"/>
  <c r="M37" i="38"/>
  <c r="M49" i="38"/>
  <c r="M53" i="38"/>
  <c r="M61" i="38"/>
  <c r="H74" i="38"/>
  <c r="I72" i="38"/>
  <c r="P62" i="33"/>
  <c r="M61" i="36"/>
  <c r="M63" i="36"/>
  <c r="N59" i="37"/>
  <c r="M7" i="38"/>
  <c r="M11" i="38"/>
  <c r="M19" i="38"/>
  <c r="M23" i="38"/>
  <c r="M31" i="38"/>
  <c r="M41" i="38"/>
  <c r="R59" i="33"/>
  <c r="R21" i="33"/>
  <c r="M8" i="36"/>
  <c r="M24" i="33"/>
  <c r="N24" i="33" s="1"/>
  <c r="P52" i="33"/>
  <c r="R19" i="33"/>
  <c r="U59" i="35"/>
  <c r="I54" i="38"/>
  <c r="J54" i="38" s="1"/>
  <c r="L54" i="38" s="1"/>
  <c r="I70" i="38"/>
  <c r="J54" i="37"/>
  <c r="H54" i="37"/>
  <c r="H34" i="37"/>
  <c r="H72" i="37"/>
  <c r="J72" i="37"/>
  <c r="I74" i="37"/>
  <c r="H70" i="37"/>
  <c r="H73" i="37"/>
  <c r="H71" i="37"/>
  <c r="G74" i="37"/>
  <c r="G94" i="37" s="1"/>
  <c r="H69" i="37"/>
  <c r="H67" i="37"/>
  <c r="H68" i="37"/>
  <c r="S8" i="37"/>
  <c r="J70" i="37"/>
  <c r="J68" i="37"/>
  <c r="J73" i="37"/>
  <c r="J69" i="37"/>
  <c r="J71" i="37"/>
  <c r="F74" i="37"/>
  <c r="J102" i="38" s="1"/>
  <c r="H14" i="37"/>
  <c r="M57" i="36"/>
  <c r="Q74" i="36"/>
  <c r="M47" i="36"/>
  <c r="I54" i="36"/>
  <c r="M51" i="36"/>
  <c r="M50" i="36"/>
  <c r="I44" i="36"/>
  <c r="M42" i="36"/>
  <c r="M41" i="36"/>
  <c r="G54" i="36"/>
  <c r="I72" i="36"/>
  <c r="N63" i="37"/>
  <c r="N57" i="37"/>
  <c r="S49" i="37"/>
  <c r="N53" i="37"/>
  <c r="N50" i="37"/>
  <c r="S31" i="37"/>
  <c r="M70" i="37"/>
  <c r="S70" i="37" s="1"/>
  <c r="M72" i="37"/>
  <c r="S72" i="37" s="1"/>
  <c r="N7" i="37"/>
  <c r="M68" i="37"/>
  <c r="S68" i="37" s="1"/>
  <c r="I64" i="36"/>
  <c r="M37" i="36"/>
  <c r="R31" i="36"/>
  <c r="M34" i="36"/>
  <c r="R18" i="36"/>
  <c r="R38" i="36"/>
  <c r="M30" i="36"/>
  <c r="G34" i="36"/>
  <c r="M27" i="36"/>
  <c r="M23" i="36"/>
  <c r="M22" i="36"/>
  <c r="L72" i="36"/>
  <c r="L70" i="36"/>
  <c r="R70" i="36" s="1"/>
  <c r="M19" i="36"/>
  <c r="G44" i="36"/>
  <c r="G72" i="36"/>
  <c r="G71" i="36"/>
  <c r="I71" i="36"/>
  <c r="E93" i="36"/>
  <c r="G70" i="36"/>
  <c r="I70" i="36"/>
  <c r="I69" i="36"/>
  <c r="G69" i="36"/>
  <c r="G68" i="36"/>
  <c r="I68" i="36"/>
  <c r="I24" i="36"/>
  <c r="L73" i="36"/>
  <c r="G14" i="36"/>
  <c r="G73" i="36"/>
  <c r="I73" i="36"/>
  <c r="T74" i="35"/>
  <c r="K54" i="35"/>
  <c r="P42" i="35"/>
  <c r="K72" i="35"/>
  <c r="Q74" i="38"/>
  <c r="R74" i="37"/>
  <c r="H74" i="36"/>
  <c r="H84" i="36" s="1"/>
  <c r="M7" i="36"/>
  <c r="AA14" i="36"/>
  <c r="R68" i="36"/>
  <c r="M11" i="36"/>
  <c r="F74" i="36"/>
  <c r="I34" i="38"/>
  <c r="J34" i="38" s="1"/>
  <c r="L34" i="38" s="1"/>
  <c r="AA34" i="38" s="1"/>
  <c r="M10" i="38"/>
  <c r="I14" i="38"/>
  <c r="L14" i="38" s="1"/>
  <c r="M14" i="38" s="1"/>
  <c r="M29" i="38"/>
  <c r="M33" i="38"/>
  <c r="M48" i="38"/>
  <c r="M52" i="38"/>
  <c r="I67" i="38"/>
  <c r="R10" i="38"/>
  <c r="M17" i="38"/>
  <c r="M21" i="38"/>
  <c r="G24" i="38"/>
  <c r="L67" i="38"/>
  <c r="R67" i="38" s="1"/>
  <c r="L68" i="38"/>
  <c r="R68" i="38" s="1"/>
  <c r="L69" i="38"/>
  <c r="R69" i="38" s="1"/>
  <c r="L71" i="38"/>
  <c r="R71" i="38" s="1"/>
  <c r="L72" i="38"/>
  <c r="R72" i="38" s="1"/>
  <c r="L73" i="38"/>
  <c r="R73" i="38" s="1"/>
  <c r="M13" i="38"/>
  <c r="M32" i="38"/>
  <c r="M47" i="38"/>
  <c r="M51" i="38"/>
  <c r="R9" i="38"/>
  <c r="M20" i="38"/>
  <c r="M39" i="38"/>
  <c r="M43" i="38"/>
  <c r="M58" i="38"/>
  <c r="M62" i="38"/>
  <c r="S64" i="37"/>
  <c r="N64" i="37"/>
  <c r="N60" i="37"/>
  <c r="J64" i="37"/>
  <c r="N48" i="37"/>
  <c r="N52" i="37"/>
  <c r="S60" i="37"/>
  <c r="J67" i="37"/>
  <c r="S48" i="37"/>
  <c r="S52" i="37"/>
  <c r="M67" i="37"/>
  <c r="S67" i="37" s="1"/>
  <c r="M69" i="37"/>
  <c r="S69" i="37" s="1"/>
  <c r="M71" i="37"/>
  <c r="S71" i="37" s="1"/>
  <c r="M73" i="37"/>
  <c r="S73" i="37" s="1"/>
  <c r="N47" i="37"/>
  <c r="N51" i="37"/>
  <c r="N58" i="37"/>
  <c r="N62" i="37"/>
  <c r="M49" i="36"/>
  <c r="M53" i="36"/>
  <c r="G67" i="36"/>
  <c r="R49" i="36"/>
  <c r="R53" i="36"/>
  <c r="M48" i="36"/>
  <c r="M52" i="36"/>
  <c r="I67" i="36"/>
  <c r="R48" i="36"/>
  <c r="R52" i="36"/>
  <c r="R67" i="36"/>
  <c r="L71" i="36"/>
  <c r="M58" i="36"/>
  <c r="M62" i="36"/>
  <c r="K64" i="35"/>
  <c r="P61" i="35"/>
  <c r="P58" i="35"/>
  <c r="P63" i="35"/>
  <c r="M72" i="35"/>
  <c r="I34" i="36"/>
  <c r="M10" i="36"/>
  <c r="I14" i="36"/>
  <c r="M29" i="36"/>
  <c r="M33" i="36"/>
  <c r="R10" i="36"/>
  <c r="M17" i="36"/>
  <c r="M21" i="36"/>
  <c r="G24" i="36"/>
  <c r="M9" i="36"/>
  <c r="M13" i="36"/>
  <c r="M28" i="36"/>
  <c r="M32" i="36"/>
  <c r="M20" i="36"/>
  <c r="M39" i="36"/>
  <c r="M43" i="36"/>
  <c r="S38" i="37"/>
  <c r="N37" i="37"/>
  <c r="H44" i="37"/>
  <c r="S42" i="37"/>
  <c r="J44" i="37"/>
  <c r="N41" i="37"/>
  <c r="S30" i="37"/>
  <c r="N27" i="37"/>
  <c r="S19" i="37"/>
  <c r="N22" i="37"/>
  <c r="J24" i="37"/>
  <c r="N18" i="37"/>
  <c r="S23" i="37"/>
  <c r="S12" i="37"/>
  <c r="N11" i="37"/>
  <c r="J14" i="37"/>
  <c r="N29" i="37"/>
  <c r="S10" i="37"/>
  <c r="S33" i="37"/>
  <c r="J34" i="37"/>
  <c r="N9" i="37"/>
  <c r="N13" i="37"/>
  <c r="S17" i="37"/>
  <c r="N28" i="37"/>
  <c r="N32" i="37"/>
  <c r="S40" i="37"/>
  <c r="N21" i="37"/>
  <c r="S9" i="37"/>
  <c r="N20" i="37"/>
  <c r="N39" i="37"/>
  <c r="N43" i="37"/>
  <c r="H24" i="37"/>
  <c r="P50" i="35"/>
  <c r="M70" i="35"/>
  <c r="P38" i="35"/>
  <c r="AD44" i="35"/>
  <c r="U33" i="35"/>
  <c r="M71" i="35"/>
  <c r="M69" i="35"/>
  <c r="M34" i="35"/>
  <c r="M68" i="35"/>
  <c r="L74" i="35"/>
  <c r="M73" i="35"/>
  <c r="P41" i="35"/>
  <c r="U37" i="35"/>
  <c r="U67" i="35"/>
  <c r="P29" i="35"/>
  <c r="O73" i="35"/>
  <c r="U73" i="35" s="1"/>
  <c r="K24" i="35"/>
  <c r="U21" i="35"/>
  <c r="P20" i="35"/>
  <c r="O70" i="35"/>
  <c r="U70" i="35" s="1"/>
  <c r="O68" i="35"/>
  <c r="U68" i="35" s="1"/>
  <c r="P17" i="35"/>
  <c r="J74" i="35"/>
  <c r="P12" i="35"/>
  <c r="M44" i="35"/>
  <c r="I74" i="35"/>
  <c r="K34" i="35"/>
  <c r="K70" i="35"/>
  <c r="K69" i="35"/>
  <c r="K68" i="35"/>
  <c r="K67" i="35"/>
  <c r="M24" i="35"/>
  <c r="K73" i="35"/>
  <c r="K14" i="35"/>
  <c r="K71" i="35"/>
  <c r="M14" i="35"/>
  <c r="O72" i="35"/>
  <c r="P7" i="35"/>
  <c r="U32" i="35"/>
  <c r="P10" i="35"/>
  <c r="P31" i="35"/>
  <c r="AD14" i="35"/>
  <c r="M67" i="35"/>
  <c r="P49" i="35"/>
  <c r="P53" i="35"/>
  <c r="M54" i="35"/>
  <c r="U7" i="35"/>
  <c r="K44" i="35"/>
  <c r="U53" i="35"/>
  <c r="U40" i="35"/>
  <c r="O69" i="35"/>
  <c r="P28" i="35"/>
  <c r="U28" i="35"/>
  <c r="P48" i="35"/>
  <c r="P18" i="35"/>
  <c r="P22" i="35"/>
  <c r="U27" i="35"/>
  <c r="P39" i="35"/>
  <c r="P43" i="35"/>
  <c r="U52" i="35"/>
  <c r="U11" i="35"/>
  <c r="P23" i="35"/>
  <c r="U19" i="35"/>
  <c r="P9" i="35"/>
  <c r="P13" i="35"/>
  <c r="P30" i="35"/>
  <c r="P47" i="35"/>
  <c r="P51" i="35"/>
  <c r="O71" i="35"/>
  <c r="U71" i="35" s="1"/>
  <c r="R50" i="33"/>
  <c r="K54" i="33"/>
  <c r="P47" i="33"/>
  <c r="M54" i="33"/>
  <c r="N54" i="33" s="1"/>
  <c r="K64" i="33"/>
  <c r="M64" i="33"/>
  <c r="N64" i="33" s="1"/>
  <c r="P49" i="33"/>
  <c r="O54" i="33"/>
  <c r="P51" i="33"/>
  <c r="P48" i="33"/>
  <c r="P53" i="33"/>
  <c r="R42" i="33"/>
  <c r="P41" i="33"/>
  <c r="P38" i="33"/>
  <c r="P39" i="33"/>
  <c r="P43" i="33"/>
  <c r="K67" i="33"/>
  <c r="P29" i="33"/>
  <c r="P28" i="33"/>
  <c r="R31" i="33"/>
  <c r="P33" i="33"/>
  <c r="M34" i="33"/>
  <c r="N34" i="33" s="1"/>
  <c r="O34" i="33"/>
  <c r="R34" i="33" s="1"/>
  <c r="P17" i="33"/>
  <c r="R20" i="33"/>
  <c r="P22" i="33"/>
  <c r="R9" i="33"/>
  <c r="R12" i="33"/>
  <c r="P8" i="33"/>
  <c r="P11" i="33"/>
  <c r="O14" i="33"/>
  <c r="O24" i="33"/>
  <c r="R24" i="33" s="1"/>
  <c r="M14" i="33"/>
  <c r="N14" i="33" s="1"/>
  <c r="R64" i="33"/>
  <c r="P64" i="33"/>
  <c r="R57" i="33"/>
  <c r="P60" i="33"/>
  <c r="P63" i="33"/>
  <c r="R61" i="33"/>
  <c r="K34" i="33"/>
  <c r="K24" i="33"/>
  <c r="R23" i="33"/>
  <c r="K14" i="33"/>
  <c r="P10" i="33"/>
  <c r="P13" i="33"/>
  <c r="O44" i="33"/>
  <c r="P24" i="33" l="1"/>
  <c r="E84" i="38"/>
  <c r="J101" i="38"/>
  <c r="M44" i="38"/>
  <c r="M64" i="38"/>
  <c r="R64" i="38"/>
  <c r="R34" i="38"/>
  <c r="M34" i="38"/>
  <c r="R24" i="38"/>
  <c r="AA24" i="38"/>
  <c r="H85" i="38"/>
  <c r="H93" i="38"/>
  <c r="L85" i="35"/>
  <c r="L93" i="35"/>
  <c r="U69" i="35"/>
  <c r="O74" i="35"/>
  <c r="M24" i="38"/>
  <c r="G74" i="38"/>
  <c r="M69" i="38"/>
  <c r="I85" i="37"/>
  <c r="I94" i="37"/>
  <c r="I99" i="37" s="1"/>
  <c r="L74" i="36"/>
  <c r="R73" i="36"/>
  <c r="E85" i="38"/>
  <c r="E91" i="38"/>
  <c r="E92" i="38"/>
  <c r="L2" i="38"/>
  <c r="AA14" i="38"/>
  <c r="S54" i="37"/>
  <c r="AB54" i="37"/>
  <c r="S44" i="37"/>
  <c r="AB44" i="37"/>
  <c r="N44" i="37"/>
  <c r="S34" i="37"/>
  <c r="AB34" i="37"/>
  <c r="S24" i="37"/>
  <c r="AB24" i="37"/>
  <c r="F91" i="37"/>
  <c r="F93" i="37"/>
  <c r="P64" i="35"/>
  <c r="U64" i="35"/>
  <c r="R64" i="36"/>
  <c r="AA64" i="36"/>
  <c r="M54" i="36"/>
  <c r="AA54" i="36"/>
  <c r="R44" i="36"/>
  <c r="AA44" i="36"/>
  <c r="R34" i="36"/>
  <c r="M24" i="36"/>
  <c r="AA24" i="36"/>
  <c r="U54" i="35"/>
  <c r="P54" i="35"/>
  <c r="U34" i="35"/>
  <c r="AD34" i="35"/>
  <c r="P34" i="35"/>
  <c r="U24" i="35"/>
  <c r="AD24" i="35"/>
  <c r="R54" i="33"/>
  <c r="AA54" i="33"/>
  <c r="R44" i="33"/>
  <c r="AA44" i="33"/>
  <c r="R24" i="36"/>
  <c r="R54" i="36"/>
  <c r="M68" i="38"/>
  <c r="H91" i="38"/>
  <c r="H92" i="38"/>
  <c r="H84" i="38"/>
  <c r="I74" i="38"/>
  <c r="R14" i="38"/>
  <c r="R14" i="33"/>
  <c r="O2" i="33"/>
  <c r="M71" i="38"/>
  <c r="M72" i="38"/>
  <c r="M67" i="38"/>
  <c r="N24" i="37"/>
  <c r="M64" i="36"/>
  <c r="N54" i="37"/>
  <c r="P14" i="33"/>
  <c r="P24" i="35"/>
  <c r="N73" i="37"/>
  <c r="N34" i="37"/>
  <c r="M2" i="37"/>
  <c r="N68" i="37"/>
  <c r="J74" i="37"/>
  <c r="S14" i="37"/>
  <c r="N14" i="37"/>
  <c r="H74" i="37"/>
  <c r="R72" i="36"/>
  <c r="M70" i="36"/>
  <c r="R71" i="36"/>
  <c r="M44" i="36"/>
  <c r="E84" i="36"/>
  <c r="N72" i="37"/>
  <c r="N69" i="37"/>
  <c r="N70" i="37"/>
  <c r="N71" i="37"/>
  <c r="N67" i="37"/>
  <c r="H85" i="36"/>
  <c r="E91" i="36"/>
  <c r="I74" i="36"/>
  <c r="I93" i="36" s="1"/>
  <c r="G74" i="36"/>
  <c r="G93" i="36" s="1"/>
  <c r="H94" i="36" s="1"/>
  <c r="M71" i="36"/>
  <c r="M67" i="36"/>
  <c r="R14" i="36"/>
  <c r="L2" i="36"/>
  <c r="M73" i="36"/>
  <c r="O93" i="35"/>
  <c r="K6" i="39" s="1"/>
  <c r="U72" i="35"/>
  <c r="U44" i="35"/>
  <c r="O2" i="35"/>
  <c r="I85" i="35"/>
  <c r="M74" i="35"/>
  <c r="M69" i="36"/>
  <c r="M14" i="36"/>
  <c r="M73" i="38"/>
  <c r="M70" i="38"/>
  <c r="R54" i="38"/>
  <c r="M54" i="38"/>
  <c r="L74" i="38"/>
  <c r="L93" i="38" s="1"/>
  <c r="K9" i="39" s="1"/>
  <c r="M74" i="37"/>
  <c r="M93" i="37" s="1"/>
  <c r="K8" i="39" s="1"/>
  <c r="M68" i="36"/>
  <c r="M72" i="36"/>
  <c r="H91" i="36"/>
  <c r="E92" i="36"/>
  <c r="H92" i="36"/>
  <c r="E85" i="36"/>
  <c r="I91" i="37"/>
  <c r="I84" i="37"/>
  <c r="I92" i="37"/>
  <c r="F84" i="37"/>
  <c r="F92" i="37"/>
  <c r="F85" i="37"/>
  <c r="K74" i="35"/>
  <c r="I91" i="35"/>
  <c r="P44" i="35"/>
  <c r="P71" i="35"/>
  <c r="L84" i="35"/>
  <c r="L92" i="35"/>
  <c r="L91" i="35"/>
  <c r="P68" i="35"/>
  <c r="P67" i="35"/>
  <c r="P72" i="35"/>
  <c r="I84" i="35"/>
  <c r="I92" i="35"/>
  <c r="P14" i="35"/>
  <c r="U14" i="35"/>
  <c r="P73" i="35"/>
  <c r="P69" i="35"/>
  <c r="P70" i="35"/>
  <c r="P54" i="33"/>
  <c r="P34" i="33"/>
  <c r="L93" i="36" l="1"/>
  <c r="L99" i="36"/>
  <c r="L100" i="36" s="1"/>
  <c r="M6" i="39"/>
  <c r="L6" i="39"/>
  <c r="O6" i="39"/>
  <c r="P6" i="39"/>
  <c r="P9" i="39"/>
  <c r="M9" i="39"/>
  <c r="L9" i="39"/>
  <c r="O9" i="39"/>
  <c r="S95" i="37"/>
  <c r="M99" i="37"/>
  <c r="S100" i="37"/>
  <c r="S103" i="37" s="1"/>
  <c r="M100" i="37"/>
  <c r="M101" i="37" s="1"/>
  <c r="M103" i="37"/>
  <c r="M104" i="37" s="1"/>
  <c r="R100" i="36"/>
  <c r="R101" i="36" s="1"/>
  <c r="M97" i="36"/>
  <c r="L97" i="36"/>
  <c r="R95" i="38"/>
  <c r="AB93" i="38"/>
  <c r="M95" i="38"/>
  <c r="AQ93" i="37"/>
  <c r="N95" i="37"/>
  <c r="O99" i="35"/>
  <c r="O98" i="35"/>
  <c r="M74" i="36"/>
  <c r="AE93" i="35"/>
  <c r="U95" i="35"/>
  <c r="P95" i="35"/>
  <c r="O92" i="35"/>
  <c r="R74" i="38"/>
  <c r="N74" i="37"/>
  <c r="S74" i="37"/>
  <c r="R74" i="36"/>
  <c r="U74" i="35"/>
  <c r="L85" i="38"/>
  <c r="M74" i="38"/>
  <c r="L92" i="38"/>
  <c r="L84" i="38"/>
  <c r="L91" i="38"/>
  <c r="L85" i="36"/>
  <c r="L92" i="36"/>
  <c r="L84" i="36"/>
  <c r="L91" i="36"/>
  <c r="M85" i="37"/>
  <c r="M92" i="37"/>
  <c r="M84" i="37"/>
  <c r="M91" i="37"/>
  <c r="P74" i="35"/>
  <c r="O91" i="35"/>
  <c r="O85" i="35"/>
  <c r="O84" i="35"/>
  <c r="K7" i="39" l="1"/>
  <c r="R95" i="36"/>
  <c r="S102" i="37"/>
  <c r="H20" i="39"/>
  <c r="J20" i="39" s="1"/>
  <c r="P8" i="39"/>
  <c r="O8" i="39"/>
  <c r="M8" i="39"/>
  <c r="L8" i="39"/>
  <c r="M95" i="36"/>
  <c r="AB93" i="36"/>
  <c r="O80" i="33"/>
  <c r="L80" i="33"/>
  <c r="H74" i="33"/>
  <c r="L4" i="33"/>
  <c r="J4" i="33"/>
  <c r="Q4" i="33" s="1"/>
  <c r="C74" i="37"/>
  <c r="F74" i="35"/>
  <c r="B74" i="38"/>
  <c r="B74" i="37"/>
  <c r="C64" i="37"/>
  <c r="C54" i="37"/>
  <c r="C44" i="37"/>
  <c r="C34" i="37"/>
  <c r="C24" i="37"/>
  <c r="C14" i="37"/>
  <c r="B74" i="36"/>
  <c r="B74" i="35"/>
  <c r="K62" i="33"/>
  <c r="K61" i="33"/>
  <c r="K60" i="33"/>
  <c r="K59" i="33"/>
  <c r="K58" i="33"/>
  <c r="K57" i="33"/>
  <c r="F74" i="33"/>
  <c r="B74" i="33"/>
  <c r="F64" i="33"/>
  <c r="F54" i="33"/>
  <c r="F44" i="33"/>
  <c r="F34" i="33"/>
  <c r="F24" i="33"/>
  <c r="F14" i="33"/>
  <c r="C17" i="39" l="1"/>
  <c r="D17" i="39" s="1"/>
  <c r="L7" i="39"/>
  <c r="K11" i="39"/>
  <c r="K19" i="39" s="1"/>
  <c r="M19" i="39" s="1"/>
  <c r="M7" i="39"/>
  <c r="P7" i="39"/>
  <c r="O7" i="39"/>
  <c r="O12" i="39"/>
  <c r="P24" i="39"/>
  <c r="K26" i="39"/>
  <c r="K27" i="39"/>
  <c r="Y12" i="39"/>
  <c r="P16" i="39"/>
  <c r="I44" i="33"/>
  <c r="P44" i="33" s="1"/>
  <c r="I73" i="33"/>
  <c r="D24" i="35"/>
  <c r="M58" i="33"/>
  <c r="M60" i="33"/>
  <c r="M62" i="33"/>
  <c r="M59" i="33"/>
  <c r="M61" i="33"/>
  <c r="P17" i="39" l="1"/>
  <c r="AB3" i="39"/>
  <c r="K16" i="39"/>
  <c r="M16" i="39" s="1"/>
  <c r="K18" i="39"/>
  <c r="M18" i="39" s="1"/>
  <c r="N12" i="39"/>
  <c r="K17" i="39"/>
  <c r="M17" i="39" s="1"/>
  <c r="O11" i="39"/>
  <c r="P18" i="39"/>
  <c r="K20" i="39"/>
  <c r="M20" i="39" s="1"/>
  <c r="M11" i="39"/>
  <c r="K23" i="39"/>
  <c r="N23" i="39" s="1"/>
  <c r="Q12" i="39"/>
  <c r="P12" i="39"/>
  <c r="L11" i="39"/>
  <c r="J26" i="39"/>
  <c r="P11" i="39"/>
  <c r="J27" i="39"/>
  <c r="AB8" i="39"/>
  <c r="AB7" i="39"/>
  <c r="AB4" i="39"/>
  <c r="AB11" i="39"/>
  <c r="M44" i="33"/>
  <c r="N44" i="33" s="1"/>
  <c r="K44" i="33"/>
  <c r="I68" i="33"/>
  <c r="I69" i="33"/>
  <c r="P71" i="33"/>
  <c r="P68" i="33"/>
  <c r="P72" i="33"/>
  <c r="D34" i="33"/>
  <c r="P69" i="33"/>
  <c r="I72" i="33"/>
  <c r="D64" i="33"/>
  <c r="O4" i="33"/>
  <c r="R4" i="33" s="1"/>
  <c r="I70" i="33"/>
  <c r="D14" i="33"/>
  <c r="I71" i="33"/>
  <c r="D44" i="33"/>
  <c r="D64" i="35"/>
  <c r="D44" i="35"/>
  <c r="D54" i="35"/>
  <c r="D14" i="35"/>
  <c r="D34" i="35"/>
  <c r="M57" i="33"/>
  <c r="L20" i="39" l="1"/>
  <c r="L23" i="39"/>
  <c r="AB12" i="39"/>
  <c r="D74" i="35"/>
  <c r="L70" i="33"/>
  <c r="M70" i="33" s="1"/>
  <c r="L71" i="33"/>
  <c r="M71" i="33" s="1"/>
  <c r="P67" i="33"/>
  <c r="L68" i="33"/>
  <c r="M68" i="33" s="1"/>
  <c r="P70" i="33"/>
  <c r="L67" i="33"/>
  <c r="M67" i="33" s="1"/>
  <c r="I74" i="33"/>
  <c r="J105" i="38" s="1"/>
  <c r="J106" i="38" s="1"/>
  <c r="D54" i="33"/>
  <c r="D24" i="33"/>
  <c r="L69" i="33" l="1"/>
  <c r="M69" i="33" s="1"/>
  <c r="O68" i="33"/>
  <c r="R68" i="33" s="1"/>
  <c r="J68" i="33"/>
  <c r="K68" i="33" s="1"/>
  <c r="J73" i="33"/>
  <c r="K73" i="33" s="1"/>
  <c r="I91" i="33"/>
  <c r="I84" i="33"/>
  <c r="I85" i="33"/>
  <c r="I92" i="33"/>
  <c r="L72" i="33"/>
  <c r="M72" i="33" s="1"/>
  <c r="J71" i="33"/>
  <c r="K71" i="33" s="1"/>
  <c r="J70" i="33"/>
  <c r="K70" i="33" s="1"/>
  <c r="O70" i="33"/>
  <c r="R70" i="33" s="1"/>
  <c r="J69" i="33"/>
  <c r="K69" i="33" s="1"/>
  <c r="O69" i="33"/>
  <c r="R69" i="33" s="1"/>
  <c r="J72" i="33"/>
  <c r="K72" i="33" s="1"/>
  <c r="D74" i="33"/>
  <c r="O72" i="33" l="1"/>
  <c r="R72" i="33" s="1"/>
  <c r="O71" i="33"/>
  <c r="R71" i="33" s="1"/>
  <c r="O67" i="33"/>
  <c r="R67" i="33" s="1"/>
  <c r="Q93" i="38" l="1"/>
  <c r="R93" i="38"/>
  <c r="R93" i="37"/>
  <c r="S93" i="37"/>
  <c r="Q93" i="36"/>
  <c r="R93" i="36"/>
  <c r="U93" i="35"/>
  <c r="T93" i="35"/>
  <c r="J74" i="33"/>
  <c r="K74" i="33" s="1"/>
  <c r="O73" i="33" l="1"/>
  <c r="P73" i="33"/>
  <c r="L73" i="33"/>
  <c r="O74" i="33" l="1"/>
  <c r="O92" i="33" s="1"/>
  <c r="R73" i="33"/>
  <c r="L74" i="33"/>
  <c r="L93" i="33" s="1"/>
  <c r="F100" i="37" s="1"/>
  <c r="F102" i="37" s="1"/>
  <c r="M73" i="33"/>
  <c r="O85" i="33" l="1"/>
  <c r="O84" i="33"/>
  <c r="P74" i="33"/>
  <c r="O91" i="33"/>
  <c r="L91" i="33"/>
  <c r="M74" i="33"/>
  <c r="O93" i="33"/>
  <c r="AB93" i="33" s="1"/>
  <c r="R74" i="33"/>
  <c r="L84" i="33"/>
  <c r="L92" i="33"/>
  <c r="L85" i="33"/>
  <c r="Q93" i="33" l="1"/>
  <c r="R93" i="33"/>
</calcChain>
</file>

<file path=xl/sharedStrings.xml><?xml version="1.0" encoding="utf-8"?>
<sst xmlns="http://schemas.openxmlformats.org/spreadsheetml/2006/main" count="3591" uniqueCount="335">
  <si>
    <t>ランチ</t>
    <phoneticPr fontId="1"/>
  </si>
  <si>
    <t>客数</t>
    <rPh sb="0" eb="2">
      <t>キャクスウ</t>
    </rPh>
    <phoneticPr fontId="1"/>
  </si>
  <si>
    <t>TOTAL</t>
    <phoneticPr fontId="1"/>
  </si>
  <si>
    <t>日</t>
    <rPh sb="0" eb="1">
      <t>ニチ</t>
    </rPh>
    <phoneticPr fontId="1"/>
  </si>
  <si>
    <t>月</t>
    <rPh sb="0" eb="1">
      <t>ゲツ</t>
    </rPh>
    <phoneticPr fontId="1"/>
  </si>
  <si>
    <t>火</t>
  </si>
  <si>
    <t>水</t>
  </si>
  <si>
    <t>木</t>
  </si>
  <si>
    <t>金</t>
  </si>
  <si>
    <t>土</t>
  </si>
  <si>
    <t>曜日</t>
    <rPh sb="0" eb="2">
      <t>ヨウビ</t>
    </rPh>
    <phoneticPr fontId="1"/>
  </si>
  <si>
    <t>日にち</t>
    <rPh sb="0" eb="1">
      <t>ヒ</t>
    </rPh>
    <phoneticPr fontId="1"/>
  </si>
  <si>
    <t>1st week</t>
    <phoneticPr fontId="1"/>
  </si>
  <si>
    <t>SUB　TOTAL</t>
    <phoneticPr fontId="1"/>
  </si>
  <si>
    <t>2nd week</t>
    <phoneticPr fontId="1"/>
  </si>
  <si>
    <t>3rd week</t>
    <phoneticPr fontId="1"/>
  </si>
  <si>
    <t>4th week</t>
    <phoneticPr fontId="1"/>
  </si>
  <si>
    <t>5th week</t>
    <phoneticPr fontId="1"/>
  </si>
  <si>
    <t>6th week</t>
    <phoneticPr fontId="1"/>
  </si>
  <si>
    <t>日数</t>
    <rPh sb="0" eb="2">
      <t>ニッスウ</t>
    </rPh>
    <phoneticPr fontId="1"/>
  </si>
  <si>
    <t>F売上</t>
    <rPh sb="1" eb="3">
      <t>ウリアゲ</t>
    </rPh>
    <phoneticPr fontId="1"/>
  </si>
  <si>
    <t>B売上</t>
    <rPh sb="1" eb="3">
      <t>ウリアゲ</t>
    </rPh>
    <phoneticPr fontId="1"/>
  </si>
  <si>
    <t>■予算差異</t>
    <rPh sb="1" eb="3">
      <t>ヨサン</t>
    </rPh>
    <rPh sb="3" eb="5">
      <t>サイ</t>
    </rPh>
    <phoneticPr fontId="1"/>
  </si>
  <si>
    <t>■前年差異</t>
    <rPh sb="1" eb="3">
      <t>ゼンネン</t>
    </rPh>
    <rPh sb="3" eb="5">
      <t>サイ</t>
    </rPh>
    <phoneticPr fontId="1"/>
  </si>
  <si>
    <t>■対比</t>
    <rPh sb="1" eb="3">
      <t>タイヒ</t>
    </rPh>
    <phoneticPr fontId="1"/>
  </si>
  <si>
    <t>予算</t>
    <rPh sb="0" eb="2">
      <t>ヨサン</t>
    </rPh>
    <phoneticPr fontId="1"/>
  </si>
  <si>
    <t>■前年値（数値残っていない休業）</t>
    <rPh sb="1" eb="3">
      <t>ゼンネン</t>
    </rPh>
    <rPh sb="3" eb="4">
      <t>チ</t>
    </rPh>
    <rPh sb="5" eb="7">
      <t>スウチ</t>
    </rPh>
    <rPh sb="7" eb="8">
      <t>ノコ</t>
    </rPh>
    <rPh sb="13" eb="15">
      <t>キュウギョウ</t>
    </rPh>
    <phoneticPr fontId="1"/>
  </si>
  <si>
    <t>売上</t>
    <rPh sb="0" eb="2">
      <t xml:space="preserve">ウリアゲ </t>
    </rPh>
    <phoneticPr fontId="1"/>
  </si>
  <si>
    <t>飲料売上</t>
    <rPh sb="0" eb="2">
      <t xml:space="preserve">インリョウ </t>
    </rPh>
    <rPh sb="2" eb="4">
      <t xml:space="preserve">ウリアゲ </t>
    </rPh>
    <phoneticPr fontId="1"/>
  </si>
  <si>
    <t>飲料単価</t>
    <rPh sb="0" eb="2">
      <t xml:space="preserve">インリョウ </t>
    </rPh>
    <rPh sb="2" eb="4">
      <t xml:space="preserve">タンカ </t>
    </rPh>
    <phoneticPr fontId="1"/>
  </si>
  <si>
    <t>料理売上</t>
    <rPh sb="0" eb="2">
      <t xml:space="preserve">リョウリ </t>
    </rPh>
    <rPh sb="2" eb="4">
      <t xml:space="preserve">ウリアゲ </t>
    </rPh>
    <phoneticPr fontId="1"/>
  </si>
  <si>
    <t>料理単価</t>
    <rPh sb="0" eb="2">
      <t xml:space="preserve">リョウリ </t>
    </rPh>
    <rPh sb="2" eb="4">
      <t xml:space="preserve">タンカ </t>
    </rPh>
    <phoneticPr fontId="1"/>
  </si>
  <si>
    <t>A</t>
    <phoneticPr fontId="1"/>
  </si>
  <si>
    <t>B</t>
    <phoneticPr fontId="1"/>
  </si>
  <si>
    <t>C</t>
    <phoneticPr fontId="1"/>
  </si>
  <si>
    <t>S</t>
    <phoneticPr fontId="1"/>
  </si>
  <si>
    <t>P/D</t>
    <phoneticPr fontId="1"/>
  </si>
  <si>
    <t>日にち</t>
    <rPh sb="0" eb="1">
      <t xml:space="preserve">ヒニチ </t>
    </rPh>
    <phoneticPr fontId="1"/>
  </si>
  <si>
    <t>売上予測</t>
    <rPh sb="0" eb="2">
      <t xml:space="preserve">ウリアゲ </t>
    </rPh>
    <rPh sb="2" eb="4">
      <t xml:space="preserve">ヨソク </t>
    </rPh>
    <phoneticPr fontId="1"/>
  </si>
  <si>
    <t>構成比率</t>
    <rPh sb="0" eb="4">
      <t xml:space="preserve">コウセイヒリツ </t>
    </rPh>
    <phoneticPr fontId="1"/>
  </si>
  <si>
    <t>合計</t>
    <rPh sb="0" eb="2">
      <t xml:space="preserve">ゴウケイ </t>
    </rPh>
    <phoneticPr fontId="1"/>
  </si>
  <si>
    <t>予算</t>
    <rPh sb="0" eb="2">
      <t xml:space="preserve">ヨサン </t>
    </rPh>
    <phoneticPr fontId="1"/>
  </si>
  <si>
    <t>客数</t>
    <rPh sb="0" eb="1">
      <t xml:space="preserve">キャクスウ </t>
    </rPh>
    <phoneticPr fontId="1"/>
  </si>
  <si>
    <t>客単価</t>
    <rPh sb="0" eb="3">
      <t xml:space="preserve">キャクタンカ </t>
    </rPh>
    <phoneticPr fontId="1"/>
  </si>
  <si>
    <t>売上総合計（レストラン+テイク）</t>
    <rPh sb="0" eb="2">
      <t xml:space="preserve">ウリアゲ </t>
    </rPh>
    <rPh sb="2" eb="5">
      <t xml:space="preserve">ソウゴウケイ </t>
    </rPh>
    <phoneticPr fontId="1"/>
  </si>
  <si>
    <t>5月</t>
    <rPh sb="1" eb="2">
      <t xml:space="preserve">ガツ </t>
    </rPh>
    <phoneticPr fontId="1"/>
  </si>
  <si>
    <t>6月</t>
    <rPh sb="1" eb="2">
      <t xml:space="preserve">ガツ </t>
    </rPh>
    <phoneticPr fontId="1"/>
  </si>
  <si>
    <t>FOOD</t>
    <phoneticPr fontId="1"/>
  </si>
  <si>
    <t>合計単価</t>
    <rPh sb="0" eb="2">
      <t xml:space="preserve">ゴウケイ </t>
    </rPh>
    <rPh sb="2" eb="4">
      <t xml:space="preserve">タンカ </t>
    </rPh>
    <phoneticPr fontId="1"/>
  </si>
  <si>
    <t>OFF1</t>
    <phoneticPr fontId="1"/>
  </si>
  <si>
    <t>OFF2</t>
    <phoneticPr fontId="1"/>
  </si>
  <si>
    <t>客数</t>
    <rPh sb="0" eb="2">
      <t xml:space="preserve">キャクスウ </t>
    </rPh>
    <phoneticPr fontId="1"/>
  </si>
  <si>
    <t>1日平均</t>
    <rPh sb="2" eb="4">
      <t xml:space="preserve">ヘイキン </t>
    </rPh>
    <phoneticPr fontId="1"/>
  </si>
  <si>
    <t>■モデルシフト</t>
    <phoneticPr fontId="1"/>
  </si>
  <si>
    <t>モデルシフト　カテゴリー</t>
    <phoneticPr fontId="1"/>
  </si>
  <si>
    <t>TOP1</t>
    <phoneticPr fontId="1"/>
  </si>
  <si>
    <t>TOP2</t>
    <phoneticPr fontId="1"/>
  </si>
  <si>
    <t>ON1</t>
    <phoneticPr fontId="1"/>
  </si>
  <si>
    <t>ON2</t>
    <phoneticPr fontId="1"/>
  </si>
  <si>
    <t>ショルダー</t>
    <phoneticPr fontId="1"/>
  </si>
  <si>
    <t>9月</t>
    <rPh sb="1" eb="2">
      <t xml:space="preserve">ガツ </t>
    </rPh>
    <phoneticPr fontId="1"/>
  </si>
  <si>
    <t>8月</t>
    <rPh sb="1" eb="2">
      <t xml:space="preserve">ガツ </t>
    </rPh>
    <phoneticPr fontId="1"/>
  </si>
  <si>
    <t>7月</t>
    <rPh sb="1" eb="2">
      <t xml:space="preserve">ガツ </t>
    </rPh>
    <phoneticPr fontId="1"/>
  </si>
  <si>
    <t>売上予算</t>
    <rPh sb="0" eb="4">
      <t xml:space="preserve">ウリアゲヨサン </t>
    </rPh>
    <phoneticPr fontId="1"/>
  </si>
  <si>
    <t>月</t>
    <rPh sb="0" eb="1">
      <t xml:space="preserve">ツキ </t>
    </rPh>
    <phoneticPr fontId="1"/>
  </si>
  <si>
    <t>人件費率</t>
    <rPh sb="0" eb="4">
      <t xml:space="preserve">ジンケンヒリツ </t>
    </rPh>
    <phoneticPr fontId="1"/>
  </si>
  <si>
    <t>差異</t>
    <rPh sb="0" eb="2">
      <t xml:space="preserve">サイ </t>
    </rPh>
    <phoneticPr fontId="1"/>
  </si>
  <si>
    <t>提出予算</t>
    <rPh sb="0" eb="2">
      <t xml:space="preserve">テイシュツ </t>
    </rPh>
    <rPh sb="2" eb="4">
      <t xml:space="preserve">ヨサン </t>
    </rPh>
    <phoneticPr fontId="1"/>
  </si>
  <si>
    <t>※天気要因見込まず算出</t>
    <rPh sb="1" eb="5">
      <t xml:space="preserve">テンキヨウイン </t>
    </rPh>
    <rPh sb="5" eb="7">
      <t xml:space="preserve">ミコマズ </t>
    </rPh>
    <rPh sb="9" eb="11">
      <t xml:space="preserve">サンシュツ </t>
    </rPh>
    <phoneticPr fontId="1"/>
  </si>
  <si>
    <t>対予算</t>
    <rPh sb="0" eb="3">
      <t xml:space="preserve">タイヨサン </t>
    </rPh>
    <phoneticPr fontId="1"/>
  </si>
  <si>
    <t>実績</t>
    <rPh sb="0" eb="2">
      <t xml:space="preserve">ジッセキ </t>
    </rPh>
    <phoneticPr fontId="1"/>
  </si>
  <si>
    <t>売上合計</t>
    <rPh sb="0" eb="2">
      <t xml:space="preserve">ウリアゲ </t>
    </rPh>
    <rPh sb="2" eb="4">
      <t xml:space="preserve">ゴウケイ </t>
    </rPh>
    <phoneticPr fontId="1"/>
  </si>
  <si>
    <t>その他売上</t>
    <rPh sb="3" eb="5">
      <t xml:space="preserve">ウリアゲ </t>
    </rPh>
    <phoneticPr fontId="1"/>
  </si>
  <si>
    <t>人時売上高</t>
    <rPh sb="0" eb="4">
      <t xml:space="preserve">ニンジウリアゲ </t>
    </rPh>
    <rPh sb="4" eb="5">
      <t xml:space="preserve">タカ </t>
    </rPh>
    <phoneticPr fontId="1"/>
  </si>
  <si>
    <t>労働時間数</t>
    <rPh sb="0" eb="5">
      <t xml:space="preserve">ロウドウジカンスウ </t>
    </rPh>
    <phoneticPr fontId="1"/>
  </si>
  <si>
    <t>売上予算</t>
    <rPh sb="0" eb="2">
      <t xml:space="preserve">ウリアゲ </t>
    </rPh>
    <rPh sb="2" eb="4">
      <t xml:space="preserve">ヨサン </t>
    </rPh>
    <phoneticPr fontId="1"/>
  </si>
  <si>
    <t>合計売上実績</t>
    <rPh sb="0" eb="1">
      <t xml:space="preserve">ゴウケイ </t>
    </rPh>
    <rPh sb="2" eb="3">
      <t xml:space="preserve">ウリアゲヨソク </t>
    </rPh>
    <rPh sb="4" eb="6">
      <t xml:space="preserve">ジッセキ </t>
    </rPh>
    <phoneticPr fontId="1"/>
  </si>
  <si>
    <t>合計単価</t>
    <rPh sb="0" eb="1">
      <t xml:space="preserve">ゴウケイ </t>
    </rPh>
    <rPh sb="2" eb="4">
      <t xml:space="preserve">タンカ </t>
    </rPh>
    <phoneticPr fontId="1"/>
  </si>
  <si>
    <t>合計売上</t>
    <rPh sb="0" eb="1">
      <t xml:space="preserve">ゴウケイ </t>
    </rPh>
    <rPh sb="2" eb="3">
      <t xml:space="preserve">ウリアゲヨソク </t>
    </rPh>
    <phoneticPr fontId="1"/>
  </si>
  <si>
    <t>ビアガーデン9月　実績TOTAL</t>
    <rPh sb="7" eb="8">
      <t xml:space="preserve">ガツ </t>
    </rPh>
    <rPh sb="9" eb="11">
      <t xml:space="preserve">ジッセキ </t>
    </rPh>
    <phoneticPr fontId="1"/>
  </si>
  <si>
    <t>ビアガーデン8月　TOTAL実績</t>
    <rPh sb="7" eb="8">
      <t xml:space="preserve">ガツ </t>
    </rPh>
    <rPh sb="14" eb="16">
      <t xml:space="preserve">ジッセキ </t>
    </rPh>
    <phoneticPr fontId="1"/>
  </si>
  <si>
    <t>ビアガーデン7月　TOTAL実績</t>
    <rPh sb="7" eb="8">
      <t xml:space="preserve">ガツ </t>
    </rPh>
    <rPh sb="14" eb="16">
      <t xml:space="preserve">ジッセキ </t>
    </rPh>
    <phoneticPr fontId="1"/>
  </si>
  <si>
    <t>ビアガーデン6月　TOTAL実績</t>
    <rPh sb="7" eb="8">
      <t xml:space="preserve">ガツ </t>
    </rPh>
    <rPh sb="14" eb="16">
      <t xml:space="preserve">ジッセキ </t>
    </rPh>
    <phoneticPr fontId="1"/>
  </si>
  <si>
    <t>ビアガーデン5月　TOTAL実績</t>
    <rPh sb="7" eb="8">
      <t xml:space="preserve">ガツ </t>
    </rPh>
    <rPh sb="14" eb="16">
      <t xml:space="preserve">ジッセキ </t>
    </rPh>
    <phoneticPr fontId="1"/>
  </si>
  <si>
    <t>対予測達成率</t>
    <rPh sb="0" eb="1">
      <t xml:space="preserve">タイ </t>
    </rPh>
    <rPh sb="1" eb="3">
      <t xml:space="preserve">ヨソク </t>
    </rPh>
    <rPh sb="3" eb="6">
      <t xml:space="preserve">タッセイリツ </t>
    </rPh>
    <phoneticPr fontId="1"/>
  </si>
  <si>
    <t>税抜売上</t>
    <rPh sb="0" eb="2">
      <t xml:space="preserve">ゼイヌキ </t>
    </rPh>
    <rPh sb="2" eb="4">
      <t xml:space="preserve">ウリアゲ </t>
    </rPh>
    <phoneticPr fontId="1"/>
  </si>
  <si>
    <t>対予測</t>
    <rPh sb="0" eb="3">
      <t xml:space="preserve">タイヨソク </t>
    </rPh>
    <phoneticPr fontId="1"/>
  </si>
  <si>
    <t>人件費</t>
    <rPh sb="0" eb="3">
      <t xml:space="preserve">ジンケンヒ </t>
    </rPh>
    <phoneticPr fontId="1"/>
  </si>
  <si>
    <t>実労働時間</t>
    <rPh sb="0" eb="1">
      <t xml:space="preserve">ジツ </t>
    </rPh>
    <rPh sb="1" eb="5">
      <t xml:space="preserve">ジツロウドウジカン </t>
    </rPh>
    <phoneticPr fontId="1"/>
  </si>
  <si>
    <t>人時生産性</t>
    <rPh sb="0" eb="5">
      <t xml:space="preserve">ニンジセイサンセイ </t>
    </rPh>
    <phoneticPr fontId="1"/>
  </si>
  <si>
    <t>想定人件費</t>
    <rPh sb="0" eb="2">
      <t xml:space="preserve">ソウテイ </t>
    </rPh>
    <rPh sb="2" eb="5">
      <t xml:space="preserve">ジンケンヒ </t>
    </rPh>
    <phoneticPr fontId="1"/>
  </si>
  <si>
    <t>終了時点の進捗状況</t>
    <rPh sb="0" eb="4">
      <t xml:space="preserve">シュウリョウジテンノ </t>
    </rPh>
    <rPh sb="5" eb="7">
      <t xml:space="preserve">シンチョク </t>
    </rPh>
    <rPh sb="7" eb="9">
      <t xml:space="preserve">ジョウキョウ </t>
    </rPh>
    <phoneticPr fontId="1"/>
  </si>
  <si>
    <t>売上実績</t>
    <rPh sb="0" eb="2">
      <t xml:space="preserve">ウリアゲ </t>
    </rPh>
    <rPh sb="2" eb="4">
      <t xml:space="preserve">ジッセキ </t>
    </rPh>
    <phoneticPr fontId="1"/>
  </si>
  <si>
    <t>計画値</t>
    <rPh sb="0" eb="2">
      <t xml:space="preserve">ケイカクチ </t>
    </rPh>
    <rPh sb="2" eb="3">
      <t xml:space="preserve">アタイ </t>
    </rPh>
    <phoneticPr fontId="1"/>
  </si>
  <si>
    <t>概算人件費率</t>
    <rPh sb="0" eb="2">
      <t xml:space="preserve">ガイサン </t>
    </rPh>
    <rPh sb="2" eb="6">
      <t xml:space="preserve">ジンケンヒリツ </t>
    </rPh>
    <phoneticPr fontId="1"/>
  </si>
  <si>
    <t>労働時間（予測値）</t>
    <rPh sb="0" eb="4">
      <t xml:space="preserve">ロウドウジカン </t>
    </rPh>
    <rPh sb="5" eb="7">
      <t xml:space="preserve">ヨソク </t>
    </rPh>
    <rPh sb="7" eb="8">
      <t xml:space="preserve">アタイ </t>
    </rPh>
    <phoneticPr fontId="1"/>
  </si>
  <si>
    <t>平均</t>
    <rPh sb="0" eb="2">
      <t xml:space="preserve">ヘイキン </t>
    </rPh>
    <phoneticPr fontId="1"/>
  </si>
  <si>
    <t>予算まで</t>
    <rPh sb="0" eb="2">
      <t xml:space="preserve">ヨサンマデ </t>
    </rPh>
    <phoneticPr fontId="1"/>
  </si>
  <si>
    <t>予測まで</t>
    <rPh sb="0" eb="1">
      <t xml:space="preserve">ヨソクマデ </t>
    </rPh>
    <phoneticPr fontId="1"/>
  </si>
  <si>
    <t>一億円まで</t>
    <rPh sb="0" eb="3">
      <t xml:space="preserve">イチオクエン </t>
    </rPh>
    <phoneticPr fontId="1"/>
  </si>
  <si>
    <t>一億一千万まで</t>
    <rPh sb="0" eb="1">
      <t>110000000</t>
    </rPh>
    <phoneticPr fontId="1"/>
  </si>
  <si>
    <t>営業日数</t>
    <rPh sb="0" eb="4">
      <t xml:space="preserve">エイギョウニッスウ </t>
    </rPh>
    <phoneticPr fontId="1"/>
  </si>
  <si>
    <t>実績進捗（派遣分のみ）</t>
    <rPh sb="0" eb="4">
      <t xml:space="preserve">ジッセキシンチョク </t>
    </rPh>
    <rPh sb="5" eb="7">
      <t xml:space="preserve">ハケン </t>
    </rPh>
    <rPh sb="7" eb="8">
      <t xml:space="preserve">ブンノミ </t>
    </rPh>
    <phoneticPr fontId="1"/>
  </si>
  <si>
    <r>
      <rPr>
        <sz val="11"/>
        <color theme="1"/>
        <rFont val="Yu Gothic"/>
        <family val="2"/>
        <scheme val="minor"/>
      </rPr>
      <t>拘束時間</t>
    </r>
    <rPh sb="0" eb="2">
      <t xml:space="preserve">コウソク </t>
    </rPh>
    <rPh sb="2" eb="4">
      <t xml:space="preserve">ジカン </t>
    </rPh>
    <phoneticPr fontId="1"/>
  </si>
  <si>
    <t>残業時間</t>
    <rPh sb="0" eb="4">
      <t xml:space="preserve">ザンギョウジカン </t>
    </rPh>
    <phoneticPr fontId="1"/>
  </si>
  <si>
    <t>人件費合計</t>
    <rPh sb="0" eb="3">
      <t xml:space="preserve">ジンケンヒ </t>
    </rPh>
    <rPh sb="3" eb="5">
      <t xml:space="preserve">ゴウケイ </t>
    </rPh>
    <phoneticPr fontId="1"/>
  </si>
  <si>
    <t>交通費合計</t>
    <rPh sb="0" eb="3">
      <t xml:space="preserve">コウツウヒ </t>
    </rPh>
    <rPh sb="3" eb="5">
      <t xml:space="preserve">ゴウケイ </t>
    </rPh>
    <phoneticPr fontId="1"/>
  </si>
  <si>
    <t>ノヴェロさん請求内容</t>
    <rPh sb="6" eb="10">
      <t xml:space="preserve">セイキュウナイヨウ </t>
    </rPh>
    <phoneticPr fontId="1"/>
  </si>
  <si>
    <t>材料費</t>
    <rPh sb="0" eb="3">
      <t xml:space="preserve">ザイリョウヒ </t>
    </rPh>
    <phoneticPr fontId="1"/>
  </si>
  <si>
    <t>消耗品費</t>
    <rPh sb="0" eb="4">
      <t xml:space="preserve">ショウモウヒンヒ </t>
    </rPh>
    <phoneticPr fontId="1"/>
  </si>
  <si>
    <t>イニシャル</t>
    <phoneticPr fontId="1"/>
  </si>
  <si>
    <t>利益</t>
    <rPh sb="0" eb="2">
      <t xml:space="preserve">リエキ </t>
    </rPh>
    <phoneticPr fontId="1"/>
  </si>
  <si>
    <t>家賃</t>
    <rPh sb="0" eb="2">
      <t xml:space="preserve">ヤチン </t>
    </rPh>
    <phoneticPr fontId="1"/>
  </si>
  <si>
    <t>流動固定費</t>
    <rPh sb="0" eb="5">
      <t xml:space="preserve">リュウドウコテイヒ </t>
    </rPh>
    <phoneticPr fontId="1"/>
  </si>
  <si>
    <t>1日</t>
    <phoneticPr fontId="1"/>
  </si>
  <si>
    <t>家賃</t>
    <rPh sb="0" eb="1">
      <t xml:space="preserve">ヤチン </t>
    </rPh>
    <phoneticPr fontId="1"/>
  </si>
  <si>
    <t>最低</t>
    <rPh sb="0" eb="2">
      <t xml:space="preserve">サイテイ </t>
    </rPh>
    <phoneticPr fontId="1"/>
  </si>
  <si>
    <t>最高</t>
    <rPh sb="0" eb="2">
      <t xml:space="preserve">サイコウ </t>
    </rPh>
    <phoneticPr fontId="1"/>
  </si>
  <si>
    <t>12時</t>
    <phoneticPr fontId="1"/>
  </si>
  <si>
    <t>15時</t>
    <rPh sb="2" eb="3">
      <t xml:space="preserve">ジ </t>
    </rPh>
    <phoneticPr fontId="1"/>
  </si>
  <si>
    <t>18時</t>
    <rPh sb="2" eb="3">
      <t xml:space="preserve">ジ </t>
    </rPh>
    <phoneticPr fontId="1"/>
  </si>
  <si>
    <t>曇</t>
    <rPh sb="0" eb="1">
      <t xml:space="preserve">クモリ </t>
    </rPh>
    <phoneticPr fontId="1"/>
  </si>
  <si>
    <t>雨</t>
    <rPh sb="0" eb="1">
      <t xml:space="preserve">アメ </t>
    </rPh>
    <phoneticPr fontId="1"/>
  </si>
  <si>
    <t>■天候要因</t>
    <rPh sb="1" eb="3">
      <t xml:space="preserve">テンコウ </t>
    </rPh>
    <rPh sb="3" eb="5">
      <t xml:space="preserve">ヨウイン </t>
    </rPh>
    <phoneticPr fontId="1"/>
  </si>
  <si>
    <t>晴れ（33度まで）</t>
    <rPh sb="0" eb="1">
      <t xml:space="preserve">ハレ </t>
    </rPh>
    <rPh sb="5" eb="6">
      <t xml:space="preserve">ド </t>
    </rPh>
    <phoneticPr fontId="1"/>
  </si>
  <si>
    <t>晴れ（25度以下）</t>
    <rPh sb="0" eb="1">
      <t xml:space="preserve">ハレ </t>
    </rPh>
    <rPh sb="5" eb="6">
      <t xml:space="preserve">ド </t>
    </rPh>
    <rPh sb="6" eb="8">
      <t xml:space="preserve">イカ </t>
    </rPh>
    <phoneticPr fontId="1"/>
  </si>
  <si>
    <t>評価点</t>
    <rPh sb="0" eb="2">
      <t xml:space="preserve">ヒョウカ </t>
    </rPh>
    <rPh sb="2" eb="3">
      <t xml:space="preserve">テン </t>
    </rPh>
    <phoneticPr fontId="1"/>
  </si>
  <si>
    <t>豪雨・雷雨</t>
    <rPh sb="0" eb="2">
      <t xml:space="preserve">ゴウウ </t>
    </rPh>
    <rPh sb="3" eb="5">
      <t xml:space="preserve">ライウウ </t>
    </rPh>
    <phoneticPr fontId="1"/>
  </si>
  <si>
    <t>Ave</t>
    <phoneticPr fontId="1"/>
  </si>
  <si>
    <t>晴れ（33度以上）曇25度以上</t>
    <rPh sb="0" eb="1">
      <t xml:space="preserve">ハレ </t>
    </rPh>
    <rPh sb="3" eb="4">
      <t xml:space="preserve">33ド </t>
    </rPh>
    <rPh sb="6" eb="8">
      <t xml:space="preserve">イジョウ </t>
    </rPh>
    <rPh sb="9" eb="10">
      <t xml:space="preserve">クモリ </t>
    </rPh>
    <rPh sb="12" eb="13">
      <t xml:space="preserve">ド </t>
    </rPh>
    <rPh sb="13" eb="15">
      <t xml:space="preserve">イジョウ </t>
    </rPh>
    <phoneticPr fontId="1"/>
  </si>
  <si>
    <t>※5.6月は18時は最低気温を採用。7月〜は最高気温を採用。</t>
    <rPh sb="4" eb="5">
      <t xml:space="preserve">ガツ </t>
    </rPh>
    <rPh sb="8" eb="9">
      <t xml:space="preserve">ジ </t>
    </rPh>
    <rPh sb="10" eb="14">
      <t xml:space="preserve">サイテイキオン </t>
    </rPh>
    <rPh sb="15" eb="17">
      <t xml:space="preserve">サイヨウ </t>
    </rPh>
    <rPh sb="19" eb="20">
      <t xml:space="preserve">ガツ </t>
    </rPh>
    <rPh sb="22" eb="26">
      <t xml:space="preserve">サイコウキオン </t>
    </rPh>
    <rPh sb="27" eb="29">
      <t xml:space="preserve">サイヨウ </t>
    </rPh>
    <phoneticPr fontId="1"/>
  </si>
  <si>
    <t xml:space="preserve"> ①</t>
    <phoneticPr fontId="1"/>
  </si>
  <si>
    <t>②</t>
    <phoneticPr fontId="1"/>
  </si>
  <si>
    <t>③</t>
    <phoneticPr fontId="1"/>
  </si>
  <si>
    <t>④</t>
    <phoneticPr fontId="1"/>
  </si>
  <si>
    <t>⑤</t>
    <phoneticPr fontId="1"/>
  </si>
  <si>
    <t>⑥</t>
    <phoneticPr fontId="1"/>
  </si>
  <si>
    <t>⑦</t>
    <phoneticPr fontId="1"/>
  </si>
  <si>
    <t>⑧</t>
    <phoneticPr fontId="1"/>
  </si>
  <si>
    <t>⑨</t>
    <phoneticPr fontId="1"/>
  </si>
  <si>
    <t>➓</t>
    <phoneticPr fontId="1"/>
  </si>
  <si>
    <t>※1日平均売上</t>
    <rPh sb="2" eb="3">
      <t xml:space="preserve">ニチ </t>
    </rPh>
    <rPh sb="3" eb="5">
      <t xml:space="preserve">ヘイキン </t>
    </rPh>
    <rPh sb="5" eb="7">
      <t xml:space="preserve">ウリアゲ </t>
    </rPh>
    <phoneticPr fontId="1"/>
  </si>
  <si>
    <t>2019年度</t>
    <rPh sb="4" eb="6">
      <t xml:space="preserve">ネンド </t>
    </rPh>
    <phoneticPr fontId="1"/>
  </si>
  <si>
    <t>予算比</t>
    <rPh sb="0" eb="3">
      <t xml:space="preserve">ヨサンヒ </t>
    </rPh>
    <phoneticPr fontId="1"/>
  </si>
  <si>
    <t>予測</t>
    <rPh sb="0" eb="2">
      <t xml:space="preserve">ヨソク </t>
    </rPh>
    <phoneticPr fontId="1"/>
  </si>
  <si>
    <t>予測比</t>
    <rPh sb="0" eb="3">
      <t xml:space="preserve">ヨソクヒ </t>
    </rPh>
    <phoneticPr fontId="1"/>
  </si>
  <si>
    <r>
      <t xml:space="preserve">【R5 </t>
    </r>
    <r>
      <rPr>
        <b/>
        <sz val="14"/>
        <color theme="1"/>
        <rFont val="Yu Gothic"/>
        <family val="2"/>
        <charset val="128"/>
        <scheme val="minor"/>
      </rPr>
      <t>さっぽろテレビ塔ビアガーデン振り返り】</t>
    </r>
    <rPh sb="18" eb="19">
      <t xml:space="preserve">フリカエリ </t>
    </rPh>
    <phoneticPr fontId="1"/>
  </si>
  <si>
    <t>単位：円</t>
    <rPh sb="0" eb="2">
      <t xml:space="preserve">タンイ </t>
    </rPh>
    <rPh sb="3" eb="4">
      <t xml:space="preserve">エン </t>
    </rPh>
    <phoneticPr fontId="1"/>
  </si>
  <si>
    <t>単位：名</t>
    <rPh sb="0" eb="2">
      <t xml:space="preserve">タンイ </t>
    </rPh>
    <rPh sb="3" eb="4">
      <t xml:space="preserve">メイ </t>
    </rPh>
    <phoneticPr fontId="1"/>
  </si>
  <si>
    <t>5,500プラン</t>
    <phoneticPr fontId="1"/>
  </si>
  <si>
    <t>利用率</t>
    <rPh sb="0" eb="3">
      <t xml:space="preserve">リヨウリツ </t>
    </rPh>
    <phoneticPr fontId="1"/>
  </si>
  <si>
    <t>6,600プラン</t>
    <phoneticPr fontId="1"/>
  </si>
  <si>
    <t>8,800プラン</t>
    <phoneticPr fontId="1"/>
  </si>
  <si>
    <t>チケットプラン</t>
    <phoneticPr fontId="1"/>
  </si>
  <si>
    <t>小計</t>
    <rPh sb="0" eb="1">
      <t xml:space="preserve">ショウ </t>
    </rPh>
    <rPh sb="1" eb="2">
      <t xml:space="preserve">ゴウケイ </t>
    </rPh>
    <phoneticPr fontId="1"/>
  </si>
  <si>
    <t>プラン合計</t>
    <rPh sb="3" eb="5">
      <t xml:space="preserve">ゴウケイ </t>
    </rPh>
    <phoneticPr fontId="1"/>
  </si>
  <si>
    <t>アラカルト利用</t>
    <rPh sb="5" eb="7">
      <t xml:space="preserve">リヨウ </t>
    </rPh>
    <phoneticPr fontId="1"/>
  </si>
  <si>
    <t>TC</t>
    <phoneticPr fontId="1"/>
  </si>
  <si>
    <t>電話</t>
    <rPh sb="0" eb="2">
      <t xml:space="preserve">デンワ </t>
    </rPh>
    <phoneticPr fontId="1"/>
  </si>
  <si>
    <t>パッサージュ</t>
    <phoneticPr fontId="1"/>
  </si>
  <si>
    <t>Web予約率</t>
    <rPh sb="3" eb="6">
      <t xml:space="preserve">ヨヤクリツ </t>
    </rPh>
    <phoneticPr fontId="1"/>
  </si>
  <si>
    <t>組数</t>
    <rPh sb="0" eb="2">
      <t xml:space="preserve">クミスウ </t>
    </rPh>
    <phoneticPr fontId="1"/>
  </si>
  <si>
    <t>天候要因（売上との関連性を数値化する）</t>
    <rPh sb="0" eb="2">
      <t xml:space="preserve">テンコウ </t>
    </rPh>
    <rPh sb="2" eb="4">
      <t xml:space="preserve">ヨウイン </t>
    </rPh>
    <rPh sb="5" eb="7">
      <t xml:space="preserve">ウリアゲトノ </t>
    </rPh>
    <rPh sb="9" eb="12">
      <t xml:space="preserve">カンレンセイ </t>
    </rPh>
    <rPh sb="13" eb="16">
      <t xml:space="preserve">スウチカスル </t>
    </rPh>
    <phoneticPr fontId="1"/>
  </si>
  <si>
    <t>①売上</t>
    <rPh sb="1" eb="3">
      <t xml:space="preserve">ウリアゲ </t>
    </rPh>
    <phoneticPr fontId="1"/>
  </si>
  <si>
    <t>①コメント</t>
    <phoneticPr fontId="1"/>
  </si>
  <si>
    <t>②コメント</t>
    <phoneticPr fontId="1"/>
  </si>
  <si>
    <t>②客数</t>
    <rPh sb="1" eb="3">
      <t xml:space="preserve">キャクスウ </t>
    </rPh>
    <phoneticPr fontId="1"/>
  </si>
  <si>
    <t>③コメント</t>
    <phoneticPr fontId="1"/>
  </si>
  <si>
    <t>③-1 客単価</t>
    <rPh sb="4" eb="5">
      <t xml:space="preserve">キャクスウ </t>
    </rPh>
    <rPh sb="5" eb="7">
      <t xml:space="preserve">タンカ </t>
    </rPh>
    <phoneticPr fontId="1"/>
  </si>
  <si>
    <t>③-2 プラン出卓数と月別プラン利用率</t>
    <rPh sb="7" eb="8">
      <t xml:space="preserve">デ </t>
    </rPh>
    <rPh sb="8" eb="9">
      <t xml:space="preserve">タク </t>
    </rPh>
    <rPh sb="9" eb="10">
      <t xml:space="preserve">スウ </t>
    </rPh>
    <rPh sb="11" eb="13">
      <t xml:space="preserve">ツキベツ </t>
    </rPh>
    <rPh sb="16" eb="19">
      <t xml:space="preserve">リヨウリツ </t>
    </rPh>
    <phoneticPr fontId="1"/>
  </si>
  <si>
    <t>③-3 Web予約受注率</t>
    <rPh sb="7" eb="11">
      <t xml:space="preserve">ヨヤクジュチュウ </t>
    </rPh>
    <rPh sb="11" eb="12">
      <t xml:space="preserve">リツ </t>
    </rPh>
    <phoneticPr fontId="1"/>
  </si>
  <si>
    <t>派遣人件費（リザルト）</t>
    <rPh sb="0" eb="2">
      <t xml:space="preserve">ハケン </t>
    </rPh>
    <rPh sb="2" eb="5">
      <t xml:space="preserve">ジンケンヒ </t>
    </rPh>
    <phoneticPr fontId="1"/>
  </si>
  <si>
    <t>FOOD予測</t>
    <rPh sb="4" eb="6">
      <t xml:space="preserve">ヨソク </t>
    </rPh>
    <phoneticPr fontId="1"/>
  </si>
  <si>
    <t>④memo</t>
    <phoneticPr fontId="1"/>
  </si>
  <si>
    <t>概算（仮置き）</t>
    <rPh sb="0" eb="2">
      <t xml:space="preserve">ガイサン </t>
    </rPh>
    <rPh sb="3" eb="4">
      <t xml:space="preserve">カテイ </t>
    </rPh>
    <rPh sb="4" eb="5">
      <t xml:space="preserve">オキ </t>
    </rPh>
    <phoneticPr fontId="1"/>
  </si>
  <si>
    <r>
      <t>売上については左記の通り、</t>
    </r>
    <r>
      <rPr>
        <b/>
        <u/>
        <sz val="10"/>
        <color theme="1"/>
        <rFont val="Yu Gothic"/>
        <family val="3"/>
        <charset val="128"/>
        <scheme val="minor"/>
      </rPr>
      <t>対予算123.9％</t>
    </r>
    <r>
      <rPr>
        <sz val="10"/>
        <color theme="1"/>
        <rFont val="Yu Gothic"/>
        <family val="3"/>
        <charset val="128"/>
        <scheme val="minor"/>
      </rPr>
      <t>にて終了いたしました。</t>
    </r>
    <r>
      <rPr>
        <b/>
        <u/>
        <sz val="10"/>
        <color rgb="FFFF0000"/>
        <rFont val="Yu Gothic"/>
        <family val="3"/>
        <charset val="1"/>
      </rPr>
      <t>コロナ禍前の</t>
    </r>
    <r>
      <rPr>
        <b/>
        <u/>
        <sz val="10"/>
        <color rgb="FFFF0000"/>
        <rFont val="Yu Gothic"/>
        <family val="3"/>
        <charset val="128"/>
      </rPr>
      <t>2019</t>
    </r>
    <r>
      <rPr>
        <b/>
        <u/>
        <sz val="10"/>
        <color rgb="FFFF0000"/>
        <rFont val="Yu Gothic"/>
        <family val="3"/>
        <charset val="1"/>
      </rPr>
      <t>年と比較しても対比</t>
    </r>
    <r>
      <rPr>
        <b/>
        <u/>
        <sz val="10"/>
        <color rgb="FFFF0000"/>
        <rFont val="Yu Gothic"/>
        <family val="3"/>
        <charset val="128"/>
      </rPr>
      <t>125.4</t>
    </r>
    <r>
      <rPr>
        <b/>
        <u/>
        <sz val="10"/>
        <color rgb="FFFF0000"/>
        <rFont val="Yu Gothic"/>
        <family val="3"/>
        <charset val="1"/>
      </rPr>
      <t>％（</t>
    </r>
    <r>
      <rPr>
        <b/>
        <u/>
        <sz val="10"/>
        <color rgb="FFFF0000"/>
        <rFont val="Yu Gothic"/>
        <family val="3"/>
        <charset val="128"/>
      </rPr>
      <t>+22,223</t>
    </r>
    <r>
      <rPr>
        <b/>
        <u/>
        <sz val="10"/>
        <color rgb="FFFF0000"/>
        <rFont val="Yu Gothic"/>
        <family val="3"/>
        <charset val="1"/>
      </rPr>
      <t>千円）の結果</t>
    </r>
    <r>
      <rPr>
        <sz val="10"/>
        <color theme="1"/>
        <rFont val="Yu Gothic"/>
        <family val="3"/>
        <charset val="128"/>
        <scheme val="minor"/>
      </rPr>
      <t>となりました。これまで1億円の大台に達したことはなかったということです。その大きな要因としてはスタッフの頑張りはもちろんですが、やはり史上稀に見る猛暑となったことが挙げられます。特に</t>
    </r>
    <r>
      <rPr>
        <b/>
        <u/>
        <sz val="10"/>
        <color theme="1"/>
        <rFont val="Yu Gothic"/>
        <family val="3"/>
        <charset val="128"/>
        <scheme val="minor"/>
      </rPr>
      <t>6月と8月は気象庁の観測史上最高値を記録し、7月においても史上2番目の平均気温</t>
    </r>
    <r>
      <rPr>
        <sz val="10"/>
        <color theme="1"/>
        <rFont val="Yu Gothic"/>
        <family val="3"/>
        <charset val="128"/>
        <scheme val="minor"/>
      </rPr>
      <t>となりました。ただ、天候要因については影響値として一定の条件下で記録していかなければならないもので、いかにこの天候要因を限定的にできるか？というのが引き続きの課題となります。※各月に天候要因を数値化したものを載せています。次年度へ向け今年度のデータを活かし、テーブル配置・スタッフアサインメント・予約システム再構築・RPA/DX 促進・メニューラインナップの見直し等により、さらにポテンシャルを引き出し売上を積み上げられると認識しています。</t>
    </r>
    <rPh sb="0" eb="2">
      <t xml:space="preserve">ウリアゲニ </t>
    </rPh>
    <rPh sb="7" eb="9">
      <t>サキ</t>
    </rPh>
    <rPh sb="13" eb="14">
      <t xml:space="preserve">タイ </t>
    </rPh>
    <rPh sb="14" eb="16">
      <t xml:space="preserve">ヨサンヒ </t>
    </rPh>
    <rPh sb="24" eb="26">
      <t xml:space="preserve">シュウリョウ </t>
    </rPh>
    <rPh sb="43" eb="44">
      <t xml:space="preserve">ネントヒカクシテモ </t>
    </rPh>
    <rPh sb="50" eb="52">
      <t xml:space="preserve">タイヒ </t>
    </rPh>
    <rPh sb="66" eb="68">
      <t xml:space="preserve">センエン </t>
    </rPh>
    <rPh sb="70" eb="72">
      <t xml:space="preserve">ケッカ </t>
    </rPh>
    <rPh sb="84" eb="86">
      <t xml:space="preserve">オクエンノ </t>
    </rPh>
    <rPh sb="87" eb="89">
      <t xml:space="preserve">オオダイニ </t>
    </rPh>
    <rPh sb="90" eb="91">
      <t xml:space="preserve">タッシタコトハ </t>
    </rPh>
    <rPh sb="110" eb="111">
      <t xml:space="preserve">オオキナ </t>
    </rPh>
    <rPh sb="113" eb="115">
      <t xml:space="preserve">ヨウイントシテ </t>
    </rPh>
    <rPh sb="124" eb="126">
      <t xml:space="preserve">ガンバリハ </t>
    </rPh>
    <rPh sb="139" eb="141">
      <t xml:space="preserve">シジョウ </t>
    </rPh>
    <rPh sb="141" eb="142">
      <t xml:space="preserve">マレニミル </t>
    </rPh>
    <rPh sb="145" eb="147">
      <t xml:space="preserve">モウショ </t>
    </rPh>
    <rPh sb="154" eb="155">
      <t xml:space="preserve">アゲラレマス </t>
    </rPh>
    <rPh sb="161" eb="162">
      <t xml:space="preserve">トクニ </t>
    </rPh>
    <rPh sb="164" eb="165">
      <t xml:space="preserve">ガツ </t>
    </rPh>
    <rPh sb="167" eb="168">
      <t xml:space="preserve">ガツハ </t>
    </rPh>
    <rPh sb="169" eb="172">
      <t xml:space="preserve">キショウチョウ </t>
    </rPh>
    <rPh sb="173" eb="175">
      <t xml:space="preserve">カンソク </t>
    </rPh>
    <rPh sb="175" eb="177">
      <t xml:space="preserve">シジョウ </t>
    </rPh>
    <rPh sb="177" eb="180">
      <t xml:space="preserve">サイコウチ </t>
    </rPh>
    <rPh sb="181" eb="183">
      <t xml:space="preserve">キロクシ </t>
    </rPh>
    <rPh sb="186" eb="187">
      <t xml:space="preserve">ガツニ </t>
    </rPh>
    <rPh sb="192" eb="194">
      <t xml:space="preserve">シジョウ </t>
    </rPh>
    <rPh sb="195" eb="197">
      <t xml:space="preserve">バンメ </t>
    </rPh>
    <rPh sb="198" eb="200">
      <t xml:space="preserve">ヘイキン </t>
    </rPh>
    <rPh sb="200" eb="202">
      <t xml:space="preserve">キオントナリマシタ </t>
    </rPh>
    <rPh sb="212" eb="216">
      <t xml:space="preserve">テンコウヨウインニ </t>
    </rPh>
    <rPh sb="221" eb="223">
      <t xml:space="preserve">エイキョウチ </t>
    </rPh>
    <rPh sb="223" eb="224">
      <t xml:space="preserve">アタイ </t>
    </rPh>
    <rPh sb="227" eb="229">
      <t xml:space="preserve">イッテイノ </t>
    </rPh>
    <rPh sb="230" eb="233">
      <t xml:space="preserve">ジョウケンカデ </t>
    </rPh>
    <rPh sb="234" eb="236">
      <t xml:space="preserve">キロク </t>
    </rPh>
    <rPh sb="257" eb="261">
      <t xml:space="preserve">テンコウヨウインヲ </t>
    </rPh>
    <rPh sb="262" eb="265">
      <t xml:space="preserve">ゲンテイテキニ </t>
    </rPh>
    <rPh sb="276" eb="277">
      <t xml:space="preserve">ヒキツヅキノ </t>
    </rPh>
    <rPh sb="281" eb="283">
      <t xml:space="preserve">カダイトナリマス </t>
    </rPh>
    <rPh sb="290" eb="292">
      <t xml:space="preserve">カクツキ </t>
    </rPh>
    <rPh sb="293" eb="297">
      <t xml:space="preserve">テンコウヨウイン </t>
    </rPh>
    <rPh sb="298" eb="301">
      <t xml:space="preserve">スウチカ </t>
    </rPh>
    <rPh sb="306" eb="307">
      <t xml:space="preserve">ノセテイマス </t>
    </rPh>
    <rPh sb="313" eb="316">
      <t xml:space="preserve">ジネンドヘ </t>
    </rPh>
    <rPh sb="317" eb="318">
      <t xml:space="preserve">ムケ </t>
    </rPh>
    <rPh sb="319" eb="322">
      <t xml:space="preserve">コンエンドオ </t>
    </rPh>
    <rPh sb="327" eb="328">
      <t xml:space="preserve">イカシ </t>
    </rPh>
    <rPh sb="350" eb="352">
      <t xml:space="preserve">ヨヤクシステム </t>
    </rPh>
    <rPh sb="356" eb="359">
      <t xml:space="preserve">サイコウチク </t>
    </rPh>
    <rPh sb="367" eb="369">
      <t xml:space="preserve">ソクシン </t>
    </rPh>
    <rPh sb="384" eb="385">
      <t xml:space="preserve">トウ </t>
    </rPh>
    <rPh sb="399" eb="400">
      <t xml:space="preserve">ヒキダシ </t>
    </rPh>
    <rPh sb="403" eb="405">
      <t xml:space="preserve">ウリアゲ </t>
    </rPh>
    <rPh sb="406" eb="407">
      <t xml:space="preserve">ツミアゲラレルト </t>
    </rPh>
    <rPh sb="414" eb="416">
      <t xml:space="preserve">ニンシキシテイマス </t>
    </rPh>
    <phoneticPr fontId="1"/>
  </si>
  <si>
    <t>入客実績は左記の通りです。7/21（金）から8/16（土）の間で開催された大通りビアガーデン期間中も1日平均405名の入客となり、客数減少懸念は杞憂となりました。過去開催の数値によると盆明けは下降線を辿るはずでしたが、①にもある通り観測史上最高の平均気温となったことやチケットの駆け込み利用もあり、勢いを保ったまま最終日まで賑わいが続きました。シーズン設定をして6月末までは20:30クローズ、7月1日〜は21:30クローズとしたことは大きな成果に繋がったと考えています。7/22（土）が717名の来場とピーク、また、この週（7月第4週・通期では第9週）が最大の売上・入客となりました。次年度は予約システムをさらに活用し、入客を引き上げたいと考えています。</t>
    <rPh sb="0" eb="2">
      <t xml:space="preserve">ニュウキャクニツイテ </t>
    </rPh>
    <rPh sb="2" eb="4">
      <t xml:space="preserve">ジッセキハ </t>
    </rPh>
    <rPh sb="5" eb="7">
      <t xml:space="preserve">サキ </t>
    </rPh>
    <rPh sb="8" eb="9">
      <t xml:space="preserve">トオリ </t>
    </rPh>
    <rPh sb="18" eb="19">
      <t>🈲</t>
    </rPh>
    <rPh sb="27" eb="28">
      <t xml:space="preserve">ド </t>
    </rPh>
    <rPh sb="30" eb="31">
      <t xml:space="preserve">アイダ </t>
    </rPh>
    <rPh sb="32" eb="34">
      <t xml:space="preserve">カイサイサレタ </t>
    </rPh>
    <rPh sb="37" eb="39">
      <t xml:space="preserve">オオドオリ </t>
    </rPh>
    <rPh sb="46" eb="49">
      <t xml:space="preserve">キカンチュウ </t>
    </rPh>
    <rPh sb="57" eb="58">
      <t xml:space="preserve">メイノ </t>
    </rPh>
    <rPh sb="59" eb="61">
      <t xml:space="preserve">ニュウキャクトナリ </t>
    </rPh>
    <rPh sb="65" eb="67">
      <t xml:space="preserve">キャクスウ </t>
    </rPh>
    <rPh sb="67" eb="69">
      <t xml:space="preserve">ゲンショウ </t>
    </rPh>
    <rPh sb="69" eb="71">
      <t xml:space="preserve">ケネンハ </t>
    </rPh>
    <rPh sb="72" eb="74">
      <t xml:space="preserve">キユウトナリマシタ </t>
    </rPh>
    <rPh sb="81" eb="83">
      <t xml:space="preserve">カコ </t>
    </rPh>
    <rPh sb="83" eb="85">
      <t xml:space="preserve">カイサイ </t>
    </rPh>
    <rPh sb="86" eb="88">
      <t xml:space="preserve">スウチニヨルト </t>
    </rPh>
    <rPh sb="92" eb="94">
      <t xml:space="preserve">ボンアケハ </t>
    </rPh>
    <rPh sb="96" eb="99">
      <t xml:space="preserve">カコウセンヲ </t>
    </rPh>
    <rPh sb="100" eb="101">
      <t xml:space="preserve">タドル </t>
    </rPh>
    <rPh sb="116" eb="122">
      <t xml:space="preserve">カンソクシジョウサイコウノ </t>
    </rPh>
    <rPh sb="123" eb="127">
      <t xml:space="preserve">ヘイキンキオン </t>
    </rPh>
    <rPh sb="139" eb="140">
      <t xml:space="preserve">カケコミ </t>
    </rPh>
    <rPh sb="143" eb="145">
      <t xml:space="preserve">リヨウ </t>
    </rPh>
    <rPh sb="149" eb="150">
      <t xml:space="preserve">イキオイヲ </t>
    </rPh>
    <rPh sb="152" eb="153">
      <t xml:space="preserve">タモッタママ </t>
    </rPh>
    <rPh sb="157" eb="160">
      <t xml:space="preserve">サイシュウビマデ </t>
    </rPh>
    <rPh sb="162" eb="163">
      <t xml:space="preserve">ニギワイガ </t>
    </rPh>
    <rPh sb="166" eb="167">
      <t xml:space="preserve">ツヅキマシタ </t>
    </rPh>
    <rPh sb="183" eb="184">
      <t xml:space="preserve">マツマデハ </t>
    </rPh>
    <rPh sb="200" eb="201">
      <t xml:space="preserve">ニチ </t>
    </rPh>
    <rPh sb="218" eb="219">
      <t xml:space="preserve">オオキナ </t>
    </rPh>
    <rPh sb="221" eb="223">
      <t xml:space="preserve">セイカニ </t>
    </rPh>
    <rPh sb="224" eb="225">
      <t xml:space="preserve">ツナガッタ </t>
    </rPh>
    <rPh sb="229" eb="230">
      <t xml:space="preserve">カンガエテイマス </t>
    </rPh>
    <rPh sb="241" eb="242">
      <t xml:space="preserve">ド </t>
    </rPh>
    <rPh sb="247" eb="248">
      <t xml:space="preserve">メイ </t>
    </rPh>
    <rPh sb="249" eb="251">
      <t xml:space="preserve">ライジョウ </t>
    </rPh>
    <rPh sb="264" eb="265">
      <t xml:space="preserve">ガツ </t>
    </rPh>
    <rPh sb="265" eb="268">
      <t xml:space="preserve">ダイヨンシュウ </t>
    </rPh>
    <rPh sb="269" eb="271">
      <t xml:space="preserve">ツウキデハ </t>
    </rPh>
    <rPh sb="273" eb="274">
      <t xml:space="preserve">ダイ </t>
    </rPh>
    <rPh sb="275" eb="276">
      <t xml:space="preserve">シュウ </t>
    </rPh>
    <rPh sb="278" eb="280">
      <t xml:space="preserve">サイダイ </t>
    </rPh>
    <rPh sb="281" eb="283">
      <t xml:space="preserve">ウリアゲ </t>
    </rPh>
    <rPh sb="284" eb="286">
      <t xml:space="preserve">ニュウキャクト </t>
    </rPh>
    <rPh sb="293" eb="296">
      <t xml:space="preserve">ジネンドハ </t>
    </rPh>
    <rPh sb="297" eb="299">
      <t xml:space="preserve">ヨヤクシステム </t>
    </rPh>
    <rPh sb="307" eb="309">
      <t xml:space="preserve">カツヨウシ </t>
    </rPh>
    <rPh sb="311" eb="313">
      <t xml:space="preserve">ニュウキャク </t>
    </rPh>
    <rPh sb="314" eb="315">
      <t xml:space="preserve">ヒキアゲタイト </t>
    </rPh>
    <rPh sb="321" eb="322">
      <t xml:space="preserve">カンガエマス </t>
    </rPh>
    <phoneticPr fontId="1"/>
  </si>
  <si>
    <r>
      <t>通期での客単価は</t>
    </r>
    <r>
      <rPr>
        <sz val="12"/>
        <color theme="1"/>
        <rFont val="Yu Gothic"/>
        <family val="3"/>
        <charset val="128"/>
      </rPr>
      <t>3,964</t>
    </r>
    <r>
      <rPr>
        <sz val="12"/>
        <color theme="1"/>
        <rFont val="Yu Gothic"/>
        <family val="3"/>
        <charset val="1"/>
      </rPr>
      <t>円にて着地いたしました。</t>
    </r>
    <r>
      <rPr>
        <b/>
        <sz val="12"/>
        <color theme="1"/>
        <rFont val="Yu Gothic"/>
        <family val="3"/>
        <charset val="1"/>
      </rPr>
      <t>予算設定時点では</t>
    </r>
    <r>
      <rPr>
        <b/>
        <sz val="12"/>
        <color theme="1"/>
        <rFont val="Yu Gothic"/>
        <family val="3"/>
        <charset val="128"/>
      </rPr>
      <t>80%</t>
    </r>
    <r>
      <rPr>
        <b/>
        <sz val="12"/>
        <color theme="1"/>
        <rFont val="Yu Gothic"/>
        <family val="3"/>
        <charset val="1"/>
      </rPr>
      <t>がプラン利用を想定しての数値でしたので、予算値からはマイナスとなっています。最終的にプラン利用率は</t>
    </r>
    <r>
      <rPr>
        <b/>
        <sz val="12"/>
        <color theme="1"/>
        <rFont val="Yu Gothic"/>
        <family val="3"/>
        <charset val="128"/>
      </rPr>
      <t>53.6%</t>
    </r>
    <r>
      <rPr>
        <b/>
        <sz val="12"/>
        <color theme="1"/>
        <rFont val="Yu Gothic"/>
        <family val="3"/>
        <charset val="1"/>
      </rPr>
      <t>となり、アラカルト（単品）利用率を上回りました。</t>
    </r>
    <r>
      <rPr>
        <sz val="12"/>
        <color theme="1"/>
        <rFont val="Yu Gothic"/>
        <family val="3"/>
        <charset val="1"/>
      </rPr>
      <t>左記データから読み取れるのは、とてもシンプルですが、</t>
    </r>
    <r>
      <rPr>
        <b/>
        <u/>
        <sz val="12"/>
        <color rgb="FFFF0000"/>
        <rFont val="Yu Gothic"/>
        <family val="3"/>
        <charset val="1"/>
      </rPr>
      <t>パッサージュ（フリー入客）利用率が高いと客単価が下がるという事実と、予約数を高めることにより客単価が伸びるという事実</t>
    </r>
    <r>
      <rPr>
        <sz val="12"/>
        <color theme="1"/>
        <rFont val="Yu Gothic"/>
        <family val="3"/>
        <charset val="1"/>
      </rPr>
      <t>です。このことから、次年度は今回</t>
    </r>
    <r>
      <rPr>
        <sz val="12"/>
        <color theme="1"/>
        <rFont val="Yu Gothic"/>
        <family val="3"/>
        <charset val="128"/>
      </rPr>
      <t>25</t>
    </r>
    <r>
      <rPr>
        <sz val="12"/>
        <color theme="1"/>
        <rFont val="Yu Gothic"/>
        <family val="3"/>
        <charset val="1"/>
      </rPr>
      <t>％程であった予約利用率を</t>
    </r>
    <r>
      <rPr>
        <sz val="12"/>
        <color theme="1"/>
        <rFont val="Yu Gothic"/>
        <family val="3"/>
        <charset val="128"/>
      </rPr>
      <t>35</t>
    </r>
    <r>
      <rPr>
        <sz val="12"/>
        <color theme="1"/>
        <rFont val="Yu Gothic"/>
        <family val="3"/>
        <charset val="1"/>
      </rPr>
      <t>％程度まで引き上げることで、いわゆる「値上げ」の必要がなく、客単価と入客の天秤関係を限定的にしながら、</t>
    </r>
    <r>
      <rPr>
        <b/>
        <u/>
        <sz val="12"/>
        <color theme="1"/>
        <rFont val="Yu Gothic"/>
        <family val="3"/>
        <charset val="1"/>
      </rPr>
      <t>【入客を高めつつ客単価も引き上げることができる】という伸び代</t>
    </r>
    <r>
      <rPr>
        <sz val="12"/>
        <color theme="1"/>
        <rFont val="Yu Gothic"/>
        <family val="3"/>
        <charset val="1"/>
      </rPr>
      <t>を確認することができました。また今回はテーブルチェックを導入し、専用</t>
    </r>
    <r>
      <rPr>
        <sz val="12"/>
        <color theme="1"/>
        <rFont val="Yu Gothic"/>
        <family val="3"/>
        <charset val="128"/>
      </rPr>
      <t>LP</t>
    </r>
    <r>
      <rPr>
        <sz val="12"/>
        <color theme="1"/>
        <rFont val="Yu Gothic"/>
        <family val="3"/>
        <charset val="1"/>
      </rPr>
      <t>と紐付けして予約受注を行ったことにより、約</t>
    </r>
    <r>
      <rPr>
        <sz val="12"/>
        <color theme="1"/>
        <rFont val="Yu Gothic"/>
        <family val="3"/>
        <charset val="128"/>
      </rPr>
      <t>83%</t>
    </r>
    <r>
      <rPr>
        <sz val="12"/>
        <color theme="1"/>
        <rFont val="Yu Gothic"/>
        <family val="3"/>
        <charset val="1"/>
      </rPr>
      <t>の方が</t>
    </r>
    <r>
      <rPr>
        <sz val="12"/>
        <color theme="1"/>
        <rFont val="Yu Gothic"/>
        <family val="3"/>
        <charset val="128"/>
      </rPr>
      <t>Web</t>
    </r>
    <r>
      <rPr>
        <sz val="12"/>
        <color theme="1"/>
        <rFont val="Yu Gothic"/>
        <family val="3"/>
        <charset val="1"/>
      </rPr>
      <t>から予約をしてくださいました。これまでの開催は全て電話予約で対応し紙台帳管理をしていたという課題を、予約システム導入によって解決できた大きな成果と認められます。現地オペレーションとの連携を高めていけば、まだまだこうしたシステムを活かすことができます。今年度実績を基にし、人員発注と人員配置、予約システムの強みをさらに引き出しての予約受注強化（相性が良いと見られるLINE/L-STEPの活用など）や、天候要件の影響値を最小化（※悪天候時でも当日キャンセルは</t>
    </r>
    <r>
      <rPr>
        <sz val="12"/>
        <color theme="1"/>
        <rFont val="Yu Gothic"/>
        <family val="3"/>
        <charset val="128"/>
      </rPr>
      <t>2</t>
    </r>
    <r>
      <rPr>
        <sz val="12"/>
        <color theme="1"/>
        <rFont val="Yu Gothic"/>
        <family val="3"/>
        <charset val="1"/>
      </rPr>
      <t>割に満たない）していくことで、次年度は客席拡大、スタッフ増員に強気で臨むことができます。設備を含めて改善しつつ、さらに客単価を10％程度引き上げることで、売上も今年度の</t>
    </r>
    <r>
      <rPr>
        <sz val="12"/>
        <color theme="1"/>
        <rFont val="Yu Gothic"/>
        <family val="3"/>
        <charset val="128"/>
      </rPr>
      <t>1</t>
    </r>
    <r>
      <rPr>
        <sz val="12"/>
        <color theme="1"/>
        <rFont val="Yu Gothic"/>
        <family val="3"/>
        <charset val="1"/>
      </rPr>
      <t>日平均</t>
    </r>
    <r>
      <rPr>
        <sz val="12"/>
        <color theme="1"/>
        <rFont val="Yu Gothic"/>
        <family val="3"/>
        <charset val="128"/>
      </rPr>
      <t>114</t>
    </r>
    <r>
      <rPr>
        <sz val="12"/>
        <color theme="1"/>
        <rFont val="Yu Gothic"/>
        <family val="3"/>
        <charset val="1"/>
      </rPr>
      <t>万円から</t>
    </r>
    <r>
      <rPr>
        <sz val="12"/>
        <color theme="1"/>
        <rFont val="Yu Gothic"/>
        <family val="3"/>
        <charset val="128"/>
      </rPr>
      <t>130</t>
    </r>
    <r>
      <rPr>
        <sz val="12"/>
        <color theme="1"/>
        <rFont val="Yu Gothic"/>
        <family val="3"/>
        <charset val="1"/>
      </rPr>
      <t>万円（合計</t>
    </r>
    <r>
      <rPr>
        <sz val="12"/>
        <color theme="1"/>
        <rFont val="Yu Gothic"/>
        <family val="3"/>
        <charset val="128"/>
      </rPr>
      <t>1</t>
    </r>
    <r>
      <rPr>
        <sz val="12"/>
        <color theme="1"/>
        <rFont val="Yu Gothic"/>
        <family val="3"/>
        <charset val="1"/>
      </rPr>
      <t>億</t>
    </r>
    <r>
      <rPr>
        <sz val="12"/>
        <color theme="1"/>
        <rFont val="Yu Gothic"/>
        <family val="3"/>
        <charset val="128"/>
      </rPr>
      <t>3,000</t>
    </r>
    <r>
      <rPr>
        <sz val="12"/>
        <color theme="1"/>
        <rFont val="Yu Gothic"/>
        <family val="3"/>
        <charset val="1"/>
      </rPr>
      <t>万円）までは伸ばすことができると確信しています。</t>
    </r>
    <rPh sb="0" eb="1">
      <t xml:space="preserve">ツウキデノ </t>
    </rPh>
    <rPh sb="1" eb="2">
      <t>🌳</t>
    </rPh>
    <rPh sb="4" eb="7">
      <t xml:space="preserve">キャクタンカハ </t>
    </rPh>
    <rPh sb="13" eb="14">
      <t xml:space="preserve">エン </t>
    </rPh>
    <rPh sb="16" eb="18">
      <t xml:space="preserve">チャクチイタシマシタ </t>
    </rPh>
    <rPh sb="25" eb="27">
      <t xml:space="preserve">ヨサン </t>
    </rPh>
    <rPh sb="27" eb="31">
      <t xml:space="preserve">セッテイジテンデハ </t>
    </rPh>
    <rPh sb="43" eb="45">
      <t xml:space="preserve">ソウテイシテノ </t>
    </rPh>
    <rPh sb="48" eb="50">
      <t xml:space="preserve">スウチデシタノデ </t>
    </rPh>
    <rPh sb="56" eb="59">
      <t xml:space="preserve">ヨサンチ </t>
    </rPh>
    <rPh sb="74" eb="77">
      <t xml:space="preserve">サイシュウテキニ </t>
    </rPh>
    <rPh sb="83" eb="84">
      <t xml:space="preserve">リツ </t>
    </rPh>
    <rPh sb="100" eb="102">
      <t xml:space="preserve">タンピン </t>
    </rPh>
    <rPh sb="103" eb="106">
      <t xml:space="preserve">リヨウリツ </t>
    </rPh>
    <rPh sb="107" eb="109">
      <t xml:space="preserve">ウワマワリマシタ </t>
    </rPh>
    <rPh sb="114" eb="116">
      <t>サキ</t>
    </rPh>
    <rPh sb="121" eb="122">
      <t xml:space="preserve">ヨミトレルノハ </t>
    </rPh>
    <rPh sb="150" eb="152">
      <t xml:space="preserve">ニュウキャク </t>
    </rPh>
    <rPh sb="153" eb="156">
      <t xml:space="preserve">リヨウリツ </t>
    </rPh>
    <rPh sb="157" eb="158">
      <t xml:space="preserve">タカイト </t>
    </rPh>
    <rPh sb="160" eb="163">
      <t xml:space="preserve">キャクタンカガ </t>
    </rPh>
    <rPh sb="164" eb="165">
      <t xml:space="preserve">サガル </t>
    </rPh>
    <rPh sb="170" eb="172">
      <t xml:space="preserve">ジジツト </t>
    </rPh>
    <rPh sb="174" eb="176">
      <t xml:space="preserve">ヨヤクヲ </t>
    </rPh>
    <rPh sb="176" eb="177">
      <t xml:space="preserve">スウヲ </t>
    </rPh>
    <rPh sb="178" eb="179">
      <t xml:space="preserve">タカメル </t>
    </rPh>
    <rPh sb="186" eb="189">
      <t xml:space="preserve">キャクタンカガ </t>
    </rPh>
    <rPh sb="190" eb="191">
      <t xml:space="preserve">ノビル </t>
    </rPh>
    <rPh sb="196" eb="198">
      <t xml:space="preserve">ジジツ </t>
    </rPh>
    <rPh sb="208" eb="211">
      <t xml:space="preserve">ジネンドハ </t>
    </rPh>
    <rPh sb="212" eb="214">
      <t xml:space="preserve">コンカイ </t>
    </rPh>
    <rPh sb="217" eb="218">
      <t xml:space="preserve">ホドデアッタ </t>
    </rPh>
    <rPh sb="222" eb="224">
      <t xml:space="preserve">ヨヤク </t>
    </rPh>
    <rPh sb="224" eb="226">
      <t xml:space="preserve">リヨウ </t>
    </rPh>
    <rPh sb="226" eb="227">
      <t xml:space="preserve">リツ </t>
    </rPh>
    <rPh sb="231" eb="233">
      <t xml:space="preserve">テイドマデ </t>
    </rPh>
    <rPh sb="235" eb="236">
      <t xml:space="preserve">ヒキアゲ </t>
    </rPh>
    <rPh sb="249" eb="251">
      <t xml:space="preserve">ネアゲ </t>
    </rPh>
    <rPh sb="254" eb="256">
      <t xml:space="preserve">ヒツヨウガ </t>
    </rPh>
    <rPh sb="260" eb="263">
      <t xml:space="preserve">キャクタンカ </t>
    </rPh>
    <rPh sb="264" eb="266">
      <t xml:space="preserve">ニュウキャク </t>
    </rPh>
    <rPh sb="267" eb="271">
      <t xml:space="preserve">テンビンカンケイ </t>
    </rPh>
    <rPh sb="272" eb="275">
      <t xml:space="preserve">ゲンテイテキニシツツ </t>
    </rPh>
    <rPh sb="282" eb="284">
      <t xml:space="preserve">ニュウキャクヲ </t>
    </rPh>
    <rPh sb="285" eb="286">
      <t xml:space="preserve">タカメツツ </t>
    </rPh>
    <rPh sb="289" eb="292">
      <t xml:space="preserve">キャクタンカ </t>
    </rPh>
    <rPh sb="293" eb="294">
      <t xml:space="preserve">ヒキアゲル </t>
    </rPh>
    <rPh sb="308" eb="309">
      <t xml:space="preserve">ノビシロ </t>
    </rPh>
    <rPh sb="312" eb="314">
      <t xml:space="preserve">カクニン </t>
    </rPh>
    <rPh sb="327" eb="329">
      <t xml:space="preserve">コンカイハ </t>
    </rPh>
    <rPh sb="339" eb="341">
      <t xml:space="preserve">ドウニュウシ </t>
    </rPh>
    <rPh sb="343" eb="345">
      <t xml:space="preserve">センヨウ </t>
    </rPh>
    <rPh sb="348" eb="350">
      <t xml:space="preserve">ヒモヅケシテ </t>
    </rPh>
    <rPh sb="353" eb="357">
      <t xml:space="preserve">ヨヤクジュチュウヲ </t>
    </rPh>
    <rPh sb="358" eb="359">
      <t xml:space="preserve">オコナッタコトニヨリ </t>
    </rPh>
    <rPh sb="367" eb="368">
      <t xml:space="preserve">ヤク </t>
    </rPh>
    <rPh sb="372" eb="373">
      <t xml:space="preserve">カタガ </t>
    </rPh>
    <rPh sb="379" eb="381">
      <t xml:space="preserve">ヨヤクヲ </t>
    </rPh>
    <rPh sb="400" eb="401">
      <t xml:space="preserve">スベテ </t>
    </rPh>
    <rPh sb="402" eb="406">
      <t xml:space="preserve">デンワヨヤクデ </t>
    </rPh>
    <rPh sb="407" eb="409">
      <t xml:space="preserve">タイオウ </t>
    </rPh>
    <rPh sb="410" eb="411">
      <t xml:space="preserve">カミ </t>
    </rPh>
    <rPh sb="411" eb="415">
      <t xml:space="preserve">ダイチョウカンリ </t>
    </rPh>
    <rPh sb="423" eb="425">
      <t xml:space="preserve">カダイヲ </t>
    </rPh>
    <rPh sb="427" eb="429">
      <t xml:space="preserve">ヨヤクシステム </t>
    </rPh>
    <rPh sb="433" eb="435">
      <t xml:space="preserve">ドウニュウ </t>
    </rPh>
    <rPh sb="439" eb="441">
      <t xml:space="preserve">カイケツ </t>
    </rPh>
    <rPh sb="444" eb="445">
      <t xml:space="preserve">オオキナ </t>
    </rPh>
    <rPh sb="447" eb="449">
      <t xml:space="preserve">セイカト </t>
    </rPh>
    <rPh sb="450" eb="451">
      <t xml:space="preserve">ミトメラレマス </t>
    </rPh>
    <rPh sb="457" eb="459">
      <t xml:space="preserve">ゲンチ </t>
    </rPh>
    <rPh sb="468" eb="470">
      <t xml:space="preserve">レンケイヲ </t>
    </rPh>
    <rPh sb="471" eb="472">
      <t xml:space="preserve">タカメテイケバ </t>
    </rPh>
    <rPh sb="491" eb="492">
      <t xml:space="preserve">イカシテイケルノデ </t>
    </rPh>
    <rPh sb="502" eb="505">
      <t xml:space="preserve">コンエンドヲ </t>
    </rPh>
    <rPh sb="505" eb="507">
      <t xml:space="preserve">ジッセキ </t>
    </rPh>
    <rPh sb="508" eb="509">
      <t xml:space="preserve">モトニシタ </t>
    </rPh>
    <rPh sb="512" eb="514">
      <t xml:space="preserve">ジンイン </t>
    </rPh>
    <rPh sb="514" eb="516">
      <t xml:space="preserve">ハッチュウ </t>
    </rPh>
    <rPh sb="517" eb="521">
      <t xml:space="preserve">ジンインハイチ </t>
    </rPh>
    <rPh sb="522" eb="524">
      <t xml:space="preserve">ヨヤクシステムン </t>
    </rPh>
    <rPh sb="529" eb="530">
      <t xml:space="preserve">ツヨミヲ </t>
    </rPh>
    <rPh sb="541" eb="545">
      <t xml:space="preserve">ヨヤクジュチュウ </t>
    </rPh>
    <rPh sb="545" eb="547">
      <t xml:space="preserve">キョウカ </t>
    </rPh>
    <rPh sb="548" eb="550">
      <t xml:space="preserve">アイショウガ </t>
    </rPh>
    <rPh sb="551" eb="552">
      <t xml:space="preserve">ヨイト </t>
    </rPh>
    <rPh sb="554" eb="555">
      <t xml:space="preserve">ミラレルツ </t>
    </rPh>
    <rPh sb="570" eb="572">
      <t xml:space="preserve">カツヨウ </t>
    </rPh>
    <rPh sb="577" eb="581">
      <t xml:space="preserve">テンコウヨウケン </t>
    </rPh>
    <rPh sb="582" eb="585">
      <t xml:space="preserve">エイキョウチ </t>
    </rPh>
    <rPh sb="586" eb="589">
      <t xml:space="preserve">サイショウカ </t>
    </rPh>
    <rPh sb="591" eb="595">
      <t xml:space="preserve">アクテンコウジ </t>
    </rPh>
    <rPh sb="597" eb="599">
      <t xml:space="preserve">トウジツ </t>
    </rPh>
    <rPh sb="606" eb="607">
      <t xml:space="preserve">ワリニ </t>
    </rPh>
    <rPh sb="608" eb="609">
      <t xml:space="preserve">ミタナイ </t>
    </rPh>
    <rPh sb="621" eb="624">
      <t xml:space="preserve">ジネンドノ </t>
    </rPh>
    <rPh sb="625" eb="629">
      <t xml:space="preserve">キャクセキカクダイ </t>
    </rPh>
    <rPh sb="634" eb="636">
      <t xml:space="preserve">ゾウイン </t>
    </rPh>
    <rPh sb="637" eb="639">
      <t xml:space="preserve">ツヨキデ </t>
    </rPh>
    <rPh sb="640" eb="641">
      <t xml:space="preserve">ノゾムコトガデキマス </t>
    </rPh>
    <rPh sb="650" eb="652">
      <t xml:space="preserve">セツビヲ </t>
    </rPh>
    <rPh sb="653" eb="654">
      <t xml:space="preserve">フクメテ </t>
    </rPh>
    <rPh sb="656" eb="658">
      <t xml:space="preserve">カイゼンテン </t>
    </rPh>
    <rPh sb="665" eb="668">
      <t xml:space="preserve">キャクタンカヲ </t>
    </rPh>
    <rPh sb="672" eb="674">
      <t xml:space="preserve">テイド </t>
    </rPh>
    <rPh sb="674" eb="675">
      <t xml:space="preserve">ヒキアゲルコトデ </t>
    </rPh>
    <rPh sb="683" eb="685">
      <t xml:space="preserve">ウリアゲ </t>
    </rPh>
    <rPh sb="686" eb="689">
      <t xml:space="preserve">コンネンド </t>
    </rPh>
    <rPh sb="691" eb="692">
      <t xml:space="preserve">ニチケイキン </t>
    </rPh>
    <rPh sb="692" eb="694">
      <t xml:space="preserve">ヘイキン </t>
    </rPh>
    <rPh sb="697" eb="699">
      <t xml:space="preserve">マンエン </t>
    </rPh>
    <rPh sb="704" eb="706">
      <t xml:space="preserve">マンエン </t>
    </rPh>
    <rPh sb="707" eb="709">
      <t xml:space="preserve">ゴウケイ </t>
    </rPh>
    <rPh sb="710" eb="711">
      <t xml:space="preserve">オク </t>
    </rPh>
    <rPh sb="716" eb="718">
      <t xml:space="preserve">マンエン </t>
    </rPh>
    <rPh sb="722" eb="723">
      <t xml:space="preserve">ノバスコトガデキルト </t>
    </rPh>
    <rPh sb="732" eb="734">
      <t xml:space="preserve">カクシンシテイマス </t>
    </rPh>
    <phoneticPr fontId="1"/>
  </si>
  <si>
    <t>1日平均売上</t>
    <rPh sb="2" eb="4">
      <t xml:space="preserve">ヘイキン </t>
    </rPh>
    <rPh sb="4" eb="6">
      <t xml:space="preserve">ウリアゲ </t>
    </rPh>
    <phoneticPr fontId="1"/>
  </si>
  <si>
    <r>
      <rPr>
        <b/>
        <sz val="10"/>
        <color theme="1"/>
        <rFont val="Yu Gothic"/>
        <family val="3"/>
        <charset val="1"/>
      </rPr>
      <t>設備・備品課題※情報共有前　</t>
    </r>
    <r>
      <rPr>
        <sz val="10"/>
        <color theme="1"/>
        <rFont val="Yu Gothic"/>
        <family val="3"/>
        <charset val="1"/>
      </rPr>
      <t>◆英字メニュー　◆テーブル番号札（視認性・会計）　◆会計カード（プラスチック札）の作成　◆会計の仕方がわからない　◆キャッシュレス決済が行えることの告知　◆エクスキューズ（場内案内・トイレ・会計方法など）　◆飲み放題と単品オーダーの判別がつきづらい　◆床清掃の定期スケジュールと不定期実施のオペレーション　 ◆ワインの利用方法と場所　◆ワインコーナーにローズマリーのプランター設置　◆イベント開催　◆キャッシャー増設検討　◆ジョッキのサイズ　◆グラス洗浄マシンとの相性　◆鍋洗い機（高圧洗浄機）の複数洗浄機導入　◆Wi-Fi環境　　◆問い合わせ専用電話の設置</t>
    </r>
    <rPh sb="0" eb="2">
      <t xml:space="preserve">セツビ </t>
    </rPh>
    <rPh sb="3" eb="5">
      <t xml:space="preserve">ビヒン </t>
    </rPh>
    <rPh sb="5" eb="7">
      <t xml:space="preserve">カダイ </t>
    </rPh>
    <rPh sb="8" eb="12">
      <t xml:space="preserve">ジョウホウキョウユウ </t>
    </rPh>
    <rPh sb="12" eb="13">
      <t xml:space="preserve">マエ </t>
    </rPh>
    <rPh sb="15" eb="17">
      <t xml:space="preserve">エイジ </t>
    </rPh>
    <rPh sb="27" eb="29">
      <t xml:space="preserve">バンゴウ </t>
    </rPh>
    <rPh sb="29" eb="30">
      <t xml:space="preserve">フダ </t>
    </rPh>
    <rPh sb="31" eb="34">
      <t xml:space="preserve">シニンセイ </t>
    </rPh>
    <rPh sb="35" eb="37">
      <t xml:space="preserve">カイケイ </t>
    </rPh>
    <rPh sb="40" eb="42">
      <t xml:space="preserve">カイケイカード </t>
    </rPh>
    <rPh sb="52" eb="53">
      <t xml:space="preserve">フダ </t>
    </rPh>
    <rPh sb="55" eb="57">
      <t xml:space="preserve">サクセイ </t>
    </rPh>
    <rPh sb="60" eb="61">
      <t xml:space="preserve">ノミホウダイ </t>
    </rPh>
    <rPh sb="65" eb="67">
      <t xml:space="preserve">タンピン </t>
    </rPh>
    <rPh sb="72" eb="74">
      <t xml:space="preserve">ハンベツ </t>
    </rPh>
    <rPh sb="82" eb="84">
      <t xml:space="preserve">カイケイノ </t>
    </rPh>
    <rPh sb="85" eb="87">
      <t xml:space="preserve">シカタガ </t>
    </rPh>
    <rPh sb="105" eb="106">
      <t xml:space="preserve">オコナエルコトノ </t>
    </rPh>
    <rPh sb="111" eb="113">
      <t xml:space="preserve">コクチ </t>
    </rPh>
    <rPh sb="123" eb="125">
      <t xml:space="preserve">ジョウナイ </t>
    </rPh>
    <rPh sb="125" eb="127">
      <t xml:space="preserve">アンナイ </t>
    </rPh>
    <rPh sb="132" eb="136">
      <t xml:space="preserve">カイケイホウホウ </t>
    </rPh>
    <rPh sb="140" eb="143">
      <t xml:space="preserve">ユカセイソウ </t>
    </rPh>
    <rPh sb="144" eb="146">
      <t xml:space="preserve">テイキ </t>
    </rPh>
    <rPh sb="153" eb="156">
      <t xml:space="preserve">フテイキ </t>
    </rPh>
    <rPh sb="156" eb="158">
      <t xml:space="preserve">ジッシノ </t>
    </rPh>
    <rPh sb="173" eb="177">
      <t xml:space="preserve">リヨウホウホウ </t>
    </rPh>
    <rPh sb="178" eb="180">
      <t xml:space="preserve">バショノ </t>
    </rPh>
    <rPh sb="220" eb="222">
      <t xml:space="preserve">ゾウセツ </t>
    </rPh>
    <rPh sb="222" eb="224">
      <t xml:space="preserve">ケントウ </t>
    </rPh>
    <rPh sb="239" eb="241">
      <t xml:space="preserve">センジョウマシン </t>
    </rPh>
    <rPh sb="246" eb="248">
      <t xml:space="preserve">アイショウ </t>
    </rPh>
    <rPh sb="250" eb="252">
      <t xml:space="preserve">ナベアライキ </t>
    </rPh>
    <rPh sb="253" eb="254">
      <t xml:space="preserve">キカイ </t>
    </rPh>
    <rPh sb="255" eb="259">
      <t xml:space="preserve">コウアツセンジョウ </t>
    </rPh>
    <rPh sb="259" eb="260">
      <t>🪵</t>
    </rPh>
    <rPh sb="262" eb="264">
      <t xml:space="preserve">フクスウ </t>
    </rPh>
    <rPh sb="264" eb="266">
      <t xml:space="preserve">センジョウ </t>
    </rPh>
    <rPh sb="266" eb="267">
      <t>🪵</t>
    </rPh>
    <rPh sb="267" eb="269">
      <t xml:space="preserve">ドウニュウ </t>
    </rPh>
    <rPh sb="276" eb="278">
      <t xml:space="preserve">カンキョウ </t>
    </rPh>
    <rPh sb="281" eb="282">
      <t xml:space="preserve">トイアワセ </t>
    </rPh>
    <rPh sb="286" eb="288">
      <t xml:space="preserve">センヨウ </t>
    </rPh>
    <rPh sb="288" eb="290">
      <t xml:space="preserve">デンワノ </t>
    </rPh>
    <rPh sb="291" eb="293">
      <t xml:space="preserve">セッチ </t>
    </rPh>
    <phoneticPr fontId="1"/>
  </si>
  <si>
    <t xml:space="preserve"> プレ</t>
    <phoneticPr fontId="1"/>
  </si>
  <si>
    <t>予測値（目標値）</t>
    <rPh sb="0" eb="3">
      <t xml:space="preserve">ヨソクチ </t>
    </rPh>
    <rPh sb="4" eb="7">
      <t xml:space="preserve">モクヒョウチ </t>
    </rPh>
    <phoneticPr fontId="1"/>
  </si>
  <si>
    <t>晴れ（33度以上15以下）曇25度以上</t>
    <rPh sb="0" eb="1">
      <t xml:space="preserve">ハレ </t>
    </rPh>
    <rPh sb="3" eb="4">
      <t xml:space="preserve">33ド </t>
    </rPh>
    <rPh sb="6" eb="8">
      <t xml:space="preserve">イジョウ </t>
    </rPh>
    <rPh sb="10" eb="12">
      <t xml:space="preserve">イカ </t>
    </rPh>
    <rPh sb="13" eb="14">
      <t xml:space="preserve">クモリ </t>
    </rPh>
    <rPh sb="16" eb="17">
      <t xml:space="preserve">ド </t>
    </rPh>
    <rPh sb="17" eb="19">
      <t xml:space="preserve">イジョウ </t>
    </rPh>
    <phoneticPr fontId="1"/>
  </si>
  <si>
    <t>売上合計予算対比</t>
    <rPh sb="0" eb="2">
      <t xml:space="preserve">ウリアゲ </t>
    </rPh>
    <rPh sb="2" eb="4">
      <t xml:space="preserve">ゴウケイ </t>
    </rPh>
    <rPh sb="4" eb="8">
      <t xml:space="preserve">ヨサンタイヒ </t>
    </rPh>
    <phoneticPr fontId="1"/>
  </si>
  <si>
    <t>ウチその他対比</t>
    <rPh sb="5" eb="7">
      <t xml:space="preserve">タイヒ </t>
    </rPh>
    <phoneticPr fontId="1"/>
  </si>
  <si>
    <t>合計予算進捗</t>
    <rPh sb="0" eb="2">
      <t xml:space="preserve">ゴウケイ </t>
    </rPh>
    <rPh sb="2" eb="4">
      <t xml:space="preserve">ヨサン </t>
    </rPh>
    <rPh sb="4" eb="6">
      <t xml:space="preserve">シンチョク </t>
    </rPh>
    <phoneticPr fontId="1"/>
  </si>
  <si>
    <t>前年週別売上＆天候実績</t>
    <rPh sb="0" eb="2">
      <t xml:space="preserve">ゼンネン </t>
    </rPh>
    <rPh sb="2" eb="4">
      <t xml:space="preserve">シュウベツ </t>
    </rPh>
    <rPh sb="4" eb="6">
      <t xml:space="preserve">ウリアゲ </t>
    </rPh>
    <rPh sb="7" eb="9">
      <t xml:space="preserve">テンコウ </t>
    </rPh>
    <rPh sb="9" eb="11">
      <t xml:space="preserve">ジッセキ </t>
    </rPh>
    <phoneticPr fontId="1"/>
  </si>
  <si>
    <t>2024年　6月　天候実績　</t>
    <rPh sb="7" eb="8">
      <t xml:space="preserve">ガツ </t>
    </rPh>
    <rPh sb="9" eb="13">
      <t xml:space="preserve">テンコウジッセキ </t>
    </rPh>
    <phoneticPr fontId="74"/>
  </si>
  <si>
    <t>天候状況</t>
    <rPh sb="0" eb="4">
      <t xml:space="preserve">テンコウジョウキョウ </t>
    </rPh>
    <phoneticPr fontId="74"/>
  </si>
  <si>
    <t>ポイント</t>
    <phoneticPr fontId="74"/>
  </si>
  <si>
    <t>2024日数</t>
    <rPh sb="4" eb="6">
      <t xml:space="preserve">ニッスウ </t>
    </rPh>
    <phoneticPr fontId="74"/>
  </si>
  <si>
    <t>2024合計</t>
    <rPh sb="4" eb="6">
      <t xml:space="preserve">ゴウケイ </t>
    </rPh>
    <phoneticPr fontId="74"/>
  </si>
  <si>
    <t>比率</t>
    <rPh sb="0" eb="2">
      <t xml:space="preserve">ヒリツ </t>
    </rPh>
    <phoneticPr fontId="74"/>
  </si>
  <si>
    <t>晴れ（33度以上15以下）                    曇25度以上</t>
    <rPh sb="0" eb="1">
      <t xml:space="preserve">ハレ </t>
    </rPh>
    <rPh sb="3" eb="4">
      <t xml:space="preserve">33ド </t>
    </rPh>
    <rPh sb="6" eb="8">
      <t xml:space="preserve">イジョウ </t>
    </rPh>
    <rPh sb="10" eb="12">
      <t xml:space="preserve">イカ </t>
    </rPh>
    <rPh sb="33" eb="34">
      <t xml:space="preserve">クモリ </t>
    </rPh>
    <rPh sb="36" eb="37">
      <t xml:space="preserve">ド </t>
    </rPh>
    <rPh sb="37" eb="39">
      <t xml:space="preserve">イジョウ </t>
    </rPh>
    <phoneticPr fontId="1"/>
  </si>
  <si>
    <t>雨</t>
    <rPh sb="0" eb="1">
      <t xml:space="preserve">アメ </t>
    </rPh>
    <phoneticPr fontId="74"/>
  </si>
  <si>
    <t>豪雨・雷雨</t>
    <rPh sb="0" eb="2">
      <t xml:space="preserve">ゴウウ </t>
    </rPh>
    <rPh sb="3" eb="5">
      <t xml:space="preserve">ライウ </t>
    </rPh>
    <phoneticPr fontId="74"/>
  </si>
  <si>
    <t>TOTAL</t>
    <phoneticPr fontId="74"/>
  </si>
  <si>
    <t>月間天候指数</t>
    <rPh sb="0" eb="6">
      <t xml:space="preserve">ゲッカンテンコウシスウ </t>
    </rPh>
    <phoneticPr fontId="74"/>
  </si>
  <si>
    <t xml:space="preserve"> 2023年　6月　天候実績対比</t>
    <rPh sb="5" eb="6">
      <t xml:space="preserve">ネン </t>
    </rPh>
    <rPh sb="8" eb="9">
      <t xml:space="preserve">ガツ </t>
    </rPh>
    <rPh sb="10" eb="14">
      <t xml:space="preserve">テンコウジッセキ </t>
    </rPh>
    <rPh sb="14" eb="16">
      <t xml:space="preserve">タイヒ </t>
    </rPh>
    <phoneticPr fontId="74"/>
  </si>
  <si>
    <t>2024年　7月　天候実績　</t>
    <rPh sb="7" eb="8">
      <t xml:space="preserve">ガツ </t>
    </rPh>
    <rPh sb="9" eb="13">
      <t xml:space="preserve">テンコウジッセキ </t>
    </rPh>
    <phoneticPr fontId="74"/>
  </si>
  <si>
    <t xml:space="preserve"> 2023年　7月　天候実績対比</t>
    <rPh sb="5" eb="6">
      <t xml:space="preserve">ネン </t>
    </rPh>
    <rPh sb="8" eb="9">
      <t xml:space="preserve">ガツ </t>
    </rPh>
    <rPh sb="10" eb="14">
      <t xml:space="preserve">テンコウジッセキ </t>
    </rPh>
    <rPh sb="14" eb="16">
      <t xml:space="preserve">タイヒ </t>
    </rPh>
    <phoneticPr fontId="74"/>
  </si>
  <si>
    <t>2023日数</t>
    <rPh sb="4" eb="6">
      <t xml:space="preserve">ニッスウ </t>
    </rPh>
    <phoneticPr fontId="74"/>
  </si>
  <si>
    <t>2023合計</t>
    <rPh sb="4" eb="6">
      <t xml:space="preserve">ゴウケイ </t>
    </rPh>
    <phoneticPr fontId="74"/>
  </si>
  <si>
    <t>2023年　5月　天候実績　</t>
    <rPh sb="7" eb="8">
      <t xml:space="preserve">ガツ </t>
    </rPh>
    <rPh sb="9" eb="13">
      <t xml:space="preserve">テンコウジッセキ </t>
    </rPh>
    <phoneticPr fontId="74"/>
  </si>
  <si>
    <t>2024年　5月　天候実績　</t>
    <rPh sb="7" eb="8">
      <t xml:space="preserve">ガツ </t>
    </rPh>
    <rPh sb="9" eb="13">
      <t xml:space="preserve">テンコウジッセキ </t>
    </rPh>
    <phoneticPr fontId="74"/>
  </si>
  <si>
    <t>2024年　8月　天候実績　</t>
    <rPh sb="7" eb="8">
      <t xml:space="preserve">ガツ </t>
    </rPh>
    <rPh sb="9" eb="13">
      <t xml:space="preserve">テンコウジッセキ </t>
    </rPh>
    <phoneticPr fontId="74"/>
  </si>
  <si>
    <t xml:space="preserve"> 2023年　8月　天候実績対比</t>
    <rPh sb="5" eb="6">
      <t xml:space="preserve">ネン </t>
    </rPh>
    <rPh sb="8" eb="9">
      <t xml:space="preserve">ガツ </t>
    </rPh>
    <rPh sb="10" eb="14">
      <t xml:space="preserve">テンコウジッセキ </t>
    </rPh>
    <rPh sb="14" eb="16">
      <t xml:space="preserve">タイヒ </t>
    </rPh>
    <phoneticPr fontId="74"/>
  </si>
  <si>
    <t>2024年　9月　天候実績　</t>
    <rPh sb="7" eb="8">
      <t xml:space="preserve">ガツ </t>
    </rPh>
    <rPh sb="9" eb="13">
      <t xml:space="preserve">テンコウジッセキ </t>
    </rPh>
    <phoneticPr fontId="74"/>
  </si>
  <si>
    <t>2024年　3月　天候実績　</t>
    <rPh sb="7" eb="8">
      <t xml:space="preserve">ガツ </t>
    </rPh>
    <rPh sb="9" eb="13">
      <t xml:space="preserve">テンコウジッセキ </t>
    </rPh>
    <phoneticPr fontId="74"/>
  </si>
  <si>
    <t>物販</t>
  </si>
  <si>
    <t>物販</t>
    <rPh sb="0" eb="2">
      <t xml:space="preserve">ブッパン </t>
    </rPh>
    <phoneticPr fontId="1"/>
  </si>
  <si>
    <t>売上合計</t>
  </si>
  <si>
    <t>残り日数</t>
    <rPh sb="0" eb="1">
      <t xml:space="preserve">ノコリニッスウ </t>
    </rPh>
    <phoneticPr fontId="1"/>
  </si>
  <si>
    <t>前年比</t>
    <rPh sb="0" eb="3">
      <t xml:space="preserve">ゼンネンヒ </t>
    </rPh>
    <phoneticPr fontId="1"/>
  </si>
  <si>
    <t>①</t>
    <phoneticPr fontId="1"/>
  </si>
  <si>
    <t>目標</t>
    <rPh sb="0" eb="2">
      <t xml:space="preserve">モクヒョウ </t>
    </rPh>
    <phoneticPr fontId="1"/>
  </si>
  <si>
    <t>予算まで</t>
    <rPh sb="0" eb="2">
      <t xml:space="preserve">ヨサン </t>
    </rPh>
    <phoneticPr fontId="1"/>
  </si>
  <si>
    <t>目標まで</t>
    <rPh sb="0" eb="2">
      <t xml:space="preserve">モクヒョウマデ </t>
    </rPh>
    <phoneticPr fontId="1"/>
  </si>
  <si>
    <t>1日あたり</t>
    <rPh sb="1" eb="2">
      <t xml:space="preserve">ニチ </t>
    </rPh>
    <phoneticPr fontId="1"/>
  </si>
  <si>
    <t>1日あたり</t>
    <phoneticPr fontId="1"/>
  </si>
  <si>
    <t>Timee</t>
    <phoneticPr fontId="1"/>
  </si>
  <si>
    <t>Forking</t>
    <phoneticPr fontId="1"/>
  </si>
  <si>
    <t>時給＋交通費</t>
    <rPh sb="0" eb="2">
      <t xml:space="preserve">ジキュウ </t>
    </rPh>
    <rPh sb="3" eb="6">
      <t xml:space="preserve">コウツウヒ </t>
    </rPh>
    <phoneticPr fontId="1"/>
  </si>
  <si>
    <t>前年同日</t>
    <rPh sb="0" eb="2">
      <t xml:space="preserve">ゼンネン </t>
    </rPh>
    <rPh sb="2" eb="4">
      <t xml:space="preserve">ドウジツ </t>
    </rPh>
    <phoneticPr fontId="1"/>
  </si>
  <si>
    <r>
      <t>■</t>
    </r>
    <r>
      <rPr>
        <b/>
        <sz val="18"/>
        <color theme="1"/>
        <rFont val="Yu Gothic"/>
        <family val="3"/>
        <charset val="128"/>
        <scheme val="minor"/>
      </rPr>
      <t>R6</t>
    </r>
    <r>
      <rPr>
        <b/>
        <sz val="18"/>
        <color theme="1"/>
        <rFont val="Yu Gothic"/>
        <family val="2"/>
        <scheme val="minor"/>
      </rPr>
      <t>年 ポップアップ　ヒツジニワイン　/      さっぽろテレビ塔ビアガーデン売上計画（予算）・売上予測（9/8まで）・実績進捗確認表</t>
    </r>
    <rPh sb="3" eb="4">
      <t xml:space="preserve">ネン </t>
    </rPh>
    <rPh sb="41" eb="43">
      <t xml:space="preserve">ウリアゲ </t>
    </rPh>
    <rPh sb="43" eb="45">
      <t xml:space="preserve">ケイカク </t>
    </rPh>
    <rPh sb="46" eb="48">
      <t xml:space="preserve">ヨサン </t>
    </rPh>
    <rPh sb="50" eb="52">
      <t xml:space="preserve">ウリアゲ </t>
    </rPh>
    <rPh sb="52" eb="54">
      <t xml:space="preserve">ヨソク </t>
    </rPh>
    <rPh sb="62" eb="66">
      <t xml:space="preserve">ジッセキシンチョク </t>
    </rPh>
    <rPh sb="66" eb="68">
      <t xml:space="preserve">カクニン </t>
    </rPh>
    <rPh sb="68" eb="69">
      <t xml:space="preserve">ヒョウ </t>
    </rPh>
    <phoneticPr fontId="1"/>
  </si>
  <si>
    <t>■大通りビアガーデン2024 実績</t>
    <rPh sb="1" eb="3">
      <t xml:space="preserve">オオドオリ </t>
    </rPh>
    <rPh sb="15" eb="17">
      <t xml:space="preserve">ジッセキ </t>
    </rPh>
    <phoneticPr fontId="1"/>
  </si>
  <si>
    <t>来場者数</t>
    <rPh sb="0" eb="4">
      <t xml:space="preserve">ライジョウシャスウ </t>
    </rPh>
    <phoneticPr fontId="1"/>
  </si>
  <si>
    <t>ー</t>
    <phoneticPr fontId="1"/>
  </si>
  <si>
    <t>前年比</t>
    <rPh sb="0" eb="1">
      <t xml:space="preserve">ゼンネンヒ </t>
    </rPh>
    <phoneticPr fontId="1"/>
  </si>
  <si>
    <t>20L樽本数</t>
    <rPh sb="3" eb="6">
      <t xml:space="preserve">タルホンスウ </t>
    </rPh>
    <phoneticPr fontId="1"/>
  </si>
  <si>
    <t>ビール原価金額</t>
    <rPh sb="0" eb="3">
      <t xml:space="preserve">ビールゲンカ </t>
    </rPh>
    <rPh sb="5" eb="7">
      <t xml:space="preserve">キンガク </t>
    </rPh>
    <phoneticPr fontId="1"/>
  </si>
  <si>
    <t>客単価想定</t>
    <rPh sb="0" eb="5">
      <t xml:space="preserve">キャクタンカソウテイ </t>
    </rPh>
    <phoneticPr fontId="1"/>
  </si>
  <si>
    <t>推定売上額</t>
    <rPh sb="0" eb="2">
      <t xml:space="preserve">スイテイ </t>
    </rPh>
    <rPh sb="2" eb="4">
      <t xml:space="preserve">ウリアゲ </t>
    </rPh>
    <rPh sb="4" eb="5">
      <t xml:space="preserve">ガク </t>
    </rPh>
    <phoneticPr fontId="1"/>
  </si>
  <si>
    <t>ビール消費量（L）</t>
    <phoneticPr fontId="1"/>
  </si>
  <si>
    <t>-</t>
    <phoneticPr fontId="1"/>
  </si>
  <si>
    <t>ビール売上推定金額</t>
    <rPh sb="5" eb="7">
      <t xml:space="preserve">スイテイ </t>
    </rPh>
    <phoneticPr fontId="1"/>
  </si>
  <si>
    <t>ひとり当たりのビール購入額</t>
    <rPh sb="3" eb="4">
      <t xml:space="preserve">アタリノ </t>
    </rPh>
    <rPh sb="10" eb="13">
      <t xml:space="preserve">コウニュウガク </t>
    </rPh>
    <phoneticPr fontId="1"/>
  </si>
  <si>
    <t>原価率想定</t>
    <rPh sb="0" eb="3">
      <t xml:space="preserve">ゲンカリツ </t>
    </rPh>
    <rPh sb="3" eb="5">
      <t xml:space="preserve">ソウテイ </t>
    </rPh>
    <phoneticPr fontId="1"/>
  </si>
  <si>
    <t>推計</t>
    <rPh sb="0" eb="1">
      <t xml:space="preserve">スイケイ </t>
    </rPh>
    <phoneticPr fontId="1"/>
  </si>
  <si>
    <t>10月</t>
    <rPh sb="2" eb="3">
      <t xml:space="preserve">ガツ </t>
    </rPh>
    <phoneticPr fontId="1"/>
  </si>
  <si>
    <t>ビアガーデン10月　実績TOTAL</t>
    <rPh sb="8" eb="9">
      <t xml:space="preserve">ガツ </t>
    </rPh>
    <rPh sb="10" eb="12">
      <t xml:space="preserve">ジッセキ </t>
    </rPh>
    <phoneticPr fontId="1"/>
  </si>
  <si>
    <r>
      <t xml:space="preserve">【R6 </t>
    </r>
    <r>
      <rPr>
        <b/>
        <sz val="14"/>
        <color theme="1"/>
        <rFont val="Yu Gothic"/>
        <family val="2"/>
        <charset val="128"/>
        <scheme val="minor"/>
      </rPr>
      <t>さっぽろテレビ塔ビアガーデン（ピコレワインガーデン）振り返り】</t>
    </r>
    <rPh sb="30" eb="31">
      <t xml:space="preserve">フリカエリ </t>
    </rPh>
    <phoneticPr fontId="1"/>
  </si>
  <si>
    <t>人数</t>
    <rPh sb="0" eb="2">
      <t xml:space="preserve">ニンズウ </t>
    </rPh>
    <phoneticPr fontId="1"/>
  </si>
  <si>
    <t>予約利用率</t>
    <rPh sb="0" eb="2">
      <t xml:space="preserve">ヨヤクリツ </t>
    </rPh>
    <rPh sb="2" eb="5">
      <t xml:space="preserve">リヨウリツ </t>
    </rPh>
    <phoneticPr fontId="1"/>
  </si>
  <si>
    <t>TC利用率</t>
    <rPh sb="2" eb="5">
      <t xml:space="preserve">リヨウリツ </t>
    </rPh>
    <phoneticPr fontId="1"/>
  </si>
  <si>
    <t>電話利用率</t>
    <rPh sb="0" eb="2">
      <t xml:space="preserve">デンワ </t>
    </rPh>
    <rPh sb="2" eb="5">
      <t xml:space="preserve">リヨウリツ </t>
    </rPh>
    <phoneticPr fontId="1"/>
  </si>
  <si>
    <t>期間</t>
    <rPh sb="0" eb="2">
      <t xml:space="preserve">キカン </t>
    </rPh>
    <phoneticPr fontId="1"/>
  </si>
  <si>
    <t>ピコレ4/27-5/19</t>
    <phoneticPr fontId="1"/>
  </si>
  <si>
    <t>値引き</t>
    <rPh sb="0" eb="2">
      <t xml:space="preserve">ネビキ </t>
    </rPh>
    <phoneticPr fontId="1"/>
  </si>
  <si>
    <t>ビアガ5/27-5/31</t>
    <phoneticPr fontId="1"/>
  </si>
  <si>
    <t>4~5</t>
    <phoneticPr fontId="1"/>
  </si>
  <si>
    <t>9~10</t>
    <phoneticPr fontId="1"/>
  </si>
  <si>
    <t>ビアガフル</t>
    <phoneticPr fontId="1"/>
  </si>
  <si>
    <t>ビアガ9/1-9/8</t>
    <phoneticPr fontId="1"/>
  </si>
  <si>
    <t>ピコレ共催アキノジン</t>
    <rPh sb="3" eb="5">
      <t xml:space="preserve">キョウサイ </t>
    </rPh>
    <phoneticPr fontId="1"/>
  </si>
  <si>
    <t>総合計</t>
    <rPh sb="0" eb="3">
      <t xml:space="preserve">ソウゴウケイ </t>
    </rPh>
    <phoneticPr fontId="1"/>
  </si>
  <si>
    <t>ビアガのみ105日</t>
    <rPh sb="8" eb="9">
      <t xml:space="preserve">ニチ </t>
    </rPh>
    <phoneticPr fontId="1"/>
  </si>
  <si>
    <t>ピコレ&amp;ピコレ共催</t>
    <rPh sb="7" eb="9">
      <t xml:space="preserve">キョウサイ </t>
    </rPh>
    <phoneticPr fontId="1"/>
  </si>
  <si>
    <t>税込売上</t>
    <rPh sb="0" eb="2">
      <t xml:space="preserve">ゼイコミ </t>
    </rPh>
    <rPh sb="2" eb="4">
      <t xml:space="preserve">ウリアゲ </t>
    </rPh>
    <phoneticPr fontId="1"/>
  </si>
  <si>
    <t>税込売上合計</t>
    <rPh sb="0" eb="2">
      <t xml:space="preserve">ゼイコミ </t>
    </rPh>
    <rPh sb="2" eb="4">
      <t xml:space="preserve">ウリアゲ </t>
    </rPh>
    <rPh sb="4" eb="6">
      <t xml:space="preserve">ゴウケイ </t>
    </rPh>
    <phoneticPr fontId="1"/>
  </si>
  <si>
    <t>平均気温</t>
    <rPh sb="0" eb="1">
      <t xml:space="preserve">ヘイキンキオン </t>
    </rPh>
    <phoneticPr fontId="1"/>
  </si>
  <si>
    <t>LOW</t>
    <phoneticPr fontId="1"/>
  </si>
  <si>
    <t>HIGH</t>
    <phoneticPr fontId="1"/>
  </si>
  <si>
    <t>11.6℃</t>
    <phoneticPr fontId="1"/>
  </si>
  <si>
    <t>15.6℃</t>
    <phoneticPr fontId="1"/>
  </si>
  <si>
    <t>20.5℃</t>
    <phoneticPr fontId="1"/>
  </si>
  <si>
    <t>22.0℃</t>
    <phoneticPr fontId="1"/>
  </si>
  <si>
    <t>13.7℃</t>
    <phoneticPr fontId="1"/>
  </si>
  <si>
    <t>23.9℃</t>
    <phoneticPr fontId="1"/>
  </si>
  <si>
    <t>28.0℃</t>
    <phoneticPr fontId="1"/>
  </si>
  <si>
    <t>28.4℃</t>
    <phoneticPr fontId="1"/>
  </si>
  <si>
    <t>24.0℃</t>
    <phoneticPr fontId="1"/>
  </si>
  <si>
    <t>20.7℃</t>
    <phoneticPr fontId="1"/>
  </si>
  <si>
    <t>17.0℃</t>
    <phoneticPr fontId="1"/>
  </si>
  <si>
    <t>12.7℃</t>
    <phoneticPr fontId="1"/>
  </si>
  <si>
    <t>21.0℃</t>
    <phoneticPr fontId="1"/>
  </si>
  <si>
    <t>21.4℃</t>
    <phoneticPr fontId="1"/>
  </si>
  <si>
    <t>20.0℃</t>
    <phoneticPr fontId="1"/>
  </si>
  <si>
    <t>24.1℃</t>
    <phoneticPr fontId="1"/>
  </si>
  <si>
    <t>27.8℃</t>
    <phoneticPr fontId="1"/>
  </si>
  <si>
    <t>30.9℃</t>
    <phoneticPr fontId="1"/>
  </si>
  <si>
    <t>28.6℃</t>
    <phoneticPr fontId="1"/>
  </si>
  <si>
    <t>BG営業天候指数</t>
    <rPh sb="2" eb="4">
      <t xml:space="preserve">エイギョウニスウ </t>
    </rPh>
    <rPh sb="4" eb="8">
      <t xml:space="preserve">テンコウシスウ </t>
    </rPh>
    <phoneticPr fontId="1"/>
  </si>
  <si>
    <t>ピコレ参戦なし</t>
    <rPh sb="3" eb="5">
      <t xml:space="preserve">サンセンナシ </t>
    </rPh>
    <phoneticPr fontId="1"/>
  </si>
  <si>
    <t>ビアガ9/1-9/3</t>
    <phoneticPr fontId="1"/>
  </si>
  <si>
    <t>ピコレ</t>
    <phoneticPr fontId="1"/>
  </si>
  <si>
    <t>4~5</t>
  </si>
  <si>
    <t>9~10</t>
  </si>
  <si>
    <t>BG 5/27-5/31</t>
    <phoneticPr fontId="1"/>
  </si>
  <si>
    <t>PC 4/27-5/19</t>
    <phoneticPr fontId="1"/>
  </si>
  <si>
    <t>BG フル営業</t>
    <rPh sb="5" eb="7">
      <t xml:space="preserve">エイギョウ </t>
    </rPh>
    <phoneticPr fontId="1"/>
  </si>
  <si>
    <t>BG  9/1-9/8</t>
    <phoneticPr fontId="1"/>
  </si>
  <si>
    <t>PC-BG 秋営業 9/14-10/6</t>
    <rPh sb="6" eb="9">
      <t xml:space="preserve">アキエイギョウ </t>
    </rPh>
    <phoneticPr fontId="1"/>
  </si>
  <si>
    <t>PC営業なし</t>
    <rPh sb="2" eb="4">
      <t xml:space="preserve">エイギョウ </t>
    </rPh>
    <phoneticPr fontId="1"/>
  </si>
  <si>
    <t>BG  9/1-9/3</t>
    <phoneticPr fontId="1"/>
  </si>
  <si>
    <t>PC 9/9-10/1</t>
    <phoneticPr fontId="1"/>
  </si>
  <si>
    <t>客 数</t>
    <rPh sb="0" eb="3">
      <t xml:space="preserve">キャクスウ </t>
    </rPh>
    <phoneticPr fontId="1"/>
  </si>
  <si>
    <t>売 上</t>
    <rPh sb="0" eb="3">
      <t xml:space="preserve">ウリアゲ </t>
    </rPh>
    <phoneticPr fontId="1"/>
  </si>
  <si>
    <t>日 数</t>
    <rPh sb="0" eb="3">
      <t xml:space="preserve">ニッスウ </t>
    </rPh>
    <phoneticPr fontId="1"/>
  </si>
  <si>
    <t>期 間</t>
    <rPh sb="0" eb="3">
      <t xml:space="preserve">キカン </t>
    </rPh>
    <phoneticPr fontId="1"/>
  </si>
  <si>
    <t>売　上</t>
    <rPh sb="0" eb="3">
      <t xml:space="preserve">ウリアゲ </t>
    </rPh>
    <phoneticPr fontId="1"/>
  </si>
  <si>
    <t xml:space="preserve">売 上 前 年 比 </t>
    <rPh sb="0" eb="3">
      <t xml:space="preserve">ウリアゲ </t>
    </rPh>
    <rPh sb="4" eb="7">
      <t xml:space="preserve">ゼンエン </t>
    </rPh>
    <rPh sb="8" eb="9">
      <t xml:space="preserve">ヒカク </t>
    </rPh>
    <phoneticPr fontId="1"/>
  </si>
  <si>
    <t>客 数 前 年 比</t>
    <rPh sb="0" eb="3">
      <t xml:space="preserve">キャクスウ </t>
    </rPh>
    <rPh sb="4" eb="7">
      <t xml:space="preserve">ゼンエン </t>
    </rPh>
    <rPh sb="8" eb="9">
      <t xml:space="preserve">ヒカク </t>
    </rPh>
    <phoneticPr fontId="1"/>
  </si>
  <si>
    <t>客 単 価 前 年 比</t>
    <rPh sb="6" eb="11">
      <t xml:space="preserve">ゼンネンヒ </t>
    </rPh>
    <phoneticPr fontId="1"/>
  </si>
  <si>
    <t>ポジティブ</t>
    <phoneticPr fontId="1"/>
  </si>
  <si>
    <t>ネガティブ</t>
    <phoneticPr fontId="1"/>
  </si>
  <si>
    <t>前年差異</t>
    <rPh sb="0" eb="2">
      <t xml:space="preserve">ゼンエン </t>
    </rPh>
    <rPh sb="2" eb="4">
      <t xml:space="preserve">サイ </t>
    </rPh>
    <phoneticPr fontId="74"/>
  </si>
  <si>
    <t>TOTAL　天候指数　対比</t>
    <rPh sb="6" eb="8">
      <t xml:space="preserve">テンコウジッセキ </t>
    </rPh>
    <rPh sb="8" eb="10">
      <t xml:space="preserve">シスウ </t>
    </rPh>
    <rPh sb="11" eb="13">
      <t xml:space="preserve">タイヒ </t>
    </rPh>
    <phoneticPr fontId="74"/>
  </si>
  <si>
    <r>
      <t xml:space="preserve">4月　天候指数対比 </t>
    </r>
    <r>
      <rPr>
        <b/>
        <sz val="8"/>
        <rFont val="Yu Gothic"/>
        <family val="3"/>
      </rPr>
      <t xml:space="preserve"> &lt;気象庁資料マクロクリマ&gt;</t>
    </r>
    <rPh sb="1" eb="2">
      <t xml:space="preserve">ガツ </t>
    </rPh>
    <rPh sb="3" eb="5">
      <t xml:space="preserve">テンコウジッセキ </t>
    </rPh>
    <rPh sb="5" eb="7">
      <t xml:space="preserve">シスウ </t>
    </rPh>
    <rPh sb="7" eb="9">
      <t xml:space="preserve">タイヒ </t>
    </rPh>
    <rPh sb="12" eb="15">
      <t xml:space="preserve">キショウチョウ </t>
    </rPh>
    <rPh sb="15" eb="17">
      <t xml:space="preserve">シリョウ </t>
    </rPh>
    <phoneticPr fontId="74"/>
  </si>
  <si>
    <r>
      <t>5月　天候指数対比</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rPh sb="12" eb="14">
      <t xml:space="preserve">ゲンチ </t>
    </rPh>
    <phoneticPr fontId="74"/>
  </si>
  <si>
    <r>
      <t xml:space="preserve">6月　天候指数対比  </t>
    </r>
    <r>
      <rPr>
        <b/>
        <sz val="8"/>
        <rFont val="Yu Gothic"/>
        <family val="3"/>
      </rPr>
      <t>&lt;現地ミクロクリマ&gt;</t>
    </r>
    <rPh sb="1" eb="2">
      <t xml:space="preserve">ガツ </t>
    </rPh>
    <rPh sb="3" eb="5">
      <t xml:space="preserve">テンコウジッセキ </t>
    </rPh>
    <rPh sb="5" eb="7">
      <t xml:space="preserve">シスウ </t>
    </rPh>
    <rPh sb="8" eb="10">
      <t xml:space="preserve">タイヒ </t>
    </rPh>
    <phoneticPr fontId="74"/>
  </si>
  <si>
    <r>
      <t xml:space="preserve">7月　天候指数対比 </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phoneticPr fontId="74"/>
  </si>
  <si>
    <r>
      <t xml:space="preserve">8月　天候指数対比 </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phoneticPr fontId="74"/>
  </si>
  <si>
    <r>
      <t xml:space="preserve">9月　天候指数対比 </t>
    </r>
    <r>
      <rPr>
        <b/>
        <sz val="8"/>
        <rFont val="Yu Gothic"/>
        <family val="3"/>
      </rPr>
      <t xml:space="preserve"> &lt;現地ミクロクリマ&gt;</t>
    </r>
    <rPh sb="1" eb="2">
      <t xml:space="preserve">ガツ </t>
    </rPh>
    <rPh sb="3" eb="5">
      <t xml:space="preserve">テンコウジッセキ </t>
    </rPh>
    <rPh sb="5" eb="7">
      <t xml:space="preserve">シスウ </t>
    </rPh>
    <rPh sb="8" eb="10">
      <t xml:space="preserve">タイヒ </t>
    </rPh>
    <phoneticPr fontId="74"/>
  </si>
  <si>
    <r>
      <t xml:space="preserve">10月　天候指数対比 </t>
    </r>
    <r>
      <rPr>
        <b/>
        <sz val="8"/>
        <rFont val="Yu Gothic"/>
        <family val="3"/>
      </rPr>
      <t xml:space="preserve"> &lt;気象庁資料マクロクリマ&gt;</t>
    </r>
    <rPh sb="3" eb="4">
      <t xml:space="preserve">ガツ </t>
    </rPh>
    <rPh sb="5" eb="7">
      <t xml:space="preserve">テンコウジッセキ </t>
    </rPh>
    <rPh sb="7" eb="9">
      <t xml:space="preserve">シスウ </t>
    </rPh>
    <rPh sb="10" eb="12">
      <t xml:space="preserve">タイヒ </t>
    </rPh>
    <phoneticPr fontId="74"/>
  </si>
  <si>
    <t>2024日数＊3</t>
    <rPh sb="4" eb="6">
      <t xml:space="preserve">ニッスウ </t>
    </rPh>
    <phoneticPr fontId="74"/>
  </si>
  <si>
    <t>2023日数＊3</t>
    <rPh sb="4" eb="6">
      <t xml:space="preserve">ニッスウ </t>
    </rPh>
    <phoneticPr fontId="74"/>
  </si>
  <si>
    <t>平均気温　 最高 17.0℃ （20.0℃）最低 11.6℃（12.7℃）   カッコ内は前年値  &lt;M-4th&gt;</t>
    <rPh sb="0" eb="2">
      <t xml:space="preserve">ヘイキン </t>
    </rPh>
    <rPh sb="2" eb="4">
      <t xml:space="preserve">キオン </t>
    </rPh>
    <rPh sb="6" eb="8">
      <t xml:space="preserve">サイコウ </t>
    </rPh>
    <rPh sb="22" eb="24">
      <t xml:space="preserve">サイテイ </t>
    </rPh>
    <rPh sb="43" eb="44">
      <t xml:space="preserve">ナイハ </t>
    </rPh>
    <rPh sb="45" eb="47">
      <t xml:space="preserve">ゼンネンチ </t>
    </rPh>
    <rPh sb="47" eb="48">
      <t xml:space="preserve">アタイ </t>
    </rPh>
    <phoneticPr fontId="1"/>
  </si>
  <si>
    <t>平均気温　 最高 15.7℃ （13.5℃）最低 6.5℃（5.5℃）   カッコ内は前年値　　&lt;M-4th&gt;</t>
    <rPh sb="0" eb="2">
      <t xml:space="preserve">ヘイキン </t>
    </rPh>
    <rPh sb="2" eb="4">
      <t xml:space="preserve">キオン </t>
    </rPh>
    <rPh sb="6" eb="8">
      <t xml:space="preserve">サイコウ </t>
    </rPh>
    <rPh sb="22" eb="24">
      <t xml:space="preserve">サイテイ </t>
    </rPh>
    <rPh sb="41" eb="42">
      <t xml:space="preserve">ナイハ </t>
    </rPh>
    <rPh sb="43" eb="45">
      <t xml:space="preserve">ゼンネンチ </t>
    </rPh>
    <rPh sb="45" eb="46">
      <t xml:space="preserve">アタイ </t>
    </rPh>
    <phoneticPr fontId="1"/>
  </si>
  <si>
    <t>平均気温　 最高 18.3℃ （17.9℃）最低 9.0℃（9.3℃）   カッコ内は前年値　&lt;M-5th&gt;</t>
    <rPh sb="0" eb="2">
      <t xml:space="preserve">ヘイキン </t>
    </rPh>
    <rPh sb="2" eb="4">
      <t xml:space="preserve">キオン </t>
    </rPh>
    <rPh sb="6" eb="8">
      <t xml:space="preserve">サイコウ </t>
    </rPh>
    <rPh sb="22" eb="24">
      <t xml:space="preserve">サイテイ </t>
    </rPh>
    <rPh sb="41" eb="42">
      <t xml:space="preserve">ナイハ </t>
    </rPh>
    <rPh sb="43" eb="45">
      <t xml:space="preserve">ゼンネンチ </t>
    </rPh>
    <rPh sb="45" eb="46">
      <t xml:space="preserve">アタイ </t>
    </rPh>
    <phoneticPr fontId="1"/>
  </si>
  <si>
    <t>平均気温　  最高 23.9℃ （24.1℃）最低 15.6℃（15.6℃）   カッコ内は前年値  &lt;M-3rd&gt;</t>
    <rPh sb="0" eb="2">
      <t xml:space="preserve">ヘイキン </t>
    </rPh>
    <rPh sb="2" eb="4">
      <t xml:space="preserve">キオン </t>
    </rPh>
    <rPh sb="7" eb="9">
      <t xml:space="preserve">サイコウ </t>
    </rPh>
    <rPh sb="23" eb="25">
      <t xml:space="preserve">サイテイ </t>
    </rPh>
    <rPh sb="44" eb="45">
      <t xml:space="preserve">ナイハ </t>
    </rPh>
    <rPh sb="46" eb="48">
      <t xml:space="preserve">ゼンネンチ </t>
    </rPh>
    <rPh sb="48" eb="49">
      <t xml:space="preserve">アタイ </t>
    </rPh>
    <phoneticPr fontId="1"/>
  </si>
  <si>
    <t>平均気温　最高 28.0℃ （27.8℃）最低 20.5℃（21.0℃）   カッコ内は前年値  &lt;M-1st&gt;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</si>
  <si>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平均気温　最高 28.4℃ （30.9℃）最低 22.0℃（24.0℃）   カッコ内は前年値  &lt;M-1st&gt;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</si>
  <si>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平均気温　最高 24.0℃ （28.6℃）最低 15.6℃（21.4℃）   カッコ内は前年値  &lt;M- 2nd&gt;</t>
    <rPh sb="0" eb="2">
      <t xml:space="preserve">ヘイキン </t>
    </rPh>
    <rPh sb="2" eb="4">
      <t xml:space="preserve">キオン </t>
    </rPh>
    <rPh sb="5" eb="7">
      <t xml:space="preserve">サイコウ </t>
    </rPh>
    <rPh sb="21" eb="23">
      <t xml:space="preserve">サイテイ </t>
    </rPh>
    <rPh sb="42" eb="43">
      <t xml:space="preserve">ナイハ </t>
    </rPh>
    <rPh sb="44" eb="46">
      <t xml:space="preserve">ゼンネンチ </t>
    </rPh>
    <rPh sb="46" eb="47">
      <t xml:space="preserve">アタイ </t>
    </rPh>
    <phoneticPr fontId="1"/>
  </si>
  <si>
    <t>税込</t>
    <rPh sb="0" eb="2">
      <t xml:space="preserve">ゼイコミ </t>
    </rPh>
    <phoneticPr fontId="1"/>
  </si>
  <si>
    <t>手当</t>
    <rPh sb="0" eb="2">
      <t xml:space="preserve">テアテ </t>
    </rPh>
    <phoneticPr fontId="1"/>
  </si>
  <si>
    <t>チケット未食売り上げ</t>
    <rPh sb="4" eb="7">
      <t xml:space="preserve">ミショクウリアゲ </t>
    </rPh>
    <phoneticPr fontId="1"/>
  </si>
  <si>
    <t>＝</t>
    <phoneticPr fontId="1"/>
  </si>
  <si>
    <t>業務委託＆スキマ人件費費用圧縮対策</t>
    <rPh sb="0" eb="4">
      <t xml:space="preserve">ギョウムイタク </t>
    </rPh>
    <rPh sb="8" eb="11">
      <t xml:space="preserve">ジンケンヒ </t>
    </rPh>
    <rPh sb="11" eb="13">
      <t xml:space="preserve">ヒヨウ </t>
    </rPh>
    <rPh sb="13" eb="15">
      <t xml:space="preserve">アッシュク </t>
    </rPh>
    <rPh sb="15" eb="17">
      <t xml:space="preserve">タイサク </t>
    </rPh>
    <phoneticPr fontId="1"/>
  </si>
  <si>
    <t>■R6年度　ピコレ＆ビアガーデン売上実績</t>
    <rPh sb="3" eb="5">
      <t xml:space="preserve">ネンド </t>
    </rPh>
    <rPh sb="16" eb="18">
      <t xml:space="preserve">ウリアゲヨソク </t>
    </rPh>
    <rPh sb="18" eb="20">
      <t xml:space="preserve">ジッセキ </t>
    </rPh>
    <phoneticPr fontId="1"/>
  </si>
  <si>
    <t>テント利用料</t>
    <phoneticPr fontId="1"/>
  </si>
  <si>
    <t>サーフィンズ</t>
    <phoneticPr fontId="1"/>
  </si>
  <si>
    <t>forking</t>
    <phoneticPr fontId="1"/>
  </si>
  <si>
    <t>■R6年度　ビアガーデン売上実績</t>
    <rPh sb="3" eb="5">
      <t xml:space="preserve">ネンド </t>
    </rPh>
    <rPh sb="12" eb="14">
      <t xml:space="preserve">ウリアゲ </t>
    </rPh>
    <rPh sb="14" eb="16">
      <t xml:space="preserve">ジッセキ </t>
    </rPh>
    <phoneticPr fontId="1"/>
  </si>
  <si>
    <t>■R6年度　ビアガーデン売上実績</t>
    <rPh sb="3" eb="5">
      <t xml:space="preserve">ネンド </t>
    </rPh>
    <rPh sb="12" eb="14">
      <t xml:space="preserve">ウリアゲヨソク </t>
    </rPh>
    <rPh sb="14" eb="16">
      <t xml:space="preserve">ジッセキ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</si>
</sst>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
    <numFmt numFmtId="177" formatCode="0.0%"/>
    <numFmt numFmtId="178" formatCode="#,##0.0;[Red]\-#,##0.0"/>
    <numFmt numFmtId="179" formatCode="0.0_);[Red]\(0.0\)"/>
    <numFmt numFmtId="180" formatCode="0.0_ "/>
    <numFmt numFmtId="181" formatCode="0.00_ "/>
    <numFmt numFmtId="182" formatCode="0_ ;[Red]\-0\ "/>
    <numFmt numFmtId="183" formatCode="0.00_ ;[Red]\-0.00\ "/>
  </numFmts>
  <fonts count="96" x14ac:knownFonts="1">
    <font>
      <sz val="11"/>
      <color theme="1"/>
      <name val="Yu Gothic"/>
      <family val="2"/>
      <scheme val="minor"/>
    </font>
    <font>
      <sz val="6"/>
      <name val="Yu Gothic"/>
      <family val="3"/>
      <charset val="128"/>
      <scheme val="minor"/>
    </font>
    <font>
      <sz val="11"/>
      <color theme="1"/>
      <name val="Yu Gothic"/>
      <family val="2"/>
      <scheme val="minor"/>
    </font>
    <font>
      <sz val="11"/>
      <color theme="1"/>
      <name val="Meiryo UI"/>
      <family val="3"/>
      <charset val="128"/>
    </font>
    <font>
      <sz val="8"/>
      <color theme="1"/>
      <name val="Meiryo UI"/>
      <family val="3"/>
      <charset val="128"/>
    </font>
    <font>
      <b/>
      <sz val="11"/>
      <color theme="1"/>
      <name val="Meiryo UI"/>
      <family val="3"/>
      <charset val="128"/>
    </font>
    <font>
      <b/>
      <sz val="9"/>
      <color theme="1"/>
      <name val="Meiryo UI"/>
      <family val="3"/>
      <charset val="128"/>
    </font>
    <font>
      <sz val="9"/>
      <color theme="1"/>
      <name val="Meiryo UI"/>
      <family val="3"/>
      <charset val="128"/>
    </font>
    <font>
      <sz val="9"/>
      <color rgb="FFFF0000"/>
      <name val="Meiryo UI"/>
      <family val="3"/>
      <charset val="128"/>
    </font>
    <font>
      <sz val="9"/>
      <color rgb="FF0070C0"/>
      <name val="Meiryo UI"/>
      <family val="3"/>
      <charset val="128"/>
    </font>
    <font>
      <b/>
      <sz val="10"/>
      <color theme="1"/>
      <name val="Meiryo UI"/>
      <family val="3"/>
      <charset val="128"/>
    </font>
    <font>
      <sz val="11"/>
      <color theme="0"/>
      <name val="Meiryo UI"/>
      <family val="3"/>
      <charset val="128"/>
    </font>
    <font>
      <sz val="10"/>
      <color theme="1"/>
      <name val="Meiryo UI"/>
      <family val="3"/>
      <charset val="128"/>
    </font>
    <font>
      <b/>
      <sz val="10.5"/>
      <color theme="1"/>
      <name val="Meiryo UI"/>
      <family val="3"/>
      <charset val="128"/>
    </font>
    <font>
      <sz val="10.5"/>
      <color theme="1"/>
      <name val="Meiryo UI"/>
      <family val="3"/>
      <charset val="128"/>
    </font>
    <font>
      <b/>
      <sz val="12"/>
      <color theme="1"/>
      <name val="Meiryo UI"/>
      <family val="3"/>
      <charset val="128"/>
    </font>
    <font>
      <sz val="12"/>
      <color theme="1"/>
      <name val="Meiryo UI"/>
      <family val="3"/>
      <charset val="128"/>
    </font>
    <font>
      <b/>
      <sz val="16"/>
      <color theme="1"/>
      <name val="Meiryo UI"/>
      <family val="3"/>
      <charset val="128"/>
    </font>
    <font>
      <b/>
      <sz val="10"/>
      <color theme="1"/>
      <name val="Meiryo UI"/>
      <family val="2"/>
      <charset val="128"/>
    </font>
    <font>
      <sz val="10"/>
      <color theme="1"/>
      <name val="Meiryo UI"/>
      <family val="2"/>
      <charset val="128"/>
    </font>
    <font>
      <b/>
      <sz val="9"/>
      <color theme="1"/>
      <name val="Meiryo UI"/>
      <family val="2"/>
      <charset val="128"/>
    </font>
    <font>
      <sz val="11"/>
      <color theme="2" tint="-9.9978637043366805E-2"/>
      <name val="Meiryo UI"/>
      <family val="3"/>
      <charset val="128"/>
    </font>
    <font>
      <b/>
      <sz val="14"/>
      <color theme="1"/>
      <name val="Meiryo UI"/>
      <family val="2"/>
      <charset val="128"/>
    </font>
    <font>
      <b/>
      <sz val="16"/>
      <color theme="1"/>
      <name val="Meiryo UI"/>
      <family val="2"/>
      <charset val="128"/>
    </font>
    <font>
      <b/>
      <sz val="18"/>
      <color theme="1"/>
      <name val="Meiryo UI"/>
      <family val="2"/>
      <charset val="128"/>
    </font>
    <font>
      <b/>
      <sz val="11"/>
      <color theme="1"/>
      <name val="Meiryo UI"/>
      <family val="2"/>
      <charset val="128"/>
    </font>
    <font>
      <b/>
      <sz val="12"/>
      <color theme="1"/>
      <name val="Meiryo UI"/>
      <family val="2"/>
      <charset val="128"/>
    </font>
    <font>
      <b/>
      <sz val="20"/>
      <color theme="1"/>
      <name val="Meiryo UI"/>
      <family val="3"/>
      <charset val="128"/>
    </font>
    <font>
      <b/>
      <sz val="20"/>
      <color theme="1"/>
      <name val="Meiryo UI"/>
      <family val="2"/>
      <charset val="128"/>
    </font>
    <font>
      <sz val="14"/>
      <color theme="1"/>
      <name val="Meiryo UI"/>
      <family val="2"/>
      <charset val="128"/>
    </font>
    <font>
      <sz val="9"/>
      <color rgb="FFFF0000"/>
      <name val="Meiryo UI"/>
      <family val="2"/>
      <charset val="128"/>
    </font>
    <font>
      <b/>
      <sz val="11"/>
      <color theme="1"/>
      <name val="Yu Gothic"/>
      <family val="3"/>
      <charset val="128"/>
      <scheme val="minor"/>
    </font>
    <font>
      <b/>
      <sz val="11"/>
      <color theme="1"/>
      <name val="Yu Gothic"/>
      <family val="2"/>
      <scheme val="minor"/>
    </font>
    <font>
      <sz val="10"/>
      <color theme="1"/>
      <name val="Yu Gothic"/>
      <family val="2"/>
      <scheme val="minor"/>
    </font>
    <font>
      <sz val="12"/>
      <color theme="1"/>
      <name val="Meiryo UI"/>
      <family val="2"/>
      <charset val="128"/>
    </font>
    <font>
      <sz val="12"/>
      <color rgb="FFFF0000"/>
      <name val="Meiryo UI"/>
      <family val="2"/>
      <charset val="128"/>
    </font>
    <font>
      <sz val="12"/>
      <color rgb="FF0070C0"/>
      <name val="Meiryo UI"/>
      <family val="2"/>
      <charset val="128"/>
    </font>
    <font>
      <b/>
      <sz val="11"/>
      <name val="Yu Gothic"/>
      <family val="3"/>
      <charset val="128"/>
      <scheme val="minor"/>
    </font>
    <font>
      <sz val="11"/>
      <name val="Yu Gothic"/>
      <family val="3"/>
      <charset val="128"/>
      <scheme val="minor"/>
    </font>
    <font>
      <b/>
      <sz val="14"/>
      <color theme="1"/>
      <name val="Yu Gothic"/>
      <family val="3"/>
      <charset val="128"/>
      <scheme val="minor"/>
    </font>
    <font>
      <b/>
      <sz val="14"/>
      <name val="Yu Gothic"/>
      <family val="3"/>
      <charset val="128"/>
      <scheme val="minor"/>
    </font>
    <font>
      <b/>
      <sz val="16"/>
      <color theme="1"/>
      <name val="Yu Gothic"/>
      <family val="3"/>
      <charset val="128"/>
      <scheme val="minor"/>
    </font>
    <font>
      <b/>
      <sz val="18"/>
      <color theme="1"/>
      <name val="Yu Gothic"/>
      <family val="2"/>
      <scheme val="minor"/>
    </font>
    <font>
      <b/>
      <sz val="18"/>
      <color theme="1"/>
      <name val="Yu Gothic"/>
      <family val="3"/>
      <charset val="128"/>
      <scheme val="minor"/>
    </font>
    <font>
      <b/>
      <sz val="16"/>
      <name val="Yu Gothic"/>
      <family val="3"/>
      <charset val="128"/>
      <scheme val="minor"/>
    </font>
    <font>
      <sz val="16"/>
      <color theme="1"/>
      <name val="Meiryo UI"/>
      <family val="2"/>
      <charset val="128"/>
    </font>
    <font>
      <sz val="11"/>
      <color theme="0"/>
      <name val="Yu Gothic"/>
      <family val="2"/>
      <scheme val="minor"/>
    </font>
    <font>
      <sz val="11"/>
      <color theme="1"/>
      <name val="Yu Gothic"/>
      <family val="3"/>
      <charset val="128"/>
      <scheme val="minor"/>
    </font>
    <font>
      <sz val="11"/>
      <color theme="1"/>
      <name val="Segoe UI Symbol"/>
      <family val="2"/>
    </font>
    <font>
      <sz val="18"/>
      <color theme="1"/>
      <name val="Meiryo UI"/>
      <family val="2"/>
      <charset val="128"/>
    </font>
    <font>
      <b/>
      <sz val="14"/>
      <color theme="1"/>
      <name val="Yu Gothic"/>
      <family val="2"/>
      <charset val="128"/>
      <scheme val="minor"/>
    </font>
    <font>
      <b/>
      <sz val="9"/>
      <color theme="1"/>
      <name val="Yu Gothic"/>
      <family val="3"/>
      <charset val="128"/>
      <scheme val="minor"/>
    </font>
    <font>
      <sz val="10"/>
      <color theme="1"/>
      <name val="Yu Gothic"/>
      <family val="3"/>
      <charset val="1"/>
    </font>
    <font>
      <b/>
      <sz val="10"/>
      <color theme="1"/>
      <name val="Yu Gothic"/>
      <family val="3"/>
      <charset val="1"/>
    </font>
    <font>
      <sz val="12"/>
      <color theme="1"/>
      <name val="Yu Gothic"/>
      <family val="3"/>
      <charset val="1"/>
    </font>
    <font>
      <sz val="12"/>
      <color theme="1"/>
      <name val="Yu Gothic"/>
      <family val="3"/>
      <charset val="128"/>
    </font>
    <font>
      <b/>
      <u/>
      <sz val="12"/>
      <color theme="1"/>
      <name val="Yu Gothic"/>
      <family val="3"/>
      <charset val="1"/>
    </font>
    <font>
      <b/>
      <sz val="11"/>
      <color theme="1"/>
      <name val="Yu Gothic (本文)"/>
      <family val="3"/>
      <charset val="128"/>
    </font>
    <font>
      <sz val="10"/>
      <color theme="1"/>
      <name val="Yu Gothic"/>
      <family val="3"/>
      <charset val="128"/>
      <scheme val="minor"/>
    </font>
    <font>
      <b/>
      <u/>
      <sz val="10"/>
      <color theme="1"/>
      <name val="Yu Gothic"/>
      <family val="3"/>
      <charset val="128"/>
      <scheme val="minor"/>
    </font>
    <font>
      <b/>
      <sz val="10"/>
      <color theme="1"/>
      <name val="Yu Gothic"/>
      <family val="3"/>
      <charset val="128"/>
      <scheme val="minor"/>
    </font>
    <font>
      <b/>
      <sz val="10"/>
      <color theme="1"/>
      <name val="Yu Gothic (本文)"/>
      <family val="3"/>
      <charset val="128"/>
    </font>
    <font>
      <b/>
      <sz val="11"/>
      <color theme="0"/>
      <name val="Yu Gothic"/>
      <family val="3"/>
      <charset val="128"/>
      <scheme val="minor"/>
    </font>
    <font>
      <b/>
      <sz val="12"/>
      <color theme="1"/>
      <name val="Yu Gothic"/>
      <family val="3"/>
      <charset val="1"/>
    </font>
    <font>
      <b/>
      <sz val="12"/>
      <color theme="1"/>
      <name val="Yu Gothic"/>
      <family val="3"/>
      <charset val="128"/>
    </font>
    <font>
      <b/>
      <u/>
      <sz val="12"/>
      <color rgb="FFFF0000"/>
      <name val="Yu Gothic"/>
      <family val="3"/>
      <charset val="1"/>
    </font>
    <font>
      <b/>
      <u/>
      <sz val="10"/>
      <color rgb="FFFF0000"/>
      <name val="Yu Gothic"/>
      <family val="3"/>
      <charset val="1"/>
    </font>
    <font>
      <b/>
      <u/>
      <sz val="10"/>
      <color rgb="FFFF0000"/>
      <name val="Yu Gothic"/>
      <family val="3"/>
      <charset val="128"/>
    </font>
    <font>
      <sz val="11"/>
      <color theme="1"/>
      <name val="Yu Gothic"/>
      <family val="3"/>
      <charset val="1"/>
    </font>
    <font>
      <sz val="11"/>
      <color theme="1"/>
      <name val="Yu Gothic (本文)"/>
      <family val="3"/>
      <charset val="128"/>
    </font>
    <font>
      <sz val="9"/>
      <color theme="1"/>
      <name val="Meiryo UI"/>
      <family val="2"/>
      <charset val="128"/>
    </font>
    <font>
      <sz val="9"/>
      <color theme="0"/>
      <name val="Meiryo UI"/>
      <family val="2"/>
      <charset val="128"/>
    </font>
    <font>
      <sz val="11"/>
      <color rgb="FFFF0000"/>
      <name val="Meiryo UI"/>
      <family val="3"/>
      <charset val="128"/>
    </font>
    <font>
      <b/>
      <sz val="16"/>
      <name val="Meiryo UI"/>
      <family val="2"/>
      <charset val="128"/>
    </font>
    <font>
      <sz val="6"/>
      <name val="Yu Gothic"/>
      <family val="2"/>
      <charset val="128"/>
      <scheme val="minor"/>
    </font>
    <font>
      <b/>
      <sz val="12"/>
      <name val="Meiryo UI"/>
      <family val="2"/>
      <charset val="128"/>
    </font>
    <font>
      <sz val="16"/>
      <name val="Meiryo UI"/>
      <family val="2"/>
      <charset val="128"/>
    </font>
    <font>
      <b/>
      <sz val="11"/>
      <name val="Meiryo UI"/>
      <family val="2"/>
      <charset val="128"/>
    </font>
    <font>
      <sz val="12"/>
      <name val="Meiryo UI"/>
      <family val="2"/>
      <charset val="128"/>
    </font>
    <font>
      <sz val="11"/>
      <color theme="1"/>
      <name val="Meiryo UI"/>
      <family val="2"/>
      <charset val="128"/>
    </font>
    <font>
      <b/>
      <sz val="16"/>
      <color rgb="FFFF0000"/>
      <name val="Meiryo UI"/>
      <family val="2"/>
      <charset val="128"/>
    </font>
    <font>
      <b/>
      <sz val="24"/>
      <color theme="1"/>
      <name val="Meiryo UI"/>
      <family val="2"/>
      <charset val="128"/>
    </font>
    <font>
      <sz val="12"/>
      <color rgb="FF000000"/>
      <name val="Meiryo UI"/>
      <family val="2"/>
      <charset val="128"/>
    </font>
    <font>
      <sz val="9"/>
      <color theme="1"/>
      <name val="Yu Gothic"/>
      <family val="2"/>
      <scheme val="minor"/>
    </font>
    <font>
      <sz val="8"/>
      <color theme="1"/>
      <name val="Yu Gothic"/>
      <family val="2"/>
      <scheme val="minor"/>
    </font>
    <font>
      <b/>
      <sz val="8"/>
      <color theme="1"/>
      <name val="Yu Gothic"/>
      <family val="3"/>
      <charset val="128"/>
      <scheme val="minor"/>
    </font>
    <font>
      <sz val="9"/>
      <color theme="1"/>
      <name val="Yu Gothic"/>
      <family val="3"/>
      <charset val="128"/>
      <scheme val="minor"/>
    </font>
    <font>
      <b/>
      <sz val="9"/>
      <color theme="1"/>
      <name val="Yu Gothic (本文)"/>
      <family val="3"/>
      <charset val="128"/>
    </font>
    <font>
      <b/>
      <sz val="11"/>
      <color rgb="FF0070C0"/>
      <name val="Yu Gothic"/>
      <family val="3"/>
      <charset val="128"/>
      <scheme val="minor"/>
    </font>
    <font>
      <b/>
      <sz val="11"/>
      <color rgb="FFFF0000"/>
      <name val="Yu Gothic"/>
      <family val="3"/>
      <charset val="128"/>
      <scheme val="minor"/>
    </font>
    <font>
      <b/>
      <sz val="8"/>
      <name val="Yu Gothic"/>
      <family val="3"/>
      <charset val="128"/>
      <scheme val="minor"/>
    </font>
    <font>
      <sz val="8"/>
      <color theme="1"/>
      <name val="Yu Gothic"/>
      <family val="3"/>
      <charset val="128"/>
      <scheme val="minor"/>
    </font>
    <font>
      <sz val="8"/>
      <color theme="0"/>
      <name val="Yu Gothic"/>
      <family val="3"/>
      <charset val="128"/>
      <scheme val="minor"/>
    </font>
    <font>
      <b/>
      <sz val="12"/>
      <color theme="1"/>
      <name val="Yu Gothic"/>
      <family val="3"/>
      <charset val="128"/>
      <scheme val="minor"/>
    </font>
    <font>
      <b/>
      <sz val="14"/>
      <color rgb="FFFF0000"/>
      <name val="Yu Gothic"/>
      <family val="3"/>
      <charset val="128"/>
      <scheme val="minor"/>
    </font>
    <font>
      <b/>
      <sz val="8"/>
      <name val="Yu Gothic"/>
      <family val="3"/>
    </font>
  </fonts>
  <fills count="23">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00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1"/>
        <bgColor indexed="64"/>
      </patternFill>
    </fill>
    <fill>
      <patternFill patternType="solid">
        <fgColor theme="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rgb="FFFF7E79"/>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3" tint="0.74999237037263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rgb="FFFFA9FF"/>
        <bgColor indexed="64"/>
      </patternFill>
    </fill>
    <fill>
      <patternFill patternType="solid">
        <fgColor theme="8" tint="0.59999389629810485"/>
        <bgColor indexed="64"/>
      </patternFill>
    </fill>
    <fill>
      <patternFill patternType="solid">
        <fgColor theme="9" tint="0.79998168889431442"/>
        <bgColor indexed="64"/>
      </patternFill>
    </fill>
  </fills>
  <borders count="91">
    <border>
      <left/>
      <right/>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style="medium">
        <color auto="1"/>
      </bottom>
      <diagonal/>
    </border>
    <border>
      <left style="medium">
        <color auto="1"/>
      </left>
      <right/>
      <top style="medium">
        <color auto="1"/>
      </top>
      <bottom style="thin">
        <color auto="1"/>
      </bottom>
      <diagonal/>
    </border>
    <border>
      <left/>
      <right/>
      <top style="thick">
        <color auto="1"/>
      </top>
      <bottom/>
      <diagonal/>
    </border>
    <border>
      <left style="medium">
        <color auto="1"/>
      </left>
      <right/>
      <top style="thick">
        <color auto="1"/>
      </top>
      <bottom style="medium">
        <color auto="1"/>
      </bottom>
      <diagonal/>
    </border>
    <border>
      <left/>
      <right style="medium">
        <color auto="1"/>
      </right>
      <top style="thick">
        <color auto="1"/>
      </top>
      <bottom style="medium">
        <color auto="1"/>
      </bottom>
      <diagonal/>
    </border>
    <border>
      <left/>
      <right/>
      <top style="thick">
        <color auto="1"/>
      </top>
      <bottom style="medium">
        <color auto="1"/>
      </bottom>
      <diagonal/>
    </border>
    <border>
      <left style="thick">
        <color auto="1"/>
      </left>
      <right/>
      <top/>
      <bottom/>
      <diagonal/>
    </border>
    <border>
      <left/>
      <right/>
      <top/>
      <bottom style="thick">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top/>
      <bottom/>
      <diagonal/>
    </border>
    <border>
      <left/>
      <right/>
      <top style="thin">
        <color auto="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medium">
        <color auto="1"/>
      </right>
      <top/>
      <bottom/>
      <diagonal/>
    </border>
    <border>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top style="double">
        <color auto="1"/>
      </top>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double">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double">
        <color auto="1"/>
      </right>
      <top style="double">
        <color auto="1"/>
      </top>
      <bottom style="thin">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right style="double">
        <color auto="1"/>
      </right>
      <top style="double">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double">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style="double">
        <color auto="1"/>
      </right>
      <top/>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thin">
        <color auto="1"/>
      </bottom>
      <diagonal/>
    </border>
    <border>
      <left style="double">
        <color auto="1"/>
      </left>
      <right style="double">
        <color auto="1"/>
      </right>
      <top style="thin">
        <color auto="1"/>
      </top>
      <bottom style="double">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double">
        <color auto="1"/>
      </right>
      <top style="double">
        <color auto="1"/>
      </top>
      <bottom style="thin">
        <color auto="1"/>
      </bottom>
      <diagonal/>
    </border>
    <border>
      <left/>
      <right style="double">
        <color auto="1"/>
      </right>
      <top style="thin">
        <color auto="1"/>
      </top>
      <bottom style="thin">
        <color auto="1"/>
      </bottom>
      <diagonal/>
    </border>
    <border>
      <left style="double">
        <color auto="1"/>
      </left>
      <right style="thin">
        <color auto="1"/>
      </right>
      <top style="thin">
        <color auto="1"/>
      </top>
      <bottom/>
      <diagonal/>
    </border>
    <border>
      <left style="double">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double">
        <color auto="1"/>
      </right>
      <top style="medium">
        <color auto="1"/>
      </top>
      <bottom style="thin">
        <color auto="1"/>
      </bottom>
      <diagonal/>
    </border>
    <border>
      <left style="thin">
        <color auto="1"/>
      </left>
      <right style="double">
        <color auto="1"/>
      </right>
      <top style="thin">
        <color auto="1"/>
      </top>
      <bottom/>
      <diagonal/>
    </border>
    <border>
      <left style="thin">
        <color auto="1"/>
      </left>
      <right style="double">
        <color auto="1"/>
      </right>
      <top style="medium">
        <color auto="1"/>
      </top>
      <bottom style="thin">
        <color auto="1"/>
      </bottom>
      <diagonal/>
    </border>
    <border>
      <left style="double">
        <color auto="1"/>
      </left>
      <right/>
      <top style="double">
        <color auto="1"/>
      </top>
      <bottom style="thin">
        <color auto="1"/>
      </bottom>
      <diagonal/>
    </border>
    <border>
      <left/>
      <right style="thin">
        <color auto="1"/>
      </right>
      <top style="double">
        <color auto="1"/>
      </top>
      <bottom style="thin">
        <color auto="1"/>
      </bottom>
      <diagonal/>
    </border>
    <border>
      <left style="thin">
        <color auto="1"/>
      </left>
      <right/>
      <top style="double">
        <color auto="1"/>
      </top>
      <bottom style="double">
        <color auto="1"/>
      </bottom>
      <diagonal/>
    </border>
    <border>
      <left/>
      <right style="thin">
        <color auto="1"/>
      </right>
      <top style="thick">
        <color auto="1"/>
      </top>
      <bottom style="thin">
        <color auto="1"/>
      </bottom>
      <diagonal/>
    </border>
  </borders>
  <cellStyleXfs count="3">
    <xf numFmtId="0" fontId="0" fillId="0" borderId="0"/>
    <xf numFmtId="38" fontId="2" fillId="0" borderId="0" applyFont="0" applyFill="0" applyBorder="0" applyAlignment="0" applyProtection="0">
      <alignment vertical="center"/>
    </xf>
    <xf numFmtId="9" fontId="2" fillId="0" borderId="0" applyFont="0" applyFill="0" applyBorder="0" applyAlignment="0" applyProtection="0">
      <alignment vertical="center"/>
    </xf>
  </cellStyleXfs>
  <cellXfs count="814">
    <xf numFmtId="0" fontId="0" fillId="0" borderId="0" xfId="0"/>
    <xf numFmtId="0" fontId="3" fillId="0" borderId="0" xfId="0" applyFont="1" applyAlignment="1">
      <alignment vertical="center"/>
    </xf>
    <xf numFmtId="0" fontId="4" fillId="0" borderId="0" xfId="0" applyFont="1" applyAlignment="1">
      <alignment horizontal="center" vertical="center"/>
    </xf>
    <xf numFmtId="0" fontId="7" fillId="0" borderId="5" xfId="0" applyFont="1" applyBorder="1" applyAlignment="1">
      <alignment horizontal="center" vertical="center"/>
    </xf>
    <xf numFmtId="38" fontId="10" fillId="0" borderId="8" xfId="1" applyFont="1" applyBorder="1" applyAlignment="1">
      <alignment vertical="center"/>
    </xf>
    <xf numFmtId="0" fontId="11" fillId="0" borderId="0" xfId="0" applyFont="1" applyAlignment="1">
      <alignment vertical="center"/>
    </xf>
    <xf numFmtId="0" fontId="7" fillId="0" borderId="3" xfId="0" applyFont="1" applyBorder="1" applyAlignment="1">
      <alignment horizontal="center" vertical="center"/>
    </xf>
    <xf numFmtId="0" fontId="7" fillId="0" borderId="6" xfId="0" applyFont="1" applyBorder="1" applyAlignment="1">
      <alignment horizontal="center" vertical="center"/>
    </xf>
    <xf numFmtId="0" fontId="3" fillId="0" borderId="14" xfId="0" applyFont="1" applyBorder="1" applyAlignment="1">
      <alignment vertical="center"/>
    </xf>
    <xf numFmtId="38" fontId="4" fillId="0" borderId="0" xfId="1" applyFont="1" applyBorder="1" applyAlignment="1">
      <alignment vertical="center"/>
    </xf>
    <xf numFmtId="38" fontId="3" fillId="0" borderId="0" xfId="0" applyNumberFormat="1" applyFont="1" applyAlignment="1">
      <alignment vertical="center"/>
    </xf>
    <xf numFmtId="0" fontId="3" fillId="0" borderId="19" xfId="0" applyFont="1" applyBorder="1" applyAlignment="1">
      <alignment vertical="center"/>
    </xf>
    <xf numFmtId="38" fontId="12" fillId="0" borderId="8" xfId="1" applyFont="1" applyBorder="1" applyAlignment="1">
      <alignment vertical="center"/>
    </xf>
    <xf numFmtId="38" fontId="12" fillId="0" borderId="9" xfId="1" applyFont="1" applyBorder="1" applyAlignment="1">
      <alignment vertical="center"/>
    </xf>
    <xf numFmtId="38" fontId="12" fillId="0" borderId="12" xfId="1" applyFont="1" applyBorder="1" applyAlignment="1">
      <alignment vertical="center"/>
    </xf>
    <xf numFmtId="0" fontId="7" fillId="0" borderId="20" xfId="0" applyFont="1" applyBorder="1" applyAlignment="1">
      <alignment horizontal="center" vertical="center"/>
    </xf>
    <xf numFmtId="38" fontId="12" fillId="2" borderId="20" xfId="1" applyFont="1" applyFill="1" applyBorder="1" applyAlignment="1">
      <alignment vertical="center"/>
    </xf>
    <xf numFmtId="38" fontId="12" fillId="0" borderId="20" xfId="1" applyFont="1" applyBorder="1" applyAlignment="1">
      <alignment vertical="center"/>
    </xf>
    <xf numFmtId="38" fontId="10" fillId="0" borderId="20" xfId="1" applyFont="1" applyBorder="1" applyAlignment="1">
      <alignment vertical="center"/>
    </xf>
    <xf numFmtId="177" fontId="3" fillId="0" borderId="20" xfId="2" applyNumberFormat="1" applyFont="1" applyBorder="1" applyAlignment="1">
      <alignment vertical="center"/>
    </xf>
    <xf numFmtId="38" fontId="10" fillId="2" borderId="7" xfId="1" applyFont="1" applyFill="1" applyBorder="1" applyAlignment="1">
      <alignment vertical="center"/>
    </xf>
    <xf numFmtId="38" fontId="12" fillId="0" borderId="21" xfId="1" applyFont="1" applyFill="1" applyBorder="1" applyAlignment="1">
      <alignment vertical="center"/>
    </xf>
    <xf numFmtId="38" fontId="10" fillId="0" borderId="21" xfId="1" applyFont="1" applyFill="1" applyBorder="1" applyAlignment="1">
      <alignment vertical="center"/>
    </xf>
    <xf numFmtId="177" fontId="6" fillId="3" borderId="20" xfId="2" applyNumberFormat="1" applyFont="1" applyFill="1" applyBorder="1" applyAlignment="1">
      <alignment vertical="center"/>
    </xf>
    <xf numFmtId="0" fontId="16" fillId="0" borderId="0" xfId="0" applyFont="1" applyAlignment="1">
      <alignment vertical="center"/>
    </xf>
    <xf numFmtId="0" fontId="16" fillId="0" borderId="0" xfId="0" applyFont="1" applyAlignment="1">
      <alignment horizontal="right" vertical="center"/>
    </xf>
    <xf numFmtId="0" fontId="16" fillId="3" borderId="0" xfId="0" applyFont="1" applyFill="1" applyAlignment="1">
      <alignment vertical="center"/>
    </xf>
    <xf numFmtId="0" fontId="3" fillId="5" borderId="0" xfId="0" applyFont="1" applyFill="1" applyAlignment="1">
      <alignment vertical="center"/>
    </xf>
    <xf numFmtId="0" fontId="13" fillId="0" borderId="0" xfId="0" applyFont="1" applyAlignment="1">
      <alignment vertical="center"/>
    </xf>
    <xf numFmtId="38" fontId="13" fillId="0" borderId="0" xfId="1" applyFont="1" applyFill="1" applyBorder="1" applyAlignment="1">
      <alignment vertical="center"/>
    </xf>
    <xf numFmtId="176" fontId="6" fillId="0" borderId="0" xfId="0" applyNumberFormat="1" applyFont="1" applyAlignment="1">
      <alignment vertical="center"/>
    </xf>
    <xf numFmtId="0" fontId="14" fillId="0" borderId="0" xfId="0" applyFont="1" applyAlignment="1">
      <alignment vertical="center"/>
    </xf>
    <xf numFmtId="0" fontId="3" fillId="0" borderId="20" xfId="0" applyFont="1" applyBorder="1" applyAlignment="1">
      <alignment horizontal="center" vertical="center"/>
    </xf>
    <xf numFmtId="176" fontId="10" fillId="3" borderId="20" xfId="0" applyNumberFormat="1" applyFont="1" applyFill="1" applyBorder="1" applyAlignment="1">
      <alignment vertical="center"/>
    </xf>
    <xf numFmtId="0" fontId="17" fillId="0" borderId="0" xfId="0" applyFont="1" applyAlignment="1">
      <alignment vertical="center"/>
    </xf>
    <xf numFmtId="0" fontId="19" fillId="0" borderId="0" xfId="0" applyFont="1" applyAlignment="1">
      <alignment vertical="center"/>
    </xf>
    <xf numFmtId="0" fontId="3" fillId="0" borderId="0" xfId="0" applyFont="1" applyAlignment="1">
      <alignment horizontal="center" vertical="center"/>
    </xf>
    <xf numFmtId="0" fontId="19" fillId="0" borderId="3" xfId="0" applyFont="1" applyBorder="1" applyAlignment="1">
      <alignment horizontal="center" vertical="center"/>
    </xf>
    <xf numFmtId="0" fontId="18" fillId="0" borderId="0" xfId="0" applyFont="1" applyAlignment="1">
      <alignment vertical="center"/>
    </xf>
    <xf numFmtId="0" fontId="15" fillId="5" borderId="0" xfId="0" applyFont="1" applyFill="1" applyAlignment="1">
      <alignment vertical="center"/>
    </xf>
    <xf numFmtId="0" fontId="19" fillId="5" borderId="0" xfId="0" applyFont="1" applyFill="1" applyAlignment="1">
      <alignment vertical="center"/>
    </xf>
    <xf numFmtId="0" fontId="7" fillId="0" borderId="4" xfId="0" applyFont="1" applyBorder="1" applyAlignment="1">
      <alignment horizontal="center" vertical="center"/>
    </xf>
    <xf numFmtId="0" fontId="21" fillId="0" borderId="0" xfId="0" applyFont="1" applyAlignment="1">
      <alignment vertical="center"/>
    </xf>
    <xf numFmtId="38" fontId="19" fillId="2" borderId="3" xfId="1" applyFont="1" applyFill="1" applyBorder="1" applyAlignment="1">
      <alignment vertical="center"/>
    </xf>
    <xf numFmtId="176" fontId="19" fillId="0" borderId="0" xfId="0" applyNumberFormat="1" applyFont="1" applyAlignment="1">
      <alignment vertical="center"/>
    </xf>
    <xf numFmtId="0" fontId="19" fillId="0" borderId="0" xfId="0" applyFont="1" applyAlignment="1">
      <alignment horizontal="center" vertical="center"/>
    </xf>
    <xf numFmtId="0" fontId="18" fillId="0" borderId="0" xfId="0" applyFont="1" applyAlignment="1">
      <alignment horizontal="center" vertical="center"/>
    </xf>
    <xf numFmtId="0" fontId="24" fillId="8" borderId="0" xfId="0" applyFont="1" applyFill="1" applyAlignment="1">
      <alignment vertical="center"/>
    </xf>
    <xf numFmtId="177" fontId="3" fillId="0" borderId="21" xfId="2" applyNumberFormat="1" applyFont="1" applyBorder="1" applyAlignment="1">
      <alignment vertical="center"/>
    </xf>
    <xf numFmtId="0" fontId="3" fillId="0" borderId="3" xfId="0" applyFont="1" applyBorder="1" applyAlignment="1">
      <alignment horizontal="center" vertical="center"/>
    </xf>
    <xf numFmtId="0" fontId="19" fillId="6" borderId="3" xfId="0" applyFont="1" applyFill="1" applyBorder="1" applyAlignment="1">
      <alignment vertical="center"/>
    </xf>
    <xf numFmtId="0" fontId="7" fillId="0" borderId="0" xfId="0" applyFont="1" applyAlignment="1">
      <alignment horizontal="center" vertical="center"/>
    </xf>
    <xf numFmtId="177" fontId="3" fillId="0" borderId="0" xfId="2" applyNumberFormat="1" applyFont="1" applyBorder="1" applyAlignment="1">
      <alignment vertical="center"/>
    </xf>
    <xf numFmtId="0" fontId="4" fillId="0" borderId="28" xfId="0" applyFont="1" applyBorder="1" applyAlignment="1">
      <alignment horizontal="center" vertical="center"/>
    </xf>
    <xf numFmtId="0" fontId="8" fillId="0" borderId="28" xfId="0" applyFont="1" applyBorder="1" applyAlignment="1">
      <alignment horizontal="center" vertical="center"/>
    </xf>
    <xf numFmtId="0" fontId="7" fillId="0" borderId="28" xfId="0" applyFont="1" applyBorder="1" applyAlignment="1">
      <alignment horizontal="center" vertical="center"/>
    </xf>
    <xf numFmtId="0" fontId="9" fillId="0" borderId="28" xfId="0" applyFont="1" applyBorder="1" applyAlignment="1">
      <alignment horizontal="center" vertical="center"/>
    </xf>
    <xf numFmtId="0" fontId="10" fillId="0" borderId="32" xfId="0" applyFont="1" applyBorder="1" applyAlignment="1">
      <alignment vertical="center"/>
    </xf>
    <xf numFmtId="38" fontId="18" fillId="0" borderId="33" xfId="1" applyFont="1" applyBorder="1" applyAlignment="1">
      <alignment vertical="center"/>
    </xf>
    <xf numFmtId="38" fontId="23" fillId="3" borderId="33" xfId="1" applyFont="1" applyFill="1" applyBorder="1" applyAlignment="1">
      <alignment vertical="center"/>
    </xf>
    <xf numFmtId="0" fontId="3" fillId="0" borderId="23" xfId="0" applyFont="1" applyBorder="1" applyAlignment="1">
      <alignment vertical="center"/>
    </xf>
    <xf numFmtId="38" fontId="24" fillId="0" borderId="37" xfId="0" applyNumberFormat="1" applyFont="1" applyBorder="1" applyAlignment="1">
      <alignment vertical="center"/>
    </xf>
    <xf numFmtId="0" fontId="25" fillId="0" borderId="36" xfId="0" applyFont="1" applyBorder="1" applyAlignment="1">
      <alignment horizontal="center" vertical="center"/>
    </xf>
    <xf numFmtId="0" fontId="3" fillId="0" borderId="14" xfId="0" applyFont="1" applyBorder="1" applyAlignment="1">
      <alignment horizontal="center" vertical="center"/>
    </xf>
    <xf numFmtId="0" fontId="5" fillId="0" borderId="0" xfId="0" applyFont="1" applyAlignment="1">
      <alignment horizontal="center" vertical="center"/>
    </xf>
    <xf numFmtId="0" fontId="7" fillId="0" borderId="38" xfId="0" applyFont="1" applyBorder="1" applyAlignment="1">
      <alignment horizontal="center" vertical="center"/>
    </xf>
    <xf numFmtId="38" fontId="12" fillId="0" borderId="39" xfId="1" applyFont="1" applyBorder="1" applyAlignment="1">
      <alignment vertical="center"/>
    </xf>
    <xf numFmtId="38" fontId="12" fillId="0" borderId="0" xfId="1" applyFont="1" applyFill="1" applyBorder="1" applyAlignment="1">
      <alignment vertical="center"/>
    </xf>
    <xf numFmtId="177" fontId="6" fillId="3" borderId="0" xfId="2" applyNumberFormat="1" applyFont="1" applyFill="1" applyBorder="1" applyAlignment="1">
      <alignment vertical="center"/>
    </xf>
    <xf numFmtId="38" fontId="12" fillId="0" borderId="0" xfId="1" applyFont="1" applyBorder="1" applyAlignment="1">
      <alignment vertical="center"/>
    </xf>
    <xf numFmtId="38" fontId="12" fillId="2" borderId="0" xfId="1" applyFont="1" applyFill="1" applyBorder="1" applyAlignment="1">
      <alignment vertical="center"/>
    </xf>
    <xf numFmtId="38" fontId="23" fillId="0" borderId="3" xfId="1" applyFont="1" applyBorder="1" applyAlignment="1">
      <alignment vertical="center"/>
    </xf>
    <xf numFmtId="38" fontId="23" fillId="3" borderId="34" xfId="0" applyNumberFormat="1" applyFont="1" applyFill="1" applyBorder="1" applyAlignment="1">
      <alignment vertical="center"/>
    </xf>
    <xf numFmtId="176" fontId="25" fillId="8" borderId="0" xfId="0" applyNumberFormat="1" applyFont="1" applyFill="1" applyAlignment="1">
      <alignment vertical="center"/>
    </xf>
    <xf numFmtId="38" fontId="26" fillId="0" borderId="3" xfId="1" applyFont="1" applyFill="1" applyBorder="1" applyAlignment="1">
      <alignment vertical="center"/>
    </xf>
    <xf numFmtId="0" fontId="28" fillId="0" borderId="41" xfId="0" applyFont="1" applyBorder="1" applyAlignment="1">
      <alignment horizontal="center" vertical="center"/>
    </xf>
    <xf numFmtId="0" fontId="24" fillId="0" borderId="3" xfId="0" applyFont="1" applyBorder="1" applyAlignment="1">
      <alignment horizontal="center" vertical="center"/>
    </xf>
    <xf numFmtId="38" fontId="24" fillId="0" borderId="3" xfId="0" applyNumberFormat="1" applyFont="1" applyBorder="1" applyAlignment="1">
      <alignment horizontal="center" vertical="center"/>
    </xf>
    <xf numFmtId="0" fontId="24" fillId="0" borderId="3" xfId="0" applyFont="1" applyBorder="1" applyAlignment="1">
      <alignment horizontal="center" vertical="center" wrapText="1"/>
    </xf>
    <xf numFmtId="0" fontId="18" fillId="0" borderId="28" xfId="0" applyFont="1" applyBorder="1" applyAlignment="1">
      <alignment horizontal="center" vertical="center"/>
    </xf>
    <xf numFmtId="0" fontId="18" fillId="0" borderId="3" xfId="0" applyFont="1" applyBorder="1" applyAlignment="1">
      <alignment horizontal="center" vertical="center"/>
    </xf>
    <xf numFmtId="0" fontId="25" fillId="0" borderId="0" xfId="0" applyFont="1" applyAlignment="1">
      <alignment vertical="center"/>
    </xf>
    <xf numFmtId="0" fontId="17" fillId="0" borderId="0" xfId="0" applyFont="1" applyAlignment="1">
      <alignment horizontal="left" vertical="center"/>
    </xf>
    <xf numFmtId="38" fontId="3" fillId="0" borderId="0" xfId="1" applyFont="1" applyAlignment="1">
      <alignment vertical="center"/>
    </xf>
    <xf numFmtId="38" fontId="25" fillId="0" borderId="0" xfId="1" applyFont="1" applyAlignment="1">
      <alignment vertical="center"/>
    </xf>
    <xf numFmtId="0" fontId="30" fillId="0" borderId="28" xfId="0" applyFont="1" applyBorder="1" applyAlignment="1">
      <alignment horizontal="center" vertical="center"/>
    </xf>
    <xf numFmtId="10" fontId="3" fillId="0" borderId="0" xfId="2" applyNumberFormat="1" applyFont="1" applyAlignment="1">
      <alignment vertical="center"/>
    </xf>
    <xf numFmtId="38" fontId="0" fillId="0" borderId="0" xfId="1" applyFont="1" applyAlignment="1"/>
    <xf numFmtId="0" fontId="0" fillId="0" borderId="0" xfId="0" applyAlignment="1">
      <alignment horizontal="center" vertical="center"/>
    </xf>
    <xf numFmtId="0" fontId="0" fillId="0" borderId="0" xfId="0" applyAlignment="1">
      <alignment horizontal="right" vertical="center"/>
    </xf>
    <xf numFmtId="0" fontId="32" fillId="0" borderId="0" xfId="0" applyFont="1" applyAlignment="1">
      <alignment vertical="center"/>
    </xf>
    <xf numFmtId="38" fontId="31" fillId="0" borderId="0" xfId="1" applyFont="1" applyAlignment="1">
      <alignment vertical="center"/>
    </xf>
    <xf numFmtId="0" fontId="31" fillId="0" borderId="0" xfId="0" applyFont="1" applyAlignment="1">
      <alignment horizontal="right" vertical="center"/>
    </xf>
    <xf numFmtId="38" fontId="0" fillId="0" borderId="3" xfId="1" applyFont="1" applyBorder="1" applyAlignment="1">
      <alignment horizontal="right" vertical="center"/>
    </xf>
    <xf numFmtId="0" fontId="31" fillId="0" borderId="0" xfId="0" applyFont="1" applyAlignment="1">
      <alignment horizontal="left" vertical="center"/>
    </xf>
    <xf numFmtId="0" fontId="0" fillId="10" borderId="42" xfId="0" applyFill="1" applyBorder="1" applyAlignment="1">
      <alignment horizontal="center" vertical="center"/>
    </xf>
    <xf numFmtId="0" fontId="0" fillId="0" borderId="43" xfId="0" applyBorder="1" applyAlignment="1">
      <alignment horizontal="right" vertical="center"/>
    </xf>
    <xf numFmtId="0" fontId="31" fillId="3" borderId="45" xfId="0" applyFont="1" applyFill="1" applyBorder="1" applyAlignment="1">
      <alignment horizontal="right" vertical="center"/>
    </xf>
    <xf numFmtId="38" fontId="31" fillId="3" borderId="46" xfId="1" applyFont="1" applyFill="1" applyBorder="1" applyAlignment="1">
      <alignment horizontal="right" vertical="center"/>
    </xf>
    <xf numFmtId="0" fontId="3" fillId="0" borderId="15" xfId="0" applyFont="1" applyBorder="1" applyAlignment="1">
      <alignment horizontal="center" vertical="center"/>
    </xf>
    <xf numFmtId="38" fontId="20" fillId="0" borderId="3" xfId="0" applyNumberFormat="1" applyFont="1" applyBorder="1" applyAlignment="1">
      <alignment horizontal="right" vertical="center" wrapText="1"/>
    </xf>
    <xf numFmtId="0" fontId="20" fillId="0" borderId="3" xfId="0" applyFont="1" applyBorder="1" applyAlignment="1">
      <alignment horizontal="center" vertical="center" wrapText="1"/>
    </xf>
    <xf numFmtId="38" fontId="20" fillId="0" borderId="29" xfId="1" applyFont="1" applyBorder="1" applyAlignment="1">
      <alignment horizontal="center" vertical="center" wrapText="1"/>
    </xf>
    <xf numFmtId="0" fontId="34" fillId="0" borderId="28" xfId="0" applyFont="1" applyBorder="1" applyAlignment="1">
      <alignment horizontal="center" vertical="center"/>
    </xf>
    <xf numFmtId="0" fontId="34" fillId="0" borderId="3" xfId="0" applyFont="1" applyBorder="1" applyAlignment="1">
      <alignment horizontal="center" vertical="center"/>
    </xf>
    <xf numFmtId="0" fontId="34" fillId="0" borderId="4" xfId="0" applyFont="1" applyBorder="1" applyAlignment="1">
      <alignment horizontal="center" vertical="center"/>
    </xf>
    <xf numFmtId="0" fontId="34" fillId="0" borderId="29" xfId="0" applyFont="1" applyBorder="1" applyAlignment="1">
      <alignment horizontal="center" vertical="center"/>
    </xf>
    <xf numFmtId="0" fontId="35" fillId="0" borderId="28" xfId="0" applyFont="1" applyBorder="1" applyAlignment="1">
      <alignment horizontal="center" vertical="center"/>
    </xf>
    <xf numFmtId="38" fontId="34" fillId="0" borderId="3" xfId="1" applyFont="1" applyBorder="1" applyAlignment="1">
      <alignment vertical="center"/>
    </xf>
    <xf numFmtId="38" fontId="34" fillId="0" borderId="3" xfId="1" applyFont="1" applyFill="1" applyBorder="1" applyAlignment="1">
      <alignment vertical="center"/>
    </xf>
    <xf numFmtId="38" fontId="26" fillId="0" borderId="3" xfId="1" applyFont="1" applyBorder="1" applyAlignment="1">
      <alignment vertical="center"/>
    </xf>
    <xf numFmtId="38" fontId="34" fillId="0" borderId="4" xfId="1" applyFont="1" applyBorder="1" applyAlignment="1">
      <alignment vertical="center"/>
    </xf>
    <xf numFmtId="38" fontId="26" fillId="0" borderId="29" xfId="0" applyNumberFormat="1" applyFont="1" applyBorder="1" applyAlignment="1">
      <alignment vertical="center"/>
    </xf>
    <xf numFmtId="0" fontId="36" fillId="0" borderId="28" xfId="0" applyFont="1" applyBorder="1" applyAlignment="1">
      <alignment horizontal="center" vertical="center"/>
    </xf>
    <xf numFmtId="0" fontId="26" fillId="0" borderId="28" xfId="0" applyFont="1" applyBorder="1" applyAlignment="1">
      <alignment horizontal="center" vertical="center"/>
    </xf>
    <xf numFmtId="0" fontId="26" fillId="0" borderId="3" xfId="0" applyFont="1" applyBorder="1" applyAlignment="1">
      <alignment horizontal="center" vertical="center"/>
    </xf>
    <xf numFmtId="38" fontId="26" fillId="0" borderId="4" xfId="1" applyFont="1" applyBorder="1" applyAlignment="1">
      <alignment vertical="center"/>
    </xf>
    <xf numFmtId="38" fontId="34" fillId="2" borderId="3" xfId="1" applyFont="1" applyFill="1" applyBorder="1" applyAlignment="1">
      <alignment vertical="center"/>
    </xf>
    <xf numFmtId="0" fontId="26" fillId="3" borderId="32" xfId="0" applyFont="1" applyFill="1" applyBorder="1" applyAlignment="1">
      <alignment vertical="center"/>
    </xf>
    <xf numFmtId="38" fontId="26" fillId="3" borderId="33" xfId="1" applyFont="1" applyFill="1" applyBorder="1" applyAlignment="1">
      <alignment vertical="center"/>
    </xf>
    <xf numFmtId="38" fontId="34" fillId="0" borderId="3" xfId="0" applyNumberFormat="1" applyFont="1" applyBorder="1" applyAlignment="1">
      <alignment vertical="center"/>
    </xf>
    <xf numFmtId="38" fontId="22" fillId="0" borderId="3" xfId="1" applyFont="1" applyBorder="1" applyAlignment="1">
      <alignment vertical="center"/>
    </xf>
    <xf numFmtId="38" fontId="22" fillId="0" borderId="3" xfId="1" applyFont="1" applyFill="1" applyBorder="1" applyAlignment="1">
      <alignment vertical="center"/>
    </xf>
    <xf numFmtId="38" fontId="22" fillId="0" borderId="4" xfId="1" applyFont="1" applyBorder="1" applyAlignment="1">
      <alignment vertical="center"/>
    </xf>
    <xf numFmtId="38" fontId="22" fillId="0" borderId="29" xfId="0" applyNumberFormat="1" applyFont="1" applyBorder="1" applyAlignment="1">
      <alignment vertical="center"/>
    </xf>
    <xf numFmtId="38" fontId="24" fillId="0" borderId="0" xfId="1" applyFont="1" applyAlignment="1">
      <alignment vertical="center"/>
    </xf>
    <xf numFmtId="38" fontId="22" fillId="0" borderId="3" xfId="0" applyNumberFormat="1" applyFont="1" applyBorder="1" applyAlignment="1">
      <alignment horizontal="right" vertical="center" wrapText="1"/>
    </xf>
    <xf numFmtId="38" fontId="22" fillId="0" borderId="29" xfId="1" applyFont="1" applyBorder="1" applyAlignment="1">
      <alignment horizontal="right" vertical="center" wrapText="1"/>
    </xf>
    <xf numFmtId="0" fontId="22" fillId="0" borderId="3" xfId="0" applyFont="1" applyBorder="1" applyAlignment="1">
      <alignment horizontal="center" vertical="center" wrapText="1"/>
    </xf>
    <xf numFmtId="38" fontId="16" fillId="0" borderId="0" xfId="0" applyNumberFormat="1" applyFont="1" applyAlignment="1">
      <alignment vertical="center"/>
    </xf>
    <xf numFmtId="0" fontId="22" fillId="0" borderId="0" xfId="0" applyFont="1" applyAlignment="1">
      <alignment horizontal="right" vertical="center"/>
    </xf>
    <xf numFmtId="0" fontId="25" fillId="0" borderId="0" xfId="0" applyFont="1" applyAlignment="1">
      <alignment horizontal="right" vertical="center"/>
    </xf>
    <xf numFmtId="0" fontId="37" fillId="0" borderId="0" xfId="0" applyFont="1" applyAlignment="1">
      <alignment vertical="center"/>
    </xf>
    <xf numFmtId="0" fontId="38" fillId="0" borderId="0" xfId="0" applyFont="1"/>
    <xf numFmtId="38" fontId="34" fillId="0" borderId="29" xfId="1" applyFont="1" applyFill="1" applyBorder="1" applyAlignment="1">
      <alignment vertical="center"/>
    </xf>
    <xf numFmtId="38" fontId="22" fillId="3" borderId="33" xfId="1" applyFont="1" applyFill="1" applyBorder="1" applyAlignment="1">
      <alignment vertical="center"/>
    </xf>
    <xf numFmtId="38" fontId="0" fillId="3" borderId="46" xfId="1" applyFont="1" applyFill="1" applyBorder="1" applyAlignment="1">
      <alignment horizontal="right" vertical="center"/>
    </xf>
    <xf numFmtId="177" fontId="31" fillId="0" borderId="3" xfId="2" applyNumberFormat="1" applyFont="1" applyBorder="1" applyAlignment="1">
      <alignment horizontal="right" vertical="center"/>
    </xf>
    <xf numFmtId="177" fontId="31" fillId="0" borderId="4" xfId="2" applyNumberFormat="1" applyFont="1" applyBorder="1" applyAlignment="1">
      <alignment horizontal="right" vertical="center"/>
    </xf>
    <xf numFmtId="38" fontId="31" fillId="11" borderId="43" xfId="0" applyNumberFormat="1" applyFont="1" applyFill="1" applyBorder="1" applyAlignment="1">
      <alignment horizontal="right" vertical="center"/>
    </xf>
    <xf numFmtId="38" fontId="31" fillId="12" borderId="40" xfId="1" applyFont="1" applyFill="1" applyBorder="1" applyAlignment="1">
      <alignment horizontal="right" vertical="center"/>
    </xf>
    <xf numFmtId="38" fontId="31" fillId="7" borderId="3" xfId="1" applyFont="1" applyFill="1" applyBorder="1" applyAlignment="1">
      <alignment horizontal="right" vertical="center"/>
    </xf>
    <xf numFmtId="38" fontId="39" fillId="3" borderId="45" xfId="0" applyNumberFormat="1" applyFont="1" applyFill="1" applyBorder="1" applyAlignment="1">
      <alignment horizontal="right" vertical="center"/>
    </xf>
    <xf numFmtId="56" fontId="41" fillId="3" borderId="0" xfId="0" applyNumberFormat="1" applyFont="1" applyFill="1" applyAlignment="1">
      <alignment horizontal="right" vertical="center"/>
    </xf>
    <xf numFmtId="0" fontId="32" fillId="0" borderId="48" xfId="0" applyFont="1" applyBorder="1" applyAlignment="1">
      <alignment vertical="center"/>
    </xf>
    <xf numFmtId="38" fontId="31" fillId="3" borderId="49" xfId="0" applyNumberFormat="1" applyFont="1" applyFill="1" applyBorder="1" applyAlignment="1">
      <alignment horizontal="right" vertical="center"/>
    </xf>
    <xf numFmtId="38" fontId="32" fillId="10" borderId="51" xfId="1" applyFont="1" applyFill="1" applyBorder="1" applyAlignment="1">
      <alignment horizontal="center" vertical="center"/>
    </xf>
    <xf numFmtId="0" fontId="0" fillId="10" borderId="51" xfId="0" applyFill="1" applyBorder="1" applyAlignment="1">
      <alignment horizontal="center" vertical="center"/>
    </xf>
    <xf numFmtId="0" fontId="33" fillId="10" borderId="51" xfId="0" applyFont="1" applyFill="1" applyBorder="1" applyAlignment="1">
      <alignment horizontal="center" vertical="center"/>
    </xf>
    <xf numFmtId="0" fontId="0" fillId="10" borderId="52" xfId="0" applyFill="1" applyBorder="1" applyAlignment="1">
      <alignment horizontal="center" vertical="center"/>
    </xf>
    <xf numFmtId="0" fontId="32" fillId="10" borderId="53" xfId="0" applyFont="1" applyFill="1" applyBorder="1" applyAlignment="1">
      <alignment horizontal="center" vertical="center"/>
    </xf>
    <xf numFmtId="0" fontId="0" fillId="10" borderId="54" xfId="0" applyFill="1" applyBorder="1" applyAlignment="1">
      <alignment horizontal="center" vertical="center"/>
    </xf>
    <xf numFmtId="0" fontId="32" fillId="10" borderId="55" xfId="0" applyFont="1" applyFill="1" applyBorder="1" applyAlignment="1">
      <alignment horizontal="center" vertical="center"/>
    </xf>
    <xf numFmtId="0" fontId="38" fillId="10" borderId="52" xfId="0" applyFont="1" applyFill="1" applyBorder="1" applyAlignment="1">
      <alignment horizontal="center" vertical="center"/>
    </xf>
    <xf numFmtId="0" fontId="42" fillId="0" borderId="0" xfId="0" applyFont="1" applyAlignment="1">
      <alignment vertical="center"/>
    </xf>
    <xf numFmtId="177" fontId="31" fillId="3" borderId="50" xfId="2" applyNumberFormat="1" applyFont="1" applyFill="1" applyBorder="1" applyAlignment="1">
      <alignment horizontal="right" vertical="center"/>
    </xf>
    <xf numFmtId="177" fontId="39" fillId="3" borderId="46" xfId="2" applyNumberFormat="1" applyFont="1" applyFill="1" applyBorder="1" applyAlignment="1">
      <alignment horizontal="right" vertical="center"/>
    </xf>
    <xf numFmtId="38" fontId="39" fillId="3" borderId="46" xfId="0" applyNumberFormat="1" applyFont="1" applyFill="1" applyBorder="1" applyAlignment="1">
      <alignment horizontal="right" vertical="center"/>
    </xf>
    <xf numFmtId="38" fontId="40" fillId="3" borderId="47" xfId="0" applyNumberFormat="1" applyFont="1" applyFill="1" applyBorder="1" applyAlignment="1">
      <alignment horizontal="right" vertical="center"/>
    </xf>
    <xf numFmtId="38" fontId="31" fillId="3" borderId="49" xfId="1" applyFont="1" applyFill="1" applyBorder="1" applyAlignment="1">
      <alignment horizontal="right" vertical="center"/>
    </xf>
    <xf numFmtId="38" fontId="0" fillId="0" borderId="44" xfId="1" applyFont="1" applyBorder="1" applyAlignment="1">
      <alignment horizontal="right" vertical="center"/>
    </xf>
    <xf numFmtId="38" fontId="31" fillId="3" borderId="47" xfId="1" applyFont="1" applyFill="1" applyBorder="1" applyAlignment="1">
      <alignment horizontal="right" vertical="center"/>
    </xf>
    <xf numFmtId="0" fontId="33" fillId="10" borderId="53" xfId="0" applyFont="1" applyFill="1" applyBorder="1" applyAlignment="1">
      <alignment horizontal="center" vertical="center"/>
    </xf>
    <xf numFmtId="38" fontId="41" fillId="0" borderId="3" xfId="0" applyNumberFormat="1" applyFont="1" applyBorder="1" applyAlignment="1">
      <alignment horizontal="right" vertical="center"/>
    </xf>
    <xf numFmtId="177" fontId="41" fillId="0" borderId="3" xfId="2" applyNumberFormat="1" applyFont="1" applyBorder="1" applyAlignment="1">
      <alignment horizontal="right" vertical="center"/>
    </xf>
    <xf numFmtId="38" fontId="41" fillId="8" borderId="3" xfId="0" applyNumberFormat="1" applyFont="1" applyFill="1" applyBorder="1" applyAlignment="1">
      <alignment horizontal="right" vertical="center"/>
    </xf>
    <xf numFmtId="2" fontId="34" fillId="0" borderId="0" xfId="0" applyNumberFormat="1" applyFont="1" applyAlignment="1">
      <alignment vertical="center"/>
    </xf>
    <xf numFmtId="2" fontId="34" fillId="0" borderId="4" xfId="0" applyNumberFormat="1" applyFont="1" applyBorder="1" applyAlignment="1">
      <alignment horizontal="center" vertical="center"/>
    </xf>
    <xf numFmtId="2" fontId="34" fillId="0" borderId="4" xfId="1" applyNumberFormat="1" applyFont="1" applyBorder="1" applyAlignment="1">
      <alignment vertical="center"/>
    </xf>
    <xf numFmtId="2" fontId="45" fillId="0" borderId="4" xfId="1" applyNumberFormat="1" applyFont="1" applyBorder="1" applyAlignment="1">
      <alignment vertical="center"/>
    </xf>
    <xf numFmtId="2" fontId="26" fillId="0" borderId="4" xfId="1" applyNumberFormat="1" applyFont="1" applyBorder="1" applyAlignment="1">
      <alignment vertical="center"/>
    </xf>
    <xf numFmtId="2" fontId="34" fillId="0" borderId="3" xfId="1" applyNumberFormat="1" applyFont="1" applyFill="1" applyBorder="1" applyAlignment="1">
      <alignment vertical="center"/>
    </xf>
    <xf numFmtId="2" fontId="26" fillId="3" borderId="33" xfId="1" applyNumberFormat="1" applyFont="1" applyFill="1" applyBorder="1" applyAlignment="1">
      <alignment vertical="center"/>
    </xf>
    <xf numFmtId="2" fontId="26" fillId="0" borderId="0" xfId="1" applyNumberFormat="1" applyFont="1" applyFill="1" applyBorder="1" applyAlignment="1">
      <alignment vertical="center"/>
    </xf>
    <xf numFmtId="2" fontId="34" fillId="5" borderId="0" xfId="0" applyNumberFormat="1" applyFont="1" applyFill="1" applyAlignment="1">
      <alignment vertical="center"/>
    </xf>
    <xf numFmtId="2" fontId="34" fillId="0" borderId="14" xfId="0" applyNumberFormat="1" applyFont="1" applyBorder="1" applyAlignment="1">
      <alignment horizontal="center" vertical="center"/>
    </xf>
    <xf numFmtId="2" fontId="26" fillId="0" borderId="0" xfId="0" applyNumberFormat="1" applyFont="1" applyAlignment="1">
      <alignment horizontal="center" vertical="center"/>
    </xf>
    <xf numFmtId="2" fontId="34" fillId="0" borderId="38" xfId="0" applyNumberFormat="1" applyFont="1" applyBorder="1" applyAlignment="1">
      <alignment horizontal="center" vertical="center"/>
    </xf>
    <xf numFmtId="2" fontId="34" fillId="0" borderId="39" xfId="1" applyNumberFormat="1" applyFont="1" applyBorder="1" applyAlignment="1">
      <alignment vertical="center"/>
    </xf>
    <xf numFmtId="2" fontId="34" fillId="0" borderId="0" xfId="0" applyNumberFormat="1" applyFont="1" applyAlignment="1">
      <alignment horizontal="center" vertical="center"/>
    </xf>
    <xf numFmtId="2" fontId="34" fillId="0" borderId="0" xfId="1" applyNumberFormat="1" applyFont="1" applyFill="1" applyBorder="1" applyAlignment="1">
      <alignment vertical="center"/>
    </xf>
    <xf numFmtId="2" fontId="26" fillId="3" borderId="0" xfId="2" applyNumberFormat="1" applyFont="1" applyFill="1" applyBorder="1" applyAlignment="1">
      <alignment vertical="center"/>
    </xf>
    <xf numFmtId="2" fontId="34" fillId="0" borderId="0" xfId="1" applyNumberFormat="1" applyFont="1" applyBorder="1" applyAlignment="1">
      <alignment vertical="center"/>
    </xf>
    <xf numFmtId="2" fontId="34" fillId="2" borderId="0" xfId="1" applyNumberFormat="1" applyFont="1" applyFill="1" applyBorder="1" applyAlignment="1">
      <alignment vertical="center"/>
    </xf>
    <xf numFmtId="2" fontId="34" fillId="0" borderId="0" xfId="2" applyNumberFormat="1" applyFont="1" applyBorder="1" applyAlignment="1">
      <alignment vertical="center"/>
    </xf>
    <xf numFmtId="2" fontId="26" fillId="0" borderId="0" xfId="0" applyNumberFormat="1" applyFont="1" applyAlignment="1">
      <alignment vertical="center"/>
    </xf>
    <xf numFmtId="40" fontId="16" fillId="0" borderId="0" xfId="0" applyNumberFormat="1" applyFont="1" applyAlignment="1">
      <alignment vertical="center"/>
    </xf>
    <xf numFmtId="40" fontId="28" fillId="0" borderId="25" xfId="0" applyNumberFormat="1" applyFont="1" applyBorder="1" applyAlignment="1">
      <alignment horizontal="center" vertical="center"/>
    </xf>
    <xf numFmtId="40" fontId="20" fillId="0" borderId="3" xfId="0" applyNumberFormat="1" applyFont="1" applyBorder="1" applyAlignment="1">
      <alignment horizontal="center" vertical="center" wrapText="1"/>
    </xf>
    <xf numFmtId="40" fontId="34" fillId="0" borderId="4" xfId="0" applyNumberFormat="1" applyFont="1" applyBorder="1" applyAlignment="1">
      <alignment horizontal="center" vertical="center"/>
    </xf>
    <xf numFmtId="40" fontId="34" fillId="0" borderId="4" xfId="1" applyNumberFormat="1" applyFont="1" applyBorder="1" applyAlignment="1">
      <alignment vertical="center"/>
    </xf>
    <xf numFmtId="40" fontId="26" fillId="0" borderId="4" xfId="1" applyNumberFormat="1" applyFont="1" applyBorder="1" applyAlignment="1">
      <alignment vertical="center"/>
    </xf>
    <xf numFmtId="40" fontId="22" fillId="0" borderId="4" xfId="1" applyNumberFormat="1" applyFont="1" applyBorder="1" applyAlignment="1">
      <alignment vertical="center"/>
    </xf>
    <xf numFmtId="40" fontId="34" fillId="0" borderId="3" xfId="1" applyNumberFormat="1" applyFont="1" applyFill="1" applyBorder="1" applyAlignment="1">
      <alignment vertical="center"/>
    </xf>
    <xf numFmtId="40" fontId="22" fillId="3" borderId="33" xfId="1" applyNumberFormat="1" applyFont="1" applyFill="1" applyBorder="1" applyAlignment="1">
      <alignment vertical="center"/>
    </xf>
    <xf numFmtId="40" fontId="13" fillId="0" borderId="0" xfId="1" applyNumberFormat="1" applyFont="1" applyFill="1" applyBorder="1" applyAlignment="1">
      <alignment vertical="center"/>
    </xf>
    <xf numFmtId="40" fontId="3" fillId="5" borderId="0" xfId="0" applyNumberFormat="1" applyFont="1" applyFill="1" applyAlignment="1">
      <alignment vertical="center"/>
    </xf>
    <xf numFmtId="40" fontId="3" fillId="0" borderId="14" xfId="0" applyNumberFormat="1" applyFont="1" applyBorder="1" applyAlignment="1">
      <alignment horizontal="center" vertical="center"/>
    </xf>
    <xf numFmtId="40" fontId="5" fillId="0" borderId="0" xfId="0" applyNumberFormat="1" applyFont="1" applyAlignment="1">
      <alignment horizontal="center" vertical="center"/>
    </xf>
    <xf numFmtId="40" fontId="7" fillId="0" borderId="38" xfId="0" applyNumberFormat="1" applyFont="1" applyBorder="1" applyAlignment="1">
      <alignment horizontal="center" vertical="center"/>
    </xf>
    <xf numFmtId="40" fontId="12" fillId="0" borderId="39" xfId="1" applyNumberFormat="1" applyFont="1" applyBorder="1" applyAlignment="1">
      <alignment vertical="center"/>
    </xf>
    <xf numFmtId="40" fontId="3" fillId="0" borderId="0" xfId="0" applyNumberFormat="1" applyFont="1" applyAlignment="1">
      <alignment vertical="center"/>
    </xf>
    <xf numFmtId="40" fontId="7" fillId="0" borderId="0" xfId="0" applyNumberFormat="1" applyFont="1" applyAlignment="1">
      <alignment horizontal="center" vertical="center"/>
    </xf>
    <xf numFmtId="40" fontId="12" fillId="0" borderId="0" xfId="1" applyNumberFormat="1" applyFont="1" applyFill="1" applyBorder="1" applyAlignment="1">
      <alignment vertical="center"/>
    </xf>
    <xf numFmtId="40" fontId="6" fillId="3" borderId="0" xfId="2" applyNumberFormat="1" applyFont="1" applyFill="1" applyBorder="1" applyAlignment="1">
      <alignment vertical="center"/>
    </xf>
    <xf numFmtId="40" fontId="12" fillId="0" borderId="0" xfId="1" applyNumberFormat="1" applyFont="1" applyBorder="1" applyAlignment="1">
      <alignment vertical="center"/>
    </xf>
    <xf numFmtId="40" fontId="12" fillId="2" borderId="0" xfId="1" applyNumberFormat="1" applyFont="1" applyFill="1" applyBorder="1" applyAlignment="1">
      <alignment vertical="center"/>
    </xf>
    <xf numFmtId="40" fontId="3" fillId="0" borderId="0" xfId="2" applyNumberFormat="1" applyFont="1" applyBorder="1" applyAlignment="1">
      <alignment vertical="center"/>
    </xf>
    <xf numFmtId="40" fontId="25" fillId="0" borderId="36" xfId="0" applyNumberFormat="1" applyFont="1" applyBorder="1" applyAlignment="1">
      <alignment horizontal="center" vertical="center"/>
    </xf>
    <xf numFmtId="40" fontId="25" fillId="0" borderId="0" xfId="0" applyNumberFormat="1" applyFont="1" applyAlignment="1">
      <alignment vertical="center"/>
    </xf>
    <xf numFmtId="10" fontId="24" fillId="0" borderId="0" xfId="2" applyNumberFormat="1" applyFont="1" applyAlignment="1">
      <alignment vertical="center"/>
    </xf>
    <xf numFmtId="38" fontId="0" fillId="0" borderId="0" xfId="0" applyNumberFormat="1"/>
    <xf numFmtId="177" fontId="0" fillId="0" borderId="0" xfId="2" applyNumberFormat="1" applyFont="1" applyAlignment="1"/>
    <xf numFmtId="0" fontId="0" fillId="0" borderId="0" xfId="0" applyAlignment="1">
      <alignment horizontal="right"/>
    </xf>
    <xf numFmtId="38" fontId="46" fillId="0" borderId="0" xfId="1" applyFont="1" applyAlignment="1"/>
    <xf numFmtId="178" fontId="34" fillId="0" borderId="4" xfId="1" applyNumberFormat="1" applyFont="1" applyBorder="1" applyAlignment="1">
      <alignment vertical="center"/>
    </xf>
    <xf numFmtId="178" fontId="26" fillId="0" borderId="4" xfId="1" applyNumberFormat="1" applyFont="1" applyBorder="1" applyAlignment="1">
      <alignment vertical="center"/>
    </xf>
    <xf numFmtId="0" fontId="41" fillId="8" borderId="3" xfId="0" applyFont="1" applyFill="1" applyBorder="1" applyAlignment="1">
      <alignment horizontal="right" vertical="center"/>
    </xf>
    <xf numFmtId="38" fontId="44" fillId="3" borderId="44" xfId="0" applyNumberFormat="1" applyFont="1" applyFill="1" applyBorder="1" applyAlignment="1">
      <alignment horizontal="right" vertical="center"/>
    </xf>
    <xf numFmtId="38" fontId="31" fillId="0" borderId="40" xfId="1" applyFont="1" applyBorder="1" applyAlignment="1">
      <alignment horizontal="right" vertical="center"/>
    </xf>
    <xf numFmtId="38" fontId="31" fillId="0" borderId="3" xfId="1" applyFont="1" applyBorder="1" applyAlignment="1">
      <alignment horizontal="right" vertical="center"/>
    </xf>
    <xf numFmtId="177" fontId="31" fillId="0" borderId="44" xfId="2" applyNumberFormat="1" applyFont="1" applyBorder="1" applyAlignment="1">
      <alignment horizontal="right" vertical="center"/>
    </xf>
    <xf numFmtId="38" fontId="0" fillId="0" borderId="0" xfId="1" applyFont="1" applyAlignment="1">
      <alignment horizontal="right" vertical="center"/>
    </xf>
    <xf numFmtId="38" fontId="31" fillId="0" borderId="0" xfId="1" applyFont="1" applyAlignment="1">
      <alignment horizontal="right" vertical="center"/>
    </xf>
    <xf numFmtId="38" fontId="32" fillId="0" borderId="0" xfId="1" applyFont="1" applyAlignment="1">
      <alignment horizontal="right" vertical="center"/>
    </xf>
    <xf numFmtId="38" fontId="0" fillId="0" borderId="0" xfId="1" applyFont="1" applyAlignment="1">
      <alignment horizontal="right"/>
    </xf>
    <xf numFmtId="38" fontId="31" fillId="0" borderId="0" xfId="0" applyNumberFormat="1" applyFont="1" applyAlignment="1">
      <alignment horizontal="right" vertical="center"/>
    </xf>
    <xf numFmtId="176" fontId="37" fillId="0" borderId="43" xfId="0" applyNumberFormat="1" applyFont="1" applyBorder="1" applyAlignment="1">
      <alignment horizontal="right" vertical="center"/>
    </xf>
    <xf numFmtId="0" fontId="0" fillId="0" borderId="3" xfId="0" applyBorder="1" applyAlignment="1">
      <alignment horizontal="right" vertical="center"/>
    </xf>
    <xf numFmtId="38" fontId="0" fillId="0" borderId="44" xfId="0" applyNumberFormat="1" applyBorder="1" applyAlignment="1">
      <alignment horizontal="right" vertical="center"/>
    </xf>
    <xf numFmtId="176" fontId="37" fillId="0" borderId="45" xfId="0" applyNumberFormat="1" applyFont="1" applyBorder="1" applyAlignment="1">
      <alignment horizontal="right" vertical="center"/>
    </xf>
    <xf numFmtId="0" fontId="31" fillId="0" borderId="46" xfId="0" applyFont="1" applyBorder="1" applyAlignment="1">
      <alignment horizontal="right" vertical="center"/>
    </xf>
    <xf numFmtId="38" fontId="0" fillId="0" borderId="47" xfId="0" applyNumberFormat="1" applyBorder="1" applyAlignment="1">
      <alignment horizontal="right" vertical="center"/>
    </xf>
    <xf numFmtId="0" fontId="38" fillId="0" borderId="55" xfId="0" applyFont="1" applyBorder="1" applyAlignment="1">
      <alignment horizontal="center" vertical="center"/>
    </xf>
    <xf numFmtId="0" fontId="0" fillId="0" borderId="51" xfId="0" applyBorder="1" applyAlignment="1">
      <alignment horizontal="center" vertical="center"/>
    </xf>
    <xf numFmtId="0" fontId="47" fillId="0" borderId="51" xfId="0" applyFont="1" applyBorder="1" applyAlignment="1">
      <alignment horizontal="center" vertical="center"/>
    </xf>
    <xf numFmtId="0" fontId="47" fillId="0" borderId="52" xfId="0" applyFont="1" applyBorder="1" applyAlignment="1">
      <alignment horizontal="center" vertical="center"/>
    </xf>
    <xf numFmtId="0" fontId="0" fillId="0" borderId="42" xfId="0" applyBorder="1" applyAlignment="1">
      <alignment horizontal="center" vertical="center"/>
    </xf>
    <xf numFmtId="0" fontId="0" fillId="0" borderId="62" xfId="0" applyBorder="1" applyAlignment="1">
      <alignment horizontal="center" vertical="center"/>
    </xf>
    <xf numFmtId="38" fontId="0" fillId="0" borderId="43" xfId="1" applyFont="1" applyBorder="1" applyAlignment="1">
      <alignment horizontal="right" vertical="center"/>
    </xf>
    <xf numFmtId="38" fontId="31" fillId="0" borderId="43" xfId="1" applyFont="1" applyBorder="1" applyAlignment="1">
      <alignment horizontal="right" vertical="center"/>
    </xf>
    <xf numFmtId="38" fontId="31" fillId="0" borderId="47" xfId="1" applyFont="1" applyBorder="1" applyAlignment="1">
      <alignment horizontal="right" vertical="center"/>
    </xf>
    <xf numFmtId="38" fontId="0" fillId="0" borderId="45" xfId="1" applyFont="1" applyBorder="1" applyAlignment="1">
      <alignment horizontal="right" vertical="center"/>
    </xf>
    <xf numFmtId="0" fontId="3" fillId="0" borderId="3" xfId="0" applyFont="1" applyBorder="1" applyAlignment="1">
      <alignment vertical="center"/>
    </xf>
    <xf numFmtId="179" fontId="3" fillId="0" borderId="3" xfId="0" applyNumberFormat="1" applyFont="1" applyBorder="1" applyAlignment="1">
      <alignment vertical="center"/>
    </xf>
    <xf numFmtId="179" fontId="3" fillId="0" borderId="67" xfId="0" applyNumberFormat="1" applyFont="1" applyBorder="1" applyAlignment="1">
      <alignment vertical="center"/>
    </xf>
    <xf numFmtId="0" fontId="3" fillId="0" borderId="67" xfId="0" applyFont="1" applyBorder="1" applyAlignment="1">
      <alignment vertical="center"/>
    </xf>
    <xf numFmtId="179" fontId="3" fillId="0" borderId="63" xfId="0" applyNumberFormat="1" applyFont="1" applyBorder="1" applyAlignment="1">
      <alignment vertical="center"/>
    </xf>
    <xf numFmtId="176" fontId="3" fillId="0" borderId="3" xfId="0" applyNumberFormat="1" applyFont="1" applyBorder="1" applyAlignment="1">
      <alignment vertical="center"/>
    </xf>
    <xf numFmtId="176" fontId="3" fillId="0" borderId="67" xfId="0" applyNumberFormat="1" applyFont="1" applyBorder="1" applyAlignment="1">
      <alignment vertical="center"/>
    </xf>
    <xf numFmtId="0" fontId="3" fillId="9" borderId="3" xfId="0" applyFont="1" applyFill="1" applyBorder="1" applyAlignment="1">
      <alignment vertical="center"/>
    </xf>
    <xf numFmtId="179" fontId="3" fillId="9" borderId="3" xfId="0" applyNumberFormat="1" applyFont="1" applyFill="1" applyBorder="1" applyAlignment="1">
      <alignment vertical="center"/>
    </xf>
    <xf numFmtId="176" fontId="3" fillId="0" borderId="64" xfId="0" applyNumberFormat="1" applyFont="1" applyBorder="1" applyAlignment="1">
      <alignment vertical="center"/>
    </xf>
    <xf numFmtId="0" fontId="3" fillId="13" borderId="3" xfId="0" applyFont="1" applyFill="1" applyBorder="1" applyAlignment="1">
      <alignment horizontal="center" vertical="center"/>
    </xf>
    <xf numFmtId="0" fontId="3" fillId="12" borderId="3" xfId="0" applyFont="1" applyFill="1" applyBorder="1" applyAlignment="1">
      <alignment horizontal="center" vertical="center"/>
    </xf>
    <xf numFmtId="0" fontId="3" fillId="0" borderId="67" xfId="0" applyFont="1" applyBorder="1" applyAlignment="1">
      <alignment horizontal="center" vertical="center"/>
    </xf>
    <xf numFmtId="176" fontId="3" fillId="0" borderId="3" xfId="0" applyNumberFormat="1" applyFont="1" applyBorder="1" applyAlignment="1">
      <alignment horizontal="center" vertical="center"/>
    </xf>
    <xf numFmtId="176" fontId="3" fillId="0" borderId="67" xfId="0" applyNumberFormat="1" applyFont="1" applyBorder="1" applyAlignment="1">
      <alignment horizontal="center" vertical="center"/>
    </xf>
    <xf numFmtId="38" fontId="24" fillId="0" borderId="3" xfId="1" applyFont="1" applyBorder="1" applyAlignment="1">
      <alignment vertical="center"/>
    </xf>
    <xf numFmtId="38" fontId="24" fillId="0" borderId="29" xfId="0" applyNumberFormat="1" applyFont="1" applyBorder="1" applyAlignment="1">
      <alignment vertical="center"/>
    </xf>
    <xf numFmtId="0" fontId="49" fillId="0" borderId="0" xfId="0" applyFont="1" applyAlignment="1">
      <alignment vertical="center"/>
    </xf>
    <xf numFmtId="0" fontId="49" fillId="0" borderId="0" xfId="0" applyFont="1" applyAlignment="1">
      <alignment horizontal="center" vertical="center"/>
    </xf>
    <xf numFmtId="38" fontId="24" fillId="0" borderId="3" xfId="1" applyFont="1" applyFill="1" applyBorder="1" applyAlignment="1">
      <alignment vertical="center"/>
    </xf>
    <xf numFmtId="38" fontId="24" fillId="0" borderId="4" xfId="1" applyFont="1" applyBorder="1" applyAlignment="1">
      <alignment vertical="center"/>
    </xf>
    <xf numFmtId="178" fontId="24" fillId="0" borderId="4" xfId="1" applyNumberFormat="1" applyFont="1" applyBorder="1" applyAlignment="1">
      <alignment vertical="center"/>
    </xf>
    <xf numFmtId="179" fontId="49" fillId="0" borderId="63" xfId="0" applyNumberFormat="1" applyFont="1" applyBorder="1" applyAlignment="1">
      <alignment vertical="center"/>
    </xf>
    <xf numFmtId="0" fontId="49" fillId="0" borderId="64" xfId="0" applyFont="1" applyBorder="1" applyAlignment="1">
      <alignment vertical="center"/>
    </xf>
    <xf numFmtId="176" fontId="49" fillId="0" borderId="64" xfId="0" applyNumberFormat="1" applyFont="1" applyBorder="1" applyAlignment="1">
      <alignment vertical="center"/>
    </xf>
    <xf numFmtId="176" fontId="49" fillId="0" borderId="63" xfId="0" applyNumberFormat="1" applyFont="1" applyBorder="1" applyAlignment="1">
      <alignment vertical="center"/>
    </xf>
    <xf numFmtId="176" fontId="49" fillId="0" borderId="65" xfId="0" applyNumberFormat="1" applyFont="1" applyBorder="1" applyAlignment="1">
      <alignment horizontal="center" vertical="center"/>
    </xf>
    <xf numFmtId="0" fontId="3" fillId="0" borderId="0" xfId="0" applyFont="1" applyAlignment="1">
      <alignment horizontal="right" vertical="center"/>
    </xf>
    <xf numFmtId="0" fontId="12" fillId="0" borderId="0" xfId="0" applyFont="1" applyAlignment="1">
      <alignment horizontal="left" vertical="center"/>
    </xf>
    <xf numFmtId="176" fontId="49" fillId="0" borderId="3" xfId="0" applyNumberFormat="1" applyFont="1" applyBorder="1" applyAlignment="1">
      <alignment horizontal="center" vertical="center"/>
    </xf>
    <xf numFmtId="176" fontId="49" fillId="0" borderId="46" xfId="0" applyNumberFormat="1" applyFont="1" applyBorder="1" applyAlignment="1">
      <alignment horizontal="center" vertical="center"/>
    </xf>
    <xf numFmtId="176" fontId="48" fillId="0" borderId="67" xfId="0" applyNumberFormat="1" applyFont="1" applyBorder="1" applyAlignment="1">
      <alignment horizontal="center" vertical="center"/>
    </xf>
    <xf numFmtId="180" fontId="3" fillId="9" borderId="3" xfId="0" applyNumberFormat="1" applyFont="1" applyFill="1" applyBorder="1" applyAlignment="1">
      <alignment vertical="center"/>
    </xf>
    <xf numFmtId="176" fontId="49" fillId="9" borderId="3" xfId="0" applyNumberFormat="1" applyFont="1" applyFill="1" applyBorder="1" applyAlignment="1">
      <alignment horizontal="center" vertical="center"/>
    </xf>
    <xf numFmtId="176" fontId="49" fillId="9" borderId="46" xfId="0" applyNumberFormat="1" applyFont="1" applyFill="1" applyBorder="1" applyAlignment="1">
      <alignment horizontal="center" vertical="center"/>
    </xf>
    <xf numFmtId="10" fontId="0" fillId="0" borderId="0" xfId="2" applyNumberFormat="1" applyFont="1" applyAlignment="1"/>
    <xf numFmtId="0" fontId="16" fillId="0" borderId="0" xfId="0" applyFont="1" applyAlignment="1">
      <alignment horizontal="center" vertical="center"/>
    </xf>
    <xf numFmtId="177" fontId="41" fillId="0" borderId="68" xfId="2" applyNumberFormat="1" applyFont="1" applyFill="1" applyBorder="1" applyAlignment="1">
      <alignment horizontal="right" vertical="center"/>
    </xf>
    <xf numFmtId="38" fontId="23" fillId="0" borderId="29" xfId="0" applyNumberFormat="1" applyFont="1" applyBorder="1" applyAlignment="1">
      <alignment vertical="center"/>
    </xf>
    <xf numFmtId="0" fontId="45" fillId="0" borderId="0" xfId="0" applyFont="1" applyAlignment="1">
      <alignment vertical="center"/>
    </xf>
    <xf numFmtId="0" fontId="45" fillId="0" borderId="0" xfId="0" applyFont="1" applyAlignment="1">
      <alignment horizontal="center" vertical="center"/>
    </xf>
    <xf numFmtId="38" fontId="23" fillId="0" borderId="3" xfId="1" applyFont="1" applyFill="1" applyBorder="1" applyAlignment="1">
      <alignment vertical="center"/>
    </xf>
    <xf numFmtId="38" fontId="23" fillId="0" borderId="4" xfId="1" applyFont="1" applyBorder="1" applyAlignment="1">
      <alignment vertical="center"/>
    </xf>
    <xf numFmtId="176" fontId="29" fillId="0" borderId="0" xfId="0" applyNumberFormat="1" applyFont="1" applyAlignment="1">
      <alignment vertical="center"/>
    </xf>
    <xf numFmtId="0" fontId="29" fillId="0" borderId="0" xfId="0" applyFont="1" applyAlignment="1">
      <alignment vertical="center"/>
    </xf>
    <xf numFmtId="0" fontId="29" fillId="0" borderId="0" xfId="0" applyFont="1" applyAlignment="1">
      <alignment horizontal="center" vertical="center"/>
    </xf>
    <xf numFmtId="179" fontId="23" fillId="0" borderId="63" xfId="0" applyNumberFormat="1" applyFont="1" applyBorder="1" applyAlignment="1">
      <alignment vertical="center"/>
    </xf>
    <xf numFmtId="176" fontId="23" fillId="0" borderId="64" xfId="0" applyNumberFormat="1" applyFont="1" applyBorder="1" applyAlignment="1">
      <alignment vertical="center"/>
    </xf>
    <xf numFmtId="179" fontId="24" fillId="0" borderId="63" xfId="0" applyNumberFormat="1" applyFont="1" applyBorder="1" applyAlignment="1">
      <alignment vertical="center"/>
    </xf>
    <xf numFmtId="176" fontId="24" fillId="0" borderId="64" xfId="0" applyNumberFormat="1" applyFont="1" applyBorder="1" applyAlignment="1">
      <alignment vertical="center"/>
    </xf>
    <xf numFmtId="179" fontId="25" fillId="0" borderId="63" xfId="0" applyNumberFormat="1" applyFont="1" applyBorder="1" applyAlignment="1">
      <alignment vertical="center"/>
    </xf>
    <xf numFmtId="176" fontId="25" fillId="0" borderId="64" xfId="0" applyNumberFormat="1" applyFont="1" applyBorder="1" applyAlignment="1">
      <alignment vertical="center"/>
    </xf>
    <xf numFmtId="0" fontId="24" fillId="0" borderId="64" xfId="0" applyFont="1" applyBorder="1" applyAlignment="1">
      <alignment vertical="center"/>
    </xf>
    <xf numFmtId="176" fontId="24" fillId="0" borderId="63" xfId="0" applyNumberFormat="1" applyFont="1" applyBorder="1" applyAlignment="1">
      <alignment vertical="center"/>
    </xf>
    <xf numFmtId="179" fontId="22" fillId="0" borderId="63" xfId="0" applyNumberFormat="1" applyFont="1" applyBorder="1" applyAlignment="1">
      <alignment vertical="center"/>
    </xf>
    <xf numFmtId="176" fontId="22" fillId="0" borderId="64" xfId="0" applyNumberFormat="1" applyFont="1" applyBorder="1" applyAlignment="1">
      <alignment vertical="center"/>
    </xf>
    <xf numFmtId="176" fontId="24" fillId="14" borderId="64" xfId="0" applyNumberFormat="1" applyFont="1" applyFill="1" applyBorder="1" applyAlignment="1">
      <alignment vertical="center"/>
    </xf>
    <xf numFmtId="0" fontId="4" fillId="0" borderId="0" xfId="0" applyFont="1" applyAlignment="1">
      <alignment horizontal="right" vertical="center"/>
    </xf>
    <xf numFmtId="0" fontId="18" fillId="0" borderId="0" xfId="0" applyFont="1" applyAlignment="1">
      <alignment horizontal="right" vertical="center"/>
    </xf>
    <xf numFmtId="0" fontId="19" fillId="0" borderId="0" xfId="0" applyFont="1" applyAlignment="1">
      <alignment horizontal="right" vertical="center"/>
    </xf>
    <xf numFmtId="0" fontId="14" fillId="0" borderId="0" xfId="0" applyFont="1" applyAlignment="1">
      <alignment horizontal="right" vertical="center"/>
    </xf>
    <xf numFmtId="0" fontId="11" fillId="0" borderId="0" xfId="0" applyFont="1" applyAlignment="1">
      <alignment horizontal="right" vertical="center"/>
    </xf>
    <xf numFmtId="2" fontId="24" fillId="0" borderId="64" xfId="0" applyNumberFormat="1" applyFont="1" applyBorder="1" applyAlignment="1">
      <alignment vertical="center"/>
    </xf>
    <xf numFmtId="2" fontId="24" fillId="0" borderId="65" xfId="0" applyNumberFormat="1" applyFont="1" applyBorder="1" applyAlignment="1">
      <alignment horizontal="center" vertical="center"/>
    </xf>
    <xf numFmtId="2" fontId="23" fillId="0" borderId="64" xfId="0" applyNumberFormat="1" applyFont="1" applyBorder="1" applyAlignment="1">
      <alignment vertical="center"/>
    </xf>
    <xf numFmtId="2" fontId="23" fillId="0" borderId="65" xfId="0" applyNumberFormat="1" applyFont="1" applyBorder="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25" fillId="0" borderId="0" xfId="0" applyFont="1" applyAlignment="1">
      <alignment horizontal="center" vertical="center"/>
    </xf>
    <xf numFmtId="2" fontId="22" fillId="0" borderId="64" xfId="0" applyNumberFormat="1" applyFont="1" applyBorder="1" applyAlignment="1">
      <alignment vertical="center"/>
    </xf>
    <xf numFmtId="2" fontId="22" fillId="0" borderId="65" xfId="0" applyNumberFormat="1" applyFont="1" applyBorder="1" applyAlignment="1">
      <alignment horizontal="center" vertical="center"/>
    </xf>
    <xf numFmtId="0" fontId="31" fillId="0" borderId="0" xfId="0" applyFont="1"/>
    <xf numFmtId="0" fontId="31" fillId="0" borderId="0" xfId="0" applyFont="1" applyAlignment="1">
      <alignment horizontal="center"/>
    </xf>
    <xf numFmtId="0" fontId="31" fillId="15" borderId="3" xfId="0" applyFont="1" applyFill="1" applyBorder="1" applyAlignment="1">
      <alignment horizontal="center"/>
    </xf>
    <xf numFmtId="38" fontId="31" fillId="0" borderId="3" xfId="1" applyFont="1" applyBorder="1" applyAlignment="1"/>
    <xf numFmtId="0" fontId="47" fillId="0" borderId="3" xfId="0" applyFont="1" applyBorder="1"/>
    <xf numFmtId="38" fontId="47" fillId="0" borderId="3" xfId="1" applyFont="1" applyBorder="1" applyAlignment="1"/>
    <xf numFmtId="177" fontId="47" fillId="0" borderId="3" xfId="2" applyNumberFormat="1" applyFont="1" applyBorder="1" applyAlignment="1"/>
    <xf numFmtId="0" fontId="31" fillId="0" borderId="3" xfId="0" applyFont="1" applyBorder="1" applyAlignment="1">
      <alignment horizontal="center" vertical="center"/>
    </xf>
    <xf numFmtId="38" fontId="31" fillId="0" borderId="3" xfId="1" applyFont="1" applyBorder="1" applyAlignment="1">
      <alignment vertical="center"/>
    </xf>
    <xf numFmtId="177" fontId="31" fillId="0" borderId="3" xfId="2" applyNumberFormat="1" applyFont="1" applyBorder="1" applyAlignment="1">
      <alignment vertical="center"/>
    </xf>
    <xf numFmtId="0" fontId="39" fillId="0" borderId="0" xfId="0" applyFont="1" applyAlignment="1">
      <alignment horizontal="left" vertical="center"/>
    </xf>
    <xf numFmtId="0" fontId="31" fillId="0" borderId="0" xfId="0" applyFont="1" applyAlignment="1">
      <alignment horizontal="right"/>
    </xf>
    <xf numFmtId="0" fontId="51" fillId="15" borderId="3" xfId="0" applyFont="1" applyFill="1" applyBorder="1" applyAlignment="1">
      <alignment horizontal="center"/>
    </xf>
    <xf numFmtId="0" fontId="31" fillId="15" borderId="4" xfId="0" applyFont="1" applyFill="1" applyBorder="1" applyAlignment="1">
      <alignment horizontal="center"/>
    </xf>
    <xf numFmtId="177" fontId="31" fillId="0" borderId="4" xfId="2" applyNumberFormat="1" applyFont="1" applyBorder="1" applyAlignment="1">
      <alignment vertical="center"/>
    </xf>
    <xf numFmtId="0" fontId="31" fillId="15" borderId="40" xfId="0" applyFont="1" applyFill="1" applyBorder="1" applyAlignment="1">
      <alignment horizontal="center"/>
    </xf>
    <xf numFmtId="38" fontId="47" fillId="0" borderId="40" xfId="1" applyFont="1" applyBorder="1" applyAlignment="1"/>
    <xf numFmtId="38" fontId="47" fillId="0" borderId="40" xfId="1" applyFont="1" applyBorder="1" applyAlignment="1">
      <alignment vertical="center"/>
    </xf>
    <xf numFmtId="0" fontId="31" fillId="15" borderId="42" xfId="0" applyFont="1" applyFill="1" applyBorder="1" applyAlignment="1">
      <alignment horizontal="center"/>
    </xf>
    <xf numFmtId="0" fontId="31" fillId="15" borderId="69" xfId="0" applyFont="1" applyFill="1" applyBorder="1" applyAlignment="1">
      <alignment horizontal="center"/>
    </xf>
    <xf numFmtId="0" fontId="51" fillId="15" borderId="69" xfId="0" applyFont="1" applyFill="1" applyBorder="1" applyAlignment="1">
      <alignment horizontal="center"/>
    </xf>
    <xf numFmtId="0" fontId="31" fillId="15" borderId="62" xfId="0" applyFont="1" applyFill="1" applyBorder="1" applyAlignment="1">
      <alignment horizontal="center"/>
    </xf>
    <xf numFmtId="38" fontId="31" fillId="0" borderId="43" xfId="1" applyFont="1" applyBorder="1" applyAlignment="1"/>
    <xf numFmtId="177" fontId="31" fillId="0" borderId="44" xfId="2" applyNumberFormat="1" applyFont="1" applyBorder="1" applyAlignment="1">
      <alignment vertical="center"/>
    </xf>
    <xf numFmtId="38" fontId="31" fillId="2" borderId="45" xfId="1" applyFont="1" applyFill="1" applyBorder="1" applyAlignment="1">
      <alignment vertical="center"/>
    </xf>
    <xf numFmtId="177" fontId="31" fillId="2" borderId="46" xfId="2" applyNumberFormat="1" applyFont="1" applyFill="1" applyBorder="1" applyAlignment="1">
      <alignment vertical="center"/>
    </xf>
    <xf numFmtId="38" fontId="31" fillId="2" borderId="46" xfId="1" applyFont="1" applyFill="1" applyBorder="1" applyAlignment="1">
      <alignment vertical="center"/>
    </xf>
    <xf numFmtId="177" fontId="31" fillId="2" borderId="47" xfId="2" applyNumberFormat="1" applyFont="1" applyFill="1" applyBorder="1" applyAlignment="1">
      <alignment vertical="center"/>
    </xf>
    <xf numFmtId="177" fontId="31" fillId="6" borderId="3" xfId="2" applyNumberFormat="1" applyFont="1" applyFill="1" applyBorder="1" applyAlignment="1">
      <alignment vertical="center"/>
    </xf>
    <xf numFmtId="0" fontId="52" fillId="0" borderId="0" xfId="0" applyFont="1" applyAlignment="1">
      <alignment vertical="top" wrapText="1"/>
    </xf>
    <xf numFmtId="38" fontId="26" fillId="14" borderId="3" xfId="1" applyFont="1" applyFill="1" applyBorder="1" applyAlignment="1">
      <alignment vertical="center"/>
    </xf>
    <xf numFmtId="176" fontId="49" fillId="14" borderId="46" xfId="0" applyNumberFormat="1" applyFont="1" applyFill="1" applyBorder="1" applyAlignment="1">
      <alignment horizontal="center" vertical="center"/>
    </xf>
    <xf numFmtId="10" fontId="0" fillId="0" borderId="73" xfId="2" applyNumberFormat="1" applyFont="1" applyFill="1" applyBorder="1" applyAlignment="1">
      <alignment horizontal="right" vertical="center"/>
    </xf>
    <xf numFmtId="10" fontId="39" fillId="3" borderId="46" xfId="2" applyNumberFormat="1" applyFont="1" applyFill="1" applyBorder="1" applyAlignment="1">
      <alignment horizontal="right" vertical="center"/>
    </xf>
    <xf numFmtId="178" fontId="31" fillId="0" borderId="46" xfId="1" applyNumberFormat="1" applyFont="1" applyBorder="1" applyAlignment="1">
      <alignment horizontal="right" vertical="center"/>
    </xf>
    <xf numFmtId="0" fontId="57" fillId="0" borderId="0" xfId="0" applyFont="1"/>
    <xf numFmtId="0" fontId="60" fillId="0" borderId="0" xfId="0" applyFont="1" applyAlignment="1">
      <alignment horizontal="center"/>
    </xf>
    <xf numFmtId="0" fontId="60" fillId="0" borderId="0" xfId="0" applyFont="1"/>
    <xf numFmtId="176" fontId="60" fillId="0" borderId="0" xfId="0" applyNumberFormat="1" applyFont="1"/>
    <xf numFmtId="0" fontId="61" fillId="0" borderId="0" xfId="0" applyFont="1"/>
    <xf numFmtId="0" fontId="62" fillId="0" borderId="0" xfId="0" applyFont="1"/>
    <xf numFmtId="0" fontId="62" fillId="0" borderId="0" xfId="0" applyFont="1" applyAlignment="1">
      <alignment horizontal="center"/>
    </xf>
    <xf numFmtId="38" fontId="60" fillId="0" borderId="3" xfId="1" applyFont="1" applyBorder="1" applyAlignment="1"/>
    <xf numFmtId="0" fontId="60" fillId="15" borderId="3" xfId="0" applyFont="1" applyFill="1" applyBorder="1" applyAlignment="1">
      <alignment horizontal="center"/>
    </xf>
    <xf numFmtId="178" fontId="60" fillId="0" borderId="3" xfId="1" applyNumberFormat="1" applyFont="1" applyBorder="1" applyAlignment="1"/>
    <xf numFmtId="0" fontId="31" fillId="15" borderId="74" xfId="0" applyFont="1" applyFill="1" applyBorder="1" applyAlignment="1">
      <alignment horizontal="center"/>
    </xf>
    <xf numFmtId="177" fontId="31" fillId="0" borderId="75" xfId="2" applyNumberFormat="1" applyFont="1" applyBorder="1" applyAlignment="1"/>
    <xf numFmtId="177" fontId="31" fillId="6" borderId="76" xfId="2" applyNumberFormat="1" applyFont="1" applyFill="1" applyBorder="1" applyAlignment="1"/>
    <xf numFmtId="0" fontId="70" fillId="0" borderId="0" xfId="0" applyFont="1" applyAlignment="1">
      <alignment vertical="center"/>
    </xf>
    <xf numFmtId="0" fontId="70" fillId="0" borderId="0" xfId="0" applyFont="1" applyAlignment="1">
      <alignment horizontal="right" vertical="center"/>
    </xf>
    <xf numFmtId="0" fontId="70" fillId="0" borderId="0" xfId="0" applyFont="1" applyAlignment="1">
      <alignment horizontal="center" vertical="center"/>
    </xf>
    <xf numFmtId="0" fontId="70" fillId="13" borderId="3" xfId="0" applyFont="1" applyFill="1" applyBorder="1" applyAlignment="1">
      <alignment horizontal="center" vertical="center"/>
    </xf>
    <xf numFmtId="0" fontId="70" fillId="12" borderId="3" xfId="0" applyFont="1" applyFill="1" applyBorder="1" applyAlignment="1">
      <alignment horizontal="center" vertical="center"/>
    </xf>
    <xf numFmtId="0" fontId="70" fillId="0" borderId="3" xfId="0" applyFont="1" applyBorder="1" applyAlignment="1">
      <alignment horizontal="center" vertical="center"/>
    </xf>
    <xf numFmtId="0" fontId="70" fillId="0" borderId="67" xfId="0" applyFont="1" applyBorder="1" applyAlignment="1">
      <alignment horizontal="center" vertical="center"/>
    </xf>
    <xf numFmtId="0" fontId="70" fillId="0" borderId="3" xfId="0" applyFont="1" applyBorder="1" applyAlignment="1">
      <alignment vertical="center"/>
    </xf>
    <xf numFmtId="176" fontId="70" fillId="0" borderId="3" xfId="0" applyNumberFormat="1" applyFont="1" applyBorder="1" applyAlignment="1">
      <alignment horizontal="center" vertical="center"/>
    </xf>
    <xf numFmtId="0" fontId="70" fillId="0" borderId="0" xfId="0" applyFont="1" applyAlignment="1">
      <alignment horizontal="left" vertical="center"/>
    </xf>
    <xf numFmtId="179" fontId="70" fillId="0" borderId="3" xfId="0" applyNumberFormat="1" applyFont="1" applyBorder="1" applyAlignment="1">
      <alignment vertical="center"/>
    </xf>
    <xf numFmtId="179" fontId="70" fillId="0" borderId="67" xfId="0" applyNumberFormat="1" applyFont="1" applyBorder="1" applyAlignment="1">
      <alignment vertical="center"/>
    </xf>
    <xf numFmtId="0" fontId="70" fillId="0" borderId="67" xfId="0" applyFont="1" applyBorder="1" applyAlignment="1">
      <alignment vertical="center"/>
    </xf>
    <xf numFmtId="176" fontId="70" fillId="0" borderId="46" xfId="0" applyNumberFormat="1" applyFont="1" applyBorder="1" applyAlignment="1">
      <alignment horizontal="center" vertical="center"/>
    </xf>
    <xf numFmtId="179" fontId="20" fillId="0" borderId="63" xfId="0" applyNumberFormat="1" applyFont="1" applyBorder="1" applyAlignment="1">
      <alignment vertical="center"/>
    </xf>
    <xf numFmtId="176" fontId="20" fillId="0" borderId="64" xfId="0" applyNumberFormat="1" applyFont="1" applyBorder="1" applyAlignment="1">
      <alignment vertical="center"/>
    </xf>
    <xf numFmtId="176" fontId="70" fillId="0" borderId="3" xfId="0" applyNumberFormat="1" applyFont="1" applyBorder="1" applyAlignment="1">
      <alignment vertical="center"/>
    </xf>
    <xf numFmtId="176" fontId="70" fillId="0" borderId="67" xfId="0" applyNumberFormat="1" applyFont="1" applyBorder="1" applyAlignment="1">
      <alignment vertical="center"/>
    </xf>
    <xf numFmtId="176" fontId="70" fillId="0" borderId="67" xfId="0" applyNumberFormat="1" applyFont="1" applyBorder="1" applyAlignment="1">
      <alignment horizontal="center" vertical="center"/>
    </xf>
    <xf numFmtId="0" fontId="20" fillId="0" borderId="0" xfId="0" applyFont="1" applyAlignment="1">
      <alignment horizontal="right" vertical="center"/>
    </xf>
    <xf numFmtId="0" fontId="20" fillId="0" borderId="0" xfId="0" applyFont="1" applyAlignment="1">
      <alignment vertical="center"/>
    </xf>
    <xf numFmtId="0" fontId="70" fillId="9" borderId="3" xfId="0" applyFont="1" applyFill="1" applyBorder="1" applyAlignment="1">
      <alignment vertical="center"/>
    </xf>
    <xf numFmtId="180" fontId="70" fillId="9" borderId="3" xfId="0" applyNumberFormat="1" applyFont="1" applyFill="1" applyBorder="1" applyAlignment="1">
      <alignment vertical="center"/>
    </xf>
    <xf numFmtId="176" fontId="70" fillId="9" borderId="3" xfId="0" applyNumberFormat="1" applyFont="1" applyFill="1" applyBorder="1" applyAlignment="1">
      <alignment horizontal="center" vertical="center"/>
    </xf>
    <xf numFmtId="179" fontId="70" fillId="9" borderId="3" xfId="0" applyNumberFormat="1" applyFont="1" applyFill="1" applyBorder="1" applyAlignment="1">
      <alignment vertical="center"/>
    </xf>
    <xf numFmtId="176" fontId="70" fillId="9" borderId="46" xfId="0" applyNumberFormat="1" applyFont="1" applyFill="1" applyBorder="1" applyAlignment="1">
      <alignment horizontal="center" vertical="center"/>
    </xf>
    <xf numFmtId="0" fontId="71" fillId="0" borderId="0" xfId="0" applyFont="1" applyAlignment="1">
      <alignment vertical="center"/>
    </xf>
    <xf numFmtId="0" fontId="71" fillId="0" borderId="0" xfId="0" applyFont="1" applyAlignment="1">
      <alignment horizontal="right" vertical="center"/>
    </xf>
    <xf numFmtId="177" fontId="41" fillId="3" borderId="47" xfId="2" applyNumberFormat="1" applyFont="1" applyFill="1" applyBorder="1" applyAlignment="1">
      <alignment horizontal="right" vertical="center"/>
    </xf>
    <xf numFmtId="0" fontId="34" fillId="5" borderId="28" xfId="0" applyFont="1" applyFill="1" applyBorder="1" applyAlignment="1">
      <alignment horizontal="center" vertical="center"/>
    </xf>
    <xf numFmtId="38" fontId="26" fillId="5" borderId="3" xfId="1" applyFont="1" applyFill="1" applyBorder="1" applyAlignment="1">
      <alignment vertical="center"/>
    </xf>
    <xf numFmtId="38" fontId="70" fillId="0" borderId="0" xfId="1" applyFont="1" applyAlignment="1">
      <alignment vertical="center"/>
    </xf>
    <xf numFmtId="177" fontId="3" fillId="0" borderId="0" xfId="2" applyNumberFormat="1" applyFont="1" applyAlignment="1">
      <alignment vertical="center"/>
    </xf>
    <xf numFmtId="176" fontId="34" fillId="0" borderId="0" xfId="0" applyNumberFormat="1" applyFont="1" applyAlignment="1">
      <alignment vertical="center"/>
    </xf>
    <xf numFmtId="0" fontId="34" fillId="0" borderId="0" xfId="0" applyFont="1" applyAlignment="1">
      <alignment vertical="center"/>
    </xf>
    <xf numFmtId="0" fontId="34" fillId="0" borderId="0" xfId="0" applyFont="1" applyAlignment="1">
      <alignment horizontal="center" vertical="center"/>
    </xf>
    <xf numFmtId="179" fontId="26" fillId="0" borderId="63" xfId="0" applyNumberFormat="1" applyFont="1" applyBorder="1" applyAlignment="1">
      <alignment vertical="center"/>
    </xf>
    <xf numFmtId="176" fontId="26" fillId="0" borderId="64" xfId="0" applyNumberFormat="1" applyFont="1" applyBorder="1" applyAlignment="1">
      <alignment vertical="center"/>
    </xf>
    <xf numFmtId="2" fontId="26" fillId="0" borderId="64" xfId="0" applyNumberFormat="1" applyFont="1" applyBorder="1" applyAlignment="1">
      <alignment vertical="center"/>
    </xf>
    <xf numFmtId="2" fontId="26" fillId="0" borderId="65" xfId="0" applyNumberFormat="1" applyFont="1" applyBorder="1" applyAlignment="1">
      <alignment horizontal="center" vertical="center"/>
    </xf>
    <xf numFmtId="0" fontId="34" fillId="0" borderId="0" xfId="0" applyFont="1" applyAlignment="1">
      <alignment horizontal="right" vertical="center"/>
    </xf>
    <xf numFmtId="2" fontId="22" fillId="0" borderId="4" xfId="1" applyNumberFormat="1" applyFont="1" applyBorder="1" applyAlignment="1">
      <alignment vertical="center"/>
    </xf>
    <xf numFmtId="0" fontId="29" fillId="0" borderId="0" xfId="0" applyFont="1" applyAlignment="1">
      <alignment horizontal="right" vertical="center"/>
    </xf>
    <xf numFmtId="176" fontId="29" fillId="0" borderId="63" xfId="0" applyNumberFormat="1" applyFont="1" applyBorder="1" applyAlignment="1">
      <alignment vertical="center"/>
    </xf>
    <xf numFmtId="176" fontId="29" fillId="0" borderId="64" xfId="0" applyNumberFormat="1" applyFont="1" applyBorder="1" applyAlignment="1">
      <alignment vertical="center"/>
    </xf>
    <xf numFmtId="176" fontId="29" fillId="0" borderId="65" xfId="0" applyNumberFormat="1" applyFont="1" applyBorder="1" applyAlignment="1">
      <alignment horizontal="center" vertical="center"/>
    </xf>
    <xf numFmtId="38" fontId="28" fillId="0" borderId="3" xfId="1" applyFont="1" applyBorder="1" applyAlignment="1">
      <alignment vertical="center"/>
    </xf>
    <xf numFmtId="178" fontId="23" fillId="0" borderId="4" xfId="1" applyNumberFormat="1" applyFont="1" applyBorder="1" applyAlignment="1">
      <alignment vertical="center"/>
    </xf>
    <xf numFmtId="10" fontId="25" fillId="0" borderId="36" xfId="2" applyNumberFormat="1" applyFont="1" applyBorder="1" applyAlignment="1">
      <alignment horizontal="center" vertical="center"/>
    </xf>
    <xf numFmtId="177" fontId="26" fillId="0" borderId="36" xfId="2" applyNumberFormat="1" applyFont="1" applyBorder="1" applyAlignment="1">
      <alignment horizontal="center" vertical="center"/>
    </xf>
    <xf numFmtId="2" fontId="20" fillId="0" borderId="64" xfId="0" applyNumberFormat="1" applyFont="1" applyBorder="1" applyAlignment="1">
      <alignment vertical="center"/>
    </xf>
    <xf numFmtId="2" fontId="20" fillId="0" borderId="65" xfId="0" applyNumberFormat="1" applyFont="1" applyBorder="1" applyAlignment="1">
      <alignment horizontal="center" vertical="center"/>
    </xf>
    <xf numFmtId="2" fontId="49" fillId="0" borderId="64" xfId="0" applyNumberFormat="1" applyFont="1" applyBorder="1" applyAlignment="1">
      <alignment vertical="center"/>
    </xf>
    <xf numFmtId="2" fontId="49" fillId="0" borderId="65" xfId="0" applyNumberFormat="1" applyFont="1" applyBorder="1" applyAlignment="1">
      <alignment horizontal="center" vertical="center"/>
    </xf>
    <xf numFmtId="38" fontId="23" fillId="0" borderId="37" xfId="0" applyNumberFormat="1" applyFont="1" applyBorder="1" applyAlignment="1">
      <alignment vertical="center"/>
    </xf>
    <xf numFmtId="177" fontId="25" fillId="0" borderId="0" xfId="2" applyNumberFormat="1" applyFont="1" applyAlignment="1">
      <alignment vertical="center"/>
    </xf>
    <xf numFmtId="177" fontId="72" fillId="0" borderId="0" xfId="2" applyNumberFormat="1" applyFont="1" applyAlignment="1">
      <alignment vertical="center"/>
    </xf>
    <xf numFmtId="176" fontId="3" fillId="16" borderId="3" xfId="0" applyNumberFormat="1" applyFont="1" applyFill="1" applyBorder="1" applyAlignment="1">
      <alignment horizontal="center" vertical="center"/>
    </xf>
    <xf numFmtId="176" fontId="3" fillId="16" borderId="67" xfId="0" applyNumberFormat="1" applyFont="1" applyFill="1" applyBorder="1" applyAlignment="1">
      <alignment horizontal="center" vertical="center"/>
    </xf>
    <xf numFmtId="176" fontId="70" fillId="16" borderId="3" xfId="0" applyNumberFormat="1" applyFont="1" applyFill="1" applyBorder="1" applyAlignment="1">
      <alignment horizontal="center" vertical="center"/>
    </xf>
    <xf numFmtId="38" fontId="49" fillId="0" borderId="0" xfId="1" applyFont="1" applyAlignment="1">
      <alignment horizontal="center" vertical="center"/>
    </xf>
    <xf numFmtId="0" fontId="75" fillId="0" borderId="3" xfId="0" applyFont="1" applyBorder="1" applyAlignment="1">
      <alignment horizontal="center" vertical="center"/>
    </xf>
    <xf numFmtId="0" fontId="73" fillId="0" borderId="3" xfId="0" applyFont="1" applyBorder="1" applyAlignment="1">
      <alignment vertical="center"/>
    </xf>
    <xf numFmtId="0" fontId="76" fillId="0" borderId="3" xfId="0" applyFont="1" applyBorder="1" applyAlignment="1">
      <alignment vertical="center"/>
    </xf>
    <xf numFmtId="0" fontId="23" fillId="0" borderId="3" xfId="0" applyFont="1" applyBorder="1" applyAlignment="1">
      <alignment vertical="center"/>
    </xf>
    <xf numFmtId="0" fontId="45" fillId="0" borderId="3" xfId="0" applyFont="1" applyBorder="1" applyAlignment="1">
      <alignment vertical="center"/>
    </xf>
    <xf numFmtId="177" fontId="34" fillId="0" borderId="3" xfId="0" applyNumberFormat="1" applyFont="1" applyBorder="1" applyAlignment="1">
      <alignment vertical="center"/>
    </xf>
    <xf numFmtId="177" fontId="19" fillId="0" borderId="3" xfId="0" applyNumberFormat="1" applyFont="1" applyBorder="1" applyAlignment="1">
      <alignment vertical="center"/>
    </xf>
    <xf numFmtId="177" fontId="79" fillId="0" borderId="3" xfId="0" applyNumberFormat="1" applyFont="1" applyBorder="1" applyAlignment="1">
      <alignment vertical="center"/>
    </xf>
    <xf numFmtId="38" fontId="81" fillId="0" borderId="0" xfId="0" applyNumberFormat="1" applyFont="1" applyAlignment="1">
      <alignment vertical="center"/>
    </xf>
    <xf numFmtId="176" fontId="3" fillId="4" borderId="3" xfId="0" applyNumberFormat="1" applyFont="1" applyFill="1" applyBorder="1" applyAlignment="1">
      <alignment horizontal="center" vertical="center"/>
    </xf>
    <xf numFmtId="176" fontId="48" fillId="16" borderId="67" xfId="0" applyNumberFormat="1" applyFont="1" applyFill="1" applyBorder="1" applyAlignment="1">
      <alignment horizontal="center" vertical="center"/>
    </xf>
    <xf numFmtId="38" fontId="49" fillId="0" borderId="0" xfId="1" applyFont="1" applyBorder="1" applyAlignment="1">
      <alignment horizontal="center" vertical="center"/>
    </xf>
    <xf numFmtId="0" fontId="82" fillId="0" borderId="3" xfId="0" applyFont="1" applyBorder="1" applyAlignment="1">
      <alignment horizontal="center" vertical="center"/>
    </xf>
    <xf numFmtId="0" fontId="82" fillId="0" borderId="40" xfId="0" applyFont="1" applyBorder="1" applyAlignment="1">
      <alignment horizontal="center" vertical="center"/>
    </xf>
    <xf numFmtId="38" fontId="82" fillId="0" borderId="51" xfId="0" applyNumberFormat="1" applyFont="1" applyBorder="1" applyAlignment="1">
      <alignment vertical="center"/>
    </xf>
    <xf numFmtId="38" fontId="22" fillId="0" borderId="0" xfId="0" applyNumberFormat="1" applyFont="1" applyAlignment="1">
      <alignment vertical="center"/>
    </xf>
    <xf numFmtId="38" fontId="23" fillId="14" borderId="3" xfId="1" applyFont="1" applyFill="1" applyBorder="1" applyAlignment="1">
      <alignment vertical="center"/>
    </xf>
    <xf numFmtId="176" fontId="3" fillId="14" borderId="3" xfId="0" applyNumberFormat="1" applyFont="1" applyFill="1" applyBorder="1" applyAlignment="1">
      <alignment horizontal="center" vertical="center"/>
    </xf>
    <xf numFmtId="176" fontId="3" fillId="12" borderId="3" xfId="0" applyNumberFormat="1" applyFont="1" applyFill="1" applyBorder="1" applyAlignment="1">
      <alignment horizontal="center" vertical="center"/>
    </xf>
    <xf numFmtId="176" fontId="3" fillId="12" borderId="67" xfId="0" applyNumberFormat="1" applyFont="1" applyFill="1" applyBorder="1" applyAlignment="1">
      <alignment horizontal="center" vertical="center"/>
    </xf>
    <xf numFmtId="176" fontId="3" fillId="14" borderId="67" xfId="0" applyNumberFormat="1" applyFont="1" applyFill="1" applyBorder="1" applyAlignment="1">
      <alignment horizontal="center" vertical="center"/>
    </xf>
    <xf numFmtId="38" fontId="26" fillId="3" borderId="3" xfId="1" applyFont="1" applyFill="1" applyBorder="1" applyAlignment="1">
      <alignment vertical="center"/>
    </xf>
    <xf numFmtId="38" fontId="34" fillId="3" borderId="3" xfId="1" applyFont="1" applyFill="1" applyBorder="1" applyAlignment="1">
      <alignment vertical="center"/>
    </xf>
    <xf numFmtId="176" fontId="3" fillId="18" borderId="3" xfId="0" applyNumberFormat="1" applyFont="1" applyFill="1" applyBorder="1" applyAlignment="1">
      <alignment horizontal="center" vertical="center"/>
    </xf>
    <xf numFmtId="38" fontId="23" fillId="0" borderId="0" xfId="0" applyNumberFormat="1" applyFont="1" applyAlignment="1">
      <alignment vertical="center"/>
    </xf>
    <xf numFmtId="177" fontId="23" fillId="0" borderId="0" xfId="2" applyNumberFormat="1" applyFont="1" applyAlignment="1">
      <alignment vertical="center"/>
    </xf>
    <xf numFmtId="0" fontId="24" fillId="0" borderId="40" xfId="0" applyFont="1" applyBorder="1" applyAlignment="1">
      <alignment horizontal="center" vertical="center" wrapText="1"/>
    </xf>
    <xf numFmtId="2" fontId="23" fillId="18" borderId="65" xfId="0" applyNumberFormat="1" applyFont="1" applyFill="1" applyBorder="1" applyAlignment="1">
      <alignment horizontal="center" vertical="center"/>
    </xf>
    <xf numFmtId="2" fontId="24" fillId="4" borderId="65" xfId="0" applyNumberFormat="1" applyFont="1" applyFill="1" applyBorder="1" applyAlignment="1">
      <alignment horizontal="center" vertical="center"/>
    </xf>
    <xf numFmtId="177" fontId="70" fillId="0" borderId="3" xfId="0" applyNumberFormat="1" applyFont="1" applyBorder="1" applyAlignment="1">
      <alignment vertical="center"/>
    </xf>
    <xf numFmtId="38" fontId="25" fillId="0" borderId="0" xfId="0" applyNumberFormat="1" applyFont="1" applyAlignment="1">
      <alignment vertical="center"/>
    </xf>
    <xf numFmtId="38" fontId="23" fillId="0" borderId="0" xfId="1" applyFont="1" applyAlignment="1">
      <alignment vertical="center"/>
    </xf>
    <xf numFmtId="38" fontId="3" fillId="0" borderId="0" xfId="1" applyFont="1" applyAlignment="1">
      <alignment horizontal="center" vertical="center"/>
    </xf>
    <xf numFmtId="38" fontId="31" fillId="2" borderId="43" xfId="0" applyNumberFormat="1" applyFont="1" applyFill="1" applyBorder="1" applyAlignment="1">
      <alignment horizontal="right" vertical="center"/>
    </xf>
    <xf numFmtId="38" fontId="34" fillId="3" borderId="4" xfId="1" applyFont="1" applyFill="1" applyBorder="1" applyAlignment="1">
      <alignment vertical="center"/>
    </xf>
    <xf numFmtId="38" fontId="0" fillId="0" borderId="0" xfId="0" applyNumberFormat="1" applyAlignment="1">
      <alignment vertical="center"/>
    </xf>
    <xf numFmtId="0" fontId="0" fillId="0" borderId="0" xfId="1" applyNumberFormat="1" applyFont="1" applyAlignment="1">
      <alignment horizontal="center" vertical="center"/>
    </xf>
    <xf numFmtId="38" fontId="0" fillId="0" borderId="0" xfId="1" applyFont="1" applyAlignment="1">
      <alignment vertical="center"/>
    </xf>
    <xf numFmtId="0" fontId="0" fillId="0" borderId="0" xfId="0" applyAlignment="1">
      <alignment vertical="center"/>
    </xf>
    <xf numFmtId="0" fontId="83" fillId="0" borderId="0" xfId="0" applyFont="1" applyAlignment="1">
      <alignment horizontal="center" vertical="center"/>
    </xf>
    <xf numFmtId="178" fontId="0" fillId="0" borderId="0" xfId="1" applyNumberFormat="1" applyFont="1" applyAlignment="1">
      <alignment horizontal="right" vertical="center"/>
    </xf>
    <xf numFmtId="177" fontId="0" fillId="0" borderId="0" xfId="2" applyNumberFormat="1" applyFont="1" applyAlignment="1">
      <alignment horizontal="right" vertical="center"/>
    </xf>
    <xf numFmtId="0" fontId="84" fillId="0" borderId="0" xfId="0" applyFont="1" applyAlignment="1">
      <alignment horizontal="center" vertical="center"/>
    </xf>
    <xf numFmtId="177" fontId="31" fillId="0" borderId="0" xfId="2" applyNumberFormat="1" applyFont="1" applyAlignment="1">
      <alignment horizontal="right" vertical="center"/>
    </xf>
    <xf numFmtId="0" fontId="31" fillId="0" borderId="0" xfId="1" applyNumberFormat="1" applyFont="1" applyAlignment="1">
      <alignment horizontal="center" vertical="center"/>
    </xf>
    <xf numFmtId="178" fontId="31" fillId="0" borderId="0" xfId="1" applyNumberFormat="1" applyFont="1" applyAlignment="1">
      <alignment horizontal="right" vertical="center"/>
    </xf>
    <xf numFmtId="38" fontId="3" fillId="0" borderId="23" xfId="1" applyFont="1" applyBorder="1" applyAlignment="1">
      <alignment vertical="center"/>
    </xf>
    <xf numFmtId="38" fontId="20" fillId="0" borderId="0" xfId="1" applyFont="1" applyAlignment="1">
      <alignment vertical="center"/>
    </xf>
    <xf numFmtId="10" fontId="31" fillId="0" borderId="0" xfId="2" applyNumberFormat="1" applyFont="1" applyAlignment="1">
      <alignment vertical="center"/>
    </xf>
    <xf numFmtId="0" fontId="53" fillId="0" borderId="0" xfId="0" applyFont="1" applyAlignment="1">
      <alignment horizontal="left" vertical="top" wrapText="1"/>
    </xf>
    <xf numFmtId="56" fontId="0" fillId="0" borderId="0" xfId="0" applyNumberFormat="1" applyAlignment="1">
      <alignment horizontal="right"/>
    </xf>
    <xf numFmtId="0" fontId="38" fillId="0" borderId="0" xfId="0" applyFont="1" applyAlignment="1">
      <alignment horizontal="center" vertical="center"/>
    </xf>
    <xf numFmtId="38" fontId="31" fillId="0" borderId="0" xfId="0" applyNumberFormat="1" applyFont="1" applyAlignment="1">
      <alignment vertical="center"/>
    </xf>
    <xf numFmtId="38" fontId="43" fillId="0" borderId="20" xfId="0" applyNumberFormat="1" applyFont="1" applyBorder="1" applyAlignment="1">
      <alignment vertical="center"/>
    </xf>
    <xf numFmtId="0" fontId="31" fillId="0" borderId="0" xfId="0" applyFont="1" applyAlignment="1">
      <alignment horizontal="center" vertical="center"/>
    </xf>
    <xf numFmtId="179" fontId="29" fillId="0" borderId="63" xfId="0" applyNumberFormat="1" applyFont="1" applyBorder="1" applyAlignment="1">
      <alignment vertical="center"/>
    </xf>
    <xf numFmtId="176" fontId="3" fillId="13" borderId="3" xfId="0" applyNumberFormat="1" applyFont="1" applyFill="1" applyBorder="1" applyAlignment="1">
      <alignment horizontal="center" vertical="center"/>
    </xf>
    <xf numFmtId="176" fontId="48" fillId="12" borderId="67" xfId="0" applyNumberFormat="1" applyFont="1" applyFill="1" applyBorder="1" applyAlignment="1">
      <alignment horizontal="center" vertical="center"/>
    </xf>
    <xf numFmtId="176" fontId="3" fillId="19" borderId="3" xfId="0" applyNumberFormat="1" applyFont="1" applyFill="1" applyBorder="1" applyAlignment="1">
      <alignment horizontal="center" vertical="center"/>
    </xf>
    <xf numFmtId="178" fontId="60" fillId="0" borderId="0" xfId="1" applyNumberFormat="1" applyFont="1" applyFill="1" applyBorder="1" applyAlignment="1"/>
    <xf numFmtId="38" fontId="47" fillId="0" borderId="0" xfId="1" applyFont="1" applyFill="1" applyBorder="1" applyAlignment="1"/>
    <xf numFmtId="38" fontId="31" fillId="0" borderId="0" xfId="1" applyFont="1" applyFill="1" applyBorder="1" applyAlignment="1">
      <alignment vertical="center"/>
    </xf>
    <xf numFmtId="38" fontId="31" fillId="0" borderId="0" xfId="1" applyFont="1" applyFill="1" applyBorder="1" applyAlignment="1"/>
    <xf numFmtId="38" fontId="47" fillId="0" borderId="0" xfId="1" applyFont="1" applyFill="1" applyBorder="1" applyAlignment="1">
      <alignment vertical="center"/>
    </xf>
    <xf numFmtId="177" fontId="31" fillId="0" borderId="0" xfId="2" applyNumberFormat="1" applyFont="1" applyFill="1" applyBorder="1" applyAlignment="1"/>
    <xf numFmtId="0" fontId="85" fillId="0" borderId="0" xfId="0" applyFont="1" applyAlignment="1">
      <alignment horizontal="center"/>
    </xf>
    <xf numFmtId="38" fontId="85" fillId="0" borderId="0" xfId="1" applyFont="1" applyFill="1" applyBorder="1" applyAlignment="1"/>
    <xf numFmtId="0" fontId="85" fillId="0" borderId="0" xfId="0" applyFont="1" applyAlignment="1">
      <alignment horizontal="right"/>
    </xf>
    <xf numFmtId="0" fontId="85" fillId="0" borderId="0" xfId="0" applyFont="1"/>
    <xf numFmtId="0" fontId="51" fillId="0" borderId="0" xfId="0" applyFont="1" applyAlignment="1">
      <alignment horizontal="left" vertical="center"/>
    </xf>
    <xf numFmtId="0" fontId="51" fillId="0" borderId="0" xfId="0" applyFont="1" applyAlignment="1">
      <alignment horizontal="center"/>
    </xf>
    <xf numFmtId="38" fontId="51" fillId="0" borderId="0" xfId="1" applyFont="1" applyFill="1" applyBorder="1" applyAlignment="1"/>
    <xf numFmtId="0" fontId="51" fillId="0" borderId="0" xfId="0" applyFont="1" applyAlignment="1">
      <alignment horizontal="right"/>
    </xf>
    <xf numFmtId="0" fontId="51" fillId="0" borderId="0" xfId="0" applyFont="1"/>
    <xf numFmtId="178" fontId="51" fillId="0" borderId="0" xfId="1" applyNumberFormat="1" applyFont="1" applyFill="1" applyBorder="1" applyAlignment="1"/>
    <xf numFmtId="176" fontId="51" fillId="0" borderId="0" xfId="0" applyNumberFormat="1" applyFont="1"/>
    <xf numFmtId="38" fontId="86" fillId="0" borderId="0" xfId="1" applyFont="1" applyFill="1" applyBorder="1" applyAlignment="1"/>
    <xf numFmtId="38" fontId="51" fillId="0" borderId="0" xfId="1" applyFont="1" applyFill="1" applyBorder="1" applyAlignment="1">
      <alignment vertical="center"/>
    </xf>
    <xf numFmtId="38" fontId="86" fillId="0" borderId="0" xfId="1" applyFont="1" applyFill="1" applyBorder="1" applyAlignment="1">
      <alignment vertical="center"/>
    </xf>
    <xf numFmtId="0" fontId="87" fillId="0" borderId="0" xfId="0" applyFont="1"/>
    <xf numFmtId="177" fontId="51" fillId="0" borderId="0" xfId="2" applyNumberFormat="1" applyFont="1" applyFill="1" applyBorder="1" applyAlignment="1"/>
    <xf numFmtId="177" fontId="31" fillId="0" borderId="0" xfId="2" applyNumberFormat="1" applyFont="1" applyAlignment="1"/>
    <xf numFmtId="2" fontId="88" fillId="0" borderId="0" xfId="0" applyNumberFormat="1" applyFont="1"/>
    <xf numFmtId="38" fontId="31" fillId="0" borderId="20" xfId="0" applyNumberFormat="1" applyFont="1" applyBorder="1" applyAlignment="1">
      <alignment vertical="center"/>
    </xf>
    <xf numFmtId="38" fontId="31" fillId="0" borderId="0" xfId="0" applyNumberFormat="1" applyFont="1"/>
    <xf numFmtId="38" fontId="31" fillId="0" borderId="0" xfId="1" applyFont="1" applyAlignment="1"/>
    <xf numFmtId="178" fontId="31" fillId="0" borderId="0" xfId="1" applyNumberFormat="1" applyFont="1" applyAlignment="1"/>
    <xf numFmtId="178" fontId="85" fillId="0" borderId="0" xfId="1" applyNumberFormat="1" applyFont="1" applyFill="1" applyBorder="1" applyAlignment="1"/>
    <xf numFmtId="181" fontId="31" fillId="5" borderId="0" xfId="0" applyNumberFormat="1" applyFont="1" applyFill="1"/>
    <xf numFmtId="177" fontId="31" fillId="5" borderId="0" xfId="2" applyNumberFormat="1" applyFont="1" applyFill="1" applyAlignment="1"/>
    <xf numFmtId="0" fontId="31" fillId="0" borderId="0" xfId="0" applyFont="1" applyAlignment="1">
      <alignment vertical="center"/>
    </xf>
    <xf numFmtId="38" fontId="0" fillId="0" borderId="3" xfId="0" applyNumberFormat="1" applyBorder="1" applyAlignment="1">
      <alignment vertical="center"/>
    </xf>
    <xf numFmtId="38" fontId="0" fillId="0" borderId="3" xfId="1" applyFont="1" applyBorder="1" applyAlignment="1">
      <alignment vertical="center"/>
    </xf>
    <xf numFmtId="38" fontId="0" fillId="0" borderId="44" xfId="1" applyFont="1" applyBorder="1" applyAlignment="1">
      <alignment vertical="center"/>
    </xf>
    <xf numFmtId="38" fontId="31" fillId="0" borderId="46" xfId="0" applyNumberFormat="1" applyFont="1" applyBorder="1" applyAlignment="1">
      <alignment vertical="center"/>
    </xf>
    <xf numFmtId="38" fontId="0" fillId="0" borderId="11" xfId="1" applyFont="1" applyBorder="1" applyAlignment="1">
      <alignment vertical="center"/>
    </xf>
    <xf numFmtId="38" fontId="0" fillId="0" borderId="4" xfId="1" applyFont="1" applyBorder="1" applyAlignment="1">
      <alignment vertical="center"/>
    </xf>
    <xf numFmtId="38" fontId="0" fillId="0" borderId="67" xfId="0" applyNumberFormat="1" applyBorder="1" applyAlignment="1">
      <alignment vertical="center"/>
    </xf>
    <xf numFmtId="38" fontId="0" fillId="0" borderId="67" xfId="1" applyFont="1" applyBorder="1" applyAlignment="1">
      <alignment vertical="center"/>
    </xf>
    <xf numFmtId="38" fontId="0" fillId="0" borderId="23" xfId="1" applyFont="1" applyBorder="1" applyAlignment="1">
      <alignment vertical="center"/>
    </xf>
    <xf numFmtId="38" fontId="0" fillId="0" borderId="47" xfId="1" applyFont="1" applyBorder="1" applyAlignment="1">
      <alignment vertical="center"/>
    </xf>
    <xf numFmtId="38" fontId="0" fillId="0" borderId="3" xfId="1" applyFont="1" applyBorder="1" applyAlignment="1"/>
    <xf numFmtId="38" fontId="0" fillId="0" borderId="8" xfId="1" applyFont="1" applyBorder="1" applyAlignment="1"/>
    <xf numFmtId="38" fontId="0" fillId="0" borderId="85" xfId="1" applyFont="1" applyBorder="1" applyAlignment="1">
      <alignment vertical="center"/>
    </xf>
    <xf numFmtId="0" fontId="51" fillId="0" borderId="43" xfId="0" applyFont="1" applyBorder="1" applyAlignment="1">
      <alignment horizontal="right" vertical="center"/>
    </xf>
    <xf numFmtId="0" fontId="51" fillId="0" borderId="3" xfId="0" applyFont="1" applyBorder="1" applyAlignment="1">
      <alignment horizontal="center" vertical="center"/>
    </xf>
    <xf numFmtId="0" fontId="51" fillId="0" borderId="81" xfId="0" applyFont="1" applyBorder="1" applyAlignment="1">
      <alignment horizontal="right" vertical="center"/>
    </xf>
    <xf numFmtId="0" fontId="51" fillId="0" borderId="67" xfId="0" applyFont="1" applyBorder="1" applyAlignment="1">
      <alignment horizontal="center" vertical="center"/>
    </xf>
    <xf numFmtId="38" fontId="31" fillId="2" borderId="83" xfId="0" applyNumberFormat="1" applyFont="1" applyFill="1" applyBorder="1" applyAlignment="1">
      <alignment vertical="center"/>
    </xf>
    <xf numFmtId="38" fontId="0" fillId="2" borderId="84" xfId="1" applyFont="1" applyFill="1" applyBorder="1" applyAlignment="1">
      <alignment vertical="center"/>
    </xf>
    <xf numFmtId="38" fontId="0" fillId="2" borderId="86" xfId="1" applyFont="1" applyFill="1" applyBorder="1" applyAlignment="1">
      <alignment vertical="center"/>
    </xf>
    <xf numFmtId="38" fontId="31" fillId="20" borderId="3" xfId="0" applyNumberFormat="1" applyFont="1" applyFill="1" applyBorder="1" applyAlignment="1">
      <alignment vertical="center"/>
    </xf>
    <xf numFmtId="38" fontId="0" fillId="20" borderId="80" xfId="1" applyFont="1" applyFill="1" applyBorder="1" applyAlignment="1">
      <alignment vertical="center"/>
    </xf>
    <xf numFmtId="38" fontId="0" fillId="20" borderId="44" xfId="1" applyFont="1" applyFill="1" applyBorder="1" applyAlignment="1">
      <alignment vertical="center"/>
    </xf>
    <xf numFmtId="38" fontId="31" fillId="20" borderId="43" xfId="0" applyNumberFormat="1" applyFont="1" applyFill="1" applyBorder="1" applyAlignment="1">
      <alignment vertical="center"/>
    </xf>
    <xf numFmtId="177" fontId="31" fillId="20" borderId="3" xfId="2" applyNumberFormat="1" applyFont="1" applyFill="1" applyBorder="1" applyAlignment="1">
      <alignment vertical="center"/>
    </xf>
    <xf numFmtId="38" fontId="31" fillId="0" borderId="45" xfId="0" applyNumberFormat="1" applyFont="1" applyBorder="1" applyAlignment="1">
      <alignment vertical="center"/>
    </xf>
    <xf numFmtId="177" fontId="31" fillId="0" borderId="46" xfId="2" applyNumberFormat="1" applyFont="1" applyBorder="1" applyAlignment="1">
      <alignment vertical="center"/>
    </xf>
    <xf numFmtId="177" fontId="31" fillId="0" borderId="47" xfId="2" applyNumberFormat="1" applyFont="1" applyBorder="1" applyAlignment="1">
      <alignment vertical="center"/>
    </xf>
    <xf numFmtId="38" fontId="31" fillId="2" borderId="82" xfId="0" applyNumberFormat="1" applyFont="1" applyFill="1" applyBorder="1" applyAlignment="1">
      <alignment vertical="center"/>
    </xf>
    <xf numFmtId="177" fontId="31" fillId="2" borderId="83" xfId="2" applyNumberFormat="1" applyFont="1" applyFill="1" applyBorder="1" applyAlignment="1">
      <alignment vertical="center"/>
    </xf>
    <xf numFmtId="177" fontId="31" fillId="2" borderId="86" xfId="2" applyNumberFormat="1" applyFont="1" applyFill="1" applyBorder="1" applyAlignment="1">
      <alignment vertical="center"/>
    </xf>
    <xf numFmtId="177" fontId="31" fillId="20" borderId="44" xfId="2" applyNumberFormat="1" applyFont="1" applyFill="1" applyBorder="1" applyAlignment="1">
      <alignment vertical="center"/>
    </xf>
    <xf numFmtId="0" fontId="31" fillId="10" borderId="42" xfId="0" applyFont="1" applyFill="1" applyBorder="1" applyAlignment="1">
      <alignment horizontal="right" vertical="center"/>
    </xf>
    <xf numFmtId="0" fontId="31" fillId="10" borderId="69" xfId="0" applyFont="1" applyFill="1" applyBorder="1" applyAlignment="1">
      <alignment horizontal="center" vertical="center"/>
    </xf>
    <xf numFmtId="0" fontId="31" fillId="10" borderId="77" xfId="0" applyFont="1" applyFill="1" applyBorder="1" applyAlignment="1">
      <alignment horizontal="center" vertical="center"/>
    </xf>
    <xf numFmtId="0" fontId="31" fillId="10" borderId="42" xfId="0" applyFont="1" applyFill="1" applyBorder="1" applyAlignment="1">
      <alignment horizontal="center" vertical="center"/>
    </xf>
    <xf numFmtId="0" fontId="31" fillId="10" borderId="78" xfId="0" applyFont="1" applyFill="1" applyBorder="1" applyAlignment="1">
      <alignment horizontal="center" vertical="center"/>
    </xf>
    <xf numFmtId="0" fontId="31" fillId="10" borderId="62" xfId="0" applyFont="1" applyFill="1" applyBorder="1" applyAlignment="1">
      <alignment horizontal="center" vertical="center"/>
    </xf>
    <xf numFmtId="38" fontId="47" fillId="0" borderId="43" xfId="0" applyNumberFormat="1" applyFont="1" applyBorder="1" applyAlignment="1">
      <alignment vertical="center"/>
    </xf>
    <xf numFmtId="177" fontId="47" fillId="0" borderId="3" xfId="2" applyNumberFormat="1" applyFont="1" applyBorder="1" applyAlignment="1">
      <alignment vertical="center"/>
    </xf>
    <xf numFmtId="38" fontId="47" fillId="0" borderId="3" xfId="0" applyNumberFormat="1" applyFont="1" applyBorder="1" applyAlignment="1">
      <alignment vertical="center"/>
    </xf>
    <xf numFmtId="177" fontId="47" fillId="0" borderId="44" xfId="2" applyNumberFormat="1" applyFont="1" applyBorder="1" applyAlignment="1">
      <alignment vertical="center"/>
    </xf>
    <xf numFmtId="38" fontId="47" fillId="0" borderId="81" xfId="0" applyNumberFormat="1" applyFont="1" applyBorder="1" applyAlignment="1">
      <alignment vertical="center"/>
    </xf>
    <xf numFmtId="177" fontId="47" fillId="0" borderId="67" xfId="2" applyNumberFormat="1" applyFont="1" applyBorder="1" applyAlignment="1">
      <alignment vertical="center"/>
    </xf>
    <xf numFmtId="38" fontId="47" fillId="0" borderId="67" xfId="0" applyNumberFormat="1" applyFont="1" applyBorder="1" applyAlignment="1">
      <alignment vertical="center"/>
    </xf>
    <xf numFmtId="177" fontId="47" fillId="0" borderId="85" xfId="2" applyNumberFormat="1" applyFont="1" applyBorder="1" applyAlignment="1">
      <alignment vertical="center"/>
    </xf>
    <xf numFmtId="0" fontId="31" fillId="0" borderId="3" xfId="0" applyFont="1" applyBorder="1" applyAlignment="1">
      <alignment vertical="center"/>
    </xf>
    <xf numFmtId="177" fontId="31" fillId="0" borderId="3" xfId="0" applyNumberFormat="1" applyFont="1" applyBorder="1" applyAlignment="1">
      <alignment vertical="center"/>
    </xf>
    <xf numFmtId="0" fontId="90" fillId="12" borderId="3" xfId="0" applyFont="1" applyFill="1" applyBorder="1" applyAlignment="1">
      <alignment vertical="center"/>
    </xf>
    <xf numFmtId="0" fontId="85" fillId="12" borderId="3" xfId="0" applyFont="1" applyFill="1" applyBorder="1" applyAlignment="1">
      <alignment vertical="center"/>
    </xf>
    <xf numFmtId="0" fontId="85" fillId="21" borderId="3" xfId="0" applyFont="1" applyFill="1" applyBorder="1" applyAlignment="1">
      <alignment vertical="center"/>
    </xf>
    <xf numFmtId="0" fontId="92" fillId="0" borderId="0" xfId="0" applyFont="1" applyAlignment="1">
      <alignment vertical="center"/>
    </xf>
    <xf numFmtId="0" fontId="91" fillId="0" borderId="0" xfId="0" applyFont="1" applyAlignment="1">
      <alignment vertical="center"/>
    </xf>
    <xf numFmtId="0" fontId="38" fillId="6" borderId="3" xfId="0" applyFont="1" applyFill="1" applyBorder="1" applyAlignment="1">
      <alignment vertical="center"/>
    </xf>
    <xf numFmtId="0" fontId="47" fillId="6" borderId="3" xfId="0" applyFont="1" applyFill="1" applyBorder="1" applyAlignment="1">
      <alignment vertical="center"/>
    </xf>
    <xf numFmtId="0" fontId="47" fillId="13" borderId="3" xfId="0" applyFont="1" applyFill="1" applyBorder="1" applyAlignment="1">
      <alignment vertical="center"/>
    </xf>
    <xf numFmtId="0" fontId="38" fillId="13" borderId="3" xfId="0" applyFont="1" applyFill="1" applyBorder="1" applyAlignment="1">
      <alignment vertical="center"/>
    </xf>
    <xf numFmtId="182" fontId="31" fillId="0" borderId="3" xfId="0" applyNumberFormat="1" applyFont="1" applyBorder="1" applyAlignment="1">
      <alignment vertical="center"/>
    </xf>
    <xf numFmtId="177" fontId="47" fillId="0" borderId="3" xfId="2" applyNumberFormat="1" applyFont="1" applyFill="1" applyBorder="1" applyAlignment="1">
      <alignment vertical="center"/>
    </xf>
    <xf numFmtId="177" fontId="89" fillId="0" borderId="3" xfId="2" applyNumberFormat="1" applyFont="1" applyBorder="1" applyAlignment="1">
      <alignment vertical="center"/>
    </xf>
    <xf numFmtId="177" fontId="94" fillId="0" borderId="3" xfId="2" applyNumberFormat="1" applyFont="1" applyBorder="1" applyAlignment="1">
      <alignment vertical="center"/>
    </xf>
    <xf numFmtId="0" fontId="90" fillId="10" borderId="3" xfId="0" applyFont="1" applyFill="1" applyBorder="1" applyAlignment="1">
      <alignment horizontal="center" vertical="center"/>
    </xf>
    <xf numFmtId="182" fontId="47" fillId="6" borderId="3" xfId="0" applyNumberFormat="1" applyFont="1" applyFill="1" applyBorder="1" applyAlignment="1">
      <alignment vertical="center"/>
    </xf>
    <xf numFmtId="182" fontId="47" fillId="13" borderId="3" xfId="0" applyNumberFormat="1" applyFont="1" applyFill="1" applyBorder="1" applyAlignment="1">
      <alignment vertical="center"/>
    </xf>
    <xf numFmtId="180" fontId="3" fillId="0" borderId="3" xfId="0" applyNumberFormat="1" applyFont="1" applyBorder="1" applyAlignment="1">
      <alignment vertical="center"/>
    </xf>
    <xf numFmtId="0" fontId="47" fillId="0" borderId="54" xfId="0" applyFont="1" applyBorder="1" applyAlignment="1">
      <alignment horizontal="center" vertical="center"/>
    </xf>
    <xf numFmtId="38" fontId="0" fillId="0" borderId="4" xfId="1" applyFont="1" applyBorder="1" applyAlignment="1">
      <alignment horizontal="right" vertical="center"/>
    </xf>
    <xf numFmtId="178" fontId="31" fillId="0" borderId="50" xfId="1" applyNumberFormat="1" applyFont="1" applyBorder="1" applyAlignment="1">
      <alignment horizontal="right" vertical="center"/>
    </xf>
    <xf numFmtId="38" fontId="41" fillId="8" borderId="3" xfId="1" applyFont="1" applyFill="1" applyBorder="1" applyAlignment="1">
      <alignment horizontal="right" vertical="center"/>
    </xf>
    <xf numFmtId="0" fontId="41" fillId="0" borderId="0" xfId="0" applyFont="1"/>
    <xf numFmtId="0" fontId="39" fillId="0" borderId="0" xfId="0" applyFont="1"/>
    <xf numFmtId="0" fontId="51" fillId="0" borderId="0" xfId="0" applyFont="1" applyAlignment="1">
      <alignment vertical="center"/>
    </xf>
    <xf numFmtId="178" fontId="31" fillId="0" borderId="0" xfId="1" applyNumberFormat="1" applyFont="1" applyAlignment="1">
      <alignment vertical="center"/>
    </xf>
    <xf numFmtId="10" fontId="38" fillId="0" borderId="0" xfId="2" applyNumberFormat="1" applyFont="1" applyAlignment="1"/>
    <xf numFmtId="1" fontId="0" fillId="0" borderId="0" xfId="0" applyNumberFormat="1"/>
    <xf numFmtId="0" fontId="85" fillId="0" borderId="0" xfId="0" applyFont="1" applyAlignment="1">
      <alignment horizontal="center"/>
    </xf>
    <xf numFmtId="0" fontId="52" fillId="0" borderId="70" xfId="0" applyFont="1" applyBorder="1" applyAlignment="1">
      <alignment horizontal="left" vertical="top" wrapText="1"/>
    </xf>
    <xf numFmtId="0" fontId="52" fillId="0" borderId="23" xfId="0" applyFont="1" applyBorder="1" applyAlignment="1">
      <alignment horizontal="left" vertical="top" wrapText="1"/>
    </xf>
    <xf numFmtId="0" fontId="52" fillId="0" borderId="71" xfId="0" applyFont="1" applyBorder="1" applyAlignment="1">
      <alignment horizontal="left" vertical="top" wrapText="1"/>
    </xf>
    <xf numFmtId="0" fontId="52" fillId="0" borderId="22" xfId="0" applyFont="1" applyBorder="1" applyAlignment="1">
      <alignment horizontal="left" vertical="top" wrapText="1"/>
    </xf>
    <xf numFmtId="0" fontId="52" fillId="0" borderId="0" xfId="0" applyFont="1" applyAlignment="1">
      <alignment horizontal="left" vertical="top" wrapText="1"/>
    </xf>
    <xf numFmtId="0" fontId="52" fillId="0" borderId="72" xfId="0" applyFont="1" applyBorder="1" applyAlignment="1">
      <alignment horizontal="left" vertical="top" wrapText="1"/>
    </xf>
    <xf numFmtId="0" fontId="52" fillId="0" borderId="54" xfId="0" applyFont="1" applyBorder="1" applyAlignment="1">
      <alignment horizontal="left" vertical="top" wrapText="1"/>
    </xf>
    <xf numFmtId="0" fontId="52" fillId="0" borderId="10" xfId="0" applyFont="1" applyBorder="1" applyAlignment="1">
      <alignment horizontal="left" vertical="top" wrapText="1"/>
    </xf>
    <xf numFmtId="0" fontId="52" fillId="0" borderId="53" xfId="0" applyFont="1" applyBorder="1" applyAlignment="1">
      <alignment horizontal="left" vertical="top" wrapText="1"/>
    </xf>
    <xf numFmtId="0" fontId="58" fillId="0" borderId="70" xfId="0" applyFont="1" applyBorder="1" applyAlignment="1">
      <alignment horizontal="left" vertical="top" wrapText="1"/>
    </xf>
    <xf numFmtId="0" fontId="58" fillId="0" borderId="23" xfId="0" applyFont="1" applyBorder="1" applyAlignment="1">
      <alignment horizontal="left" vertical="top" wrapText="1"/>
    </xf>
    <xf numFmtId="0" fontId="58" fillId="0" borderId="71" xfId="0" applyFont="1" applyBorder="1" applyAlignment="1">
      <alignment horizontal="left" vertical="top" wrapText="1"/>
    </xf>
    <xf numFmtId="0" fontId="58" fillId="0" borderId="22" xfId="0" applyFont="1" applyBorder="1" applyAlignment="1">
      <alignment horizontal="left" vertical="top" wrapText="1"/>
    </xf>
    <xf numFmtId="0" fontId="58" fillId="0" borderId="0" xfId="0" applyFont="1" applyAlignment="1">
      <alignment horizontal="left" vertical="top" wrapText="1"/>
    </xf>
    <xf numFmtId="0" fontId="58" fillId="0" borderId="72" xfId="0" applyFont="1" applyBorder="1" applyAlignment="1">
      <alignment horizontal="left" vertical="top" wrapText="1"/>
    </xf>
    <xf numFmtId="0" fontId="58" fillId="0" borderId="54" xfId="0" applyFont="1" applyBorder="1" applyAlignment="1">
      <alignment horizontal="left" vertical="top" wrapText="1"/>
    </xf>
    <xf numFmtId="0" fontId="58" fillId="0" borderId="10" xfId="0" applyFont="1" applyBorder="1" applyAlignment="1">
      <alignment horizontal="left" vertical="top" wrapText="1"/>
    </xf>
    <xf numFmtId="0" fontId="58" fillId="0" borderId="53" xfId="0" applyFont="1" applyBorder="1" applyAlignment="1">
      <alignment horizontal="left" vertical="top" wrapText="1"/>
    </xf>
    <xf numFmtId="0" fontId="68" fillId="0" borderId="70" xfId="0" applyFont="1" applyBorder="1" applyAlignment="1">
      <alignment horizontal="left" vertical="top" wrapText="1"/>
    </xf>
    <xf numFmtId="0" fontId="69" fillId="0" borderId="23" xfId="0" applyFont="1" applyBorder="1" applyAlignment="1">
      <alignment horizontal="left" vertical="top" wrapText="1"/>
    </xf>
    <xf numFmtId="0" fontId="69" fillId="0" borderId="71" xfId="0" applyFont="1" applyBorder="1" applyAlignment="1">
      <alignment horizontal="left" vertical="top" wrapText="1"/>
    </xf>
    <xf numFmtId="0" fontId="69" fillId="0" borderId="22" xfId="0" applyFont="1" applyBorder="1" applyAlignment="1">
      <alignment horizontal="left" vertical="top" wrapText="1"/>
    </xf>
    <xf numFmtId="0" fontId="69" fillId="0" borderId="0" xfId="0" applyFont="1" applyAlignment="1">
      <alignment horizontal="left" vertical="top" wrapText="1"/>
    </xf>
    <xf numFmtId="0" fontId="69" fillId="0" borderId="72" xfId="0" applyFont="1" applyBorder="1" applyAlignment="1">
      <alignment horizontal="left" vertical="top" wrapText="1"/>
    </xf>
    <xf numFmtId="0" fontId="69" fillId="0" borderId="54" xfId="0" applyFont="1" applyBorder="1" applyAlignment="1">
      <alignment horizontal="left" vertical="top" wrapText="1"/>
    </xf>
    <xf numFmtId="0" fontId="69" fillId="0" borderId="10" xfId="0" applyFont="1" applyBorder="1" applyAlignment="1">
      <alignment horizontal="left" vertical="top" wrapText="1"/>
    </xf>
    <xf numFmtId="0" fontId="69" fillId="0" borderId="53" xfId="0" applyFont="1" applyBorder="1" applyAlignment="1">
      <alignment horizontal="left" vertical="top" wrapText="1"/>
    </xf>
    <xf numFmtId="0" fontId="54" fillId="0" borderId="70" xfId="0" applyFont="1" applyBorder="1" applyAlignment="1">
      <alignment horizontal="left" vertical="top" wrapText="1"/>
    </xf>
    <xf numFmtId="0" fontId="55" fillId="0" borderId="23" xfId="0" applyFont="1" applyBorder="1" applyAlignment="1">
      <alignment horizontal="left" vertical="top" wrapText="1"/>
    </xf>
    <xf numFmtId="0" fontId="55" fillId="0" borderId="71" xfId="0" applyFont="1" applyBorder="1" applyAlignment="1">
      <alignment horizontal="left" vertical="top" wrapText="1"/>
    </xf>
    <xf numFmtId="0" fontId="55" fillId="0" borderId="22" xfId="0" applyFont="1" applyBorder="1" applyAlignment="1">
      <alignment horizontal="left" vertical="top" wrapText="1"/>
    </xf>
    <xf numFmtId="0" fontId="55" fillId="0" borderId="0" xfId="0" applyFont="1" applyAlignment="1">
      <alignment horizontal="left" vertical="top" wrapText="1"/>
    </xf>
    <xf numFmtId="0" fontId="55" fillId="0" borderId="72" xfId="0" applyFont="1" applyBorder="1" applyAlignment="1">
      <alignment horizontal="left" vertical="top" wrapText="1"/>
    </xf>
    <xf numFmtId="0" fontId="55" fillId="0" borderId="54" xfId="0" applyFont="1" applyBorder="1" applyAlignment="1">
      <alignment horizontal="left" vertical="top" wrapText="1"/>
    </xf>
    <xf numFmtId="0" fontId="55" fillId="0" borderId="10" xfId="0" applyFont="1" applyBorder="1" applyAlignment="1">
      <alignment horizontal="left" vertical="top" wrapText="1"/>
    </xf>
    <xf numFmtId="0" fontId="55" fillId="0" borderId="53" xfId="0" applyFont="1" applyBorder="1" applyAlignment="1">
      <alignment horizontal="left" vertical="top" wrapText="1"/>
    </xf>
    <xf numFmtId="0" fontId="53" fillId="0" borderId="10" xfId="0" applyFont="1" applyBorder="1" applyAlignment="1">
      <alignment horizontal="left" vertical="top" wrapText="1"/>
    </xf>
    <xf numFmtId="0" fontId="0" fillId="0" borderId="0" xfId="0" applyAlignment="1">
      <alignment horizontal="center" vertical="center"/>
    </xf>
    <xf numFmtId="0" fontId="31" fillId="10" borderId="87" xfId="0" applyFont="1" applyFill="1" applyBorder="1" applyAlignment="1">
      <alignment horizontal="center" vertical="center"/>
    </xf>
    <xf numFmtId="0" fontId="31" fillId="10" borderId="88" xfId="0" applyFont="1" applyFill="1" applyBorder="1" applyAlignment="1">
      <alignment horizontal="center" vertical="center"/>
    </xf>
    <xf numFmtId="0" fontId="31" fillId="10" borderId="78" xfId="0" applyFont="1" applyFill="1" applyBorder="1" applyAlignment="1">
      <alignment horizontal="center" vertical="center"/>
    </xf>
    <xf numFmtId="0" fontId="31" fillId="10" borderId="79" xfId="0" applyFont="1" applyFill="1" applyBorder="1" applyAlignment="1">
      <alignment horizontal="center" vertical="center"/>
    </xf>
    <xf numFmtId="0" fontId="51" fillId="2" borderId="82" xfId="0" applyFont="1" applyFill="1" applyBorder="1" applyAlignment="1">
      <alignment horizontal="center" vertical="center"/>
    </xf>
    <xf numFmtId="0" fontId="51" fillId="2" borderId="83" xfId="0" applyFont="1" applyFill="1" applyBorder="1" applyAlignment="1">
      <alignment horizontal="center" vertical="center"/>
    </xf>
    <xf numFmtId="0" fontId="51" fillId="20" borderId="43" xfId="0" applyFont="1" applyFill="1" applyBorder="1" applyAlignment="1">
      <alignment horizontal="center" vertical="center"/>
    </xf>
    <xf numFmtId="0" fontId="51" fillId="20" borderId="3" xfId="0" applyFont="1" applyFill="1" applyBorder="1" applyAlignment="1">
      <alignment horizontal="center" vertical="center"/>
    </xf>
    <xf numFmtId="0" fontId="51" fillId="0" borderId="45" xfId="0" applyFont="1" applyBorder="1" applyAlignment="1">
      <alignment horizontal="center" vertical="center"/>
    </xf>
    <xf numFmtId="0" fontId="51" fillId="0" borderId="46" xfId="0" applyFont="1" applyBorder="1" applyAlignment="1">
      <alignment horizontal="center" vertical="center"/>
    </xf>
    <xf numFmtId="0" fontId="31" fillId="0" borderId="0" xfId="0" applyFont="1" applyAlignment="1">
      <alignment horizontal="center"/>
    </xf>
    <xf numFmtId="0" fontId="51" fillId="0" borderId="0" xfId="0" applyFont="1" applyAlignment="1">
      <alignment horizontal="center"/>
    </xf>
    <xf numFmtId="0" fontId="37" fillId="22" borderId="4" xfId="0" applyFont="1" applyFill="1" applyBorder="1" applyAlignment="1">
      <alignment horizontal="center" vertical="center"/>
    </xf>
    <xf numFmtId="0" fontId="37" fillId="22" borderId="11" xfId="0" applyFont="1" applyFill="1" applyBorder="1" applyAlignment="1">
      <alignment horizontal="center" vertical="center"/>
    </xf>
    <xf numFmtId="0" fontId="37" fillId="22" borderId="40" xfId="0" applyFont="1" applyFill="1" applyBorder="1" applyAlignment="1">
      <alignment horizontal="center" vertical="center"/>
    </xf>
    <xf numFmtId="0" fontId="85" fillId="0" borderId="3" xfId="0" applyFont="1" applyBorder="1" applyAlignment="1">
      <alignment horizontal="center" vertical="center" textRotation="255"/>
    </xf>
    <xf numFmtId="0" fontId="93" fillId="0" borderId="3" xfId="0" applyFont="1" applyBorder="1" applyAlignment="1">
      <alignment horizontal="center" vertical="center"/>
    </xf>
    <xf numFmtId="0" fontId="90" fillId="10" borderId="3" xfId="0" applyFont="1" applyFill="1" applyBorder="1" applyAlignment="1">
      <alignment horizontal="center" vertical="center"/>
    </xf>
    <xf numFmtId="0" fontId="85" fillId="10" borderId="3" xfId="0" applyFont="1" applyFill="1" applyBorder="1" applyAlignment="1">
      <alignment horizontal="center" vertical="center"/>
    </xf>
    <xf numFmtId="177" fontId="37" fillId="12" borderId="3" xfId="2" applyNumberFormat="1" applyFont="1" applyFill="1" applyBorder="1" applyAlignment="1">
      <alignment horizontal="center" vertical="center"/>
    </xf>
    <xf numFmtId="177" fontId="37" fillId="21" borderId="3" xfId="2" applyNumberFormat="1" applyFont="1" applyFill="1" applyBorder="1" applyAlignment="1">
      <alignment horizontal="center" vertical="center"/>
    </xf>
    <xf numFmtId="183" fontId="31" fillId="0" borderId="4" xfId="0" applyNumberFormat="1" applyFont="1" applyBorder="1" applyAlignment="1">
      <alignment horizontal="center" vertical="center"/>
    </xf>
    <xf numFmtId="183" fontId="31" fillId="0" borderId="40" xfId="0" applyNumberFormat="1" applyFont="1" applyBorder="1" applyAlignment="1">
      <alignment horizontal="center" vertical="center"/>
    </xf>
    <xf numFmtId="2" fontId="31" fillId="0" borderId="3" xfId="0" applyNumberFormat="1" applyFont="1" applyBorder="1" applyAlignment="1">
      <alignment horizontal="center" vertical="center"/>
    </xf>
    <xf numFmtId="0" fontId="85" fillId="21" borderId="3" xfId="0" applyFont="1" applyFill="1" applyBorder="1" applyAlignment="1">
      <alignment horizontal="center" vertical="center"/>
    </xf>
    <xf numFmtId="0" fontId="90" fillId="21" borderId="3" xfId="0" applyFont="1" applyFill="1" applyBorder="1" applyAlignment="1">
      <alignment horizontal="center" vertical="center"/>
    </xf>
    <xf numFmtId="0" fontId="85" fillId="12" borderId="3" xfId="0" applyFont="1" applyFill="1" applyBorder="1" applyAlignment="1">
      <alignment horizontal="center" vertical="center"/>
    </xf>
    <xf numFmtId="0" fontId="85" fillId="12" borderId="3" xfId="0" applyFont="1" applyFill="1" applyBorder="1" applyAlignment="1">
      <alignment horizontal="center" vertical="center" wrapText="1"/>
    </xf>
    <xf numFmtId="177" fontId="89" fillId="21" borderId="3" xfId="2" applyNumberFormat="1" applyFont="1" applyFill="1" applyBorder="1" applyAlignment="1">
      <alignment horizontal="center" vertical="center"/>
    </xf>
    <xf numFmtId="177" fontId="89" fillId="12" borderId="3" xfId="2" applyNumberFormat="1" applyFont="1" applyFill="1" applyBorder="1" applyAlignment="1">
      <alignment horizontal="center" vertical="center"/>
    </xf>
    <xf numFmtId="177" fontId="37" fillId="21" borderId="67" xfId="2" applyNumberFormat="1" applyFont="1" applyFill="1" applyBorder="1" applyAlignment="1">
      <alignment horizontal="center" vertical="center"/>
    </xf>
    <xf numFmtId="177" fontId="37" fillId="21" borderId="68" xfId="2" applyNumberFormat="1" applyFont="1" applyFill="1" applyBorder="1" applyAlignment="1">
      <alignment horizontal="center" vertical="center"/>
    </xf>
    <xf numFmtId="177" fontId="37" fillId="21" borderId="51" xfId="2" applyNumberFormat="1" applyFont="1" applyFill="1" applyBorder="1" applyAlignment="1">
      <alignment horizontal="center" vertical="center"/>
    </xf>
    <xf numFmtId="177" fontId="89" fillId="21" borderId="67" xfId="2" applyNumberFormat="1" applyFont="1" applyFill="1" applyBorder="1" applyAlignment="1">
      <alignment horizontal="center" vertical="center"/>
    </xf>
    <xf numFmtId="177" fontId="89" fillId="21" borderId="68" xfId="2" applyNumberFormat="1" applyFont="1" applyFill="1" applyBorder="1" applyAlignment="1">
      <alignment horizontal="center" vertical="center"/>
    </xf>
    <xf numFmtId="177" fontId="89" fillId="21" borderId="51" xfId="2" applyNumberFormat="1" applyFont="1" applyFill="1" applyBorder="1" applyAlignment="1">
      <alignment horizontal="center" vertical="center"/>
    </xf>
    <xf numFmtId="0" fontId="37" fillId="3" borderId="4" xfId="0" applyFont="1" applyFill="1" applyBorder="1" applyAlignment="1">
      <alignment horizontal="center" vertical="center"/>
    </xf>
    <xf numFmtId="0" fontId="37" fillId="3" borderId="11" xfId="0" applyFont="1" applyFill="1" applyBorder="1" applyAlignment="1">
      <alignment horizontal="center" vertical="center"/>
    </xf>
    <xf numFmtId="0" fontId="37" fillId="3" borderId="40" xfId="0" applyFont="1" applyFill="1" applyBorder="1" applyAlignment="1">
      <alignment horizontal="center" vertical="center"/>
    </xf>
    <xf numFmtId="2" fontId="39" fillId="0" borderId="3" xfId="0" applyNumberFormat="1" applyFont="1" applyBorder="1" applyAlignment="1">
      <alignment horizontal="center" vertical="center"/>
    </xf>
    <xf numFmtId="183" fontId="39" fillId="0" borderId="4" xfId="0" applyNumberFormat="1" applyFont="1" applyBorder="1" applyAlignment="1">
      <alignment horizontal="center" vertical="center"/>
    </xf>
    <xf numFmtId="183" fontId="39" fillId="0" borderId="40" xfId="0" applyNumberFormat="1" applyFont="1" applyBorder="1" applyAlignment="1">
      <alignment horizontal="center" vertical="center"/>
    </xf>
    <xf numFmtId="0" fontId="37" fillId="7" borderId="4" xfId="0" applyFont="1" applyFill="1" applyBorder="1" applyAlignment="1">
      <alignment horizontal="center" vertical="center"/>
    </xf>
    <xf numFmtId="0" fontId="37" fillId="7" borderId="11" xfId="0" applyFont="1" applyFill="1" applyBorder="1" applyAlignment="1">
      <alignment horizontal="center" vertical="center"/>
    </xf>
    <xf numFmtId="0" fontId="37" fillId="7" borderId="40" xfId="0" applyFont="1" applyFill="1" applyBorder="1" applyAlignment="1">
      <alignment horizontal="center" vertical="center"/>
    </xf>
    <xf numFmtId="0" fontId="37" fillId="14" borderId="4" xfId="0" applyFont="1" applyFill="1" applyBorder="1" applyAlignment="1">
      <alignment horizontal="center" vertical="center"/>
    </xf>
    <xf numFmtId="0" fontId="37" fillId="14" borderId="11" xfId="0" applyFont="1" applyFill="1" applyBorder="1" applyAlignment="1">
      <alignment horizontal="center" vertical="center"/>
    </xf>
    <xf numFmtId="0" fontId="37" fillId="14" borderId="40" xfId="0" applyFont="1" applyFill="1" applyBorder="1" applyAlignment="1">
      <alignment horizontal="center" vertical="center"/>
    </xf>
    <xf numFmtId="0" fontId="32" fillId="3" borderId="56" xfId="0" applyFont="1" applyFill="1" applyBorder="1" applyAlignment="1">
      <alignment horizontal="left" vertical="top" wrapText="1"/>
    </xf>
    <xf numFmtId="0" fontId="32" fillId="3" borderId="57" xfId="0" applyFont="1" applyFill="1" applyBorder="1" applyAlignment="1">
      <alignment horizontal="left" vertical="top" wrapText="1"/>
    </xf>
    <xf numFmtId="0" fontId="32" fillId="3" borderId="58" xfId="0" applyFont="1" applyFill="1" applyBorder="1" applyAlignment="1">
      <alignment horizontal="left" vertical="top" wrapText="1"/>
    </xf>
    <xf numFmtId="0" fontId="32" fillId="3" borderId="59" xfId="0" applyFont="1" applyFill="1" applyBorder="1" applyAlignment="1">
      <alignment horizontal="left" vertical="top" wrapText="1"/>
    </xf>
    <xf numFmtId="0" fontId="32" fillId="3" borderId="0" xfId="0" applyFont="1" applyFill="1" applyAlignment="1">
      <alignment horizontal="left" vertical="top" wrapText="1"/>
    </xf>
    <xf numFmtId="0" fontId="32" fillId="3" borderId="38" xfId="0" applyFont="1" applyFill="1" applyBorder="1" applyAlignment="1">
      <alignment horizontal="left" vertical="top" wrapText="1"/>
    </xf>
    <xf numFmtId="0" fontId="32" fillId="3" borderId="60" xfId="0" applyFont="1" applyFill="1" applyBorder="1" applyAlignment="1">
      <alignment horizontal="left" vertical="top" wrapText="1"/>
    </xf>
    <xf numFmtId="0" fontId="32" fillId="3" borderId="61" xfId="0" applyFont="1" applyFill="1" applyBorder="1" applyAlignment="1">
      <alignment horizontal="left" vertical="top" wrapText="1"/>
    </xf>
    <xf numFmtId="0" fontId="32" fillId="3" borderId="39" xfId="0" applyFont="1" applyFill="1" applyBorder="1" applyAlignment="1">
      <alignment horizontal="left" vertical="top" wrapText="1"/>
    </xf>
    <xf numFmtId="38" fontId="31" fillId="7" borderId="35" xfId="1" applyFont="1" applyFill="1" applyBorder="1" applyAlignment="1">
      <alignment horizontal="center" vertical="center"/>
    </xf>
    <xf numFmtId="38" fontId="31" fillId="7" borderId="36" xfId="1" applyFont="1" applyFill="1" applyBorder="1" applyAlignment="1">
      <alignment horizontal="center" vertical="center"/>
    </xf>
    <xf numFmtId="38" fontId="31" fillId="7" borderId="37" xfId="1" applyFont="1" applyFill="1" applyBorder="1" applyAlignment="1">
      <alignment horizontal="center" vertical="center"/>
    </xf>
    <xf numFmtId="0" fontId="32" fillId="12" borderId="36" xfId="0" applyFont="1" applyFill="1" applyBorder="1" applyAlignment="1">
      <alignment horizontal="center" vertical="center"/>
    </xf>
    <xf numFmtId="0" fontId="32" fillId="12" borderId="37" xfId="0" applyFont="1" applyFill="1" applyBorder="1" applyAlignment="1">
      <alignment horizontal="center" vertical="center"/>
    </xf>
    <xf numFmtId="0" fontId="32" fillId="11" borderId="36" xfId="0" applyFont="1" applyFill="1" applyBorder="1" applyAlignment="1">
      <alignment horizontal="center" vertical="center"/>
    </xf>
    <xf numFmtId="0" fontId="32" fillId="11" borderId="37" xfId="0" applyFont="1" applyFill="1" applyBorder="1" applyAlignment="1">
      <alignment horizontal="center" vertical="center"/>
    </xf>
    <xf numFmtId="0" fontId="32" fillId="0" borderId="63" xfId="0" applyFont="1" applyBorder="1" applyAlignment="1">
      <alignment horizontal="center" vertical="center"/>
    </xf>
    <xf numFmtId="0" fontId="32" fillId="0" borderId="64" xfId="0" applyFont="1" applyBorder="1" applyAlignment="1">
      <alignment horizontal="center" vertical="center"/>
    </xf>
    <xf numFmtId="0" fontId="32" fillId="0" borderId="65" xfId="0" applyFont="1" applyBorder="1" applyAlignment="1">
      <alignment horizontal="center" vertical="center"/>
    </xf>
    <xf numFmtId="0" fontId="32" fillId="0" borderId="48" xfId="0" applyFont="1" applyBorder="1" applyAlignment="1">
      <alignment horizontal="center" vertical="center"/>
    </xf>
    <xf numFmtId="0" fontId="32" fillId="0" borderId="66" xfId="0" applyFont="1" applyBorder="1" applyAlignment="1">
      <alignment horizontal="center" vertical="center"/>
    </xf>
    <xf numFmtId="0" fontId="32" fillId="0" borderId="89" xfId="0" applyFont="1" applyBorder="1" applyAlignment="1">
      <alignment horizontal="center" vertical="center"/>
    </xf>
    <xf numFmtId="38" fontId="0" fillId="0" borderId="0" xfId="0" applyNumberFormat="1" applyAlignment="1">
      <alignment horizontal="center" vertical="center"/>
    </xf>
    <xf numFmtId="14" fontId="26" fillId="0" borderId="0" xfId="0" applyNumberFormat="1" applyFont="1" applyAlignment="1">
      <alignment horizontal="center" vertical="center"/>
    </xf>
    <xf numFmtId="0" fontId="26" fillId="0" borderId="0" xfId="0" applyFont="1" applyAlignment="1">
      <alignment horizontal="center" vertical="center"/>
    </xf>
    <xf numFmtId="0" fontId="17" fillId="0" borderId="24" xfId="0" applyFont="1" applyBorder="1" applyAlignment="1">
      <alignment horizontal="center" vertical="center"/>
    </xf>
    <xf numFmtId="0" fontId="23" fillId="0" borderId="25" xfId="0" applyFont="1" applyBorder="1" applyAlignment="1">
      <alignment horizontal="center" vertical="center"/>
    </xf>
    <xf numFmtId="0" fontId="27" fillId="0" borderId="24" xfId="0" applyFont="1" applyBorder="1" applyAlignment="1">
      <alignment horizontal="center" vertical="center"/>
    </xf>
    <xf numFmtId="0" fontId="27" fillId="0" borderId="25" xfId="0" applyFont="1" applyBorder="1" applyAlignment="1">
      <alignment horizontal="center" vertical="center"/>
    </xf>
    <xf numFmtId="38" fontId="25" fillId="0" borderId="28" xfId="1" applyFont="1" applyBorder="1" applyAlignment="1">
      <alignment horizontal="center" vertical="center"/>
    </xf>
    <xf numFmtId="38" fontId="25" fillId="0" borderId="3" xfId="1" applyFont="1" applyBorder="1" applyAlignment="1">
      <alignment horizontal="center" vertical="center"/>
    </xf>
    <xf numFmtId="38" fontId="29" fillId="0" borderId="35" xfId="1" applyFont="1" applyBorder="1" applyAlignment="1">
      <alignment horizontal="center" vertical="center"/>
    </xf>
    <xf numFmtId="38" fontId="29" fillId="0" borderId="36" xfId="1" applyFont="1" applyBorder="1" applyAlignment="1">
      <alignment horizontal="center" vertical="center"/>
    </xf>
    <xf numFmtId="38" fontId="29" fillId="0" borderId="37" xfId="1" applyFont="1" applyBorder="1" applyAlignment="1">
      <alignment horizontal="center" vertical="center"/>
    </xf>
    <xf numFmtId="0" fontId="6" fillId="3" borderId="30"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31" xfId="0" applyFont="1" applyFill="1" applyBorder="1" applyAlignment="1">
      <alignment horizontal="center" vertical="center"/>
    </xf>
    <xf numFmtId="0" fontId="26" fillId="3" borderId="30" xfId="0" applyFont="1" applyFill="1" applyBorder="1" applyAlignment="1">
      <alignment horizontal="center" vertical="center"/>
    </xf>
    <xf numFmtId="0" fontId="26" fillId="3" borderId="11" xfId="0" applyFont="1" applyFill="1" applyBorder="1" applyAlignment="1">
      <alignment horizontal="center" vertical="center"/>
    </xf>
    <xf numFmtId="0" fontId="26" fillId="3" borderId="31" xfId="0" applyFont="1" applyFill="1" applyBorder="1" applyAlignment="1">
      <alignment horizontal="center" vertical="center"/>
    </xf>
    <xf numFmtId="0" fontId="3" fillId="3" borderId="3" xfId="0" applyFont="1" applyFill="1" applyBorder="1" applyAlignment="1">
      <alignment horizontal="center" vertical="center"/>
    </xf>
    <xf numFmtId="0" fontId="24" fillId="0" borderId="28"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wrapText="1"/>
    </xf>
    <xf numFmtId="0" fontId="24" fillId="0" borderId="40" xfId="0" applyFont="1" applyBorder="1" applyAlignment="1">
      <alignment horizontal="center" vertical="center" wrapText="1"/>
    </xf>
    <xf numFmtId="0" fontId="24" fillId="0" borderId="4" xfId="0" applyFont="1" applyBorder="1" applyAlignment="1">
      <alignment horizontal="center" vertical="center"/>
    </xf>
    <xf numFmtId="0" fontId="24" fillId="0" borderId="11" xfId="0" applyFont="1" applyBorder="1" applyAlignment="1">
      <alignment horizontal="center" vertical="center"/>
    </xf>
    <xf numFmtId="0" fontId="24" fillId="0" borderId="40" xfId="0" applyFont="1" applyBorder="1" applyAlignment="1">
      <alignment horizontal="center" vertical="center"/>
    </xf>
    <xf numFmtId="0" fontId="10" fillId="0" borderId="28" xfId="0" applyFont="1" applyBorder="1" applyAlignment="1">
      <alignment horizontal="center" vertical="center"/>
    </xf>
    <xf numFmtId="0" fontId="10" fillId="0" borderId="3" xfId="0" applyFont="1" applyBorder="1" applyAlignment="1">
      <alignment horizontal="center" vertical="center"/>
    </xf>
    <xf numFmtId="0" fontId="26" fillId="0" borderId="28" xfId="0" applyFont="1" applyBorder="1" applyAlignment="1">
      <alignment horizontal="center" vertical="center"/>
    </xf>
    <xf numFmtId="0" fontId="26" fillId="0" borderId="3" xfId="0" applyFont="1" applyBorder="1" applyAlignment="1">
      <alignment horizontal="center" vertical="center"/>
    </xf>
    <xf numFmtId="0" fontId="22" fillId="0" borderId="28" xfId="0" applyFont="1" applyBorder="1" applyAlignment="1">
      <alignment horizontal="center" vertical="center"/>
    </xf>
    <xf numFmtId="0" fontId="22" fillId="0" borderId="3" xfId="0" applyFont="1" applyBorder="1" applyAlignment="1">
      <alignment horizontal="center" vertical="center"/>
    </xf>
    <xf numFmtId="0" fontId="5" fillId="4" borderId="30" xfId="0" applyFont="1" applyFill="1" applyBorder="1" applyAlignment="1">
      <alignment horizontal="center" vertical="center"/>
    </xf>
    <xf numFmtId="0" fontId="5" fillId="4" borderId="11" xfId="0" applyFont="1" applyFill="1" applyBorder="1" applyAlignment="1">
      <alignment horizontal="center" vertical="center"/>
    </xf>
    <xf numFmtId="0" fontId="26" fillId="4" borderId="30" xfId="0" applyFont="1" applyFill="1" applyBorder="1" applyAlignment="1">
      <alignment horizontal="center" vertical="center"/>
    </xf>
    <xf numFmtId="0" fontId="26" fillId="4" borderId="11" xfId="0" applyFont="1" applyFill="1" applyBorder="1" applyAlignment="1">
      <alignment horizontal="center" vertical="center"/>
    </xf>
    <xf numFmtId="0" fontId="26" fillId="4" borderId="31" xfId="0" applyFont="1" applyFill="1" applyBorder="1" applyAlignment="1">
      <alignment horizontal="center" vertical="center"/>
    </xf>
    <xf numFmtId="0" fontId="5" fillId="5" borderId="18" xfId="0" applyFont="1" applyFill="1" applyBorder="1" applyAlignment="1">
      <alignment horizontal="center" vertical="center"/>
    </xf>
    <xf numFmtId="0" fontId="5" fillId="5" borderId="0" xfId="0" applyFont="1" applyFill="1" applyAlignment="1">
      <alignment horizontal="center" vertical="center"/>
    </xf>
    <xf numFmtId="0" fontId="3" fillId="0" borderId="17" xfId="0" applyFont="1" applyBorder="1" applyAlignment="1">
      <alignment horizontal="center" vertical="center"/>
    </xf>
    <xf numFmtId="0" fontId="3" fillId="0" borderId="16" xfId="0" applyFont="1" applyBorder="1" applyAlignment="1">
      <alignment horizontal="center" vertical="center"/>
    </xf>
    <xf numFmtId="0" fontId="5" fillId="0" borderId="13"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3" fillId="0" borderId="23" xfId="0" applyFont="1" applyBorder="1" applyAlignment="1">
      <alignment horizontal="center" vertical="center"/>
    </xf>
    <xf numFmtId="0" fontId="23" fillId="0" borderId="35" xfId="0" applyFont="1" applyBorder="1" applyAlignment="1">
      <alignment horizontal="center" vertical="center"/>
    </xf>
    <xf numFmtId="0" fontId="23" fillId="0" borderId="36" xfId="0" applyFont="1" applyBorder="1" applyAlignment="1">
      <alignment horizontal="center" vertical="center"/>
    </xf>
    <xf numFmtId="0" fontId="25" fillId="0" borderId="3"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38" fontId="3" fillId="0" borderId="0" xfId="0" applyNumberFormat="1" applyFont="1" applyAlignment="1">
      <alignment horizontal="center" vertical="center"/>
    </xf>
    <xf numFmtId="2" fontId="25" fillId="0" borderId="0" xfId="0" applyNumberFormat="1" applyFont="1" applyAlignment="1">
      <alignment horizontal="center" vertical="center"/>
    </xf>
    <xf numFmtId="0" fontId="73" fillId="0" borderId="4" xfId="0" applyFont="1" applyBorder="1" applyAlignment="1">
      <alignment horizontal="center" vertical="center"/>
    </xf>
    <xf numFmtId="0" fontId="73" fillId="0" borderId="11" xfId="0" applyFont="1" applyBorder="1" applyAlignment="1">
      <alignment horizontal="center" vertical="center"/>
    </xf>
    <xf numFmtId="0" fontId="73" fillId="0" borderId="40" xfId="0" applyFont="1" applyBorder="1" applyAlignment="1">
      <alignment horizontal="center" vertical="center"/>
    </xf>
    <xf numFmtId="0" fontId="75" fillId="0" borderId="3" xfId="0" applyFont="1" applyBorder="1" applyAlignment="1">
      <alignment horizontal="center" vertical="center"/>
    </xf>
    <xf numFmtId="0" fontId="18" fillId="12" borderId="3" xfId="0" applyFont="1" applyFill="1" applyBorder="1" applyAlignment="1">
      <alignment horizontal="center" vertical="center"/>
    </xf>
    <xf numFmtId="177" fontId="78" fillId="6" borderId="3" xfId="2" applyNumberFormat="1" applyFont="1" applyFill="1" applyBorder="1" applyAlignment="1">
      <alignment horizontal="center" vertical="center"/>
    </xf>
    <xf numFmtId="0" fontId="18" fillId="12" borderId="3" xfId="0" applyFont="1" applyFill="1" applyBorder="1" applyAlignment="1">
      <alignment horizontal="center" vertical="center" wrapText="1"/>
    </xf>
    <xf numFmtId="0" fontId="18" fillId="17" borderId="3" xfId="0" applyFont="1" applyFill="1" applyBorder="1" applyAlignment="1">
      <alignment horizontal="center" vertical="center"/>
    </xf>
    <xf numFmtId="177" fontId="78" fillId="17" borderId="3" xfId="2" applyNumberFormat="1" applyFont="1" applyFill="1" applyBorder="1" applyAlignment="1">
      <alignment horizontal="center" vertical="center"/>
    </xf>
    <xf numFmtId="0" fontId="25" fillId="17" borderId="3" xfId="0" applyFont="1" applyFill="1" applyBorder="1" applyAlignment="1">
      <alignment horizontal="center" vertical="center"/>
    </xf>
    <xf numFmtId="0" fontId="77" fillId="17" borderId="3" xfId="0" applyFont="1" applyFill="1" applyBorder="1" applyAlignment="1">
      <alignment horizontal="center" vertical="center"/>
    </xf>
    <xf numFmtId="38" fontId="49" fillId="0" borderId="35" xfId="1" applyFont="1" applyBorder="1" applyAlignment="1">
      <alignment horizontal="center" vertical="center"/>
    </xf>
    <xf numFmtId="38" fontId="49" fillId="0" borderId="36" xfId="1" applyFont="1" applyBorder="1" applyAlignment="1">
      <alignment horizontal="center" vertical="center"/>
    </xf>
    <xf numFmtId="38" fontId="49" fillId="0" borderId="37" xfId="1" applyFont="1" applyBorder="1" applyAlignment="1">
      <alignment horizontal="center" vertical="center"/>
    </xf>
    <xf numFmtId="38" fontId="49" fillId="0" borderId="0" xfId="1" applyFont="1" applyAlignment="1">
      <alignment horizontal="center" vertical="center"/>
    </xf>
    <xf numFmtId="2" fontId="23" fillId="0" borderId="0" xfId="0" applyNumberFormat="1" applyFont="1" applyAlignment="1">
      <alignment horizontal="center" vertical="center"/>
    </xf>
    <xf numFmtId="0" fontId="73" fillId="0" borderId="3" xfId="0" applyFont="1" applyBorder="1" applyAlignment="1">
      <alignment horizontal="center" vertical="center"/>
    </xf>
    <xf numFmtId="177" fontId="78" fillId="12" borderId="3" xfId="2" applyNumberFormat="1" applyFont="1" applyFill="1" applyBorder="1" applyAlignment="1">
      <alignment horizontal="center" vertical="center"/>
    </xf>
    <xf numFmtId="38" fontId="49" fillId="14" borderId="35" xfId="1" applyFont="1" applyFill="1" applyBorder="1" applyAlignment="1">
      <alignment horizontal="center" vertical="center"/>
    </xf>
    <xf numFmtId="38" fontId="49" fillId="14" borderId="36" xfId="1" applyFont="1" applyFill="1" applyBorder="1" applyAlignment="1">
      <alignment horizontal="center" vertical="center"/>
    </xf>
    <xf numFmtId="38" fontId="49" fillId="14" borderId="37" xfId="1" applyFont="1" applyFill="1" applyBorder="1" applyAlignment="1">
      <alignment horizontal="center" vertical="center"/>
    </xf>
    <xf numFmtId="38" fontId="23" fillId="0" borderId="35" xfId="1" applyFont="1" applyBorder="1" applyAlignment="1">
      <alignment horizontal="center" vertical="center"/>
    </xf>
    <xf numFmtId="38" fontId="23" fillId="0" borderId="36" xfId="1" applyFont="1" applyBorder="1" applyAlignment="1">
      <alignment horizontal="center" vertical="center"/>
    </xf>
    <xf numFmtId="38" fontId="23" fillId="0" borderId="37" xfId="1" applyFont="1" applyBorder="1" applyAlignment="1">
      <alignment horizontal="center" vertical="center"/>
    </xf>
    <xf numFmtId="38" fontId="45" fillId="0" borderId="35" xfId="1" applyFont="1" applyBorder="1" applyAlignment="1">
      <alignment horizontal="center" vertical="center"/>
    </xf>
    <xf numFmtId="38" fontId="45" fillId="0" borderId="36" xfId="1" applyFont="1" applyBorder="1" applyAlignment="1">
      <alignment horizontal="center" vertical="center"/>
    </xf>
    <xf numFmtId="38" fontId="45" fillId="0" borderId="37" xfId="1" applyFont="1" applyBorder="1" applyAlignment="1">
      <alignment horizontal="center" vertical="center"/>
    </xf>
    <xf numFmtId="38" fontId="23" fillId="14" borderId="35" xfId="1" applyFont="1" applyFill="1" applyBorder="1" applyAlignment="1">
      <alignment horizontal="center" vertical="center"/>
    </xf>
    <xf numFmtId="38" fontId="23" fillId="14" borderId="36" xfId="1" applyFont="1" applyFill="1" applyBorder="1" applyAlignment="1">
      <alignment horizontal="center" vertical="center"/>
    </xf>
    <xf numFmtId="38" fontId="23" fillId="14" borderId="37" xfId="1" applyFont="1" applyFill="1" applyBorder="1" applyAlignment="1">
      <alignment horizontal="center" vertical="center"/>
    </xf>
    <xf numFmtId="38" fontId="49" fillId="0" borderId="35" xfId="1" applyFont="1" applyFill="1" applyBorder="1" applyAlignment="1">
      <alignment horizontal="center" vertical="center"/>
    </xf>
    <xf numFmtId="38" fontId="49" fillId="0" borderId="36" xfId="1" applyFont="1" applyFill="1" applyBorder="1" applyAlignment="1">
      <alignment horizontal="center" vertical="center"/>
    </xf>
    <xf numFmtId="38" fontId="49" fillId="0" borderId="37" xfId="1" applyFont="1" applyFill="1" applyBorder="1" applyAlignment="1">
      <alignment horizontal="center" vertical="center"/>
    </xf>
    <xf numFmtId="0" fontId="23" fillId="0" borderId="28" xfId="0" applyFont="1" applyBorder="1" applyAlignment="1">
      <alignment horizontal="center" vertical="center"/>
    </xf>
    <xf numFmtId="0" fontId="23" fillId="0" borderId="3" xfId="0" applyFont="1" applyBorder="1" applyAlignment="1">
      <alignment horizontal="center" vertical="center"/>
    </xf>
    <xf numFmtId="0" fontId="24" fillId="0" borderId="11" xfId="0" applyFont="1" applyBorder="1" applyAlignment="1">
      <alignment horizontal="center" vertical="center" wrapText="1"/>
    </xf>
    <xf numFmtId="40" fontId="43" fillId="0" borderId="3" xfId="1" applyNumberFormat="1" applyFont="1" applyBorder="1" applyAlignment="1">
      <alignment horizontal="center" vertical="center"/>
    </xf>
    <xf numFmtId="38" fontId="28" fillId="0" borderId="35" xfId="1" applyFont="1" applyBorder="1" applyAlignment="1">
      <alignment horizontal="center" vertical="center"/>
    </xf>
    <xf numFmtId="38" fontId="28" fillId="0" borderId="36" xfId="1" applyFont="1" applyBorder="1" applyAlignment="1">
      <alignment horizontal="center" vertical="center"/>
    </xf>
    <xf numFmtId="38" fontId="28" fillId="0" borderId="37" xfId="1" applyFont="1" applyBorder="1" applyAlignment="1">
      <alignment horizontal="center" vertical="center"/>
    </xf>
    <xf numFmtId="0" fontId="28" fillId="0" borderId="0" xfId="0" applyFont="1" applyAlignment="1">
      <alignment horizontal="center" vertical="center"/>
    </xf>
    <xf numFmtId="0" fontId="70" fillId="3" borderId="3" xfId="0" applyFont="1" applyFill="1" applyBorder="1" applyAlignment="1">
      <alignment horizontal="center" vertical="center"/>
    </xf>
    <xf numFmtId="0" fontId="20" fillId="0" borderId="4" xfId="0" applyFont="1" applyBorder="1" applyAlignment="1">
      <alignment horizontal="center" vertical="center"/>
    </xf>
    <xf numFmtId="0" fontId="20" fillId="0" borderId="11" xfId="0" applyFont="1" applyBorder="1" applyAlignment="1">
      <alignment horizontal="center" vertical="center"/>
    </xf>
    <xf numFmtId="0" fontId="20" fillId="0" borderId="40" xfId="0" applyFont="1" applyBorder="1" applyAlignment="1">
      <alignment horizontal="center" vertical="center"/>
    </xf>
    <xf numFmtId="2" fontId="80" fillId="0" borderId="35" xfId="0" applyNumberFormat="1" applyFont="1" applyBorder="1" applyAlignment="1">
      <alignment horizontal="center" vertical="center"/>
    </xf>
    <xf numFmtId="2" fontId="80" fillId="0" borderId="36" xfId="0" applyNumberFormat="1" applyFont="1" applyBorder="1" applyAlignment="1">
      <alignment horizontal="center" vertical="center"/>
    </xf>
    <xf numFmtId="2" fontId="80" fillId="0" borderId="37" xfId="0" applyNumberFormat="1" applyFont="1" applyBorder="1" applyAlignment="1">
      <alignment horizontal="center" vertical="center"/>
    </xf>
    <xf numFmtId="2" fontId="23" fillId="0" borderId="35" xfId="0" applyNumberFormat="1" applyFont="1" applyBorder="1" applyAlignment="1">
      <alignment horizontal="center" vertical="center"/>
    </xf>
    <xf numFmtId="2" fontId="23" fillId="0" borderId="36" xfId="0" applyNumberFormat="1" applyFont="1" applyBorder="1" applyAlignment="1">
      <alignment horizontal="center" vertical="center"/>
    </xf>
    <xf numFmtId="2" fontId="23" fillId="0" borderId="37" xfId="0" applyNumberFormat="1" applyFont="1" applyBorder="1" applyAlignment="1">
      <alignment horizontal="center" vertical="center"/>
    </xf>
    <xf numFmtId="0" fontId="25" fillId="0" borderId="35" xfId="0" applyFont="1" applyBorder="1" applyAlignment="1">
      <alignment horizontal="center" vertical="center"/>
    </xf>
    <xf numFmtId="0" fontId="25" fillId="0" borderId="36" xfId="0" applyFont="1" applyBorder="1" applyAlignment="1">
      <alignment horizontal="center" vertical="center"/>
    </xf>
    <xf numFmtId="0" fontId="26" fillId="0" borderId="4" xfId="0" applyFont="1" applyBorder="1" applyAlignment="1">
      <alignment horizontal="center" vertical="center"/>
    </xf>
    <xf numFmtId="0" fontId="28" fillId="0" borderId="26" xfId="0" applyFont="1" applyBorder="1" applyAlignment="1">
      <alignment horizontal="center" vertical="center"/>
    </xf>
    <xf numFmtId="0" fontId="28" fillId="0" borderId="27" xfId="0" applyFont="1" applyBorder="1" applyAlignment="1">
      <alignment horizontal="center" vertical="center"/>
    </xf>
    <xf numFmtId="0" fontId="28" fillId="0" borderId="90" xfId="0" applyFont="1" applyBorder="1" applyAlignment="1">
      <alignment horizontal="center" vertical="center"/>
    </xf>
    <xf numFmtId="0" fontId="22" fillId="0" borderId="4"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40" xfId="0" applyFont="1" applyBorder="1" applyAlignment="1">
      <alignment horizontal="center" vertical="center" wrapText="1"/>
    </xf>
    <xf numFmtId="38" fontId="34" fillId="0" borderId="0" xfId="1" applyFont="1" applyBorder="1" applyAlignment="1">
      <alignment vertical="center"/>
    </xf>
    <xf numFmtId="2" fontId="26" fillId="0" borderId="26" xfId="0" applyNumberFormat="1" applyFont="1" applyBorder="1" applyAlignment="1">
      <alignment horizontal="center" vertical="center"/>
    </xf>
    <xf numFmtId="2" fontId="26" fillId="0" borderId="27" xfId="0" applyNumberFormat="1" applyFont="1" applyBorder="1" applyAlignment="1">
      <alignment horizontal="center" vertical="center"/>
    </xf>
    <xf numFmtId="2" fontId="26" fillId="0" borderId="90" xfId="0" applyNumberFormat="1" applyFont="1" applyBorder="1" applyAlignment="1">
      <alignment horizontal="center" vertical="center"/>
    </xf>
  </cellXfs>
  <cellStyles count="3">
    <cellStyle name="パーセント" xfId="2" builtinId="5"/>
    <cellStyle name="桁区切り" xfId="1" builtinId="6"/>
    <cellStyle name="標準" xfId="0" builtinId="0"/>
  </cellStyles>
  <dxfs count="0"/>
  <tableStyles count="0" defaultTableStyle="TableStyleMedium2" defaultPivotStyle="PivotStyleLight16"/>
  <colors>
    <mruColors>
      <color rgb="FFFF7E79"/>
      <color rgb="FFCCECFF"/>
      <color rgb="FFF7FDE0"/>
      <color rgb="FFFFDBF2"/>
      <color rgb="FFFFA9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0A0B0-69B7-1B4D-A786-F14781C6093B}">
  <sheetPr>
    <tabColor rgb="FF7030A0"/>
    <pageSetUpPr fitToPage="1"/>
  </sheetPr>
  <dimension ref="A1:BA93"/>
  <sheetViews>
    <sheetView zoomScale="58" zoomScaleNormal="35" workbookViewId="0">
      <selection activeCell="R86" sqref="R86"/>
    </sheetView>
  </sheetViews>
  <sheetFormatPr baseColWidth="10" defaultRowHeight="18" x14ac:dyDescent="0.25"/>
  <cols>
    <col min="1" max="1" width="10" style="314" customWidth="1"/>
    <col min="2" max="9" width="13.1640625" style="314" customWidth="1"/>
    <col min="10" max="10" width="9.6640625" style="496" customWidth="1"/>
    <col min="11" max="11" width="7.1640625" style="496" customWidth="1"/>
    <col min="12" max="12" width="13.5" style="314" customWidth="1"/>
    <col min="13" max="18" width="10.83203125" style="314"/>
    <col min="19" max="19" width="28.6640625" style="314" customWidth="1"/>
    <col min="20" max="20" width="20" style="314" customWidth="1"/>
    <col min="21" max="21" width="5.83203125" style="314" customWidth="1"/>
    <col min="22" max="22" width="13" style="314" customWidth="1"/>
    <col min="23" max="33" width="11" style="314" bestFit="1" customWidth="1"/>
    <col min="34" max="35" width="10.83203125" style="314"/>
    <col min="36" max="36" width="8.1640625" style="314" customWidth="1"/>
    <col min="37" max="37" width="23" style="314" customWidth="1"/>
    <col min="38" max="38" width="9.1640625" style="314" customWidth="1"/>
    <col min="39" max="39" width="14" style="314" customWidth="1"/>
    <col min="40" max="41" width="10.83203125" style="314" customWidth="1"/>
    <col min="42" max="42" width="8" style="314" customWidth="1"/>
    <col min="43" max="43" width="23" style="314" customWidth="1"/>
    <col min="44" max="44" width="9.1640625" style="314" customWidth="1"/>
    <col min="45" max="45" width="14" style="314" customWidth="1"/>
    <col min="46" max="47" width="11" style="314" customWidth="1"/>
    <col min="48" max="48" width="12.83203125" style="314" customWidth="1"/>
    <col min="49" max="49" width="10" style="314" customWidth="1"/>
    <col min="50" max="50" width="12.83203125" style="314" customWidth="1"/>
    <col min="51" max="51" width="10" style="314" customWidth="1"/>
    <col min="52" max="52" width="12.83203125" style="314" customWidth="1"/>
    <col min="53" max="53" width="10" style="314" customWidth="1"/>
    <col min="54" max="16384" width="10.83203125" style="314"/>
  </cols>
  <sheetData>
    <row r="1" spans="1:53" s="324" customFormat="1" ht="23" customHeight="1" x14ac:dyDescent="0.25">
      <c r="A1" s="324" t="s">
        <v>241</v>
      </c>
      <c r="J1" s="492"/>
      <c r="K1" s="492"/>
    </row>
    <row r="2" spans="1:53" ht="19" customHeight="1" x14ac:dyDescent="0.25">
      <c r="A2" s="314" t="s">
        <v>163</v>
      </c>
      <c r="I2" s="325" t="s">
        <v>147</v>
      </c>
      <c r="J2" s="639" t="s">
        <v>260</v>
      </c>
      <c r="K2" s="639"/>
      <c r="L2" s="314" t="s">
        <v>164</v>
      </c>
      <c r="T2" s="354"/>
      <c r="U2" s="354"/>
    </row>
    <row r="3" spans="1:53" s="315" customFormat="1" ht="19" customHeight="1" thickBot="1" x14ac:dyDescent="0.3">
      <c r="A3" s="316" t="s">
        <v>64</v>
      </c>
      <c r="B3" s="316" t="s">
        <v>70</v>
      </c>
      <c r="C3" s="316" t="s">
        <v>41</v>
      </c>
      <c r="D3" s="316" t="s">
        <v>143</v>
      </c>
      <c r="E3" s="316" t="s">
        <v>66</v>
      </c>
      <c r="F3" s="316" t="s">
        <v>144</v>
      </c>
      <c r="G3" s="316" t="s">
        <v>145</v>
      </c>
      <c r="H3" s="316" t="s">
        <v>66</v>
      </c>
      <c r="I3" s="357" t="s">
        <v>178</v>
      </c>
      <c r="J3" s="493" t="s">
        <v>261</v>
      </c>
      <c r="K3" s="493" t="s">
        <v>262</v>
      </c>
      <c r="L3" s="599"/>
      <c r="M3" s="600"/>
      <c r="N3" s="600"/>
      <c r="O3" s="600"/>
      <c r="P3" s="600"/>
      <c r="Q3" s="600"/>
      <c r="R3" s="600"/>
      <c r="S3" s="601"/>
      <c r="V3" s="638" t="s">
        <v>282</v>
      </c>
      <c r="W3" s="638"/>
      <c r="Y3" s="315">
        <v>2024</v>
      </c>
      <c r="Z3" s="639" t="s">
        <v>260</v>
      </c>
      <c r="AA3" s="639"/>
      <c r="AB3" s="315">
        <v>2023</v>
      </c>
      <c r="AC3" s="589" t="s">
        <v>260</v>
      </c>
      <c r="AD3" s="589"/>
      <c r="AE3" s="315" t="s">
        <v>66</v>
      </c>
      <c r="AF3" s="589" t="s">
        <v>260</v>
      </c>
      <c r="AG3" s="589"/>
    </row>
    <row r="4" spans="1:53" s="315" customFormat="1" ht="19" customHeight="1" thickTop="1" x14ac:dyDescent="0.25">
      <c r="A4" s="318">
        <v>4</v>
      </c>
      <c r="B4" s="319">
        <v>499227</v>
      </c>
      <c r="C4" s="319">
        <v>260000</v>
      </c>
      <c r="D4" s="320">
        <f t="shared" ref="D4:D11" si="0">B4/C4</f>
        <v>1.9201038461538462</v>
      </c>
      <c r="E4" s="319">
        <f t="shared" ref="E4:E11" si="1">B4-C4</f>
        <v>239227</v>
      </c>
      <c r="F4" s="319">
        <v>260000</v>
      </c>
      <c r="G4" s="320">
        <f>B4/F4</f>
        <v>1.9201038461538462</v>
      </c>
      <c r="H4" s="319">
        <f>B4-F4</f>
        <v>239227</v>
      </c>
      <c r="I4" s="356">
        <f t="shared" ref="I4:I11" si="2">B4/T4</f>
        <v>124806.75</v>
      </c>
      <c r="J4" s="494"/>
      <c r="K4" s="493"/>
      <c r="L4" s="602"/>
      <c r="M4" s="603"/>
      <c r="N4" s="603"/>
      <c r="O4" s="603"/>
      <c r="P4" s="603"/>
      <c r="Q4" s="603"/>
      <c r="R4" s="603"/>
      <c r="S4" s="604"/>
      <c r="T4" s="325">
        <v>4</v>
      </c>
      <c r="U4" s="315" t="s">
        <v>64</v>
      </c>
      <c r="V4" s="315">
        <v>2024</v>
      </c>
      <c r="W4" s="315">
        <v>2023</v>
      </c>
      <c r="Y4" s="315" t="s">
        <v>64</v>
      </c>
      <c r="Z4" s="493" t="s">
        <v>261</v>
      </c>
      <c r="AA4" s="493" t="s">
        <v>262</v>
      </c>
      <c r="AB4" s="315" t="s">
        <v>64</v>
      </c>
      <c r="AC4" s="488" t="s">
        <v>261</v>
      </c>
      <c r="AD4" s="488" t="s">
        <v>262</v>
      </c>
      <c r="AE4" s="315" t="s">
        <v>64</v>
      </c>
      <c r="AF4" s="488" t="s">
        <v>261</v>
      </c>
      <c r="AG4" s="488" t="s">
        <v>262</v>
      </c>
      <c r="AJ4" s="546">
        <v>2024</v>
      </c>
      <c r="AK4" s="547" t="s">
        <v>299</v>
      </c>
      <c r="AL4" s="547" t="s">
        <v>298</v>
      </c>
      <c r="AM4" s="547" t="s">
        <v>297</v>
      </c>
      <c r="AN4" s="547" t="s">
        <v>296</v>
      </c>
      <c r="AO4" s="548" t="s">
        <v>43</v>
      </c>
      <c r="AP4" s="549">
        <v>2023</v>
      </c>
      <c r="AQ4" s="547" t="s">
        <v>299</v>
      </c>
      <c r="AR4" s="547" t="s">
        <v>298</v>
      </c>
      <c r="AS4" s="550" t="s">
        <v>300</v>
      </c>
      <c r="AT4" s="547" t="s">
        <v>296</v>
      </c>
      <c r="AU4" s="551" t="s">
        <v>43</v>
      </c>
      <c r="AV4" s="628" t="s">
        <v>301</v>
      </c>
      <c r="AW4" s="629"/>
      <c r="AX4" s="630" t="s">
        <v>302</v>
      </c>
      <c r="AY4" s="629"/>
      <c r="AZ4" s="630" t="s">
        <v>303</v>
      </c>
      <c r="BA4" s="631"/>
    </row>
    <row r="5" spans="1:53" ht="19" customHeight="1" x14ac:dyDescent="0.25">
      <c r="A5" s="318">
        <v>5</v>
      </c>
      <c r="B5" s="319">
        <v>2919145</v>
      </c>
      <c r="C5" s="319">
        <v>1851200</v>
      </c>
      <c r="D5" s="320">
        <f t="shared" si="0"/>
        <v>1.5768933664649958</v>
      </c>
      <c r="E5" s="319">
        <f t="shared" si="1"/>
        <v>1067945</v>
      </c>
      <c r="F5" s="319">
        <v>1851200</v>
      </c>
      <c r="G5" s="320">
        <f>B5/F5</f>
        <v>1.5768933664649958</v>
      </c>
      <c r="H5" s="319">
        <f>B5-F5</f>
        <v>1067945</v>
      </c>
      <c r="I5" s="356">
        <f t="shared" si="2"/>
        <v>121631.04166666667</v>
      </c>
      <c r="J5" s="495" t="s">
        <v>263</v>
      </c>
      <c r="K5" s="495" t="s">
        <v>273</v>
      </c>
      <c r="L5" s="602"/>
      <c r="M5" s="603"/>
      <c r="N5" s="603"/>
      <c r="O5" s="603"/>
      <c r="P5" s="603"/>
      <c r="Q5" s="603"/>
      <c r="R5" s="603"/>
      <c r="S5" s="604"/>
      <c r="T5" s="325">
        <v>24</v>
      </c>
      <c r="U5" s="325">
        <v>4</v>
      </c>
      <c r="V5" s="314">
        <v>1.33</v>
      </c>
      <c r="W5" s="314">
        <v>2.1</v>
      </c>
      <c r="X5" s="504">
        <f>V5/W5</f>
        <v>0.6333333333333333</v>
      </c>
      <c r="Y5" s="325">
        <v>4</v>
      </c>
      <c r="Z5" s="494"/>
      <c r="AA5" s="493"/>
      <c r="AB5" s="325">
        <v>4</v>
      </c>
      <c r="AC5" s="489"/>
      <c r="AD5" s="488"/>
      <c r="AE5" s="325">
        <v>4</v>
      </c>
      <c r="AF5" s="510">
        <f>Z5-AC5</f>
        <v>0</v>
      </c>
      <c r="AG5" s="510">
        <f>AA5-AD5</f>
        <v>0</v>
      </c>
      <c r="AJ5" s="527" t="s">
        <v>286</v>
      </c>
      <c r="AK5" s="528" t="s">
        <v>289</v>
      </c>
      <c r="AL5" s="514">
        <v>23</v>
      </c>
      <c r="AM5" s="515">
        <v>2939522</v>
      </c>
      <c r="AN5" s="515">
        <v>2348</v>
      </c>
      <c r="AO5" s="518">
        <f>AM5/AN5</f>
        <v>1251.9258943781942</v>
      </c>
      <c r="AP5" s="527" t="s">
        <v>286</v>
      </c>
      <c r="AQ5" s="528" t="s">
        <v>293</v>
      </c>
      <c r="AR5" s="514">
        <v>0</v>
      </c>
      <c r="AS5" s="519">
        <v>0</v>
      </c>
      <c r="AT5" s="524">
        <v>0</v>
      </c>
      <c r="AU5" s="516" t="e">
        <f>AS5/AT5</f>
        <v>#DIV/0!</v>
      </c>
      <c r="AV5" s="552">
        <f>AM5-AS5</f>
        <v>2939522</v>
      </c>
      <c r="AW5" s="553" t="e">
        <f>AM5/AS5</f>
        <v>#DIV/0!</v>
      </c>
      <c r="AX5" s="554">
        <f>AN5-AT5</f>
        <v>2348</v>
      </c>
      <c r="AY5" s="553" t="e">
        <f>AN5/AT5</f>
        <v>#DIV/0!</v>
      </c>
      <c r="AZ5" s="554" t="e">
        <f>AO5-AU5</f>
        <v>#DIV/0!</v>
      </c>
      <c r="BA5" s="555" t="e">
        <f>AO5/AU5</f>
        <v>#DIV/0!</v>
      </c>
    </row>
    <row r="6" spans="1:53" ht="19" customHeight="1" x14ac:dyDescent="0.25">
      <c r="A6" s="318">
        <v>6</v>
      </c>
      <c r="B6" s="319">
        <v>19194436</v>
      </c>
      <c r="C6" s="319">
        <v>25690000</v>
      </c>
      <c r="D6" s="320">
        <f t="shared" si="0"/>
        <v>0.74715593616193077</v>
      </c>
      <c r="E6" s="319">
        <f t="shared" si="1"/>
        <v>-6495564</v>
      </c>
      <c r="F6" s="319">
        <v>22000000</v>
      </c>
      <c r="G6" s="320">
        <f t="shared" ref="G6:G11" si="3">B6/F6</f>
        <v>0.87247436363636366</v>
      </c>
      <c r="H6" s="319">
        <f t="shared" ref="H6:H11" si="4">B6-F6</f>
        <v>-2805564</v>
      </c>
      <c r="I6" s="356">
        <f t="shared" si="2"/>
        <v>639814.53333333333</v>
      </c>
      <c r="J6" s="495" t="s">
        <v>264</v>
      </c>
      <c r="K6" s="495" t="s">
        <v>268</v>
      </c>
      <c r="L6" s="602"/>
      <c r="M6" s="603"/>
      <c r="N6" s="603"/>
      <c r="O6" s="603"/>
      <c r="P6" s="603"/>
      <c r="Q6" s="603"/>
      <c r="R6" s="603"/>
      <c r="S6" s="604"/>
      <c r="T6" s="325">
        <v>30</v>
      </c>
      <c r="U6" s="314">
        <v>5</v>
      </c>
      <c r="V6" s="314">
        <v>2.78</v>
      </c>
      <c r="W6" s="314">
        <v>3.37</v>
      </c>
      <c r="X6" s="504">
        <f t="shared" ref="X6:X11" si="5">V6/W6</f>
        <v>0.82492581602373882</v>
      </c>
      <c r="Y6" s="314">
        <v>5</v>
      </c>
      <c r="Z6" s="495">
        <v>11.6</v>
      </c>
      <c r="AA6" s="495">
        <v>17</v>
      </c>
      <c r="AB6" s="314">
        <v>5</v>
      </c>
      <c r="AC6" s="490">
        <v>12.7</v>
      </c>
      <c r="AD6" s="490">
        <v>20</v>
      </c>
      <c r="AE6" s="314">
        <v>5</v>
      </c>
      <c r="AF6" s="510">
        <f t="shared" ref="AF6:AG11" si="6">Z6-AC6</f>
        <v>-1.0999999999999996</v>
      </c>
      <c r="AG6" s="510">
        <f t="shared" si="6"/>
        <v>-3</v>
      </c>
      <c r="AJ6" s="527">
        <v>5</v>
      </c>
      <c r="AK6" s="528" t="s">
        <v>288</v>
      </c>
      <c r="AL6" s="514">
        <v>5</v>
      </c>
      <c r="AM6" s="515">
        <v>477807</v>
      </c>
      <c r="AN6" s="515">
        <v>133</v>
      </c>
      <c r="AO6" s="518">
        <f t="shared" ref="AO6:AO14" si="7">AM6/AN6</f>
        <v>3592.5338345864661</v>
      </c>
      <c r="AP6" s="527">
        <v>5</v>
      </c>
      <c r="AQ6" s="528" t="s">
        <v>288</v>
      </c>
      <c r="AR6" s="514">
        <v>5</v>
      </c>
      <c r="AS6" s="519">
        <v>1795227.2727272725</v>
      </c>
      <c r="AT6" s="524">
        <v>506</v>
      </c>
      <c r="AU6" s="516">
        <f t="shared" ref="AU6:AU14" si="8">AS6/AT6</f>
        <v>3547.8799856270207</v>
      </c>
      <c r="AV6" s="552">
        <f t="shared" ref="AV6:AV14" si="9">AM6-AS6</f>
        <v>-1317420.2727272725</v>
      </c>
      <c r="AW6" s="553">
        <f t="shared" ref="AW6:AW14" si="10">AM6/AS6</f>
        <v>0.26615404481579952</v>
      </c>
      <c r="AX6" s="554">
        <f t="shared" ref="AX6:AX14" si="11">AN6-AT6</f>
        <v>-373</v>
      </c>
      <c r="AY6" s="553">
        <f t="shared" ref="AY6:AY14" si="12">AN6/AT6</f>
        <v>0.26284584980237152</v>
      </c>
      <c r="AZ6" s="554">
        <f t="shared" ref="AZ6:AZ14" si="13">AO6-AU6</f>
        <v>44.65384895944544</v>
      </c>
      <c r="BA6" s="555">
        <f t="shared" ref="BA6:BA14" si="14">AO6/AU6</f>
        <v>1.0125860652390568</v>
      </c>
    </row>
    <row r="7" spans="1:53" ht="19" customHeight="1" x14ac:dyDescent="0.25">
      <c r="A7" s="318">
        <v>7</v>
      </c>
      <c r="B7" s="319">
        <v>47613345</v>
      </c>
      <c r="C7" s="319">
        <v>51610000</v>
      </c>
      <c r="D7" s="320">
        <f t="shared" si="0"/>
        <v>0.92256045340050374</v>
      </c>
      <c r="E7" s="319">
        <f t="shared" si="1"/>
        <v>-3996655</v>
      </c>
      <c r="F7" s="319">
        <v>50000000</v>
      </c>
      <c r="G7" s="320">
        <f t="shared" si="3"/>
        <v>0.95226690000000003</v>
      </c>
      <c r="H7" s="319">
        <f t="shared" si="4"/>
        <v>-2386655</v>
      </c>
      <c r="I7" s="356">
        <f t="shared" si="2"/>
        <v>1535914.3548387096</v>
      </c>
      <c r="J7" s="495" t="s">
        <v>265</v>
      </c>
      <c r="K7" s="495" t="s">
        <v>269</v>
      </c>
      <c r="L7" s="602"/>
      <c r="M7" s="603"/>
      <c r="N7" s="603"/>
      <c r="O7" s="603"/>
      <c r="P7" s="603"/>
      <c r="Q7" s="603"/>
      <c r="R7" s="603"/>
      <c r="S7" s="604"/>
      <c r="T7" s="325">
        <v>31</v>
      </c>
      <c r="U7" s="314">
        <v>6</v>
      </c>
      <c r="V7" s="314">
        <v>3.19</v>
      </c>
      <c r="W7" s="314">
        <v>3.49</v>
      </c>
      <c r="X7" s="504">
        <f t="shared" si="5"/>
        <v>0.91404011461318047</v>
      </c>
      <c r="Y7" s="314">
        <v>6</v>
      </c>
      <c r="Z7" s="495">
        <v>15.6</v>
      </c>
      <c r="AA7" s="495">
        <v>23.9</v>
      </c>
      <c r="AB7" s="314">
        <v>6</v>
      </c>
      <c r="AC7" s="490">
        <v>15.6</v>
      </c>
      <c r="AD7" s="490">
        <v>24.1</v>
      </c>
      <c r="AE7" s="314">
        <v>6</v>
      </c>
      <c r="AF7" s="510">
        <f t="shared" si="6"/>
        <v>0</v>
      </c>
      <c r="AG7" s="510">
        <f t="shared" si="6"/>
        <v>-0.20000000000000284</v>
      </c>
      <c r="AJ7" s="527">
        <v>6</v>
      </c>
      <c r="AK7" s="528" t="s">
        <v>290</v>
      </c>
      <c r="AL7" s="514">
        <v>30</v>
      </c>
      <c r="AM7" s="515">
        <v>19170665</v>
      </c>
      <c r="AN7" s="515">
        <v>5174</v>
      </c>
      <c r="AO7" s="518">
        <f t="shared" si="7"/>
        <v>3705.1923076923076</v>
      </c>
      <c r="AP7" s="527">
        <v>6</v>
      </c>
      <c r="AQ7" s="528" t="s">
        <v>290</v>
      </c>
      <c r="AR7" s="514">
        <v>30</v>
      </c>
      <c r="AS7" s="519">
        <v>19049727.27272727</v>
      </c>
      <c r="AT7" s="524">
        <v>5309</v>
      </c>
      <c r="AU7" s="516">
        <f t="shared" si="8"/>
        <v>3588.1950033390976</v>
      </c>
      <c r="AV7" s="552">
        <f t="shared" si="9"/>
        <v>120937.72727273032</v>
      </c>
      <c r="AW7" s="553">
        <f t="shared" si="10"/>
        <v>1.0063485280151949</v>
      </c>
      <c r="AX7" s="554">
        <f t="shared" si="11"/>
        <v>-135</v>
      </c>
      <c r="AY7" s="553">
        <f t="shared" si="12"/>
        <v>0.97457148238839708</v>
      </c>
      <c r="AZ7" s="554">
        <f t="shared" si="13"/>
        <v>116.99730435320998</v>
      </c>
      <c r="BA7" s="555">
        <f t="shared" si="14"/>
        <v>1.0326061722521587</v>
      </c>
    </row>
    <row r="8" spans="1:53" ht="19" customHeight="1" x14ac:dyDescent="0.25">
      <c r="A8" s="318">
        <v>8</v>
      </c>
      <c r="B8" s="319">
        <v>55874978</v>
      </c>
      <c r="C8" s="319">
        <v>49500000</v>
      </c>
      <c r="D8" s="320">
        <f t="shared" si="0"/>
        <v>1.1287874343434343</v>
      </c>
      <c r="E8" s="319">
        <f t="shared" si="1"/>
        <v>6374978</v>
      </c>
      <c r="F8" s="319">
        <v>50000000</v>
      </c>
      <c r="G8" s="320">
        <f t="shared" si="3"/>
        <v>1.1174995599999999</v>
      </c>
      <c r="H8" s="319">
        <f t="shared" si="4"/>
        <v>5874978</v>
      </c>
      <c r="I8" s="356">
        <f t="shared" si="2"/>
        <v>1802418.6451612904</v>
      </c>
      <c r="J8" s="495" t="s">
        <v>266</v>
      </c>
      <c r="K8" s="495" t="s">
        <v>270</v>
      </c>
      <c r="L8" s="602"/>
      <c r="M8" s="603"/>
      <c r="N8" s="603"/>
      <c r="O8" s="603"/>
      <c r="P8" s="603"/>
      <c r="Q8" s="603"/>
      <c r="R8" s="603"/>
      <c r="S8" s="604"/>
      <c r="T8" s="325">
        <v>31</v>
      </c>
      <c r="U8" s="314">
        <v>7</v>
      </c>
      <c r="V8" s="314">
        <v>3.04</v>
      </c>
      <c r="W8" s="314">
        <v>3.39</v>
      </c>
      <c r="X8" s="504">
        <f t="shared" si="5"/>
        <v>0.89675516224188789</v>
      </c>
      <c r="Y8" s="314">
        <v>7</v>
      </c>
      <c r="Z8" s="495">
        <v>20.5</v>
      </c>
      <c r="AA8" s="495">
        <v>28</v>
      </c>
      <c r="AB8" s="314">
        <v>7</v>
      </c>
      <c r="AC8" s="490">
        <v>21</v>
      </c>
      <c r="AD8" s="490">
        <v>27.8</v>
      </c>
      <c r="AE8" s="314">
        <v>7</v>
      </c>
      <c r="AF8" s="510">
        <f t="shared" si="6"/>
        <v>-0.5</v>
      </c>
      <c r="AG8" s="510">
        <f t="shared" si="6"/>
        <v>0.19999999999999929</v>
      </c>
      <c r="AJ8" s="527">
        <v>7</v>
      </c>
      <c r="AK8" s="528" t="s">
        <v>290</v>
      </c>
      <c r="AL8" s="514">
        <v>31</v>
      </c>
      <c r="AM8" s="515">
        <v>47598067</v>
      </c>
      <c r="AN8" s="515">
        <v>11438</v>
      </c>
      <c r="AO8" s="518">
        <f t="shared" si="7"/>
        <v>4161.3977093897538</v>
      </c>
      <c r="AP8" s="527">
        <v>7</v>
      </c>
      <c r="AQ8" s="528" t="s">
        <v>290</v>
      </c>
      <c r="AR8" s="514">
        <v>31</v>
      </c>
      <c r="AS8" s="519">
        <v>44856909.090909086</v>
      </c>
      <c r="AT8" s="524">
        <v>11036</v>
      </c>
      <c r="AU8" s="516">
        <f t="shared" si="8"/>
        <v>4064.5985040693263</v>
      </c>
      <c r="AV8" s="552">
        <f t="shared" si="9"/>
        <v>2741157.9090909138</v>
      </c>
      <c r="AW8" s="553">
        <f t="shared" si="10"/>
        <v>1.0611089342677524</v>
      </c>
      <c r="AX8" s="554">
        <f t="shared" si="11"/>
        <v>402</v>
      </c>
      <c r="AY8" s="553">
        <f t="shared" si="12"/>
        <v>1.0364262413918086</v>
      </c>
      <c r="AZ8" s="554">
        <f t="shared" si="13"/>
        <v>96.799205320427518</v>
      </c>
      <c r="BA8" s="555">
        <f t="shared" si="14"/>
        <v>1.0238151948399123</v>
      </c>
    </row>
    <row r="9" spans="1:53" ht="19" customHeight="1" x14ac:dyDescent="0.25">
      <c r="A9" s="318">
        <v>9</v>
      </c>
      <c r="B9" s="319">
        <v>12350827</v>
      </c>
      <c r="C9" s="319">
        <v>7000000</v>
      </c>
      <c r="D9" s="320">
        <f t="shared" si="0"/>
        <v>1.7644038571428571</v>
      </c>
      <c r="E9" s="319">
        <f t="shared" si="1"/>
        <v>5350827</v>
      </c>
      <c r="F9" s="319">
        <v>8000000</v>
      </c>
      <c r="G9" s="320">
        <f t="shared" si="3"/>
        <v>1.5438533750000001</v>
      </c>
      <c r="H9" s="319">
        <f t="shared" si="4"/>
        <v>4350827</v>
      </c>
      <c r="I9" s="356">
        <f t="shared" si="2"/>
        <v>494033.08</v>
      </c>
      <c r="J9" s="495" t="s">
        <v>264</v>
      </c>
      <c r="K9" s="495" t="s">
        <v>271</v>
      </c>
      <c r="L9" s="602"/>
      <c r="M9" s="603"/>
      <c r="N9" s="603"/>
      <c r="O9" s="603"/>
      <c r="P9" s="603"/>
      <c r="Q9" s="603"/>
      <c r="R9" s="603"/>
      <c r="S9" s="604"/>
      <c r="T9" s="325">
        <v>25</v>
      </c>
      <c r="U9" s="314">
        <v>8</v>
      </c>
      <c r="V9" s="314">
        <v>3.55</v>
      </c>
      <c r="W9" s="314">
        <v>3.44</v>
      </c>
      <c r="X9" s="504">
        <f t="shared" si="5"/>
        <v>1.0319767441860466</v>
      </c>
      <c r="Y9" s="314">
        <v>8</v>
      </c>
      <c r="Z9" s="495">
        <v>22</v>
      </c>
      <c r="AA9" s="495">
        <v>28.4</v>
      </c>
      <c r="AB9" s="314">
        <v>8</v>
      </c>
      <c r="AC9" s="490">
        <v>24</v>
      </c>
      <c r="AD9" s="490">
        <v>30.9</v>
      </c>
      <c r="AE9" s="314">
        <v>8</v>
      </c>
      <c r="AF9" s="510">
        <f t="shared" si="6"/>
        <v>-2</v>
      </c>
      <c r="AG9" s="510">
        <f t="shared" si="6"/>
        <v>-2.5</v>
      </c>
      <c r="AJ9" s="527">
        <v>8</v>
      </c>
      <c r="AK9" s="528" t="s">
        <v>290</v>
      </c>
      <c r="AL9" s="514">
        <v>31</v>
      </c>
      <c r="AM9" s="515">
        <v>55870570</v>
      </c>
      <c r="AN9" s="515">
        <v>13891</v>
      </c>
      <c r="AO9" s="518">
        <f t="shared" si="7"/>
        <v>4022.0696854078178</v>
      </c>
      <c r="AP9" s="527">
        <v>8</v>
      </c>
      <c r="AQ9" s="528" t="s">
        <v>290</v>
      </c>
      <c r="AR9" s="514">
        <v>31</v>
      </c>
      <c r="AS9" s="519">
        <v>44860590.909090906</v>
      </c>
      <c r="AT9" s="524">
        <v>11093</v>
      </c>
      <c r="AU9" s="516">
        <f t="shared" si="8"/>
        <v>4044.0449751276396</v>
      </c>
      <c r="AV9" s="552">
        <f t="shared" si="9"/>
        <v>11009979.090909094</v>
      </c>
      <c r="AW9" s="553">
        <f t="shared" si="10"/>
        <v>1.2454265284472199</v>
      </c>
      <c r="AX9" s="554">
        <f t="shared" si="11"/>
        <v>2798</v>
      </c>
      <c r="AY9" s="553">
        <f t="shared" si="12"/>
        <v>1.2522311367529073</v>
      </c>
      <c r="AZ9" s="554">
        <f t="shared" si="13"/>
        <v>-21.975289719821831</v>
      </c>
      <c r="BA9" s="555">
        <f t="shared" si="14"/>
        <v>0.99456601253077603</v>
      </c>
    </row>
    <row r="10" spans="1:53" ht="19" customHeight="1" x14ac:dyDescent="0.25">
      <c r="A10" s="318">
        <v>10</v>
      </c>
      <c r="B10" s="319">
        <v>1454318</v>
      </c>
      <c r="C10" s="319">
        <v>455000</v>
      </c>
      <c r="D10" s="320">
        <f t="shared" si="0"/>
        <v>3.1963032967032965</v>
      </c>
      <c r="E10" s="319">
        <f t="shared" si="1"/>
        <v>999318</v>
      </c>
      <c r="F10" s="319">
        <v>692727</v>
      </c>
      <c r="G10" s="320">
        <f>B10/F10</f>
        <v>2.0994100128910813</v>
      </c>
      <c r="H10" s="319">
        <f>B10-F10</f>
        <v>761591</v>
      </c>
      <c r="I10" s="356">
        <f t="shared" si="2"/>
        <v>242386.33333333334</v>
      </c>
      <c r="J10" s="495" t="s">
        <v>267</v>
      </c>
      <c r="K10" s="495" t="s">
        <v>272</v>
      </c>
      <c r="L10" s="602"/>
      <c r="M10" s="603"/>
      <c r="N10" s="603"/>
      <c r="O10" s="603"/>
      <c r="P10" s="603"/>
      <c r="Q10" s="603"/>
      <c r="R10" s="603"/>
      <c r="S10" s="604"/>
      <c r="T10" s="325">
        <v>6</v>
      </c>
      <c r="U10" s="314">
        <v>9</v>
      </c>
      <c r="V10" s="314">
        <v>2.72</v>
      </c>
      <c r="W10" s="325" t="s">
        <v>234</v>
      </c>
      <c r="X10" s="504" t="e">
        <f t="shared" si="5"/>
        <v>#VALUE!</v>
      </c>
      <c r="Y10" s="314">
        <v>9</v>
      </c>
      <c r="Z10" s="495">
        <v>15.6</v>
      </c>
      <c r="AA10" s="495">
        <v>24</v>
      </c>
      <c r="AB10" s="314">
        <v>9</v>
      </c>
      <c r="AC10" s="490">
        <v>21.4</v>
      </c>
      <c r="AD10" s="490">
        <v>28.6</v>
      </c>
      <c r="AE10" s="314">
        <v>9</v>
      </c>
      <c r="AF10" s="510">
        <f t="shared" si="6"/>
        <v>-5.7999999999999989</v>
      </c>
      <c r="AG10" s="510">
        <f t="shared" si="6"/>
        <v>-4.6000000000000014</v>
      </c>
      <c r="AJ10" s="527">
        <v>9</v>
      </c>
      <c r="AK10" s="528" t="s">
        <v>291</v>
      </c>
      <c r="AL10" s="514">
        <v>8</v>
      </c>
      <c r="AM10" s="515">
        <v>8816632</v>
      </c>
      <c r="AN10" s="515">
        <v>2410</v>
      </c>
      <c r="AO10" s="518">
        <f t="shared" si="7"/>
        <v>3658.3535269709541</v>
      </c>
      <c r="AP10" s="527">
        <v>9</v>
      </c>
      <c r="AQ10" s="528" t="s">
        <v>294</v>
      </c>
      <c r="AR10" s="514">
        <v>8</v>
      </c>
      <c r="AS10" s="519">
        <v>4058727.2727272725</v>
      </c>
      <c r="AT10" s="524">
        <f>263+385+76</f>
        <v>724</v>
      </c>
      <c r="AU10" s="516">
        <f t="shared" si="8"/>
        <v>5605.9768960321444</v>
      </c>
      <c r="AV10" s="552">
        <f t="shared" si="9"/>
        <v>4757904.7272727275</v>
      </c>
      <c r="AW10" s="553">
        <f t="shared" si="10"/>
        <v>2.1722651973301081</v>
      </c>
      <c r="AX10" s="554">
        <f t="shared" si="11"/>
        <v>1686</v>
      </c>
      <c r="AY10" s="553">
        <f t="shared" si="12"/>
        <v>3.3287292817679557</v>
      </c>
      <c r="AZ10" s="554">
        <f t="shared" si="13"/>
        <v>-1947.6233690611903</v>
      </c>
      <c r="BA10" s="555">
        <f t="shared" si="14"/>
        <v>0.65258091405269636</v>
      </c>
    </row>
    <row r="11" spans="1:53" ht="19" customHeight="1" thickBot="1" x14ac:dyDescent="0.3">
      <c r="A11" s="321" t="s">
        <v>2</v>
      </c>
      <c r="B11" s="322">
        <f>SUM(B4:B10)</f>
        <v>139906276</v>
      </c>
      <c r="C11" s="322">
        <f>SUM(C4:C10)</f>
        <v>136366200</v>
      </c>
      <c r="D11" s="323">
        <f t="shared" si="0"/>
        <v>1.0259600692840307</v>
      </c>
      <c r="E11" s="322">
        <f t="shared" si="1"/>
        <v>3540076</v>
      </c>
      <c r="F11" s="322">
        <f>SUM(F4:F10)</f>
        <v>132803927</v>
      </c>
      <c r="G11" s="320">
        <f t="shared" si="3"/>
        <v>1.0534799622303337</v>
      </c>
      <c r="H11" s="319">
        <f t="shared" si="4"/>
        <v>7102349</v>
      </c>
      <c r="I11" s="356">
        <f t="shared" si="2"/>
        <v>926531.62913907284</v>
      </c>
      <c r="J11" s="494"/>
      <c r="L11" s="605"/>
      <c r="M11" s="606"/>
      <c r="N11" s="606"/>
      <c r="O11" s="606"/>
      <c r="P11" s="606"/>
      <c r="Q11" s="606"/>
      <c r="R11" s="606"/>
      <c r="S11" s="607"/>
      <c r="T11" s="314">
        <f>SUM(T4:T10)</f>
        <v>151</v>
      </c>
      <c r="U11" s="314">
        <v>10</v>
      </c>
      <c r="V11" s="505">
        <f>SUM(V5:V10)/6</f>
        <v>2.7683333333333331</v>
      </c>
      <c r="W11" s="505">
        <f>SUM(W5:W10)/5</f>
        <v>3.1580000000000004</v>
      </c>
      <c r="X11" s="512">
        <f t="shared" si="5"/>
        <v>0.87660966856660316</v>
      </c>
      <c r="Y11" s="314">
        <v>10</v>
      </c>
      <c r="Z11" s="495">
        <v>13.7</v>
      </c>
      <c r="AA11" s="495">
        <v>20.7</v>
      </c>
      <c r="AB11" s="314">
        <v>10</v>
      </c>
      <c r="AC11" s="490"/>
      <c r="AD11" s="490"/>
      <c r="AE11" s="314">
        <v>10</v>
      </c>
      <c r="AF11" s="510">
        <f t="shared" si="6"/>
        <v>13.7</v>
      </c>
      <c r="AG11" s="510">
        <f t="shared" si="6"/>
        <v>20.7</v>
      </c>
      <c r="AJ11" s="529" t="s">
        <v>287</v>
      </c>
      <c r="AK11" s="530" t="s">
        <v>292</v>
      </c>
      <c r="AL11" s="520">
        <v>23</v>
      </c>
      <c r="AM11" s="521">
        <v>4982837</v>
      </c>
      <c r="AN11" s="521">
        <v>1704</v>
      </c>
      <c r="AO11" s="522">
        <f t="shared" si="7"/>
        <v>2924.2001173708918</v>
      </c>
      <c r="AP11" s="527" t="s">
        <v>287</v>
      </c>
      <c r="AQ11" s="528" t="s">
        <v>295</v>
      </c>
      <c r="AR11" s="514">
        <v>23</v>
      </c>
      <c r="AS11" s="519">
        <v>1489815.4545454544</v>
      </c>
      <c r="AT11" s="525">
        <v>1365</v>
      </c>
      <c r="AU11" s="526">
        <f t="shared" si="8"/>
        <v>1091.4398934398932</v>
      </c>
      <c r="AV11" s="556">
        <f t="shared" si="9"/>
        <v>3493021.5454545459</v>
      </c>
      <c r="AW11" s="557">
        <f t="shared" si="10"/>
        <v>3.3446001548697004</v>
      </c>
      <c r="AX11" s="558">
        <f t="shared" si="11"/>
        <v>339</v>
      </c>
      <c r="AY11" s="557">
        <f t="shared" si="12"/>
        <v>1.2483516483516484</v>
      </c>
      <c r="AZ11" s="558">
        <f t="shared" si="13"/>
        <v>1832.7602239309986</v>
      </c>
      <c r="BA11" s="559">
        <f t="shared" si="14"/>
        <v>2.6792131522283693</v>
      </c>
    </row>
    <row r="12" spans="1:53" ht="22" customHeight="1" x14ac:dyDescent="0.25">
      <c r="T12" s="354"/>
      <c r="U12" s="354"/>
      <c r="AF12" s="489"/>
      <c r="AJ12" s="632" t="s">
        <v>256</v>
      </c>
      <c r="AK12" s="633"/>
      <c r="AL12" s="531">
        <f>AL7+AL6+AL8+AL9+AL10</f>
        <v>105</v>
      </c>
      <c r="AM12" s="531">
        <f>AM7+AM6+AM8+AM9+AM10</f>
        <v>131933741</v>
      </c>
      <c r="AN12" s="531">
        <f>AN7+AN6+AN8+AN9+AN10</f>
        <v>33046</v>
      </c>
      <c r="AO12" s="532">
        <f t="shared" si="7"/>
        <v>3992.4269503116866</v>
      </c>
      <c r="AP12" s="632" t="s">
        <v>256</v>
      </c>
      <c r="AQ12" s="633"/>
      <c r="AR12" s="531">
        <f>AR7+AR6+AR8+AR9+AR10</f>
        <v>105</v>
      </c>
      <c r="AS12" s="531">
        <f>AS7+AS6+AS8+AS9+AS10</f>
        <v>114621181.8181818</v>
      </c>
      <c r="AT12" s="531">
        <f>AT7+AT6+AT8+AT9+AT10</f>
        <v>28668</v>
      </c>
      <c r="AU12" s="533">
        <f t="shared" si="8"/>
        <v>3998.2273551758685</v>
      </c>
      <c r="AV12" s="542">
        <f t="shared" si="9"/>
        <v>17312559.181818202</v>
      </c>
      <c r="AW12" s="543">
        <f t="shared" si="10"/>
        <v>1.1510415344458784</v>
      </c>
      <c r="AX12" s="531">
        <f t="shared" si="11"/>
        <v>4378</v>
      </c>
      <c r="AY12" s="543">
        <f t="shared" si="12"/>
        <v>1.1527138272638482</v>
      </c>
      <c r="AZ12" s="531">
        <f t="shared" si="13"/>
        <v>-5.8004048641819281</v>
      </c>
      <c r="BA12" s="544">
        <f t="shared" si="14"/>
        <v>0.99854925587043641</v>
      </c>
    </row>
    <row r="13" spans="1:53" ht="19" customHeight="1" x14ac:dyDescent="0.25">
      <c r="A13" s="314" t="s">
        <v>166</v>
      </c>
      <c r="I13" s="325" t="s">
        <v>148</v>
      </c>
      <c r="J13" s="495"/>
      <c r="L13" s="314" t="s">
        <v>165</v>
      </c>
      <c r="T13" s="354"/>
      <c r="U13" s="354"/>
      <c r="V13" s="511">
        <f>V11-W11</f>
        <v>-0.38966666666666727</v>
      </c>
      <c r="AJ13" s="634" t="s">
        <v>257</v>
      </c>
      <c r="AK13" s="635"/>
      <c r="AL13" s="534">
        <f>AL5+AL11</f>
        <v>46</v>
      </c>
      <c r="AM13" s="534">
        <f>AM5+AM11</f>
        <v>7922359</v>
      </c>
      <c r="AN13" s="534">
        <f>AN5+AN11</f>
        <v>4052</v>
      </c>
      <c r="AO13" s="535">
        <f t="shared" si="7"/>
        <v>1955.1725074037513</v>
      </c>
      <c r="AP13" s="634" t="s">
        <v>257</v>
      </c>
      <c r="AQ13" s="635"/>
      <c r="AR13" s="534">
        <f>AR5+AR11</f>
        <v>23</v>
      </c>
      <c r="AS13" s="534">
        <f>AS5+AS11</f>
        <v>1489815.4545454544</v>
      </c>
      <c r="AT13" s="534">
        <f>AT5+AT11</f>
        <v>1365</v>
      </c>
      <c r="AU13" s="536">
        <f t="shared" si="8"/>
        <v>1091.4398934398932</v>
      </c>
      <c r="AV13" s="537">
        <f t="shared" si="9"/>
        <v>6432543.5454545459</v>
      </c>
      <c r="AW13" s="538">
        <f t="shared" si="10"/>
        <v>5.3176780894766109</v>
      </c>
      <c r="AX13" s="534">
        <f t="shared" si="11"/>
        <v>2687</v>
      </c>
      <c r="AY13" s="538">
        <f t="shared" si="12"/>
        <v>2.9684981684981686</v>
      </c>
      <c r="AZ13" s="534">
        <f t="shared" si="13"/>
        <v>863.73261396385806</v>
      </c>
      <c r="BA13" s="545">
        <f t="shared" si="14"/>
        <v>1.7913698401124318</v>
      </c>
    </row>
    <row r="14" spans="1:53" s="315" customFormat="1" ht="28" customHeight="1" thickBot="1" x14ac:dyDescent="0.3">
      <c r="A14" s="316" t="s">
        <v>64</v>
      </c>
      <c r="B14" s="316" t="s">
        <v>70</v>
      </c>
      <c r="C14" s="316" t="s">
        <v>41</v>
      </c>
      <c r="D14" s="316" t="s">
        <v>143</v>
      </c>
      <c r="E14" s="316" t="s">
        <v>66</v>
      </c>
      <c r="F14" s="316" t="s">
        <v>144</v>
      </c>
      <c r="G14" s="316" t="s">
        <v>145</v>
      </c>
      <c r="H14" s="316" t="s">
        <v>66</v>
      </c>
      <c r="I14" s="357" t="s">
        <v>52</v>
      </c>
      <c r="J14" s="493"/>
      <c r="K14" s="493"/>
      <c r="L14" s="608"/>
      <c r="M14" s="609"/>
      <c r="N14" s="609"/>
      <c r="O14" s="609"/>
      <c r="P14" s="609"/>
      <c r="Q14" s="609"/>
      <c r="R14" s="609"/>
      <c r="S14" s="610"/>
      <c r="T14" s="355"/>
      <c r="U14" s="355"/>
      <c r="V14" s="638">
        <v>2369</v>
      </c>
      <c r="AJ14" s="636" t="s">
        <v>255</v>
      </c>
      <c r="AK14" s="637"/>
      <c r="AL14" s="517">
        <f>SUM(AL5:AL11)</f>
        <v>151</v>
      </c>
      <c r="AM14" s="517">
        <f>SUM(AM5:AM11)</f>
        <v>139856100</v>
      </c>
      <c r="AN14" s="517">
        <f>SUM(AN5:AN11)</f>
        <v>37098</v>
      </c>
      <c r="AO14" s="523">
        <f t="shared" si="7"/>
        <v>3769.9094290797348</v>
      </c>
      <c r="AP14" s="636" t="s">
        <v>255</v>
      </c>
      <c r="AQ14" s="637"/>
      <c r="AR14" s="517">
        <f>SUM(AR5:AR11)</f>
        <v>128</v>
      </c>
      <c r="AS14" s="517">
        <f>SUM(AS5:AS11)</f>
        <v>116110997.27272725</v>
      </c>
      <c r="AT14" s="517">
        <f>SUM(AT5:AT11)</f>
        <v>30033</v>
      </c>
      <c r="AU14" s="523">
        <f t="shared" si="8"/>
        <v>3866.113850522001</v>
      </c>
      <c r="AV14" s="539">
        <f t="shared" si="9"/>
        <v>23745102.727272749</v>
      </c>
      <c r="AW14" s="540">
        <f t="shared" si="10"/>
        <v>1.2045034775775725</v>
      </c>
      <c r="AX14" s="517">
        <f t="shared" si="11"/>
        <v>7065</v>
      </c>
      <c r="AY14" s="540">
        <f t="shared" si="12"/>
        <v>1.2352412346418939</v>
      </c>
      <c r="AZ14" s="517">
        <f t="shared" si="13"/>
        <v>-96.204421442266266</v>
      </c>
      <c r="BA14" s="541">
        <f t="shared" si="14"/>
        <v>0.97511598851925252</v>
      </c>
    </row>
    <row r="15" spans="1:53" ht="19" customHeight="1" thickTop="1" x14ac:dyDescent="0.25">
      <c r="A15" s="318">
        <v>4</v>
      </c>
      <c r="B15" s="319">
        <v>379</v>
      </c>
      <c r="C15" s="319">
        <v>200</v>
      </c>
      <c r="D15" s="320">
        <f t="shared" ref="D15:D22" si="15">B15/C15</f>
        <v>1.895</v>
      </c>
      <c r="E15" s="319">
        <f t="shared" ref="E15:E22" si="16">B15-C15</f>
        <v>179</v>
      </c>
      <c r="F15" s="319">
        <v>395</v>
      </c>
      <c r="G15" s="320">
        <f t="shared" ref="G15:G22" si="17">B15/F15</f>
        <v>0.95949367088607596</v>
      </c>
      <c r="H15" s="319">
        <f t="shared" ref="H15:H22" si="18">B15-F15</f>
        <v>-16</v>
      </c>
      <c r="I15" s="358">
        <f t="shared" ref="I15:I22" si="19">B15/T15</f>
        <v>75.8</v>
      </c>
      <c r="J15" s="497"/>
      <c r="K15" s="498"/>
      <c r="L15" s="611"/>
      <c r="M15" s="612"/>
      <c r="N15" s="612"/>
      <c r="O15" s="612"/>
      <c r="P15" s="612"/>
      <c r="Q15" s="612"/>
      <c r="R15" s="612"/>
      <c r="S15" s="613"/>
      <c r="T15" s="354">
        <v>5</v>
      </c>
      <c r="U15" s="354"/>
      <c r="V15" s="638"/>
      <c r="AJ15" s="513"/>
      <c r="AK15" s="513"/>
      <c r="AL15" s="513"/>
      <c r="AM15" s="513"/>
      <c r="AN15" s="513"/>
      <c r="AO15" s="513"/>
      <c r="AP15" s="513"/>
      <c r="AQ15" s="513"/>
      <c r="AR15" s="513"/>
      <c r="AS15" s="513"/>
      <c r="AT15" s="513"/>
      <c r="AU15" s="513"/>
      <c r="AV15" s="513"/>
      <c r="AW15" s="513"/>
      <c r="AX15" s="513"/>
      <c r="AY15" s="513"/>
      <c r="AZ15" s="513"/>
      <c r="BA15" s="513"/>
    </row>
    <row r="16" spans="1:53" ht="19" customHeight="1" x14ac:dyDescent="0.25">
      <c r="A16" s="318">
        <v>5</v>
      </c>
      <c r="B16" s="319">
        <f>133+1236+223+278+120</f>
        <v>1990</v>
      </c>
      <c r="C16" s="319">
        <v>520</v>
      </c>
      <c r="D16" s="320">
        <f t="shared" si="15"/>
        <v>3.8269230769230771</v>
      </c>
      <c r="E16" s="319">
        <f t="shared" si="16"/>
        <v>1470</v>
      </c>
      <c r="F16" s="319">
        <v>372</v>
      </c>
      <c r="G16" s="320">
        <f t="shared" si="17"/>
        <v>5.349462365591398</v>
      </c>
      <c r="H16" s="319">
        <f t="shared" si="18"/>
        <v>1618</v>
      </c>
      <c r="I16" s="358" t="e">
        <f t="shared" si="19"/>
        <v>#DIV/0!</v>
      </c>
      <c r="J16" s="497"/>
      <c r="K16" s="498"/>
      <c r="L16" s="611"/>
      <c r="M16" s="612"/>
      <c r="N16" s="612"/>
      <c r="O16" s="612"/>
      <c r="P16" s="612"/>
      <c r="Q16" s="612"/>
      <c r="R16" s="612"/>
      <c r="S16" s="613"/>
      <c r="T16" s="354"/>
      <c r="U16" s="354"/>
      <c r="V16" s="314">
        <v>133</v>
      </c>
      <c r="AJ16" s="513"/>
      <c r="AK16" s="513"/>
      <c r="AL16" s="513"/>
      <c r="AM16" s="513"/>
      <c r="AN16" s="513"/>
      <c r="AO16" s="513"/>
      <c r="AP16" s="513"/>
      <c r="AQ16" s="513"/>
      <c r="AR16" s="513"/>
      <c r="AS16" s="513"/>
      <c r="AT16" s="513"/>
      <c r="AU16" s="513"/>
      <c r="AV16" s="513"/>
      <c r="AW16" s="513"/>
      <c r="AX16" s="513"/>
      <c r="AY16" s="513"/>
      <c r="AZ16" s="513"/>
      <c r="BA16" s="513"/>
    </row>
    <row r="17" spans="1:53" ht="19" customHeight="1" x14ac:dyDescent="0.25">
      <c r="A17" s="318">
        <v>6</v>
      </c>
      <c r="B17" s="319">
        <v>5174</v>
      </c>
      <c r="C17" s="319">
        <v>7000</v>
      </c>
      <c r="D17" s="320">
        <f t="shared" si="15"/>
        <v>0.7391428571428571</v>
      </c>
      <c r="E17" s="319">
        <f t="shared" si="16"/>
        <v>-1826</v>
      </c>
      <c r="F17" s="319">
        <v>5558</v>
      </c>
      <c r="G17" s="320">
        <f t="shared" si="17"/>
        <v>0.93091039942425335</v>
      </c>
      <c r="H17" s="319">
        <f t="shared" si="18"/>
        <v>-384</v>
      </c>
      <c r="I17" s="358">
        <f t="shared" si="19"/>
        <v>172.46666666666667</v>
      </c>
      <c r="J17" s="497"/>
      <c r="K17" s="498"/>
      <c r="L17" s="611"/>
      <c r="M17" s="612"/>
      <c r="N17" s="612"/>
      <c r="O17" s="612"/>
      <c r="P17" s="612"/>
      <c r="Q17" s="612"/>
      <c r="R17" s="612"/>
      <c r="S17" s="613"/>
      <c r="T17" s="354">
        <v>30</v>
      </c>
      <c r="U17" s="354"/>
      <c r="V17" s="314">
        <f>V14-V16</f>
        <v>2236</v>
      </c>
      <c r="AJ17" s="513"/>
      <c r="AK17" s="513"/>
      <c r="AL17" s="513"/>
      <c r="AM17" s="513"/>
      <c r="AN17" s="513"/>
      <c r="AO17" s="513"/>
      <c r="AP17" s="513"/>
      <c r="AQ17" s="513"/>
      <c r="AR17" s="513"/>
      <c r="AS17" s="513"/>
      <c r="AT17" s="513"/>
      <c r="AU17" s="513"/>
      <c r="AV17" s="513"/>
      <c r="AW17" s="513"/>
      <c r="AX17" s="513"/>
      <c r="AY17" s="513"/>
      <c r="AZ17" s="513"/>
      <c r="BA17" s="513"/>
    </row>
    <row r="18" spans="1:53" ht="19" customHeight="1" x14ac:dyDescent="0.25">
      <c r="A18" s="318">
        <v>7</v>
      </c>
      <c r="B18" s="319">
        <v>11438</v>
      </c>
      <c r="C18" s="319">
        <v>13000</v>
      </c>
      <c r="D18" s="320">
        <f t="shared" si="15"/>
        <v>0.87984615384615383</v>
      </c>
      <c r="E18" s="319">
        <f t="shared" si="16"/>
        <v>-1562</v>
      </c>
      <c r="F18" s="319">
        <v>12016</v>
      </c>
      <c r="G18" s="320">
        <f t="shared" si="17"/>
        <v>0.95189747003994674</v>
      </c>
      <c r="H18" s="319">
        <f t="shared" si="18"/>
        <v>-578</v>
      </c>
      <c r="I18" s="358">
        <f t="shared" si="19"/>
        <v>368.96774193548384</v>
      </c>
      <c r="J18" s="497"/>
      <c r="K18" s="498"/>
      <c r="L18" s="611"/>
      <c r="M18" s="612"/>
      <c r="N18" s="612"/>
      <c r="O18" s="612"/>
      <c r="P18" s="612"/>
      <c r="Q18" s="612"/>
      <c r="R18" s="612"/>
      <c r="S18" s="613"/>
      <c r="T18" s="354">
        <v>31</v>
      </c>
      <c r="U18" s="354"/>
      <c r="AJ18" s="513"/>
      <c r="AK18" s="513"/>
      <c r="AL18" s="513"/>
      <c r="AM18" s="513"/>
      <c r="AN18" s="513"/>
      <c r="AO18" s="513"/>
      <c r="AP18" s="513"/>
      <c r="AQ18" s="513"/>
      <c r="AR18" s="513"/>
      <c r="AS18" s="513"/>
      <c r="AT18" s="513"/>
      <c r="AU18" s="513"/>
      <c r="AV18" s="513"/>
      <c r="AW18" s="513"/>
      <c r="AX18" s="513"/>
      <c r="AY18" s="513"/>
      <c r="AZ18" s="513"/>
      <c r="BA18" s="513"/>
    </row>
    <row r="19" spans="1:53" ht="19" customHeight="1" x14ac:dyDescent="0.25">
      <c r="A19" s="318">
        <v>8</v>
      </c>
      <c r="B19" s="319">
        <v>13891</v>
      </c>
      <c r="C19" s="319">
        <v>12500</v>
      </c>
      <c r="D19" s="320">
        <f t="shared" si="15"/>
        <v>1.11128</v>
      </c>
      <c r="E19" s="319">
        <f t="shared" si="16"/>
        <v>1391</v>
      </c>
      <c r="F19" s="319">
        <v>12386</v>
      </c>
      <c r="G19" s="320">
        <f t="shared" si="17"/>
        <v>1.1215081543678347</v>
      </c>
      <c r="H19" s="319">
        <f t="shared" si="18"/>
        <v>1505</v>
      </c>
      <c r="I19" s="358">
        <f t="shared" si="19"/>
        <v>448.09677419354841</v>
      </c>
      <c r="J19" s="497"/>
      <c r="K19" s="498"/>
      <c r="L19" s="611"/>
      <c r="M19" s="612"/>
      <c r="N19" s="612"/>
      <c r="O19" s="612"/>
      <c r="P19" s="612"/>
      <c r="Q19" s="612"/>
      <c r="R19" s="612"/>
      <c r="S19" s="613"/>
      <c r="T19" s="354">
        <v>31</v>
      </c>
      <c r="U19" s="354"/>
      <c r="AJ19" s="513"/>
      <c r="AK19" s="513"/>
      <c r="AL19" s="513"/>
      <c r="AM19" s="513"/>
      <c r="AN19" s="513"/>
      <c r="AO19" s="513"/>
      <c r="AP19" s="513"/>
      <c r="AQ19" s="513"/>
      <c r="AR19" s="513"/>
      <c r="AS19" s="513"/>
      <c r="AT19" s="513"/>
      <c r="AU19" s="513"/>
      <c r="AV19" s="513"/>
      <c r="AW19" s="513"/>
      <c r="AX19" s="513"/>
      <c r="AY19" s="513"/>
      <c r="AZ19" s="513"/>
      <c r="BA19" s="513"/>
    </row>
    <row r="20" spans="1:53" ht="19" customHeight="1" x14ac:dyDescent="0.25">
      <c r="A20" s="318">
        <v>9</v>
      </c>
      <c r="B20" s="319">
        <v>3458</v>
      </c>
      <c r="C20" s="319">
        <v>2000</v>
      </c>
      <c r="D20" s="320">
        <f t="shared" si="15"/>
        <v>1.7290000000000001</v>
      </c>
      <c r="E20" s="319">
        <f t="shared" si="16"/>
        <v>1458</v>
      </c>
      <c r="F20" s="319">
        <v>1976</v>
      </c>
      <c r="G20" s="320">
        <f t="shared" si="17"/>
        <v>1.75</v>
      </c>
      <c r="H20" s="319">
        <f t="shared" si="18"/>
        <v>1482</v>
      </c>
      <c r="I20" s="358" t="e">
        <f t="shared" si="19"/>
        <v>#DIV/0!</v>
      </c>
      <c r="J20" s="497"/>
      <c r="K20" s="498"/>
      <c r="L20" s="611"/>
      <c r="M20" s="612"/>
      <c r="N20" s="612"/>
      <c r="O20" s="612"/>
      <c r="P20" s="612"/>
      <c r="Q20" s="612"/>
      <c r="R20" s="612"/>
      <c r="S20" s="613"/>
      <c r="T20" s="354"/>
      <c r="U20" s="354"/>
      <c r="AJ20" s="513"/>
      <c r="AK20" s="513"/>
      <c r="AL20" s="513"/>
      <c r="AM20" s="513"/>
      <c r="AN20" s="513"/>
      <c r="AO20" s="513"/>
      <c r="AP20" s="513"/>
      <c r="AQ20" s="513"/>
      <c r="AR20" s="513"/>
      <c r="AS20" s="513"/>
      <c r="AT20" s="513"/>
      <c r="AU20" s="513"/>
      <c r="AV20" s="513"/>
      <c r="AW20" s="513"/>
      <c r="AX20" s="513"/>
      <c r="AY20" s="513"/>
      <c r="AZ20" s="513"/>
      <c r="BA20" s="513"/>
    </row>
    <row r="21" spans="1:53" ht="19" customHeight="1" x14ac:dyDescent="0.25">
      <c r="A21" s="318">
        <v>10</v>
      </c>
      <c r="B21" s="319">
        <v>538</v>
      </c>
      <c r="C21" s="319">
        <v>350</v>
      </c>
      <c r="D21" s="320">
        <f t="shared" si="15"/>
        <v>1.5371428571428571</v>
      </c>
      <c r="E21" s="319">
        <f t="shared" si="16"/>
        <v>188</v>
      </c>
      <c r="F21" s="319">
        <v>194</v>
      </c>
      <c r="G21" s="320">
        <f t="shared" si="17"/>
        <v>2.7731958762886597</v>
      </c>
      <c r="H21" s="319">
        <f t="shared" si="18"/>
        <v>344</v>
      </c>
      <c r="I21" s="358">
        <f t="shared" si="19"/>
        <v>179.33333333333334</v>
      </c>
      <c r="J21" s="497"/>
      <c r="K21" s="498"/>
      <c r="L21" s="611"/>
      <c r="M21" s="612"/>
      <c r="N21" s="612"/>
      <c r="O21" s="612"/>
      <c r="P21" s="612"/>
      <c r="Q21" s="612"/>
      <c r="R21" s="612"/>
      <c r="S21" s="613"/>
      <c r="T21" s="354">
        <v>3</v>
      </c>
      <c r="U21" s="354"/>
      <c r="AJ21" s="513"/>
      <c r="AK21" s="513"/>
      <c r="AL21" s="513"/>
      <c r="AM21" s="513"/>
      <c r="AN21" s="513"/>
      <c r="AO21" s="513"/>
      <c r="AP21" s="513"/>
      <c r="AQ21" s="513"/>
      <c r="AR21" s="513"/>
      <c r="AS21" s="513"/>
      <c r="AT21" s="513"/>
      <c r="AU21" s="513"/>
      <c r="AV21" s="513"/>
      <c r="AW21" s="513"/>
      <c r="AX21" s="513"/>
      <c r="AY21" s="513"/>
      <c r="AZ21" s="513"/>
      <c r="BA21" s="513"/>
    </row>
    <row r="22" spans="1:53" ht="19" customHeight="1" x14ac:dyDescent="0.25">
      <c r="A22" s="321" t="s">
        <v>2</v>
      </c>
      <c r="B22" s="322">
        <f>SUM(B15:B21)</f>
        <v>36868</v>
      </c>
      <c r="C22" s="322">
        <f>SUM(C15:C21)</f>
        <v>35570</v>
      </c>
      <c r="D22" s="323">
        <f t="shared" si="15"/>
        <v>1.0364914253584481</v>
      </c>
      <c r="E22" s="322">
        <f t="shared" si="16"/>
        <v>1298</v>
      </c>
      <c r="F22" s="322">
        <f>SUM(F15:F21)</f>
        <v>32897</v>
      </c>
      <c r="G22" s="320">
        <f t="shared" si="17"/>
        <v>1.1207100951454541</v>
      </c>
      <c r="H22" s="319">
        <f t="shared" si="18"/>
        <v>3971</v>
      </c>
      <c r="I22" s="358">
        <f t="shared" si="19"/>
        <v>368.68</v>
      </c>
      <c r="J22" s="497"/>
      <c r="K22" s="498"/>
      <c r="L22" s="614"/>
      <c r="M22" s="615"/>
      <c r="N22" s="615"/>
      <c r="O22" s="615"/>
      <c r="P22" s="615"/>
      <c r="Q22" s="615"/>
      <c r="R22" s="615"/>
      <c r="S22" s="616"/>
      <c r="T22" s="354">
        <v>100</v>
      </c>
      <c r="U22" s="354"/>
      <c r="AJ22" s="513"/>
      <c r="AK22" s="513"/>
      <c r="AL22" s="513"/>
      <c r="AM22" s="513"/>
      <c r="AN22" s="513"/>
      <c r="AO22" s="513"/>
      <c r="AP22" s="513"/>
      <c r="AQ22" s="513"/>
      <c r="AR22" s="513"/>
      <c r="AS22" s="513"/>
      <c r="AT22" s="513"/>
      <c r="AU22" s="513"/>
      <c r="AV22" s="513"/>
      <c r="AW22" s="513"/>
      <c r="AX22" s="513"/>
      <c r="AY22" s="513"/>
      <c r="AZ22" s="513"/>
      <c r="BA22" s="513"/>
    </row>
    <row r="23" spans="1:53" ht="11" customHeight="1" x14ac:dyDescent="0.25">
      <c r="T23" s="354"/>
      <c r="U23" s="354"/>
      <c r="AJ23" s="513"/>
      <c r="AK23" s="513"/>
      <c r="AL23" s="513"/>
      <c r="AM23" s="513"/>
      <c r="AN23" s="513"/>
      <c r="AO23" s="513"/>
      <c r="AP23" s="513"/>
      <c r="AQ23" s="513"/>
      <c r="AR23" s="513"/>
      <c r="AS23" s="513"/>
      <c r="AT23" s="513"/>
      <c r="AU23" s="513"/>
      <c r="AV23" s="513"/>
      <c r="AW23" s="513"/>
      <c r="AX23" s="513"/>
      <c r="AY23" s="513"/>
      <c r="AZ23" s="513"/>
      <c r="BA23" s="513"/>
    </row>
    <row r="24" spans="1:53" ht="19" customHeight="1" x14ac:dyDescent="0.25">
      <c r="A24" s="314" t="s">
        <v>168</v>
      </c>
      <c r="I24" s="325" t="s">
        <v>147</v>
      </c>
      <c r="J24" s="495"/>
      <c r="L24" s="314" t="s">
        <v>167</v>
      </c>
      <c r="T24" s="354"/>
      <c r="U24" s="354"/>
      <c r="AJ24" s="513"/>
      <c r="AK24" s="513"/>
      <c r="AL24" s="513"/>
      <c r="AM24" s="513"/>
      <c r="AN24" s="513"/>
      <c r="AO24" s="513"/>
      <c r="AP24" s="513"/>
      <c r="AQ24" s="513"/>
      <c r="AR24" s="513"/>
      <c r="AS24" s="513"/>
      <c r="AT24" s="513"/>
      <c r="AU24" s="513"/>
      <c r="AV24" s="513"/>
      <c r="AW24" s="513"/>
      <c r="AX24" s="513"/>
      <c r="AY24" s="513"/>
      <c r="AZ24" s="513"/>
      <c r="BA24" s="513"/>
    </row>
    <row r="25" spans="1:53" s="315" customFormat="1" ht="19" customHeight="1" x14ac:dyDescent="0.25">
      <c r="A25" s="316" t="s">
        <v>64</v>
      </c>
      <c r="B25" s="316" t="s">
        <v>70</v>
      </c>
      <c r="C25" s="316" t="s">
        <v>41</v>
      </c>
      <c r="D25" s="316" t="s">
        <v>143</v>
      </c>
      <c r="E25" s="316" t="s">
        <v>66</v>
      </c>
      <c r="F25" s="316" t="s">
        <v>144</v>
      </c>
      <c r="G25" s="316" t="s">
        <v>145</v>
      </c>
      <c r="H25" s="316" t="s">
        <v>66</v>
      </c>
      <c r="I25" s="316"/>
      <c r="J25" s="493"/>
      <c r="K25" s="493"/>
      <c r="L25" s="617"/>
      <c r="M25" s="618"/>
      <c r="N25" s="618"/>
      <c r="O25" s="618"/>
      <c r="P25" s="618"/>
      <c r="Q25" s="618"/>
      <c r="R25" s="618"/>
      <c r="S25" s="619"/>
      <c r="T25" s="355"/>
      <c r="U25" s="355"/>
      <c r="AJ25" s="477"/>
      <c r="AK25" s="477"/>
      <c r="AL25" s="477"/>
      <c r="AM25" s="477"/>
      <c r="AN25" s="477"/>
      <c r="AO25" s="477"/>
      <c r="AP25" s="477"/>
      <c r="AQ25" s="477"/>
      <c r="AR25" s="477"/>
      <c r="AS25" s="477"/>
      <c r="AT25" s="477"/>
      <c r="AU25" s="477"/>
      <c r="AV25" s="477"/>
      <c r="AW25" s="477"/>
      <c r="AX25" s="477"/>
      <c r="AY25" s="477"/>
      <c r="AZ25" s="477"/>
      <c r="BA25" s="477"/>
    </row>
    <row r="26" spans="1:53" ht="19" customHeight="1" x14ac:dyDescent="0.25">
      <c r="A26" s="318">
        <v>4</v>
      </c>
      <c r="B26" s="319">
        <f>B4/B15</f>
        <v>1317.221635883905</v>
      </c>
      <c r="C26" s="319">
        <v>1300</v>
      </c>
      <c r="D26" s="320">
        <f t="shared" ref="D26:D33" si="20">B26/C26</f>
        <v>1.0132474122183885</v>
      </c>
      <c r="E26" s="319">
        <f t="shared" ref="E26:E33" si="21">B26-C26</f>
        <v>17.221635883905037</v>
      </c>
      <c r="F26" s="319">
        <f>F4/F15</f>
        <v>658.22784810126586</v>
      </c>
      <c r="G26" s="320">
        <f t="shared" ref="G26:G33" si="22">B26/F26</f>
        <v>2.0011636391313172</v>
      </c>
      <c r="H26" s="319">
        <f t="shared" ref="H26:H33" si="23">B26-F26</f>
        <v>658.99378778263917</v>
      </c>
      <c r="I26" s="319"/>
      <c r="J26" s="499"/>
      <c r="L26" s="620"/>
      <c r="M26" s="621"/>
      <c r="N26" s="621"/>
      <c r="O26" s="621"/>
      <c r="P26" s="621"/>
      <c r="Q26" s="621"/>
      <c r="R26" s="621"/>
      <c r="S26" s="622"/>
    </row>
    <row r="27" spans="1:53" ht="19" customHeight="1" x14ac:dyDescent="0.25">
      <c r="A27" s="318">
        <v>5</v>
      </c>
      <c r="B27" s="319">
        <f t="shared" ref="B27:B32" si="24">B5/B16</f>
        <v>1466.9070351758794</v>
      </c>
      <c r="C27" s="319">
        <v>3500</v>
      </c>
      <c r="D27" s="320">
        <f t="shared" si="20"/>
        <v>0.41911629576453696</v>
      </c>
      <c r="E27" s="319">
        <f t="shared" si="21"/>
        <v>-2033.0929648241206</v>
      </c>
      <c r="F27" s="319">
        <f t="shared" ref="F27:F32" si="25">F5/F16</f>
        <v>4976.3440860215051</v>
      </c>
      <c r="G27" s="320">
        <f t="shared" si="22"/>
        <v>0.29477604639446153</v>
      </c>
      <c r="H27" s="319">
        <f t="shared" si="23"/>
        <v>-3509.4370508456259</v>
      </c>
      <c r="I27" s="319"/>
      <c r="J27" s="499"/>
      <c r="L27" s="620"/>
      <c r="M27" s="621"/>
      <c r="N27" s="621"/>
      <c r="O27" s="621"/>
      <c r="P27" s="621"/>
      <c r="Q27" s="621"/>
      <c r="R27" s="621"/>
      <c r="S27" s="622"/>
    </row>
    <row r="28" spans="1:53" ht="19" customHeight="1" x14ac:dyDescent="0.25">
      <c r="A28" s="318">
        <v>6</v>
      </c>
      <c r="B28" s="319">
        <f t="shared" si="24"/>
        <v>3709.7866254348664</v>
      </c>
      <c r="C28" s="319">
        <v>3600</v>
      </c>
      <c r="D28" s="320">
        <f t="shared" si="20"/>
        <v>1.0304962848430184</v>
      </c>
      <c r="E28" s="319">
        <f t="shared" si="21"/>
        <v>109.78662543486644</v>
      </c>
      <c r="F28" s="319">
        <f t="shared" si="25"/>
        <v>3958.2583663188198</v>
      </c>
      <c r="G28" s="320">
        <f t="shared" si="22"/>
        <v>0.93722700291668126</v>
      </c>
      <c r="H28" s="319">
        <f t="shared" si="23"/>
        <v>-248.47174088395332</v>
      </c>
      <c r="I28" s="319"/>
      <c r="J28" s="499"/>
      <c r="L28" s="620"/>
      <c r="M28" s="621"/>
      <c r="N28" s="621"/>
      <c r="O28" s="621"/>
      <c r="P28" s="621"/>
      <c r="Q28" s="621"/>
      <c r="R28" s="621"/>
      <c r="S28" s="622"/>
    </row>
    <row r="29" spans="1:53" ht="19" customHeight="1" x14ac:dyDescent="0.25">
      <c r="A29" s="318">
        <v>7</v>
      </c>
      <c r="B29" s="319">
        <f t="shared" si="24"/>
        <v>4162.7334324182548</v>
      </c>
      <c r="C29" s="319">
        <v>3900</v>
      </c>
      <c r="D29" s="320">
        <f t="shared" si="20"/>
        <v>1.0673675467739114</v>
      </c>
      <c r="E29" s="319">
        <f t="shared" si="21"/>
        <v>262.73343241825478</v>
      </c>
      <c r="F29" s="319">
        <f t="shared" si="25"/>
        <v>4161.1185086551268</v>
      </c>
      <c r="G29" s="320">
        <f t="shared" si="22"/>
        <v>1.000388098478755</v>
      </c>
      <c r="H29" s="319">
        <f t="shared" si="23"/>
        <v>1.6149237631279902</v>
      </c>
      <c r="I29" s="319"/>
      <c r="J29" s="499"/>
      <c r="L29" s="620"/>
      <c r="M29" s="621"/>
      <c r="N29" s="621"/>
      <c r="O29" s="621"/>
      <c r="P29" s="621"/>
      <c r="Q29" s="621"/>
      <c r="R29" s="621"/>
      <c r="S29" s="622"/>
    </row>
    <row r="30" spans="1:53" ht="19" customHeight="1" x14ac:dyDescent="0.25">
      <c r="A30" s="318">
        <v>8</v>
      </c>
      <c r="B30" s="319">
        <f t="shared" si="24"/>
        <v>4022.3870131739977</v>
      </c>
      <c r="C30" s="319">
        <v>3900</v>
      </c>
      <c r="D30" s="320">
        <f t="shared" si="20"/>
        <v>1.0313812854292301</v>
      </c>
      <c r="E30" s="319">
        <f t="shared" si="21"/>
        <v>122.38701317399773</v>
      </c>
      <c r="F30" s="319">
        <f t="shared" si="25"/>
        <v>4036.8157597287259</v>
      </c>
      <c r="G30" s="320">
        <f t="shared" si="22"/>
        <v>0.99642571090346277</v>
      </c>
      <c r="H30" s="319">
        <f t="shared" si="23"/>
        <v>-14.42874655472815</v>
      </c>
      <c r="I30" s="319"/>
      <c r="J30" s="499"/>
      <c r="L30" s="620"/>
      <c r="M30" s="621"/>
      <c r="N30" s="621"/>
      <c r="O30" s="621"/>
      <c r="P30" s="621"/>
      <c r="Q30" s="621"/>
      <c r="R30" s="621"/>
      <c r="S30" s="622"/>
    </row>
    <row r="31" spans="1:53" ht="19" customHeight="1" x14ac:dyDescent="0.25">
      <c r="A31" s="318">
        <v>9</v>
      </c>
      <c r="B31" s="319">
        <f t="shared" si="24"/>
        <v>3571.6677270098321</v>
      </c>
      <c r="C31" s="319">
        <v>3500</v>
      </c>
      <c r="D31" s="320">
        <f t="shared" si="20"/>
        <v>1.0204764934313806</v>
      </c>
      <c r="E31" s="319">
        <f t="shared" si="21"/>
        <v>71.667727009832106</v>
      </c>
      <c r="F31" s="319">
        <f t="shared" si="25"/>
        <v>4048.5829959514172</v>
      </c>
      <c r="G31" s="320">
        <f t="shared" si="22"/>
        <v>0.88220192857142854</v>
      </c>
      <c r="H31" s="319">
        <f t="shared" si="23"/>
        <v>-476.91526894158505</v>
      </c>
      <c r="I31" s="319"/>
      <c r="J31" s="499"/>
      <c r="L31" s="620"/>
      <c r="M31" s="621"/>
      <c r="N31" s="621"/>
      <c r="O31" s="621"/>
      <c r="P31" s="621"/>
      <c r="Q31" s="621"/>
      <c r="R31" s="621"/>
      <c r="S31" s="622"/>
    </row>
    <row r="32" spans="1:53" ht="19" customHeight="1" x14ac:dyDescent="0.25">
      <c r="A32" s="318">
        <v>10</v>
      </c>
      <c r="B32" s="319">
        <f t="shared" si="24"/>
        <v>2703.193308550186</v>
      </c>
      <c r="C32" s="319">
        <v>1300</v>
      </c>
      <c r="D32" s="320">
        <f t="shared" si="20"/>
        <v>2.0793794681155275</v>
      </c>
      <c r="E32" s="319">
        <f t="shared" si="21"/>
        <v>1403.193308550186</v>
      </c>
      <c r="F32" s="319">
        <f t="shared" si="25"/>
        <v>3570.7577319587631</v>
      </c>
      <c r="G32" s="320">
        <f t="shared" si="22"/>
        <v>0.75703632435105905</v>
      </c>
      <c r="H32" s="319">
        <f t="shared" si="23"/>
        <v>-867.56442340857711</v>
      </c>
      <c r="I32" s="319"/>
      <c r="J32" s="499"/>
      <c r="L32" s="620"/>
      <c r="M32" s="621"/>
      <c r="N32" s="621"/>
      <c r="O32" s="621"/>
      <c r="P32" s="621"/>
      <c r="Q32" s="621"/>
      <c r="R32" s="621"/>
      <c r="S32" s="622"/>
    </row>
    <row r="33" spans="1:19" ht="19" customHeight="1" x14ac:dyDescent="0.25">
      <c r="A33" s="321" t="s">
        <v>2</v>
      </c>
      <c r="B33" s="322">
        <f>B11/B22</f>
        <v>3794.7888683953565</v>
      </c>
      <c r="C33" s="322">
        <f>C11/C22</f>
        <v>3833.741917346078</v>
      </c>
      <c r="D33" s="323">
        <f t="shared" si="20"/>
        <v>0.98983941804364162</v>
      </c>
      <c r="E33" s="322">
        <f t="shared" si="21"/>
        <v>-38.953048950721495</v>
      </c>
      <c r="F33" s="322">
        <f>F11/F22</f>
        <v>4036.9616378393166</v>
      </c>
      <c r="G33" s="320">
        <f t="shared" si="22"/>
        <v>0.9400111293666944</v>
      </c>
      <c r="H33" s="319">
        <f t="shared" si="23"/>
        <v>-242.17276944396008</v>
      </c>
      <c r="I33" s="322"/>
      <c r="J33" s="500"/>
      <c r="L33" s="620"/>
      <c r="M33" s="621"/>
      <c r="N33" s="621"/>
      <c r="O33" s="621"/>
      <c r="P33" s="621"/>
      <c r="Q33" s="621"/>
      <c r="R33" s="621"/>
      <c r="S33" s="622"/>
    </row>
    <row r="34" spans="1:19" ht="11" customHeight="1" x14ac:dyDescent="0.25">
      <c r="L34" s="620"/>
      <c r="M34" s="621"/>
      <c r="N34" s="621"/>
      <c r="O34" s="621"/>
      <c r="P34" s="621"/>
      <c r="Q34" s="621"/>
      <c r="R34" s="621"/>
      <c r="S34" s="622"/>
    </row>
    <row r="35" spans="1:19" ht="19" customHeight="1" x14ac:dyDescent="0.25">
      <c r="A35" s="314" t="s">
        <v>169</v>
      </c>
      <c r="L35" s="620"/>
      <c r="M35" s="621"/>
      <c r="N35" s="621"/>
      <c r="O35" s="621"/>
      <c r="P35" s="621"/>
      <c r="Q35" s="621"/>
      <c r="R35" s="621"/>
      <c r="S35" s="622"/>
    </row>
    <row r="36" spans="1:19" s="315" customFormat="1" ht="19" customHeight="1" x14ac:dyDescent="0.25">
      <c r="A36" s="316" t="s">
        <v>64</v>
      </c>
      <c r="B36" s="316" t="s">
        <v>51</v>
      </c>
      <c r="C36" s="316" t="s">
        <v>149</v>
      </c>
      <c r="D36" s="316" t="s">
        <v>150</v>
      </c>
      <c r="E36" s="316" t="s">
        <v>151</v>
      </c>
      <c r="F36" s="316" t="s">
        <v>150</v>
      </c>
      <c r="G36" s="316" t="s">
        <v>152</v>
      </c>
      <c r="H36" s="316" t="s">
        <v>150</v>
      </c>
      <c r="I36" s="316" t="s">
        <v>154</v>
      </c>
      <c r="J36" s="493"/>
      <c r="K36" s="493"/>
      <c r="L36" s="620"/>
      <c r="M36" s="621"/>
      <c r="N36" s="621"/>
      <c r="O36" s="621"/>
      <c r="P36" s="621"/>
      <c r="Q36" s="621"/>
      <c r="R36" s="621"/>
      <c r="S36" s="622"/>
    </row>
    <row r="37" spans="1:19" ht="19" customHeight="1" x14ac:dyDescent="0.25">
      <c r="A37" s="318">
        <v>4</v>
      </c>
      <c r="B37" s="319">
        <v>379</v>
      </c>
      <c r="C37" s="319">
        <v>0</v>
      </c>
      <c r="D37" s="323">
        <f t="shared" ref="D37:D43" si="26">C37/B37</f>
        <v>0</v>
      </c>
      <c r="E37" s="319">
        <v>0</v>
      </c>
      <c r="F37" s="323">
        <f t="shared" ref="F37:F43" si="27">E37/B37</f>
        <v>0</v>
      </c>
      <c r="G37" s="319">
        <v>0</v>
      </c>
      <c r="H37" s="323">
        <f t="shared" ref="H37:H43" si="28">G37/B37</f>
        <v>0</v>
      </c>
      <c r="I37" s="317">
        <f t="shared" ref="I37:I44" si="29">C37+E37+G37</f>
        <v>0</v>
      </c>
      <c r="J37" s="494"/>
      <c r="L37" s="620"/>
      <c r="M37" s="621"/>
      <c r="N37" s="621"/>
      <c r="O37" s="621"/>
      <c r="P37" s="621"/>
      <c r="Q37" s="621"/>
      <c r="R37" s="621"/>
      <c r="S37" s="622"/>
    </row>
    <row r="38" spans="1:19" ht="19" customHeight="1" x14ac:dyDescent="0.25">
      <c r="A38" s="318">
        <v>5</v>
      </c>
      <c r="B38" s="319">
        <f>133+1236+223+278+120</f>
        <v>1990</v>
      </c>
      <c r="C38" s="319">
        <v>59</v>
      </c>
      <c r="D38" s="323">
        <f>C38/B38</f>
        <v>2.964824120603015E-2</v>
      </c>
      <c r="E38" s="319">
        <v>0</v>
      </c>
      <c r="F38" s="323">
        <f>E38/B38</f>
        <v>0</v>
      </c>
      <c r="G38" s="319">
        <v>4</v>
      </c>
      <c r="H38" s="323">
        <f>G38/B38</f>
        <v>2.0100502512562816E-3</v>
      </c>
      <c r="I38" s="317">
        <f t="shared" si="29"/>
        <v>63</v>
      </c>
      <c r="J38" s="494"/>
      <c r="L38" s="620"/>
      <c r="M38" s="621"/>
      <c r="N38" s="621"/>
      <c r="O38" s="621"/>
      <c r="P38" s="621"/>
      <c r="Q38" s="621"/>
      <c r="R38" s="621"/>
      <c r="S38" s="622"/>
    </row>
    <row r="39" spans="1:19" ht="19" customHeight="1" x14ac:dyDescent="0.25">
      <c r="A39" s="318">
        <v>6</v>
      </c>
      <c r="B39" s="319">
        <v>5174</v>
      </c>
      <c r="C39" s="319">
        <v>2281</v>
      </c>
      <c r="D39" s="323">
        <f>C39/B39</f>
        <v>0.44085813683803632</v>
      </c>
      <c r="E39" s="319">
        <v>58</v>
      </c>
      <c r="F39" s="323">
        <f>E39/B39</f>
        <v>1.1209895632006184E-2</v>
      </c>
      <c r="G39" s="319">
        <v>17</v>
      </c>
      <c r="H39" s="323">
        <f>G39/B39</f>
        <v>3.2856590645535368E-3</v>
      </c>
      <c r="I39" s="317">
        <f t="shared" si="29"/>
        <v>2356</v>
      </c>
      <c r="J39" s="494"/>
      <c r="L39" s="620"/>
      <c r="M39" s="621"/>
      <c r="N39" s="621"/>
      <c r="O39" s="621"/>
      <c r="P39" s="621"/>
      <c r="Q39" s="621"/>
      <c r="R39" s="621"/>
      <c r="S39" s="622"/>
    </row>
    <row r="40" spans="1:19" ht="19" customHeight="1" x14ac:dyDescent="0.25">
      <c r="A40" s="318">
        <v>7</v>
      </c>
      <c r="B40" s="319">
        <v>11438</v>
      </c>
      <c r="C40" s="319">
        <v>5791</v>
      </c>
      <c r="D40" s="323">
        <f>C40/B40</f>
        <v>0.50629480678440286</v>
      </c>
      <c r="E40" s="319">
        <v>226</v>
      </c>
      <c r="F40" s="323">
        <f>E40/B40</f>
        <v>1.9758699073264555E-2</v>
      </c>
      <c r="G40" s="319">
        <v>167</v>
      </c>
      <c r="H40" s="323">
        <f>G40/B40</f>
        <v>1.4600454624934429E-2</v>
      </c>
      <c r="I40" s="317">
        <f t="shared" si="29"/>
        <v>6184</v>
      </c>
      <c r="J40" s="494"/>
      <c r="L40" s="620"/>
      <c r="M40" s="621"/>
      <c r="N40" s="621"/>
      <c r="O40" s="621"/>
      <c r="P40" s="621"/>
      <c r="Q40" s="621"/>
      <c r="R40" s="621"/>
      <c r="S40" s="622"/>
    </row>
    <row r="41" spans="1:19" ht="19" customHeight="1" x14ac:dyDescent="0.25">
      <c r="A41" s="318">
        <v>8</v>
      </c>
      <c r="B41" s="319">
        <v>13891</v>
      </c>
      <c r="C41" s="319">
        <v>6305</v>
      </c>
      <c r="D41" s="323">
        <f>C41/B41</f>
        <v>0.45389100856669784</v>
      </c>
      <c r="E41" s="319">
        <v>397</v>
      </c>
      <c r="F41" s="323">
        <f>E41/B41</f>
        <v>2.8579655892304368E-2</v>
      </c>
      <c r="G41" s="319">
        <v>140</v>
      </c>
      <c r="H41" s="323">
        <f>G41/B41</f>
        <v>1.0078468072852927E-2</v>
      </c>
      <c r="I41" s="317">
        <f t="shared" si="29"/>
        <v>6842</v>
      </c>
      <c r="J41" s="494"/>
      <c r="L41" s="620"/>
      <c r="M41" s="621"/>
      <c r="N41" s="621"/>
      <c r="O41" s="621"/>
      <c r="P41" s="621"/>
      <c r="Q41" s="621"/>
      <c r="R41" s="621"/>
      <c r="S41" s="622"/>
    </row>
    <row r="42" spans="1:19" ht="19" customHeight="1" x14ac:dyDescent="0.25">
      <c r="A42" s="318">
        <v>9</v>
      </c>
      <c r="B42" s="319">
        <v>3458</v>
      </c>
      <c r="C42" s="319">
        <v>863</v>
      </c>
      <c r="D42" s="323">
        <f t="shared" si="26"/>
        <v>0.24956622325043379</v>
      </c>
      <c r="E42" s="319">
        <v>37</v>
      </c>
      <c r="F42" s="323">
        <f t="shared" si="27"/>
        <v>1.0699826489300174E-2</v>
      </c>
      <c r="G42" s="319">
        <v>2</v>
      </c>
      <c r="H42" s="323">
        <f t="shared" si="28"/>
        <v>5.7836899942163096E-4</v>
      </c>
      <c r="I42" s="317">
        <f t="shared" si="29"/>
        <v>902</v>
      </c>
      <c r="J42" s="494"/>
      <c r="L42" s="620"/>
      <c r="M42" s="621"/>
      <c r="N42" s="621"/>
      <c r="O42" s="621"/>
      <c r="P42" s="621"/>
      <c r="Q42" s="621"/>
      <c r="R42" s="621"/>
      <c r="S42" s="622"/>
    </row>
    <row r="43" spans="1:19" ht="19" customHeight="1" x14ac:dyDescent="0.25">
      <c r="A43" s="318">
        <v>10</v>
      </c>
      <c r="B43" s="319">
        <v>538</v>
      </c>
      <c r="C43" s="319">
        <v>150</v>
      </c>
      <c r="D43" s="323">
        <f t="shared" si="26"/>
        <v>0.27881040892193309</v>
      </c>
      <c r="E43" s="319">
        <v>0</v>
      </c>
      <c r="F43" s="323">
        <f t="shared" si="27"/>
        <v>0</v>
      </c>
      <c r="G43" s="319">
        <v>0</v>
      </c>
      <c r="H43" s="323">
        <f t="shared" si="28"/>
        <v>0</v>
      </c>
      <c r="I43" s="317">
        <f t="shared" si="29"/>
        <v>150</v>
      </c>
      <c r="J43" s="494"/>
      <c r="L43" s="620"/>
      <c r="M43" s="621"/>
      <c r="N43" s="621"/>
      <c r="O43" s="621"/>
      <c r="P43" s="621"/>
      <c r="Q43" s="621"/>
      <c r="R43" s="621"/>
      <c r="S43" s="622"/>
    </row>
    <row r="44" spans="1:19" ht="19" customHeight="1" thickBot="1" x14ac:dyDescent="0.3">
      <c r="A44" s="321" t="s">
        <v>2</v>
      </c>
      <c r="B44" s="322">
        <f>SUM(B37:B43)</f>
        <v>36868</v>
      </c>
      <c r="C44" s="322">
        <f>SUM(C37:C43)</f>
        <v>15449</v>
      </c>
      <c r="D44" s="323">
        <f>C44/B44</f>
        <v>0.41903547792123252</v>
      </c>
      <c r="E44" s="322">
        <f>SUM(E37:E43)</f>
        <v>718</v>
      </c>
      <c r="F44" s="323">
        <f>E44/B44</f>
        <v>1.9474883367690137E-2</v>
      </c>
      <c r="G44" s="322">
        <f>SUM(G37:G43)</f>
        <v>330</v>
      </c>
      <c r="H44" s="323">
        <f>G44/B44</f>
        <v>8.9508516870999248E-3</v>
      </c>
      <c r="I44" s="322">
        <f t="shared" si="29"/>
        <v>16497</v>
      </c>
      <c r="J44" s="500"/>
      <c r="L44" s="623"/>
      <c r="M44" s="624"/>
      <c r="N44" s="624"/>
      <c r="O44" s="624"/>
      <c r="P44" s="624"/>
      <c r="Q44" s="624"/>
      <c r="R44" s="624"/>
      <c r="S44" s="625"/>
    </row>
    <row r="45" spans="1:19" s="315" customFormat="1" ht="19" customHeight="1" thickTop="1" x14ac:dyDescent="0.25">
      <c r="A45" s="316" t="s">
        <v>64</v>
      </c>
      <c r="B45" s="316" t="s">
        <v>51</v>
      </c>
      <c r="C45" s="326" t="s">
        <v>153</v>
      </c>
      <c r="D45" s="327" t="s">
        <v>150</v>
      </c>
      <c r="E45" s="332" t="s">
        <v>155</v>
      </c>
      <c r="F45" s="333" t="s">
        <v>150</v>
      </c>
      <c r="G45" s="334" t="s">
        <v>156</v>
      </c>
      <c r="H45" s="335" t="s">
        <v>150</v>
      </c>
      <c r="I45" s="329"/>
      <c r="J45" s="493"/>
      <c r="K45" s="493"/>
      <c r="L45" s="343"/>
      <c r="M45" s="343"/>
      <c r="N45" s="343"/>
      <c r="O45" s="343"/>
      <c r="P45" s="343"/>
      <c r="Q45" s="343"/>
      <c r="R45" s="343"/>
      <c r="S45" s="343"/>
    </row>
    <row r="46" spans="1:19" ht="19" customHeight="1" x14ac:dyDescent="0.25">
      <c r="A46" s="318">
        <v>4</v>
      </c>
      <c r="B46" s="319">
        <v>379</v>
      </c>
      <c r="C46" s="319">
        <v>0</v>
      </c>
      <c r="D46" s="328">
        <f t="shared" ref="D46:D52" si="30">C46/B46</f>
        <v>0</v>
      </c>
      <c r="E46" s="336">
        <f t="shared" ref="E46:E52" si="31">C46+I37</f>
        <v>0</v>
      </c>
      <c r="F46" s="323">
        <f t="shared" ref="F46:F52" si="32">E46/B46</f>
        <v>0</v>
      </c>
      <c r="G46" s="319">
        <f t="shared" ref="G46:G52" si="33">B46-E46</f>
        <v>379</v>
      </c>
      <c r="H46" s="337">
        <f t="shared" ref="H46:H52" si="34">G46/B46</f>
        <v>1</v>
      </c>
      <c r="I46" s="330"/>
      <c r="J46" s="499"/>
      <c r="L46" s="626" t="s">
        <v>173</v>
      </c>
      <c r="M46" s="626"/>
      <c r="N46" s="343"/>
      <c r="O46" s="343"/>
      <c r="P46" s="343"/>
      <c r="Q46" s="343"/>
      <c r="R46" s="343"/>
      <c r="S46" s="343"/>
    </row>
    <row r="47" spans="1:19" ht="19" customHeight="1" x14ac:dyDescent="0.25">
      <c r="A47" s="318">
        <v>5</v>
      </c>
      <c r="B47" s="319">
        <f>133+1236+223+278+120</f>
        <v>1990</v>
      </c>
      <c r="C47" s="319">
        <v>0</v>
      </c>
      <c r="D47" s="328">
        <f>C47/B47</f>
        <v>0</v>
      </c>
      <c r="E47" s="336">
        <f t="shared" si="31"/>
        <v>63</v>
      </c>
      <c r="F47" s="323">
        <f>E47/B47</f>
        <v>3.1658291457286429E-2</v>
      </c>
      <c r="G47" s="319">
        <f t="shared" si="33"/>
        <v>1927</v>
      </c>
      <c r="H47" s="337">
        <f>G47/B47</f>
        <v>0.96834170854271362</v>
      </c>
      <c r="I47" s="330"/>
      <c r="J47" s="499"/>
      <c r="L47" s="472"/>
      <c r="M47" s="472"/>
      <c r="N47" s="343"/>
      <c r="O47" s="343"/>
      <c r="P47" s="343"/>
      <c r="Q47" s="343"/>
      <c r="R47" s="343"/>
      <c r="S47" s="343"/>
    </row>
    <row r="48" spans="1:19" ht="19" customHeight="1" x14ac:dyDescent="0.25">
      <c r="A48" s="318">
        <v>6</v>
      </c>
      <c r="B48" s="319">
        <v>5174</v>
      </c>
      <c r="C48" s="319">
        <v>182</v>
      </c>
      <c r="D48" s="328">
        <f>C48/B48</f>
        <v>3.5175879396984924E-2</v>
      </c>
      <c r="E48" s="336">
        <f t="shared" si="31"/>
        <v>2538</v>
      </c>
      <c r="F48" s="323">
        <f>E48/B48</f>
        <v>0.490529570931581</v>
      </c>
      <c r="G48" s="319">
        <f t="shared" si="33"/>
        <v>2636</v>
      </c>
      <c r="H48" s="337">
        <f>G48/B48</f>
        <v>0.509470429068419</v>
      </c>
      <c r="I48" s="330"/>
      <c r="J48" s="499"/>
      <c r="L48" s="590"/>
      <c r="M48" s="591"/>
      <c r="N48" s="591"/>
      <c r="O48" s="591"/>
      <c r="P48" s="591"/>
      <c r="Q48" s="591"/>
      <c r="R48" s="591"/>
      <c r="S48" s="592"/>
    </row>
    <row r="49" spans="1:19" ht="19" customHeight="1" x14ac:dyDescent="0.25">
      <c r="A49" s="318">
        <v>7</v>
      </c>
      <c r="B49" s="319">
        <v>11438</v>
      </c>
      <c r="C49" s="319">
        <v>757</v>
      </c>
      <c r="D49" s="328">
        <f>C49/B49</f>
        <v>6.6182899108235702E-2</v>
      </c>
      <c r="E49" s="336">
        <f t="shared" si="31"/>
        <v>6941</v>
      </c>
      <c r="F49" s="323">
        <f>E49/B49</f>
        <v>0.60683685959083755</v>
      </c>
      <c r="G49" s="319">
        <f t="shared" si="33"/>
        <v>4497</v>
      </c>
      <c r="H49" s="337">
        <f>G49/B49</f>
        <v>0.39316314040916245</v>
      </c>
      <c r="I49" s="330"/>
      <c r="J49" s="499"/>
      <c r="L49" s="593"/>
      <c r="M49" s="594"/>
      <c r="N49" s="594"/>
      <c r="O49" s="594"/>
      <c r="P49" s="594"/>
      <c r="Q49" s="594"/>
      <c r="R49" s="594"/>
      <c r="S49" s="595"/>
    </row>
    <row r="50" spans="1:19" ht="19" customHeight="1" x14ac:dyDescent="0.25">
      <c r="A50" s="318">
        <v>8</v>
      </c>
      <c r="B50" s="319">
        <v>13891</v>
      </c>
      <c r="C50" s="319">
        <v>1287</v>
      </c>
      <c r="D50" s="328">
        <f>C50/B50</f>
        <v>9.2649917212583685E-2</v>
      </c>
      <c r="E50" s="336">
        <f t="shared" si="31"/>
        <v>8129</v>
      </c>
      <c r="F50" s="323">
        <f>E50/B50</f>
        <v>0.58519904974443882</v>
      </c>
      <c r="G50" s="319">
        <f t="shared" si="33"/>
        <v>5762</v>
      </c>
      <c r="H50" s="337">
        <f>G50/B50</f>
        <v>0.41480095025556113</v>
      </c>
      <c r="I50" s="330"/>
      <c r="J50" s="499"/>
      <c r="L50" s="593"/>
      <c r="M50" s="594"/>
      <c r="N50" s="594"/>
      <c r="O50" s="594"/>
      <c r="P50" s="594"/>
      <c r="Q50" s="594"/>
      <c r="R50" s="594"/>
      <c r="S50" s="595"/>
    </row>
    <row r="51" spans="1:19" ht="19" customHeight="1" x14ac:dyDescent="0.25">
      <c r="A51" s="318">
        <v>9</v>
      </c>
      <c r="B51" s="319">
        <v>3458</v>
      </c>
      <c r="C51" s="319">
        <v>405</v>
      </c>
      <c r="D51" s="328">
        <f t="shared" si="30"/>
        <v>0.11711972238288028</v>
      </c>
      <c r="E51" s="336">
        <f t="shared" si="31"/>
        <v>1307</v>
      </c>
      <c r="F51" s="323">
        <f t="shared" si="32"/>
        <v>0.37796414112203586</v>
      </c>
      <c r="G51" s="319">
        <f t="shared" si="33"/>
        <v>2151</v>
      </c>
      <c r="H51" s="337">
        <f t="shared" si="34"/>
        <v>0.62203585887796409</v>
      </c>
      <c r="I51" s="330"/>
      <c r="J51" s="499"/>
      <c r="L51" s="593"/>
      <c r="M51" s="594"/>
      <c r="N51" s="594"/>
      <c r="O51" s="594"/>
      <c r="P51" s="594"/>
      <c r="Q51" s="594"/>
      <c r="R51" s="594"/>
      <c r="S51" s="595"/>
    </row>
    <row r="52" spans="1:19" ht="19" customHeight="1" x14ac:dyDescent="0.25">
      <c r="A52" s="318">
        <v>10</v>
      </c>
      <c r="B52" s="319">
        <v>538</v>
      </c>
      <c r="C52" s="319">
        <v>50</v>
      </c>
      <c r="D52" s="328">
        <f t="shared" si="30"/>
        <v>9.2936802973977689E-2</v>
      </c>
      <c r="E52" s="336">
        <f t="shared" si="31"/>
        <v>200</v>
      </c>
      <c r="F52" s="323">
        <f t="shared" si="32"/>
        <v>0.37174721189591076</v>
      </c>
      <c r="G52" s="319">
        <f t="shared" si="33"/>
        <v>338</v>
      </c>
      <c r="H52" s="337">
        <f t="shared" si="34"/>
        <v>0.62825278810408924</v>
      </c>
      <c r="I52" s="330"/>
      <c r="J52" s="499"/>
      <c r="L52" s="593"/>
      <c r="M52" s="594"/>
      <c r="N52" s="594"/>
      <c r="O52" s="594"/>
      <c r="P52" s="594"/>
      <c r="Q52" s="594"/>
      <c r="R52" s="594"/>
      <c r="S52" s="595"/>
    </row>
    <row r="53" spans="1:19" ht="19" customHeight="1" thickBot="1" x14ac:dyDescent="0.3">
      <c r="A53" s="321" t="s">
        <v>2</v>
      </c>
      <c r="B53" s="322">
        <f>SUM(B46:B52)</f>
        <v>36868</v>
      </c>
      <c r="C53" s="322">
        <f>SUM(C46:C52)</f>
        <v>2681</v>
      </c>
      <c r="D53" s="328">
        <f>C53/B53</f>
        <v>7.2718889009439083E-2</v>
      </c>
      <c r="E53" s="338">
        <f>SUM(E46:E52)</f>
        <v>19178</v>
      </c>
      <c r="F53" s="339">
        <f>E53/B53</f>
        <v>0.52018010198546161</v>
      </c>
      <c r="G53" s="340">
        <f>SUM(G46:G52)</f>
        <v>17690</v>
      </c>
      <c r="H53" s="341">
        <f>G53/B53</f>
        <v>0.47981989801453834</v>
      </c>
      <c r="I53" s="331"/>
      <c r="J53" s="501"/>
      <c r="L53" s="593"/>
      <c r="M53" s="594"/>
      <c r="N53" s="594"/>
      <c r="O53" s="594"/>
      <c r="P53" s="594"/>
      <c r="Q53" s="594"/>
      <c r="R53" s="594"/>
      <c r="S53" s="595"/>
    </row>
    <row r="54" spans="1:19" ht="11" customHeight="1" thickTop="1" x14ac:dyDescent="0.25">
      <c r="L54" s="593"/>
      <c r="M54" s="594"/>
      <c r="N54" s="594"/>
      <c r="O54" s="594"/>
      <c r="P54" s="594"/>
      <c r="Q54" s="594"/>
      <c r="R54" s="594"/>
      <c r="S54" s="595"/>
    </row>
    <row r="55" spans="1:19" s="349" customFormat="1" ht="19" customHeight="1" thickBot="1" x14ac:dyDescent="0.3">
      <c r="A55" s="349" t="s">
        <v>170</v>
      </c>
      <c r="J55" s="502"/>
      <c r="K55" s="502"/>
      <c r="L55" s="593"/>
      <c r="M55" s="594"/>
      <c r="N55" s="594"/>
      <c r="O55" s="594"/>
      <c r="P55" s="594"/>
      <c r="Q55" s="594"/>
      <c r="R55" s="594"/>
      <c r="S55" s="595"/>
    </row>
    <row r="56" spans="1:19" s="315" customFormat="1" ht="19" customHeight="1" thickTop="1" x14ac:dyDescent="0.25">
      <c r="A56" s="316" t="s">
        <v>64</v>
      </c>
      <c r="B56" s="316" t="s">
        <v>242</v>
      </c>
      <c r="C56" s="316" t="s">
        <v>157</v>
      </c>
      <c r="D56" s="316" t="s">
        <v>244</v>
      </c>
      <c r="E56" s="316" t="s">
        <v>158</v>
      </c>
      <c r="F56" s="316" t="s">
        <v>245</v>
      </c>
      <c r="G56" s="316" t="s">
        <v>159</v>
      </c>
      <c r="H56" s="327" t="s">
        <v>150</v>
      </c>
      <c r="I56" s="359" t="s">
        <v>243</v>
      </c>
      <c r="J56" s="493"/>
      <c r="K56" s="493"/>
      <c r="L56" s="593"/>
      <c r="M56" s="594"/>
      <c r="N56" s="594"/>
      <c r="O56" s="594"/>
      <c r="P56" s="594"/>
      <c r="Q56" s="594"/>
      <c r="R56" s="594"/>
      <c r="S56" s="595"/>
    </row>
    <row r="57" spans="1:19" ht="19" customHeight="1" x14ac:dyDescent="0.25">
      <c r="A57" s="318">
        <v>4</v>
      </c>
      <c r="B57" s="319">
        <v>379</v>
      </c>
      <c r="C57" s="319">
        <v>0</v>
      </c>
      <c r="D57" s="342">
        <f t="shared" ref="D57:D63" si="35">C57/B57</f>
        <v>0</v>
      </c>
      <c r="E57" s="319">
        <v>0</v>
      </c>
      <c r="F57" s="342">
        <f t="shared" ref="F57:F63" si="36">E57/B57</f>
        <v>0</v>
      </c>
      <c r="G57" s="319">
        <f t="shared" ref="G57:G63" si="37">B57-C57-E57</f>
        <v>379</v>
      </c>
      <c r="H57" s="328">
        <f t="shared" ref="H57:H63" si="38">G57/B57</f>
        <v>1</v>
      </c>
      <c r="I57" s="360" t="e">
        <f t="shared" ref="I57:I64" si="39">C57/(C57+E57)</f>
        <v>#DIV/0!</v>
      </c>
      <c r="J57" s="503"/>
      <c r="L57" s="593"/>
      <c r="M57" s="594"/>
      <c r="N57" s="594"/>
      <c r="O57" s="594"/>
      <c r="P57" s="594"/>
      <c r="Q57" s="594"/>
      <c r="R57" s="594"/>
      <c r="S57" s="595"/>
    </row>
    <row r="58" spans="1:19" ht="19" customHeight="1" x14ac:dyDescent="0.25">
      <c r="A58" s="318">
        <v>5</v>
      </c>
      <c r="B58" s="319">
        <f>133+1236+223+278+120</f>
        <v>1990</v>
      </c>
      <c r="C58" s="319">
        <v>25</v>
      </c>
      <c r="D58" s="342">
        <f>C58/B58</f>
        <v>1.2562814070351759E-2</v>
      </c>
      <c r="E58" s="319">
        <v>16</v>
      </c>
      <c r="F58" s="342">
        <f>E58/B58</f>
        <v>8.0402010050251264E-3</v>
      </c>
      <c r="G58" s="319">
        <f t="shared" si="37"/>
        <v>1949</v>
      </c>
      <c r="H58" s="328">
        <f>G58/B58</f>
        <v>0.97939698492462313</v>
      </c>
      <c r="I58" s="360">
        <f t="shared" si="39"/>
        <v>0.6097560975609756</v>
      </c>
      <c r="J58" s="503"/>
      <c r="L58" s="593"/>
      <c r="M58" s="594"/>
      <c r="N58" s="594"/>
      <c r="O58" s="594"/>
      <c r="P58" s="594"/>
      <c r="Q58" s="594"/>
      <c r="R58" s="594"/>
      <c r="S58" s="595"/>
    </row>
    <row r="59" spans="1:19" ht="19" customHeight="1" x14ac:dyDescent="0.25">
      <c r="A59" s="318">
        <v>6</v>
      </c>
      <c r="B59" s="319">
        <v>5174</v>
      </c>
      <c r="C59" s="319">
        <v>1281</v>
      </c>
      <c r="D59" s="342">
        <f t="shared" si="35"/>
        <v>0.24758407421724005</v>
      </c>
      <c r="E59" s="319">
        <v>507</v>
      </c>
      <c r="F59" s="342">
        <f t="shared" si="36"/>
        <v>9.7989949748743713E-2</v>
      </c>
      <c r="G59" s="319">
        <f t="shared" si="37"/>
        <v>3386</v>
      </c>
      <c r="H59" s="328">
        <f t="shared" si="38"/>
        <v>0.6544259760340162</v>
      </c>
      <c r="I59" s="360">
        <f t="shared" si="39"/>
        <v>0.71644295302013428</v>
      </c>
      <c r="J59" s="503"/>
      <c r="L59" s="593"/>
      <c r="M59" s="594"/>
      <c r="N59" s="594"/>
      <c r="O59" s="594"/>
      <c r="P59" s="594"/>
      <c r="Q59" s="594"/>
      <c r="R59" s="594"/>
      <c r="S59" s="595"/>
    </row>
    <row r="60" spans="1:19" ht="19" customHeight="1" x14ac:dyDescent="0.25">
      <c r="A60" s="318">
        <v>7</v>
      </c>
      <c r="B60" s="319">
        <v>11438</v>
      </c>
      <c r="C60" s="319">
        <v>3566</v>
      </c>
      <c r="D60" s="342">
        <f t="shared" si="35"/>
        <v>0.31176779157195311</v>
      </c>
      <c r="E60" s="319">
        <v>2029</v>
      </c>
      <c r="F60" s="342">
        <f t="shared" si="36"/>
        <v>0.17739115229935304</v>
      </c>
      <c r="G60" s="319">
        <f t="shared" si="37"/>
        <v>5843</v>
      </c>
      <c r="H60" s="328">
        <f t="shared" si="38"/>
        <v>0.51084105612869379</v>
      </c>
      <c r="I60" s="360">
        <f>C60/(C60+E60)</f>
        <v>0.63735478105451293</v>
      </c>
      <c r="J60" s="503"/>
      <c r="L60" s="593"/>
      <c r="M60" s="594"/>
      <c r="N60" s="594"/>
      <c r="O60" s="594"/>
      <c r="P60" s="594"/>
      <c r="Q60" s="594"/>
      <c r="R60" s="594"/>
      <c r="S60" s="595"/>
    </row>
    <row r="61" spans="1:19" ht="19" customHeight="1" x14ac:dyDescent="0.25">
      <c r="A61" s="318">
        <v>8</v>
      </c>
      <c r="B61" s="319">
        <v>13891</v>
      </c>
      <c r="C61" s="319">
        <v>4639</v>
      </c>
      <c r="D61" s="342">
        <f>C61/B61</f>
        <v>0.33395723849974807</v>
      </c>
      <c r="E61" s="319">
        <v>2010</v>
      </c>
      <c r="F61" s="342">
        <f>E61/B61</f>
        <v>0.14469800590310272</v>
      </c>
      <c r="G61" s="319">
        <f t="shared" si="37"/>
        <v>7242</v>
      </c>
      <c r="H61" s="328">
        <f>G61/B61</f>
        <v>0.52134475559714921</v>
      </c>
      <c r="I61" s="360">
        <f>C61/(C61+E61)</f>
        <v>0.69769890209053997</v>
      </c>
      <c r="J61" s="503"/>
      <c r="L61" s="593"/>
      <c r="M61" s="594"/>
      <c r="N61" s="594"/>
      <c r="O61" s="594"/>
      <c r="P61" s="594"/>
      <c r="Q61" s="594"/>
      <c r="R61" s="594"/>
      <c r="S61" s="595"/>
    </row>
    <row r="62" spans="1:19" ht="19" customHeight="1" x14ac:dyDescent="0.25">
      <c r="A62" s="318">
        <v>9</v>
      </c>
      <c r="B62" s="319">
        <v>3458</v>
      </c>
      <c r="C62" s="319">
        <v>910</v>
      </c>
      <c r="D62" s="342">
        <f t="shared" si="35"/>
        <v>0.26315789473684209</v>
      </c>
      <c r="E62" s="319">
        <v>343</v>
      </c>
      <c r="F62" s="342">
        <f t="shared" si="36"/>
        <v>9.9190283400809723E-2</v>
      </c>
      <c r="G62" s="319">
        <f t="shared" si="37"/>
        <v>2205</v>
      </c>
      <c r="H62" s="328">
        <f t="shared" si="38"/>
        <v>0.63765182186234814</v>
      </c>
      <c r="I62" s="360">
        <f t="shared" si="39"/>
        <v>0.72625698324022347</v>
      </c>
      <c r="J62" s="503"/>
      <c r="L62" s="593"/>
      <c r="M62" s="594"/>
      <c r="N62" s="594"/>
      <c r="O62" s="594"/>
      <c r="P62" s="594"/>
      <c r="Q62" s="594"/>
      <c r="R62" s="594"/>
      <c r="S62" s="595"/>
    </row>
    <row r="63" spans="1:19" ht="19" customHeight="1" x14ac:dyDescent="0.25">
      <c r="A63" s="318">
        <v>10</v>
      </c>
      <c r="B63" s="319">
        <v>538</v>
      </c>
      <c r="C63" s="319">
        <v>72</v>
      </c>
      <c r="D63" s="342">
        <f t="shared" si="35"/>
        <v>0.13382899628252787</v>
      </c>
      <c r="E63" s="319">
        <v>65</v>
      </c>
      <c r="F63" s="342">
        <f t="shared" si="36"/>
        <v>0.120817843866171</v>
      </c>
      <c r="G63" s="319">
        <f t="shared" si="37"/>
        <v>401</v>
      </c>
      <c r="H63" s="328">
        <f t="shared" si="38"/>
        <v>0.74535315985130113</v>
      </c>
      <c r="I63" s="360">
        <f t="shared" si="39"/>
        <v>0.52554744525547448</v>
      </c>
      <c r="J63" s="503"/>
      <c r="L63" s="593"/>
      <c r="M63" s="594"/>
      <c r="N63" s="594"/>
      <c r="O63" s="594"/>
      <c r="P63" s="594"/>
      <c r="Q63" s="594"/>
      <c r="R63" s="594"/>
      <c r="S63" s="595"/>
    </row>
    <row r="64" spans="1:19" ht="18" customHeight="1" thickBot="1" x14ac:dyDescent="0.3">
      <c r="A64" s="321" t="s">
        <v>2</v>
      </c>
      <c r="B64" s="322">
        <f>SUM(B57:B63)</f>
        <v>36868</v>
      </c>
      <c r="C64" s="322">
        <f>SUM(C57:C63)</f>
        <v>10493</v>
      </c>
      <c r="D64" s="342">
        <f>C64/B64</f>
        <v>0.28460995985678639</v>
      </c>
      <c r="E64" s="322">
        <f>SUM(E57:E63)</f>
        <v>4970</v>
      </c>
      <c r="F64" s="342">
        <f>E64/B64</f>
        <v>0.13480525116632311</v>
      </c>
      <c r="G64" s="322">
        <f>SUM(G57:G63)</f>
        <v>21405</v>
      </c>
      <c r="H64" s="328">
        <f>G64/B64</f>
        <v>0.58058478897689048</v>
      </c>
      <c r="I64" s="361">
        <f t="shared" si="39"/>
        <v>0.67858759619737441</v>
      </c>
      <c r="J64" s="503"/>
      <c r="L64" s="596"/>
      <c r="M64" s="597"/>
      <c r="N64" s="597"/>
      <c r="O64" s="597"/>
      <c r="P64" s="597"/>
      <c r="Q64" s="597"/>
      <c r="R64" s="597"/>
      <c r="S64" s="598"/>
    </row>
    <row r="65" spans="1:22" ht="18" customHeight="1" thickTop="1" x14ac:dyDescent="0.25"/>
    <row r="67" spans="1:22" ht="25" x14ac:dyDescent="0.35">
      <c r="A67" s="583">
        <v>2024</v>
      </c>
      <c r="B67" s="88" t="s">
        <v>246</v>
      </c>
      <c r="C67" s="88" t="s">
        <v>27</v>
      </c>
      <c r="D67" s="88" t="s">
        <v>248</v>
      </c>
      <c r="E67" s="88" t="s">
        <v>85</v>
      </c>
      <c r="F67" s="88" t="s">
        <v>258</v>
      </c>
      <c r="G67" s="88" t="s">
        <v>248</v>
      </c>
      <c r="H67" s="474" t="s">
        <v>259</v>
      </c>
      <c r="I67"/>
      <c r="J67"/>
    </row>
    <row r="68" spans="1:22" x14ac:dyDescent="0.25">
      <c r="A68" s="473" t="s">
        <v>250</v>
      </c>
      <c r="B68" s="88" t="s">
        <v>247</v>
      </c>
      <c r="C68" s="460">
        <v>2939522</v>
      </c>
      <c r="D68" s="460">
        <v>4040</v>
      </c>
      <c r="E68" s="458">
        <f>C68-D68</f>
        <v>2935482</v>
      </c>
      <c r="F68" s="460">
        <v>3232260</v>
      </c>
      <c r="G68" s="460">
        <v>4040</v>
      </c>
      <c r="H68" s="458">
        <f>F68-G68</f>
        <v>3228220</v>
      </c>
      <c r="I68" s="458">
        <v>23</v>
      </c>
      <c r="J68">
        <f>1969+379</f>
        <v>2348</v>
      </c>
      <c r="L68" s="509">
        <f>H68/J68</f>
        <v>1374.8807495741057</v>
      </c>
    </row>
    <row r="69" spans="1:22" x14ac:dyDescent="0.25">
      <c r="A69">
        <v>5</v>
      </c>
      <c r="B69" s="88" t="s">
        <v>249</v>
      </c>
      <c r="C69" s="460">
        <v>477807</v>
      </c>
      <c r="D69" s="460">
        <v>3480</v>
      </c>
      <c r="E69" s="458">
        <f t="shared" ref="E69:E74" si="40">C69-D69</f>
        <v>474327</v>
      </c>
      <c r="F69" s="460">
        <v>525570</v>
      </c>
      <c r="G69" s="460">
        <v>3480</v>
      </c>
      <c r="H69" s="458">
        <f t="shared" ref="H69:H74" si="41">F69-G69</f>
        <v>522090</v>
      </c>
      <c r="I69" s="458">
        <v>5</v>
      </c>
      <c r="J69" s="458">
        <v>133</v>
      </c>
      <c r="L69" s="509">
        <f t="shared" ref="L69:L78" si="42">H69/J69</f>
        <v>3925.4887218045114</v>
      </c>
      <c r="S69" s="508">
        <v>115000000</v>
      </c>
      <c r="T69" s="508">
        <f>S69*0.13</f>
        <v>14950000</v>
      </c>
      <c r="U69" s="508"/>
      <c r="V69" s="314">
        <v>13</v>
      </c>
    </row>
    <row r="70" spans="1:22" x14ac:dyDescent="0.25">
      <c r="A70">
        <v>6</v>
      </c>
      <c r="B70" s="88" t="s">
        <v>252</v>
      </c>
      <c r="C70" s="460">
        <v>19170665</v>
      </c>
      <c r="D70" s="460">
        <v>26790</v>
      </c>
      <c r="E70" s="458">
        <f t="shared" si="40"/>
        <v>19143875</v>
      </c>
      <c r="F70" s="460">
        <v>21087090</v>
      </c>
      <c r="G70" s="460">
        <v>26790</v>
      </c>
      <c r="H70" s="458">
        <f t="shared" si="41"/>
        <v>21060300</v>
      </c>
      <c r="I70" s="458">
        <v>30</v>
      </c>
      <c r="J70" s="458">
        <v>5174</v>
      </c>
      <c r="L70" s="509">
        <f t="shared" si="42"/>
        <v>4070.4097410127561</v>
      </c>
      <c r="S70" s="508">
        <v>139757096</v>
      </c>
      <c r="T70" s="508">
        <f>S70*0.13</f>
        <v>18168422.48</v>
      </c>
      <c r="U70" s="508"/>
      <c r="V70" s="314">
        <v>13</v>
      </c>
    </row>
    <row r="71" spans="1:22" x14ac:dyDescent="0.25">
      <c r="A71">
        <v>7</v>
      </c>
      <c r="B71" s="88" t="s">
        <v>252</v>
      </c>
      <c r="C71" s="460">
        <v>47598067</v>
      </c>
      <c r="D71" s="460">
        <v>17800</v>
      </c>
      <c r="E71" s="458">
        <f t="shared" si="40"/>
        <v>47580267</v>
      </c>
      <c r="F71" s="460">
        <v>52356880</v>
      </c>
      <c r="G71" s="460">
        <v>17800</v>
      </c>
      <c r="H71" s="458">
        <f t="shared" si="41"/>
        <v>52339080</v>
      </c>
      <c r="I71" s="458">
        <v>31</v>
      </c>
      <c r="J71" s="458">
        <v>11438</v>
      </c>
      <c r="L71" s="509">
        <f t="shared" si="42"/>
        <v>4575.8943871306174</v>
      </c>
      <c r="S71" s="508">
        <v>91500000</v>
      </c>
      <c r="T71" s="508">
        <f>S71*0.13</f>
        <v>11895000</v>
      </c>
      <c r="U71" s="508"/>
      <c r="V71" s="314">
        <v>13</v>
      </c>
    </row>
    <row r="72" spans="1:22" x14ac:dyDescent="0.25">
      <c r="A72">
        <v>8</v>
      </c>
      <c r="B72" s="88" t="s">
        <v>252</v>
      </c>
      <c r="C72" s="460">
        <v>55870570</v>
      </c>
      <c r="D72" s="460">
        <v>5980</v>
      </c>
      <c r="E72" s="458">
        <f t="shared" si="40"/>
        <v>55864590</v>
      </c>
      <c r="F72" s="460">
        <v>61456496</v>
      </c>
      <c r="G72" s="460">
        <v>5980</v>
      </c>
      <c r="H72" s="458">
        <f t="shared" si="41"/>
        <v>61450516</v>
      </c>
      <c r="I72" s="458">
        <v>31</v>
      </c>
      <c r="J72" s="458">
        <v>13891</v>
      </c>
      <c r="L72" s="509">
        <f t="shared" si="42"/>
        <v>4423.7647397595565</v>
      </c>
      <c r="S72" s="508">
        <v>139757096</v>
      </c>
      <c r="T72" s="508">
        <f>S72*0.105</f>
        <v>14674495.08</v>
      </c>
      <c r="U72" s="508"/>
      <c r="V72" s="314">
        <v>11</v>
      </c>
    </row>
    <row r="73" spans="1:22" x14ac:dyDescent="0.25">
      <c r="A73">
        <v>9</v>
      </c>
      <c r="B73" s="88" t="s">
        <v>253</v>
      </c>
      <c r="C73" s="460">
        <v>8816632</v>
      </c>
      <c r="D73" s="460">
        <v>5700</v>
      </c>
      <c r="E73" s="458">
        <f t="shared" si="40"/>
        <v>8810932</v>
      </c>
      <c r="F73" s="460">
        <v>9698100</v>
      </c>
      <c r="G73" s="460">
        <v>5700</v>
      </c>
      <c r="H73" s="458">
        <f t="shared" si="41"/>
        <v>9692400</v>
      </c>
      <c r="I73" s="458">
        <v>8</v>
      </c>
      <c r="J73" s="458">
        <v>2410</v>
      </c>
      <c r="L73" s="509">
        <f t="shared" si="42"/>
        <v>4021.7427385892115</v>
      </c>
      <c r="S73" s="507">
        <f>S72-S71</f>
        <v>48257096</v>
      </c>
      <c r="T73" s="507">
        <f>T72-T71</f>
        <v>2779495.08</v>
      </c>
      <c r="U73" s="507"/>
    </row>
    <row r="74" spans="1:22" x14ac:dyDescent="0.25">
      <c r="A74" s="473" t="s">
        <v>251</v>
      </c>
      <c r="B74" s="88" t="s">
        <v>254</v>
      </c>
      <c r="C74" s="460">
        <v>4982837</v>
      </c>
      <c r="D74" s="460">
        <v>1100</v>
      </c>
      <c r="E74" s="458">
        <f t="shared" si="40"/>
        <v>4981737</v>
      </c>
      <c r="F74" s="460">
        <v>5480760</v>
      </c>
      <c r="G74" s="460">
        <v>1100</v>
      </c>
      <c r="H74" s="458">
        <f t="shared" si="41"/>
        <v>5479660</v>
      </c>
      <c r="I74" s="458">
        <v>23</v>
      </c>
      <c r="J74">
        <f>1196+508</f>
        <v>1704</v>
      </c>
      <c r="L74" s="509">
        <f t="shared" si="42"/>
        <v>3215.762910798122</v>
      </c>
      <c r="S74" s="508">
        <v>150000000</v>
      </c>
      <c r="T74" s="508">
        <f>S74*0.11</f>
        <v>16500000</v>
      </c>
      <c r="U74" s="508"/>
      <c r="V74" s="314">
        <v>11</v>
      </c>
    </row>
    <row r="75" spans="1:22" ht="32" customHeight="1" x14ac:dyDescent="0.25">
      <c r="A75"/>
      <c r="B75" s="92" t="s">
        <v>256</v>
      </c>
      <c r="C75" s="475">
        <f t="shared" ref="C75:I75" si="43">C70+C69+C71+C72+C73</f>
        <v>131933741</v>
      </c>
      <c r="D75" s="475">
        <f t="shared" si="43"/>
        <v>59750</v>
      </c>
      <c r="E75" s="475">
        <f t="shared" si="43"/>
        <v>131873991</v>
      </c>
      <c r="F75" s="475">
        <f t="shared" si="43"/>
        <v>145124136</v>
      </c>
      <c r="G75" s="475">
        <f t="shared" si="43"/>
        <v>59750</v>
      </c>
      <c r="H75" s="475">
        <f t="shared" si="43"/>
        <v>145064386</v>
      </c>
      <c r="I75" s="475">
        <f t="shared" si="43"/>
        <v>105</v>
      </c>
      <c r="J75"/>
      <c r="L75" s="509"/>
    </row>
    <row r="76" spans="1:22" ht="32" customHeight="1" x14ac:dyDescent="0.25">
      <c r="A76" s="627" t="s">
        <v>326</v>
      </c>
      <c r="B76" s="627"/>
      <c r="C76" s="460">
        <v>953750</v>
      </c>
      <c r="D76" s="460"/>
      <c r="E76" s="458">
        <v>953750</v>
      </c>
      <c r="F76" s="460">
        <f>E76*1.1</f>
        <v>1049125</v>
      </c>
      <c r="G76" s="460"/>
      <c r="H76" s="458">
        <f t="shared" ref="H76" si="44">F76-G76</f>
        <v>1049125</v>
      </c>
      <c r="I76" s="458">
        <v>23</v>
      </c>
      <c r="J76" s="461">
        <f>1196+508</f>
        <v>1704</v>
      </c>
      <c r="K76" s="585"/>
      <c r="L76" s="586">
        <f t="shared" ref="L76" si="45">H76/J76</f>
        <v>615.68368544600935</v>
      </c>
    </row>
    <row r="77" spans="1:22" ht="32" customHeight="1" thickBot="1" x14ac:dyDescent="0.3">
      <c r="A77"/>
      <c r="B77" s="92" t="s">
        <v>257</v>
      </c>
      <c r="C77" s="475">
        <f>C68+C74</f>
        <v>7922359</v>
      </c>
      <c r="D77" s="475">
        <f t="shared" ref="D77:I77" si="46">D68+D74</f>
        <v>5140</v>
      </c>
      <c r="E77" s="475">
        <f t="shared" si="46"/>
        <v>7917219</v>
      </c>
      <c r="F77" s="475">
        <f t="shared" si="46"/>
        <v>8713020</v>
      </c>
      <c r="G77" s="475">
        <f t="shared" si="46"/>
        <v>5140</v>
      </c>
      <c r="H77" s="475">
        <f t="shared" si="46"/>
        <v>8707880</v>
      </c>
      <c r="I77" s="475">
        <f t="shared" si="46"/>
        <v>46</v>
      </c>
      <c r="J77"/>
      <c r="L77" s="509"/>
    </row>
    <row r="78" spans="1:22" ht="32" customHeight="1" thickBot="1" x14ac:dyDescent="0.3">
      <c r="A78"/>
      <c r="B78" s="477" t="s">
        <v>255</v>
      </c>
      <c r="C78" s="475">
        <f>SUM(C68:C74)+C76</f>
        <v>140809850</v>
      </c>
      <c r="D78" s="475">
        <f t="shared" ref="D78:G78" si="47">SUM(D68:D74)</f>
        <v>64890</v>
      </c>
      <c r="E78" s="475">
        <f>SUM(E68:E74)+E76</f>
        <v>140744960</v>
      </c>
      <c r="F78" s="475">
        <f t="shared" si="47"/>
        <v>153837156</v>
      </c>
      <c r="G78" s="475">
        <f t="shared" si="47"/>
        <v>64890</v>
      </c>
      <c r="H78" s="475">
        <f>SUM(H68:H74)+H76</f>
        <v>154821391</v>
      </c>
      <c r="I78" s="476">
        <f>SUM(I68:I74)</f>
        <v>151</v>
      </c>
      <c r="J78" s="475">
        <f>SUM(J68:J77)</f>
        <v>38802</v>
      </c>
      <c r="L78" s="509">
        <f t="shared" si="42"/>
        <v>3990.036364104943</v>
      </c>
    </row>
    <row r="79" spans="1:22" x14ac:dyDescent="0.25">
      <c r="A79"/>
      <c r="B79"/>
      <c r="C79"/>
      <c r="D79"/>
      <c r="E79"/>
      <c r="F79"/>
      <c r="G79"/>
      <c r="H79" s="133"/>
      <c r="I79"/>
      <c r="J79"/>
    </row>
    <row r="80" spans="1:22" ht="22" x14ac:dyDescent="0.3">
      <c r="A80" s="584">
        <v>2023</v>
      </c>
      <c r="B80" s="88" t="s">
        <v>246</v>
      </c>
      <c r="C80" s="88" t="s">
        <v>27</v>
      </c>
      <c r="D80" s="88" t="s">
        <v>248</v>
      </c>
      <c r="E80" s="88" t="s">
        <v>85</v>
      </c>
      <c r="F80" s="88" t="s">
        <v>258</v>
      </c>
      <c r="G80" s="88" t="s">
        <v>248</v>
      </c>
      <c r="H80" s="474" t="s">
        <v>259</v>
      </c>
      <c r="I80"/>
      <c r="J80"/>
    </row>
    <row r="81" spans="1:12" x14ac:dyDescent="0.25">
      <c r="A81" s="473" t="s">
        <v>250</v>
      </c>
      <c r="B81" s="88" t="s">
        <v>283</v>
      </c>
      <c r="C81" s="460"/>
      <c r="D81" s="460"/>
      <c r="E81" s="458">
        <f t="shared" ref="E81:E87" si="48">C81-D81</f>
        <v>0</v>
      </c>
      <c r="F81" s="460"/>
      <c r="G81" s="460"/>
      <c r="H81" s="458">
        <f>F81-G81</f>
        <v>0</v>
      </c>
      <c r="I81" s="458">
        <v>0</v>
      </c>
      <c r="J81"/>
      <c r="L81" s="509" t="e">
        <f>H81/J81</f>
        <v>#DIV/0!</v>
      </c>
    </row>
    <row r="82" spans="1:12" x14ac:dyDescent="0.25">
      <c r="A82">
        <v>5</v>
      </c>
      <c r="B82" s="88" t="s">
        <v>249</v>
      </c>
      <c r="C82" s="460">
        <f t="shared" ref="C82:C87" si="49">F82/1.1</f>
        <v>1795227.2727272725</v>
      </c>
      <c r="D82" s="460"/>
      <c r="E82" s="458">
        <f t="shared" si="48"/>
        <v>1795227.2727272725</v>
      </c>
      <c r="F82" s="460">
        <v>1974750</v>
      </c>
      <c r="G82" s="460"/>
      <c r="H82" s="458">
        <f t="shared" ref="H82:H87" si="50">F82-G82</f>
        <v>1974750</v>
      </c>
      <c r="I82" s="458">
        <v>5</v>
      </c>
      <c r="J82">
        <v>506</v>
      </c>
      <c r="L82" s="509">
        <f t="shared" ref="L82:L90" si="51">H82/J82</f>
        <v>3902.6679841897235</v>
      </c>
    </row>
    <row r="83" spans="1:12" x14ac:dyDescent="0.25">
      <c r="A83">
        <v>6</v>
      </c>
      <c r="B83" s="88" t="s">
        <v>252</v>
      </c>
      <c r="C83" s="460">
        <f t="shared" si="49"/>
        <v>19049727.27272727</v>
      </c>
      <c r="D83" s="460"/>
      <c r="E83" s="458">
        <f t="shared" si="48"/>
        <v>19049727.27272727</v>
      </c>
      <c r="F83" s="460">
        <v>20954700</v>
      </c>
      <c r="G83" s="460"/>
      <c r="H83" s="458">
        <f t="shared" si="50"/>
        <v>20954700</v>
      </c>
      <c r="I83" s="458">
        <v>30</v>
      </c>
      <c r="J83">
        <v>5309</v>
      </c>
      <c r="L83" s="509">
        <f t="shared" si="51"/>
        <v>3947.0145036730082</v>
      </c>
    </row>
    <row r="84" spans="1:12" x14ac:dyDescent="0.25">
      <c r="A84">
        <v>7</v>
      </c>
      <c r="B84" s="88" t="s">
        <v>252</v>
      </c>
      <c r="C84" s="460">
        <f t="shared" si="49"/>
        <v>44856909.090909086</v>
      </c>
      <c r="D84" s="460"/>
      <c r="E84" s="458">
        <f t="shared" si="48"/>
        <v>44856909.090909086</v>
      </c>
      <c r="F84" s="460">
        <v>49342600</v>
      </c>
      <c r="G84" s="460"/>
      <c r="H84" s="458">
        <f t="shared" si="50"/>
        <v>49342600</v>
      </c>
      <c r="I84" s="458">
        <v>31</v>
      </c>
      <c r="J84">
        <v>11036</v>
      </c>
      <c r="L84" s="509">
        <f t="shared" si="51"/>
        <v>4471.0583544762594</v>
      </c>
    </row>
    <row r="85" spans="1:12" x14ac:dyDescent="0.25">
      <c r="A85">
        <v>8</v>
      </c>
      <c r="B85" s="88" t="s">
        <v>252</v>
      </c>
      <c r="C85" s="460">
        <f t="shared" si="49"/>
        <v>44860590.909090906</v>
      </c>
      <c r="D85" s="460"/>
      <c r="E85" s="458">
        <f t="shared" si="48"/>
        <v>44860590.909090906</v>
      </c>
      <c r="F85" s="460">
        <v>49346650</v>
      </c>
      <c r="G85" s="460"/>
      <c r="H85" s="458">
        <f t="shared" si="50"/>
        <v>49346650</v>
      </c>
      <c r="I85" s="458">
        <v>31</v>
      </c>
      <c r="J85">
        <v>11093</v>
      </c>
      <c r="L85" s="509">
        <f t="shared" si="51"/>
        <v>4448.4494726404037</v>
      </c>
    </row>
    <row r="86" spans="1:12" x14ac:dyDescent="0.25">
      <c r="A86">
        <v>9</v>
      </c>
      <c r="B86" s="88" t="s">
        <v>284</v>
      </c>
      <c r="C86" s="460">
        <f t="shared" si="49"/>
        <v>4058727.2727272725</v>
      </c>
      <c r="D86" s="460"/>
      <c r="E86" s="458">
        <f t="shared" si="48"/>
        <v>4058727.2727272725</v>
      </c>
      <c r="F86" s="460">
        <v>4464600</v>
      </c>
      <c r="G86" s="460"/>
      <c r="H86" s="458">
        <f t="shared" si="50"/>
        <v>4464600</v>
      </c>
      <c r="I86" s="458">
        <v>3</v>
      </c>
      <c r="J86">
        <f>263+385+76</f>
        <v>724</v>
      </c>
      <c r="L86" s="509">
        <f t="shared" si="51"/>
        <v>6166.5745856353587</v>
      </c>
    </row>
    <row r="87" spans="1:12" x14ac:dyDescent="0.25">
      <c r="A87" s="473" t="s">
        <v>251</v>
      </c>
      <c r="B87" s="88" t="s">
        <v>285</v>
      </c>
      <c r="C87" s="460">
        <f t="shared" si="49"/>
        <v>1489815.4545454544</v>
      </c>
      <c r="D87" s="460"/>
      <c r="E87" s="458">
        <f t="shared" si="48"/>
        <v>1489815.4545454544</v>
      </c>
      <c r="F87" s="460">
        <v>1638797</v>
      </c>
      <c r="G87" s="460"/>
      <c r="H87" s="458">
        <f t="shared" si="50"/>
        <v>1638797</v>
      </c>
      <c r="I87" s="458">
        <v>23</v>
      </c>
      <c r="J87">
        <v>1365</v>
      </c>
      <c r="L87" s="509">
        <f t="shared" si="51"/>
        <v>1200.5838827838827</v>
      </c>
    </row>
    <row r="88" spans="1:12" ht="32" customHeight="1" x14ac:dyDescent="0.25">
      <c r="A88"/>
      <c r="B88" s="92" t="s">
        <v>256</v>
      </c>
      <c r="C88" s="475">
        <f t="shared" ref="C88:I88" si="52">C83+C82+C84+C85+C86</f>
        <v>114621181.8181818</v>
      </c>
      <c r="D88" s="475">
        <f t="shared" si="52"/>
        <v>0</v>
      </c>
      <c r="E88" s="475">
        <f>E83+E82+E84+E85+E86</f>
        <v>114621181.8181818</v>
      </c>
      <c r="F88" s="475">
        <f t="shared" si="52"/>
        <v>126083300</v>
      </c>
      <c r="G88" s="475">
        <f t="shared" si="52"/>
        <v>0</v>
      </c>
      <c r="H88" s="475">
        <f t="shared" si="52"/>
        <v>126083300</v>
      </c>
      <c r="I88" s="475">
        <f t="shared" si="52"/>
        <v>100</v>
      </c>
      <c r="J88"/>
      <c r="L88" s="509"/>
    </row>
    <row r="89" spans="1:12" ht="32" customHeight="1" thickBot="1" x14ac:dyDescent="0.3">
      <c r="A89"/>
      <c r="B89" s="92" t="s">
        <v>257</v>
      </c>
      <c r="C89" s="475">
        <f t="shared" ref="C89:I89" si="53">C81+C87</f>
        <v>1489815.4545454544</v>
      </c>
      <c r="D89" s="475">
        <f t="shared" si="53"/>
        <v>0</v>
      </c>
      <c r="E89" s="475">
        <f t="shared" si="53"/>
        <v>1489815.4545454544</v>
      </c>
      <c r="F89" s="475">
        <f t="shared" si="53"/>
        <v>1638797</v>
      </c>
      <c r="G89" s="475">
        <f t="shared" si="53"/>
        <v>0</v>
      </c>
      <c r="H89" s="475">
        <f t="shared" si="53"/>
        <v>1638797</v>
      </c>
      <c r="I89" s="475">
        <f t="shared" si="53"/>
        <v>23</v>
      </c>
      <c r="J89"/>
      <c r="L89" s="509"/>
    </row>
    <row r="90" spans="1:12" ht="32" customHeight="1" thickBot="1" x14ac:dyDescent="0.3">
      <c r="A90"/>
      <c r="B90" s="477" t="s">
        <v>255</v>
      </c>
      <c r="C90" s="475">
        <f t="shared" ref="C90:I90" si="54">SUM(C81:C87)</f>
        <v>116110997.27272725</v>
      </c>
      <c r="D90" s="475">
        <f t="shared" si="54"/>
        <v>0</v>
      </c>
      <c r="E90" s="506">
        <f t="shared" si="54"/>
        <v>116110997.27272725</v>
      </c>
      <c r="F90" s="475">
        <f t="shared" si="54"/>
        <v>127722097</v>
      </c>
      <c r="G90" s="475">
        <f t="shared" si="54"/>
        <v>0</v>
      </c>
      <c r="H90" s="506">
        <f t="shared" si="54"/>
        <v>127722097</v>
      </c>
      <c r="I90" s="476">
        <f t="shared" si="54"/>
        <v>123</v>
      </c>
      <c r="J90" s="475">
        <f>SUM(J81:J89)</f>
        <v>30033</v>
      </c>
      <c r="L90" s="509">
        <f t="shared" si="51"/>
        <v>4252.7252355742021</v>
      </c>
    </row>
    <row r="92" spans="1:12" x14ac:dyDescent="0.25">
      <c r="E92" s="314">
        <f>E75/E90</f>
        <v>1.135757973814038</v>
      </c>
    </row>
    <row r="93" spans="1:12" x14ac:dyDescent="0.25">
      <c r="E93" s="507">
        <f>E75-E90</f>
        <v>15762993.727272749</v>
      </c>
    </row>
  </sheetData>
  <mergeCells count="21">
    <mergeCell ref="Z3:AA3"/>
    <mergeCell ref="AJ14:AK14"/>
    <mergeCell ref="AC3:AD3"/>
    <mergeCell ref="AF3:AG3"/>
    <mergeCell ref="J2:K2"/>
    <mergeCell ref="V3:W3"/>
    <mergeCell ref="L3:S11"/>
    <mergeCell ref="A76:B76"/>
    <mergeCell ref="AV4:AW4"/>
    <mergeCell ref="AX4:AY4"/>
    <mergeCell ref="AZ4:BA4"/>
    <mergeCell ref="AJ12:AK12"/>
    <mergeCell ref="AJ13:AK13"/>
    <mergeCell ref="AP12:AQ12"/>
    <mergeCell ref="AP13:AQ13"/>
    <mergeCell ref="AP14:AQ14"/>
    <mergeCell ref="L48:S64"/>
    <mergeCell ref="V14:V15"/>
    <mergeCell ref="L14:S22"/>
    <mergeCell ref="L25:S44"/>
    <mergeCell ref="L46:M46"/>
  </mergeCells>
  <phoneticPr fontId="1"/>
  <pageMargins left="0.7" right="0.7" top="0.75" bottom="0.75" header="0.3" footer="0.3"/>
  <pageSetup paperSize="9" scale="50" orientation="landscape" horizontalDpi="0" verticalDpi="0"/>
  <rowBreaks count="1" manualBreakCount="1">
    <brk id="11" max="17" man="1"/>
  </rowBreaks>
  <colBreaks count="1" manualBreakCount="1">
    <brk id="5" max="5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39876-F03B-C44E-8B2F-7E97A5718E71}">
  <sheetPr>
    <tabColor rgb="FF7030A0"/>
    <pageSetUpPr fitToPage="1"/>
  </sheetPr>
  <dimension ref="A1:T64"/>
  <sheetViews>
    <sheetView zoomScale="50" zoomScaleNormal="37" workbookViewId="0">
      <selection activeCell="F55" sqref="F55"/>
    </sheetView>
  </sheetViews>
  <sheetFormatPr baseColWidth="10" defaultRowHeight="18" x14ac:dyDescent="0.25"/>
  <cols>
    <col min="1" max="1" width="10" style="314" customWidth="1"/>
    <col min="2" max="9" width="13.1640625" style="314" customWidth="1"/>
    <col min="10" max="10" width="7.1640625" style="314" customWidth="1"/>
    <col min="11" max="11" width="7.1640625" style="351" customWidth="1"/>
    <col min="12" max="12" width="13.5" style="314" customWidth="1"/>
    <col min="13" max="18" width="10.83203125" style="314"/>
    <col min="19" max="19" width="28.6640625" style="314" customWidth="1"/>
    <col min="20" max="16384" width="10.83203125" style="314"/>
  </cols>
  <sheetData>
    <row r="1" spans="1:20" s="324" customFormat="1" ht="23" customHeight="1" x14ac:dyDescent="0.25">
      <c r="A1" s="324" t="s">
        <v>146</v>
      </c>
    </row>
    <row r="2" spans="1:20" ht="19" customHeight="1" x14ac:dyDescent="0.25">
      <c r="A2" s="314" t="s">
        <v>163</v>
      </c>
      <c r="I2" s="325" t="s">
        <v>147</v>
      </c>
      <c r="J2" s="589" t="s">
        <v>260</v>
      </c>
      <c r="K2" s="589"/>
      <c r="L2" s="314" t="s">
        <v>164</v>
      </c>
      <c r="T2" s="354"/>
    </row>
    <row r="3" spans="1:20" s="315" customFormat="1" ht="19" customHeight="1" x14ac:dyDescent="0.25">
      <c r="A3" s="316" t="s">
        <v>64</v>
      </c>
      <c r="B3" s="316" t="s">
        <v>70</v>
      </c>
      <c r="C3" s="316" t="s">
        <v>41</v>
      </c>
      <c r="D3" s="316" t="s">
        <v>143</v>
      </c>
      <c r="E3" s="316" t="s">
        <v>66</v>
      </c>
      <c r="F3" s="316" t="s">
        <v>144</v>
      </c>
      <c r="G3" s="316" t="s">
        <v>145</v>
      </c>
      <c r="H3" s="316" t="s">
        <v>66</v>
      </c>
      <c r="I3" s="357" t="s">
        <v>178</v>
      </c>
      <c r="J3" s="488" t="s">
        <v>261</v>
      </c>
      <c r="K3" s="488" t="s">
        <v>262</v>
      </c>
      <c r="L3" s="599" t="s">
        <v>175</v>
      </c>
      <c r="M3" s="600"/>
      <c r="N3" s="600"/>
      <c r="O3" s="600"/>
      <c r="P3" s="600"/>
      <c r="Q3" s="600"/>
      <c r="R3" s="600"/>
      <c r="S3" s="601"/>
      <c r="T3" s="355"/>
    </row>
    <row r="4" spans="1:20" ht="19" customHeight="1" x14ac:dyDescent="0.25">
      <c r="A4" s="318">
        <v>5</v>
      </c>
      <c r="B4" s="319">
        <v>1795227.2727272725</v>
      </c>
      <c r="C4" s="319">
        <v>6890000</v>
      </c>
      <c r="D4" s="320">
        <f t="shared" ref="D4:D9" si="0">B4/C4</f>
        <v>0.26055548225359543</v>
      </c>
      <c r="E4" s="319">
        <f t="shared" ref="E4:E9" si="1">B4-C4</f>
        <v>-5094772.7272727275</v>
      </c>
      <c r="F4" s="319">
        <v>1963000</v>
      </c>
      <c r="G4" s="320">
        <f t="shared" ref="G4:G9" si="2">B4/F4</f>
        <v>0.91453248738016935</v>
      </c>
      <c r="H4" s="319">
        <f t="shared" ref="H4:H9" si="3">B4-F4</f>
        <v>-167772.72727272753</v>
      </c>
      <c r="I4" s="356">
        <f t="shared" ref="I4:I9" si="4">B4/T4</f>
        <v>359045.45454545447</v>
      </c>
      <c r="J4" s="489"/>
      <c r="K4" s="488"/>
      <c r="L4" s="602"/>
      <c r="M4" s="603"/>
      <c r="N4" s="603"/>
      <c r="O4" s="603"/>
      <c r="P4" s="603"/>
      <c r="Q4" s="603"/>
      <c r="R4" s="603"/>
      <c r="S4" s="604"/>
      <c r="T4" s="354">
        <v>5</v>
      </c>
    </row>
    <row r="5" spans="1:20" ht="19" customHeight="1" x14ac:dyDescent="0.25">
      <c r="A5" s="318">
        <v>6</v>
      </c>
      <c r="B5" s="319">
        <v>19049727.27272727</v>
      </c>
      <c r="C5" s="319">
        <v>25440000</v>
      </c>
      <c r="D5" s="320">
        <f t="shared" si="0"/>
        <v>0.74881003430531723</v>
      </c>
      <c r="E5" s="319">
        <f t="shared" si="1"/>
        <v>-6390272.7272727303</v>
      </c>
      <c r="F5" s="319">
        <v>17338000</v>
      </c>
      <c r="G5" s="320">
        <f t="shared" si="2"/>
        <v>1.0987269161799094</v>
      </c>
      <c r="H5" s="319">
        <f t="shared" si="3"/>
        <v>1711727.2727272697</v>
      </c>
      <c r="I5" s="356">
        <f t="shared" si="4"/>
        <v>634990.90909090894</v>
      </c>
      <c r="J5" s="490" t="s">
        <v>274</v>
      </c>
      <c r="K5" s="490" t="s">
        <v>277</v>
      </c>
      <c r="L5" s="602"/>
      <c r="M5" s="603"/>
      <c r="N5" s="603"/>
      <c r="O5" s="603"/>
      <c r="P5" s="603"/>
      <c r="Q5" s="603"/>
      <c r="R5" s="603"/>
      <c r="S5" s="604"/>
      <c r="T5" s="354">
        <v>30</v>
      </c>
    </row>
    <row r="6" spans="1:20" ht="19" customHeight="1" x14ac:dyDescent="0.25">
      <c r="A6" s="318">
        <v>7</v>
      </c>
      <c r="B6" s="319">
        <v>44856909.090909086</v>
      </c>
      <c r="C6" s="319">
        <v>25440000</v>
      </c>
      <c r="D6" s="320">
        <f t="shared" si="0"/>
        <v>1.7632432818753572</v>
      </c>
      <c r="E6" s="319">
        <f t="shared" si="1"/>
        <v>19416909.090909086</v>
      </c>
      <c r="F6" s="319">
        <v>35016000</v>
      </c>
      <c r="G6" s="320">
        <f t="shared" si="2"/>
        <v>1.2810403555777099</v>
      </c>
      <c r="H6" s="319">
        <f t="shared" si="3"/>
        <v>9840909.0909090862</v>
      </c>
      <c r="I6" s="356">
        <f t="shared" si="4"/>
        <v>1446997.0674486803</v>
      </c>
      <c r="J6" s="490" t="s">
        <v>264</v>
      </c>
      <c r="K6" s="490" t="s">
        <v>278</v>
      </c>
      <c r="L6" s="602"/>
      <c r="M6" s="603"/>
      <c r="N6" s="603"/>
      <c r="O6" s="603"/>
      <c r="P6" s="603"/>
      <c r="Q6" s="603"/>
      <c r="R6" s="603"/>
      <c r="S6" s="604"/>
      <c r="T6" s="354">
        <v>31</v>
      </c>
    </row>
    <row r="7" spans="1:20" ht="19" customHeight="1" x14ac:dyDescent="0.25">
      <c r="A7" s="318">
        <v>8</v>
      </c>
      <c r="B7" s="319">
        <v>44863045.454545453</v>
      </c>
      <c r="C7" s="319">
        <v>25440000</v>
      </c>
      <c r="D7" s="320">
        <f t="shared" si="0"/>
        <v>1.7634844911377929</v>
      </c>
      <c r="E7" s="319">
        <f t="shared" si="1"/>
        <v>19423045.454545453</v>
      </c>
      <c r="F7" s="319">
        <v>39760000</v>
      </c>
      <c r="G7" s="320">
        <f t="shared" si="2"/>
        <v>1.1283462136455094</v>
      </c>
      <c r="H7" s="319">
        <f t="shared" si="3"/>
        <v>5103045.4545454532</v>
      </c>
      <c r="I7" s="356">
        <f t="shared" si="4"/>
        <v>1447195.0146627566</v>
      </c>
      <c r="J7" s="490" t="s">
        <v>275</v>
      </c>
      <c r="K7" s="490" t="s">
        <v>279</v>
      </c>
      <c r="L7" s="602"/>
      <c r="M7" s="603"/>
      <c r="N7" s="603"/>
      <c r="O7" s="603"/>
      <c r="P7" s="603"/>
      <c r="Q7" s="603"/>
      <c r="R7" s="603"/>
      <c r="S7" s="604"/>
      <c r="T7" s="354">
        <v>31</v>
      </c>
    </row>
    <row r="8" spans="1:20" ht="19" customHeight="1" x14ac:dyDescent="0.25">
      <c r="A8" s="318">
        <v>9</v>
      </c>
      <c r="B8" s="319">
        <v>4058727.2727272725</v>
      </c>
      <c r="C8" s="319">
        <v>9275000</v>
      </c>
      <c r="D8" s="320">
        <f t="shared" si="0"/>
        <v>0.43759862778730702</v>
      </c>
      <c r="E8" s="319">
        <f t="shared" si="1"/>
        <v>-5216272.7272727275</v>
      </c>
      <c r="F8" s="319">
        <v>4300000</v>
      </c>
      <c r="G8" s="320">
        <f t="shared" si="2"/>
        <v>0.94389006342494708</v>
      </c>
      <c r="H8" s="319">
        <f t="shared" si="3"/>
        <v>-241272.72727272753</v>
      </c>
      <c r="I8" s="356">
        <f t="shared" si="4"/>
        <v>1352909.0909090908</v>
      </c>
      <c r="J8" s="490" t="s">
        <v>271</v>
      </c>
      <c r="K8" s="490" t="s">
        <v>280</v>
      </c>
      <c r="L8" s="602"/>
      <c r="M8" s="603"/>
      <c r="N8" s="603"/>
      <c r="O8" s="603"/>
      <c r="P8" s="603"/>
      <c r="Q8" s="603"/>
      <c r="R8" s="603"/>
      <c r="S8" s="604"/>
      <c r="T8" s="354">
        <v>3</v>
      </c>
    </row>
    <row r="9" spans="1:20" ht="19" customHeight="1" x14ac:dyDescent="0.25">
      <c r="A9" s="321" t="s">
        <v>2</v>
      </c>
      <c r="B9" s="322">
        <f>SUM(B4:B8)</f>
        <v>114623636.36363634</v>
      </c>
      <c r="C9" s="322">
        <f>SUM(C4:C8)</f>
        <v>92485000</v>
      </c>
      <c r="D9" s="323">
        <f t="shared" si="0"/>
        <v>1.2393754269734156</v>
      </c>
      <c r="E9" s="322">
        <f t="shared" si="1"/>
        <v>22138636.363636345</v>
      </c>
      <c r="F9" s="322">
        <f>SUM(F4:F8)</f>
        <v>98377000</v>
      </c>
      <c r="G9" s="320">
        <f t="shared" si="2"/>
        <v>1.1651466944879021</v>
      </c>
      <c r="H9" s="319">
        <f t="shared" si="3"/>
        <v>16246636.363636345</v>
      </c>
      <c r="I9" s="356">
        <f t="shared" si="4"/>
        <v>1146236.3636363635</v>
      </c>
      <c r="J9" s="490" t="s">
        <v>276</v>
      </c>
      <c r="K9" s="490" t="s">
        <v>281</v>
      </c>
      <c r="L9" s="605"/>
      <c r="M9" s="606"/>
      <c r="N9" s="606"/>
      <c r="O9" s="606"/>
      <c r="P9" s="606"/>
      <c r="Q9" s="606"/>
      <c r="R9" s="606"/>
      <c r="S9" s="607"/>
      <c r="T9" s="354">
        <v>100</v>
      </c>
    </row>
    <row r="10" spans="1:20" ht="11" customHeight="1" x14ac:dyDescent="0.25">
      <c r="J10" s="490"/>
      <c r="K10" s="490"/>
      <c r="T10" s="354"/>
    </row>
    <row r="11" spans="1:20" ht="19" customHeight="1" x14ac:dyDescent="0.25">
      <c r="A11" s="314" t="s">
        <v>166</v>
      </c>
      <c r="I11" s="325" t="s">
        <v>148</v>
      </c>
      <c r="J11" s="489"/>
      <c r="K11" s="491"/>
      <c r="L11" s="314" t="s">
        <v>165</v>
      </c>
      <c r="T11" s="354"/>
    </row>
    <row r="12" spans="1:20" s="315" customFormat="1" ht="19" customHeight="1" x14ac:dyDescent="0.25">
      <c r="A12" s="316" t="s">
        <v>64</v>
      </c>
      <c r="B12" s="316" t="s">
        <v>70</v>
      </c>
      <c r="C12" s="316" t="s">
        <v>41</v>
      </c>
      <c r="D12" s="316" t="s">
        <v>143</v>
      </c>
      <c r="E12" s="316" t="s">
        <v>66</v>
      </c>
      <c r="F12" s="316" t="s">
        <v>144</v>
      </c>
      <c r="G12" s="316" t="s">
        <v>145</v>
      </c>
      <c r="H12" s="316" t="s">
        <v>66</v>
      </c>
      <c r="I12" s="357" t="s">
        <v>52</v>
      </c>
      <c r="J12" s="491"/>
      <c r="K12" s="491"/>
      <c r="L12" s="608" t="s">
        <v>176</v>
      </c>
      <c r="M12" s="609"/>
      <c r="N12" s="609"/>
      <c r="O12" s="609"/>
      <c r="P12" s="609"/>
      <c r="Q12" s="609"/>
      <c r="R12" s="609"/>
      <c r="S12" s="610"/>
      <c r="T12" s="355"/>
    </row>
    <row r="13" spans="1:20" ht="19" customHeight="1" x14ac:dyDescent="0.25">
      <c r="A13" s="318">
        <v>5</v>
      </c>
      <c r="B13" s="319">
        <v>506</v>
      </c>
      <c r="C13" s="319">
        <v>1300</v>
      </c>
      <c r="D13" s="320">
        <f t="shared" ref="D13:D18" si="5">B13/C13</f>
        <v>0.38923076923076921</v>
      </c>
      <c r="E13" s="319">
        <f t="shared" ref="E13:E18" si="6">B13-C13</f>
        <v>-794</v>
      </c>
      <c r="F13" s="319">
        <v>395</v>
      </c>
      <c r="G13" s="320">
        <f t="shared" ref="G13:G18" si="7">B13/F13</f>
        <v>1.281012658227848</v>
      </c>
      <c r="H13" s="319">
        <f t="shared" ref="H13:H18" si="8">B13-F13</f>
        <v>111</v>
      </c>
      <c r="I13" s="358">
        <f t="shared" ref="I13:I18" si="9">B13/T13</f>
        <v>101.2</v>
      </c>
      <c r="J13" s="325"/>
      <c r="L13" s="611"/>
      <c r="M13" s="612"/>
      <c r="N13" s="612"/>
      <c r="O13" s="612"/>
      <c r="P13" s="612"/>
      <c r="Q13" s="612"/>
      <c r="R13" s="612"/>
      <c r="S13" s="613"/>
      <c r="T13" s="354">
        <v>5</v>
      </c>
    </row>
    <row r="14" spans="1:20" ht="19" customHeight="1" x14ac:dyDescent="0.25">
      <c r="A14" s="318">
        <v>6</v>
      </c>
      <c r="B14" s="319">
        <v>5309</v>
      </c>
      <c r="C14" s="319">
        <v>4800</v>
      </c>
      <c r="D14" s="320">
        <f t="shared" si="5"/>
        <v>1.1060416666666666</v>
      </c>
      <c r="E14" s="319">
        <f t="shared" si="6"/>
        <v>509</v>
      </c>
      <c r="F14" s="319">
        <v>3450</v>
      </c>
      <c r="G14" s="320">
        <f t="shared" si="7"/>
        <v>1.538840579710145</v>
      </c>
      <c r="H14" s="319">
        <f t="shared" si="8"/>
        <v>1859</v>
      </c>
      <c r="I14" s="358">
        <f t="shared" si="9"/>
        <v>176.96666666666667</v>
      </c>
      <c r="J14" s="350"/>
      <c r="K14" s="350"/>
      <c r="L14" s="611"/>
      <c r="M14" s="612"/>
      <c r="N14" s="612"/>
      <c r="O14" s="612"/>
      <c r="P14" s="612"/>
      <c r="Q14" s="612"/>
      <c r="R14" s="612"/>
      <c r="S14" s="613"/>
      <c r="T14" s="354">
        <v>30</v>
      </c>
    </row>
    <row r="15" spans="1:20" ht="19" customHeight="1" x14ac:dyDescent="0.25">
      <c r="A15" s="318">
        <v>7</v>
      </c>
      <c r="B15" s="319">
        <v>11036</v>
      </c>
      <c r="C15" s="319">
        <v>4800</v>
      </c>
      <c r="D15" s="320">
        <f t="shared" si="5"/>
        <v>2.2991666666666668</v>
      </c>
      <c r="E15" s="319">
        <f t="shared" si="6"/>
        <v>6236</v>
      </c>
      <c r="F15" s="319">
        <v>7050</v>
      </c>
      <c r="G15" s="320">
        <f t="shared" si="7"/>
        <v>1.5653900709219859</v>
      </c>
      <c r="H15" s="319">
        <f t="shared" si="8"/>
        <v>3986</v>
      </c>
      <c r="I15" s="358">
        <f t="shared" si="9"/>
        <v>356</v>
      </c>
      <c r="J15" s="482"/>
      <c r="K15" s="352"/>
      <c r="L15" s="611"/>
      <c r="M15" s="612"/>
      <c r="N15" s="612"/>
      <c r="O15" s="612"/>
      <c r="P15" s="612"/>
      <c r="Q15" s="612"/>
      <c r="R15" s="612"/>
      <c r="S15" s="613"/>
      <c r="T15" s="354">
        <v>31</v>
      </c>
    </row>
    <row r="16" spans="1:20" ht="19" customHeight="1" x14ac:dyDescent="0.25">
      <c r="A16" s="318">
        <v>8</v>
      </c>
      <c r="B16" s="319">
        <v>11093</v>
      </c>
      <c r="C16" s="319">
        <v>4800</v>
      </c>
      <c r="D16" s="320">
        <f t="shared" si="5"/>
        <v>2.3110416666666667</v>
      </c>
      <c r="E16" s="319">
        <f t="shared" si="6"/>
        <v>6293</v>
      </c>
      <c r="F16" s="319">
        <v>8100</v>
      </c>
      <c r="G16" s="320">
        <f t="shared" si="7"/>
        <v>1.3695061728395062</v>
      </c>
      <c r="H16" s="319">
        <f t="shared" si="8"/>
        <v>2993</v>
      </c>
      <c r="I16" s="358">
        <f t="shared" si="9"/>
        <v>357.83870967741933</v>
      </c>
      <c r="J16" s="482"/>
      <c r="K16" s="352"/>
      <c r="L16" s="611"/>
      <c r="M16" s="612"/>
      <c r="N16" s="612"/>
      <c r="O16" s="612"/>
      <c r="P16" s="612"/>
      <c r="Q16" s="612"/>
      <c r="R16" s="612"/>
      <c r="S16" s="613"/>
      <c r="T16" s="354">
        <v>31</v>
      </c>
    </row>
    <row r="17" spans="1:20" ht="19" customHeight="1" x14ac:dyDescent="0.25">
      <c r="A17" s="318">
        <v>9</v>
      </c>
      <c r="B17" s="319">
        <v>974</v>
      </c>
      <c r="C17" s="319">
        <v>1750</v>
      </c>
      <c r="D17" s="320">
        <f t="shared" si="5"/>
        <v>0.55657142857142861</v>
      </c>
      <c r="E17" s="319">
        <f t="shared" si="6"/>
        <v>-776</v>
      </c>
      <c r="F17" s="319">
        <v>880</v>
      </c>
      <c r="G17" s="320">
        <f t="shared" si="7"/>
        <v>1.1068181818181819</v>
      </c>
      <c r="H17" s="319">
        <f t="shared" si="8"/>
        <v>94</v>
      </c>
      <c r="I17" s="358">
        <f t="shared" si="9"/>
        <v>324.66666666666669</v>
      </c>
      <c r="J17" s="482"/>
      <c r="K17" s="352"/>
      <c r="L17" s="611"/>
      <c r="M17" s="612"/>
      <c r="N17" s="612"/>
      <c r="O17" s="612"/>
      <c r="P17" s="612"/>
      <c r="Q17" s="612"/>
      <c r="R17" s="612"/>
      <c r="S17" s="613"/>
      <c r="T17" s="354">
        <v>3</v>
      </c>
    </row>
    <row r="18" spans="1:20" ht="19" customHeight="1" x14ac:dyDescent="0.25">
      <c r="A18" s="321" t="s">
        <v>2</v>
      </c>
      <c r="B18" s="322">
        <f>SUM(B13:B17)</f>
        <v>28918</v>
      </c>
      <c r="C18" s="322">
        <f>SUM(C13:C17)</f>
        <v>17450</v>
      </c>
      <c r="D18" s="323">
        <f t="shared" si="5"/>
        <v>1.657191977077364</v>
      </c>
      <c r="E18" s="322">
        <f t="shared" si="6"/>
        <v>11468</v>
      </c>
      <c r="F18" s="322">
        <f>SUM(F13:F17)</f>
        <v>19875</v>
      </c>
      <c r="G18" s="320">
        <f t="shared" si="7"/>
        <v>1.4549937106918238</v>
      </c>
      <c r="H18" s="319">
        <f t="shared" si="8"/>
        <v>9043</v>
      </c>
      <c r="I18" s="358">
        <f t="shared" si="9"/>
        <v>289.18</v>
      </c>
      <c r="J18" s="482"/>
      <c r="K18" s="352"/>
      <c r="L18" s="614"/>
      <c r="M18" s="615"/>
      <c r="N18" s="615"/>
      <c r="O18" s="615"/>
      <c r="P18" s="615"/>
      <c r="Q18" s="615"/>
      <c r="R18" s="615"/>
      <c r="S18" s="616"/>
      <c r="T18" s="354">
        <v>100</v>
      </c>
    </row>
    <row r="19" spans="1:20" ht="11" customHeight="1" x14ac:dyDescent="0.25">
      <c r="J19" s="482"/>
      <c r="K19" s="352"/>
      <c r="T19" s="354"/>
    </row>
    <row r="20" spans="1:20" ht="19" customHeight="1" x14ac:dyDescent="0.25">
      <c r="A20" s="314" t="s">
        <v>168</v>
      </c>
      <c r="I20" s="325" t="s">
        <v>147</v>
      </c>
      <c r="J20" s="482"/>
      <c r="K20" s="352"/>
      <c r="L20" s="314" t="s">
        <v>167</v>
      </c>
      <c r="T20" s="354"/>
    </row>
    <row r="21" spans="1:20" s="315" customFormat="1" ht="19" customHeight="1" x14ac:dyDescent="0.25">
      <c r="A21" s="316" t="s">
        <v>64</v>
      </c>
      <c r="B21" s="316" t="s">
        <v>70</v>
      </c>
      <c r="C21" s="316" t="s">
        <v>41</v>
      </c>
      <c r="D21" s="316" t="s">
        <v>143</v>
      </c>
      <c r="E21" s="316" t="s">
        <v>66</v>
      </c>
      <c r="F21" s="316" t="s">
        <v>144</v>
      </c>
      <c r="G21" s="316" t="s">
        <v>145</v>
      </c>
      <c r="H21" s="316" t="s">
        <v>66</v>
      </c>
      <c r="I21" s="316"/>
      <c r="J21" s="482"/>
      <c r="K21" s="352"/>
      <c r="L21" s="617" t="s">
        <v>177</v>
      </c>
      <c r="M21" s="618"/>
      <c r="N21" s="618"/>
      <c r="O21" s="618"/>
      <c r="P21" s="618"/>
      <c r="Q21" s="618"/>
      <c r="R21" s="618"/>
      <c r="S21" s="619"/>
      <c r="T21" s="355"/>
    </row>
    <row r="22" spans="1:20" ht="19" customHeight="1" x14ac:dyDescent="0.25">
      <c r="A22" s="318">
        <v>5</v>
      </c>
      <c r="B22" s="319">
        <f t="shared" ref="B22:B27" si="10">B4/B13</f>
        <v>3547.8799856270207</v>
      </c>
      <c r="C22" s="319">
        <v>5300</v>
      </c>
      <c r="D22" s="320">
        <f t="shared" ref="D22:D27" si="11">B22/C22</f>
        <v>0.66941131804283405</v>
      </c>
      <c r="E22" s="319">
        <f t="shared" ref="E22:E27" si="12">B22-C22</f>
        <v>-1752.1200143729793</v>
      </c>
      <c r="F22" s="319">
        <v>4970</v>
      </c>
      <c r="G22" s="320">
        <f t="shared" ref="G22:G27" si="13">B22/F22</f>
        <v>0.71385915203762995</v>
      </c>
      <c r="H22" s="319">
        <f t="shared" ref="H22:H27" si="14">B22-F22</f>
        <v>-1422.1200143729793</v>
      </c>
      <c r="I22" s="319"/>
      <c r="J22" s="482"/>
      <c r="K22" s="352"/>
      <c r="L22" s="620"/>
      <c r="M22" s="621"/>
      <c r="N22" s="621"/>
      <c r="O22" s="621"/>
      <c r="P22" s="621"/>
      <c r="Q22" s="621"/>
      <c r="R22" s="621"/>
      <c r="S22" s="622"/>
    </row>
    <row r="23" spans="1:20" ht="19" customHeight="1" x14ac:dyDescent="0.25">
      <c r="A23" s="318">
        <v>6</v>
      </c>
      <c r="B23" s="319">
        <f t="shared" si="10"/>
        <v>3588.1950033390976</v>
      </c>
      <c r="C23" s="319">
        <v>5300</v>
      </c>
      <c r="D23" s="320">
        <f t="shared" si="11"/>
        <v>0.67701792515832027</v>
      </c>
      <c r="E23" s="319">
        <f t="shared" si="12"/>
        <v>-1711.8049966609024</v>
      </c>
      <c r="F23" s="319">
        <v>5026</v>
      </c>
      <c r="G23" s="320">
        <f t="shared" si="13"/>
        <v>0.71392658243913598</v>
      </c>
      <c r="H23" s="319">
        <f t="shared" si="14"/>
        <v>-1437.8049966609024</v>
      </c>
      <c r="I23" s="319"/>
      <c r="L23" s="620"/>
      <c r="M23" s="621"/>
      <c r="N23" s="621"/>
      <c r="O23" s="621"/>
      <c r="P23" s="621"/>
      <c r="Q23" s="621"/>
      <c r="R23" s="621"/>
      <c r="S23" s="622"/>
    </row>
    <row r="24" spans="1:20" ht="19" customHeight="1" x14ac:dyDescent="0.25">
      <c r="A24" s="318">
        <v>7</v>
      </c>
      <c r="B24" s="319">
        <f t="shared" si="10"/>
        <v>4064.5985040693263</v>
      </c>
      <c r="C24" s="319">
        <v>5300</v>
      </c>
      <c r="D24" s="320">
        <f t="shared" si="11"/>
        <v>0.76690537812628801</v>
      </c>
      <c r="E24" s="319">
        <f t="shared" si="12"/>
        <v>-1235.4014959306737</v>
      </c>
      <c r="F24" s="319">
        <v>4967</v>
      </c>
      <c r="G24" s="320">
        <f t="shared" si="13"/>
        <v>0.81832061688530833</v>
      </c>
      <c r="H24" s="319">
        <f t="shared" si="14"/>
        <v>-902.40149593067372</v>
      </c>
      <c r="I24" s="319"/>
      <c r="J24" s="325"/>
      <c r="L24" s="620"/>
      <c r="M24" s="621"/>
      <c r="N24" s="621"/>
      <c r="O24" s="621"/>
      <c r="P24" s="621"/>
      <c r="Q24" s="621"/>
      <c r="R24" s="621"/>
      <c r="S24" s="622"/>
    </row>
    <row r="25" spans="1:20" ht="19" customHeight="1" x14ac:dyDescent="0.25">
      <c r="A25" s="318">
        <v>8</v>
      </c>
      <c r="B25" s="319">
        <f t="shared" si="10"/>
        <v>4044.2662448882588</v>
      </c>
      <c r="C25" s="319">
        <v>5300</v>
      </c>
      <c r="D25" s="320">
        <f t="shared" si="11"/>
        <v>0.76306910280910545</v>
      </c>
      <c r="E25" s="319">
        <f t="shared" si="12"/>
        <v>-1255.7337551117412</v>
      </c>
      <c r="F25" s="319">
        <v>4909</v>
      </c>
      <c r="G25" s="320">
        <f t="shared" si="13"/>
        <v>0.82384726927852081</v>
      </c>
      <c r="H25" s="319">
        <f t="shared" si="14"/>
        <v>-864.73375511174117</v>
      </c>
      <c r="I25" s="319"/>
      <c r="J25" s="315"/>
      <c r="K25" s="350"/>
      <c r="L25" s="620"/>
      <c r="M25" s="621"/>
      <c r="N25" s="621"/>
      <c r="O25" s="621"/>
      <c r="P25" s="621"/>
      <c r="Q25" s="621"/>
      <c r="R25" s="621"/>
      <c r="S25" s="622"/>
    </row>
    <row r="26" spans="1:20" ht="19" customHeight="1" x14ac:dyDescent="0.25">
      <c r="A26" s="318">
        <v>9</v>
      </c>
      <c r="B26" s="319">
        <f t="shared" si="10"/>
        <v>4167.0711218965835</v>
      </c>
      <c r="C26" s="319">
        <v>5300</v>
      </c>
      <c r="D26" s="320">
        <f t="shared" si="11"/>
        <v>0.78623983432011013</v>
      </c>
      <c r="E26" s="319">
        <f t="shared" si="12"/>
        <v>-1132.9288781034165</v>
      </c>
      <c r="F26" s="319">
        <v>4886</v>
      </c>
      <c r="G26" s="320">
        <f t="shared" si="13"/>
        <v>0.85285941913560859</v>
      </c>
      <c r="H26" s="319">
        <f t="shared" si="14"/>
        <v>-718.92887810341654</v>
      </c>
      <c r="I26" s="319"/>
      <c r="J26" s="483"/>
      <c r="L26" s="620"/>
      <c r="M26" s="621"/>
      <c r="N26" s="621"/>
      <c r="O26" s="621"/>
      <c r="P26" s="621"/>
      <c r="Q26" s="621"/>
      <c r="R26" s="621"/>
      <c r="S26" s="622"/>
    </row>
    <row r="27" spans="1:20" ht="19" customHeight="1" x14ac:dyDescent="0.25">
      <c r="A27" s="321" t="s">
        <v>2</v>
      </c>
      <c r="B27" s="322">
        <f t="shared" si="10"/>
        <v>3963.7470213581973</v>
      </c>
      <c r="C27" s="322">
        <f>C9/C18</f>
        <v>5300</v>
      </c>
      <c r="D27" s="323">
        <f t="shared" si="11"/>
        <v>0.7478767964826788</v>
      </c>
      <c r="E27" s="322">
        <f t="shared" si="12"/>
        <v>-1336.2529786418027</v>
      </c>
      <c r="F27" s="322">
        <f>F9/F18</f>
        <v>4949.7861635220124</v>
      </c>
      <c r="G27" s="320">
        <f t="shared" si="13"/>
        <v>0.80079156763770165</v>
      </c>
      <c r="H27" s="319">
        <f t="shared" si="14"/>
        <v>-986.03914216381509</v>
      </c>
      <c r="I27" s="322"/>
      <c r="J27" s="483"/>
      <c r="L27" s="620"/>
      <c r="M27" s="621"/>
      <c r="N27" s="621"/>
      <c r="O27" s="621"/>
      <c r="P27" s="621"/>
      <c r="Q27" s="621"/>
      <c r="R27" s="621"/>
      <c r="S27" s="622"/>
    </row>
    <row r="28" spans="1:20" ht="11" customHeight="1" x14ac:dyDescent="0.25">
      <c r="J28" s="483"/>
      <c r="L28" s="620"/>
      <c r="M28" s="621"/>
      <c r="N28" s="621"/>
      <c r="O28" s="621"/>
      <c r="P28" s="621"/>
      <c r="Q28" s="621"/>
      <c r="R28" s="621"/>
      <c r="S28" s="622"/>
    </row>
    <row r="29" spans="1:20" ht="19" customHeight="1" x14ac:dyDescent="0.25">
      <c r="A29" s="314" t="s">
        <v>169</v>
      </c>
      <c r="J29" s="483"/>
      <c r="L29" s="620"/>
      <c r="M29" s="621"/>
      <c r="N29" s="621"/>
      <c r="O29" s="621"/>
      <c r="P29" s="621"/>
      <c r="Q29" s="621"/>
      <c r="R29" s="621"/>
      <c r="S29" s="622"/>
    </row>
    <row r="30" spans="1:20" s="315" customFormat="1" ht="19" customHeight="1" x14ac:dyDescent="0.25">
      <c r="A30" s="316" t="s">
        <v>64</v>
      </c>
      <c r="B30" s="316" t="s">
        <v>51</v>
      </c>
      <c r="C30" s="316" t="s">
        <v>149</v>
      </c>
      <c r="D30" s="316" t="s">
        <v>150</v>
      </c>
      <c r="E30" s="316" t="s">
        <v>151</v>
      </c>
      <c r="F30" s="316" t="s">
        <v>150</v>
      </c>
      <c r="G30" s="316" t="s">
        <v>152</v>
      </c>
      <c r="H30" s="316" t="s">
        <v>150</v>
      </c>
      <c r="I30" s="316" t="s">
        <v>154</v>
      </c>
      <c r="J30" s="483"/>
      <c r="K30" s="351"/>
      <c r="L30" s="620"/>
      <c r="M30" s="621"/>
      <c r="N30" s="621"/>
      <c r="O30" s="621"/>
      <c r="P30" s="621"/>
      <c r="Q30" s="621"/>
      <c r="R30" s="621"/>
      <c r="S30" s="622"/>
    </row>
    <row r="31" spans="1:20" ht="19" customHeight="1" x14ac:dyDescent="0.25">
      <c r="A31" s="318">
        <v>5</v>
      </c>
      <c r="B31" s="319">
        <v>506</v>
      </c>
      <c r="C31" s="319">
        <v>205</v>
      </c>
      <c r="D31" s="323">
        <f t="shared" ref="D31:D36" si="15">C31/B31</f>
        <v>0.40513833992094861</v>
      </c>
      <c r="E31" s="319">
        <v>7</v>
      </c>
      <c r="F31" s="323">
        <f t="shared" ref="F31:F36" si="16">E31/B31</f>
        <v>1.383399209486166E-2</v>
      </c>
      <c r="G31" s="319">
        <v>2</v>
      </c>
      <c r="H31" s="323">
        <f t="shared" ref="H31:H36" si="17">G31/B31</f>
        <v>3.952569169960474E-3</v>
      </c>
      <c r="I31" s="317">
        <f t="shared" ref="I31:I36" si="18">C31+E31+G31</f>
        <v>214</v>
      </c>
      <c r="J31" s="483"/>
      <c r="L31" s="620"/>
      <c r="M31" s="621"/>
      <c r="N31" s="621"/>
      <c r="O31" s="621"/>
      <c r="P31" s="621"/>
      <c r="Q31" s="621"/>
      <c r="R31" s="621"/>
      <c r="S31" s="622"/>
    </row>
    <row r="32" spans="1:20" ht="19" customHeight="1" x14ac:dyDescent="0.25">
      <c r="A32" s="318">
        <v>6</v>
      </c>
      <c r="B32" s="319">
        <v>5309</v>
      </c>
      <c r="C32" s="319">
        <v>2074</v>
      </c>
      <c r="D32" s="323">
        <f t="shared" si="15"/>
        <v>0.39065737427010738</v>
      </c>
      <c r="E32" s="319">
        <v>80</v>
      </c>
      <c r="F32" s="323">
        <f t="shared" si="16"/>
        <v>1.5068751177246186E-2</v>
      </c>
      <c r="G32" s="319">
        <v>9</v>
      </c>
      <c r="H32" s="323">
        <f t="shared" si="17"/>
        <v>1.6952345074401959E-3</v>
      </c>
      <c r="I32" s="317">
        <f t="shared" si="18"/>
        <v>2163</v>
      </c>
      <c r="J32" s="483"/>
      <c r="L32" s="620"/>
      <c r="M32" s="621"/>
      <c r="N32" s="621"/>
      <c r="O32" s="621"/>
      <c r="P32" s="621"/>
      <c r="Q32" s="621"/>
      <c r="R32" s="621"/>
      <c r="S32" s="622"/>
    </row>
    <row r="33" spans="1:19" ht="19" customHeight="1" x14ac:dyDescent="0.25">
      <c r="A33" s="318">
        <v>7</v>
      </c>
      <c r="B33" s="319">
        <v>11036</v>
      </c>
      <c r="C33" s="319">
        <v>5792</v>
      </c>
      <c r="D33" s="323">
        <f t="shared" si="15"/>
        <v>0.52482783617252626</v>
      </c>
      <c r="E33" s="319">
        <v>190</v>
      </c>
      <c r="F33" s="323">
        <f t="shared" si="16"/>
        <v>1.7216382747372236E-2</v>
      </c>
      <c r="G33" s="319">
        <v>161</v>
      </c>
      <c r="H33" s="323">
        <f t="shared" si="17"/>
        <v>1.4588619064878579E-2</v>
      </c>
      <c r="I33" s="317">
        <f t="shared" si="18"/>
        <v>6143</v>
      </c>
      <c r="J33" s="484"/>
      <c r="L33" s="620"/>
      <c r="M33" s="621"/>
      <c r="N33" s="621"/>
      <c r="O33" s="621"/>
      <c r="P33" s="621"/>
      <c r="Q33" s="621"/>
      <c r="R33" s="621"/>
      <c r="S33" s="622"/>
    </row>
    <row r="34" spans="1:19" ht="19" customHeight="1" x14ac:dyDescent="0.25">
      <c r="A34" s="318">
        <v>8</v>
      </c>
      <c r="B34" s="319">
        <v>11093</v>
      </c>
      <c r="C34" s="319">
        <v>5149</v>
      </c>
      <c r="D34" s="323">
        <f t="shared" si="15"/>
        <v>0.46416659154421708</v>
      </c>
      <c r="E34" s="319">
        <v>271</v>
      </c>
      <c r="F34" s="323">
        <f t="shared" si="16"/>
        <v>2.4429820607590372E-2</v>
      </c>
      <c r="G34" s="319">
        <v>77</v>
      </c>
      <c r="H34" s="323">
        <f t="shared" si="17"/>
        <v>6.9413143423780761E-3</v>
      </c>
      <c r="I34" s="317">
        <f t="shared" si="18"/>
        <v>5497</v>
      </c>
      <c r="L34" s="620"/>
      <c r="M34" s="621"/>
      <c r="N34" s="621"/>
      <c r="O34" s="621"/>
      <c r="P34" s="621"/>
      <c r="Q34" s="621"/>
      <c r="R34" s="621"/>
      <c r="S34" s="622"/>
    </row>
    <row r="35" spans="1:19" ht="19" customHeight="1" x14ac:dyDescent="0.25">
      <c r="A35" s="318">
        <v>9</v>
      </c>
      <c r="B35" s="319">
        <v>974</v>
      </c>
      <c r="C35" s="319">
        <v>314</v>
      </c>
      <c r="D35" s="323">
        <f t="shared" si="15"/>
        <v>0.32238193018480493</v>
      </c>
      <c r="E35" s="319">
        <v>34</v>
      </c>
      <c r="F35" s="323">
        <f t="shared" si="16"/>
        <v>3.4907597535934289E-2</v>
      </c>
      <c r="G35" s="319">
        <v>9</v>
      </c>
      <c r="H35" s="323">
        <f t="shared" si="17"/>
        <v>9.2402464065708418E-3</v>
      </c>
      <c r="I35" s="317">
        <f t="shared" si="18"/>
        <v>357</v>
      </c>
      <c r="L35" s="620"/>
      <c r="M35" s="621"/>
      <c r="N35" s="621"/>
      <c r="O35" s="621"/>
      <c r="P35" s="621"/>
      <c r="Q35" s="621"/>
      <c r="R35" s="621"/>
      <c r="S35" s="622"/>
    </row>
    <row r="36" spans="1:19" ht="19" customHeight="1" thickBot="1" x14ac:dyDescent="0.3">
      <c r="A36" s="321" t="s">
        <v>2</v>
      </c>
      <c r="B36" s="322">
        <f>SUM(B31:B35)</f>
        <v>28918</v>
      </c>
      <c r="C36" s="322">
        <f>SUM(C31:C35)</f>
        <v>13534</v>
      </c>
      <c r="D36" s="323">
        <f t="shared" si="15"/>
        <v>0.46801300228231552</v>
      </c>
      <c r="E36" s="322">
        <f>SUM(E31:E35)</f>
        <v>582</v>
      </c>
      <c r="F36" s="323">
        <f t="shared" si="16"/>
        <v>2.0125873158586348E-2</v>
      </c>
      <c r="G36" s="322">
        <f>SUM(G31:G35)</f>
        <v>258</v>
      </c>
      <c r="H36" s="323">
        <f t="shared" si="17"/>
        <v>8.9217788228784841E-3</v>
      </c>
      <c r="I36" s="322">
        <f t="shared" si="18"/>
        <v>14374</v>
      </c>
      <c r="J36" s="315"/>
      <c r="K36" s="350"/>
      <c r="L36" s="623"/>
      <c r="M36" s="624"/>
      <c r="N36" s="624"/>
      <c r="O36" s="624"/>
      <c r="P36" s="624"/>
      <c r="Q36" s="624"/>
      <c r="R36" s="624"/>
      <c r="S36" s="625"/>
    </row>
    <row r="37" spans="1:19" s="315" customFormat="1" ht="19" customHeight="1" thickTop="1" x14ac:dyDescent="0.25">
      <c r="A37" s="316" t="s">
        <v>64</v>
      </c>
      <c r="B37" s="316" t="s">
        <v>51</v>
      </c>
      <c r="C37" s="326" t="s">
        <v>153</v>
      </c>
      <c r="D37" s="327" t="s">
        <v>150</v>
      </c>
      <c r="E37" s="332" t="s">
        <v>155</v>
      </c>
      <c r="F37" s="333" t="s">
        <v>150</v>
      </c>
      <c r="G37" s="334" t="s">
        <v>156</v>
      </c>
      <c r="H37" s="335" t="s">
        <v>150</v>
      </c>
      <c r="I37" s="329"/>
      <c r="J37" s="485"/>
      <c r="K37" s="351"/>
      <c r="L37" s="343"/>
      <c r="M37" s="343"/>
      <c r="N37" s="343"/>
      <c r="O37" s="343"/>
      <c r="P37" s="343"/>
      <c r="Q37" s="343"/>
      <c r="R37" s="343"/>
      <c r="S37" s="343"/>
    </row>
    <row r="38" spans="1:19" ht="19" customHeight="1" x14ac:dyDescent="0.25">
      <c r="A38" s="318">
        <v>5</v>
      </c>
      <c r="B38" s="319">
        <v>506</v>
      </c>
      <c r="C38" s="319">
        <v>0</v>
      </c>
      <c r="D38" s="328">
        <f t="shared" ref="D38:D43" si="19">C38/B38</f>
        <v>0</v>
      </c>
      <c r="E38" s="336">
        <f>C38+I31</f>
        <v>214</v>
      </c>
      <c r="F38" s="323">
        <f t="shared" ref="F38:F43" si="20">E38/B38</f>
        <v>0.42292490118577075</v>
      </c>
      <c r="G38" s="319">
        <f>B38-E38</f>
        <v>292</v>
      </c>
      <c r="H38" s="337">
        <f t="shared" ref="H38:H43" si="21">G38/B38</f>
        <v>0.57707509881422925</v>
      </c>
      <c r="I38" s="330"/>
      <c r="J38" s="485"/>
      <c r="L38" s="626" t="s">
        <v>173</v>
      </c>
      <c r="M38" s="626"/>
      <c r="N38" s="343"/>
      <c r="O38" s="343"/>
      <c r="P38" s="343"/>
      <c r="Q38" s="343"/>
      <c r="R38" s="343"/>
      <c r="S38" s="343"/>
    </row>
    <row r="39" spans="1:19" ht="19" customHeight="1" x14ac:dyDescent="0.25">
      <c r="A39" s="318">
        <v>6</v>
      </c>
      <c r="B39" s="319">
        <v>5309</v>
      </c>
      <c r="C39" s="319">
        <v>0</v>
      </c>
      <c r="D39" s="328">
        <f t="shared" si="19"/>
        <v>0</v>
      </c>
      <c r="E39" s="336">
        <f>C39+I32</f>
        <v>2163</v>
      </c>
      <c r="F39" s="323">
        <f t="shared" si="20"/>
        <v>0.40742135995479373</v>
      </c>
      <c r="G39" s="319">
        <f>B39-E39</f>
        <v>3146</v>
      </c>
      <c r="H39" s="337">
        <f t="shared" si="21"/>
        <v>0.59257864004520622</v>
      </c>
      <c r="I39" s="330"/>
      <c r="J39" s="485"/>
      <c r="L39" s="590" t="s">
        <v>179</v>
      </c>
      <c r="M39" s="591"/>
      <c r="N39" s="591"/>
      <c r="O39" s="591"/>
      <c r="P39" s="591"/>
      <c r="Q39" s="591"/>
      <c r="R39" s="591"/>
      <c r="S39" s="592"/>
    </row>
    <row r="40" spans="1:19" ht="19" customHeight="1" x14ac:dyDescent="0.25">
      <c r="A40" s="318">
        <v>7</v>
      </c>
      <c r="B40" s="319">
        <v>11036</v>
      </c>
      <c r="C40" s="319">
        <v>107</v>
      </c>
      <c r="D40" s="328">
        <f t="shared" si="19"/>
        <v>9.6955418629938381E-3</v>
      </c>
      <c r="E40" s="336">
        <f>C40+I33</f>
        <v>6250</v>
      </c>
      <c r="F40" s="323">
        <f t="shared" si="20"/>
        <v>0.56632837984777096</v>
      </c>
      <c r="G40" s="319">
        <f>B40-E40</f>
        <v>4786</v>
      </c>
      <c r="H40" s="337">
        <f t="shared" si="21"/>
        <v>0.43367162015222904</v>
      </c>
      <c r="I40" s="330"/>
      <c r="J40" s="485"/>
      <c r="L40" s="593"/>
      <c r="M40" s="594"/>
      <c r="N40" s="594"/>
      <c r="O40" s="594"/>
      <c r="P40" s="594"/>
      <c r="Q40" s="594"/>
      <c r="R40" s="594"/>
      <c r="S40" s="595"/>
    </row>
    <row r="41" spans="1:19" ht="19" customHeight="1" x14ac:dyDescent="0.25">
      <c r="A41" s="318">
        <v>8</v>
      </c>
      <c r="B41" s="319">
        <v>11093</v>
      </c>
      <c r="C41" s="319">
        <v>765</v>
      </c>
      <c r="D41" s="328">
        <f t="shared" si="19"/>
        <v>6.8962408726223751E-2</v>
      </c>
      <c r="E41" s="336">
        <f>C41+I34</f>
        <v>6262</v>
      </c>
      <c r="F41" s="323">
        <f t="shared" si="20"/>
        <v>0.56450013522040932</v>
      </c>
      <c r="G41" s="319">
        <f>B41-E41</f>
        <v>4831</v>
      </c>
      <c r="H41" s="337">
        <f t="shared" si="21"/>
        <v>0.43549986477959074</v>
      </c>
      <c r="I41" s="330"/>
      <c r="J41" s="485"/>
      <c r="L41" s="593"/>
      <c r="M41" s="594"/>
      <c r="N41" s="594"/>
      <c r="O41" s="594"/>
      <c r="P41" s="594"/>
      <c r="Q41" s="594"/>
      <c r="R41" s="594"/>
      <c r="S41" s="595"/>
    </row>
    <row r="42" spans="1:19" ht="19" customHeight="1" x14ac:dyDescent="0.25">
      <c r="A42" s="318">
        <v>9</v>
      </c>
      <c r="B42" s="319">
        <v>974</v>
      </c>
      <c r="C42" s="319">
        <v>240</v>
      </c>
      <c r="D42" s="328">
        <f t="shared" si="19"/>
        <v>0.24640657084188911</v>
      </c>
      <c r="E42" s="336">
        <f>C42+I35</f>
        <v>597</v>
      </c>
      <c r="F42" s="323">
        <f t="shared" si="20"/>
        <v>0.61293634496919913</v>
      </c>
      <c r="G42" s="319">
        <f>B42-E42</f>
        <v>377</v>
      </c>
      <c r="H42" s="337">
        <f t="shared" si="21"/>
        <v>0.38706365503080081</v>
      </c>
      <c r="I42" s="330"/>
      <c r="J42" s="485"/>
      <c r="L42" s="593"/>
      <c r="M42" s="594"/>
      <c r="N42" s="594"/>
      <c r="O42" s="594"/>
      <c r="P42" s="594"/>
      <c r="Q42" s="594"/>
      <c r="R42" s="594"/>
      <c r="S42" s="595"/>
    </row>
    <row r="43" spans="1:19" ht="19" customHeight="1" thickBot="1" x14ac:dyDescent="0.3">
      <c r="A43" s="321" t="s">
        <v>2</v>
      </c>
      <c r="B43" s="322">
        <f>SUM(B38:B42)</f>
        <v>28918</v>
      </c>
      <c r="C43" s="322">
        <f>SUM(C38:C42)</f>
        <v>1112</v>
      </c>
      <c r="D43" s="328">
        <f t="shared" si="19"/>
        <v>3.845355833736773E-2</v>
      </c>
      <c r="E43" s="338">
        <f>SUM(E38:E42)</f>
        <v>15486</v>
      </c>
      <c r="F43" s="339">
        <f t="shared" si="20"/>
        <v>0.53551421260114807</v>
      </c>
      <c r="G43" s="340">
        <f>SUM(G38:G42)</f>
        <v>13432</v>
      </c>
      <c r="H43" s="341">
        <f t="shared" si="21"/>
        <v>0.46448578739885193</v>
      </c>
      <c r="I43" s="331"/>
      <c r="J43" s="485"/>
      <c r="L43" s="593"/>
      <c r="M43" s="594"/>
      <c r="N43" s="594"/>
      <c r="O43" s="594"/>
      <c r="P43" s="594"/>
      <c r="Q43" s="594"/>
      <c r="R43" s="594"/>
      <c r="S43" s="595"/>
    </row>
    <row r="44" spans="1:19" ht="11" customHeight="1" thickTop="1" x14ac:dyDescent="0.25">
      <c r="J44" s="484"/>
      <c r="L44" s="593"/>
      <c r="M44" s="594"/>
      <c r="N44" s="594"/>
      <c r="O44" s="594"/>
      <c r="P44" s="594"/>
      <c r="Q44" s="594"/>
      <c r="R44" s="594"/>
      <c r="S44" s="595"/>
    </row>
    <row r="45" spans="1:19" s="349" customFormat="1" ht="19" customHeight="1" thickBot="1" x14ac:dyDescent="0.3">
      <c r="A45" s="349" t="s">
        <v>170</v>
      </c>
      <c r="J45" s="315"/>
      <c r="K45" s="350"/>
      <c r="L45" s="593"/>
      <c r="M45" s="594"/>
      <c r="N45" s="594"/>
      <c r="O45" s="594"/>
      <c r="P45" s="594"/>
      <c r="Q45" s="594"/>
      <c r="R45" s="594"/>
      <c r="S45" s="595"/>
    </row>
    <row r="46" spans="1:19" s="315" customFormat="1" ht="19" customHeight="1" thickTop="1" x14ac:dyDescent="0.25">
      <c r="A46" s="316" t="s">
        <v>64</v>
      </c>
      <c r="B46" s="316" t="s">
        <v>161</v>
      </c>
      <c r="C46" s="316" t="s">
        <v>157</v>
      </c>
      <c r="D46" s="316" t="s">
        <v>150</v>
      </c>
      <c r="E46" s="316" t="s">
        <v>158</v>
      </c>
      <c r="F46" s="316" t="s">
        <v>150</v>
      </c>
      <c r="G46" s="316" t="s">
        <v>159</v>
      </c>
      <c r="H46" s="327" t="s">
        <v>150</v>
      </c>
      <c r="I46" s="359" t="s">
        <v>160</v>
      </c>
      <c r="J46" s="483"/>
      <c r="K46" s="351"/>
      <c r="L46" s="593"/>
      <c r="M46" s="594"/>
      <c r="N46" s="594"/>
      <c r="O46" s="594"/>
      <c r="P46" s="594"/>
      <c r="Q46" s="594"/>
      <c r="R46" s="594"/>
      <c r="S46" s="595"/>
    </row>
    <row r="47" spans="1:19" ht="19" customHeight="1" x14ac:dyDescent="0.25">
      <c r="A47" s="318">
        <v>5</v>
      </c>
      <c r="B47" s="319">
        <v>122</v>
      </c>
      <c r="C47" s="319">
        <v>13</v>
      </c>
      <c r="D47" s="342">
        <f t="shared" ref="D47:D52" si="22">C47/B47</f>
        <v>0.10655737704918032</v>
      </c>
      <c r="E47" s="319">
        <v>16</v>
      </c>
      <c r="F47" s="342">
        <f t="shared" ref="F47:F52" si="23">E47/B47</f>
        <v>0.13114754098360656</v>
      </c>
      <c r="G47" s="319">
        <f>B47-C47-E47</f>
        <v>93</v>
      </c>
      <c r="H47" s="328">
        <f t="shared" ref="H47:H52" si="24">G47/B47</f>
        <v>0.76229508196721307</v>
      </c>
      <c r="I47" s="360">
        <f t="shared" ref="I47:I52" si="25">C47/(C47+E47)</f>
        <v>0.44827586206896552</v>
      </c>
      <c r="J47" s="483"/>
      <c r="L47" s="593"/>
      <c r="M47" s="594"/>
      <c r="N47" s="594"/>
      <c r="O47" s="594"/>
      <c r="P47" s="594"/>
      <c r="Q47" s="594"/>
      <c r="R47" s="594"/>
      <c r="S47" s="595"/>
    </row>
    <row r="48" spans="1:19" ht="19" customHeight="1" x14ac:dyDescent="0.25">
      <c r="A48" s="318">
        <v>6</v>
      </c>
      <c r="B48" s="319">
        <v>2015</v>
      </c>
      <c r="C48" s="319">
        <v>240</v>
      </c>
      <c r="D48" s="342">
        <f t="shared" si="22"/>
        <v>0.11910669975186104</v>
      </c>
      <c r="E48" s="319">
        <v>51</v>
      </c>
      <c r="F48" s="342">
        <f t="shared" si="23"/>
        <v>2.5310173697270472E-2</v>
      </c>
      <c r="G48" s="319">
        <f>B48-C48-E48</f>
        <v>1724</v>
      </c>
      <c r="H48" s="328">
        <f t="shared" si="24"/>
        <v>0.85558312655086843</v>
      </c>
      <c r="I48" s="360">
        <f t="shared" si="25"/>
        <v>0.82474226804123707</v>
      </c>
      <c r="J48" s="483"/>
      <c r="L48" s="593"/>
      <c r="M48" s="594"/>
      <c r="N48" s="594"/>
      <c r="O48" s="594"/>
      <c r="P48" s="594"/>
      <c r="Q48" s="594"/>
      <c r="R48" s="594"/>
      <c r="S48" s="595"/>
    </row>
    <row r="49" spans="1:19" ht="19" customHeight="1" x14ac:dyDescent="0.25">
      <c r="A49" s="318">
        <v>7</v>
      </c>
      <c r="B49" s="319">
        <v>3542</v>
      </c>
      <c r="C49" s="319">
        <v>674</v>
      </c>
      <c r="D49" s="342">
        <f t="shared" si="22"/>
        <v>0.19028797289666854</v>
      </c>
      <c r="E49" s="319">
        <v>160</v>
      </c>
      <c r="F49" s="342">
        <f t="shared" si="23"/>
        <v>4.517221908526256E-2</v>
      </c>
      <c r="G49" s="319">
        <f>B49-C49-E49</f>
        <v>2708</v>
      </c>
      <c r="H49" s="328">
        <f t="shared" si="24"/>
        <v>0.76453980801806887</v>
      </c>
      <c r="I49" s="360">
        <f t="shared" si="25"/>
        <v>0.80815347721822539</v>
      </c>
      <c r="J49" s="483"/>
      <c r="L49" s="593"/>
      <c r="M49" s="594"/>
      <c r="N49" s="594"/>
      <c r="O49" s="594"/>
      <c r="P49" s="594"/>
      <c r="Q49" s="594"/>
      <c r="R49" s="594"/>
      <c r="S49" s="595"/>
    </row>
    <row r="50" spans="1:19" ht="19" customHeight="1" x14ac:dyDescent="0.25">
      <c r="A50" s="318">
        <v>8</v>
      </c>
      <c r="B50" s="319">
        <v>3618</v>
      </c>
      <c r="C50" s="319">
        <v>885</v>
      </c>
      <c r="D50" s="342">
        <f t="shared" si="22"/>
        <v>0.24461028192371476</v>
      </c>
      <c r="E50" s="319">
        <v>156</v>
      </c>
      <c r="F50" s="342">
        <f t="shared" si="23"/>
        <v>4.3117744610281922E-2</v>
      </c>
      <c r="G50" s="319">
        <f>B50-C50-E50</f>
        <v>2577</v>
      </c>
      <c r="H50" s="328">
        <f t="shared" si="24"/>
        <v>0.71227197346600335</v>
      </c>
      <c r="I50" s="360">
        <f t="shared" si="25"/>
        <v>0.85014409221902021</v>
      </c>
      <c r="J50" s="483"/>
      <c r="L50" s="593"/>
      <c r="M50" s="594"/>
      <c r="N50" s="594"/>
      <c r="O50" s="594"/>
      <c r="P50" s="594"/>
      <c r="Q50" s="594"/>
      <c r="R50" s="594"/>
      <c r="S50" s="595"/>
    </row>
    <row r="51" spans="1:19" ht="19" customHeight="1" x14ac:dyDescent="0.25">
      <c r="A51" s="318">
        <v>9</v>
      </c>
      <c r="B51" s="319">
        <v>340</v>
      </c>
      <c r="C51" s="319">
        <v>125</v>
      </c>
      <c r="D51" s="342">
        <f t="shared" si="22"/>
        <v>0.36764705882352944</v>
      </c>
      <c r="E51" s="319">
        <v>19</v>
      </c>
      <c r="F51" s="342">
        <f t="shared" si="23"/>
        <v>5.5882352941176473E-2</v>
      </c>
      <c r="G51" s="319">
        <f>B51-C51-E51</f>
        <v>196</v>
      </c>
      <c r="H51" s="328">
        <f t="shared" si="24"/>
        <v>0.57647058823529407</v>
      </c>
      <c r="I51" s="360">
        <f t="shared" si="25"/>
        <v>0.86805555555555558</v>
      </c>
      <c r="J51" s="483"/>
      <c r="L51" s="593"/>
      <c r="M51" s="594"/>
      <c r="N51" s="594"/>
      <c r="O51" s="594"/>
      <c r="P51" s="594"/>
      <c r="Q51" s="594"/>
      <c r="R51" s="594"/>
      <c r="S51" s="595"/>
    </row>
    <row r="52" spans="1:19" ht="18" customHeight="1" thickBot="1" x14ac:dyDescent="0.3">
      <c r="A52" s="321" t="s">
        <v>2</v>
      </c>
      <c r="B52" s="322">
        <f>SUM(B47:B51)</f>
        <v>9637</v>
      </c>
      <c r="C52" s="322">
        <f>SUM(C47:C51)</f>
        <v>1937</v>
      </c>
      <c r="D52" s="342">
        <f t="shared" si="22"/>
        <v>0.20099616063090173</v>
      </c>
      <c r="E52" s="322">
        <f>SUM(E47:E51)</f>
        <v>402</v>
      </c>
      <c r="F52" s="342">
        <f t="shared" si="23"/>
        <v>4.1714226419010063E-2</v>
      </c>
      <c r="G52" s="322">
        <f>SUM(G47:G51)</f>
        <v>7298</v>
      </c>
      <c r="H52" s="328">
        <f t="shared" si="24"/>
        <v>0.75728961295008823</v>
      </c>
      <c r="I52" s="361">
        <f t="shared" si="25"/>
        <v>0.82813168020521588</v>
      </c>
      <c r="J52" s="483"/>
      <c r="L52" s="596"/>
      <c r="M52" s="597"/>
      <c r="N52" s="597"/>
      <c r="O52" s="597"/>
      <c r="P52" s="597"/>
      <c r="Q52" s="597"/>
      <c r="R52" s="597"/>
      <c r="S52" s="598"/>
    </row>
    <row r="53" spans="1:19" ht="18" customHeight="1" thickTop="1" x14ac:dyDescent="0.25">
      <c r="J53" s="486"/>
    </row>
    <row r="55" spans="1:19" x14ac:dyDescent="0.25">
      <c r="E55" s="508">
        <f>E43*300</f>
        <v>4645800</v>
      </c>
      <c r="F55" s="314" t="s">
        <v>327</v>
      </c>
      <c r="J55" s="349"/>
      <c r="K55" s="353"/>
    </row>
    <row r="56" spans="1:19" x14ac:dyDescent="0.25">
      <c r="J56" s="315"/>
      <c r="K56" s="350"/>
    </row>
    <row r="57" spans="1:19" x14ac:dyDescent="0.25">
      <c r="J57" s="487"/>
    </row>
    <row r="58" spans="1:19" x14ac:dyDescent="0.25">
      <c r="J58" s="487"/>
    </row>
    <row r="59" spans="1:19" x14ac:dyDescent="0.25">
      <c r="J59" s="487"/>
    </row>
    <row r="60" spans="1:19" x14ac:dyDescent="0.25">
      <c r="J60" s="487"/>
    </row>
    <row r="61" spans="1:19" x14ac:dyDescent="0.25">
      <c r="J61" s="487"/>
    </row>
    <row r="62" spans="1:19" x14ac:dyDescent="0.25">
      <c r="J62" s="487"/>
    </row>
    <row r="63" spans="1:19" x14ac:dyDescent="0.25">
      <c r="J63" s="487"/>
    </row>
    <row r="64" spans="1:19" x14ac:dyDescent="0.25">
      <c r="J64" s="487"/>
    </row>
  </sheetData>
  <mergeCells count="6">
    <mergeCell ref="J2:K2"/>
    <mergeCell ref="L39:S52"/>
    <mergeCell ref="L3:S9"/>
    <mergeCell ref="L12:S18"/>
    <mergeCell ref="L21:S36"/>
    <mergeCell ref="L38:M38"/>
  </mergeCells>
  <phoneticPr fontId="1"/>
  <pageMargins left="0.7" right="0.7" top="0.75" bottom="0.75" header="0.3" footer="0.3"/>
  <pageSetup paperSize="9" scale="50" orientation="landscape" horizontalDpi="0" verticalDpi="0"/>
  <rowBreaks count="1" manualBreakCount="1">
    <brk id="9" max="17" man="1"/>
  </rowBreaks>
  <colBreaks count="1" manualBreakCount="1">
    <brk id="5" max="51"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B1F6B-C9D1-F544-A706-4281221AB8D2}">
  <sheetPr>
    <pageSetUpPr fitToPage="1"/>
  </sheetPr>
  <dimension ref="B2:AB44"/>
  <sheetViews>
    <sheetView zoomScale="43" workbookViewId="0">
      <selection activeCell="AD26" sqref="AD26"/>
    </sheetView>
  </sheetViews>
  <sheetFormatPr baseColWidth="10" defaultRowHeight="11" x14ac:dyDescent="0.25"/>
  <cols>
    <col min="1" max="1" width="3.33203125" style="566" customWidth="1"/>
    <col min="2" max="2" width="3.6640625" style="566" customWidth="1"/>
    <col min="3" max="11" width="11" style="566" bestFit="1" customWidth="1"/>
    <col min="12" max="14" width="10.83203125" style="566"/>
    <col min="15" max="15" width="3.33203125" style="566" customWidth="1"/>
    <col min="16" max="16" width="3.6640625" style="566" customWidth="1"/>
    <col min="17" max="25" width="11" style="566" bestFit="1" customWidth="1"/>
    <col min="26" max="16384" width="10.83203125" style="566"/>
  </cols>
  <sheetData>
    <row r="2" spans="2:28" ht="24" customHeight="1" x14ac:dyDescent="0.25">
      <c r="B2" s="640" t="s">
        <v>308</v>
      </c>
      <c r="C2" s="641"/>
      <c r="D2" s="641"/>
      <c r="E2" s="641"/>
      <c r="F2" s="641" t="s">
        <v>318</v>
      </c>
      <c r="G2" s="641"/>
      <c r="H2" s="641"/>
      <c r="I2" s="641"/>
      <c r="J2" s="641"/>
      <c r="K2" s="641"/>
      <c r="L2" s="641"/>
      <c r="M2" s="641"/>
      <c r="N2" s="642"/>
      <c r="P2" s="673" t="s">
        <v>312</v>
      </c>
      <c r="Q2" s="674"/>
      <c r="R2" s="674"/>
      <c r="S2" s="674"/>
      <c r="T2" s="674" t="s">
        <v>322</v>
      </c>
      <c r="U2" s="674"/>
      <c r="V2" s="674"/>
      <c r="W2" s="674"/>
      <c r="X2" s="674"/>
      <c r="Y2" s="674"/>
      <c r="Z2" s="674"/>
      <c r="AA2" s="674"/>
      <c r="AB2" s="675"/>
    </row>
    <row r="3" spans="2:28" ht="19" customHeight="1" x14ac:dyDescent="0.25">
      <c r="B3" s="645" t="s">
        <v>188</v>
      </c>
      <c r="C3" s="645"/>
      <c r="D3" s="645"/>
      <c r="E3" s="575" t="s">
        <v>189</v>
      </c>
      <c r="F3" s="575" t="s">
        <v>315</v>
      </c>
      <c r="G3" s="575" t="s">
        <v>191</v>
      </c>
      <c r="H3" s="575" t="s">
        <v>192</v>
      </c>
      <c r="I3" s="575" t="s">
        <v>316</v>
      </c>
      <c r="J3" s="575" t="s">
        <v>202</v>
      </c>
      <c r="K3" s="575" t="s">
        <v>192</v>
      </c>
      <c r="L3" s="646" t="s">
        <v>306</v>
      </c>
      <c r="M3" s="646"/>
      <c r="N3" s="646"/>
      <c r="P3" s="645" t="s">
        <v>188</v>
      </c>
      <c r="Q3" s="645"/>
      <c r="R3" s="645"/>
      <c r="S3" s="575" t="s">
        <v>189</v>
      </c>
      <c r="T3" s="575" t="s">
        <v>315</v>
      </c>
      <c r="U3" s="575" t="s">
        <v>191</v>
      </c>
      <c r="V3" s="575" t="s">
        <v>192</v>
      </c>
      <c r="W3" s="575" t="s">
        <v>316</v>
      </c>
      <c r="X3" s="575" t="s">
        <v>202</v>
      </c>
      <c r="Y3" s="575" t="s">
        <v>192</v>
      </c>
      <c r="Z3" s="646" t="s">
        <v>306</v>
      </c>
      <c r="AA3" s="646"/>
      <c r="AB3" s="646"/>
    </row>
    <row r="4" spans="2:28" ht="27" customHeight="1" x14ac:dyDescent="0.25">
      <c r="B4" s="643" t="s">
        <v>304</v>
      </c>
      <c r="C4" s="654" t="s">
        <v>124</v>
      </c>
      <c r="D4" s="654"/>
      <c r="E4" s="562">
        <v>5</v>
      </c>
      <c r="F4" s="567">
        <v>0</v>
      </c>
      <c r="G4" s="567">
        <f t="shared" ref="G4:G9" si="0">E4*F4</f>
        <v>0</v>
      </c>
      <c r="H4" s="647" t="e">
        <f>(F4+F5+F6)/F10</f>
        <v>#DIV/0!</v>
      </c>
      <c r="I4" s="567">
        <v>0</v>
      </c>
      <c r="J4" s="567">
        <f t="shared" ref="J4:J9" si="1">E4*I4</f>
        <v>0</v>
      </c>
      <c r="K4" s="647" t="e">
        <f>(I4+I5+I6)/I10</f>
        <v>#DIV/0!</v>
      </c>
      <c r="L4" s="576">
        <f>F4-I4</f>
        <v>0</v>
      </c>
      <c r="M4" s="576">
        <f>G4-J4</f>
        <v>0</v>
      </c>
      <c r="N4" s="647" t="e">
        <f>H4-K4</f>
        <v>#DIV/0!</v>
      </c>
      <c r="P4" s="643" t="s">
        <v>304</v>
      </c>
      <c r="Q4" s="654" t="s">
        <v>124</v>
      </c>
      <c r="R4" s="654"/>
      <c r="S4" s="562">
        <v>5</v>
      </c>
      <c r="T4" s="567">
        <v>27</v>
      </c>
      <c r="U4" s="567">
        <f t="shared" ref="U4:U9" si="2">S4*T4</f>
        <v>135</v>
      </c>
      <c r="V4" s="647">
        <f>(T4+T5+T6)/T10</f>
        <v>0.69892473118279574</v>
      </c>
      <c r="W4" s="567">
        <v>31</v>
      </c>
      <c r="X4" s="567">
        <f t="shared" ref="X4:X9" si="3">S4*W4</f>
        <v>155</v>
      </c>
      <c r="Y4" s="647">
        <f>(W4+W5+W6)/W10</f>
        <v>0.82795698924731187</v>
      </c>
      <c r="Z4" s="576">
        <f>T4-W4</f>
        <v>-4</v>
      </c>
      <c r="AA4" s="576">
        <f>U4-X4</f>
        <v>-20</v>
      </c>
      <c r="AB4" s="657">
        <f>V4-Y4</f>
        <v>-0.12903225806451613</v>
      </c>
    </row>
    <row r="5" spans="2:28" ht="27" customHeight="1" x14ac:dyDescent="0.25">
      <c r="B5" s="643"/>
      <c r="C5" s="654" t="s">
        <v>125</v>
      </c>
      <c r="D5" s="654"/>
      <c r="E5" s="563">
        <v>4</v>
      </c>
      <c r="F5" s="568">
        <v>0</v>
      </c>
      <c r="G5" s="567">
        <f t="shared" si="0"/>
        <v>0</v>
      </c>
      <c r="H5" s="647"/>
      <c r="I5" s="568">
        <v>0</v>
      </c>
      <c r="J5" s="567">
        <f t="shared" si="1"/>
        <v>0</v>
      </c>
      <c r="K5" s="647"/>
      <c r="L5" s="576">
        <f t="shared" ref="L5:M9" si="4">F5-I5</f>
        <v>0</v>
      </c>
      <c r="M5" s="576">
        <f t="shared" si="4"/>
        <v>0</v>
      </c>
      <c r="N5" s="647"/>
      <c r="P5" s="643"/>
      <c r="Q5" s="654" t="s">
        <v>125</v>
      </c>
      <c r="R5" s="654"/>
      <c r="S5" s="563">
        <v>4</v>
      </c>
      <c r="T5" s="568">
        <v>0</v>
      </c>
      <c r="U5" s="567">
        <f t="shared" si="2"/>
        <v>0</v>
      </c>
      <c r="V5" s="647"/>
      <c r="W5" s="568">
        <v>6</v>
      </c>
      <c r="X5" s="567">
        <f t="shared" si="3"/>
        <v>24</v>
      </c>
      <c r="Y5" s="647"/>
      <c r="Z5" s="576">
        <f>T5-W5</f>
        <v>-6</v>
      </c>
      <c r="AA5" s="576">
        <f>U5-X5</f>
        <v>-24</v>
      </c>
      <c r="AB5" s="657"/>
    </row>
    <row r="6" spans="2:28" ht="27" customHeight="1" x14ac:dyDescent="0.25">
      <c r="B6" s="643"/>
      <c r="C6" s="655" t="s">
        <v>193</v>
      </c>
      <c r="D6" s="655"/>
      <c r="E6" s="563">
        <v>3</v>
      </c>
      <c r="F6" s="568">
        <v>0</v>
      </c>
      <c r="G6" s="567">
        <f t="shared" si="0"/>
        <v>0</v>
      </c>
      <c r="H6" s="647"/>
      <c r="I6" s="568">
        <v>0</v>
      </c>
      <c r="J6" s="567">
        <f t="shared" si="1"/>
        <v>0</v>
      </c>
      <c r="K6" s="647"/>
      <c r="L6" s="576">
        <f t="shared" si="4"/>
        <v>0</v>
      </c>
      <c r="M6" s="576">
        <f t="shared" si="4"/>
        <v>0</v>
      </c>
      <c r="N6" s="647"/>
      <c r="P6" s="643"/>
      <c r="Q6" s="655" t="s">
        <v>193</v>
      </c>
      <c r="R6" s="655"/>
      <c r="S6" s="563">
        <v>3</v>
      </c>
      <c r="T6" s="568">
        <v>38</v>
      </c>
      <c r="U6" s="567">
        <f t="shared" si="2"/>
        <v>114</v>
      </c>
      <c r="V6" s="647"/>
      <c r="W6" s="568">
        <v>40</v>
      </c>
      <c r="X6" s="567">
        <f t="shared" si="3"/>
        <v>120</v>
      </c>
      <c r="Y6" s="647"/>
      <c r="Z6" s="576">
        <f>T6-W6</f>
        <v>-2</v>
      </c>
      <c r="AA6" s="576">
        <f>U6-X6</f>
        <v>-6</v>
      </c>
      <c r="AB6" s="657"/>
    </row>
    <row r="7" spans="2:28" ht="27" customHeight="1" x14ac:dyDescent="0.25">
      <c r="B7" s="643" t="s">
        <v>305</v>
      </c>
      <c r="C7" s="652" t="s">
        <v>121</v>
      </c>
      <c r="D7" s="652"/>
      <c r="E7" s="564">
        <v>2</v>
      </c>
      <c r="F7" s="569">
        <v>0</v>
      </c>
      <c r="G7" s="570">
        <f t="shared" si="0"/>
        <v>0</v>
      </c>
      <c r="H7" s="648" t="e">
        <f>(F7+F8+F9)/F10</f>
        <v>#DIV/0!</v>
      </c>
      <c r="I7" s="569">
        <v>0</v>
      </c>
      <c r="J7" s="570">
        <f t="shared" si="1"/>
        <v>0</v>
      </c>
      <c r="K7" s="648" t="e">
        <f>(I7+I8+I9)/I10</f>
        <v>#DIV/0!</v>
      </c>
      <c r="L7" s="577">
        <f t="shared" si="4"/>
        <v>0</v>
      </c>
      <c r="M7" s="577">
        <f t="shared" si="4"/>
        <v>0</v>
      </c>
      <c r="N7" s="648" t="e">
        <f>H7-K7</f>
        <v>#DIV/0!</v>
      </c>
      <c r="P7" s="643" t="s">
        <v>305</v>
      </c>
      <c r="Q7" s="652" t="s">
        <v>121</v>
      </c>
      <c r="R7" s="652"/>
      <c r="S7" s="564">
        <v>2</v>
      </c>
      <c r="T7" s="569">
        <v>6</v>
      </c>
      <c r="U7" s="570">
        <f t="shared" si="2"/>
        <v>12</v>
      </c>
      <c r="V7" s="648">
        <f>(T7+T8+T9)/T10</f>
        <v>0.30107526881720431</v>
      </c>
      <c r="W7" s="569">
        <v>0</v>
      </c>
      <c r="X7" s="570">
        <f t="shared" si="3"/>
        <v>0</v>
      </c>
      <c r="Y7" s="648">
        <f>(W7+W8+W9)/W10</f>
        <v>0.17204301075268819</v>
      </c>
      <c r="Z7" s="577">
        <f t="shared" ref="Z7:Z9" si="5">T7-W7</f>
        <v>6</v>
      </c>
      <c r="AA7" s="577">
        <f t="shared" ref="AA7:AA9" si="6">U7-X7</f>
        <v>12</v>
      </c>
      <c r="AB7" s="656">
        <f>V7-Y7</f>
        <v>0.12903225806451613</v>
      </c>
    </row>
    <row r="8" spans="2:28" ht="27" customHeight="1" x14ac:dyDescent="0.25">
      <c r="B8" s="643"/>
      <c r="C8" s="652" t="s">
        <v>194</v>
      </c>
      <c r="D8" s="652"/>
      <c r="E8" s="564">
        <v>1</v>
      </c>
      <c r="F8" s="569">
        <v>0</v>
      </c>
      <c r="G8" s="570">
        <f t="shared" si="0"/>
        <v>0</v>
      </c>
      <c r="H8" s="648"/>
      <c r="I8" s="569">
        <v>0</v>
      </c>
      <c r="J8" s="570">
        <f t="shared" si="1"/>
        <v>0</v>
      </c>
      <c r="K8" s="648"/>
      <c r="L8" s="577">
        <f t="shared" si="4"/>
        <v>0</v>
      </c>
      <c r="M8" s="577">
        <f t="shared" si="4"/>
        <v>0</v>
      </c>
      <c r="N8" s="648"/>
      <c r="P8" s="643"/>
      <c r="Q8" s="652" t="s">
        <v>194</v>
      </c>
      <c r="R8" s="652"/>
      <c r="S8" s="564">
        <v>1</v>
      </c>
      <c r="T8" s="569">
        <v>22</v>
      </c>
      <c r="U8" s="570">
        <f t="shared" si="2"/>
        <v>22</v>
      </c>
      <c r="V8" s="648"/>
      <c r="W8" s="569">
        <v>16</v>
      </c>
      <c r="X8" s="570">
        <f t="shared" si="3"/>
        <v>16</v>
      </c>
      <c r="Y8" s="648"/>
      <c r="Z8" s="577">
        <f t="shared" si="5"/>
        <v>6</v>
      </c>
      <c r="AA8" s="577">
        <f t="shared" si="6"/>
        <v>6</v>
      </c>
      <c r="AB8" s="656"/>
    </row>
    <row r="9" spans="2:28" ht="27" customHeight="1" x14ac:dyDescent="0.25">
      <c r="B9" s="643"/>
      <c r="C9" s="653" t="s">
        <v>195</v>
      </c>
      <c r="D9" s="653"/>
      <c r="E9" s="564">
        <v>0</v>
      </c>
      <c r="F9" s="569">
        <v>0</v>
      </c>
      <c r="G9" s="570">
        <f t="shared" si="0"/>
        <v>0</v>
      </c>
      <c r="H9" s="648"/>
      <c r="I9" s="569"/>
      <c r="J9" s="570">
        <f t="shared" si="1"/>
        <v>0</v>
      </c>
      <c r="K9" s="648"/>
      <c r="L9" s="577">
        <f t="shared" si="4"/>
        <v>0</v>
      </c>
      <c r="M9" s="577">
        <f t="shared" si="4"/>
        <v>0</v>
      </c>
      <c r="N9" s="648"/>
      <c r="P9" s="643"/>
      <c r="Q9" s="653" t="s">
        <v>195</v>
      </c>
      <c r="R9" s="653"/>
      <c r="S9" s="564">
        <v>0</v>
      </c>
      <c r="T9" s="569">
        <v>0</v>
      </c>
      <c r="U9" s="570">
        <f t="shared" si="2"/>
        <v>0</v>
      </c>
      <c r="V9" s="648"/>
      <c r="W9" s="569">
        <v>0</v>
      </c>
      <c r="X9" s="570">
        <f t="shared" si="3"/>
        <v>0</v>
      </c>
      <c r="Y9" s="648"/>
      <c r="Z9" s="577">
        <f t="shared" si="5"/>
        <v>0</v>
      </c>
      <c r="AA9" s="577">
        <f t="shared" si="6"/>
        <v>0</v>
      </c>
      <c r="AB9" s="656"/>
    </row>
    <row r="10" spans="2:28" ht="33" customHeight="1" x14ac:dyDescent="0.25">
      <c r="B10" s="644" t="s">
        <v>196</v>
      </c>
      <c r="C10" s="644"/>
      <c r="D10" s="644"/>
      <c r="E10" s="644"/>
      <c r="F10" s="560">
        <f>SUM(F4:F9)</f>
        <v>0</v>
      </c>
      <c r="G10" s="560">
        <f>SUM(G4:G9)</f>
        <v>0</v>
      </c>
      <c r="H10" s="561" t="e">
        <f>H4+H7</f>
        <v>#DIV/0!</v>
      </c>
      <c r="I10" s="560">
        <f>SUM(I4:I9)</f>
        <v>0</v>
      </c>
      <c r="J10" s="560">
        <f>SUM(J4:J9)</f>
        <v>0</v>
      </c>
      <c r="K10" s="561" t="e">
        <f>K4+K7</f>
        <v>#DIV/0!</v>
      </c>
      <c r="L10" s="571">
        <f>SUM(L4:L9)</f>
        <v>0</v>
      </c>
      <c r="M10" s="571">
        <f>SUM(M4:M9)</f>
        <v>0</v>
      </c>
      <c r="N10" s="572" t="e">
        <f>G10/J10</f>
        <v>#DIV/0!</v>
      </c>
      <c r="P10" s="644" t="s">
        <v>196</v>
      </c>
      <c r="Q10" s="644"/>
      <c r="R10" s="644"/>
      <c r="S10" s="644"/>
      <c r="T10" s="560">
        <f>SUM(T4:T9)</f>
        <v>93</v>
      </c>
      <c r="U10" s="560">
        <f>SUM(U4:U9)</f>
        <v>283</v>
      </c>
      <c r="V10" s="561">
        <f>V4+V7</f>
        <v>1</v>
      </c>
      <c r="W10" s="560">
        <f>SUM(W4:W9)</f>
        <v>93</v>
      </c>
      <c r="X10" s="560">
        <f>SUM(X4:X9)</f>
        <v>315</v>
      </c>
      <c r="Y10" s="561">
        <f>Y4+Y7</f>
        <v>1</v>
      </c>
      <c r="Z10" s="571">
        <f>SUM(Z4:Z9)</f>
        <v>0</v>
      </c>
      <c r="AA10" s="571">
        <f>SUM(AA4:AA9)</f>
        <v>-32</v>
      </c>
      <c r="AB10" s="572">
        <f>U10/X10</f>
        <v>0.89841269841269844</v>
      </c>
    </row>
    <row r="11" spans="2:28" ht="33" customHeight="1" x14ac:dyDescent="0.25">
      <c r="B11" s="644"/>
      <c r="C11" s="644"/>
      <c r="D11" s="644"/>
      <c r="E11" s="644"/>
      <c r="F11" s="651" t="e">
        <f>G10/F10</f>
        <v>#DIV/0!</v>
      </c>
      <c r="G11" s="651"/>
      <c r="H11" s="651"/>
      <c r="I11" s="651" t="e">
        <f>J10/I10</f>
        <v>#DIV/0!</v>
      </c>
      <c r="J11" s="651"/>
      <c r="K11" s="651"/>
      <c r="L11" s="649" t="e">
        <f>F11-I11</f>
        <v>#DIV/0!</v>
      </c>
      <c r="M11" s="650"/>
      <c r="N11" s="323" t="e">
        <f>F11/I11</f>
        <v>#DIV/0!</v>
      </c>
      <c r="P11" s="644"/>
      <c r="Q11" s="644"/>
      <c r="R11" s="644"/>
      <c r="S11" s="644"/>
      <c r="T11" s="651">
        <f>U10/T10</f>
        <v>3.043010752688172</v>
      </c>
      <c r="U11" s="651"/>
      <c r="V11" s="651"/>
      <c r="W11" s="651">
        <f>X10/W10</f>
        <v>3.3870967741935485</v>
      </c>
      <c r="X11" s="651"/>
      <c r="Y11" s="651"/>
      <c r="Z11" s="649">
        <f>T11-W11</f>
        <v>-0.34408602150537648</v>
      </c>
      <c r="AA11" s="650"/>
      <c r="AB11" s="573">
        <f>T11/W11</f>
        <v>0.89841269841269833</v>
      </c>
    </row>
    <row r="12" spans="2:28" x14ac:dyDescent="0.25">
      <c r="I12" s="565"/>
      <c r="J12" s="565"/>
      <c r="K12" s="565"/>
      <c r="W12" s="565"/>
      <c r="X12" s="565"/>
      <c r="Y12" s="565"/>
    </row>
    <row r="13" spans="2:28" ht="24" customHeight="1" x14ac:dyDescent="0.25">
      <c r="B13" s="670" t="s">
        <v>309</v>
      </c>
      <c r="C13" s="671"/>
      <c r="D13" s="671"/>
      <c r="E13" s="671"/>
      <c r="F13" s="671" t="s">
        <v>317</v>
      </c>
      <c r="G13" s="671"/>
      <c r="H13" s="671"/>
      <c r="I13" s="671"/>
      <c r="J13" s="671"/>
      <c r="K13" s="671"/>
      <c r="L13" s="671"/>
      <c r="M13" s="671"/>
      <c r="N13" s="672"/>
      <c r="P13" s="670" t="s">
        <v>313</v>
      </c>
      <c r="Q13" s="671"/>
      <c r="R13" s="671"/>
      <c r="S13" s="671"/>
      <c r="T13" s="671" t="s">
        <v>323</v>
      </c>
      <c r="U13" s="671"/>
      <c r="V13" s="671"/>
      <c r="W13" s="671"/>
      <c r="X13" s="671"/>
      <c r="Y13" s="671"/>
      <c r="Z13" s="671"/>
      <c r="AA13" s="671"/>
      <c r="AB13" s="672"/>
    </row>
    <row r="14" spans="2:28" ht="19" customHeight="1" x14ac:dyDescent="0.25">
      <c r="B14" s="645" t="s">
        <v>188</v>
      </c>
      <c r="C14" s="645"/>
      <c r="D14" s="645"/>
      <c r="E14" s="575" t="s">
        <v>189</v>
      </c>
      <c r="F14" s="575" t="s">
        <v>315</v>
      </c>
      <c r="G14" s="575" t="s">
        <v>191</v>
      </c>
      <c r="H14" s="575" t="s">
        <v>192</v>
      </c>
      <c r="I14" s="575" t="s">
        <v>316</v>
      </c>
      <c r="J14" s="575" t="s">
        <v>202</v>
      </c>
      <c r="K14" s="575" t="s">
        <v>192</v>
      </c>
      <c r="L14" s="646" t="s">
        <v>306</v>
      </c>
      <c r="M14" s="646"/>
      <c r="N14" s="646"/>
      <c r="P14" s="645" t="s">
        <v>188</v>
      </c>
      <c r="Q14" s="645"/>
      <c r="R14" s="645"/>
      <c r="S14" s="575" t="s">
        <v>189</v>
      </c>
      <c r="T14" s="575" t="s">
        <v>315</v>
      </c>
      <c r="U14" s="575" t="s">
        <v>191</v>
      </c>
      <c r="V14" s="575" t="s">
        <v>192</v>
      </c>
      <c r="W14" s="575" t="s">
        <v>316</v>
      </c>
      <c r="X14" s="575" t="s">
        <v>202</v>
      </c>
      <c r="Y14" s="575" t="s">
        <v>192</v>
      </c>
      <c r="Z14" s="646" t="s">
        <v>306</v>
      </c>
      <c r="AA14" s="646"/>
      <c r="AB14" s="646"/>
    </row>
    <row r="15" spans="2:28" ht="27" customHeight="1" x14ac:dyDescent="0.25">
      <c r="B15" s="643" t="s">
        <v>304</v>
      </c>
      <c r="C15" s="654" t="s">
        <v>124</v>
      </c>
      <c r="D15" s="654"/>
      <c r="E15" s="562">
        <v>5</v>
      </c>
      <c r="F15" s="567">
        <v>0</v>
      </c>
      <c r="G15" s="567">
        <f t="shared" ref="G15:G20" si="7">E15*F15</f>
        <v>0</v>
      </c>
      <c r="H15" s="647">
        <f>(F15+F16+F17)/F21</f>
        <v>6.6666666666666666E-2</v>
      </c>
      <c r="I15" s="567">
        <v>2</v>
      </c>
      <c r="J15" s="567">
        <f t="shared" ref="J15:J20" si="8">E15*I15</f>
        <v>10</v>
      </c>
      <c r="K15" s="647">
        <f>(I15+I16+I17)/I21</f>
        <v>0.4</v>
      </c>
      <c r="L15" s="576">
        <f>F15-I15</f>
        <v>-2</v>
      </c>
      <c r="M15" s="576">
        <f>G15-J15</f>
        <v>-10</v>
      </c>
      <c r="N15" s="657">
        <f>H15-K15</f>
        <v>-0.33333333333333337</v>
      </c>
      <c r="P15" s="643" t="s">
        <v>304</v>
      </c>
      <c r="Q15" s="654" t="s">
        <v>124</v>
      </c>
      <c r="R15" s="654"/>
      <c r="S15" s="562">
        <v>5</v>
      </c>
      <c r="T15" s="567">
        <v>16</v>
      </c>
      <c r="U15" s="567">
        <f t="shared" ref="U15:U20" si="9">S15*T15</f>
        <v>80</v>
      </c>
      <c r="V15" s="647">
        <f>(T15+T16+T17)/T21</f>
        <v>0.7466666666666667</v>
      </c>
      <c r="W15" s="567">
        <v>5</v>
      </c>
      <c r="X15" s="567">
        <f t="shared" ref="X15:X20" si="10">S15*W15</f>
        <v>25</v>
      </c>
      <c r="Y15" s="647">
        <f>(W15+W16+W17)/W21</f>
        <v>0.66666666666666663</v>
      </c>
      <c r="Z15" s="576">
        <f>T15-W15</f>
        <v>11</v>
      </c>
      <c r="AA15" s="576">
        <f>U15-X15</f>
        <v>55</v>
      </c>
      <c r="AB15" s="647">
        <f>V15-Y15</f>
        <v>8.0000000000000071E-2</v>
      </c>
    </row>
    <row r="16" spans="2:28" ht="27" customHeight="1" x14ac:dyDescent="0.25">
      <c r="B16" s="643"/>
      <c r="C16" s="654" t="s">
        <v>125</v>
      </c>
      <c r="D16" s="654"/>
      <c r="E16" s="563">
        <v>4</v>
      </c>
      <c r="F16" s="568">
        <v>0</v>
      </c>
      <c r="G16" s="567">
        <f t="shared" si="7"/>
        <v>0</v>
      </c>
      <c r="H16" s="647"/>
      <c r="I16" s="568">
        <v>4</v>
      </c>
      <c r="J16" s="567">
        <f t="shared" si="8"/>
        <v>16</v>
      </c>
      <c r="K16" s="647"/>
      <c r="L16" s="576">
        <f t="shared" ref="L16:L20" si="11">F16-I16</f>
        <v>-4</v>
      </c>
      <c r="M16" s="576">
        <f t="shared" ref="M16:M20" si="12">G16-J16</f>
        <v>-16</v>
      </c>
      <c r="N16" s="657"/>
      <c r="P16" s="643"/>
      <c r="Q16" s="654" t="s">
        <v>125</v>
      </c>
      <c r="R16" s="654"/>
      <c r="S16" s="563">
        <v>4</v>
      </c>
      <c r="T16" s="568">
        <v>32</v>
      </c>
      <c r="U16" s="567">
        <f t="shared" si="9"/>
        <v>128</v>
      </c>
      <c r="V16" s="647"/>
      <c r="W16" s="568">
        <v>0</v>
      </c>
      <c r="X16" s="567">
        <f t="shared" si="10"/>
        <v>0</v>
      </c>
      <c r="Y16" s="647"/>
      <c r="Z16" s="576">
        <f>T16-W16</f>
        <v>32</v>
      </c>
      <c r="AA16" s="576">
        <f>U16-X16</f>
        <v>128</v>
      </c>
      <c r="AB16" s="647"/>
    </row>
    <row r="17" spans="2:28" ht="27" customHeight="1" x14ac:dyDescent="0.25">
      <c r="B17" s="643"/>
      <c r="C17" s="655" t="s">
        <v>193</v>
      </c>
      <c r="D17" s="655"/>
      <c r="E17" s="563">
        <v>3</v>
      </c>
      <c r="F17" s="568">
        <v>1</v>
      </c>
      <c r="G17" s="567">
        <f t="shared" si="7"/>
        <v>3</v>
      </c>
      <c r="H17" s="647"/>
      <c r="I17" s="568">
        <v>0</v>
      </c>
      <c r="J17" s="567">
        <f t="shared" si="8"/>
        <v>0</v>
      </c>
      <c r="K17" s="647"/>
      <c r="L17" s="576">
        <f t="shared" si="11"/>
        <v>1</v>
      </c>
      <c r="M17" s="576">
        <f t="shared" si="12"/>
        <v>3</v>
      </c>
      <c r="N17" s="657"/>
      <c r="P17" s="643"/>
      <c r="Q17" s="655" t="s">
        <v>193</v>
      </c>
      <c r="R17" s="655"/>
      <c r="S17" s="563">
        <v>3</v>
      </c>
      <c r="T17" s="568">
        <v>8</v>
      </c>
      <c r="U17" s="567">
        <f t="shared" si="9"/>
        <v>24</v>
      </c>
      <c r="V17" s="647"/>
      <c r="W17" s="568">
        <v>1</v>
      </c>
      <c r="X17" s="567">
        <f t="shared" si="10"/>
        <v>3</v>
      </c>
      <c r="Y17" s="647"/>
      <c r="Z17" s="576">
        <f>T17-W17</f>
        <v>7</v>
      </c>
      <c r="AA17" s="576">
        <f>U17-X17</f>
        <v>21</v>
      </c>
      <c r="AB17" s="647"/>
    </row>
    <row r="18" spans="2:28" ht="27" customHeight="1" x14ac:dyDescent="0.25">
      <c r="B18" s="643" t="s">
        <v>305</v>
      </c>
      <c r="C18" s="652" t="s">
        <v>121</v>
      </c>
      <c r="D18" s="652"/>
      <c r="E18" s="564">
        <v>2</v>
      </c>
      <c r="F18" s="569">
        <v>5</v>
      </c>
      <c r="G18" s="570">
        <f t="shared" si="7"/>
        <v>10</v>
      </c>
      <c r="H18" s="648">
        <f>(F18+F19+F20)/F21</f>
        <v>0.93333333333333335</v>
      </c>
      <c r="I18" s="569">
        <v>4</v>
      </c>
      <c r="J18" s="570">
        <f t="shared" si="8"/>
        <v>8</v>
      </c>
      <c r="K18" s="648">
        <f>(I18+I19+I20)/I21</f>
        <v>0.6</v>
      </c>
      <c r="L18" s="577">
        <f t="shared" si="11"/>
        <v>1</v>
      </c>
      <c r="M18" s="577">
        <f t="shared" si="12"/>
        <v>2</v>
      </c>
      <c r="N18" s="656">
        <f>H18-K18</f>
        <v>0.33333333333333337</v>
      </c>
      <c r="P18" s="643" t="s">
        <v>305</v>
      </c>
      <c r="Q18" s="652" t="s">
        <v>121</v>
      </c>
      <c r="R18" s="652"/>
      <c r="S18" s="564">
        <v>2</v>
      </c>
      <c r="T18" s="569">
        <v>15</v>
      </c>
      <c r="U18" s="570">
        <f t="shared" si="9"/>
        <v>30</v>
      </c>
      <c r="V18" s="648">
        <f>(T18+T19+T20)/T21</f>
        <v>0.25333333333333335</v>
      </c>
      <c r="W18" s="569">
        <v>0</v>
      </c>
      <c r="X18" s="570">
        <f t="shared" si="10"/>
        <v>0</v>
      </c>
      <c r="Y18" s="648">
        <f>(W18+W19+W20)/W21</f>
        <v>0.33333333333333331</v>
      </c>
      <c r="Z18" s="577">
        <f t="shared" ref="Z18:Z20" si="13">T18-W18</f>
        <v>15</v>
      </c>
      <c r="AA18" s="577">
        <f t="shared" ref="AA18:AA20" si="14">U18-X18</f>
        <v>30</v>
      </c>
      <c r="AB18" s="648">
        <f>V18-Y18</f>
        <v>-7.999999999999996E-2</v>
      </c>
    </row>
    <row r="19" spans="2:28" ht="27" customHeight="1" x14ac:dyDescent="0.25">
      <c r="B19" s="643"/>
      <c r="C19" s="652" t="s">
        <v>194</v>
      </c>
      <c r="D19" s="652"/>
      <c r="E19" s="564">
        <v>1</v>
      </c>
      <c r="F19" s="569">
        <v>7</v>
      </c>
      <c r="G19" s="570">
        <f t="shared" si="7"/>
        <v>7</v>
      </c>
      <c r="H19" s="648"/>
      <c r="I19" s="569">
        <v>5</v>
      </c>
      <c r="J19" s="570">
        <f t="shared" si="8"/>
        <v>5</v>
      </c>
      <c r="K19" s="648"/>
      <c r="L19" s="577">
        <f t="shared" si="11"/>
        <v>2</v>
      </c>
      <c r="M19" s="577">
        <f t="shared" si="12"/>
        <v>2</v>
      </c>
      <c r="N19" s="656"/>
      <c r="P19" s="643"/>
      <c r="Q19" s="652" t="s">
        <v>194</v>
      </c>
      <c r="R19" s="652"/>
      <c r="S19" s="564">
        <v>1</v>
      </c>
      <c r="T19" s="569">
        <v>4</v>
      </c>
      <c r="U19" s="570">
        <f t="shared" si="9"/>
        <v>4</v>
      </c>
      <c r="V19" s="648"/>
      <c r="W19" s="569">
        <v>3</v>
      </c>
      <c r="X19" s="570">
        <f t="shared" si="10"/>
        <v>3</v>
      </c>
      <c r="Y19" s="648"/>
      <c r="Z19" s="577">
        <f t="shared" si="13"/>
        <v>1</v>
      </c>
      <c r="AA19" s="577">
        <f t="shared" si="14"/>
        <v>1</v>
      </c>
      <c r="AB19" s="648"/>
    </row>
    <row r="20" spans="2:28" ht="27" customHeight="1" x14ac:dyDescent="0.25">
      <c r="B20" s="643"/>
      <c r="C20" s="653" t="s">
        <v>195</v>
      </c>
      <c r="D20" s="653"/>
      <c r="E20" s="564">
        <v>0</v>
      </c>
      <c r="F20" s="569">
        <v>2</v>
      </c>
      <c r="G20" s="570">
        <f t="shared" si="7"/>
        <v>0</v>
      </c>
      <c r="H20" s="648"/>
      <c r="I20" s="569"/>
      <c r="J20" s="570">
        <f t="shared" si="8"/>
        <v>0</v>
      </c>
      <c r="K20" s="648"/>
      <c r="L20" s="577">
        <f t="shared" si="11"/>
        <v>2</v>
      </c>
      <c r="M20" s="577">
        <f t="shared" si="12"/>
        <v>0</v>
      </c>
      <c r="N20" s="656"/>
      <c r="P20" s="643"/>
      <c r="Q20" s="653" t="s">
        <v>195</v>
      </c>
      <c r="R20" s="653"/>
      <c r="S20" s="564">
        <v>0</v>
      </c>
      <c r="T20" s="569">
        <v>0</v>
      </c>
      <c r="U20" s="570">
        <f t="shared" si="9"/>
        <v>0</v>
      </c>
      <c r="V20" s="648"/>
      <c r="W20" s="569"/>
      <c r="X20" s="570">
        <f t="shared" si="10"/>
        <v>0</v>
      </c>
      <c r="Y20" s="648"/>
      <c r="Z20" s="577">
        <f t="shared" si="13"/>
        <v>0</v>
      </c>
      <c r="AA20" s="577">
        <f t="shared" si="14"/>
        <v>0</v>
      </c>
      <c r="AB20" s="648"/>
    </row>
    <row r="21" spans="2:28" ht="33" customHeight="1" x14ac:dyDescent="0.25">
      <c r="B21" s="644" t="s">
        <v>196</v>
      </c>
      <c r="C21" s="644"/>
      <c r="D21" s="644"/>
      <c r="E21" s="644"/>
      <c r="F21" s="560">
        <f>SUM(F15:F20)</f>
        <v>15</v>
      </c>
      <c r="G21" s="560">
        <f>SUM(G15:G20)</f>
        <v>20</v>
      </c>
      <c r="H21" s="561">
        <f>H15+H18</f>
        <v>1</v>
      </c>
      <c r="I21" s="560">
        <f>SUM(I15:I20)</f>
        <v>15</v>
      </c>
      <c r="J21" s="560">
        <f>SUM(J15:J20)</f>
        <v>39</v>
      </c>
      <c r="K21" s="561">
        <f>K15+K18</f>
        <v>1</v>
      </c>
      <c r="L21" s="571">
        <f>SUM(L15:L20)</f>
        <v>0</v>
      </c>
      <c r="M21" s="571">
        <f>SUM(M15:M20)</f>
        <v>-19</v>
      </c>
      <c r="N21" s="572">
        <f>G21/J21</f>
        <v>0.51282051282051277</v>
      </c>
      <c r="P21" s="644" t="s">
        <v>196</v>
      </c>
      <c r="Q21" s="644"/>
      <c r="R21" s="644"/>
      <c r="S21" s="644"/>
      <c r="T21" s="560">
        <f>SUM(T15:T20)</f>
        <v>75</v>
      </c>
      <c r="U21" s="560">
        <f>SUM(U15:U20)</f>
        <v>266</v>
      </c>
      <c r="V21" s="561">
        <f>V15+V18</f>
        <v>1</v>
      </c>
      <c r="W21" s="560">
        <f>SUM(W15:W20)</f>
        <v>9</v>
      </c>
      <c r="X21" s="560">
        <f>SUM(X15:X20)</f>
        <v>31</v>
      </c>
      <c r="Y21" s="561">
        <f>Y15+Y18</f>
        <v>1</v>
      </c>
      <c r="Z21" s="571">
        <f>SUM(Z15:Z20)</f>
        <v>66</v>
      </c>
      <c r="AA21" s="571">
        <f>SUM(AA15:AA20)</f>
        <v>235</v>
      </c>
      <c r="AB21" s="572">
        <f>U21/X21</f>
        <v>8.5806451612903221</v>
      </c>
    </row>
    <row r="22" spans="2:28" ht="33" customHeight="1" x14ac:dyDescent="0.25">
      <c r="B22" s="644"/>
      <c r="C22" s="644"/>
      <c r="D22" s="644"/>
      <c r="E22" s="644"/>
      <c r="F22" s="651">
        <f>G21/F21</f>
        <v>1.3333333333333333</v>
      </c>
      <c r="G22" s="651"/>
      <c r="H22" s="651"/>
      <c r="I22" s="651">
        <f>J21/I21</f>
        <v>2.6</v>
      </c>
      <c r="J22" s="651"/>
      <c r="K22" s="651"/>
      <c r="L22" s="649">
        <f>F22-I22</f>
        <v>-1.2666666666666668</v>
      </c>
      <c r="M22" s="650"/>
      <c r="N22" s="573">
        <f>F22/I22</f>
        <v>0.51282051282051277</v>
      </c>
      <c r="P22" s="644"/>
      <c r="Q22" s="644"/>
      <c r="R22" s="644"/>
      <c r="S22" s="644"/>
      <c r="T22" s="651">
        <f>U21/T21</f>
        <v>3.5466666666666669</v>
      </c>
      <c r="U22" s="651"/>
      <c r="V22" s="651"/>
      <c r="W22" s="651">
        <f>X21/W21</f>
        <v>3.4444444444444446</v>
      </c>
      <c r="X22" s="651"/>
      <c r="Y22" s="651"/>
      <c r="Z22" s="649">
        <f>T22-W22</f>
        <v>0.10222222222222221</v>
      </c>
      <c r="AA22" s="650"/>
      <c r="AB22" s="323">
        <f>T22/W22</f>
        <v>1.0296774193548388</v>
      </c>
    </row>
    <row r="24" spans="2:28" ht="24" customHeight="1" x14ac:dyDescent="0.25">
      <c r="B24" s="670" t="s">
        <v>310</v>
      </c>
      <c r="C24" s="671"/>
      <c r="D24" s="671"/>
      <c r="E24" s="671"/>
      <c r="F24" s="671" t="s">
        <v>320</v>
      </c>
      <c r="G24" s="671"/>
      <c r="H24" s="671"/>
      <c r="I24" s="671"/>
      <c r="J24" s="671"/>
      <c r="K24" s="671"/>
      <c r="L24" s="671"/>
      <c r="M24" s="671"/>
      <c r="N24" s="672"/>
      <c r="P24" s="640" t="s">
        <v>314</v>
      </c>
      <c r="Q24" s="641"/>
      <c r="R24" s="641"/>
      <c r="S24" s="641"/>
      <c r="T24" s="641" t="s">
        <v>319</v>
      </c>
      <c r="U24" s="641"/>
      <c r="V24" s="641"/>
      <c r="W24" s="641"/>
      <c r="X24" s="641"/>
      <c r="Y24" s="641"/>
      <c r="Z24" s="641"/>
      <c r="AA24" s="641"/>
      <c r="AB24" s="642"/>
    </row>
    <row r="25" spans="2:28" ht="19" customHeight="1" x14ac:dyDescent="0.25">
      <c r="B25" s="645" t="s">
        <v>188</v>
      </c>
      <c r="C25" s="645"/>
      <c r="D25" s="645"/>
      <c r="E25" s="575" t="s">
        <v>189</v>
      </c>
      <c r="F25" s="575" t="s">
        <v>315</v>
      </c>
      <c r="G25" s="575" t="s">
        <v>191</v>
      </c>
      <c r="H25" s="575" t="s">
        <v>192</v>
      </c>
      <c r="I25" s="575" t="s">
        <v>316</v>
      </c>
      <c r="J25" s="575" t="s">
        <v>202</v>
      </c>
      <c r="K25" s="575" t="s">
        <v>192</v>
      </c>
      <c r="L25" s="646" t="s">
        <v>306</v>
      </c>
      <c r="M25" s="646"/>
      <c r="N25" s="646"/>
      <c r="P25" s="645" t="s">
        <v>188</v>
      </c>
      <c r="Q25" s="645"/>
      <c r="R25" s="645"/>
      <c r="S25" s="575" t="s">
        <v>189</v>
      </c>
      <c r="T25" s="575" t="s">
        <v>315</v>
      </c>
      <c r="U25" s="575" t="s">
        <v>191</v>
      </c>
      <c r="V25" s="575" t="s">
        <v>192</v>
      </c>
      <c r="W25" s="575" t="s">
        <v>316</v>
      </c>
      <c r="X25" s="575" t="s">
        <v>202</v>
      </c>
      <c r="Y25" s="575" t="s">
        <v>192</v>
      </c>
      <c r="Z25" s="646" t="s">
        <v>306</v>
      </c>
      <c r="AA25" s="646"/>
      <c r="AB25" s="646"/>
    </row>
    <row r="26" spans="2:28" ht="27" customHeight="1" x14ac:dyDescent="0.25">
      <c r="B26" s="643" t="s">
        <v>304</v>
      </c>
      <c r="C26" s="654" t="s">
        <v>124</v>
      </c>
      <c r="D26" s="654"/>
      <c r="E26" s="562">
        <v>5</v>
      </c>
      <c r="F26" s="567">
        <v>13</v>
      </c>
      <c r="G26" s="567">
        <f t="shared" ref="G26:G31" si="15">E26*F26</f>
        <v>65</v>
      </c>
      <c r="H26" s="647">
        <f>(F26+F27+F28)/F32</f>
        <v>0.48888888888888887</v>
      </c>
      <c r="I26" s="567">
        <v>20</v>
      </c>
      <c r="J26" s="567">
        <f t="shared" ref="J26:J31" si="16">E26*I26</f>
        <v>100</v>
      </c>
      <c r="K26" s="647">
        <f>(I26+I27+I28)/I32</f>
        <v>0.71111111111111114</v>
      </c>
      <c r="L26" s="576">
        <f>F26-I26</f>
        <v>-7</v>
      </c>
      <c r="M26" s="576">
        <f>G26-J26</f>
        <v>-35</v>
      </c>
      <c r="N26" s="657">
        <f>H26-K26</f>
        <v>-0.22222222222222227</v>
      </c>
      <c r="P26" s="643" t="s">
        <v>304</v>
      </c>
      <c r="Q26" s="654" t="s">
        <v>124</v>
      </c>
      <c r="R26" s="654"/>
      <c r="S26" s="562">
        <v>5</v>
      </c>
      <c r="T26" s="567">
        <v>2</v>
      </c>
      <c r="U26" s="567">
        <f t="shared" ref="U26:U31" si="17">S26*T26</f>
        <v>10</v>
      </c>
      <c r="V26" s="647">
        <f>(T26+T27+T28)/T32</f>
        <v>0.3888888888888889</v>
      </c>
      <c r="W26" s="567">
        <v>0</v>
      </c>
      <c r="X26" s="567">
        <f t="shared" ref="X26:X31" si="18">S26*W26</f>
        <v>0</v>
      </c>
      <c r="Y26" s="647" t="e">
        <f>(W26+W27+W28)/W32</f>
        <v>#DIV/0!</v>
      </c>
      <c r="Z26" s="576">
        <f>T26-W26</f>
        <v>2</v>
      </c>
      <c r="AA26" s="576">
        <f>U26-X26</f>
        <v>10</v>
      </c>
      <c r="AB26" s="647" t="e">
        <f>V26-Y26</f>
        <v>#DIV/0!</v>
      </c>
    </row>
    <row r="27" spans="2:28" ht="27" customHeight="1" x14ac:dyDescent="0.25">
      <c r="B27" s="643"/>
      <c r="C27" s="654" t="s">
        <v>125</v>
      </c>
      <c r="D27" s="654"/>
      <c r="E27" s="563">
        <v>4</v>
      </c>
      <c r="F27" s="568">
        <v>16</v>
      </c>
      <c r="G27" s="567">
        <f t="shared" si="15"/>
        <v>64</v>
      </c>
      <c r="H27" s="647"/>
      <c r="I27" s="568">
        <v>38</v>
      </c>
      <c r="J27" s="567">
        <f t="shared" si="16"/>
        <v>152</v>
      </c>
      <c r="K27" s="647"/>
      <c r="L27" s="576">
        <f t="shared" ref="L27:M31" si="19">F27-I27</f>
        <v>-22</v>
      </c>
      <c r="M27" s="576">
        <f t="shared" si="19"/>
        <v>-88</v>
      </c>
      <c r="N27" s="657"/>
      <c r="P27" s="643"/>
      <c r="Q27" s="654" t="s">
        <v>125</v>
      </c>
      <c r="R27" s="654"/>
      <c r="S27" s="563">
        <v>4</v>
      </c>
      <c r="T27" s="568">
        <v>5</v>
      </c>
      <c r="U27" s="567">
        <f t="shared" si="17"/>
        <v>20</v>
      </c>
      <c r="V27" s="647"/>
      <c r="W27" s="568">
        <v>0</v>
      </c>
      <c r="X27" s="567">
        <f t="shared" si="18"/>
        <v>0</v>
      </c>
      <c r="Y27" s="647"/>
      <c r="Z27" s="576">
        <f>T27-W27</f>
        <v>5</v>
      </c>
      <c r="AA27" s="576">
        <f>U27-X27</f>
        <v>20</v>
      </c>
      <c r="AB27" s="647"/>
    </row>
    <row r="28" spans="2:28" ht="27" customHeight="1" x14ac:dyDescent="0.25">
      <c r="B28" s="643"/>
      <c r="C28" s="655" t="s">
        <v>193</v>
      </c>
      <c r="D28" s="655"/>
      <c r="E28" s="563">
        <v>3</v>
      </c>
      <c r="F28" s="568">
        <v>15</v>
      </c>
      <c r="G28" s="567">
        <f t="shared" si="15"/>
        <v>45</v>
      </c>
      <c r="H28" s="647"/>
      <c r="I28" s="568">
        <v>6</v>
      </c>
      <c r="J28" s="567">
        <f t="shared" si="16"/>
        <v>18</v>
      </c>
      <c r="K28" s="647"/>
      <c r="L28" s="576">
        <f t="shared" si="19"/>
        <v>9</v>
      </c>
      <c r="M28" s="576">
        <f t="shared" si="19"/>
        <v>27</v>
      </c>
      <c r="N28" s="657"/>
      <c r="P28" s="643"/>
      <c r="Q28" s="655" t="s">
        <v>193</v>
      </c>
      <c r="R28" s="655"/>
      <c r="S28" s="563">
        <v>3</v>
      </c>
      <c r="T28" s="568">
        <v>0</v>
      </c>
      <c r="U28" s="567">
        <f t="shared" si="17"/>
        <v>0</v>
      </c>
      <c r="V28" s="647"/>
      <c r="W28" s="568">
        <v>0</v>
      </c>
      <c r="X28" s="567">
        <f t="shared" si="18"/>
        <v>0</v>
      </c>
      <c r="Y28" s="647"/>
      <c r="Z28" s="576">
        <f>T28-W28</f>
        <v>0</v>
      </c>
      <c r="AA28" s="576">
        <f>U28-X28</f>
        <v>0</v>
      </c>
      <c r="AB28" s="647"/>
    </row>
    <row r="29" spans="2:28" ht="27" customHeight="1" x14ac:dyDescent="0.25">
      <c r="B29" s="643" t="s">
        <v>305</v>
      </c>
      <c r="C29" s="652" t="s">
        <v>121</v>
      </c>
      <c r="D29" s="652"/>
      <c r="E29" s="564">
        <v>2</v>
      </c>
      <c r="F29" s="569">
        <v>30</v>
      </c>
      <c r="G29" s="570">
        <f t="shared" si="15"/>
        <v>60</v>
      </c>
      <c r="H29" s="658">
        <f>(F29+F30+F31)/F32</f>
        <v>0.51111111111111107</v>
      </c>
      <c r="I29" s="569">
        <v>7</v>
      </c>
      <c r="J29" s="570">
        <f t="shared" si="16"/>
        <v>14</v>
      </c>
      <c r="K29" s="658">
        <f>(I29+I30+I31)/I32</f>
        <v>0.28888888888888886</v>
      </c>
      <c r="L29" s="577">
        <f t="shared" si="19"/>
        <v>23</v>
      </c>
      <c r="M29" s="577">
        <f t="shared" si="19"/>
        <v>46</v>
      </c>
      <c r="N29" s="661">
        <f>H29-K29</f>
        <v>0.22222222222222221</v>
      </c>
      <c r="P29" s="643" t="s">
        <v>305</v>
      </c>
      <c r="Q29" s="652" t="s">
        <v>121</v>
      </c>
      <c r="R29" s="652"/>
      <c r="S29" s="564">
        <v>2</v>
      </c>
      <c r="T29" s="569">
        <v>8</v>
      </c>
      <c r="U29" s="570">
        <f t="shared" si="17"/>
        <v>16</v>
      </c>
      <c r="V29" s="648">
        <f>(T29+T30+T31)/T32</f>
        <v>0.61111111111111116</v>
      </c>
      <c r="W29" s="569">
        <v>0</v>
      </c>
      <c r="X29" s="570">
        <f t="shared" si="18"/>
        <v>0</v>
      </c>
      <c r="Y29" s="648" t="e">
        <f>(W29+W30+W31)/W32</f>
        <v>#DIV/0!</v>
      </c>
      <c r="Z29" s="577">
        <f t="shared" ref="Z29:Z31" si="20">T29-W29</f>
        <v>8</v>
      </c>
      <c r="AA29" s="577">
        <f t="shared" ref="AA29:AA31" si="21">U29-X29</f>
        <v>16</v>
      </c>
      <c r="AB29" s="648" t="e">
        <f>V29-Y29</f>
        <v>#DIV/0!</v>
      </c>
    </row>
    <row r="30" spans="2:28" ht="27" customHeight="1" x14ac:dyDescent="0.25">
      <c r="B30" s="643"/>
      <c r="C30" s="652" t="s">
        <v>194</v>
      </c>
      <c r="D30" s="652"/>
      <c r="E30" s="564">
        <v>1</v>
      </c>
      <c r="F30" s="569">
        <v>15</v>
      </c>
      <c r="G30" s="570">
        <f t="shared" si="15"/>
        <v>15</v>
      </c>
      <c r="H30" s="659"/>
      <c r="I30" s="569">
        <v>19</v>
      </c>
      <c r="J30" s="570">
        <f t="shared" si="16"/>
        <v>19</v>
      </c>
      <c r="K30" s="659"/>
      <c r="L30" s="577">
        <f t="shared" si="19"/>
        <v>-4</v>
      </c>
      <c r="M30" s="577">
        <f t="shared" si="19"/>
        <v>-4</v>
      </c>
      <c r="N30" s="662"/>
      <c r="P30" s="643"/>
      <c r="Q30" s="652" t="s">
        <v>194</v>
      </c>
      <c r="R30" s="652"/>
      <c r="S30" s="564">
        <v>1</v>
      </c>
      <c r="T30" s="569">
        <v>3</v>
      </c>
      <c r="U30" s="570">
        <f t="shared" si="17"/>
        <v>3</v>
      </c>
      <c r="V30" s="648"/>
      <c r="W30" s="569">
        <v>0</v>
      </c>
      <c r="X30" s="570">
        <f t="shared" si="18"/>
        <v>0</v>
      </c>
      <c r="Y30" s="648"/>
      <c r="Z30" s="577">
        <f t="shared" si="20"/>
        <v>3</v>
      </c>
      <c r="AA30" s="577">
        <f t="shared" si="21"/>
        <v>3</v>
      </c>
      <c r="AB30" s="648"/>
    </row>
    <row r="31" spans="2:28" ht="27" customHeight="1" x14ac:dyDescent="0.25">
      <c r="B31" s="643"/>
      <c r="C31" s="653" t="s">
        <v>195</v>
      </c>
      <c r="D31" s="653"/>
      <c r="E31" s="564">
        <v>0</v>
      </c>
      <c r="F31" s="569">
        <v>1</v>
      </c>
      <c r="G31" s="570">
        <f t="shared" si="15"/>
        <v>0</v>
      </c>
      <c r="H31" s="660"/>
      <c r="I31" s="569">
        <v>0</v>
      </c>
      <c r="J31" s="570">
        <f t="shared" si="16"/>
        <v>0</v>
      </c>
      <c r="K31" s="660"/>
      <c r="L31" s="577">
        <f t="shared" si="19"/>
        <v>1</v>
      </c>
      <c r="M31" s="577">
        <f t="shared" si="19"/>
        <v>0</v>
      </c>
      <c r="N31" s="663"/>
      <c r="P31" s="643"/>
      <c r="Q31" s="653" t="s">
        <v>195</v>
      </c>
      <c r="R31" s="653"/>
      <c r="S31" s="564">
        <v>0</v>
      </c>
      <c r="T31" s="569">
        <v>0</v>
      </c>
      <c r="U31" s="570">
        <f t="shared" si="17"/>
        <v>0</v>
      </c>
      <c r="V31" s="648"/>
      <c r="W31" s="569">
        <v>0</v>
      </c>
      <c r="X31" s="570">
        <f t="shared" si="18"/>
        <v>0</v>
      </c>
      <c r="Y31" s="648"/>
      <c r="Z31" s="577">
        <f t="shared" si="20"/>
        <v>0</v>
      </c>
      <c r="AA31" s="577">
        <f t="shared" si="21"/>
        <v>0</v>
      </c>
      <c r="AB31" s="648"/>
    </row>
    <row r="32" spans="2:28" ht="33" customHeight="1" x14ac:dyDescent="0.25">
      <c r="B32" s="644" t="s">
        <v>196</v>
      </c>
      <c r="C32" s="644"/>
      <c r="D32" s="644"/>
      <c r="E32" s="644"/>
      <c r="F32" s="560">
        <f>SUM(F26:F31)</f>
        <v>90</v>
      </c>
      <c r="G32" s="560">
        <f>SUM(G26:G31)</f>
        <v>249</v>
      </c>
      <c r="H32" s="561">
        <f>H26+H29</f>
        <v>1</v>
      </c>
      <c r="I32" s="560">
        <f>SUM(I26:I31)</f>
        <v>90</v>
      </c>
      <c r="J32" s="560">
        <f>SUM(J26:J31)</f>
        <v>303</v>
      </c>
      <c r="K32" s="561">
        <f>K26+K29</f>
        <v>1</v>
      </c>
      <c r="L32" s="571">
        <f>SUM(L26:L31)</f>
        <v>0</v>
      </c>
      <c r="M32" s="571">
        <f>SUM(M26:M31)</f>
        <v>-54</v>
      </c>
      <c r="N32" s="572">
        <f>G32/J32</f>
        <v>0.82178217821782173</v>
      </c>
      <c r="P32" s="644" t="s">
        <v>196</v>
      </c>
      <c r="Q32" s="644"/>
      <c r="R32" s="644"/>
      <c r="S32" s="644"/>
      <c r="T32" s="560">
        <f>SUM(T26:T31)</f>
        <v>18</v>
      </c>
      <c r="U32" s="560">
        <f>SUM(U26:U31)</f>
        <v>49</v>
      </c>
      <c r="V32" s="561">
        <f>V26+V29</f>
        <v>1</v>
      </c>
      <c r="W32" s="560">
        <f>SUM(W26:W31)</f>
        <v>0</v>
      </c>
      <c r="X32" s="560">
        <f>SUM(X26:X31)</f>
        <v>0</v>
      </c>
      <c r="Y32" s="561" t="e">
        <f>Y26+Y29</f>
        <v>#DIV/0!</v>
      </c>
      <c r="Z32" s="571">
        <f>SUM(Z26:Z31)</f>
        <v>18</v>
      </c>
      <c r="AA32" s="571">
        <f>SUM(AA26:AA31)</f>
        <v>49</v>
      </c>
      <c r="AB32" s="572" t="e">
        <f>U32/X32</f>
        <v>#DIV/0!</v>
      </c>
    </row>
    <row r="33" spans="2:28" ht="33" customHeight="1" x14ac:dyDescent="0.25">
      <c r="B33" s="644"/>
      <c r="C33" s="644"/>
      <c r="D33" s="644"/>
      <c r="E33" s="644"/>
      <c r="F33" s="651">
        <f>G32/F32</f>
        <v>2.7666666666666666</v>
      </c>
      <c r="G33" s="651"/>
      <c r="H33" s="651"/>
      <c r="I33" s="651">
        <f>J32/I32</f>
        <v>3.3666666666666667</v>
      </c>
      <c r="J33" s="651"/>
      <c r="K33" s="651"/>
      <c r="L33" s="649">
        <f>F33-I33</f>
        <v>-0.60000000000000009</v>
      </c>
      <c r="M33" s="650"/>
      <c r="N33" s="573">
        <f>F33/I33</f>
        <v>0.82178217821782173</v>
      </c>
      <c r="P33" s="644"/>
      <c r="Q33" s="644"/>
      <c r="R33" s="644"/>
      <c r="S33" s="644"/>
      <c r="T33" s="651">
        <f>U32/T32</f>
        <v>2.7222222222222223</v>
      </c>
      <c r="U33" s="651"/>
      <c r="V33" s="651"/>
      <c r="W33" s="651" t="e">
        <f>X32/W32</f>
        <v>#DIV/0!</v>
      </c>
      <c r="X33" s="651"/>
      <c r="Y33" s="651"/>
      <c r="Z33" s="649" t="e">
        <f>T33-W33</f>
        <v>#DIV/0!</v>
      </c>
      <c r="AA33" s="650"/>
      <c r="AB33" s="323" t="e">
        <f>T33/W33</f>
        <v>#DIV/0!</v>
      </c>
    </row>
    <row r="35" spans="2:28" ht="24" customHeight="1" x14ac:dyDescent="0.25">
      <c r="B35" s="673" t="s">
        <v>311</v>
      </c>
      <c r="C35" s="674"/>
      <c r="D35" s="674"/>
      <c r="E35" s="674"/>
      <c r="F35" s="674" t="s">
        <v>321</v>
      </c>
      <c r="G35" s="674"/>
      <c r="H35" s="674"/>
      <c r="I35" s="674"/>
      <c r="J35" s="674"/>
      <c r="K35" s="674"/>
      <c r="L35" s="674"/>
      <c r="M35" s="674"/>
      <c r="N35" s="675"/>
      <c r="P35" s="664" t="s">
        <v>307</v>
      </c>
      <c r="Q35" s="665"/>
      <c r="R35" s="665"/>
      <c r="S35" s="665"/>
      <c r="T35" s="665"/>
      <c r="U35" s="665"/>
      <c r="V35" s="665"/>
      <c r="W35" s="665"/>
      <c r="X35" s="665"/>
      <c r="Y35" s="665"/>
      <c r="Z35" s="665"/>
      <c r="AA35" s="665"/>
      <c r="AB35" s="666"/>
    </row>
    <row r="36" spans="2:28" ht="19" customHeight="1" x14ac:dyDescent="0.25">
      <c r="B36" s="645" t="s">
        <v>188</v>
      </c>
      <c r="C36" s="645"/>
      <c r="D36" s="645"/>
      <c r="E36" s="575" t="s">
        <v>189</v>
      </c>
      <c r="F36" s="575" t="s">
        <v>315</v>
      </c>
      <c r="G36" s="575" t="s">
        <v>191</v>
      </c>
      <c r="H36" s="575" t="s">
        <v>192</v>
      </c>
      <c r="I36" s="575" t="s">
        <v>316</v>
      </c>
      <c r="J36" s="575" t="s">
        <v>202</v>
      </c>
      <c r="K36" s="575" t="s">
        <v>192</v>
      </c>
      <c r="L36" s="646" t="s">
        <v>306</v>
      </c>
      <c r="M36" s="646"/>
      <c r="N36" s="646"/>
      <c r="P36" s="645" t="s">
        <v>188</v>
      </c>
      <c r="Q36" s="645"/>
      <c r="R36" s="645"/>
      <c r="S36" s="575" t="s">
        <v>189</v>
      </c>
      <c r="T36" s="575" t="s">
        <v>315</v>
      </c>
      <c r="U36" s="575" t="s">
        <v>191</v>
      </c>
      <c r="V36" s="575" t="s">
        <v>192</v>
      </c>
      <c r="W36" s="575" t="s">
        <v>316</v>
      </c>
      <c r="X36" s="575" t="s">
        <v>202</v>
      </c>
      <c r="Y36" s="575" t="s">
        <v>192</v>
      </c>
      <c r="Z36" s="646" t="s">
        <v>306</v>
      </c>
      <c r="AA36" s="646"/>
      <c r="AB36" s="646"/>
    </row>
    <row r="37" spans="2:28" ht="27" customHeight="1" x14ac:dyDescent="0.25">
      <c r="B37" s="643" t="s">
        <v>304</v>
      </c>
      <c r="C37" s="654" t="s">
        <v>124</v>
      </c>
      <c r="D37" s="654"/>
      <c r="E37" s="562">
        <v>5</v>
      </c>
      <c r="F37" s="567">
        <v>26</v>
      </c>
      <c r="G37" s="567">
        <f t="shared" ref="G37:G42" si="22">E37*F37</f>
        <v>130</v>
      </c>
      <c r="H37" s="647">
        <f>(F37+F38+F39)/F43</f>
        <v>0.74193548387096775</v>
      </c>
      <c r="I37" s="567">
        <v>35</v>
      </c>
      <c r="J37" s="567">
        <f t="shared" ref="J37:J42" si="23">E37*I37</f>
        <v>175</v>
      </c>
      <c r="K37" s="647">
        <f>(I37+I38+I39)/I43</f>
        <v>0.79569892473118276</v>
      </c>
      <c r="L37" s="576">
        <f>F37-I37</f>
        <v>-9</v>
      </c>
      <c r="M37" s="576">
        <f>G37-J37</f>
        <v>-45</v>
      </c>
      <c r="N37" s="657">
        <f>H37-K37</f>
        <v>-5.3763440860215006E-2</v>
      </c>
      <c r="P37" s="643" t="s">
        <v>304</v>
      </c>
      <c r="Q37" s="654" t="s">
        <v>124</v>
      </c>
      <c r="R37" s="654"/>
      <c r="S37" s="562">
        <v>5</v>
      </c>
      <c r="T37" s="567">
        <f t="shared" ref="T37:T42" si="24">F4+F15+F26+F37+T4+T15+T26</f>
        <v>84</v>
      </c>
      <c r="U37" s="567">
        <f t="shared" ref="U37:U42" si="25">S37*T37</f>
        <v>420</v>
      </c>
      <c r="V37" s="647">
        <f>(T37+T38+T39)/T43</f>
        <v>0.63020833333333337</v>
      </c>
      <c r="W37" s="567">
        <f t="shared" ref="W37:W42" si="26">I4+I15+I26+I37+W4+W15+W26</f>
        <v>93</v>
      </c>
      <c r="X37" s="567">
        <f t="shared" ref="X37:X42" si="27">S37*W37</f>
        <v>465</v>
      </c>
      <c r="Y37" s="647">
        <f>(W37+W38+W39)/W43</f>
        <v>0.75666666666666671</v>
      </c>
      <c r="Z37" s="576">
        <f>T37-W37</f>
        <v>-9</v>
      </c>
      <c r="AA37" s="576">
        <f>U37-X37</f>
        <v>-45</v>
      </c>
      <c r="AB37" s="657">
        <f>V37-Y37</f>
        <v>-0.12645833333333334</v>
      </c>
    </row>
    <row r="38" spans="2:28" ht="27" customHeight="1" x14ac:dyDescent="0.25">
      <c r="B38" s="643"/>
      <c r="C38" s="654" t="s">
        <v>125</v>
      </c>
      <c r="D38" s="654"/>
      <c r="E38" s="563">
        <v>4</v>
      </c>
      <c r="F38" s="568">
        <v>5</v>
      </c>
      <c r="G38" s="567">
        <f t="shared" si="22"/>
        <v>20</v>
      </c>
      <c r="H38" s="647"/>
      <c r="I38" s="568">
        <v>10</v>
      </c>
      <c r="J38" s="567">
        <f t="shared" si="23"/>
        <v>40</v>
      </c>
      <c r="K38" s="647"/>
      <c r="L38" s="576">
        <f>F38-I38</f>
        <v>-5</v>
      </c>
      <c r="M38" s="576">
        <f>G38-J38</f>
        <v>-20</v>
      </c>
      <c r="N38" s="657"/>
      <c r="P38" s="643"/>
      <c r="Q38" s="654" t="s">
        <v>125</v>
      </c>
      <c r="R38" s="654"/>
      <c r="S38" s="563">
        <v>4</v>
      </c>
      <c r="T38" s="567">
        <f t="shared" si="24"/>
        <v>58</v>
      </c>
      <c r="U38" s="567">
        <f t="shared" si="25"/>
        <v>232</v>
      </c>
      <c r="V38" s="647"/>
      <c r="W38" s="567">
        <f t="shared" si="26"/>
        <v>58</v>
      </c>
      <c r="X38" s="567">
        <f t="shared" si="27"/>
        <v>232</v>
      </c>
      <c r="Y38" s="647"/>
      <c r="Z38" s="576">
        <f>T38-W38</f>
        <v>0</v>
      </c>
      <c r="AA38" s="576">
        <f>U38-X38</f>
        <v>0</v>
      </c>
      <c r="AB38" s="657"/>
    </row>
    <row r="39" spans="2:28" ht="27" customHeight="1" x14ac:dyDescent="0.25">
      <c r="B39" s="643"/>
      <c r="C39" s="655" t="s">
        <v>193</v>
      </c>
      <c r="D39" s="655"/>
      <c r="E39" s="563">
        <v>3</v>
      </c>
      <c r="F39" s="568">
        <v>38</v>
      </c>
      <c r="G39" s="567">
        <f t="shared" si="22"/>
        <v>114</v>
      </c>
      <c r="H39" s="647"/>
      <c r="I39" s="568">
        <v>29</v>
      </c>
      <c r="J39" s="567">
        <f t="shared" si="23"/>
        <v>87</v>
      </c>
      <c r="K39" s="647"/>
      <c r="L39" s="576">
        <f>F39-I39</f>
        <v>9</v>
      </c>
      <c r="M39" s="576">
        <f>G39-J39</f>
        <v>27</v>
      </c>
      <c r="N39" s="657"/>
      <c r="P39" s="643"/>
      <c r="Q39" s="655" t="s">
        <v>193</v>
      </c>
      <c r="R39" s="655"/>
      <c r="S39" s="563">
        <v>3</v>
      </c>
      <c r="T39" s="567">
        <f t="shared" si="24"/>
        <v>100</v>
      </c>
      <c r="U39" s="567">
        <f t="shared" si="25"/>
        <v>300</v>
      </c>
      <c r="V39" s="647"/>
      <c r="W39" s="567">
        <f t="shared" si="26"/>
        <v>76</v>
      </c>
      <c r="X39" s="567">
        <f t="shared" si="27"/>
        <v>228</v>
      </c>
      <c r="Y39" s="647"/>
      <c r="Z39" s="576">
        <f>T39-W39</f>
        <v>24</v>
      </c>
      <c r="AA39" s="576">
        <f>U39-X39</f>
        <v>72</v>
      </c>
      <c r="AB39" s="657"/>
    </row>
    <row r="40" spans="2:28" ht="27" customHeight="1" x14ac:dyDescent="0.25">
      <c r="B40" s="643" t="s">
        <v>305</v>
      </c>
      <c r="C40" s="652" t="s">
        <v>121</v>
      </c>
      <c r="D40" s="652"/>
      <c r="E40" s="564">
        <v>2</v>
      </c>
      <c r="F40" s="569">
        <v>9</v>
      </c>
      <c r="G40" s="570">
        <f t="shared" si="22"/>
        <v>18</v>
      </c>
      <c r="H40" s="648">
        <f>(F40+F41+F42)/F43</f>
        <v>0.25806451612903225</v>
      </c>
      <c r="I40" s="569">
        <v>4</v>
      </c>
      <c r="J40" s="570">
        <f t="shared" si="23"/>
        <v>8</v>
      </c>
      <c r="K40" s="648">
        <f>(I40+I41+I42)/I43</f>
        <v>0.20430107526881722</v>
      </c>
      <c r="L40" s="577">
        <f t="shared" ref="L40:L42" si="28">F40-I40</f>
        <v>5</v>
      </c>
      <c r="M40" s="577">
        <f t="shared" ref="M40:M42" si="29">G40-J40</f>
        <v>10</v>
      </c>
      <c r="N40" s="656">
        <f>H40-K40</f>
        <v>5.3763440860215034E-2</v>
      </c>
      <c r="P40" s="643" t="s">
        <v>305</v>
      </c>
      <c r="Q40" s="652" t="s">
        <v>121</v>
      </c>
      <c r="R40" s="652"/>
      <c r="S40" s="564">
        <v>2</v>
      </c>
      <c r="T40" s="570">
        <f t="shared" si="24"/>
        <v>73</v>
      </c>
      <c r="U40" s="570">
        <f t="shared" si="25"/>
        <v>146</v>
      </c>
      <c r="V40" s="648">
        <f>(T40+T41+T42)/T43</f>
        <v>0.36979166666666669</v>
      </c>
      <c r="W40" s="570">
        <f t="shared" si="26"/>
        <v>15</v>
      </c>
      <c r="X40" s="570">
        <f t="shared" si="27"/>
        <v>30</v>
      </c>
      <c r="Y40" s="648">
        <f>(W40+W41+W42)/W43</f>
        <v>0.24333333333333335</v>
      </c>
      <c r="Z40" s="577">
        <f t="shared" ref="Z40:Z42" si="30">T40-W40</f>
        <v>58</v>
      </c>
      <c r="AA40" s="577">
        <f t="shared" ref="AA40:AA42" si="31">U40-X40</f>
        <v>116</v>
      </c>
      <c r="AB40" s="656">
        <f>V40-Y40</f>
        <v>0.12645833333333334</v>
      </c>
    </row>
    <row r="41" spans="2:28" ht="27" customHeight="1" x14ac:dyDescent="0.25">
      <c r="B41" s="643"/>
      <c r="C41" s="652" t="s">
        <v>194</v>
      </c>
      <c r="D41" s="652"/>
      <c r="E41" s="564">
        <v>1</v>
      </c>
      <c r="F41" s="569">
        <v>15</v>
      </c>
      <c r="G41" s="570">
        <f t="shared" si="22"/>
        <v>15</v>
      </c>
      <c r="H41" s="648"/>
      <c r="I41" s="569">
        <v>15</v>
      </c>
      <c r="J41" s="570">
        <f t="shared" si="23"/>
        <v>15</v>
      </c>
      <c r="K41" s="648"/>
      <c r="L41" s="577">
        <f t="shared" si="28"/>
        <v>0</v>
      </c>
      <c r="M41" s="577">
        <f t="shared" si="29"/>
        <v>0</v>
      </c>
      <c r="N41" s="656"/>
      <c r="P41" s="643"/>
      <c r="Q41" s="652" t="s">
        <v>194</v>
      </c>
      <c r="R41" s="652"/>
      <c r="S41" s="564">
        <v>1</v>
      </c>
      <c r="T41" s="570">
        <f t="shared" si="24"/>
        <v>66</v>
      </c>
      <c r="U41" s="570">
        <f t="shared" si="25"/>
        <v>66</v>
      </c>
      <c r="V41" s="648"/>
      <c r="W41" s="570">
        <f t="shared" si="26"/>
        <v>58</v>
      </c>
      <c r="X41" s="570">
        <f t="shared" si="27"/>
        <v>58</v>
      </c>
      <c r="Y41" s="648"/>
      <c r="Z41" s="577">
        <f t="shared" si="30"/>
        <v>8</v>
      </c>
      <c r="AA41" s="577">
        <f t="shared" si="31"/>
        <v>8</v>
      </c>
      <c r="AB41" s="656"/>
    </row>
    <row r="42" spans="2:28" ht="27" customHeight="1" x14ac:dyDescent="0.25">
      <c r="B42" s="643"/>
      <c r="C42" s="653" t="s">
        <v>195</v>
      </c>
      <c r="D42" s="653"/>
      <c r="E42" s="564">
        <v>0</v>
      </c>
      <c r="F42" s="569">
        <v>0</v>
      </c>
      <c r="G42" s="570">
        <f t="shared" si="22"/>
        <v>0</v>
      </c>
      <c r="H42" s="648"/>
      <c r="I42" s="569"/>
      <c r="J42" s="570">
        <f t="shared" si="23"/>
        <v>0</v>
      </c>
      <c r="K42" s="648"/>
      <c r="L42" s="577">
        <f t="shared" si="28"/>
        <v>0</v>
      </c>
      <c r="M42" s="577">
        <f t="shared" si="29"/>
        <v>0</v>
      </c>
      <c r="N42" s="656"/>
      <c r="P42" s="643"/>
      <c r="Q42" s="653" t="s">
        <v>195</v>
      </c>
      <c r="R42" s="653"/>
      <c r="S42" s="564">
        <v>0</v>
      </c>
      <c r="T42" s="570">
        <f t="shared" si="24"/>
        <v>3</v>
      </c>
      <c r="U42" s="570">
        <f t="shared" si="25"/>
        <v>0</v>
      </c>
      <c r="V42" s="648"/>
      <c r="W42" s="570">
        <f t="shared" si="26"/>
        <v>0</v>
      </c>
      <c r="X42" s="570">
        <f t="shared" si="27"/>
        <v>0</v>
      </c>
      <c r="Y42" s="648"/>
      <c r="Z42" s="577">
        <f t="shared" si="30"/>
        <v>3</v>
      </c>
      <c r="AA42" s="577">
        <f t="shared" si="31"/>
        <v>0</v>
      </c>
      <c r="AB42" s="656"/>
    </row>
    <row r="43" spans="2:28" ht="33" customHeight="1" x14ac:dyDescent="0.25">
      <c r="B43" s="644" t="s">
        <v>196</v>
      </c>
      <c r="C43" s="644"/>
      <c r="D43" s="644"/>
      <c r="E43" s="644"/>
      <c r="F43" s="560">
        <f>SUM(F37:F42)</f>
        <v>93</v>
      </c>
      <c r="G43" s="560">
        <f>SUM(G37:G42)</f>
        <v>297</v>
      </c>
      <c r="H43" s="561">
        <f>H37+H40</f>
        <v>1</v>
      </c>
      <c r="I43" s="560">
        <f>SUM(I37:I42)</f>
        <v>93</v>
      </c>
      <c r="J43" s="560">
        <f>SUM(J37:J42)</f>
        <v>325</v>
      </c>
      <c r="K43" s="561">
        <f>K37+K40</f>
        <v>1</v>
      </c>
      <c r="L43" s="571">
        <f>SUM(L37:L42)</f>
        <v>0</v>
      </c>
      <c r="M43" s="571">
        <f>SUM(M37:M42)</f>
        <v>-28</v>
      </c>
      <c r="N43" s="572">
        <f>G43/J43</f>
        <v>0.91384615384615386</v>
      </c>
      <c r="P43" s="644" t="s">
        <v>196</v>
      </c>
      <c r="Q43" s="644"/>
      <c r="R43" s="644"/>
      <c r="S43" s="644"/>
      <c r="T43" s="560">
        <f>SUM(T37:T42)</f>
        <v>384</v>
      </c>
      <c r="U43" s="560">
        <f>SUM(U37:U42)</f>
        <v>1164</v>
      </c>
      <c r="V43" s="561">
        <f>V37+V40</f>
        <v>1</v>
      </c>
      <c r="W43" s="560">
        <f>SUM(W37:W42)</f>
        <v>300</v>
      </c>
      <c r="X43" s="560">
        <f>SUM(X37:X42)</f>
        <v>1013</v>
      </c>
      <c r="Y43" s="561">
        <f>Y37+Y40</f>
        <v>1</v>
      </c>
      <c r="Z43" s="571">
        <f>SUM(Z37:Z42)</f>
        <v>84</v>
      </c>
      <c r="AA43" s="571">
        <f>SUM(AA37:AA42)</f>
        <v>151</v>
      </c>
      <c r="AB43" s="572">
        <f>U43/X43</f>
        <v>1.1490621915103651</v>
      </c>
    </row>
    <row r="44" spans="2:28" ht="33" customHeight="1" x14ac:dyDescent="0.25">
      <c r="B44" s="644"/>
      <c r="C44" s="644"/>
      <c r="D44" s="644"/>
      <c r="E44" s="644"/>
      <c r="F44" s="651">
        <f>G43/F43</f>
        <v>3.193548387096774</v>
      </c>
      <c r="G44" s="651"/>
      <c r="H44" s="651"/>
      <c r="I44" s="651">
        <f>J43/I43</f>
        <v>3.4946236559139785</v>
      </c>
      <c r="J44" s="651"/>
      <c r="K44" s="651"/>
      <c r="L44" s="649">
        <f>F44-I44</f>
        <v>-0.30107526881720448</v>
      </c>
      <c r="M44" s="650"/>
      <c r="N44" s="573">
        <f>F44/I44</f>
        <v>0.91384615384615375</v>
      </c>
      <c r="P44" s="644"/>
      <c r="Q44" s="644"/>
      <c r="R44" s="644"/>
      <c r="S44" s="644"/>
      <c r="T44" s="667">
        <f>U43/T43</f>
        <v>3.03125</v>
      </c>
      <c r="U44" s="667"/>
      <c r="V44" s="667"/>
      <c r="W44" s="667">
        <f>X43/W43</f>
        <v>3.3766666666666665</v>
      </c>
      <c r="X44" s="667"/>
      <c r="Y44" s="667"/>
      <c r="Z44" s="668">
        <f>T44-W44</f>
        <v>-0.34541666666666648</v>
      </c>
      <c r="AA44" s="669"/>
      <c r="AB44" s="574">
        <f>T44/W44</f>
        <v>0.89770483711747295</v>
      </c>
    </row>
  </sheetData>
  <mergeCells count="175">
    <mergeCell ref="B13:E13"/>
    <mergeCell ref="F13:N13"/>
    <mergeCell ref="B24:E24"/>
    <mergeCell ref="F24:N24"/>
    <mergeCell ref="B35:E35"/>
    <mergeCell ref="F35:N35"/>
    <mergeCell ref="P2:S2"/>
    <mergeCell ref="T2:AB2"/>
    <mergeCell ref="P13:S13"/>
    <mergeCell ref="T13:AB13"/>
    <mergeCell ref="P29:P31"/>
    <mergeCell ref="Q29:R29"/>
    <mergeCell ref="V29:V31"/>
    <mergeCell ref="Y29:Y31"/>
    <mergeCell ref="AB29:AB31"/>
    <mergeCell ref="Q30:R30"/>
    <mergeCell ref="Q31:R31"/>
    <mergeCell ref="P26:P28"/>
    <mergeCell ref="Q26:R26"/>
    <mergeCell ref="V26:V28"/>
    <mergeCell ref="Y26:Y28"/>
    <mergeCell ref="AB26:AB28"/>
    <mergeCell ref="Q27:R27"/>
    <mergeCell ref="Q28:R28"/>
    <mergeCell ref="P43:S44"/>
    <mergeCell ref="T44:V44"/>
    <mergeCell ref="W44:Y44"/>
    <mergeCell ref="Z44:AA44"/>
    <mergeCell ref="P40:P42"/>
    <mergeCell ref="Q40:R40"/>
    <mergeCell ref="V40:V42"/>
    <mergeCell ref="Y40:Y42"/>
    <mergeCell ref="AB40:AB42"/>
    <mergeCell ref="Q41:R41"/>
    <mergeCell ref="Q42:R42"/>
    <mergeCell ref="P37:P39"/>
    <mergeCell ref="Q37:R37"/>
    <mergeCell ref="V37:V39"/>
    <mergeCell ref="Y37:Y39"/>
    <mergeCell ref="AB37:AB39"/>
    <mergeCell ref="Q38:R38"/>
    <mergeCell ref="Q39:R39"/>
    <mergeCell ref="P32:S33"/>
    <mergeCell ref="T33:V33"/>
    <mergeCell ref="W33:Y33"/>
    <mergeCell ref="Z33:AA33"/>
    <mergeCell ref="P35:AB35"/>
    <mergeCell ref="P36:R36"/>
    <mergeCell ref="Z36:AB36"/>
    <mergeCell ref="P21:S22"/>
    <mergeCell ref="T22:V22"/>
    <mergeCell ref="W22:Y22"/>
    <mergeCell ref="Z22:AA22"/>
    <mergeCell ref="P25:R25"/>
    <mergeCell ref="Z25:AB25"/>
    <mergeCell ref="P24:S24"/>
    <mergeCell ref="P18:P20"/>
    <mergeCell ref="Q18:R18"/>
    <mergeCell ref="V18:V20"/>
    <mergeCell ref="Y18:Y20"/>
    <mergeCell ref="AB18:AB20"/>
    <mergeCell ref="Q19:R19"/>
    <mergeCell ref="Q20:R20"/>
    <mergeCell ref="T24:AB24"/>
    <mergeCell ref="P14:R14"/>
    <mergeCell ref="Z14:AB14"/>
    <mergeCell ref="P15:P17"/>
    <mergeCell ref="Q15:R15"/>
    <mergeCell ref="V15:V17"/>
    <mergeCell ref="Y15:Y17"/>
    <mergeCell ref="AB15:AB17"/>
    <mergeCell ref="Q16:R16"/>
    <mergeCell ref="Q17:R17"/>
    <mergeCell ref="Q9:R9"/>
    <mergeCell ref="P10:S11"/>
    <mergeCell ref="T11:V11"/>
    <mergeCell ref="W11:Y11"/>
    <mergeCell ref="Z11:AA11"/>
    <mergeCell ref="Y4:Y6"/>
    <mergeCell ref="AB4:AB6"/>
    <mergeCell ref="Q5:R5"/>
    <mergeCell ref="Q6:R6"/>
    <mergeCell ref="P7:P9"/>
    <mergeCell ref="Q7:R7"/>
    <mergeCell ref="V7:V9"/>
    <mergeCell ref="Y7:Y9"/>
    <mergeCell ref="AB7:AB9"/>
    <mergeCell ref="Q8:R8"/>
    <mergeCell ref="P3:R3"/>
    <mergeCell ref="Z3:AB3"/>
    <mergeCell ref="P4:P6"/>
    <mergeCell ref="Q4:R4"/>
    <mergeCell ref="V4:V6"/>
    <mergeCell ref="B43:E44"/>
    <mergeCell ref="F44:H44"/>
    <mergeCell ref="I44:K44"/>
    <mergeCell ref="L44:M44"/>
    <mergeCell ref="B40:B42"/>
    <mergeCell ref="C40:D40"/>
    <mergeCell ref="H40:H42"/>
    <mergeCell ref="K40:K42"/>
    <mergeCell ref="N40:N42"/>
    <mergeCell ref="C41:D41"/>
    <mergeCell ref="C42:D42"/>
    <mergeCell ref="B37:B39"/>
    <mergeCell ref="C37:D37"/>
    <mergeCell ref="H37:H39"/>
    <mergeCell ref="K37:K39"/>
    <mergeCell ref="N37:N39"/>
    <mergeCell ref="C38:D38"/>
    <mergeCell ref="C39:D39"/>
    <mergeCell ref="B32:E33"/>
    <mergeCell ref="F33:H33"/>
    <mergeCell ref="I33:K33"/>
    <mergeCell ref="L33:M33"/>
    <mergeCell ref="B36:D36"/>
    <mergeCell ref="L36:N36"/>
    <mergeCell ref="B29:B31"/>
    <mergeCell ref="C29:D29"/>
    <mergeCell ref="H29:H31"/>
    <mergeCell ref="K29:K31"/>
    <mergeCell ref="N29:N31"/>
    <mergeCell ref="C30:D30"/>
    <mergeCell ref="C31:D31"/>
    <mergeCell ref="B26:B28"/>
    <mergeCell ref="C26:D26"/>
    <mergeCell ref="H26:H28"/>
    <mergeCell ref="K26:K28"/>
    <mergeCell ref="N26:N28"/>
    <mergeCell ref="C27:D27"/>
    <mergeCell ref="C28:D28"/>
    <mergeCell ref="B21:E22"/>
    <mergeCell ref="F22:H22"/>
    <mergeCell ref="I22:K22"/>
    <mergeCell ref="L22:M22"/>
    <mergeCell ref="B25:D25"/>
    <mergeCell ref="L25:N25"/>
    <mergeCell ref="B18:B20"/>
    <mergeCell ref="C18:D18"/>
    <mergeCell ref="H18:H20"/>
    <mergeCell ref="K18:K20"/>
    <mergeCell ref="N18:N20"/>
    <mergeCell ref="C19:D19"/>
    <mergeCell ref="C20:D20"/>
    <mergeCell ref="B14:D14"/>
    <mergeCell ref="L14:N14"/>
    <mergeCell ref="B15:B17"/>
    <mergeCell ref="C15:D15"/>
    <mergeCell ref="H15:H17"/>
    <mergeCell ref="K15:K17"/>
    <mergeCell ref="N15:N17"/>
    <mergeCell ref="C16:D16"/>
    <mergeCell ref="C17:D17"/>
    <mergeCell ref="B2:E2"/>
    <mergeCell ref="F2:N2"/>
    <mergeCell ref="B7:B9"/>
    <mergeCell ref="B10:E11"/>
    <mergeCell ref="B3:D3"/>
    <mergeCell ref="L3:N3"/>
    <mergeCell ref="N4:N6"/>
    <mergeCell ref="N7:N9"/>
    <mergeCell ref="L11:M11"/>
    <mergeCell ref="K7:K9"/>
    <mergeCell ref="I11:K11"/>
    <mergeCell ref="K4:K6"/>
    <mergeCell ref="B4:B6"/>
    <mergeCell ref="C7:D7"/>
    <mergeCell ref="H7:H9"/>
    <mergeCell ref="C8:D8"/>
    <mergeCell ref="C9:D9"/>
    <mergeCell ref="F11:H11"/>
    <mergeCell ref="C4:D4"/>
    <mergeCell ref="H4:H6"/>
    <mergeCell ref="C5:D5"/>
    <mergeCell ref="C6:D6"/>
  </mergeCells>
  <phoneticPr fontId="1"/>
  <pageMargins left="0.7" right="0.7" top="0.75" bottom="0.75" header="0.3" footer="0.3"/>
  <pageSetup paperSize="8" scale="64"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4F019-48DF-C14A-A176-EDC5F77FDB9D}">
  <sheetPr>
    <tabColor rgb="FFFFFF00"/>
  </sheetPr>
  <dimension ref="A1:AR53"/>
  <sheetViews>
    <sheetView zoomScale="59" zoomScaleNormal="59" workbookViewId="0">
      <selection activeCell="AN21" sqref="AN21"/>
    </sheetView>
  </sheetViews>
  <sheetFormatPr baseColWidth="10" defaultRowHeight="17" x14ac:dyDescent="0.25"/>
  <cols>
    <col min="1" max="1" width="16.33203125" customWidth="1"/>
    <col min="2" max="2" width="16.33203125" style="87" customWidth="1"/>
    <col min="3" max="9" width="16.33203125" customWidth="1"/>
    <col min="10" max="10" width="17.6640625" customWidth="1"/>
    <col min="11" max="11" width="22.1640625" customWidth="1"/>
    <col min="12" max="13" width="16.33203125" customWidth="1"/>
    <col min="14" max="16" width="22.1640625" customWidth="1"/>
    <col min="17" max="17" width="22.1640625" style="133" customWidth="1"/>
    <col min="18" max="18" width="22.1640625" customWidth="1"/>
    <col min="19" max="21" width="11" bestFit="1" customWidth="1"/>
    <col min="22" max="22" width="14" customWidth="1"/>
    <col min="23" max="23" width="11.83203125" bestFit="1" customWidth="1"/>
    <col min="24" max="24" width="11.83203125" customWidth="1"/>
    <col min="25" max="25" width="19" customWidth="1"/>
    <col min="26" max="27" width="14" customWidth="1"/>
    <col min="28" max="28" width="23.1640625" style="225" customWidth="1"/>
    <col min="29" max="29" width="15.1640625" customWidth="1"/>
    <col min="33" max="33" width="14" bestFit="1" customWidth="1"/>
    <col min="35" max="35" width="14.5" customWidth="1"/>
    <col min="42" max="42" width="12.1640625" customWidth="1"/>
  </cols>
  <sheetData>
    <row r="1" spans="1:44" s="90" customFormat="1" ht="58" customHeight="1" thickBot="1" x14ac:dyDescent="0.3">
      <c r="A1" s="154" t="s">
        <v>224</v>
      </c>
      <c r="B1" s="91"/>
      <c r="Q1" s="132"/>
      <c r="AB1" s="224"/>
    </row>
    <row r="2" spans="1:44" s="90" customFormat="1" ht="32" customHeight="1" thickTop="1" thickBot="1" x14ac:dyDescent="0.3">
      <c r="A2" s="144"/>
      <c r="B2" s="685" t="s">
        <v>93</v>
      </c>
      <c r="C2" s="686"/>
      <c r="D2" s="687"/>
      <c r="E2" s="688" t="s">
        <v>181</v>
      </c>
      <c r="F2" s="688"/>
      <c r="G2" s="688"/>
      <c r="H2" s="688"/>
      <c r="I2" s="688"/>
      <c r="J2" s="689"/>
      <c r="K2" s="690" t="s">
        <v>102</v>
      </c>
      <c r="L2" s="690"/>
      <c r="M2" s="690"/>
      <c r="N2" s="690"/>
      <c r="O2" s="690"/>
      <c r="P2" s="690"/>
      <c r="Q2" s="691"/>
      <c r="R2" s="692" t="s">
        <v>107</v>
      </c>
      <c r="S2" s="693"/>
      <c r="T2" s="693"/>
      <c r="U2" s="693"/>
      <c r="V2" s="693"/>
      <c r="W2" s="693"/>
      <c r="X2" s="697"/>
      <c r="Y2" s="694"/>
      <c r="Z2" s="695" t="s">
        <v>115</v>
      </c>
      <c r="AA2" s="696"/>
      <c r="AB2" s="224" t="s">
        <v>174</v>
      </c>
    </row>
    <row r="3" spans="1:44" s="88" customFormat="1" ht="32" customHeight="1" thickTop="1" x14ac:dyDescent="0.25">
      <c r="A3" s="95" t="s">
        <v>64</v>
      </c>
      <c r="B3" s="146" t="s">
        <v>63</v>
      </c>
      <c r="C3" s="147" t="s">
        <v>51</v>
      </c>
      <c r="D3" s="149" t="s">
        <v>43</v>
      </c>
      <c r="E3" s="162" t="s">
        <v>95</v>
      </c>
      <c r="F3" s="147" t="s">
        <v>89</v>
      </c>
      <c r="G3" s="148" t="s">
        <v>90</v>
      </c>
      <c r="H3" s="149" t="s">
        <v>65</v>
      </c>
      <c r="I3" s="150" t="s">
        <v>38</v>
      </c>
      <c r="J3" s="151" t="s">
        <v>69</v>
      </c>
      <c r="K3" s="152" t="s">
        <v>92</v>
      </c>
      <c r="L3" s="147" t="s">
        <v>86</v>
      </c>
      <c r="M3" s="147" t="s">
        <v>69</v>
      </c>
      <c r="N3" s="147" t="s">
        <v>88</v>
      </c>
      <c r="O3" s="147" t="s">
        <v>89</v>
      </c>
      <c r="P3" s="147" t="s">
        <v>94</v>
      </c>
      <c r="Q3" s="153" t="s">
        <v>171</v>
      </c>
      <c r="R3" s="233" t="s">
        <v>87</v>
      </c>
      <c r="S3" s="234" t="s">
        <v>101</v>
      </c>
      <c r="T3" s="234" t="s">
        <v>103</v>
      </c>
      <c r="U3" s="235" t="s">
        <v>104</v>
      </c>
      <c r="V3" s="235" t="s">
        <v>105</v>
      </c>
      <c r="W3" s="235" t="s">
        <v>106</v>
      </c>
      <c r="X3" s="579" t="s">
        <v>325</v>
      </c>
      <c r="Y3" s="236" t="s">
        <v>40</v>
      </c>
      <c r="Z3" s="237" t="s">
        <v>112</v>
      </c>
      <c r="AA3" s="238" t="s">
        <v>114</v>
      </c>
      <c r="AB3" s="222">
        <f>K11</f>
        <v>139906277.45454547</v>
      </c>
    </row>
    <row r="4" spans="1:44" s="89" customFormat="1" ht="36" customHeight="1" x14ac:dyDescent="0.25">
      <c r="A4" s="96">
        <v>4</v>
      </c>
      <c r="B4" s="141">
        <v>260000</v>
      </c>
      <c r="C4" s="93">
        <v>200</v>
      </c>
      <c r="D4" s="160">
        <f>B4/C4</f>
        <v>1300</v>
      </c>
      <c r="E4" s="219">
        <v>200</v>
      </c>
      <c r="F4" s="220">
        <f t="shared" ref="F4:F11" si="0">I4/E4</f>
        <v>1300</v>
      </c>
      <c r="G4" s="220" t="e">
        <f t="shared" ref="G4:G11" si="1">E4*R4</f>
        <v>#DIV/0!</v>
      </c>
      <c r="H4" s="221" t="e">
        <f>G4/B4</f>
        <v>#DIV/0!</v>
      </c>
      <c r="I4" s="140">
        <v>260000</v>
      </c>
      <c r="J4" s="138">
        <f>I4/B4</f>
        <v>1</v>
      </c>
      <c r="K4" s="139">
        <v>499227</v>
      </c>
      <c r="L4" s="137">
        <f>K4/I4</f>
        <v>1.9201038461538462</v>
      </c>
      <c r="M4" s="137">
        <f>K4/B4</f>
        <v>1.9201038461538462</v>
      </c>
      <c r="N4" s="165">
        <f>T4+U4</f>
        <v>0</v>
      </c>
      <c r="O4" s="163" t="e">
        <f t="shared" ref="O4:O11" si="2">K4/N4</f>
        <v>#DIV/0!</v>
      </c>
      <c r="P4" s="164">
        <f t="shared" ref="P4:P11" si="3">Q4/K4</f>
        <v>0</v>
      </c>
      <c r="Q4" s="218">
        <f t="shared" ref="Q4:Q10" si="4">Y4</f>
        <v>0</v>
      </c>
      <c r="R4" s="227" t="e">
        <f>Q4/N4</f>
        <v>#DIV/0!</v>
      </c>
      <c r="S4" s="228"/>
      <c r="T4" s="228"/>
      <c r="U4" s="228"/>
      <c r="V4" s="93"/>
      <c r="W4" s="93"/>
      <c r="X4" s="580"/>
      <c r="Y4" s="229">
        <f t="shared" ref="Y4:Y10" si="5">V4+W4</f>
        <v>0</v>
      </c>
      <c r="Z4" s="239"/>
      <c r="AA4" s="160">
        <v>30000</v>
      </c>
      <c r="AB4" s="222">
        <f>AB3*23.8%</f>
        <v>33297694.034181822</v>
      </c>
      <c r="AC4" s="89" t="s">
        <v>87</v>
      </c>
      <c r="AH4" s="139">
        <v>499227</v>
      </c>
    </row>
    <row r="5" spans="1:44" s="89" customFormat="1" ht="36" customHeight="1" x14ac:dyDescent="0.25">
      <c r="A5" s="96">
        <v>5</v>
      </c>
      <c r="B5" s="141">
        <v>1851200</v>
      </c>
      <c r="C5" s="93">
        <v>520</v>
      </c>
      <c r="D5" s="160">
        <f>B5/C5</f>
        <v>3560</v>
      </c>
      <c r="E5" s="219">
        <v>550</v>
      </c>
      <c r="F5" s="220">
        <f t="shared" si="0"/>
        <v>3365.818181818182</v>
      </c>
      <c r="G5" s="220">
        <f t="shared" si="1"/>
        <v>991969.37014667806</v>
      </c>
      <c r="H5" s="221">
        <f>G5/B5</f>
        <v>0.53585207981129979</v>
      </c>
      <c r="I5" s="140">
        <v>1851200</v>
      </c>
      <c r="J5" s="138">
        <f>I5/B5</f>
        <v>1</v>
      </c>
      <c r="K5" s="139">
        <v>2919145</v>
      </c>
      <c r="L5" s="137">
        <f>K5/I5</f>
        <v>1.5768933664649958</v>
      </c>
      <c r="M5" s="137">
        <f>K5/B5</f>
        <v>1.5768933664649958</v>
      </c>
      <c r="N5" s="165">
        <f>T5+U5</f>
        <v>579.5</v>
      </c>
      <c r="O5" s="163">
        <f t="shared" si="2"/>
        <v>5037.3511647972391</v>
      </c>
      <c r="P5" s="164">
        <f t="shared" si="3"/>
        <v>0.35804148132415486</v>
      </c>
      <c r="Q5" s="218">
        <f>Y5</f>
        <v>1045175</v>
      </c>
      <c r="R5" s="227">
        <f>Q5/N5</f>
        <v>1803.5806729939602</v>
      </c>
      <c r="S5" s="228">
        <v>5</v>
      </c>
      <c r="T5" s="228">
        <v>579.5</v>
      </c>
      <c r="U5" s="228">
        <v>0</v>
      </c>
      <c r="V5" s="93">
        <v>956175</v>
      </c>
      <c r="W5" s="93">
        <v>89000</v>
      </c>
      <c r="X5" s="580"/>
      <c r="Y5" s="229">
        <f>V5+W5+X5</f>
        <v>1045175</v>
      </c>
      <c r="Z5" s="239"/>
      <c r="AA5" s="160">
        <v>30000</v>
      </c>
      <c r="AB5" s="222"/>
      <c r="AD5" s="627" t="s">
        <v>222</v>
      </c>
      <c r="AE5" s="627"/>
      <c r="AF5" s="627"/>
      <c r="AG5" s="627"/>
      <c r="AH5" s="139">
        <v>2919145</v>
      </c>
    </row>
    <row r="6" spans="1:44" s="89" customFormat="1" ht="36" customHeight="1" x14ac:dyDescent="0.25">
      <c r="A6" s="96">
        <v>6</v>
      </c>
      <c r="B6" s="141">
        <v>25690000</v>
      </c>
      <c r="C6" s="93">
        <v>7000</v>
      </c>
      <c r="D6" s="160">
        <f t="shared" ref="D6:D11" si="6">B6/C6</f>
        <v>3670</v>
      </c>
      <c r="E6" s="219">
        <v>4500</v>
      </c>
      <c r="F6" s="220">
        <f t="shared" si="0"/>
        <v>4888.8888888888887</v>
      </c>
      <c r="G6" s="220">
        <f t="shared" si="1"/>
        <v>8136786.4808362378</v>
      </c>
      <c r="H6" s="221">
        <f t="shared" ref="H6:H11" si="7">G6/B6</f>
        <v>0.3167297189893436</v>
      </c>
      <c r="I6" s="140">
        <v>22000000</v>
      </c>
      <c r="J6" s="138">
        <f t="shared" ref="J6:J11" si="8">I6/B6</f>
        <v>0.85636434410276374</v>
      </c>
      <c r="K6" s="139">
        <f>'2024.6月実績'!O93</f>
        <v>19194436.363636363</v>
      </c>
      <c r="L6" s="137">
        <f t="shared" ref="L6:L11" si="9">K6/I6</f>
        <v>0.87247438016528922</v>
      </c>
      <c r="M6" s="137">
        <f t="shared" ref="M6:M11" si="10">K6/B6</f>
        <v>0.74715595031671322</v>
      </c>
      <c r="N6" s="165">
        <f>T6+U6</f>
        <v>3587.5</v>
      </c>
      <c r="O6" s="163">
        <f t="shared" si="2"/>
        <v>5350.3655369021226</v>
      </c>
      <c r="P6" s="164">
        <f t="shared" si="3"/>
        <v>0.33795350262481366</v>
      </c>
      <c r="Q6" s="218">
        <f t="shared" si="4"/>
        <v>6486827</v>
      </c>
      <c r="R6" s="227">
        <f>Q6/N6</f>
        <v>1808.1747735191639</v>
      </c>
      <c r="S6" s="228">
        <v>30</v>
      </c>
      <c r="T6" s="228">
        <v>3580.5</v>
      </c>
      <c r="U6" s="228">
        <v>7</v>
      </c>
      <c r="V6" s="93">
        <v>5939877</v>
      </c>
      <c r="W6" s="93">
        <v>545000</v>
      </c>
      <c r="X6" s="580">
        <v>1950</v>
      </c>
      <c r="Y6" s="229">
        <f>V6+W6+X6</f>
        <v>6486827</v>
      </c>
      <c r="Z6" s="239"/>
      <c r="AA6" s="160">
        <v>75000</v>
      </c>
      <c r="AB6" s="222"/>
      <c r="AD6" s="627" t="s">
        <v>220</v>
      </c>
      <c r="AE6" s="627"/>
      <c r="AF6" s="627" t="s">
        <v>221</v>
      </c>
      <c r="AG6" s="627"/>
      <c r="AM6" s="89">
        <v>157</v>
      </c>
    </row>
    <row r="7" spans="1:44" s="89" customFormat="1" ht="36" customHeight="1" x14ac:dyDescent="0.25">
      <c r="A7" s="96">
        <v>7</v>
      </c>
      <c r="B7" s="141">
        <v>51610000</v>
      </c>
      <c r="C7" s="93">
        <v>13000</v>
      </c>
      <c r="D7" s="160">
        <f t="shared" si="6"/>
        <v>3970</v>
      </c>
      <c r="E7" s="219">
        <v>5600</v>
      </c>
      <c r="F7" s="220">
        <f t="shared" si="0"/>
        <v>8928.5714285714294</v>
      </c>
      <c r="G7" s="220">
        <f t="shared" si="1"/>
        <v>9577580.8599303812</v>
      </c>
      <c r="H7" s="221">
        <f t="shared" si="7"/>
        <v>0.18557606781496572</v>
      </c>
      <c r="I7" s="140">
        <v>50000000</v>
      </c>
      <c r="J7" s="138">
        <f t="shared" si="8"/>
        <v>0.96880449525285794</v>
      </c>
      <c r="K7" s="139">
        <f>'2024.7月実績'!L93</f>
        <v>47613345.454545453</v>
      </c>
      <c r="L7" s="137">
        <f t="shared" si="9"/>
        <v>0.95226690909090905</v>
      </c>
      <c r="M7" s="137">
        <f t="shared" si="10"/>
        <v>0.9225604622078174</v>
      </c>
      <c r="N7" s="165">
        <f>T7+AD7+AF7+U7</f>
        <v>5099.25</v>
      </c>
      <c r="O7" s="163">
        <f t="shared" si="2"/>
        <v>9337.3232248949262</v>
      </c>
      <c r="P7" s="164">
        <f t="shared" si="3"/>
        <v>0.18316623032350748</v>
      </c>
      <c r="Q7" s="218">
        <f>AH7</f>
        <v>8721157</v>
      </c>
      <c r="R7" s="227">
        <f>Q7/N7</f>
        <v>1710.2822964161396</v>
      </c>
      <c r="S7" s="228">
        <v>31</v>
      </c>
      <c r="T7" s="228">
        <v>4084.25</v>
      </c>
      <c r="U7" s="228">
        <v>32</v>
      </c>
      <c r="V7" s="93">
        <v>7019597</v>
      </c>
      <c r="W7" s="93">
        <v>583000</v>
      </c>
      <c r="X7" s="580">
        <v>13738</v>
      </c>
      <c r="Y7" s="229">
        <f t="shared" ref="Y7:Y8" si="11">V7+W7+X7</f>
        <v>7616335</v>
      </c>
      <c r="Z7" s="240"/>
      <c r="AA7" s="160">
        <v>100000</v>
      </c>
      <c r="AB7" s="222">
        <f>AB3*31.5%</f>
        <v>44070477.398181826</v>
      </c>
      <c r="AC7" s="89" t="s">
        <v>108</v>
      </c>
      <c r="AD7" s="89">
        <v>335</v>
      </c>
      <c r="AE7" s="222">
        <v>391038</v>
      </c>
      <c r="AF7" s="89">
        <v>648</v>
      </c>
      <c r="AG7" s="222">
        <v>713784</v>
      </c>
      <c r="AH7" s="698">
        <f>Y7+AE7+AG7</f>
        <v>8721157</v>
      </c>
      <c r="AI7" s="627"/>
    </row>
    <row r="8" spans="1:44" s="89" customFormat="1" ht="36" customHeight="1" x14ac:dyDescent="0.25">
      <c r="A8" s="96">
        <v>8</v>
      </c>
      <c r="B8" s="141">
        <v>49500000</v>
      </c>
      <c r="C8" s="93">
        <v>12500</v>
      </c>
      <c r="D8" s="160">
        <f t="shared" si="6"/>
        <v>3960</v>
      </c>
      <c r="E8" s="219">
        <v>5600</v>
      </c>
      <c r="F8" s="220">
        <f t="shared" si="0"/>
        <v>8928.5714285714294</v>
      </c>
      <c r="G8" s="220">
        <f t="shared" si="1"/>
        <v>9756392.0843351223</v>
      </c>
      <c r="H8" s="221">
        <f t="shared" si="7"/>
        <v>0.19709882998656814</v>
      </c>
      <c r="I8" s="140">
        <v>50000000</v>
      </c>
      <c r="J8" s="138">
        <f t="shared" si="8"/>
        <v>1.0101010101010102</v>
      </c>
      <c r="K8" s="139">
        <f>'2024.8月実績'!M93</f>
        <v>55874978.18181818</v>
      </c>
      <c r="L8" s="137">
        <f t="shared" si="9"/>
        <v>1.1174995636363636</v>
      </c>
      <c r="M8" s="137">
        <f t="shared" si="10"/>
        <v>1.1287874380165288</v>
      </c>
      <c r="N8" s="165">
        <f>T8+U8+AD8+AF8</f>
        <v>5407</v>
      </c>
      <c r="O8" s="163">
        <f t="shared" si="2"/>
        <v>10333.822486002993</v>
      </c>
      <c r="P8" s="164">
        <f t="shared" si="3"/>
        <v>0.1685932649377809</v>
      </c>
      <c r="Q8" s="218">
        <f>AH8</f>
        <v>9420145</v>
      </c>
      <c r="R8" s="227">
        <f>Q8/N8</f>
        <v>1742.2128722027003</v>
      </c>
      <c r="S8" s="228">
        <v>31</v>
      </c>
      <c r="T8" s="228">
        <v>4444</v>
      </c>
      <c r="U8" s="228">
        <v>39</v>
      </c>
      <c r="V8" s="93">
        <v>7728270</v>
      </c>
      <c r="W8" s="93">
        <v>633000</v>
      </c>
      <c r="X8" s="580">
        <v>11262</v>
      </c>
      <c r="Y8" s="229">
        <f t="shared" si="11"/>
        <v>8372532</v>
      </c>
      <c r="Z8" s="239"/>
      <c r="AA8" s="160">
        <v>100000</v>
      </c>
      <c r="AB8" s="222">
        <f>AB3*7%</f>
        <v>9793439.4218181837</v>
      </c>
      <c r="AC8" s="89" t="s">
        <v>109</v>
      </c>
      <c r="AD8" s="461">
        <v>48</v>
      </c>
      <c r="AE8" s="460">
        <v>52747</v>
      </c>
      <c r="AF8" s="461">
        <v>876</v>
      </c>
      <c r="AG8" s="460">
        <v>994866</v>
      </c>
      <c r="AH8" s="698">
        <f>Y8+AE8+AG8</f>
        <v>9420145</v>
      </c>
      <c r="AI8" s="627"/>
      <c r="AJ8" s="627"/>
    </row>
    <row r="9" spans="1:44" s="89" customFormat="1" ht="36" customHeight="1" x14ac:dyDescent="0.25">
      <c r="A9" s="96">
        <v>9</v>
      </c>
      <c r="B9" s="141">
        <v>7000000</v>
      </c>
      <c r="C9" s="93">
        <v>2000</v>
      </c>
      <c r="D9" s="160">
        <f t="shared" si="6"/>
        <v>3500</v>
      </c>
      <c r="E9" s="219">
        <v>1400</v>
      </c>
      <c r="F9" s="220">
        <f t="shared" si="0"/>
        <v>5714.2857142857147</v>
      </c>
      <c r="G9" s="220">
        <f t="shared" si="1"/>
        <v>2660000</v>
      </c>
      <c r="H9" s="221">
        <f t="shared" si="7"/>
        <v>0.38</v>
      </c>
      <c r="I9" s="140">
        <v>8000000</v>
      </c>
      <c r="J9" s="138">
        <f t="shared" si="8"/>
        <v>1.1428571428571428</v>
      </c>
      <c r="K9" s="456">
        <f>'2024.9月実績'!L93</f>
        <v>12350827.272727272</v>
      </c>
      <c r="L9" s="137">
        <f t="shared" si="9"/>
        <v>1.5438534090909088</v>
      </c>
      <c r="M9" s="137">
        <f t="shared" si="10"/>
        <v>1.7644038961038959</v>
      </c>
      <c r="N9" s="582">
        <f>T9+U9</f>
        <v>1065</v>
      </c>
      <c r="O9" s="163">
        <f t="shared" si="2"/>
        <v>11597.02091335894</v>
      </c>
      <c r="P9" s="164">
        <f t="shared" si="3"/>
        <v>0.25319340404875346</v>
      </c>
      <c r="Q9" s="218">
        <f>AH9</f>
        <v>3127148</v>
      </c>
      <c r="R9" s="227">
        <v>1900</v>
      </c>
      <c r="S9" s="228">
        <v>8</v>
      </c>
      <c r="T9" s="228">
        <v>1063</v>
      </c>
      <c r="U9" s="228">
        <v>2</v>
      </c>
      <c r="V9" s="93">
        <v>1866106</v>
      </c>
      <c r="W9" s="93">
        <v>150000</v>
      </c>
      <c r="X9" s="580">
        <v>1350</v>
      </c>
      <c r="Y9" s="229">
        <f>V9+W9+X9</f>
        <v>2017456</v>
      </c>
      <c r="Z9" s="239"/>
      <c r="AA9" s="160">
        <v>30000</v>
      </c>
      <c r="AB9" s="222">
        <v>25266300</v>
      </c>
      <c r="AC9" s="89" t="s">
        <v>110</v>
      </c>
      <c r="AE9" s="222">
        <f>51100+5700</f>
        <v>56800</v>
      </c>
      <c r="AG9" s="222">
        <v>1052892</v>
      </c>
      <c r="AH9" s="698">
        <f>Y9+AE9+AG9</f>
        <v>3127148</v>
      </c>
      <c r="AI9" s="627"/>
      <c r="AJ9" s="89">
        <v>17040</v>
      </c>
    </row>
    <row r="10" spans="1:44" s="89" customFormat="1" ht="36" customHeight="1" x14ac:dyDescent="0.25">
      <c r="A10" s="96">
        <v>10</v>
      </c>
      <c r="B10" s="141">
        <v>455000</v>
      </c>
      <c r="C10" s="93">
        <v>350</v>
      </c>
      <c r="D10" s="160">
        <f t="shared" si="6"/>
        <v>1300</v>
      </c>
      <c r="E10" s="219">
        <v>100</v>
      </c>
      <c r="F10" s="220" t="e">
        <f t="shared" si="0"/>
        <v>#REF!</v>
      </c>
      <c r="G10" s="220">
        <f t="shared" si="1"/>
        <v>190000</v>
      </c>
      <c r="H10" s="221">
        <f t="shared" si="7"/>
        <v>0.4175824175824176</v>
      </c>
      <c r="I10" s="140" t="e">
        <f>'2024.10月実績'!#REF!</f>
        <v>#REF!</v>
      </c>
      <c r="J10" s="138" t="e">
        <f t="shared" si="8"/>
        <v>#REF!</v>
      </c>
      <c r="K10" s="456">
        <f>'2024.10月実績'!L93</f>
        <v>1454318.1818181816</v>
      </c>
      <c r="L10" s="137" t="e">
        <f t="shared" si="9"/>
        <v>#REF!</v>
      </c>
      <c r="M10" s="137">
        <f t="shared" si="10"/>
        <v>3.1963036963036959</v>
      </c>
      <c r="N10" s="217">
        <f>T10+U10</f>
        <v>0</v>
      </c>
      <c r="O10" s="163" t="e">
        <f t="shared" si="2"/>
        <v>#DIV/0!</v>
      </c>
      <c r="P10" s="164">
        <f t="shared" si="3"/>
        <v>0</v>
      </c>
      <c r="Q10" s="218">
        <f t="shared" si="4"/>
        <v>0</v>
      </c>
      <c r="R10" s="227">
        <v>1900</v>
      </c>
      <c r="S10" s="228"/>
      <c r="T10" s="228"/>
      <c r="U10" s="228"/>
      <c r="V10" s="93"/>
      <c r="W10" s="93"/>
      <c r="X10" s="580"/>
      <c r="Y10" s="229">
        <f t="shared" si="5"/>
        <v>0</v>
      </c>
      <c r="Z10" s="239"/>
      <c r="AA10" s="160">
        <v>30000</v>
      </c>
      <c r="AB10" s="223">
        <v>14000000</v>
      </c>
      <c r="AC10" s="89" t="s">
        <v>112</v>
      </c>
      <c r="AG10" s="222">
        <v>408303</v>
      </c>
      <c r="AI10" s="627" t="s">
        <v>328</v>
      </c>
      <c r="AJ10" s="627"/>
      <c r="AK10" s="627"/>
      <c r="AL10" s="627"/>
      <c r="AM10" s="627"/>
      <c r="AN10" s="627"/>
      <c r="AO10" s="627"/>
      <c r="AP10" s="627"/>
      <c r="AQ10" s="627"/>
    </row>
    <row r="11" spans="1:44" s="92" customFormat="1" ht="36" customHeight="1" thickBot="1" x14ac:dyDescent="0.3">
      <c r="A11" s="97" t="s">
        <v>2</v>
      </c>
      <c r="B11" s="98">
        <f>SUM(B4:B10)</f>
        <v>136366200</v>
      </c>
      <c r="C11" s="98">
        <f>SUM(C4:C10)</f>
        <v>35570</v>
      </c>
      <c r="D11" s="161">
        <f t="shared" si="6"/>
        <v>3833.741917346078</v>
      </c>
      <c r="E11" s="159">
        <f>SUM(E4:E10)</f>
        <v>17950</v>
      </c>
      <c r="F11" s="98" t="e">
        <f t="shared" si="0"/>
        <v>#REF!</v>
      </c>
      <c r="G11" s="136">
        <f t="shared" si="1"/>
        <v>32847877.839022763</v>
      </c>
      <c r="H11" s="390">
        <f t="shared" si="7"/>
        <v>0.24087990894387878</v>
      </c>
      <c r="I11" s="145" t="e">
        <f>SUM(I4:I10)</f>
        <v>#REF!</v>
      </c>
      <c r="J11" s="155" t="e">
        <f t="shared" si="8"/>
        <v>#REF!</v>
      </c>
      <c r="K11" s="142">
        <f>SUM(K4:K10)</f>
        <v>139906277.45454547</v>
      </c>
      <c r="L11" s="156" t="e">
        <f t="shared" si="9"/>
        <v>#REF!</v>
      </c>
      <c r="M11" s="156">
        <f t="shared" si="10"/>
        <v>1.0259600799504971</v>
      </c>
      <c r="N11" s="157">
        <f>SUM(N4:N10)</f>
        <v>15738.25</v>
      </c>
      <c r="O11" s="157">
        <f t="shared" si="2"/>
        <v>8889.5701526246867</v>
      </c>
      <c r="P11" s="347">
        <f t="shared" si="3"/>
        <v>0.20585532346364557</v>
      </c>
      <c r="Q11" s="158">
        <f>SUM(Q4:Q10)</f>
        <v>28800452</v>
      </c>
      <c r="R11" s="230">
        <f>Q11/N11</f>
        <v>1829.9653392213238</v>
      </c>
      <c r="S11" s="231">
        <f t="shared" ref="S11:AA11" si="12">SUM(S4:S10)</f>
        <v>105</v>
      </c>
      <c r="T11" s="348">
        <f t="shared" si="12"/>
        <v>13751.25</v>
      </c>
      <c r="U11" s="348">
        <f t="shared" si="12"/>
        <v>80</v>
      </c>
      <c r="V11" s="348">
        <f t="shared" si="12"/>
        <v>23510025</v>
      </c>
      <c r="W11" s="348">
        <f t="shared" si="12"/>
        <v>2000000</v>
      </c>
      <c r="X11" s="581"/>
      <c r="Y11" s="232">
        <f t="shared" si="12"/>
        <v>25538325</v>
      </c>
      <c r="Z11" s="242">
        <f t="shared" si="12"/>
        <v>0</v>
      </c>
      <c r="AA11" s="241">
        <f t="shared" si="12"/>
        <v>395000</v>
      </c>
      <c r="AB11" s="226">
        <f>AB3*5%</f>
        <v>6995313.872727274</v>
      </c>
      <c r="AC11" s="92" t="s">
        <v>113</v>
      </c>
      <c r="AE11" s="226">
        <f>SUM(AE7:AE10)</f>
        <v>500585</v>
      </c>
      <c r="AG11" s="226">
        <f>SUM(AG7:AG10)</f>
        <v>3169845</v>
      </c>
      <c r="AI11" s="226">
        <f>AE11+AG11</f>
        <v>3670430</v>
      </c>
      <c r="AJ11" s="466">
        <f>AI11/AI13</f>
        <v>0.11303758240998812</v>
      </c>
      <c r="AK11" s="223">
        <f>AI11/AL11</f>
        <v>2251.7975460122698</v>
      </c>
      <c r="AL11" s="92">
        <v>1630</v>
      </c>
      <c r="AM11" s="466">
        <f>AK11/AK13</f>
        <v>0.12517081085836995</v>
      </c>
      <c r="AN11" s="92">
        <v>5000</v>
      </c>
      <c r="AO11" s="92">
        <v>1650</v>
      </c>
      <c r="AP11" s="223">
        <f>AN11*AO11</f>
        <v>8250000</v>
      </c>
      <c r="AQ11" s="466">
        <f>AN11/AN13</f>
        <v>0.27929840241313819</v>
      </c>
      <c r="AR11" s="466">
        <f>AP11/AP13</f>
        <v>0.25380117246912548</v>
      </c>
    </row>
    <row r="12" spans="1:44" ht="36" customHeight="1" thickTop="1" thickBot="1" x14ac:dyDescent="0.3">
      <c r="B12" s="87">
        <v>136366200</v>
      </c>
      <c r="C12" t="s">
        <v>67</v>
      </c>
      <c r="G12" s="94"/>
      <c r="H12" s="94"/>
      <c r="I12" s="94" t="s">
        <v>68</v>
      </c>
      <c r="K12" s="143">
        <v>44109</v>
      </c>
      <c r="L12" s="90" t="s">
        <v>91</v>
      </c>
      <c r="N12" s="91">
        <f>K11/S12</f>
        <v>1399062.7745454547</v>
      </c>
      <c r="O12" s="458">
        <f>K11-B12</f>
        <v>3540077.4545454681</v>
      </c>
      <c r="P12" s="280">
        <f>K11/B12</f>
        <v>1.0259600799504971</v>
      </c>
      <c r="Q12" s="587">
        <f>Q11/K11</f>
        <v>0.20585532346364557</v>
      </c>
      <c r="S12" s="89">
        <v>100</v>
      </c>
      <c r="Y12" s="346">
        <f>Y11/K11</f>
        <v>0.18253880715464835</v>
      </c>
      <c r="AB12" s="226">
        <f>AB3-AB4-AB7-AB8-AB9-AB10-AB11</f>
        <v>6483052.727636368</v>
      </c>
      <c r="AC12" s="92" t="s">
        <v>111</v>
      </c>
      <c r="AG12" s="87"/>
      <c r="AI12" s="211">
        <f>Q11</f>
        <v>28800452</v>
      </c>
      <c r="AJ12" s="212">
        <f>AI12/AI13</f>
        <v>0.88696241759001193</v>
      </c>
      <c r="AK12" s="87">
        <v>15738</v>
      </c>
      <c r="AL12" s="588">
        <f>AI12/AK12</f>
        <v>1829.994408438175</v>
      </c>
      <c r="AM12" s="212">
        <f>AK12/AK13</f>
        <v>0.8748291891416301</v>
      </c>
      <c r="AN12">
        <v>12902</v>
      </c>
      <c r="AO12">
        <v>1880</v>
      </c>
      <c r="AP12" s="223">
        <f>AN12*AO12</f>
        <v>24255760</v>
      </c>
      <c r="AQ12" s="212">
        <f>AN12/AN13</f>
        <v>0.72070159758686181</v>
      </c>
      <c r="AR12" s="212">
        <f>AP12/AP13</f>
        <v>0.74619882753087452</v>
      </c>
    </row>
    <row r="13" spans="1:44" ht="36" customHeight="1" x14ac:dyDescent="0.25">
      <c r="B13" s="87">
        <f>B11-B12</f>
        <v>0</v>
      </c>
      <c r="C13" t="s">
        <v>66</v>
      </c>
      <c r="D13" s="676"/>
      <c r="E13" s="677"/>
      <c r="F13" s="677"/>
      <c r="G13" s="677"/>
      <c r="H13" s="677"/>
      <c r="I13" s="677"/>
      <c r="J13" s="677"/>
      <c r="K13" s="677"/>
      <c r="L13" s="677"/>
      <c r="M13" s="677"/>
      <c r="N13" s="677"/>
      <c r="O13" s="677"/>
      <c r="P13" s="677"/>
      <c r="Q13" s="677"/>
      <c r="R13" s="677"/>
      <c r="S13" s="677"/>
      <c r="T13" s="677"/>
      <c r="U13" s="677"/>
      <c r="V13" s="677"/>
      <c r="W13" s="677"/>
      <c r="X13" s="677"/>
      <c r="Y13" s="677"/>
      <c r="Z13" s="677"/>
      <c r="AA13" s="678"/>
      <c r="AG13" s="87">
        <v>140800000</v>
      </c>
      <c r="AI13" s="211">
        <f>SUM(AI11:AI12)</f>
        <v>32470882</v>
      </c>
      <c r="AJ13" s="278">
        <f>AI13/AG13</f>
        <v>0.23061705965909091</v>
      </c>
      <c r="AK13" s="87">
        <f>SUM(AK11:AK12)</f>
        <v>17989.797546012269</v>
      </c>
      <c r="AL13">
        <f>(AL11+AL12)/2</f>
        <v>1729.9972042190875</v>
      </c>
      <c r="AN13">
        <f>SUM(AN11:AN12)</f>
        <v>17902</v>
      </c>
      <c r="AO13">
        <f>(AO11+AO12)/2</f>
        <v>1765</v>
      </c>
      <c r="AP13" s="87">
        <f>SUM(AP11:AP12)</f>
        <v>32505760</v>
      </c>
    </row>
    <row r="14" spans="1:44" ht="36" customHeight="1" x14ac:dyDescent="0.25">
      <c r="D14" s="679"/>
      <c r="E14" s="680"/>
      <c r="F14" s="680"/>
      <c r="G14" s="680"/>
      <c r="H14" s="680"/>
      <c r="I14" s="680"/>
      <c r="J14" s="680"/>
      <c r="K14" s="680"/>
      <c r="L14" s="680"/>
      <c r="M14" s="680"/>
      <c r="N14" s="680"/>
      <c r="O14" s="680"/>
      <c r="P14" s="680"/>
      <c r="Q14" s="680"/>
      <c r="R14" s="680"/>
      <c r="S14" s="680"/>
      <c r="T14" s="680"/>
      <c r="U14" s="680"/>
      <c r="V14" s="680"/>
      <c r="W14" s="680"/>
      <c r="X14" s="680"/>
      <c r="Y14" s="680"/>
      <c r="Z14" s="680"/>
      <c r="AA14" s="681"/>
      <c r="AG14" s="87"/>
    </row>
    <row r="15" spans="1:44" ht="36" customHeight="1" thickBot="1" x14ac:dyDescent="0.3">
      <c r="D15" s="682"/>
      <c r="E15" s="683"/>
      <c r="F15" s="683"/>
      <c r="G15" s="683"/>
      <c r="H15" s="683"/>
      <c r="I15" s="683"/>
      <c r="J15" s="683"/>
      <c r="K15" s="683"/>
      <c r="L15" s="683"/>
      <c r="M15" s="683"/>
      <c r="N15" s="683"/>
      <c r="O15" s="683"/>
      <c r="P15" s="683"/>
      <c r="Q15" s="683"/>
      <c r="R15" s="683"/>
      <c r="S15" s="683"/>
      <c r="T15" s="683"/>
      <c r="U15" s="683"/>
      <c r="V15" s="683"/>
      <c r="W15" s="683"/>
      <c r="X15" s="683"/>
      <c r="Y15" s="683"/>
      <c r="Z15" s="683"/>
      <c r="AA15" s="684"/>
    </row>
    <row r="16" spans="1:44" ht="36" customHeight="1" x14ac:dyDescent="0.25">
      <c r="I16" s="214">
        <v>100000000</v>
      </c>
      <c r="J16" t="s">
        <v>97</v>
      </c>
      <c r="K16" s="211">
        <f>B11-K11</f>
        <v>-3540077.4545454681</v>
      </c>
      <c r="L16">
        <v>12</v>
      </c>
      <c r="M16" s="87">
        <f>K16/L16</f>
        <v>-295006.45454545569</v>
      </c>
      <c r="N16">
        <v>2019</v>
      </c>
      <c r="O16" s="87">
        <v>58190982</v>
      </c>
      <c r="P16" s="212">
        <f>K11/O16</f>
        <v>2.4042604652134152</v>
      </c>
      <c r="V16" t="s">
        <v>324</v>
      </c>
    </row>
    <row r="17" spans="1:22" ht="36" customHeight="1" x14ac:dyDescent="0.25">
      <c r="B17" s="87">
        <f>B7+B8</f>
        <v>101110000</v>
      </c>
      <c r="C17" s="211">
        <f>K7+K8</f>
        <v>103488323.63636363</v>
      </c>
      <c r="D17" s="211">
        <f>C17-B17</f>
        <v>2378323.6363636255</v>
      </c>
      <c r="I17" s="214">
        <v>111111111</v>
      </c>
      <c r="J17" t="s">
        <v>98</v>
      </c>
      <c r="K17" s="211" t="e">
        <f>I11-K11</f>
        <v>#REF!</v>
      </c>
      <c r="L17">
        <v>12</v>
      </c>
      <c r="M17" s="87" t="e">
        <f>K17/L17</f>
        <v>#REF!</v>
      </c>
      <c r="N17">
        <v>2018</v>
      </c>
      <c r="O17" s="87">
        <v>44179221</v>
      </c>
      <c r="P17" s="212">
        <f>K11/O17</f>
        <v>3.1667891440309792</v>
      </c>
      <c r="U17">
        <v>5</v>
      </c>
      <c r="V17" s="87">
        <v>1149692</v>
      </c>
    </row>
    <row r="18" spans="1:22" ht="36" customHeight="1" x14ac:dyDescent="0.25">
      <c r="J18" t="s">
        <v>99</v>
      </c>
      <c r="K18" s="211">
        <f>I16-K11</f>
        <v>-39906277.454545468</v>
      </c>
      <c r="L18">
        <v>12</v>
      </c>
      <c r="M18" s="87">
        <f>K18/L18</f>
        <v>-3325523.1212121225</v>
      </c>
      <c r="N18" s="213" t="s">
        <v>96</v>
      </c>
      <c r="O18" s="211">
        <f>(O16+O17)/2</f>
        <v>51185101.5</v>
      </c>
      <c r="P18" s="212">
        <f>K11/O18</f>
        <v>2.7333398460594136</v>
      </c>
      <c r="U18">
        <v>6</v>
      </c>
      <c r="V18" s="87">
        <v>7135509</v>
      </c>
    </row>
    <row r="19" spans="1:22" ht="36" customHeight="1" x14ac:dyDescent="0.25">
      <c r="G19" t="s">
        <v>142</v>
      </c>
      <c r="J19" t="s">
        <v>100</v>
      </c>
      <c r="K19" s="211">
        <f>I17-K11</f>
        <v>-28795166.454545468</v>
      </c>
      <c r="L19">
        <v>12</v>
      </c>
      <c r="M19" s="87">
        <f>K19/L19</f>
        <v>-2399597.2045454555</v>
      </c>
      <c r="U19">
        <v>7</v>
      </c>
      <c r="V19" s="87">
        <v>8381268</v>
      </c>
    </row>
    <row r="20" spans="1:22" ht="36" customHeight="1" x14ac:dyDescent="0.25">
      <c r="F20" s="88"/>
      <c r="G20" s="87">
        <v>91399704</v>
      </c>
      <c r="H20" s="211">
        <f>K8-K9</f>
        <v>43524150.909090906</v>
      </c>
      <c r="I20">
        <v>945247</v>
      </c>
      <c r="J20" s="211">
        <f>I20-H20</f>
        <v>-42578903.909090906</v>
      </c>
      <c r="K20" s="211">
        <f>K11</f>
        <v>139906277.45454547</v>
      </c>
      <c r="L20" s="278">
        <f>K20/G20</f>
        <v>1.5307082116430648</v>
      </c>
      <c r="M20" s="211">
        <f>K20-G20</f>
        <v>48506573.454545468</v>
      </c>
      <c r="U20">
        <v>8</v>
      </c>
      <c r="V20" s="87">
        <v>9209785</v>
      </c>
    </row>
    <row r="21" spans="1:22" ht="36" customHeight="1" x14ac:dyDescent="0.25">
      <c r="U21">
        <v>9</v>
      </c>
      <c r="V21" s="87">
        <v>2219201</v>
      </c>
    </row>
    <row r="22" spans="1:22" ht="36" customHeight="1" x14ac:dyDescent="0.25">
      <c r="V22" s="211">
        <f>SUM(V17:V21)</f>
        <v>28095455</v>
      </c>
    </row>
    <row r="23" spans="1:22" ht="36" customHeight="1" x14ac:dyDescent="0.25">
      <c r="I23" s="87">
        <v>115000000</v>
      </c>
      <c r="K23" s="211">
        <f>K11</f>
        <v>139906277.45454547</v>
      </c>
      <c r="L23">
        <f>K23/I23</f>
        <v>1.2165763256916997</v>
      </c>
      <c r="N23" s="87">
        <f>K23*1.1</f>
        <v>153896905.20000002</v>
      </c>
    </row>
    <row r="24" spans="1:22" ht="36" customHeight="1" x14ac:dyDescent="0.25">
      <c r="M24" s="87">
        <v>150000000</v>
      </c>
      <c r="N24" s="87">
        <f>M24*10/110</f>
        <v>13636363.636363637</v>
      </c>
      <c r="O24" s="211">
        <f>M24-N24</f>
        <v>136363636.36363637</v>
      </c>
      <c r="P24" s="211">
        <f>K11-O24</f>
        <v>3542641.0909090936</v>
      </c>
    </row>
    <row r="25" spans="1:22" ht="36" customHeight="1" x14ac:dyDescent="0.25">
      <c r="A25" s="154" t="s">
        <v>225</v>
      </c>
    </row>
    <row r="26" spans="1:22" ht="36" customHeight="1" x14ac:dyDescent="0.25">
      <c r="A26" s="88" t="s">
        <v>238</v>
      </c>
      <c r="B26" s="459">
        <v>2019</v>
      </c>
      <c r="C26" s="459" t="s">
        <v>227</v>
      </c>
      <c r="D26" s="459">
        <v>2023</v>
      </c>
      <c r="E26" s="467">
        <v>2024</v>
      </c>
      <c r="F26" s="459">
        <v>2006</v>
      </c>
      <c r="H26" s="467">
        <v>2019</v>
      </c>
      <c r="I26" s="91">
        <f>G20</f>
        <v>91399704</v>
      </c>
      <c r="J26" s="471">
        <f>K11/I26</f>
        <v>1.5307082116430648</v>
      </c>
      <c r="K26" s="226">
        <f>K11-I26</f>
        <v>48506573.454545468</v>
      </c>
    </row>
    <row r="27" spans="1:22" ht="36" customHeight="1" x14ac:dyDescent="0.25">
      <c r="A27" s="88" t="s">
        <v>226</v>
      </c>
      <c r="B27" s="222">
        <v>1170000</v>
      </c>
      <c r="C27" s="222"/>
      <c r="D27" s="222">
        <v>886000</v>
      </c>
      <c r="E27" s="223">
        <v>902000</v>
      </c>
      <c r="F27" s="222">
        <v>1523000</v>
      </c>
      <c r="H27" s="467">
        <v>2023</v>
      </c>
      <c r="I27" s="91">
        <v>114623699</v>
      </c>
      <c r="J27" s="471">
        <f>K11/I27</f>
        <v>1.2205702544510055</v>
      </c>
      <c r="K27" s="226">
        <f>K11-I27</f>
        <v>25282578.454545468</v>
      </c>
      <c r="L27" s="87">
        <v>5187</v>
      </c>
      <c r="M27" s="87">
        <v>6717</v>
      </c>
      <c r="N27" s="87">
        <f>M27-L27</f>
        <v>1530</v>
      </c>
      <c r="O27" s="212">
        <f>M27/L27</f>
        <v>1.2949681897050318</v>
      </c>
    </row>
    <row r="28" spans="1:22" ht="36" customHeight="1" x14ac:dyDescent="0.25">
      <c r="A28" s="88" t="s">
        <v>213</v>
      </c>
      <c r="B28" s="222" t="s">
        <v>234</v>
      </c>
      <c r="C28" s="222"/>
      <c r="D28" s="463">
        <v>75.8</v>
      </c>
      <c r="E28" s="468">
        <v>101.8</v>
      </c>
      <c r="F28" s="466">
        <f>F27/E27</f>
        <v>1.688470066518847</v>
      </c>
      <c r="L28" s="87">
        <v>992</v>
      </c>
      <c r="M28" s="87">
        <v>1941</v>
      </c>
      <c r="N28" s="87">
        <f>M28-L28</f>
        <v>949</v>
      </c>
      <c r="O28" s="212">
        <f>M28/L28</f>
        <v>1.9566532258064515</v>
      </c>
    </row>
    <row r="29" spans="1:22" ht="36" customHeight="1" x14ac:dyDescent="0.25">
      <c r="A29" s="462" t="s">
        <v>233</v>
      </c>
      <c r="B29" s="222">
        <v>441456</v>
      </c>
      <c r="C29" s="222"/>
      <c r="D29" s="222">
        <v>334182</v>
      </c>
      <c r="E29" s="223">
        <v>340050</v>
      </c>
      <c r="F29" s="222">
        <v>574842</v>
      </c>
      <c r="L29" s="87">
        <v>318</v>
      </c>
      <c r="M29" s="87">
        <v>2503</v>
      </c>
      <c r="N29" s="87">
        <f>M29-L29</f>
        <v>2185</v>
      </c>
      <c r="O29" s="212">
        <f>M29/L29</f>
        <v>7.8710691823899372</v>
      </c>
    </row>
    <row r="30" spans="1:22" ht="36" customHeight="1" x14ac:dyDescent="0.25">
      <c r="A30" s="88" t="s">
        <v>228</v>
      </c>
      <c r="B30" s="222" t="s">
        <v>234</v>
      </c>
      <c r="C30" s="222"/>
      <c r="D30" s="463">
        <v>75.7</v>
      </c>
      <c r="E30" s="466">
        <f>E29/D29</f>
        <v>1.0175592940373808</v>
      </c>
      <c r="F30" s="466">
        <f>F29/E29</f>
        <v>1.6904631671812969</v>
      </c>
      <c r="L30" s="87">
        <f>SUM(L27:L29)</f>
        <v>6497</v>
      </c>
      <c r="M30" s="87">
        <f>SUM(M27:M29)</f>
        <v>11161</v>
      </c>
      <c r="N30" s="87">
        <f>SUM(N27:N29)</f>
        <v>4664</v>
      </c>
      <c r="O30" s="212">
        <f>M30/L30</f>
        <v>1.7178697860551024</v>
      </c>
    </row>
    <row r="31" spans="1:22" ht="36" customHeight="1" x14ac:dyDescent="0.25">
      <c r="A31" s="88" t="s">
        <v>229</v>
      </c>
      <c r="B31" s="222">
        <f>B29/20</f>
        <v>22072.799999999999</v>
      </c>
      <c r="C31" s="222"/>
      <c r="D31" s="222">
        <f>D29/20</f>
        <v>16709.099999999999</v>
      </c>
      <c r="E31" s="223">
        <f>E29/20</f>
        <v>17002.5</v>
      </c>
      <c r="F31" s="222">
        <f>F29/20</f>
        <v>28742.1</v>
      </c>
      <c r="J31">
        <v>2024</v>
      </c>
      <c r="K31" s="88" t="s">
        <v>246</v>
      </c>
      <c r="L31" s="88" t="s">
        <v>27</v>
      </c>
      <c r="M31" s="88" t="s">
        <v>248</v>
      </c>
      <c r="N31" s="88" t="s">
        <v>85</v>
      </c>
      <c r="O31" s="88" t="s">
        <v>258</v>
      </c>
      <c r="P31" s="88" t="s">
        <v>248</v>
      </c>
      <c r="Q31" s="474" t="s">
        <v>259</v>
      </c>
    </row>
    <row r="32" spans="1:22" ht="36" customHeight="1" x14ac:dyDescent="0.25">
      <c r="A32" s="88" t="s">
        <v>213</v>
      </c>
      <c r="B32" s="222"/>
      <c r="C32" s="222"/>
      <c r="D32" s="464">
        <f>D31/B31</f>
        <v>0.75699956507556809</v>
      </c>
      <c r="E32" s="466">
        <f>E31/D31</f>
        <v>1.017559294037381</v>
      </c>
      <c r="F32" s="466">
        <f>F31/E31</f>
        <v>1.6904631671812969</v>
      </c>
      <c r="J32" s="473" t="s">
        <v>250</v>
      </c>
      <c r="K32" s="88" t="s">
        <v>247</v>
      </c>
      <c r="L32" s="460">
        <v>2939522</v>
      </c>
      <c r="M32" s="460">
        <v>4040</v>
      </c>
      <c r="N32" s="458">
        <f>L32-M32</f>
        <v>2935482</v>
      </c>
      <c r="O32" s="460">
        <v>3232260</v>
      </c>
      <c r="P32" s="460">
        <v>4040</v>
      </c>
      <c r="Q32" s="458">
        <f>O32-P32</f>
        <v>3228220</v>
      </c>
      <c r="R32" s="458">
        <v>23</v>
      </c>
    </row>
    <row r="33" spans="1:19" ht="36" customHeight="1" x14ac:dyDescent="0.25">
      <c r="A33" s="88" t="s">
        <v>230</v>
      </c>
      <c r="B33" s="222">
        <f>B31*9000</f>
        <v>198655200</v>
      </c>
      <c r="C33" s="223" t="s">
        <v>237</v>
      </c>
      <c r="D33" s="222">
        <f>D31*9000</f>
        <v>150381900</v>
      </c>
      <c r="E33" s="223">
        <f>E31*9700</f>
        <v>164924250</v>
      </c>
      <c r="F33" s="222">
        <f>F31*9000</f>
        <v>258678900</v>
      </c>
      <c r="J33">
        <v>5</v>
      </c>
      <c r="K33" s="88" t="s">
        <v>249</v>
      </c>
      <c r="L33" s="460">
        <v>477807</v>
      </c>
      <c r="M33" s="460">
        <v>3480</v>
      </c>
      <c r="N33" s="458">
        <f t="shared" ref="N33:N38" si="13">L33-M33</f>
        <v>474327</v>
      </c>
      <c r="O33" s="460">
        <v>525570</v>
      </c>
      <c r="P33" s="460">
        <v>3480</v>
      </c>
      <c r="Q33" s="458">
        <f t="shared" ref="Q33:Q38" si="14">O33-P33</f>
        <v>522090</v>
      </c>
      <c r="R33" s="458">
        <v>5</v>
      </c>
    </row>
    <row r="34" spans="1:19" ht="36" customHeight="1" x14ac:dyDescent="0.25">
      <c r="A34" s="465" t="s">
        <v>235</v>
      </c>
      <c r="B34" s="222">
        <f>B33*3.5</f>
        <v>695293200</v>
      </c>
      <c r="C34" s="466">
        <f>B33/B34</f>
        <v>0.2857142857142857</v>
      </c>
      <c r="D34" s="222">
        <f>D33*3.5</f>
        <v>526336650</v>
      </c>
      <c r="E34" s="223">
        <f>E33*3.5</f>
        <v>577234875</v>
      </c>
      <c r="F34" s="222">
        <f>F33*3.5</f>
        <v>905376150</v>
      </c>
      <c r="J34">
        <v>6</v>
      </c>
      <c r="K34" s="88" t="s">
        <v>252</v>
      </c>
      <c r="L34" s="460">
        <v>19170665</v>
      </c>
      <c r="M34" s="460">
        <v>26790</v>
      </c>
      <c r="N34" s="458">
        <f t="shared" si="13"/>
        <v>19143875</v>
      </c>
      <c r="O34" s="460">
        <v>21087090</v>
      </c>
      <c r="P34" s="460">
        <v>26790</v>
      </c>
      <c r="Q34" s="458">
        <f t="shared" si="14"/>
        <v>21060300</v>
      </c>
      <c r="R34" s="458">
        <v>30</v>
      </c>
    </row>
    <row r="35" spans="1:19" ht="36" customHeight="1" x14ac:dyDescent="0.25">
      <c r="A35" s="465" t="s">
        <v>236</v>
      </c>
      <c r="B35" s="222">
        <f>B34/B27</f>
        <v>594.2676923076923</v>
      </c>
      <c r="C35" s="222" t="e">
        <f>C34/C27</f>
        <v>#DIV/0!</v>
      </c>
      <c r="D35" s="222">
        <f>D34/D27</f>
        <v>594.0594243792325</v>
      </c>
      <c r="E35" s="223">
        <f>E34/E27</f>
        <v>639.94997228381374</v>
      </c>
      <c r="F35" s="222">
        <f>F34/F27</f>
        <v>594.46891004596193</v>
      </c>
      <c r="J35">
        <v>7</v>
      </c>
      <c r="K35" s="88" t="s">
        <v>252</v>
      </c>
      <c r="L35" s="460">
        <v>47598067</v>
      </c>
      <c r="M35" s="460">
        <v>17800</v>
      </c>
      <c r="N35" s="458">
        <f t="shared" si="13"/>
        <v>47580267</v>
      </c>
      <c r="O35" s="460">
        <v>52356880</v>
      </c>
      <c r="P35" s="460">
        <v>17800</v>
      </c>
      <c r="Q35" s="458">
        <f t="shared" si="14"/>
        <v>52339080</v>
      </c>
      <c r="R35" s="458">
        <v>31</v>
      </c>
    </row>
    <row r="36" spans="1:19" ht="36" customHeight="1" x14ac:dyDescent="0.25">
      <c r="A36" s="88" t="s">
        <v>231</v>
      </c>
      <c r="B36" s="222">
        <v>1300</v>
      </c>
      <c r="C36" s="222"/>
      <c r="D36" s="222">
        <v>1300</v>
      </c>
      <c r="E36" s="223">
        <v>1300</v>
      </c>
      <c r="F36" s="222">
        <v>1300</v>
      </c>
      <c r="J36">
        <v>8</v>
      </c>
      <c r="K36" s="88" t="s">
        <v>252</v>
      </c>
      <c r="L36" s="460">
        <v>55870570</v>
      </c>
      <c r="M36" s="460">
        <v>5980</v>
      </c>
      <c r="N36" s="458">
        <f t="shared" si="13"/>
        <v>55864590</v>
      </c>
      <c r="O36" s="460">
        <v>61456496</v>
      </c>
      <c r="P36" s="460">
        <v>5980</v>
      </c>
      <c r="Q36" s="458">
        <f t="shared" si="14"/>
        <v>61450516</v>
      </c>
      <c r="R36" s="458">
        <v>31</v>
      </c>
    </row>
    <row r="37" spans="1:19" ht="36" customHeight="1" x14ac:dyDescent="0.25">
      <c r="A37" s="88" t="s">
        <v>232</v>
      </c>
      <c r="B37" s="222">
        <f>B27*B36</f>
        <v>1521000000</v>
      </c>
      <c r="C37" s="222"/>
      <c r="D37" s="222">
        <f>D27*D36</f>
        <v>1151800000</v>
      </c>
      <c r="E37" s="223">
        <f>E27*E36</f>
        <v>1172600000</v>
      </c>
      <c r="F37" s="222">
        <f>F27*F36</f>
        <v>1979900000</v>
      </c>
      <c r="J37">
        <v>9</v>
      </c>
      <c r="K37" s="88" t="s">
        <v>253</v>
      </c>
      <c r="L37" s="460">
        <v>8816632</v>
      </c>
      <c r="M37" s="460">
        <v>5700</v>
      </c>
      <c r="N37" s="458">
        <f t="shared" si="13"/>
        <v>8810932</v>
      </c>
      <c r="O37" s="460">
        <v>9698100</v>
      </c>
      <c r="P37" s="460">
        <v>5700</v>
      </c>
      <c r="Q37" s="458">
        <f t="shared" si="14"/>
        <v>9692400</v>
      </c>
      <c r="R37" s="458">
        <v>8</v>
      </c>
    </row>
    <row r="38" spans="1:19" ht="39" customHeight="1" x14ac:dyDescent="0.25">
      <c r="B38" s="222"/>
      <c r="C38" s="89"/>
      <c r="D38" s="89"/>
      <c r="E38" s="89"/>
      <c r="J38" s="473" t="s">
        <v>251</v>
      </c>
      <c r="K38" s="88" t="s">
        <v>254</v>
      </c>
      <c r="L38" s="460">
        <v>4982837</v>
      </c>
      <c r="M38" s="460">
        <v>1100</v>
      </c>
      <c r="N38" s="458">
        <f t="shared" si="13"/>
        <v>4981737</v>
      </c>
      <c r="O38" s="460">
        <v>5480760</v>
      </c>
      <c r="P38" s="460">
        <v>1100</v>
      </c>
      <c r="Q38" s="458">
        <f t="shared" si="14"/>
        <v>5479660</v>
      </c>
      <c r="R38" s="458">
        <v>23</v>
      </c>
    </row>
    <row r="39" spans="1:19" ht="37" customHeight="1" x14ac:dyDescent="0.25">
      <c r="K39" s="477" t="s">
        <v>256</v>
      </c>
      <c r="L39" s="475">
        <f t="shared" ref="L39:R39" si="15">L34+L33+L35+L36+L37</f>
        <v>131933741</v>
      </c>
      <c r="M39" s="475">
        <f t="shared" si="15"/>
        <v>59750</v>
      </c>
      <c r="N39" s="475">
        <f t="shared" si="15"/>
        <v>131873991</v>
      </c>
      <c r="O39" s="475">
        <f t="shared" si="15"/>
        <v>145124136</v>
      </c>
      <c r="P39" s="475">
        <f t="shared" si="15"/>
        <v>59750</v>
      </c>
      <c r="Q39" s="475">
        <f t="shared" si="15"/>
        <v>145064386</v>
      </c>
      <c r="R39" s="475">
        <f t="shared" si="15"/>
        <v>105</v>
      </c>
    </row>
    <row r="40" spans="1:19" ht="37" customHeight="1" thickBot="1" x14ac:dyDescent="0.3">
      <c r="K40" s="477" t="s">
        <v>257</v>
      </c>
      <c r="L40" s="475">
        <f t="shared" ref="L40:R40" si="16">L32+L38</f>
        <v>7922359</v>
      </c>
      <c r="M40" s="475">
        <f t="shared" si="16"/>
        <v>5140</v>
      </c>
      <c r="N40" s="475">
        <f t="shared" si="16"/>
        <v>7917219</v>
      </c>
      <c r="O40" s="475">
        <f t="shared" si="16"/>
        <v>8713020</v>
      </c>
      <c r="P40" s="475">
        <f t="shared" si="16"/>
        <v>5140</v>
      </c>
      <c r="Q40" s="475">
        <f t="shared" si="16"/>
        <v>8707880</v>
      </c>
      <c r="R40" s="475">
        <f t="shared" si="16"/>
        <v>46</v>
      </c>
    </row>
    <row r="41" spans="1:19" ht="46" customHeight="1" thickBot="1" x14ac:dyDescent="0.3">
      <c r="K41" s="477" t="s">
        <v>255</v>
      </c>
      <c r="L41" s="475">
        <f t="shared" ref="L41:R41" si="17">SUM(L32:L38)</f>
        <v>139856100</v>
      </c>
      <c r="M41" s="475">
        <f t="shared" si="17"/>
        <v>64890</v>
      </c>
      <c r="N41" s="476">
        <f t="shared" si="17"/>
        <v>139791210</v>
      </c>
      <c r="O41" s="475">
        <f t="shared" si="17"/>
        <v>153837156</v>
      </c>
      <c r="P41" s="475">
        <f t="shared" si="17"/>
        <v>64890</v>
      </c>
      <c r="Q41" s="476">
        <f t="shared" si="17"/>
        <v>153772266</v>
      </c>
      <c r="R41" s="476">
        <f t="shared" si="17"/>
        <v>151</v>
      </c>
    </row>
    <row r="43" spans="1:19" ht="35" customHeight="1" x14ac:dyDescent="0.25">
      <c r="J43">
        <v>2023</v>
      </c>
      <c r="K43" s="88" t="s">
        <v>246</v>
      </c>
      <c r="L43" s="88" t="s">
        <v>27</v>
      </c>
      <c r="M43" s="88" t="s">
        <v>248</v>
      </c>
      <c r="N43" s="88" t="s">
        <v>85</v>
      </c>
      <c r="O43" s="88" t="s">
        <v>258</v>
      </c>
      <c r="P43" s="88" t="s">
        <v>248</v>
      </c>
      <c r="Q43" s="474" t="s">
        <v>259</v>
      </c>
    </row>
    <row r="44" spans="1:19" ht="35" customHeight="1" x14ac:dyDescent="0.25">
      <c r="J44" s="473" t="s">
        <v>250</v>
      </c>
      <c r="K44" s="88" t="s">
        <v>283</v>
      </c>
      <c r="L44" s="460"/>
      <c r="M44" s="460"/>
      <c r="N44" s="458">
        <f>L44-M44</f>
        <v>0</v>
      </c>
      <c r="O44" s="460"/>
      <c r="P44" s="460"/>
      <c r="Q44" s="458">
        <f>O44-P44</f>
        <v>0</v>
      </c>
      <c r="R44" s="458">
        <v>0</v>
      </c>
    </row>
    <row r="45" spans="1:19" ht="35" customHeight="1" x14ac:dyDescent="0.25">
      <c r="J45">
        <v>5</v>
      </c>
      <c r="K45" s="88" t="s">
        <v>249</v>
      </c>
      <c r="L45" s="460">
        <f t="shared" ref="L45:L49" si="18">O45/1.1</f>
        <v>1795227.2727272725</v>
      </c>
      <c r="M45" s="460"/>
      <c r="N45" s="458">
        <f t="shared" ref="N45:N50" si="19">L45-M45</f>
        <v>1795227.2727272725</v>
      </c>
      <c r="O45" s="460">
        <v>1974750</v>
      </c>
      <c r="P45" s="460"/>
      <c r="Q45" s="458">
        <f t="shared" ref="Q45:Q50" si="20">O45-P45</f>
        <v>1974750</v>
      </c>
      <c r="R45" s="458">
        <v>5</v>
      </c>
      <c r="S45">
        <v>506</v>
      </c>
    </row>
    <row r="46" spans="1:19" ht="35" customHeight="1" x14ac:dyDescent="0.25">
      <c r="J46">
        <v>6</v>
      </c>
      <c r="K46" s="88" t="s">
        <v>252</v>
      </c>
      <c r="L46" s="460">
        <f t="shared" si="18"/>
        <v>19049727.27272727</v>
      </c>
      <c r="M46" s="460"/>
      <c r="N46" s="458">
        <f>L46-M46</f>
        <v>19049727.27272727</v>
      </c>
      <c r="O46" s="460">
        <v>20954700</v>
      </c>
      <c r="P46" s="460"/>
      <c r="Q46" s="458">
        <f t="shared" si="20"/>
        <v>20954700</v>
      </c>
      <c r="R46" s="458">
        <v>30</v>
      </c>
      <c r="S46">
        <v>5309</v>
      </c>
    </row>
    <row r="47" spans="1:19" ht="35" customHeight="1" x14ac:dyDescent="0.25">
      <c r="J47">
        <v>7</v>
      </c>
      <c r="K47" s="88" t="s">
        <v>252</v>
      </c>
      <c r="L47" s="460">
        <f t="shared" si="18"/>
        <v>44856909.090909086</v>
      </c>
      <c r="M47" s="460"/>
      <c r="N47" s="458">
        <f t="shared" si="19"/>
        <v>44856909.090909086</v>
      </c>
      <c r="O47" s="460">
        <v>49342600</v>
      </c>
      <c r="P47" s="460"/>
      <c r="Q47" s="458">
        <f t="shared" si="20"/>
        <v>49342600</v>
      </c>
      <c r="R47" s="458">
        <v>31</v>
      </c>
      <c r="S47">
        <v>11036</v>
      </c>
    </row>
    <row r="48" spans="1:19" ht="35" customHeight="1" x14ac:dyDescent="0.25">
      <c r="J48">
        <v>8</v>
      </c>
      <c r="K48" s="88" t="s">
        <v>252</v>
      </c>
      <c r="L48" s="460">
        <f t="shared" si="18"/>
        <v>44860590.909090906</v>
      </c>
      <c r="M48" s="460"/>
      <c r="N48" s="458">
        <f t="shared" si="19"/>
        <v>44860590.909090906</v>
      </c>
      <c r="O48" s="460">
        <v>49346650</v>
      </c>
      <c r="P48" s="460"/>
      <c r="Q48" s="458">
        <f t="shared" si="20"/>
        <v>49346650</v>
      </c>
      <c r="R48" s="458">
        <v>31</v>
      </c>
      <c r="S48">
        <v>11093</v>
      </c>
    </row>
    <row r="49" spans="10:19" ht="35" customHeight="1" x14ac:dyDescent="0.25">
      <c r="J49">
        <v>9</v>
      </c>
      <c r="K49" s="88" t="s">
        <v>284</v>
      </c>
      <c r="L49" s="460">
        <f t="shared" si="18"/>
        <v>8816454.5454545449</v>
      </c>
      <c r="M49" s="460"/>
      <c r="N49" s="458">
        <f>L49-M49</f>
        <v>8816454.5454545449</v>
      </c>
      <c r="O49" s="460">
        <v>9698100</v>
      </c>
      <c r="P49" s="460"/>
      <c r="Q49" s="458">
        <f t="shared" si="20"/>
        <v>9698100</v>
      </c>
      <c r="R49" s="458">
        <v>3</v>
      </c>
      <c r="S49">
        <v>263</v>
      </c>
    </row>
    <row r="50" spans="10:19" ht="35" customHeight="1" x14ac:dyDescent="0.25">
      <c r="J50" s="473" t="s">
        <v>251</v>
      </c>
      <c r="K50" s="88" t="s">
        <v>285</v>
      </c>
      <c r="L50" s="460">
        <v>1487994</v>
      </c>
      <c r="M50" s="460"/>
      <c r="N50" s="458">
        <f t="shared" si="19"/>
        <v>1487994</v>
      </c>
      <c r="O50" s="460">
        <v>1636793</v>
      </c>
      <c r="P50" s="460">
        <v>4040</v>
      </c>
      <c r="Q50" s="458">
        <f t="shared" si="20"/>
        <v>1632753</v>
      </c>
      <c r="R50" s="458">
        <v>0</v>
      </c>
    </row>
    <row r="51" spans="10:19" ht="35" customHeight="1" x14ac:dyDescent="0.25">
      <c r="K51" s="477" t="s">
        <v>256</v>
      </c>
      <c r="L51" s="475">
        <f t="shared" ref="L51:R51" si="21">L46+L45+L47+L48+L49</f>
        <v>119378909.09090908</v>
      </c>
      <c r="M51" s="475">
        <f t="shared" si="21"/>
        <v>0</v>
      </c>
      <c r="N51" s="475">
        <f t="shared" si="21"/>
        <v>119378909.09090908</v>
      </c>
      <c r="O51" s="475">
        <f t="shared" si="21"/>
        <v>131316800</v>
      </c>
      <c r="P51" s="475">
        <f t="shared" si="21"/>
        <v>0</v>
      </c>
      <c r="Q51" s="475">
        <f t="shared" si="21"/>
        <v>131316800</v>
      </c>
      <c r="R51" s="475">
        <f t="shared" si="21"/>
        <v>100</v>
      </c>
    </row>
    <row r="52" spans="10:19" ht="35" customHeight="1" thickBot="1" x14ac:dyDescent="0.3">
      <c r="K52" s="477" t="s">
        <v>257</v>
      </c>
      <c r="L52" s="475">
        <f>L44+L50</f>
        <v>1487994</v>
      </c>
      <c r="M52" s="475">
        <f t="shared" ref="M52:R52" si="22">M44+M50</f>
        <v>0</v>
      </c>
      <c r="N52" s="475">
        <f t="shared" si="22"/>
        <v>1487994</v>
      </c>
      <c r="O52" s="475">
        <f t="shared" si="22"/>
        <v>1636793</v>
      </c>
      <c r="P52" s="475">
        <f t="shared" si="22"/>
        <v>4040</v>
      </c>
      <c r="Q52" s="475">
        <f t="shared" si="22"/>
        <v>1632753</v>
      </c>
      <c r="R52" s="475">
        <f t="shared" si="22"/>
        <v>0</v>
      </c>
    </row>
    <row r="53" spans="10:19" ht="35" customHeight="1" thickBot="1" x14ac:dyDescent="0.3">
      <c r="K53" s="477" t="s">
        <v>255</v>
      </c>
      <c r="L53" s="475">
        <f t="shared" ref="L53:R53" si="23">SUM(L44:L50)</f>
        <v>120866903.09090908</v>
      </c>
      <c r="M53" s="475">
        <f t="shared" si="23"/>
        <v>0</v>
      </c>
      <c r="N53" s="476">
        <f t="shared" si="23"/>
        <v>120866903.09090908</v>
      </c>
      <c r="O53" s="475">
        <f t="shared" si="23"/>
        <v>132953593</v>
      </c>
      <c r="P53" s="475">
        <f t="shared" si="23"/>
        <v>4040</v>
      </c>
      <c r="Q53" s="476">
        <f t="shared" si="23"/>
        <v>132949553</v>
      </c>
      <c r="R53" s="476">
        <f t="shared" si="23"/>
        <v>100</v>
      </c>
    </row>
  </sheetData>
  <mergeCells count="13">
    <mergeCell ref="AI10:AQ10"/>
    <mergeCell ref="D13:AA15"/>
    <mergeCell ref="Z2:AA2"/>
    <mergeCell ref="K2:Q2"/>
    <mergeCell ref="B2:D2"/>
    <mergeCell ref="E2:J2"/>
    <mergeCell ref="R2:Y2"/>
    <mergeCell ref="AH9:AI9"/>
    <mergeCell ref="AD5:AG5"/>
    <mergeCell ref="AH8:AJ8"/>
    <mergeCell ref="AD6:AE6"/>
    <mergeCell ref="AF6:AG6"/>
    <mergeCell ref="AH7:AI7"/>
  </mergeCells>
  <phoneticPr fontId="1"/>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FC3B8-A4EE-BE4E-B358-17E9572F9D72}">
  <sheetPr>
    <tabColor rgb="FFFFC000"/>
    <pageSetUpPr fitToPage="1"/>
  </sheetPr>
  <dimension ref="A1:AP113"/>
  <sheetViews>
    <sheetView zoomScale="58" workbookViewId="0">
      <selection activeCell="C66" sqref="C66:R66"/>
    </sheetView>
  </sheetViews>
  <sheetFormatPr baseColWidth="10" defaultColWidth="9" defaultRowHeight="16" x14ac:dyDescent="0.25"/>
  <cols>
    <col min="1" max="1" width="8.1640625" style="1" customWidth="1"/>
    <col min="2" max="2" width="6.6640625" style="35" customWidth="1"/>
    <col min="3" max="3" width="15.5" style="1" customWidth="1"/>
    <col min="4" max="4" width="7.1640625" style="1" customWidth="1"/>
    <col min="5" max="11" width="16" style="1" customWidth="1"/>
    <col min="12" max="12" width="26.33203125" style="1" customWidth="1"/>
    <col min="13" max="18" width="16" style="1" customWidth="1"/>
    <col min="19" max="19" width="5.1640625" style="1" customWidth="1"/>
    <col min="20" max="21" width="16.5" style="1" bestFit="1" customWidth="1"/>
    <col min="22" max="22" width="11.83203125" style="1" customWidth="1"/>
    <col min="23" max="25" width="10.33203125" style="1" customWidth="1"/>
    <col min="26" max="26" width="6" style="1" customWidth="1"/>
    <col min="27" max="27" width="9" style="1"/>
    <col min="28" max="28" width="19.5" style="1" customWidth="1"/>
    <col min="29" max="31" width="9.1640625" style="1" bestFit="1" customWidth="1"/>
    <col min="32" max="32" width="11.1640625" style="1" bestFit="1" customWidth="1"/>
    <col min="33" max="41" width="9" style="1"/>
    <col min="42" max="42" width="12.5" style="1" bestFit="1" customWidth="1"/>
    <col min="43" max="16384" width="9" style="1"/>
  </cols>
  <sheetData>
    <row r="1" spans="1:42" s="24" customFormat="1" ht="64" customHeight="1" x14ac:dyDescent="0.25">
      <c r="A1" s="82" t="s">
        <v>329</v>
      </c>
      <c r="B1" s="35"/>
      <c r="Q1" s="166"/>
      <c r="Z1" s="25"/>
      <c r="AH1" s="362"/>
      <c r="AI1" s="362"/>
      <c r="AJ1" s="362"/>
      <c r="AK1" s="362"/>
      <c r="AL1" s="362"/>
      <c r="AM1" s="362"/>
      <c r="AN1" s="363"/>
      <c r="AO1" s="362"/>
      <c r="AP1" s="362"/>
    </row>
    <row r="2" spans="1:42" s="24" customFormat="1" ht="34.25" customHeight="1" thickBot="1" x14ac:dyDescent="0.3">
      <c r="A2" s="699" t="s">
        <v>239</v>
      </c>
      <c r="B2" s="700"/>
      <c r="L2" s="129">
        <f>L14+L24+L34+L44+L54+L64</f>
        <v>1599750</v>
      </c>
      <c r="R2" s="24">
        <v>10</v>
      </c>
    </row>
    <row r="3" spans="1:42" ht="53" customHeight="1" thickTop="1" x14ac:dyDescent="0.25">
      <c r="A3" s="701" t="s">
        <v>47</v>
      </c>
      <c r="B3" s="702"/>
      <c r="C3" s="703" t="s">
        <v>240</v>
      </c>
      <c r="D3" s="704"/>
      <c r="E3" s="704"/>
      <c r="F3" s="704"/>
      <c r="G3" s="704"/>
      <c r="H3" s="704"/>
      <c r="I3" s="704"/>
      <c r="J3" s="704"/>
      <c r="K3" s="704"/>
      <c r="L3" s="704"/>
      <c r="M3" s="704"/>
      <c r="N3" s="804" t="s">
        <v>51</v>
      </c>
      <c r="O3" s="805"/>
      <c r="P3" s="805"/>
      <c r="Q3" s="806"/>
      <c r="R3" s="75" t="s">
        <v>27</v>
      </c>
    </row>
    <row r="4" spans="1:42" s="36" customFormat="1" ht="53" customHeight="1" x14ac:dyDescent="0.25">
      <c r="A4" s="705" t="s">
        <v>41</v>
      </c>
      <c r="B4" s="706"/>
      <c r="C4" s="717" t="s">
        <v>70</v>
      </c>
      <c r="D4" s="718"/>
      <c r="E4" s="76" t="s">
        <v>42</v>
      </c>
      <c r="F4" s="77"/>
      <c r="G4" s="78" t="s">
        <v>43</v>
      </c>
      <c r="H4" s="100"/>
      <c r="I4" s="719" t="s">
        <v>75</v>
      </c>
      <c r="J4" s="720"/>
      <c r="K4" s="449"/>
      <c r="L4" s="126">
        <v>9275000</v>
      </c>
      <c r="M4" s="128" t="s">
        <v>52</v>
      </c>
      <c r="N4" s="807"/>
      <c r="O4" s="808"/>
      <c r="P4" s="808"/>
      <c r="Q4" s="809"/>
      <c r="R4" s="127">
        <f>L4/R2</f>
        <v>927500</v>
      </c>
      <c r="T4" s="721" t="s">
        <v>162</v>
      </c>
      <c r="U4" s="722"/>
      <c r="V4" s="722"/>
      <c r="W4" s="722"/>
      <c r="X4" s="722"/>
      <c r="Y4" s="723"/>
    </row>
    <row r="5" spans="1:42" ht="23.5" customHeight="1" x14ac:dyDescent="0.25">
      <c r="A5" s="710" t="s">
        <v>12</v>
      </c>
      <c r="B5" s="711"/>
      <c r="C5" s="710" t="s">
        <v>12</v>
      </c>
      <c r="D5" s="711"/>
      <c r="E5" s="711"/>
      <c r="F5" s="711"/>
      <c r="G5" s="711"/>
      <c r="H5" s="711"/>
      <c r="I5" s="711"/>
      <c r="J5" s="711"/>
      <c r="K5" s="711"/>
      <c r="L5" s="711"/>
      <c r="M5" s="711"/>
      <c r="N5" s="711"/>
      <c r="O5" s="711"/>
      <c r="P5" s="711"/>
      <c r="Q5" s="711"/>
      <c r="R5" s="712"/>
      <c r="T5" s="716" t="str">
        <f>C5</f>
        <v>1st week</v>
      </c>
      <c r="U5" s="716"/>
      <c r="V5" s="716"/>
      <c r="W5" s="716"/>
      <c r="X5" s="716"/>
      <c r="Y5" s="716"/>
      <c r="AC5" s="36"/>
    </row>
    <row r="6" spans="1:42" s="2" customFormat="1" ht="23.5" customHeight="1" x14ac:dyDescent="0.25">
      <c r="A6" s="53" t="s">
        <v>10</v>
      </c>
      <c r="B6" s="37" t="s">
        <v>11</v>
      </c>
      <c r="C6" s="103" t="s">
        <v>10</v>
      </c>
      <c r="D6" s="104" t="s">
        <v>11</v>
      </c>
      <c r="E6" s="104" t="s">
        <v>1</v>
      </c>
      <c r="F6" s="104" t="s">
        <v>30</v>
      </c>
      <c r="G6" s="104" t="s">
        <v>31</v>
      </c>
      <c r="H6" s="104" t="s">
        <v>28</v>
      </c>
      <c r="I6" s="104" t="s">
        <v>29</v>
      </c>
      <c r="J6" s="104" t="s">
        <v>330</v>
      </c>
      <c r="K6" s="104" t="s">
        <v>210</v>
      </c>
      <c r="L6" s="104" t="s">
        <v>71</v>
      </c>
      <c r="M6" s="105" t="s">
        <v>48</v>
      </c>
      <c r="N6" s="105" t="s">
        <v>331</v>
      </c>
      <c r="O6" s="105" t="s">
        <v>332</v>
      </c>
      <c r="P6" s="105" t="s">
        <v>220</v>
      </c>
      <c r="Q6" s="105" t="s">
        <v>40</v>
      </c>
      <c r="R6" s="106" t="s">
        <v>73</v>
      </c>
      <c r="T6" s="253" t="s">
        <v>116</v>
      </c>
      <c r="U6" s="254" t="s">
        <v>117</v>
      </c>
      <c r="V6" s="49" t="s">
        <v>118</v>
      </c>
      <c r="W6" s="49" t="s">
        <v>119</v>
      </c>
      <c r="X6" s="49" t="s">
        <v>120</v>
      </c>
      <c r="Y6" s="255" t="s">
        <v>128</v>
      </c>
      <c r="AA6" s="1" t="s">
        <v>123</v>
      </c>
      <c r="AB6" s="1"/>
      <c r="AC6" s="36" t="s">
        <v>126</v>
      </c>
    </row>
    <row r="7" spans="1:42" ht="23.5" customHeight="1" x14ac:dyDescent="0.25">
      <c r="A7" s="54" t="s">
        <v>3</v>
      </c>
      <c r="B7" s="50"/>
      <c r="C7" s="107" t="s">
        <v>3</v>
      </c>
      <c r="D7" s="120">
        <f>B7</f>
        <v>0</v>
      </c>
      <c r="E7" s="74"/>
      <c r="F7" s="108"/>
      <c r="G7" s="108" t="e">
        <f t="shared" ref="G7:G14" si="0">F7/E7</f>
        <v>#DIV/0!</v>
      </c>
      <c r="H7" s="108"/>
      <c r="I7" s="109" t="e">
        <f t="shared" ref="I7:I14" si="1">H7/E7</f>
        <v>#DIV/0!</v>
      </c>
      <c r="J7" s="109"/>
      <c r="K7" s="109"/>
      <c r="L7" s="110">
        <f t="shared" ref="L7:L13" si="2">F7+H7+J7</f>
        <v>0</v>
      </c>
      <c r="M7" s="111" t="e">
        <f>L7/E7</f>
        <v>#DIV/0!</v>
      </c>
      <c r="N7" s="111"/>
      <c r="O7" s="111"/>
      <c r="P7" s="111"/>
      <c r="Q7" s="111"/>
      <c r="R7" s="112" t="e">
        <f>L7/Q7</f>
        <v>#DIV/0!</v>
      </c>
      <c r="T7" s="248"/>
      <c r="U7" s="248"/>
      <c r="V7" s="256"/>
      <c r="W7" s="256"/>
      <c r="X7" s="256"/>
      <c r="Y7" s="272">
        <f t="shared" ref="Y7:Y14" si="3">SUM(V7:X7)/3</f>
        <v>0</v>
      </c>
      <c r="AA7" s="271" t="s">
        <v>124</v>
      </c>
      <c r="AB7" s="2"/>
      <c r="AC7" s="270">
        <v>5</v>
      </c>
    </row>
    <row r="8" spans="1:42" ht="23.5" customHeight="1" x14ac:dyDescent="0.25">
      <c r="A8" s="55" t="s">
        <v>4</v>
      </c>
      <c r="B8" s="50"/>
      <c r="C8" s="103" t="s">
        <v>4</v>
      </c>
      <c r="D8" s="120">
        <f t="shared" ref="D8:D13" si="4">B8</f>
        <v>0</v>
      </c>
      <c r="E8" s="74"/>
      <c r="F8" s="108"/>
      <c r="G8" s="108" t="e">
        <f t="shared" si="0"/>
        <v>#DIV/0!</v>
      </c>
      <c r="H8" s="108"/>
      <c r="I8" s="109" t="e">
        <f t="shared" si="1"/>
        <v>#DIV/0!</v>
      </c>
      <c r="J8" s="109"/>
      <c r="K8" s="109"/>
      <c r="L8" s="110">
        <f t="shared" si="2"/>
        <v>0</v>
      </c>
      <c r="M8" s="111" t="e">
        <f t="shared" ref="M8:M13" si="5">L8/E8</f>
        <v>#DIV/0!</v>
      </c>
      <c r="N8" s="111"/>
      <c r="O8" s="111"/>
      <c r="P8" s="111"/>
      <c r="Q8" s="111"/>
      <c r="R8" s="112" t="e">
        <f t="shared" ref="R8:R14" si="6">L8/Q8</f>
        <v>#DIV/0!</v>
      </c>
      <c r="T8" s="248"/>
      <c r="U8" s="248"/>
      <c r="V8" s="256"/>
      <c r="W8" s="256"/>
      <c r="X8" s="256"/>
      <c r="Y8" s="272">
        <f t="shared" si="3"/>
        <v>0</v>
      </c>
      <c r="AA8" s="35" t="s">
        <v>125</v>
      </c>
      <c r="AC8" s="1">
        <v>4</v>
      </c>
    </row>
    <row r="9" spans="1:42" ht="23.5" customHeight="1" x14ac:dyDescent="0.25">
      <c r="A9" s="55" t="s">
        <v>5</v>
      </c>
      <c r="B9" s="50">
        <v>1</v>
      </c>
      <c r="C9" s="103" t="s">
        <v>5</v>
      </c>
      <c r="D9" s="120">
        <f t="shared" si="4"/>
        <v>1</v>
      </c>
      <c r="E9" s="74">
        <v>66</v>
      </c>
      <c r="F9" s="108">
        <v>125600</v>
      </c>
      <c r="G9" s="108">
        <f t="shared" si="0"/>
        <v>1903.030303030303</v>
      </c>
      <c r="H9" s="108">
        <v>67050</v>
      </c>
      <c r="I9" s="109">
        <f t="shared" si="1"/>
        <v>1015.9090909090909</v>
      </c>
      <c r="J9" s="109"/>
      <c r="K9" s="109"/>
      <c r="L9" s="110">
        <f t="shared" si="2"/>
        <v>192650</v>
      </c>
      <c r="M9" s="111">
        <f t="shared" si="5"/>
        <v>2918.939393939394</v>
      </c>
      <c r="N9" s="111"/>
      <c r="O9" s="111"/>
      <c r="P9" s="111"/>
      <c r="Q9" s="111"/>
      <c r="R9" s="112" t="e">
        <f t="shared" si="6"/>
        <v>#DIV/0!</v>
      </c>
      <c r="T9" s="248">
        <v>15.1</v>
      </c>
      <c r="U9" s="248">
        <v>26.3</v>
      </c>
      <c r="V9" s="432">
        <v>5</v>
      </c>
      <c r="W9" s="432">
        <v>5</v>
      </c>
      <c r="X9" s="441">
        <v>4</v>
      </c>
      <c r="Y9" s="272">
        <f t="shared" si="3"/>
        <v>4.666666666666667</v>
      </c>
      <c r="AA9" s="35" t="s">
        <v>129</v>
      </c>
      <c r="AC9" s="1">
        <v>3</v>
      </c>
    </row>
    <row r="10" spans="1:42" ht="23.5" customHeight="1" x14ac:dyDescent="0.25">
      <c r="A10" s="55" t="s">
        <v>6</v>
      </c>
      <c r="B10" s="50">
        <v>2</v>
      </c>
      <c r="C10" s="103" t="s">
        <v>6</v>
      </c>
      <c r="D10" s="120">
        <f t="shared" si="4"/>
        <v>2</v>
      </c>
      <c r="E10" s="74">
        <v>30</v>
      </c>
      <c r="F10" s="108">
        <v>78300</v>
      </c>
      <c r="G10" s="108">
        <f t="shared" si="0"/>
        <v>2610</v>
      </c>
      <c r="H10" s="108">
        <v>42700</v>
      </c>
      <c r="I10" s="109">
        <f t="shared" si="1"/>
        <v>1423.3333333333333</v>
      </c>
      <c r="J10" s="109"/>
      <c r="K10" s="109"/>
      <c r="L10" s="110">
        <f t="shared" si="2"/>
        <v>121000</v>
      </c>
      <c r="M10" s="111">
        <f t="shared" si="5"/>
        <v>4033.3333333333335</v>
      </c>
      <c r="N10" s="111"/>
      <c r="O10" s="111"/>
      <c r="P10" s="111"/>
      <c r="Q10" s="111"/>
      <c r="R10" s="112" t="e">
        <f t="shared" si="6"/>
        <v>#DIV/0!</v>
      </c>
      <c r="T10" s="248">
        <v>18.2</v>
      </c>
      <c r="U10" s="248">
        <v>22</v>
      </c>
      <c r="V10" s="479">
        <v>2</v>
      </c>
      <c r="W10" s="481">
        <v>1</v>
      </c>
      <c r="X10" s="479">
        <v>2</v>
      </c>
      <c r="Y10" s="272">
        <f t="shared" si="3"/>
        <v>1.6666666666666667</v>
      </c>
      <c r="AA10" s="35" t="s">
        <v>121</v>
      </c>
      <c r="AC10" s="1">
        <v>2</v>
      </c>
    </row>
    <row r="11" spans="1:42" ht="23.5" customHeight="1" x14ac:dyDescent="0.25">
      <c r="A11" s="55" t="s">
        <v>7</v>
      </c>
      <c r="B11" s="50">
        <v>3</v>
      </c>
      <c r="C11" s="103" t="s">
        <v>7</v>
      </c>
      <c r="D11" s="120">
        <f t="shared" si="4"/>
        <v>3</v>
      </c>
      <c r="E11" s="74">
        <v>44</v>
      </c>
      <c r="F11" s="108">
        <v>72200</v>
      </c>
      <c r="G11" s="108">
        <f t="shared" si="0"/>
        <v>1640.909090909091</v>
      </c>
      <c r="H11" s="108">
        <v>44400</v>
      </c>
      <c r="I11" s="109">
        <f t="shared" si="1"/>
        <v>1009.0909090909091</v>
      </c>
      <c r="J11" s="109"/>
      <c r="K11" s="109"/>
      <c r="L11" s="110">
        <f t="shared" si="2"/>
        <v>116600</v>
      </c>
      <c r="M11" s="111">
        <f t="shared" si="5"/>
        <v>2650</v>
      </c>
      <c r="N11" s="111"/>
      <c r="O11" s="111"/>
      <c r="P11" s="111"/>
      <c r="Q11" s="111"/>
      <c r="R11" s="112" t="e">
        <f t="shared" si="6"/>
        <v>#DIV/0!</v>
      </c>
      <c r="T11" s="248">
        <v>12.1</v>
      </c>
      <c r="U11" s="248">
        <v>16.8</v>
      </c>
      <c r="V11" s="479">
        <v>2</v>
      </c>
      <c r="W11" s="479">
        <v>2</v>
      </c>
      <c r="X11" s="479">
        <v>2</v>
      </c>
      <c r="Y11" s="272">
        <f t="shared" si="3"/>
        <v>2</v>
      </c>
      <c r="AA11" s="35" t="s">
        <v>122</v>
      </c>
      <c r="AC11" s="1">
        <v>1</v>
      </c>
    </row>
    <row r="12" spans="1:42" ht="23.5" customHeight="1" x14ac:dyDescent="0.25">
      <c r="A12" s="55" t="s">
        <v>8</v>
      </c>
      <c r="B12" s="50">
        <v>4</v>
      </c>
      <c r="C12" s="103" t="s">
        <v>8</v>
      </c>
      <c r="D12" s="120">
        <f t="shared" si="4"/>
        <v>4</v>
      </c>
      <c r="E12" s="74">
        <v>20</v>
      </c>
      <c r="F12" s="108">
        <v>38750</v>
      </c>
      <c r="G12" s="108">
        <f t="shared" si="0"/>
        <v>1937.5</v>
      </c>
      <c r="H12" s="108">
        <v>31350</v>
      </c>
      <c r="I12" s="109">
        <f t="shared" si="1"/>
        <v>1567.5</v>
      </c>
      <c r="J12" s="109"/>
      <c r="K12" s="109"/>
      <c r="L12" s="110">
        <f t="shared" si="2"/>
        <v>70100</v>
      </c>
      <c r="M12" s="111">
        <f t="shared" si="5"/>
        <v>3505</v>
      </c>
      <c r="N12" s="111"/>
      <c r="O12" s="111"/>
      <c r="P12" s="111"/>
      <c r="Q12" s="111"/>
      <c r="R12" s="112" t="e">
        <f t="shared" si="6"/>
        <v>#DIV/0!</v>
      </c>
      <c r="T12" s="248">
        <v>12</v>
      </c>
      <c r="U12" s="248">
        <v>15.2</v>
      </c>
      <c r="V12" s="479">
        <v>2</v>
      </c>
      <c r="W12" s="481">
        <v>1</v>
      </c>
      <c r="X12" s="481">
        <v>1</v>
      </c>
      <c r="Y12" s="272">
        <f t="shared" si="3"/>
        <v>1.3333333333333333</v>
      </c>
      <c r="AA12" s="35" t="s">
        <v>127</v>
      </c>
      <c r="AC12" s="1">
        <v>0</v>
      </c>
    </row>
    <row r="13" spans="1:42" ht="23.5" customHeight="1" thickBot="1" x14ac:dyDescent="0.3">
      <c r="A13" s="56" t="s">
        <v>9</v>
      </c>
      <c r="B13" s="50">
        <v>5</v>
      </c>
      <c r="C13" s="113" t="s">
        <v>9</v>
      </c>
      <c r="D13" s="120">
        <f t="shared" si="4"/>
        <v>5</v>
      </c>
      <c r="E13" s="74">
        <v>181</v>
      </c>
      <c r="F13" s="108">
        <v>287100</v>
      </c>
      <c r="G13" s="108">
        <f t="shared" si="0"/>
        <v>1586.1878453038673</v>
      </c>
      <c r="H13" s="108">
        <v>161100</v>
      </c>
      <c r="I13" s="109">
        <f t="shared" si="1"/>
        <v>890.0552486187845</v>
      </c>
      <c r="J13" s="109">
        <v>0</v>
      </c>
      <c r="K13" s="109"/>
      <c r="L13" s="110">
        <f t="shared" si="2"/>
        <v>448200</v>
      </c>
      <c r="M13" s="111">
        <f t="shared" si="5"/>
        <v>2476.243093922652</v>
      </c>
      <c r="N13" s="111"/>
      <c r="O13" s="111"/>
      <c r="P13" s="111"/>
      <c r="Q13" s="111"/>
      <c r="R13" s="112" t="e">
        <f t="shared" si="6"/>
        <v>#DIV/0!</v>
      </c>
      <c r="T13" s="249">
        <v>14.1</v>
      </c>
      <c r="U13" s="249">
        <v>21.3</v>
      </c>
      <c r="V13" s="441">
        <v>4</v>
      </c>
      <c r="W13" s="441">
        <v>4</v>
      </c>
      <c r="X13" s="441">
        <v>4</v>
      </c>
      <c r="Y13" s="273">
        <f t="shared" si="3"/>
        <v>4</v>
      </c>
      <c r="AA13" s="1" t="s">
        <v>130</v>
      </c>
    </row>
    <row r="14" spans="1:42" s="287" customFormat="1" ht="36" customHeight="1" thickTop="1" thickBot="1" x14ac:dyDescent="0.3">
      <c r="A14" s="728" t="s">
        <v>13</v>
      </c>
      <c r="B14" s="729"/>
      <c r="C14" s="728" t="s">
        <v>13</v>
      </c>
      <c r="D14" s="729"/>
      <c r="E14" s="121">
        <f>SUM(E7:E13)</f>
        <v>341</v>
      </c>
      <c r="F14" s="121">
        <f>SUM(F7:F13)</f>
        <v>601950</v>
      </c>
      <c r="G14" s="121">
        <f t="shared" si="0"/>
        <v>1765.2492668621701</v>
      </c>
      <c r="H14" s="121">
        <f>SUM(H7:H13)</f>
        <v>346600</v>
      </c>
      <c r="I14" s="122">
        <f t="shared" si="1"/>
        <v>1016.4222873900293</v>
      </c>
      <c r="J14" s="122">
        <f>I14/F14</f>
        <v>1.6885493602293035E-3</v>
      </c>
      <c r="K14" s="122"/>
      <c r="L14" s="121">
        <f>F14+H14</f>
        <v>948550</v>
      </c>
      <c r="M14" s="123">
        <f>L14/E14</f>
        <v>2781.6715542521993</v>
      </c>
      <c r="N14" s="123"/>
      <c r="O14" s="123"/>
      <c r="P14" s="123"/>
      <c r="Q14" s="123">
        <f>SUM(Q7:Q13)</f>
        <v>0</v>
      </c>
      <c r="R14" s="124" t="e">
        <f t="shared" si="6"/>
        <v>#DIV/0!</v>
      </c>
      <c r="S14" s="287">
        <v>5</v>
      </c>
      <c r="T14" s="297">
        <f>SUM(T7:T13)/S14</f>
        <v>14.3</v>
      </c>
      <c r="U14" s="298">
        <f>SUM(U7:U13)/S14</f>
        <v>20.32</v>
      </c>
      <c r="V14" s="312">
        <f>SUM(V7:V13)/S14</f>
        <v>3</v>
      </c>
      <c r="W14" s="312">
        <f>SUM(W7:W13)/S14</f>
        <v>2.6</v>
      </c>
      <c r="X14" s="312">
        <f>SUM(X7:X13)/S14</f>
        <v>2.6</v>
      </c>
      <c r="Y14" s="313">
        <f t="shared" si="3"/>
        <v>2.7333333333333329</v>
      </c>
      <c r="Z14" s="287">
        <v>15</v>
      </c>
      <c r="AA14" s="707">
        <f>L14/S14</f>
        <v>189710</v>
      </c>
      <c r="AB14" s="708"/>
      <c r="AC14" s="708"/>
      <c r="AD14" s="708"/>
      <c r="AE14" s="709"/>
      <c r="AF14" s="282" t="s">
        <v>141</v>
      </c>
    </row>
    <row r="15" spans="1:42" ht="23.5" customHeight="1" thickTop="1" x14ac:dyDescent="0.25">
      <c r="A15" s="710" t="s">
        <v>14</v>
      </c>
      <c r="B15" s="711"/>
      <c r="C15" s="713" t="s">
        <v>14</v>
      </c>
      <c r="D15" s="714"/>
      <c r="E15" s="714"/>
      <c r="F15" s="714"/>
      <c r="G15" s="714"/>
      <c r="H15" s="714"/>
      <c r="I15" s="714"/>
      <c r="J15" s="714"/>
      <c r="K15" s="714"/>
      <c r="L15" s="714"/>
      <c r="M15" s="714"/>
      <c r="N15" s="714"/>
      <c r="O15" s="714"/>
      <c r="P15" s="714"/>
      <c r="Q15" s="714"/>
      <c r="R15" s="715"/>
      <c r="T15" s="716" t="str">
        <f>C15</f>
        <v>2nd week</v>
      </c>
      <c r="U15" s="716"/>
      <c r="V15" s="716"/>
      <c r="W15" s="716"/>
      <c r="X15" s="716"/>
      <c r="Y15" s="716"/>
    </row>
    <row r="16" spans="1:42" ht="23.5" customHeight="1" x14ac:dyDescent="0.25">
      <c r="A16" s="53" t="s">
        <v>10</v>
      </c>
      <c r="B16" s="37" t="s">
        <v>11</v>
      </c>
      <c r="C16" s="103" t="s">
        <v>10</v>
      </c>
      <c r="D16" s="104" t="s">
        <v>11</v>
      </c>
      <c r="E16" s="104" t="s">
        <v>1</v>
      </c>
      <c r="F16" s="104" t="s">
        <v>30</v>
      </c>
      <c r="G16" s="104" t="s">
        <v>31</v>
      </c>
      <c r="H16" s="104" t="s">
        <v>28</v>
      </c>
      <c r="I16" s="104" t="s">
        <v>29</v>
      </c>
      <c r="J16" s="104" t="s">
        <v>330</v>
      </c>
      <c r="K16" s="104" t="s">
        <v>210</v>
      </c>
      <c r="L16" s="104" t="s">
        <v>71</v>
      </c>
      <c r="M16" s="105" t="s">
        <v>48</v>
      </c>
      <c r="N16" s="105" t="s">
        <v>331</v>
      </c>
      <c r="O16" s="105" t="s">
        <v>332</v>
      </c>
      <c r="P16" s="105" t="s">
        <v>220</v>
      </c>
      <c r="Q16" s="105" t="s">
        <v>40</v>
      </c>
      <c r="R16" s="106" t="s">
        <v>73</v>
      </c>
      <c r="T16" s="253" t="s">
        <v>116</v>
      </c>
      <c r="U16" s="254" t="s">
        <v>117</v>
      </c>
      <c r="V16" s="49" t="s">
        <v>118</v>
      </c>
      <c r="W16" s="49" t="s">
        <v>119</v>
      </c>
      <c r="X16" s="49" t="s">
        <v>120</v>
      </c>
      <c r="Y16" s="255" t="s">
        <v>128</v>
      </c>
      <c r="AA16" s="1" t="s">
        <v>123</v>
      </c>
      <c r="AC16" s="36" t="s">
        <v>126</v>
      </c>
    </row>
    <row r="17" spans="1:29" ht="23.5" customHeight="1" x14ac:dyDescent="0.25">
      <c r="A17" s="54" t="s">
        <v>3</v>
      </c>
      <c r="B17" s="50">
        <v>6</v>
      </c>
      <c r="C17" s="107" t="s">
        <v>3</v>
      </c>
      <c r="D17" s="120">
        <f>B17</f>
        <v>6</v>
      </c>
      <c r="E17" s="74">
        <v>197</v>
      </c>
      <c r="F17" s="108">
        <v>409700</v>
      </c>
      <c r="G17" s="108">
        <f t="shared" ref="G17:G24" si="7">F17/E17</f>
        <v>2079.6954314720811</v>
      </c>
      <c r="H17" s="108">
        <v>241500</v>
      </c>
      <c r="I17" s="109">
        <f t="shared" ref="I17:I24" si="8">H17/E17</f>
        <v>1225.8883248730965</v>
      </c>
      <c r="J17" s="109"/>
      <c r="K17" s="109"/>
      <c r="L17" s="110">
        <f t="shared" ref="L17:L23" si="9">F17+H17+J17</f>
        <v>651200</v>
      </c>
      <c r="M17" s="111">
        <f>L17/E17</f>
        <v>3305.5837563451778</v>
      </c>
      <c r="N17" s="111"/>
      <c r="O17" s="111"/>
      <c r="P17" s="111"/>
      <c r="Q17" s="111"/>
      <c r="R17" s="112" t="e">
        <f>L17/Q17</f>
        <v>#DIV/0!</v>
      </c>
      <c r="T17" s="248">
        <v>10.9</v>
      </c>
      <c r="U17" s="248">
        <v>22.5</v>
      </c>
      <c r="V17" s="441">
        <v>4</v>
      </c>
      <c r="W17" s="479">
        <v>2</v>
      </c>
      <c r="X17" s="479">
        <v>2</v>
      </c>
      <c r="Y17" s="272">
        <f>SUM(V17:X17)/3</f>
        <v>2.6666666666666665</v>
      </c>
      <c r="AA17" s="271" t="s">
        <v>124</v>
      </c>
      <c r="AB17" s="2"/>
      <c r="AC17" s="270">
        <v>5</v>
      </c>
    </row>
    <row r="18" spans="1:29" ht="23.5" customHeight="1" x14ac:dyDescent="0.25">
      <c r="A18" s="55" t="s">
        <v>4</v>
      </c>
      <c r="B18" s="50"/>
      <c r="C18" s="103" t="s">
        <v>4</v>
      </c>
      <c r="D18" s="120">
        <f t="shared" ref="D18:D23" si="10">B18</f>
        <v>0</v>
      </c>
      <c r="E18" s="74"/>
      <c r="F18" s="108"/>
      <c r="G18" s="108" t="e">
        <f t="shared" si="7"/>
        <v>#DIV/0!</v>
      </c>
      <c r="H18" s="108"/>
      <c r="I18" s="109" t="e">
        <f t="shared" si="8"/>
        <v>#DIV/0!</v>
      </c>
      <c r="J18" s="109"/>
      <c r="K18" s="109"/>
      <c r="L18" s="110">
        <f t="shared" si="9"/>
        <v>0</v>
      </c>
      <c r="M18" s="111" t="e">
        <f t="shared" ref="M18:M23" si="11">L18/E18</f>
        <v>#DIV/0!</v>
      </c>
      <c r="N18" s="111"/>
      <c r="O18" s="111"/>
      <c r="P18" s="111"/>
      <c r="Q18" s="111"/>
      <c r="R18" s="112" t="e">
        <f t="shared" ref="R18:R24" si="12">L18/Q18</f>
        <v>#DIV/0!</v>
      </c>
      <c r="T18" s="248"/>
      <c r="U18" s="248"/>
      <c r="V18" s="256"/>
      <c r="W18" s="256"/>
      <c r="X18" s="256"/>
      <c r="Y18" s="272">
        <f t="shared" ref="Y18:Y23" si="13">SUM(V18:X18)/3</f>
        <v>0</v>
      </c>
      <c r="AA18" s="35" t="s">
        <v>125</v>
      </c>
      <c r="AC18" s="1">
        <v>4</v>
      </c>
    </row>
    <row r="19" spans="1:29" ht="23.5" customHeight="1" x14ac:dyDescent="0.25">
      <c r="A19" s="55" t="s">
        <v>5</v>
      </c>
      <c r="B19" s="50"/>
      <c r="C19" s="103" t="s">
        <v>5</v>
      </c>
      <c r="D19" s="120">
        <f t="shared" si="10"/>
        <v>0</v>
      </c>
      <c r="E19" s="74"/>
      <c r="F19" s="108"/>
      <c r="G19" s="108" t="e">
        <f t="shared" si="7"/>
        <v>#DIV/0!</v>
      </c>
      <c r="H19" s="108"/>
      <c r="I19" s="109" t="e">
        <f t="shared" si="8"/>
        <v>#DIV/0!</v>
      </c>
      <c r="J19" s="109"/>
      <c r="K19" s="109"/>
      <c r="L19" s="110">
        <f t="shared" si="9"/>
        <v>0</v>
      </c>
      <c r="M19" s="111" t="e">
        <f t="shared" si="11"/>
        <v>#DIV/0!</v>
      </c>
      <c r="N19" s="111"/>
      <c r="O19" s="111"/>
      <c r="P19" s="111"/>
      <c r="Q19" s="111"/>
      <c r="R19" s="112" t="e">
        <f t="shared" si="12"/>
        <v>#DIV/0!</v>
      </c>
      <c r="T19" s="248"/>
      <c r="U19" s="248"/>
      <c r="V19" s="256"/>
      <c r="W19" s="256"/>
      <c r="X19" s="256"/>
      <c r="Y19" s="272">
        <f t="shared" si="13"/>
        <v>0</v>
      </c>
      <c r="AA19" s="35" t="s">
        <v>129</v>
      </c>
      <c r="AC19" s="1">
        <v>3</v>
      </c>
    </row>
    <row r="20" spans="1:29" ht="23.5" customHeight="1" x14ac:dyDescent="0.25">
      <c r="A20" s="55" t="s">
        <v>6</v>
      </c>
      <c r="B20" s="50"/>
      <c r="C20" s="103" t="s">
        <v>6</v>
      </c>
      <c r="D20" s="120">
        <f t="shared" si="10"/>
        <v>0</v>
      </c>
      <c r="E20" s="74"/>
      <c r="F20" s="108"/>
      <c r="G20" s="108" t="e">
        <f t="shared" si="7"/>
        <v>#DIV/0!</v>
      </c>
      <c r="H20" s="108"/>
      <c r="I20" s="109" t="e">
        <f t="shared" si="8"/>
        <v>#DIV/0!</v>
      </c>
      <c r="J20" s="109"/>
      <c r="K20" s="109"/>
      <c r="L20" s="110">
        <f t="shared" si="9"/>
        <v>0</v>
      </c>
      <c r="M20" s="111" t="e">
        <f t="shared" si="11"/>
        <v>#DIV/0!</v>
      </c>
      <c r="N20" s="111"/>
      <c r="O20" s="111"/>
      <c r="P20" s="111"/>
      <c r="Q20" s="111"/>
      <c r="R20" s="112" t="e">
        <f t="shared" si="12"/>
        <v>#DIV/0!</v>
      </c>
      <c r="T20" s="248"/>
      <c r="U20" s="248"/>
      <c r="V20" s="256"/>
      <c r="W20" s="256"/>
      <c r="X20" s="256"/>
      <c r="Y20" s="272">
        <f t="shared" si="13"/>
        <v>0</v>
      </c>
      <c r="AA20" s="35" t="s">
        <v>121</v>
      </c>
      <c r="AC20" s="1">
        <v>2</v>
      </c>
    </row>
    <row r="21" spans="1:29" ht="23.5" customHeight="1" x14ac:dyDescent="0.25">
      <c r="A21" s="55" t="s">
        <v>7</v>
      </c>
      <c r="B21" s="50"/>
      <c r="C21" s="103" t="s">
        <v>7</v>
      </c>
      <c r="D21" s="120">
        <f t="shared" si="10"/>
        <v>0</v>
      </c>
      <c r="E21" s="74"/>
      <c r="F21" s="108"/>
      <c r="G21" s="108" t="e">
        <f t="shared" si="7"/>
        <v>#DIV/0!</v>
      </c>
      <c r="H21" s="108"/>
      <c r="I21" s="109" t="e">
        <f t="shared" si="8"/>
        <v>#DIV/0!</v>
      </c>
      <c r="J21" s="109"/>
      <c r="K21" s="109"/>
      <c r="L21" s="110">
        <f t="shared" si="9"/>
        <v>0</v>
      </c>
      <c r="M21" s="111" t="e">
        <f t="shared" si="11"/>
        <v>#DIV/0!</v>
      </c>
      <c r="N21" s="111"/>
      <c r="O21" s="111"/>
      <c r="P21" s="111"/>
      <c r="Q21" s="111"/>
      <c r="R21" s="112" t="e">
        <f t="shared" si="12"/>
        <v>#DIV/0!</v>
      </c>
      <c r="T21" s="248"/>
      <c r="U21" s="248"/>
      <c r="V21" s="256"/>
      <c r="W21" s="256"/>
      <c r="X21" s="256"/>
      <c r="Y21" s="272">
        <f t="shared" si="13"/>
        <v>0</v>
      </c>
      <c r="AA21" s="35" t="s">
        <v>122</v>
      </c>
      <c r="AC21" s="1">
        <v>1</v>
      </c>
    </row>
    <row r="22" spans="1:29" ht="23.5" customHeight="1" x14ac:dyDescent="0.25">
      <c r="A22" s="55" t="s">
        <v>8</v>
      </c>
      <c r="B22" s="50"/>
      <c r="C22" s="103" t="s">
        <v>8</v>
      </c>
      <c r="D22" s="120">
        <f t="shared" si="10"/>
        <v>0</v>
      </c>
      <c r="E22" s="74"/>
      <c r="F22" s="108"/>
      <c r="G22" s="108" t="e">
        <f t="shared" si="7"/>
        <v>#DIV/0!</v>
      </c>
      <c r="H22" s="108"/>
      <c r="I22" s="109" t="e">
        <f t="shared" si="8"/>
        <v>#DIV/0!</v>
      </c>
      <c r="J22" s="109"/>
      <c r="K22" s="109"/>
      <c r="L22" s="110">
        <f t="shared" si="9"/>
        <v>0</v>
      </c>
      <c r="M22" s="111" t="e">
        <f t="shared" si="11"/>
        <v>#DIV/0!</v>
      </c>
      <c r="N22" s="111"/>
      <c r="O22" s="111"/>
      <c r="P22" s="111"/>
      <c r="Q22" s="111"/>
      <c r="R22" s="112" t="e">
        <f t="shared" si="12"/>
        <v>#DIV/0!</v>
      </c>
      <c r="T22" s="248"/>
      <c r="U22" s="248"/>
      <c r="V22" s="256"/>
      <c r="W22" s="256"/>
      <c r="X22" s="256"/>
      <c r="Y22" s="272">
        <f t="shared" si="13"/>
        <v>0</v>
      </c>
      <c r="AA22" s="35" t="s">
        <v>127</v>
      </c>
      <c r="AC22" s="1">
        <v>0</v>
      </c>
    </row>
    <row r="23" spans="1:29" ht="23.5" customHeight="1" thickBot="1" x14ac:dyDescent="0.3">
      <c r="A23" s="56" t="s">
        <v>9</v>
      </c>
      <c r="B23" s="50"/>
      <c r="C23" s="113" t="s">
        <v>9</v>
      </c>
      <c r="D23" s="120">
        <f t="shared" si="10"/>
        <v>0</v>
      </c>
      <c r="E23" s="74"/>
      <c r="F23" s="108"/>
      <c r="G23" s="108" t="e">
        <f t="shared" si="7"/>
        <v>#DIV/0!</v>
      </c>
      <c r="H23" s="108"/>
      <c r="I23" s="109" t="e">
        <f t="shared" si="8"/>
        <v>#DIV/0!</v>
      </c>
      <c r="J23" s="109">
        <v>0</v>
      </c>
      <c r="K23" s="109"/>
      <c r="L23" s="110">
        <f t="shared" si="9"/>
        <v>0</v>
      </c>
      <c r="M23" s="111" t="e">
        <f t="shared" si="11"/>
        <v>#DIV/0!</v>
      </c>
      <c r="N23" s="111"/>
      <c r="O23" s="111"/>
      <c r="P23" s="111"/>
      <c r="Q23" s="111"/>
      <c r="R23" s="112" t="e">
        <f t="shared" si="12"/>
        <v>#DIV/0!</v>
      </c>
      <c r="T23" s="249"/>
      <c r="U23" s="249"/>
      <c r="V23" s="257"/>
      <c r="W23" s="256"/>
      <c r="X23" s="256"/>
      <c r="Y23" s="273">
        <f t="shared" si="13"/>
        <v>0</v>
      </c>
      <c r="AA23" s="1" t="s">
        <v>130</v>
      </c>
    </row>
    <row r="24" spans="1:29" ht="23.5" customHeight="1" thickTop="1" thickBot="1" x14ac:dyDescent="0.3">
      <c r="A24" s="724" t="s">
        <v>13</v>
      </c>
      <c r="B24" s="725"/>
      <c r="C24" s="726" t="s">
        <v>13</v>
      </c>
      <c r="D24" s="727"/>
      <c r="E24" s="110">
        <f>SUM(E17:E23)</f>
        <v>197</v>
      </c>
      <c r="F24" s="110">
        <f>SUM(F17:F23)</f>
        <v>409700</v>
      </c>
      <c r="G24" s="110">
        <f t="shared" si="7"/>
        <v>2079.6954314720811</v>
      </c>
      <c r="H24" s="110">
        <f>SUM(H17:H23)</f>
        <v>241500</v>
      </c>
      <c r="I24" s="74">
        <f t="shared" si="8"/>
        <v>1225.8883248730965</v>
      </c>
      <c r="J24" s="74">
        <f>I24/F24</f>
        <v>2.9921609101125129E-3</v>
      </c>
      <c r="K24" s="74"/>
      <c r="L24" s="110">
        <f>F24+H24</f>
        <v>651200</v>
      </c>
      <c r="M24" s="116">
        <f>L24/E24</f>
        <v>3305.5837563451778</v>
      </c>
      <c r="N24" s="116"/>
      <c r="O24" s="116"/>
      <c r="P24" s="116"/>
      <c r="Q24" s="116">
        <f>SUM(Q17:Q23)</f>
        <v>0</v>
      </c>
      <c r="R24" s="112" t="e">
        <f t="shared" si="12"/>
        <v>#DIV/0!</v>
      </c>
      <c r="S24" s="260">
        <v>1</v>
      </c>
      <c r="T24" s="265">
        <f>SUM(T17:T23)/S24</f>
        <v>10.9</v>
      </c>
      <c r="U24" s="267">
        <f>SUM(U17:U23)/S24</f>
        <v>22.5</v>
      </c>
      <c r="V24" s="267">
        <f>SUM(V17:V23)/S24</f>
        <v>4</v>
      </c>
      <c r="W24" s="267">
        <f>SUM(W17:W23)/S24</f>
        <v>2</v>
      </c>
      <c r="X24" s="267">
        <f>SUM(X17:X23)/S24</f>
        <v>2</v>
      </c>
      <c r="Y24" s="269">
        <f>SUM(V24:X24)/3</f>
        <v>2.6666666666666665</v>
      </c>
      <c r="Z24" s="260"/>
      <c r="AA24" s="260"/>
      <c r="AB24" s="260"/>
      <c r="AC24" s="260"/>
    </row>
    <row r="25" spans="1:29" ht="23.5" customHeight="1" thickTop="1" x14ac:dyDescent="0.25">
      <c r="A25" s="710" t="s">
        <v>15</v>
      </c>
      <c r="B25" s="711"/>
      <c r="C25" s="713" t="s">
        <v>15</v>
      </c>
      <c r="D25" s="714"/>
      <c r="E25" s="714"/>
      <c r="F25" s="714"/>
      <c r="G25" s="714"/>
      <c r="H25" s="714"/>
      <c r="I25" s="714"/>
      <c r="J25" s="714"/>
      <c r="K25" s="714"/>
      <c r="L25" s="714"/>
      <c r="M25" s="714"/>
      <c r="N25" s="714"/>
      <c r="O25" s="714"/>
      <c r="P25" s="714"/>
      <c r="Q25" s="714"/>
      <c r="R25" s="715"/>
      <c r="T25" s="716" t="str">
        <f>C25</f>
        <v>3rd week</v>
      </c>
      <c r="U25" s="716"/>
      <c r="V25" s="716"/>
      <c r="W25" s="716"/>
      <c r="X25" s="716"/>
      <c r="Y25" s="716"/>
    </row>
    <row r="26" spans="1:29" ht="23.5" customHeight="1" x14ac:dyDescent="0.25">
      <c r="A26" s="53" t="s">
        <v>10</v>
      </c>
      <c r="B26" s="37" t="s">
        <v>11</v>
      </c>
      <c r="C26" s="103" t="s">
        <v>10</v>
      </c>
      <c r="D26" s="104" t="s">
        <v>11</v>
      </c>
      <c r="E26" s="104" t="s">
        <v>1</v>
      </c>
      <c r="F26" s="104" t="s">
        <v>30</v>
      </c>
      <c r="G26" s="104" t="s">
        <v>31</v>
      </c>
      <c r="H26" s="104" t="s">
        <v>28</v>
      </c>
      <c r="I26" s="104" t="s">
        <v>29</v>
      </c>
      <c r="J26" s="104" t="s">
        <v>330</v>
      </c>
      <c r="K26" s="104" t="s">
        <v>210</v>
      </c>
      <c r="L26" s="104" t="s">
        <v>71</v>
      </c>
      <c r="M26" s="105" t="s">
        <v>48</v>
      </c>
      <c r="N26" s="105" t="s">
        <v>331</v>
      </c>
      <c r="O26" s="105" t="s">
        <v>332</v>
      </c>
      <c r="P26" s="105" t="s">
        <v>220</v>
      </c>
      <c r="Q26" s="105" t="s">
        <v>40</v>
      </c>
      <c r="R26" s="106" t="s">
        <v>73</v>
      </c>
      <c r="T26" s="253" t="s">
        <v>116</v>
      </c>
      <c r="U26" s="254" t="s">
        <v>117</v>
      </c>
      <c r="V26" s="49" t="s">
        <v>118</v>
      </c>
      <c r="W26" s="49" t="s">
        <v>119</v>
      </c>
      <c r="X26" s="49" t="s">
        <v>120</v>
      </c>
      <c r="Y26" s="255" t="s">
        <v>128</v>
      </c>
      <c r="AA26" s="1" t="s">
        <v>123</v>
      </c>
      <c r="AC26" s="36" t="s">
        <v>126</v>
      </c>
    </row>
    <row r="27" spans="1:29" ht="23.5" customHeight="1" x14ac:dyDescent="0.25">
      <c r="A27" s="54" t="s">
        <v>3</v>
      </c>
      <c r="B27" s="50"/>
      <c r="C27" s="107" t="s">
        <v>3</v>
      </c>
      <c r="D27" s="120">
        <f>B27</f>
        <v>0</v>
      </c>
      <c r="E27" s="74"/>
      <c r="F27" s="108"/>
      <c r="G27" s="108" t="e">
        <f t="shared" ref="G27:G34" si="14">F27/E27</f>
        <v>#DIV/0!</v>
      </c>
      <c r="H27" s="108"/>
      <c r="I27" s="109" t="e">
        <f t="shared" ref="I27:I34" si="15">H27/E27</f>
        <v>#DIV/0!</v>
      </c>
      <c r="J27" s="109"/>
      <c r="K27" s="109"/>
      <c r="L27" s="110">
        <f t="shared" ref="L27:L33" si="16">F27+H27+J27</f>
        <v>0</v>
      </c>
      <c r="M27" s="111" t="e">
        <f>L27/E27</f>
        <v>#DIV/0!</v>
      </c>
      <c r="N27" s="111"/>
      <c r="O27" s="111"/>
      <c r="P27" s="111"/>
      <c r="Q27" s="111"/>
      <c r="R27" s="112" t="e">
        <f>L27/Q27</f>
        <v>#DIV/0!</v>
      </c>
      <c r="T27" s="248"/>
      <c r="U27" s="248"/>
      <c r="V27" s="256"/>
      <c r="W27" s="256"/>
      <c r="X27" s="256"/>
      <c r="Y27" s="272">
        <f>SUM(V27:X27)/3</f>
        <v>0</v>
      </c>
      <c r="AA27" s="271" t="s">
        <v>124</v>
      </c>
      <c r="AB27" s="2"/>
      <c r="AC27" s="270">
        <v>5</v>
      </c>
    </row>
    <row r="28" spans="1:29" ht="23.5" customHeight="1" x14ac:dyDescent="0.25">
      <c r="A28" s="55" t="s">
        <v>4</v>
      </c>
      <c r="B28" s="50"/>
      <c r="C28" s="103" t="s">
        <v>4</v>
      </c>
      <c r="D28" s="120">
        <f t="shared" ref="D28:D33" si="17">B28</f>
        <v>0</v>
      </c>
      <c r="E28" s="74"/>
      <c r="F28" s="108"/>
      <c r="G28" s="108" t="e">
        <f t="shared" si="14"/>
        <v>#DIV/0!</v>
      </c>
      <c r="H28" s="108"/>
      <c r="I28" s="109" t="e">
        <f t="shared" si="15"/>
        <v>#DIV/0!</v>
      </c>
      <c r="J28" s="109"/>
      <c r="K28" s="109"/>
      <c r="L28" s="110">
        <f t="shared" si="16"/>
        <v>0</v>
      </c>
      <c r="M28" s="111" t="e">
        <f t="shared" ref="M28:M33" si="18">L28/E28</f>
        <v>#DIV/0!</v>
      </c>
      <c r="N28" s="111"/>
      <c r="O28" s="111"/>
      <c r="P28" s="111"/>
      <c r="Q28" s="111"/>
      <c r="R28" s="112" t="e">
        <f t="shared" ref="R28:R34" si="19">L28/Q28</f>
        <v>#DIV/0!</v>
      </c>
      <c r="T28" s="248"/>
      <c r="U28" s="248"/>
      <c r="V28" s="256"/>
      <c r="W28" s="256"/>
      <c r="X28" s="256"/>
      <c r="Y28" s="272">
        <f t="shared" ref="Y28:Y33" si="20">SUM(V28:X28)/3</f>
        <v>0</v>
      </c>
      <c r="AA28" s="35" t="s">
        <v>125</v>
      </c>
      <c r="AC28" s="1">
        <v>4</v>
      </c>
    </row>
    <row r="29" spans="1:29" ht="23.5" customHeight="1" x14ac:dyDescent="0.25">
      <c r="A29" s="55" t="s">
        <v>5</v>
      </c>
      <c r="B29" s="50"/>
      <c r="C29" s="103" t="s">
        <v>5</v>
      </c>
      <c r="D29" s="120">
        <f t="shared" si="17"/>
        <v>0</v>
      </c>
      <c r="E29" s="74"/>
      <c r="F29" s="108"/>
      <c r="G29" s="108" t="e">
        <f t="shared" si="14"/>
        <v>#DIV/0!</v>
      </c>
      <c r="H29" s="108"/>
      <c r="I29" s="109" t="e">
        <f t="shared" si="15"/>
        <v>#DIV/0!</v>
      </c>
      <c r="J29" s="109"/>
      <c r="K29" s="109"/>
      <c r="L29" s="110">
        <f t="shared" si="16"/>
        <v>0</v>
      </c>
      <c r="M29" s="111" t="e">
        <f t="shared" si="18"/>
        <v>#DIV/0!</v>
      </c>
      <c r="N29" s="111"/>
      <c r="O29" s="111"/>
      <c r="P29" s="111"/>
      <c r="Q29" s="111"/>
      <c r="R29" s="112" t="e">
        <f t="shared" si="19"/>
        <v>#DIV/0!</v>
      </c>
      <c r="T29" s="248"/>
      <c r="U29" s="248"/>
      <c r="V29" s="256"/>
      <c r="W29" s="256"/>
      <c r="X29" s="256"/>
      <c r="Y29" s="272">
        <f t="shared" si="20"/>
        <v>0</v>
      </c>
      <c r="AA29" s="35" t="s">
        <v>129</v>
      </c>
      <c r="AC29" s="1">
        <v>3</v>
      </c>
    </row>
    <row r="30" spans="1:29" ht="23.5" customHeight="1" x14ac:dyDescent="0.25">
      <c r="A30" s="55" t="s">
        <v>6</v>
      </c>
      <c r="B30" s="50"/>
      <c r="C30" s="103" t="s">
        <v>6</v>
      </c>
      <c r="D30" s="120">
        <f t="shared" si="17"/>
        <v>0</v>
      </c>
      <c r="E30" s="74"/>
      <c r="F30" s="108"/>
      <c r="G30" s="108" t="e">
        <f t="shared" si="14"/>
        <v>#DIV/0!</v>
      </c>
      <c r="H30" s="108"/>
      <c r="I30" s="109" t="e">
        <f t="shared" si="15"/>
        <v>#DIV/0!</v>
      </c>
      <c r="J30" s="109"/>
      <c r="K30" s="109"/>
      <c r="L30" s="110">
        <f t="shared" si="16"/>
        <v>0</v>
      </c>
      <c r="M30" s="111" t="e">
        <f t="shared" si="18"/>
        <v>#DIV/0!</v>
      </c>
      <c r="N30" s="111"/>
      <c r="O30" s="111"/>
      <c r="P30" s="111"/>
      <c r="Q30" s="111"/>
      <c r="R30" s="112" t="e">
        <f t="shared" si="19"/>
        <v>#DIV/0!</v>
      </c>
      <c r="T30" s="248"/>
      <c r="U30" s="248"/>
      <c r="V30" s="256"/>
      <c r="W30" s="256"/>
      <c r="X30" s="256"/>
      <c r="Y30" s="272">
        <f t="shared" si="20"/>
        <v>0</v>
      </c>
      <c r="AA30" s="35" t="s">
        <v>121</v>
      </c>
      <c r="AC30" s="1">
        <v>2</v>
      </c>
    </row>
    <row r="31" spans="1:29" ht="23.5" customHeight="1" x14ac:dyDescent="0.25">
      <c r="A31" s="55" t="s">
        <v>7</v>
      </c>
      <c r="B31" s="50"/>
      <c r="C31" s="103" t="s">
        <v>7</v>
      </c>
      <c r="D31" s="120">
        <f t="shared" si="17"/>
        <v>0</v>
      </c>
      <c r="E31" s="74"/>
      <c r="F31" s="108"/>
      <c r="G31" s="108" t="e">
        <f t="shared" si="14"/>
        <v>#DIV/0!</v>
      </c>
      <c r="H31" s="108"/>
      <c r="I31" s="109" t="e">
        <f t="shared" si="15"/>
        <v>#DIV/0!</v>
      </c>
      <c r="J31" s="109"/>
      <c r="K31" s="109"/>
      <c r="L31" s="110">
        <f t="shared" si="16"/>
        <v>0</v>
      </c>
      <c r="M31" s="111" t="e">
        <f t="shared" si="18"/>
        <v>#DIV/0!</v>
      </c>
      <c r="N31" s="111"/>
      <c r="O31" s="111"/>
      <c r="P31" s="111"/>
      <c r="Q31" s="111"/>
      <c r="R31" s="112" t="e">
        <f t="shared" si="19"/>
        <v>#DIV/0!</v>
      </c>
      <c r="T31" s="248"/>
      <c r="U31" s="248"/>
      <c r="V31" s="256"/>
      <c r="W31" s="256"/>
      <c r="X31" s="256"/>
      <c r="Y31" s="272">
        <f t="shared" si="20"/>
        <v>0</v>
      </c>
      <c r="AA31" s="35" t="s">
        <v>122</v>
      </c>
      <c r="AC31" s="1">
        <v>1</v>
      </c>
    </row>
    <row r="32" spans="1:29" ht="23.5" customHeight="1" x14ac:dyDescent="0.25">
      <c r="A32" s="55" t="s">
        <v>8</v>
      </c>
      <c r="B32" s="50"/>
      <c r="C32" s="103" t="s">
        <v>8</v>
      </c>
      <c r="D32" s="120">
        <f t="shared" si="17"/>
        <v>0</v>
      </c>
      <c r="E32" s="74"/>
      <c r="F32" s="108"/>
      <c r="G32" s="108" t="e">
        <f t="shared" si="14"/>
        <v>#DIV/0!</v>
      </c>
      <c r="H32" s="108"/>
      <c r="I32" s="109" t="e">
        <f t="shared" si="15"/>
        <v>#DIV/0!</v>
      </c>
      <c r="J32" s="109"/>
      <c r="K32" s="109"/>
      <c r="L32" s="110">
        <f t="shared" si="16"/>
        <v>0</v>
      </c>
      <c r="M32" s="111" t="e">
        <f t="shared" si="18"/>
        <v>#DIV/0!</v>
      </c>
      <c r="N32" s="111"/>
      <c r="O32" s="111"/>
      <c r="P32" s="111"/>
      <c r="Q32" s="111"/>
      <c r="R32" s="112" t="e">
        <f t="shared" si="19"/>
        <v>#DIV/0!</v>
      </c>
      <c r="T32" s="248"/>
      <c r="U32" s="248"/>
      <c r="V32" s="256"/>
      <c r="W32" s="256"/>
      <c r="X32" s="256"/>
      <c r="Y32" s="272">
        <f t="shared" si="20"/>
        <v>0</v>
      </c>
      <c r="AA32" s="35" t="s">
        <v>127</v>
      </c>
      <c r="AC32" s="1">
        <v>0</v>
      </c>
    </row>
    <row r="33" spans="1:29" ht="23.5" customHeight="1" thickBot="1" x14ac:dyDescent="0.3">
      <c r="A33" s="56" t="s">
        <v>9</v>
      </c>
      <c r="B33" s="50"/>
      <c r="C33" s="113" t="s">
        <v>9</v>
      </c>
      <c r="D33" s="120">
        <f t="shared" si="17"/>
        <v>0</v>
      </c>
      <c r="E33" s="74"/>
      <c r="F33" s="108"/>
      <c r="G33" s="108" t="e">
        <f t="shared" si="14"/>
        <v>#DIV/0!</v>
      </c>
      <c r="H33" s="108"/>
      <c r="I33" s="109" t="e">
        <f t="shared" si="15"/>
        <v>#DIV/0!</v>
      </c>
      <c r="J33" s="109">
        <v>0</v>
      </c>
      <c r="K33" s="109"/>
      <c r="L33" s="110">
        <f t="shared" si="16"/>
        <v>0</v>
      </c>
      <c r="M33" s="111" t="e">
        <f t="shared" si="18"/>
        <v>#DIV/0!</v>
      </c>
      <c r="N33" s="111"/>
      <c r="O33" s="111"/>
      <c r="P33" s="111"/>
      <c r="Q33" s="111"/>
      <c r="R33" s="112" t="e">
        <f t="shared" si="19"/>
        <v>#DIV/0!</v>
      </c>
      <c r="T33" s="249"/>
      <c r="U33" s="249"/>
      <c r="V33" s="257"/>
      <c r="W33" s="256"/>
      <c r="X33" s="257"/>
      <c r="Y33" s="273">
        <f t="shared" si="20"/>
        <v>0</v>
      </c>
      <c r="AA33" s="1" t="s">
        <v>130</v>
      </c>
    </row>
    <row r="34" spans="1:29" ht="23.5" customHeight="1" thickTop="1" thickBot="1" x14ac:dyDescent="0.3">
      <c r="A34" s="724" t="s">
        <v>13</v>
      </c>
      <c r="B34" s="725"/>
      <c r="C34" s="726" t="s">
        <v>13</v>
      </c>
      <c r="D34" s="727"/>
      <c r="E34" s="110">
        <f>SUM(E27:E33)</f>
        <v>0</v>
      </c>
      <c r="F34" s="110">
        <f>SUM(F27:F33)</f>
        <v>0</v>
      </c>
      <c r="G34" s="110" t="e">
        <f t="shared" si="14"/>
        <v>#DIV/0!</v>
      </c>
      <c r="H34" s="110">
        <f>SUM(H27:H33)</f>
        <v>0</v>
      </c>
      <c r="I34" s="74" t="e">
        <f t="shared" si="15"/>
        <v>#DIV/0!</v>
      </c>
      <c r="J34" s="74" t="e">
        <f>I34/F34</f>
        <v>#DIV/0!</v>
      </c>
      <c r="K34" s="74"/>
      <c r="L34" s="110">
        <f>F34+H34</f>
        <v>0</v>
      </c>
      <c r="M34" s="116" t="e">
        <f>L34/E34</f>
        <v>#DIV/0!</v>
      </c>
      <c r="N34" s="116"/>
      <c r="O34" s="116"/>
      <c r="P34" s="116"/>
      <c r="Q34" s="116">
        <f>SUM(Q27:Q33)</f>
        <v>0</v>
      </c>
      <c r="R34" s="112" t="e">
        <f t="shared" si="19"/>
        <v>#DIV/0!</v>
      </c>
      <c r="S34" s="260"/>
      <c r="T34" s="265" t="e">
        <f>SUM(T27:T33)/S34</f>
        <v>#DIV/0!</v>
      </c>
      <c r="U34" s="267" t="e">
        <f>SUM(U27:U33)/S34</f>
        <v>#DIV/0!</v>
      </c>
      <c r="V34" s="267" t="e">
        <f>SUM(V27:V33)/S34</f>
        <v>#DIV/0!</v>
      </c>
      <c r="W34" s="267" t="e">
        <f>SUM(W27:W33)/S34</f>
        <v>#DIV/0!</v>
      </c>
      <c r="X34" s="267" t="e">
        <f>SUM(X27:X33)/S34</f>
        <v>#DIV/0!</v>
      </c>
      <c r="Y34" s="269" t="e">
        <f>SUM(V34:X34)/3</f>
        <v>#DIV/0!</v>
      </c>
      <c r="Z34" s="260"/>
      <c r="AA34" s="260"/>
      <c r="AB34" s="260"/>
      <c r="AC34" s="260"/>
    </row>
    <row r="35" spans="1:29" ht="23.5" customHeight="1" thickTop="1" x14ac:dyDescent="0.25">
      <c r="A35" s="710" t="s">
        <v>16</v>
      </c>
      <c r="B35" s="711"/>
      <c r="C35" s="713" t="s">
        <v>16</v>
      </c>
      <c r="D35" s="714"/>
      <c r="E35" s="714"/>
      <c r="F35" s="714"/>
      <c r="G35" s="714"/>
      <c r="H35" s="714"/>
      <c r="I35" s="714"/>
      <c r="J35" s="714"/>
      <c r="K35" s="714"/>
      <c r="L35" s="714"/>
      <c r="M35" s="714"/>
      <c r="N35" s="714"/>
      <c r="O35" s="714"/>
      <c r="P35" s="714"/>
      <c r="Q35" s="714"/>
      <c r="R35" s="715"/>
      <c r="T35" s="716" t="str">
        <f>C35</f>
        <v>4th week</v>
      </c>
      <c r="U35" s="716"/>
      <c r="V35" s="716"/>
      <c r="W35" s="716"/>
      <c r="X35" s="716"/>
      <c r="Y35" s="716"/>
    </row>
    <row r="36" spans="1:29" ht="23.5" customHeight="1" x14ac:dyDescent="0.25">
      <c r="A36" s="53" t="s">
        <v>10</v>
      </c>
      <c r="B36" s="37" t="s">
        <v>11</v>
      </c>
      <c r="C36" s="103" t="s">
        <v>10</v>
      </c>
      <c r="D36" s="104" t="s">
        <v>11</v>
      </c>
      <c r="E36" s="104" t="s">
        <v>1</v>
      </c>
      <c r="F36" s="104" t="s">
        <v>30</v>
      </c>
      <c r="G36" s="104" t="s">
        <v>31</v>
      </c>
      <c r="H36" s="104" t="s">
        <v>28</v>
      </c>
      <c r="I36" s="104" t="s">
        <v>29</v>
      </c>
      <c r="J36" s="104" t="s">
        <v>330</v>
      </c>
      <c r="K36" s="104" t="s">
        <v>210</v>
      </c>
      <c r="L36" s="104" t="s">
        <v>71</v>
      </c>
      <c r="M36" s="105" t="s">
        <v>48</v>
      </c>
      <c r="N36" s="105" t="s">
        <v>331</v>
      </c>
      <c r="O36" s="105" t="s">
        <v>332</v>
      </c>
      <c r="P36" s="105" t="s">
        <v>220</v>
      </c>
      <c r="Q36" s="105" t="s">
        <v>40</v>
      </c>
      <c r="R36" s="106" t="s">
        <v>73</v>
      </c>
      <c r="T36" s="253" t="s">
        <v>116</v>
      </c>
      <c r="U36" s="254" t="s">
        <v>117</v>
      </c>
      <c r="V36" s="49" t="s">
        <v>118</v>
      </c>
      <c r="W36" s="49" t="s">
        <v>119</v>
      </c>
      <c r="X36" s="49" t="s">
        <v>120</v>
      </c>
      <c r="Y36" s="255" t="s">
        <v>128</v>
      </c>
      <c r="AA36" s="1" t="s">
        <v>123</v>
      </c>
      <c r="AC36" s="36" t="s">
        <v>126</v>
      </c>
    </row>
    <row r="37" spans="1:29" ht="23.5" customHeight="1" x14ac:dyDescent="0.25">
      <c r="A37" s="54" t="s">
        <v>3</v>
      </c>
      <c r="B37" s="50"/>
      <c r="C37" s="107" t="s">
        <v>3</v>
      </c>
      <c r="D37" s="120">
        <f>B37</f>
        <v>0</v>
      </c>
      <c r="E37" s="74"/>
      <c r="F37" s="108"/>
      <c r="G37" s="108" t="e">
        <f t="shared" ref="G37:G44" si="21">F37/E37</f>
        <v>#DIV/0!</v>
      </c>
      <c r="H37" s="108"/>
      <c r="I37" s="109" t="e">
        <f t="shared" ref="I37:I44" si="22">H37/E37</f>
        <v>#DIV/0!</v>
      </c>
      <c r="J37" s="109"/>
      <c r="K37" s="109"/>
      <c r="L37" s="110">
        <f t="shared" ref="L37:L43" si="23">F37+H37+J37</f>
        <v>0</v>
      </c>
      <c r="M37" s="111" t="e">
        <f>L37/E37</f>
        <v>#DIV/0!</v>
      </c>
      <c r="N37" s="111"/>
      <c r="O37" s="111"/>
      <c r="P37" s="111"/>
      <c r="Q37" s="111"/>
      <c r="R37" s="112" t="e">
        <f>L37/Q37</f>
        <v>#DIV/0!</v>
      </c>
      <c r="T37" s="248"/>
      <c r="U37" s="248"/>
      <c r="V37" s="256"/>
      <c r="W37" s="256"/>
      <c r="X37" s="256"/>
      <c r="Y37" s="272">
        <f>SUM(V37:X37)/3</f>
        <v>0</v>
      </c>
      <c r="AA37" s="271" t="s">
        <v>124</v>
      </c>
      <c r="AB37" s="2"/>
      <c r="AC37" s="270">
        <v>5</v>
      </c>
    </row>
    <row r="38" spans="1:29" ht="23.5" customHeight="1" x14ac:dyDescent="0.25">
      <c r="A38" s="55" t="s">
        <v>4</v>
      </c>
      <c r="B38" s="50"/>
      <c r="C38" s="103" t="s">
        <v>4</v>
      </c>
      <c r="D38" s="120">
        <f t="shared" ref="D38:D43" si="24">B38</f>
        <v>0</v>
      </c>
      <c r="E38" s="74"/>
      <c r="F38" s="108"/>
      <c r="G38" s="108" t="e">
        <f t="shared" si="21"/>
        <v>#DIV/0!</v>
      </c>
      <c r="H38" s="108"/>
      <c r="I38" s="109" t="e">
        <f t="shared" si="22"/>
        <v>#DIV/0!</v>
      </c>
      <c r="J38" s="109"/>
      <c r="K38" s="109"/>
      <c r="L38" s="110">
        <f t="shared" si="23"/>
        <v>0</v>
      </c>
      <c r="M38" s="111" t="e">
        <f t="shared" ref="M38:M43" si="25">L38/E38</f>
        <v>#DIV/0!</v>
      </c>
      <c r="N38" s="111"/>
      <c r="O38" s="111"/>
      <c r="P38" s="111"/>
      <c r="Q38" s="111"/>
      <c r="R38" s="112" t="e">
        <f t="shared" ref="R38:R44" si="26">L38/Q38</f>
        <v>#DIV/0!</v>
      </c>
      <c r="T38" s="248"/>
      <c r="U38" s="248"/>
      <c r="V38" s="256"/>
      <c r="W38" s="256"/>
      <c r="X38" s="256"/>
      <c r="Y38" s="272">
        <f t="shared" ref="Y38:Y43" si="27">SUM(V38:X38)/3</f>
        <v>0</v>
      </c>
      <c r="AA38" s="35" t="s">
        <v>125</v>
      </c>
      <c r="AC38" s="1">
        <v>4</v>
      </c>
    </row>
    <row r="39" spans="1:29" ht="23.5" customHeight="1" x14ac:dyDescent="0.25">
      <c r="A39" s="55" t="s">
        <v>5</v>
      </c>
      <c r="B39" s="50"/>
      <c r="C39" s="103" t="s">
        <v>5</v>
      </c>
      <c r="D39" s="120">
        <f t="shared" si="24"/>
        <v>0</v>
      </c>
      <c r="E39" s="74"/>
      <c r="F39" s="108"/>
      <c r="G39" s="108" t="e">
        <f t="shared" si="21"/>
        <v>#DIV/0!</v>
      </c>
      <c r="H39" s="108"/>
      <c r="I39" s="109" t="e">
        <f t="shared" si="22"/>
        <v>#DIV/0!</v>
      </c>
      <c r="J39" s="109"/>
      <c r="K39" s="109"/>
      <c r="L39" s="110">
        <f t="shared" si="23"/>
        <v>0</v>
      </c>
      <c r="M39" s="111" t="e">
        <f t="shared" si="25"/>
        <v>#DIV/0!</v>
      </c>
      <c r="N39" s="111"/>
      <c r="O39" s="111"/>
      <c r="P39" s="111"/>
      <c r="Q39" s="111"/>
      <c r="R39" s="112" t="e">
        <f t="shared" si="26"/>
        <v>#DIV/0!</v>
      </c>
      <c r="T39" s="248"/>
      <c r="U39" s="248"/>
      <c r="V39" s="256"/>
      <c r="W39" s="256"/>
      <c r="X39" s="256"/>
      <c r="Y39" s="272">
        <f t="shared" si="27"/>
        <v>0</v>
      </c>
      <c r="AA39" s="35" t="s">
        <v>129</v>
      </c>
      <c r="AC39" s="1">
        <v>3</v>
      </c>
    </row>
    <row r="40" spans="1:29" ht="23.5" customHeight="1" x14ac:dyDescent="0.25">
      <c r="A40" s="55" t="s">
        <v>6</v>
      </c>
      <c r="B40" s="50"/>
      <c r="C40" s="103" t="s">
        <v>6</v>
      </c>
      <c r="D40" s="120">
        <f t="shared" si="24"/>
        <v>0</v>
      </c>
      <c r="E40" s="74"/>
      <c r="F40" s="108"/>
      <c r="G40" s="108" t="e">
        <f t="shared" si="21"/>
        <v>#DIV/0!</v>
      </c>
      <c r="H40" s="108"/>
      <c r="I40" s="109" t="e">
        <f t="shared" si="22"/>
        <v>#DIV/0!</v>
      </c>
      <c r="J40" s="109"/>
      <c r="K40" s="109"/>
      <c r="L40" s="110">
        <f t="shared" si="23"/>
        <v>0</v>
      </c>
      <c r="M40" s="111" t="e">
        <f t="shared" si="25"/>
        <v>#DIV/0!</v>
      </c>
      <c r="N40" s="111"/>
      <c r="O40" s="111"/>
      <c r="P40" s="111"/>
      <c r="Q40" s="111"/>
      <c r="R40" s="112" t="e">
        <f t="shared" si="26"/>
        <v>#DIV/0!</v>
      </c>
      <c r="T40" s="248"/>
      <c r="U40" s="248"/>
      <c r="V40" s="256"/>
      <c r="W40" s="256"/>
      <c r="X40" s="256"/>
      <c r="Y40" s="272">
        <f t="shared" si="27"/>
        <v>0</v>
      </c>
      <c r="AA40" s="35" t="s">
        <v>121</v>
      </c>
      <c r="AC40" s="1">
        <v>2</v>
      </c>
    </row>
    <row r="41" spans="1:29" ht="23.5" customHeight="1" x14ac:dyDescent="0.25">
      <c r="A41" s="55" t="s">
        <v>7</v>
      </c>
      <c r="B41" s="50"/>
      <c r="C41" s="103" t="s">
        <v>7</v>
      </c>
      <c r="D41" s="120">
        <f t="shared" si="24"/>
        <v>0</v>
      </c>
      <c r="E41" s="74"/>
      <c r="F41" s="108"/>
      <c r="G41" s="108" t="e">
        <f t="shared" si="21"/>
        <v>#DIV/0!</v>
      </c>
      <c r="H41" s="108"/>
      <c r="I41" s="109" t="e">
        <f t="shared" si="22"/>
        <v>#DIV/0!</v>
      </c>
      <c r="J41" s="109"/>
      <c r="K41" s="109"/>
      <c r="L41" s="110">
        <f t="shared" si="23"/>
        <v>0</v>
      </c>
      <c r="M41" s="111" t="e">
        <f t="shared" si="25"/>
        <v>#DIV/0!</v>
      </c>
      <c r="N41" s="111"/>
      <c r="O41" s="111"/>
      <c r="P41" s="111"/>
      <c r="Q41" s="111"/>
      <c r="R41" s="112" t="e">
        <f t="shared" si="26"/>
        <v>#DIV/0!</v>
      </c>
      <c r="T41" s="248"/>
      <c r="U41" s="248"/>
      <c r="V41" s="256"/>
      <c r="W41" s="256"/>
      <c r="X41" s="256"/>
      <c r="Y41" s="272">
        <f t="shared" si="27"/>
        <v>0</v>
      </c>
      <c r="AA41" s="35" t="s">
        <v>122</v>
      </c>
      <c r="AC41" s="1">
        <v>1</v>
      </c>
    </row>
    <row r="42" spans="1:29" ht="23.5" customHeight="1" x14ac:dyDescent="0.25">
      <c r="A42" s="55" t="s">
        <v>8</v>
      </c>
      <c r="B42" s="50"/>
      <c r="C42" s="103" t="s">
        <v>8</v>
      </c>
      <c r="D42" s="120">
        <f t="shared" si="24"/>
        <v>0</v>
      </c>
      <c r="E42" s="74"/>
      <c r="F42" s="108"/>
      <c r="G42" s="108" t="e">
        <f t="shared" si="21"/>
        <v>#DIV/0!</v>
      </c>
      <c r="H42" s="108"/>
      <c r="I42" s="109" t="e">
        <f t="shared" si="22"/>
        <v>#DIV/0!</v>
      </c>
      <c r="J42" s="109"/>
      <c r="K42" s="109"/>
      <c r="L42" s="110">
        <f t="shared" si="23"/>
        <v>0</v>
      </c>
      <c r="M42" s="111" t="e">
        <f t="shared" si="25"/>
        <v>#DIV/0!</v>
      </c>
      <c r="N42" s="111"/>
      <c r="O42" s="111"/>
      <c r="P42" s="111"/>
      <c r="Q42" s="111"/>
      <c r="R42" s="112" t="e">
        <f t="shared" si="26"/>
        <v>#DIV/0!</v>
      </c>
      <c r="T42" s="248"/>
      <c r="U42" s="248"/>
      <c r="V42" s="256"/>
      <c r="W42" s="256"/>
      <c r="X42" s="256"/>
      <c r="Y42" s="272">
        <f t="shared" si="27"/>
        <v>0</v>
      </c>
      <c r="AA42" s="35" t="s">
        <v>127</v>
      </c>
      <c r="AC42" s="1">
        <v>0</v>
      </c>
    </row>
    <row r="43" spans="1:29" ht="23.5" customHeight="1" thickBot="1" x14ac:dyDescent="0.3">
      <c r="A43" s="56" t="s">
        <v>9</v>
      </c>
      <c r="B43" s="50"/>
      <c r="C43" s="113" t="s">
        <v>9</v>
      </c>
      <c r="D43" s="120">
        <f t="shared" si="24"/>
        <v>0</v>
      </c>
      <c r="E43" s="74"/>
      <c r="F43" s="108"/>
      <c r="G43" s="108" t="e">
        <f t="shared" si="21"/>
        <v>#DIV/0!</v>
      </c>
      <c r="H43" s="108"/>
      <c r="I43" s="109" t="e">
        <f t="shared" si="22"/>
        <v>#DIV/0!</v>
      </c>
      <c r="J43" s="109">
        <v>0</v>
      </c>
      <c r="K43" s="109"/>
      <c r="L43" s="110">
        <f t="shared" si="23"/>
        <v>0</v>
      </c>
      <c r="M43" s="111" t="e">
        <f t="shared" si="25"/>
        <v>#DIV/0!</v>
      </c>
      <c r="N43" s="111"/>
      <c r="O43" s="111"/>
      <c r="P43" s="111"/>
      <c r="Q43" s="111"/>
      <c r="R43" s="112" t="e">
        <f t="shared" si="26"/>
        <v>#DIV/0!</v>
      </c>
      <c r="T43" s="249"/>
      <c r="U43" s="249"/>
      <c r="V43" s="257"/>
      <c r="W43" s="256"/>
      <c r="X43" s="256"/>
      <c r="Y43" s="273">
        <f t="shared" si="27"/>
        <v>0</v>
      </c>
      <c r="AA43" s="1" t="s">
        <v>130</v>
      </c>
    </row>
    <row r="44" spans="1:29" ht="23.5" customHeight="1" thickTop="1" thickBot="1" x14ac:dyDescent="0.3">
      <c r="A44" s="724" t="s">
        <v>13</v>
      </c>
      <c r="B44" s="725"/>
      <c r="C44" s="726" t="s">
        <v>13</v>
      </c>
      <c r="D44" s="727"/>
      <c r="E44" s="121">
        <f>SUM(E37:E43)</f>
        <v>0</v>
      </c>
      <c r="F44" s="121">
        <f>SUM(F37:F43)</f>
        <v>0</v>
      </c>
      <c r="G44" s="121" t="e">
        <f t="shared" si="21"/>
        <v>#DIV/0!</v>
      </c>
      <c r="H44" s="121">
        <f>SUM(H37:H43)</f>
        <v>0</v>
      </c>
      <c r="I44" s="122" t="e">
        <f t="shared" si="22"/>
        <v>#DIV/0!</v>
      </c>
      <c r="J44" s="122" t="e">
        <f>I44/F44</f>
        <v>#DIV/0!</v>
      </c>
      <c r="K44" s="122"/>
      <c r="L44" s="121">
        <f>F44+H44</f>
        <v>0</v>
      </c>
      <c r="M44" s="123" t="e">
        <f>L44/E44</f>
        <v>#DIV/0!</v>
      </c>
      <c r="N44" s="123"/>
      <c r="O44" s="123"/>
      <c r="P44" s="123"/>
      <c r="Q44" s="123"/>
      <c r="R44" s="124" t="e">
        <f t="shared" si="26"/>
        <v>#DIV/0!</v>
      </c>
      <c r="S44" s="260"/>
      <c r="T44" s="265" t="e">
        <f>SUM(T37:T43)/S44</f>
        <v>#DIV/0!</v>
      </c>
      <c r="U44" s="267" t="e">
        <f>SUM(U37:U43)/S44</f>
        <v>#DIV/0!</v>
      </c>
      <c r="V44" s="267" t="e">
        <f>SUM(V37:V43)/S44</f>
        <v>#DIV/0!</v>
      </c>
      <c r="W44" s="267" t="e">
        <f>SUM(W37:W43)/S44</f>
        <v>#DIV/0!</v>
      </c>
      <c r="X44" s="267" t="e">
        <f>SUM(X37:X43)/S44</f>
        <v>#DIV/0!</v>
      </c>
      <c r="Y44" s="269" t="e">
        <f>SUM(V44:X44)/3</f>
        <v>#DIV/0!</v>
      </c>
      <c r="Z44" s="260"/>
      <c r="AA44" s="260"/>
      <c r="AB44" s="260"/>
      <c r="AC44" s="260"/>
    </row>
    <row r="45" spans="1:29" ht="23.5" customHeight="1" thickTop="1" x14ac:dyDescent="0.25">
      <c r="A45" s="710" t="s">
        <v>17</v>
      </c>
      <c r="B45" s="711"/>
      <c r="C45" s="713" t="s">
        <v>17</v>
      </c>
      <c r="D45" s="714"/>
      <c r="E45" s="714"/>
      <c r="F45" s="714"/>
      <c r="G45" s="714"/>
      <c r="H45" s="714"/>
      <c r="I45" s="714"/>
      <c r="J45" s="714"/>
      <c r="K45" s="714"/>
      <c r="L45" s="714"/>
      <c r="M45" s="714"/>
      <c r="N45" s="714"/>
      <c r="O45" s="714"/>
      <c r="P45" s="714"/>
      <c r="Q45" s="714"/>
      <c r="R45" s="715"/>
      <c r="T45" s="716" t="str">
        <f>C45</f>
        <v>5th week</v>
      </c>
      <c r="U45" s="716"/>
      <c r="V45" s="716"/>
      <c r="W45" s="716"/>
      <c r="X45" s="716"/>
      <c r="Y45" s="716"/>
    </row>
    <row r="46" spans="1:29" ht="23.5" customHeight="1" x14ac:dyDescent="0.25">
      <c r="A46" s="53" t="s">
        <v>10</v>
      </c>
      <c r="B46" s="37" t="s">
        <v>11</v>
      </c>
      <c r="C46" s="103" t="s">
        <v>10</v>
      </c>
      <c r="D46" s="104" t="s">
        <v>11</v>
      </c>
      <c r="E46" s="104" t="s">
        <v>1</v>
      </c>
      <c r="F46" s="104" t="s">
        <v>30</v>
      </c>
      <c r="G46" s="104" t="s">
        <v>31</v>
      </c>
      <c r="H46" s="104" t="s">
        <v>28</v>
      </c>
      <c r="I46" s="104" t="s">
        <v>29</v>
      </c>
      <c r="J46" s="104" t="s">
        <v>330</v>
      </c>
      <c r="K46" s="104" t="s">
        <v>210</v>
      </c>
      <c r="L46" s="104" t="s">
        <v>71</v>
      </c>
      <c r="M46" s="105" t="s">
        <v>48</v>
      </c>
      <c r="N46" s="105" t="s">
        <v>331</v>
      </c>
      <c r="O46" s="105" t="s">
        <v>332</v>
      </c>
      <c r="P46" s="105" t="s">
        <v>220</v>
      </c>
      <c r="Q46" s="105" t="s">
        <v>40</v>
      </c>
      <c r="R46" s="106" t="s">
        <v>73</v>
      </c>
      <c r="T46" s="253" t="s">
        <v>116</v>
      </c>
      <c r="U46" s="254" t="s">
        <v>117</v>
      </c>
      <c r="V46" s="49" t="s">
        <v>118</v>
      </c>
      <c r="W46" s="49" t="s">
        <v>119</v>
      </c>
      <c r="X46" s="49" t="s">
        <v>120</v>
      </c>
      <c r="Y46" s="255" t="s">
        <v>128</v>
      </c>
      <c r="AA46" s="1" t="s">
        <v>123</v>
      </c>
      <c r="AC46" s="36" t="s">
        <v>126</v>
      </c>
    </row>
    <row r="47" spans="1:29" ht="23.5" customHeight="1" x14ac:dyDescent="0.25">
      <c r="A47" s="54" t="s">
        <v>3</v>
      </c>
      <c r="B47" s="50"/>
      <c r="C47" s="107" t="s">
        <v>3</v>
      </c>
      <c r="D47" s="120">
        <f>B47</f>
        <v>0</v>
      </c>
      <c r="E47" s="74"/>
      <c r="F47" s="108"/>
      <c r="G47" s="108" t="e">
        <f t="shared" ref="G47:G54" si="28">F47/E47</f>
        <v>#DIV/0!</v>
      </c>
      <c r="H47" s="108"/>
      <c r="I47" s="109" t="e">
        <f t="shared" ref="I47:I54" si="29">H47/E47</f>
        <v>#DIV/0!</v>
      </c>
      <c r="J47" s="109"/>
      <c r="K47" s="109"/>
      <c r="L47" s="110">
        <f t="shared" ref="L47:L53" si="30">F47+H47+J47</f>
        <v>0</v>
      </c>
      <c r="M47" s="111" t="e">
        <f>L47/E47</f>
        <v>#DIV/0!</v>
      </c>
      <c r="N47" s="111"/>
      <c r="O47" s="111"/>
      <c r="P47" s="111"/>
      <c r="Q47" s="111"/>
      <c r="R47" s="112" t="e">
        <f>L47/Q47</f>
        <v>#DIV/0!</v>
      </c>
      <c r="T47" s="248"/>
      <c r="U47" s="248"/>
      <c r="V47" s="256"/>
      <c r="W47" s="256"/>
      <c r="X47" s="256"/>
      <c r="Y47" s="272">
        <f>SUM(V47:X47)/3</f>
        <v>0</v>
      </c>
      <c r="AA47" s="271" t="s">
        <v>124</v>
      </c>
      <c r="AB47" s="2"/>
      <c r="AC47" s="270">
        <v>5</v>
      </c>
    </row>
    <row r="48" spans="1:29" ht="23.5" customHeight="1" x14ac:dyDescent="0.25">
      <c r="A48" s="55" t="s">
        <v>4</v>
      </c>
      <c r="B48" s="50"/>
      <c r="C48" s="103" t="s">
        <v>4</v>
      </c>
      <c r="D48" s="120">
        <f t="shared" ref="D48:D53" si="31">B48</f>
        <v>0</v>
      </c>
      <c r="E48" s="74"/>
      <c r="F48" s="108"/>
      <c r="G48" s="108" t="e">
        <f t="shared" si="28"/>
        <v>#DIV/0!</v>
      </c>
      <c r="H48" s="108"/>
      <c r="I48" s="109" t="e">
        <f t="shared" si="29"/>
        <v>#DIV/0!</v>
      </c>
      <c r="J48" s="109"/>
      <c r="K48" s="109"/>
      <c r="L48" s="110">
        <f t="shared" si="30"/>
        <v>0</v>
      </c>
      <c r="M48" s="111" t="e">
        <f t="shared" ref="M48:M53" si="32">L48/E48</f>
        <v>#DIV/0!</v>
      </c>
      <c r="N48" s="111"/>
      <c r="O48" s="111"/>
      <c r="P48" s="111"/>
      <c r="Q48" s="111"/>
      <c r="R48" s="112" t="e">
        <f t="shared" ref="R48:R54" si="33">L48/Q48</f>
        <v>#DIV/0!</v>
      </c>
      <c r="T48" s="248"/>
      <c r="U48" s="248"/>
      <c r="V48" s="256"/>
      <c r="W48" s="256"/>
      <c r="X48" s="256"/>
      <c r="Y48" s="272">
        <f t="shared" ref="Y48:Y53" si="34">SUM(V48:X48)/3</f>
        <v>0</v>
      </c>
      <c r="AA48" s="35" t="s">
        <v>125</v>
      </c>
      <c r="AC48" s="1">
        <v>4</v>
      </c>
    </row>
    <row r="49" spans="1:29" ht="23.5" customHeight="1" x14ac:dyDescent="0.25">
      <c r="A49" s="55" t="s">
        <v>5</v>
      </c>
      <c r="B49" s="50"/>
      <c r="C49" s="103" t="s">
        <v>5</v>
      </c>
      <c r="D49" s="120">
        <f t="shared" si="31"/>
        <v>0</v>
      </c>
      <c r="E49" s="74"/>
      <c r="F49" s="108"/>
      <c r="G49" s="108" t="e">
        <f t="shared" si="28"/>
        <v>#DIV/0!</v>
      </c>
      <c r="H49" s="108"/>
      <c r="I49" s="109" t="e">
        <f t="shared" si="29"/>
        <v>#DIV/0!</v>
      </c>
      <c r="J49" s="109"/>
      <c r="K49" s="109"/>
      <c r="L49" s="110">
        <f t="shared" si="30"/>
        <v>0</v>
      </c>
      <c r="M49" s="111" t="e">
        <f t="shared" si="32"/>
        <v>#DIV/0!</v>
      </c>
      <c r="N49" s="111"/>
      <c r="O49" s="111"/>
      <c r="P49" s="111"/>
      <c r="Q49" s="111"/>
      <c r="R49" s="112" t="e">
        <f t="shared" si="33"/>
        <v>#DIV/0!</v>
      </c>
      <c r="T49" s="248"/>
      <c r="U49" s="248"/>
      <c r="V49" s="256"/>
      <c r="W49" s="256"/>
      <c r="X49" s="256"/>
      <c r="Y49" s="272">
        <f t="shared" si="34"/>
        <v>0</v>
      </c>
      <c r="AA49" s="35" t="s">
        <v>129</v>
      </c>
      <c r="AC49" s="1">
        <v>3</v>
      </c>
    </row>
    <row r="50" spans="1:29" ht="23.5" customHeight="1" x14ac:dyDescent="0.25">
      <c r="A50" s="55" t="s">
        <v>6</v>
      </c>
      <c r="B50" s="50"/>
      <c r="C50" s="103" t="s">
        <v>6</v>
      </c>
      <c r="D50" s="120">
        <f t="shared" si="31"/>
        <v>0</v>
      </c>
      <c r="E50" s="74"/>
      <c r="F50" s="108"/>
      <c r="G50" s="108" t="e">
        <f t="shared" si="28"/>
        <v>#DIV/0!</v>
      </c>
      <c r="H50" s="108"/>
      <c r="I50" s="109" t="e">
        <f t="shared" si="29"/>
        <v>#DIV/0!</v>
      </c>
      <c r="J50" s="109"/>
      <c r="K50" s="109"/>
      <c r="L50" s="110">
        <f t="shared" si="30"/>
        <v>0</v>
      </c>
      <c r="M50" s="111" t="e">
        <f t="shared" si="32"/>
        <v>#DIV/0!</v>
      </c>
      <c r="N50" s="111"/>
      <c r="O50" s="111"/>
      <c r="P50" s="111"/>
      <c r="Q50" s="111"/>
      <c r="R50" s="112" t="e">
        <f t="shared" si="33"/>
        <v>#DIV/0!</v>
      </c>
      <c r="T50" s="248"/>
      <c r="U50" s="248"/>
      <c r="V50" s="256"/>
      <c r="W50" s="256"/>
      <c r="X50" s="256"/>
      <c r="Y50" s="272">
        <f t="shared" si="34"/>
        <v>0</v>
      </c>
      <c r="AA50" s="35" t="s">
        <v>121</v>
      </c>
      <c r="AC50" s="1">
        <v>2</v>
      </c>
    </row>
    <row r="51" spans="1:29" ht="23.5" customHeight="1" x14ac:dyDescent="0.25">
      <c r="A51" s="55" t="s">
        <v>7</v>
      </c>
      <c r="B51" s="50"/>
      <c r="C51" s="103" t="s">
        <v>7</v>
      </c>
      <c r="D51" s="120">
        <f t="shared" si="31"/>
        <v>0</v>
      </c>
      <c r="E51" s="74"/>
      <c r="F51" s="108"/>
      <c r="G51" s="108" t="e">
        <f t="shared" si="28"/>
        <v>#DIV/0!</v>
      </c>
      <c r="H51" s="108"/>
      <c r="I51" s="109" t="e">
        <f t="shared" si="29"/>
        <v>#DIV/0!</v>
      </c>
      <c r="J51" s="109"/>
      <c r="K51" s="109"/>
      <c r="L51" s="110">
        <f t="shared" si="30"/>
        <v>0</v>
      </c>
      <c r="M51" s="111" t="e">
        <f t="shared" si="32"/>
        <v>#DIV/0!</v>
      </c>
      <c r="N51" s="111"/>
      <c r="O51" s="111"/>
      <c r="P51" s="111"/>
      <c r="Q51" s="111"/>
      <c r="R51" s="112" t="e">
        <f t="shared" si="33"/>
        <v>#DIV/0!</v>
      </c>
      <c r="T51" s="248"/>
      <c r="U51" s="248"/>
      <c r="V51" s="256"/>
      <c r="W51" s="256"/>
      <c r="X51" s="256"/>
      <c r="Y51" s="272">
        <f t="shared" si="34"/>
        <v>0</v>
      </c>
      <c r="AA51" s="35" t="s">
        <v>122</v>
      </c>
      <c r="AC51" s="1">
        <v>1</v>
      </c>
    </row>
    <row r="52" spans="1:29" ht="23.5" customHeight="1" x14ac:dyDescent="0.25">
      <c r="A52" s="55" t="s">
        <v>8</v>
      </c>
      <c r="B52" s="50"/>
      <c r="C52" s="103" t="s">
        <v>8</v>
      </c>
      <c r="D52" s="120">
        <f t="shared" si="31"/>
        <v>0</v>
      </c>
      <c r="E52" s="74"/>
      <c r="F52" s="108"/>
      <c r="G52" s="108" t="e">
        <f t="shared" si="28"/>
        <v>#DIV/0!</v>
      </c>
      <c r="H52" s="108">
        <v>0</v>
      </c>
      <c r="I52" s="109" t="e">
        <f t="shared" si="29"/>
        <v>#DIV/0!</v>
      </c>
      <c r="J52" s="109"/>
      <c r="K52" s="109"/>
      <c r="L52" s="110">
        <f t="shared" si="30"/>
        <v>0</v>
      </c>
      <c r="M52" s="111" t="e">
        <f t="shared" si="32"/>
        <v>#DIV/0!</v>
      </c>
      <c r="N52" s="111"/>
      <c r="O52" s="111"/>
      <c r="P52" s="111"/>
      <c r="Q52" s="111"/>
      <c r="R52" s="112" t="e">
        <f t="shared" si="33"/>
        <v>#DIV/0!</v>
      </c>
      <c r="T52" s="248"/>
      <c r="U52" s="248"/>
      <c r="V52" s="256"/>
      <c r="W52" s="256"/>
      <c r="X52" s="256"/>
      <c r="Y52" s="272">
        <f t="shared" si="34"/>
        <v>0</v>
      </c>
      <c r="AA52" s="35" t="s">
        <v>127</v>
      </c>
      <c r="AC52" s="1">
        <v>0</v>
      </c>
    </row>
    <row r="53" spans="1:29" ht="23.5" customHeight="1" thickBot="1" x14ac:dyDescent="0.3">
      <c r="A53" s="56" t="s">
        <v>9</v>
      </c>
      <c r="B53" s="50"/>
      <c r="C53" s="113" t="s">
        <v>9</v>
      </c>
      <c r="D53" s="120">
        <f t="shared" si="31"/>
        <v>0</v>
      </c>
      <c r="E53" s="74"/>
      <c r="F53" s="108"/>
      <c r="G53" s="108" t="e">
        <f t="shared" si="28"/>
        <v>#DIV/0!</v>
      </c>
      <c r="H53" s="108">
        <v>0</v>
      </c>
      <c r="I53" s="109" t="e">
        <f t="shared" si="29"/>
        <v>#DIV/0!</v>
      </c>
      <c r="J53" s="109">
        <v>0</v>
      </c>
      <c r="K53" s="109"/>
      <c r="L53" s="110">
        <f t="shared" si="30"/>
        <v>0</v>
      </c>
      <c r="M53" s="111" t="e">
        <f t="shared" si="32"/>
        <v>#DIV/0!</v>
      </c>
      <c r="N53" s="111"/>
      <c r="O53" s="111"/>
      <c r="P53" s="111"/>
      <c r="Q53" s="111"/>
      <c r="R53" s="112" t="e">
        <f t="shared" si="33"/>
        <v>#DIV/0!</v>
      </c>
      <c r="T53" s="249"/>
      <c r="U53" s="249"/>
      <c r="V53" s="257"/>
      <c r="W53" s="256"/>
      <c r="X53" s="256"/>
      <c r="Y53" s="273">
        <f t="shared" si="34"/>
        <v>0</v>
      </c>
      <c r="AA53" s="1" t="s">
        <v>130</v>
      </c>
    </row>
    <row r="54" spans="1:29" ht="23.5" customHeight="1" thickTop="1" thickBot="1" x14ac:dyDescent="0.3">
      <c r="A54" s="724" t="s">
        <v>13</v>
      </c>
      <c r="B54" s="725"/>
      <c r="C54" s="726" t="s">
        <v>13</v>
      </c>
      <c r="D54" s="727"/>
      <c r="E54" s="121">
        <f>SUM(E47:E53)</f>
        <v>0</v>
      </c>
      <c r="F54" s="121">
        <f>SUM(F47:F53)</f>
        <v>0</v>
      </c>
      <c r="G54" s="121" t="e">
        <f t="shared" si="28"/>
        <v>#DIV/0!</v>
      </c>
      <c r="H54" s="121">
        <f>SUM(H47:H53)</f>
        <v>0</v>
      </c>
      <c r="I54" s="122" t="e">
        <f t="shared" si="29"/>
        <v>#DIV/0!</v>
      </c>
      <c r="J54" s="122" t="e">
        <f>I54/F54</f>
        <v>#DIV/0!</v>
      </c>
      <c r="K54" s="122"/>
      <c r="L54" s="121">
        <f>F54+H54</f>
        <v>0</v>
      </c>
      <c r="M54" s="123" t="e">
        <f>L54/E54</f>
        <v>#DIV/0!</v>
      </c>
      <c r="N54" s="123"/>
      <c r="O54" s="123"/>
      <c r="P54" s="123"/>
      <c r="Q54" s="123"/>
      <c r="R54" s="124" t="e">
        <f t="shared" si="33"/>
        <v>#DIV/0!</v>
      </c>
      <c r="S54" s="260"/>
      <c r="T54" s="265" t="e">
        <f>SUM(T47:T53)/S54</f>
        <v>#DIV/0!</v>
      </c>
      <c r="U54" s="267" t="e">
        <f>SUM(U47:U53)/S54</f>
        <v>#DIV/0!</v>
      </c>
      <c r="V54" s="267" t="e">
        <f>SUM(V47:V53)/S54</f>
        <v>#DIV/0!</v>
      </c>
      <c r="W54" s="267" t="e">
        <f>SUM(W47:W53)/S54</f>
        <v>#DIV/0!</v>
      </c>
      <c r="X54" s="267" t="e">
        <f>SUM(X47:X53)/S54</f>
        <v>#DIV/0!</v>
      </c>
      <c r="Y54" s="269" t="e">
        <f>SUM(V54:X54)/3</f>
        <v>#DIV/0!</v>
      </c>
      <c r="Z54" s="260"/>
      <c r="AA54" s="260"/>
      <c r="AB54" s="260"/>
      <c r="AC54" s="260"/>
    </row>
    <row r="55" spans="1:29" ht="23.5" customHeight="1" thickTop="1" x14ac:dyDescent="0.25">
      <c r="A55" s="710" t="s">
        <v>18</v>
      </c>
      <c r="B55" s="711"/>
      <c r="C55" s="713" t="s">
        <v>18</v>
      </c>
      <c r="D55" s="714"/>
      <c r="E55" s="714"/>
      <c r="F55" s="714"/>
      <c r="G55" s="714"/>
      <c r="H55" s="714"/>
      <c r="I55" s="714"/>
      <c r="J55" s="714"/>
      <c r="K55" s="714"/>
      <c r="L55" s="714"/>
      <c r="M55" s="714"/>
      <c r="N55" s="714"/>
      <c r="O55" s="714"/>
      <c r="P55" s="714"/>
      <c r="Q55" s="714"/>
      <c r="R55" s="715"/>
      <c r="T55" s="716" t="str">
        <f>C55</f>
        <v>6th week</v>
      </c>
      <c r="U55" s="716"/>
      <c r="V55" s="716"/>
      <c r="W55" s="716"/>
      <c r="X55" s="716"/>
      <c r="Y55" s="716"/>
    </row>
    <row r="56" spans="1:29" ht="23.5" customHeight="1" x14ac:dyDescent="0.25">
      <c r="A56" s="53" t="s">
        <v>10</v>
      </c>
      <c r="B56" s="37" t="s">
        <v>11</v>
      </c>
      <c r="C56" s="103" t="s">
        <v>10</v>
      </c>
      <c r="D56" s="104" t="s">
        <v>11</v>
      </c>
      <c r="E56" s="104" t="s">
        <v>1</v>
      </c>
      <c r="F56" s="104" t="s">
        <v>30</v>
      </c>
      <c r="G56" s="104" t="s">
        <v>31</v>
      </c>
      <c r="H56" s="104" t="s">
        <v>28</v>
      </c>
      <c r="I56" s="104" t="s">
        <v>29</v>
      </c>
      <c r="J56" s="104" t="s">
        <v>330</v>
      </c>
      <c r="K56" s="104" t="s">
        <v>210</v>
      </c>
      <c r="L56" s="104" t="s">
        <v>71</v>
      </c>
      <c r="M56" s="105" t="s">
        <v>48</v>
      </c>
      <c r="N56" s="105" t="s">
        <v>331</v>
      </c>
      <c r="O56" s="105" t="s">
        <v>332</v>
      </c>
      <c r="P56" s="105" t="s">
        <v>220</v>
      </c>
      <c r="Q56" s="105" t="s">
        <v>40</v>
      </c>
      <c r="R56" s="106" t="s">
        <v>73</v>
      </c>
      <c r="T56" s="253" t="s">
        <v>116</v>
      </c>
      <c r="U56" s="254" t="s">
        <v>117</v>
      </c>
      <c r="V56" s="49" t="s">
        <v>118</v>
      </c>
      <c r="W56" s="49" t="s">
        <v>119</v>
      </c>
      <c r="X56" s="49" t="s">
        <v>120</v>
      </c>
      <c r="Y56" s="255" t="s">
        <v>128</v>
      </c>
      <c r="AA56" s="1" t="s">
        <v>123</v>
      </c>
      <c r="AC56" s="36" t="s">
        <v>126</v>
      </c>
    </row>
    <row r="57" spans="1:29" ht="23.5" customHeight="1" x14ac:dyDescent="0.25">
      <c r="A57" s="54" t="s">
        <v>3</v>
      </c>
      <c r="B57" s="50"/>
      <c r="C57" s="107" t="s">
        <v>3</v>
      </c>
      <c r="D57" s="120">
        <f>B57</f>
        <v>0</v>
      </c>
      <c r="E57" s="74"/>
      <c r="F57" s="108"/>
      <c r="G57" s="108" t="e">
        <f t="shared" ref="G57:G64" si="35">F57/E57</f>
        <v>#DIV/0!</v>
      </c>
      <c r="H57" s="108"/>
      <c r="I57" s="109" t="e">
        <f t="shared" ref="I57:I64" si="36">H57/E57</f>
        <v>#DIV/0!</v>
      </c>
      <c r="J57" s="109"/>
      <c r="K57" s="109"/>
      <c r="L57" s="110">
        <f t="shared" ref="L57:L63" si="37">F57+H57+J57</f>
        <v>0</v>
      </c>
      <c r="M57" s="111" t="e">
        <f>L57/E57</f>
        <v>#DIV/0!</v>
      </c>
      <c r="N57" s="111"/>
      <c r="O57" s="111"/>
      <c r="P57" s="111"/>
      <c r="Q57" s="111"/>
      <c r="R57" s="112" t="e">
        <f>L57/Q57</f>
        <v>#DIV/0!</v>
      </c>
      <c r="T57" s="248"/>
      <c r="U57" s="248"/>
      <c r="V57" s="256"/>
      <c r="W57" s="256"/>
      <c r="X57" s="256"/>
      <c r="Y57" s="272">
        <f>SUM(V57:X57)/3</f>
        <v>0</v>
      </c>
      <c r="AA57" s="271" t="s">
        <v>124</v>
      </c>
      <c r="AB57" s="2"/>
      <c r="AC57" s="270">
        <v>5</v>
      </c>
    </row>
    <row r="58" spans="1:29" ht="23.5" customHeight="1" x14ac:dyDescent="0.25">
      <c r="A58" s="55" t="s">
        <v>4</v>
      </c>
      <c r="B58" s="50"/>
      <c r="C58" s="103" t="s">
        <v>4</v>
      </c>
      <c r="D58" s="120">
        <f t="shared" ref="D58:D63" si="38">B58</f>
        <v>0</v>
      </c>
      <c r="E58" s="74"/>
      <c r="F58" s="108"/>
      <c r="G58" s="108" t="e">
        <f t="shared" si="35"/>
        <v>#DIV/0!</v>
      </c>
      <c r="H58" s="108"/>
      <c r="I58" s="109" t="e">
        <f t="shared" si="36"/>
        <v>#DIV/0!</v>
      </c>
      <c r="J58" s="109"/>
      <c r="K58" s="109"/>
      <c r="L58" s="110">
        <f t="shared" si="37"/>
        <v>0</v>
      </c>
      <c r="M58" s="111" t="e">
        <f t="shared" ref="M58:M63" si="39">L58/E58</f>
        <v>#DIV/0!</v>
      </c>
      <c r="N58" s="111"/>
      <c r="O58" s="111"/>
      <c r="P58" s="111"/>
      <c r="Q58" s="111"/>
      <c r="R58" s="112" t="e">
        <f t="shared" ref="R58:R64" si="40">L58/Q58</f>
        <v>#DIV/0!</v>
      </c>
      <c r="T58" s="248"/>
      <c r="U58" s="248"/>
      <c r="V58" s="256"/>
      <c r="W58" s="256"/>
      <c r="X58" s="256"/>
      <c r="Y58" s="272">
        <f t="shared" ref="Y58:Y63" si="41">SUM(V58:X58)/3</f>
        <v>0</v>
      </c>
      <c r="AA58" s="35" t="s">
        <v>125</v>
      </c>
      <c r="AC58" s="1">
        <v>4</v>
      </c>
    </row>
    <row r="59" spans="1:29" ht="23.5" customHeight="1" x14ac:dyDescent="0.25">
      <c r="A59" s="55" t="s">
        <v>5</v>
      </c>
      <c r="B59" s="50"/>
      <c r="C59" s="103" t="s">
        <v>5</v>
      </c>
      <c r="D59" s="120">
        <f t="shared" si="38"/>
        <v>0</v>
      </c>
      <c r="E59" s="74"/>
      <c r="F59" s="108"/>
      <c r="G59" s="108" t="e">
        <f t="shared" si="35"/>
        <v>#DIV/0!</v>
      </c>
      <c r="H59" s="108"/>
      <c r="I59" s="109" t="e">
        <f t="shared" si="36"/>
        <v>#DIV/0!</v>
      </c>
      <c r="J59" s="109"/>
      <c r="K59" s="109"/>
      <c r="L59" s="110">
        <f t="shared" si="37"/>
        <v>0</v>
      </c>
      <c r="M59" s="111" t="e">
        <f t="shared" si="39"/>
        <v>#DIV/0!</v>
      </c>
      <c r="N59" s="111"/>
      <c r="O59" s="111"/>
      <c r="P59" s="111"/>
      <c r="Q59" s="111"/>
      <c r="R59" s="112" t="e">
        <f t="shared" si="40"/>
        <v>#DIV/0!</v>
      </c>
      <c r="T59" s="248"/>
      <c r="U59" s="248"/>
      <c r="V59" s="256"/>
      <c r="W59" s="256"/>
      <c r="X59" s="256"/>
      <c r="Y59" s="272">
        <f t="shared" si="41"/>
        <v>0</v>
      </c>
      <c r="AA59" s="35" t="s">
        <v>129</v>
      </c>
      <c r="AC59" s="1">
        <v>3</v>
      </c>
    </row>
    <row r="60" spans="1:29" ht="23.5" customHeight="1" x14ac:dyDescent="0.25">
      <c r="A60" s="55" t="s">
        <v>6</v>
      </c>
      <c r="B60" s="50"/>
      <c r="C60" s="103" t="s">
        <v>6</v>
      </c>
      <c r="D60" s="120">
        <f t="shared" si="38"/>
        <v>0</v>
      </c>
      <c r="E60" s="74"/>
      <c r="F60" s="108"/>
      <c r="G60" s="108" t="e">
        <f t="shared" si="35"/>
        <v>#DIV/0!</v>
      </c>
      <c r="H60" s="108"/>
      <c r="I60" s="109" t="e">
        <f t="shared" si="36"/>
        <v>#DIV/0!</v>
      </c>
      <c r="J60" s="109"/>
      <c r="K60" s="109"/>
      <c r="L60" s="110">
        <f t="shared" si="37"/>
        <v>0</v>
      </c>
      <c r="M60" s="111" t="e">
        <f t="shared" si="39"/>
        <v>#DIV/0!</v>
      </c>
      <c r="N60" s="111"/>
      <c r="O60" s="111"/>
      <c r="P60" s="111"/>
      <c r="Q60" s="111"/>
      <c r="R60" s="112" t="e">
        <f t="shared" si="40"/>
        <v>#DIV/0!</v>
      </c>
      <c r="T60" s="248"/>
      <c r="U60" s="248"/>
      <c r="V60" s="256"/>
      <c r="W60" s="256"/>
      <c r="X60" s="256"/>
      <c r="Y60" s="272">
        <f t="shared" si="41"/>
        <v>0</v>
      </c>
      <c r="AA60" s="35" t="s">
        <v>121</v>
      </c>
      <c r="AC60" s="1">
        <v>2</v>
      </c>
    </row>
    <row r="61" spans="1:29" ht="23.5" customHeight="1" x14ac:dyDescent="0.25">
      <c r="A61" s="55" t="s">
        <v>7</v>
      </c>
      <c r="B61" s="50"/>
      <c r="C61" s="103" t="s">
        <v>7</v>
      </c>
      <c r="D61" s="120">
        <f t="shared" si="38"/>
        <v>0</v>
      </c>
      <c r="E61" s="74"/>
      <c r="F61" s="108"/>
      <c r="G61" s="108" t="e">
        <f t="shared" si="35"/>
        <v>#DIV/0!</v>
      </c>
      <c r="H61" s="108"/>
      <c r="I61" s="109" t="e">
        <f t="shared" si="36"/>
        <v>#DIV/0!</v>
      </c>
      <c r="J61" s="109"/>
      <c r="K61" s="109"/>
      <c r="L61" s="110">
        <f t="shared" si="37"/>
        <v>0</v>
      </c>
      <c r="M61" s="111" t="e">
        <f t="shared" si="39"/>
        <v>#DIV/0!</v>
      </c>
      <c r="N61" s="111"/>
      <c r="O61" s="111"/>
      <c r="P61" s="111"/>
      <c r="Q61" s="111"/>
      <c r="R61" s="112" t="e">
        <f t="shared" si="40"/>
        <v>#DIV/0!</v>
      </c>
      <c r="T61" s="248"/>
      <c r="U61" s="248"/>
      <c r="V61" s="256"/>
      <c r="W61" s="256"/>
      <c r="X61" s="256"/>
      <c r="Y61" s="272">
        <f t="shared" si="41"/>
        <v>0</v>
      </c>
      <c r="AA61" s="35" t="s">
        <v>122</v>
      </c>
      <c r="AC61" s="1">
        <v>1</v>
      </c>
    </row>
    <row r="62" spans="1:29" ht="23.5" customHeight="1" x14ac:dyDescent="0.25">
      <c r="A62" s="55" t="s">
        <v>8</v>
      </c>
      <c r="B62" s="50"/>
      <c r="C62" s="103" t="s">
        <v>8</v>
      </c>
      <c r="D62" s="120">
        <f t="shared" si="38"/>
        <v>0</v>
      </c>
      <c r="E62" s="74"/>
      <c r="F62" s="108"/>
      <c r="G62" s="108" t="e">
        <f t="shared" si="35"/>
        <v>#DIV/0!</v>
      </c>
      <c r="H62" s="108">
        <v>0</v>
      </c>
      <c r="I62" s="109" t="e">
        <f t="shared" si="36"/>
        <v>#DIV/0!</v>
      </c>
      <c r="J62" s="109"/>
      <c r="K62" s="109"/>
      <c r="L62" s="110">
        <f t="shared" si="37"/>
        <v>0</v>
      </c>
      <c r="M62" s="111" t="e">
        <f t="shared" si="39"/>
        <v>#DIV/0!</v>
      </c>
      <c r="N62" s="111"/>
      <c r="O62" s="111"/>
      <c r="P62" s="111"/>
      <c r="Q62" s="111"/>
      <c r="R62" s="112" t="e">
        <f t="shared" si="40"/>
        <v>#DIV/0!</v>
      </c>
      <c r="T62" s="248"/>
      <c r="U62" s="248"/>
      <c r="V62" s="256"/>
      <c r="W62" s="256"/>
      <c r="X62" s="256"/>
      <c r="Y62" s="272">
        <f t="shared" si="41"/>
        <v>0</v>
      </c>
      <c r="AA62" s="35" t="s">
        <v>127</v>
      </c>
      <c r="AC62" s="1">
        <v>0</v>
      </c>
    </row>
    <row r="63" spans="1:29" ht="23.5" customHeight="1" thickBot="1" x14ac:dyDescent="0.3">
      <c r="A63" s="56" t="s">
        <v>9</v>
      </c>
      <c r="B63" s="50"/>
      <c r="C63" s="113" t="s">
        <v>9</v>
      </c>
      <c r="D63" s="120">
        <f t="shared" si="38"/>
        <v>0</v>
      </c>
      <c r="E63" s="74"/>
      <c r="F63" s="108"/>
      <c r="G63" s="108" t="e">
        <f t="shared" si="35"/>
        <v>#DIV/0!</v>
      </c>
      <c r="H63" s="108">
        <v>0</v>
      </c>
      <c r="I63" s="109" t="e">
        <f t="shared" si="36"/>
        <v>#DIV/0!</v>
      </c>
      <c r="J63" s="109">
        <v>0</v>
      </c>
      <c r="K63" s="109"/>
      <c r="L63" s="110">
        <f t="shared" si="37"/>
        <v>0</v>
      </c>
      <c r="M63" s="111" t="e">
        <f t="shared" si="39"/>
        <v>#DIV/0!</v>
      </c>
      <c r="N63" s="111"/>
      <c r="O63" s="111"/>
      <c r="P63" s="111"/>
      <c r="Q63" s="111"/>
      <c r="R63" s="112" t="e">
        <f t="shared" si="40"/>
        <v>#DIV/0!</v>
      </c>
      <c r="T63" s="249"/>
      <c r="U63" s="249"/>
      <c r="V63" s="257"/>
      <c r="W63" s="257"/>
      <c r="X63" s="257"/>
      <c r="Y63" s="273">
        <f t="shared" si="41"/>
        <v>0</v>
      </c>
      <c r="AA63" s="1" t="s">
        <v>130</v>
      </c>
    </row>
    <row r="64" spans="1:29" ht="23.5" customHeight="1" thickTop="1" thickBot="1" x14ac:dyDescent="0.3">
      <c r="A64" s="724" t="s">
        <v>13</v>
      </c>
      <c r="B64" s="725"/>
      <c r="C64" s="726" t="s">
        <v>13</v>
      </c>
      <c r="D64" s="727"/>
      <c r="E64" s="121">
        <f>SUM(E57:E63)</f>
        <v>0</v>
      </c>
      <c r="F64" s="121">
        <f>SUM(F57:F63)</f>
        <v>0</v>
      </c>
      <c r="G64" s="121" t="e">
        <f t="shared" si="35"/>
        <v>#DIV/0!</v>
      </c>
      <c r="H64" s="121">
        <f>SUM(H57:H63)</f>
        <v>0</v>
      </c>
      <c r="I64" s="122" t="e">
        <f t="shared" si="36"/>
        <v>#DIV/0!</v>
      </c>
      <c r="J64" s="122" t="e">
        <f>I64/F64</f>
        <v>#DIV/0!</v>
      </c>
      <c r="K64" s="122"/>
      <c r="L64" s="121">
        <f>F64+H64</f>
        <v>0</v>
      </c>
      <c r="M64" s="123" t="e">
        <f>L64/E64</f>
        <v>#DIV/0!</v>
      </c>
      <c r="N64" s="123"/>
      <c r="O64" s="123"/>
      <c r="P64" s="123"/>
      <c r="Q64" s="123"/>
      <c r="R64" s="124" t="e">
        <f t="shared" si="40"/>
        <v>#DIV/0!</v>
      </c>
      <c r="S64" s="260"/>
      <c r="T64" s="268" t="e">
        <f>SUM(T57:T63)/S64</f>
        <v>#DIV/0!</v>
      </c>
      <c r="U64" s="267" t="e">
        <f>SUM(U57:U63)/S64</f>
        <v>#DIV/0!</v>
      </c>
      <c r="V64" s="267" t="e">
        <f>SUM(V57:V63)/S64</f>
        <v>#DIV/0!</v>
      </c>
      <c r="W64" s="267" t="e">
        <f>SUM(W57:W63)/S64</f>
        <v>#DIV/0!</v>
      </c>
      <c r="X64" s="267" t="e">
        <f>SUM(X57:X63)/S64</f>
        <v>#DIV/0!</v>
      </c>
      <c r="Y64" s="269" t="e">
        <f>SUM(V64:X64)/3</f>
        <v>#DIV/0!</v>
      </c>
      <c r="Z64" s="260"/>
      <c r="AA64" s="260"/>
      <c r="AB64" s="260"/>
      <c r="AC64" s="260"/>
    </row>
    <row r="65" spans="1:32" ht="33.5" customHeight="1" thickTop="1" x14ac:dyDescent="0.25">
      <c r="A65" s="730" t="s">
        <v>2</v>
      </c>
      <c r="B65" s="731"/>
      <c r="C65" s="732" t="s">
        <v>2</v>
      </c>
      <c r="D65" s="733"/>
      <c r="E65" s="733"/>
      <c r="F65" s="733"/>
      <c r="G65" s="733"/>
      <c r="H65" s="733"/>
      <c r="I65" s="733"/>
      <c r="J65" s="733"/>
      <c r="K65" s="733"/>
      <c r="L65" s="733"/>
      <c r="M65" s="733"/>
      <c r="N65" s="733"/>
      <c r="O65" s="733"/>
      <c r="P65" s="733"/>
      <c r="Q65" s="733"/>
      <c r="R65" s="734"/>
      <c r="T65" s="716" t="str">
        <f>C65</f>
        <v>TOTAL</v>
      </c>
      <c r="U65" s="716"/>
      <c r="V65" s="716"/>
      <c r="W65" s="716"/>
      <c r="X65" s="716"/>
      <c r="Y65" s="716"/>
    </row>
    <row r="66" spans="1:32" s="38" customFormat="1" ht="23" customHeight="1" x14ac:dyDescent="0.25">
      <c r="A66" s="79" t="s">
        <v>10</v>
      </c>
      <c r="B66" s="80" t="s">
        <v>19</v>
      </c>
      <c r="C66" s="103" t="s">
        <v>10</v>
      </c>
      <c r="D66" s="104" t="s">
        <v>11</v>
      </c>
      <c r="E66" s="104" t="s">
        <v>1</v>
      </c>
      <c r="F66" s="104" t="s">
        <v>30</v>
      </c>
      <c r="G66" s="104" t="s">
        <v>31</v>
      </c>
      <c r="H66" s="104" t="s">
        <v>28</v>
      </c>
      <c r="I66" s="104" t="s">
        <v>29</v>
      </c>
      <c r="J66" s="104" t="s">
        <v>330</v>
      </c>
      <c r="K66" s="104" t="s">
        <v>210</v>
      </c>
      <c r="L66" s="104" t="s">
        <v>71</v>
      </c>
      <c r="M66" s="105" t="s">
        <v>48</v>
      </c>
      <c r="N66" s="105" t="s">
        <v>331</v>
      </c>
      <c r="O66" s="105" t="s">
        <v>332</v>
      </c>
      <c r="P66" s="105" t="s">
        <v>220</v>
      </c>
      <c r="Q66" s="105" t="s">
        <v>40</v>
      </c>
      <c r="R66" s="106" t="s">
        <v>73</v>
      </c>
      <c r="T66" s="253" t="s">
        <v>116</v>
      </c>
      <c r="U66" s="254" t="s">
        <v>117</v>
      </c>
      <c r="V66" s="49" t="s">
        <v>118</v>
      </c>
      <c r="W66" s="49" t="s">
        <v>119</v>
      </c>
      <c r="X66" s="49" t="s">
        <v>120</v>
      </c>
      <c r="Y66" s="255" t="s">
        <v>128</v>
      </c>
      <c r="AA66" s="750" t="s">
        <v>207</v>
      </c>
      <c r="AB66" s="751"/>
      <c r="AC66" s="751"/>
      <c r="AD66" s="751"/>
      <c r="AE66" s="751"/>
      <c r="AF66" s="752"/>
    </row>
    <row r="67" spans="1:32" ht="23" customHeight="1" x14ac:dyDescent="0.25">
      <c r="A67" s="54" t="s">
        <v>3</v>
      </c>
      <c r="B67" s="43"/>
      <c r="C67" s="107" t="s">
        <v>3</v>
      </c>
      <c r="D67" s="117"/>
      <c r="E67" s="109">
        <f t="shared" ref="E67:F70" si="42">E7+E17+E27+E37+E47+E57</f>
        <v>197</v>
      </c>
      <c r="F67" s="109">
        <f t="shared" si="42"/>
        <v>409700</v>
      </c>
      <c r="G67" s="108">
        <f t="shared" ref="G67:G74" si="43">F67/E67</f>
        <v>2079.6954314720811</v>
      </c>
      <c r="H67" s="109">
        <f>H7+H17+H27+H37+H47+H57</f>
        <v>241500</v>
      </c>
      <c r="I67" s="109">
        <f>H67/E67</f>
        <v>1225.8883248730965</v>
      </c>
      <c r="J67" s="109"/>
      <c r="K67" s="109"/>
      <c r="L67" s="74">
        <f t="shared" ref="L67:M70" si="44">L7+L17+L27+L37+L47+L57</f>
        <v>651200</v>
      </c>
      <c r="M67" s="109" t="e">
        <f t="shared" si="44"/>
        <v>#DIV/0!</v>
      </c>
      <c r="N67" s="109"/>
      <c r="O67" s="109"/>
      <c r="P67" s="109"/>
      <c r="Q67" s="109">
        <f>Q7+Q17+Q27+Q37+Q47+Q57</f>
        <v>0</v>
      </c>
      <c r="R67" s="134" t="e">
        <f>L67/Q67</f>
        <v>#DIV/0!</v>
      </c>
      <c r="T67" s="250">
        <f>T7+T17+T27+T37+T47+T57</f>
        <v>10.9</v>
      </c>
      <c r="U67" s="250">
        <f>U7+U17+U27+U37+U47+U57</f>
        <v>22.5</v>
      </c>
      <c r="V67" s="275">
        <f>V7+V17+V37+V47+V27+V57</f>
        <v>4</v>
      </c>
      <c r="W67" s="275">
        <f>W7+W17+W37+W47+W27+W57</f>
        <v>2</v>
      </c>
      <c r="X67" s="275">
        <f>X7+X17+X37+X47+X27+X57</f>
        <v>2</v>
      </c>
      <c r="Y67" s="276">
        <f>SUM(V67:X67)/3</f>
        <v>2.6666666666666665</v>
      </c>
      <c r="AA67" s="753" t="s">
        <v>188</v>
      </c>
      <c r="AB67" s="753"/>
      <c r="AC67" s="423" t="s">
        <v>189</v>
      </c>
      <c r="AD67" s="423" t="s">
        <v>190</v>
      </c>
      <c r="AE67" s="423" t="s">
        <v>191</v>
      </c>
      <c r="AF67" s="423" t="s">
        <v>192</v>
      </c>
    </row>
    <row r="68" spans="1:32" ht="23" customHeight="1" x14ac:dyDescent="0.25">
      <c r="A68" s="55" t="s">
        <v>4</v>
      </c>
      <c r="B68" s="43"/>
      <c r="C68" s="103" t="s">
        <v>4</v>
      </c>
      <c r="D68" s="117"/>
      <c r="E68" s="109">
        <f t="shared" si="42"/>
        <v>0</v>
      </c>
      <c r="F68" s="109">
        <f t="shared" si="42"/>
        <v>0</v>
      </c>
      <c r="G68" s="108" t="e">
        <f t="shared" si="43"/>
        <v>#DIV/0!</v>
      </c>
      <c r="H68" s="109">
        <f>H8+H18+H28+H38+H48+H58</f>
        <v>0</v>
      </c>
      <c r="I68" s="109" t="e">
        <f t="shared" ref="I68:I73" si="45">H68/E68</f>
        <v>#DIV/0!</v>
      </c>
      <c r="J68" s="109"/>
      <c r="K68" s="109"/>
      <c r="L68" s="74">
        <f t="shared" si="44"/>
        <v>0</v>
      </c>
      <c r="M68" s="109" t="e">
        <f t="shared" si="44"/>
        <v>#DIV/0!</v>
      </c>
      <c r="N68" s="109"/>
      <c r="O68" s="109"/>
      <c r="P68" s="109"/>
      <c r="Q68" s="109">
        <f>Q8+Q18+Q28+Q38+Q48+Q58</f>
        <v>0</v>
      </c>
      <c r="R68" s="134" t="e">
        <f t="shared" ref="R68:R73" si="46">L68/Q68</f>
        <v>#DIV/0!</v>
      </c>
      <c r="T68" s="250">
        <f t="shared" ref="T68:U72" si="47">T8+T18+T28+T38+T48+T58</f>
        <v>0</v>
      </c>
      <c r="U68" s="250">
        <f t="shared" si="47"/>
        <v>0</v>
      </c>
      <c r="V68" s="275">
        <f t="shared" ref="V68:X73" si="48">V8+V18+V38+V48+V28+V58</f>
        <v>0</v>
      </c>
      <c r="W68" s="275">
        <f t="shared" si="48"/>
        <v>0</v>
      </c>
      <c r="X68" s="275">
        <f t="shared" si="48"/>
        <v>0</v>
      </c>
      <c r="Y68" s="276">
        <f t="shared" ref="Y68:Y73" si="49">SUM(V68:X68)/3</f>
        <v>0</v>
      </c>
      <c r="AA68" s="754" t="s">
        <v>124</v>
      </c>
      <c r="AB68" s="754"/>
      <c r="AC68" s="424">
        <v>5</v>
      </c>
      <c r="AD68" s="425">
        <v>2</v>
      </c>
      <c r="AE68" s="425">
        <f t="shared" ref="AE68:AE73" si="50">AC68*AD68</f>
        <v>10</v>
      </c>
      <c r="AF68" s="755">
        <f>(AD68+AD69+AD70)/AD74</f>
        <v>0.3888888888888889</v>
      </c>
    </row>
    <row r="69" spans="1:32" ht="23" customHeight="1" x14ac:dyDescent="0.25">
      <c r="A69" s="55" t="s">
        <v>5</v>
      </c>
      <c r="B69" s="43"/>
      <c r="C69" s="103" t="s">
        <v>5</v>
      </c>
      <c r="D69" s="117"/>
      <c r="E69" s="109">
        <f t="shared" si="42"/>
        <v>66</v>
      </c>
      <c r="F69" s="109">
        <f t="shared" si="42"/>
        <v>125600</v>
      </c>
      <c r="G69" s="108">
        <f t="shared" si="43"/>
        <v>1903.030303030303</v>
      </c>
      <c r="H69" s="109">
        <f>H9+H19+H29+H39+H49+H59</f>
        <v>67050</v>
      </c>
      <c r="I69" s="109">
        <f t="shared" si="45"/>
        <v>1015.9090909090909</v>
      </c>
      <c r="J69" s="109"/>
      <c r="K69" s="109"/>
      <c r="L69" s="74">
        <f t="shared" si="44"/>
        <v>192650</v>
      </c>
      <c r="M69" s="109" t="e">
        <f t="shared" si="44"/>
        <v>#DIV/0!</v>
      </c>
      <c r="N69" s="109"/>
      <c r="O69" s="109"/>
      <c r="P69" s="109"/>
      <c r="Q69" s="109">
        <f>Q9+Q19+Q29+Q39+Q49+Q59</f>
        <v>0</v>
      </c>
      <c r="R69" s="134" t="e">
        <f t="shared" si="46"/>
        <v>#DIV/0!</v>
      </c>
      <c r="T69" s="250">
        <f t="shared" si="47"/>
        <v>15.1</v>
      </c>
      <c r="U69" s="250">
        <f t="shared" si="47"/>
        <v>26.3</v>
      </c>
      <c r="V69" s="275">
        <f t="shared" si="48"/>
        <v>5</v>
      </c>
      <c r="W69" s="275">
        <f t="shared" si="48"/>
        <v>5</v>
      </c>
      <c r="X69" s="275">
        <f t="shared" si="48"/>
        <v>4</v>
      </c>
      <c r="Y69" s="276">
        <f t="shared" si="49"/>
        <v>4.666666666666667</v>
      </c>
      <c r="AA69" s="754" t="s">
        <v>125</v>
      </c>
      <c r="AB69" s="754"/>
      <c r="AC69" s="426">
        <v>4</v>
      </c>
      <c r="AD69" s="427">
        <v>5</v>
      </c>
      <c r="AE69" s="425">
        <f t="shared" si="50"/>
        <v>20</v>
      </c>
      <c r="AF69" s="755"/>
    </row>
    <row r="70" spans="1:32" ht="23" customHeight="1" x14ac:dyDescent="0.25">
      <c r="A70" s="55" t="s">
        <v>6</v>
      </c>
      <c r="B70" s="43"/>
      <c r="C70" s="103" t="s">
        <v>6</v>
      </c>
      <c r="D70" s="117"/>
      <c r="E70" s="109">
        <f t="shared" si="42"/>
        <v>30</v>
      </c>
      <c r="F70" s="109">
        <f t="shared" si="42"/>
        <v>78300</v>
      </c>
      <c r="G70" s="108">
        <f t="shared" si="43"/>
        <v>2610</v>
      </c>
      <c r="H70" s="109">
        <f>H10+H20+H30+H40+H50+H60</f>
        <v>42700</v>
      </c>
      <c r="I70" s="109">
        <f t="shared" si="45"/>
        <v>1423.3333333333333</v>
      </c>
      <c r="J70" s="109"/>
      <c r="K70" s="109"/>
      <c r="L70" s="74">
        <f t="shared" si="44"/>
        <v>121000</v>
      </c>
      <c r="M70" s="109" t="e">
        <f t="shared" si="44"/>
        <v>#DIV/0!</v>
      </c>
      <c r="N70" s="109"/>
      <c r="O70" s="109"/>
      <c r="P70" s="109"/>
      <c r="Q70" s="109">
        <f>Q10+Q20+Q30+Q40+Q50+Q60</f>
        <v>0</v>
      </c>
      <c r="R70" s="134" t="e">
        <f t="shared" si="46"/>
        <v>#DIV/0!</v>
      </c>
      <c r="T70" s="250">
        <f t="shared" si="47"/>
        <v>18.2</v>
      </c>
      <c r="U70" s="250">
        <f t="shared" si="47"/>
        <v>22</v>
      </c>
      <c r="V70" s="275">
        <f t="shared" si="48"/>
        <v>2</v>
      </c>
      <c r="W70" s="275">
        <f t="shared" si="48"/>
        <v>1</v>
      </c>
      <c r="X70" s="275">
        <f t="shared" si="48"/>
        <v>2</v>
      </c>
      <c r="Y70" s="276">
        <f t="shared" si="49"/>
        <v>1.6666666666666667</v>
      </c>
      <c r="AA70" s="756" t="s">
        <v>193</v>
      </c>
      <c r="AB70" s="756"/>
      <c r="AC70" s="426">
        <v>3</v>
      </c>
      <c r="AD70" s="427">
        <v>0</v>
      </c>
      <c r="AE70" s="425">
        <f t="shared" si="50"/>
        <v>0</v>
      </c>
      <c r="AF70" s="755"/>
    </row>
    <row r="71" spans="1:32" ht="23" customHeight="1" x14ac:dyDescent="0.25">
      <c r="A71" s="55" t="s">
        <v>7</v>
      </c>
      <c r="B71" s="43"/>
      <c r="C71" s="103" t="s">
        <v>7</v>
      </c>
      <c r="D71" s="117"/>
      <c r="E71" s="109">
        <f>E21+E11+E31+E41+E51+E61</f>
        <v>44</v>
      </c>
      <c r="F71" s="109">
        <f>F21+F11+F31+F41+F51+F61</f>
        <v>72200</v>
      </c>
      <c r="G71" s="108">
        <f t="shared" si="43"/>
        <v>1640.909090909091</v>
      </c>
      <c r="H71" s="109">
        <f>H21+H11+H31+H41+H51+H61</f>
        <v>44400</v>
      </c>
      <c r="I71" s="109">
        <f t="shared" si="45"/>
        <v>1009.0909090909091</v>
      </c>
      <c r="J71" s="109"/>
      <c r="K71" s="109"/>
      <c r="L71" s="74">
        <f>L21+L11+L31+L41+L51+L61</f>
        <v>116600</v>
      </c>
      <c r="M71" s="109" t="e">
        <f>M21+M11+M31+M41+M51+M61</f>
        <v>#DIV/0!</v>
      </c>
      <c r="N71" s="109"/>
      <c r="O71" s="109"/>
      <c r="P71" s="109"/>
      <c r="Q71" s="109">
        <f>Q21+Q11+Q31+Q41+Q51+Q61</f>
        <v>0</v>
      </c>
      <c r="R71" s="134" t="e">
        <f t="shared" si="46"/>
        <v>#DIV/0!</v>
      </c>
      <c r="T71" s="250">
        <f t="shared" si="47"/>
        <v>12.1</v>
      </c>
      <c r="U71" s="250">
        <f t="shared" si="47"/>
        <v>16.8</v>
      </c>
      <c r="V71" s="275">
        <f t="shared" si="48"/>
        <v>2</v>
      </c>
      <c r="W71" s="275">
        <f t="shared" si="48"/>
        <v>2</v>
      </c>
      <c r="X71" s="275">
        <f t="shared" si="48"/>
        <v>2</v>
      </c>
      <c r="Y71" s="276">
        <f t="shared" si="49"/>
        <v>2</v>
      </c>
      <c r="AA71" s="757" t="s">
        <v>121</v>
      </c>
      <c r="AB71" s="757"/>
      <c r="AC71" s="426">
        <v>2</v>
      </c>
      <c r="AD71" s="427">
        <v>8</v>
      </c>
      <c r="AE71" s="425">
        <f t="shared" si="50"/>
        <v>16</v>
      </c>
      <c r="AF71" s="758">
        <f>(AD71+AD72+AD73)/AD74</f>
        <v>0.61111111111111116</v>
      </c>
    </row>
    <row r="72" spans="1:32" ht="23" customHeight="1" x14ac:dyDescent="0.25">
      <c r="A72" s="55" t="s">
        <v>8</v>
      </c>
      <c r="B72" s="43"/>
      <c r="C72" s="103" t="s">
        <v>8</v>
      </c>
      <c r="D72" s="117"/>
      <c r="E72" s="109">
        <f>E12+E22+E32+E42+E52+E62</f>
        <v>20</v>
      </c>
      <c r="F72" s="109">
        <f>F12+F22+F32+F42+F52+F62</f>
        <v>38750</v>
      </c>
      <c r="G72" s="108">
        <f t="shared" si="43"/>
        <v>1937.5</v>
      </c>
      <c r="H72" s="109">
        <f>H12+H22+H32+H42+H52+H62</f>
        <v>31350</v>
      </c>
      <c r="I72" s="109">
        <f t="shared" si="45"/>
        <v>1567.5</v>
      </c>
      <c r="J72" s="109"/>
      <c r="K72" s="109"/>
      <c r="L72" s="74">
        <f t="shared" ref="L72:Q73" si="51">L12+L22+L32+L42+L52+L62</f>
        <v>70100</v>
      </c>
      <c r="M72" s="109" t="e">
        <f t="shared" si="51"/>
        <v>#DIV/0!</v>
      </c>
      <c r="N72" s="109"/>
      <c r="O72" s="109"/>
      <c r="P72" s="109"/>
      <c r="Q72" s="109">
        <f t="shared" si="51"/>
        <v>0</v>
      </c>
      <c r="R72" s="134" t="e">
        <f t="shared" si="46"/>
        <v>#DIV/0!</v>
      </c>
      <c r="T72" s="250">
        <f t="shared" si="47"/>
        <v>12</v>
      </c>
      <c r="U72" s="250">
        <f t="shared" si="47"/>
        <v>15.2</v>
      </c>
      <c r="V72" s="275">
        <f t="shared" si="48"/>
        <v>2</v>
      </c>
      <c r="W72" s="275">
        <f t="shared" si="48"/>
        <v>1</v>
      </c>
      <c r="X72" s="275">
        <f t="shared" si="48"/>
        <v>1</v>
      </c>
      <c r="Y72" s="276">
        <f t="shared" si="49"/>
        <v>1.3333333333333333</v>
      </c>
      <c r="AA72" s="759" t="s">
        <v>194</v>
      </c>
      <c r="AB72" s="759"/>
      <c r="AC72" s="426">
        <v>1</v>
      </c>
      <c r="AD72" s="427">
        <v>3</v>
      </c>
      <c r="AE72" s="425">
        <f t="shared" si="50"/>
        <v>3</v>
      </c>
      <c r="AF72" s="758"/>
    </row>
    <row r="73" spans="1:32" ht="23" customHeight="1" thickBot="1" x14ac:dyDescent="0.3">
      <c r="A73" s="56" t="s">
        <v>9</v>
      </c>
      <c r="B73" s="43"/>
      <c r="C73" s="113" t="s">
        <v>9</v>
      </c>
      <c r="D73" s="117"/>
      <c r="E73" s="109">
        <f>E13+E23+E33+E43+E53+E63</f>
        <v>181</v>
      </c>
      <c r="F73" s="109">
        <f>F13+F23+F33+F43+F53+F63</f>
        <v>287100</v>
      </c>
      <c r="G73" s="108">
        <f t="shared" si="43"/>
        <v>1586.1878453038673</v>
      </c>
      <c r="H73" s="109">
        <f>H13+H23+H33+H43+H53+H63</f>
        <v>161100</v>
      </c>
      <c r="I73" s="109">
        <f t="shared" si="45"/>
        <v>890.0552486187845</v>
      </c>
      <c r="J73" s="109"/>
      <c r="K73" s="109"/>
      <c r="L73" s="74">
        <f t="shared" si="51"/>
        <v>448200</v>
      </c>
      <c r="M73" s="109" t="e">
        <f t="shared" si="51"/>
        <v>#DIV/0!</v>
      </c>
      <c r="N73" s="109"/>
      <c r="O73" s="109"/>
      <c r="P73" s="109"/>
      <c r="Q73" s="109">
        <f t="shared" si="51"/>
        <v>0</v>
      </c>
      <c r="R73" s="134" t="e">
        <f t="shared" si="46"/>
        <v>#DIV/0!</v>
      </c>
      <c r="S73" s="1">
        <f>S14+S24</f>
        <v>6</v>
      </c>
      <c r="T73" s="251">
        <f>T13+T23+T33+T43+T53+T63</f>
        <v>14.1</v>
      </c>
      <c r="U73" s="251">
        <f>U13+U23+U33+U43+U53+U63</f>
        <v>21.3</v>
      </c>
      <c r="V73" s="275">
        <f t="shared" si="48"/>
        <v>4</v>
      </c>
      <c r="W73" s="275">
        <f t="shared" si="48"/>
        <v>4</v>
      </c>
      <c r="X73" s="275">
        <f t="shared" si="48"/>
        <v>4</v>
      </c>
      <c r="Y73" s="277">
        <f t="shared" si="49"/>
        <v>4</v>
      </c>
      <c r="AA73" s="760" t="s">
        <v>195</v>
      </c>
      <c r="AB73" s="760"/>
      <c r="AC73" s="426">
        <v>0</v>
      </c>
      <c r="AD73" s="427"/>
      <c r="AE73" s="425">
        <f t="shared" si="50"/>
        <v>0</v>
      </c>
      <c r="AF73" s="758"/>
    </row>
    <row r="74" spans="1:32" s="35" customFormat="1" ht="47" customHeight="1" thickTop="1" thickBot="1" x14ac:dyDescent="0.3">
      <c r="A74" s="57" t="s">
        <v>2</v>
      </c>
      <c r="B74" s="58">
        <f>SUM(B67:B73)</f>
        <v>0</v>
      </c>
      <c r="C74" s="118" t="s">
        <v>2</v>
      </c>
      <c r="D74" s="119">
        <f>SUM(D67:D73)</f>
        <v>0</v>
      </c>
      <c r="E74" s="59">
        <f>SUM(E67:E73)</f>
        <v>538</v>
      </c>
      <c r="F74" s="59">
        <f>SUM(F67:F73)</f>
        <v>1011650</v>
      </c>
      <c r="G74" s="59">
        <f t="shared" si="43"/>
        <v>1880.3903345724907</v>
      </c>
      <c r="H74" s="59">
        <f>SUM(H67:H73)</f>
        <v>588100</v>
      </c>
      <c r="I74" s="59">
        <f>H74/E74</f>
        <v>1093.1226765799256</v>
      </c>
      <c r="J74" s="59"/>
      <c r="K74" s="59"/>
      <c r="L74" s="59">
        <f>SUM(L67:L73)</f>
        <v>1599750</v>
      </c>
      <c r="M74" s="59">
        <f>L74/E74</f>
        <v>2973.5130111524163</v>
      </c>
      <c r="N74" s="59"/>
      <c r="O74" s="59"/>
      <c r="P74" s="59"/>
      <c r="Q74" s="135">
        <f>SUM(Q67:Q73)</f>
        <v>0</v>
      </c>
      <c r="R74" s="72" t="e">
        <f>L74/Q74</f>
        <v>#DIV/0!</v>
      </c>
      <c r="T74" s="247">
        <f>SUM(T67:T73)/S73</f>
        <v>13.733333333333334</v>
      </c>
      <c r="U74" s="252">
        <f>SUM(U67:U73)/S73</f>
        <v>20.683333333333334</v>
      </c>
      <c r="V74" s="305">
        <f>SUM(V67:V73)/S73</f>
        <v>3.1666666666666665</v>
      </c>
      <c r="W74" s="305">
        <f>SUM(W67:W73)/S73</f>
        <v>2.5</v>
      </c>
      <c r="X74" s="305">
        <f>SUM(X67:X73)/S73</f>
        <v>2.5</v>
      </c>
      <c r="Y74" s="306">
        <f>SUM(V74:X74)/3</f>
        <v>2.7222222222222219</v>
      </c>
      <c r="AA74" s="727" t="s">
        <v>196</v>
      </c>
      <c r="AB74" s="727"/>
      <c r="AC74" s="727"/>
      <c r="AD74" s="427">
        <f>SUM(AD68:AD73)</f>
        <v>18</v>
      </c>
      <c r="AE74" s="427">
        <f>SUM(AE68:AE73)</f>
        <v>49</v>
      </c>
      <c r="AF74" s="430">
        <f>AF68+AF71</f>
        <v>1</v>
      </c>
    </row>
    <row r="75" spans="1:32" s="31" customFormat="1" ht="20.25" hidden="1" customHeight="1" thickTop="1" thickBot="1" x14ac:dyDescent="0.3">
      <c r="A75" s="28" t="s">
        <v>24</v>
      </c>
      <c r="B75" s="38"/>
      <c r="C75" s="28" t="s">
        <v>24</v>
      </c>
      <c r="D75" s="38"/>
      <c r="E75" s="28"/>
      <c r="F75" s="29"/>
      <c r="G75" s="29"/>
      <c r="H75" s="29"/>
      <c r="I75" s="29"/>
      <c r="J75" s="29"/>
      <c r="K75" s="29"/>
      <c r="L75" s="29"/>
      <c r="M75" s="29"/>
      <c r="N75" s="29"/>
      <c r="O75" s="29"/>
      <c r="P75" s="29"/>
      <c r="Q75" s="29"/>
      <c r="R75" s="30"/>
    </row>
    <row r="76" spans="1:32" ht="30.5" hidden="1" customHeight="1" thickTop="1" x14ac:dyDescent="0.25">
      <c r="A76" s="39"/>
      <c r="B76" s="40"/>
      <c r="C76" s="39"/>
      <c r="D76" s="40"/>
      <c r="E76" s="27"/>
      <c r="F76" s="27"/>
      <c r="G76" s="27"/>
      <c r="H76" s="27"/>
      <c r="I76" s="27"/>
      <c r="J76" s="27"/>
      <c r="K76" s="27"/>
      <c r="L76" s="27"/>
      <c r="M76" s="27"/>
      <c r="N76" s="27"/>
      <c r="O76" s="27"/>
      <c r="P76" s="27"/>
      <c r="Q76" s="27"/>
    </row>
    <row r="77" spans="1:32" ht="32.25" hidden="1" customHeight="1" thickTop="1" x14ac:dyDescent="0.25">
      <c r="A77" s="735" t="s">
        <v>0</v>
      </c>
      <c r="B77" s="736"/>
      <c r="C77" s="735" t="s">
        <v>0</v>
      </c>
      <c r="D77" s="736"/>
      <c r="E77" s="99" t="s">
        <v>25</v>
      </c>
      <c r="F77" s="737"/>
      <c r="G77" s="737"/>
      <c r="H77" s="737"/>
      <c r="I77" s="737"/>
      <c r="J77" s="737"/>
      <c r="K77" s="737"/>
      <c r="L77" s="738"/>
      <c r="M77" s="63"/>
      <c r="N77" s="63"/>
      <c r="O77" s="63"/>
      <c r="P77" s="63"/>
      <c r="Q77" s="63"/>
      <c r="R77" s="8"/>
    </row>
    <row r="78" spans="1:32" ht="32.25" hidden="1" customHeight="1" thickTop="1" x14ac:dyDescent="0.25">
      <c r="A78" s="735"/>
      <c r="B78" s="736"/>
      <c r="C78" s="735"/>
      <c r="D78" s="736"/>
      <c r="E78" s="739" t="s">
        <v>0</v>
      </c>
      <c r="F78" s="740"/>
      <c r="G78" s="740"/>
      <c r="H78" s="740"/>
      <c r="I78" s="740"/>
      <c r="J78" s="740"/>
      <c r="K78" s="740"/>
      <c r="L78" s="741"/>
      <c r="M78" s="64"/>
      <c r="N78" s="64"/>
      <c r="O78" s="64"/>
      <c r="P78" s="64"/>
      <c r="Q78" s="64"/>
    </row>
    <row r="79" spans="1:32" ht="32.25" hidden="1" customHeight="1" thickTop="1" x14ac:dyDescent="0.25">
      <c r="A79" s="735"/>
      <c r="B79" s="736"/>
      <c r="C79" s="735"/>
      <c r="D79" s="736"/>
      <c r="E79" s="3" t="s">
        <v>1</v>
      </c>
      <c r="F79" s="6"/>
      <c r="G79" s="6"/>
      <c r="H79" s="6" t="s">
        <v>20</v>
      </c>
      <c r="I79" s="41"/>
      <c r="J79" s="41"/>
      <c r="K79" s="41"/>
      <c r="L79" s="7" t="s">
        <v>21</v>
      </c>
      <c r="M79" s="65"/>
      <c r="N79" s="65"/>
      <c r="O79" s="65"/>
      <c r="P79" s="65"/>
      <c r="Q79" s="65"/>
      <c r="R79" s="32"/>
    </row>
    <row r="80" spans="1:32" ht="32.25" hidden="1" customHeight="1" thickTop="1" x14ac:dyDescent="0.25">
      <c r="A80" s="735"/>
      <c r="B80" s="736"/>
      <c r="C80" s="735"/>
      <c r="D80" s="736"/>
      <c r="E80" s="20"/>
      <c r="F80" s="4"/>
      <c r="G80" s="4"/>
      <c r="H80" s="12" t="e">
        <f>#REF!*E80</f>
        <v>#REF!</v>
      </c>
      <c r="I80" s="14"/>
      <c r="J80" s="14"/>
      <c r="K80" s="14"/>
      <c r="L80" s="13" t="e">
        <f>#REF!*E80</f>
        <v>#REF!</v>
      </c>
      <c r="M80" s="66"/>
      <c r="N80" s="66"/>
      <c r="O80" s="66"/>
      <c r="P80" s="66"/>
      <c r="Q80" s="66"/>
      <c r="R80" s="33"/>
    </row>
    <row r="81" spans="1:42" ht="21" hidden="1" customHeight="1" thickTop="1" x14ac:dyDescent="0.25">
      <c r="A81" s="735"/>
      <c r="B81" s="736"/>
      <c r="C81" s="735"/>
      <c r="D81" s="736"/>
      <c r="F81" s="9"/>
      <c r="G81" s="9"/>
    </row>
    <row r="82" spans="1:42" ht="32.25" hidden="1" customHeight="1" thickTop="1" x14ac:dyDescent="0.25">
      <c r="A82" s="735"/>
      <c r="B82" s="736"/>
      <c r="C82" s="735"/>
      <c r="D82" s="736"/>
      <c r="E82" s="1" t="s">
        <v>22</v>
      </c>
      <c r="F82" s="10"/>
      <c r="G82" s="10"/>
    </row>
    <row r="83" spans="1:42" ht="32.25" hidden="1" customHeight="1" thickTop="1" x14ac:dyDescent="0.25">
      <c r="A83" s="735"/>
      <c r="B83" s="736"/>
      <c r="C83" s="735"/>
      <c r="D83" s="736"/>
      <c r="E83" s="15" t="s">
        <v>1</v>
      </c>
      <c r="F83" s="15"/>
      <c r="G83" s="15"/>
      <c r="H83" s="15" t="s">
        <v>20</v>
      </c>
      <c r="I83" s="15"/>
      <c r="J83" s="15"/>
      <c r="K83" s="15"/>
      <c r="L83" s="15" t="s">
        <v>21</v>
      </c>
      <c r="M83" s="51"/>
      <c r="N83" s="51"/>
      <c r="O83" s="51"/>
      <c r="P83" s="51"/>
      <c r="Q83" s="51"/>
    </row>
    <row r="84" spans="1:42" s="5" customFormat="1" ht="32.25" hidden="1" customHeight="1" thickTop="1" x14ac:dyDescent="0.25">
      <c r="A84" s="735"/>
      <c r="B84" s="736"/>
      <c r="C84" s="735"/>
      <c r="D84" s="736"/>
      <c r="E84" s="21">
        <f>E74-E80</f>
        <v>538</v>
      </c>
      <c r="F84" s="22"/>
      <c r="G84" s="22"/>
      <c r="H84" s="21" t="e">
        <f>H74-H80</f>
        <v>#REF!</v>
      </c>
      <c r="I84" s="21"/>
      <c r="J84" s="21"/>
      <c r="K84" s="21"/>
      <c r="L84" s="21" t="e">
        <f>L74-L80</f>
        <v>#REF!</v>
      </c>
      <c r="M84" s="67"/>
      <c r="N84" s="67"/>
      <c r="O84" s="67"/>
      <c r="P84" s="67"/>
      <c r="Q84" s="67"/>
      <c r="R84" s="1"/>
    </row>
    <row r="85" spans="1:42" s="5" customFormat="1" ht="32.25" hidden="1" customHeight="1" thickTop="1" x14ac:dyDescent="0.25">
      <c r="A85" s="735"/>
      <c r="B85" s="736"/>
      <c r="C85" s="735"/>
      <c r="D85" s="736"/>
      <c r="E85" s="23" t="e">
        <f>E74/E80</f>
        <v>#DIV/0!</v>
      </c>
      <c r="F85" s="23"/>
      <c r="G85" s="23"/>
      <c r="H85" s="23" t="e">
        <f>H74/H80</f>
        <v>#REF!</v>
      </c>
      <c r="I85" s="23"/>
      <c r="J85" s="23"/>
      <c r="K85" s="23"/>
      <c r="L85" s="23" t="e">
        <f>L74/L80</f>
        <v>#REF!</v>
      </c>
      <c r="M85" s="68"/>
      <c r="N85" s="68"/>
      <c r="O85" s="68"/>
      <c r="P85" s="68"/>
      <c r="Q85" s="68"/>
      <c r="R85" s="1"/>
    </row>
    <row r="86" spans="1:42" s="5" customFormat="1" ht="32.25" hidden="1" customHeight="1" thickTop="1" x14ac:dyDescent="0.25">
      <c r="A86" s="735"/>
      <c r="B86" s="736"/>
      <c r="C86" s="735"/>
      <c r="D86" s="736"/>
      <c r="E86" s="1" t="s">
        <v>26</v>
      </c>
      <c r="F86" s="1"/>
      <c r="G86" s="1"/>
      <c r="H86" s="1"/>
      <c r="I86" s="1"/>
      <c r="J86" s="1"/>
      <c r="K86" s="1"/>
      <c r="L86" s="1"/>
      <c r="M86" s="1"/>
      <c r="N86" s="1"/>
      <c r="O86" s="1"/>
      <c r="P86" s="1"/>
      <c r="Q86" s="1"/>
      <c r="R86" s="1"/>
    </row>
    <row r="87" spans="1:42" s="5" customFormat="1" ht="32.25" hidden="1" customHeight="1" thickTop="1" x14ac:dyDescent="0.25">
      <c r="A87" s="735"/>
      <c r="B87" s="736"/>
      <c r="C87" s="735"/>
      <c r="D87" s="736"/>
      <c r="E87" s="15" t="s">
        <v>1</v>
      </c>
      <c r="F87" s="15"/>
      <c r="G87" s="15"/>
      <c r="H87" s="15" t="s">
        <v>20</v>
      </c>
      <c r="I87" s="15"/>
      <c r="J87" s="15"/>
      <c r="K87" s="15"/>
      <c r="L87" s="15" t="s">
        <v>21</v>
      </c>
      <c r="M87" s="51"/>
      <c r="N87" s="51"/>
      <c r="O87" s="51"/>
      <c r="P87" s="51"/>
      <c r="Q87" s="51"/>
      <c r="R87" s="1"/>
    </row>
    <row r="88" spans="1:42" s="5" customFormat="1" ht="32.25" hidden="1" customHeight="1" thickTop="1" x14ac:dyDescent="0.25">
      <c r="A88" s="735"/>
      <c r="B88" s="736"/>
      <c r="C88" s="735"/>
      <c r="D88" s="736"/>
      <c r="E88" s="16"/>
      <c r="F88" s="18"/>
      <c r="G88" s="18"/>
      <c r="H88" s="17"/>
      <c r="I88" s="17"/>
      <c r="J88" s="17"/>
      <c r="K88" s="17"/>
      <c r="L88" s="17"/>
      <c r="M88" s="69"/>
      <c r="N88" s="69"/>
      <c r="O88" s="69"/>
      <c r="P88" s="69"/>
      <c r="Q88" s="69"/>
      <c r="R88" s="1"/>
    </row>
    <row r="89" spans="1:42" s="5" customFormat="1" ht="32.25" hidden="1" customHeight="1" thickTop="1" x14ac:dyDescent="0.25">
      <c r="A89" s="735"/>
      <c r="B89" s="736"/>
      <c r="C89" s="735"/>
      <c r="D89" s="736"/>
      <c r="E89" s="1" t="s">
        <v>23</v>
      </c>
      <c r="F89" s="1"/>
      <c r="G89" s="1"/>
      <c r="H89" s="1"/>
      <c r="I89" s="1"/>
      <c r="J89" s="1"/>
      <c r="K89" s="1"/>
      <c r="L89" s="1"/>
      <c r="M89" s="1"/>
      <c r="N89" s="1"/>
      <c r="O89" s="1"/>
      <c r="P89" s="1"/>
      <c r="Q89" s="1"/>
      <c r="R89" s="1"/>
    </row>
    <row r="90" spans="1:42" s="5" customFormat="1" ht="32.25" hidden="1" customHeight="1" thickTop="1" x14ac:dyDescent="0.25">
      <c r="A90" s="735"/>
      <c r="B90" s="736"/>
      <c r="C90" s="735"/>
      <c r="D90" s="736"/>
      <c r="E90" s="15" t="s">
        <v>1</v>
      </c>
      <c r="F90" s="15"/>
      <c r="G90" s="15"/>
      <c r="H90" s="15" t="s">
        <v>20</v>
      </c>
      <c r="I90" s="15"/>
      <c r="J90" s="15"/>
      <c r="K90" s="15"/>
      <c r="L90" s="15" t="s">
        <v>21</v>
      </c>
      <c r="M90" s="51"/>
      <c r="N90" s="51"/>
      <c r="O90" s="51"/>
      <c r="P90" s="51"/>
      <c r="Q90" s="51"/>
      <c r="R90" s="1"/>
    </row>
    <row r="91" spans="1:42" s="5" customFormat="1" ht="30" hidden="1" customHeight="1" thickTop="1" x14ac:dyDescent="0.25">
      <c r="A91" s="735"/>
      <c r="B91" s="736"/>
      <c r="C91" s="735"/>
      <c r="D91" s="736"/>
      <c r="E91" s="16">
        <f>E74-E88</f>
        <v>538</v>
      </c>
      <c r="F91" s="16"/>
      <c r="G91" s="16"/>
      <c r="H91" s="16">
        <f>H74-H88</f>
        <v>588100</v>
      </c>
      <c r="I91" s="16"/>
      <c r="J91" s="16"/>
      <c r="K91" s="16"/>
      <c r="L91" s="16">
        <f>L74-L88</f>
        <v>1599750</v>
      </c>
      <c r="M91" s="70"/>
      <c r="N91" s="70"/>
      <c r="O91" s="70"/>
      <c r="P91" s="70"/>
      <c r="Q91" s="70"/>
      <c r="R91" s="1"/>
    </row>
    <row r="92" spans="1:42" s="5" customFormat="1" ht="32" hidden="1" customHeight="1" thickTop="1" x14ac:dyDescent="0.25">
      <c r="A92" s="735"/>
      <c r="B92" s="736"/>
      <c r="C92" s="735"/>
      <c r="D92" s="736"/>
      <c r="E92" s="48" t="e">
        <f>E74/E88</f>
        <v>#DIV/0!</v>
      </c>
      <c r="F92" s="19"/>
      <c r="G92" s="19"/>
      <c r="H92" s="19" t="e">
        <f>H74/H88</f>
        <v>#DIV/0!</v>
      </c>
      <c r="I92" s="19"/>
      <c r="J92" s="19"/>
      <c r="K92" s="19"/>
      <c r="L92" s="19" t="e">
        <f>L74/L88</f>
        <v>#DIV/0!</v>
      </c>
      <c r="M92" s="52"/>
      <c r="N92" s="52"/>
      <c r="O92" s="52"/>
      <c r="P92" s="52"/>
      <c r="Q92" s="52"/>
      <c r="R92" s="11"/>
    </row>
    <row r="93" spans="1:42" s="5" customFormat="1" ht="39" customHeight="1" thickTop="1" x14ac:dyDescent="0.25">
      <c r="A93" s="746" t="s">
        <v>39</v>
      </c>
      <c r="B93" s="746"/>
      <c r="C93" s="60"/>
      <c r="D93" s="60"/>
      <c r="E93" s="60"/>
      <c r="F93" s="742"/>
      <c r="G93" s="742"/>
      <c r="H93" s="1"/>
      <c r="I93" s="1"/>
      <c r="J93" s="131" t="s">
        <v>85</v>
      </c>
      <c r="K93" s="131"/>
      <c r="L93" s="125">
        <f>L74/1.1</f>
        <v>1454318.1818181816</v>
      </c>
      <c r="M93" s="130" t="s">
        <v>84</v>
      </c>
      <c r="N93" s="130"/>
      <c r="O93" s="130"/>
      <c r="P93" s="130"/>
      <c r="Q93" s="210" t="e">
        <f>L93/#REF!</f>
        <v>#REF!</v>
      </c>
      <c r="R93" s="748" t="e">
        <f>L93-#REF!</f>
        <v>#REF!</v>
      </c>
      <c r="S93" s="747"/>
      <c r="T93" s="747"/>
      <c r="U93" s="747"/>
      <c r="V93" s="747"/>
      <c r="Z93" s="304"/>
      <c r="AB93" s="394">
        <f>L93/AP93</f>
        <v>7.6343254735214541E-2</v>
      </c>
      <c r="AD93" s="749">
        <f>AE74/AD74</f>
        <v>2.7222222222222223</v>
      </c>
      <c r="AE93" s="749"/>
      <c r="AH93" s="388"/>
      <c r="AI93" s="388"/>
      <c r="AJ93" s="388"/>
      <c r="AK93" s="388"/>
      <c r="AL93" s="388"/>
      <c r="AM93" s="388"/>
      <c r="AN93" s="389"/>
      <c r="AO93" s="388"/>
      <c r="AP93" s="393">
        <v>19049727.27272727</v>
      </c>
    </row>
    <row r="94" spans="1:42" s="5" customFormat="1" ht="21" customHeight="1" thickBot="1" x14ac:dyDescent="0.3">
      <c r="A94" s="746"/>
      <c r="B94" s="746"/>
      <c r="C94" s="1"/>
      <c r="D94" s="1"/>
      <c r="E94" s="1"/>
      <c r="F94" s="36"/>
      <c r="G94" s="36"/>
      <c r="H94" s="1"/>
      <c r="I94" s="1"/>
      <c r="J94" s="1">
        <f>J74/1.1</f>
        <v>0</v>
      </c>
      <c r="K94" s="1"/>
      <c r="L94" s="1"/>
      <c r="M94" s="1" t="s">
        <v>185</v>
      </c>
      <c r="N94" s="1"/>
      <c r="O94" s="1"/>
      <c r="P94" s="1"/>
      <c r="Q94" s="166" t="s">
        <v>184</v>
      </c>
      <c r="R94" s="1"/>
      <c r="Z94" s="304"/>
      <c r="AH94" s="388"/>
      <c r="AI94" s="388"/>
      <c r="AJ94" s="388"/>
      <c r="AK94" s="388"/>
      <c r="AL94" s="388"/>
      <c r="AM94" s="388"/>
      <c r="AN94" s="389"/>
      <c r="AO94" s="388"/>
      <c r="AP94" s="388"/>
    </row>
    <row r="95" spans="1:42" ht="66" customHeight="1" thickTop="1" thickBot="1" x14ac:dyDescent="0.3">
      <c r="A95" s="746"/>
      <c r="B95" s="746"/>
      <c r="F95" s="52"/>
      <c r="G95" s="52"/>
      <c r="H95" s="743" t="s">
        <v>183</v>
      </c>
      <c r="I95" s="744"/>
      <c r="J95" s="744"/>
      <c r="K95" s="744"/>
      <c r="L95" s="744"/>
      <c r="M95" s="410" t="e">
        <f>L93/#REF!</f>
        <v>#REF!</v>
      </c>
      <c r="N95" s="410"/>
      <c r="O95" s="410"/>
      <c r="P95" s="410"/>
      <c r="Q95" s="411" t="e">
        <f>J94/#REF!</f>
        <v>#REF!</v>
      </c>
      <c r="R95" s="61" t="e">
        <f>L93-#REF!</f>
        <v>#REF!</v>
      </c>
      <c r="Z95" s="270"/>
      <c r="AH95" s="362"/>
      <c r="AI95" s="362"/>
      <c r="AJ95" s="362"/>
      <c r="AK95" s="362"/>
      <c r="AL95" s="362"/>
      <c r="AM95" s="362"/>
      <c r="AN95" s="363"/>
      <c r="AO95" s="362"/>
      <c r="AP95" s="362"/>
    </row>
    <row r="96" spans="1:42" ht="17" thickTop="1" x14ac:dyDescent="0.25"/>
    <row r="97" spans="1:2" ht="32" customHeight="1" x14ac:dyDescent="0.25"/>
    <row r="98" spans="1:2" s="24" customFormat="1" ht="34.25" customHeight="1" x14ac:dyDescent="0.25">
      <c r="A98" s="34" t="s">
        <v>53</v>
      </c>
      <c r="B98" s="35"/>
    </row>
    <row r="99" spans="1:2" s="81" customFormat="1" ht="32" customHeight="1" x14ac:dyDescent="0.25">
      <c r="A99" s="745" t="s">
        <v>54</v>
      </c>
      <c r="B99" s="745"/>
    </row>
    <row r="100" spans="1:2" ht="73" customHeight="1" x14ac:dyDescent="0.25">
      <c r="A100" s="729" t="s">
        <v>55</v>
      </c>
      <c r="B100" s="729"/>
    </row>
    <row r="101" spans="1:2" ht="73" customHeight="1" x14ac:dyDescent="0.25">
      <c r="A101" s="729" t="s">
        <v>56</v>
      </c>
      <c r="B101" s="729"/>
    </row>
    <row r="102" spans="1:2" ht="73" customHeight="1" x14ac:dyDescent="0.25">
      <c r="A102" s="729" t="s">
        <v>57</v>
      </c>
      <c r="B102" s="729"/>
    </row>
    <row r="103" spans="1:2" ht="73" customHeight="1" x14ac:dyDescent="0.25">
      <c r="A103" s="729" t="s">
        <v>58</v>
      </c>
      <c r="B103" s="729"/>
    </row>
    <row r="104" spans="1:2" ht="73" customHeight="1" x14ac:dyDescent="0.25">
      <c r="A104" s="729" t="s">
        <v>59</v>
      </c>
      <c r="B104" s="729"/>
    </row>
    <row r="105" spans="1:2" ht="73" customHeight="1" x14ac:dyDescent="0.25">
      <c r="A105" s="729" t="s">
        <v>49</v>
      </c>
      <c r="B105" s="729"/>
    </row>
    <row r="106" spans="1:2" ht="73" customHeight="1" x14ac:dyDescent="0.25">
      <c r="A106" s="729" t="s">
        <v>50</v>
      </c>
      <c r="B106" s="729"/>
    </row>
    <row r="107" spans="1:2" ht="73" customHeight="1" x14ac:dyDescent="0.25">
      <c r="A107" s="729"/>
      <c r="B107" s="729"/>
    </row>
    <row r="108" spans="1:2" ht="73" customHeight="1" x14ac:dyDescent="0.25">
      <c r="A108" s="747"/>
      <c r="B108" s="747"/>
    </row>
    <row r="109" spans="1:2" ht="32" customHeight="1" x14ac:dyDescent="0.25"/>
    <row r="110" spans="1:2" ht="32" customHeight="1" x14ac:dyDescent="0.25"/>
    <row r="111" spans="1:2" ht="32" customHeight="1" x14ac:dyDescent="0.25"/>
    <row r="112" spans="1:2" ht="32" customHeight="1" x14ac:dyDescent="0.25"/>
    <row r="113" ht="32" customHeight="1" x14ac:dyDescent="0.25"/>
  </sheetData>
  <mergeCells count="73">
    <mergeCell ref="N3:Q3"/>
    <mergeCell ref="N4:Q4"/>
    <mergeCell ref="AA74:AC74"/>
    <mergeCell ref="AD93:AE93"/>
    <mergeCell ref="AA66:AF66"/>
    <mergeCell ref="AA67:AB67"/>
    <mergeCell ref="AA68:AB68"/>
    <mergeCell ref="AF68:AF70"/>
    <mergeCell ref="AA69:AB69"/>
    <mergeCell ref="AA70:AB70"/>
    <mergeCell ref="AA71:AB71"/>
    <mergeCell ref="AF71:AF73"/>
    <mergeCell ref="AA72:AB72"/>
    <mergeCell ref="AA73:AB73"/>
    <mergeCell ref="R93:V93"/>
    <mergeCell ref="A108:B108"/>
    <mergeCell ref="A107:B107"/>
    <mergeCell ref="A106:B106"/>
    <mergeCell ref="A105:B105"/>
    <mergeCell ref="A104:B104"/>
    <mergeCell ref="A103:B103"/>
    <mergeCell ref="A102:B102"/>
    <mergeCell ref="A101:B101"/>
    <mergeCell ref="A100:B100"/>
    <mergeCell ref="F93:G93"/>
    <mergeCell ref="H95:L95"/>
    <mergeCell ref="A99:B99"/>
    <mergeCell ref="A93:B95"/>
    <mergeCell ref="C77:D92"/>
    <mergeCell ref="F77:L77"/>
    <mergeCell ref="E78:L78"/>
    <mergeCell ref="T65:Y65"/>
    <mergeCell ref="A77:B92"/>
    <mergeCell ref="A64:B64"/>
    <mergeCell ref="C64:D64"/>
    <mergeCell ref="A65:B65"/>
    <mergeCell ref="C65:R65"/>
    <mergeCell ref="T45:Y45"/>
    <mergeCell ref="A54:B54"/>
    <mergeCell ref="C54:D54"/>
    <mergeCell ref="A55:B55"/>
    <mergeCell ref="C55:R55"/>
    <mergeCell ref="T55:Y55"/>
    <mergeCell ref="A44:B44"/>
    <mergeCell ref="C44:D44"/>
    <mergeCell ref="A45:B45"/>
    <mergeCell ref="C45:R45"/>
    <mergeCell ref="T25:Y25"/>
    <mergeCell ref="A34:B34"/>
    <mergeCell ref="C34:D34"/>
    <mergeCell ref="A35:B35"/>
    <mergeCell ref="C35:R35"/>
    <mergeCell ref="T35:Y35"/>
    <mergeCell ref="A24:B24"/>
    <mergeCell ref="C24:D24"/>
    <mergeCell ref="A25:B25"/>
    <mergeCell ref="C25:R25"/>
    <mergeCell ref="A14:B14"/>
    <mergeCell ref="C14:D14"/>
    <mergeCell ref="AA14:AE14"/>
    <mergeCell ref="A15:B15"/>
    <mergeCell ref="C15:R15"/>
    <mergeCell ref="T15:Y15"/>
    <mergeCell ref="C4:D4"/>
    <mergeCell ref="I4:J4"/>
    <mergeCell ref="T4:Y4"/>
    <mergeCell ref="A5:B5"/>
    <mergeCell ref="C5:R5"/>
    <mergeCell ref="T5:Y5"/>
    <mergeCell ref="C3:M3"/>
    <mergeCell ref="A4:B4"/>
    <mergeCell ref="A2:B2"/>
    <mergeCell ref="A3:B3"/>
  </mergeCells>
  <phoneticPr fontId="1"/>
  <pageMargins left="0.7" right="0.7" top="0.75" bottom="0.75" header="0.3" footer="0.3"/>
  <pageSetup paperSize="8" scale="1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6F0D-0A20-0A47-BE98-615A90809FED}">
  <sheetPr>
    <tabColor rgb="FFFFC000"/>
    <pageSetUpPr fitToPage="1"/>
  </sheetPr>
  <dimension ref="A1:BJ113"/>
  <sheetViews>
    <sheetView zoomScale="50" workbookViewId="0">
      <selection activeCell="A2" sqref="A2:B2"/>
    </sheetView>
  </sheetViews>
  <sheetFormatPr baseColWidth="10" defaultColWidth="9" defaultRowHeight="16" x14ac:dyDescent="0.25"/>
  <cols>
    <col min="1" max="1" width="8.1640625" style="1" customWidth="1"/>
    <col min="2" max="2" width="6.6640625" style="35" customWidth="1"/>
    <col min="3" max="3" width="15.5" style="1" customWidth="1"/>
    <col min="4" max="4" width="7.1640625" style="1" customWidth="1"/>
    <col min="5" max="11" width="16" style="1" customWidth="1"/>
    <col min="12" max="12" width="26.33203125" style="1" customWidth="1"/>
    <col min="13" max="17" width="16" style="1" customWidth="1"/>
    <col min="18" max="18" width="21.6640625" style="1" customWidth="1"/>
    <col min="19" max="19" width="5.1640625" style="1" customWidth="1"/>
    <col min="20" max="21" width="15.33203125" style="1" bestFit="1" customWidth="1"/>
    <col min="22" max="25" width="10.33203125" style="1" customWidth="1"/>
    <col min="26" max="26" width="6" style="1" customWidth="1"/>
    <col min="27" max="27" width="9" style="1"/>
    <col min="28" max="28" width="19.5" style="1" customWidth="1"/>
    <col min="29" max="33" width="9" style="1"/>
    <col min="34" max="35" width="15.33203125" style="1" bestFit="1" customWidth="1"/>
    <col min="36" max="39" width="10.33203125" style="1" customWidth="1"/>
    <col min="40" max="40" width="6" style="1" customWidth="1"/>
    <col min="41" max="41" width="9" style="1"/>
    <col min="42" max="42" width="19.5" style="1" customWidth="1"/>
    <col min="43" max="16384" width="9" style="1"/>
  </cols>
  <sheetData>
    <row r="1" spans="1:45" s="24" customFormat="1" ht="64" customHeight="1" x14ac:dyDescent="0.25">
      <c r="A1" s="82" t="s">
        <v>329</v>
      </c>
      <c r="B1" s="35"/>
      <c r="Q1" s="166"/>
      <c r="Z1" s="25"/>
      <c r="AN1" s="25"/>
    </row>
    <row r="2" spans="1:45" s="24" customFormat="1" ht="34.25" customHeight="1" thickBot="1" x14ac:dyDescent="0.3">
      <c r="A2" s="699" t="s">
        <v>60</v>
      </c>
      <c r="B2" s="700"/>
      <c r="L2" s="129" t="e">
        <f>L14+L24+L34+L44+L54+L64</f>
        <v>#DIV/0!</v>
      </c>
      <c r="R2" s="24">
        <v>10</v>
      </c>
    </row>
    <row r="3" spans="1:45" ht="53" customHeight="1" thickTop="1" x14ac:dyDescent="0.25">
      <c r="A3" s="701" t="s">
        <v>47</v>
      </c>
      <c r="B3" s="702"/>
      <c r="C3" s="703" t="s">
        <v>79</v>
      </c>
      <c r="D3" s="704"/>
      <c r="E3" s="704"/>
      <c r="F3" s="704"/>
      <c r="G3" s="704"/>
      <c r="H3" s="704"/>
      <c r="I3" s="704"/>
      <c r="J3" s="704"/>
      <c r="K3" s="704"/>
      <c r="L3" s="704"/>
      <c r="M3" s="704"/>
      <c r="N3" s="804" t="s">
        <v>51</v>
      </c>
      <c r="O3" s="805"/>
      <c r="P3" s="805"/>
      <c r="Q3" s="806"/>
      <c r="R3" s="75" t="s">
        <v>27</v>
      </c>
    </row>
    <row r="4" spans="1:45" s="36" customFormat="1" ht="53" customHeight="1" x14ac:dyDescent="0.25">
      <c r="A4" s="705" t="s">
        <v>41</v>
      </c>
      <c r="B4" s="706"/>
      <c r="C4" s="717" t="s">
        <v>70</v>
      </c>
      <c r="D4" s="718"/>
      <c r="E4" s="76" t="s">
        <v>42</v>
      </c>
      <c r="F4" s="77"/>
      <c r="G4" s="78" t="s">
        <v>43</v>
      </c>
      <c r="H4" s="100"/>
      <c r="I4" s="719" t="s">
        <v>75</v>
      </c>
      <c r="J4" s="720"/>
      <c r="K4" s="449"/>
      <c r="L4" s="126">
        <v>9275000</v>
      </c>
      <c r="M4" s="128" t="s">
        <v>52</v>
      </c>
      <c r="N4" s="807"/>
      <c r="O4" s="808"/>
      <c r="P4" s="808"/>
      <c r="Q4" s="809"/>
      <c r="R4" s="127">
        <f>L4/R2</f>
        <v>927500</v>
      </c>
      <c r="T4" s="721" t="s">
        <v>162</v>
      </c>
      <c r="U4" s="722"/>
      <c r="V4" s="722"/>
      <c r="W4" s="722"/>
      <c r="X4" s="722"/>
      <c r="Y4" s="723"/>
      <c r="AH4" s="721" t="s">
        <v>162</v>
      </c>
      <c r="AI4" s="722"/>
      <c r="AJ4" s="722"/>
      <c r="AK4" s="722"/>
      <c r="AL4" s="722"/>
      <c r="AM4" s="723"/>
    </row>
    <row r="5" spans="1:45" ht="23.5" customHeight="1" x14ac:dyDescent="0.25">
      <c r="A5" s="710" t="s">
        <v>12</v>
      </c>
      <c r="B5" s="711"/>
      <c r="C5" s="710" t="s">
        <v>12</v>
      </c>
      <c r="D5" s="711"/>
      <c r="E5" s="711"/>
      <c r="F5" s="711"/>
      <c r="G5" s="711"/>
      <c r="H5" s="711"/>
      <c r="I5" s="711"/>
      <c r="J5" s="711"/>
      <c r="K5" s="711"/>
      <c r="L5" s="711"/>
      <c r="M5" s="711"/>
      <c r="N5" s="711"/>
      <c r="O5" s="711"/>
      <c r="P5" s="711"/>
      <c r="Q5" s="711"/>
      <c r="R5" s="712"/>
      <c r="T5" s="716" t="str">
        <f>C5</f>
        <v>1st week</v>
      </c>
      <c r="U5" s="716"/>
      <c r="V5" s="716"/>
      <c r="W5" s="716"/>
      <c r="X5" s="716"/>
      <c r="Y5" s="716"/>
      <c r="AC5" s="36"/>
      <c r="AH5" s="716">
        <f>U5</f>
        <v>0</v>
      </c>
      <c r="AI5" s="716"/>
      <c r="AJ5" s="716"/>
      <c r="AK5" s="716"/>
      <c r="AL5" s="716"/>
      <c r="AM5" s="716"/>
      <c r="AQ5" s="36"/>
    </row>
    <row r="6" spans="1:45" s="2" customFormat="1" ht="23.5" customHeight="1" x14ac:dyDescent="0.25">
      <c r="A6" s="53" t="s">
        <v>10</v>
      </c>
      <c r="B6" s="37" t="s">
        <v>11</v>
      </c>
      <c r="C6" s="103" t="s">
        <v>10</v>
      </c>
      <c r="D6" s="104" t="s">
        <v>11</v>
      </c>
      <c r="E6" s="104" t="s">
        <v>1</v>
      </c>
      <c r="F6" s="104" t="s">
        <v>30</v>
      </c>
      <c r="G6" s="104" t="s">
        <v>31</v>
      </c>
      <c r="H6" s="104" t="s">
        <v>28</v>
      </c>
      <c r="I6" s="104" t="s">
        <v>29</v>
      </c>
      <c r="J6" s="104" t="s">
        <v>330</v>
      </c>
      <c r="K6" s="104" t="s">
        <v>210</v>
      </c>
      <c r="L6" s="104" t="s">
        <v>71</v>
      </c>
      <c r="M6" s="105" t="s">
        <v>48</v>
      </c>
      <c r="N6" s="105" t="s">
        <v>331</v>
      </c>
      <c r="O6" s="105" t="s">
        <v>332</v>
      </c>
      <c r="P6" s="105" t="s">
        <v>220</v>
      </c>
      <c r="Q6" s="105" t="s">
        <v>40</v>
      </c>
      <c r="R6" s="106" t="s">
        <v>73</v>
      </c>
      <c r="T6" s="253" t="s">
        <v>116</v>
      </c>
      <c r="U6" s="254" t="s">
        <v>117</v>
      </c>
      <c r="V6" s="49" t="s">
        <v>118</v>
      </c>
      <c r="W6" s="49" t="s">
        <v>119</v>
      </c>
      <c r="X6" s="49" t="s">
        <v>120</v>
      </c>
      <c r="Y6" s="255" t="s">
        <v>128</v>
      </c>
      <c r="AA6" s="1" t="s">
        <v>123</v>
      </c>
      <c r="AB6" s="1"/>
      <c r="AC6" s="36" t="s">
        <v>126</v>
      </c>
      <c r="AH6" s="253" t="s">
        <v>116</v>
      </c>
      <c r="AI6" s="254" t="s">
        <v>117</v>
      </c>
      <c r="AJ6" s="49" t="s">
        <v>118</v>
      </c>
      <c r="AK6" s="49" t="s">
        <v>119</v>
      </c>
      <c r="AL6" s="49" t="s">
        <v>120</v>
      </c>
      <c r="AM6" s="255" t="s">
        <v>128</v>
      </c>
      <c r="AO6" s="1" t="s">
        <v>123</v>
      </c>
      <c r="AP6" s="1"/>
      <c r="AQ6" s="36" t="s">
        <v>126</v>
      </c>
    </row>
    <row r="7" spans="1:45" ht="23.5" customHeight="1" x14ac:dyDescent="0.25">
      <c r="A7" s="54" t="s">
        <v>3</v>
      </c>
      <c r="B7" s="50">
        <v>1</v>
      </c>
      <c r="C7" s="107" t="s">
        <v>3</v>
      </c>
      <c r="D7" s="120">
        <f>B7</f>
        <v>1</v>
      </c>
      <c r="E7" s="74">
        <v>468</v>
      </c>
      <c r="F7" s="108">
        <v>1213450</v>
      </c>
      <c r="G7" s="108">
        <f t="shared" ref="G7:G14" si="0">F7/E7</f>
        <v>2592.8418803418804</v>
      </c>
      <c r="H7" s="108">
        <v>629350</v>
      </c>
      <c r="I7" s="109">
        <f t="shared" ref="I7:I14" si="1">H7/E7</f>
        <v>1344.7649572649573</v>
      </c>
      <c r="J7" s="109">
        <v>10010</v>
      </c>
      <c r="K7" s="109"/>
      <c r="L7" s="110">
        <f>F7+H7+J7+K7</f>
        <v>1852810</v>
      </c>
      <c r="M7" s="111">
        <f>L7/E7</f>
        <v>3958.9957264957266</v>
      </c>
      <c r="N7" s="111"/>
      <c r="O7" s="111"/>
      <c r="P7" s="111"/>
      <c r="Q7" s="111"/>
      <c r="R7" s="112" t="e">
        <f>L7/Q7</f>
        <v>#DIV/0!</v>
      </c>
      <c r="T7" s="248">
        <v>18.3</v>
      </c>
      <c r="U7" s="248">
        <v>29</v>
      </c>
      <c r="V7" s="440">
        <v>5</v>
      </c>
      <c r="W7" s="440">
        <v>5</v>
      </c>
      <c r="X7" s="441">
        <v>3</v>
      </c>
      <c r="Y7" s="272">
        <f t="shared" ref="Y7:Y14" si="2">SUM(V7:X7)/3</f>
        <v>4.333333333333333</v>
      </c>
      <c r="AA7" s="271" t="s">
        <v>124</v>
      </c>
      <c r="AB7" s="2"/>
      <c r="AC7" s="270">
        <v>5</v>
      </c>
      <c r="AH7" s="248">
        <v>24.9</v>
      </c>
      <c r="AI7" s="248">
        <v>27</v>
      </c>
      <c r="AJ7" s="256">
        <v>3</v>
      </c>
      <c r="AK7" s="256">
        <v>1</v>
      </c>
      <c r="AL7" s="256">
        <v>1</v>
      </c>
      <c r="AM7" s="272">
        <f t="shared" ref="AM7:AM14" si="3">SUM(AJ7:AL7)/3</f>
        <v>1.6666666666666667</v>
      </c>
      <c r="AO7" s="271" t="s">
        <v>124</v>
      </c>
      <c r="AP7" s="2"/>
      <c r="AQ7" s="270">
        <v>5</v>
      </c>
    </row>
    <row r="8" spans="1:45" ht="23.5" customHeight="1" x14ac:dyDescent="0.25">
      <c r="A8" s="55" t="s">
        <v>4</v>
      </c>
      <c r="B8" s="50">
        <v>2</v>
      </c>
      <c r="C8" s="103" t="s">
        <v>4</v>
      </c>
      <c r="D8" s="120">
        <f t="shared" ref="D8:D13" si="4">B8</f>
        <v>2</v>
      </c>
      <c r="E8" s="74">
        <v>92</v>
      </c>
      <c r="F8" s="108">
        <v>253250</v>
      </c>
      <c r="G8" s="108">
        <f t="shared" si="0"/>
        <v>2752.717391304348</v>
      </c>
      <c r="H8" s="108">
        <v>134900</v>
      </c>
      <c r="I8" s="109">
        <f t="shared" si="1"/>
        <v>1466.304347826087</v>
      </c>
      <c r="J8" s="109">
        <v>4400</v>
      </c>
      <c r="K8" s="109"/>
      <c r="L8" s="110">
        <f t="shared" ref="L8:L14" si="5">F8+H8+J8+K8</f>
        <v>392550</v>
      </c>
      <c r="M8" s="111">
        <f t="shared" ref="M8:M13" si="6">L8/E8</f>
        <v>4266.847826086957</v>
      </c>
      <c r="N8" s="111"/>
      <c r="O8" s="111"/>
      <c r="P8" s="111"/>
      <c r="Q8" s="111"/>
      <c r="R8" s="112" t="e">
        <f t="shared" ref="R8:R14" si="7">L8/Q8</f>
        <v>#DIV/0!</v>
      </c>
      <c r="T8" s="248">
        <v>18.8</v>
      </c>
      <c r="U8" s="248">
        <v>27</v>
      </c>
      <c r="V8" s="441">
        <v>3</v>
      </c>
      <c r="W8" s="441">
        <v>3</v>
      </c>
      <c r="X8" s="481">
        <v>1</v>
      </c>
      <c r="Y8" s="272">
        <f t="shared" si="2"/>
        <v>2.3333333333333335</v>
      </c>
      <c r="AA8" s="35" t="s">
        <v>125</v>
      </c>
      <c r="AC8" s="1">
        <v>4</v>
      </c>
      <c r="AH8" s="248">
        <v>20.7</v>
      </c>
      <c r="AI8" s="248">
        <v>29.1</v>
      </c>
      <c r="AJ8" s="432">
        <v>5</v>
      </c>
      <c r="AK8" s="256">
        <v>1</v>
      </c>
      <c r="AL8" s="432">
        <v>5</v>
      </c>
      <c r="AM8" s="272">
        <f t="shared" si="3"/>
        <v>3.6666666666666665</v>
      </c>
      <c r="AO8" s="35" t="s">
        <v>125</v>
      </c>
      <c r="AQ8" s="1">
        <v>4</v>
      </c>
    </row>
    <row r="9" spans="1:45" ht="23.5" customHeight="1" x14ac:dyDescent="0.25">
      <c r="A9" s="55" t="s">
        <v>5</v>
      </c>
      <c r="B9" s="50">
        <v>3</v>
      </c>
      <c r="C9" s="103" t="s">
        <v>5</v>
      </c>
      <c r="D9" s="120">
        <f t="shared" si="4"/>
        <v>3</v>
      </c>
      <c r="E9" s="74">
        <v>194</v>
      </c>
      <c r="F9" s="108">
        <v>576050</v>
      </c>
      <c r="G9" s="108">
        <f t="shared" si="0"/>
        <v>2969.3298969072166</v>
      </c>
      <c r="H9" s="108">
        <v>326000</v>
      </c>
      <c r="I9" s="109">
        <f t="shared" si="1"/>
        <v>1680.4123711340205</v>
      </c>
      <c r="J9" s="109">
        <v>2310</v>
      </c>
      <c r="K9" s="109"/>
      <c r="L9" s="110">
        <f t="shared" si="5"/>
        <v>904360</v>
      </c>
      <c r="M9" s="111">
        <f t="shared" si="6"/>
        <v>4661.6494845360821</v>
      </c>
      <c r="N9" s="111"/>
      <c r="O9" s="111"/>
      <c r="P9" s="111"/>
      <c r="Q9" s="111"/>
      <c r="R9" s="112" t="e">
        <f t="shared" si="7"/>
        <v>#DIV/0!</v>
      </c>
      <c r="T9" s="248">
        <v>18.2</v>
      </c>
      <c r="U9" s="248">
        <v>27.8</v>
      </c>
      <c r="V9" s="440">
        <v>5</v>
      </c>
      <c r="W9" s="440">
        <v>5</v>
      </c>
      <c r="X9" s="440">
        <v>5</v>
      </c>
      <c r="Y9" s="272">
        <f t="shared" si="2"/>
        <v>5</v>
      </c>
      <c r="AA9" s="35" t="s">
        <v>129</v>
      </c>
      <c r="AC9" s="1">
        <v>3</v>
      </c>
      <c r="AH9" s="248">
        <v>18.600000000000001</v>
      </c>
      <c r="AI9" s="248">
        <v>29.8</v>
      </c>
      <c r="AJ9" s="432">
        <v>5</v>
      </c>
      <c r="AK9" s="432">
        <v>5</v>
      </c>
      <c r="AL9" s="432">
        <v>5</v>
      </c>
      <c r="AM9" s="272">
        <f t="shared" si="3"/>
        <v>5</v>
      </c>
      <c r="AO9" s="35" t="s">
        <v>129</v>
      </c>
      <c r="AQ9" s="1">
        <v>3</v>
      </c>
    </row>
    <row r="10" spans="1:45" ht="23.5" customHeight="1" x14ac:dyDescent="0.25">
      <c r="A10" s="55" t="s">
        <v>6</v>
      </c>
      <c r="B10" s="50">
        <v>4</v>
      </c>
      <c r="C10" s="103" t="s">
        <v>6</v>
      </c>
      <c r="D10" s="120">
        <f t="shared" si="4"/>
        <v>4</v>
      </c>
      <c r="E10" s="74">
        <v>269</v>
      </c>
      <c r="F10" s="108">
        <v>809510</v>
      </c>
      <c r="G10" s="108">
        <f t="shared" si="0"/>
        <v>3009.3308550185875</v>
      </c>
      <c r="H10" s="108">
        <v>441600</v>
      </c>
      <c r="I10" s="109">
        <f t="shared" si="1"/>
        <v>1641.6356877323419</v>
      </c>
      <c r="J10" s="109">
        <v>19250</v>
      </c>
      <c r="K10" s="109">
        <v>2970</v>
      </c>
      <c r="L10" s="110">
        <f t="shared" si="5"/>
        <v>1273330</v>
      </c>
      <c r="M10" s="111">
        <f t="shared" si="6"/>
        <v>4733.5687732342003</v>
      </c>
      <c r="N10" s="111"/>
      <c r="O10" s="111"/>
      <c r="P10" s="111"/>
      <c r="Q10" s="111"/>
      <c r="R10" s="112" t="e">
        <f t="shared" si="7"/>
        <v>#DIV/0!</v>
      </c>
      <c r="T10" s="248">
        <v>16.8</v>
      </c>
      <c r="U10" s="248">
        <v>28.6</v>
      </c>
      <c r="V10" s="440">
        <v>5</v>
      </c>
      <c r="W10" s="440">
        <v>5</v>
      </c>
      <c r="X10" s="440">
        <v>5</v>
      </c>
      <c r="Y10" s="272">
        <f t="shared" si="2"/>
        <v>5</v>
      </c>
      <c r="AA10" s="35" t="s">
        <v>121</v>
      </c>
      <c r="AC10" s="1">
        <v>2</v>
      </c>
      <c r="AH10" s="248"/>
      <c r="AI10" s="248"/>
      <c r="AJ10" s="256"/>
      <c r="AK10" s="256"/>
      <c r="AL10" s="256"/>
      <c r="AM10" s="272">
        <f t="shared" si="3"/>
        <v>0</v>
      </c>
      <c r="AO10" s="35" t="s">
        <v>121</v>
      </c>
      <c r="AQ10" s="1">
        <v>2</v>
      </c>
    </row>
    <row r="11" spans="1:45" ht="23.5" customHeight="1" x14ac:dyDescent="0.25">
      <c r="A11" s="55" t="s">
        <v>7</v>
      </c>
      <c r="B11" s="50">
        <v>5</v>
      </c>
      <c r="C11" s="103" t="s">
        <v>7</v>
      </c>
      <c r="D11" s="120">
        <f t="shared" si="4"/>
        <v>5</v>
      </c>
      <c r="E11" s="74">
        <v>186</v>
      </c>
      <c r="F11" s="108">
        <v>488650</v>
      </c>
      <c r="G11" s="108">
        <f t="shared" si="0"/>
        <v>2627.1505376344085</v>
      </c>
      <c r="H11" s="108">
        <v>291050</v>
      </c>
      <c r="I11" s="109">
        <f t="shared" si="1"/>
        <v>1564.7849462365591</v>
      </c>
      <c r="J11" s="109">
        <v>10450</v>
      </c>
      <c r="K11" s="109"/>
      <c r="L11" s="74">
        <f t="shared" si="5"/>
        <v>790150</v>
      </c>
      <c r="M11" s="111">
        <f t="shared" si="6"/>
        <v>4248.1182795698924</v>
      </c>
      <c r="N11" s="111"/>
      <c r="O11" s="111"/>
      <c r="P11" s="111"/>
      <c r="Q11" s="111"/>
      <c r="R11" s="112" t="e">
        <f t="shared" si="7"/>
        <v>#DIV/0!</v>
      </c>
      <c r="T11" s="248">
        <v>20.399999999999999</v>
      </c>
      <c r="U11" s="248">
        <v>27.6</v>
      </c>
      <c r="V11" s="441">
        <v>3</v>
      </c>
      <c r="W11" s="441">
        <v>3</v>
      </c>
      <c r="X11" s="441">
        <v>3</v>
      </c>
      <c r="Y11" s="272">
        <f t="shared" si="2"/>
        <v>3</v>
      </c>
      <c r="AA11" s="35" t="s">
        <v>122</v>
      </c>
      <c r="AC11" s="1">
        <v>1</v>
      </c>
      <c r="AH11" s="248"/>
      <c r="AI11" s="248"/>
      <c r="AJ11" s="256"/>
      <c r="AK11" s="256"/>
      <c r="AL11" s="256"/>
      <c r="AM11" s="272">
        <f t="shared" si="3"/>
        <v>0</v>
      </c>
      <c r="AO11" s="35" t="s">
        <v>122</v>
      </c>
      <c r="AQ11" s="1">
        <v>1</v>
      </c>
    </row>
    <row r="12" spans="1:45" ht="23.5" customHeight="1" x14ac:dyDescent="0.25">
      <c r="A12" s="55" t="s">
        <v>8</v>
      </c>
      <c r="B12" s="50">
        <v>6</v>
      </c>
      <c r="C12" s="103" t="s">
        <v>8</v>
      </c>
      <c r="D12" s="120">
        <f t="shared" si="4"/>
        <v>6</v>
      </c>
      <c r="E12" s="74">
        <v>325</v>
      </c>
      <c r="F12" s="108">
        <v>781000</v>
      </c>
      <c r="G12" s="108">
        <f t="shared" si="0"/>
        <v>2403.0769230769229</v>
      </c>
      <c r="H12" s="108">
        <v>432250</v>
      </c>
      <c r="I12" s="109">
        <f t="shared" si="1"/>
        <v>1330</v>
      </c>
      <c r="J12" s="109">
        <v>6380</v>
      </c>
      <c r="K12" s="109"/>
      <c r="L12" s="74">
        <f t="shared" si="5"/>
        <v>1219630</v>
      </c>
      <c r="M12" s="111">
        <f t="shared" si="6"/>
        <v>3752.7076923076925</v>
      </c>
      <c r="N12" s="111"/>
      <c r="O12" s="111"/>
      <c r="P12" s="111"/>
      <c r="Q12" s="111"/>
      <c r="R12" s="112" t="e">
        <f t="shared" si="7"/>
        <v>#DIV/0!</v>
      </c>
      <c r="T12" s="248">
        <v>19.600000000000001</v>
      </c>
      <c r="U12" s="248">
        <v>25.9</v>
      </c>
      <c r="V12" s="440">
        <v>5</v>
      </c>
      <c r="W12" s="440">
        <v>5</v>
      </c>
      <c r="X12" s="441">
        <v>3</v>
      </c>
      <c r="Y12" s="272">
        <f t="shared" si="2"/>
        <v>4.333333333333333</v>
      </c>
      <c r="AA12" s="35" t="s">
        <v>127</v>
      </c>
      <c r="AC12" s="1">
        <v>0</v>
      </c>
      <c r="AH12" s="248"/>
      <c r="AI12" s="248"/>
      <c r="AJ12" s="256"/>
      <c r="AK12" s="256"/>
      <c r="AL12" s="256"/>
      <c r="AM12" s="272">
        <f t="shared" si="3"/>
        <v>0</v>
      </c>
      <c r="AO12" s="35" t="s">
        <v>127</v>
      </c>
      <c r="AQ12" s="1">
        <v>0</v>
      </c>
    </row>
    <row r="13" spans="1:45" ht="23.5" customHeight="1" thickBot="1" x14ac:dyDescent="0.3">
      <c r="A13" s="56" t="s">
        <v>9</v>
      </c>
      <c r="B13" s="50">
        <v>7</v>
      </c>
      <c r="C13" s="113" t="s">
        <v>9</v>
      </c>
      <c r="D13" s="120">
        <f t="shared" si="4"/>
        <v>7</v>
      </c>
      <c r="E13" s="74">
        <v>452</v>
      </c>
      <c r="F13" s="108">
        <v>1366800</v>
      </c>
      <c r="G13" s="108">
        <f t="shared" si="0"/>
        <v>3023.8938053097345</v>
      </c>
      <c r="H13" s="108">
        <v>704550</v>
      </c>
      <c r="I13" s="109">
        <f t="shared" si="1"/>
        <v>1558.7389380530974</v>
      </c>
      <c r="J13" s="109">
        <v>40920</v>
      </c>
      <c r="K13" s="109"/>
      <c r="L13" s="74">
        <f t="shared" si="5"/>
        <v>2112270</v>
      </c>
      <c r="M13" s="111">
        <f t="shared" si="6"/>
        <v>4673.1637168141597</v>
      </c>
      <c r="N13" s="111"/>
      <c r="O13" s="111"/>
      <c r="P13" s="111"/>
      <c r="Q13" s="111"/>
      <c r="R13" s="112" t="e">
        <f t="shared" si="7"/>
        <v>#DIV/0!</v>
      </c>
      <c r="T13" s="249">
        <v>15.8</v>
      </c>
      <c r="U13" s="249">
        <v>26.7</v>
      </c>
      <c r="V13" s="440">
        <v>5</v>
      </c>
      <c r="W13" s="440">
        <v>5</v>
      </c>
      <c r="X13" s="441">
        <v>3</v>
      </c>
      <c r="Y13" s="273">
        <f t="shared" si="2"/>
        <v>4.333333333333333</v>
      </c>
      <c r="AA13" s="1" t="s">
        <v>130</v>
      </c>
      <c r="AH13" s="249"/>
      <c r="AI13" s="249"/>
      <c r="AJ13" s="274"/>
      <c r="AK13" s="256"/>
      <c r="AL13" s="256"/>
      <c r="AM13" s="273">
        <f t="shared" si="3"/>
        <v>0</v>
      </c>
      <c r="AO13" s="1" t="s">
        <v>130</v>
      </c>
    </row>
    <row r="14" spans="1:45" s="287" customFormat="1" ht="36" customHeight="1" thickTop="1" thickBot="1" x14ac:dyDescent="0.3">
      <c r="A14" s="728" t="s">
        <v>13</v>
      </c>
      <c r="B14" s="729"/>
      <c r="C14" s="728" t="s">
        <v>13</v>
      </c>
      <c r="D14" s="729"/>
      <c r="E14" s="121">
        <f>SUM(E7:E13)</f>
        <v>1986</v>
      </c>
      <c r="F14" s="121">
        <f>SUM(F7:F13)</f>
        <v>5488710</v>
      </c>
      <c r="G14" s="121">
        <f t="shared" si="0"/>
        <v>2763.7009063444107</v>
      </c>
      <c r="H14" s="121">
        <f>SUM(H7:H13)</f>
        <v>2959700</v>
      </c>
      <c r="I14" s="122">
        <f t="shared" si="1"/>
        <v>1490.281973816717</v>
      </c>
      <c r="J14" s="122">
        <f>SUM(J7:J13)</f>
        <v>93720</v>
      </c>
      <c r="K14" s="284">
        <f>SUM(K7:K13)</f>
        <v>2970</v>
      </c>
      <c r="L14" s="110">
        <f t="shared" si="5"/>
        <v>8545100</v>
      </c>
      <c r="M14" s="123">
        <f>L14/E14</f>
        <v>4302.6686807653577</v>
      </c>
      <c r="N14" s="123"/>
      <c r="O14" s="123"/>
      <c r="P14" s="123"/>
      <c r="Q14" s="123">
        <f>SUM(Q7:Q13)</f>
        <v>0</v>
      </c>
      <c r="R14" s="124" t="e">
        <f t="shared" si="7"/>
        <v>#DIV/0!</v>
      </c>
      <c r="S14" s="287">
        <v>7</v>
      </c>
      <c r="T14" s="297">
        <f>SUM(T7:T13)/S14</f>
        <v>18.271428571428569</v>
      </c>
      <c r="U14" s="298">
        <f>SUM(U7:U13)/S14</f>
        <v>27.514285714285712</v>
      </c>
      <c r="V14" s="312">
        <f>SUM(V7:V13)/S14</f>
        <v>4.4285714285714288</v>
      </c>
      <c r="W14" s="312">
        <f>SUM(W7:W13)/S14</f>
        <v>4.4285714285714288</v>
      </c>
      <c r="X14" s="312">
        <f>SUM(X7:X13)/S14</f>
        <v>3.2857142857142856</v>
      </c>
      <c r="Y14" s="313">
        <f t="shared" si="2"/>
        <v>4.0476190476190474</v>
      </c>
      <c r="Z14" s="287">
        <v>15</v>
      </c>
      <c r="AA14" s="707">
        <f>L14/S14</f>
        <v>1220728.5714285714</v>
      </c>
      <c r="AB14" s="708"/>
      <c r="AC14" s="708"/>
      <c r="AD14" s="708"/>
      <c r="AE14" s="709"/>
      <c r="AF14" s="282" t="s">
        <v>141</v>
      </c>
      <c r="AG14" s="287">
        <v>3</v>
      </c>
      <c r="AH14" s="297">
        <f>SUM(AH7:AH13)/AG14</f>
        <v>21.399999999999995</v>
      </c>
      <c r="AI14" s="298">
        <f>SUM(AI7:AI13)/AG14</f>
        <v>28.633333333333336</v>
      </c>
      <c r="AJ14" s="312">
        <f>SUM(AJ7:AJ13)/AG14</f>
        <v>4.333333333333333</v>
      </c>
      <c r="AK14" s="312">
        <f>SUM(AK7:AK13)/AG14</f>
        <v>2.3333333333333335</v>
      </c>
      <c r="AL14" s="312">
        <f>SUM(AL7:AL13)/AG14</f>
        <v>3.6666666666666665</v>
      </c>
      <c r="AM14" s="313">
        <f t="shared" si="3"/>
        <v>3.4444444444444442</v>
      </c>
      <c r="AN14" s="287">
        <v>15</v>
      </c>
      <c r="AO14" s="707">
        <v>1462533</v>
      </c>
      <c r="AP14" s="708"/>
      <c r="AQ14" s="708"/>
      <c r="AR14" s="708"/>
      <c r="AS14" s="709"/>
    </row>
    <row r="15" spans="1:45" ht="23.5" customHeight="1" thickTop="1" x14ac:dyDescent="0.25">
      <c r="A15" s="710" t="s">
        <v>14</v>
      </c>
      <c r="B15" s="711"/>
      <c r="C15" s="713" t="s">
        <v>14</v>
      </c>
      <c r="D15" s="714"/>
      <c r="E15" s="714"/>
      <c r="F15" s="714"/>
      <c r="G15" s="714"/>
      <c r="H15" s="714"/>
      <c r="I15" s="714"/>
      <c r="J15" s="714"/>
      <c r="K15" s="714"/>
      <c r="L15" s="714"/>
      <c r="M15" s="714"/>
      <c r="N15" s="714"/>
      <c r="O15" s="714"/>
      <c r="P15" s="714"/>
      <c r="Q15" s="714"/>
      <c r="R15" s="715"/>
      <c r="T15" s="716" t="str">
        <f>C15</f>
        <v>2nd week</v>
      </c>
      <c r="U15" s="716"/>
      <c r="V15" s="716"/>
      <c r="W15" s="716"/>
      <c r="X15" s="716"/>
      <c r="Y15" s="716"/>
      <c r="AH15" s="716">
        <f>U15</f>
        <v>0</v>
      </c>
      <c r="AI15" s="716"/>
      <c r="AJ15" s="716"/>
      <c r="AK15" s="716"/>
      <c r="AL15" s="716"/>
      <c r="AM15" s="716"/>
    </row>
    <row r="16" spans="1:45" ht="23.5" customHeight="1" x14ac:dyDescent="0.25">
      <c r="A16" s="53" t="s">
        <v>10</v>
      </c>
      <c r="B16" s="37" t="s">
        <v>11</v>
      </c>
      <c r="C16" s="103" t="s">
        <v>10</v>
      </c>
      <c r="D16" s="104" t="s">
        <v>11</v>
      </c>
      <c r="E16" s="104" t="s">
        <v>1</v>
      </c>
      <c r="F16" s="104" t="s">
        <v>30</v>
      </c>
      <c r="G16" s="104" t="s">
        <v>31</v>
      </c>
      <c r="H16" s="104" t="s">
        <v>28</v>
      </c>
      <c r="I16" s="104" t="s">
        <v>29</v>
      </c>
      <c r="J16" s="104" t="s">
        <v>330</v>
      </c>
      <c r="K16" s="104" t="s">
        <v>210</v>
      </c>
      <c r="L16" s="104" t="s">
        <v>71</v>
      </c>
      <c r="M16" s="105" t="s">
        <v>48</v>
      </c>
      <c r="N16" s="105" t="s">
        <v>331</v>
      </c>
      <c r="O16" s="105" t="s">
        <v>332</v>
      </c>
      <c r="P16" s="105" t="s">
        <v>220</v>
      </c>
      <c r="Q16" s="105" t="s">
        <v>40</v>
      </c>
      <c r="R16" s="106" t="s">
        <v>73</v>
      </c>
      <c r="T16" s="253" t="s">
        <v>116</v>
      </c>
      <c r="U16" s="254" t="s">
        <v>117</v>
      </c>
      <c r="V16" s="49" t="s">
        <v>118</v>
      </c>
      <c r="W16" s="49" t="s">
        <v>119</v>
      </c>
      <c r="X16" s="49" t="s">
        <v>120</v>
      </c>
      <c r="Y16" s="255" t="s">
        <v>128</v>
      </c>
      <c r="AA16" s="1" t="s">
        <v>123</v>
      </c>
      <c r="AC16" s="36" t="s">
        <v>126</v>
      </c>
      <c r="AH16" s="253" t="s">
        <v>116</v>
      </c>
      <c r="AI16" s="254" t="s">
        <v>117</v>
      </c>
      <c r="AJ16" s="49" t="s">
        <v>118</v>
      </c>
      <c r="AK16" s="49" t="s">
        <v>119</v>
      </c>
      <c r="AL16" s="49" t="s">
        <v>120</v>
      </c>
      <c r="AM16" s="255" t="s">
        <v>128</v>
      </c>
      <c r="AO16" s="1" t="s">
        <v>123</v>
      </c>
      <c r="AQ16" s="36" t="s">
        <v>126</v>
      </c>
    </row>
    <row r="17" spans="1:43" ht="23.5" customHeight="1" x14ac:dyDescent="0.25">
      <c r="A17" s="54" t="s">
        <v>3</v>
      </c>
      <c r="B17" s="50">
        <v>8</v>
      </c>
      <c r="C17" s="107" t="s">
        <v>3</v>
      </c>
      <c r="D17" s="120">
        <f>B17</f>
        <v>8</v>
      </c>
      <c r="E17" s="74">
        <v>279</v>
      </c>
      <c r="F17" s="108">
        <v>722650</v>
      </c>
      <c r="G17" s="108">
        <f t="shared" ref="G17:G24" si="8">F17/E17</f>
        <v>2590.1433691756274</v>
      </c>
      <c r="H17" s="108">
        <v>419000</v>
      </c>
      <c r="I17" s="109">
        <f t="shared" ref="I17:I24" si="9">H17/E17</f>
        <v>1501.7921146953406</v>
      </c>
      <c r="J17" s="109">
        <v>17050</v>
      </c>
      <c r="K17" s="109"/>
      <c r="L17" s="110">
        <f>F17+H17+J17+K17</f>
        <v>1158700</v>
      </c>
      <c r="M17" s="111">
        <f>L17/E17</f>
        <v>4153.0465949820791</v>
      </c>
      <c r="N17" s="111"/>
      <c r="O17" s="111"/>
      <c r="P17" s="111"/>
      <c r="Q17" s="111"/>
      <c r="R17" s="112" t="e">
        <f>L17/Q17</f>
        <v>#DIV/0!</v>
      </c>
      <c r="T17" s="248">
        <v>17.2</v>
      </c>
      <c r="U17" s="248">
        <v>31.5</v>
      </c>
      <c r="V17" s="440">
        <v>5</v>
      </c>
      <c r="W17" s="440">
        <v>5</v>
      </c>
      <c r="X17" s="440">
        <v>5</v>
      </c>
      <c r="Y17" s="272">
        <f>SUM(V17:X17)/3</f>
        <v>5</v>
      </c>
      <c r="AA17" s="271" t="s">
        <v>124</v>
      </c>
      <c r="AB17" s="2"/>
      <c r="AC17" s="270">
        <v>5</v>
      </c>
      <c r="AH17" s="248"/>
      <c r="AI17" s="248"/>
      <c r="AJ17" s="256"/>
      <c r="AK17" s="256"/>
      <c r="AL17" s="256"/>
      <c r="AM17" s="272">
        <f>SUM(AJ17:AL17)/3</f>
        <v>0</v>
      </c>
      <c r="AO17" s="271" t="s">
        <v>124</v>
      </c>
      <c r="AP17" s="2"/>
      <c r="AQ17" s="270">
        <v>5</v>
      </c>
    </row>
    <row r="18" spans="1:43" ht="23.5" customHeight="1" x14ac:dyDescent="0.25">
      <c r="A18" s="55" t="s">
        <v>4</v>
      </c>
      <c r="B18" s="50">
        <v>9</v>
      </c>
      <c r="C18" s="103" t="s">
        <v>4</v>
      </c>
      <c r="D18" s="120">
        <f t="shared" ref="D18:D23" si="10">B18</f>
        <v>9</v>
      </c>
      <c r="E18" s="74"/>
      <c r="F18" s="108"/>
      <c r="G18" s="108" t="e">
        <f t="shared" si="8"/>
        <v>#DIV/0!</v>
      </c>
      <c r="H18" s="108"/>
      <c r="I18" s="109" t="e">
        <f t="shared" si="9"/>
        <v>#DIV/0!</v>
      </c>
      <c r="J18" s="109"/>
      <c r="K18" s="109"/>
      <c r="L18" s="110">
        <f t="shared" ref="L18:L24" si="11">F18+H18+J18+K18</f>
        <v>0</v>
      </c>
      <c r="M18" s="111" t="e">
        <f t="shared" ref="M18:M23" si="12">L18/E18</f>
        <v>#DIV/0!</v>
      </c>
      <c r="N18" s="111"/>
      <c r="O18" s="111"/>
      <c r="P18" s="111"/>
      <c r="Q18" s="111"/>
      <c r="R18" s="112" t="e">
        <f t="shared" ref="R18:R24" si="13">L18/Q18</f>
        <v>#DIV/0!</v>
      </c>
      <c r="T18" s="248"/>
      <c r="U18" s="248"/>
      <c r="V18" s="256"/>
      <c r="W18" s="256"/>
      <c r="X18" s="256"/>
      <c r="Y18" s="272">
        <f t="shared" ref="Y18:Y23" si="14">SUM(V18:X18)/3</f>
        <v>0</v>
      </c>
      <c r="AA18" s="35" t="s">
        <v>125</v>
      </c>
      <c r="AC18" s="1">
        <v>4</v>
      </c>
      <c r="AH18" s="248"/>
      <c r="AI18" s="248"/>
      <c r="AJ18" s="256"/>
      <c r="AK18" s="256"/>
      <c r="AL18" s="256"/>
      <c r="AM18" s="272">
        <f t="shared" ref="AM18:AM23" si="15">SUM(AJ18:AL18)/3</f>
        <v>0</v>
      </c>
      <c r="AO18" s="35" t="s">
        <v>125</v>
      </c>
      <c r="AQ18" s="1">
        <v>4</v>
      </c>
    </row>
    <row r="19" spans="1:43" ht="23.5" customHeight="1" x14ac:dyDescent="0.25">
      <c r="A19" s="55" t="s">
        <v>5</v>
      </c>
      <c r="B19" s="50">
        <v>10</v>
      </c>
      <c r="C19" s="103" t="s">
        <v>5</v>
      </c>
      <c r="D19" s="120">
        <f t="shared" si="10"/>
        <v>10</v>
      </c>
      <c r="E19" s="74"/>
      <c r="F19" s="108"/>
      <c r="G19" s="108" t="e">
        <f t="shared" si="8"/>
        <v>#DIV/0!</v>
      </c>
      <c r="H19" s="108"/>
      <c r="I19" s="109" t="e">
        <f t="shared" si="9"/>
        <v>#DIV/0!</v>
      </c>
      <c r="J19" s="109"/>
      <c r="K19" s="109"/>
      <c r="L19" s="110">
        <f t="shared" si="11"/>
        <v>0</v>
      </c>
      <c r="M19" s="111" t="e">
        <f t="shared" si="12"/>
        <v>#DIV/0!</v>
      </c>
      <c r="N19" s="111"/>
      <c r="O19" s="111"/>
      <c r="P19" s="111"/>
      <c r="Q19" s="111"/>
      <c r="R19" s="112" t="e">
        <f t="shared" si="13"/>
        <v>#DIV/0!</v>
      </c>
      <c r="T19" s="248"/>
      <c r="U19" s="248"/>
      <c r="V19" s="256"/>
      <c r="W19" s="256"/>
      <c r="X19" s="256"/>
      <c r="Y19" s="272">
        <f t="shared" si="14"/>
        <v>0</v>
      </c>
      <c r="AA19" s="35" t="s">
        <v>129</v>
      </c>
      <c r="AC19" s="1">
        <v>3</v>
      </c>
      <c r="AH19" s="248"/>
      <c r="AI19" s="248"/>
      <c r="AJ19" s="256"/>
      <c r="AK19" s="256"/>
      <c r="AL19" s="256"/>
      <c r="AM19" s="272">
        <f t="shared" si="15"/>
        <v>0</v>
      </c>
      <c r="AO19" s="35" t="s">
        <v>129</v>
      </c>
      <c r="AQ19" s="1">
        <v>3</v>
      </c>
    </row>
    <row r="20" spans="1:43" ht="23.5" customHeight="1" x14ac:dyDescent="0.25">
      <c r="A20" s="55" t="s">
        <v>6</v>
      </c>
      <c r="B20" s="50">
        <v>11</v>
      </c>
      <c r="C20" s="103" t="s">
        <v>6</v>
      </c>
      <c r="D20" s="120">
        <f t="shared" si="10"/>
        <v>11</v>
      </c>
      <c r="E20" s="74"/>
      <c r="F20" s="108"/>
      <c r="G20" s="108" t="e">
        <f t="shared" si="8"/>
        <v>#DIV/0!</v>
      </c>
      <c r="H20" s="108"/>
      <c r="I20" s="109" t="e">
        <f t="shared" si="9"/>
        <v>#DIV/0!</v>
      </c>
      <c r="J20" s="109"/>
      <c r="K20" s="109"/>
      <c r="L20" s="110">
        <f t="shared" si="11"/>
        <v>0</v>
      </c>
      <c r="M20" s="111" t="e">
        <f t="shared" si="12"/>
        <v>#DIV/0!</v>
      </c>
      <c r="N20" s="111"/>
      <c r="O20" s="111"/>
      <c r="P20" s="111"/>
      <c r="Q20" s="111"/>
      <c r="R20" s="112" t="e">
        <f t="shared" si="13"/>
        <v>#DIV/0!</v>
      </c>
      <c r="T20" s="248"/>
      <c r="U20" s="248"/>
      <c r="V20" s="256"/>
      <c r="W20" s="256"/>
      <c r="X20" s="256"/>
      <c r="Y20" s="272">
        <f t="shared" si="14"/>
        <v>0</v>
      </c>
      <c r="AA20" s="35" t="s">
        <v>121</v>
      </c>
      <c r="AC20" s="1">
        <v>2</v>
      </c>
      <c r="AH20" s="248"/>
      <c r="AI20" s="248"/>
      <c r="AJ20" s="256"/>
      <c r="AK20" s="256"/>
      <c r="AL20" s="256"/>
      <c r="AM20" s="272">
        <f t="shared" si="15"/>
        <v>0</v>
      </c>
      <c r="AO20" s="35" t="s">
        <v>121</v>
      </c>
      <c r="AQ20" s="1">
        <v>2</v>
      </c>
    </row>
    <row r="21" spans="1:43" ht="23.5" customHeight="1" x14ac:dyDescent="0.25">
      <c r="A21" s="55" t="s">
        <v>7</v>
      </c>
      <c r="B21" s="50">
        <v>12</v>
      </c>
      <c r="C21" s="103" t="s">
        <v>7</v>
      </c>
      <c r="D21" s="120">
        <f t="shared" si="10"/>
        <v>12</v>
      </c>
      <c r="E21" s="74"/>
      <c r="F21" s="108"/>
      <c r="G21" s="108" t="e">
        <f t="shared" si="8"/>
        <v>#DIV/0!</v>
      </c>
      <c r="H21" s="108"/>
      <c r="I21" s="109" t="e">
        <f t="shared" si="9"/>
        <v>#DIV/0!</v>
      </c>
      <c r="J21" s="109"/>
      <c r="K21" s="109"/>
      <c r="L21" s="74">
        <f t="shared" si="11"/>
        <v>0</v>
      </c>
      <c r="M21" s="111" t="e">
        <f t="shared" si="12"/>
        <v>#DIV/0!</v>
      </c>
      <c r="N21" s="111"/>
      <c r="O21" s="111"/>
      <c r="P21" s="111"/>
      <c r="Q21" s="111"/>
      <c r="R21" s="112" t="e">
        <f t="shared" si="13"/>
        <v>#DIV/0!</v>
      </c>
      <c r="T21" s="248"/>
      <c r="U21" s="248"/>
      <c r="V21" s="256"/>
      <c r="W21" s="256"/>
      <c r="X21" s="256"/>
      <c r="Y21" s="272">
        <f t="shared" si="14"/>
        <v>0</v>
      </c>
      <c r="AA21" s="35" t="s">
        <v>122</v>
      </c>
      <c r="AC21" s="1">
        <v>1</v>
      </c>
      <c r="AH21" s="248"/>
      <c r="AI21" s="248"/>
      <c r="AJ21" s="256"/>
      <c r="AK21" s="256"/>
      <c r="AL21" s="256"/>
      <c r="AM21" s="272">
        <f t="shared" si="15"/>
        <v>0</v>
      </c>
      <c r="AO21" s="35" t="s">
        <v>122</v>
      </c>
      <c r="AQ21" s="1">
        <v>1</v>
      </c>
    </row>
    <row r="22" spans="1:43" ht="23.5" customHeight="1" x14ac:dyDescent="0.25">
      <c r="A22" s="55" t="s">
        <v>8</v>
      </c>
      <c r="B22" s="50">
        <v>13</v>
      </c>
      <c r="C22" s="103" t="s">
        <v>8</v>
      </c>
      <c r="D22" s="120">
        <f t="shared" si="10"/>
        <v>13</v>
      </c>
      <c r="E22" s="74"/>
      <c r="F22" s="108"/>
      <c r="G22" s="108" t="e">
        <f t="shared" si="8"/>
        <v>#DIV/0!</v>
      </c>
      <c r="H22" s="108"/>
      <c r="I22" s="109" t="e">
        <f t="shared" si="9"/>
        <v>#DIV/0!</v>
      </c>
      <c r="J22" s="109"/>
      <c r="K22" s="109"/>
      <c r="L22" s="74">
        <f t="shared" si="11"/>
        <v>0</v>
      </c>
      <c r="M22" s="111" t="e">
        <f t="shared" si="12"/>
        <v>#DIV/0!</v>
      </c>
      <c r="N22" s="111"/>
      <c r="O22" s="111"/>
      <c r="P22" s="111"/>
      <c r="Q22" s="111"/>
      <c r="R22" s="112" t="e">
        <f t="shared" si="13"/>
        <v>#DIV/0!</v>
      </c>
      <c r="T22" s="248"/>
      <c r="U22" s="248"/>
      <c r="V22" s="256"/>
      <c r="W22" s="256"/>
      <c r="X22" s="256"/>
      <c r="Y22" s="272">
        <f t="shared" si="14"/>
        <v>0</v>
      </c>
      <c r="AA22" s="35" t="s">
        <v>127</v>
      </c>
      <c r="AC22" s="1">
        <v>0</v>
      </c>
      <c r="AH22" s="248"/>
      <c r="AI22" s="248"/>
      <c r="AJ22" s="256"/>
      <c r="AK22" s="256"/>
      <c r="AL22" s="256"/>
      <c r="AM22" s="272">
        <f t="shared" si="15"/>
        <v>0</v>
      </c>
      <c r="AO22" s="35" t="s">
        <v>127</v>
      </c>
      <c r="AQ22" s="1">
        <v>0</v>
      </c>
    </row>
    <row r="23" spans="1:43" ht="23.5" customHeight="1" thickBot="1" x14ac:dyDescent="0.3">
      <c r="A23" s="56" t="s">
        <v>9</v>
      </c>
      <c r="B23" s="50">
        <v>14</v>
      </c>
      <c r="C23" s="113" t="s">
        <v>9</v>
      </c>
      <c r="D23" s="120">
        <f t="shared" si="10"/>
        <v>14</v>
      </c>
      <c r="E23" s="74">
        <v>144</v>
      </c>
      <c r="F23" s="108">
        <v>336600</v>
      </c>
      <c r="G23" s="108">
        <f t="shared" si="8"/>
        <v>2337.5</v>
      </c>
      <c r="H23" s="108">
        <v>170600</v>
      </c>
      <c r="I23" s="109">
        <f t="shared" si="9"/>
        <v>1184.7222222222222</v>
      </c>
      <c r="J23" s="109">
        <v>3080</v>
      </c>
      <c r="K23" s="109"/>
      <c r="L23" s="74">
        <f t="shared" si="11"/>
        <v>510280</v>
      </c>
      <c r="M23" s="111">
        <f t="shared" si="12"/>
        <v>3543.6111111111113</v>
      </c>
      <c r="N23" s="111"/>
      <c r="O23" s="111"/>
      <c r="P23" s="111"/>
      <c r="Q23" s="111"/>
      <c r="R23" s="112" t="e">
        <f t="shared" si="13"/>
        <v>#DIV/0!</v>
      </c>
      <c r="T23" s="249">
        <v>13.4</v>
      </c>
      <c r="U23" s="249">
        <v>23.7</v>
      </c>
      <c r="V23" s="441">
        <v>4</v>
      </c>
      <c r="W23" s="441">
        <v>4</v>
      </c>
      <c r="X23" s="479">
        <v>2</v>
      </c>
      <c r="Y23" s="273">
        <f t="shared" si="14"/>
        <v>3.3333333333333335</v>
      </c>
      <c r="AA23" s="1" t="s">
        <v>130</v>
      </c>
      <c r="AH23" s="249"/>
      <c r="AI23" s="249"/>
      <c r="AJ23" s="257"/>
      <c r="AK23" s="256"/>
      <c r="AL23" s="256"/>
      <c r="AM23" s="273">
        <f t="shared" si="15"/>
        <v>0</v>
      </c>
      <c r="AO23" s="1" t="s">
        <v>130</v>
      </c>
    </row>
    <row r="24" spans="1:43" ht="23.5" customHeight="1" thickTop="1" thickBot="1" x14ac:dyDescent="0.3">
      <c r="A24" s="724" t="s">
        <v>13</v>
      </c>
      <c r="B24" s="725"/>
      <c r="C24" s="726" t="s">
        <v>13</v>
      </c>
      <c r="D24" s="727"/>
      <c r="E24" s="110">
        <f>SUM(E17:E23)</f>
        <v>423</v>
      </c>
      <c r="F24" s="110">
        <f>SUM(F17:F23)</f>
        <v>1059250</v>
      </c>
      <c r="G24" s="110">
        <f t="shared" si="8"/>
        <v>2504.1371158392435</v>
      </c>
      <c r="H24" s="110">
        <f>SUM(H17:H23)</f>
        <v>589600</v>
      </c>
      <c r="I24" s="74">
        <f t="shared" si="9"/>
        <v>1393.853427895981</v>
      </c>
      <c r="J24" s="122">
        <f>SUM(J17:J23)</f>
        <v>20130</v>
      </c>
      <c r="K24" s="284">
        <f>SUM(K17:K23)</f>
        <v>0</v>
      </c>
      <c r="L24" s="110">
        <f t="shared" si="11"/>
        <v>1668980</v>
      </c>
      <c r="M24" s="116">
        <f>L24/E24</f>
        <v>3945.579196217494</v>
      </c>
      <c r="N24" s="116"/>
      <c r="O24" s="116"/>
      <c r="P24" s="116"/>
      <c r="Q24" s="116">
        <f>SUM(Q17:Q23)</f>
        <v>0</v>
      </c>
      <c r="R24" s="112" t="e">
        <f t="shared" si="13"/>
        <v>#DIV/0!</v>
      </c>
      <c r="S24" s="260">
        <v>2</v>
      </c>
      <c r="T24" s="297">
        <f>SUM(T17:T23)/S24</f>
        <v>15.3</v>
      </c>
      <c r="U24" s="298">
        <f>SUM(U17:U23)/S24</f>
        <v>27.6</v>
      </c>
      <c r="V24" s="312">
        <f>SUM(V17:V23)/S24</f>
        <v>4.5</v>
      </c>
      <c r="W24" s="312">
        <f>SUM(W17:W23)/S24</f>
        <v>4.5</v>
      </c>
      <c r="X24" s="312">
        <f>SUM(X17:X23)/S24</f>
        <v>3.5</v>
      </c>
      <c r="Y24" s="313">
        <f>SUM(V24:X24)/3</f>
        <v>4.166666666666667</v>
      </c>
      <c r="Z24" s="260">
        <v>16</v>
      </c>
      <c r="AA24" s="707">
        <f>L24/S24</f>
        <v>834490</v>
      </c>
      <c r="AB24" s="708"/>
      <c r="AC24" s="708"/>
      <c r="AD24" s="708"/>
      <c r="AE24" s="709"/>
      <c r="AH24" s="265" t="e">
        <f>SUM(AH17:AH23)/AG24</f>
        <v>#DIV/0!</v>
      </c>
      <c r="AI24" s="267" t="e">
        <f>SUM(AI17:AI23)/AG24</f>
        <v>#DIV/0!</v>
      </c>
      <c r="AJ24" s="267" t="e">
        <f>SUM(AJ17:AJ23)/AG24</f>
        <v>#DIV/0!</v>
      </c>
      <c r="AK24" s="267" t="e">
        <f>SUM(AK17:AK23)/AG24</f>
        <v>#DIV/0!</v>
      </c>
      <c r="AL24" s="267" t="e">
        <f>SUM(AL17:AL23)/AG24</f>
        <v>#DIV/0!</v>
      </c>
      <c r="AM24" s="269" t="e">
        <f>SUM(AJ24:AL24)/3</f>
        <v>#DIV/0!</v>
      </c>
      <c r="AN24" s="260"/>
      <c r="AO24" s="260"/>
      <c r="AP24" s="260"/>
      <c r="AQ24" s="260"/>
    </row>
    <row r="25" spans="1:43" ht="23.5" customHeight="1" thickTop="1" x14ac:dyDescent="0.25">
      <c r="A25" s="710" t="s">
        <v>15</v>
      </c>
      <c r="B25" s="711"/>
      <c r="C25" s="713" t="s">
        <v>15</v>
      </c>
      <c r="D25" s="714"/>
      <c r="E25" s="714"/>
      <c r="F25" s="714"/>
      <c r="G25" s="714"/>
      <c r="H25" s="714"/>
      <c r="I25" s="714"/>
      <c r="J25" s="714"/>
      <c r="K25" s="714"/>
      <c r="L25" s="714"/>
      <c r="M25" s="714"/>
      <c r="N25" s="714"/>
      <c r="O25" s="714"/>
      <c r="P25" s="714"/>
      <c r="Q25" s="714"/>
      <c r="R25" s="715"/>
      <c r="T25" s="716" t="str">
        <f>C25</f>
        <v>3rd week</v>
      </c>
      <c r="U25" s="716"/>
      <c r="V25" s="716"/>
      <c r="W25" s="716"/>
      <c r="X25" s="716"/>
      <c r="Y25" s="716"/>
      <c r="AH25" s="716">
        <f>U25</f>
        <v>0</v>
      </c>
      <c r="AI25" s="716"/>
      <c r="AJ25" s="716"/>
      <c r="AK25" s="716"/>
      <c r="AL25" s="716"/>
      <c r="AM25" s="716"/>
    </row>
    <row r="26" spans="1:43" ht="23.5" customHeight="1" x14ac:dyDescent="0.25">
      <c r="A26" s="53" t="s">
        <v>10</v>
      </c>
      <c r="B26" s="37" t="s">
        <v>11</v>
      </c>
      <c r="C26" s="103" t="s">
        <v>10</v>
      </c>
      <c r="D26" s="104" t="s">
        <v>11</v>
      </c>
      <c r="E26" s="104" t="s">
        <v>1</v>
      </c>
      <c r="F26" s="104" t="s">
        <v>30</v>
      </c>
      <c r="G26" s="104" t="s">
        <v>31</v>
      </c>
      <c r="H26" s="104" t="s">
        <v>28</v>
      </c>
      <c r="I26" s="104" t="s">
        <v>29</v>
      </c>
      <c r="J26" s="104" t="s">
        <v>330</v>
      </c>
      <c r="K26" s="104" t="s">
        <v>210</v>
      </c>
      <c r="L26" s="104" t="s">
        <v>71</v>
      </c>
      <c r="M26" s="105" t="s">
        <v>48</v>
      </c>
      <c r="N26" s="105" t="s">
        <v>331</v>
      </c>
      <c r="O26" s="105" t="s">
        <v>332</v>
      </c>
      <c r="P26" s="105" t="s">
        <v>220</v>
      </c>
      <c r="Q26" s="105" t="s">
        <v>40</v>
      </c>
      <c r="R26" s="106" t="s">
        <v>73</v>
      </c>
      <c r="T26" s="253" t="s">
        <v>116</v>
      </c>
      <c r="U26" s="254" t="s">
        <v>117</v>
      </c>
      <c r="V26" s="49" t="s">
        <v>118</v>
      </c>
      <c r="W26" s="49" t="s">
        <v>119</v>
      </c>
      <c r="X26" s="49" t="s">
        <v>120</v>
      </c>
      <c r="Y26" s="255" t="s">
        <v>128</v>
      </c>
      <c r="AA26" s="1" t="s">
        <v>123</v>
      </c>
      <c r="AC26" s="36" t="s">
        <v>126</v>
      </c>
      <c r="AH26" s="253" t="s">
        <v>116</v>
      </c>
      <c r="AI26" s="254" t="s">
        <v>117</v>
      </c>
      <c r="AJ26" s="49" t="s">
        <v>118</v>
      </c>
      <c r="AK26" s="49" t="s">
        <v>119</v>
      </c>
      <c r="AL26" s="49" t="s">
        <v>120</v>
      </c>
      <c r="AM26" s="255" t="s">
        <v>128</v>
      </c>
      <c r="AO26" s="1" t="s">
        <v>123</v>
      </c>
      <c r="AQ26" s="36" t="s">
        <v>126</v>
      </c>
    </row>
    <row r="27" spans="1:43" ht="23.5" customHeight="1" x14ac:dyDescent="0.25">
      <c r="A27" s="54" t="s">
        <v>3</v>
      </c>
      <c r="B27" s="50">
        <v>15</v>
      </c>
      <c r="C27" s="107" t="s">
        <v>3</v>
      </c>
      <c r="D27" s="120">
        <f>B27</f>
        <v>15</v>
      </c>
      <c r="E27" s="74">
        <v>57</v>
      </c>
      <c r="F27" s="108">
        <v>123650</v>
      </c>
      <c r="G27" s="108">
        <f t="shared" ref="G27:G34" si="16">F27/E27</f>
        <v>2169.2982456140353</v>
      </c>
      <c r="H27" s="108">
        <v>26050</v>
      </c>
      <c r="I27" s="109">
        <f t="shared" ref="I27:I34" si="17">H27/E27</f>
        <v>457.01754385964909</v>
      </c>
      <c r="J27" s="109"/>
      <c r="K27" s="109"/>
      <c r="L27" s="110">
        <f>F27+H27+J27+K27</f>
        <v>149700</v>
      </c>
      <c r="M27" s="111">
        <f>L27/E27</f>
        <v>2626.3157894736842</v>
      </c>
      <c r="N27" s="111"/>
      <c r="O27" s="111"/>
      <c r="P27" s="111"/>
      <c r="Q27" s="111"/>
      <c r="R27" s="112" t="e">
        <f>L27/Q27</f>
        <v>#DIV/0!</v>
      </c>
      <c r="T27" s="248">
        <v>16.600000000000001</v>
      </c>
      <c r="U27" s="248">
        <v>19.3</v>
      </c>
      <c r="V27" s="481">
        <v>1</v>
      </c>
      <c r="W27" s="479">
        <v>2</v>
      </c>
      <c r="X27" s="441">
        <v>4</v>
      </c>
      <c r="Y27" s="272">
        <f>SUM(V27:X27)/3</f>
        <v>2.3333333333333335</v>
      </c>
      <c r="AA27" s="271" t="s">
        <v>124</v>
      </c>
      <c r="AB27" s="2"/>
      <c r="AC27" s="270">
        <v>5</v>
      </c>
      <c r="AH27" s="248"/>
      <c r="AI27" s="248"/>
      <c r="AJ27" s="256"/>
      <c r="AK27" s="256"/>
      <c r="AL27" s="256"/>
      <c r="AM27" s="272">
        <f>SUM(AJ27:AL27)/3</f>
        <v>0</v>
      </c>
      <c r="AO27" s="271" t="s">
        <v>124</v>
      </c>
      <c r="AP27" s="2"/>
      <c r="AQ27" s="270">
        <v>5</v>
      </c>
    </row>
    <row r="28" spans="1:43" ht="23.5" customHeight="1" x14ac:dyDescent="0.25">
      <c r="A28" s="55" t="s">
        <v>4</v>
      </c>
      <c r="B28" s="50">
        <v>16</v>
      </c>
      <c r="C28" s="103" t="s">
        <v>4</v>
      </c>
      <c r="D28" s="120">
        <f t="shared" ref="D28:D33" si="18">B28</f>
        <v>16</v>
      </c>
      <c r="E28" s="74">
        <v>89</v>
      </c>
      <c r="F28" s="108">
        <v>188750</v>
      </c>
      <c r="G28" s="108">
        <f t="shared" si="16"/>
        <v>2120.7865168539324</v>
      </c>
      <c r="H28" s="108">
        <v>103150</v>
      </c>
      <c r="I28" s="109">
        <f t="shared" si="17"/>
        <v>1158.9887640449438</v>
      </c>
      <c r="J28" s="109">
        <v>1100</v>
      </c>
      <c r="K28" s="109"/>
      <c r="L28" s="110">
        <f t="shared" ref="L28:L34" si="19">F28+H28+J28+K28</f>
        <v>293000</v>
      </c>
      <c r="M28" s="111">
        <f t="shared" ref="M28:M33" si="20">L28/E28</f>
        <v>3292.1348314606744</v>
      </c>
      <c r="N28" s="111"/>
      <c r="O28" s="111"/>
      <c r="P28" s="111"/>
      <c r="Q28" s="111"/>
      <c r="R28" s="112" t="e">
        <f t="shared" ref="R28:R34" si="21">L28/Q28</f>
        <v>#DIV/0!</v>
      </c>
      <c r="T28" s="248">
        <v>12</v>
      </c>
      <c r="U28" s="248">
        <v>23.6</v>
      </c>
      <c r="V28" s="441">
        <v>4</v>
      </c>
      <c r="W28" s="479">
        <v>2</v>
      </c>
      <c r="X28" s="479">
        <v>2</v>
      </c>
      <c r="Y28" s="272">
        <f t="shared" ref="Y28:Y33" si="22">SUM(V28:X28)/3</f>
        <v>2.6666666666666665</v>
      </c>
      <c r="AA28" s="35" t="s">
        <v>125</v>
      </c>
      <c r="AC28" s="1">
        <v>4</v>
      </c>
      <c r="AH28" s="248"/>
      <c r="AI28" s="248"/>
      <c r="AJ28" s="256"/>
      <c r="AK28" s="256"/>
      <c r="AL28" s="256"/>
      <c r="AM28" s="272">
        <f t="shared" ref="AM28:AM33" si="23">SUM(AJ28:AL28)/3</f>
        <v>0</v>
      </c>
      <c r="AO28" s="35" t="s">
        <v>125</v>
      </c>
      <c r="AQ28" s="1">
        <v>4</v>
      </c>
    </row>
    <row r="29" spans="1:43" ht="23.5" customHeight="1" x14ac:dyDescent="0.25">
      <c r="A29" s="55" t="s">
        <v>5</v>
      </c>
      <c r="B29" s="50">
        <v>17</v>
      </c>
      <c r="C29" s="103" t="s">
        <v>5</v>
      </c>
      <c r="D29" s="120">
        <f t="shared" si="18"/>
        <v>17</v>
      </c>
      <c r="E29" s="74">
        <v>25</v>
      </c>
      <c r="F29" s="108">
        <v>68450</v>
      </c>
      <c r="G29" s="108">
        <f t="shared" si="16"/>
        <v>2738</v>
      </c>
      <c r="H29" s="108">
        <v>41450</v>
      </c>
      <c r="I29" s="109">
        <f t="shared" si="17"/>
        <v>1658</v>
      </c>
      <c r="J29" s="109"/>
      <c r="K29" s="109"/>
      <c r="L29" s="110">
        <f t="shared" si="19"/>
        <v>109900</v>
      </c>
      <c r="M29" s="111">
        <f t="shared" si="20"/>
        <v>4396</v>
      </c>
      <c r="N29" s="111"/>
      <c r="O29" s="111"/>
      <c r="P29" s="111"/>
      <c r="Q29" s="111"/>
      <c r="R29" s="112" t="e">
        <f t="shared" si="21"/>
        <v>#DIV/0!</v>
      </c>
      <c r="T29" s="248">
        <v>18.2</v>
      </c>
      <c r="U29" s="248">
        <v>24.7</v>
      </c>
      <c r="V29" s="441">
        <v>4</v>
      </c>
      <c r="W29" s="479">
        <v>2</v>
      </c>
      <c r="X29" s="441">
        <v>4</v>
      </c>
      <c r="Y29" s="272">
        <f t="shared" si="22"/>
        <v>3.3333333333333335</v>
      </c>
      <c r="AA29" s="35" t="s">
        <v>129</v>
      </c>
      <c r="AC29" s="1">
        <v>3</v>
      </c>
      <c r="AH29" s="248"/>
      <c r="AI29" s="248"/>
      <c r="AJ29" s="256"/>
      <c r="AK29" s="256"/>
      <c r="AL29" s="256"/>
      <c r="AM29" s="272">
        <f t="shared" si="23"/>
        <v>0</v>
      </c>
      <c r="AO29" s="35" t="s">
        <v>129</v>
      </c>
      <c r="AQ29" s="1">
        <v>3</v>
      </c>
    </row>
    <row r="30" spans="1:43" ht="23.5" customHeight="1" x14ac:dyDescent="0.25">
      <c r="A30" s="55" t="s">
        <v>6</v>
      </c>
      <c r="B30" s="50">
        <v>18</v>
      </c>
      <c r="C30" s="103" t="s">
        <v>6</v>
      </c>
      <c r="D30" s="120">
        <f t="shared" si="18"/>
        <v>18</v>
      </c>
      <c r="E30" s="74">
        <v>87</v>
      </c>
      <c r="F30" s="108">
        <v>191400</v>
      </c>
      <c r="G30" s="108">
        <f t="shared" si="16"/>
        <v>2200</v>
      </c>
      <c r="H30" s="108">
        <v>107450</v>
      </c>
      <c r="I30" s="109">
        <f t="shared" si="17"/>
        <v>1235.0574712643679</v>
      </c>
      <c r="J30" s="109"/>
      <c r="K30" s="109"/>
      <c r="L30" s="110">
        <f t="shared" si="19"/>
        <v>298850</v>
      </c>
      <c r="M30" s="111">
        <f t="shared" si="20"/>
        <v>3435.0574712643679</v>
      </c>
      <c r="N30" s="111"/>
      <c r="O30" s="111"/>
      <c r="P30" s="111"/>
      <c r="Q30" s="111"/>
      <c r="R30" s="112" t="e">
        <f t="shared" si="21"/>
        <v>#DIV/0!</v>
      </c>
      <c r="T30" s="248">
        <v>16.899999999999999</v>
      </c>
      <c r="U30" s="248">
        <v>25</v>
      </c>
      <c r="V30" s="440">
        <v>5</v>
      </c>
      <c r="W30" s="479">
        <v>2</v>
      </c>
      <c r="X30" s="441">
        <v>4</v>
      </c>
      <c r="Y30" s="272">
        <f t="shared" si="22"/>
        <v>3.6666666666666665</v>
      </c>
      <c r="AA30" s="35" t="s">
        <v>121</v>
      </c>
      <c r="AC30" s="1">
        <v>2</v>
      </c>
      <c r="AH30" s="248"/>
      <c r="AI30" s="248"/>
      <c r="AJ30" s="256"/>
      <c r="AK30" s="256"/>
      <c r="AL30" s="256"/>
      <c r="AM30" s="272">
        <f t="shared" si="23"/>
        <v>0</v>
      </c>
      <c r="AO30" s="35" t="s">
        <v>121</v>
      </c>
      <c r="AQ30" s="1">
        <v>2</v>
      </c>
    </row>
    <row r="31" spans="1:43" ht="23.5" customHeight="1" x14ac:dyDescent="0.25">
      <c r="A31" s="55" t="s">
        <v>7</v>
      </c>
      <c r="B31" s="50">
        <v>19</v>
      </c>
      <c r="C31" s="103" t="s">
        <v>7</v>
      </c>
      <c r="D31" s="120">
        <f t="shared" si="18"/>
        <v>19</v>
      </c>
      <c r="E31" s="74">
        <v>39</v>
      </c>
      <c r="F31" s="108">
        <v>43350</v>
      </c>
      <c r="G31" s="108">
        <f t="shared" si="16"/>
        <v>1111.5384615384614</v>
      </c>
      <c r="H31" s="108">
        <v>47450</v>
      </c>
      <c r="I31" s="109">
        <f t="shared" si="17"/>
        <v>1216.6666666666667</v>
      </c>
      <c r="J31" s="109"/>
      <c r="K31" s="109"/>
      <c r="L31" s="74">
        <f t="shared" si="19"/>
        <v>90800</v>
      </c>
      <c r="M31" s="111">
        <f t="shared" si="20"/>
        <v>2328.2051282051284</v>
      </c>
      <c r="N31" s="111"/>
      <c r="O31" s="111"/>
      <c r="P31" s="111"/>
      <c r="Q31" s="111"/>
      <c r="R31" s="112" t="e">
        <f t="shared" si="21"/>
        <v>#DIV/0!</v>
      </c>
      <c r="T31" s="248">
        <v>14</v>
      </c>
      <c r="U31" s="248">
        <v>23.7</v>
      </c>
      <c r="V31" s="441">
        <v>4</v>
      </c>
      <c r="W31" s="441">
        <v>4</v>
      </c>
      <c r="X31" s="441">
        <v>4</v>
      </c>
      <c r="Y31" s="272">
        <f t="shared" si="22"/>
        <v>4</v>
      </c>
      <c r="AA31" s="35" t="s">
        <v>122</v>
      </c>
      <c r="AC31" s="1">
        <v>1</v>
      </c>
      <c r="AH31" s="248"/>
      <c r="AI31" s="248"/>
      <c r="AJ31" s="256"/>
      <c r="AK31" s="256"/>
      <c r="AL31" s="256"/>
      <c r="AM31" s="272">
        <f t="shared" si="23"/>
        <v>0</v>
      </c>
      <c r="AO31" s="35" t="s">
        <v>122</v>
      </c>
      <c r="AQ31" s="1">
        <v>1</v>
      </c>
    </row>
    <row r="32" spans="1:43" ht="23.5" customHeight="1" x14ac:dyDescent="0.25">
      <c r="A32" s="55" t="s">
        <v>8</v>
      </c>
      <c r="B32" s="50">
        <v>20</v>
      </c>
      <c r="C32" s="103" t="s">
        <v>8</v>
      </c>
      <c r="D32" s="120">
        <f t="shared" si="18"/>
        <v>20</v>
      </c>
      <c r="E32" s="74">
        <v>54</v>
      </c>
      <c r="F32" s="108">
        <v>135400</v>
      </c>
      <c r="G32" s="108">
        <f t="shared" si="16"/>
        <v>2507.4074074074074</v>
      </c>
      <c r="H32" s="108">
        <v>73100</v>
      </c>
      <c r="I32" s="109">
        <f t="shared" si="17"/>
        <v>1353.7037037037037</v>
      </c>
      <c r="J32" s="109"/>
      <c r="K32" s="109"/>
      <c r="L32" s="74">
        <f t="shared" si="19"/>
        <v>208500</v>
      </c>
      <c r="M32" s="111">
        <f t="shared" si="20"/>
        <v>3861.1111111111113</v>
      </c>
      <c r="N32" s="111"/>
      <c r="O32" s="111"/>
      <c r="P32" s="111"/>
      <c r="Q32" s="111"/>
      <c r="R32" s="112" t="e">
        <f t="shared" si="21"/>
        <v>#DIV/0!</v>
      </c>
      <c r="T32" s="248">
        <v>16.3</v>
      </c>
      <c r="U32" s="248">
        <v>23</v>
      </c>
      <c r="V32" s="481">
        <v>1</v>
      </c>
      <c r="W32" s="481">
        <v>1</v>
      </c>
      <c r="X32" s="479">
        <v>2</v>
      </c>
      <c r="Y32" s="272">
        <f t="shared" si="22"/>
        <v>1.3333333333333333</v>
      </c>
      <c r="AA32" s="35" t="s">
        <v>127</v>
      </c>
      <c r="AC32" s="1">
        <v>0</v>
      </c>
      <c r="AH32" s="248"/>
      <c r="AI32" s="248"/>
      <c r="AJ32" s="256"/>
      <c r="AK32" s="256"/>
      <c r="AL32" s="256"/>
      <c r="AM32" s="272">
        <f t="shared" si="23"/>
        <v>0</v>
      </c>
      <c r="AO32" s="35" t="s">
        <v>127</v>
      </c>
      <c r="AQ32" s="1">
        <v>0</v>
      </c>
    </row>
    <row r="33" spans="1:43" ht="23.5" customHeight="1" thickBot="1" x14ac:dyDescent="0.3">
      <c r="A33" s="56" t="s">
        <v>9</v>
      </c>
      <c r="B33" s="50">
        <v>21</v>
      </c>
      <c r="C33" s="113" t="s">
        <v>9</v>
      </c>
      <c r="D33" s="120">
        <f t="shared" si="18"/>
        <v>21</v>
      </c>
      <c r="E33" s="74">
        <v>67</v>
      </c>
      <c r="F33" s="108">
        <v>171700</v>
      </c>
      <c r="G33" s="108">
        <f t="shared" si="16"/>
        <v>2562.686567164179</v>
      </c>
      <c r="H33" s="108">
        <v>94700</v>
      </c>
      <c r="I33" s="109">
        <f t="shared" si="17"/>
        <v>1413.4328358208954</v>
      </c>
      <c r="J33" s="109">
        <v>13860</v>
      </c>
      <c r="K33" s="109"/>
      <c r="L33" s="74">
        <f t="shared" si="19"/>
        <v>280260</v>
      </c>
      <c r="M33" s="111">
        <f t="shared" si="20"/>
        <v>4182.9850746268658</v>
      </c>
      <c r="N33" s="111"/>
      <c r="O33" s="111"/>
      <c r="P33" s="111"/>
      <c r="Q33" s="111"/>
      <c r="R33" s="112" t="e">
        <f t="shared" si="21"/>
        <v>#DIV/0!</v>
      </c>
      <c r="T33" s="249">
        <v>13.4</v>
      </c>
      <c r="U33" s="249">
        <v>17.2</v>
      </c>
      <c r="V33" s="479">
        <v>2</v>
      </c>
      <c r="W33" s="479">
        <v>2</v>
      </c>
      <c r="X33" s="479">
        <v>2</v>
      </c>
      <c r="Y33" s="273">
        <f t="shared" si="22"/>
        <v>2</v>
      </c>
      <c r="AA33" s="1" t="s">
        <v>130</v>
      </c>
      <c r="AH33" s="249"/>
      <c r="AI33" s="249"/>
      <c r="AJ33" s="257"/>
      <c r="AK33" s="256"/>
      <c r="AL33" s="257"/>
      <c r="AM33" s="273">
        <f t="shared" si="23"/>
        <v>0</v>
      </c>
      <c r="AO33" s="1" t="s">
        <v>130</v>
      </c>
    </row>
    <row r="34" spans="1:43" ht="23.5" customHeight="1" thickTop="1" thickBot="1" x14ac:dyDescent="0.3">
      <c r="A34" s="724" t="s">
        <v>13</v>
      </c>
      <c r="B34" s="725"/>
      <c r="C34" s="726" t="s">
        <v>13</v>
      </c>
      <c r="D34" s="727"/>
      <c r="E34" s="110">
        <f>SUM(E27:E33)</f>
        <v>418</v>
      </c>
      <c r="F34" s="110">
        <f>SUM(F27:F33)</f>
        <v>922700</v>
      </c>
      <c r="G34" s="110">
        <f t="shared" si="16"/>
        <v>2207.4162679425835</v>
      </c>
      <c r="H34" s="110">
        <f>SUM(H27:H33)</f>
        <v>493350</v>
      </c>
      <c r="I34" s="74">
        <f t="shared" si="17"/>
        <v>1180.2631578947369</v>
      </c>
      <c r="J34" s="74">
        <f>I34/F34</f>
        <v>1.2791407368535135E-3</v>
      </c>
      <c r="K34" s="284">
        <f>SUM(K27:K33)</f>
        <v>0</v>
      </c>
      <c r="L34" s="110">
        <f t="shared" si="19"/>
        <v>1416050.0012791408</v>
      </c>
      <c r="M34" s="116">
        <f>L34/E34</f>
        <v>3387.6794288974661</v>
      </c>
      <c r="N34" s="116"/>
      <c r="O34" s="116"/>
      <c r="P34" s="116"/>
      <c r="Q34" s="116">
        <f>SUM(Q27:Q33)</f>
        <v>0</v>
      </c>
      <c r="R34" s="112" t="e">
        <f t="shared" si="21"/>
        <v>#DIV/0!</v>
      </c>
      <c r="S34" s="260">
        <v>7</v>
      </c>
      <c r="T34" s="478">
        <f>SUM(T27:T33)/S34</f>
        <v>15.342857142857142</v>
      </c>
      <c r="U34" s="406">
        <f>SUM(U27:U33)/S34</f>
        <v>22.357142857142858</v>
      </c>
      <c r="V34" s="312">
        <f>SUM(V27:V33)/S34</f>
        <v>3</v>
      </c>
      <c r="W34" s="312">
        <f>SUM(W27:W33)/S34</f>
        <v>2.1428571428571428</v>
      </c>
      <c r="X34" s="312">
        <f>SUM(X27:X33)/S34</f>
        <v>3.1428571428571428</v>
      </c>
      <c r="Y34" s="313">
        <f>SUM(V34:X34)/3</f>
        <v>2.7619047619047614</v>
      </c>
      <c r="Z34" s="260">
        <v>17</v>
      </c>
      <c r="AA34" s="707">
        <f>L34/S34</f>
        <v>202292.85732559155</v>
      </c>
      <c r="AB34" s="708"/>
      <c r="AC34" s="708"/>
      <c r="AD34" s="708"/>
      <c r="AE34" s="709"/>
      <c r="AH34" s="265" t="e">
        <f>SUM(AH27:AH33)/AG34</f>
        <v>#DIV/0!</v>
      </c>
      <c r="AI34" s="267" t="e">
        <f>SUM(AI27:AI33)/AG34</f>
        <v>#DIV/0!</v>
      </c>
      <c r="AJ34" s="267" t="e">
        <f>SUM(AJ27:AJ33)/AG34</f>
        <v>#DIV/0!</v>
      </c>
      <c r="AK34" s="267" t="e">
        <f>SUM(AK27:AK33)/AG34</f>
        <v>#DIV/0!</v>
      </c>
      <c r="AL34" s="267" t="e">
        <f>SUM(AL27:AL33)/AG34</f>
        <v>#DIV/0!</v>
      </c>
      <c r="AM34" s="269" t="e">
        <f>SUM(AJ34:AL34)/3</f>
        <v>#DIV/0!</v>
      </c>
      <c r="AN34" s="260"/>
      <c r="AO34" s="260"/>
      <c r="AP34" s="260"/>
      <c r="AQ34" s="260"/>
    </row>
    <row r="35" spans="1:43" ht="23.5" customHeight="1" thickTop="1" x14ac:dyDescent="0.25">
      <c r="A35" s="710" t="s">
        <v>16</v>
      </c>
      <c r="B35" s="711"/>
      <c r="C35" s="713" t="s">
        <v>16</v>
      </c>
      <c r="D35" s="714"/>
      <c r="E35" s="714"/>
      <c r="F35" s="714"/>
      <c r="G35" s="714"/>
      <c r="H35" s="714"/>
      <c r="I35" s="714"/>
      <c r="J35" s="714"/>
      <c r="K35" s="714"/>
      <c r="L35" s="714"/>
      <c r="M35" s="714"/>
      <c r="N35" s="714"/>
      <c r="O35" s="714"/>
      <c r="P35" s="714"/>
      <c r="Q35" s="714"/>
      <c r="R35" s="715"/>
      <c r="T35" s="716" t="str">
        <f>C35</f>
        <v>4th week</v>
      </c>
      <c r="U35" s="716"/>
      <c r="V35" s="716"/>
      <c r="W35" s="716"/>
      <c r="X35" s="716"/>
      <c r="Y35" s="716"/>
      <c r="AH35" s="716">
        <f>U35</f>
        <v>0</v>
      </c>
      <c r="AI35" s="716"/>
      <c r="AJ35" s="716"/>
      <c r="AK35" s="716"/>
      <c r="AL35" s="716"/>
      <c r="AM35" s="716"/>
    </row>
    <row r="36" spans="1:43" ht="23.5" customHeight="1" x14ac:dyDescent="0.25">
      <c r="A36" s="53" t="s">
        <v>10</v>
      </c>
      <c r="B36" s="37" t="s">
        <v>11</v>
      </c>
      <c r="C36" s="103" t="s">
        <v>10</v>
      </c>
      <c r="D36" s="104" t="s">
        <v>11</v>
      </c>
      <c r="E36" s="104" t="s">
        <v>1</v>
      </c>
      <c r="F36" s="104" t="s">
        <v>30</v>
      </c>
      <c r="G36" s="104" t="s">
        <v>31</v>
      </c>
      <c r="H36" s="104" t="s">
        <v>28</v>
      </c>
      <c r="I36" s="104" t="s">
        <v>29</v>
      </c>
      <c r="J36" s="104" t="s">
        <v>330</v>
      </c>
      <c r="K36" s="104" t="s">
        <v>210</v>
      </c>
      <c r="L36" s="104" t="s">
        <v>71</v>
      </c>
      <c r="M36" s="105" t="s">
        <v>48</v>
      </c>
      <c r="N36" s="105" t="s">
        <v>331</v>
      </c>
      <c r="O36" s="105" t="s">
        <v>332</v>
      </c>
      <c r="P36" s="105" t="s">
        <v>220</v>
      </c>
      <c r="Q36" s="105" t="s">
        <v>40</v>
      </c>
      <c r="R36" s="106" t="s">
        <v>73</v>
      </c>
      <c r="T36" s="253" t="s">
        <v>116</v>
      </c>
      <c r="U36" s="254" t="s">
        <v>117</v>
      </c>
      <c r="V36" s="49" t="s">
        <v>118</v>
      </c>
      <c r="W36" s="49" t="s">
        <v>119</v>
      </c>
      <c r="X36" s="49" t="s">
        <v>120</v>
      </c>
      <c r="Y36" s="255" t="s">
        <v>128</v>
      </c>
      <c r="AA36" s="1" t="s">
        <v>123</v>
      </c>
      <c r="AC36" s="36" t="s">
        <v>126</v>
      </c>
      <c r="AH36" s="253" t="s">
        <v>116</v>
      </c>
      <c r="AI36" s="254" t="s">
        <v>117</v>
      </c>
      <c r="AJ36" s="49" t="s">
        <v>118</v>
      </c>
      <c r="AK36" s="49" t="s">
        <v>119</v>
      </c>
      <c r="AL36" s="49" t="s">
        <v>120</v>
      </c>
      <c r="AM36" s="255" t="s">
        <v>128</v>
      </c>
      <c r="AO36" s="1" t="s">
        <v>123</v>
      </c>
      <c r="AQ36" s="36" t="s">
        <v>126</v>
      </c>
    </row>
    <row r="37" spans="1:43" ht="23.5" customHeight="1" x14ac:dyDescent="0.25">
      <c r="A37" s="54" t="s">
        <v>3</v>
      </c>
      <c r="B37" s="50">
        <v>22</v>
      </c>
      <c r="C37" s="107" t="s">
        <v>3</v>
      </c>
      <c r="D37" s="120">
        <f>B37</f>
        <v>22</v>
      </c>
      <c r="E37" s="74">
        <v>95</v>
      </c>
      <c r="F37" s="108">
        <v>216250</v>
      </c>
      <c r="G37" s="108">
        <f t="shared" ref="G37:G44" si="24">F37/E37</f>
        <v>2276.3157894736842</v>
      </c>
      <c r="H37" s="108">
        <v>128300</v>
      </c>
      <c r="I37" s="109">
        <f t="shared" ref="I37:I44" si="25">H37/E37</f>
        <v>1350.5263157894738</v>
      </c>
      <c r="J37" s="109">
        <v>2310</v>
      </c>
      <c r="K37" s="109"/>
      <c r="L37" s="110">
        <f>F37+H37+J37+K37</f>
        <v>346860</v>
      </c>
      <c r="M37" s="111">
        <f>L37/E37</f>
        <v>3651.1578947368421</v>
      </c>
      <c r="N37" s="111"/>
      <c r="O37" s="111"/>
      <c r="P37" s="111"/>
      <c r="Q37" s="111"/>
      <c r="R37" s="112" t="e">
        <f>L37/Q37</f>
        <v>#DIV/0!</v>
      </c>
      <c r="T37" s="248">
        <v>11.2</v>
      </c>
      <c r="U37" s="248">
        <v>17.3</v>
      </c>
      <c r="V37" s="479">
        <v>2</v>
      </c>
      <c r="W37" s="479">
        <v>2</v>
      </c>
      <c r="X37" s="479">
        <v>2</v>
      </c>
      <c r="Y37" s="272">
        <f>SUM(V37:X37)/3</f>
        <v>2</v>
      </c>
      <c r="AA37" s="271" t="s">
        <v>124</v>
      </c>
      <c r="AB37" s="2"/>
      <c r="AC37" s="270">
        <v>5</v>
      </c>
      <c r="AH37" s="248"/>
      <c r="AI37" s="248"/>
      <c r="AJ37" s="256"/>
      <c r="AK37" s="256"/>
      <c r="AL37" s="256"/>
      <c r="AM37" s="272">
        <f>SUM(AJ37:AL37)/3</f>
        <v>0</v>
      </c>
      <c r="AO37" s="271" t="s">
        <v>124</v>
      </c>
      <c r="AP37" s="2"/>
      <c r="AQ37" s="270">
        <v>5</v>
      </c>
    </row>
    <row r="38" spans="1:43" ht="23.5" customHeight="1" x14ac:dyDescent="0.25">
      <c r="A38" s="55" t="s">
        <v>4</v>
      </c>
      <c r="B38" s="50">
        <v>23</v>
      </c>
      <c r="C38" s="103" t="s">
        <v>4</v>
      </c>
      <c r="D38" s="120">
        <f t="shared" ref="D38:D43" si="26">B38</f>
        <v>23</v>
      </c>
      <c r="E38" s="74">
        <v>109</v>
      </c>
      <c r="F38" s="108">
        <v>183400</v>
      </c>
      <c r="G38" s="108">
        <f t="shared" si="24"/>
        <v>1682.5688073394494</v>
      </c>
      <c r="H38" s="108">
        <v>124550</v>
      </c>
      <c r="I38" s="109">
        <f t="shared" si="25"/>
        <v>1142.6605504587155</v>
      </c>
      <c r="J38" s="109"/>
      <c r="K38" s="109"/>
      <c r="L38" s="110">
        <f t="shared" ref="L38:L44" si="27">F38+H38+J38+K38</f>
        <v>307950</v>
      </c>
      <c r="M38" s="111">
        <f t="shared" ref="M38:M43" si="28">L38/E38</f>
        <v>2825.229357798165</v>
      </c>
      <c r="N38" s="111"/>
      <c r="O38" s="111"/>
      <c r="P38" s="111"/>
      <c r="Q38" s="111"/>
      <c r="R38" s="112" t="e">
        <f t="shared" ref="R38:R44" si="29">L38/Q38</f>
        <v>#DIV/0!</v>
      </c>
      <c r="T38" s="248">
        <v>10</v>
      </c>
      <c r="U38" s="248">
        <v>19.8</v>
      </c>
      <c r="V38" s="441">
        <v>4</v>
      </c>
      <c r="W38" s="441">
        <v>4</v>
      </c>
      <c r="X38" s="441">
        <v>4</v>
      </c>
      <c r="Y38" s="272">
        <f t="shared" ref="Y38:Y43" si="30">SUM(V38:X38)/3</f>
        <v>4</v>
      </c>
      <c r="AA38" s="35" t="s">
        <v>125</v>
      </c>
      <c r="AC38" s="1">
        <v>4</v>
      </c>
      <c r="AH38" s="248"/>
      <c r="AI38" s="248"/>
      <c r="AJ38" s="256"/>
      <c r="AK38" s="256"/>
      <c r="AL38" s="256"/>
      <c r="AM38" s="272">
        <f t="shared" ref="AM38:AM43" si="31">SUM(AJ38:AL38)/3</f>
        <v>0</v>
      </c>
      <c r="AO38" s="35" t="s">
        <v>125</v>
      </c>
      <c r="AQ38" s="1">
        <v>4</v>
      </c>
    </row>
    <row r="39" spans="1:43" ht="23.5" customHeight="1" x14ac:dyDescent="0.25">
      <c r="A39" s="55" t="s">
        <v>5</v>
      </c>
      <c r="B39" s="50">
        <v>24</v>
      </c>
      <c r="C39" s="103" t="s">
        <v>5</v>
      </c>
      <c r="D39" s="120">
        <f t="shared" si="26"/>
        <v>24</v>
      </c>
      <c r="E39" s="74">
        <v>45</v>
      </c>
      <c r="F39" s="108">
        <v>75400</v>
      </c>
      <c r="G39" s="108">
        <f t="shared" si="24"/>
        <v>1675.5555555555557</v>
      </c>
      <c r="H39" s="108">
        <v>40000</v>
      </c>
      <c r="I39" s="109">
        <f t="shared" si="25"/>
        <v>888.88888888888891</v>
      </c>
      <c r="J39" s="109"/>
      <c r="K39" s="109"/>
      <c r="L39" s="110">
        <f t="shared" si="27"/>
        <v>115400</v>
      </c>
      <c r="M39" s="111">
        <f t="shared" si="28"/>
        <v>2564.4444444444443</v>
      </c>
      <c r="N39" s="111"/>
      <c r="O39" s="111"/>
      <c r="P39" s="111"/>
      <c r="Q39" s="111"/>
      <c r="R39" s="112" t="e">
        <f t="shared" si="29"/>
        <v>#DIV/0!</v>
      </c>
      <c r="T39" s="248">
        <v>10.1</v>
      </c>
      <c r="U39" s="248">
        <v>22.2</v>
      </c>
      <c r="V39" s="441">
        <v>4</v>
      </c>
      <c r="W39" s="441">
        <v>4</v>
      </c>
      <c r="X39" s="441">
        <v>4</v>
      </c>
      <c r="Y39" s="272">
        <f t="shared" si="30"/>
        <v>4</v>
      </c>
      <c r="AA39" s="35" t="s">
        <v>129</v>
      </c>
      <c r="AC39" s="1">
        <v>3</v>
      </c>
      <c r="AH39" s="248"/>
      <c r="AI39" s="248"/>
      <c r="AJ39" s="256"/>
      <c r="AK39" s="256"/>
      <c r="AL39" s="256"/>
      <c r="AM39" s="272">
        <f t="shared" si="31"/>
        <v>0</v>
      </c>
      <c r="AO39" s="35" t="s">
        <v>129</v>
      </c>
      <c r="AQ39" s="1">
        <v>3</v>
      </c>
    </row>
    <row r="40" spans="1:43" ht="23.5" customHeight="1" x14ac:dyDescent="0.25">
      <c r="A40" s="55" t="s">
        <v>6</v>
      </c>
      <c r="B40" s="50">
        <v>25</v>
      </c>
      <c r="C40" s="103" t="s">
        <v>6</v>
      </c>
      <c r="D40" s="120">
        <f t="shared" si="26"/>
        <v>25</v>
      </c>
      <c r="E40" s="74">
        <v>40</v>
      </c>
      <c r="F40" s="108">
        <v>83000</v>
      </c>
      <c r="G40" s="108">
        <f t="shared" si="24"/>
        <v>2075</v>
      </c>
      <c r="H40" s="108">
        <v>52400</v>
      </c>
      <c r="I40" s="109">
        <f t="shared" si="25"/>
        <v>1310</v>
      </c>
      <c r="J40" s="109"/>
      <c r="K40" s="109"/>
      <c r="L40" s="110">
        <f t="shared" si="27"/>
        <v>135400</v>
      </c>
      <c r="M40" s="111">
        <f t="shared" si="28"/>
        <v>3385</v>
      </c>
      <c r="N40" s="111"/>
      <c r="O40" s="111"/>
      <c r="P40" s="111"/>
      <c r="Q40" s="111"/>
      <c r="R40" s="112" t="e">
        <f t="shared" si="29"/>
        <v>#DIV/0!</v>
      </c>
      <c r="T40" s="248">
        <v>13.6</v>
      </c>
      <c r="U40" s="248">
        <v>21</v>
      </c>
      <c r="V40" s="441">
        <v>4</v>
      </c>
      <c r="W40" s="441">
        <v>4</v>
      </c>
      <c r="X40" s="479">
        <v>2</v>
      </c>
      <c r="Y40" s="272">
        <f t="shared" si="30"/>
        <v>3.3333333333333335</v>
      </c>
      <c r="AA40" s="35" t="s">
        <v>121</v>
      </c>
      <c r="AC40" s="1">
        <v>2</v>
      </c>
      <c r="AH40" s="248"/>
      <c r="AI40" s="248"/>
      <c r="AJ40" s="256"/>
      <c r="AK40" s="256"/>
      <c r="AL40" s="256"/>
      <c r="AM40" s="272">
        <f t="shared" si="31"/>
        <v>0</v>
      </c>
      <c r="AO40" s="35" t="s">
        <v>121</v>
      </c>
      <c r="AQ40" s="1">
        <v>2</v>
      </c>
    </row>
    <row r="41" spans="1:43" ht="23.5" customHeight="1" x14ac:dyDescent="0.25">
      <c r="A41" s="55" t="s">
        <v>7</v>
      </c>
      <c r="B41" s="50">
        <v>26</v>
      </c>
      <c r="C41" s="103" t="s">
        <v>7</v>
      </c>
      <c r="D41" s="120">
        <f t="shared" si="26"/>
        <v>26</v>
      </c>
      <c r="E41" s="74">
        <v>49</v>
      </c>
      <c r="F41" s="108">
        <v>106650</v>
      </c>
      <c r="G41" s="108">
        <f t="shared" si="24"/>
        <v>2176.5306122448978</v>
      </c>
      <c r="H41" s="108">
        <v>57100</v>
      </c>
      <c r="I41" s="109">
        <f t="shared" si="25"/>
        <v>1165.3061224489795</v>
      </c>
      <c r="J41" s="109"/>
      <c r="K41" s="109"/>
      <c r="L41" s="74">
        <f t="shared" si="27"/>
        <v>163750</v>
      </c>
      <c r="M41" s="111">
        <f t="shared" si="28"/>
        <v>3341.8367346938776</v>
      </c>
      <c r="N41" s="111"/>
      <c r="O41" s="111"/>
      <c r="P41" s="111"/>
      <c r="Q41" s="111"/>
      <c r="R41" s="112" t="e">
        <f t="shared" si="29"/>
        <v>#DIV/0!</v>
      </c>
      <c r="T41" s="248">
        <v>17.3</v>
      </c>
      <c r="U41" s="248">
        <v>24.4</v>
      </c>
      <c r="V41" s="441">
        <v>4</v>
      </c>
      <c r="W41" s="441">
        <v>4</v>
      </c>
      <c r="X41" s="441">
        <v>4</v>
      </c>
      <c r="Y41" s="272">
        <f t="shared" si="30"/>
        <v>4</v>
      </c>
      <c r="AA41" s="35" t="s">
        <v>122</v>
      </c>
      <c r="AC41" s="1">
        <v>1</v>
      </c>
      <c r="AH41" s="248"/>
      <c r="AI41" s="248"/>
      <c r="AJ41" s="256"/>
      <c r="AK41" s="256"/>
      <c r="AL41" s="256"/>
      <c r="AM41" s="272">
        <f t="shared" si="31"/>
        <v>0</v>
      </c>
      <c r="AO41" s="35" t="s">
        <v>122</v>
      </c>
      <c r="AQ41" s="1">
        <v>1</v>
      </c>
    </row>
    <row r="42" spans="1:43" ht="23.5" customHeight="1" x14ac:dyDescent="0.25">
      <c r="A42" s="55" t="s">
        <v>8</v>
      </c>
      <c r="B42" s="50">
        <v>27</v>
      </c>
      <c r="C42" s="103" t="s">
        <v>8</v>
      </c>
      <c r="D42" s="120">
        <f t="shared" si="26"/>
        <v>27</v>
      </c>
      <c r="E42" s="74">
        <v>93</v>
      </c>
      <c r="F42" s="108">
        <v>161650</v>
      </c>
      <c r="G42" s="108">
        <f t="shared" si="24"/>
        <v>1738.1720430107528</v>
      </c>
      <c r="H42" s="108">
        <v>93900</v>
      </c>
      <c r="I42" s="109">
        <f t="shared" si="25"/>
        <v>1009.6774193548387</v>
      </c>
      <c r="J42" s="109"/>
      <c r="K42" s="109"/>
      <c r="L42" s="74">
        <f t="shared" si="27"/>
        <v>255550</v>
      </c>
      <c r="M42" s="111">
        <f t="shared" si="28"/>
        <v>2747.8494623655915</v>
      </c>
      <c r="N42" s="111"/>
      <c r="O42" s="111"/>
      <c r="P42" s="111"/>
      <c r="Q42" s="111"/>
      <c r="R42" s="112" t="e">
        <f t="shared" si="29"/>
        <v>#DIV/0!</v>
      </c>
      <c r="T42" s="248">
        <v>17.8</v>
      </c>
      <c r="U42" s="248">
        <v>23.8</v>
      </c>
      <c r="V42" s="479">
        <v>2</v>
      </c>
      <c r="W42" s="441">
        <v>4</v>
      </c>
      <c r="X42" s="441">
        <v>4</v>
      </c>
      <c r="Y42" s="272">
        <f t="shared" si="30"/>
        <v>3.3333333333333335</v>
      </c>
      <c r="AA42" s="35" t="s">
        <v>127</v>
      </c>
      <c r="AC42" s="1">
        <v>0</v>
      </c>
      <c r="AH42" s="248"/>
      <c r="AI42" s="248"/>
      <c r="AJ42" s="256"/>
      <c r="AK42" s="256"/>
      <c r="AL42" s="256"/>
      <c r="AM42" s="272">
        <f t="shared" si="31"/>
        <v>0</v>
      </c>
      <c r="AO42" s="35" t="s">
        <v>127</v>
      </c>
      <c r="AQ42" s="1">
        <v>0</v>
      </c>
    </row>
    <row r="43" spans="1:43" ht="23.5" customHeight="1" thickBot="1" x14ac:dyDescent="0.3">
      <c r="A43" s="56" t="s">
        <v>9</v>
      </c>
      <c r="B43" s="50">
        <v>28</v>
      </c>
      <c r="C43" s="113" t="s">
        <v>9</v>
      </c>
      <c r="D43" s="120">
        <f t="shared" si="26"/>
        <v>28</v>
      </c>
      <c r="E43" s="74">
        <v>81</v>
      </c>
      <c r="F43" s="108">
        <v>99200</v>
      </c>
      <c r="G43" s="108">
        <f t="shared" si="24"/>
        <v>1224.6913580246915</v>
      </c>
      <c r="H43" s="108">
        <v>87750</v>
      </c>
      <c r="I43" s="109">
        <f t="shared" si="25"/>
        <v>1083.3333333333333</v>
      </c>
      <c r="J43" s="109"/>
      <c r="K43" s="109">
        <v>5940</v>
      </c>
      <c r="L43" s="74">
        <f t="shared" si="27"/>
        <v>192890</v>
      </c>
      <c r="M43" s="111">
        <f t="shared" si="28"/>
        <v>2381.358024691358</v>
      </c>
      <c r="N43" s="111"/>
      <c r="O43" s="111"/>
      <c r="P43" s="111"/>
      <c r="Q43" s="111"/>
      <c r="R43" s="112" t="e">
        <f t="shared" si="29"/>
        <v>#DIV/0!</v>
      </c>
      <c r="T43" s="249">
        <v>16.2</v>
      </c>
      <c r="U43" s="249">
        <v>22.5</v>
      </c>
      <c r="V43" s="441">
        <v>4</v>
      </c>
      <c r="W43" s="441">
        <v>4</v>
      </c>
      <c r="X43" s="441">
        <v>4</v>
      </c>
      <c r="Y43" s="273">
        <f t="shared" si="30"/>
        <v>4</v>
      </c>
      <c r="AA43" s="1" t="s">
        <v>130</v>
      </c>
      <c r="AH43" s="249"/>
      <c r="AI43" s="249"/>
      <c r="AJ43" s="257"/>
      <c r="AK43" s="256"/>
      <c r="AL43" s="256"/>
      <c r="AM43" s="273">
        <f t="shared" si="31"/>
        <v>0</v>
      </c>
      <c r="AO43" s="1" t="s">
        <v>130</v>
      </c>
    </row>
    <row r="44" spans="1:43" ht="23.5" customHeight="1" thickTop="1" thickBot="1" x14ac:dyDescent="0.3">
      <c r="A44" s="724" t="s">
        <v>13</v>
      </c>
      <c r="B44" s="725"/>
      <c r="C44" s="726" t="s">
        <v>13</v>
      </c>
      <c r="D44" s="727"/>
      <c r="E44" s="121">
        <f>SUM(E37:E43)</f>
        <v>512</v>
      </c>
      <c r="F44" s="121">
        <f>SUM(F37:F43)</f>
        <v>925550</v>
      </c>
      <c r="G44" s="121">
        <f t="shared" si="24"/>
        <v>1807.71484375</v>
      </c>
      <c r="H44" s="121">
        <f>SUM(H37:H43)</f>
        <v>584000</v>
      </c>
      <c r="I44" s="122">
        <f t="shared" si="25"/>
        <v>1140.625</v>
      </c>
      <c r="J44" s="122">
        <f>I44/F44</f>
        <v>1.2323753443898222E-3</v>
      </c>
      <c r="K44" s="284">
        <f>SUM(K37:K43)</f>
        <v>5940</v>
      </c>
      <c r="L44" s="110">
        <f t="shared" si="27"/>
        <v>1515490.0012323754</v>
      </c>
      <c r="M44" s="123">
        <f>L44/E44</f>
        <v>2959.9414086569832</v>
      </c>
      <c r="N44" s="123"/>
      <c r="O44" s="123"/>
      <c r="P44" s="123"/>
      <c r="Q44" s="123"/>
      <c r="R44" s="124" t="e">
        <f t="shared" si="29"/>
        <v>#DIV/0!</v>
      </c>
      <c r="S44" s="260">
        <v>7</v>
      </c>
      <c r="T44" s="291">
        <f>SUM(T37:T43)/S44</f>
        <v>13.742857142857144</v>
      </c>
      <c r="U44" s="292">
        <f>SUM(U37:U43)/S44</f>
        <v>21.571428571428573</v>
      </c>
      <c r="V44" s="312">
        <f>SUM(V37:V43)/S44</f>
        <v>3.4285714285714284</v>
      </c>
      <c r="W44" s="312">
        <f>SUM(W37:W43)/S44</f>
        <v>3.7142857142857144</v>
      </c>
      <c r="X44" s="312">
        <f>SUM(X37:X43)/S44</f>
        <v>3.4285714285714284</v>
      </c>
      <c r="Y44" s="313">
        <f>SUM(V44:X44)/3</f>
        <v>3.5238095238095237</v>
      </c>
      <c r="Z44" s="260"/>
      <c r="AA44" s="260"/>
      <c r="AB44" s="260"/>
      <c r="AC44" s="260"/>
      <c r="AH44" s="265" t="e">
        <f>SUM(AH37:AH43)/AG44</f>
        <v>#DIV/0!</v>
      </c>
      <c r="AI44" s="267" t="e">
        <f>SUM(AI37:AI43)/AG44</f>
        <v>#DIV/0!</v>
      </c>
      <c r="AJ44" s="267" t="e">
        <f>SUM(AJ37:AJ43)/AG44</f>
        <v>#DIV/0!</v>
      </c>
      <c r="AK44" s="267" t="e">
        <f>SUM(AK37:AK43)/AG44</f>
        <v>#DIV/0!</v>
      </c>
      <c r="AL44" s="267" t="e">
        <f>SUM(AL37:AL43)/AG44</f>
        <v>#DIV/0!</v>
      </c>
      <c r="AM44" s="269" t="e">
        <f>SUM(AJ44:AL44)/3</f>
        <v>#DIV/0!</v>
      </c>
      <c r="AN44" s="260"/>
      <c r="AO44" s="260"/>
      <c r="AP44" s="260"/>
      <c r="AQ44" s="260"/>
    </row>
    <row r="45" spans="1:43" ht="23.5" customHeight="1" thickTop="1" x14ac:dyDescent="0.25">
      <c r="A45" s="710" t="s">
        <v>17</v>
      </c>
      <c r="B45" s="711"/>
      <c r="C45" s="713" t="s">
        <v>17</v>
      </c>
      <c r="D45" s="714"/>
      <c r="E45" s="714"/>
      <c r="F45" s="714"/>
      <c r="G45" s="714"/>
      <c r="H45" s="714"/>
      <c r="I45" s="714"/>
      <c r="J45" s="714"/>
      <c r="K45" s="714"/>
      <c r="L45" s="714"/>
      <c r="M45" s="714"/>
      <c r="N45" s="714"/>
      <c r="O45" s="714"/>
      <c r="P45" s="714"/>
      <c r="Q45" s="714"/>
      <c r="R45" s="715"/>
      <c r="T45" s="716" t="str">
        <f>C45</f>
        <v>5th week</v>
      </c>
      <c r="U45" s="716"/>
      <c r="V45" s="716"/>
      <c r="W45" s="716"/>
      <c r="X45" s="716"/>
      <c r="Y45" s="716"/>
      <c r="AH45" s="716">
        <f>U45</f>
        <v>0</v>
      </c>
      <c r="AI45" s="716"/>
      <c r="AJ45" s="716"/>
      <c r="AK45" s="716"/>
      <c r="AL45" s="716"/>
      <c r="AM45" s="716"/>
    </row>
    <row r="46" spans="1:43" ht="23.5" customHeight="1" x14ac:dyDescent="0.25">
      <c r="A46" s="53" t="s">
        <v>10</v>
      </c>
      <c r="B46" s="37" t="s">
        <v>11</v>
      </c>
      <c r="C46" s="103" t="s">
        <v>10</v>
      </c>
      <c r="D46" s="104" t="s">
        <v>11</v>
      </c>
      <c r="E46" s="104" t="s">
        <v>1</v>
      </c>
      <c r="F46" s="104" t="s">
        <v>30</v>
      </c>
      <c r="G46" s="104" t="s">
        <v>31</v>
      </c>
      <c r="H46" s="104" t="s">
        <v>28</v>
      </c>
      <c r="I46" s="104" t="s">
        <v>29</v>
      </c>
      <c r="J46" s="104" t="s">
        <v>330</v>
      </c>
      <c r="K46" s="104" t="s">
        <v>210</v>
      </c>
      <c r="L46" s="104" t="s">
        <v>71</v>
      </c>
      <c r="M46" s="105" t="s">
        <v>48</v>
      </c>
      <c r="N46" s="105" t="s">
        <v>331</v>
      </c>
      <c r="O46" s="105" t="s">
        <v>332</v>
      </c>
      <c r="P46" s="105" t="s">
        <v>220</v>
      </c>
      <c r="Q46" s="105" t="s">
        <v>40</v>
      </c>
      <c r="R46" s="106" t="s">
        <v>73</v>
      </c>
      <c r="T46" s="253" t="s">
        <v>116</v>
      </c>
      <c r="U46" s="254" t="s">
        <v>117</v>
      </c>
      <c r="V46" s="49" t="s">
        <v>118</v>
      </c>
      <c r="W46" s="49" t="s">
        <v>119</v>
      </c>
      <c r="X46" s="49" t="s">
        <v>120</v>
      </c>
      <c r="Y46" s="255" t="s">
        <v>128</v>
      </c>
      <c r="AA46" s="1" t="s">
        <v>123</v>
      </c>
      <c r="AC46" s="36" t="s">
        <v>126</v>
      </c>
      <c r="AH46" s="253" t="s">
        <v>116</v>
      </c>
      <c r="AI46" s="254" t="s">
        <v>117</v>
      </c>
      <c r="AJ46" s="49" t="s">
        <v>118</v>
      </c>
      <c r="AK46" s="49" t="s">
        <v>119</v>
      </c>
      <c r="AL46" s="49" t="s">
        <v>120</v>
      </c>
      <c r="AM46" s="255" t="s">
        <v>128</v>
      </c>
      <c r="AO46" s="1" t="s">
        <v>123</v>
      </c>
      <c r="AQ46" s="36" t="s">
        <v>126</v>
      </c>
    </row>
    <row r="47" spans="1:43" ht="23.5" customHeight="1" x14ac:dyDescent="0.25">
      <c r="A47" s="54" t="s">
        <v>3</v>
      </c>
      <c r="B47" s="50">
        <v>29</v>
      </c>
      <c r="C47" s="107" t="s">
        <v>3</v>
      </c>
      <c r="D47" s="120">
        <f>B47</f>
        <v>29</v>
      </c>
      <c r="E47" s="74">
        <v>73</v>
      </c>
      <c r="F47" s="108">
        <v>147650</v>
      </c>
      <c r="G47" s="108">
        <f t="shared" ref="G47:G54" si="32">F47/E47</f>
        <v>2022.6027397260275</v>
      </c>
      <c r="H47" s="108">
        <v>89150</v>
      </c>
      <c r="I47" s="109">
        <f t="shared" ref="I47:I54" si="33">H47/E47</f>
        <v>1221.2328767123288</v>
      </c>
      <c r="J47" s="109"/>
      <c r="K47" s="109"/>
      <c r="L47" s="110">
        <f>F47+H47+J47+K47</f>
        <v>236800</v>
      </c>
      <c r="M47" s="111">
        <f>L47/E47</f>
        <v>3243.8356164383563</v>
      </c>
      <c r="N47" s="111"/>
      <c r="O47" s="111"/>
      <c r="P47" s="111"/>
      <c r="Q47" s="111"/>
      <c r="R47" s="112" t="e">
        <f>L47/Q47</f>
        <v>#DIV/0!</v>
      </c>
      <c r="T47" s="248">
        <v>12.5</v>
      </c>
      <c r="U47" s="248">
        <v>23</v>
      </c>
      <c r="V47" s="441">
        <v>4</v>
      </c>
      <c r="W47" s="441">
        <v>4</v>
      </c>
      <c r="X47" s="441">
        <v>4</v>
      </c>
      <c r="Y47" s="272">
        <f>SUM(V47:X47)/3</f>
        <v>4</v>
      </c>
      <c r="AA47" s="271" t="s">
        <v>124</v>
      </c>
      <c r="AB47" s="2"/>
      <c r="AC47" s="270">
        <v>5</v>
      </c>
      <c r="AH47" s="248"/>
      <c r="AI47" s="248"/>
      <c r="AJ47" s="256"/>
      <c r="AK47" s="256"/>
      <c r="AL47" s="256"/>
      <c r="AM47" s="272">
        <f>SUM(AJ47:AL47)/3</f>
        <v>0</v>
      </c>
      <c r="AO47" s="271" t="s">
        <v>124</v>
      </c>
      <c r="AP47" s="2"/>
      <c r="AQ47" s="270">
        <v>5</v>
      </c>
    </row>
    <row r="48" spans="1:43" ht="23.5" customHeight="1" x14ac:dyDescent="0.25">
      <c r="A48" s="55" t="s">
        <v>4</v>
      </c>
      <c r="B48" s="50">
        <v>30</v>
      </c>
      <c r="C48" s="103" t="s">
        <v>4</v>
      </c>
      <c r="D48" s="120">
        <f t="shared" ref="D48:D53" si="34">B48</f>
        <v>30</v>
      </c>
      <c r="E48" s="74">
        <v>46</v>
      </c>
      <c r="F48" s="108">
        <v>125200</v>
      </c>
      <c r="G48" s="108">
        <f t="shared" si="32"/>
        <v>2721.7391304347825</v>
      </c>
      <c r="H48" s="108">
        <v>58050</v>
      </c>
      <c r="I48" s="109">
        <f t="shared" si="33"/>
        <v>1261.9565217391305</v>
      </c>
      <c r="J48" s="109"/>
      <c r="K48" s="109">
        <v>2970</v>
      </c>
      <c r="L48" s="110">
        <f t="shared" ref="L48:L54" si="35">F48+H48+J48+K48</f>
        <v>186220</v>
      </c>
      <c r="M48" s="111">
        <f t="shared" ref="M48:M53" si="36">L48/E48</f>
        <v>4048.2608695652175</v>
      </c>
      <c r="N48" s="111"/>
      <c r="O48" s="111"/>
      <c r="P48" s="111"/>
      <c r="Q48" s="111"/>
      <c r="R48" s="112" t="e">
        <f t="shared" ref="R48:R54" si="37">L48/Q48</f>
        <v>#DIV/0!</v>
      </c>
      <c r="T48" s="248">
        <v>14.3</v>
      </c>
      <c r="U48" s="248">
        <v>22.3</v>
      </c>
      <c r="V48" s="441">
        <v>4</v>
      </c>
      <c r="W48" s="441">
        <v>4</v>
      </c>
      <c r="X48" s="441">
        <v>4</v>
      </c>
      <c r="Y48" s="272">
        <f t="shared" ref="Y48:Y53" si="38">SUM(V48:X48)/3</f>
        <v>4</v>
      </c>
      <c r="AA48" s="35" t="s">
        <v>125</v>
      </c>
      <c r="AC48" s="1">
        <v>4</v>
      </c>
      <c r="AH48" s="248"/>
      <c r="AI48" s="248"/>
      <c r="AJ48" s="256"/>
      <c r="AK48" s="256"/>
      <c r="AL48" s="256"/>
      <c r="AM48" s="272">
        <f t="shared" ref="AM48:AM53" si="39">SUM(AJ48:AL48)/3</f>
        <v>0</v>
      </c>
      <c r="AO48" s="35" t="s">
        <v>125</v>
      </c>
      <c r="AQ48" s="1">
        <v>4</v>
      </c>
    </row>
    <row r="49" spans="1:43" ht="23.5" customHeight="1" x14ac:dyDescent="0.25">
      <c r="A49" s="55" t="s">
        <v>5</v>
      </c>
      <c r="B49" s="50">
        <v>31</v>
      </c>
      <c r="C49" s="103" t="s">
        <v>5</v>
      </c>
      <c r="D49" s="120">
        <f t="shared" si="34"/>
        <v>31</v>
      </c>
      <c r="E49" s="74"/>
      <c r="F49" s="108"/>
      <c r="G49" s="108" t="e">
        <f t="shared" si="32"/>
        <v>#DIV/0!</v>
      </c>
      <c r="H49" s="108"/>
      <c r="I49" s="109" t="e">
        <f t="shared" si="33"/>
        <v>#DIV/0!</v>
      </c>
      <c r="J49" s="109"/>
      <c r="K49" s="109"/>
      <c r="L49" s="110">
        <f t="shared" si="35"/>
        <v>0</v>
      </c>
      <c r="M49" s="111" t="e">
        <f t="shared" si="36"/>
        <v>#DIV/0!</v>
      </c>
      <c r="N49" s="111"/>
      <c r="O49" s="111"/>
      <c r="P49" s="111"/>
      <c r="Q49" s="111"/>
      <c r="R49" s="112" t="e">
        <f t="shared" si="37"/>
        <v>#DIV/0!</v>
      </c>
      <c r="T49" s="248"/>
      <c r="U49" s="248"/>
      <c r="V49" s="256"/>
      <c r="W49" s="256"/>
      <c r="X49" s="256"/>
      <c r="Y49" s="272">
        <f t="shared" si="38"/>
        <v>0</v>
      </c>
      <c r="AA49" s="35" t="s">
        <v>129</v>
      </c>
      <c r="AC49" s="1">
        <v>3</v>
      </c>
      <c r="AH49" s="248"/>
      <c r="AI49" s="248"/>
      <c r="AJ49" s="256"/>
      <c r="AK49" s="256"/>
      <c r="AL49" s="256"/>
      <c r="AM49" s="272">
        <f t="shared" si="39"/>
        <v>0</v>
      </c>
      <c r="AO49" s="35" t="s">
        <v>129</v>
      </c>
      <c r="AQ49" s="1">
        <v>3</v>
      </c>
    </row>
    <row r="50" spans="1:43" ht="23.5" customHeight="1" x14ac:dyDescent="0.25">
      <c r="A50" s="55" t="s">
        <v>6</v>
      </c>
      <c r="B50" s="50"/>
      <c r="C50" s="103" t="s">
        <v>6</v>
      </c>
      <c r="D50" s="120">
        <f t="shared" si="34"/>
        <v>0</v>
      </c>
      <c r="E50" s="74"/>
      <c r="F50" s="108"/>
      <c r="G50" s="108" t="e">
        <f t="shared" si="32"/>
        <v>#DIV/0!</v>
      </c>
      <c r="H50" s="108"/>
      <c r="I50" s="109" t="e">
        <f t="shared" si="33"/>
        <v>#DIV/0!</v>
      </c>
      <c r="J50" s="109"/>
      <c r="K50" s="109"/>
      <c r="L50" s="110">
        <f t="shared" si="35"/>
        <v>0</v>
      </c>
      <c r="M50" s="111" t="e">
        <f t="shared" si="36"/>
        <v>#DIV/0!</v>
      </c>
      <c r="N50" s="111"/>
      <c r="O50" s="111"/>
      <c r="P50" s="111"/>
      <c r="Q50" s="111"/>
      <c r="R50" s="112" t="e">
        <f t="shared" si="37"/>
        <v>#DIV/0!</v>
      </c>
      <c r="T50" s="248"/>
      <c r="U50" s="248"/>
      <c r="V50" s="256"/>
      <c r="W50" s="256"/>
      <c r="X50" s="256"/>
      <c r="Y50" s="272">
        <f t="shared" si="38"/>
        <v>0</v>
      </c>
      <c r="AA50" s="35" t="s">
        <v>121</v>
      </c>
      <c r="AC50" s="1">
        <v>2</v>
      </c>
      <c r="AH50" s="248"/>
      <c r="AI50" s="248"/>
      <c r="AJ50" s="256"/>
      <c r="AK50" s="256"/>
      <c r="AL50" s="256"/>
      <c r="AM50" s="272">
        <f t="shared" si="39"/>
        <v>0</v>
      </c>
      <c r="AO50" s="35" t="s">
        <v>121</v>
      </c>
      <c r="AQ50" s="1">
        <v>2</v>
      </c>
    </row>
    <row r="51" spans="1:43" ht="23.5" customHeight="1" x14ac:dyDescent="0.25">
      <c r="A51" s="55" t="s">
        <v>7</v>
      </c>
      <c r="B51" s="50"/>
      <c r="C51" s="103" t="s">
        <v>7</v>
      </c>
      <c r="D51" s="120">
        <f t="shared" si="34"/>
        <v>0</v>
      </c>
      <c r="E51" s="74"/>
      <c r="F51" s="108"/>
      <c r="G51" s="108" t="e">
        <f t="shared" si="32"/>
        <v>#DIV/0!</v>
      </c>
      <c r="H51" s="108"/>
      <c r="I51" s="109" t="e">
        <f t="shared" si="33"/>
        <v>#DIV/0!</v>
      </c>
      <c r="J51" s="109"/>
      <c r="K51" s="109"/>
      <c r="L51" s="74">
        <f t="shared" si="35"/>
        <v>0</v>
      </c>
      <c r="M51" s="111" t="e">
        <f t="shared" si="36"/>
        <v>#DIV/0!</v>
      </c>
      <c r="N51" s="111"/>
      <c r="O51" s="111"/>
      <c r="P51" s="111"/>
      <c r="Q51" s="111"/>
      <c r="R51" s="112" t="e">
        <f t="shared" si="37"/>
        <v>#DIV/0!</v>
      </c>
      <c r="T51" s="248"/>
      <c r="U51" s="248"/>
      <c r="V51" s="256"/>
      <c r="W51" s="256"/>
      <c r="X51" s="256"/>
      <c r="Y51" s="272">
        <f t="shared" si="38"/>
        <v>0</v>
      </c>
      <c r="AA51" s="35" t="s">
        <v>122</v>
      </c>
      <c r="AC51" s="1">
        <v>1</v>
      </c>
      <c r="AH51" s="248"/>
      <c r="AI51" s="248"/>
      <c r="AJ51" s="256"/>
      <c r="AK51" s="256"/>
      <c r="AL51" s="256"/>
      <c r="AM51" s="272">
        <f t="shared" si="39"/>
        <v>0</v>
      </c>
      <c r="AO51" s="35" t="s">
        <v>122</v>
      </c>
      <c r="AQ51" s="1">
        <v>1</v>
      </c>
    </row>
    <row r="52" spans="1:43" ht="23.5" customHeight="1" x14ac:dyDescent="0.25">
      <c r="A52" s="55" t="s">
        <v>8</v>
      </c>
      <c r="B52" s="50"/>
      <c r="C52" s="103" t="s">
        <v>8</v>
      </c>
      <c r="D52" s="120">
        <f t="shared" si="34"/>
        <v>0</v>
      </c>
      <c r="E52" s="74"/>
      <c r="F52" s="108"/>
      <c r="G52" s="108" t="e">
        <f t="shared" si="32"/>
        <v>#DIV/0!</v>
      </c>
      <c r="H52" s="108">
        <v>0</v>
      </c>
      <c r="I52" s="109" t="e">
        <f t="shared" si="33"/>
        <v>#DIV/0!</v>
      </c>
      <c r="J52" s="109"/>
      <c r="K52" s="109"/>
      <c r="L52" s="74">
        <f t="shared" si="35"/>
        <v>0</v>
      </c>
      <c r="M52" s="111" t="e">
        <f t="shared" si="36"/>
        <v>#DIV/0!</v>
      </c>
      <c r="N52" s="111"/>
      <c r="O52" s="111"/>
      <c r="P52" s="111"/>
      <c r="Q52" s="111"/>
      <c r="R52" s="112" t="e">
        <f t="shared" si="37"/>
        <v>#DIV/0!</v>
      </c>
      <c r="T52" s="248"/>
      <c r="U52" s="248"/>
      <c r="V52" s="256"/>
      <c r="W52" s="256"/>
      <c r="X52" s="256"/>
      <c r="Y52" s="272">
        <f t="shared" si="38"/>
        <v>0</v>
      </c>
      <c r="AA52" s="35" t="s">
        <v>127</v>
      </c>
      <c r="AC52" s="1">
        <v>0</v>
      </c>
      <c r="AH52" s="248"/>
      <c r="AI52" s="248"/>
      <c r="AJ52" s="256"/>
      <c r="AK52" s="256"/>
      <c r="AL52" s="256"/>
      <c r="AM52" s="272">
        <f t="shared" si="39"/>
        <v>0</v>
      </c>
      <c r="AO52" s="35" t="s">
        <v>127</v>
      </c>
      <c r="AQ52" s="1">
        <v>0</v>
      </c>
    </row>
    <row r="53" spans="1:43" ht="23.5" customHeight="1" thickBot="1" x14ac:dyDescent="0.3">
      <c r="A53" s="56" t="s">
        <v>9</v>
      </c>
      <c r="B53" s="50"/>
      <c r="C53" s="113" t="s">
        <v>9</v>
      </c>
      <c r="D53" s="120">
        <f t="shared" si="34"/>
        <v>0</v>
      </c>
      <c r="E53" s="74"/>
      <c r="F53" s="108"/>
      <c r="G53" s="108" t="e">
        <f t="shared" si="32"/>
        <v>#DIV/0!</v>
      </c>
      <c r="H53" s="108">
        <v>0</v>
      </c>
      <c r="I53" s="109" t="e">
        <f t="shared" si="33"/>
        <v>#DIV/0!</v>
      </c>
      <c r="J53" s="109">
        <v>0</v>
      </c>
      <c r="K53" s="109"/>
      <c r="L53" s="74">
        <f t="shared" si="35"/>
        <v>0</v>
      </c>
      <c r="M53" s="111" t="e">
        <f t="shared" si="36"/>
        <v>#DIV/0!</v>
      </c>
      <c r="N53" s="111"/>
      <c r="O53" s="111"/>
      <c r="P53" s="111"/>
      <c r="Q53" s="111"/>
      <c r="R53" s="112" t="e">
        <f t="shared" si="37"/>
        <v>#DIV/0!</v>
      </c>
      <c r="T53" s="249"/>
      <c r="U53" s="249"/>
      <c r="V53" s="257"/>
      <c r="W53" s="256"/>
      <c r="X53" s="256"/>
      <c r="Y53" s="273">
        <f t="shared" si="38"/>
        <v>0</v>
      </c>
      <c r="AA53" s="1" t="s">
        <v>130</v>
      </c>
      <c r="AH53" s="249"/>
      <c r="AI53" s="249"/>
      <c r="AJ53" s="257"/>
      <c r="AK53" s="256"/>
      <c r="AL53" s="256"/>
      <c r="AM53" s="273">
        <f t="shared" si="39"/>
        <v>0</v>
      </c>
      <c r="AO53" s="1" t="s">
        <v>130</v>
      </c>
    </row>
    <row r="54" spans="1:43" ht="23.5" customHeight="1" thickTop="1" thickBot="1" x14ac:dyDescent="0.3">
      <c r="A54" s="724" t="s">
        <v>13</v>
      </c>
      <c r="B54" s="725"/>
      <c r="C54" s="726" t="s">
        <v>13</v>
      </c>
      <c r="D54" s="727"/>
      <c r="E54" s="121">
        <f>SUM(E47:E53)</f>
        <v>119</v>
      </c>
      <c r="F54" s="121">
        <f>SUM(F47:F53)</f>
        <v>272850</v>
      </c>
      <c r="G54" s="121">
        <f t="shared" si="32"/>
        <v>2292.8571428571427</v>
      </c>
      <c r="H54" s="121">
        <f>SUM(H47:H53)</f>
        <v>147200</v>
      </c>
      <c r="I54" s="122">
        <f t="shared" si="33"/>
        <v>1236.9747899159663</v>
      </c>
      <c r="J54" s="122">
        <f>I54/F54</f>
        <v>4.5335341393291781E-3</v>
      </c>
      <c r="K54" s="284">
        <f>SUM(K47:K53)</f>
        <v>2970</v>
      </c>
      <c r="L54" s="110">
        <f t="shared" si="35"/>
        <v>423020.00453353411</v>
      </c>
      <c r="M54" s="123">
        <f>L54/E54</f>
        <v>3554.7899540633121</v>
      </c>
      <c r="N54" s="123"/>
      <c r="O54" s="123"/>
      <c r="P54" s="123"/>
      <c r="Q54" s="123"/>
      <c r="R54" s="124" t="e">
        <f t="shared" si="37"/>
        <v>#DIV/0!</v>
      </c>
      <c r="S54" s="260">
        <v>2</v>
      </c>
      <c r="T54" s="297">
        <f>SUM(T47:T53)/S54</f>
        <v>13.4</v>
      </c>
      <c r="U54" s="298">
        <f>SUM(U47:U53)/S54</f>
        <v>22.65</v>
      </c>
      <c r="V54" s="312">
        <f>SUM(V47:V53)/S54</f>
        <v>4</v>
      </c>
      <c r="W54" s="312">
        <f>SUM(W47:W53)/S54</f>
        <v>4</v>
      </c>
      <c r="X54" s="312">
        <f>SUM(X47:X53)/S54</f>
        <v>4</v>
      </c>
      <c r="Y54" s="313">
        <f>SUM(V54:X54)/3</f>
        <v>4</v>
      </c>
      <c r="Z54" s="260"/>
      <c r="AA54" s="260"/>
      <c r="AB54" s="260"/>
      <c r="AC54" s="260"/>
      <c r="AH54" s="265" t="e">
        <f>SUM(AH47:AH53)/AG54</f>
        <v>#DIV/0!</v>
      </c>
      <c r="AI54" s="267" t="e">
        <f>SUM(AI47:AI53)/AG54</f>
        <v>#DIV/0!</v>
      </c>
      <c r="AJ54" s="267" t="e">
        <f>SUM(AJ47:AJ53)/AG54</f>
        <v>#DIV/0!</v>
      </c>
      <c r="AK54" s="267" t="e">
        <f>SUM(AK47:AK53)/AG54</f>
        <v>#DIV/0!</v>
      </c>
      <c r="AL54" s="267" t="e">
        <f>SUM(AL47:AL53)/AG54</f>
        <v>#DIV/0!</v>
      </c>
      <c r="AM54" s="269" t="e">
        <f>SUM(AJ54:AL54)/3</f>
        <v>#DIV/0!</v>
      </c>
      <c r="AN54" s="260"/>
      <c r="AO54" s="260"/>
      <c r="AP54" s="260"/>
      <c r="AQ54" s="260"/>
    </row>
    <row r="55" spans="1:43" ht="23.5" customHeight="1" thickTop="1" x14ac:dyDescent="0.25">
      <c r="A55" s="710" t="s">
        <v>18</v>
      </c>
      <c r="B55" s="711"/>
      <c r="C55" s="713" t="s">
        <v>18</v>
      </c>
      <c r="D55" s="714"/>
      <c r="E55" s="714"/>
      <c r="F55" s="714"/>
      <c r="G55" s="714"/>
      <c r="H55" s="714"/>
      <c r="I55" s="714"/>
      <c r="J55" s="714"/>
      <c r="K55" s="714"/>
      <c r="L55" s="714"/>
      <c r="M55" s="714"/>
      <c r="N55" s="714"/>
      <c r="O55" s="714"/>
      <c r="P55" s="714"/>
      <c r="Q55" s="714"/>
      <c r="R55" s="715"/>
      <c r="T55" s="716" t="str">
        <f>C55</f>
        <v>6th week</v>
      </c>
      <c r="U55" s="716"/>
      <c r="V55" s="716"/>
      <c r="W55" s="716"/>
      <c r="X55" s="716"/>
      <c r="Y55" s="716"/>
      <c r="AH55" s="716">
        <f>U55</f>
        <v>0</v>
      </c>
      <c r="AI55" s="716"/>
      <c r="AJ55" s="716"/>
      <c r="AK55" s="716"/>
      <c r="AL55" s="716"/>
      <c r="AM55" s="716"/>
    </row>
    <row r="56" spans="1:43" ht="23.5" customHeight="1" x14ac:dyDescent="0.25">
      <c r="A56" s="53" t="s">
        <v>10</v>
      </c>
      <c r="B56" s="37" t="s">
        <v>11</v>
      </c>
      <c r="C56" s="103" t="s">
        <v>10</v>
      </c>
      <c r="D56" s="104" t="s">
        <v>11</v>
      </c>
      <c r="E56" s="104" t="s">
        <v>1</v>
      </c>
      <c r="F56" s="104" t="s">
        <v>30</v>
      </c>
      <c r="G56" s="104" t="s">
        <v>31</v>
      </c>
      <c r="H56" s="104" t="s">
        <v>28</v>
      </c>
      <c r="I56" s="104" t="s">
        <v>29</v>
      </c>
      <c r="J56" s="104" t="s">
        <v>330</v>
      </c>
      <c r="K56" s="104" t="s">
        <v>210</v>
      </c>
      <c r="L56" s="104" t="s">
        <v>71</v>
      </c>
      <c r="M56" s="105" t="s">
        <v>48</v>
      </c>
      <c r="N56" s="105" t="s">
        <v>331</v>
      </c>
      <c r="O56" s="105" t="s">
        <v>332</v>
      </c>
      <c r="P56" s="105" t="s">
        <v>220</v>
      </c>
      <c r="Q56" s="105" t="s">
        <v>40</v>
      </c>
      <c r="R56" s="106" t="s">
        <v>73</v>
      </c>
      <c r="T56" s="253" t="s">
        <v>116</v>
      </c>
      <c r="U56" s="254" t="s">
        <v>117</v>
      </c>
      <c r="V56" s="49" t="s">
        <v>118</v>
      </c>
      <c r="W56" s="49" t="s">
        <v>119</v>
      </c>
      <c r="X56" s="49" t="s">
        <v>120</v>
      </c>
      <c r="Y56" s="255" t="s">
        <v>128</v>
      </c>
      <c r="AA56" s="1" t="s">
        <v>123</v>
      </c>
      <c r="AC56" s="36" t="s">
        <v>126</v>
      </c>
      <c r="AH56" s="253" t="s">
        <v>116</v>
      </c>
      <c r="AI56" s="254" t="s">
        <v>117</v>
      </c>
      <c r="AJ56" s="49" t="s">
        <v>118</v>
      </c>
      <c r="AK56" s="49" t="s">
        <v>119</v>
      </c>
      <c r="AL56" s="49" t="s">
        <v>120</v>
      </c>
      <c r="AM56" s="255" t="s">
        <v>128</v>
      </c>
      <c r="AO56" s="1" t="s">
        <v>123</v>
      </c>
      <c r="AQ56" s="36" t="s">
        <v>126</v>
      </c>
    </row>
    <row r="57" spans="1:43" ht="23.5" customHeight="1" x14ac:dyDescent="0.25">
      <c r="A57" s="54" t="s">
        <v>3</v>
      </c>
      <c r="B57" s="50"/>
      <c r="C57" s="107" t="s">
        <v>3</v>
      </c>
      <c r="D57" s="120">
        <f>B57</f>
        <v>0</v>
      </c>
      <c r="E57" s="74"/>
      <c r="F57" s="108"/>
      <c r="G57" s="108" t="e">
        <f t="shared" ref="G57:G64" si="40">F57/E57</f>
        <v>#DIV/0!</v>
      </c>
      <c r="H57" s="108"/>
      <c r="I57" s="109" t="e">
        <f t="shared" ref="I57:I64" si="41">H57/E57</f>
        <v>#DIV/0!</v>
      </c>
      <c r="J57" s="109"/>
      <c r="K57" s="109"/>
      <c r="L57" s="110">
        <f>F57+H57+J57+K57</f>
        <v>0</v>
      </c>
      <c r="M57" s="111" t="e">
        <f>L57/E57</f>
        <v>#DIV/0!</v>
      </c>
      <c r="N57" s="111"/>
      <c r="O57" s="111"/>
      <c r="P57" s="111"/>
      <c r="Q57" s="111"/>
      <c r="R57" s="112" t="e">
        <f>L57/Q57</f>
        <v>#DIV/0!</v>
      </c>
      <c r="T57" s="248"/>
      <c r="U57" s="248"/>
      <c r="V57" s="256"/>
      <c r="W57" s="256"/>
      <c r="X57" s="256"/>
      <c r="Y57" s="272">
        <f>SUM(V57:X57)/3</f>
        <v>0</v>
      </c>
      <c r="AA57" s="271" t="s">
        <v>124</v>
      </c>
      <c r="AB57" s="2"/>
      <c r="AC57" s="270">
        <v>5</v>
      </c>
      <c r="AH57" s="248"/>
      <c r="AI57" s="248"/>
      <c r="AJ57" s="256"/>
      <c r="AK57" s="256"/>
      <c r="AL57" s="256"/>
      <c r="AM57" s="272">
        <f>SUM(AJ57:AL57)/3</f>
        <v>0</v>
      </c>
      <c r="AO57" s="271" t="s">
        <v>124</v>
      </c>
      <c r="AP57" s="2"/>
      <c r="AQ57" s="270">
        <v>5</v>
      </c>
    </row>
    <row r="58" spans="1:43" ht="23.5" customHeight="1" x14ac:dyDescent="0.25">
      <c r="A58" s="55" t="s">
        <v>4</v>
      </c>
      <c r="B58" s="50"/>
      <c r="C58" s="103" t="s">
        <v>4</v>
      </c>
      <c r="D58" s="120">
        <f t="shared" ref="D58:D63" si="42">B58</f>
        <v>0</v>
      </c>
      <c r="E58" s="74"/>
      <c r="F58" s="108"/>
      <c r="G58" s="108" t="e">
        <f t="shared" si="40"/>
        <v>#DIV/0!</v>
      </c>
      <c r="H58" s="108"/>
      <c r="I58" s="109" t="e">
        <f t="shared" si="41"/>
        <v>#DIV/0!</v>
      </c>
      <c r="J58" s="109"/>
      <c r="K58" s="109"/>
      <c r="L58" s="110">
        <f t="shared" ref="L58:L64" si="43">F58+H58+J58+K58</f>
        <v>0</v>
      </c>
      <c r="M58" s="111" t="e">
        <f t="shared" ref="M58:M63" si="44">L58/E58</f>
        <v>#DIV/0!</v>
      </c>
      <c r="N58" s="111"/>
      <c r="O58" s="111"/>
      <c r="P58" s="111"/>
      <c r="Q58" s="111"/>
      <c r="R58" s="112" t="e">
        <f t="shared" ref="R58:R64" si="45">L58/Q58</f>
        <v>#DIV/0!</v>
      </c>
      <c r="T58" s="248"/>
      <c r="U58" s="248"/>
      <c r="V58" s="256"/>
      <c r="W58" s="256"/>
      <c r="X58" s="256"/>
      <c r="Y58" s="272">
        <f t="shared" ref="Y58:Y63" si="46">SUM(V58:X58)/3</f>
        <v>0</v>
      </c>
      <c r="AA58" s="35" t="s">
        <v>125</v>
      </c>
      <c r="AC58" s="1">
        <v>4</v>
      </c>
      <c r="AH58" s="248"/>
      <c r="AI58" s="248"/>
      <c r="AJ58" s="256"/>
      <c r="AK58" s="256"/>
      <c r="AL58" s="256"/>
      <c r="AM58" s="272">
        <f t="shared" ref="AM58:AM63" si="47">SUM(AJ58:AL58)/3</f>
        <v>0</v>
      </c>
      <c r="AO58" s="35" t="s">
        <v>125</v>
      </c>
      <c r="AQ58" s="1">
        <v>4</v>
      </c>
    </row>
    <row r="59" spans="1:43" ht="23.5" customHeight="1" x14ac:dyDescent="0.25">
      <c r="A59" s="55" t="s">
        <v>5</v>
      </c>
      <c r="B59" s="50"/>
      <c r="C59" s="103" t="s">
        <v>5</v>
      </c>
      <c r="D59" s="120">
        <f t="shared" si="42"/>
        <v>0</v>
      </c>
      <c r="E59" s="74"/>
      <c r="F59" s="108"/>
      <c r="G59" s="108" t="e">
        <f t="shared" si="40"/>
        <v>#DIV/0!</v>
      </c>
      <c r="H59" s="108"/>
      <c r="I59" s="109" t="e">
        <f t="shared" si="41"/>
        <v>#DIV/0!</v>
      </c>
      <c r="J59" s="109"/>
      <c r="K59" s="109"/>
      <c r="L59" s="110">
        <f t="shared" si="43"/>
        <v>0</v>
      </c>
      <c r="M59" s="111" t="e">
        <f t="shared" si="44"/>
        <v>#DIV/0!</v>
      </c>
      <c r="N59" s="111"/>
      <c r="O59" s="111"/>
      <c r="P59" s="111"/>
      <c r="Q59" s="111"/>
      <c r="R59" s="112" t="e">
        <f t="shared" si="45"/>
        <v>#DIV/0!</v>
      </c>
      <c r="T59" s="248"/>
      <c r="U59" s="248"/>
      <c r="V59" s="256"/>
      <c r="W59" s="256"/>
      <c r="X59" s="256"/>
      <c r="Y59" s="272">
        <f t="shared" si="46"/>
        <v>0</v>
      </c>
      <c r="AA59" s="35" t="s">
        <v>129</v>
      </c>
      <c r="AC59" s="1">
        <v>3</v>
      </c>
      <c r="AH59" s="248"/>
      <c r="AI59" s="248"/>
      <c r="AJ59" s="256"/>
      <c r="AK59" s="256"/>
      <c r="AL59" s="256"/>
      <c r="AM59" s="272">
        <f t="shared" si="47"/>
        <v>0</v>
      </c>
      <c r="AO59" s="35" t="s">
        <v>129</v>
      </c>
      <c r="AQ59" s="1">
        <v>3</v>
      </c>
    </row>
    <row r="60" spans="1:43" ht="23.5" customHeight="1" x14ac:dyDescent="0.25">
      <c r="A60" s="55" t="s">
        <v>6</v>
      </c>
      <c r="B60" s="50"/>
      <c r="C60" s="103" t="s">
        <v>6</v>
      </c>
      <c r="D60" s="120">
        <f t="shared" si="42"/>
        <v>0</v>
      </c>
      <c r="E60" s="74"/>
      <c r="F60" s="108"/>
      <c r="G60" s="108" t="e">
        <f t="shared" si="40"/>
        <v>#DIV/0!</v>
      </c>
      <c r="H60" s="108"/>
      <c r="I60" s="109" t="e">
        <f t="shared" si="41"/>
        <v>#DIV/0!</v>
      </c>
      <c r="J60" s="109"/>
      <c r="K60" s="109"/>
      <c r="L60" s="110">
        <f t="shared" si="43"/>
        <v>0</v>
      </c>
      <c r="M60" s="111" t="e">
        <f t="shared" si="44"/>
        <v>#DIV/0!</v>
      </c>
      <c r="N60" s="111"/>
      <c r="O60" s="111"/>
      <c r="P60" s="111"/>
      <c r="Q60" s="111"/>
      <c r="R60" s="112" t="e">
        <f t="shared" si="45"/>
        <v>#DIV/0!</v>
      </c>
      <c r="T60" s="248"/>
      <c r="U60" s="248"/>
      <c r="V60" s="256"/>
      <c r="W60" s="256"/>
      <c r="X60" s="256"/>
      <c r="Y60" s="272">
        <f t="shared" si="46"/>
        <v>0</v>
      </c>
      <c r="AA60" s="35" t="s">
        <v>121</v>
      </c>
      <c r="AC60" s="1">
        <v>2</v>
      </c>
      <c r="AH60" s="248"/>
      <c r="AI60" s="248"/>
      <c r="AJ60" s="256"/>
      <c r="AK60" s="256"/>
      <c r="AL60" s="256"/>
      <c r="AM60" s="272">
        <f t="shared" si="47"/>
        <v>0</v>
      </c>
      <c r="AO60" s="35" t="s">
        <v>121</v>
      </c>
      <c r="AQ60" s="1">
        <v>2</v>
      </c>
    </row>
    <row r="61" spans="1:43" ht="23.5" customHeight="1" x14ac:dyDescent="0.25">
      <c r="A61" s="55" t="s">
        <v>7</v>
      </c>
      <c r="B61" s="50"/>
      <c r="C61" s="103" t="s">
        <v>7</v>
      </c>
      <c r="D61" s="120">
        <f t="shared" si="42"/>
        <v>0</v>
      </c>
      <c r="E61" s="74"/>
      <c r="F61" s="108"/>
      <c r="G61" s="108" t="e">
        <f t="shared" si="40"/>
        <v>#DIV/0!</v>
      </c>
      <c r="H61" s="108"/>
      <c r="I61" s="109" t="e">
        <f t="shared" si="41"/>
        <v>#DIV/0!</v>
      </c>
      <c r="J61" s="109"/>
      <c r="K61" s="109"/>
      <c r="L61" s="74">
        <f t="shared" si="43"/>
        <v>0</v>
      </c>
      <c r="M61" s="111" t="e">
        <f t="shared" si="44"/>
        <v>#DIV/0!</v>
      </c>
      <c r="N61" s="111"/>
      <c r="O61" s="111"/>
      <c r="P61" s="111"/>
      <c r="Q61" s="111"/>
      <c r="R61" s="112" t="e">
        <f t="shared" si="45"/>
        <v>#DIV/0!</v>
      </c>
      <c r="T61" s="248"/>
      <c r="U61" s="248"/>
      <c r="V61" s="256"/>
      <c r="W61" s="256"/>
      <c r="X61" s="256"/>
      <c r="Y61" s="272">
        <f t="shared" si="46"/>
        <v>0</v>
      </c>
      <c r="AA61" s="35" t="s">
        <v>122</v>
      </c>
      <c r="AC61" s="1">
        <v>1</v>
      </c>
      <c r="AH61" s="248"/>
      <c r="AI61" s="248"/>
      <c r="AJ61" s="256"/>
      <c r="AK61" s="256"/>
      <c r="AL61" s="256"/>
      <c r="AM61" s="272">
        <f t="shared" si="47"/>
        <v>0</v>
      </c>
      <c r="AO61" s="35" t="s">
        <v>122</v>
      </c>
      <c r="AQ61" s="1">
        <v>1</v>
      </c>
    </row>
    <row r="62" spans="1:43" ht="23.5" customHeight="1" x14ac:dyDescent="0.25">
      <c r="A62" s="55" t="s">
        <v>8</v>
      </c>
      <c r="B62" s="50"/>
      <c r="C62" s="103" t="s">
        <v>8</v>
      </c>
      <c r="D62" s="120">
        <f t="shared" si="42"/>
        <v>0</v>
      </c>
      <c r="E62" s="74"/>
      <c r="F62" s="108"/>
      <c r="G62" s="108" t="e">
        <f t="shared" si="40"/>
        <v>#DIV/0!</v>
      </c>
      <c r="H62" s="108">
        <v>0</v>
      </c>
      <c r="I62" s="109" t="e">
        <f t="shared" si="41"/>
        <v>#DIV/0!</v>
      </c>
      <c r="J62" s="109"/>
      <c r="K62" s="109"/>
      <c r="L62" s="74">
        <f t="shared" si="43"/>
        <v>0</v>
      </c>
      <c r="M62" s="111" t="e">
        <f t="shared" si="44"/>
        <v>#DIV/0!</v>
      </c>
      <c r="N62" s="111"/>
      <c r="O62" s="111"/>
      <c r="P62" s="111"/>
      <c r="Q62" s="111"/>
      <c r="R62" s="112" t="e">
        <f t="shared" si="45"/>
        <v>#DIV/0!</v>
      </c>
      <c r="T62" s="248"/>
      <c r="U62" s="248"/>
      <c r="V62" s="256"/>
      <c r="W62" s="256"/>
      <c r="X62" s="256"/>
      <c r="Y62" s="272">
        <f t="shared" si="46"/>
        <v>0</v>
      </c>
      <c r="AA62" s="35" t="s">
        <v>127</v>
      </c>
      <c r="AC62" s="1">
        <v>0</v>
      </c>
      <c r="AH62" s="248"/>
      <c r="AI62" s="248"/>
      <c r="AJ62" s="256"/>
      <c r="AK62" s="256"/>
      <c r="AL62" s="256"/>
      <c r="AM62" s="272">
        <f t="shared" si="47"/>
        <v>0</v>
      </c>
      <c r="AO62" s="35" t="s">
        <v>127</v>
      </c>
      <c r="AQ62" s="1">
        <v>0</v>
      </c>
    </row>
    <row r="63" spans="1:43" ht="23.5" customHeight="1" thickBot="1" x14ac:dyDescent="0.3">
      <c r="A63" s="56" t="s">
        <v>9</v>
      </c>
      <c r="B63" s="50"/>
      <c r="C63" s="113" t="s">
        <v>9</v>
      </c>
      <c r="D63" s="120">
        <f t="shared" si="42"/>
        <v>0</v>
      </c>
      <c r="E63" s="74"/>
      <c r="F63" s="108"/>
      <c r="G63" s="108" t="e">
        <f t="shared" si="40"/>
        <v>#DIV/0!</v>
      </c>
      <c r="H63" s="108">
        <v>0</v>
      </c>
      <c r="I63" s="109" t="e">
        <f t="shared" si="41"/>
        <v>#DIV/0!</v>
      </c>
      <c r="J63" s="109">
        <v>0</v>
      </c>
      <c r="K63" s="109"/>
      <c r="L63" s="74">
        <f t="shared" si="43"/>
        <v>0</v>
      </c>
      <c r="M63" s="111" t="e">
        <f t="shared" si="44"/>
        <v>#DIV/0!</v>
      </c>
      <c r="N63" s="111"/>
      <c r="O63" s="111"/>
      <c r="P63" s="111"/>
      <c r="Q63" s="111"/>
      <c r="R63" s="112" t="e">
        <f t="shared" si="45"/>
        <v>#DIV/0!</v>
      </c>
      <c r="T63" s="249"/>
      <c r="U63" s="249"/>
      <c r="V63" s="257"/>
      <c r="W63" s="257"/>
      <c r="X63" s="257"/>
      <c r="Y63" s="273">
        <f t="shared" si="46"/>
        <v>0</v>
      </c>
      <c r="AA63" s="1" t="s">
        <v>130</v>
      </c>
      <c r="AH63" s="249"/>
      <c r="AI63" s="249"/>
      <c r="AJ63" s="257"/>
      <c r="AK63" s="257"/>
      <c r="AL63" s="257"/>
      <c r="AM63" s="273">
        <f t="shared" si="47"/>
        <v>0</v>
      </c>
      <c r="AO63" s="1" t="s">
        <v>130</v>
      </c>
    </row>
    <row r="64" spans="1:43" ht="23.5" customHeight="1" thickTop="1" thickBot="1" x14ac:dyDescent="0.3">
      <c r="A64" s="724" t="s">
        <v>13</v>
      </c>
      <c r="B64" s="725"/>
      <c r="C64" s="726" t="s">
        <v>13</v>
      </c>
      <c r="D64" s="727"/>
      <c r="E64" s="121">
        <f>SUM(E57:E63)</f>
        <v>0</v>
      </c>
      <c r="F64" s="121">
        <f>SUM(F57:F63)</f>
        <v>0</v>
      </c>
      <c r="G64" s="121" t="e">
        <f t="shared" si="40"/>
        <v>#DIV/0!</v>
      </c>
      <c r="H64" s="121">
        <f>SUM(H57:H63)</f>
        <v>0</v>
      </c>
      <c r="I64" s="122" t="e">
        <f t="shared" si="41"/>
        <v>#DIV/0!</v>
      </c>
      <c r="J64" s="122" t="e">
        <f>I64/F64</f>
        <v>#DIV/0!</v>
      </c>
      <c r="K64" s="284">
        <f>SUM(K57:K63)</f>
        <v>0</v>
      </c>
      <c r="L64" s="110" t="e">
        <f t="shared" si="43"/>
        <v>#DIV/0!</v>
      </c>
      <c r="M64" s="123" t="e">
        <f>L64/E64</f>
        <v>#DIV/0!</v>
      </c>
      <c r="N64" s="123"/>
      <c r="O64" s="123"/>
      <c r="P64" s="123"/>
      <c r="Q64" s="123"/>
      <c r="R64" s="124" t="e">
        <f t="shared" si="45"/>
        <v>#DIV/0!</v>
      </c>
      <c r="S64" s="260"/>
      <c r="T64" s="268" t="e">
        <f>SUM(T57:T63)/S64</f>
        <v>#DIV/0!</v>
      </c>
      <c r="U64" s="267" t="e">
        <f>SUM(U57:U63)/S64</f>
        <v>#DIV/0!</v>
      </c>
      <c r="V64" s="267" t="e">
        <f>SUM(V57:V63)/S64</f>
        <v>#DIV/0!</v>
      </c>
      <c r="W64" s="267" t="e">
        <f>SUM(W57:W63)/S64</f>
        <v>#DIV/0!</v>
      </c>
      <c r="X64" s="267" t="e">
        <f>SUM(X57:X63)/S64</f>
        <v>#DIV/0!</v>
      </c>
      <c r="Y64" s="269" t="e">
        <f>SUM(V64:X64)/3</f>
        <v>#DIV/0!</v>
      </c>
      <c r="Z64" s="260"/>
      <c r="AA64" s="260"/>
      <c r="AB64" s="260"/>
      <c r="AC64" s="260"/>
      <c r="AH64" s="268" t="e">
        <f>SUM(AH57:AH63)/AG64</f>
        <v>#DIV/0!</v>
      </c>
      <c r="AI64" s="267" t="e">
        <f>SUM(AI57:AI63)/AG64</f>
        <v>#DIV/0!</v>
      </c>
      <c r="AJ64" s="267" t="e">
        <f>SUM(AJ57:AJ63)/AG64</f>
        <v>#DIV/0!</v>
      </c>
      <c r="AK64" s="267" t="e">
        <f>SUM(AK57:AK63)/AG64</f>
        <v>#DIV/0!</v>
      </c>
      <c r="AL64" s="267" t="e">
        <f>SUM(AL57:AL63)/AG64</f>
        <v>#DIV/0!</v>
      </c>
      <c r="AM64" s="269" t="e">
        <f>SUM(AJ64:AL64)/3</f>
        <v>#DIV/0!</v>
      </c>
      <c r="AN64" s="260"/>
      <c r="AO64" s="260"/>
      <c r="AP64" s="260"/>
      <c r="AQ64" s="260"/>
    </row>
    <row r="65" spans="1:46" ht="33.5" customHeight="1" thickTop="1" x14ac:dyDescent="0.25">
      <c r="A65" s="730" t="s">
        <v>2</v>
      </c>
      <c r="B65" s="731"/>
      <c r="C65" s="732" t="s">
        <v>2</v>
      </c>
      <c r="D65" s="733"/>
      <c r="E65" s="733"/>
      <c r="F65" s="733"/>
      <c r="G65" s="733"/>
      <c r="H65" s="733"/>
      <c r="I65" s="733"/>
      <c r="J65" s="733"/>
      <c r="K65" s="733"/>
      <c r="L65" s="733"/>
      <c r="M65" s="733"/>
      <c r="N65" s="733"/>
      <c r="O65" s="733"/>
      <c r="P65" s="733"/>
      <c r="Q65" s="733"/>
      <c r="R65" s="734"/>
      <c r="T65" s="716" t="str">
        <f>C65</f>
        <v>TOTAL</v>
      </c>
      <c r="U65" s="716"/>
      <c r="V65" s="716"/>
      <c r="W65" s="716"/>
      <c r="X65" s="716"/>
      <c r="Y65" s="716"/>
      <c r="AH65" s="716">
        <f>U65</f>
        <v>0</v>
      </c>
      <c r="AI65" s="716"/>
      <c r="AJ65" s="716"/>
      <c r="AK65" s="716"/>
      <c r="AL65" s="716"/>
      <c r="AM65" s="716"/>
    </row>
    <row r="66" spans="1:46" s="38" customFormat="1" ht="23" customHeight="1" x14ac:dyDescent="0.25">
      <c r="A66" s="79" t="s">
        <v>10</v>
      </c>
      <c r="B66" s="80" t="s">
        <v>19</v>
      </c>
      <c r="C66" s="103" t="s">
        <v>10</v>
      </c>
      <c r="D66" s="104" t="s">
        <v>11</v>
      </c>
      <c r="E66" s="104" t="s">
        <v>1</v>
      </c>
      <c r="F66" s="104" t="s">
        <v>30</v>
      </c>
      <c r="G66" s="104" t="s">
        <v>31</v>
      </c>
      <c r="H66" s="104" t="s">
        <v>28</v>
      </c>
      <c r="I66" s="104" t="s">
        <v>29</v>
      </c>
      <c r="J66" s="104" t="s">
        <v>330</v>
      </c>
      <c r="K66" s="104" t="s">
        <v>210</v>
      </c>
      <c r="L66" s="104" t="s">
        <v>71</v>
      </c>
      <c r="M66" s="105" t="s">
        <v>48</v>
      </c>
      <c r="N66" s="105" t="s">
        <v>331</v>
      </c>
      <c r="O66" s="105" t="s">
        <v>332</v>
      </c>
      <c r="P66" s="105" t="s">
        <v>220</v>
      </c>
      <c r="Q66" s="105" t="s">
        <v>40</v>
      </c>
      <c r="R66" s="106" t="s">
        <v>73</v>
      </c>
      <c r="T66" s="253" t="s">
        <v>116</v>
      </c>
      <c r="U66" s="254" t="s">
        <v>117</v>
      </c>
      <c r="V66" s="49" t="s">
        <v>118</v>
      </c>
      <c r="W66" s="49" t="s">
        <v>119</v>
      </c>
      <c r="X66" s="49" t="s">
        <v>120</v>
      </c>
      <c r="Y66" s="255" t="s">
        <v>128</v>
      </c>
      <c r="AA66" s="750" t="s">
        <v>207</v>
      </c>
      <c r="AB66" s="751"/>
      <c r="AC66" s="751"/>
      <c r="AD66" s="751"/>
      <c r="AE66" s="751"/>
      <c r="AF66" s="752"/>
      <c r="AH66" s="253" t="s">
        <v>116</v>
      </c>
      <c r="AI66" s="254" t="s">
        <v>117</v>
      </c>
      <c r="AJ66" s="49" t="s">
        <v>118</v>
      </c>
      <c r="AK66" s="49" t="s">
        <v>119</v>
      </c>
      <c r="AL66" s="49" t="s">
        <v>120</v>
      </c>
      <c r="AM66" s="255" t="s">
        <v>128</v>
      </c>
      <c r="AO66" s="750" t="s">
        <v>208</v>
      </c>
      <c r="AP66" s="751"/>
      <c r="AQ66" s="751"/>
      <c r="AR66" s="751"/>
      <c r="AS66" s="751"/>
      <c r="AT66" s="752"/>
    </row>
    <row r="67" spans="1:46" ht="23" customHeight="1" x14ac:dyDescent="0.25">
      <c r="A67" s="54" t="s">
        <v>3</v>
      </c>
      <c r="B67" s="43"/>
      <c r="C67" s="107" t="s">
        <v>3</v>
      </c>
      <c r="D67" s="117"/>
      <c r="E67" s="109">
        <f t="shared" ref="E67:F70" si="48">E7+E17+E27+E37+E47+E57</f>
        <v>972</v>
      </c>
      <c r="F67" s="109">
        <f t="shared" si="48"/>
        <v>2423650</v>
      </c>
      <c r="G67" s="108">
        <f t="shared" ref="G67:G74" si="49">F67/E67</f>
        <v>2493.4670781893005</v>
      </c>
      <c r="H67" s="109">
        <f>H7+H17+H27+H37+H47+H57</f>
        <v>1291850</v>
      </c>
      <c r="I67" s="109">
        <f>H67/E67</f>
        <v>1329.0637860082304</v>
      </c>
      <c r="J67" s="109">
        <f t="shared" ref="J67:K70" si="50">J7+J17+J27+J37+J47+J57</f>
        <v>29370</v>
      </c>
      <c r="K67" s="109">
        <f t="shared" si="50"/>
        <v>0</v>
      </c>
      <c r="L67" s="74">
        <f t="shared" ref="L67:M70" si="51">L7+L17+L27+L37+L47+L57</f>
        <v>3744870</v>
      </c>
      <c r="M67" s="109" t="e">
        <f t="shared" si="51"/>
        <v>#DIV/0!</v>
      </c>
      <c r="N67" s="109"/>
      <c r="O67" s="109"/>
      <c r="P67" s="109"/>
      <c r="Q67" s="109">
        <f>Q7+Q17+Q27+Q37+Q47+Q57</f>
        <v>0</v>
      </c>
      <c r="R67" s="134" t="e">
        <f>L67/Q67</f>
        <v>#DIV/0!</v>
      </c>
      <c r="T67" s="250">
        <f>T7+T17+T27+T37+T47+T57</f>
        <v>75.8</v>
      </c>
      <c r="U67" s="250">
        <f>U7+U17+U27+U37+U47+U57</f>
        <v>120.1</v>
      </c>
      <c r="V67" s="275">
        <f>V7+V17+V37+V47+V27+V57</f>
        <v>17</v>
      </c>
      <c r="W67" s="275">
        <f>W7+W17+W37+W47+W27+W57</f>
        <v>18</v>
      </c>
      <c r="X67" s="275">
        <f>X7+X17+X37+X47+X27+X57</f>
        <v>18</v>
      </c>
      <c r="Y67" s="276">
        <f>SUM(V67:X67)/3</f>
        <v>17.666666666666668</v>
      </c>
      <c r="AA67" s="753" t="s">
        <v>188</v>
      </c>
      <c r="AB67" s="753"/>
      <c r="AC67" s="423" t="s">
        <v>189</v>
      </c>
      <c r="AD67" s="423" t="s">
        <v>190</v>
      </c>
      <c r="AE67" s="423" t="s">
        <v>191</v>
      </c>
      <c r="AF67" s="423" t="s">
        <v>192</v>
      </c>
      <c r="AH67" s="250">
        <f t="shared" ref="AH67:AI73" si="52">AH7+AH17+AH27+AH37+AH47+AH57</f>
        <v>24.9</v>
      </c>
      <c r="AI67" s="250">
        <f t="shared" si="52"/>
        <v>27</v>
      </c>
      <c r="AJ67" s="275">
        <f t="shared" ref="AJ67:AL73" si="53">AJ7+AJ17+AJ37+AJ47+AJ27+AJ57</f>
        <v>3</v>
      </c>
      <c r="AK67" s="275">
        <f t="shared" si="53"/>
        <v>1</v>
      </c>
      <c r="AL67" s="275">
        <f t="shared" si="53"/>
        <v>1</v>
      </c>
      <c r="AM67" s="276">
        <f>SUM(AJ67:AL67)/3</f>
        <v>1.6666666666666667</v>
      </c>
      <c r="AO67" s="753" t="s">
        <v>188</v>
      </c>
      <c r="AP67" s="753"/>
      <c r="AQ67" s="423" t="s">
        <v>189</v>
      </c>
      <c r="AR67" s="423" t="s">
        <v>190</v>
      </c>
      <c r="AS67" s="423" t="s">
        <v>191</v>
      </c>
      <c r="AT67" s="423" t="s">
        <v>192</v>
      </c>
    </row>
    <row r="68" spans="1:46" ht="23" customHeight="1" x14ac:dyDescent="0.25">
      <c r="A68" s="55" t="s">
        <v>4</v>
      </c>
      <c r="B68" s="43"/>
      <c r="C68" s="103" t="s">
        <v>4</v>
      </c>
      <c r="D68" s="117"/>
      <c r="E68" s="109">
        <f t="shared" si="48"/>
        <v>336</v>
      </c>
      <c r="F68" s="109">
        <f t="shared" si="48"/>
        <v>750600</v>
      </c>
      <c r="G68" s="108">
        <f t="shared" si="49"/>
        <v>2233.9285714285716</v>
      </c>
      <c r="H68" s="109">
        <f>H8+H18+H28+H38+H48+H58</f>
        <v>420650</v>
      </c>
      <c r="I68" s="109">
        <f t="shared" ref="I68:I73" si="54">H68/E68</f>
        <v>1251.9345238095239</v>
      </c>
      <c r="J68" s="109">
        <f t="shared" si="50"/>
        <v>5500</v>
      </c>
      <c r="K68" s="109">
        <f t="shared" si="50"/>
        <v>2970</v>
      </c>
      <c r="L68" s="74">
        <f t="shared" si="51"/>
        <v>1179720</v>
      </c>
      <c r="M68" s="109" t="e">
        <f t="shared" si="51"/>
        <v>#DIV/0!</v>
      </c>
      <c r="N68" s="109"/>
      <c r="O68" s="109"/>
      <c r="P68" s="109"/>
      <c r="Q68" s="109">
        <f>Q8+Q18+Q28+Q38+Q48+Q58</f>
        <v>0</v>
      </c>
      <c r="R68" s="134" t="e">
        <f t="shared" ref="R68:R73" si="55">L68/Q68</f>
        <v>#DIV/0!</v>
      </c>
      <c r="T68" s="250">
        <f t="shared" ref="T68:U72" si="56">T8+T18+T28+T38+T48+T58</f>
        <v>55.099999999999994</v>
      </c>
      <c r="U68" s="250">
        <f t="shared" si="56"/>
        <v>92.7</v>
      </c>
      <c r="V68" s="275">
        <f t="shared" ref="V68:X73" si="57">V8+V18+V38+V48+V28+V58</f>
        <v>15</v>
      </c>
      <c r="W68" s="275">
        <f t="shared" si="57"/>
        <v>13</v>
      </c>
      <c r="X68" s="275">
        <f t="shared" si="57"/>
        <v>11</v>
      </c>
      <c r="Y68" s="276">
        <f t="shared" ref="Y68:Y73" si="58">SUM(V68:X68)/3</f>
        <v>13</v>
      </c>
      <c r="AA68" s="754" t="s">
        <v>124</v>
      </c>
      <c r="AB68" s="754"/>
      <c r="AC68" s="424">
        <v>5</v>
      </c>
      <c r="AD68" s="425">
        <v>16</v>
      </c>
      <c r="AE68" s="425">
        <f t="shared" ref="AE68:AE73" si="59">AC68*AD68</f>
        <v>80</v>
      </c>
      <c r="AF68" s="755">
        <f>(AD68+AD69+AD70)/AD74</f>
        <v>0.7466666666666667</v>
      </c>
      <c r="AH68" s="250">
        <f t="shared" si="52"/>
        <v>20.7</v>
      </c>
      <c r="AI68" s="250">
        <f t="shared" si="52"/>
        <v>29.1</v>
      </c>
      <c r="AJ68" s="275">
        <f t="shared" si="53"/>
        <v>5</v>
      </c>
      <c r="AK68" s="275">
        <f t="shared" si="53"/>
        <v>1</v>
      </c>
      <c r="AL68" s="275">
        <f t="shared" si="53"/>
        <v>5</v>
      </c>
      <c r="AM68" s="276">
        <f t="shared" ref="AM68:AM73" si="60">SUM(AJ68:AL68)/3</f>
        <v>3.6666666666666665</v>
      </c>
      <c r="AO68" s="754" t="s">
        <v>124</v>
      </c>
      <c r="AP68" s="754"/>
      <c r="AQ68" s="424">
        <v>5</v>
      </c>
      <c r="AR68" s="425">
        <v>5</v>
      </c>
      <c r="AS68" s="425">
        <f t="shared" ref="AS68:AS73" si="61">AQ68*AR68</f>
        <v>25</v>
      </c>
      <c r="AT68" s="755">
        <f>(AR68+AR69+AR70)/AR74</f>
        <v>0.66666666666666663</v>
      </c>
    </row>
    <row r="69" spans="1:46" ht="23" customHeight="1" x14ac:dyDescent="0.25">
      <c r="A69" s="55" t="s">
        <v>5</v>
      </c>
      <c r="B69" s="43"/>
      <c r="C69" s="103" t="s">
        <v>5</v>
      </c>
      <c r="D69" s="117"/>
      <c r="E69" s="109">
        <f t="shared" si="48"/>
        <v>264</v>
      </c>
      <c r="F69" s="109">
        <f t="shared" si="48"/>
        <v>719900</v>
      </c>
      <c r="G69" s="108">
        <f t="shared" si="49"/>
        <v>2726.8939393939395</v>
      </c>
      <c r="H69" s="109">
        <f>H9+H19+H29+H39+H49+H59</f>
        <v>407450</v>
      </c>
      <c r="I69" s="109">
        <f t="shared" si="54"/>
        <v>1543.371212121212</v>
      </c>
      <c r="J69" s="109">
        <f t="shared" si="50"/>
        <v>2310</v>
      </c>
      <c r="K69" s="109">
        <f t="shared" si="50"/>
        <v>0</v>
      </c>
      <c r="L69" s="74">
        <f t="shared" si="51"/>
        <v>1129660</v>
      </c>
      <c r="M69" s="109" t="e">
        <f t="shared" si="51"/>
        <v>#DIV/0!</v>
      </c>
      <c r="N69" s="109"/>
      <c r="O69" s="109"/>
      <c r="P69" s="109"/>
      <c r="Q69" s="109">
        <f>Q9+Q19+Q29+Q39+Q49+Q59</f>
        <v>0</v>
      </c>
      <c r="R69" s="134" t="e">
        <f t="shared" si="55"/>
        <v>#DIV/0!</v>
      </c>
      <c r="T69" s="250">
        <f t="shared" si="56"/>
        <v>46.5</v>
      </c>
      <c r="U69" s="250">
        <f t="shared" si="56"/>
        <v>74.7</v>
      </c>
      <c r="V69" s="275">
        <f t="shared" si="57"/>
        <v>13</v>
      </c>
      <c r="W69" s="275">
        <f t="shared" si="57"/>
        <v>11</v>
      </c>
      <c r="X69" s="275">
        <f t="shared" si="57"/>
        <v>13</v>
      </c>
      <c r="Y69" s="276">
        <f t="shared" si="58"/>
        <v>12.333333333333334</v>
      </c>
      <c r="AA69" s="754" t="s">
        <v>125</v>
      </c>
      <c r="AB69" s="754"/>
      <c r="AC69" s="426">
        <v>4</v>
      </c>
      <c r="AD69" s="427">
        <v>32</v>
      </c>
      <c r="AE69" s="425">
        <f t="shared" si="59"/>
        <v>128</v>
      </c>
      <c r="AF69" s="755"/>
      <c r="AH69" s="250">
        <f t="shared" si="52"/>
        <v>18.600000000000001</v>
      </c>
      <c r="AI69" s="250">
        <f t="shared" si="52"/>
        <v>29.8</v>
      </c>
      <c r="AJ69" s="275">
        <f t="shared" si="53"/>
        <v>5</v>
      </c>
      <c r="AK69" s="275">
        <f t="shared" si="53"/>
        <v>5</v>
      </c>
      <c r="AL69" s="275">
        <f t="shared" si="53"/>
        <v>5</v>
      </c>
      <c r="AM69" s="276">
        <f t="shared" si="60"/>
        <v>5</v>
      </c>
      <c r="AO69" s="754" t="s">
        <v>125</v>
      </c>
      <c r="AP69" s="754"/>
      <c r="AQ69" s="426">
        <v>4</v>
      </c>
      <c r="AR69" s="427"/>
      <c r="AS69" s="425">
        <f t="shared" si="61"/>
        <v>0</v>
      </c>
      <c r="AT69" s="755"/>
    </row>
    <row r="70" spans="1:46" ht="23" customHeight="1" x14ac:dyDescent="0.25">
      <c r="A70" s="55" t="s">
        <v>6</v>
      </c>
      <c r="B70" s="43"/>
      <c r="C70" s="103" t="s">
        <v>6</v>
      </c>
      <c r="D70" s="117"/>
      <c r="E70" s="109">
        <f t="shared" si="48"/>
        <v>396</v>
      </c>
      <c r="F70" s="109">
        <f t="shared" si="48"/>
        <v>1083910</v>
      </c>
      <c r="G70" s="108">
        <f t="shared" si="49"/>
        <v>2737.1464646464647</v>
      </c>
      <c r="H70" s="109">
        <f>H10+H20+H30+H40+H50+H60</f>
        <v>601450</v>
      </c>
      <c r="I70" s="109">
        <f t="shared" si="54"/>
        <v>1518.8131313131314</v>
      </c>
      <c r="J70" s="109">
        <f t="shared" si="50"/>
        <v>19250</v>
      </c>
      <c r="K70" s="109">
        <f t="shared" si="50"/>
        <v>2970</v>
      </c>
      <c r="L70" s="74">
        <f t="shared" si="51"/>
        <v>1707580</v>
      </c>
      <c r="M70" s="109" t="e">
        <f t="shared" si="51"/>
        <v>#DIV/0!</v>
      </c>
      <c r="N70" s="109"/>
      <c r="O70" s="109"/>
      <c r="P70" s="109"/>
      <c r="Q70" s="109">
        <f>Q10+Q20+Q30+Q40+Q50+Q60</f>
        <v>0</v>
      </c>
      <c r="R70" s="134" t="e">
        <f t="shared" si="55"/>
        <v>#DIV/0!</v>
      </c>
      <c r="T70" s="250">
        <f t="shared" si="56"/>
        <v>47.300000000000004</v>
      </c>
      <c r="U70" s="250">
        <f t="shared" si="56"/>
        <v>74.599999999999994</v>
      </c>
      <c r="V70" s="275">
        <f t="shared" si="57"/>
        <v>14</v>
      </c>
      <c r="W70" s="275">
        <f t="shared" si="57"/>
        <v>11</v>
      </c>
      <c r="X70" s="275">
        <f t="shared" si="57"/>
        <v>11</v>
      </c>
      <c r="Y70" s="276">
        <f t="shared" si="58"/>
        <v>12</v>
      </c>
      <c r="AA70" s="756" t="s">
        <v>193</v>
      </c>
      <c r="AB70" s="756"/>
      <c r="AC70" s="426">
        <v>3</v>
      </c>
      <c r="AD70" s="427">
        <v>8</v>
      </c>
      <c r="AE70" s="425">
        <f t="shared" si="59"/>
        <v>24</v>
      </c>
      <c r="AF70" s="755"/>
      <c r="AH70" s="250">
        <f t="shared" si="52"/>
        <v>0</v>
      </c>
      <c r="AI70" s="250">
        <f t="shared" si="52"/>
        <v>0</v>
      </c>
      <c r="AJ70" s="275">
        <f t="shared" si="53"/>
        <v>0</v>
      </c>
      <c r="AK70" s="275">
        <f t="shared" si="53"/>
        <v>0</v>
      </c>
      <c r="AL70" s="275">
        <f t="shared" si="53"/>
        <v>0</v>
      </c>
      <c r="AM70" s="276">
        <f t="shared" si="60"/>
        <v>0</v>
      </c>
      <c r="AO70" s="756" t="s">
        <v>193</v>
      </c>
      <c r="AP70" s="756"/>
      <c r="AQ70" s="426">
        <v>3</v>
      </c>
      <c r="AR70" s="427">
        <v>1</v>
      </c>
      <c r="AS70" s="425">
        <f t="shared" si="61"/>
        <v>3</v>
      </c>
      <c r="AT70" s="755"/>
    </row>
    <row r="71" spans="1:46" ht="23" customHeight="1" x14ac:dyDescent="0.25">
      <c r="A71" s="55" t="s">
        <v>7</v>
      </c>
      <c r="B71" s="43"/>
      <c r="C71" s="103" t="s">
        <v>7</v>
      </c>
      <c r="D71" s="117"/>
      <c r="E71" s="109">
        <f>E21+E11+E31+E41+E51+E61</f>
        <v>274</v>
      </c>
      <c r="F71" s="109">
        <f>F21+F11+F31+F41+F51+F61</f>
        <v>638650</v>
      </c>
      <c r="G71" s="108">
        <f t="shared" si="49"/>
        <v>2330.8394160583944</v>
      </c>
      <c r="H71" s="109">
        <f>H21+H11+H31+H41+H51+H61</f>
        <v>395600</v>
      </c>
      <c r="I71" s="109">
        <f t="shared" si="54"/>
        <v>1443.7956204379561</v>
      </c>
      <c r="J71" s="109">
        <f>J21+J11+J31+J41+J51+J61</f>
        <v>10450</v>
      </c>
      <c r="K71" s="109">
        <f>K21+K11+K31+K41+K51+K61</f>
        <v>0</v>
      </c>
      <c r="L71" s="74">
        <f>L21+L11+L31+L41+L51+L61</f>
        <v>1044700</v>
      </c>
      <c r="M71" s="109" t="e">
        <f>M21+M11+M31+M41+M51+M61</f>
        <v>#DIV/0!</v>
      </c>
      <c r="N71" s="109"/>
      <c r="O71" s="109"/>
      <c r="P71" s="109"/>
      <c r="Q71" s="109">
        <f>Q21+Q11+Q31+Q41+Q51+Q61</f>
        <v>0</v>
      </c>
      <c r="R71" s="134" t="e">
        <f t="shared" si="55"/>
        <v>#DIV/0!</v>
      </c>
      <c r="T71" s="250">
        <f t="shared" si="56"/>
        <v>51.7</v>
      </c>
      <c r="U71" s="250">
        <f t="shared" si="56"/>
        <v>75.699999999999989</v>
      </c>
      <c r="V71" s="275">
        <f t="shared" si="57"/>
        <v>11</v>
      </c>
      <c r="W71" s="275">
        <f t="shared" si="57"/>
        <v>11</v>
      </c>
      <c r="X71" s="275">
        <f t="shared" si="57"/>
        <v>11</v>
      </c>
      <c r="Y71" s="276">
        <f t="shared" si="58"/>
        <v>11</v>
      </c>
      <c r="AA71" s="757" t="s">
        <v>121</v>
      </c>
      <c r="AB71" s="757"/>
      <c r="AC71" s="426">
        <v>2</v>
      </c>
      <c r="AD71" s="427">
        <v>15</v>
      </c>
      <c r="AE71" s="425">
        <f t="shared" si="59"/>
        <v>30</v>
      </c>
      <c r="AF71" s="758">
        <f>(AD71+AD72+AD73)/AD74</f>
        <v>0.25333333333333335</v>
      </c>
      <c r="AH71" s="250">
        <f t="shared" si="52"/>
        <v>0</v>
      </c>
      <c r="AI71" s="250">
        <f t="shared" si="52"/>
        <v>0</v>
      </c>
      <c r="AJ71" s="275">
        <f t="shared" si="53"/>
        <v>0</v>
      </c>
      <c r="AK71" s="275">
        <f t="shared" si="53"/>
        <v>0</v>
      </c>
      <c r="AL71" s="275">
        <f t="shared" si="53"/>
        <v>0</v>
      </c>
      <c r="AM71" s="276">
        <f t="shared" si="60"/>
        <v>0</v>
      </c>
      <c r="AO71" s="757" t="s">
        <v>121</v>
      </c>
      <c r="AP71" s="757"/>
      <c r="AQ71" s="426">
        <v>2</v>
      </c>
      <c r="AR71" s="427"/>
      <c r="AS71" s="425">
        <f t="shared" si="61"/>
        <v>0</v>
      </c>
      <c r="AT71" s="758">
        <f>(AR71+AR72+AR73)/AR74</f>
        <v>0.33333333333333331</v>
      </c>
    </row>
    <row r="72" spans="1:46" ht="23" customHeight="1" x14ac:dyDescent="0.25">
      <c r="A72" s="55" t="s">
        <v>8</v>
      </c>
      <c r="B72" s="43"/>
      <c r="C72" s="103" t="s">
        <v>8</v>
      </c>
      <c r="D72" s="117"/>
      <c r="E72" s="109">
        <f>E12+E22+E32+E42+E52+E62</f>
        <v>472</v>
      </c>
      <c r="F72" s="109">
        <f>F12+F22+F32+F42+F52+F62</f>
        <v>1078050</v>
      </c>
      <c r="G72" s="108">
        <f t="shared" si="49"/>
        <v>2284.0042372881358</v>
      </c>
      <c r="H72" s="109">
        <f>H12+H22+H32+H42+H52+H62</f>
        <v>599250</v>
      </c>
      <c r="I72" s="109">
        <f t="shared" si="54"/>
        <v>1269.5974576271187</v>
      </c>
      <c r="J72" s="109">
        <f>J12+J22+J32+J42+J52+J62</f>
        <v>6380</v>
      </c>
      <c r="K72" s="109">
        <f>K12+K22+K32+K42+K52+K62</f>
        <v>0</v>
      </c>
      <c r="L72" s="74">
        <f t="shared" ref="L72:Q73" si="62">L12+L22+L32+L42+L52+L62</f>
        <v>1683680</v>
      </c>
      <c r="M72" s="109" t="e">
        <f t="shared" si="62"/>
        <v>#DIV/0!</v>
      </c>
      <c r="N72" s="109"/>
      <c r="O72" s="109"/>
      <c r="P72" s="109"/>
      <c r="Q72" s="109">
        <f t="shared" si="62"/>
        <v>0</v>
      </c>
      <c r="R72" s="134" t="e">
        <f t="shared" si="55"/>
        <v>#DIV/0!</v>
      </c>
      <c r="T72" s="250">
        <f t="shared" si="56"/>
        <v>53.7</v>
      </c>
      <c r="U72" s="250">
        <f t="shared" si="56"/>
        <v>72.7</v>
      </c>
      <c r="V72" s="275">
        <f t="shared" si="57"/>
        <v>8</v>
      </c>
      <c r="W72" s="275">
        <f t="shared" si="57"/>
        <v>10</v>
      </c>
      <c r="X72" s="275">
        <f t="shared" si="57"/>
        <v>9</v>
      </c>
      <c r="Y72" s="276">
        <f t="shared" si="58"/>
        <v>9</v>
      </c>
      <c r="AA72" s="759" t="s">
        <v>194</v>
      </c>
      <c r="AB72" s="759"/>
      <c r="AC72" s="426">
        <v>1</v>
      </c>
      <c r="AD72" s="427">
        <v>4</v>
      </c>
      <c r="AE72" s="425">
        <f t="shared" si="59"/>
        <v>4</v>
      </c>
      <c r="AF72" s="758"/>
      <c r="AH72" s="250">
        <f t="shared" si="52"/>
        <v>0</v>
      </c>
      <c r="AI72" s="250">
        <f t="shared" si="52"/>
        <v>0</v>
      </c>
      <c r="AJ72" s="275">
        <f t="shared" si="53"/>
        <v>0</v>
      </c>
      <c r="AK72" s="275">
        <f t="shared" si="53"/>
        <v>0</v>
      </c>
      <c r="AL72" s="275">
        <f t="shared" si="53"/>
        <v>0</v>
      </c>
      <c r="AM72" s="276">
        <f t="shared" si="60"/>
        <v>0</v>
      </c>
      <c r="AO72" s="759" t="s">
        <v>194</v>
      </c>
      <c r="AP72" s="759"/>
      <c r="AQ72" s="426">
        <v>1</v>
      </c>
      <c r="AR72" s="427">
        <v>3</v>
      </c>
      <c r="AS72" s="425">
        <f t="shared" si="61"/>
        <v>3</v>
      </c>
      <c r="AT72" s="758"/>
    </row>
    <row r="73" spans="1:46" ht="23" customHeight="1" thickBot="1" x14ac:dyDescent="0.3">
      <c r="A73" s="56" t="s">
        <v>9</v>
      </c>
      <c r="B73" s="43"/>
      <c r="C73" s="113" t="s">
        <v>9</v>
      </c>
      <c r="D73" s="117"/>
      <c r="E73" s="109">
        <f>E13+E23+E33+E43+E53+E63</f>
        <v>744</v>
      </c>
      <c r="F73" s="109">
        <f>F13+F23+F33+F43+F53+F63</f>
        <v>1974300</v>
      </c>
      <c r="G73" s="108">
        <f t="shared" si="49"/>
        <v>2653.6290322580644</v>
      </c>
      <c r="H73" s="109">
        <f>H13+H23+H33+H43+H53+H63</f>
        <v>1057600</v>
      </c>
      <c r="I73" s="109">
        <f t="shared" si="54"/>
        <v>1421.505376344086</v>
      </c>
      <c r="J73" s="109">
        <f>J13+J23+J33+J43+J53+J63</f>
        <v>57860</v>
      </c>
      <c r="K73" s="109">
        <f>K13+K23+K33+K43+K53+K63</f>
        <v>5940</v>
      </c>
      <c r="L73" s="74">
        <f t="shared" si="62"/>
        <v>3095700</v>
      </c>
      <c r="M73" s="109" t="e">
        <f t="shared" si="62"/>
        <v>#DIV/0!</v>
      </c>
      <c r="N73" s="109"/>
      <c r="O73" s="109"/>
      <c r="P73" s="109"/>
      <c r="Q73" s="109">
        <f t="shared" si="62"/>
        <v>0</v>
      </c>
      <c r="R73" s="134" t="e">
        <f t="shared" si="55"/>
        <v>#DIV/0!</v>
      </c>
      <c r="S73" s="1">
        <f>S14+S24+S34+S44+S54</f>
        <v>25</v>
      </c>
      <c r="T73" s="251">
        <f>T13+T23+T33+T43+T53+T63</f>
        <v>58.8</v>
      </c>
      <c r="U73" s="251">
        <f>U13+U23+U33+U43+U53+U63</f>
        <v>90.1</v>
      </c>
      <c r="V73" s="275">
        <f t="shared" si="57"/>
        <v>15</v>
      </c>
      <c r="W73" s="275">
        <f t="shared" si="57"/>
        <v>15</v>
      </c>
      <c r="X73" s="275">
        <f t="shared" si="57"/>
        <v>11</v>
      </c>
      <c r="Y73" s="277">
        <f t="shared" si="58"/>
        <v>13.666666666666666</v>
      </c>
      <c r="AA73" s="760" t="s">
        <v>195</v>
      </c>
      <c r="AB73" s="760"/>
      <c r="AC73" s="426">
        <v>0</v>
      </c>
      <c r="AD73" s="427"/>
      <c r="AE73" s="425">
        <f t="shared" si="59"/>
        <v>0</v>
      </c>
      <c r="AF73" s="758"/>
      <c r="AG73" s="1">
        <v>3</v>
      </c>
      <c r="AH73" s="251">
        <f t="shared" si="52"/>
        <v>0</v>
      </c>
      <c r="AI73" s="251">
        <f t="shared" si="52"/>
        <v>0</v>
      </c>
      <c r="AJ73" s="275">
        <f t="shared" si="53"/>
        <v>0</v>
      </c>
      <c r="AK73" s="275">
        <f t="shared" si="53"/>
        <v>0</v>
      </c>
      <c r="AL73" s="275">
        <f t="shared" si="53"/>
        <v>0</v>
      </c>
      <c r="AM73" s="277">
        <f t="shared" si="60"/>
        <v>0</v>
      </c>
      <c r="AO73" s="760" t="s">
        <v>195</v>
      </c>
      <c r="AP73" s="760"/>
      <c r="AQ73" s="426">
        <v>0</v>
      </c>
      <c r="AR73" s="427"/>
      <c r="AS73" s="425">
        <f t="shared" si="61"/>
        <v>0</v>
      </c>
      <c r="AT73" s="758"/>
    </row>
    <row r="74" spans="1:46" s="35" customFormat="1" ht="47" customHeight="1" thickTop="1" thickBot="1" x14ac:dyDescent="0.3">
      <c r="A74" s="57" t="s">
        <v>2</v>
      </c>
      <c r="B74" s="58">
        <f>SUM(B67:B73)</f>
        <v>0</v>
      </c>
      <c r="C74" s="118" t="s">
        <v>2</v>
      </c>
      <c r="D74" s="119">
        <f>SUM(D67:D73)</f>
        <v>0</v>
      </c>
      <c r="E74" s="59">
        <f>SUM(E67:E73)</f>
        <v>3458</v>
      </c>
      <c r="F74" s="59">
        <f>SUM(F67:F73)</f>
        <v>8669060</v>
      </c>
      <c r="G74" s="59">
        <f t="shared" si="49"/>
        <v>2506.9577790630424</v>
      </c>
      <c r="H74" s="59">
        <f>SUM(H67:H73)</f>
        <v>4773850</v>
      </c>
      <c r="I74" s="59">
        <f>H74/E74</f>
        <v>1380.5234239444765</v>
      </c>
      <c r="J74" s="59">
        <f>SUM(J67:J73)</f>
        <v>131120</v>
      </c>
      <c r="K74" s="59">
        <f>SUM(K67:K73)</f>
        <v>11880</v>
      </c>
      <c r="L74" s="59">
        <f>SUM(L67:L73)</f>
        <v>13585910</v>
      </c>
      <c r="M74" s="59">
        <f>L74/E74</f>
        <v>3928.8345864661655</v>
      </c>
      <c r="N74" s="59"/>
      <c r="O74" s="59"/>
      <c r="P74" s="59"/>
      <c r="Q74" s="135">
        <f>SUM(Q67:Q73)</f>
        <v>0</v>
      </c>
      <c r="R74" s="72" t="e">
        <f>L74/Q74</f>
        <v>#DIV/0!</v>
      </c>
      <c r="T74" s="247">
        <f>SUM(T67:T73)/S73</f>
        <v>15.555999999999999</v>
      </c>
      <c r="U74" s="252">
        <f>SUM(U67:U73)/S73</f>
        <v>24.024000000000001</v>
      </c>
      <c r="V74" s="312">
        <f>SUM(V67:V73)/S73</f>
        <v>3.72</v>
      </c>
      <c r="W74" s="312">
        <f>SUM(W67:W73)/S73</f>
        <v>3.56</v>
      </c>
      <c r="X74" s="312">
        <f>SUM(X67:X73)/S73</f>
        <v>3.36</v>
      </c>
      <c r="Y74" s="313">
        <f>SUM(V74:X74)/3</f>
        <v>3.5466666666666669</v>
      </c>
      <c r="AA74" s="727" t="s">
        <v>196</v>
      </c>
      <c r="AB74" s="727"/>
      <c r="AC74" s="727"/>
      <c r="AD74" s="427">
        <f>SUM(AD68:AD73)</f>
        <v>75</v>
      </c>
      <c r="AE74" s="427">
        <f>SUM(AE68:AE73)</f>
        <v>266</v>
      </c>
      <c r="AF74" s="430">
        <f>AF68+AF71</f>
        <v>1</v>
      </c>
      <c r="AH74" s="247">
        <f>SUM(AH67:AH73)/AG73</f>
        <v>21.399999999999995</v>
      </c>
      <c r="AI74" s="252">
        <f>SUM(AI67:AI73)/AG73</f>
        <v>28.633333333333336</v>
      </c>
      <c r="AJ74" s="414">
        <f>SUM(AJ67:AJ73)/AG73</f>
        <v>4.333333333333333</v>
      </c>
      <c r="AK74" s="414">
        <f>SUM(AK67:AK73)/AG73</f>
        <v>2.3333333333333335</v>
      </c>
      <c r="AL74" s="414">
        <f>SUM(AL67:AL73)/AG73</f>
        <v>3.6666666666666665</v>
      </c>
      <c r="AM74" s="415">
        <f>SUM(AJ74:AL74)/3</f>
        <v>3.4444444444444442</v>
      </c>
      <c r="AO74" s="727" t="s">
        <v>196</v>
      </c>
      <c r="AP74" s="727"/>
      <c r="AQ74" s="727"/>
      <c r="AR74" s="427">
        <f>SUM(AR68:AR73)</f>
        <v>9</v>
      </c>
      <c r="AS74" s="427">
        <f>SUM(AS68:AS73)</f>
        <v>31</v>
      </c>
      <c r="AT74" s="430">
        <f>AT68+AT71</f>
        <v>1</v>
      </c>
    </row>
    <row r="75" spans="1:46" s="31" customFormat="1" ht="20.25" hidden="1" customHeight="1" thickTop="1" thickBot="1" x14ac:dyDescent="0.3">
      <c r="A75" s="28" t="s">
        <v>24</v>
      </c>
      <c r="B75" s="38"/>
      <c r="C75" s="28" t="s">
        <v>24</v>
      </c>
      <c r="D75" s="38"/>
      <c r="E75" s="28"/>
      <c r="F75" s="29"/>
      <c r="G75" s="29"/>
      <c r="H75" s="29"/>
      <c r="I75" s="29"/>
      <c r="J75" s="29"/>
      <c r="K75" s="29"/>
      <c r="L75" s="29"/>
      <c r="M75" s="29"/>
      <c r="N75" s="29"/>
      <c r="O75" s="29"/>
      <c r="P75" s="29"/>
      <c r="Q75" s="29"/>
      <c r="R75" s="30"/>
    </row>
    <row r="76" spans="1:46" ht="30.5" hidden="1" customHeight="1" thickTop="1" x14ac:dyDescent="0.25">
      <c r="A76" s="39"/>
      <c r="B76" s="40"/>
      <c r="C76" s="39"/>
      <c r="D76" s="40"/>
      <c r="E76" s="27"/>
      <c r="F76" s="27"/>
      <c r="G76" s="27"/>
      <c r="H76" s="27"/>
      <c r="I76" s="27"/>
      <c r="J76" s="27"/>
      <c r="K76" s="27"/>
      <c r="L76" s="27"/>
      <c r="M76" s="27"/>
      <c r="N76" s="27"/>
      <c r="O76" s="27"/>
      <c r="P76" s="27"/>
      <c r="Q76" s="27"/>
    </row>
    <row r="77" spans="1:46" ht="32.25" hidden="1" customHeight="1" thickTop="1" x14ac:dyDescent="0.25">
      <c r="A77" s="735" t="s">
        <v>0</v>
      </c>
      <c r="B77" s="736"/>
      <c r="C77" s="735" t="s">
        <v>0</v>
      </c>
      <c r="D77" s="736"/>
      <c r="E77" s="99" t="s">
        <v>25</v>
      </c>
      <c r="F77" s="737"/>
      <c r="G77" s="737"/>
      <c r="H77" s="737"/>
      <c r="I77" s="737"/>
      <c r="J77" s="737"/>
      <c r="K77" s="737"/>
      <c r="L77" s="738"/>
      <c r="M77" s="63"/>
      <c r="N77" s="63"/>
      <c r="O77" s="63"/>
      <c r="P77" s="63"/>
      <c r="Q77" s="63"/>
      <c r="R77" s="8"/>
    </row>
    <row r="78" spans="1:46" ht="32.25" hidden="1" customHeight="1" thickTop="1" x14ac:dyDescent="0.25">
      <c r="A78" s="735"/>
      <c r="B78" s="736"/>
      <c r="C78" s="735"/>
      <c r="D78" s="736"/>
      <c r="E78" s="739" t="s">
        <v>0</v>
      </c>
      <c r="F78" s="740"/>
      <c r="G78" s="740"/>
      <c r="H78" s="740"/>
      <c r="I78" s="740"/>
      <c r="J78" s="740"/>
      <c r="K78" s="740"/>
      <c r="L78" s="741"/>
      <c r="M78" s="64"/>
      <c r="N78" s="64"/>
      <c r="O78" s="64"/>
      <c r="P78" s="64"/>
      <c r="Q78" s="64"/>
    </row>
    <row r="79" spans="1:46" ht="32.25" hidden="1" customHeight="1" thickTop="1" x14ac:dyDescent="0.25">
      <c r="A79" s="735"/>
      <c r="B79" s="736"/>
      <c r="C79" s="735"/>
      <c r="D79" s="736"/>
      <c r="E79" s="3" t="s">
        <v>1</v>
      </c>
      <c r="F79" s="6"/>
      <c r="G79" s="6"/>
      <c r="H79" s="6" t="s">
        <v>20</v>
      </c>
      <c r="I79" s="41"/>
      <c r="J79" s="41"/>
      <c r="K79" s="41"/>
      <c r="L79" s="7" t="s">
        <v>21</v>
      </c>
      <c r="M79" s="65"/>
      <c r="N79" s="65"/>
      <c r="O79" s="65"/>
      <c r="P79" s="65"/>
      <c r="Q79" s="65"/>
      <c r="R79" s="32"/>
    </row>
    <row r="80" spans="1:46" ht="32.25" hidden="1" customHeight="1" thickTop="1" x14ac:dyDescent="0.25">
      <c r="A80" s="735"/>
      <c r="B80" s="736"/>
      <c r="C80" s="735"/>
      <c r="D80" s="736"/>
      <c r="E80" s="20"/>
      <c r="F80" s="4"/>
      <c r="G80" s="4"/>
      <c r="H80" s="12" t="e">
        <f>#REF!*E80</f>
        <v>#REF!</v>
      </c>
      <c r="I80" s="14"/>
      <c r="J80" s="14"/>
      <c r="K80" s="14"/>
      <c r="L80" s="13" t="e">
        <f>#REF!*E80</f>
        <v>#REF!</v>
      </c>
      <c r="M80" s="66"/>
      <c r="N80" s="66"/>
      <c r="O80" s="66"/>
      <c r="P80" s="66"/>
      <c r="Q80" s="66"/>
      <c r="R80" s="33"/>
    </row>
    <row r="81" spans="1:45" ht="21" hidden="1" customHeight="1" thickTop="1" x14ac:dyDescent="0.25">
      <c r="A81" s="735"/>
      <c r="B81" s="736"/>
      <c r="C81" s="735"/>
      <c r="D81" s="736"/>
      <c r="F81" s="9"/>
      <c r="G81" s="9"/>
    </row>
    <row r="82" spans="1:45" ht="32.25" hidden="1" customHeight="1" thickTop="1" x14ac:dyDescent="0.25">
      <c r="A82" s="735"/>
      <c r="B82" s="736"/>
      <c r="C82" s="735"/>
      <c r="D82" s="736"/>
      <c r="E82" s="1" t="s">
        <v>22</v>
      </c>
      <c r="F82" s="10"/>
      <c r="G82" s="10"/>
    </row>
    <row r="83" spans="1:45" ht="32.25" hidden="1" customHeight="1" thickTop="1" x14ac:dyDescent="0.25">
      <c r="A83" s="735"/>
      <c r="B83" s="736"/>
      <c r="C83" s="735"/>
      <c r="D83" s="736"/>
      <c r="E83" s="15" t="s">
        <v>1</v>
      </c>
      <c r="F83" s="15"/>
      <c r="G83" s="15"/>
      <c r="H83" s="15" t="s">
        <v>20</v>
      </c>
      <c r="I83" s="15"/>
      <c r="J83" s="15"/>
      <c r="K83" s="15"/>
      <c r="L83" s="15" t="s">
        <v>21</v>
      </c>
      <c r="M83" s="51"/>
      <c r="N83" s="51"/>
      <c r="O83" s="51"/>
      <c r="P83" s="51"/>
      <c r="Q83" s="51"/>
    </row>
    <row r="84" spans="1:45" s="5" customFormat="1" ht="32.25" hidden="1" customHeight="1" thickTop="1" x14ac:dyDescent="0.25">
      <c r="A84" s="735"/>
      <c r="B84" s="736"/>
      <c r="C84" s="735"/>
      <c r="D84" s="736"/>
      <c r="E84" s="21">
        <f>E74-E80</f>
        <v>3458</v>
      </c>
      <c r="F84" s="22"/>
      <c r="G84" s="22"/>
      <c r="H84" s="21" t="e">
        <f>H74-H80</f>
        <v>#REF!</v>
      </c>
      <c r="I84" s="21"/>
      <c r="J84" s="21"/>
      <c r="K84" s="21"/>
      <c r="L84" s="21" t="e">
        <f>L74-L80</f>
        <v>#REF!</v>
      </c>
      <c r="M84" s="67"/>
      <c r="N84" s="67"/>
      <c r="O84" s="67"/>
      <c r="P84" s="67"/>
      <c r="Q84" s="67"/>
      <c r="R84" s="1"/>
    </row>
    <row r="85" spans="1:45" s="5" customFormat="1" ht="32.25" hidden="1" customHeight="1" thickTop="1" x14ac:dyDescent="0.25">
      <c r="A85" s="735"/>
      <c r="B85" s="736"/>
      <c r="C85" s="735"/>
      <c r="D85" s="736"/>
      <c r="E85" s="23" t="e">
        <f>E74/E80</f>
        <v>#DIV/0!</v>
      </c>
      <c r="F85" s="23"/>
      <c r="G85" s="23"/>
      <c r="H85" s="23" t="e">
        <f>H74/H80</f>
        <v>#REF!</v>
      </c>
      <c r="I85" s="23"/>
      <c r="J85" s="23"/>
      <c r="K85" s="23"/>
      <c r="L85" s="23" t="e">
        <f>L74/L80</f>
        <v>#REF!</v>
      </c>
      <c r="M85" s="68"/>
      <c r="N85" s="68"/>
      <c r="O85" s="68"/>
      <c r="P85" s="68"/>
      <c r="Q85" s="68"/>
      <c r="R85" s="1"/>
    </row>
    <row r="86" spans="1:45" s="5" customFormat="1" ht="32.25" hidden="1" customHeight="1" thickTop="1" x14ac:dyDescent="0.25">
      <c r="A86" s="735"/>
      <c r="B86" s="736"/>
      <c r="C86" s="735"/>
      <c r="D86" s="736"/>
      <c r="E86" s="1" t="s">
        <v>26</v>
      </c>
      <c r="F86" s="1"/>
      <c r="G86" s="1"/>
      <c r="H86" s="1"/>
      <c r="I86" s="1"/>
      <c r="J86" s="1"/>
      <c r="K86" s="1"/>
      <c r="L86" s="1"/>
      <c r="M86" s="1"/>
      <c r="N86" s="1"/>
      <c r="O86" s="1"/>
      <c r="P86" s="1"/>
      <c r="Q86" s="1"/>
      <c r="R86" s="1"/>
    </row>
    <row r="87" spans="1:45" s="5" customFormat="1" ht="32.25" hidden="1" customHeight="1" thickTop="1" x14ac:dyDescent="0.25">
      <c r="A87" s="735"/>
      <c r="B87" s="736"/>
      <c r="C87" s="735"/>
      <c r="D87" s="736"/>
      <c r="E87" s="15" t="s">
        <v>1</v>
      </c>
      <c r="F87" s="15"/>
      <c r="G87" s="15"/>
      <c r="H87" s="15" t="s">
        <v>20</v>
      </c>
      <c r="I87" s="15"/>
      <c r="J87" s="15"/>
      <c r="K87" s="15"/>
      <c r="L87" s="15" t="s">
        <v>21</v>
      </c>
      <c r="M87" s="51"/>
      <c r="N87" s="51"/>
      <c r="O87" s="51"/>
      <c r="P87" s="51"/>
      <c r="Q87" s="51"/>
      <c r="R87" s="1"/>
    </row>
    <row r="88" spans="1:45" s="5" customFormat="1" ht="32.25" hidden="1" customHeight="1" thickTop="1" x14ac:dyDescent="0.25">
      <c r="A88" s="735"/>
      <c r="B88" s="736"/>
      <c r="C88" s="735"/>
      <c r="D88" s="736"/>
      <c r="E88" s="16"/>
      <c r="F88" s="18"/>
      <c r="G88" s="18"/>
      <c r="H88" s="17"/>
      <c r="I88" s="17"/>
      <c r="J88" s="17"/>
      <c r="K88" s="17"/>
      <c r="L88" s="17"/>
      <c r="M88" s="69"/>
      <c r="N88" s="69"/>
      <c r="O88" s="69"/>
      <c r="P88" s="69"/>
      <c r="Q88" s="69"/>
      <c r="R88" s="1"/>
    </row>
    <row r="89" spans="1:45" s="5" customFormat="1" ht="32.25" hidden="1" customHeight="1" thickTop="1" x14ac:dyDescent="0.25">
      <c r="A89" s="735"/>
      <c r="B89" s="736"/>
      <c r="C89" s="735"/>
      <c r="D89" s="736"/>
      <c r="E89" s="1" t="s">
        <v>23</v>
      </c>
      <c r="F89" s="1"/>
      <c r="G89" s="1"/>
      <c r="H89" s="1"/>
      <c r="I89" s="1"/>
      <c r="J89" s="1"/>
      <c r="K89" s="1"/>
      <c r="L89" s="1"/>
      <c r="M89" s="1"/>
      <c r="N89" s="1"/>
      <c r="O89" s="1"/>
      <c r="P89" s="1"/>
      <c r="Q89" s="1"/>
      <c r="R89" s="1"/>
    </row>
    <row r="90" spans="1:45" s="5" customFormat="1" ht="32.25" hidden="1" customHeight="1" thickTop="1" x14ac:dyDescent="0.25">
      <c r="A90" s="735"/>
      <c r="B90" s="736"/>
      <c r="C90" s="735"/>
      <c r="D90" s="736"/>
      <c r="E90" s="15" t="s">
        <v>1</v>
      </c>
      <c r="F90" s="15"/>
      <c r="G90" s="15"/>
      <c r="H90" s="15" t="s">
        <v>20</v>
      </c>
      <c r="I90" s="15"/>
      <c r="J90" s="15"/>
      <c r="K90" s="15"/>
      <c r="L90" s="15" t="s">
        <v>21</v>
      </c>
      <c r="M90" s="51"/>
      <c r="N90" s="51"/>
      <c r="O90" s="51"/>
      <c r="P90" s="51"/>
      <c r="Q90" s="51"/>
      <c r="R90" s="1"/>
    </row>
    <row r="91" spans="1:45" s="5" customFormat="1" ht="30" hidden="1" customHeight="1" thickTop="1" x14ac:dyDescent="0.25">
      <c r="A91" s="735"/>
      <c r="B91" s="736"/>
      <c r="C91" s="735"/>
      <c r="D91" s="736"/>
      <c r="E91" s="16">
        <f>E74-E88</f>
        <v>3458</v>
      </c>
      <c r="F91" s="16"/>
      <c r="G91" s="16"/>
      <c r="H91" s="16">
        <f>H74-H88</f>
        <v>4773850</v>
      </c>
      <c r="I91" s="16"/>
      <c r="J91" s="16"/>
      <c r="K91" s="16"/>
      <c r="L91" s="16">
        <f>L74-L88</f>
        <v>13585910</v>
      </c>
      <c r="M91" s="70"/>
      <c r="N91" s="70"/>
      <c r="O91" s="70"/>
      <c r="P91" s="70"/>
      <c r="Q91" s="70"/>
      <c r="R91" s="1"/>
    </row>
    <row r="92" spans="1:45" s="5" customFormat="1" ht="32" hidden="1" customHeight="1" thickTop="1" x14ac:dyDescent="0.25">
      <c r="A92" s="735"/>
      <c r="B92" s="736"/>
      <c r="C92" s="735"/>
      <c r="D92" s="736"/>
      <c r="E92" s="48" t="e">
        <f>E74/E88</f>
        <v>#DIV/0!</v>
      </c>
      <c r="F92" s="19"/>
      <c r="G92" s="19"/>
      <c r="H92" s="19" t="e">
        <f>H74/H88</f>
        <v>#DIV/0!</v>
      </c>
      <c r="I92" s="19"/>
      <c r="J92" s="19"/>
      <c r="K92" s="19"/>
      <c r="L92" s="19" t="e">
        <f>L74/L88</f>
        <v>#DIV/0!</v>
      </c>
      <c r="M92" s="52"/>
      <c r="N92" s="52"/>
      <c r="O92" s="52"/>
      <c r="P92" s="52"/>
      <c r="Q92" s="52"/>
      <c r="R92" s="11"/>
    </row>
    <row r="93" spans="1:45" s="5" customFormat="1" ht="39" customHeight="1" thickTop="1" x14ac:dyDescent="0.25">
      <c r="A93" s="746" t="s">
        <v>39</v>
      </c>
      <c r="B93" s="746"/>
      <c r="C93" s="60"/>
      <c r="D93" s="60"/>
      <c r="E93" s="60"/>
      <c r="F93" s="469">
        <f>F74/1.1</f>
        <v>7880963.6363636358</v>
      </c>
      <c r="G93" s="60"/>
      <c r="H93" s="470">
        <f>H74/1.1</f>
        <v>4339863.6363636358</v>
      </c>
      <c r="I93" s="1"/>
      <c r="J93" s="131" t="s">
        <v>85</v>
      </c>
      <c r="K93" s="131"/>
      <c r="L93" s="125">
        <f>L74/1.1</f>
        <v>12350827.272727272</v>
      </c>
      <c r="M93" s="130" t="s">
        <v>84</v>
      </c>
      <c r="N93" s="130"/>
      <c r="O93" s="130"/>
      <c r="P93" s="130"/>
      <c r="Q93" s="210" t="e">
        <f>L93/#REF!</f>
        <v>#REF!</v>
      </c>
      <c r="R93" s="748" t="e">
        <f>L93-#REF!</f>
        <v>#REF!</v>
      </c>
      <c r="S93" s="747"/>
      <c r="T93" s="747"/>
      <c r="U93" s="747"/>
      <c r="V93" s="747"/>
      <c r="Z93" s="304"/>
      <c r="AB93" s="394" t="e">
        <f>L93/AP93</f>
        <v>#DIV/0!</v>
      </c>
      <c r="AD93" s="749">
        <f>AE74/AD74</f>
        <v>3.5466666666666669</v>
      </c>
      <c r="AE93" s="749"/>
      <c r="AH93" s="388"/>
      <c r="AI93" s="388"/>
      <c r="AJ93" s="388"/>
      <c r="AN93" s="304"/>
      <c r="AP93" s="394" t="e">
        <f>AC93/BD93</f>
        <v>#DIV/0!</v>
      </c>
      <c r="AR93" s="749">
        <f>AS74/AR74</f>
        <v>3.4444444444444446</v>
      </c>
      <c r="AS93" s="749"/>
    </row>
    <row r="94" spans="1:45" s="5" customFormat="1" ht="21" customHeight="1" thickBot="1" x14ac:dyDescent="0.3">
      <c r="A94" s="746"/>
      <c r="B94" s="746"/>
      <c r="C94" s="1"/>
      <c r="D94" s="1"/>
      <c r="E94" s="1"/>
      <c r="F94" s="36"/>
      <c r="G94" s="36"/>
      <c r="H94" s="1"/>
      <c r="I94" s="1"/>
      <c r="J94" s="1">
        <f>J74/1.1</f>
        <v>119199.99999999999</v>
      </c>
      <c r="K94" s="1"/>
      <c r="L94" s="1"/>
      <c r="M94" s="1" t="s">
        <v>185</v>
      </c>
      <c r="N94" s="1"/>
      <c r="O94" s="1"/>
      <c r="P94" s="1"/>
      <c r="Q94" s="166" t="s">
        <v>184</v>
      </c>
      <c r="R94" s="1"/>
      <c r="Z94" s="304"/>
      <c r="AN94" s="304"/>
    </row>
    <row r="95" spans="1:45" ht="66" customHeight="1" thickTop="1" thickBot="1" x14ac:dyDescent="0.3">
      <c r="A95" s="746"/>
      <c r="B95" s="746"/>
      <c r="F95" s="52"/>
      <c r="G95" s="52"/>
      <c r="H95" s="743" t="s">
        <v>183</v>
      </c>
      <c r="I95" s="744"/>
      <c r="J95" s="744"/>
      <c r="K95" s="744"/>
      <c r="L95" s="744"/>
      <c r="M95" s="410" t="e">
        <f>L93/#REF!</f>
        <v>#REF!</v>
      </c>
      <c r="N95" s="410"/>
      <c r="O95" s="410"/>
      <c r="P95" s="410"/>
      <c r="Q95" s="411" t="e">
        <f>J94/#REF!</f>
        <v>#REF!</v>
      </c>
      <c r="R95" s="61" t="e">
        <f>L93-#REF!</f>
        <v>#REF!</v>
      </c>
      <c r="Z95" s="270"/>
      <c r="AN95" s="270"/>
    </row>
    <row r="96" spans="1:45" ht="17" thickTop="1" x14ac:dyDescent="0.25"/>
    <row r="97" spans="1:10" ht="32" customHeight="1" x14ac:dyDescent="0.25"/>
    <row r="98" spans="1:10" s="24" customFormat="1" ht="34.25" customHeight="1" x14ac:dyDescent="0.25">
      <c r="A98" s="34" t="s">
        <v>53</v>
      </c>
      <c r="B98" s="35"/>
    </row>
    <row r="99" spans="1:10" s="81" customFormat="1" ht="32" customHeight="1" x14ac:dyDescent="0.25">
      <c r="A99" s="745" t="s">
        <v>54</v>
      </c>
      <c r="B99" s="745"/>
    </row>
    <row r="100" spans="1:10" ht="73" customHeight="1" x14ac:dyDescent="0.25">
      <c r="A100" s="729" t="s">
        <v>55</v>
      </c>
      <c r="B100" s="729"/>
      <c r="J100" s="1">
        <v>538</v>
      </c>
    </row>
    <row r="101" spans="1:10" ht="73" customHeight="1" x14ac:dyDescent="0.25">
      <c r="A101" s="729" t="s">
        <v>56</v>
      </c>
      <c r="B101" s="729"/>
      <c r="J101" s="10">
        <f>E74</f>
        <v>3458</v>
      </c>
    </row>
    <row r="102" spans="1:10" ht="73" customHeight="1" x14ac:dyDescent="0.25">
      <c r="A102" s="729" t="s">
        <v>57</v>
      </c>
      <c r="B102" s="729"/>
      <c r="J102" s="10">
        <f>'2024.8月実績'!F74</f>
        <v>13891</v>
      </c>
    </row>
    <row r="103" spans="1:10" ht="73" customHeight="1" x14ac:dyDescent="0.25">
      <c r="A103" s="729" t="s">
        <v>58</v>
      </c>
      <c r="B103" s="729"/>
      <c r="J103" s="10">
        <f>'2024.7月実績'!E74</f>
        <v>11438</v>
      </c>
    </row>
    <row r="104" spans="1:10" ht="73" customHeight="1" x14ac:dyDescent="0.25">
      <c r="A104" s="729" t="s">
        <v>59</v>
      </c>
      <c r="B104" s="729"/>
      <c r="J104" s="1">
        <v>5174</v>
      </c>
    </row>
    <row r="105" spans="1:10" ht="73" customHeight="1" x14ac:dyDescent="0.25">
      <c r="A105" s="729" t="s">
        <v>49</v>
      </c>
      <c r="B105" s="729"/>
      <c r="J105" s="10">
        <f>'2024.5月実績'!I74</f>
        <v>133</v>
      </c>
    </row>
    <row r="106" spans="1:10" ht="73" customHeight="1" x14ac:dyDescent="0.25">
      <c r="A106" s="729" t="s">
        <v>50</v>
      </c>
      <c r="B106" s="729"/>
      <c r="J106" s="1">
        <f>SUM(J100:J105)</f>
        <v>34632</v>
      </c>
    </row>
    <row r="107" spans="1:10" ht="73" customHeight="1" x14ac:dyDescent="0.25">
      <c r="A107" s="729"/>
      <c r="B107" s="729"/>
    </row>
    <row r="108" spans="1:10" ht="73" customHeight="1" x14ac:dyDescent="0.25">
      <c r="A108" s="747"/>
      <c r="B108" s="747"/>
    </row>
    <row r="109" spans="1:10" ht="32" customHeight="1" x14ac:dyDescent="0.25"/>
    <row r="110" spans="1:10" ht="32" customHeight="1" x14ac:dyDescent="0.25"/>
    <row r="111" spans="1:10" ht="32" customHeight="1" x14ac:dyDescent="0.25"/>
    <row r="112" spans="1:10" ht="32" customHeight="1" x14ac:dyDescent="0.25"/>
    <row r="113" ht="32" customHeight="1" x14ac:dyDescent="0.25"/>
  </sheetData>
  <mergeCells count="95">
    <mergeCell ref="AA74:AC74"/>
    <mergeCell ref="AD93:AE93"/>
    <mergeCell ref="AH4:AM4"/>
    <mergeCell ref="AH5:AM5"/>
    <mergeCell ref="AO14:AS14"/>
    <mergeCell ref="AH15:AM15"/>
    <mergeCell ref="AH25:AM25"/>
    <mergeCell ref="AH35:AM35"/>
    <mergeCell ref="AH45:AM45"/>
    <mergeCell ref="AH55:AM55"/>
    <mergeCell ref="AH65:AM65"/>
    <mergeCell ref="AO67:AP67"/>
    <mergeCell ref="AO68:AP68"/>
    <mergeCell ref="AO69:AP69"/>
    <mergeCell ref="AO70:AP70"/>
    <mergeCell ref="AO71:AP71"/>
    <mergeCell ref="AO72:AP72"/>
    <mergeCell ref="AO73:AP73"/>
    <mergeCell ref="AO74:AQ74"/>
    <mergeCell ref="AR93:AS93"/>
    <mergeCell ref="AO66:AT66"/>
    <mergeCell ref="AT68:AT70"/>
    <mergeCell ref="AT71:AT73"/>
    <mergeCell ref="AA66:AF66"/>
    <mergeCell ref="AA67:AB67"/>
    <mergeCell ref="AA68:AB68"/>
    <mergeCell ref="AF68:AF70"/>
    <mergeCell ref="AA69:AB69"/>
    <mergeCell ref="AA70:AB70"/>
    <mergeCell ref="AA71:AB71"/>
    <mergeCell ref="AF71:AF73"/>
    <mergeCell ref="AA72:AB72"/>
    <mergeCell ref="AA73:AB73"/>
    <mergeCell ref="C3:M3"/>
    <mergeCell ref="C4:D4"/>
    <mergeCell ref="I4:J4"/>
    <mergeCell ref="C5:R5"/>
    <mergeCell ref="C14:D14"/>
    <mergeCell ref="C15:R15"/>
    <mergeCell ref="C24:D24"/>
    <mergeCell ref="C25:R25"/>
    <mergeCell ref="C34:D34"/>
    <mergeCell ref="N3:Q3"/>
    <mergeCell ref="N4:Q4"/>
    <mergeCell ref="A2:B2"/>
    <mergeCell ref="A3:B3"/>
    <mergeCell ref="A4:B4"/>
    <mergeCell ref="A15:B15"/>
    <mergeCell ref="A24:B24"/>
    <mergeCell ref="A5:B5"/>
    <mergeCell ref="A14:B14"/>
    <mergeCell ref="A35:B35"/>
    <mergeCell ref="A44:B44"/>
    <mergeCell ref="A25:B25"/>
    <mergeCell ref="A34:B34"/>
    <mergeCell ref="A55:B55"/>
    <mergeCell ref="A64:B64"/>
    <mergeCell ref="A45:B45"/>
    <mergeCell ref="A54:B54"/>
    <mergeCell ref="A93:B95"/>
    <mergeCell ref="A65:B65"/>
    <mergeCell ref="A77:B92"/>
    <mergeCell ref="A99:B99"/>
    <mergeCell ref="A101:B101"/>
    <mergeCell ref="A103:B103"/>
    <mergeCell ref="A102:B102"/>
    <mergeCell ref="A100:B100"/>
    <mergeCell ref="A105:B105"/>
    <mergeCell ref="A104:B104"/>
    <mergeCell ref="A108:B108"/>
    <mergeCell ref="A107:B107"/>
    <mergeCell ref="A106:B106"/>
    <mergeCell ref="H95:L95"/>
    <mergeCell ref="C35:R35"/>
    <mergeCell ref="C44:D44"/>
    <mergeCell ref="C45:R45"/>
    <mergeCell ref="C54:D54"/>
    <mergeCell ref="C55:R55"/>
    <mergeCell ref="C64:D64"/>
    <mergeCell ref="C65:R65"/>
    <mergeCell ref="C77:D92"/>
    <mergeCell ref="F77:L77"/>
    <mergeCell ref="E78:L78"/>
    <mergeCell ref="R93:V93"/>
    <mergeCell ref="AA14:AE14"/>
    <mergeCell ref="T4:Y4"/>
    <mergeCell ref="T5:Y5"/>
    <mergeCell ref="T15:Y15"/>
    <mergeCell ref="T25:Y25"/>
    <mergeCell ref="T35:Y35"/>
    <mergeCell ref="T45:Y45"/>
    <mergeCell ref="T55:Y55"/>
    <mergeCell ref="T65:Y65"/>
    <mergeCell ref="AA24:AE24"/>
    <mergeCell ref="AA34:AE34"/>
  </mergeCells>
  <phoneticPr fontId="1"/>
  <pageMargins left="0.7" right="0.7" top="0.75" bottom="0.75" header="0.3" footer="0.3"/>
  <pageSetup paperSize="8" scale="1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4960-2880-194A-A291-E26CD1074199}">
  <sheetPr>
    <tabColor rgb="FFFFC000"/>
    <pageSetUpPr fitToPage="1"/>
  </sheetPr>
  <dimension ref="A1:BG113"/>
  <sheetViews>
    <sheetView zoomScale="50" zoomScaleNormal="60" workbookViewId="0">
      <selection activeCell="A2" sqref="A2:B2"/>
    </sheetView>
  </sheetViews>
  <sheetFormatPr baseColWidth="10" defaultColWidth="9" defaultRowHeight="16" x14ac:dyDescent="0.25"/>
  <cols>
    <col min="1" max="1" width="8.1640625" style="1" customWidth="1"/>
    <col min="2" max="2" width="6.6640625" style="35" customWidth="1"/>
    <col min="3" max="3" width="0.1640625" style="1" customWidth="1"/>
    <col min="4" max="4" width="15.5" style="1" customWidth="1"/>
    <col min="5" max="5" width="7.1640625" style="1" customWidth="1"/>
    <col min="6" max="6" width="16" style="1" customWidth="1"/>
    <col min="7" max="7" width="19.5" style="1" customWidth="1"/>
    <col min="8" max="8" width="16" style="1" customWidth="1"/>
    <col min="9" max="9" width="23.6640625" style="1" customWidth="1"/>
    <col min="10" max="12" width="16" style="1" customWidth="1"/>
    <col min="13" max="13" width="26.33203125" style="1" customWidth="1"/>
    <col min="14" max="17" width="16" style="1" customWidth="1"/>
    <col min="18" max="18" width="19.5" style="1" customWidth="1"/>
    <col min="19" max="19" width="21.83203125" style="1" customWidth="1"/>
    <col min="20" max="20" width="5.1640625" style="1" customWidth="1"/>
    <col min="21" max="22" width="16.5" style="1" bestFit="1" customWidth="1"/>
    <col min="23" max="26" width="10.33203125" style="1" customWidth="1"/>
    <col min="27" max="27" width="6.33203125" style="1" customWidth="1"/>
    <col min="28" max="28" width="9" style="1"/>
    <col min="29" max="29" width="19.5" style="1" customWidth="1"/>
    <col min="30" max="32" width="9" style="1"/>
    <col min="33" max="33" width="9" style="1" customWidth="1"/>
    <col min="34" max="34" width="9" style="1"/>
    <col min="35" max="36" width="16.5" style="1" bestFit="1" customWidth="1"/>
    <col min="37" max="40" width="10.33203125" style="1" customWidth="1"/>
    <col min="41" max="41" width="6.33203125" style="1" customWidth="1"/>
    <col min="42" max="42" width="9" style="1"/>
    <col min="43" max="43" width="19.5" style="1" customWidth="1"/>
    <col min="44" max="16384" width="9" style="1"/>
  </cols>
  <sheetData>
    <row r="1" spans="1:46" s="24" customFormat="1" ht="64" customHeight="1" x14ac:dyDescent="0.25">
      <c r="A1" s="82" t="s">
        <v>333</v>
      </c>
      <c r="B1" s="35"/>
      <c r="R1" s="166"/>
      <c r="AA1" s="25"/>
      <c r="AO1" s="25"/>
    </row>
    <row r="2" spans="1:46" s="24" customFormat="1" ht="34.25" customHeight="1" thickBot="1" x14ac:dyDescent="0.3">
      <c r="A2" s="699" t="s">
        <v>61</v>
      </c>
      <c r="B2" s="700"/>
      <c r="M2" s="129">
        <f>M14+M24+M34+M44+M54+M64</f>
        <v>61462476</v>
      </c>
      <c r="S2" s="24">
        <v>31</v>
      </c>
    </row>
    <row r="3" spans="1:46" ht="53" customHeight="1" thickTop="1" x14ac:dyDescent="0.25">
      <c r="A3" s="701" t="s">
        <v>172</v>
      </c>
      <c r="B3" s="702"/>
      <c r="D3" s="703" t="s">
        <v>80</v>
      </c>
      <c r="E3" s="704"/>
      <c r="F3" s="704"/>
      <c r="G3" s="704"/>
      <c r="H3" s="704"/>
      <c r="I3" s="704"/>
      <c r="J3" s="704"/>
      <c r="K3" s="704"/>
      <c r="L3" s="704"/>
      <c r="M3" s="704"/>
      <c r="N3" s="704"/>
      <c r="O3" s="804" t="s">
        <v>51</v>
      </c>
      <c r="P3" s="805"/>
      <c r="Q3" s="805"/>
      <c r="R3" s="806"/>
      <c r="S3" s="75" t="s">
        <v>27</v>
      </c>
    </row>
    <row r="4" spans="1:46" s="36" customFormat="1" ht="53" customHeight="1" x14ac:dyDescent="0.25">
      <c r="A4" s="705" t="s">
        <v>41</v>
      </c>
      <c r="B4" s="706"/>
      <c r="D4" s="717" t="s">
        <v>70</v>
      </c>
      <c r="E4" s="718"/>
      <c r="F4" s="76" t="s">
        <v>42</v>
      </c>
      <c r="G4" s="77"/>
      <c r="H4" s="78" t="s">
        <v>43</v>
      </c>
      <c r="I4" s="100"/>
      <c r="J4" s="719" t="s">
        <v>75</v>
      </c>
      <c r="K4" s="720"/>
      <c r="L4" s="449"/>
      <c r="M4" s="126"/>
      <c r="N4" s="128" t="s">
        <v>52</v>
      </c>
      <c r="O4" s="807"/>
      <c r="P4" s="808"/>
      <c r="Q4" s="808"/>
      <c r="R4" s="809"/>
      <c r="S4" s="127">
        <f>M4/S2</f>
        <v>0</v>
      </c>
      <c r="U4" s="721" t="s">
        <v>162</v>
      </c>
      <c r="V4" s="722"/>
      <c r="W4" s="722"/>
      <c r="X4" s="722"/>
      <c r="Y4" s="722"/>
      <c r="Z4" s="723"/>
      <c r="AI4" s="721" t="s">
        <v>162</v>
      </c>
      <c r="AJ4" s="722"/>
      <c r="AK4" s="722"/>
      <c r="AL4" s="722"/>
      <c r="AM4" s="722"/>
      <c r="AN4" s="723"/>
    </row>
    <row r="5" spans="1:46" ht="23.5" customHeight="1" x14ac:dyDescent="0.25">
      <c r="A5" s="710" t="s">
        <v>12</v>
      </c>
      <c r="B5" s="711"/>
      <c r="D5" s="710" t="s">
        <v>12</v>
      </c>
      <c r="E5" s="711"/>
      <c r="F5" s="711"/>
      <c r="G5" s="711"/>
      <c r="H5" s="711"/>
      <c r="I5" s="711"/>
      <c r="J5" s="711"/>
      <c r="K5" s="711"/>
      <c r="L5" s="711"/>
      <c r="M5" s="711"/>
      <c r="N5" s="711"/>
      <c r="O5" s="711"/>
      <c r="P5" s="711"/>
      <c r="Q5" s="711"/>
      <c r="R5" s="711"/>
      <c r="S5" s="712"/>
      <c r="U5" s="716" t="str">
        <f>D5</f>
        <v>1st week</v>
      </c>
      <c r="V5" s="716"/>
      <c r="W5" s="716"/>
      <c r="X5" s="716"/>
      <c r="Y5" s="716"/>
      <c r="Z5" s="716"/>
      <c r="AD5" s="36"/>
      <c r="AI5" s="716" t="str">
        <f>U5</f>
        <v>1st week</v>
      </c>
      <c r="AJ5" s="716"/>
      <c r="AK5" s="716"/>
      <c r="AL5" s="716"/>
      <c r="AM5" s="716"/>
      <c r="AN5" s="716"/>
      <c r="AR5" s="36"/>
    </row>
    <row r="6" spans="1:46" s="2" customFormat="1" ht="23.5" customHeight="1" x14ac:dyDescent="0.25">
      <c r="A6" s="53" t="s">
        <v>10</v>
      </c>
      <c r="B6" s="37" t="s">
        <v>11</v>
      </c>
      <c r="C6" s="2" t="s">
        <v>35</v>
      </c>
      <c r="D6" s="103" t="s">
        <v>10</v>
      </c>
      <c r="E6" s="104" t="s">
        <v>11</v>
      </c>
      <c r="F6" s="104" t="s">
        <v>1</v>
      </c>
      <c r="G6" s="104" t="s">
        <v>30</v>
      </c>
      <c r="H6" s="104" t="s">
        <v>31</v>
      </c>
      <c r="I6" s="104" t="s">
        <v>28</v>
      </c>
      <c r="J6" s="104" t="s">
        <v>29</v>
      </c>
      <c r="K6" s="104" t="s">
        <v>72</v>
      </c>
      <c r="L6" s="104" t="s">
        <v>210</v>
      </c>
      <c r="M6" s="104" t="s">
        <v>71</v>
      </c>
      <c r="N6" s="105" t="s">
        <v>48</v>
      </c>
      <c r="O6" s="105"/>
      <c r="P6" s="105"/>
      <c r="Q6" s="105"/>
      <c r="R6" s="105" t="s">
        <v>74</v>
      </c>
      <c r="S6" s="106" t="s">
        <v>73</v>
      </c>
      <c r="U6" s="253" t="s">
        <v>116</v>
      </c>
      <c r="V6" s="254" t="s">
        <v>117</v>
      </c>
      <c r="W6" s="49" t="s">
        <v>118</v>
      </c>
      <c r="X6" s="49" t="s">
        <v>119</v>
      </c>
      <c r="Y6" s="49" t="s">
        <v>120</v>
      </c>
      <c r="Z6" s="255" t="s">
        <v>128</v>
      </c>
      <c r="AB6" s="1" t="s">
        <v>123</v>
      </c>
      <c r="AC6" s="1"/>
      <c r="AD6" s="36" t="s">
        <v>126</v>
      </c>
      <c r="AI6" s="253" t="s">
        <v>116</v>
      </c>
      <c r="AJ6" s="254" t="s">
        <v>117</v>
      </c>
      <c r="AK6" s="49" t="s">
        <v>118</v>
      </c>
      <c r="AL6" s="49" t="s">
        <v>119</v>
      </c>
      <c r="AM6" s="49" t="s">
        <v>120</v>
      </c>
      <c r="AN6" s="255" t="s">
        <v>128</v>
      </c>
      <c r="AP6" s="1" t="s">
        <v>123</v>
      </c>
      <c r="AQ6" s="1"/>
      <c r="AR6" s="36" t="s">
        <v>126</v>
      </c>
    </row>
    <row r="7" spans="1:46" ht="23.5" customHeight="1" x14ac:dyDescent="0.25">
      <c r="A7" s="54" t="s">
        <v>3</v>
      </c>
      <c r="B7" s="50"/>
      <c r="C7" s="42"/>
      <c r="D7" s="107" t="s">
        <v>3</v>
      </c>
      <c r="E7" s="120">
        <f>B7</f>
        <v>0</v>
      </c>
      <c r="F7" s="74"/>
      <c r="G7" s="108"/>
      <c r="H7" s="108" t="e">
        <f t="shared" ref="H7:H14" si="0">G7/F7</f>
        <v>#DIV/0!</v>
      </c>
      <c r="I7" s="108"/>
      <c r="J7" s="109" t="e">
        <f t="shared" ref="J7:J14" si="1">I7/F7</f>
        <v>#DIV/0!</v>
      </c>
      <c r="K7" s="108"/>
      <c r="L7" s="109"/>
      <c r="M7" s="110">
        <f>G7+I7+K7+L7</f>
        <v>0</v>
      </c>
      <c r="N7" s="111" t="e">
        <f t="shared" ref="N7:N14" si="2">M7/F7</f>
        <v>#DIV/0!</v>
      </c>
      <c r="O7" s="111"/>
      <c r="P7" s="111"/>
      <c r="Q7" s="111"/>
      <c r="R7" s="111"/>
      <c r="S7" s="112" t="e">
        <f>M7/R7</f>
        <v>#DIV/0!</v>
      </c>
      <c r="U7" s="243"/>
      <c r="V7" s="243"/>
      <c r="W7" s="49"/>
      <c r="X7" s="49"/>
      <c r="Y7" s="49"/>
      <c r="Z7" s="272">
        <f t="shared" ref="Z7:Z14" si="3">SUM(W7:Y7)/3</f>
        <v>0</v>
      </c>
      <c r="AB7" s="271" t="s">
        <v>124</v>
      </c>
      <c r="AC7" s="2"/>
      <c r="AD7" s="270">
        <v>5</v>
      </c>
      <c r="AI7" s="243"/>
      <c r="AJ7" s="243"/>
      <c r="AK7" s="49"/>
      <c r="AL7" s="49"/>
      <c r="AM7" s="49"/>
      <c r="AN7" s="272">
        <f t="shared" ref="AN7:AN14" si="4">SUM(AK7:AM7)/3</f>
        <v>0</v>
      </c>
      <c r="AP7" s="271" t="s">
        <v>124</v>
      </c>
      <c r="AQ7" s="2"/>
      <c r="AR7" s="270">
        <v>5</v>
      </c>
    </row>
    <row r="8" spans="1:46" ht="23.5" customHeight="1" x14ac:dyDescent="0.25">
      <c r="A8" s="55" t="s">
        <v>4</v>
      </c>
      <c r="B8" s="50"/>
      <c r="C8" s="42"/>
      <c r="D8" s="103" t="s">
        <v>4</v>
      </c>
      <c r="E8" s="120">
        <f t="shared" ref="E8:E13" si="5">B8</f>
        <v>0</v>
      </c>
      <c r="F8" s="74"/>
      <c r="G8" s="108"/>
      <c r="H8" s="108" t="e">
        <f t="shared" si="0"/>
        <v>#DIV/0!</v>
      </c>
      <c r="I8" s="108"/>
      <c r="J8" s="109" t="e">
        <f t="shared" si="1"/>
        <v>#DIV/0!</v>
      </c>
      <c r="K8" s="108"/>
      <c r="L8" s="109"/>
      <c r="M8" s="110">
        <f t="shared" ref="M8:M14" si="6">G8+I8+K8+L8</f>
        <v>0</v>
      </c>
      <c r="N8" s="111" t="e">
        <f t="shared" si="2"/>
        <v>#DIV/0!</v>
      </c>
      <c r="O8" s="111"/>
      <c r="P8" s="111"/>
      <c r="Q8" s="111"/>
      <c r="R8" s="111"/>
      <c r="S8" s="112" t="e">
        <f t="shared" ref="S8:S14" si="7">M8/R8</f>
        <v>#DIV/0!</v>
      </c>
      <c r="U8" s="243"/>
      <c r="V8" s="243"/>
      <c r="W8" s="49"/>
      <c r="X8" s="49"/>
      <c r="Y8" s="49"/>
      <c r="Z8" s="272">
        <f t="shared" si="3"/>
        <v>0</v>
      </c>
      <c r="AB8" s="35" t="s">
        <v>125</v>
      </c>
      <c r="AD8" s="1">
        <v>4</v>
      </c>
      <c r="AI8" s="243"/>
      <c r="AJ8" s="243"/>
      <c r="AK8" s="49"/>
      <c r="AL8" s="49"/>
      <c r="AM8" s="49"/>
      <c r="AN8" s="272">
        <f t="shared" si="4"/>
        <v>0</v>
      </c>
      <c r="AP8" s="35" t="s">
        <v>125</v>
      </c>
      <c r="AR8" s="1">
        <v>4</v>
      </c>
    </row>
    <row r="9" spans="1:46" ht="23.5" customHeight="1" x14ac:dyDescent="0.25">
      <c r="A9" s="55" t="s">
        <v>5</v>
      </c>
      <c r="B9" s="50"/>
      <c r="C9" s="42"/>
      <c r="D9" s="103" t="s">
        <v>5</v>
      </c>
      <c r="E9" s="120">
        <f t="shared" si="5"/>
        <v>0</v>
      </c>
      <c r="F9" s="74"/>
      <c r="G9" s="108"/>
      <c r="H9" s="108" t="e">
        <f t="shared" si="0"/>
        <v>#DIV/0!</v>
      </c>
      <c r="I9" s="108"/>
      <c r="J9" s="109" t="e">
        <f t="shared" si="1"/>
        <v>#DIV/0!</v>
      </c>
      <c r="K9" s="108"/>
      <c r="L9" s="109"/>
      <c r="M9" s="110">
        <f t="shared" si="6"/>
        <v>0</v>
      </c>
      <c r="N9" s="111" t="e">
        <f t="shared" si="2"/>
        <v>#DIV/0!</v>
      </c>
      <c r="O9" s="111"/>
      <c r="P9" s="111"/>
      <c r="Q9" s="111"/>
      <c r="R9" s="111"/>
      <c r="S9" s="112" t="e">
        <f t="shared" si="7"/>
        <v>#DIV/0!</v>
      </c>
      <c r="U9" s="248"/>
      <c r="V9" s="248"/>
      <c r="W9" s="256"/>
      <c r="X9" s="256"/>
      <c r="Y9" s="256"/>
      <c r="Z9" s="272">
        <f t="shared" si="3"/>
        <v>0</v>
      </c>
      <c r="AB9" s="35" t="s">
        <v>129</v>
      </c>
      <c r="AD9" s="1">
        <v>3</v>
      </c>
      <c r="AI9" s="248">
        <v>21.5</v>
      </c>
      <c r="AJ9" s="248">
        <v>31.1</v>
      </c>
      <c r="AK9" s="432">
        <v>5</v>
      </c>
      <c r="AL9" s="256">
        <v>3</v>
      </c>
      <c r="AM9" s="432">
        <v>5</v>
      </c>
      <c r="AN9" s="272">
        <f t="shared" si="4"/>
        <v>4.333333333333333</v>
      </c>
      <c r="AP9" s="35" t="s">
        <v>129</v>
      </c>
      <c r="AR9" s="1">
        <v>3</v>
      </c>
    </row>
    <row r="10" spans="1:46" ht="23.5" customHeight="1" x14ac:dyDescent="0.25">
      <c r="A10" s="55" t="s">
        <v>6</v>
      </c>
      <c r="B10" s="50"/>
      <c r="C10" s="42"/>
      <c r="D10" s="103" t="s">
        <v>6</v>
      </c>
      <c r="E10" s="120">
        <f t="shared" si="5"/>
        <v>0</v>
      </c>
      <c r="F10" s="74"/>
      <c r="G10" s="108"/>
      <c r="H10" s="108" t="e">
        <f t="shared" si="0"/>
        <v>#DIV/0!</v>
      </c>
      <c r="I10" s="108"/>
      <c r="J10" s="109" t="e">
        <f t="shared" si="1"/>
        <v>#DIV/0!</v>
      </c>
      <c r="K10" s="108"/>
      <c r="L10" s="109"/>
      <c r="M10" s="110">
        <f t="shared" si="6"/>
        <v>0</v>
      </c>
      <c r="N10" s="111" t="e">
        <f t="shared" si="2"/>
        <v>#DIV/0!</v>
      </c>
      <c r="O10" s="111"/>
      <c r="P10" s="111"/>
      <c r="Q10" s="111"/>
      <c r="R10" s="111"/>
      <c r="S10" s="112" t="e">
        <f t="shared" si="7"/>
        <v>#DIV/0!</v>
      </c>
      <c r="U10" s="248"/>
      <c r="V10" s="248"/>
      <c r="W10" s="256"/>
      <c r="X10" s="256"/>
      <c r="Y10" s="256"/>
      <c r="Z10" s="272">
        <f t="shared" si="3"/>
        <v>0</v>
      </c>
      <c r="AB10" s="35" t="s">
        <v>121</v>
      </c>
      <c r="AD10" s="1">
        <v>2</v>
      </c>
      <c r="AI10" s="248">
        <v>24.2</v>
      </c>
      <c r="AJ10" s="248">
        <v>34</v>
      </c>
      <c r="AK10" s="256">
        <v>3</v>
      </c>
      <c r="AL10" s="256">
        <v>3</v>
      </c>
      <c r="AM10" s="256">
        <v>3</v>
      </c>
      <c r="AN10" s="272">
        <f t="shared" si="4"/>
        <v>3</v>
      </c>
      <c r="AP10" s="35" t="s">
        <v>121</v>
      </c>
      <c r="AR10" s="1">
        <v>2</v>
      </c>
    </row>
    <row r="11" spans="1:46" ht="23.5" customHeight="1" x14ac:dyDescent="0.25">
      <c r="A11" s="55" t="s">
        <v>7</v>
      </c>
      <c r="B11" s="50">
        <v>1</v>
      </c>
      <c r="C11" s="42"/>
      <c r="D11" s="103" t="s">
        <v>7</v>
      </c>
      <c r="E11" s="120">
        <f t="shared" si="5"/>
        <v>1</v>
      </c>
      <c r="F11" s="74">
        <v>350</v>
      </c>
      <c r="G11" s="108">
        <v>1126050</v>
      </c>
      <c r="H11" s="108">
        <f t="shared" si="0"/>
        <v>3217.2857142857142</v>
      </c>
      <c r="I11" s="108">
        <v>575550</v>
      </c>
      <c r="J11" s="109">
        <f t="shared" si="1"/>
        <v>1644.4285714285713</v>
      </c>
      <c r="K11" s="108">
        <v>46530</v>
      </c>
      <c r="L11" s="109"/>
      <c r="M11" s="110">
        <f t="shared" si="6"/>
        <v>1748130</v>
      </c>
      <c r="N11" s="111">
        <f t="shared" si="2"/>
        <v>4994.6571428571433</v>
      </c>
      <c r="O11" s="111"/>
      <c r="P11" s="111"/>
      <c r="Q11" s="111"/>
      <c r="R11" s="111"/>
      <c r="S11" s="112" t="e">
        <f t="shared" si="7"/>
        <v>#DIV/0!</v>
      </c>
      <c r="U11" s="248">
        <v>20.5</v>
      </c>
      <c r="V11" s="248">
        <v>28.4</v>
      </c>
      <c r="W11" s="441">
        <v>3</v>
      </c>
      <c r="X11" s="419">
        <v>1</v>
      </c>
      <c r="Y11" s="441">
        <v>3</v>
      </c>
      <c r="Z11" s="272">
        <f t="shared" si="3"/>
        <v>2.3333333333333335</v>
      </c>
      <c r="AB11" s="35" t="s">
        <v>122</v>
      </c>
      <c r="AD11" s="1">
        <v>1</v>
      </c>
      <c r="AI11" s="248">
        <v>25.6</v>
      </c>
      <c r="AJ11" s="248">
        <v>32.200000000000003</v>
      </c>
      <c r="AK11" s="256">
        <v>3</v>
      </c>
      <c r="AL11" s="256">
        <v>3</v>
      </c>
      <c r="AM11" s="432">
        <v>5</v>
      </c>
      <c r="AN11" s="272">
        <f t="shared" si="4"/>
        <v>3.6666666666666665</v>
      </c>
      <c r="AP11" s="35" t="s">
        <v>122</v>
      </c>
      <c r="AR11" s="1">
        <v>1</v>
      </c>
    </row>
    <row r="12" spans="1:46" ht="23.5" customHeight="1" x14ac:dyDescent="0.25">
      <c r="A12" s="55" t="s">
        <v>8</v>
      </c>
      <c r="B12" s="50">
        <v>2</v>
      </c>
      <c r="C12" s="42"/>
      <c r="D12" s="103" t="s">
        <v>8</v>
      </c>
      <c r="E12" s="120">
        <f t="shared" si="5"/>
        <v>2</v>
      </c>
      <c r="F12" s="74">
        <v>634</v>
      </c>
      <c r="G12" s="108">
        <v>2073900</v>
      </c>
      <c r="H12" s="108">
        <f t="shared" si="0"/>
        <v>3271.1356466876973</v>
      </c>
      <c r="I12" s="108">
        <v>1102350</v>
      </c>
      <c r="J12" s="109">
        <f t="shared" si="1"/>
        <v>1738.7223974763408</v>
      </c>
      <c r="K12" s="108">
        <v>17050</v>
      </c>
      <c r="L12" s="109">
        <v>20790</v>
      </c>
      <c r="M12" s="344">
        <f t="shared" si="6"/>
        <v>3214090</v>
      </c>
      <c r="N12" s="111">
        <f t="shared" si="2"/>
        <v>5069.5425867507884</v>
      </c>
      <c r="O12" s="111"/>
      <c r="P12" s="111"/>
      <c r="Q12" s="111"/>
      <c r="R12" s="111"/>
      <c r="S12" s="112" t="e">
        <f t="shared" si="7"/>
        <v>#DIV/0!</v>
      </c>
      <c r="U12" s="248">
        <v>23.2</v>
      </c>
      <c r="V12" s="248">
        <v>30</v>
      </c>
      <c r="W12" s="441">
        <v>3</v>
      </c>
      <c r="X12" s="441">
        <v>3</v>
      </c>
      <c r="Y12" s="441">
        <v>3</v>
      </c>
      <c r="Z12" s="272">
        <f t="shared" si="3"/>
        <v>3</v>
      </c>
      <c r="AB12" s="35" t="s">
        <v>127</v>
      </c>
      <c r="AD12" s="1">
        <v>0</v>
      </c>
      <c r="AI12" s="248">
        <v>27.1</v>
      </c>
      <c r="AJ12" s="248">
        <v>31</v>
      </c>
      <c r="AK12" s="256">
        <v>3</v>
      </c>
      <c r="AL12" s="256">
        <v>3</v>
      </c>
      <c r="AM12" s="419">
        <v>1</v>
      </c>
      <c r="AN12" s="272">
        <f t="shared" si="4"/>
        <v>2.3333333333333335</v>
      </c>
      <c r="AP12" s="35" t="s">
        <v>127</v>
      </c>
      <c r="AR12" s="1">
        <v>0</v>
      </c>
    </row>
    <row r="13" spans="1:46" ht="23.5" customHeight="1" thickBot="1" x14ac:dyDescent="0.3">
      <c r="A13" s="56" t="s">
        <v>9</v>
      </c>
      <c r="B13" s="50">
        <v>3</v>
      </c>
      <c r="C13" s="42"/>
      <c r="D13" s="113" t="s">
        <v>9</v>
      </c>
      <c r="E13" s="120">
        <f t="shared" si="5"/>
        <v>3</v>
      </c>
      <c r="F13" s="74">
        <v>689</v>
      </c>
      <c r="G13" s="108">
        <v>2070400</v>
      </c>
      <c r="H13" s="108">
        <f t="shared" si="0"/>
        <v>3004.934687953556</v>
      </c>
      <c r="I13" s="108">
        <v>1133850</v>
      </c>
      <c r="J13" s="109">
        <f t="shared" si="1"/>
        <v>1645.6458635703918</v>
      </c>
      <c r="K13" s="108">
        <v>96690</v>
      </c>
      <c r="L13" s="109">
        <v>5940</v>
      </c>
      <c r="M13" s="344">
        <f t="shared" si="6"/>
        <v>3306880</v>
      </c>
      <c r="N13" s="111">
        <f t="shared" si="2"/>
        <v>4799.5355587808417</v>
      </c>
      <c r="O13" s="111"/>
      <c r="P13" s="111"/>
      <c r="Q13" s="111"/>
      <c r="R13" s="111"/>
      <c r="S13" s="112" t="e">
        <f t="shared" si="7"/>
        <v>#DIV/0!</v>
      </c>
      <c r="U13" s="249">
        <v>24.1</v>
      </c>
      <c r="V13" s="249">
        <v>29.5</v>
      </c>
      <c r="W13" s="480">
        <v>3</v>
      </c>
      <c r="X13" s="441">
        <v>3</v>
      </c>
      <c r="Y13" s="419">
        <v>1</v>
      </c>
      <c r="Z13" s="273">
        <f t="shared" si="3"/>
        <v>2.3333333333333335</v>
      </c>
      <c r="AB13" s="1" t="s">
        <v>130</v>
      </c>
      <c r="AI13" s="249">
        <v>22.9</v>
      </c>
      <c r="AJ13" s="249">
        <v>29.4</v>
      </c>
      <c r="AK13" s="274">
        <v>3</v>
      </c>
      <c r="AL13" s="419">
        <v>1</v>
      </c>
      <c r="AM13" s="256">
        <v>3</v>
      </c>
      <c r="AN13" s="273">
        <f t="shared" si="4"/>
        <v>2.3333333333333335</v>
      </c>
      <c r="AP13" s="1" t="s">
        <v>130</v>
      </c>
    </row>
    <row r="14" spans="1:46" ht="39" customHeight="1" thickTop="1" thickBot="1" x14ac:dyDescent="0.3">
      <c r="A14" s="724" t="s">
        <v>13</v>
      </c>
      <c r="B14" s="725"/>
      <c r="C14" s="35" t="e">
        <f>#REF!</f>
        <v>#REF!</v>
      </c>
      <c r="D14" s="726" t="s">
        <v>13</v>
      </c>
      <c r="E14" s="727"/>
      <c r="F14" s="110">
        <f>SUM(F7:F13)</f>
        <v>1673</v>
      </c>
      <c r="G14" s="110">
        <f>SUM(G7:G13)</f>
        <v>5270350</v>
      </c>
      <c r="H14" s="110">
        <f t="shared" si="0"/>
        <v>3150.2390914524804</v>
      </c>
      <c r="I14" s="110">
        <f>SUM(I7:I13)</f>
        <v>2811750</v>
      </c>
      <c r="J14" s="74">
        <f t="shared" si="1"/>
        <v>1680.6634787806336</v>
      </c>
      <c r="K14" s="110">
        <f>SUM(K7:K13)</f>
        <v>160270</v>
      </c>
      <c r="L14" s="284">
        <f>SUM(L7:L13)</f>
        <v>26730</v>
      </c>
      <c r="M14" s="110">
        <f t="shared" si="6"/>
        <v>8269100</v>
      </c>
      <c r="N14" s="116">
        <f t="shared" si="2"/>
        <v>4942.6778242677829</v>
      </c>
      <c r="O14" s="116"/>
      <c r="P14" s="116"/>
      <c r="Q14" s="116"/>
      <c r="R14" s="116">
        <f>SUM(R7:R13)</f>
        <v>0</v>
      </c>
      <c r="S14" s="112" t="e">
        <f t="shared" si="7"/>
        <v>#DIV/0!</v>
      </c>
      <c r="T14" s="260">
        <v>3</v>
      </c>
      <c r="U14" s="296">
        <f>SUM(U7:U13)/T14</f>
        <v>22.600000000000005</v>
      </c>
      <c r="V14" s="292">
        <f>SUM(V7:V13)/T14</f>
        <v>29.3</v>
      </c>
      <c r="W14" s="305">
        <f>SUM(W7:W13)/T14</f>
        <v>3</v>
      </c>
      <c r="X14" s="305">
        <f>SUM(X7:X13)/T14</f>
        <v>2.3333333333333335</v>
      </c>
      <c r="Y14" s="305">
        <f>SUM(Y7:Y13)/T14</f>
        <v>2.3333333333333335</v>
      </c>
      <c r="Z14" s="306">
        <f t="shared" si="3"/>
        <v>2.5555555555555558</v>
      </c>
      <c r="AA14" s="260">
        <v>11</v>
      </c>
      <c r="AB14" s="761">
        <f>M14/T14</f>
        <v>2756366.6666666665</v>
      </c>
      <c r="AC14" s="762"/>
      <c r="AD14" s="762"/>
      <c r="AE14" s="762"/>
      <c r="AF14" s="763"/>
      <c r="AG14" s="434"/>
      <c r="AH14" s="282">
        <v>5</v>
      </c>
      <c r="AI14" s="296">
        <f>SUM(AI7:AI13)/AH14</f>
        <v>24.26</v>
      </c>
      <c r="AJ14" s="299">
        <f>SUM(AJ7:AJ13)/AH14</f>
        <v>31.540000000000003</v>
      </c>
      <c r="AK14" s="305">
        <f>SUM(AK7:AK13)/AH14</f>
        <v>3.4</v>
      </c>
      <c r="AL14" s="305">
        <f>SUM(AL7:AL13)/AH14</f>
        <v>2.6</v>
      </c>
      <c r="AM14" s="305">
        <f>SUM(AM7:AM13)/AH14</f>
        <v>3.4</v>
      </c>
      <c r="AN14" s="306">
        <f t="shared" si="4"/>
        <v>3.1333333333333333</v>
      </c>
      <c r="AO14" s="260">
        <v>11</v>
      </c>
      <c r="AP14" s="761">
        <f>AC14/AH14</f>
        <v>0</v>
      </c>
      <c r="AQ14" s="762"/>
      <c r="AR14" s="762"/>
      <c r="AS14" s="762"/>
      <c r="AT14" s="763"/>
    </row>
    <row r="15" spans="1:46" ht="23.5" customHeight="1" thickTop="1" x14ac:dyDescent="0.25">
      <c r="A15" s="710" t="s">
        <v>14</v>
      </c>
      <c r="B15" s="711"/>
      <c r="D15" s="713" t="s">
        <v>14</v>
      </c>
      <c r="E15" s="714"/>
      <c r="F15" s="714"/>
      <c r="G15" s="714"/>
      <c r="H15" s="714"/>
      <c r="I15" s="714"/>
      <c r="J15" s="714"/>
      <c r="K15" s="714"/>
      <c r="L15" s="714"/>
      <c r="M15" s="714"/>
      <c r="N15" s="714"/>
      <c r="O15" s="714"/>
      <c r="P15" s="714"/>
      <c r="Q15" s="714"/>
      <c r="R15" s="714"/>
      <c r="S15" s="715"/>
      <c r="U15" s="716" t="str">
        <f>D15</f>
        <v>2nd week</v>
      </c>
      <c r="V15" s="716"/>
      <c r="W15" s="716"/>
      <c r="X15" s="716"/>
      <c r="Y15" s="716"/>
      <c r="Z15" s="716"/>
      <c r="AI15" s="716" t="str">
        <f>U15</f>
        <v>2nd week</v>
      </c>
      <c r="AJ15" s="716"/>
      <c r="AK15" s="716"/>
      <c r="AL15" s="716"/>
      <c r="AM15" s="716"/>
      <c r="AN15" s="716"/>
    </row>
    <row r="16" spans="1:46" ht="23.5" customHeight="1" x14ac:dyDescent="0.25">
      <c r="A16" s="53" t="s">
        <v>10</v>
      </c>
      <c r="B16" s="37" t="s">
        <v>11</v>
      </c>
      <c r="C16" s="2" t="s">
        <v>35</v>
      </c>
      <c r="D16" s="103" t="s">
        <v>10</v>
      </c>
      <c r="E16" s="104" t="s">
        <v>11</v>
      </c>
      <c r="F16" s="104" t="s">
        <v>1</v>
      </c>
      <c r="G16" s="104" t="s">
        <v>30</v>
      </c>
      <c r="H16" s="104" t="s">
        <v>31</v>
      </c>
      <c r="I16" s="104" t="s">
        <v>28</v>
      </c>
      <c r="J16" s="104" t="s">
        <v>29</v>
      </c>
      <c r="K16" s="104" t="s">
        <v>72</v>
      </c>
      <c r="L16" s="104" t="s">
        <v>210</v>
      </c>
      <c r="M16" s="104" t="s">
        <v>71</v>
      </c>
      <c r="N16" s="105" t="s">
        <v>48</v>
      </c>
      <c r="O16" s="105"/>
      <c r="P16" s="105"/>
      <c r="Q16" s="105"/>
      <c r="R16" s="105" t="s">
        <v>74</v>
      </c>
      <c r="S16" s="106" t="s">
        <v>73</v>
      </c>
      <c r="U16" s="253" t="s">
        <v>116</v>
      </c>
      <c r="V16" s="254" t="s">
        <v>117</v>
      </c>
      <c r="W16" s="49" t="s">
        <v>118</v>
      </c>
      <c r="X16" s="49" t="s">
        <v>119</v>
      </c>
      <c r="Y16" s="49" t="s">
        <v>120</v>
      </c>
      <c r="Z16" s="255" t="s">
        <v>128</v>
      </c>
      <c r="AB16" s="1" t="s">
        <v>123</v>
      </c>
      <c r="AD16" s="36" t="s">
        <v>126</v>
      </c>
      <c r="AI16" s="253" t="s">
        <v>116</v>
      </c>
      <c r="AJ16" s="254" t="s">
        <v>117</v>
      </c>
      <c r="AK16" s="49" t="s">
        <v>118</v>
      </c>
      <c r="AL16" s="49" t="s">
        <v>119</v>
      </c>
      <c r="AM16" s="49" t="s">
        <v>120</v>
      </c>
      <c r="AN16" s="255" t="s">
        <v>128</v>
      </c>
      <c r="AP16" s="1" t="s">
        <v>123</v>
      </c>
      <c r="AR16" s="36" t="s">
        <v>126</v>
      </c>
    </row>
    <row r="17" spans="1:46" ht="23.5" customHeight="1" x14ac:dyDescent="0.25">
      <c r="A17" s="54" t="s">
        <v>3</v>
      </c>
      <c r="B17" s="50">
        <v>4</v>
      </c>
      <c r="C17" s="42"/>
      <c r="D17" s="107" t="s">
        <v>3</v>
      </c>
      <c r="E17" s="120">
        <f>B17</f>
        <v>4</v>
      </c>
      <c r="F17" s="74">
        <v>445</v>
      </c>
      <c r="G17" s="108">
        <v>1310550</v>
      </c>
      <c r="H17" s="108">
        <f t="shared" ref="H17:H24" si="8">G17/F17</f>
        <v>2945.0561797752807</v>
      </c>
      <c r="I17" s="108">
        <v>665150</v>
      </c>
      <c r="J17" s="109">
        <f t="shared" ref="J17:J24" si="9">I17/F17</f>
        <v>1494.7191011235955</v>
      </c>
      <c r="K17" s="108">
        <v>29590</v>
      </c>
      <c r="L17" s="109"/>
      <c r="M17" s="110">
        <f>G17+I17+K17+L17</f>
        <v>2005290</v>
      </c>
      <c r="N17" s="111">
        <f t="shared" ref="N17:N24" si="10">M17/F17</f>
        <v>4506.2696629213488</v>
      </c>
      <c r="O17" s="111"/>
      <c r="P17" s="111"/>
      <c r="Q17" s="111"/>
      <c r="R17" s="111"/>
      <c r="S17" s="112" t="e">
        <f>M17/R17</f>
        <v>#DIV/0!</v>
      </c>
      <c r="U17" s="248">
        <v>20.399999999999999</v>
      </c>
      <c r="V17" s="248">
        <v>22.9</v>
      </c>
      <c r="W17" s="479">
        <v>2</v>
      </c>
      <c r="X17" s="479">
        <v>2</v>
      </c>
      <c r="Y17" s="479">
        <v>2</v>
      </c>
      <c r="Z17" s="272">
        <f>SUM(W17:Y17)/3</f>
        <v>2</v>
      </c>
      <c r="AB17" s="271" t="s">
        <v>124</v>
      </c>
      <c r="AC17" s="2"/>
      <c r="AD17" s="270">
        <v>5</v>
      </c>
      <c r="AI17" s="248">
        <v>22.2</v>
      </c>
      <c r="AJ17" s="248">
        <v>25.7</v>
      </c>
      <c r="AK17" s="419">
        <v>1</v>
      </c>
      <c r="AL17" s="256">
        <v>3</v>
      </c>
      <c r="AM17" s="419">
        <v>1</v>
      </c>
      <c r="AN17" s="272">
        <f>SUM(AK17:AM17)/3</f>
        <v>1.6666666666666667</v>
      </c>
      <c r="AP17" s="271" t="s">
        <v>124</v>
      </c>
      <c r="AQ17" s="2"/>
      <c r="AR17" s="270">
        <v>5</v>
      </c>
    </row>
    <row r="18" spans="1:46" ht="23.5" customHeight="1" x14ac:dyDescent="0.25">
      <c r="A18" s="55" t="s">
        <v>4</v>
      </c>
      <c r="B18" s="50">
        <v>5</v>
      </c>
      <c r="C18" s="42"/>
      <c r="D18" s="103" t="s">
        <v>4</v>
      </c>
      <c r="E18" s="120">
        <f t="shared" ref="E18:E23" si="11">B18</f>
        <v>5</v>
      </c>
      <c r="F18" s="74">
        <v>389</v>
      </c>
      <c r="G18" s="108">
        <v>1000400</v>
      </c>
      <c r="H18" s="108">
        <f t="shared" si="8"/>
        <v>2571.7223650385604</v>
      </c>
      <c r="I18" s="108">
        <v>495400</v>
      </c>
      <c r="J18" s="109">
        <f t="shared" si="9"/>
        <v>1273.521850899743</v>
      </c>
      <c r="K18" s="108">
        <v>23210</v>
      </c>
      <c r="L18" s="109">
        <v>2970</v>
      </c>
      <c r="M18" s="110">
        <f t="shared" ref="M18:M24" si="12">G18+I18+K18+L18</f>
        <v>1521980</v>
      </c>
      <c r="N18" s="111">
        <f t="shared" si="10"/>
        <v>3912.5449871465294</v>
      </c>
      <c r="O18" s="111"/>
      <c r="P18" s="111"/>
      <c r="Q18" s="111"/>
      <c r="R18" s="111"/>
      <c r="S18" s="112" t="e">
        <f t="shared" ref="S18:S24" si="13">M18/R18</f>
        <v>#DIV/0!</v>
      </c>
      <c r="U18" s="248">
        <v>19.899999999999999</v>
      </c>
      <c r="V18" s="248">
        <v>24.4</v>
      </c>
      <c r="W18" s="479">
        <v>2</v>
      </c>
      <c r="X18" s="479">
        <v>2</v>
      </c>
      <c r="Y18" s="479">
        <v>2</v>
      </c>
      <c r="Z18" s="272">
        <f t="shared" ref="Z18:Z23" si="14">SUM(W18:Y18)/3</f>
        <v>2</v>
      </c>
      <c r="AB18" s="35" t="s">
        <v>125</v>
      </c>
      <c r="AD18" s="1">
        <v>4</v>
      </c>
      <c r="AI18" s="248">
        <v>19.7</v>
      </c>
      <c r="AJ18" s="248">
        <v>26.1</v>
      </c>
      <c r="AK18" s="256">
        <v>3</v>
      </c>
      <c r="AL18" s="256">
        <v>3</v>
      </c>
      <c r="AM18" s="256">
        <v>3</v>
      </c>
      <c r="AN18" s="272">
        <f t="shared" ref="AN18:AN23" si="15">SUM(AK18:AM18)/3</f>
        <v>3</v>
      </c>
      <c r="AP18" s="35" t="s">
        <v>125</v>
      </c>
      <c r="AR18" s="1">
        <v>4</v>
      </c>
    </row>
    <row r="19" spans="1:46" ht="23.5" customHeight="1" x14ac:dyDescent="0.25">
      <c r="A19" s="55" t="s">
        <v>5</v>
      </c>
      <c r="B19" s="50">
        <v>6</v>
      </c>
      <c r="C19" s="42"/>
      <c r="D19" s="103" t="s">
        <v>5</v>
      </c>
      <c r="E19" s="120">
        <f t="shared" si="11"/>
        <v>6</v>
      </c>
      <c r="F19" s="74">
        <v>565</v>
      </c>
      <c r="G19" s="108">
        <v>1517600</v>
      </c>
      <c r="H19" s="108">
        <f t="shared" si="8"/>
        <v>2686.0176991150443</v>
      </c>
      <c r="I19" s="108">
        <v>803450</v>
      </c>
      <c r="J19" s="109">
        <f t="shared" si="9"/>
        <v>1422.0353982300885</v>
      </c>
      <c r="K19" s="108">
        <v>33220</v>
      </c>
      <c r="L19" s="109">
        <v>0</v>
      </c>
      <c r="M19" s="110">
        <f t="shared" si="12"/>
        <v>2354270</v>
      </c>
      <c r="N19" s="111">
        <f t="shared" si="10"/>
        <v>4166.8495575221241</v>
      </c>
      <c r="O19" s="111"/>
      <c r="P19" s="111"/>
      <c r="Q19" s="111"/>
      <c r="R19" s="111"/>
      <c r="S19" s="112" t="e">
        <f t="shared" si="13"/>
        <v>#DIV/0!</v>
      </c>
      <c r="U19" s="248">
        <v>20.7</v>
      </c>
      <c r="V19" s="248">
        <v>26.4</v>
      </c>
      <c r="W19" s="441">
        <v>3</v>
      </c>
      <c r="X19" s="441">
        <v>3</v>
      </c>
      <c r="Y19" s="440">
        <v>5</v>
      </c>
      <c r="Z19" s="272">
        <f t="shared" si="14"/>
        <v>3.6666666666666665</v>
      </c>
      <c r="AB19" s="35" t="s">
        <v>129</v>
      </c>
      <c r="AD19" s="1">
        <v>3</v>
      </c>
      <c r="AI19" s="248">
        <v>23.3</v>
      </c>
      <c r="AJ19" s="248">
        <v>27.7</v>
      </c>
      <c r="AK19" s="419">
        <v>1</v>
      </c>
      <c r="AL19" s="419">
        <v>1</v>
      </c>
      <c r="AM19" s="432">
        <v>5</v>
      </c>
      <c r="AN19" s="272">
        <f t="shared" si="15"/>
        <v>2.3333333333333335</v>
      </c>
      <c r="AP19" s="35" t="s">
        <v>129</v>
      </c>
      <c r="AR19" s="1">
        <v>3</v>
      </c>
    </row>
    <row r="20" spans="1:46" ht="23.5" customHeight="1" x14ac:dyDescent="0.25">
      <c r="A20" s="55" t="s">
        <v>6</v>
      </c>
      <c r="B20" s="50">
        <v>7</v>
      </c>
      <c r="C20" s="42"/>
      <c r="D20" s="103" t="s">
        <v>6</v>
      </c>
      <c r="E20" s="120">
        <f t="shared" si="11"/>
        <v>7</v>
      </c>
      <c r="F20" s="74">
        <v>573</v>
      </c>
      <c r="G20" s="108">
        <v>1792600</v>
      </c>
      <c r="H20" s="108">
        <f t="shared" si="8"/>
        <v>3128.4467713787085</v>
      </c>
      <c r="I20" s="108">
        <v>926200</v>
      </c>
      <c r="J20" s="109">
        <f t="shared" si="9"/>
        <v>1616.4048865619545</v>
      </c>
      <c r="K20" s="108">
        <v>49390</v>
      </c>
      <c r="L20" s="109">
        <v>8910</v>
      </c>
      <c r="M20" s="110">
        <f t="shared" si="12"/>
        <v>2777100</v>
      </c>
      <c r="N20" s="111">
        <f t="shared" si="10"/>
        <v>4846.5968586387435</v>
      </c>
      <c r="O20" s="111"/>
      <c r="P20" s="111"/>
      <c r="Q20" s="111"/>
      <c r="R20" s="111"/>
      <c r="S20" s="112" t="e">
        <f t="shared" si="13"/>
        <v>#DIV/0!</v>
      </c>
      <c r="U20" s="248">
        <v>21.8</v>
      </c>
      <c r="V20" s="248">
        <v>32</v>
      </c>
      <c r="W20" s="440">
        <v>5</v>
      </c>
      <c r="X20" s="441">
        <v>3</v>
      </c>
      <c r="Y20" s="441">
        <v>3</v>
      </c>
      <c r="Z20" s="272">
        <f t="shared" si="14"/>
        <v>3.6666666666666665</v>
      </c>
      <c r="AB20" s="35" t="s">
        <v>121</v>
      </c>
      <c r="AD20" s="1">
        <v>2</v>
      </c>
      <c r="AI20" s="248">
        <v>24.5</v>
      </c>
      <c r="AJ20" s="248">
        <v>30.8</v>
      </c>
      <c r="AK20" s="419">
        <v>1</v>
      </c>
      <c r="AL20" s="256">
        <v>3</v>
      </c>
      <c r="AM20" s="432">
        <v>5</v>
      </c>
      <c r="AN20" s="272">
        <f t="shared" si="15"/>
        <v>3</v>
      </c>
      <c r="AP20" s="35" t="s">
        <v>121</v>
      </c>
      <c r="AR20" s="1">
        <v>2</v>
      </c>
    </row>
    <row r="21" spans="1:46" ht="23.5" customHeight="1" x14ac:dyDescent="0.25">
      <c r="A21" s="55" t="s">
        <v>7</v>
      </c>
      <c r="B21" s="50">
        <v>8</v>
      </c>
      <c r="C21" s="42"/>
      <c r="D21" s="103" t="s">
        <v>7</v>
      </c>
      <c r="E21" s="120">
        <f t="shared" si="11"/>
        <v>8</v>
      </c>
      <c r="F21" s="74">
        <v>548</v>
      </c>
      <c r="G21" s="108">
        <v>1461350</v>
      </c>
      <c r="H21" s="108">
        <f t="shared" si="8"/>
        <v>2666.6970802919709</v>
      </c>
      <c r="I21" s="108">
        <v>755400</v>
      </c>
      <c r="J21" s="109">
        <f t="shared" si="9"/>
        <v>1378.4671532846714</v>
      </c>
      <c r="K21" s="108">
        <v>26400</v>
      </c>
      <c r="L21" s="109">
        <v>0</v>
      </c>
      <c r="M21" s="110">
        <f t="shared" si="12"/>
        <v>2243150</v>
      </c>
      <c r="N21" s="111">
        <f t="shared" si="10"/>
        <v>4093.3394160583944</v>
      </c>
      <c r="O21" s="111"/>
      <c r="P21" s="111"/>
      <c r="Q21" s="111"/>
      <c r="R21" s="111"/>
      <c r="S21" s="112" t="e">
        <f t="shared" si="13"/>
        <v>#DIV/0!</v>
      </c>
      <c r="U21" s="248">
        <v>23.7</v>
      </c>
      <c r="V21" s="248">
        <v>30.1</v>
      </c>
      <c r="W21" s="441">
        <v>3</v>
      </c>
      <c r="X21" s="419">
        <v>1</v>
      </c>
      <c r="Y21" s="441">
        <v>3</v>
      </c>
      <c r="Z21" s="272">
        <f t="shared" si="14"/>
        <v>2.3333333333333335</v>
      </c>
      <c r="AB21" s="35" t="s">
        <v>122</v>
      </c>
      <c r="AD21" s="1">
        <v>1</v>
      </c>
      <c r="AI21" s="248">
        <v>25.7</v>
      </c>
      <c r="AJ21" s="248">
        <v>31.1</v>
      </c>
      <c r="AK21" s="432">
        <v>5</v>
      </c>
      <c r="AL21" s="432">
        <v>5</v>
      </c>
      <c r="AM21" s="432">
        <v>5</v>
      </c>
      <c r="AN21" s="272">
        <f t="shared" si="15"/>
        <v>5</v>
      </c>
      <c r="AP21" s="35" t="s">
        <v>122</v>
      </c>
      <c r="AR21" s="1">
        <v>1</v>
      </c>
    </row>
    <row r="22" spans="1:46" ht="23.5" customHeight="1" x14ac:dyDescent="0.25">
      <c r="A22" s="85" t="s">
        <v>8</v>
      </c>
      <c r="B22" s="50">
        <v>9</v>
      </c>
      <c r="C22" s="42"/>
      <c r="D22" s="103" t="s">
        <v>8</v>
      </c>
      <c r="E22" s="120">
        <f t="shared" si="11"/>
        <v>9</v>
      </c>
      <c r="F22" s="74">
        <v>538</v>
      </c>
      <c r="G22" s="108">
        <v>1659800</v>
      </c>
      <c r="H22" s="108">
        <f t="shared" si="8"/>
        <v>3085.1301115241636</v>
      </c>
      <c r="I22" s="108">
        <v>891950</v>
      </c>
      <c r="J22" s="109">
        <f t="shared" si="9"/>
        <v>1657.899628252788</v>
      </c>
      <c r="K22" s="108">
        <v>52140</v>
      </c>
      <c r="L22" s="109">
        <v>8910</v>
      </c>
      <c r="M22" s="110">
        <f t="shared" si="12"/>
        <v>2612800</v>
      </c>
      <c r="N22" s="111">
        <f t="shared" si="10"/>
        <v>4856.5055762081784</v>
      </c>
      <c r="O22" s="111"/>
      <c r="P22" s="111"/>
      <c r="Q22" s="111"/>
      <c r="R22" s="111"/>
      <c r="S22" s="112" t="e">
        <f t="shared" si="13"/>
        <v>#DIV/0!</v>
      </c>
      <c r="U22" s="248">
        <v>24.8</v>
      </c>
      <c r="V22" s="248">
        <v>30.2</v>
      </c>
      <c r="W22" s="441">
        <v>3</v>
      </c>
      <c r="X22" s="441">
        <v>3</v>
      </c>
      <c r="Y22" s="441">
        <v>3</v>
      </c>
      <c r="Z22" s="272">
        <f t="shared" si="14"/>
        <v>3</v>
      </c>
      <c r="AB22" s="35" t="s">
        <v>127</v>
      </c>
      <c r="AD22" s="1">
        <v>0</v>
      </c>
      <c r="AI22" s="248">
        <v>24.7</v>
      </c>
      <c r="AJ22" s="248">
        <v>32.299999999999997</v>
      </c>
      <c r="AK22" s="432">
        <v>5</v>
      </c>
      <c r="AL22" s="432">
        <v>5</v>
      </c>
      <c r="AM22" s="432">
        <v>5</v>
      </c>
      <c r="AN22" s="272">
        <f t="shared" si="15"/>
        <v>5</v>
      </c>
      <c r="AP22" s="35" t="s">
        <v>127</v>
      </c>
      <c r="AR22" s="1">
        <v>0</v>
      </c>
    </row>
    <row r="23" spans="1:46" ht="23.5" customHeight="1" thickBot="1" x14ac:dyDescent="0.3">
      <c r="A23" s="56" t="s">
        <v>9</v>
      </c>
      <c r="B23" s="50">
        <v>10</v>
      </c>
      <c r="C23" s="42"/>
      <c r="D23" s="113" t="s">
        <v>9</v>
      </c>
      <c r="E23" s="120">
        <f t="shared" si="11"/>
        <v>10</v>
      </c>
      <c r="F23" s="74">
        <v>557</v>
      </c>
      <c r="G23" s="108">
        <v>1645950</v>
      </c>
      <c r="H23" s="108">
        <f t="shared" si="8"/>
        <v>2955.0269299820466</v>
      </c>
      <c r="I23" s="108">
        <f>880010+5500</f>
        <v>885510</v>
      </c>
      <c r="J23" s="109">
        <f t="shared" si="9"/>
        <v>1589.7845601436265</v>
      </c>
      <c r="K23" s="108">
        <v>62920</v>
      </c>
      <c r="L23" s="109">
        <v>0</v>
      </c>
      <c r="M23" s="110">
        <f t="shared" si="12"/>
        <v>2594380</v>
      </c>
      <c r="N23" s="111">
        <f t="shared" si="10"/>
        <v>4657.7737881508083</v>
      </c>
      <c r="O23" s="111"/>
      <c r="P23" s="111"/>
      <c r="Q23" s="111"/>
      <c r="R23" s="111"/>
      <c r="S23" s="112" t="e">
        <f t="shared" si="13"/>
        <v>#DIV/0!</v>
      </c>
      <c r="U23" s="249">
        <v>24.5</v>
      </c>
      <c r="V23" s="249">
        <v>28.6</v>
      </c>
      <c r="W23" s="440">
        <v>5</v>
      </c>
      <c r="X23" s="440">
        <v>5</v>
      </c>
      <c r="Y23" s="440">
        <v>5</v>
      </c>
      <c r="Z23" s="273">
        <f t="shared" si="14"/>
        <v>5</v>
      </c>
      <c r="AB23" s="1" t="s">
        <v>130</v>
      </c>
      <c r="AI23" s="249">
        <v>23.3</v>
      </c>
      <c r="AJ23" s="249">
        <v>32</v>
      </c>
      <c r="AK23" s="432">
        <v>5</v>
      </c>
      <c r="AL23" s="432">
        <v>5</v>
      </c>
      <c r="AM23" s="432">
        <v>5</v>
      </c>
      <c r="AN23" s="273">
        <f t="shared" si="15"/>
        <v>5</v>
      </c>
      <c r="AP23" s="1" t="s">
        <v>130</v>
      </c>
    </row>
    <row r="24" spans="1:46" ht="39" customHeight="1" thickTop="1" thickBot="1" x14ac:dyDescent="0.3">
      <c r="A24" s="724" t="s">
        <v>13</v>
      </c>
      <c r="B24" s="725"/>
      <c r="C24" s="35" t="e">
        <f>#REF!</f>
        <v>#REF!</v>
      </c>
      <c r="D24" s="726" t="s">
        <v>13</v>
      </c>
      <c r="E24" s="727"/>
      <c r="F24" s="110">
        <f>SUM(F17:F23)</f>
        <v>3615</v>
      </c>
      <c r="G24" s="110">
        <f>SUM(G17:G23)</f>
        <v>10388250</v>
      </c>
      <c r="H24" s="110">
        <f t="shared" si="8"/>
        <v>2873.6514522821576</v>
      </c>
      <c r="I24" s="110">
        <f>SUM(I17:I23)</f>
        <v>5423060</v>
      </c>
      <c r="J24" s="74">
        <f t="shared" si="9"/>
        <v>1500.1549100968189</v>
      </c>
      <c r="K24" s="110">
        <f>SUM(K17:K23)</f>
        <v>276870</v>
      </c>
      <c r="L24" s="284">
        <f>SUM(L17:L23)</f>
        <v>20790</v>
      </c>
      <c r="M24" s="71">
        <f t="shared" si="12"/>
        <v>16108970</v>
      </c>
      <c r="N24" s="116">
        <f t="shared" si="10"/>
        <v>4456.1466113416318</v>
      </c>
      <c r="O24" s="116"/>
      <c r="P24" s="116"/>
      <c r="Q24" s="116"/>
      <c r="R24" s="116">
        <f>SUM(R17:R23)</f>
        <v>0</v>
      </c>
      <c r="S24" s="112" t="e">
        <f t="shared" si="13"/>
        <v>#DIV/0!</v>
      </c>
      <c r="T24" s="260">
        <v>7</v>
      </c>
      <c r="U24" s="291">
        <f>SUM(U17:U23)/T24</f>
        <v>22.25714285714286</v>
      </c>
      <c r="V24" s="292">
        <f>SUM(V17:V23)/T24</f>
        <v>27.799999999999994</v>
      </c>
      <c r="W24" s="305">
        <f>SUM(W17:W23)/T24</f>
        <v>3.2857142857142856</v>
      </c>
      <c r="X24" s="305">
        <f>SUM(X17:X23)/T24</f>
        <v>2.7142857142857144</v>
      </c>
      <c r="Y24" s="305">
        <f>SUM(Y17:Y23)/T24</f>
        <v>3.2857142857142856</v>
      </c>
      <c r="Z24" s="306">
        <f>SUM(W24:Y24)/3</f>
        <v>3.0952380952380949</v>
      </c>
      <c r="AA24" s="260">
        <v>12</v>
      </c>
      <c r="AB24" s="761">
        <f>M24/T24</f>
        <v>2301281.4285714286</v>
      </c>
      <c r="AC24" s="762"/>
      <c r="AD24" s="762"/>
      <c r="AE24" s="762"/>
      <c r="AF24" s="763"/>
      <c r="AG24" s="434"/>
      <c r="AH24" s="282">
        <v>7</v>
      </c>
      <c r="AI24" s="291">
        <f>SUM(AI17:AI23)/AH24</f>
        <v>23.342857142857145</v>
      </c>
      <c r="AJ24" s="292">
        <f>SUM(AJ17:AJ23)/AH24</f>
        <v>29.385714285714283</v>
      </c>
      <c r="AK24" s="305">
        <f>SUM(AK17:AK23)/AH24</f>
        <v>3</v>
      </c>
      <c r="AL24" s="305">
        <f>SUM(AL17:AL23)/AH24</f>
        <v>3.5714285714285716</v>
      </c>
      <c r="AM24" s="305">
        <f>SUM(AM17:AM23)/AH24</f>
        <v>4.1428571428571432</v>
      </c>
      <c r="AN24" s="306">
        <f>SUM(AK24:AM24)/3</f>
        <v>3.5714285714285716</v>
      </c>
      <c r="AO24" s="260">
        <v>12</v>
      </c>
      <c r="AP24" s="761">
        <f>AC24/AH24</f>
        <v>0</v>
      </c>
      <c r="AQ24" s="762"/>
      <c r="AR24" s="762"/>
      <c r="AS24" s="762"/>
      <c r="AT24" s="763"/>
    </row>
    <row r="25" spans="1:46" ht="23.5" customHeight="1" thickTop="1" x14ac:dyDescent="0.25">
      <c r="A25" s="710" t="s">
        <v>15</v>
      </c>
      <c r="B25" s="711"/>
      <c r="D25" s="713" t="s">
        <v>15</v>
      </c>
      <c r="E25" s="714"/>
      <c r="F25" s="714"/>
      <c r="G25" s="714"/>
      <c r="H25" s="714"/>
      <c r="I25" s="714"/>
      <c r="J25" s="714"/>
      <c r="K25" s="714"/>
      <c r="L25" s="714"/>
      <c r="M25" s="714"/>
      <c r="N25" s="714"/>
      <c r="O25" s="714"/>
      <c r="P25" s="714"/>
      <c r="Q25" s="714"/>
      <c r="R25" s="714"/>
      <c r="S25" s="715"/>
      <c r="U25" s="716" t="str">
        <f>D25</f>
        <v>3rd week</v>
      </c>
      <c r="V25" s="716"/>
      <c r="W25" s="716"/>
      <c r="X25" s="716"/>
      <c r="Y25" s="716"/>
      <c r="Z25" s="716"/>
      <c r="AI25" s="716" t="str">
        <f>U25</f>
        <v>3rd week</v>
      </c>
      <c r="AJ25" s="716"/>
      <c r="AK25" s="716"/>
      <c r="AL25" s="716"/>
      <c r="AM25" s="716"/>
      <c r="AN25" s="716"/>
    </row>
    <row r="26" spans="1:46" ht="23.5" customHeight="1" x14ac:dyDescent="0.25">
      <c r="A26" s="53" t="s">
        <v>10</v>
      </c>
      <c r="B26" s="37" t="s">
        <v>11</v>
      </c>
      <c r="C26" s="2" t="s">
        <v>35</v>
      </c>
      <c r="D26" s="103" t="s">
        <v>10</v>
      </c>
      <c r="E26" s="104" t="s">
        <v>11</v>
      </c>
      <c r="F26" s="104" t="s">
        <v>1</v>
      </c>
      <c r="G26" s="104" t="s">
        <v>30</v>
      </c>
      <c r="H26" s="104" t="s">
        <v>31</v>
      </c>
      <c r="I26" s="104" t="s">
        <v>28</v>
      </c>
      <c r="J26" s="104" t="s">
        <v>29</v>
      </c>
      <c r="K26" s="104" t="s">
        <v>72</v>
      </c>
      <c r="L26" s="104" t="s">
        <v>210</v>
      </c>
      <c r="M26" s="104" t="s">
        <v>71</v>
      </c>
      <c r="N26" s="105" t="s">
        <v>48</v>
      </c>
      <c r="O26" s="105"/>
      <c r="P26" s="105"/>
      <c r="Q26" s="105"/>
      <c r="R26" s="105" t="s">
        <v>74</v>
      </c>
      <c r="S26" s="106" t="s">
        <v>73</v>
      </c>
      <c r="U26" s="253" t="s">
        <v>116</v>
      </c>
      <c r="V26" s="254" t="s">
        <v>117</v>
      </c>
      <c r="W26" s="49" t="s">
        <v>118</v>
      </c>
      <c r="X26" s="49" t="s">
        <v>119</v>
      </c>
      <c r="Y26" s="49" t="s">
        <v>120</v>
      </c>
      <c r="Z26" s="255" t="s">
        <v>128</v>
      </c>
      <c r="AB26" s="1" t="s">
        <v>123</v>
      </c>
      <c r="AD26" s="36" t="s">
        <v>126</v>
      </c>
      <c r="AI26" s="253" t="s">
        <v>116</v>
      </c>
      <c r="AJ26" s="254" t="s">
        <v>117</v>
      </c>
      <c r="AK26" s="49" t="s">
        <v>118</v>
      </c>
      <c r="AL26" s="49" t="s">
        <v>119</v>
      </c>
      <c r="AM26" s="49" t="s">
        <v>120</v>
      </c>
      <c r="AN26" s="255" t="s">
        <v>128</v>
      </c>
      <c r="AP26" s="1" t="s">
        <v>123</v>
      </c>
      <c r="AR26" s="36" t="s">
        <v>126</v>
      </c>
    </row>
    <row r="27" spans="1:46" ht="23.5" customHeight="1" x14ac:dyDescent="0.25">
      <c r="A27" s="54" t="s">
        <v>3</v>
      </c>
      <c r="B27" s="50">
        <v>11</v>
      </c>
      <c r="C27" s="42"/>
      <c r="D27" s="107" t="s">
        <v>3</v>
      </c>
      <c r="E27" s="120">
        <f>B27</f>
        <v>11</v>
      </c>
      <c r="F27" s="74">
        <v>612</v>
      </c>
      <c r="G27" s="108">
        <v>1751350</v>
      </c>
      <c r="H27" s="108">
        <f t="shared" ref="H27:H34" si="16">G27/F27</f>
        <v>2861.6830065359477</v>
      </c>
      <c r="I27" s="108">
        <v>895610</v>
      </c>
      <c r="J27" s="109">
        <f t="shared" ref="J27:J34" si="17">I27/F27</f>
        <v>1463.4150326797385</v>
      </c>
      <c r="K27" s="108">
        <v>37950</v>
      </c>
      <c r="L27" s="109">
        <v>8910</v>
      </c>
      <c r="M27" s="110">
        <f>G27+I27+K27+L27</f>
        <v>2693820</v>
      </c>
      <c r="N27" s="111">
        <f t="shared" ref="N27:N34" si="18">M27/F27</f>
        <v>4401.666666666667</v>
      </c>
      <c r="O27" s="111"/>
      <c r="P27" s="111"/>
      <c r="Q27" s="111"/>
      <c r="R27" s="111"/>
      <c r="S27" s="112" t="e">
        <f>M27/R27</f>
        <v>#DIV/0!</v>
      </c>
      <c r="U27" s="248">
        <v>22.1</v>
      </c>
      <c r="V27" s="248">
        <v>29.4</v>
      </c>
      <c r="W27" s="440">
        <v>5</v>
      </c>
      <c r="X27" s="440">
        <v>5</v>
      </c>
      <c r="Y27" s="440">
        <v>5</v>
      </c>
      <c r="Z27" s="272">
        <f>SUM(W27:Y27)/3</f>
        <v>5</v>
      </c>
      <c r="AB27" s="271" t="s">
        <v>124</v>
      </c>
      <c r="AC27" s="2"/>
      <c r="AD27" s="270">
        <v>5</v>
      </c>
      <c r="AI27" s="248">
        <v>23.5</v>
      </c>
      <c r="AJ27" s="248">
        <v>30.5</v>
      </c>
      <c r="AK27" s="256">
        <v>3</v>
      </c>
      <c r="AL27" s="432">
        <v>5</v>
      </c>
      <c r="AM27" s="432">
        <v>5</v>
      </c>
      <c r="AN27" s="272">
        <f>SUM(AK27:AM27)/3</f>
        <v>4.333333333333333</v>
      </c>
      <c r="AP27" s="271" t="s">
        <v>124</v>
      </c>
      <c r="AQ27" s="2"/>
      <c r="AR27" s="270">
        <v>5</v>
      </c>
    </row>
    <row r="28" spans="1:46" ht="23.5" customHeight="1" x14ac:dyDescent="0.25">
      <c r="A28" s="55" t="s">
        <v>4</v>
      </c>
      <c r="B28" s="50">
        <v>12</v>
      </c>
      <c r="C28" s="42"/>
      <c r="D28" s="107" t="s">
        <v>4</v>
      </c>
      <c r="E28" s="120">
        <f t="shared" ref="E28:E33" si="19">B28</f>
        <v>12</v>
      </c>
      <c r="F28" s="74">
        <v>576</v>
      </c>
      <c r="G28" s="108">
        <v>1597650</v>
      </c>
      <c r="H28" s="108">
        <f t="shared" si="16"/>
        <v>2773.6979166666665</v>
      </c>
      <c r="I28" s="108">
        <v>833920</v>
      </c>
      <c r="J28" s="109">
        <f t="shared" si="17"/>
        <v>1447.7777777777778</v>
      </c>
      <c r="K28" s="108">
        <v>42570</v>
      </c>
      <c r="L28" s="109">
        <v>0</v>
      </c>
      <c r="M28" s="110">
        <f t="shared" ref="M28:M34" si="20">G28+I28+K28+L28</f>
        <v>2474140</v>
      </c>
      <c r="N28" s="111">
        <f t="shared" si="18"/>
        <v>4295.3819444444443</v>
      </c>
      <c r="O28" s="111"/>
      <c r="P28" s="111"/>
      <c r="Q28" s="111"/>
      <c r="R28" s="111"/>
      <c r="S28" s="112" t="e">
        <f t="shared" ref="S28:S34" si="21">M28/R28</f>
        <v>#DIV/0!</v>
      </c>
      <c r="U28" s="248">
        <v>23.3</v>
      </c>
      <c r="V28" s="248">
        <v>34.1</v>
      </c>
      <c r="W28" s="441">
        <v>3</v>
      </c>
      <c r="X28" s="441">
        <v>3</v>
      </c>
      <c r="Y28" s="441">
        <v>3</v>
      </c>
      <c r="Z28" s="272">
        <f t="shared" ref="Z28:Z33" si="22">SUM(W28:Y28)/3</f>
        <v>3</v>
      </c>
      <c r="AB28" s="35" t="s">
        <v>125</v>
      </c>
      <c r="AD28" s="1">
        <v>4</v>
      </c>
      <c r="AI28" s="248">
        <v>23.1</v>
      </c>
      <c r="AJ28" s="248">
        <v>30.7</v>
      </c>
      <c r="AK28" s="432">
        <v>5</v>
      </c>
      <c r="AL28" s="256">
        <v>3</v>
      </c>
      <c r="AM28" s="256">
        <v>3</v>
      </c>
      <c r="AN28" s="272">
        <f t="shared" ref="AN28:AN33" si="23">SUM(AK28:AM28)/3</f>
        <v>3.6666666666666665</v>
      </c>
      <c r="AP28" s="35" t="s">
        <v>125</v>
      </c>
      <c r="AR28" s="1">
        <v>4</v>
      </c>
    </row>
    <row r="29" spans="1:46" ht="23.5" customHeight="1" x14ac:dyDescent="0.25">
      <c r="A29" s="55" t="s">
        <v>5</v>
      </c>
      <c r="B29" s="50">
        <v>13</v>
      </c>
      <c r="C29" s="42"/>
      <c r="D29" s="103" t="s">
        <v>5</v>
      </c>
      <c r="E29" s="120">
        <f t="shared" si="19"/>
        <v>13</v>
      </c>
      <c r="F29" s="74">
        <v>289</v>
      </c>
      <c r="G29" s="108">
        <v>821850</v>
      </c>
      <c r="H29" s="108">
        <f t="shared" si="16"/>
        <v>2843.7716262975778</v>
      </c>
      <c r="I29" s="108">
        <v>436550</v>
      </c>
      <c r="J29" s="109">
        <f t="shared" si="17"/>
        <v>1510.5536332179931</v>
      </c>
      <c r="K29" s="108">
        <v>20570</v>
      </c>
      <c r="L29" s="109">
        <v>0</v>
      </c>
      <c r="M29" s="110">
        <f t="shared" si="20"/>
        <v>1278970</v>
      </c>
      <c r="N29" s="111">
        <f t="shared" si="18"/>
        <v>4425.501730103806</v>
      </c>
      <c r="O29" s="111"/>
      <c r="P29" s="111"/>
      <c r="Q29" s="111"/>
      <c r="R29" s="111"/>
      <c r="S29" s="112" t="e">
        <f t="shared" si="21"/>
        <v>#DIV/0!</v>
      </c>
      <c r="U29" s="248">
        <v>25.7</v>
      </c>
      <c r="V29" s="248">
        <v>28.5</v>
      </c>
      <c r="W29" s="419">
        <v>1</v>
      </c>
      <c r="X29" s="419">
        <v>1</v>
      </c>
      <c r="Y29" s="419">
        <v>1</v>
      </c>
      <c r="Z29" s="272">
        <f t="shared" si="22"/>
        <v>1</v>
      </c>
      <c r="AB29" s="35" t="s">
        <v>129</v>
      </c>
      <c r="AD29" s="1">
        <v>3</v>
      </c>
      <c r="AI29" s="248">
        <v>22.5</v>
      </c>
      <c r="AJ29" s="248">
        <v>30</v>
      </c>
      <c r="AK29" s="432">
        <v>5</v>
      </c>
      <c r="AL29" s="256">
        <v>3</v>
      </c>
      <c r="AM29" s="256">
        <v>3</v>
      </c>
      <c r="AN29" s="272">
        <f t="shared" si="23"/>
        <v>3.6666666666666665</v>
      </c>
      <c r="AP29" s="35" t="s">
        <v>129</v>
      </c>
      <c r="AR29" s="1">
        <v>3</v>
      </c>
    </row>
    <row r="30" spans="1:46" ht="23.5" customHeight="1" x14ac:dyDescent="0.25">
      <c r="A30" s="55" t="s">
        <v>6</v>
      </c>
      <c r="B30" s="50">
        <v>14</v>
      </c>
      <c r="C30" s="42"/>
      <c r="D30" s="103" t="s">
        <v>6</v>
      </c>
      <c r="E30" s="120">
        <f t="shared" si="19"/>
        <v>14</v>
      </c>
      <c r="F30" s="74">
        <v>283</v>
      </c>
      <c r="G30" s="108">
        <v>713750</v>
      </c>
      <c r="H30" s="108">
        <f t="shared" si="16"/>
        <v>2522.0848056537102</v>
      </c>
      <c r="I30" s="108">
        <f>416150+600</f>
        <v>416750</v>
      </c>
      <c r="J30" s="109">
        <f t="shared" si="17"/>
        <v>1472.6148409893992</v>
      </c>
      <c r="K30" s="108">
        <v>26950</v>
      </c>
      <c r="L30" s="109">
        <v>0</v>
      </c>
      <c r="M30" s="110">
        <f t="shared" si="20"/>
        <v>1157450</v>
      </c>
      <c r="N30" s="111">
        <f t="shared" si="18"/>
        <v>4089.9293286219081</v>
      </c>
      <c r="O30" s="111"/>
      <c r="P30" s="111"/>
      <c r="Q30" s="111"/>
      <c r="R30" s="111"/>
      <c r="S30" s="112" t="e">
        <f t="shared" si="21"/>
        <v>#DIV/0!</v>
      </c>
      <c r="U30" s="248">
        <v>24.7</v>
      </c>
      <c r="V30" s="248">
        <v>28.5</v>
      </c>
      <c r="W30" s="419">
        <v>1</v>
      </c>
      <c r="X30" s="419">
        <v>1</v>
      </c>
      <c r="Y30" s="419">
        <v>1</v>
      </c>
      <c r="Z30" s="272">
        <f t="shared" si="22"/>
        <v>1</v>
      </c>
      <c r="AB30" s="35" t="s">
        <v>121</v>
      </c>
      <c r="AD30" s="1">
        <v>2</v>
      </c>
      <c r="AI30" s="248">
        <v>23.2</v>
      </c>
      <c r="AJ30" s="248">
        <v>26.5</v>
      </c>
      <c r="AK30" s="419">
        <v>1</v>
      </c>
      <c r="AL30" s="419">
        <v>1</v>
      </c>
      <c r="AM30" s="256">
        <v>3</v>
      </c>
      <c r="AN30" s="272">
        <f t="shared" si="23"/>
        <v>1.6666666666666667</v>
      </c>
      <c r="AP30" s="35" t="s">
        <v>121</v>
      </c>
      <c r="AR30" s="1">
        <v>2</v>
      </c>
    </row>
    <row r="31" spans="1:46" ht="23.5" customHeight="1" x14ac:dyDescent="0.25">
      <c r="A31" s="55" t="s">
        <v>7</v>
      </c>
      <c r="B31" s="50">
        <v>15</v>
      </c>
      <c r="C31" s="42"/>
      <c r="D31" s="103" t="s">
        <v>7</v>
      </c>
      <c r="E31" s="120">
        <f t="shared" si="19"/>
        <v>15</v>
      </c>
      <c r="F31" s="74">
        <v>610</v>
      </c>
      <c r="G31" s="108">
        <v>1585650</v>
      </c>
      <c r="H31" s="108">
        <f t="shared" si="16"/>
        <v>2599.4262295081967</v>
      </c>
      <c r="I31" s="108">
        <v>920950</v>
      </c>
      <c r="J31" s="109">
        <f t="shared" si="17"/>
        <v>1509.7540983606557</v>
      </c>
      <c r="K31" s="108">
        <v>43340</v>
      </c>
      <c r="L31" s="109">
        <v>0</v>
      </c>
      <c r="M31" s="110">
        <f t="shared" si="20"/>
        <v>2549940</v>
      </c>
      <c r="N31" s="111">
        <f t="shared" si="18"/>
        <v>4180.2295081967213</v>
      </c>
      <c r="O31" s="111"/>
      <c r="P31" s="111"/>
      <c r="Q31" s="111"/>
      <c r="R31" s="111"/>
      <c r="S31" s="112" t="e">
        <f t="shared" si="21"/>
        <v>#DIV/0!</v>
      </c>
      <c r="U31" s="248">
        <v>22.3</v>
      </c>
      <c r="V31" s="248">
        <v>27.6</v>
      </c>
      <c r="W31" s="440">
        <v>5</v>
      </c>
      <c r="X31" s="419">
        <v>1</v>
      </c>
      <c r="Y31" s="440">
        <v>5</v>
      </c>
      <c r="Z31" s="272">
        <f t="shared" si="22"/>
        <v>3.6666666666666665</v>
      </c>
      <c r="AB31" s="35" t="s">
        <v>122</v>
      </c>
      <c r="AD31" s="1">
        <v>1</v>
      </c>
      <c r="AI31" s="248">
        <v>25.2</v>
      </c>
      <c r="AJ31" s="248">
        <v>31.1</v>
      </c>
      <c r="AK31" s="432">
        <v>5</v>
      </c>
      <c r="AL31" s="419">
        <v>1</v>
      </c>
      <c r="AM31" s="419">
        <v>1</v>
      </c>
      <c r="AN31" s="272">
        <f t="shared" si="23"/>
        <v>2.3333333333333335</v>
      </c>
      <c r="AP31" s="35" t="s">
        <v>122</v>
      </c>
      <c r="AR31" s="1">
        <v>1</v>
      </c>
    </row>
    <row r="32" spans="1:46" ht="23.5" customHeight="1" x14ac:dyDescent="0.25">
      <c r="A32" s="55" t="s">
        <v>8</v>
      </c>
      <c r="B32" s="50">
        <v>16</v>
      </c>
      <c r="C32" s="42"/>
      <c r="D32" s="103" t="s">
        <v>8</v>
      </c>
      <c r="E32" s="120">
        <f t="shared" si="19"/>
        <v>16</v>
      </c>
      <c r="F32" s="74">
        <v>628</v>
      </c>
      <c r="G32" s="108">
        <v>1747950</v>
      </c>
      <c r="H32" s="108">
        <f t="shared" si="16"/>
        <v>2783.3598726114651</v>
      </c>
      <c r="I32" s="108">
        <v>997050</v>
      </c>
      <c r="J32" s="109">
        <f t="shared" si="17"/>
        <v>1587.6592356687897</v>
      </c>
      <c r="K32" s="108">
        <v>34430</v>
      </c>
      <c r="L32" s="109">
        <v>2970</v>
      </c>
      <c r="M32" s="110">
        <f t="shared" si="20"/>
        <v>2782400</v>
      </c>
      <c r="N32" s="111">
        <f t="shared" si="18"/>
        <v>4430.5732484076434</v>
      </c>
      <c r="O32" s="111"/>
      <c r="P32" s="111"/>
      <c r="Q32" s="111"/>
      <c r="R32" s="111"/>
      <c r="S32" s="112" t="e">
        <f t="shared" si="21"/>
        <v>#DIV/0!</v>
      </c>
      <c r="U32" s="248">
        <v>23</v>
      </c>
      <c r="V32" s="248">
        <v>29.3</v>
      </c>
      <c r="W32" s="441">
        <v>3</v>
      </c>
      <c r="X32" s="441">
        <v>3</v>
      </c>
      <c r="Y32" s="441">
        <v>3</v>
      </c>
      <c r="Z32" s="272">
        <f t="shared" si="22"/>
        <v>3</v>
      </c>
      <c r="AB32" s="35" t="s">
        <v>127</v>
      </c>
      <c r="AD32" s="1">
        <v>0</v>
      </c>
      <c r="AI32" s="248">
        <v>23.4</v>
      </c>
      <c r="AJ32" s="248">
        <v>31</v>
      </c>
      <c r="AK32" s="256">
        <v>3</v>
      </c>
      <c r="AL32" s="419">
        <v>1</v>
      </c>
      <c r="AM32" s="256">
        <v>3</v>
      </c>
      <c r="AN32" s="272">
        <f t="shared" si="23"/>
        <v>2.3333333333333335</v>
      </c>
      <c r="AP32" s="35" t="s">
        <v>127</v>
      </c>
      <c r="AR32" s="1">
        <v>0</v>
      </c>
    </row>
    <row r="33" spans="1:46" ht="23.5" customHeight="1" thickBot="1" x14ac:dyDescent="0.3">
      <c r="A33" s="56" t="s">
        <v>9</v>
      </c>
      <c r="B33" s="50">
        <v>17</v>
      </c>
      <c r="C33" s="42"/>
      <c r="D33" s="113" t="s">
        <v>9</v>
      </c>
      <c r="E33" s="120">
        <f t="shared" si="19"/>
        <v>17</v>
      </c>
      <c r="F33" s="74">
        <v>479</v>
      </c>
      <c r="G33" s="108">
        <v>1393000</v>
      </c>
      <c r="H33" s="108">
        <f t="shared" si="16"/>
        <v>2908.1419624217119</v>
      </c>
      <c r="I33" s="108">
        <v>745750</v>
      </c>
      <c r="J33" s="109">
        <f t="shared" si="17"/>
        <v>1556.8893528183717</v>
      </c>
      <c r="K33" s="108">
        <v>28050</v>
      </c>
      <c r="L33" s="109">
        <v>5940</v>
      </c>
      <c r="M33" s="110">
        <f t="shared" si="20"/>
        <v>2172740</v>
      </c>
      <c r="N33" s="111">
        <f t="shared" si="18"/>
        <v>4535.991649269311</v>
      </c>
      <c r="O33" s="111"/>
      <c r="P33" s="111"/>
      <c r="Q33" s="111"/>
      <c r="R33" s="111"/>
      <c r="S33" s="112" t="e">
        <f t="shared" si="21"/>
        <v>#DIV/0!</v>
      </c>
      <c r="U33" s="249">
        <v>23.2</v>
      </c>
      <c r="V33" s="249">
        <v>27.6</v>
      </c>
      <c r="W33" s="442">
        <v>3</v>
      </c>
      <c r="X33" s="441">
        <v>3</v>
      </c>
      <c r="Y33" s="440">
        <v>5</v>
      </c>
      <c r="Z33" s="273">
        <f t="shared" si="22"/>
        <v>3.6666666666666665</v>
      </c>
      <c r="AB33" s="1" t="s">
        <v>130</v>
      </c>
      <c r="AI33" s="249">
        <v>22.9</v>
      </c>
      <c r="AJ33" s="249">
        <v>32.200000000000003</v>
      </c>
      <c r="AK33" s="257">
        <v>3</v>
      </c>
      <c r="AL33" s="256">
        <v>3</v>
      </c>
      <c r="AM33" s="432">
        <v>5</v>
      </c>
      <c r="AN33" s="273">
        <f t="shared" si="23"/>
        <v>3.6666666666666665</v>
      </c>
      <c r="AP33" s="1" t="s">
        <v>130</v>
      </c>
    </row>
    <row r="34" spans="1:46" ht="39" customHeight="1" thickTop="1" thickBot="1" x14ac:dyDescent="0.3">
      <c r="A34" s="724" t="s">
        <v>13</v>
      </c>
      <c r="B34" s="725"/>
      <c r="C34" s="35" t="e">
        <f>#REF!</f>
        <v>#REF!</v>
      </c>
      <c r="D34" s="726" t="s">
        <v>13</v>
      </c>
      <c r="E34" s="727"/>
      <c r="F34" s="110">
        <f>SUM(F27:F33)</f>
        <v>3477</v>
      </c>
      <c r="G34" s="110">
        <f>SUM(G27:G33)</f>
        <v>9611200</v>
      </c>
      <c r="H34" s="110">
        <f t="shared" si="16"/>
        <v>2764.2220304860512</v>
      </c>
      <c r="I34" s="110">
        <f>SUM(I27:I33)</f>
        <v>5246580</v>
      </c>
      <c r="J34" s="74">
        <f t="shared" si="17"/>
        <v>1508.9387402933564</v>
      </c>
      <c r="K34" s="110">
        <f>SUM(K27:K33)</f>
        <v>233860</v>
      </c>
      <c r="L34" s="284">
        <f>SUM(L27:L33)</f>
        <v>17820</v>
      </c>
      <c r="M34" s="71">
        <f t="shared" si="20"/>
        <v>15109460</v>
      </c>
      <c r="N34" s="116">
        <f t="shared" si="18"/>
        <v>4345.5450100661492</v>
      </c>
      <c r="O34" s="116"/>
      <c r="P34" s="116"/>
      <c r="Q34" s="116"/>
      <c r="R34" s="116">
        <f>SUM(R27:R33)</f>
        <v>0</v>
      </c>
      <c r="S34" s="112" t="e">
        <f t="shared" si="21"/>
        <v>#DIV/0!</v>
      </c>
      <c r="T34" s="260">
        <v>7</v>
      </c>
      <c r="U34" s="291">
        <f>SUM(U27:U33)/T34</f>
        <v>23.471428571428572</v>
      </c>
      <c r="V34" s="292">
        <f>SUM(V27:V33)/T34</f>
        <v>29.285714285714285</v>
      </c>
      <c r="W34" s="305">
        <f>SUM(W27:W33)/T34</f>
        <v>3</v>
      </c>
      <c r="X34" s="305">
        <f>SUM(X27:X33)/T34</f>
        <v>2.4285714285714284</v>
      </c>
      <c r="Y34" s="305">
        <f>SUM(Y27:Y33)/T34</f>
        <v>3.2857142857142856</v>
      </c>
      <c r="Z34" s="306">
        <f>SUM(W34:Y34)/3</f>
        <v>2.9047619047619051</v>
      </c>
      <c r="AA34" s="260">
        <v>13</v>
      </c>
      <c r="AB34" s="761">
        <f>M34/T34</f>
        <v>2158494.2857142859</v>
      </c>
      <c r="AC34" s="762"/>
      <c r="AD34" s="762"/>
      <c r="AE34" s="762"/>
      <c r="AF34" s="763"/>
      <c r="AG34" s="434"/>
      <c r="AH34" s="282">
        <v>7</v>
      </c>
      <c r="AI34" s="291">
        <f>SUM(AI27:AI33)/AH34</f>
        <v>23.400000000000002</v>
      </c>
      <c r="AJ34" s="299">
        <f>SUM(AJ27:AJ33)/AH34</f>
        <v>30.285714285714285</v>
      </c>
      <c r="AK34" s="305">
        <f>SUM(AK27:AK33)/AH34</f>
        <v>3.5714285714285716</v>
      </c>
      <c r="AL34" s="305">
        <f>SUM(AL27:AL33)/AH34</f>
        <v>2.4285714285714284</v>
      </c>
      <c r="AM34" s="305">
        <f>SUM(AM27:AM33)/AH34</f>
        <v>3.2857142857142856</v>
      </c>
      <c r="AN34" s="306">
        <f>SUM(AK34:AM34)/3</f>
        <v>3.0952380952380949</v>
      </c>
      <c r="AO34" s="260">
        <v>13</v>
      </c>
      <c r="AP34" s="761">
        <f>AC34/AH34</f>
        <v>0</v>
      </c>
      <c r="AQ34" s="762"/>
      <c r="AR34" s="762"/>
      <c r="AS34" s="762"/>
      <c r="AT34" s="763"/>
    </row>
    <row r="35" spans="1:46" ht="23.5" customHeight="1" thickTop="1" x14ac:dyDescent="0.25">
      <c r="A35" s="710" t="s">
        <v>16</v>
      </c>
      <c r="B35" s="711"/>
      <c r="D35" s="713" t="s">
        <v>16</v>
      </c>
      <c r="E35" s="714"/>
      <c r="F35" s="714"/>
      <c r="G35" s="714"/>
      <c r="H35" s="714"/>
      <c r="I35" s="714"/>
      <c r="J35" s="714"/>
      <c r="K35" s="714"/>
      <c r="L35" s="714"/>
      <c r="M35" s="714"/>
      <c r="N35" s="714"/>
      <c r="O35" s="714"/>
      <c r="P35" s="714"/>
      <c r="Q35" s="714"/>
      <c r="R35" s="714"/>
      <c r="S35" s="715"/>
      <c r="U35" s="716" t="str">
        <f>D35</f>
        <v>4th week</v>
      </c>
      <c r="V35" s="716"/>
      <c r="W35" s="716"/>
      <c r="X35" s="716"/>
      <c r="Y35" s="716"/>
      <c r="Z35" s="716"/>
      <c r="AI35" s="716" t="str">
        <f>U35</f>
        <v>4th week</v>
      </c>
      <c r="AJ35" s="716"/>
      <c r="AK35" s="716"/>
      <c r="AL35" s="716"/>
      <c r="AM35" s="716"/>
      <c r="AN35" s="716"/>
    </row>
    <row r="36" spans="1:46" ht="23.5" customHeight="1" x14ac:dyDescent="0.25">
      <c r="A36" s="53" t="s">
        <v>10</v>
      </c>
      <c r="B36" s="37" t="s">
        <v>11</v>
      </c>
      <c r="C36" s="2" t="s">
        <v>35</v>
      </c>
      <c r="D36" s="103" t="s">
        <v>10</v>
      </c>
      <c r="E36" s="104" t="s">
        <v>11</v>
      </c>
      <c r="F36" s="104" t="s">
        <v>1</v>
      </c>
      <c r="G36" s="104" t="s">
        <v>30</v>
      </c>
      <c r="H36" s="104" t="s">
        <v>31</v>
      </c>
      <c r="I36" s="104" t="s">
        <v>28</v>
      </c>
      <c r="J36" s="104" t="s">
        <v>29</v>
      </c>
      <c r="K36" s="104" t="s">
        <v>72</v>
      </c>
      <c r="L36" s="104" t="s">
        <v>210</v>
      </c>
      <c r="M36" s="104" t="s">
        <v>71</v>
      </c>
      <c r="N36" s="105" t="s">
        <v>48</v>
      </c>
      <c r="O36" s="105"/>
      <c r="P36" s="105"/>
      <c r="Q36" s="105"/>
      <c r="R36" s="105" t="s">
        <v>74</v>
      </c>
      <c r="S36" s="106" t="s">
        <v>73</v>
      </c>
      <c r="U36" s="253" t="s">
        <v>116</v>
      </c>
      <c r="V36" s="254" t="s">
        <v>117</v>
      </c>
      <c r="W36" s="49" t="s">
        <v>118</v>
      </c>
      <c r="X36" s="49" t="s">
        <v>119</v>
      </c>
      <c r="Y36" s="49" t="s">
        <v>120</v>
      </c>
      <c r="Z36" s="255" t="s">
        <v>128</v>
      </c>
      <c r="AB36" s="1" t="s">
        <v>123</v>
      </c>
      <c r="AD36" s="36" t="s">
        <v>126</v>
      </c>
      <c r="AI36" s="253" t="s">
        <v>116</v>
      </c>
      <c r="AJ36" s="254" t="s">
        <v>117</v>
      </c>
      <c r="AK36" s="49" t="s">
        <v>118</v>
      </c>
      <c r="AL36" s="49" t="s">
        <v>119</v>
      </c>
      <c r="AM36" s="49" t="s">
        <v>120</v>
      </c>
      <c r="AN36" s="255" t="s">
        <v>128</v>
      </c>
      <c r="AP36" s="1" t="s">
        <v>123</v>
      </c>
      <c r="AR36" s="36" t="s">
        <v>126</v>
      </c>
    </row>
    <row r="37" spans="1:46" ht="23.5" customHeight="1" x14ac:dyDescent="0.25">
      <c r="A37" s="54" t="s">
        <v>3</v>
      </c>
      <c r="B37" s="50">
        <v>18</v>
      </c>
      <c r="C37" s="42"/>
      <c r="D37" s="107" t="s">
        <v>3</v>
      </c>
      <c r="E37" s="120">
        <f>B37</f>
        <v>18</v>
      </c>
      <c r="F37" s="74">
        <v>478</v>
      </c>
      <c r="G37" s="108">
        <v>1149200</v>
      </c>
      <c r="H37" s="108">
        <f t="shared" ref="H37:H44" si="24">G37/F37</f>
        <v>2404.1841004184103</v>
      </c>
      <c r="I37" s="108">
        <v>648950</v>
      </c>
      <c r="J37" s="109">
        <f t="shared" ref="J37:J44" si="25">I37/F37</f>
        <v>1357.6359832635983</v>
      </c>
      <c r="K37" s="108">
        <v>15400</v>
      </c>
      <c r="L37" s="109">
        <v>5940</v>
      </c>
      <c r="M37" s="110">
        <f>G37+I37+K37+L37</f>
        <v>1819490</v>
      </c>
      <c r="N37" s="111">
        <f t="shared" ref="N37:N44" si="26">M37/F37</f>
        <v>3806.4644351464435</v>
      </c>
      <c r="O37" s="111"/>
      <c r="P37" s="111"/>
      <c r="Q37" s="111"/>
      <c r="R37" s="111"/>
      <c r="S37" s="112" t="e">
        <f>M37/R37</f>
        <v>#DIV/0!</v>
      </c>
      <c r="U37" s="248">
        <v>22</v>
      </c>
      <c r="V37" s="248">
        <v>25.8</v>
      </c>
      <c r="W37" s="440">
        <v>5</v>
      </c>
      <c r="X37" s="440">
        <v>5</v>
      </c>
      <c r="Y37" s="440">
        <v>5</v>
      </c>
      <c r="Z37" s="272">
        <f>SUM(W37:Y37)/3</f>
        <v>5</v>
      </c>
      <c r="AB37" s="271" t="s">
        <v>124</v>
      </c>
      <c r="AC37" s="2"/>
      <c r="AD37" s="270">
        <v>5</v>
      </c>
      <c r="AI37" s="248">
        <v>24.4</v>
      </c>
      <c r="AJ37" s="248">
        <v>29.8</v>
      </c>
      <c r="AK37" s="419">
        <v>1</v>
      </c>
      <c r="AL37" s="432">
        <v>5</v>
      </c>
      <c r="AM37" s="256">
        <v>3</v>
      </c>
      <c r="AN37" s="272">
        <f>SUM(AK37:AM37)/3</f>
        <v>3</v>
      </c>
      <c r="AP37" s="271" t="s">
        <v>124</v>
      </c>
      <c r="AQ37" s="2"/>
      <c r="AR37" s="270">
        <v>5</v>
      </c>
    </row>
    <row r="38" spans="1:46" ht="23.5" customHeight="1" x14ac:dyDescent="0.25">
      <c r="A38" s="55" t="s">
        <v>4</v>
      </c>
      <c r="B38" s="50">
        <v>19</v>
      </c>
      <c r="C38" s="42"/>
      <c r="D38" s="103" t="s">
        <v>4</v>
      </c>
      <c r="E38" s="120">
        <f t="shared" ref="E38:E43" si="27">B38</f>
        <v>19</v>
      </c>
      <c r="F38" s="74">
        <v>279</v>
      </c>
      <c r="G38" s="108">
        <v>618650</v>
      </c>
      <c r="H38" s="108">
        <f t="shared" si="24"/>
        <v>2217.3835125448027</v>
      </c>
      <c r="I38" s="108">
        <v>344400</v>
      </c>
      <c r="J38" s="109">
        <f t="shared" si="25"/>
        <v>1234.4086021505377</v>
      </c>
      <c r="K38" s="108">
        <v>4400</v>
      </c>
      <c r="L38" s="109"/>
      <c r="M38" s="110">
        <f t="shared" ref="M38:M44" si="28">G38+I38+K38+L38</f>
        <v>967450</v>
      </c>
      <c r="N38" s="111">
        <f t="shared" si="26"/>
        <v>3467.5627240143367</v>
      </c>
      <c r="O38" s="111"/>
      <c r="P38" s="111"/>
      <c r="Q38" s="111"/>
      <c r="R38" s="111"/>
      <c r="S38" s="112" t="e">
        <f t="shared" ref="S38:S44" si="29">M38/R38</f>
        <v>#DIV/0!</v>
      </c>
      <c r="U38" s="248">
        <v>20</v>
      </c>
      <c r="V38" s="248">
        <v>29.4</v>
      </c>
      <c r="W38" s="440">
        <v>5</v>
      </c>
      <c r="X38" s="441">
        <v>3</v>
      </c>
      <c r="Y38" s="441">
        <v>3</v>
      </c>
      <c r="Z38" s="272">
        <f t="shared" ref="Z38:Z43" si="30">SUM(W38:Y38)/3</f>
        <v>3.6666666666666665</v>
      </c>
      <c r="AB38" s="35" t="s">
        <v>125</v>
      </c>
      <c r="AD38" s="1">
        <v>4</v>
      </c>
      <c r="AI38" s="248">
        <v>23.9</v>
      </c>
      <c r="AJ38" s="248">
        <v>32.4</v>
      </c>
      <c r="AK38" s="432">
        <v>5</v>
      </c>
      <c r="AL38" s="432">
        <v>5</v>
      </c>
      <c r="AM38" s="256">
        <v>4</v>
      </c>
      <c r="AN38" s="272">
        <f t="shared" ref="AN38:AN43" si="31">SUM(AK38:AM38)/3</f>
        <v>4.666666666666667</v>
      </c>
      <c r="AP38" s="35" t="s">
        <v>125</v>
      </c>
      <c r="AR38" s="1">
        <v>4</v>
      </c>
    </row>
    <row r="39" spans="1:46" ht="23.5" customHeight="1" x14ac:dyDescent="0.25">
      <c r="A39" s="55" t="s">
        <v>5</v>
      </c>
      <c r="B39" s="50">
        <v>20</v>
      </c>
      <c r="C39" s="42"/>
      <c r="D39" s="103" t="s">
        <v>5</v>
      </c>
      <c r="E39" s="120">
        <f t="shared" si="27"/>
        <v>20</v>
      </c>
      <c r="F39" s="74">
        <v>333</v>
      </c>
      <c r="G39" s="108">
        <v>984150</v>
      </c>
      <c r="H39" s="108">
        <f t="shared" si="24"/>
        <v>2955.4054054054054</v>
      </c>
      <c r="I39" s="108">
        <v>489750</v>
      </c>
      <c r="J39" s="109">
        <f t="shared" si="25"/>
        <v>1470.7207207207207</v>
      </c>
      <c r="K39" s="108">
        <v>37400</v>
      </c>
      <c r="L39" s="109"/>
      <c r="M39" s="110">
        <f t="shared" si="28"/>
        <v>1511300</v>
      </c>
      <c r="N39" s="111">
        <f t="shared" si="26"/>
        <v>4538.4384384384384</v>
      </c>
      <c r="O39" s="111"/>
      <c r="P39" s="111"/>
      <c r="Q39" s="111"/>
      <c r="R39" s="111"/>
      <c r="S39" s="112" t="e">
        <f t="shared" si="29"/>
        <v>#DIV/0!</v>
      </c>
      <c r="U39" s="248">
        <v>19.399999999999999</v>
      </c>
      <c r="V39" s="248">
        <v>25.1</v>
      </c>
      <c r="W39" s="419">
        <v>1</v>
      </c>
      <c r="X39" s="441">
        <v>3</v>
      </c>
      <c r="Y39" s="441">
        <v>3</v>
      </c>
      <c r="Z39" s="272">
        <f t="shared" si="30"/>
        <v>2.3333333333333335</v>
      </c>
      <c r="AB39" s="35" t="s">
        <v>129</v>
      </c>
      <c r="AD39" s="1">
        <v>3</v>
      </c>
      <c r="AI39" s="248">
        <v>24.7</v>
      </c>
      <c r="AJ39" s="248">
        <v>33.200000000000003</v>
      </c>
      <c r="AK39" s="256">
        <v>3</v>
      </c>
      <c r="AL39" s="256">
        <v>3</v>
      </c>
      <c r="AM39" s="256">
        <v>4</v>
      </c>
      <c r="AN39" s="272">
        <f t="shared" si="31"/>
        <v>3.3333333333333335</v>
      </c>
      <c r="AP39" s="35" t="s">
        <v>129</v>
      </c>
      <c r="AR39" s="1">
        <v>3</v>
      </c>
    </row>
    <row r="40" spans="1:46" ht="23.5" customHeight="1" x14ac:dyDescent="0.25">
      <c r="A40" s="55" t="s">
        <v>6</v>
      </c>
      <c r="B40" s="50">
        <v>21</v>
      </c>
      <c r="C40" s="42"/>
      <c r="D40" s="103" t="s">
        <v>6</v>
      </c>
      <c r="E40" s="120">
        <f t="shared" si="27"/>
        <v>21</v>
      </c>
      <c r="F40" s="74">
        <v>506</v>
      </c>
      <c r="G40" s="108">
        <v>1302600</v>
      </c>
      <c r="H40" s="108">
        <f t="shared" si="24"/>
        <v>2574.308300395257</v>
      </c>
      <c r="I40" s="108">
        <v>664850</v>
      </c>
      <c r="J40" s="109">
        <f t="shared" si="25"/>
        <v>1313.9328063241107</v>
      </c>
      <c r="K40" s="108">
        <v>20350</v>
      </c>
      <c r="L40" s="109"/>
      <c r="M40" s="110">
        <f t="shared" si="28"/>
        <v>1987800</v>
      </c>
      <c r="N40" s="111">
        <f t="shared" si="26"/>
        <v>3928.4584980237155</v>
      </c>
      <c r="O40" s="111"/>
      <c r="P40" s="111"/>
      <c r="Q40" s="111"/>
      <c r="R40" s="111"/>
      <c r="S40" s="112" t="e">
        <f t="shared" si="29"/>
        <v>#DIV/0!</v>
      </c>
      <c r="U40" s="248">
        <v>18.2</v>
      </c>
      <c r="V40" s="248">
        <v>28.7</v>
      </c>
      <c r="W40" s="440">
        <v>5</v>
      </c>
      <c r="X40" s="440">
        <v>5</v>
      </c>
      <c r="Y40" s="440">
        <v>5</v>
      </c>
      <c r="Z40" s="272">
        <f t="shared" si="30"/>
        <v>5</v>
      </c>
      <c r="AB40" s="35" t="s">
        <v>121</v>
      </c>
      <c r="AD40" s="1">
        <v>2</v>
      </c>
      <c r="AI40" s="248">
        <v>26.2</v>
      </c>
      <c r="AJ40" s="248">
        <v>36.299999999999997</v>
      </c>
      <c r="AK40" s="256">
        <v>3</v>
      </c>
      <c r="AL40" s="256">
        <v>3</v>
      </c>
      <c r="AM40" s="256">
        <v>4</v>
      </c>
      <c r="AN40" s="272">
        <f t="shared" si="31"/>
        <v>3.3333333333333335</v>
      </c>
      <c r="AP40" s="35" t="s">
        <v>121</v>
      </c>
      <c r="AR40" s="1">
        <v>2</v>
      </c>
    </row>
    <row r="41" spans="1:46" ht="23.5" customHeight="1" x14ac:dyDescent="0.25">
      <c r="A41" s="55" t="s">
        <v>7</v>
      </c>
      <c r="B41" s="50">
        <v>22</v>
      </c>
      <c r="C41" s="42"/>
      <c r="D41" s="103" t="s">
        <v>7</v>
      </c>
      <c r="E41" s="120">
        <f t="shared" si="27"/>
        <v>22</v>
      </c>
      <c r="F41" s="74">
        <v>244</v>
      </c>
      <c r="G41" s="108">
        <v>721350</v>
      </c>
      <c r="H41" s="108">
        <f t="shared" si="24"/>
        <v>2956.3524590163934</v>
      </c>
      <c r="I41" s="108">
        <v>388750</v>
      </c>
      <c r="J41" s="109">
        <f t="shared" si="25"/>
        <v>1593.2377049180327</v>
      </c>
      <c r="K41" s="108">
        <v>41250</v>
      </c>
      <c r="L41" s="109"/>
      <c r="M41" s="110">
        <f t="shared" si="28"/>
        <v>1151350</v>
      </c>
      <c r="N41" s="111">
        <f t="shared" si="26"/>
        <v>4718.6475409836066</v>
      </c>
      <c r="O41" s="111"/>
      <c r="P41" s="111"/>
      <c r="Q41" s="111"/>
      <c r="R41" s="111"/>
      <c r="S41" s="112" t="e">
        <f t="shared" si="29"/>
        <v>#DIV/0!</v>
      </c>
      <c r="U41" s="248">
        <v>19.600000000000001</v>
      </c>
      <c r="V41" s="248">
        <v>25.7</v>
      </c>
      <c r="W41" s="441">
        <v>3</v>
      </c>
      <c r="X41" s="419">
        <v>1</v>
      </c>
      <c r="Y41" s="419">
        <v>1</v>
      </c>
      <c r="Z41" s="272">
        <f t="shared" si="30"/>
        <v>1.6666666666666667</v>
      </c>
      <c r="AB41" s="35" t="s">
        <v>122</v>
      </c>
      <c r="AD41" s="1">
        <v>1</v>
      </c>
      <c r="AI41" s="248">
        <v>26.3</v>
      </c>
      <c r="AJ41" s="248">
        <v>35</v>
      </c>
      <c r="AK41" s="256">
        <v>3</v>
      </c>
      <c r="AL41" s="419">
        <v>1</v>
      </c>
      <c r="AM41" s="256">
        <v>4</v>
      </c>
      <c r="AN41" s="272">
        <f t="shared" si="31"/>
        <v>2.6666666666666665</v>
      </c>
      <c r="AP41" s="35" t="s">
        <v>122</v>
      </c>
      <c r="AR41" s="1">
        <v>1</v>
      </c>
    </row>
    <row r="42" spans="1:46" ht="23.5" customHeight="1" x14ac:dyDescent="0.25">
      <c r="A42" s="55" t="s">
        <v>8</v>
      </c>
      <c r="B42" s="50">
        <v>23</v>
      </c>
      <c r="C42" s="42"/>
      <c r="D42" s="103" t="s">
        <v>8</v>
      </c>
      <c r="E42" s="120">
        <f t="shared" si="27"/>
        <v>23</v>
      </c>
      <c r="F42" s="74">
        <v>383</v>
      </c>
      <c r="G42" s="109">
        <v>1116150</v>
      </c>
      <c r="H42" s="109">
        <f t="shared" si="24"/>
        <v>2914.2297650130549</v>
      </c>
      <c r="I42" s="109">
        <v>576300</v>
      </c>
      <c r="J42" s="109">
        <f t="shared" si="25"/>
        <v>1504.6997389033943</v>
      </c>
      <c r="K42" s="109">
        <v>36960</v>
      </c>
      <c r="L42" s="109"/>
      <c r="M42" s="74">
        <f t="shared" si="28"/>
        <v>1729410</v>
      </c>
      <c r="N42" s="111">
        <f t="shared" si="26"/>
        <v>4515.4308093994778</v>
      </c>
      <c r="O42" s="111"/>
      <c r="P42" s="111"/>
      <c r="Q42" s="111"/>
      <c r="R42" s="111"/>
      <c r="S42" s="112" t="e">
        <f t="shared" si="29"/>
        <v>#DIV/0!</v>
      </c>
      <c r="U42" s="248">
        <v>22.5</v>
      </c>
      <c r="V42" s="248">
        <v>30.7</v>
      </c>
      <c r="W42" s="419">
        <v>1</v>
      </c>
      <c r="X42" s="419">
        <v>1</v>
      </c>
      <c r="Y42" s="419">
        <v>1</v>
      </c>
      <c r="Z42" s="272">
        <f t="shared" si="30"/>
        <v>1</v>
      </c>
      <c r="AB42" s="35" t="s">
        <v>127</v>
      </c>
      <c r="AD42" s="1">
        <v>0</v>
      </c>
      <c r="AI42" s="248">
        <v>26</v>
      </c>
      <c r="AJ42" s="248">
        <v>34.700000000000003</v>
      </c>
      <c r="AK42" s="256">
        <v>3</v>
      </c>
      <c r="AL42" s="256">
        <v>3</v>
      </c>
      <c r="AM42" s="256">
        <v>4</v>
      </c>
      <c r="AN42" s="272">
        <f t="shared" si="31"/>
        <v>3.3333333333333335</v>
      </c>
      <c r="AP42" s="35" t="s">
        <v>127</v>
      </c>
      <c r="AR42" s="1">
        <v>0</v>
      </c>
    </row>
    <row r="43" spans="1:46" ht="23.5" customHeight="1" thickBot="1" x14ac:dyDescent="0.3">
      <c r="A43" s="56" t="s">
        <v>9</v>
      </c>
      <c r="B43" s="50">
        <v>24</v>
      </c>
      <c r="C43" s="42"/>
      <c r="D43" s="113" t="s">
        <v>9</v>
      </c>
      <c r="E43" s="120">
        <f t="shared" si="27"/>
        <v>24</v>
      </c>
      <c r="F43" s="74">
        <v>572</v>
      </c>
      <c r="G43" s="109">
        <v>1595750</v>
      </c>
      <c r="H43" s="109">
        <f t="shared" si="24"/>
        <v>2789.7727272727275</v>
      </c>
      <c r="I43" s="109">
        <v>884020</v>
      </c>
      <c r="J43" s="109">
        <f t="shared" si="25"/>
        <v>1545.4895104895104</v>
      </c>
      <c r="K43" s="109">
        <v>63030</v>
      </c>
      <c r="L43" s="109">
        <v>5940</v>
      </c>
      <c r="M43" s="74">
        <f t="shared" si="28"/>
        <v>2548740</v>
      </c>
      <c r="N43" s="111">
        <f t="shared" si="26"/>
        <v>4455.8391608391612</v>
      </c>
      <c r="O43" s="111"/>
      <c r="P43" s="111"/>
      <c r="Q43" s="111"/>
      <c r="R43" s="111"/>
      <c r="S43" s="112" t="e">
        <f t="shared" si="29"/>
        <v>#DIV/0!</v>
      </c>
      <c r="U43" s="249">
        <v>25.3</v>
      </c>
      <c r="V43" s="249">
        <v>29</v>
      </c>
      <c r="W43" s="440">
        <v>5</v>
      </c>
      <c r="X43" s="440">
        <v>5</v>
      </c>
      <c r="Y43" s="440">
        <v>5</v>
      </c>
      <c r="Z43" s="273">
        <f t="shared" si="30"/>
        <v>5</v>
      </c>
      <c r="AB43" s="1" t="s">
        <v>130</v>
      </c>
      <c r="AI43" s="249">
        <v>26.7</v>
      </c>
      <c r="AJ43" s="249">
        <v>35.6</v>
      </c>
      <c r="AK43" s="257">
        <v>3</v>
      </c>
      <c r="AL43" s="256">
        <v>3</v>
      </c>
      <c r="AM43" s="256">
        <v>4</v>
      </c>
      <c r="AN43" s="273">
        <f t="shared" si="31"/>
        <v>3.3333333333333335</v>
      </c>
      <c r="AP43" s="1" t="s">
        <v>130</v>
      </c>
    </row>
    <row r="44" spans="1:46" ht="39" customHeight="1" thickTop="1" thickBot="1" x14ac:dyDescent="0.3">
      <c r="A44" s="724" t="s">
        <v>13</v>
      </c>
      <c r="B44" s="725"/>
      <c r="C44" s="35" t="e">
        <f>#REF!</f>
        <v>#REF!</v>
      </c>
      <c r="D44" s="726" t="s">
        <v>13</v>
      </c>
      <c r="E44" s="727"/>
      <c r="F44" s="121">
        <f>SUM(F37:F43)</f>
        <v>2795</v>
      </c>
      <c r="G44" s="121">
        <f>SUM(G37:G43)</f>
        <v>7487850</v>
      </c>
      <c r="H44" s="121">
        <f t="shared" si="24"/>
        <v>2679.0161001788911</v>
      </c>
      <c r="I44" s="121">
        <f>SUM(I37:I43)</f>
        <v>3997020</v>
      </c>
      <c r="J44" s="122">
        <f t="shared" si="25"/>
        <v>1430.0608228980323</v>
      </c>
      <c r="K44" s="110">
        <f>SUM(K37:K43)</f>
        <v>218790</v>
      </c>
      <c r="L44" s="284">
        <f>SUM(L37:L43)</f>
        <v>11880</v>
      </c>
      <c r="M44" s="110">
        <f t="shared" si="28"/>
        <v>11715540</v>
      </c>
      <c r="N44" s="123">
        <f t="shared" si="26"/>
        <v>4191.6064400715568</v>
      </c>
      <c r="O44" s="123"/>
      <c r="P44" s="123"/>
      <c r="Q44" s="123"/>
      <c r="R44" s="116">
        <f>SUM(R37:R43)</f>
        <v>0</v>
      </c>
      <c r="S44" s="124" t="e">
        <f t="shared" si="29"/>
        <v>#DIV/0!</v>
      </c>
      <c r="T44" s="260">
        <v>7</v>
      </c>
      <c r="U44" s="291">
        <f>SUM(U37:U43)/T44</f>
        <v>21</v>
      </c>
      <c r="V44" s="292">
        <f>SUM(V37:V43)/T44</f>
        <v>27.771428571428572</v>
      </c>
      <c r="W44" s="305">
        <f>SUM(W37:W43)/T44</f>
        <v>3.5714285714285716</v>
      </c>
      <c r="X44" s="305">
        <f>SUM(X37:X43)/T44</f>
        <v>3.2857142857142856</v>
      </c>
      <c r="Y44" s="305">
        <f>SUM(Y37:Y43)/T44</f>
        <v>3.2857142857142856</v>
      </c>
      <c r="Z44" s="306">
        <f>SUM(W44:Y44)/3</f>
        <v>3.3809523809523809</v>
      </c>
      <c r="AA44" s="260">
        <v>14</v>
      </c>
      <c r="AB44" s="761">
        <f>M44/T44</f>
        <v>1673648.5714285714</v>
      </c>
      <c r="AC44" s="762"/>
      <c r="AD44" s="762"/>
      <c r="AE44" s="762"/>
      <c r="AF44" s="763"/>
      <c r="AG44" s="434"/>
      <c r="AH44" s="282">
        <v>7</v>
      </c>
      <c r="AI44" s="291">
        <f>SUM(AI37:AI43)/AH44</f>
        <v>25.457142857142856</v>
      </c>
      <c r="AJ44" s="299">
        <f>SUM(AJ37:AJ43)/AH44</f>
        <v>33.857142857142854</v>
      </c>
      <c r="AK44" s="305">
        <f>SUM(AK37:AK43)/AH44</f>
        <v>3</v>
      </c>
      <c r="AL44" s="305">
        <f>SUM(AL37:AL43)/AH44</f>
        <v>3.2857142857142856</v>
      </c>
      <c r="AM44" s="305">
        <f>SUM(AM37:AM43)/AH44</f>
        <v>3.8571428571428572</v>
      </c>
      <c r="AN44" s="306">
        <f>SUM(AK44:AM44)/3</f>
        <v>3.3809523809523809</v>
      </c>
      <c r="AO44" s="260">
        <v>14</v>
      </c>
      <c r="AP44" s="761">
        <f>AC44/AH44</f>
        <v>0</v>
      </c>
      <c r="AQ44" s="762"/>
      <c r="AR44" s="762"/>
      <c r="AS44" s="762"/>
      <c r="AT44" s="763"/>
    </row>
    <row r="45" spans="1:46" ht="23.5" customHeight="1" thickTop="1" x14ac:dyDescent="0.25">
      <c r="A45" s="710" t="s">
        <v>17</v>
      </c>
      <c r="B45" s="711"/>
      <c r="D45" s="713" t="s">
        <v>17</v>
      </c>
      <c r="E45" s="714"/>
      <c r="F45" s="714"/>
      <c r="G45" s="714"/>
      <c r="H45" s="714"/>
      <c r="I45" s="714"/>
      <c r="J45" s="714"/>
      <c r="K45" s="714"/>
      <c r="L45" s="714"/>
      <c r="M45" s="714"/>
      <c r="N45" s="714"/>
      <c r="O45" s="714"/>
      <c r="P45" s="714"/>
      <c r="Q45" s="714"/>
      <c r="R45" s="714"/>
      <c r="S45" s="715"/>
      <c r="U45" s="716" t="str">
        <f>D45</f>
        <v>5th week</v>
      </c>
      <c r="V45" s="716"/>
      <c r="W45" s="716"/>
      <c r="X45" s="716"/>
      <c r="Y45" s="716"/>
      <c r="Z45" s="716"/>
      <c r="AI45" s="716" t="str">
        <f>U45</f>
        <v>5th week</v>
      </c>
      <c r="AJ45" s="716"/>
      <c r="AK45" s="716"/>
      <c r="AL45" s="716"/>
      <c r="AM45" s="716"/>
      <c r="AN45" s="716"/>
    </row>
    <row r="46" spans="1:46" ht="23.5" customHeight="1" x14ac:dyDescent="0.25">
      <c r="A46" s="53" t="s">
        <v>10</v>
      </c>
      <c r="B46" s="37" t="s">
        <v>11</v>
      </c>
      <c r="C46" s="2" t="s">
        <v>35</v>
      </c>
      <c r="D46" s="103" t="s">
        <v>10</v>
      </c>
      <c r="E46" s="104" t="s">
        <v>11</v>
      </c>
      <c r="F46" s="104" t="s">
        <v>1</v>
      </c>
      <c r="G46" s="104" t="s">
        <v>30</v>
      </c>
      <c r="H46" s="104" t="s">
        <v>31</v>
      </c>
      <c r="I46" s="104" t="s">
        <v>28</v>
      </c>
      <c r="J46" s="104" t="s">
        <v>29</v>
      </c>
      <c r="K46" s="104" t="s">
        <v>72</v>
      </c>
      <c r="L46" s="435" t="s">
        <v>209</v>
      </c>
      <c r="M46" s="104" t="s">
        <v>71</v>
      </c>
      <c r="N46" s="105" t="s">
        <v>48</v>
      </c>
      <c r="O46" s="105"/>
      <c r="P46" s="105"/>
      <c r="Q46" s="105"/>
      <c r="R46" s="105" t="s">
        <v>74</v>
      </c>
      <c r="S46" s="106" t="s">
        <v>73</v>
      </c>
      <c r="U46" s="253" t="s">
        <v>116</v>
      </c>
      <c r="V46" s="254" t="s">
        <v>117</v>
      </c>
      <c r="W46" s="49" t="s">
        <v>118</v>
      </c>
      <c r="X46" s="49" t="s">
        <v>119</v>
      </c>
      <c r="Y46" s="49" t="s">
        <v>120</v>
      </c>
      <c r="Z46" s="255" t="s">
        <v>128</v>
      </c>
      <c r="AB46" s="1" t="s">
        <v>123</v>
      </c>
      <c r="AD46" s="36" t="s">
        <v>126</v>
      </c>
      <c r="AI46" s="253" t="s">
        <v>116</v>
      </c>
      <c r="AJ46" s="254" t="s">
        <v>117</v>
      </c>
      <c r="AK46" s="49" t="s">
        <v>118</v>
      </c>
      <c r="AL46" s="49" t="s">
        <v>119</v>
      </c>
      <c r="AM46" s="49" t="s">
        <v>120</v>
      </c>
      <c r="AN46" s="255" t="s">
        <v>128</v>
      </c>
      <c r="AP46" s="1" t="s">
        <v>123</v>
      </c>
      <c r="AR46" s="36" t="s">
        <v>126</v>
      </c>
    </row>
    <row r="47" spans="1:46" ht="23.5" customHeight="1" x14ac:dyDescent="0.25">
      <c r="A47" s="54" t="s">
        <v>3</v>
      </c>
      <c r="B47" s="50">
        <v>25</v>
      </c>
      <c r="C47" s="42"/>
      <c r="D47" s="107" t="s">
        <v>3</v>
      </c>
      <c r="E47" s="120">
        <f>B47</f>
        <v>25</v>
      </c>
      <c r="F47" s="74">
        <v>659</v>
      </c>
      <c r="G47" s="109">
        <v>1393200</v>
      </c>
      <c r="H47" s="109">
        <f>G47/F47</f>
        <v>2114.112291350531</v>
      </c>
      <c r="I47" s="109">
        <v>794950</v>
      </c>
      <c r="J47" s="109">
        <f>I47/F47</f>
        <v>1206.2974203338392</v>
      </c>
      <c r="K47" s="109">
        <v>44660</v>
      </c>
      <c r="L47" s="437">
        <v>5940</v>
      </c>
      <c r="M47" s="74">
        <f>G47+I47+K47+L47</f>
        <v>2238750</v>
      </c>
      <c r="N47" s="111">
        <f t="shared" ref="N47:N54" si="32">M47/F47</f>
        <v>3397.1927162367224</v>
      </c>
      <c r="O47" s="111"/>
      <c r="P47" s="111"/>
      <c r="Q47" s="111"/>
      <c r="R47" s="111"/>
      <c r="S47" s="112" t="e">
        <f>M47/R47</f>
        <v>#DIV/0!</v>
      </c>
      <c r="U47" s="248">
        <v>20.2</v>
      </c>
      <c r="V47" s="248">
        <v>28.9</v>
      </c>
      <c r="W47" s="440">
        <v>5</v>
      </c>
      <c r="X47" s="441">
        <v>3</v>
      </c>
      <c r="Y47" s="441">
        <v>3</v>
      </c>
      <c r="Z47" s="272">
        <f>SUM(W47:Y47)/3</f>
        <v>3.6666666666666665</v>
      </c>
      <c r="AB47" s="271" t="s">
        <v>124</v>
      </c>
      <c r="AC47" s="2"/>
      <c r="AD47" s="270">
        <v>5</v>
      </c>
      <c r="AI47" s="248">
        <v>26.4</v>
      </c>
      <c r="AJ47" s="248">
        <v>30.7</v>
      </c>
      <c r="AK47" s="419">
        <v>1</v>
      </c>
      <c r="AL47" s="419">
        <v>1</v>
      </c>
      <c r="AM47" s="256">
        <v>3</v>
      </c>
      <c r="AN47" s="272">
        <f>SUM(AK47:AM47)/3</f>
        <v>1.6666666666666667</v>
      </c>
      <c r="AP47" s="271" t="s">
        <v>124</v>
      </c>
      <c r="AQ47" s="2"/>
      <c r="AR47" s="270">
        <v>5</v>
      </c>
    </row>
    <row r="48" spans="1:46" ht="23.5" customHeight="1" x14ac:dyDescent="0.25">
      <c r="A48" s="55" t="s">
        <v>4</v>
      </c>
      <c r="B48" s="50">
        <v>26</v>
      </c>
      <c r="C48" s="42"/>
      <c r="D48" s="103" t="s">
        <v>4</v>
      </c>
      <c r="E48" s="120">
        <f t="shared" ref="E48:E53" si="33">B48</f>
        <v>26</v>
      </c>
      <c r="F48" s="74">
        <v>202</v>
      </c>
      <c r="G48" s="109">
        <v>560400</v>
      </c>
      <c r="H48" s="109">
        <f t="shared" ref="H48:H53" si="34">G48/F48</f>
        <v>2774.2574257425745</v>
      </c>
      <c r="I48" s="109">
        <v>302700</v>
      </c>
      <c r="J48" s="109">
        <f t="shared" ref="J48:J53" si="35">I48/F48</f>
        <v>1498.5148514851485</v>
      </c>
      <c r="K48" s="109">
        <v>4950</v>
      </c>
      <c r="L48" s="437"/>
      <c r="M48" s="74">
        <f t="shared" ref="M48:M54" si="36">G48+I48+K48+L48</f>
        <v>868050</v>
      </c>
      <c r="N48" s="111">
        <f t="shared" si="32"/>
        <v>4297.2772277227723</v>
      </c>
      <c r="O48" s="111"/>
      <c r="P48" s="111"/>
      <c r="Q48" s="111"/>
      <c r="R48" s="111"/>
      <c r="S48" s="112" t="e">
        <f t="shared" ref="S48:S54" si="37">M48/R48</f>
        <v>#DIV/0!</v>
      </c>
      <c r="U48" s="248">
        <v>21.5</v>
      </c>
      <c r="V48" s="248">
        <v>28.3</v>
      </c>
      <c r="W48" s="441">
        <v>3</v>
      </c>
      <c r="X48" s="441">
        <v>3</v>
      </c>
      <c r="Y48" s="441">
        <v>3</v>
      </c>
      <c r="Z48" s="272">
        <f t="shared" ref="Z48:Z53" si="38">SUM(W48:Y48)/3</f>
        <v>3</v>
      </c>
      <c r="AB48" s="35" t="s">
        <v>125</v>
      </c>
      <c r="AD48" s="1">
        <v>4</v>
      </c>
      <c r="AI48" s="248">
        <v>23.3</v>
      </c>
      <c r="AJ48" s="248">
        <v>27.8</v>
      </c>
      <c r="AK48" s="432">
        <v>5</v>
      </c>
      <c r="AL48" s="432">
        <v>5</v>
      </c>
      <c r="AM48" s="432">
        <v>5</v>
      </c>
      <c r="AN48" s="272">
        <f t="shared" ref="AN48:AN53" si="39">SUM(AK48:AM48)/3</f>
        <v>5</v>
      </c>
      <c r="AP48" s="35" t="s">
        <v>125</v>
      </c>
      <c r="AR48" s="1">
        <v>4</v>
      </c>
    </row>
    <row r="49" spans="1:46" ht="23.5" customHeight="1" x14ac:dyDescent="0.25">
      <c r="A49" s="55" t="s">
        <v>5</v>
      </c>
      <c r="B49" s="50">
        <v>27</v>
      </c>
      <c r="C49" s="42"/>
      <c r="D49" s="103" t="s">
        <v>5</v>
      </c>
      <c r="E49" s="120">
        <f t="shared" si="33"/>
        <v>27</v>
      </c>
      <c r="F49" s="74">
        <v>100</v>
      </c>
      <c r="G49" s="109">
        <v>297950</v>
      </c>
      <c r="H49" s="109">
        <f t="shared" si="34"/>
        <v>2979.5</v>
      </c>
      <c r="I49" s="109">
        <v>164800</v>
      </c>
      <c r="J49" s="109">
        <f t="shared" si="35"/>
        <v>1648</v>
      </c>
      <c r="K49" s="445">
        <v>234596</v>
      </c>
      <c r="L49" s="437"/>
      <c r="M49" s="74">
        <f t="shared" si="36"/>
        <v>697346</v>
      </c>
      <c r="N49" s="111">
        <f t="shared" si="32"/>
        <v>6973.46</v>
      </c>
      <c r="O49" s="111"/>
      <c r="P49" s="111"/>
      <c r="Q49" s="111"/>
      <c r="R49" s="111"/>
      <c r="S49" s="112" t="e">
        <f t="shared" si="37"/>
        <v>#DIV/0!</v>
      </c>
      <c r="U49" s="248">
        <v>22.3</v>
      </c>
      <c r="V49" s="248">
        <v>25.2</v>
      </c>
      <c r="W49" s="419">
        <v>1</v>
      </c>
      <c r="X49" s="419">
        <v>1</v>
      </c>
      <c r="Y49" s="419">
        <v>1</v>
      </c>
      <c r="Z49" s="272">
        <f t="shared" si="38"/>
        <v>1</v>
      </c>
      <c r="AB49" s="35" t="s">
        <v>129</v>
      </c>
      <c r="AD49" s="1">
        <v>3</v>
      </c>
      <c r="AI49" s="248">
        <v>21.2</v>
      </c>
      <c r="AJ49" s="248">
        <v>27.2</v>
      </c>
      <c r="AK49" s="256">
        <v>3</v>
      </c>
      <c r="AL49" s="256">
        <v>3</v>
      </c>
      <c r="AM49" s="256">
        <v>3</v>
      </c>
      <c r="AN49" s="272">
        <f t="shared" si="39"/>
        <v>3</v>
      </c>
      <c r="AP49" s="35" t="s">
        <v>129</v>
      </c>
      <c r="AR49" s="1">
        <v>3</v>
      </c>
    </row>
    <row r="50" spans="1:46" ht="23.5" customHeight="1" x14ac:dyDescent="0.25">
      <c r="A50" s="55" t="s">
        <v>6</v>
      </c>
      <c r="B50" s="50">
        <v>28</v>
      </c>
      <c r="C50" s="42"/>
      <c r="D50" s="103" t="s">
        <v>6</v>
      </c>
      <c r="E50" s="120">
        <f t="shared" si="33"/>
        <v>28</v>
      </c>
      <c r="F50" s="74">
        <v>229</v>
      </c>
      <c r="G50" s="109">
        <v>602900</v>
      </c>
      <c r="H50" s="109">
        <f t="shared" si="34"/>
        <v>2632.7510917030568</v>
      </c>
      <c r="I50" s="109">
        <v>359350</v>
      </c>
      <c r="J50" s="109">
        <f t="shared" si="35"/>
        <v>1569.2139737991267</v>
      </c>
      <c r="K50" s="109">
        <v>28270</v>
      </c>
      <c r="L50" s="437"/>
      <c r="M50" s="74">
        <f t="shared" si="36"/>
        <v>990520</v>
      </c>
      <c r="N50" s="111">
        <f t="shared" si="32"/>
        <v>4325.4148471615717</v>
      </c>
      <c r="O50" s="111"/>
      <c r="P50" s="111"/>
      <c r="Q50" s="111"/>
      <c r="R50" s="111"/>
      <c r="S50" s="112" t="e">
        <f t="shared" si="37"/>
        <v>#DIV/0!</v>
      </c>
      <c r="U50" s="248">
        <v>19.5</v>
      </c>
      <c r="V50" s="248">
        <v>28.5</v>
      </c>
      <c r="W50" s="440">
        <v>5</v>
      </c>
      <c r="X50" s="440">
        <v>5</v>
      </c>
      <c r="Y50" s="441">
        <v>3</v>
      </c>
      <c r="Z50" s="272">
        <f t="shared" si="38"/>
        <v>4.333333333333333</v>
      </c>
      <c r="AB50" s="35" t="s">
        <v>121</v>
      </c>
      <c r="AD50" s="1">
        <v>2</v>
      </c>
      <c r="AI50" s="248">
        <v>22.3</v>
      </c>
      <c r="AJ50" s="248">
        <v>27.7</v>
      </c>
      <c r="AK50" s="432">
        <v>5</v>
      </c>
      <c r="AL50" s="432">
        <v>5</v>
      </c>
      <c r="AM50" s="432">
        <v>5</v>
      </c>
      <c r="AN50" s="272">
        <f t="shared" si="39"/>
        <v>5</v>
      </c>
      <c r="AP50" s="35" t="s">
        <v>121</v>
      </c>
      <c r="AR50" s="1">
        <v>2</v>
      </c>
    </row>
    <row r="51" spans="1:46" ht="23.5" customHeight="1" x14ac:dyDescent="0.25">
      <c r="A51" s="55" t="s">
        <v>7</v>
      </c>
      <c r="B51" s="50">
        <v>29</v>
      </c>
      <c r="C51" s="42"/>
      <c r="D51" s="103" t="s">
        <v>7</v>
      </c>
      <c r="E51" s="120">
        <f t="shared" si="33"/>
        <v>29</v>
      </c>
      <c r="F51" s="74">
        <v>249</v>
      </c>
      <c r="G51" s="109">
        <v>729600</v>
      </c>
      <c r="H51" s="109">
        <f t="shared" si="34"/>
        <v>2930.1204819277109</v>
      </c>
      <c r="I51" s="109">
        <v>399500</v>
      </c>
      <c r="J51" s="109">
        <f t="shared" si="35"/>
        <v>1604.4176706827309</v>
      </c>
      <c r="K51" s="109">
        <v>18040</v>
      </c>
      <c r="L51" s="437">
        <v>2970</v>
      </c>
      <c r="M51" s="74">
        <f t="shared" si="36"/>
        <v>1150110</v>
      </c>
      <c r="N51" s="111">
        <f t="shared" si="32"/>
        <v>4618.9156626506028</v>
      </c>
      <c r="O51" s="111"/>
      <c r="P51" s="111"/>
      <c r="Q51" s="111"/>
      <c r="R51" s="111"/>
      <c r="S51" s="112" t="e">
        <f t="shared" si="37"/>
        <v>#DIV/0!</v>
      </c>
      <c r="U51" s="248">
        <v>19.8</v>
      </c>
      <c r="V51" s="248">
        <v>30.6</v>
      </c>
      <c r="W51" s="440">
        <v>5</v>
      </c>
      <c r="X51" s="441">
        <v>3</v>
      </c>
      <c r="Y51" s="441">
        <v>3</v>
      </c>
      <c r="Z51" s="272">
        <f t="shared" si="38"/>
        <v>3.6666666666666665</v>
      </c>
      <c r="AB51" s="35" t="s">
        <v>122</v>
      </c>
      <c r="AD51" s="1">
        <v>1</v>
      </c>
      <c r="AI51" s="248">
        <v>23.5</v>
      </c>
      <c r="AJ51" s="248">
        <v>31.1</v>
      </c>
      <c r="AK51" s="432">
        <v>5</v>
      </c>
      <c r="AL51" s="432">
        <v>5</v>
      </c>
      <c r="AM51" s="256">
        <v>3</v>
      </c>
      <c r="AN51" s="272">
        <f t="shared" si="39"/>
        <v>4.333333333333333</v>
      </c>
      <c r="AP51" s="35" t="s">
        <v>122</v>
      </c>
      <c r="AR51" s="1">
        <v>1</v>
      </c>
    </row>
    <row r="52" spans="1:46" ht="23.5" customHeight="1" x14ac:dyDescent="0.25">
      <c r="A52" s="55" t="s">
        <v>8</v>
      </c>
      <c r="B52" s="50">
        <v>30</v>
      </c>
      <c r="C52" s="42"/>
      <c r="D52" s="103" t="s">
        <v>8</v>
      </c>
      <c r="E52" s="120">
        <f t="shared" si="33"/>
        <v>30</v>
      </c>
      <c r="F52" s="74">
        <v>371</v>
      </c>
      <c r="G52" s="109">
        <v>1347850</v>
      </c>
      <c r="H52" s="109">
        <f t="shared" si="34"/>
        <v>3633.0188679245284</v>
      </c>
      <c r="I52" s="109">
        <v>653450</v>
      </c>
      <c r="J52" s="109">
        <f t="shared" si="35"/>
        <v>1761.3207547169811</v>
      </c>
      <c r="K52" s="109">
        <v>25850</v>
      </c>
      <c r="L52" s="437"/>
      <c r="M52" s="74">
        <f>G52+I52+K52+L52</f>
        <v>2027150</v>
      </c>
      <c r="N52" s="457">
        <f t="shared" si="32"/>
        <v>5464.0161725067383</v>
      </c>
      <c r="O52" s="457"/>
      <c r="P52" s="457"/>
      <c r="Q52" s="457"/>
      <c r="R52" s="111"/>
      <c r="S52" s="112" t="e">
        <f t="shared" si="37"/>
        <v>#DIV/0!</v>
      </c>
      <c r="U52" s="248">
        <v>23.5</v>
      </c>
      <c r="V52" s="248">
        <v>30.3</v>
      </c>
      <c r="W52" s="440">
        <v>5</v>
      </c>
      <c r="X52" s="419">
        <v>1</v>
      </c>
      <c r="Y52" s="419">
        <v>1</v>
      </c>
      <c r="Z52" s="272">
        <f t="shared" si="38"/>
        <v>2.3333333333333335</v>
      </c>
      <c r="AB52" s="35" t="s">
        <v>127</v>
      </c>
      <c r="AD52" s="1">
        <v>0</v>
      </c>
      <c r="AI52" s="248"/>
      <c r="AJ52" s="248"/>
      <c r="AK52" s="256"/>
      <c r="AL52" s="256"/>
      <c r="AM52" s="256"/>
      <c r="AN52" s="272">
        <f t="shared" si="39"/>
        <v>0</v>
      </c>
      <c r="AP52" s="35" t="s">
        <v>127</v>
      </c>
      <c r="AR52" s="1">
        <v>0</v>
      </c>
    </row>
    <row r="53" spans="1:46" ht="23.5" customHeight="1" thickBot="1" x14ac:dyDescent="0.3">
      <c r="A53" s="56" t="s">
        <v>9</v>
      </c>
      <c r="B53" s="50">
        <v>31</v>
      </c>
      <c r="C53" s="42"/>
      <c r="D53" s="113" t="s">
        <v>9</v>
      </c>
      <c r="E53" s="120">
        <f t="shared" si="33"/>
        <v>31</v>
      </c>
      <c r="F53" s="74">
        <v>521</v>
      </c>
      <c r="G53" s="109">
        <v>1455450</v>
      </c>
      <c r="H53" s="109">
        <f t="shared" si="34"/>
        <v>2793.570057581574</v>
      </c>
      <c r="I53" s="109">
        <v>765150</v>
      </c>
      <c r="J53" s="109">
        <f t="shared" si="35"/>
        <v>1468.6180422264874</v>
      </c>
      <c r="K53" s="109">
        <v>66880</v>
      </c>
      <c r="L53" s="437"/>
      <c r="M53" s="74">
        <f t="shared" si="36"/>
        <v>2287480</v>
      </c>
      <c r="N53" s="111">
        <f t="shared" si="32"/>
        <v>4390.5566218809981</v>
      </c>
      <c r="O53" s="111"/>
      <c r="P53" s="111"/>
      <c r="Q53" s="111"/>
      <c r="R53" s="111"/>
      <c r="S53" s="112" t="e">
        <f t="shared" si="37"/>
        <v>#DIV/0!</v>
      </c>
      <c r="U53" s="249">
        <v>21.7</v>
      </c>
      <c r="V53" s="249">
        <v>28</v>
      </c>
      <c r="W53" s="419">
        <v>1</v>
      </c>
      <c r="X53" s="441">
        <v>3</v>
      </c>
      <c r="Y53" s="440">
        <v>5</v>
      </c>
      <c r="Z53" s="273">
        <f t="shared" si="38"/>
        <v>3</v>
      </c>
      <c r="AB53" s="1" t="s">
        <v>130</v>
      </c>
      <c r="AI53" s="249"/>
      <c r="AJ53" s="249"/>
      <c r="AK53" s="257"/>
      <c r="AL53" s="256"/>
      <c r="AM53" s="256"/>
      <c r="AN53" s="273">
        <f t="shared" si="39"/>
        <v>0</v>
      </c>
      <c r="AP53" s="1" t="s">
        <v>130</v>
      </c>
    </row>
    <row r="54" spans="1:46" ht="40" customHeight="1" thickTop="1" thickBot="1" x14ac:dyDescent="0.3">
      <c r="A54" s="724" t="s">
        <v>13</v>
      </c>
      <c r="B54" s="725"/>
      <c r="C54" s="35" t="e">
        <f>#REF!</f>
        <v>#REF!</v>
      </c>
      <c r="D54" s="726" t="s">
        <v>13</v>
      </c>
      <c r="E54" s="727"/>
      <c r="F54" s="121">
        <f>SUM(F47:F53)</f>
        <v>2331</v>
      </c>
      <c r="G54" s="121">
        <f>SUM(G47:G53)</f>
        <v>6387350</v>
      </c>
      <c r="H54" s="121">
        <f>G54/F54</f>
        <v>2740.1758901758903</v>
      </c>
      <c r="I54" s="121">
        <f>SUM(I47:I53)</f>
        <v>3439900</v>
      </c>
      <c r="J54" s="122">
        <f>I54/F54</f>
        <v>1475.7185757185757</v>
      </c>
      <c r="K54" s="110">
        <f>SUM(K47:K53)</f>
        <v>423246</v>
      </c>
      <c r="L54" s="262">
        <f>SUM(L47:L53)</f>
        <v>8910</v>
      </c>
      <c r="M54" s="110">
        <f t="shared" si="36"/>
        <v>10259406</v>
      </c>
      <c r="N54" s="123">
        <f t="shared" si="32"/>
        <v>4401.2895752895756</v>
      </c>
      <c r="O54" s="123"/>
      <c r="P54" s="123"/>
      <c r="Q54" s="123"/>
      <c r="R54" s="116">
        <f>SUM(R47:R53)</f>
        <v>0</v>
      </c>
      <c r="S54" s="124" t="e">
        <f t="shared" si="37"/>
        <v>#DIV/0!</v>
      </c>
      <c r="T54" s="260">
        <v>7</v>
      </c>
      <c r="U54" s="291">
        <f>SUM(U47:U53)/T54</f>
        <v>21.214285714285715</v>
      </c>
      <c r="V54" s="292">
        <f>SUM(V47:V53)/T54</f>
        <v>28.542857142857144</v>
      </c>
      <c r="W54" s="305">
        <f>SUM(W47:W53)/T54</f>
        <v>3.5714285714285716</v>
      </c>
      <c r="X54" s="305">
        <f>SUM(X47:X53)/T54</f>
        <v>2.7142857142857144</v>
      </c>
      <c r="Y54" s="305">
        <f>SUM(Y47:Y53)/T54</f>
        <v>2.7142857142857144</v>
      </c>
      <c r="Z54" s="306">
        <f>SUM(W54:Y54)/3</f>
        <v>3</v>
      </c>
      <c r="AA54" s="260">
        <v>15</v>
      </c>
      <c r="AB54" s="761">
        <f>M54/T54</f>
        <v>1465629.4285714286</v>
      </c>
      <c r="AC54" s="762"/>
      <c r="AD54" s="762"/>
      <c r="AE54" s="762"/>
      <c r="AF54" s="763"/>
      <c r="AG54" s="434"/>
      <c r="AH54" s="282">
        <v>5</v>
      </c>
      <c r="AI54" s="291">
        <f>SUM(AI47:AI53)/AH54</f>
        <v>23.34</v>
      </c>
      <c r="AJ54" s="292">
        <f>SUM(AJ47:AJ53)/AH54</f>
        <v>28.9</v>
      </c>
      <c r="AK54" s="305">
        <f>SUM(AK47:AK53)/AH54</f>
        <v>3.8</v>
      </c>
      <c r="AL54" s="305">
        <f>SUM(AL47:AL53)/AH54</f>
        <v>3.8</v>
      </c>
      <c r="AM54" s="305">
        <f>SUM(AM47:AM53)/AH54</f>
        <v>3.8</v>
      </c>
      <c r="AN54" s="306">
        <f>SUM(AK54:AM54)/3</f>
        <v>3.7999999999999994</v>
      </c>
      <c r="AO54" s="260">
        <v>15</v>
      </c>
      <c r="AP54" s="761">
        <f>AC54/AH54</f>
        <v>0</v>
      </c>
      <c r="AQ54" s="762"/>
      <c r="AR54" s="762"/>
      <c r="AS54" s="762"/>
      <c r="AT54" s="763"/>
    </row>
    <row r="55" spans="1:46" ht="23.5" customHeight="1" thickTop="1" x14ac:dyDescent="0.25">
      <c r="A55" s="710" t="s">
        <v>18</v>
      </c>
      <c r="B55" s="711"/>
      <c r="D55" s="713" t="s">
        <v>18</v>
      </c>
      <c r="E55" s="714"/>
      <c r="F55" s="714"/>
      <c r="G55" s="714"/>
      <c r="H55" s="714"/>
      <c r="I55" s="714"/>
      <c r="J55" s="714"/>
      <c r="K55" s="714"/>
      <c r="L55" s="714"/>
      <c r="M55" s="714"/>
      <c r="N55" s="714"/>
      <c r="O55" s="714"/>
      <c r="P55" s="714"/>
      <c r="Q55" s="714"/>
      <c r="R55" s="714"/>
      <c r="S55" s="715"/>
      <c r="U55" s="716" t="str">
        <f>D55</f>
        <v>6th week</v>
      </c>
      <c r="V55" s="716"/>
      <c r="W55" s="716"/>
      <c r="X55" s="716"/>
      <c r="Y55" s="716"/>
      <c r="Z55" s="716"/>
      <c r="AI55" s="716" t="str">
        <f>U55</f>
        <v>6th week</v>
      </c>
      <c r="AJ55" s="716"/>
      <c r="AK55" s="716"/>
      <c r="AL55" s="716"/>
      <c r="AM55" s="716"/>
      <c r="AN55" s="716"/>
    </row>
    <row r="56" spans="1:46" ht="23.5" customHeight="1" x14ac:dyDescent="0.25">
      <c r="A56" s="53" t="s">
        <v>10</v>
      </c>
      <c r="B56" s="37" t="s">
        <v>11</v>
      </c>
      <c r="C56" s="2" t="s">
        <v>35</v>
      </c>
      <c r="D56" s="103" t="s">
        <v>10</v>
      </c>
      <c r="E56" s="104" t="s">
        <v>11</v>
      </c>
      <c r="F56" s="104" t="s">
        <v>1</v>
      </c>
      <c r="G56" s="104" t="s">
        <v>30</v>
      </c>
      <c r="H56" s="104" t="s">
        <v>31</v>
      </c>
      <c r="I56" s="104" t="s">
        <v>28</v>
      </c>
      <c r="J56" s="104" t="s">
        <v>29</v>
      </c>
      <c r="K56" s="104" t="s">
        <v>72</v>
      </c>
      <c r="L56" s="435" t="s">
        <v>209</v>
      </c>
      <c r="M56" s="104" t="s">
        <v>71</v>
      </c>
      <c r="N56" s="105" t="s">
        <v>48</v>
      </c>
      <c r="O56" s="105"/>
      <c r="P56" s="105"/>
      <c r="Q56" s="105"/>
      <c r="R56" s="105" t="s">
        <v>74</v>
      </c>
      <c r="S56" s="106" t="s">
        <v>73</v>
      </c>
      <c r="U56" s="253" t="s">
        <v>116</v>
      </c>
      <c r="V56" s="254" t="s">
        <v>117</v>
      </c>
      <c r="W56" s="49" t="s">
        <v>118</v>
      </c>
      <c r="X56" s="49" t="s">
        <v>119</v>
      </c>
      <c r="Y56" s="49" t="s">
        <v>120</v>
      </c>
      <c r="Z56" s="255" t="s">
        <v>128</v>
      </c>
      <c r="AB56" s="1" t="s">
        <v>123</v>
      </c>
      <c r="AD56" s="36" t="s">
        <v>126</v>
      </c>
      <c r="AI56" s="253" t="s">
        <v>116</v>
      </c>
      <c r="AJ56" s="254" t="s">
        <v>117</v>
      </c>
      <c r="AK56" s="49" t="s">
        <v>118</v>
      </c>
      <c r="AL56" s="49" t="s">
        <v>119</v>
      </c>
      <c r="AM56" s="49" t="s">
        <v>120</v>
      </c>
      <c r="AN56" s="255" t="s">
        <v>128</v>
      </c>
      <c r="AP56" s="1" t="s">
        <v>123</v>
      </c>
      <c r="AR56" s="36" t="s">
        <v>126</v>
      </c>
    </row>
    <row r="57" spans="1:46" ht="23.5" customHeight="1" x14ac:dyDescent="0.25">
      <c r="A57" s="54" t="s">
        <v>3</v>
      </c>
      <c r="B57" s="50"/>
      <c r="C57" s="42"/>
      <c r="D57" s="107" t="s">
        <v>3</v>
      </c>
      <c r="E57" s="120">
        <f>B57</f>
        <v>0</v>
      </c>
      <c r="F57" s="74"/>
      <c r="G57" s="108"/>
      <c r="H57" s="108" t="e">
        <f t="shared" ref="H57:H64" si="40">G57/F57</f>
        <v>#DIV/0!</v>
      </c>
      <c r="I57" s="108"/>
      <c r="J57" s="109" t="e">
        <f t="shared" ref="J57:J64" si="41">I57/F57</f>
        <v>#DIV/0!</v>
      </c>
      <c r="K57" s="108">
        <v>0</v>
      </c>
      <c r="L57" s="437"/>
      <c r="M57" s="110">
        <f>G57+I57+K57+L57</f>
        <v>0</v>
      </c>
      <c r="N57" s="111" t="e">
        <f t="shared" ref="N57:N64" si="42">M57/F57</f>
        <v>#DIV/0!</v>
      </c>
      <c r="O57" s="111"/>
      <c r="P57" s="111"/>
      <c r="Q57" s="111"/>
      <c r="R57" s="111"/>
      <c r="S57" s="112" t="e">
        <f>M57/R57</f>
        <v>#DIV/0!</v>
      </c>
      <c r="U57" s="248"/>
      <c r="V57" s="248"/>
      <c r="W57" s="256"/>
      <c r="X57" s="256"/>
      <c r="Y57" s="256"/>
      <c r="Z57" s="272">
        <f>SUM(W57:Y57)/3</f>
        <v>0</v>
      </c>
      <c r="AB57" s="271" t="s">
        <v>124</v>
      </c>
      <c r="AC57" s="2"/>
      <c r="AD57" s="270">
        <v>5</v>
      </c>
      <c r="AI57" s="248"/>
      <c r="AJ57" s="248"/>
      <c r="AK57" s="256"/>
      <c r="AL57" s="256"/>
      <c r="AM57" s="256"/>
      <c r="AN57" s="272">
        <f>SUM(AK57:AM57)/3</f>
        <v>0</v>
      </c>
      <c r="AP57" s="271" t="s">
        <v>124</v>
      </c>
      <c r="AQ57" s="2"/>
      <c r="AR57" s="270">
        <v>5</v>
      </c>
    </row>
    <row r="58" spans="1:46" ht="23.5" customHeight="1" x14ac:dyDescent="0.25">
      <c r="A58" s="55" t="s">
        <v>4</v>
      </c>
      <c r="B58" s="50"/>
      <c r="C58" s="42"/>
      <c r="D58" s="103" t="s">
        <v>4</v>
      </c>
      <c r="E58" s="120">
        <f t="shared" ref="E58:E63" si="43">B58</f>
        <v>0</v>
      </c>
      <c r="F58" s="74"/>
      <c r="G58" s="108"/>
      <c r="H58" s="108" t="e">
        <f t="shared" si="40"/>
        <v>#DIV/0!</v>
      </c>
      <c r="I58" s="108"/>
      <c r="J58" s="109" t="e">
        <f t="shared" si="41"/>
        <v>#DIV/0!</v>
      </c>
      <c r="K58" s="108">
        <v>0</v>
      </c>
      <c r="L58" s="437"/>
      <c r="M58" s="110">
        <f t="shared" ref="M58:M64" si="44">G58+I58+K58+L58</f>
        <v>0</v>
      </c>
      <c r="N58" s="111" t="e">
        <f t="shared" si="42"/>
        <v>#DIV/0!</v>
      </c>
      <c r="O58" s="111"/>
      <c r="P58" s="111"/>
      <c r="Q58" s="111"/>
      <c r="R58" s="111"/>
      <c r="S58" s="112" t="e">
        <f t="shared" ref="S58:S64" si="45">M58/R58</f>
        <v>#DIV/0!</v>
      </c>
      <c r="U58" s="248"/>
      <c r="V58" s="248"/>
      <c r="W58" s="256"/>
      <c r="X58" s="256"/>
      <c r="Y58" s="256"/>
      <c r="Z58" s="272">
        <f t="shared" ref="Z58:Z63" si="46">SUM(W58:Y58)/3</f>
        <v>0</v>
      </c>
      <c r="AB58" s="35" t="s">
        <v>125</v>
      </c>
      <c r="AD58" s="1">
        <v>4</v>
      </c>
      <c r="AI58" s="248"/>
      <c r="AJ58" s="248"/>
      <c r="AK58" s="256"/>
      <c r="AL58" s="256"/>
      <c r="AM58" s="256"/>
      <c r="AN58" s="272">
        <f t="shared" ref="AN58:AN63" si="47">SUM(AK58:AM58)/3</f>
        <v>0</v>
      </c>
      <c r="AP58" s="35" t="s">
        <v>125</v>
      </c>
      <c r="AR58" s="1">
        <v>4</v>
      </c>
    </row>
    <row r="59" spans="1:46" ht="23.5" customHeight="1" x14ac:dyDescent="0.25">
      <c r="A59" s="55" t="s">
        <v>5</v>
      </c>
      <c r="B59" s="50"/>
      <c r="C59" s="42"/>
      <c r="D59" s="103" t="s">
        <v>5</v>
      </c>
      <c r="E59" s="120">
        <f t="shared" si="43"/>
        <v>0</v>
      </c>
      <c r="F59" s="74"/>
      <c r="G59" s="108"/>
      <c r="H59" s="108" t="e">
        <f t="shared" si="40"/>
        <v>#DIV/0!</v>
      </c>
      <c r="I59" s="108"/>
      <c r="J59" s="109" t="e">
        <f t="shared" si="41"/>
        <v>#DIV/0!</v>
      </c>
      <c r="K59" s="108">
        <v>0</v>
      </c>
      <c r="L59" s="437"/>
      <c r="M59" s="110">
        <f t="shared" si="44"/>
        <v>0</v>
      </c>
      <c r="N59" s="111" t="e">
        <f t="shared" si="42"/>
        <v>#DIV/0!</v>
      </c>
      <c r="O59" s="111"/>
      <c r="P59" s="111"/>
      <c r="Q59" s="111"/>
      <c r="R59" s="111"/>
      <c r="S59" s="112" t="e">
        <f t="shared" si="45"/>
        <v>#DIV/0!</v>
      </c>
      <c r="U59" s="248"/>
      <c r="V59" s="248"/>
      <c r="W59" s="256"/>
      <c r="X59" s="256"/>
      <c r="Y59" s="256"/>
      <c r="Z59" s="272">
        <f t="shared" si="46"/>
        <v>0</v>
      </c>
      <c r="AB59" s="35" t="s">
        <v>129</v>
      </c>
      <c r="AD59" s="1">
        <v>3</v>
      </c>
      <c r="AI59" s="248"/>
      <c r="AJ59" s="248"/>
      <c r="AK59" s="256"/>
      <c r="AL59" s="256"/>
      <c r="AM59" s="256"/>
      <c r="AN59" s="272">
        <f t="shared" si="47"/>
        <v>0</v>
      </c>
      <c r="AP59" s="35" t="s">
        <v>129</v>
      </c>
      <c r="AR59" s="1">
        <v>3</v>
      </c>
    </row>
    <row r="60" spans="1:46" ht="23.5" customHeight="1" x14ac:dyDescent="0.25">
      <c r="A60" s="55" t="s">
        <v>6</v>
      </c>
      <c r="B60" s="50"/>
      <c r="C60" s="42"/>
      <c r="D60" s="103" t="s">
        <v>6</v>
      </c>
      <c r="E60" s="120">
        <f t="shared" si="43"/>
        <v>0</v>
      </c>
      <c r="F60" s="74"/>
      <c r="G60" s="108"/>
      <c r="H60" s="108" t="e">
        <f t="shared" si="40"/>
        <v>#DIV/0!</v>
      </c>
      <c r="I60" s="108"/>
      <c r="J60" s="109" t="e">
        <f t="shared" si="41"/>
        <v>#DIV/0!</v>
      </c>
      <c r="K60" s="108">
        <v>0</v>
      </c>
      <c r="L60" s="437"/>
      <c r="M60" s="110">
        <f t="shared" si="44"/>
        <v>0</v>
      </c>
      <c r="N60" s="111" t="e">
        <f t="shared" si="42"/>
        <v>#DIV/0!</v>
      </c>
      <c r="O60" s="111"/>
      <c r="P60" s="111"/>
      <c r="Q60" s="111"/>
      <c r="R60" s="111"/>
      <c r="S60" s="112" t="e">
        <f t="shared" si="45"/>
        <v>#DIV/0!</v>
      </c>
      <c r="U60" s="248"/>
      <c r="V60" s="248"/>
      <c r="W60" s="256"/>
      <c r="X60" s="256"/>
      <c r="Y60" s="256"/>
      <c r="Z60" s="272">
        <f t="shared" si="46"/>
        <v>0</v>
      </c>
      <c r="AB60" s="35" t="s">
        <v>121</v>
      </c>
      <c r="AD60" s="1">
        <v>2</v>
      </c>
      <c r="AI60" s="248"/>
      <c r="AJ60" s="248"/>
      <c r="AK60" s="256"/>
      <c r="AL60" s="256"/>
      <c r="AM60" s="256"/>
      <c r="AN60" s="272">
        <f t="shared" si="47"/>
        <v>0</v>
      </c>
      <c r="AP60" s="35" t="s">
        <v>121</v>
      </c>
      <c r="AR60" s="1">
        <v>2</v>
      </c>
    </row>
    <row r="61" spans="1:46" ht="23.5" customHeight="1" x14ac:dyDescent="0.25">
      <c r="A61" s="55" t="s">
        <v>7</v>
      </c>
      <c r="B61" s="50"/>
      <c r="C61" s="42"/>
      <c r="D61" s="103" t="s">
        <v>7</v>
      </c>
      <c r="E61" s="120">
        <f t="shared" si="43"/>
        <v>0</v>
      </c>
      <c r="F61" s="74"/>
      <c r="G61" s="108"/>
      <c r="H61" s="108" t="e">
        <f t="shared" si="40"/>
        <v>#DIV/0!</v>
      </c>
      <c r="I61" s="108"/>
      <c r="J61" s="109" t="e">
        <f t="shared" si="41"/>
        <v>#DIV/0!</v>
      </c>
      <c r="K61" s="108"/>
      <c r="L61" s="437"/>
      <c r="M61" s="110">
        <f t="shared" si="44"/>
        <v>0</v>
      </c>
      <c r="N61" s="111" t="e">
        <f t="shared" si="42"/>
        <v>#DIV/0!</v>
      </c>
      <c r="O61" s="111"/>
      <c r="P61" s="111"/>
      <c r="Q61" s="111"/>
      <c r="R61" s="111"/>
      <c r="S61" s="112" t="e">
        <f t="shared" si="45"/>
        <v>#DIV/0!</v>
      </c>
      <c r="U61" s="248"/>
      <c r="V61" s="248"/>
      <c r="W61" s="256"/>
      <c r="X61" s="256"/>
      <c r="Y61" s="256"/>
      <c r="Z61" s="272">
        <f t="shared" si="46"/>
        <v>0</v>
      </c>
      <c r="AB61" s="35" t="s">
        <v>122</v>
      </c>
      <c r="AD61" s="1">
        <v>1</v>
      </c>
      <c r="AI61" s="248"/>
      <c r="AJ61" s="248"/>
      <c r="AK61" s="256"/>
      <c r="AL61" s="256"/>
      <c r="AM61" s="256"/>
      <c r="AN61" s="272">
        <f t="shared" si="47"/>
        <v>0</v>
      </c>
      <c r="AP61" s="35" t="s">
        <v>122</v>
      </c>
      <c r="AR61" s="1">
        <v>1</v>
      </c>
    </row>
    <row r="62" spans="1:46" ht="23.5" customHeight="1" x14ac:dyDescent="0.25">
      <c r="A62" s="55" t="s">
        <v>8</v>
      </c>
      <c r="B62" s="50"/>
      <c r="C62" s="42"/>
      <c r="D62" s="103" t="s">
        <v>8</v>
      </c>
      <c r="E62" s="120">
        <f t="shared" si="43"/>
        <v>0</v>
      </c>
      <c r="F62" s="74"/>
      <c r="G62" s="108"/>
      <c r="H62" s="108" t="e">
        <f t="shared" si="40"/>
        <v>#DIV/0!</v>
      </c>
      <c r="I62" s="108">
        <v>0</v>
      </c>
      <c r="J62" s="109" t="e">
        <f t="shared" si="41"/>
        <v>#DIV/0!</v>
      </c>
      <c r="K62" s="108"/>
      <c r="L62" s="437"/>
      <c r="M62" s="110">
        <f t="shared" si="44"/>
        <v>0</v>
      </c>
      <c r="N62" s="111" t="e">
        <f t="shared" si="42"/>
        <v>#DIV/0!</v>
      </c>
      <c r="O62" s="111"/>
      <c r="P62" s="111"/>
      <c r="Q62" s="111"/>
      <c r="R62" s="111"/>
      <c r="S62" s="112" t="e">
        <f t="shared" si="45"/>
        <v>#DIV/0!</v>
      </c>
      <c r="U62" s="248"/>
      <c r="V62" s="248"/>
      <c r="W62" s="256"/>
      <c r="X62" s="256"/>
      <c r="Y62" s="256"/>
      <c r="Z62" s="272">
        <f t="shared" si="46"/>
        <v>0</v>
      </c>
      <c r="AB62" s="35" t="s">
        <v>127</v>
      </c>
      <c r="AD62" s="1">
        <v>0</v>
      </c>
      <c r="AI62" s="248"/>
      <c r="AJ62" s="248"/>
      <c r="AK62" s="256"/>
      <c r="AL62" s="256"/>
      <c r="AM62" s="256"/>
      <c r="AN62" s="272">
        <f t="shared" si="47"/>
        <v>0</v>
      </c>
      <c r="AP62" s="35" t="s">
        <v>127</v>
      </c>
      <c r="AR62" s="1">
        <v>0</v>
      </c>
    </row>
    <row r="63" spans="1:46" ht="23.5" customHeight="1" thickBot="1" x14ac:dyDescent="0.3">
      <c r="A63" s="56" t="s">
        <v>9</v>
      </c>
      <c r="B63" s="50"/>
      <c r="C63" s="42"/>
      <c r="D63" s="113" t="s">
        <v>9</v>
      </c>
      <c r="E63" s="120">
        <f t="shared" si="43"/>
        <v>0</v>
      </c>
      <c r="F63" s="74"/>
      <c r="G63" s="108"/>
      <c r="H63" s="108" t="e">
        <f t="shared" si="40"/>
        <v>#DIV/0!</v>
      </c>
      <c r="I63" s="108">
        <v>0</v>
      </c>
      <c r="J63" s="109" t="e">
        <f t="shared" si="41"/>
        <v>#DIV/0!</v>
      </c>
      <c r="K63" s="108"/>
      <c r="L63" s="437"/>
      <c r="M63" s="110">
        <f t="shared" si="44"/>
        <v>0</v>
      </c>
      <c r="N63" s="111" t="e">
        <f t="shared" si="42"/>
        <v>#DIV/0!</v>
      </c>
      <c r="O63" s="111"/>
      <c r="P63" s="111"/>
      <c r="Q63" s="111"/>
      <c r="R63" s="111"/>
      <c r="S63" s="112" t="e">
        <f t="shared" si="45"/>
        <v>#DIV/0!</v>
      </c>
      <c r="U63" s="249"/>
      <c r="V63" s="249"/>
      <c r="W63" s="257"/>
      <c r="X63" s="257"/>
      <c r="Y63" s="257"/>
      <c r="Z63" s="273">
        <f t="shared" si="46"/>
        <v>0</v>
      </c>
      <c r="AB63" s="1" t="s">
        <v>130</v>
      </c>
      <c r="AI63" s="249"/>
      <c r="AJ63" s="249"/>
      <c r="AK63" s="257"/>
      <c r="AL63" s="257"/>
      <c r="AM63" s="257"/>
      <c r="AN63" s="273">
        <f t="shared" si="47"/>
        <v>0</v>
      </c>
      <c r="AP63" s="1" t="s">
        <v>130</v>
      </c>
    </row>
    <row r="64" spans="1:46" ht="23.5" customHeight="1" thickTop="1" thickBot="1" x14ac:dyDescent="0.3">
      <c r="A64" s="724" t="s">
        <v>13</v>
      </c>
      <c r="B64" s="725"/>
      <c r="C64" s="35" t="e">
        <f>#REF!</f>
        <v>#REF!</v>
      </c>
      <c r="D64" s="726" t="s">
        <v>13</v>
      </c>
      <c r="E64" s="727"/>
      <c r="F64" s="121">
        <f>SUM(F57:F63)</f>
        <v>0</v>
      </c>
      <c r="G64" s="121">
        <f>SUM(G57:G63)</f>
        <v>0</v>
      </c>
      <c r="H64" s="121" t="e">
        <f t="shared" si="40"/>
        <v>#DIV/0!</v>
      </c>
      <c r="I64" s="121">
        <f>SUM(I57:I63)</f>
        <v>0</v>
      </c>
      <c r="J64" s="122" t="e">
        <f t="shared" si="41"/>
        <v>#DIV/0!</v>
      </c>
      <c r="K64" s="110">
        <f>SUM(K57:K63)</f>
        <v>0</v>
      </c>
      <c r="L64" s="262">
        <f>SUM(L57:L63)</f>
        <v>0</v>
      </c>
      <c r="M64" s="110">
        <f t="shared" si="44"/>
        <v>0</v>
      </c>
      <c r="N64" s="123" t="e">
        <f t="shared" si="42"/>
        <v>#DIV/0!</v>
      </c>
      <c r="O64" s="123"/>
      <c r="P64" s="123"/>
      <c r="Q64" s="123"/>
      <c r="R64" s="116">
        <f>SUM(R57:R63)</f>
        <v>0</v>
      </c>
      <c r="S64" s="124" t="e">
        <f t="shared" si="45"/>
        <v>#DIV/0!</v>
      </c>
      <c r="T64" s="260"/>
      <c r="U64" s="268" t="e">
        <f>SUM(U57:U63)/T64</f>
        <v>#DIV/0!</v>
      </c>
      <c r="V64" s="267" t="e">
        <f>SUM(V57:V63)/T64</f>
        <v>#DIV/0!</v>
      </c>
      <c r="W64" s="267" t="e">
        <f>SUM(W57:W63)/T64</f>
        <v>#DIV/0!</v>
      </c>
      <c r="X64" s="267" t="e">
        <f>SUM(X57:X63)/T64</f>
        <v>#DIV/0!</v>
      </c>
      <c r="Y64" s="267" t="e">
        <f>SUM(Y57:Y63)/T64</f>
        <v>#DIV/0!</v>
      </c>
      <c r="Z64" s="269" t="e">
        <f>SUM(W64:Y64)/3</f>
        <v>#DIV/0!</v>
      </c>
      <c r="AA64" s="260"/>
      <c r="AB64" s="764" t="e">
        <f>M64/T64</f>
        <v>#DIV/0!</v>
      </c>
      <c r="AC64" s="764"/>
      <c r="AD64" s="764"/>
      <c r="AE64" s="764"/>
      <c r="AF64" s="764"/>
      <c r="AG64" s="422"/>
      <c r="AI64" s="268" t="e">
        <f>SUM(AI57:AI63)/AH64</f>
        <v>#DIV/0!</v>
      </c>
      <c r="AJ64" s="267" t="e">
        <f>SUM(AJ57:AJ63)/AH64</f>
        <v>#DIV/0!</v>
      </c>
      <c r="AK64" s="267" t="e">
        <f>SUM(AK57:AK63)/AH64</f>
        <v>#DIV/0!</v>
      </c>
      <c r="AL64" s="267" t="e">
        <f>SUM(AL57:AL63)/AH64</f>
        <v>#DIV/0!</v>
      </c>
      <c r="AM64" s="267" t="e">
        <f>SUM(AM57:AM63)/AH64</f>
        <v>#DIV/0!</v>
      </c>
      <c r="AN64" s="269" t="e">
        <f>SUM(AK64:AM64)/3</f>
        <v>#DIV/0!</v>
      </c>
      <c r="AO64" s="260"/>
      <c r="AP64" s="764" t="e">
        <f>AC64/AH64</f>
        <v>#DIV/0!</v>
      </c>
      <c r="AQ64" s="764"/>
      <c r="AR64" s="764"/>
      <c r="AS64" s="764"/>
      <c r="AT64" s="764"/>
    </row>
    <row r="65" spans="1:47" ht="33.5" customHeight="1" thickTop="1" x14ac:dyDescent="0.25">
      <c r="A65" s="730" t="s">
        <v>2</v>
      </c>
      <c r="B65" s="731"/>
      <c r="D65" s="732" t="s">
        <v>2</v>
      </c>
      <c r="E65" s="733"/>
      <c r="F65" s="733"/>
      <c r="G65" s="733"/>
      <c r="H65" s="733"/>
      <c r="I65" s="733"/>
      <c r="J65" s="733"/>
      <c r="K65" s="733"/>
      <c r="L65" s="733"/>
      <c r="M65" s="733"/>
      <c r="N65" s="733"/>
      <c r="O65" s="733"/>
      <c r="P65" s="733"/>
      <c r="Q65" s="733"/>
      <c r="R65" s="733"/>
      <c r="S65" s="734"/>
      <c r="U65" s="716" t="str">
        <f>D65</f>
        <v>TOTAL</v>
      </c>
      <c r="V65" s="716"/>
      <c r="W65" s="716"/>
      <c r="X65" s="716"/>
      <c r="Y65" s="716"/>
      <c r="Z65" s="716"/>
      <c r="AI65" s="716" t="str">
        <f>U65</f>
        <v>TOTAL</v>
      </c>
      <c r="AJ65" s="716"/>
      <c r="AK65" s="716"/>
      <c r="AL65" s="716"/>
      <c r="AM65" s="716"/>
      <c r="AN65" s="716"/>
    </row>
    <row r="66" spans="1:47" s="38" customFormat="1" ht="23" customHeight="1" x14ac:dyDescent="0.25">
      <c r="A66" s="79" t="s">
        <v>10</v>
      </c>
      <c r="B66" s="80" t="s">
        <v>19</v>
      </c>
      <c r="D66" s="114" t="s">
        <v>10</v>
      </c>
      <c r="E66" s="115" t="s">
        <v>19</v>
      </c>
      <c r="F66" s="115" t="s">
        <v>1</v>
      </c>
      <c r="G66" s="115" t="s">
        <v>30</v>
      </c>
      <c r="H66" s="115" t="s">
        <v>31</v>
      </c>
      <c r="I66" s="115" t="s">
        <v>28</v>
      </c>
      <c r="J66" s="115" t="s">
        <v>29</v>
      </c>
      <c r="K66" s="115"/>
      <c r="L66" s="115"/>
      <c r="M66" s="115" t="s">
        <v>76</v>
      </c>
      <c r="N66" s="115" t="s">
        <v>77</v>
      </c>
      <c r="O66" s="803"/>
      <c r="P66" s="803"/>
      <c r="Q66" s="803"/>
      <c r="R66" s="105" t="s">
        <v>74</v>
      </c>
      <c r="S66" s="106" t="s">
        <v>73</v>
      </c>
      <c r="U66" s="253" t="s">
        <v>116</v>
      </c>
      <c r="V66" s="254" t="s">
        <v>117</v>
      </c>
      <c r="W66" s="49" t="s">
        <v>118</v>
      </c>
      <c r="X66" s="49" t="s">
        <v>119</v>
      </c>
      <c r="Y66" s="49" t="s">
        <v>120</v>
      </c>
      <c r="Z66" s="255" t="s">
        <v>128</v>
      </c>
      <c r="AB66" s="750" t="s">
        <v>205</v>
      </c>
      <c r="AC66" s="751"/>
      <c r="AD66" s="751"/>
      <c r="AE66" s="751"/>
      <c r="AF66" s="751"/>
      <c r="AG66" s="752"/>
      <c r="AI66" s="253" t="s">
        <v>116</v>
      </c>
      <c r="AJ66" s="254" t="s">
        <v>117</v>
      </c>
      <c r="AK66" s="49" t="s">
        <v>118</v>
      </c>
      <c r="AL66" s="49" t="s">
        <v>119</v>
      </c>
      <c r="AM66" s="49" t="s">
        <v>120</v>
      </c>
      <c r="AN66" s="255" t="s">
        <v>128</v>
      </c>
      <c r="AP66" s="766" t="s">
        <v>206</v>
      </c>
      <c r="AQ66" s="766"/>
      <c r="AR66" s="766"/>
      <c r="AS66" s="766"/>
      <c r="AT66" s="766"/>
      <c r="AU66" s="766"/>
    </row>
    <row r="67" spans="1:47" ht="23" customHeight="1" x14ac:dyDescent="0.25">
      <c r="A67" s="54" t="s">
        <v>3</v>
      </c>
      <c r="B67" s="43"/>
      <c r="C67" s="42"/>
      <c r="D67" s="107" t="s">
        <v>3</v>
      </c>
      <c r="E67" s="117"/>
      <c r="F67" s="109">
        <f t="shared" ref="F67:G70" si="48">F7+F17+F27+F37+F47+F57</f>
        <v>2194</v>
      </c>
      <c r="G67" s="109">
        <f t="shared" si="48"/>
        <v>5604300</v>
      </c>
      <c r="H67" s="108">
        <f t="shared" ref="H67:H74" si="49">G67/F67</f>
        <v>2554.3755697356428</v>
      </c>
      <c r="I67" s="109">
        <f>I7+I17+I27+I37+I47+I57</f>
        <v>3004660</v>
      </c>
      <c r="J67" s="109">
        <f>I67/F67</f>
        <v>1369.4895168641751</v>
      </c>
      <c r="K67" s="109">
        <f t="shared" ref="K67:L70" si="50">K7+K17+K27+K37+K47+K57</f>
        <v>127600</v>
      </c>
      <c r="L67" s="109">
        <f t="shared" si="50"/>
        <v>20790</v>
      </c>
      <c r="M67" s="74">
        <f t="shared" ref="M67:N70" si="51">M7+M17+M27+M37+M47+M57</f>
        <v>8757350</v>
      </c>
      <c r="N67" s="109" t="e">
        <f t="shared" si="51"/>
        <v>#DIV/0!</v>
      </c>
      <c r="O67" s="109"/>
      <c r="P67" s="109"/>
      <c r="Q67" s="109"/>
      <c r="R67" s="109">
        <f>R7+R17+R27+R37+R47+R57</f>
        <v>0</v>
      </c>
      <c r="S67" s="134" t="e">
        <f>M67/R67</f>
        <v>#DIV/0!</v>
      </c>
      <c r="U67" s="250">
        <f>U7+U17+U27+U37+U47+U57</f>
        <v>84.7</v>
      </c>
      <c r="V67" s="250">
        <f>V7+V17+V27+V37+V47+V57</f>
        <v>107</v>
      </c>
      <c r="W67" s="275">
        <f>W7+W17+W37+W47+W27+W57</f>
        <v>17</v>
      </c>
      <c r="X67" s="275">
        <f>X7+X17+X37+X47+X27+X57</f>
        <v>15</v>
      </c>
      <c r="Y67" s="275">
        <f>Y7+Y17+Y37+Y47+Y27+Y57</f>
        <v>15</v>
      </c>
      <c r="Z67" s="276">
        <f>SUM(W67:Y67)/3</f>
        <v>15.666666666666666</v>
      </c>
      <c r="AB67" s="753" t="s">
        <v>188</v>
      </c>
      <c r="AC67" s="753"/>
      <c r="AD67" s="423" t="s">
        <v>189</v>
      </c>
      <c r="AE67" s="423" t="s">
        <v>190</v>
      </c>
      <c r="AF67" s="423" t="s">
        <v>191</v>
      </c>
      <c r="AG67" s="423" t="s">
        <v>192</v>
      </c>
      <c r="AI67" s="250">
        <f t="shared" ref="AI67:AJ73" si="52">AI7+AI17+AI27+AI37+AI47+AI57</f>
        <v>96.5</v>
      </c>
      <c r="AJ67" s="250">
        <f t="shared" si="52"/>
        <v>116.7</v>
      </c>
      <c r="AK67" s="275">
        <f t="shared" ref="AK67:AM73" si="53">AK7+AK17+AK37+AK47+AK27+AK57</f>
        <v>6</v>
      </c>
      <c r="AL67" s="275">
        <f t="shared" si="53"/>
        <v>14</v>
      </c>
      <c r="AM67" s="275">
        <f t="shared" si="53"/>
        <v>12</v>
      </c>
      <c r="AN67" s="276">
        <f>SUM(AK67:AM67)/3</f>
        <v>10.666666666666666</v>
      </c>
      <c r="AP67" s="753" t="s">
        <v>188</v>
      </c>
      <c r="AQ67" s="753"/>
      <c r="AR67" s="423" t="s">
        <v>189</v>
      </c>
      <c r="AS67" s="423" t="s">
        <v>201</v>
      </c>
      <c r="AT67" s="423" t="s">
        <v>202</v>
      </c>
      <c r="AU67" s="423" t="s">
        <v>192</v>
      </c>
    </row>
    <row r="68" spans="1:47" ht="23" customHeight="1" x14ac:dyDescent="0.25">
      <c r="A68" s="55" t="s">
        <v>4</v>
      </c>
      <c r="B68" s="43"/>
      <c r="C68" s="42"/>
      <c r="D68" s="103" t="s">
        <v>4</v>
      </c>
      <c r="E68" s="117"/>
      <c r="F68" s="109">
        <f t="shared" si="48"/>
        <v>1446</v>
      </c>
      <c r="G68" s="109">
        <f t="shared" si="48"/>
        <v>3777100</v>
      </c>
      <c r="H68" s="108">
        <f t="shared" si="49"/>
        <v>2612.1023513139694</v>
      </c>
      <c r="I68" s="109">
        <f>I8+I18+I28+I38+I48+I58</f>
        <v>1976420</v>
      </c>
      <c r="J68" s="109">
        <f t="shared" ref="J68:J73" si="54">I68/F68</f>
        <v>1366.8188105117565</v>
      </c>
      <c r="K68" s="109">
        <f t="shared" si="50"/>
        <v>75130</v>
      </c>
      <c r="L68" s="109">
        <f t="shared" si="50"/>
        <v>2970</v>
      </c>
      <c r="M68" s="74">
        <f t="shared" si="51"/>
        <v>5831620</v>
      </c>
      <c r="N68" s="109" t="e">
        <f t="shared" si="51"/>
        <v>#DIV/0!</v>
      </c>
      <c r="O68" s="109"/>
      <c r="P68" s="109"/>
      <c r="Q68" s="109"/>
      <c r="R68" s="109">
        <f>R8+R18+R28+R38+R48+R58</f>
        <v>0</v>
      </c>
      <c r="S68" s="134" t="e">
        <f t="shared" ref="S68:S73" si="55">M68/R68</f>
        <v>#DIV/0!</v>
      </c>
      <c r="U68" s="250">
        <f t="shared" ref="U68:V72" si="56">U8+U18+U28+U38+U48+U58</f>
        <v>84.7</v>
      </c>
      <c r="V68" s="250">
        <f t="shared" si="56"/>
        <v>116.2</v>
      </c>
      <c r="W68" s="275">
        <f t="shared" ref="W68:Y73" si="57">W8+W18+W38+W48+W28+W58</f>
        <v>13</v>
      </c>
      <c r="X68" s="275">
        <f t="shared" si="57"/>
        <v>11</v>
      </c>
      <c r="Y68" s="275">
        <f t="shared" si="57"/>
        <v>11</v>
      </c>
      <c r="Z68" s="276">
        <f t="shared" ref="Z68:Z73" si="58">SUM(W68:Y68)/3</f>
        <v>11.666666666666666</v>
      </c>
      <c r="AB68" s="754" t="s">
        <v>124</v>
      </c>
      <c r="AC68" s="754"/>
      <c r="AD68" s="424">
        <v>5</v>
      </c>
      <c r="AE68" s="425">
        <v>27</v>
      </c>
      <c r="AF68" s="425">
        <f t="shared" ref="AF68:AF73" si="59">AD68*AE68</f>
        <v>135</v>
      </c>
      <c r="AG68" s="755">
        <f>(AE68+AE69+AE70)/AE74</f>
        <v>0.69892473118279574</v>
      </c>
      <c r="AI68" s="250">
        <f t="shared" si="52"/>
        <v>89.999999999999986</v>
      </c>
      <c r="AJ68" s="250">
        <f t="shared" si="52"/>
        <v>116.99999999999999</v>
      </c>
      <c r="AK68" s="275">
        <f t="shared" si="53"/>
        <v>18</v>
      </c>
      <c r="AL68" s="275">
        <f t="shared" si="53"/>
        <v>16</v>
      </c>
      <c r="AM68" s="275">
        <f t="shared" si="53"/>
        <v>15</v>
      </c>
      <c r="AN68" s="276">
        <f t="shared" ref="AN68:AN73" si="60">SUM(AK68:AM68)/3</f>
        <v>16.333333333333332</v>
      </c>
      <c r="AP68" s="754" t="s">
        <v>124</v>
      </c>
      <c r="AQ68" s="754"/>
      <c r="AR68" s="424">
        <v>5</v>
      </c>
      <c r="AS68" s="425">
        <v>31</v>
      </c>
      <c r="AT68" s="425">
        <f t="shared" ref="AT68:AT73" si="61">AR68*AS68</f>
        <v>155</v>
      </c>
      <c r="AU68" s="755">
        <f>(AS68+AS69+AS70)/AS74</f>
        <v>0.82795698924731187</v>
      </c>
    </row>
    <row r="69" spans="1:47" ht="23" customHeight="1" x14ac:dyDescent="0.25">
      <c r="A69" s="55" t="s">
        <v>5</v>
      </c>
      <c r="B69" s="43"/>
      <c r="C69" s="42"/>
      <c r="D69" s="103" t="s">
        <v>5</v>
      </c>
      <c r="E69" s="117"/>
      <c r="F69" s="109">
        <f t="shared" si="48"/>
        <v>1287</v>
      </c>
      <c r="G69" s="109">
        <f t="shared" si="48"/>
        <v>3621550</v>
      </c>
      <c r="H69" s="108">
        <f t="shared" si="49"/>
        <v>2813.947163947164</v>
      </c>
      <c r="I69" s="109">
        <f>I9+I19+I29+I39+I49+I59</f>
        <v>1894550</v>
      </c>
      <c r="J69" s="109">
        <f t="shared" si="54"/>
        <v>1472.0668220668222</v>
      </c>
      <c r="K69" s="109">
        <f t="shared" si="50"/>
        <v>325786</v>
      </c>
      <c r="L69" s="109">
        <f t="shared" si="50"/>
        <v>0</v>
      </c>
      <c r="M69" s="74">
        <f t="shared" si="51"/>
        <v>5841886</v>
      </c>
      <c r="N69" s="109" t="e">
        <f t="shared" si="51"/>
        <v>#DIV/0!</v>
      </c>
      <c r="O69" s="109"/>
      <c r="P69" s="109"/>
      <c r="Q69" s="109"/>
      <c r="R69" s="109">
        <f>R9+R19+R29+R39+R49+R59</f>
        <v>0</v>
      </c>
      <c r="S69" s="134" t="e">
        <f t="shared" si="55"/>
        <v>#DIV/0!</v>
      </c>
      <c r="U69" s="250">
        <f t="shared" si="56"/>
        <v>88.1</v>
      </c>
      <c r="V69" s="250">
        <f t="shared" si="56"/>
        <v>105.2</v>
      </c>
      <c r="W69" s="275">
        <f t="shared" si="57"/>
        <v>6</v>
      </c>
      <c r="X69" s="275">
        <f t="shared" si="57"/>
        <v>8</v>
      </c>
      <c r="Y69" s="275">
        <f t="shared" si="57"/>
        <v>10</v>
      </c>
      <c r="Z69" s="276">
        <f t="shared" si="58"/>
        <v>8</v>
      </c>
      <c r="AB69" s="754" t="s">
        <v>125</v>
      </c>
      <c r="AC69" s="754"/>
      <c r="AD69" s="426">
        <v>4</v>
      </c>
      <c r="AE69" s="427"/>
      <c r="AF69" s="425">
        <f t="shared" si="59"/>
        <v>0</v>
      </c>
      <c r="AG69" s="755"/>
      <c r="AI69" s="250">
        <f t="shared" si="52"/>
        <v>113.2</v>
      </c>
      <c r="AJ69" s="250">
        <f t="shared" si="52"/>
        <v>149.19999999999999</v>
      </c>
      <c r="AK69" s="275">
        <f t="shared" si="53"/>
        <v>17</v>
      </c>
      <c r="AL69" s="275">
        <f t="shared" si="53"/>
        <v>13</v>
      </c>
      <c r="AM69" s="275">
        <f t="shared" si="53"/>
        <v>20</v>
      </c>
      <c r="AN69" s="276">
        <f t="shared" si="60"/>
        <v>16.666666666666668</v>
      </c>
      <c r="AP69" s="754" t="s">
        <v>125</v>
      </c>
      <c r="AQ69" s="754"/>
      <c r="AR69" s="426">
        <v>4</v>
      </c>
      <c r="AS69" s="427">
        <v>6</v>
      </c>
      <c r="AT69" s="425">
        <f t="shared" si="61"/>
        <v>24</v>
      </c>
      <c r="AU69" s="755"/>
    </row>
    <row r="70" spans="1:47" ht="23" customHeight="1" x14ac:dyDescent="0.25">
      <c r="A70" s="55" t="s">
        <v>6</v>
      </c>
      <c r="B70" s="43"/>
      <c r="C70" s="42"/>
      <c r="D70" s="103" t="s">
        <v>6</v>
      </c>
      <c r="E70" s="117"/>
      <c r="F70" s="109">
        <f t="shared" si="48"/>
        <v>1591</v>
      </c>
      <c r="G70" s="109">
        <f t="shared" si="48"/>
        <v>4411850</v>
      </c>
      <c r="H70" s="108">
        <f t="shared" si="49"/>
        <v>2773.0043997485859</v>
      </c>
      <c r="I70" s="109">
        <f>I10+I20+I30+I40+I50+I60</f>
        <v>2367150</v>
      </c>
      <c r="J70" s="109">
        <f t="shared" si="54"/>
        <v>1487.8378378378379</v>
      </c>
      <c r="K70" s="109">
        <f t="shared" si="50"/>
        <v>124960</v>
      </c>
      <c r="L70" s="109">
        <f t="shared" si="50"/>
        <v>8910</v>
      </c>
      <c r="M70" s="74">
        <f t="shared" si="51"/>
        <v>6912870</v>
      </c>
      <c r="N70" s="109" t="e">
        <f t="shared" si="51"/>
        <v>#DIV/0!</v>
      </c>
      <c r="O70" s="109"/>
      <c r="P70" s="109"/>
      <c r="Q70" s="109"/>
      <c r="R70" s="109">
        <f>R10+R20+R30+R40+R50+R60</f>
        <v>0</v>
      </c>
      <c r="S70" s="134" t="e">
        <f t="shared" si="55"/>
        <v>#DIV/0!</v>
      </c>
      <c r="U70" s="250">
        <f t="shared" si="56"/>
        <v>84.2</v>
      </c>
      <c r="V70" s="250">
        <f t="shared" si="56"/>
        <v>117.7</v>
      </c>
      <c r="W70" s="275">
        <f t="shared" si="57"/>
        <v>16</v>
      </c>
      <c r="X70" s="275">
        <f t="shared" si="57"/>
        <v>14</v>
      </c>
      <c r="Y70" s="275">
        <f t="shared" si="57"/>
        <v>12</v>
      </c>
      <c r="Z70" s="276">
        <f t="shared" si="58"/>
        <v>14</v>
      </c>
      <c r="AB70" s="756" t="s">
        <v>193</v>
      </c>
      <c r="AC70" s="756"/>
      <c r="AD70" s="426">
        <v>3</v>
      </c>
      <c r="AE70" s="427">
        <v>38</v>
      </c>
      <c r="AF70" s="425">
        <f t="shared" si="59"/>
        <v>114</v>
      </c>
      <c r="AG70" s="755"/>
      <c r="AI70" s="250">
        <f t="shared" si="52"/>
        <v>120.4</v>
      </c>
      <c r="AJ70" s="250">
        <f t="shared" si="52"/>
        <v>155.29999999999998</v>
      </c>
      <c r="AK70" s="275">
        <f t="shared" si="53"/>
        <v>13</v>
      </c>
      <c r="AL70" s="275">
        <f t="shared" si="53"/>
        <v>15</v>
      </c>
      <c r="AM70" s="275">
        <f t="shared" si="53"/>
        <v>20</v>
      </c>
      <c r="AN70" s="276">
        <f t="shared" si="60"/>
        <v>16</v>
      </c>
      <c r="AP70" s="756" t="s">
        <v>193</v>
      </c>
      <c r="AQ70" s="756"/>
      <c r="AR70" s="426">
        <v>3</v>
      </c>
      <c r="AS70" s="427">
        <v>40</v>
      </c>
      <c r="AT70" s="425">
        <f t="shared" si="61"/>
        <v>120</v>
      </c>
      <c r="AU70" s="755"/>
    </row>
    <row r="71" spans="1:47" ht="23" customHeight="1" x14ac:dyDescent="0.25">
      <c r="A71" s="55" t="s">
        <v>7</v>
      </c>
      <c r="B71" s="43"/>
      <c r="C71" s="42"/>
      <c r="D71" s="103" t="s">
        <v>7</v>
      </c>
      <c r="E71" s="117"/>
      <c r="F71" s="109">
        <f>F21+F11+F31+F41+F51+F61</f>
        <v>2001</v>
      </c>
      <c r="G71" s="109">
        <f>G21+G11+G31+G41+G51+G61</f>
        <v>5624000</v>
      </c>
      <c r="H71" s="108">
        <f t="shared" si="49"/>
        <v>2810.5947026486756</v>
      </c>
      <c r="I71" s="109">
        <f>I21+I11+I31+I41+I51+I61</f>
        <v>3040150</v>
      </c>
      <c r="J71" s="109">
        <f t="shared" si="54"/>
        <v>1519.3153423288356</v>
      </c>
      <c r="K71" s="109">
        <f>K21+K11+K31+K41+K51+K61</f>
        <v>175560</v>
      </c>
      <c r="L71" s="109">
        <f>L21+L11+L31+L41+L51+L61</f>
        <v>2970</v>
      </c>
      <c r="M71" s="74">
        <f>M21+M11+M31+M41+M51+M61</f>
        <v>8842680</v>
      </c>
      <c r="N71" s="109" t="e">
        <f>N21+N11+N31+N41+N51+N61</f>
        <v>#DIV/0!</v>
      </c>
      <c r="O71" s="109"/>
      <c r="P71" s="109"/>
      <c r="Q71" s="109"/>
      <c r="R71" s="109">
        <f>R21+R11+R31+R41+R51+R61</f>
        <v>0</v>
      </c>
      <c r="S71" s="134" t="e">
        <f t="shared" si="55"/>
        <v>#DIV/0!</v>
      </c>
      <c r="U71" s="250">
        <f t="shared" si="56"/>
        <v>105.89999999999999</v>
      </c>
      <c r="V71" s="250">
        <f t="shared" si="56"/>
        <v>142.4</v>
      </c>
      <c r="W71" s="275">
        <f t="shared" si="57"/>
        <v>19</v>
      </c>
      <c r="X71" s="275">
        <f t="shared" si="57"/>
        <v>7</v>
      </c>
      <c r="Y71" s="275">
        <f t="shared" si="57"/>
        <v>15</v>
      </c>
      <c r="Z71" s="276">
        <f t="shared" si="58"/>
        <v>13.666666666666666</v>
      </c>
      <c r="AB71" s="757" t="s">
        <v>121</v>
      </c>
      <c r="AC71" s="757"/>
      <c r="AD71" s="426">
        <v>2</v>
      </c>
      <c r="AE71" s="427">
        <v>6</v>
      </c>
      <c r="AF71" s="425">
        <f t="shared" si="59"/>
        <v>12</v>
      </c>
      <c r="AG71" s="758">
        <f>(AE71+AE72+AE73)/AE74</f>
        <v>0.30107526881720431</v>
      </c>
      <c r="AI71" s="250">
        <f t="shared" si="52"/>
        <v>126.3</v>
      </c>
      <c r="AJ71" s="250">
        <f t="shared" si="52"/>
        <v>160.5</v>
      </c>
      <c r="AK71" s="275">
        <f t="shared" si="53"/>
        <v>21</v>
      </c>
      <c r="AL71" s="275">
        <f t="shared" si="53"/>
        <v>15</v>
      </c>
      <c r="AM71" s="275">
        <f t="shared" si="53"/>
        <v>18</v>
      </c>
      <c r="AN71" s="276">
        <f t="shared" si="60"/>
        <v>18</v>
      </c>
      <c r="AP71" s="757" t="s">
        <v>121</v>
      </c>
      <c r="AQ71" s="757"/>
      <c r="AR71" s="426">
        <v>2</v>
      </c>
      <c r="AS71" s="427">
        <v>0</v>
      </c>
      <c r="AT71" s="425">
        <f t="shared" si="61"/>
        <v>0</v>
      </c>
      <c r="AU71" s="758">
        <f>(AS71+AS72+AS73)/AS74</f>
        <v>0.17204301075268819</v>
      </c>
    </row>
    <row r="72" spans="1:47" ht="23" customHeight="1" x14ac:dyDescent="0.25">
      <c r="A72" s="55" t="s">
        <v>8</v>
      </c>
      <c r="B72" s="43"/>
      <c r="C72" s="42"/>
      <c r="D72" s="103" t="s">
        <v>8</v>
      </c>
      <c r="E72" s="117"/>
      <c r="F72" s="109">
        <f>F12+F22+F32+F42+F52+F62</f>
        <v>2554</v>
      </c>
      <c r="G72" s="109">
        <f>G12+G22+G32+G42+G52+G62</f>
        <v>7945650</v>
      </c>
      <c r="H72" s="108">
        <f t="shared" si="49"/>
        <v>3111.0610806577915</v>
      </c>
      <c r="I72" s="109">
        <f>I12+I22+I32+I42+I52+I62</f>
        <v>4221100</v>
      </c>
      <c r="J72" s="109">
        <f t="shared" si="54"/>
        <v>1652.7407987470635</v>
      </c>
      <c r="K72" s="109">
        <f>K12+K22+K32+K42+K52+K62</f>
        <v>166430</v>
      </c>
      <c r="L72" s="109">
        <f>L12+L22+L32+L42+L52+L62</f>
        <v>32670</v>
      </c>
      <c r="M72" s="74">
        <f t="shared" ref="M72:R73" si="62">M12+M22+M32+M42+M52+M62</f>
        <v>12365850</v>
      </c>
      <c r="N72" s="109" t="e">
        <f t="shared" si="62"/>
        <v>#DIV/0!</v>
      </c>
      <c r="O72" s="109"/>
      <c r="P72" s="109"/>
      <c r="Q72" s="109"/>
      <c r="R72" s="109">
        <f t="shared" si="62"/>
        <v>0</v>
      </c>
      <c r="S72" s="134" t="e">
        <f t="shared" si="55"/>
        <v>#DIV/0!</v>
      </c>
      <c r="U72" s="250">
        <f t="shared" si="56"/>
        <v>117</v>
      </c>
      <c r="V72" s="250">
        <f t="shared" si="56"/>
        <v>150.5</v>
      </c>
      <c r="W72" s="275">
        <f t="shared" si="57"/>
        <v>15</v>
      </c>
      <c r="X72" s="275">
        <f t="shared" si="57"/>
        <v>11</v>
      </c>
      <c r="Y72" s="275">
        <f t="shared" si="57"/>
        <v>11</v>
      </c>
      <c r="Z72" s="276">
        <f t="shared" si="58"/>
        <v>12.333333333333334</v>
      </c>
      <c r="AB72" s="759" t="s">
        <v>194</v>
      </c>
      <c r="AC72" s="759"/>
      <c r="AD72" s="426">
        <v>1</v>
      </c>
      <c r="AE72" s="427">
        <v>22</v>
      </c>
      <c r="AF72" s="425">
        <f t="shared" si="59"/>
        <v>22</v>
      </c>
      <c r="AG72" s="758"/>
      <c r="AI72" s="250">
        <f t="shared" si="52"/>
        <v>101.19999999999999</v>
      </c>
      <c r="AJ72" s="250">
        <f t="shared" si="52"/>
        <v>129</v>
      </c>
      <c r="AK72" s="275">
        <f t="shared" si="53"/>
        <v>14</v>
      </c>
      <c r="AL72" s="275">
        <f t="shared" si="53"/>
        <v>12</v>
      </c>
      <c r="AM72" s="275">
        <f t="shared" si="53"/>
        <v>13</v>
      </c>
      <c r="AN72" s="276">
        <f t="shared" si="60"/>
        <v>13</v>
      </c>
      <c r="AP72" s="759" t="s">
        <v>194</v>
      </c>
      <c r="AQ72" s="759"/>
      <c r="AR72" s="426">
        <v>1</v>
      </c>
      <c r="AS72" s="427">
        <v>16</v>
      </c>
      <c r="AT72" s="425">
        <f t="shared" si="61"/>
        <v>16</v>
      </c>
      <c r="AU72" s="758"/>
    </row>
    <row r="73" spans="1:47" ht="23" customHeight="1" thickBot="1" x14ac:dyDescent="0.3">
      <c r="A73" s="56" t="s">
        <v>9</v>
      </c>
      <c r="B73" s="43"/>
      <c r="C73" s="42"/>
      <c r="D73" s="113" t="s">
        <v>9</v>
      </c>
      <c r="E73" s="117"/>
      <c r="F73" s="109">
        <f>F13+F23+F33+F43+F53+F63</f>
        <v>2818</v>
      </c>
      <c r="G73" s="109">
        <f>G13+G23+G33+G43+G53+G63</f>
        <v>8160550</v>
      </c>
      <c r="H73" s="108">
        <f t="shared" si="49"/>
        <v>2895.8658623136976</v>
      </c>
      <c r="I73" s="109">
        <f>I13+I23+I33+I43+I53+I63</f>
        <v>4414280</v>
      </c>
      <c r="J73" s="109">
        <f t="shared" si="54"/>
        <v>1566.4584811923351</v>
      </c>
      <c r="K73" s="109">
        <f>K13+K23+K33+K43+K53+K63</f>
        <v>317570</v>
      </c>
      <c r="L73" s="109">
        <f>L13+L23+L33+L43+L53+L63</f>
        <v>17820</v>
      </c>
      <c r="M73" s="74">
        <f t="shared" si="62"/>
        <v>12910220</v>
      </c>
      <c r="N73" s="109" t="e">
        <f t="shared" si="62"/>
        <v>#DIV/0!</v>
      </c>
      <c r="O73" s="109"/>
      <c r="P73" s="109"/>
      <c r="Q73" s="109"/>
      <c r="R73" s="109">
        <f t="shared" si="62"/>
        <v>0</v>
      </c>
      <c r="S73" s="134" t="e">
        <f t="shared" si="55"/>
        <v>#DIV/0!</v>
      </c>
      <c r="T73" s="1">
        <f>T14+T24+T34+T44+T54+T64</f>
        <v>31</v>
      </c>
      <c r="U73" s="251">
        <f>U13+U23+U33+U43+U53+U63</f>
        <v>118.8</v>
      </c>
      <c r="V73" s="251">
        <f>V13+V23+V33+V43+V53+V63</f>
        <v>142.69999999999999</v>
      </c>
      <c r="W73" s="275">
        <f t="shared" si="57"/>
        <v>17</v>
      </c>
      <c r="X73" s="275">
        <f t="shared" si="57"/>
        <v>19</v>
      </c>
      <c r="Y73" s="275">
        <f t="shared" si="57"/>
        <v>21</v>
      </c>
      <c r="Z73" s="277">
        <f t="shared" si="58"/>
        <v>19</v>
      </c>
      <c r="AB73" s="760" t="s">
        <v>195</v>
      </c>
      <c r="AC73" s="760"/>
      <c r="AD73" s="426">
        <v>0</v>
      </c>
      <c r="AE73" s="427"/>
      <c r="AF73" s="425">
        <f t="shared" si="59"/>
        <v>0</v>
      </c>
      <c r="AG73" s="758"/>
      <c r="AH73" s="1">
        <f>AH14+AH24+AH34+AH44+AH54+AH64</f>
        <v>31</v>
      </c>
      <c r="AI73" s="251">
        <f t="shared" si="52"/>
        <v>95.8</v>
      </c>
      <c r="AJ73" s="251">
        <f t="shared" si="52"/>
        <v>129.19999999999999</v>
      </c>
      <c r="AK73" s="275">
        <f t="shared" si="53"/>
        <v>14</v>
      </c>
      <c r="AL73" s="275">
        <f t="shared" si="53"/>
        <v>12</v>
      </c>
      <c r="AM73" s="275">
        <f t="shared" si="53"/>
        <v>17</v>
      </c>
      <c r="AN73" s="277">
        <f t="shared" si="60"/>
        <v>14.333333333333334</v>
      </c>
      <c r="AP73" s="760" t="s">
        <v>195</v>
      </c>
      <c r="AQ73" s="760"/>
      <c r="AR73" s="426">
        <v>0</v>
      </c>
      <c r="AS73" s="427"/>
      <c r="AT73" s="425">
        <f t="shared" si="61"/>
        <v>0</v>
      </c>
      <c r="AU73" s="758"/>
    </row>
    <row r="74" spans="1:47" s="35" customFormat="1" ht="47" customHeight="1" thickTop="1" thickBot="1" x14ac:dyDescent="0.3">
      <c r="A74" s="57" t="s">
        <v>2</v>
      </c>
      <c r="B74" s="58">
        <f>SUM(B67:B73)</f>
        <v>0</v>
      </c>
      <c r="C74" s="35" t="e">
        <f>#REF!</f>
        <v>#REF!</v>
      </c>
      <c r="D74" s="118" t="s">
        <v>2</v>
      </c>
      <c r="E74" s="119">
        <f>SUM(E67:E73)</f>
        <v>0</v>
      </c>
      <c r="F74" s="59">
        <f>SUM(F67:F73)</f>
        <v>13891</v>
      </c>
      <c r="G74" s="59">
        <f>SUM(G67:G73)</f>
        <v>39145000</v>
      </c>
      <c r="H74" s="59">
        <f t="shared" si="49"/>
        <v>2818.0116622273413</v>
      </c>
      <c r="I74" s="59">
        <f>SUM(I67:I73)</f>
        <v>20918310</v>
      </c>
      <c r="J74" s="59">
        <f>I74/F74</f>
        <v>1505.8894248074294</v>
      </c>
      <c r="K74" s="59">
        <f>SUM(K67:K73)</f>
        <v>1313036</v>
      </c>
      <c r="L74" s="59">
        <f>SUM(L67:L73)</f>
        <v>86130</v>
      </c>
      <c r="M74" s="59">
        <f>SUM(M67:M73)</f>
        <v>61462476</v>
      </c>
      <c r="N74" s="59">
        <f>M74/F74</f>
        <v>4424.6257288892084</v>
      </c>
      <c r="O74" s="59"/>
      <c r="P74" s="59"/>
      <c r="Q74" s="59"/>
      <c r="R74" s="135">
        <f>SUM(R67:R73)</f>
        <v>0</v>
      </c>
      <c r="S74" s="72" t="e">
        <f>M74/R74</f>
        <v>#DIV/0!</v>
      </c>
      <c r="U74" s="291">
        <f>SUM(U67:U73)/T73</f>
        <v>22.045161290322575</v>
      </c>
      <c r="V74" s="292">
        <f>SUM(V67:V73)/T73</f>
        <v>28.441935483870971</v>
      </c>
      <c r="W74" s="305">
        <f>SUM(W67:W73)/T73</f>
        <v>3.3225806451612905</v>
      </c>
      <c r="X74" s="305">
        <f>SUM(X67:X73)/T73</f>
        <v>2.7419354838709675</v>
      </c>
      <c r="Y74" s="305">
        <f>SUM(Y67:Y73)/T73</f>
        <v>3.064516129032258</v>
      </c>
      <c r="Z74" s="306">
        <f>SUM(W74:Y74)/3</f>
        <v>3.043010752688172</v>
      </c>
      <c r="AB74" s="727" t="s">
        <v>196</v>
      </c>
      <c r="AC74" s="727"/>
      <c r="AD74" s="727"/>
      <c r="AE74" s="427">
        <f>SUM(AE68:AE73)</f>
        <v>93</v>
      </c>
      <c r="AF74" s="427">
        <f>SUM(AF68:AF73)</f>
        <v>283</v>
      </c>
      <c r="AG74" s="452">
        <f>AG68+AG71</f>
        <v>1</v>
      </c>
      <c r="AI74" s="291">
        <f>SUM(AI67:AI73)/AH73</f>
        <v>23.980645161290319</v>
      </c>
      <c r="AJ74" s="299">
        <f>SUM(AJ67:AJ73)/AH73</f>
        <v>30.867741935483867</v>
      </c>
      <c r="AK74" s="305">
        <f>SUM(AK67:AK73)/AH73</f>
        <v>3.3225806451612905</v>
      </c>
      <c r="AL74" s="305">
        <f>SUM(AL67:AL73)/AH73</f>
        <v>3.129032258064516</v>
      </c>
      <c r="AM74" s="305">
        <f>SUM(AM67:AM73)/AH73</f>
        <v>3.7096774193548385</v>
      </c>
      <c r="AN74" s="306">
        <f>SUM(AK74:AM74)/3</f>
        <v>3.387096774193548</v>
      </c>
      <c r="AP74" s="727" t="s">
        <v>196</v>
      </c>
      <c r="AQ74" s="727"/>
      <c r="AR74" s="727"/>
      <c r="AS74" s="427">
        <f>SUM(AS68:AS73)</f>
        <v>93</v>
      </c>
      <c r="AT74" s="427">
        <f>SUM(AT68:AT73)</f>
        <v>315</v>
      </c>
      <c r="AU74" s="429">
        <f>AU68+AU71</f>
        <v>1</v>
      </c>
    </row>
    <row r="75" spans="1:47" s="31" customFormat="1" ht="20.25" hidden="1" customHeight="1" thickTop="1" thickBot="1" x14ac:dyDescent="0.3">
      <c r="A75" s="28" t="s">
        <v>24</v>
      </c>
      <c r="B75" s="38"/>
      <c r="D75" s="28" t="s">
        <v>24</v>
      </c>
      <c r="E75" s="38"/>
      <c r="F75" s="28"/>
      <c r="G75" s="29"/>
      <c r="H75" s="29"/>
      <c r="I75" s="29"/>
      <c r="J75" s="29"/>
      <c r="K75" s="29"/>
      <c r="L75" s="29"/>
      <c r="M75" s="29"/>
      <c r="N75" s="29"/>
      <c r="O75" s="29"/>
      <c r="P75" s="29"/>
      <c r="Q75" s="29"/>
      <c r="R75" s="29"/>
      <c r="S75" s="30"/>
    </row>
    <row r="76" spans="1:47" ht="30.5" hidden="1" customHeight="1" thickTop="1" x14ac:dyDescent="0.25">
      <c r="A76" s="39"/>
      <c r="B76" s="40"/>
      <c r="D76" s="39"/>
      <c r="E76" s="40"/>
      <c r="F76" s="27"/>
      <c r="G76" s="27"/>
      <c r="H76" s="27"/>
      <c r="I76" s="27"/>
      <c r="J76" s="27"/>
      <c r="K76" s="27"/>
      <c r="L76" s="27"/>
      <c r="M76" s="27"/>
      <c r="N76" s="27"/>
      <c r="O76" s="27"/>
      <c r="P76" s="27"/>
      <c r="Q76" s="27"/>
      <c r="R76" s="27"/>
    </row>
    <row r="77" spans="1:47" ht="32.25" hidden="1" customHeight="1" thickTop="1" x14ac:dyDescent="0.25">
      <c r="A77" s="735" t="s">
        <v>0</v>
      </c>
      <c r="B77" s="736"/>
      <c r="D77" s="735" t="s">
        <v>0</v>
      </c>
      <c r="E77" s="736"/>
      <c r="F77" s="99" t="s">
        <v>25</v>
      </c>
      <c r="G77" s="737"/>
      <c r="H77" s="737"/>
      <c r="I77" s="737"/>
      <c r="J77" s="737"/>
      <c r="K77" s="737"/>
      <c r="L77" s="737"/>
      <c r="M77" s="738"/>
      <c r="N77" s="63"/>
      <c r="O77" s="63"/>
      <c r="P77" s="63"/>
      <c r="Q77" s="63"/>
      <c r="R77" s="63"/>
      <c r="S77" s="8"/>
    </row>
    <row r="78" spans="1:47" ht="32.25" hidden="1" customHeight="1" thickTop="1" x14ac:dyDescent="0.25">
      <c r="A78" s="735"/>
      <c r="B78" s="736"/>
      <c r="D78" s="735"/>
      <c r="E78" s="736"/>
      <c r="F78" s="739" t="s">
        <v>0</v>
      </c>
      <c r="G78" s="740"/>
      <c r="H78" s="740"/>
      <c r="I78" s="740"/>
      <c r="J78" s="740"/>
      <c r="K78" s="740"/>
      <c r="L78" s="740"/>
      <c r="M78" s="741"/>
      <c r="N78" s="64"/>
      <c r="O78" s="64"/>
      <c r="P78" s="64"/>
      <c r="Q78" s="64"/>
      <c r="R78" s="64"/>
    </row>
    <row r="79" spans="1:47" ht="32.25" hidden="1" customHeight="1" thickTop="1" x14ac:dyDescent="0.25">
      <c r="A79" s="735"/>
      <c r="B79" s="736"/>
      <c r="D79" s="735"/>
      <c r="E79" s="736"/>
      <c r="F79" s="3" t="s">
        <v>1</v>
      </c>
      <c r="G79" s="6"/>
      <c r="H79" s="6"/>
      <c r="I79" s="6" t="s">
        <v>20</v>
      </c>
      <c r="J79" s="41"/>
      <c r="K79" s="41"/>
      <c r="L79" s="41"/>
      <c r="M79" s="7" t="s">
        <v>21</v>
      </c>
      <c r="N79" s="65"/>
      <c r="O79" s="65"/>
      <c r="P79" s="65"/>
      <c r="Q79" s="65"/>
      <c r="R79" s="65"/>
      <c r="S79" s="32"/>
    </row>
    <row r="80" spans="1:47" ht="32.25" hidden="1" customHeight="1" thickTop="1" x14ac:dyDescent="0.25">
      <c r="A80" s="735"/>
      <c r="B80" s="736"/>
      <c r="D80" s="735"/>
      <c r="E80" s="736"/>
      <c r="F80" s="20"/>
      <c r="G80" s="4"/>
      <c r="H80" s="4"/>
      <c r="I80" s="12" t="e">
        <f>#REF!*F80</f>
        <v>#REF!</v>
      </c>
      <c r="J80" s="14"/>
      <c r="K80" s="14"/>
      <c r="L80" s="14"/>
      <c r="M80" s="13" t="e">
        <f>#REF!*F80</f>
        <v>#REF!</v>
      </c>
      <c r="N80" s="66"/>
      <c r="O80" s="66"/>
      <c r="P80" s="66"/>
      <c r="Q80" s="66"/>
      <c r="R80" s="66"/>
      <c r="S80" s="33"/>
    </row>
    <row r="81" spans="1:47" ht="21" hidden="1" customHeight="1" thickTop="1" x14ac:dyDescent="0.25">
      <c r="A81" s="735"/>
      <c r="B81" s="736"/>
      <c r="D81" s="735"/>
      <c r="E81" s="736"/>
      <c r="G81" s="9"/>
      <c r="H81" s="9"/>
    </row>
    <row r="82" spans="1:47" ht="32.25" hidden="1" customHeight="1" thickTop="1" x14ac:dyDescent="0.25">
      <c r="A82" s="735"/>
      <c r="B82" s="736"/>
      <c r="D82" s="735"/>
      <c r="E82" s="736"/>
      <c r="F82" s="1" t="s">
        <v>22</v>
      </c>
      <c r="G82" s="10"/>
      <c r="H82" s="10"/>
    </row>
    <row r="83" spans="1:47" ht="32.25" hidden="1" customHeight="1" thickTop="1" x14ac:dyDescent="0.25">
      <c r="A83" s="735"/>
      <c r="B83" s="736"/>
      <c r="D83" s="735"/>
      <c r="E83" s="736"/>
      <c r="F83" s="15" t="s">
        <v>1</v>
      </c>
      <c r="G83" s="15"/>
      <c r="H83" s="15"/>
      <c r="I83" s="15" t="s">
        <v>20</v>
      </c>
      <c r="J83" s="15"/>
      <c r="K83" s="15"/>
      <c r="L83" s="15"/>
      <c r="M83" s="15" t="s">
        <v>21</v>
      </c>
      <c r="N83" s="51"/>
      <c r="O83" s="51"/>
      <c r="P83" s="51"/>
      <c r="Q83" s="51"/>
      <c r="R83" s="51"/>
    </row>
    <row r="84" spans="1:47" s="5" customFormat="1" ht="32.25" hidden="1" customHeight="1" thickTop="1" x14ac:dyDescent="0.25">
      <c r="A84" s="735"/>
      <c r="B84" s="736"/>
      <c r="D84" s="735"/>
      <c r="E84" s="736"/>
      <c r="F84" s="21">
        <f>F74-F80</f>
        <v>13891</v>
      </c>
      <c r="G84" s="22"/>
      <c r="H84" s="22"/>
      <c r="I84" s="21" t="e">
        <f>I74-I80</f>
        <v>#REF!</v>
      </c>
      <c r="J84" s="21"/>
      <c r="K84" s="21"/>
      <c r="L84" s="21"/>
      <c r="M84" s="21" t="e">
        <f>M74-M80</f>
        <v>#REF!</v>
      </c>
      <c r="N84" s="67"/>
      <c r="O84" s="67"/>
      <c r="P84" s="67"/>
      <c r="Q84" s="67"/>
      <c r="R84" s="67"/>
      <c r="S84" s="1"/>
    </row>
    <row r="85" spans="1:47" s="5" customFormat="1" ht="32.25" hidden="1" customHeight="1" thickTop="1" x14ac:dyDescent="0.25">
      <c r="A85" s="735"/>
      <c r="B85" s="736"/>
      <c r="D85" s="735"/>
      <c r="E85" s="736"/>
      <c r="F85" s="23" t="e">
        <f>F74/F80</f>
        <v>#DIV/0!</v>
      </c>
      <c r="G85" s="23"/>
      <c r="H85" s="23"/>
      <c r="I85" s="23" t="e">
        <f>I74/I80</f>
        <v>#REF!</v>
      </c>
      <c r="J85" s="23"/>
      <c r="K85" s="23"/>
      <c r="L85" s="23"/>
      <c r="M85" s="23" t="e">
        <f>M74/M80</f>
        <v>#REF!</v>
      </c>
      <c r="N85" s="68"/>
      <c r="O85" s="68"/>
      <c r="P85" s="68"/>
      <c r="Q85" s="68"/>
      <c r="R85" s="68"/>
      <c r="S85" s="1"/>
    </row>
    <row r="86" spans="1:47" s="5" customFormat="1" ht="32.25" hidden="1" customHeight="1" thickTop="1" x14ac:dyDescent="0.25">
      <c r="A86" s="735"/>
      <c r="B86" s="736"/>
      <c r="D86" s="735"/>
      <c r="E86" s="736"/>
      <c r="F86" s="1" t="s">
        <v>26</v>
      </c>
      <c r="G86" s="1"/>
      <c r="H86" s="1"/>
      <c r="I86" s="1"/>
      <c r="J86" s="1"/>
      <c r="K86" s="1"/>
      <c r="L86" s="1"/>
      <c r="M86" s="1"/>
      <c r="N86" s="1"/>
      <c r="O86" s="1"/>
      <c r="P86" s="1"/>
      <c r="Q86" s="1"/>
      <c r="R86" s="1"/>
      <c r="S86" s="1"/>
    </row>
    <row r="87" spans="1:47" s="5" customFormat="1" ht="32.25" hidden="1" customHeight="1" thickTop="1" x14ac:dyDescent="0.25">
      <c r="A87" s="735"/>
      <c r="B87" s="736"/>
      <c r="D87" s="735"/>
      <c r="E87" s="736"/>
      <c r="F87" s="15" t="s">
        <v>1</v>
      </c>
      <c r="G87" s="15"/>
      <c r="H87" s="15"/>
      <c r="I87" s="15" t="s">
        <v>20</v>
      </c>
      <c r="J87" s="15"/>
      <c r="K87" s="15"/>
      <c r="L87" s="15"/>
      <c r="M87" s="15" t="s">
        <v>21</v>
      </c>
      <c r="N87" s="51"/>
      <c r="O87" s="51"/>
      <c r="P87" s="51"/>
      <c r="Q87" s="51"/>
      <c r="R87" s="51"/>
      <c r="S87" s="1"/>
    </row>
    <row r="88" spans="1:47" s="5" customFormat="1" ht="32.25" hidden="1" customHeight="1" thickTop="1" x14ac:dyDescent="0.25">
      <c r="A88" s="735"/>
      <c r="B88" s="736"/>
      <c r="D88" s="735"/>
      <c r="E88" s="736"/>
      <c r="F88" s="16"/>
      <c r="G88" s="18"/>
      <c r="H88" s="18"/>
      <c r="I88" s="17"/>
      <c r="J88" s="17"/>
      <c r="K88" s="17"/>
      <c r="L88" s="17"/>
      <c r="M88" s="17"/>
      <c r="N88" s="69"/>
      <c r="O88" s="69"/>
      <c r="P88" s="69"/>
      <c r="Q88" s="69"/>
      <c r="R88" s="69"/>
      <c r="S88" s="1"/>
    </row>
    <row r="89" spans="1:47" s="5" customFormat="1" ht="32.25" hidden="1" customHeight="1" thickTop="1" x14ac:dyDescent="0.25">
      <c r="A89" s="735"/>
      <c r="B89" s="736"/>
      <c r="D89" s="735"/>
      <c r="E89" s="736"/>
      <c r="F89" s="1" t="s">
        <v>23</v>
      </c>
      <c r="G89" s="1"/>
      <c r="H89" s="1"/>
      <c r="I89" s="1"/>
      <c r="J89" s="1"/>
      <c r="K89" s="1"/>
      <c r="L89" s="1"/>
      <c r="M89" s="1"/>
      <c r="N89" s="1"/>
      <c r="O89" s="1"/>
      <c r="P89" s="1"/>
      <c r="Q89" s="1"/>
      <c r="R89" s="1"/>
      <c r="S89" s="1"/>
    </row>
    <row r="90" spans="1:47" s="5" customFormat="1" ht="32.25" hidden="1" customHeight="1" thickTop="1" x14ac:dyDescent="0.25">
      <c r="A90" s="735"/>
      <c r="B90" s="736"/>
      <c r="D90" s="735"/>
      <c r="E90" s="736"/>
      <c r="F90" s="15" t="s">
        <v>1</v>
      </c>
      <c r="G90" s="15"/>
      <c r="H90" s="15"/>
      <c r="I90" s="15" t="s">
        <v>20</v>
      </c>
      <c r="J90" s="15"/>
      <c r="K90" s="15"/>
      <c r="L90" s="15"/>
      <c r="M90" s="15" t="s">
        <v>21</v>
      </c>
      <c r="N90" s="51"/>
      <c r="O90" s="51"/>
      <c r="P90" s="51"/>
      <c r="Q90" s="51"/>
      <c r="R90" s="51"/>
      <c r="S90" s="1"/>
    </row>
    <row r="91" spans="1:47" s="5" customFormat="1" ht="30" hidden="1" customHeight="1" thickTop="1" x14ac:dyDescent="0.25">
      <c r="A91" s="735"/>
      <c r="B91" s="736"/>
      <c r="D91" s="735"/>
      <c r="E91" s="736"/>
      <c r="F91" s="16">
        <f>F74-F88</f>
        <v>13891</v>
      </c>
      <c r="G91" s="16"/>
      <c r="H91" s="16"/>
      <c r="I91" s="16">
        <f>I74-I88</f>
        <v>20918310</v>
      </c>
      <c r="J91" s="16"/>
      <c r="K91" s="16"/>
      <c r="L91" s="16"/>
      <c r="M91" s="16">
        <f>M74-M88</f>
        <v>61462476</v>
      </c>
      <c r="N91" s="70"/>
      <c r="O91" s="70"/>
      <c r="P91" s="70"/>
      <c r="Q91" s="70"/>
      <c r="R91" s="70"/>
      <c r="S91" s="1"/>
    </row>
    <row r="92" spans="1:47" s="5" customFormat="1" ht="32" hidden="1" customHeight="1" thickTop="1" x14ac:dyDescent="0.25">
      <c r="A92" s="735"/>
      <c r="B92" s="736"/>
      <c r="D92" s="735"/>
      <c r="E92" s="736"/>
      <c r="F92" s="48" t="e">
        <f>F74/F88</f>
        <v>#DIV/0!</v>
      </c>
      <c r="G92" s="19"/>
      <c r="H92" s="19"/>
      <c r="I92" s="19" t="e">
        <f>I74/I88</f>
        <v>#DIV/0!</v>
      </c>
      <c r="J92" s="19"/>
      <c r="K92" s="19"/>
      <c r="L92" s="19"/>
      <c r="M92" s="19" t="e">
        <f>M74/M88</f>
        <v>#DIV/0!</v>
      </c>
      <c r="N92" s="52"/>
      <c r="O92" s="52"/>
      <c r="P92" s="52"/>
      <c r="Q92" s="52"/>
      <c r="R92" s="52"/>
      <c r="S92" s="11"/>
    </row>
    <row r="93" spans="1:47" s="5" customFormat="1" ht="39" customHeight="1" thickTop="1" x14ac:dyDescent="0.25">
      <c r="A93" s="746" t="s">
        <v>39</v>
      </c>
      <c r="B93" s="746"/>
      <c r="D93" s="60"/>
      <c r="E93" s="60"/>
      <c r="F93" s="60">
        <f>F74/30</f>
        <v>463.03333333333336</v>
      </c>
      <c r="G93" s="742"/>
      <c r="H93" s="742"/>
      <c r="I93" s="1"/>
      <c r="J93" s="1"/>
      <c r="K93" s="131" t="s">
        <v>85</v>
      </c>
      <c r="L93" s="131"/>
      <c r="M93" s="125">
        <f>M74/1.1</f>
        <v>55874978.18181818</v>
      </c>
      <c r="N93" s="130" t="s">
        <v>84</v>
      </c>
      <c r="O93" s="130"/>
      <c r="P93" s="130"/>
      <c r="Q93" s="130"/>
      <c r="R93" s="210" t="e">
        <f>M93/#REF!</f>
        <v>#REF!</v>
      </c>
      <c r="S93" s="748" t="e">
        <f>M93-#REF!</f>
        <v>#REF!</v>
      </c>
      <c r="T93" s="747"/>
      <c r="U93" s="747"/>
      <c r="V93" s="747"/>
      <c r="W93" s="747"/>
      <c r="AA93" s="304"/>
      <c r="AC93" s="394">
        <f>AE93/AS93</f>
        <v>0.89841269841269833</v>
      </c>
      <c r="AE93" s="765">
        <f>AF74/AE74</f>
        <v>3.043010752688172</v>
      </c>
      <c r="AF93" s="765"/>
      <c r="AG93" s="765"/>
      <c r="AJ93" s="388"/>
      <c r="AK93" s="388"/>
      <c r="AO93" s="304"/>
      <c r="AQ93" s="394" t="e">
        <f>AC93/BE93</f>
        <v>#DIV/0!</v>
      </c>
      <c r="AS93" s="765">
        <f>AT74/AS74</f>
        <v>3.3870967741935485</v>
      </c>
      <c r="AT93" s="765"/>
      <c r="AU93" s="765"/>
    </row>
    <row r="94" spans="1:47" s="5" customFormat="1" ht="21" customHeight="1" thickBot="1" x14ac:dyDescent="0.3">
      <c r="A94" s="746"/>
      <c r="B94" s="746"/>
      <c r="D94" s="1"/>
      <c r="E94" s="1"/>
      <c r="F94" s="1"/>
      <c r="G94" s="455">
        <f>G74/1.1</f>
        <v>35586363.636363633</v>
      </c>
      <c r="H94" s="36"/>
      <c r="I94" s="455">
        <f>I74/1.1</f>
        <v>19016645.454545453</v>
      </c>
      <c r="J94" s="1"/>
      <c r="K94" s="83"/>
      <c r="L94" s="83"/>
      <c r="M94" s="1"/>
      <c r="N94" s="1" t="s">
        <v>185</v>
      </c>
      <c r="O94" s="1"/>
      <c r="P94" s="1"/>
      <c r="Q94" s="1"/>
      <c r="R94" s="166" t="s">
        <v>184</v>
      </c>
      <c r="S94" s="1"/>
      <c r="AA94" s="304"/>
      <c r="AE94" s="5">
        <f>AE93/AS93</f>
        <v>0.89841269841269833</v>
      </c>
      <c r="AO94" s="304"/>
    </row>
    <row r="95" spans="1:47" ht="66" customHeight="1" thickTop="1" thickBot="1" x14ac:dyDescent="0.3">
      <c r="A95" s="746"/>
      <c r="B95" s="746"/>
      <c r="G95" s="52"/>
      <c r="H95" s="52"/>
      <c r="I95" s="743" t="s">
        <v>183</v>
      </c>
      <c r="J95" s="744"/>
      <c r="K95" s="744"/>
      <c r="L95" s="744"/>
      <c r="M95" s="744"/>
      <c r="N95" s="410" t="e">
        <f>M93/#REF!</f>
        <v>#REF!</v>
      </c>
      <c r="O95" s="410"/>
      <c r="P95" s="410"/>
      <c r="Q95" s="410"/>
      <c r="R95" s="411" t="e">
        <f>K94/#REF!</f>
        <v>#REF!</v>
      </c>
      <c r="S95" s="61" t="e">
        <f>M93-#REF!</f>
        <v>#REF!</v>
      </c>
      <c r="AA95" s="270"/>
      <c r="AO95" s="270"/>
    </row>
    <row r="96" spans="1:47" ht="17" thickTop="1" x14ac:dyDescent="0.25"/>
    <row r="97" spans="1:20" ht="32" customHeight="1" x14ac:dyDescent="0.25">
      <c r="L97" s="1" t="s">
        <v>213</v>
      </c>
      <c r="M97" s="1">
        <v>31</v>
      </c>
    </row>
    <row r="98" spans="1:20" s="24" customFormat="1" ht="34.25" customHeight="1" x14ac:dyDescent="0.25">
      <c r="A98" s="34" t="s">
        <v>53</v>
      </c>
      <c r="B98" s="35"/>
      <c r="I98" s="24">
        <v>7615389</v>
      </c>
      <c r="M98" s="26">
        <v>31</v>
      </c>
      <c r="N98" s="24">
        <f>M97-M98</f>
        <v>0</v>
      </c>
    </row>
    <row r="99" spans="1:20" s="81" customFormat="1" ht="32" customHeight="1" x14ac:dyDescent="0.25">
      <c r="A99" s="745" t="s">
        <v>54</v>
      </c>
      <c r="B99" s="745"/>
      <c r="I99" s="81">
        <f>I98/I94</f>
        <v>0.40045911452693839</v>
      </c>
      <c r="M99" s="84">
        <f>M93/M98</f>
        <v>1802418.6510263928</v>
      </c>
    </row>
    <row r="100" spans="1:20" ht="73" customHeight="1" x14ac:dyDescent="0.25">
      <c r="A100" s="729" t="s">
        <v>55</v>
      </c>
      <c r="B100" s="729"/>
      <c r="F100" s="10" t="e">
        <f>I74+#REF!+'2024.6月実績'!L93+'2024.5月実績'!L93</f>
        <v>#REF!</v>
      </c>
      <c r="L100" s="1" t="s">
        <v>216</v>
      </c>
      <c r="M100" s="10" t="e">
        <f>#REF!-M93</f>
        <v>#REF!</v>
      </c>
      <c r="S100" s="10">
        <f>M93</f>
        <v>55874978.18181818</v>
      </c>
    </row>
    <row r="101" spans="1:20" ht="73" customHeight="1" x14ac:dyDescent="0.25">
      <c r="A101" s="729" t="s">
        <v>56</v>
      </c>
      <c r="B101" s="729"/>
      <c r="F101" s="83">
        <v>18147154</v>
      </c>
      <c r="L101" s="1" t="s">
        <v>218</v>
      </c>
      <c r="M101" s="83" t="e">
        <f>M100/N98</f>
        <v>#REF!</v>
      </c>
      <c r="S101" s="83" t="e">
        <f>#REF!</f>
        <v>#REF!</v>
      </c>
      <c r="T101" s="1" t="s">
        <v>223</v>
      </c>
    </row>
    <row r="102" spans="1:20" ht="73" customHeight="1" x14ac:dyDescent="0.25">
      <c r="A102" s="729" t="s">
        <v>57</v>
      </c>
      <c r="B102" s="729"/>
      <c r="F102" s="86" t="e">
        <f>F101/F100</f>
        <v>#REF!</v>
      </c>
      <c r="L102" s="1" t="s">
        <v>215</v>
      </c>
      <c r="M102" s="454">
        <v>54000000</v>
      </c>
      <c r="N102" s="83">
        <f>M102*1.1</f>
        <v>59400000.000000007</v>
      </c>
      <c r="O102" s="83"/>
      <c r="P102" s="83"/>
      <c r="Q102" s="83"/>
      <c r="S102" s="83" t="e">
        <f>S100-S101</f>
        <v>#REF!</v>
      </c>
      <c r="T102" s="1" t="s">
        <v>66</v>
      </c>
    </row>
    <row r="103" spans="1:20" ht="73" customHeight="1" x14ac:dyDescent="0.25">
      <c r="A103" s="729" t="s">
        <v>58</v>
      </c>
      <c r="B103" s="729"/>
      <c r="L103" s="1" t="s">
        <v>217</v>
      </c>
      <c r="M103" s="10">
        <f>M102-M93</f>
        <v>-1874978.1818181798</v>
      </c>
      <c r="S103" s="394" t="e">
        <f>S100/S101</f>
        <v>#REF!</v>
      </c>
    </row>
    <row r="104" spans="1:20" ht="73" customHeight="1" x14ac:dyDescent="0.25">
      <c r="A104" s="729" t="s">
        <v>59</v>
      </c>
      <c r="B104" s="729"/>
      <c r="L104" s="1" t="s">
        <v>219</v>
      </c>
      <c r="M104" s="83" t="e">
        <f>M103/N98</f>
        <v>#DIV/0!</v>
      </c>
    </row>
    <row r="105" spans="1:20" ht="73" customHeight="1" x14ac:dyDescent="0.25">
      <c r="A105" s="729" t="s">
        <v>49</v>
      </c>
      <c r="B105" s="729"/>
    </row>
    <row r="106" spans="1:20" ht="73" customHeight="1" x14ac:dyDescent="0.25">
      <c r="A106" s="729" t="s">
        <v>50</v>
      </c>
      <c r="B106" s="729"/>
    </row>
    <row r="107" spans="1:20" ht="73" customHeight="1" x14ac:dyDescent="0.25">
      <c r="A107" s="729"/>
      <c r="B107" s="729"/>
    </row>
    <row r="108" spans="1:20" ht="73" customHeight="1" x14ac:dyDescent="0.25">
      <c r="A108" s="747"/>
      <c r="B108" s="747"/>
    </row>
    <row r="109" spans="1:20" ht="32" customHeight="1" x14ac:dyDescent="0.25"/>
    <row r="110" spans="1:20" ht="32" customHeight="1" x14ac:dyDescent="0.25"/>
    <row r="111" spans="1:20" ht="32" customHeight="1" x14ac:dyDescent="0.25"/>
    <row r="112" spans="1:20" ht="32" customHeight="1" x14ac:dyDescent="0.25"/>
    <row r="113" ht="32" customHeight="1" x14ac:dyDescent="0.25"/>
  </sheetData>
  <mergeCells count="104">
    <mergeCell ref="AP74:AR74"/>
    <mergeCell ref="AS93:AU93"/>
    <mergeCell ref="AE93:AG93"/>
    <mergeCell ref="AP66:AU66"/>
    <mergeCell ref="AP67:AQ67"/>
    <mergeCell ref="AP68:AQ68"/>
    <mergeCell ref="AU68:AU70"/>
    <mergeCell ref="AP69:AQ69"/>
    <mergeCell ref="AP70:AQ70"/>
    <mergeCell ref="AP71:AQ71"/>
    <mergeCell ref="AU71:AU73"/>
    <mergeCell ref="AP72:AQ72"/>
    <mergeCell ref="AP73:AQ73"/>
    <mergeCell ref="AB71:AC71"/>
    <mergeCell ref="AG71:AG73"/>
    <mergeCell ref="AB72:AC72"/>
    <mergeCell ref="AB73:AC73"/>
    <mergeCell ref="AB74:AD74"/>
    <mergeCell ref="AB66:AG66"/>
    <mergeCell ref="AB67:AC67"/>
    <mergeCell ref="AB68:AC68"/>
    <mergeCell ref="AG68:AG70"/>
    <mergeCell ref="AB69:AC69"/>
    <mergeCell ref="AB70:AC70"/>
    <mergeCell ref="AI45:AN45"/>
    <mergeCell ref="AP54:AT54"/>
    <mergeCell ref="AI55:AN55"/>
    <mergeCell ref="AP64:AT64"/>
    <mergeCell ref="AI65:AN65"/>
    <mergeCell ref="AI4:AN4"/>
    <mergeCell ref="AI5:AN5"/>
    <mergeCell ref="AP14:AT14"/>
    <mergeCell ref="AI15:AN15"/>
    <mergeCell ref="AP24:AT24"/>
    <mergeCell ref="AI25:AN25"/>
    <mergeCell ref="AP34:AT34"/>
    <mergeCell ref="AI35:AN35"/>
    <mergeCell ref="AP44:AT44"/>
    <mergeCell ref="D3:N3"/>
    <mergeCell ref="D4:E4"/>
    <mergeCell ref="J4:K4"/>
    <mergeCell ref="D5:S5"/>
    <mergeCell ref="D14:E14"/>
    <mergeCell ref="D15:S15"/>
    <mergeCell ref="D24:E24"/>
    <mergeCell ref="D25:S25"/>
    <mergeCell ref="D34:E34"/>
    <mergeCell ref="O3:R3"/>
    <mergeCell ref="O4:R4"/>
    <mergeCell ref="A2:B2"/>
    <mergeCell ref="A3:B3"/>
    <mergeCell ref="A4:B4"/>
    <mergeCell ref="A15:B15"/>
    <mergeCell ref="A24:B24"/>
    <mergeCell ref="A5:B5"/>
    <mergeCell ref="A14:B14"/>
    <mergeCell ref="A35:B35"/>
    <mergeCell ref="A44:B44"/>
    <mergeCell ref="A25:B25"/>
    <mergeCell ref="A34:B34"/>
    <mergeCell ref="A55:B55"/>
    <mergeCell ref="A64:B64"/>
    <mergeCell ref="A45:B45"/>
    <mergeCell ref="A54:B54"/>
    <mergeCell ref="A93:B95"/>
    <mergeCell ref="A65:B65"/>
    <mergeCell ref="A77:B92"/>
    <mergeCell ref="A99:B99"/>
    <mergeCell ref="A101:B101"/>
    <mergeCell ref="A103:B103"/>
    <mergeCell ref="A102:B102"/>
    <mergeCell ref="A100:B100"/>
    <mergeCell ref="A105:B105"/>
    <mergeCell ref="A104:B104"/>
    <mergeCell ref="A108:B108"/>
    <mergeCell ref="A107:B107"/>
    <mergeCell ref="A106:B106"/>
    <mergeCell ref="U65:Z65"/>
    <mergeCell ref="G93:H93"/>
    <mergeCell ref="I95:M95"/>
    <mergeCell ref="D35:S35"/>
    <mergeCell ref="D44:E44"/>
    <mergeCell ref="D45:S45"/>
    <mergeCell ref="D54:E54"/>
    <mergeCell ref="D55:S55"/>
    <mergeCell ref="D64:E64"/>
    <mergeCell ref="D65:S65"/>
    <mergeCell ref="D77:E92"/>
    <mergeCell ref="G77:M77"/>
    <mergeCell ref="F78:M78"/>
    <mergeCell ref="S93:W93"/>
    <mergeCell ref="AB14:AF14"/>
    <mergeCell ref="AB24:AF24"/>
    <mergeCell ref="AB34:AF34"/>
    <mergeCell ref="AB44:AF44"/>
    <mergeCell ref="AB54:AF54"/>
    <mergeCell ref="AB64:AF64"/>
    <mergeCell ref="U4:Z4"/>
    <mergeCell ref="U5:Z5"/>
    <mergeCell ref="U15:Z15"/>
    <mergeCell ref="U25:Z25"/>
    <mergeCell ref="U35:Z35"/>
    <mergeCell ref="U45:Z45"/>
    <mergeCell ref="U55:Z55"/>
  </mergeCells>
  <phoneticPr fontId="1"/>
  <pageMargins left="0.7" right="0.7" top="0.75" bottom="0.75" header="0.3" footer="0.3"/>
  <pageSetup paperSize="8" scale="17"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2524-DAF1-7446-8AE1-680129140CAC}">
  <sheetPr>
    <tabColor rgb="FFFFC000"/>
    <pageSetUpPr fitToPage="1"/>
  </sheetPr>
  <dimension ref="A1:BJ113"/>
  <sheetViews>
    <sheetView zoomScale="58" workbookViewId="0">
      <pane xSplit="2" topLeftCell="C1" activePane="topRight" state="frozen"/>
      <selection pane="topRight"/>
    </sheetView>
  </sheetViews>
  <sheetFormatPr baseColWidth="10" defaultColWidth="9" defaultRowHeight="16" x14ac:dyDescent="0.25"/>
  <cols>
    <col min="1" max="1" width="8.1640625" style="1" customWidth="1"/>
    <col min="2" max="2" width="6.6640625" style="35" customWidth="1"/>
    <col min="3" max="3" width="15.5" style="1" customWidth="1"/>
    <col min="4" max="4" width="7.1640625" style="1" customWidth="1"/>
    <col min="5" max="5" width="16" style="1" customWidth="1"/>
    <col min="6" max="6" width="21" style="1" customWidth="1"/>
    <col min="7" max="7" width="16" style="1" customWidth="1"/>
    <col min="8" max="8" width="23.1640625" style="1" customWidth="1"/>
    <col min="9" max="11" width="16" style="1" customWidth="1"/>
    <col min="12" max="12" width="26.33203125" style="1" customWidth="1"/>
    <col min="13" max="17" width="16" style="1" customWidth="1"/>
    <col min="18" max="18" width="22.1640625" style="1" customWidth="1"/>
    <col min="19" max="19" width="5.1640625" style="1" customWidth="1"/>
    <col min="20" max="21" width="16.83203125" style="1" bestFit="1" customWidth="1"/>
    <col min="22" max="25" width="10.33203125" style="1" customWidth="1"/>
    <col min="26" max="26" width="6" style="36" customWidth="1"/>
    <col min="27" max="27" width="9" style="1"/>
    <col min="28" max="28" width="19.5" style="1" customWidth="1"/>
    <col min="29" max="29" width="9.1640625" style="1" bestFit="1" customWidth="1"/>
    <col min="30" max="32" width="9" style="1"/>
    <col min="33" max="33" width="5.1640625" style="1" customWidth="1"/>
    <col min="34" max="34" width="12.33203125" style="1" bestFit="1" customWidth="1"/>
    <col min="35" max="35" width="10.5" style="1" bestFit="1" customWidth="1"/>
    <col min="36" max="39" width="10.33203125" style="1" customWidth="1"/>
    <col min="40" max="40" width="6" style="36" customWidth="1"/>
    <col min="41" max="41" width="9" style="1"/>
    <col min="42" max="42" width="19.5" style="1" customWidth="1"/>
    <col min="43" max="43" width="9.1640625" style="1" bestFit="1" customWidth="1"/>
    <col min="44" max="16384" width="9" style="1"/>
  </cols>
  <sheetData>
    <row r="1" spans="1:47" s="24" customFormat="1" ht="64" customHeight="1" x14ac:dyDescent="0.25">
      <c r="A1" s="82" t="s">
        <v>334</v>
      </c>
      <c r="B1" s="35"/>
      <c r="Q1" s="166"/>
      <c r="Z1" s="25"/>
      <c r="AN1" s="279"/>
    </row>
    <row r="2" spans="1:47" s="24" customFormat="1" ht="34.25" customHeight="1" thickBot="1" x14ac:dyDescent="0.3">
      <c r="A2" s="699" t="s">
        <v>62</v>
      </c>
      <c r="B2" s="700"/>
      <c r="L2" s="129">
        <f>L14+L24+L34+L44+L54+L64</f>
        <v>52374680</v>
      </c>
      <c r="R2" s="24">
        <v>31</v>
      </c>
      <c r="Z2" s="279"/>
      <c r="AN2" s="279"/>
    </row>
    <row r="3" spans="1:47" ht="53" customHeight="1" thickTop="1" x14ac:dyDescent="0.25">
      <c r="A3" s="701" t="s">
        <v>172</v>
      </c>
      <c r="B3" s="702"/>
      <c r="C3" s="703" t="s">
        <v>81</v>
      </c>
      <c r="D3" s="704"/>
      <c r="E3" s="704"/>
      <c r="F3" s="704"/>
      <c r="G3" s="704"/>
      <c r="H3" s="704"/>
      <c r="I3" s="704"/>
      <c r="J3" s="704"/>
      <c r="K3" s="704"/>
      <c r="L3" s="704"/>
      <c r="M3" s="704"/>
      <c r="N3" s="804" t="s">
        <v>51</v>
      </c>
      <c r="O3" s="805"/>
      <c r="P3" s="805"/>
      <c r="Q3" s="806"/>
      <c r="R3" s="75" t="s">
        <v>27</v>
      </c>
    </row>
    <row r="4" spans="1:47" s="36" customFormat="1" ht="53" customHeight="1" x14ac:dyDescent="0.25">
      <c r="A4" s="705" t="s">
        <v>41</v>
      </c>
      <c r="B4" s="706"/>
      <c r="C4" s="717" t="s">
        <v>70</v>
      </c>
      <c r="D4" s="718"/>
      <c r="E4" s="76" t="s">
        <v>42</v>
      </c>
      <c r="F4" s="77"/>
      <c r="G4" s="78" t="s">
        <v>43</v>
      </c>
      <c r="H4" s="100"/>
      <c r="I4" s="719" t="s">
        <v>75</v>
      </c>
      <c r="J4" s="785"/>
      <c r="K4" s="720"/>
      <c r="L4" s="126"/>
      <c r="M4" s="128" t="s">
        <v>52</v>
      </c>
      <c r="N4" s="807"/>
      <c r="O4" s="808"/>
      <c r="P4" s="808"/>
      <c r="Q4" s="809"/>
      <c r="R4" s="127">
        <f>L4/R2</f>
        <v>0</v>
      </c>
      <c r="T4" s="721" t="s">
        <v>162</v>
      </c>
      <c r="U4" s="722"/>
      <c r="V4" s="722"/>
      <c r="W4" s="722"/>
      <c r="X4" s="722"/>
      <c r="Y4" s="723"/>
      <c r="AH4" s="721" t="s">
        <v>162</v>
      </c>
      <c r="AI4" s="722"/>
      <c r="AJ4" s="722"/>
      <c r="AK4" s="722"/>
      <c r="AL4" s="722"/>
      <c r="AM4" s="723"/>
    </row>
    <row r="5" spans="1:47" ht="23.5" customHeight="1" x14ac:dyDescent="0.25">
      <c r="A5" s="710" t="s">
        <v>12</v>
      </c>
      <c r="B5" s="711"/>
      <c r="C5" s="710" t="s">
        <v>12</v>
      </c>
      <c r="D5" s="711"/>
      <c r="E5" s="711"/>
      <c r="F5" s="711"/>
      <c r="G5" s="711"/>
      <c r="H5" s="711"/>
      <c r="I5" s="711"/>
      <c r="J5" s="711"/>
      <c r="K5" s="711"/>
      <c r="L5" s="711"/>
      <c r="M5" s="711"/>
      <c r="N5" s="711"/>
      <c r="O5" s="711"/>
      <c r="P5" s="711"/>
      <c r="Q5" s="711"/>
      <c r="R5" s="712"/>
      <c r="T5" s="716" t="str">
        <f>C5</f>
        <v>1st week</v>
      </c>
      <c r="U5" s="716"/>
      <c r="V5" s="716"/>
      <c r="W5" s="716"/>
      <c r="X5" s="716"/>
      <c r="Y5" s="716"/>
      <c r="AC5" s="36"/>
      <c r="AH5" s="716">
        <f>U5</f>
        <v>0</v>
      </c>
      <c r="AI5" s="716"/>
      <c r="AJ5" s="716"/>
      <c r="AK5" s="716"/>
      <c r="AL5" s="716"/>
      <c r="AM5" s="716"/>
      <c r="AQ5" s="36"/>
    </row>
    <row r="6" spans="1:47" s="2" customFormat="1" ht="23.5" customHeight="1" x14ac:dyDescent="0.25">
      <c r="A6" s="53" t="s">
        <v>10</v>
      </c>
      <c r="B6" s="37" t="s">
        <v>11</v>
      </c>
      <c r="C6" s="103" t="s">
        <v>10</v>
      </c>
      <c r="D6" s="104" t="s">
        <v>11</v>
      </c>
      <c r="E6" s="104" t="s">
        <v>1</v>
      </c>
      <c r="F6" s="104" t="s">
        <v>30</v>
      </c>
      <c r="G6" s="104" t="s">
        <v>31</v>
      </c>
      <c r="H6" s="104" t="s">
        <v>28</v>
      </c>
      <c r="I6" s="104" t="s">
        <v>29</v>
      </c>
      <c r="J6" s="104" t="s">
        <v>72</v>
      </c>
      <c r="K6" s="104" t="s">
        <v>210</v>
      </c>
      <c r="L6" s="104" t="s">
        <v>71</v>
      </c>
      <c r="M6" s="105" t="s">
        <v>48</v>
      </c>
      <c r="N6" s="105"/>
      <c r="O6" s="105"/>
      <c r="P6" s="105"/>
      <c r="Q6" s="105" t="s">
        <v>74</v>
      </c>
      <c r="R6" s="106" t="s">
        <v>73</v>
      </c>
      <c r="T6" s="253" t="s">
        <v>116</v>
      </c>
      <c r="U6" s="254" t="s">
        <v>117</v>
      </c>
      <c r="V6" s="49" t="s">
        <v>118</v>
      </c>
      <c r="W6" s="49" t="s">
        <v>119</v>
      </c>
      <c r="X6" s="49" t="s">
        <v>120</v>
      </c>
      <c r="Y6" s="255" t="s">
        <v>128</v>
      </c>
      <c r="AA6" s="1" t="s">
        <v>123</v>
      </c>
      <c r="AB6" s="1"/>
      <c r="AC6" s="36" t="s">
        <v>126</v>
      </c>
      <c r="AH6" s="253" t="s">
        <v>116</v>
      </c>
      <c r="AI6" s="254" t="s">
        <v>117</v>
      </c>
      <c r="AJ6" s="49" t="s">
        <v>118</v>
      </c>
      <c r="AK6" s="49" t="s">
        <v>119</v>
      </c>
      <c r="AL6" s="49" t="s">
        <v>120</v>
      </c>
      <c r="AM6" s="255" t="s">
        <v>128</v>
      </c>
      <c r="AO6" s="1" t="s">
        <v>123</v>
      </c>
      <c r="AP6" s="1"/>
      <c r="AQ6" s="36" t="s">
        <v>126</v>
      </c>
    </row>
    <row r="7" spans="1:47" ht="23.5" customHeight="1" x14ac:dyDescent="0.25">
      <c r="A7" s="54" t="s">
        <v>3</v>
      </c>
      <c r="B7" s="50"/>
      <c r="C7" s="107" t="s">
        <v>3</v>
      </c>
      <c r="D7" s="120">
        <f>B7</f>
        <v>0</v>
      </c>
      <c r="E7" s="74"/>
      <c r="F7" s="108"/>
      <c r="G7" s="108" t="e">
        <f t="shared" ref="G7:G14" si="0">F7/E7</f>
        <v>#DIV/0!</v>
      </c>
      <c r="H7" s="108"/>
      <c r="I7" s="109" t="e">
        <f t="shared" ref="I7:I14" si="1">H7/E7</f>
        <v>#DIV/0!</v>
      </c>
      <c r="J7" s="109"/>
      <c r="K7" s="109"/>
      <c r="L7" s="110">
        <f t="shared" ref="L7:L14" si="2">F7+H7+J7</f>
        <v>0</v>
      </c>
      <c r="M7" s="111" t="e">
        <f>L7/E7</f>
        <v>#DIV/0!</v>
      </c>
      <c r="N7" s="111"/>
      <c r="O7" s="111"/>
      <c r="P7" s="111"/>
      <c r="Q7" s="215"/>
      <c r="R7" s="112" t="e">
        <f>L7/Q7</f>
        <v>#DIV/0!</v>
      </c>
      <c r="T7" s="243"/>
      <c r="U7" s="243"/>
      <c r="V7" s="49"/>
      <c r="W7" s="49"/>
      <c r="X7" s="49"/>
      <c r="Y7" s="272">
        <f t="shared" ref="Y7:Y14" si="3">SUM(V7:X7)/3</f>
        <v>0</v>
      </c>
      <c r="AA7" s="271" t="s">
        <v>124</v>
      </c>
      <c r="AB7" s="2"/>
      <c r="AC7" s="270">
        <v>5</v>
      </c>
      <c r="AH7" s="243"/>
      <c r="AI7" s="243"/>
      <c r="AJ7" s="49"/>
      <c r="AK7" s="49"/>
      <c r="AL7" s="49"/>
      <c r="AM7" s="272">
        <f t="shared" ref="AM7:AM14" si="4">SUM(AJ7:AL7)/3</f>
        <v>0</v>
      </c>
      <c r="AO7" s="271" t="s">
        <v>124</v>
      </c>
      <c r="AP7" s="2"/>
      <c r="AQ7" s="270">
        <v>5</v>
      </c>
    </row>
    <row r="8" spans="1:47" ht="23.5" customHeight="1" x14ac:dyDescent="0.25">
      <c r="A8" s="55" t="s">
        <v>4</v>
      </c>
      <c r="B8" s="50">
        <v>1</v>
      </c>
      <c r="C8" s="103" t="s">
        <v>4</v>
      </c>
      <c r="D8" s="120">
        <f t="shared" ref="D8:D13" si="5">B8</f>
        <v>1</v>
      </c>
      <c r="E8" s="74">
        <v>52</v>
      </c>
      <c r="F8" s="108">
        <v>165300</v>
      </c>
      <c r="G8" s="108">
        <f t="shared" si="0"/>
        <v>3178.8461538461538</v>
      </c>
      <c r="H8" s="108">
        <v>88400</v>
      </c>
      <c r="I8" s="109">
        <f t="shared" si="1"/>
        <v>1700</v>
      </c>
      <c r="J8" s="109"/>
      <c r="K8" s="109"/>
      <c r="L8" s="110">
        <f t="shared" si="2"/>
        <v>253700</v>
      </c>
      <c r="M8" s="111">
        <f t="shared" ref="M8:M13" si="6">L8/E8</f>
        <v>4878.8461538461543</v>
      </c>
      <c r="N8" s="111"/>
      <c r="O8" s="111"/>
      <c r="P8" s="111"/>
      <c r="Q8" s="215"/>
      <c r="R8" s="112" t="e">
        <f t="shared" ref="R8:R14" si="7">L8/Q8</f>
        <v>#DIV/0!</v>
      </c>
      <c r="T8" s="243">
        <v>18.600000000000001</v>
      </c>
      <c r="U8" s="243">
        <v>23.8</v>
      </c>
      <c r="V8" s="419">
        <v>1</v>
      </c>
      <c r="W8" s="419">
        <v>1</v>
      </c>
      <c r="X8" s="419">
        <v>1</v>
      </c>
      <c r="Y8" s="272">
        <f t="shared" si="3"/>
        <v>1</v>
      </c>
      <c r="AA8" s="35" t="s">
        <v>125</v>
      </c>
      <c r="AC8" s="1">
        <v>4</v>
      </c>
      <c r="AH8" s="243"/>
      <c r="AI8" s="243"/>
      <c r="AJ8" s="49"/>
      <c r="AK8" s="49"/>
      <c r="AL8" s="49"/>
      <c r="AM8" s="272">
        <f t="shared" si="4"/>
        <v>0</v>
      </c>
      <c r="AO8" s="35" t="s">
        <v>125</v>
      </c>
      <c r="AQ8" s="1">
        <v>4</v>
      </c>
    </row>
    <row r="9" spans="1:47" ht="23.5" customHeight="1" x14ac:dyDescent="0.25">
      <c r="A9" s="55" t="s">
        <v>5</v>
      </c>
      <c r="B9" s="50">
        <v>2</v>
      </c>
      <c r="C9" s="103" t="s">
        <v>5</v>
      </c>
      <c r="D9" s="120">
        <f t="shared" si="5"/>
        <v>2</v>
      </c>
      <c r="E9" s="74">
        <v>198</v>
      </c>
      <c r="F9" s="108">
        <v>482100</v>
      </c>
      <c r="G9" s="108">
        <f t="shared" si="0"/>
        <v>2434.848484848485</v>
      </c>
      <c r="H9" s="108">
        <v>297350</v>
      </c>
      <c r="I9" s="109">
        <f t="shared" si="1"/>
        <v>1501.7676767676767</v>
      </c>
      <c r="J9" s="109">
        <v>8250</v>
      </c>
      <c r="K9" s="109"/>
      <c r="L9" s="110">
        <f t="shared" si="2"/>
        <v>787700</v>
      </c>
      <c r="M9" s="111">
        <f t="shared" si="6"/>
        <v>3978.2828282828282</v>
      </c>
      <c r="N9" s="111"/>
      <c r="O9" s="111"/>
      <c r="P9" s="111"/>
      <c r="Q9" s="215"/>
      <c r="R9" s="112" t="e">
        <f t="shared" si="7"/>
        <v>#DIV/0!</v>
      </c>
      <c r="T9" s="243">
        <v>13.9</v>
      </c>
      <c r="U9" s="243">
        <v>24.2</v>
      </c>
      <c r="V9" s="446">
        <v>2</v>
      </c>
      <c r="W9" s="441">
        <v>4</v>
      </c>
      <c r="X9" s="441">
        <v>4</v>
      </c>
      <c r="Y9" s="272">
        <f t="shared" si="3"/>
        <v>3.3333333333333335</v>
      </c>
      <c r="AA9" s="35" t="s">
        <v>129</v>
      </c>
      <c r="AC9" s="1">
        <v>3</v>
      </c>
      <c r="AH9" s="243"/>
      <c r="AI9" s="243"/>
      <c r="AJ9" s="49"/>
      <c r="AK9" s="49"/>
      <c r="AL9" s="49"/>
      <c r="AM9" s="272">
        <f t="shared" si="4"/>
        <v>0</v>
      </c>
      <c r="AO9" s="35" t="s">
        <v>129</v>
      </c>
      <c r="AQ9" s="1">
        <v>3</v>
      </c>
    </row>
    <row r="10" spans="1:47" ht="23.5" customHeight="1" x14ac:dyDescent="0.25">
      <c r="A10" s="55" t="s">
        <v>6</v>
      </c>
      <c r="B10" s="50">
        <v>3</v>
      </c>
      <c r="C10" s="103" t="s">
        <v>6</v>
      </c>
      <c r="D10" s="120">
        <f t="shared" si="5"/>
        <v>3</v>
      </c>
      <c r="E10" s="74">
        <v>275</v>
      </c>
      <c r="F10" s="108">
        <v>670500</v>
      </c>
      <c r="G10" s="108">
        <f t="shared" si="0"/>
        <v>2438.181818181818</v>
      </c>
      <c r="H10" s="108">
        <v>390650</v>
      </c>
      <c r="I10" s="109">
        <f t="shared" si="1"/>
        <v>1420.5454545454545</v>
      </c>
      <c r="J10" s="109">
        <v>4950</v>
      </c>
      <c r="K10" s="109"/>
      <c r="L10" s="110">
        <f t="shared" si="2"/>
        <v>1066100</v>
      </c>
      <c r="M10" s="111">
        <f t="shared" si="6"/>
        <v>3876.7272727272725</v>
      </c>
      <c r="N10" s="111"/>
      <c r="O10" s="111"/>
      <c r="P10" s="111"/>
      <c r="Q10" s="215"/>
      <c r="R10" s="112" t="e">
        <f t="shared" si="7"/>
        <v>#DIV/0!</v>
      </c>
      <c r="T10" s="243">
        <v>15.2</v>
      </c>
      <c r="U10" s="243">
        <v>29.6</v>
      </c>
      <c r="V10" s="440">
        <v>5</v>
      </c>
      <c r="W10" s="441">
        <v>3</v>
      </c>
      <c r="X10" s="441">
        <v>3</v>
      </c>
      <c r="Y10" s="272">
        <f t="shared" si="3"/>
        <v>3.6666666666666665</v>
      </c>
      <c r="AA10" s="35" t="s">
        <v>121</v>
      </c>
      <c r="AC10" s="1">
        <v>2</v>
      </c>
      <c r="AH10" s="243"/>
      <c r="AI10" s="243"/>
      <c r="AJ10" s="49"/>
      <c r="AK10" s="49"/>
      <c r="AL10" s="49"/>
      <c r="AM10" s="272">
        <f t="shared" si="4"/>
        <v>0</v>
      </c>
      <c r="AO10" s="35" t="s">
        <v>121</v>
      </c>
      <c r="AQ10" s="1">
        <v>2</v>
      </c>
    </row>
    <row r="11" spans="1:47" ht="23.5" customHeight="1" x14ac:dyDescent="0.25">
      <c r="A11" s="55" t="s">
        <v>7</v>
      </c>
      <c r="B11" s="50">
        <v>4</v>
      </c>
      <c r="C11" s="103" t="s">
        <v>7</v>
      </c>
      <c r="D11" s="120">
        <f t="shared" si="5"/>
        <v>4</v>
      </c>
      <c r="E11" s="74">
        <v>193</v>
      </c>
      <c r="F11" s="108">
        <v>435200</v>
      </c>
      <c r="G11" s="108">
        <f t="shared" si="0"/>
        <v>2254.9222797927459</v>
      </c>
      <c r="H11" s="108">
        <v>266750</v>
      </c>
      <c r="I11" s="109">
        <f t="shared" si="1"/>
        <v>1382.1243523316061</v>
      </c>
      <c r="J11" s="109">
        <v>5500</v>
      </c>
      <c r="K11" s="109"/>
      <c r="L11" s="110">
        <f t="shared" si="2"/>
        <v>707450</v>
      </c>
      <c r="M11" s="111">
        <f t="shared" si="6"/>
        <v>3665.5440414507771</v>
      </c>
      <c r="N11" s="111"/>
      <c r="O11" s="111"/>
      <c r="P11" s="111"/>
      <c r="Q11" s="215"/>
      <c r="R11" s="112" t="e">
        <f t="shared" si="7"/>
        <v>#DIV/0!</v>
      </c>
      <c r="T11" s="243">
        <v>18.2</v>
      </c>
      <c r="U11" s="243">
        <v>28.9</v>
      </c>
      <c r="V11" s="441">
        <v>3</v>
      </c>
      <c r="W11" s="441">
        <v>3</v>
      </c>
      <c r="X11" s="441">
        <v>3</v>
      </c>
      <c r="Y11" s="272">
        <f t="shared" si="3"/>
        <v>3</v>
      </c>
      <c r="AA11" s="35" t="s">
        <v>122</v>
      </c>
      <c r="AC11" s="1">
        <v>1</v>
      </c>
      <c r="AH11" s="243"/>
      <c r="AI11" s="243"/>
      <c r="AJ11" s="49"/>
      <c r="AK11" s="49"/>
      <c r="AL11" s="49"/>
      <c r="AM11" s="272">
        <f t="shared" si="4"/>
        <v>0</v>
      </c>
      <c r="AO11" s="35" t="s">
        <v>122</v>
      </c>
      <c r="AQ11" s="1">
        <v>1</v>
      </c>
    </row>
    <row r="12" spans="1:47" ht="23.5" customHeight="1" x14ac:dyDescent="0.25">
      <c r="A12" s="55" t="s">
        <v>8</v>
      </c>
      <c r="B12" s="50">
        <v>5</v>
      </c>
      <c r="C12" s="103" t="s">
        <v>8</v>
      </c>
      <c r="D12" s="120">
        <f t="shared" si="5"/>
        <v>5</v>
      </c>
      <c r="E12" s="74">
        <v>264</v>
      </c>
      <c r="F12" s="108">
        <v>768450</v>
      </c>
      <c r="G12" s="108">
        <f t="shared" si="0"/>
        <v>2910.7954545454545</v>
      </c>
      <c r="H12" s="108">
        <v>439150</v>
      </c>
      <c r="I12" s="109">
        <f t="shared" si="1"/>
        <v>1663.4469696969697</v>
      </c>
      <c r="J12" s="109">
        <v>22550</v>
      </c>
      <c r="K12" s="109"/>
      <c r="L12" s="110">
        <f t="shared" si="2"/>
        <v>1230150</v>
      </c>
      <c r="M12" s="111">
        <f t="shared" si="6"/>
        <v>4659.659090909091</v>
      </c>
      <c r="N12" s="111"/>
      <c r="O12" s="111"/>
      <c r="P12" s="111"/>
      <c r="Q12" s="215"/>
      <c r="R12" s="112" t="e">
        <f t="shared" si="7"/>
        <v>#DIV/0!</v>
      </c>
      <c r="T12" s="244">
        <v>19.5</v>
      </c>
      <c r="U12" s="243">
        <v>30.5</v>
      </c>
      <c r="V12" s="441">
        <v>3</v>
      </c>
      <c r="W12" s="441">
        <v>3</v>
      </c>
      <c r="X12" s="441">
        <v>3</v>
      </c>
      <c r="Y12" s="272">
        <f t="shared" si="3"/>
        <v>3</v>
      </c>
      <c r="AA12" s="35" t="s">
        <v>127</v>
      </c>
      <c r="AC12" s="1">
        <v>0</v>
      </c>
      <c r="AH12" s="244"/>
      <c r="AI12" s="243"/>
      <c r="AJ12" s="49"/>
      <c r="AK12" s="49"/>
      <c r="AL12" s="49"/>
      <c r="AM12" s="272">
        <f t="shared" si="4"/>
        <v>0</v>
      </c>
      <c r="AO12" s="35" t="s">
        <v>127</v>
      </c>
      <c r="AQ12" s="1">
        <v>0</v>
      </c>
    </row>
    <row r="13" spans="1:47" ht="23.5" customHeight="1" thickBot="1" x14ac:dyDescent="0.3">
      <c r="A13" s="56" t="s">
        <v>9</v>
      </c>
      <c r="B13" s="50">
        <v>6</v>
      </c>
      <c r="C13" s="113" t="s">
        <v>9</v>
      </c>
      <c r="D13" s="120">
        <f t="shared" si="5"/>
        <v>6</v>
      </c>
      <c r="E13" s="74">
        <v>353</v>
      </c>
      <c r="F13" s="108">
        <v>1020450</v>
      </c>
      <c r="G13" s="108">
        <f t="shared" si="0"/>
        <v>2890.7932011331445</v>
      </c>
      <c r="H13" s="108">
        <v>521050</v>
      </c>
      <c r="I13" s="109">
        <f t="shared" si="1"/>
        <v>1476.0623229461755</v>
      </c>
      <c r="J13" s="109">
        <v>55000</v>
      </c>
      <c r="K13" s="109"/>
      <c r="L13" s="110">
        <f t="shared" si="2"/>
        <v>1596500</v>
      </c>
      <c r="M13" s="111">
        <f t="shared" si="6"/>
        <v>4522.662889518414</v>
      </c>
      <c r="N13" s="111"/>
      <c r="O13" s="111"/>
      <c r="P13" s="111"/>
      <c r="Q13" s="215"/>
      <c r="R13" s="112" t="e">
        <f t="shared" si="7"/>
        <v>#DIV/0!</v>
      </c>
      <c r="T13" s="245">
        <v>21</v>
      </c>
      <c r="U13" s="246">
        <v>24.9</v>
      </c>
      <c r="V13" s="433">
        <v>1</v>
      </c>
      <c r="W13" s="419">
        <v>1</v>
      </c>
      <c r="X13" s="446">
        <v>2</v>
      </c>
      <c r="Y13" s="273">
        <f t="shared" si="3"/>
        <v>1.3333333333333333</v>
      </c>
      <c r="AA13" s="1" t="s">
        <v>130</v>
      </c>
      <c r="AH13" s="245">
        <v>19.600000000000001</v>
      </c>
      <c r="AI13" s="246">
        <v>21.2</v>
      </c>
      <c r="AJ13" s="446">
        <v>2</v>
      </c>
      <c r="AK13" s="441">
        <v>4</v>
      </c>
      <c r="AL13" s="441">
        <v>4</v>
      </c>
      <c r="AM13" s="273">
        <f t="shared" si="4"/>
        <v>3.3333333333333335</v>
      </c>
      <c r="AO13" s="1" t="s">
        <v>130</v>
      </c>
    </row>
    <row r="14" spans="1:47" s="282" customFormat="1" ht="37" customHeight="1" thickTop="1" thickBot="1" x14ac:dyDescent="0.3">
      <c r="A14" s="783" t="s">
        <v>13</v>
      </c>
      <c r="B14" s="784"/>
      <c r="C14" s="783" t="s">
        <v>13</v>
      </c>
      <c r="D14" s="784"/>
      <c r="E14" s="71">
        <f>SUM(E7:E13)</f>
        <v>1335</v>
      </c>
      <c r="F14" s="71">
        <f>SUM(F7:F13)</f>
        <v>3542000</v>
      </c>
      <c r="G14" s="71">
        <f t="shared" si="0"/>
        <v>2653.1835205992511</v>
      </c>
      <c r="H14" s="71">
        <f>SUM(H7:H13)</f>
        <v>2003350</v>
      </c>
      <c r="I14" s="284">
        <f t="shared" si="1"/>
        <v>1500.6367041198503</v>
      </c>
      <c r="J14" s="284">
        <f>SUM(J7:J13)</f>
        <v>96250</v>
      </c>
      <c r="K14" s="284">
        <f>SUM(K7:K13)</f>
        <v>0</v>
      </c>
      <c r="L14" s="110">
        <f t="shared" si="2"/>
        <v>5641600</v>
      </c>
      <c r="M14" s="285">
        <f>L14/E14</f>
        <v>4225.9176029962546</v>
      </c>
      <c r="N14" s="285"/>
      <c r="O14" s="285"/>
      <c r="P14" s="285"/>
      <c r="Q14" s="409">
        <f>SUM(Q7:Q13)</f>
        <v>0</v>
      </c>
      <c r="R14" s="281" t="e">
        <f t="shared" si="7"/>
        <v>#DIV/0!</v>
      </c>
      <c r="S14" s="282">
        <v>6</v>
      </c>
      <c r="T14" s="289">
        <f>SUM(T7:T13)/S14</f>
        <v>17.733333333333334</v>
      </c>
      <c r="U14" s="290">
        <f>SUM(U7:U13)/S14</f>
        <v>26.983333333333334</v>
      </c>
      <c r="V14" s="307">
        <f>SUM(V7:V13)/S14</f>
        <v>2.5</v>
      </c>
      <c r="W14" s="307">
        <f>SUM(W7:W13)/S14</f>
        <v>2.5</v>
      </c>
      <c r="X14" s="307">
        <f>SUM(X7:X13)/S14</f>
        <v>2.6666666666666665</v>
      </c>
      <c r="Y14" s="450">
        <f t="shared" si="3"/>
        <v>2.5555555555555554</v>
      </c>
      <c r="Z14" s="283" t="s">
        <v>136</v>
      </c>
      <c r="AA14" s="771">
        <f>L14/S14</f>
        <v>940266.66666666663</v>
      </c>
      <c r="AB14" s="772"/>
      <c r="AC14" s="772"/>
      <c r="AD14" s="772"/>
      <c r="AE14" s="773"/>
      <c r="AF14" s="282" t="s">
        <v>141</v>
      </c>
      <c r="AG14" s="260">
        <v>1</v>
      </c>
      <c r="AH14" s="291">
        <f>SUM(AH7:AH13)/AG14</f>
        <v>19.600000000000001</v>
      </c>
      <c r="AI14" s="295">
        <f>SUM(AI7:AI13)/AG14</f>
        <v>21.2</v>
      </c>
      <c r="AJ14" s="305">
        <f>SUM(AJ7:AJ13)/AG14</f>
        <v>2</v>
      </c>
      <c r="AK14" s="305">
        <f>SUM(AK7:AK13)/AG14</f>
        <v>4</v>
      </c>
      <c r="AL14" s="305">
        <f>SUM(AL7:AL13)/AG14</f>
        <v>4</v>
      </c>
      <c r="AM14" s="451">
        <f t="shared" si="4"/>
        <v>3.3333333333333335</v>
      </c>
      <c r="AN14" s="261" t="s">
        <v>136</v>
      </c>
      <c r="AO14" s="761">
        <v>987150</v>
      </c>
      <c r="AP14" s="762"/>
      <c r="AQ14" s="762"/>
      <c r="AR14" s="762"/>
      <c r="AS14" s="763"/>
      <c r="AT14" s="282" t="s">
        <v>141</v>
      </c>
      <c r="AU14" s="260"/>
    </row>
    <row r="15" spans="1:47" ht="23.5" customHeight="1" thickTop="1" x14ac:dyDescent="0.25">
      <c r="A15" s="710" t="s">
        <v>14</v>
      </c>
      <c r="B15" s="711"/>
      <c r="C15" s="713" t="s">
        <v>14</v>
      </c>
      <c r="D15" s="714"/>
      <c r="E15" s="714"/>
      <c r="F15" s="714"/>
      <c r="G15" s="714"/>
      <c r="H15" s="714"/>
      <c r="I15" s="714"/>
      <c r="J15" s="714"/>
      <c r="K15" s="714"/>
      <c r="L15" s="714"/>
      <c r="M15" s="714"/>
      <c r="N15" s="714"/>
      <c r="O15" s="714"/>
      <c r="P15" s="714"/>
      <c r="Q15" s="714"/>
      <c r="R15" s="715"/>
      <c r="T15" s="716" t="str">
        <f>C15</f>
        <v>2nd week</v>
      </c>
      <c r="U15" s="716"/>
      <c r="V15" s="716"/>
      <c r="W15" s="716"/>
      <c r="X15" s="716"/>
      <c r="Y15" s="716"/>
      <c r="AF15" s="282" t="s">
        <v>141</v>
      </c>
      <c r="AH15" s="716">
        <f>U15</f>
        <v>0</v>
      </c>
      <c r="AI15" s="716"/>
      <c r="AJ15" s="716"/>
      <c r="AK15" s="716"/>
      <c r="AL15" s="716"/>
      <c r="AM15" s="716"/>
      <c r="AT15" s="282" t="s">
        <v>141</v>
      </c>
    </row>
    <row r="16" spans="1:47" ht="23.5" customHeight="1" x14ac:dyDescent="0.25">
      <c r="A16" s="53" t="s">
        <v>10</v>
      </c>
      <c r="B16" s="37" t="s">
        <v>11</v>
      </c>
      <c r="C16" s="103" t="s">
        <v>10</v>
      </c>
      <c r="D16" s="104" t="s">
        <v>11</v>
      </c>
      <c r="E16" s="104" t="s">
        <v>1</v>
      </c>
      <c r="F16" s="104" t="s">
        <v>30</v>
      </c>
      <c r="G16" s="104" t="s">
        <v>31</v>
      </c>
      <c r="H16" s="104" t="s">
        <v>28</v>
      </c>
      <c r="I16" s="104" t="s">
        <v>29</v>
      </c>
      <c r="J16" s="104" t="s">
        <v>72</v>
      </c>
      <c r="K16" s="104" t="s">
        <v>210</v>
      </c>
      <c r="L16" s="104" t="s">
        <v>71</v>
      </c>
      <c r="M16" s="105" t="s">
        <v>48</v>
      </c>
      <c r="N16" s="105"/>
      <c r="O16" s="105"/>
      <c r="P16" s="105"/>
      <c r="Q16" s="105" t="s">
        <v>74</v>
      </c>
      <c r="R16" s="106" t="s">
        <v>73</v>
      </c>
      <c r="T16" s="253" t="s">
        <v>116</v>
      </c>
      <c r="U16" s="254" t="s">
        <v>117</v>
      </c>
      <c r="V16" s="49" t="s">
        <v>118</v>
      </c>
      <c r="W16" s="49" t="s">
        <v>119</v>
      </c>
      <c r="X16" s="49" t="s">
        <v>120</v>
      </c>
      <c r="Y16" s="255" t="s">
        <v>128</v>
      </c>
      <c r="AA16" s="1" t="s">
        <v>123</v>
      </c>
      <c r="AC16" s="36" t="s">
        <v>126</v>
      </c>
      <c r="AH16" s="253" t="s">
        <v>116</v>
      </c>
      <c r="AI16" s="254" t="s">
        <v>117</v>
      </c>
      <c r="AJ16" s="49" t="s">
        <v>118</v>
      </c>
      <c r="AK16" s="49" t="s">
        <v>119</v>
      </c>
      <c r="AL16" s="49" t="s">
        <v>120</v>
      </c>
      <c r="AM16" s="255" t="s">
        <v>128</v>
      </c>
      <c r="AO16" s="1" t="s">
        <v>123</v>
      </c>
      <c r="AQ16" s="36" t="s">
        <v>126</v>
      </c>
    </row>
    <row r="17" spans="1:47" ht="23" customHeight="1" x14ac:dyDescent="0.25">
      <c r="A17" s="54" t="s">
        <v>3</v>
      </c>
      <c r="B17" s="50">
        <v>7</v>
      </c>
      <c r="C17" s="107" t="s">
        <v>3</v>
      </c>
      <c r="D17" s="120">
        <f>B17</f>
        <v>7</v>
      </c>
      <c r="E17" s="74">
        <v>246</v>
      </c>
      <c r="F17" s="108">
        <v>749750</v>
      </c>
      <c r="G17" s="108">
        <f t="shared" ref="G17:G24" si="8">F17/E17</f>
        <v>3047.7642276422766</v>
      </c>
      <c r="H17" s="108">
        <v>382450</v>
      </c>
      <c r="I17" s="109">
        <f t="shared" ref="I17:I24" si="9">H17/E17</f>
        <v>1554.6747967479675</v>
      </c>
      <c r="J17" s="109">
        <v>13750</v>
      </c>
      <c r="K17" s="109"/>
      <c r="L17" s="110">
        <f t="shared" ref="L17:L22" si="10">F17+H17+J17</f>
        <v>1145950</v>
      </c>
      <c r="M17" s="111">
        <f>L17/E17</f>
        <v>4658.333333333333</v>
      </c>
      <c r="N17" s="111"/>
      <c r="O17" s="111"/>
      <c r="P17" s="111"/>
      <c r="Q17" s="215"/>
      <c r="R17" s="112" t="e">
        <f>L17/Q17</f>
        <v>#DIV/0!</v>
      </c>
      <c r="T17" s="248">
        <v>21.7</v>
      </c>
      <c r="U17" s="248">
        <v>25</v>
      </c>
      <c r="V17" s="446">
        <v>2</v>
      </c>
      <c r="W17" s="446">
        <v>2</v>
      </c>
      <c r="X17" s="446">
        <v>2</v>
      </c>
      <c r="Y17" s="272">
        <f>SUM(V17:X17)/3</f>
        <v>2</v>
      </c>
      <c r="AA17" s="271" t="s">
        <v>124</v>
      </c>
      <c r="AB17" s="2"/>
      <c r="AC17" s="270">
        <v>5</v>
      </c>
      <c r="AH17" s="248">
        <v>17</v>
      </c>
      <c r="AI17" s="248">
        <v>22.9</v>
      </c>
      <c r="AJ17" s="441">
        <v>4</v>
      </c>
      <c r="AK17" s="441">
        <v>3</v>
      </c>
      <c r="AL17" s="446">
        <v>2</v>
      </c>
      <c r="AM17" s="272">
        <f>SUM(AJ17:AL17)/3</f>
        <v>3</v>
      </c>
      <c r="AO17" s="271" t="s">
        <v>124</v>
      </c>
      <c r="AP17" s="2"/>
      <c r="AQ17" s="270">
        <v>5</v>
      </c>
    </row>
    <row r="18" spans="1:47" ht="23.5" customHeight="1" x14ac:dyDescent="0.25">
      <c r="A18" s="55" t="s">
        <v>4</v>
      </c>
      <c r="B18" s="50">
        <v>8</v>
      </c>
      <c r="C18" s="103" t="s">
        <v>4</v>
      </c>
      <c r="D18" s="120">
        <f t="shared" ref="D18:D23" si="11">B18</f>
        <v>8</v>
      </c>
      <c r="E18" s="74">
        <v>161</v>
      </c>
      <c r="F18" s="108">
        <v>484800</v>
      </c>
      <c r="G18" s="108">
        <f t="shared" si="8"/>
        <v>3011.1801242236024</v>
      </c>
      <c r="H18" s="108">
        <v>249550</v>
      </c>
      <c r="I18" s="109">
        <f t="shared" si="9"/>
        <v>1550</v>
      </c>
      <c r="J18" s="109">
        <v>13200</v>
      </c>
      <c r="K18" s="109"/>
      <c r="L18" s="110">
        <f t="shared" si="10"/>
        <v>747550</v>
      </c>
      <c r="M18" s="111">
        <f t="shared" ref="M18:M23" si="12">L18/E18</f>
        <v>4643.1677018633536</v>
      </c>
      <c r="N18" s="111"/>
      <c r="O18" s="111"/>
      <c r="P18" s="111"/>
      <c r="Q18" s="215"/>
      <c r="R18" s="112" t="e">
        <f t="shared" ref="R18:R24" si="13">L18/Q18</f>
        <v>#DIV/0!</v>
      </c>
      <c r="T18" s="248">
        <v>19.8</v>
      </c>
      <c r="U18" s="248">
        <v>22.7</v>
      </c>
      <c r="V18" s="446">
        <v>2</v>
      </c>
      <c r="W18" s="446">
        <v>2</v>
      </c>
      <c r="X18" s="446">
        <v>2</v>
      </c>
      <c r="Y18" s="272">
        <f t="shared" ref="Y18:Y23" si="14">SUM(V18:X18)/3</f>
        <v>2</v>
      </c>
      <c r="AA18" s="35" t="s">
        <v>125</v>
      </c>
      <c r="AC18" s="1">
        <v>4</v>
      </c>
      <c r="AH18" s="248">
        <v>17.7</v>
      </c>
      <c r="AI18" s="248">
        <v>23.9</v>
      </c>
      <c r="AJ18" s="441">
        <v>4</v>
      </c>
      <c r="AK18" s="441">
        <v>4</v>
      </c>
      <c r="AL18" s="441">
        <v>4</v>
      </c>
      <c r="AM18" s="272">
        <f t="shared" ref="AM18:AM23" si="15">SUM(AJ18:AL18)/3</f>
        <v>4</v>
      </c>
      <c r="AO18" s="35" t="s">
        <v>125</v>
      </c>
      <c r="AQ18" s="1">
        <v>4</v>
      </c>
    </row>
    <row r="19" spans="1:47" ht="23.5" customHeight="1" x14ac:dyDescent="0.25">
      <c r="A19" s="55" t="s">
        <v>5</v>
      </c>
      <c r="B19" s="50">
        <v>9</v>
      </c>
      <c r="C19" s="103" t="s">
        <v>5</v>
      </c>
      <c r="D19" s="120">
        <f t="shared" si="11"/>
        <v>9</v>
      </c>
      <c r="E19" s="74">
        <v>233</v>
      </c>
      <c r="F19" s="108">
        <v>694450</v>
      </c>
      <c r="G19" s="108">
        <f t="shared" si="8"/>
        <v>2980.472103004292</v>
      </c>
      <c r="H19" s="108">
        <v>379450</v>
      </c>
      <c r="I19" s="109">
        <f t="shared" si="9"/>
        <v>1628.5407725321888</v>
      </c>
      <c r="J19" s="109">
        <v>28050</v>
      </c>
      <c r="K19" s="109"/>
      <c r="L19" s="110">
        <f t="shared" si="10"/>
        <v>1101950</v>
      </c>
      <c r="M19" s="111">
        <f t="shared" si="12"/>
        <v>4729.3991416309009</v>
      </c>
      <c r="N19" s="111"/>
      <c r="O19" s="111"/>
      <c r="P19" s="111"/>
      <c r="Q19" s="215"/>
      <c r="R19" s="112" t="e">
        <f t="shared" si="13"/>
        <v>#DIV/0!</v>
      </c>
      <c r="T19" s="248">
        <v>18.600000000000001</v>
      </c>
      <c r="U19" s="248">
        <v>25.3</v>
      </c>
      <c r="V19" s="446">
        <v>2</v>
      </c>
      <c r="W19" s="419">
        <v>1</v>
      </c>
      <c r="X19" s="419">
        <v>1</v>
      </c>
      <c r="Y19" s="272">
        <f t="shared" si="14"/>
        <v>1.3333333333333333</v>
      </c>
      <c r="AA19" s="35" t="s">
        <v>129</v>
      </c>
      <c r="AC19" s="1">
        <v>3</v>
      </c>
      <c r="AH19" s="248">
        <v>18.2</v>
      </c>
      <c r="AI19" s="248">
        <v>24.8</v>
      </c>
      <c r="AJ19" s="441">
        <v>4</v>
      </c>
      <c r="AK19" s="441">
        <v>4</v>
      </c>
      <c r="AL19" s="441">
        <v>4</v>
      </c>
      <c r="AM19" s="272">
        <f t="shared" si="15"/>
        <v>4</v>
      </c>
      <c r="AO19" s="35" t="s">
        <v>129</v>
      </c>
      <c r="AQ19" s="1">
        <v>3</v>
      </c>
    </row>
    <row r="20" spans="1:47" ht="23.5" customHeight="1" x14ac:dyDescent="0.25">
      <c r="A20" s="55" t="s">
        <v>6</v>
      </c>
      <c r="B20" s="50">
        <v>10</v>
      </c>
      <c r="C20" s="103" t="s">
        <v>6</v>
      </c>
      <c r="D20" s="120">
        <f t="shared" si="11"/>
        <v>10</v>
      </c>
      <c r="E20" s="74">
        <v>292</v>
      </c>
      <c r="F20" s="108">
        <v>817300</v>
      </c>
      <c r="G20" s="108">
        <f t="shared" si="8"/>
        <v>2798.972602739726</v>
      </c>
      <c r="H20" s="108">
        <v>472500</v>
      </c>
      <c r="I20" s="109">
        <f t="shared" si="9"/>
        <v>1618.1506849315069</v>
      </c>
      <c r="J20" s="109">
        <v>5500</v>
      </c>
      <c r="K20" s="109"/>
      <c r="L20" s="110">
        <f t="shared" si="10"/>
        <v>1295300</v>
      </c>
      <c r="M20" s="111">
        <f t="shared" si="12"/>
        <v>4435.9589041095887</v>
      </c>
      <c r="N20" s="111"/>
      <c r="O20" s="111"/>
      <c r="P20" s="111"/>
      <c r="Q20" s="215"/>
      <c r="R20" s="112" t="e">
        <f t="shared" si="13"/>
        <v>#DIV/0!</v>
      </c>
      <c r="T20" s="248">
        <v>19</v>
      </c>
      <c r="U20" s="248">
        <v>27.2</v>
      </c>
      <c r="V20" s="440">
        <v>5</v>
      </c>
      <c r="W20" s="440">
        <v>5</v>
      </c>
      <c r="X20" s="441">
        <v>3</v>
      </c>
      <c r="Y20" s="272">
        <f t="shared" si="14"/>
        <v>4.333333333333333</v>
      </c>
      <c r="AA20" s="35" t="s">
        <v>121</v>
      </c>
      <c r="AC20" s="1">
        <v>2</v>
      </c>
      <c r="AH20" s="248">
        <v>18</v>
      </c>
      <c r="AI20" s="248">
        <v>27.4</v>
      </c>
      <c r="AJ20" s="440">
        <v>5</v>
      </c>
      <c r="AK20" s="440">
        <v>5</v>
      </c>
      <c r="AL20" s="441">
        <v>4</v>
      </c>
      <c r="AM20" s="272">
        <f t="shared" si="15"/>
        <v>4.666666666666667</v>
      </c>
      <c r="AO20" s="35" t="s">
        <v>121</v>
      </c>
      <c r="AQ20" s="1">
        <v>2</v>
      </c>
    </row>
    <row r="21" spans="1:47" ht="23.5" customHeight="1" x14ac:dyDescent="0.25">
      <c r="A21" s="55" t="s">
        <v>7</v>
      </c>
      <c r="B21" s="50">
        <v>11</v>
      </c>
      <c r="C21" s="103" t="s">
        <v>7</v>
      </c>
      <c r="D21" s="120">
        <f t="shared" si="11"/>
        <v>11</v>
      </c>
      <c r="E21" s="74">
        <v>303</v>
      </c>
      <c r="F21" s="108">
        <v>893900</v>
      </c>
      <c r="G21" s="108">
        <f t="shared" si="8"/>
        <v>2950.1650165016504</v>
      </c>
      <c r="H21" s="108">
        <v>509800</v>
      </c>
      <c r="I21" s="109">
        <f t="shared" si="9"/>
        <v>1682.5082508250825</v>
      </c>
      <c r="J21" s="109">
        <v>15400</v>
      </c>
      <c r="K21" s="109"/>
      <c r="L21" s="110">
        <f t="shared" si="10"/>
        <v>1419100</v>
      </c>
      <c r="M21" s="111">
        <f t="shared" si="12"/>
        <v>4683.4983498349839</v>
      </c>
      <c r="N21" s="111"/>
      <c r="O21" s="111"/>
      <c r="P21" s="111"/>
      <c r="Q21" s="215"/>
      <c r="R21" s="112" t="e">
        <f t="shared" si="13"/>
        <v>#DIV/0!</v>
      </c>
      <c r="T21" s="248">
        <v>18.100000000000001</v>
      </c>
      <c r="U21" s="248">
        <v>25.9</v>
      </c>
      <c r="V21" s="440">
        <v>5</v>
      </c>
      <c r="W21" s="441">
        <v>3</v>
      </c>
      <c r="X21" s="441">
        <v>3</v>
      </c>
      <c r="Y21" s="272">
        <f t="shared" si="14"/>
        <v>3.6666666666666665</v>
      </c>
      <c r="AA21" s="35" t="s">
        <v>122</v>
      </c>
      <c r="AC21" s="1">
        <v>1</v>
      </c>
      <c r="AH21" s="248">
        <v>18.399999999999999</v>
      </c>
      <c r="AI21" s="248">
        <v>25.2</v>
      </c>
      <c r="AJ21" s="441">
        <v>3</v>
      </c>
      <c r="AK21" s="419">
        <v>1</v>
      </c>
      <c r="AL21" s="419">
        <v>1</v>
      </c>
      <c r="AM21" s="272">
        <f t="shared" si="15"/>
        <v>1.6666666666666667</v>
      </c>
      <c r="AO21" s="35" t="s">
        <v>122</v>
      </c>
      <c r="AQ21" s="1">
        <v>1</v>
      </c>
    </row>
    <row r="22" spans="1:47" ht="23.5" customHeight="1" x14ac:dyDescent="0.25">
      <c r="A22" s="55" t="s">
        <v>8</v>
      </c>
      <c r="B22" s="50">
        <v>12</v>
      </c>
      <c r="C22" s="103" t="s">
        <v>8</v>
      </c>
      <c r="D22" s="120">
        <f t="shared" si="11"/>
        <v>12</v>
      </c>
      <c r="E22" s="74">
        <v>402</v>
      </c>
      <c r="F22" s="108">
        <v>1206750</v>
      </c>
      <c r="G22" s="108">
        <f t="shared" si="8"/>
        <v>3001.8656716417909</v>
      </c>
      <c r="H22" s="108">
        <v>648800</v>
      </c>
      <c r="I22" s="109">
        <f t="shared" si="9"/>
        <v>1613.9303482587065</v>
      </c>
      <c r="J22" s="109">
        <v>33000</v>
      </c>
      <c r="K22" s="109"/>
      <c r="L22" s="110">
        <f t="shared" si="10"/>
        <v>1888550</v>
      </c>
      <c r="M22" s="111">
        <f t="shared" si="12"/>
        <v>4697.8855721393038</v>
      </c>
      <c r="N22" s="111"/>
      <c r="O22" s="111"/>
      <c r="P22" s="111"/>
      <c r="Q22" s="215"/>
      <c r="R22" s="112" t="e">
        <f t="shared" si="13"/>
        <v>#DIV/0!</v>
      </c>
      <c r="T22" s="248">
        <v>19.5</v>
      </c>
      <c r="U22" s="248">
        <v>27.6</v>
      </c>
      <c r="V22" s="440">
        <v>5</v>
      </c>
      <c r="W22" s="441">
        <v>3</v>
      </c>
      <c r="X22" s="441">
        <v>3</v>
      </c>
      <c r="Y22" s="272">
        <f t="shared" si="14"/>
        <v>3.6666666666666665</v>
      </c>
      <c r="AA22" s="35" t="s">
        <v>127</v>
      </c>
      <c r="AC22" s="1">
        <v>0</v>
      </c>
      <c r="AH22" s="248">
        <v>19.2</v>
      </c>
      <c r="AI22" s="248">
        <v>26.1</v>
      </c>
      <c r="AJ22" s="441">
        <v>3</v>
      </c>
      <c r="AK22" s="440">
        <v>5</v>
      </c>
      <c r="AL22" s="440">
        <v>5</v>
      </c>
      <c r="AM22" s="272">
        <f t="shared" si="15"/>
        <v>4.333333333333333</v>
      </c>
      <c r="AO22" s="35" t="s">
        <v>127</v>
      </c>
      <c r="AQ22" s="1">
        <v>0</v>
      </c>
    </row>
    <row r="23" spans="1:47" ht="23.5" customHeight="1" thickBot="1" x14ac:dyDescent="0.3">
      <c r="A23" s="56" t="s">
        <v>9</v>
      </c>
      <c r="B23" s="50">
        <v>13</v>
      </c>
      <c r="C23" s="113" t="s">
        <v>9</v>
      </c>
      <c r="D23" s="120">
        <f t="shared" si="11"/>
        <v>13</v>
      </c>
      <c r="E23" s="74">
        <v>506</v>
      </c>
      <c r="F23" s="108">
        <v>1704150</v>
      </c>
      <c r="G23" s="108">
        <f t="shared" si="8"/>
        <v>3367.885375494071</v>
      </c>
      <c r="H23" s="108">
        <v>946300</v>
      </c>
      <c r="I23" s="109">
        <f t="shared" si="9"/>
        <v>1870.1581027667985</v>
      </c>
      <c r="J23" s="109">
        <v>15400</v>
      </c>
      <c r="K23" s="109">
        <v>11880</v>
      </c>
      <c r="L23" s="110">
        <f>F23+H23+J23+K23</f>
        <v>2677730</v>
      </c>
      <c r="M23" s="111">
        <f t="shared" si="12"/>
        <v>5291.95652173913</v>
      </c>
      <c r="N23" s="111"/>
      <c r="O23" s="111"/>
      <c r="P23" s="111"/>
      <c r="Q23" s="215"/>
      <c r="R23" s="112" t="e">
        <f t="shared" si="13"/>
        <v>#DIV/0!</v>
      </c>
      <c r="T23" s="249">
        <v>19.3</v>
      </c>
      <c r="U23" s="249">
        <v>24.5</v>
      </c>
      <c r="V23" s="442">
        <v>4</v>
      </c>
      <c r="W23" s="441">
        <v>4</v>
      </c>
      <c r="X23" s="441">
        <v>4</v>
      </c>
      <c r="Y23" s="273">
        <f t="shared" si="14"/>
        <v>4</v>
      </c>
      <c r="AA23" s="1" t="s">
        <v>130</v>
      </c>
      <c r="AH23" s="249">
        <v>19.600000000000001</v>
      </c>
      <c r="AI23" s="249">
        <v>31.4</v>
      </c>
      <c r="AJ23" s="443">
        <v>5</v>
      </c>
      <c r="AK23" s="440">
        <v>5</v>
      </c>
      <c r="AL23" s="440">
        <v>5</v>
      </c>
      <c r="AM23" s="273">
        <f t="shared" si="15"/>
        <v>5</v>
      </c>
      <c r="AO23" s="1" t="s">
        <v>130</v>
      </c>
    </row>
    <row r="24" spans="1:47" s="282" customFormat="1" ht="33" customHeight="1" thickTop="1" thickBot="1" x14ac:dyDescent="0.3">
      <c r="A24" s="783" t="s">
        <v>13</v>
      </c>
      <c r="B24" s="784"/>
      <c r="C24" s="783" t="s">
        <v>13</v>
      </c>
      <c r="D24" s="784"/>
      <c r="E24" s="71">
        <f>SUM(E17:E23)</f>
        <v>2143</v>
      </c>
      <c r="F24" s="71">
        <f>SUM(F17:F23)</f>
        <v>6551100</v>
      </c>
      <c r="G24" s="71">
        <f t="shared" si="8"/>
        <v>3056.9762015865608</v>
      </c>
      <c r="H24" s="71">
        <f>SUM(H17:H23)</f>
        <v>3588850</v>
      </c>
      <c r="I24" s="284">
        <f t="shared" si="9"/>
        <v>1674.6850209986001</v>
      </c>
      <c r="J24" s="284">
        <f>SUM(J17:J23)</f>
        <v>124300</v>
      </c>
      <c r="K24" s="284">
        <f>SUM(K17:K23)</f>
        <v>11880</v>
      </c>
      <c r="L24" s="110">
        <f>F24+H24+J24+K24</f>
        <v>10276130</v>
      </c>
      <c r="M24" s="285">
        <f>L24/E24</f>
        <v>4795.2076528231455</v>
      </c>
      <c r="N24" s="285"/>
      <c r="O24" s="285"/>
      <c r="P24" s="285"/>
      <c r="Q24" s="409">
        <f>SUM(Q17:Q23)</f>
        <v>0</v>
      </c>
      <c r="R24" s="281" t="e">
        <f t="shared" si="13"/>
        <v>#DIV/0!</v>
      </c>
      <c r="S24" s="282">
        <v>7</v>
      </c>
      <c r="T24" s="289">
        <f>SUM(T17:T23)/S24</f>
        <v>19.428571428571427</v>
      </c>
      <c r="U24" s="290">
        <f>SUM(U17:U23)/S24</f>
        <v>25.457142857142856</v>
      </c>
      <c r="V24" s="307">
        <f>SUM(V17:V23)/S24</f>
        <v>3.5714285714285716</v>
      </c>
      <c r="W24" s="307">
        <f>SUM(W17:W23)/S24</f>
        <v>2.8571428571428572</v>
      </c>
      <c r="X24" s="307">
        <f>SUM(X17:X23)/S24</f>
        <v>2.5714285714285716</v>
      </c>
      <c r="Y24" s="308">
        <f>SUM(V24:X24)/3</f>
        <v>3</v>
      </c>
      <c r="Z24" s="283" t="s">
        <v>137</v>
      </c>
      <c r="AA24" s="774">
        <f>L24/S24</f>
        <v>1468018.5714285714</v>
      </c>
      <c r="AB24" s="775"/>
      <c r="AC24" s="775"/>
      <c r="AD24" s="775"/>
      <c r="AE24" s="776"/>
      <c r="AF24" s="282" t="s">
        <v>141</v>
      </c>
      <c r="AG24" s="260">
        <v>7</v>
      </c>
      <c r="AH24" s="291">
        <f>SUM(AH17:AH23)/AG24</f>
        <v>18.300000000000004</v>
      </c>
      <c r="AI24" s="292">
        <f>SUM(AI17:AI23)/AG24</f>
        <v>25.957142857142859</v>
      </c>
      <c r="AJ24" s="305">
        <f>SUM(AJ17:AJ23)/AG24</f>
        <v>4</v>
      </c>
      <c r="AK24" s="305">
        <f>SUM(AK17:AK23)/AG24</f>
        <v>3.8571428571428572</v>
      </c>
      <c r="AL24" s="305">
        <f>SUM(AL17:AL23)/AG24</f>
        <v>3.5714285714285716</v>
      </c>
      <c r="AM24" s="306">
        <f>SUM(AJ24:AL24)/3</f>
        <v>3.8095238095238098</v>
      </c>
      <c r="AN24" s="261" t="s">
        <v>137</v>
      </c>
      <c r="AO24" s="761">
        <v>1368342.857142857</v>
      </c>
      <c r="AP24" s="762"/>
      <c r="AQ24" s="762"/>
      <c r="AR24" s="762"/>
      <c r="AS24" s="763"/>
      <c r="AT24" s="282" t="s">
        <v>141</v>
      </c>
      <c r="AU24" s="260"/>
    </row>
    <row r="25" spans="1:47" ht="23.5" customHeight="1" thickTop="1" x14ac:dyDescent="0.25">
      <c r="A25" s="710" t="s">
        <v>15</v>
      </c>
      <c r="B25" s="711"/>
      <c r="C25" s="713" t="s">
        <v>15</v>
      </c>
      <c r="D25" s="714"/>
      <c r="E25" s="714"/>
      <c r="F25" s="714"/>
      <c r="G25" s="714"/>
      <c r="H25" s="714"/>
      <c r="I25" s="714"/>
      <c r="J25" s="714"/>
      <c r="K25" s="714"/>
      <c r="L25" s="714"/>
      <c r="M25" s="714"/>
      <c r="N25" s="714"/>
      <c r="O25" s="714"/>
      <c r="P25" s="714"/>
      <c r="Q25" s="714"/>
      <c r="R25" s="715"/>
      <c r="T25" s="716" t="str">
        <f>C25</f>
        <v>3rd week</v>
      </c>
      <c r="U25" s="716"/>
      <c r="V25" s="716"/>
      <c r="W25" s="716"/>
      <c r="X25" s="716"/>
      <c r="Y25" s="716"/>
      <c r="AH25" s="716">
        <f>U25</f>
        <v>0</v>
      </c>
      <c r="AI25" s="716"/>
      <c r="AJ25" s="716"/>
      <c r="AK25" s="716"/>
      <c r="AL25" s="716"/>
      <c r="AM25" s="716"/>
    </row>
    <row r="26" spans="1:47" ht="23.5" customHeight="1" x14ac:dyDescent="0.25">
      <c r="A26" s="53" t="s">
        <v>10</v>
      </c>
      <c r="B26" s="37" t="s">
        <v>11</v>
      </c>
      <c r="C26" s="103" t="s">
        <v>10</v>
      </c>
      <c r="D26" s="104" t="s">
        <v>11</v>
      </c>
      <c r="E26" s="104" t="s">
        <v>1</v>
      </c>
      <c r="F26" s="104" t="s">
        <v>30</v>
      </c>
      <c r="G26" s="104" t="s">
        <v>31</v>
      </c>
      <c r="H26" s="104" t="s">
        <v>28</v>
      </c>
      <c r="I26" s="104" t="s">
        <v>29</v>
      </c>
      <c r="J26" s="104" t="s">
        <v>72</v>
      </c>
      <c r="K26" s="104" t="s">
        <v>210</v>
      </c>
      <c r="L26" s="104" t="s">
        <v>71</v>
      </c>
      <c r="M26" s="105" t="s">
        <v>48</v>
      </c>
      <c r="N26" s="105"/>
      <c r="O26" s="105"/>
      <c r="P26" s="105"/>
      <c r="Q26" s="105" t="s">
        <v>74</v>
      </c>
      <c r="R26" s="106" t="s">
        <v>73</v>
      </c>
      <c r="T26" s="253" t="s">
        <v>116</v>
      </c>
      <c r="U26" s="254" t="s">
        <v>117</v>
      </c>
      <c r="V26" s="49" t="s">
        <v>118</v>
      </c>
      <c r="W26" s="49" t="s">
        <v>119</v>
      </c>
      <c r="X26" s="49" t="s">
        <v>120</v>
      </c>
      <c r="Y26" s="255" t="s">
        <v>128</v>
      </c>
      <c r="AA26" s="1" t="s">
        <v>123</v>
      </c>
      <c r="AC26" s="36" t="s">
        <v>126</v>
      </c>
      <c r="AH26" s="253" t="s">
        <v>116</v>
      </c>
      <c r="AI26" s="254" t="s">
        <v>117</v>
      </c>
      <c r="AJ26" s="49" t="s">
        <v>118</v>
      </c>
      <c r="AK26" s="49" t="s">
        <v>119</v>
      </c>
      <c r="AL26" s="49" t="s">
        <v>120</v>
      </c>
      <c r="AM26" s="255" t="s">
        <v>128</v>
      </c>
      <c r="AO26" s="1" t="s">
        <v>123</v>
      </c>
      <c r="AQ26" s="36" t="s">
        <v>126</v>
      </c>
    </row>
    <row r="27" spans="1:47" ht="23.5" customHeight="1" x14ac:dyDescent="0.25">
      <c r="A27" s="54" t="s">
        <v>3</v>
      </c>
      <c r="B27" s="50">
        <v>14</v>
      </c>
      <c r="C27" s="107" t="s">
        <v>3</v>
      </c>
      <c r="D27" s="120">
        <f>B27</f>
        <v>14</v>
      </c>
      <c r="E27" s="74">
        <v>639</v>
      </c>
      <c r="F27" s="108">
        <v>2019300</v>
      </c>
      <c r="G27" s="108">
        <f t="shared" ref="G27:G34" si="16">F27/E27</f>
        <v>3160.0938967136149</v>
      </c>
      <c r="H27" s="108">
        <v>1031800</v>
      </c>
      <c r="I27" s="109">
        <f t="shared" ref="I27:I34" si="17">H27/E27</f>
        <v>1614.7104851330203</v>
      </c>
      <c r="J27" s="109">
        <v>25300</v>
      </c>
      <c r="K27" s="109">
        <v>5940</v>
      </c>
      <c r="L27" s="344">
        <f>F27+H27+J27+K27</f>
        <v>3082340</v>
      </c>
      <c r="M27" s="111">
        <f>L27/E27</f>
        <v>4823.6932707355245</v>
      </c>
      <c r="N27" s="111"/>
      <c r="O27" s="111"/>
      <c r="P27" s="111"/>
      <c r="Q27" s="215"/>
      <c r="R27" s="112" t="e">
        <f>L27/Q27</f>
        <v>#DIV/0!</v>
      </c>
      <c r="T27" s="248">
        <v>18.5</v>
      </c>
      <c r="U27" s="248">
        <v>29.5</v>
      </c>
      <c r="V27" s="440">
        <v>5</v>
      </c>
      <c r="W27" s="440">
        <v>5</v>
      </c>
      <c r="X27" s="440">
        <v>5</v>
      </c>
      <c r="Y27" s="272">
        <f>SUM(V27:X27)/3</f>
        <v>5</v>
      </c>
      <c r="AA27" s="271" t="s">
        <v>124</v>
      </c>
      <c r="AB27" s="2"/>
      <c r="AC27" s="270">
        <v>5</v>
      </c>
      <c r="AH27" s="248">
        <v>21.3</v>
      </c>
      <c r="AI27" s="248">
        <v>31.4</v>
      </c>
      <c r="AJ27" s="419">
        <v>1</v>
      </c>
      <c r="AK27" s="441">
        <v>3</v>
      </c>
      <c r="AL27" s="440">
        <v>5</v>
      </c>
      <c r="AM27" s="272">
        <f>SUM(AJ27:AL27)/3</f>
        <v>3</v>
      </c>
      <c r="AO27" s="271" t="s">
        <v>124</v>
      </c>
      <c r="AP27" s="2"/>
      <c r="AQ27" s="270">
        <v>5</v>
      </c>
    </row>
    <row r="28" spans="1:47" ht="23.5" customHeight="1" x14ac:dyDescent="0.25">
      <c r="A28" s="54" t="s">
        <v>4</v>
      </c>
      <c r="B28" s="50">
        <v>15</v>
      </c>
      <c r="C28" s="107" t="s">
        <v>4</v>
      </c>
      <c r="D28" s="120">
        <f t="shared" ref="D28:D33" si="18">B28</f>
        <v>15</v>
      </c>
      <c r="E28" s="74">
        <v>473</v>
      </c>
      <c r="F28" s="108">
        <v>1423750</v>
      </c>
      <c r="G28" s="108">
        <f t="shared" si="16"/>
        <v>3010.0422832980971</v>
      </c>
      <c r="H28" s="108">
        <v>754950</v>
      </c>
      <c r="I28" s="109">
        <f t="shared" si="17"/>
        <v>1596.0887949260043</v>
      </c>
      <c r="J28" s="109">
        <v>23650</v>
      </c>
      <c r="K28" s="109">
        <v>5940</v>
      </c>
      <c r="L28" s="110">
        <f t="shared" ref="L28:L33" si="19">F28+H28+J28+K28</f>
        <v>2208290</v>
      </c>
      <c r="M28" s="111">
        <f t="shared" ref="M28:M33" si="20">L28/E28</f>
        <v>4668.6892177589853</v>
      </c>
      <c r="N28" s="111"/>
      <c r="O28" s="111"/>
      <c r="P28" s="111"/>
      <c r="Q28" s="215"/>
      <c r="R28" s="112" t="e">
        <f t="shared" ref="R28:R34" si="21">L28/Q28</f>
        <v>#DIV/0!</v>
      </c>
      <c r="T28" s="248">
        <v>20.3</v>
      </c>
      <c r="U28" s="248">
        <v>29.3</v>
      </c>
      <c r="V28" s="440">
        <v>5</v>
      </c>
      <c r="W28" s="440">
        <v>5</v>
      </c>
      <c r="X28" s="440">
        <v>5</v>
      </c>
      <c r="Y28" s="272">
        <f t="shared" ref="Y28:Y33" si="22">SUM(V28:X28)/3</f>
        <v>5</v>
      </c>
      <c r="AA28" s="35" t="s">
        <v>125</v>
      </c>
      <c r="AC28" s="1">
        <v>4</v>
      </c>
      <c r="AH28" s="248">
        <v>20.9</v>
      </c>
      <c r="AI28" s="248">
        <v>28.4</v>
      </c>
      <c r="AJ28" s="441">
        <v>3</v>
      </c>
      <c r="AK28" s="441">
        <v>3</v>
      </c>
      <c r="AL28" s="441">
        <v>3</v>
      </c>
      <c r="AM28" s="272">
        <f t="shared" ref="AM28:AM33" si="23">SUM(AJ28:AL28)/3</f>
        <v>3</v>
      </c>
      <c r="AO28" s="35" t="s">
        <v>125</v>
      </c>
      <c r="AQ28" s="1">
        <v>4</v>
      </c>
    </row>
    <row r="29" spans="1:47" ht="23.5" customHeight="1" x14ac:dyDescent="0.25">
      <c r="A29" s="55" t="s">
        <v>5</v>
      </c>
      <c r="B29" s="50">
        <v>16</v>
      </c>
      <c r="C29" s="103" t="s">
        <v>5</v>
      </c>
      <c r="D29" s="120">
        <f t="shared" si="18"/>
        <v>16</v>
      </c>
      <c r="E29" s="74">
        <v>272</v>
      </c>
      <c r="F29" s="108">
        <v>731800</v>
      </c>
      <c r="G29" s="108">
        <f t="shared" si="16"/>
        <v>2690.4411764705883</v>
      </c>
      <c r="H29" s="108">
        <v>407700</v>
      </c>
      <c r="I29" s="109">
        <f t="shared" si="17"/>
        <v>1498.8970588235295</v>
      </c>
      <c r="J29" s="109">
        <v>3850</v>
      </c>
      <c r="K29" s="109">
        <v>2970</v>
      </c>
      <c r="L29" s="110">
        <f t="shared" si="19"/>
        <v>1146320</v>
      </c>
      <c r="M29" s="111">
        <f t="shared" si="20"/>
        <v>4214.411764705882</v>
      </c>
      <c r="N29" s="111"/>
      <c r="O29" s="111"/>
      <c r="P29" s="111"/>
      <c r="Q29" s="215"/>
      <c r="R29" s="112" t="e">
        <f t="shared" si="21"/>
        <v>#DIV/0!</v>
      </c>
      <c r="T29" s="248">
        <v>21</v>
      </c>
      <c r="U29" s="248">
        <v>30.1</v>
      </c>
      <c r="V29" s="440">
        <v>5</v>
      </c>
      <c r="W29" s="440">
        <v>5</v>
      </c>
      <c r="X29" s="440">
        <v>5</v>
      </c>
      <c r="Y29" s="272">
        <f t="shared" si="22"/>
        <v>5</v>
      </c>
      <c r="AA29" s="35" t="s">
        <v>129</v>
      </c>
      <c r="AC29" s="1">
        <v>3</v>
      </c>
      <c r="AH29" s="248">
        <v>22.3</v>
      </c>
      <c r="AI29" s="248">
        <v>30.2</v>
      </c>
      <c r="AJ29" s="440">
        <v>5</v>
      </c>
      <c r="AK29" s="441">
        <v>3</v>
      </c>
      <c r="AL29" s="441">
        <v>3</v>
      </c>
      <c r="AM29" s="272">
        <f t="shared" si="23"/>
        <v>3.6666666666666665</v>
      </c>
      <c r="AO29" s="35" t="s">
        <v>129</v>
      </c>
      <c r="AQ29" s="1">
        <v>3</v>
      </c>
    </row>
    <row r="30" spans="1:47" ht="23.5" customHeight="1" x14ac:dyDescent="0.25">
      <c r="A30" s="55" t="s">
        <v>6</v>
      </c>
      <c r="B30" s="50">
        <v>17</v>
      </c>
      <c r="C30" s="103" t="s">
        <v>6</v>
      </c>
      <c r="D30" s="120">
        <f t="shared" si="18"/>
        <v>17</v>
      </c>
      <c r="E30" s="74">
        <v>548</v>
      </c>
      <c r="F30" s="108">
        <v>1607800</v>
      </c>
      <c r="G30" s="108">
        <f t="shared" si="16"/>
        <v>2933.9416058394158</v>
      </c>
      <c r="H30" s="108">
        <v>896100</v>
      </c>
      <c r="I30" s="109">
        <f t="shared" si="17"/>
        <v>1635.2189781021898</v>
      </c>
      <c r="J30" s="109">
        <v>6600</v>
      </c>
      <c r="K30" s="109">
        <v>5940</v>
      </c>
      <c r="L30" s="110">
        <f t="shared" si="19"/>
        <v>2516440</v>
      </c>
      <c r="M30" s="111">
        <f t="shared" si="20"/>
        <v>4592.0437956204378</v>
      </c>
      <c r="N30" s="111"/>
      <c r="O30" s="111"/>
      <c r="P30" s="111"/>
      <c r="Q30" s="215"/>
      <c r="R30" s="112" t="e">
        <f t="shared" si="21"/>
        <v>#DIV/0!</v>
      </c>
      <c r="T30" s="248">
        <v>21.4</v>
      </c>
      <c r="U30" s="248">
        <v>31.4</v>
      </c>
      <c r="V30" s="440">
        <v>5</v>
      </c>
      <c r="W30" s="440">
        <v>5</v>
      </c>
      <c r="X30" s="440">
        <v>5</v>
      </c>
      <c r="Y30" s="272">
        <f t="shared" si="22"/>
        <v>5</v>
      </c>
      <c r="AA30" s="35" t="s">
        <v>121</v>
      </c>
      <c r="AC30" s="1">
        <v>2</v>
      </c>
      <c r="AH30" s="248">
        <v>21.4</v>
      </c>
      <c r="AI30" s="248">
        <v>26.1</v>
      </c>
      <c r="AJ30" s="419">
        <v>1</v>
      </c>
      <c r="AK30" s="419">
        <v>1</v>
      </c>
      <c r="AL30" s="419">
        <v>1</v>
      </c>
      <c r="AM30" s="272">
        <f t="shared" si="23"/>
        <v>1</v>
      </c>
      <c r="AO30" s="35" t="s">
        <v>121</v>
      </c>
      <c r="AQ30" s="1">
        <v>2</v>
      </c>
    </row>
    <row r="31" spans="1:47" ht="23.5" customHeight="1" x14ac:dyDescent="0.25">
      <c r="A31" s="55" t="s">
        <v>7</v>
      </c>
      <c r="B31" s="50">
        <v>18</v>
      </c>
      <c r="C31" s="103" t="s">
        <v>7</v>
      </c>
      <c r="D31" s="120">
        <f t="shared" si="18"/>
        <v>18</v>
      </c>
      <c r="E31" s="74">
        <v>555</v>
      </c>
      <c r="F31" s="108">
        <v>1469550</v>
      </c>
      <c r="G31" s="108">
        <f t="shared" si="16"/>
        <v>2647.8378378378379</v>
      </c>
      <c r="H31" s="108">
        <v>806100</v>
      </c>
      <c r="I31" s="109">
        <f t="shared" si="17"/>
        <v>1452.4324324324325</v>
      </c>
      <c r="J31" s="109">
        <v>1100</v>
      </c>
      <c r="K31" s="109">
        <v>0</v>
      </c>
      <c r="L31" s="110">
        <f t="shared" si="19"/>
        <v>2276750</v>
      </c>
      <c r="M31" s="111">
        <f t="shared" si="20"/>
        <v>4102.2522522522522</v>
      </c>
      <c r="N31" s="111"/>
      <c r="O31" s="111"/>
      <c r="P31" s="111"/>
      <c r="Q31" s="215"/>
      <c r="R31" s="112" t="e">
        <f t="shared" si="21"/>
        <v>#DIV/0!</v>
      </c>
      <c r="T31" s="248">
        <v>21.2</v>
      </c>
      <c r="U31" s="248">
        <v>33.4</v>
      </c>
      <c r="V31" s="441">
        <v>3</v>
      </c>
      <c r="W31" s="441">
        <v>3</v>
      </c>
      <c r="X31" s="441">
        <v>3</v>
      </c>
      <c r="Y31" s="272">
        <f t="shared" si="22"/>
        <v>3</v>
      </c>
      <c r="AA31" s="35" t="s">
        <v>122</v>
      </c>
      <c r="AC31" s="1">
        <v>1</v>
      </c>
      <c r="AH31" s="248">
        <v>21</v>
      </c>
      <c r="AI31" s="248">
        <v>26.7</v>
      </c>
      <c r="AJ31" s="441">
        <v>3</v>
      </c>
      <c r="AK31" s="441">
        <v>3</v>
      </c>
      <c r="AL31" s="441">
        <v>3</v>
      </c>
      <c r="AM31" s="272">
        <f t="shared" si="23"/>
        <v>3</v>
      </c>
      <c r="AO31" s="35" t="s">
        <v>122</v>
      </c>
      <c r="AQ31" s="1">
        <v>1</v>
      </c>
    </row>
    <row r="32" spans="1:47" ht="23.5" customHeight="1" x14ac:dyDescent="0.25">
      <c r="A32" s="55" t="s">
        <v>8</v>
      </c>
      <c r="B32" s="50">
        <v>19</v>
      </c>
      <c r="C32" s="103" t="s">
        <v>8</v>
      </c>
      <c r="D32" s="120">
        <f t="shared" si="18"/>
        <v>19</v>
      </c>
      <c r="E32" s="74">
        <v>438</v>
      </c>
      <c r="F32" s="108">
        <v>1426400</v>
      </c>
      <c r="G32" s="108">
        <f t="shared" si="16"/>
        <v>3256.6210045662101</v>
      </c>
      <c r="H32" s="108">
        <v>758750</v>
      </c>
      <c r="I32" s="109">
        <f t="shared" si="17"/>
        <v>1732.3059360730595</v>
      </c>
      <c r="J32" s="109">
        <v>54450</v>
      </c>
      <c r="K32" s="109">
        <v>2970</v>
      </c>
      <c r="L32" s="110">
        <f t="shared" si="19"/>
        <v>2242570</v>
      </c>
      <c r="M32" s="111">
        <f t="shared" si="20"/>
        <v>5120.022831050228</v>
      </c>
      <c r="N32" s="111"/>
      <c r="O32" s="111"/>
      <c r="P32" s="111"/>
      <c r="Q32" s="215"/>
      <c r="R32" s="112" t="e">
        <f t="shared" si="21"/>
        <v>#DIV/0!</v>
      </c>
      <c r="T32" s="248">
        <v>22.9</v>
      </c>
      <c r="U32" s="248">
        <v>25.3</v>
      </c>
      <c r="V32" s="419">
        <v>1</v>
      </c>
      <c r="W32" s="419">
        <v>1</v>
      </c>
      <c r="X32" s="441">
        <v>3</v>
      </c>
      <c r="Y32" s="272">
        <f t="shared" si="22"/>
        <v>1.6666666666666667</v>
      </c>
      <c r="AA32" s="35" t="s">
        <v>127</v>
      </c>
      <c r="AC32" s="1">
        <v>0</v>
      </c>
      <c r="AH32" s="248">
        <v>20</v>
      </c>
      <c r="AI32" s="248">
        <v>25.4</v>
      </c>
      <c r="AJ32" s="441">
        <v>3</v>
      </c>
      <c r="AK32" s="440">
        <v>5</v>
      </c>
      <c r="AL32" s="419">
        <v>1</v>
      </c>
      <c r="AM32" s="272">
        <f t="shared" si="23"/>
        <v>3</v>
      </c>
      <c r="AO32" s="35" t="s">
        <v>127</v>
      </c>
      <c r="AQ32" s="1">
        <v>0</v>
      </c>
    </row>
    <row r="33" spans="1:47" ht="23.5" customHeight="1" thickBot="1" x14ac:dyDescent="0.3">
      <c r="A33" s="56" t="s">
        <v>9</v>
      </c>
      <c r="B33" s="50">
        <v>20</v>
      </c>
      <c r="C33" s="113" t="s">
        <v>9</v>
      </c>
      <c r="D33" s="120">
        <f t="shared" si="18"/>
        <v>20</v>
      </c>
      <c r="E33" s="74">
        <v>595</v>
      </c>
      <c r="F33" s="108">
        <v>1901650</v>
      </c>
      <c r="G33" s="108">
        <f t="shared" si="16"/>
        <v>3196.0504201680674</v>
      </c>
      <c r="H33" s="108">
        <v>1005300</v>
      </c>
      <c r="I33" s="109">
        <f t="shared" si="17"/>
        <v>1689.579831932773</v>
      </c>
      <c r="J33" s="109">
        <v>48950</v>
      </c>
      <c r="K33" s="109">
        <v>0</v>
      </c>
      <c r="L33" s="110">
        <f t="shared" si="19"/>
        <v>2955900</v>
      </c>
      <c r="M33" s="111">
        <f t="shared" si="20"/>
        <v>4967.8991596638652</v>
      </c>
      <c r="N33" s="111"/>
      <c r="O33" s="111"/>
      <c r="P33" s="111"/>
      <c r="Q33" s="215"/>
      <c r="R33" s="112" t="e">
        <f t="shared" si="21"/>
        <v>#DIV/0!</v>
      </c>
      <c r="T33" s="249">
        <v>23.3</v>
      </c>
      <c r="U33" s="249">
        <v>33</v>
      </c>
      <c r="V33" s="442">
        <v>3</v>
      </c>
      <c r="W33" s="440">
        <v>5</v>
      </c>
      <c r="X33" s="443">
        <v>5</v>
      </c>
      <c r="Y33" s="273">
        <f t="shared" si="22"/>
        <v>4.333333333333333</v>
      </c>
      <c r="AA33" s="1" t="s">
        <v>130</v>
      </c>
      <c r="AH33" s="249">
        <v>19.399999999999999</v>
      </c>
      <c r="AI33" s="249">
        <v>21.4</v>
      </c>
      <c r="AJ33" s="420">
        <v>1</v>
      </c>
      <c r="AK33" s="419">
        <v>1</v>
      </c>
      <c r="AL33" s="420">
        <v>1</v>
      </c>
      <c r="AM33" s="273">
        <f t="shared" si="23"/>
        <v>1</v>
      </c>
      <c r="AO33" s="1" t="s">
        <v>130</v>
      </c>
    </row>
    <row r="34" spans="1:47" s="282" customFormat="1" ht="31" customHeight="1" thickTop="1" thickBot="1" x14ac:dyDescent="0.3">
      <c r="A34" s="783" t="s">
        <v>13</v>
      </c>
      <c r="B34" s="784"/>
      <c r="C34" s="783" t="s">
        <v>13</v>
      </c>
      <c r="D34" s="784"/>
      <c r="E34" s="71">
        <f>SUM(E27:E33)</f>
        <v>3520</v>
      </c>
      <c r="F34" s="71">
        <f>SUM(F27:F33)</f>
        <v>10580250</v>
      </c>
      <c r="G34" s="71">
        <f t="shared" si="16"/>
        <v>3005.752840909091</v>
      </c>
      <c r="H34" s="71">
        <f>SUM(H27:H33)</f>
        <v>5660700</v>
      </c>
      <c r="I34" s="284">
        <f t="shared" si="17"/>
        <v>1608.153409090909</v>
      </c>
      <c r="J34" s="284">
        <f>SUM(J27:J33)</f>
        <v>163900</v>
      </c>
      <c r="K34" s="284">
        <f>SUM(K27:K33)</f>
        <v>23760</v>
      </c>
      <c r="L34" s="439">
        <f>F34+H34+J34+K34</f>
        <v>16428610</v>
      </c>
      <c r="M34" s="285">
        <f>L34/E34</f>
        <v>4667.21875</v>
      </c>
      <c r="N34" s="285"/>
      <c r="O34" s="285"/>
      <c r="P34" s="285"/>
      <c r="Q34" s="409">
        <f>SUM(Q27:Q33)</f>
        <v>0</v>
      </c>
      <c r="R34" s="281" t="e">
        <f t="shared" si="21"/>
        <v>#DIV/0!</v>
      </c>
      <c r="S34" s="282">
        <v>7</v>
      </c>
      <c r="T34" s="289">
        <f>SUM(T27:T33)/S34</f>
        <v>21.228571428571428</v>
      </c>
      <c r="U34" s="290">
        <f>SUM(U27:U33)/S34</f>
        <v>30.285714285714288</v>
      </c>
      <c r="V34" s="307">
        <f>SUM(V27:V33)/S34</f>
        <v>3.8571428571428572</v>
      </c>
      <c r="W34" s="307">
        <f>SUM(W27:W33)/S34</f>
        <v>4.1428571428571432</v>
      </c>
      <c r="X34" s="307">
        <f>SUM(X27:X33)/S34</f>
        <v>4.4285714285714288</v>
      </c>
      <c r="Y34" s="308">
        <f>SUM(V34:X34)/3</f>
        <v>4.1428571428571432</v>
      </c>
      <c r="Z34" s="283" t="s">
        <v>138</v>
      </c>
      <c r="AA34" s="777">
        <f>L34/S34</f>
        <v>2346944.2857142859</v>
      </c>
      <c r="AB34" s="778"/>
      <c r="AC34" s="778"/>
      <c r="AD34" s="778"/>
      <c r="AE34" s="779"/>
      <c r="AF34" s="282" t="s">
        <v>141</v>
      </c>
      <c r="AG34" s="260">
        <v>7</v>
      </c>
      <c r="AH34" s="291">
        <f>SUM(AH27:AH33)/AG34</f>
        <v>20.900000000000002</v>
      </c>
      <c r="AI34" s="292">
        <f>SUM(AI27:AI33)/AG34</f>
        <v>27.085714285714285</v>
      </c>
      <c r="AJ34" s="305">
        <f>SUM(AJ27:AJ33)/AG34</f>
        <v>2.4285714285714284</v>
      </c>
      <c r="AK34" s="305">
        <f>SUM(AK27:AK33)/AG34</f>
        <v>2.7142857142857144</v>
      </c>
      <c r="AL34" s="305">
        <f>SUM(AL27:AL33)/AG34</f>
        <v>2.4285714285714284</v>
      </c>
      <c r="AM34" s="306">
        <f>SUM(AJ34:AL34)/3</f>
        <v>2.5238095238095237</v>
      </c>
      <c r="AN34" s="261" t="s">
        <v>138</v>
      </c>
      <c r="AO34" s="761">
        <v>1274542.857142857</v>
      </c>
      <c r="AP34" s="762"/>
      <c r="AQ34" s="762"/>
      <c r="AR34" s="762"/>
      <c r="AS34" s="763"/>
      <c r="AT34" s="282" t="s">
        <v>141</v>
      </c>
      <c r="AU34" s="260"/>
    </row>
    <row r="35" spans="1:47" ht="23.5" customHeight="1" thickTop="1" x14ac:dyDescent="0.25">
      <c r="A35" s="710" t="s">
        <v>16</v>
      </c>
      <c r="B35" s="711"/>
      <c r="C35" s="713" t="s">
        <v>16</v>
      </c>
      <c r="D35" s="714"/>
      <c r="E35" s="714"/>
      <c r="F35" s="714"/>
      <c r="G35" s="714"/>
      <c r="H35" s="714"/>
      <c r="I35" s="714"/>
      <c r="J35" s="714"/>
      <c r="K35" s="714"/>
      <c r="L35" s="714"/>
      <c r="M35" s="714"/>
      <c r="N35" s="714"/>
      <c r="O35" s="714"/>
      <c r="P35" s="714"/>
      <c r="Q35" s="714"/>
      <c r="R35" s="715"/>
      <c r="T35" s="716" t="str">
        <f>C35</f>
        <v>4th week</v>
      </c>
      <c r="U35" s="716"/>
      <c r="V35" s="716"/>
      <c r="W35" s="716"/>
      <c r="X35" s="716"/>
      <c r="Y35" s="716"/>
      <c r="AH35" s="716">
        <f>U35</f>
        <v>0</v>
      </c>
      <c r="AI35" s="716"/>
      <c r="AJ35" s="716"/>
      <c r="AK35" s="716"/>
      <c r="AL35" s="716"/>
      <c r="AM35" s="716"/>
    </row>
    <row r="36" spans="1:47" ht="23.5" customHeight="1" x14ac:dyDescent="0.25">
      <c r="A36" s="53" t="s">
        <v>10</v>
      </c>
      <c r="B36" s="37" t="s">
        <v>11</v>
      </c>
      <c r="C36" s="103" t="s">
        <v>10</v>
      </c>
      <c r="D36" s="104" t="s">
        <v>11</v>
      </c>
      <c r="E36" s="104" t="s">
        <v>1</v>
      </c>
      <c r="F36" s="104" t="s">
        <v>30</v>
      </c>
      <c r="G36" s="104" t="s">
        <v>31</v>
      </c>
      <c r="H36" s="104" t="s">
        <v>28</v>
      </c>
      <c r="I36" s="104" t="s">
        <v>29</v>
      </c>
      <c r="J36" s="104" t="s">
        <v>72</v>
      </c>
      <c r="K36" s="104" t="s">
        <v>210</v>
      </c>
      <c r="L36" s="104" t="s">
        <v>71</v>
      </c>
      <c r="M36" s="105" t="s">
        <v>48</v>
      </c>
      <c r="N36" s="105"/>
      <c r="O36" s="105"/>
      <c r="P36" s="105"/>
      <c r="Q36" s="105" t="s">
        <v>74</v>
      </c>
      <c r="R36" s="106" t="s">
        <v>73</v>
      </c>
      <c r="T36" s="253" t="s">
        <v>116</v>
      </c>
      <c r="U36" s="254" t="s">
        <v>117</v>
      </c>
      <c r="V36" s="49" t="s">
        <v>118</v>
      </c>
      <c r="W36" s="49" t="s">
        <v>119</v>
      </c>
      <c r="X36" s="49" t="s">
        <v>120</v>
      </c>
      <c r="Y36" s="255" t="s">
        <v>128</v>
      </c>
      <c r="AA36" s="1" t="s">
        <v>123</v>
      </c>
      <c r="AC36" s="36" t="s">
        <v>126</v>
      </c>
      <c r="AH36" s="253" t="s">
        <v>116</v>
      </c>
      <c r="AI36" s="254" t="s">
        <v>117</v>
      </c>
      <c r="AJ36" s="49" t="s">
        <v>118</v>
      </c>
      <c r="AK36" s="49" t="s">
        <v>119</v>
      </c>
      <c r="AL36" s="49" t="s">
        <v>120</v>
      </c>
      <c r="AM36" s="255" t="s">
        <v>128</v>
      </c>
      <c r="AO36" s="1" t="s">
        <v>123</v>
      </c>
      <c r="AQ36" s="36" t="s">
        <v>126</v>
      </c>
    </row>
    <row r="37" spans="1:47" ht="23.5" customHeight="1" x14ac:dyDescent="0.25">
      <c r="A37" s="54" t="s">
        <v>3</v>
      </c>
      <c r="B37" s="50">
        <v>21</v>
      </c>
      <c r="C37" s="107" t="s">
        <v>3</v>
      </c>
      <c r="D37" s="120">
        <f>B37</f>
        <v>21</v>
      </c>
      <c r="E37" s="74">
        <v>468</v>
      </c>
      <c r="F37" s="108">
        <v>1234050</v>
      </c>
      <c r="G37" s="108">
        <f t="shared" ref="G37:G44" si="24">F37/E37</f>
        <v>2636.8589743589741</v>
      </c>
      <c r="H37" s="108">
        <v>693850</v>
      </c>
      <c r="I37" s="109">
        <f t="shared" ref="I37:I44" si="25">H37/E37</f>
        <v>1482.58547008547</v>
      </c>
      <c r="J37" s="109">
        <v>37400</v>
      </c>
      <c r="K37" s="109">
        <v>2970</v>
      </c>
      <c r="L37" s="110">
        <f>F37+H37+J37+K37</f>
        <v>1968270</v>
      </c>
      <c r="M37" s="111">
        <f>L37/E37</f>
        <v>4205.7051282051279</v>
      </c>
      <c r="N37" s="111"/>
      <c r="O37" s="111"/>
      <c r="P37" s="111"/>
      <c r="Q37" s="215"/>
      <c r="R37" s="112" t="e">
        <f>L37/Q37</f>
        <v>#DIV/0!</v>
      </c>
      <c r="T37" s="248">
        <v>22.3</v>
      </c>
      <c r="U37" s="248">
        <v>34.700000000000003</v>
      </c>
      <c r="V37" s="441">
        <v>3</v>
      </c>
      <c r="W37" s="441">
        <v>3</v>
      </c>
      <c r="X37" s="441">
        <v>3</v>
      </c>
      <c r="Y37" s="272">
        <f>SUM(V37:X37)/3</f>
        <v>3</v>
      </c>
      <c r="AA37" s="271" t="s">
        <v>124</v>
      </c>
      <c r="AB37" s="2"/>
      <c r="AC37" s="270">
        <v>5</v>
      </c>
      <c r="AH37" s="248">
        <v>20.100000000000001</v>
      </c>
      <c r="AI37" s="248">
        <v>28</v>
      </c>
      <c r="AJ37" s="432">
        <v>5</v>
      </c>
      <c r="AK37" s="441">
        <v>3</v>
      </c>
      <c r="AL37" s="441">
        <v>3</v>
      </c>
      <c r="AM37" s="272">
        <f>SUM(AJ37:AL37)/3</f>
        <v>3.6666666666666665</v>
      </c>
      <c r="AO37" s="271" t="s">
        <v>124</v>
      </c>
      <c r="AP37" s="2"/>
      <c r="AQ37" s="270">
        <v>5</v>
      </c>
    </row>
    <row r="38" spans="1:47" ht="23.5" customHeight="1" x14ac:dyDescent="0.25">
      <c r="A38" s="55" t="s">
        <v>4</v>
      </c>
      <c r="B38" s="50">
        <v>22</v>
      </c>
      <c r="C38" s="103" t="s">
        <v>4</v>
      </c>
      <c r="D38" s="120">
        <f t="shared" ref="D38:D43" si="26">B38</f>
        <v>22</v>
      </c>
      <c r="E38" s="74">
        <v>396</v>
      </c>
      <c r="F38" s="108">
        <v>1279800</v>
      </c>
      <c r="G38" s="108">
        <f t="shared" si="24"/>
        <v>3231.818181818182</v>
      </c>
      <c r="H38" s="108">
        <v>634000</v>
      </c>
      <c r="I38" s="109">
        <f t="shared" si="25"/>
        <v>1601.0101010101009</v>
      </c>
      <c r="J38" s="109">
        <v>27500</v>
      </c>
      <c r="K38" s="109">
        <v>0</v>
      </c>
      <c r="L38" s="110">
        <f t="shared" ref="L38:L43" si="27">F38+H38+J38+K38</f>
        <v>1941300</v>
      </c>
      <c r="M38" s="111">
        <f t="shared" ref="M38:M43" si="28">L38/E38</f>
        <v>4902.272727272727</v>
      </c>
      <c r="N38" s="111"/>
      <c r="O38" s="111"/>
      <c r="P38" s="111"/>
      <c r="Q38" s="215"/>
      <c r="R38" s="112" t="e">
        <f t="shared" ref="R38:R44" si="29">L38/Q38</f>
        <v>#DIV/0!</v>
      </c>
      <c r="T38" s="248">
        <v>23.9</v>
      </c>
      <c r="U38" s="248">
        <v>34.700000000000003</v>
      </c>
      <c r="V38" s="441">
        <v>3</v>
      </c>
      <c r="W38" s="441">
        <v>3</v>
      </c>
      <c r="X38" s="441">
        <v>3</v>
      </c>
      <c r="Y38" s="272">
        <f t="shared" ref="Y38:Y43" si="30">SUM(V38:X38)/3</f>
        <v>3</v>
      </c>
      <c r="AA38" s="35" t="s">
        <v>125</v>
      </c>
      <c r="AC38" s="1">
        <v>4</v>
      </c>
      <c r="AH38" s="248">
        <v>21.7</v>
      </c>
      <c r="AI38" s="248">
        <v>26</v>
      </c>
      <c r="AJ38" s="441">
        <v>3</v>
      </c>
      <c r="AK38" s="441">
        <v>3</v>
      </c>
      <c r="AL38" s="441">
        <v>3</v>
      </c>
      <c r="AM38" s="272">
        <f t="shared" ref="AM38:AM43" si="31">SUM(AJ38:AL38)/3</f>
        <v>3</v>
      </c>
      <c r="AO38" s="35" t="s">
        <v>125</v>
      </c>
      <c r="AQ38" s="1">
        <v>4</v>
      </c>
    </row>
    <row r="39" spans="1:47" ht="23.5" customHeight="1" x14ac:dyDescent="0.25">
      <c r="A39" s="55" t="s">
        <v>5</v>
      </c>
      <c r="B39" s="50">
        <v>23</v>
      </c>
      <c r="C39" s="103" t="s">
        <v>5</v>
      </c>
      <c r="D39" s="120">
        <f t="shared" si="26"/>
        <v>23</v>
      </c>
      <c r="E39" s="444">
        <v>322</v>
      </c>
      <c r="F39" s="445">
        <v>862150</v>
      </c>
      <c r="G39" s="445">
        <f t="shared" si="24"/>
        <v>2677.4844720496894</v>
      </c>
      <c r="H39" s="445">
        <v>452400</v>
      </c>
      <c r="I39" s="445">
        <f t="shared" si="25"/>
        <v>1404.9689440993789</v>
      </c>
      <c r="J39" s="445">
        <v>56100</v>
      </c>
      <c r="K39" s="445">
        <v>0</v>
      </c>
      <c r="L39" s="444">
        <f>F39+H39+J39+K39-Q39</f>
        <v>1370650</v>
      </c>
      <c r="M39" s="111">
        <f t="shared" si="28"/>
        <v>4256.6770186335407</v>
      </c>
      <c r="N39" s="111"/>
      <c r="O39" s="111"/>
      <c r="P39" s="111"/>
      <c r="Q39" s="215"/>
      <c r="R39" s="112"/>
      <c r="T39" s="248">
        <v>26.1</v>
      </c>
      <c r="U39" s="248">
        <v>31.4</v>
      </c>
      <c r="V39" s="441">
        <v>3</v>
      </c>
      <c r="W39" s="419">
        <v>1</v>
      </c>
      <c r="X39" s="441">
        <v>3</v>
      </c>
      <c r="Y39" s="272">
        <f t="shared" si="30"/>
        <v>2.3333333333333335</v>
      </c>
      <c r="AA39" s="35" t="s">
        <v>129</v>
      </c>
      <c r="AC39" s="1">
        <v>3</v>
      </c>
      <c r="AH39" s="248">
        <v>19.2</v>
      </c>
      <c r="AI39" s="248">
        <v>24.7</v>
      </c>
      <c r="AJ39" s="446">
        <v>2</v>
      </c>
      <c r="AK39" s="446">
        <v>2</v>
      </c>
      <c r="AL39" s="441">
        <v>3</v>
      </c>
      <c r="AM39" s="272">
        <f t="shared" si="31"/>
        <v>2.3333333333333335</v>
      </c>
      <c r="AO39" s="35" t="s">
        <v>129</v>
      </c>
      <c r="AQ39" s="1">
        <v>3</v>
      </c>
    </row>
    <row r="40" spans="1:47" ht="23.5" customHeight="1" x14ac:dyDescent="0.25">
      <c r="A40" s="55" t="s">
        <v>6</v>
      </c>
      <c r="B40" s="50">
        <v>24</v>
      </c>
      <c r="C40" s="103" t="s">
        <v>6</v>
      </c>
      <c r="D40" s="120">
        <f t="shared" si="26"/>
        <v>24</v>
      </c>
      <c r="E40" s="74">
        <v>272</v>
      </c>
      <c r="F40" s="108">
        <f>721000+1600</f>
        <v>722600</v>
      </c>
      <c r="G40" s="108">
        <f t="shared" si="24"/>
        <v>2656.6176470588234</v>
      </c>
      <c r="H40" s="108">
        <v>385000</v>
      </c>
      <c r="I40" s="109">
        <f t="shared" si="25"/>
        <v>1415.4411764705883</v>
      </c>
      <c r="J40" s="109">
        <v>13200</v>
      </c>
      <c r="K40" s="109">
        <v>2970</v>
      </c>
      <c r="L40" s="74">
        <f>F40+H40+J40+K40-Q40</f>
        <v>1123770</v>
      </c>
      <c r="M40" s="111">
        <f t="shared" si="28"/>
        <v>4131.5073529411766</v>
      </c>
      <c r="N40" s="111"/>
      <c r="O40" s="111"/>
      <c r="P40" s="111"/>
      <c r="Q40" s="215"/>
      <c r="R40" s="112" t="e">
        <f t="shared" si="29"/>
        <v>#DIV/0!</v>
      </c>
      <c r="T40" s="248">
        <v>24.2</v>
      </c>
      <c r="U40" s="248">
        <v>27.8</v>
      </c>
      <c r="V40" s="419">
        <v>1</v>
      </c>
      <c r="W40" s="441">
        <v>3</v>
      </c>
      <c r="X40" s="441">
        <v>3</v>
      </c>
      <c r="Y40" s="272">
        <f t="shared" si="30"/>
        <v>2.3333333333333335</v>
      </c>
      <c r="AA40" s="35" t="s">
        <v>121</v>
      </c>
      <c r="AC40" s="1">
        <v>2</v>
      </c>
      <c r="AH40" s="248">
        <v>19.399999999999999</v>
      </c>
      <c r="AI40" s="248">
        <v>25</v>
      </c>
      <c r="AJ40" s="441">
        <v>3</v>
      </c>
      <c r="AK40" s="440">
        <v>5</v>
      </c>
      <c r="AL40" s="440">
        <v>5</v>
      </c>
      <c r="AM40" s="272">
        <f t="shared" si="31"/>
        <v>4.333333333333333</v>
      </c>
      <c r="AO40" s="35" t="s">
        <v>121</v>
      </c>
      <c r="AQ40" s="1">
        <v>2</v>
      </c>
    </row>
    <row r="41" spans="1:47" ht="23.5" customHeight="1" x14ac:dyDescent="0.25">
      <c r="A41" s="55" t="s">
        <v>7</v>
      </c>
      <c r="B41" s="50">
        <v>25</v>
      </c>
      <c r="C41" s="103" t="s">
        <v>7</v>
      </c>
      <c r="D41" s="120">
        <f t="shared" si="26"/>
        <v>25</v>
      </c>
      <c r="E41" s="74">
        <v>467</v>
      </c>
      <c r="F41" s="108">
        <v>1222450</v>
      </c>
      <c r="G41" s="108">
        <f t="shared" si="24"/>
        <v>2617.6659528907921</v>
      </c>
      <c r="H41" s="108">
        <v>653150</v>
      </c>
      <c r="I41" s="109">
        <f t="shared" si="25"/>
        <v>1398.6081370449679</v>
      </c>
      <c r="J41" s="109">
        <v>26950</v>
      </c>
      <c r="K41" s="109">
        <v>2970</v>
      </c>
      <c r="L41" s="444">
        <f>F41+H41+J41+K41-Q41</f>
        <v>1905520</v>
      </c>
      <c r="M41" s="111">
        <f t="shared" si="28"/>
        <v>4080.3426124197003</v>
      </c>
      <c r="N41" s="111"/>
      <c r="O41" s="111"/>
      <c r="P41" s="111"/>
      <c r="Q41" s="215"/>
      <c r="R41" s="112"/>
      <c r="T41" s="248">
        <v>20.6</v>
      </c>
      <c r="U41" s="248">
        <v>26.8</v>
      </c>
      <c r="V41" s="441">
        <v>3</v>
      </c>
      <c r="W41" s="440">
        <v>5</v>
      </c>
      <c r="X41" s="441">
        <v>3</v>
      </c>
      <c r="Y41" s="272">
        <f t="shared" si="30"/>
        <v>3.6666666666666665</v>
      </c>
      <c r="AA41" s="35" t="s">
        <v>122</v>
      </c>
      <c r="AC41" s="1">
        <v>1</v>
      </c>
      <c r="AH41" s="248">
        <v>20.100000000000001</v>
      </c>
      <c r="AI41" s="248">
        <v>27.9</v>
      </c>
      <c r="AJ41" s="440">
        <v>5</v>
      </c>
      <c r="AK41" s="440">
        <v>5</v>
      </c>
      <c r="AL41" s="440">
        <v>5</v>
      </c>
      <c r="AM41" s="272">
        <f t="shared" si="31"/>
        <v>5</v>
      </c>
      <c r="AO41" s="35" t="s">
        <v>122</v>
      </c>
      <c r="AQ41" s="1">
        <v>1</v>
      </c>
    </row>
    <row r="42" spans="1:47" ht="23.5" customHeight="1" x14ac:dyDescent="0.25">
      <c r="A42" s="55" t="s">
        <v>8</v>
      </c>
      <c r="B42" s="50">
        <v>26</v>
      </c>
      <c r="C42" s="103" t="s">
        <v>8</v>
      </c>
      <c r="D42" s="120">
        <f t="shared" si="26"/>
        <v>26</v>
      </c>
      <c r="E42" s="74">
        <v>460</v>
      </c>
      <c r="F42" s="108">
        <v>1526050</v>
      </c>
      <c r="G42" s="108">
        <f t="shared" si="24"/>
        <v>3317.5</v>
      </c>
      <c r="H42" s="108">
        <v>877300</v>
      </c>
      <c r="I42" s="109">
        <f t="shared" si="25"/>
        <v>1907.1739130434783</v>
      </c>
      <c r="J42" s="109">
        <v>41250</v>
      </c>
      <c r="K42" s="109">
        <v>2970</v>
      </c>
      <c r="L42" s="110">
        <f t="shared" si="27"/>
        <v>2447570</v>
      </c>
      <c r="M42" s="111">
        <f t="shared" si="28"/>
        <v>5320.804347826087</v>
      </c>
      <c r="N42" s="111"/>
      <c r="O42" s="111"/>
      <c r="P42" s="111"/>
      <c r="Q42" s="215"/>
      <c r="R42" s="112" t="e">
        <f t="shared" si="29"/>
        <v>#DIV/0!</v>
      </c>
      <c r="T42" s="248">
        <v>20.6</v>
      </c>
      <c r="U42" s="248">
        <v>28.9</v>
      </c>
      <c r="V42" s="441">
        <v>3</v>
      </c>
      <c r="W42" s="441">
        <v>3</v>
      </c>
      <c r="X42" s="441">
        <v>3</v>
      </c>
      <c r="Y42" s="272">
        <f t="shared" si="30"/>
        <v>3</v>
      </c>
      <c r="AA42" s="35" t="s">
        <v>127</v>
      </c>
      <c r="AC42" s="1">
        <v>0</v>
      </c>
      <c r="AH42" s="248">
        <v>19.3</v>
      </c>
      <c r="AI42" s="248">
        <v>28.6</v>
      </c>
      <c r="AJ42" s="440">
        <v>5</v>
      </c>
      <c r="AK42" s="440">
        <v>5</v>
      </c>
      <c r="AL42" s="441">
        <v>3</v>
      </c>
      <c r="AM42" s="272">
        <f t="shared" si="31"/>
        <v>4.333333333333333</v>
      </c>
      <c r="AO42" s="35" t="s">
        <v>127</v>
      </c>
      <c r="AQ42" s="1">
        <v>0</v>
      </c>
    </row>
    <row r="43" spans="1:47" ht="23.5" customHeight="1" thickBot="1" x14ac:dyDescent="0.3">
      <c r="A43" s="56" t="s">
        <v>9</v>
      </c>
      <c r="B43" s="50">
        <v>27</v>
      </c>
      <c r="C43" s="113" t="s">
        <v>9</v>
      </c>
      <c r="D43" s="120">
        <f t="shared" si="26"/>
        <v>27</v>
      </c>
      <c r="E43" s="344">
        <v>643</v>
      </c>
      <c r="F43" s="108">
        <v>2078300</v>
      </c>
      <c r="G43" s="108">
        <f t="shared" si="24"/>
        <v>3232.1928460342147</v>
      </c>
      <c r="H43" s="108">
        <v>1068150</v>
      </c>
      <c r="I43" s="109">
        <f t="shared" si="25"/>
        <v>1661.1975116640747</v>
      </c>
      <c r="J43" s="109">
        <v>67320</v>
      </c>
      <c r="K43" s="109">
        <v>0</v>
      </c>
      <c r="L43" s="344">
        <f t="shared" si="27"/>
        <v>3213770</v>
      </c>
      <c r="M43" s="111">
        <f t="shared" si="28"/>
        <v>4998.0870917573875</v>
      </c>
      <c r="N43" s="111"/>
      <c r="O43" s="111"/>
      <c r="P43" s="111"/>
      <c r="Q43" s="215"/>
      <c r="R43" s="112" t="e">
        <f t="shared" si="29"/>
        <v>#DIV/0!</v>
      </c>
      <c r="T43" s="249">
        <v>20.7</v>
      </c>
      <c r="U43" s="249">
        <v>25.7</v>
      </c>
      <c r="V43" s="442">
        <v>3</v>
      </c>
      <c r="W43" s="441">
        <v>3</v>
      </c>
      <c r="X43" s="419">
        <v>1</v>
      </c>
      <c r="Y43" s="273">
        <f t="shared" si="30"/>
        <v>2.3333333333333335</v>
      </c>
      <c r="AA43" s="1" t="s">
        <v>130</v>
      </c>
      <c r="AH43" s="249">
        <v>18.2</v>
      </c>
      <c r="AI43" s="249">
        <v>29.4</v>
      </c>
      <c r="AJ43" s="443">
        <v>5</v>
      </c>
      <c r="AK43" s="440">
        <v>5</v>
      </c>
      <c r="AL43" s="440">
        <v>5</v>
      </c>
      <c r="AM43" s="345">
        <f t="shared" si="31"/>
        <v>5</v>
      </c>
      <c r="AO43" s="1" t="s">
        <v>130</v>
      </c>
    </row>
    <row r="44" spans="1:47" s="260" customFormat="1" ht="34" customHeight="1" thickTop="1" thickBot="1" x14ac:dyDescent="0.3">
      <c r="A44" s="717" t="s">
        <v>13</v>
      </c>
      <c r="B44" s="718"/>
      <c r="C44" s="717" t="s">
        <v>13</v>
      </c>
      <c r="D44" s="718"/>
      <c r="E44" s="258">
        <f>SUM(E37:E43)</f>
        <v>3028</v>
      </c>
      <c r="F44" s="258">
        <f>SUM(F37:F43)</f>
        <v>8925400</v>
      </c>
      <c r="G44" s="258">
        <f t="shared" si="24"/>
        <v>2947.6221928665786</v>
      </c>
      <c r="H44" s="258">
        <f>SUM(H37:H43)</f>
        <v>4763850</v>
      </c>
      <c r="I44" s="262">
        <f t="shared" si="25"/>
        <v>1573.2661822985469</v>
      </c>
      <c r="J44" s="262">
        <f>SUM(J37:J43)</f>
        <v>269720</v>
      </c>
      <c r="K44" s="284">
        <f>SUM(K37:K43)</f>
        <v>11880</v>
      </c>
      <c r="L44" s="71">
        <f>F44+H44+J44+K44</f>
        <v>13970850</v>
      </c>
      <c r="M44" s="263">
        <f>L44/E44</f>
        <v>4613.8870541611623</v>
      </c>
      <c r="N44" s="263"/>
      <c r="O44" s="263"/>
      <c r="P44" s="263"/>
      <c r="Q44" s="264">
        <f>SUM(Q37:Q43)</f>
        <v>0</v>
      </c>
      <c r="R44" s="259" t="e">
        <f t="shared" si="29"/>
        <v>#DIV/0!</v>
      </c>
      <c r="S44" s="260">
        <v>7</v>
      </c>
      <c r="T44" s="291">
        <f>SUM(T37:T43)/S44</f>
        <v>22.62857142857143</v>
      </c>
      <c r="U44" s="292">
        <f>SUM(U37:U43)/S44</f>
        <v>30.000000000000004</v>
      </c>
      <c r="V44" s="305">
        <f>SUM(V37:V43)/S44</f>
        <v>2.7142857142857144</v>
      </c>
      <c r="W44" s="305">
        <f>SUM(W37:W43)/S44</f>
        <v>3</v>
      </c>
      <c r="X44" s="305">
        <f>SUM(X37:X43)/S44</f>
        <v>2.7142857142857144</v>
      </c>
      <c r="Y44" s="306">
        <f>SUM(V44:X44)/3</f>
        <v>2.8095238095238098</v>
      </c>
      <c r="Z44" s="261" t="s">
        <v>139</v>
      </c>
      <c r="AA44" s="780">
        <f>L44/S44</f>
        <v>1995835.7142857143</v>
      </c>
      <c r="AB44" s="781"/>
      <c r="AC44" s="781"/>
      <c r="AD44" s="781"/>
      <c r="AE44" s="782"/>
      <c r="AF44" s="282" t="s">
        <v>141</v>
      </c>
      <c r="AG44" s="260">
        <v>7</v>
      </c>
      <c r="AH44" s="291">
        <f>SUM(AH37:AH43)/AG44</f>
        <v>19.714285714285715</v>
      </c>
      <c r="AI44" s="292">
        <f>SUM(AI37:AI43)/AG44</f>
        <v>27.085714285714285</v>
      </c>
      <c r="AJ44" s="305">
        <f>SUM(AJ37:AJ43)/AG44</f>
        <v>4</v>
      </c>
      <c r="AK44" s="305">
        <f>SUM(AK37:AK43)/AG44</f>
        <v>4</v>
      </c>
      <c r="AL44" s="305">
        <f>SUM(AL37:AL43)/AG44</f>
        <v>3.8571428571428572</v>
      </c>
      <c r="AM44" s="306">
        <f>SUM(AJ44:AL44)/3</f>
        <v>3.9523809523809526</v>
      </c>
      <c r="AN44" s="261" t="s">
        <v>139</v>
      </c>
      <c r="AO44" s="768">
        <v>2059514.2857142857</v>
      </c>
      <c r="AP44" s="769"/>
      <c r="AQ44" s="769"/>
      <c r="AR44" s="769"/>
      <c r="AS44" s="770"/>
      <c r="AT44" s="282" t="s">
        <v>141</v>
      </c>
    </row>
    <row r="45" spans="1:47" ht="23.5" customHeight="1" thickTop="1" x14ac:dyDescent="0.25">
      <c r="A45" s="710" t="s">
        <v>17</v>
      </c>
      <c r="B45" s="711"/>
      <c r="C45" s="713" t="s">
        <v>17</v>
      </c>
      <c r="D45" s="714"/>
      <c r="E45" s="714"/>
      <c r="F45" s="714"/>
      <c r="G45" s="714"/>
      <c r="H45" s="714"/>
      <c r="I45" s="714"/>
      <c r="J45" s="714"/>
      <c r="K45" s="714"/>
      <c r="L45" s="714"/>
      <c r="M45" s="714"/>
      <c r="N45" s="714"/>
      <c r="O45" s="714"/>
      <c r="P45" s="714"/>
      <c r="Q45" s="714"/>
      <c r="R45" s="715"/>
      <c r="T45" s="716" t="str">
        <f>C45</f>
        <v>5th week</v>
      </c>
      <c r="U45" s="716"/>
      <c r="V45" s="716"/>
      <c r="W45" s="716"/>
      <c r="X45" s="716"/>
      <c r="Y45" s="716"/>
      <c r="AH45" s="716">
        <f>U45</f>
        <v>0</v>
      </c>
      <c r="AI45" s="716"/>
      <c r="AJ45" s="716"/>
      <c r="AK45" s="716"/>
      <c r="AL45" s="716"/>
      <c r="AM45" s="716"/>
    </row>
    <row r="46" spans="1:47" ht="23.5" customHeight="1" x14ac:dyDescent="0.25">
      <c r="A46" s="53" t="s">
        <v>10</v>
      </c>
      <c r="B46" s="37" t="s">
        <v>11</v>
      </c>
      <c r="C46" s="103" t="s">
        <v>10</v>
      </c>
      <c r="D46" s="104" t="s">
        <v>11</v>
      </c>
      <c r="E46" s="104" t="s">
        <v>1</v>
      </c>
      <c r="F46" s="104" t="s">
        <v>30</v>
      </c>
      <c r="G46" s="104" t="s">
        <v>31</v>
      </c>
      <c r="H46" s="104" t="s">
        <v>28</v>
      </c>
      <c r="I46" s="104" t="s">
        <v>29</v>
      </c>
      <c r="J46" s="104" t="s">
        <v>72</v>
      </c>
      <c r="K46" s="435" t="s">
        <v>209</v>
      </c>
      <c r="L46" s="436" t="s">
        <v>211</v>
      </c>
      <c r="M46" s="105" t="s">
        <v>48</v>
      </c>
      <c r="N46" s="105"/>
      <c r="O46" s="105"/>
      <c r="P46" s="105"/>
      <c r="Q46" s="105" t="s">
        <v>74</v>
      </c>
      <c r="R46" s="106" t="s">
        <v>73</v>
      </c>
      <c r="T46" s="253" t="s">
        <v>116</v>
      </c>
      <c r="U46" s="254" t="s">
        <v>117</v>
      </c>
      <c r="V46" s="49" t="s">
        <v>118</v>
      </c>
      <c r="W46" s="49" t="s">
        <v>119</v>
      </c>
      <c r="X46" s="49" t="s">
        <v>120</v>
      </c>
      <c r="Y46" s="255" t="s">
        <v>128</v>
      </c>
      <c r="AA46" s="1" t="s">
        <v>123</v>
      </c>
      <c r="AC46" s="36" t="s">
        <v>126</v>
      </c>
      <c r="AH46" s="253" t="s">
        <v>116</v>
      </c>
      <c r="AI46" s="254" t="s">
        <v>117</v>
      </c>
      <c r="AJ46" s="49" t="s">
        <v>118</v>
      </c>
      <c r="AK46" s="49" t="s">
        <v>119</v>
      </c>
      <c r="AL46" s="49" t="s">
        <v>120</v>
      </c>
      <c r="AM46" s="255" t="s">
        <v>128</v>
      </c>
      <c r="AO46" s="1" t="s">
        <v>123</v>
      </c>
      <c r="AQ46" s="36" t="s">
        <v>126</v>
      </c>
    </row>
    <row r="47" spans="1:47" ht="23.5" customHeight="1" x14ac:dyDescent="0.25">
      <c r="A47" s="54" t="s">
        <v>3</v>
      </c>
      <c r="B47" s="50">
        <v>28</v>
      </c>
      <c r="C47" s="107" t="s">
        <v>3</v>
      </c>
      <c r="D47" s="120">
        <f>B47</f>
        <v>28</v>
      </c>
      <c r="E47" s="74">
        <v>394</v>
      </c>
      <c r="F47" s="108">
        <v>1136250</v>
      </c>
      <c r="G47" s="108">
        <f t="shared" ref="G47:G54" si="32">F47/E47</f>
        <v>2883.8832487309646</v>
      </c>
      <c r="H47" s="108">
        <v>582820</v>
      </c>
      <c r="I47" s="109">
        <f t="shared" ref="I47:I54" si="33">H47/E47</f>
        <v>1479.2385786802031</v>
      </c>
      <c r="J47" s="109">
        <v>26400</v>
      </c>
      <c r="K47" s="437">
        <v>0</v>
      </c>
      <c r="L47" s="110">
        <f>F47+H47+J47+K47</f>
        <v>1745470</v>
      </c>
      <c r="M47" s="111">
        <f>L47/E47</f>
        <v>4430.1269035532996</v>
      </c>
      <c r="N47" s="111"/>
      <c r="O47" s="111"/>
      <c r="P47" s="111"/>
      <c r="Q47" s="215"/>
      <c r="R47" s="112" t="e">
        <f>L47/Q47</f>
        <v>#DIV/0!</v>
      </c>
      <c r="T47" s="248">
        <v>20.7</v>
      </c>
      <c r="U47" s="248">
        <v>27.4</v>
      </c>
      <c r="V47" s="441">
        <v>3</v>
      </c>
      <c r="W47" s="440">
        <v>5</v>
      </c>
      <c r="X47" s="441">
        <v>3</v>
      </c>
      <c r="Y47" s="272">
        <f>SUM(V47:X47)/3</f>
        <v>3.6666666666666665</v>
      </c>
      <c r="AA47" s="271" t="s">
        <v>124</v>
      </c>
      <c r="AB47" s="2"/>
      <c r="AC47" s="270">
        <v>5</v>
      </c>
      <c r="AH47" s="248">
        <v>21.2</v>
      </c>
      <c r="AI47" s="248">
        <v>28.3</v>
      </c>
      <c r="AJ47" s="440">
        <v>5</v>
      </c>
      <c r="AK47" s="440">
        <v>5</v>
      </c>
      <c r="AL47" s="440">
        <v>5</v>
      </c>
      <c r="AM47" s="272">
        <f>SUM(AJ47:AL47)/3</f>
        <v>5</v>
      </c>
      <c r="AO47" s="271" t="s">
        <v>124</v>
      </c>
      <c r="AP47" s="2"/>
      <c r="AQ47" s="270">
        <v>5</v>
      </c>
    </row>
    <row r="48" spans="1:47" ht="23.5" customHeight="1" x14ac:dyDescent="0.25">
      <c r="A48" s="55" t="s">
        <v>4</v>
      </c>
      <c r="B48" s="50">
        <v>29</v>
      </c>
      <c r="C48" s="103" t="s">
        <v>4</v>
      </c>
      <c r="D48" s="120">
        <f t="shared" ref="D48:D53" si="34">B48</f>
        <v>29</v>
      </c>
      <c r="E48" s="74">
        <v>228</v>
      </c>
      <c r="F48" s="108">
        <v>565750</v>
      </c>
      <c r="G48" s="108">
        <f t="shared" si="32"/>
        <v>2481.3596491228072</v>
      </c>
      <c r="H48" s="108">
        <v>359800</v>
      </c>
      <c r="I48" s="109">
        <f t="shared" si="33"/>
        <v>1578.0701754385964</v>
      </c>
      <c r="J48" s="109">
        <v>9900</v>
      </c>
      <c r="K48" s="437">
        <v>0</v>
      </c>
      <c r="L48" s="110">
        <f t="shared" ref="L48:L53" si="35">F48+H48+J48+K48</f>
        <v>935450</v>
      </c>
      <c r="M48" s="111">
        <f t="shared" ref="M48:M53" si="36">L48/E48</f>
        <v>4102.8508771929828</v>
      </c>
      <c r="N48" s="111"/>
      <c r="O48" s="111"/>
      <c r="P48" s="111"/>
      <c r="Q48" s="215"/>
      <c r="R48" s="112" t="e">
        <f t="shared" ref="R48:R54" si="37">L48/Q48</f>
        <v>#DIV/0!</v>
      </c>
      <c r="T48" s="248">
        <v>21.9</v>
      </c>
      <c r="U48" s="248">
        <v>24.1</v>
      </c>
      <c r="V48" s="419">
        <v>1</v>
      </c>
      <c r="W48" s="419">
        <v>1</v>
      </c>
      <c r="X48" s="419">
        <v>1</v>
      </c>
      <c r="Y48" s="272">
        <f t="shared" ref="Y48:Y53" si="38">SUM(V48:X48)/3</f>
        <v>1</v>
      </c>
      <c r="AA48" s="35" t="s">
        <v>125</v>
      </c>
      <c r="AC48" s="1">
        <v>4</v>
      </c>
      <c r="AH48" s="248">
        <v>22.7</v>
      </c>
      <c r="AI48" s="248">
        <v>29.2</v>
      </c>
      <c r="AJ48" s="441">
        <v>3</v>
      </c>
      <c r="AK48" s="441">
        <v>3</v>
      </c>
      <c r="AL48" s="441">
        <v>3</v>
      </c>
      <c r="AM48" s="272">
        <f t="shared" ref="AM48:AM53" si="39">SUM(AJ48:AL48)/3</f>
        <v>3</v>
      </c>
      <c r="AO48" s="35" t="s">
        <v>125</v>
      </c>
      <c r="AQ48" s="1">
        <v>4</v>
      </c>
    </row>
    <row r="49" spans="1:46" ht="23.5" customHeight="1" x14ac:dyDescent="0.25">
      <c r="A49" s="55" t="s">
        <v>5</v>
      </c>
      <c r="B49" s="50">
        <v>30</v>
      </c>
      <c r="C49" s="103" t="s">
        <v>5</v>
      </c>
      <c r="D49" s="120">
        <f t="shared" si="34"/>
        <v>30</v>
      </c>
      <c r="E49" s="74">
        <v>423</v>
      </c>
      <c r="F49" s="108">
        <v>1120100</v>
      </c>
      <c r="G49" s="108">
        <f t="shared" si="32"/>
        <v>2647.9905437352245</v>
      </c>
      <c r="H49" s="108">
        <v>620580</v>
      </c>
      <c r="I49" s="109">
        <f t="shared" si="33"/>
        <v>1467.0921985815603</v>
      </c>
      <c r="J49" s="109">
        <v>22660</v>
      </c>
      <c r="K49" s="437">
        <v>5940</v>
      </c>
      <c r="L49" s="110">
        <f t="shared" si="35"/>
        <v>1769280</v>
      </c>
      <c r="M49" s="111">
        <f t="shared" si="36"/>
        <v>4182.6950354609926</v>
      </c>
      <c r="N49" s="111"/>
      <c r="O49" s="111"/>
      <c r="P49" s="111"/>
      <c r="Q49" s="215"/>
      <c r="R49" s="112" t="e">
        <f t="shared" si="37"/>
        <v>#DIV/0!</v>
      </c>
      <c r="T49" s="248">
        <v>22.3</v>
      </c>
      <c r="U49" s="248">
        <v>28.2</v>
      </c>
      <c r="V49" s="441">
        <v>3</v>
      </c>
      <c r="W49" s="440">
        <v>5</v>
      </c>
      <c r="X49" s="440">
        <v>5</v>
      </c>
      <c r="Y49" s="272">
        <f t="shared" si="38"/>
        <v>4.333333333333333</v>
      </c>
      <c r="AA49" s="35" t="s">
        <v>129</v>
      </c>
      <c r="AC49" s="1">
        <v>3</v>
      </c>
      <c r="AH49" s="248">
        <v>24.8</v>
      </c>
      <c r="AI49" s="248">
        <v>29.8</v>
      </c>
      <c r="AJ49" s="419">
        <v>1</v>
      </c>
      <c r="AK49" s="441">
        <v>3</v>
      </c>
      <c r="AL49" s="419">
        <v>1</v>
      </c>
      <c r="AM49" s="272">
        <f t="shared" si="39"/>
        <v>1.6666666666666667</v>
      </c>
      <c r="AO49" s="35" t="s">
        <v>129</v>
      </c>
      <c r="AQ49" s="1">
        <v>3</v>
      </c>
    </row>
    <row r="50" spans="1:46" ht="23.5" customHeight="1" x14ac:dyDescent="0.25">
      <c r="A50" s="55" t="s">
        <v>6</v>
      </c>
      <c r="B50" s="50">
        <v>31</v>
      </c>
      <c r="C50" s="103" t="s">
        <v>6</v>
      </c>
      <c r="D50" s="120">
        <f t="shared" si="34"/>
        <v>31</v>
      </c>
      <c r="E50" s="74">
        <v>367</v>
      </c>
      <c r="F50" s="108">
        <v>1037950</v>
      </c>
      <c r="G50" s="108">
        <f t="shared" si="32"/>
        <v>2828.2016348773841</v>
      </c>
      <c r="H50" s="108">
        <v>550530</v>
      </c>
      <c r="I50" s="109">
        <f t="shared" si="33"/>
        <v>1500.0817438692097</v>
      </c>
      <c r="J50" s="109">
        <v>12870</v>
      </c>
      <c r="K50" s="437">
        <v>5940</v>
      </c>
      <c r="L50" s="110">
        <f t="shared" si="35"/>
        <v>1607290</v>
      </c>
      <c r="M50" s="111">
        <f t="shared" si="36"/>
        <v>4379.5367847411444</v>
      </c>
      <c r="N50" s="111"/>
      <c r="O50" s="111"/>
      <c r="P50" s="111"/>
      <c r="Q50" s="215"/>
      <c r="R50" s="112" t="e">
        <f t="shared" si="37"/>
        <v>#DIV/0!</v>
      </c>
      <c r="T50" s="248">
        <v>21.1</v>
      </c>
      <c r="U50" s="248">
        <v>25.7</v>
      </c>
      <c r="V50" s="440">
        <v>5</v>
      </c>
      <c r="W50" s="440">
        <v>5</v>
      </c>
      <c r="X50" s="440">
        <v>5</v>
      </c>
      <c r="Y50" s="272">
        <f t="shared" si="38"/>
        <v>5</v>
      </c>
      <c r="AA50" s="35" t="s">
        <v>121</v>
      </c>
      <c r="AC50" s="1">
        <v>2</v>
      </c>
      <c r="AH50" s="248">
        <v>24</v>
      </c>
      <c r="AI50" s="248">
        <v>32.700000000000003</v>
      </c>
      <c r="AJ50" s="440">
        <v>5</v>
      </c>
      <c r="AK50" s="440">
        <v>5</v>
      </c>
      <c r="AL50" s="440">
        <v>5</v>
      </c>
      <c r="AM50" s="272">
        <f t="shared" si="39"/>
        <v>5</v>
      </c>
      <c r="AO50" s="35" t="s">
        <v>121</v>
      </c>
      <c r="AQ50" s="1">
        <v>2</v>
      </c>
    </row>
    <row r="51" spans="1:46" ht="23.5" customHeight="1" x14ac:dyDescent="0.25">
      <c r="A51" s="55" t="s">
        <v>7</v>
      </c>
      <c r="B51" s="50"/>
      <c r="C51" s="103" t="s">
        <v>7</v>
      </c>
      <c r="D51" s="120">
        <f t="shared" si="34"/>
        <v>0</v>
      </c>
      <c r="E51" s="74"/>
      <c r="F51" s="108"/>
      <c r="G51" s="108" t="e">
        <f t="shared" si="32"/>
        <v>#DIV/0!</v>
      </c>
      <c r="H51" s="108"/>
      <c r="I51" s="109" t="e">
        <f t="shared" si="33"/>
        <v>#DIV/0!</v>
      </c>
      <c r="J51" s="109"/>
      <c r="K51" s="437"/>
      <c r="L51" s="110">
        <f t="shared" si="35"/>
        <v>0</v>
      </c>
      <c r="M51" s="111" t="e">
        <f t="shared" si="36"/>
        <v>#DIV/0!</v>
      </c>
      <c r="N51" s="111"/>
      <c r="O51" s="111"/>
      <c r="P51" s="111"/>
      <c r="Q51" s="215"/>
      <c r="R51" s="112" t="e">
        <f t="shared" si="37"/>
        <v>#DIV/0!</v>
      </c>
      <c r="T51" s="248"/>
      <c r="U51" s="248"/>
      <c r="V51" s="256"/>
      <c r="W51" s="256"/>
      <c r="X51" s="256"/>
      <c r="Y51" s="272">
        <f t="shared" si="38"/>
        <v>0</v>
      </c>
      <c r="AA51" s="35" t="s">
        <v>122</v>
      </c>
      <c r="AC51" s="1">
        <v>1</v>
      </c>
      <c r="AH51" s="248">
        <v>23.9</v>
      </c>
      <c r="AI51" s="248">
        <v>32.9</v>
      </c>
      <c r="AJ51" s="441">
        <v>3</v>
      </c>
      <c r="AK51" s="440">
        <v>5</v>
      </c>
      <c r="AL51" s="440">
        <v>5</v>
      </c>
      <c r="AM51" s="272">
        <f t="shared" si="39"/>
        <v>4.333333333333333</v>
      </c>
      <c r="AO51" s="35" t="s">
        <v>122</v>
      </c>
      <c r="AQ51" s="1">
        <v>1</v>
      </c>
    </row>
    <row r="52" spans="1:46" ht="23.5" customHeight="1" x14ac:dyDescent="0.25">
      <c r="A52" s="55" t="s">
        <v>8</v>
      </c>
      <c r="B52" s="50"/>
      <c r="C52" s="103" t="s">
        <v>8</v>
      </c>
      <c r="D52" s="120">
        <f t="shared" si="34"/>
        <v>0</v>
      </c>
      <c r="E52" s="74"/>
      <c r="F52" s="108"/>
      <c r="G52" s="108" t="e">
        <f t="shared" si="32"/>
        <v>#DIV/0!</v>
      </c>
      <c r="H52" s="108"/>
      <c r="I52" s="109" t="e">
        <f t="shared" si="33"/>
        <v>#DIV/0!</v>
      </c>
      <c r="J52" s="109"/>
      <c r="K52" s="437"/>
      <c r="L52" s="110">
        <f t="shared" si="35"/>
        <v>0</v>
      </c>
      <c r="M52" s="111" t="e">
        <f t="shared" si="36"/>
        <v>#DIV/0!</v>
      </c>
      <c r="N52" s="111"/>
      <c r="O52" s="111"/>
      <c r="P52" s="111"/>
      <c r="Q52" s="215"/>
      <c r="R52" s="112" t="e">
        <f t="shared" si="37"/>
        <v>#DIV/0!</v>
      </c>
      <c r="T52" s="248"/>
      <c r="U52" s="248"/>
      <c r="V52" s="256"/>
      <c r="W52" s="256"/>
      <c r="X52" s="256"/>
      <c r="Y52" s="272">
        <f t="shared" si="38"/>
        <v>0</v>
      </c>
      <c r="AA52" s="35" t="s">
        <v>127</v>
      </c>
      <c r="AC52" s="1">
        <v>0</v>
      </c>
      <c r="AH52" s="248">
        <v>24.4</v>
      </c>
      <c r="AI52" s="248">
        <v>33.700000000000003</v>
      </c>
      <c r="AJ52" s="441">
        <v>3</v>
      </c>
      <c r="AK52" s="440">
        <v>5</v>
      </c>
      <c r="AL52" s="440">
        <v>5</v>
      </c>
      <c r="AM52" s="272">
        <f t="shared" si="39"/>
        <v>4.333333333333333</v>
      </c>
      <c r="AO52" s="35" t="s">
        <v>127</v>
      </c>
      <c r="AQ52" s="1">
        <v>0</v>
      </c>
    </row>
    <row r="53" spans="1:46" ht="23.5" customHeight="1" thickBot="1" x14ac:dyDescent="0.3">
      <c r="A53" s="56" t="s">
        <v>9</v>
      </c>
      <c r="B53" s="50"/>
      <c r="C53" s="113" t="s">
        <v>9</v>
      </c>
      <c r="D53" s="120">
        <f t="shared" si="34"/>
        <v>0</v>
      </c>
      <c r="E53" s="74"/>
      <c r="F53" s="108"/>
      <c r="G53" s="108" t="e">
        <f t="shared" si="32"/>
        <v>#DIV/0!</v>
      </c>
      <c r="H53" s="108"/>
      <c r="I53" s="109" t="e">
        <f t="shared" si="33"/>
        <v>#DIV/0!</v>
      </c>
      <c r="J53" s="109"/>
      <c r="K53" s="437"/>
      <c r="L53" s="110">
        <f t="shared" si="35"/>
        <v>0</v>
      </c>
      <c r="M53" s="111" t="e">
        <f t="shared" si="36"/>
        <v>#DIV/0!</v>
      </c>
      <c r="N53" s="111"/>
      <c r="O53" s="111"/>
      <c r="P53" s="111"/>
      <c r="Q53" s="215"/>
      <c r="R53" s="112" t="e">
        <f t="shared" si="37"/>
        <v>#DIV/0!</v>
      </c>
      <c r="T53" s="249"/>
      <c r="U53" s="249"/>
      <c r="V53" s="257"/>
      <c r="W53" s="256"/>
      <c r="X53" s="256"/>
      <c r="Y53" s="273">
        <f t="shared" si="38"/>
        <v>0</v>
      </c>
      <c r="AA53" s="1" t="s">
        <v>130</v>
      </c>
      <c r="AH53" s="249">
        <v>24.9</v>
      </c>
      <c r="AI53" s="249">
        <v>34.4</v>
      </c>
      <c r="AJ53" s="442">
        <v>3</v>
      </c>
      <c r="AK53" s="441">
        <v>3</v>
      </c>
      <c r="AL53" s="441">
        <v>3</v>
      </c>
      <c r="AM53" s="273">
        <f t="shared" si="39"/>
        <v>3</v>
      </c>
      <c r="AO53" s="1" t="s">
        <v>130</v>
      </c>
    </row>
    <row r="54" spans="1:46" s="260" customFormat="1" ht="43" customHeight="1" thickTop="1" thickBot="1" x14ac:dyDescent="0.3">
      <c r="A54" s="717" t="s">
        <v>13</v>
      </c>
      <c r="B54" s="718"/>
      <c r="C54" s="717" t="s">
        <v>13</v>
      </c>
      <c r="D54" s="718"/>
      <c r="E54" s="258">
        <f>SUM(E47:E53)</f>
        <v>1412</v>
      </c>
      <c r="F54" s="258">
        <f>SUM(F47:F53)</f>
        <v>3860050</v>
      </c>
      <c r="G54" s="258">
        <f t="shared" si="32"/>
        <v>2733.7464589235128</v>
      </c>
      <c r="H54" s="258">
        <f>SUM(H47:H53)</f>
        <v>2113730</v>
      </c>
      <c r="I54" s="262">
        <f t="shared" si="33"/>
        <v>1496.9759206798867</v>
      </c>
      <c r="J54" s="262">
        <f>SUM(J47:J53)</f>
        <v>71830</v>
      </c>
      <c r="K54" s="262">
        <f>SUM(K47:K53)</f>
        <v>11880</v>
      </c>
      <c r="L54" s="110">
        <f>F54+H54+J54+K54</f>
        <v>6057490</v>
      </c>
      <c r="M54" s="263">
        <f>L54/E54</f>
        <v>4290.0070821529744</v>
      </c>
      <c r="N54" s="263"/>
      <c r="O54" s="263"/>
      <c r="P54" s="263"/>
      <c r="Q54" s="264">
        <f>SUM(Q47:Q53)</f>
        <v>0</v>
      </c>
      <c r="R54" s="259" t="e">
        <f t="shared" si="37"/>
        <v>#DIV/0!</v>
      </c>
      <c r="S54" s="260">
        <v>4</v>
      </c>
      <c r="T54" s="291">
        <f>SUM(T47:T53)/S54</f>
        <v>21.5</v>
      </c>
      <c r="U54" s="292">
        <f>SUM(U47:U53)/S54</f>
        <v>26.35</v>
      </c>
      <c r="V54" s="305">
        <f>SUM(V47:V53)/S54</f>
        <v>3</v>
      </c>
      <c r="W54" s="305">
        <f>SUM(W47:W53)/S54</f>
        <v>4</v>
      </c>
      <c r="X54" s="305">
        <f>SUM(X47:X53)/S54</f>
        <v>3.5</v>
      </c>
      <c r="Y54" s="306">
        <f>SUM(V54:X54)/3</f>
        <v>3.5</v>
      </c>
      <c r="Z54" s="261" t="s">
        <v>140</v>
      </c>
      <c r="AA54" s="761">
        <f>L54/S54</f>
        <v>1514372.5</v>
      </c>
      <c r="AB54" s="762"/>
      <c r="AC54" s="762"/>
      <c r="AD54" s="762"/>
      <c r="AE54" s="763"/>
      <c r="AF54" s="282" t="s">
        <v>141</v>
      </c>
      <c r="AG54" s="260">
        <v>7</v>
      </c>
      <c r="AH54" s="291">
        <f>SUM(AH47:AH53)/AG54</f>
        <v>23.7</v>
      </c>
      <c r="AI54" s="299">
        <f>SUM(AI47:AI53)/AG54</f>
        <v>31.571428571428577</v>
      </c>
      <c r="AJ54" s="305">
        <f>SUM(AJ47:AJ53)/AG54</f>
        <v>3.2857142857142856</v>
      </c>
      <c r="AK54" s="305">
        <f>SUM(AK47:AK53)/AG54</f>
        <v>4.1428571428571432</v>
      </c>
      <c r="AL54" s="305">
        <f>SUM(AL47:AL53)/AG54</f>
        <v>3.8571428571428572</v>
      </c>
      <c r="AM54" s="306">
        <f>SUM(AJ54:AL54)/3</f>
        <v>3.7619047619047623</v>
      </c>
      <c r="AN54" s="261" t="s">
        <v>140</v>
      </c>
      <c r="AO54" s="761">
        <v>1765485.7142857143</v>
      </c>
      <c r="AP54" s="762"/>
      <c r="AQ54" s="762"/>
      <c r="AR54" s="762"/>
      <c r="AS54" s="763"/>
      <c r="AT54" s="282" t="s">
        <v>141</v>
      </c>
    </row>
    <row r="55" spans="1:46" ht="23.5" customHeight="1" thickTop="1" x14ac:dyDescent="0.25">
      <c r="A55" s="710" t="s">
        <v>18</v>
      </c>
      <c r="B55" s="711"/>
      <c r="C55" s="713" t="s">
        <v>18</v>
      </c>
      <c r="D55" s="714"/>
      <c r="E55" s="714"/>
      <c r="F55" s="714"/>
      <c r="G55" s="714"/>
      <c r="H55" s="714"/>
      <c r="I55" s="714"/>
      <c r="J55" s="714"/>
      <c r="K55" s="714"/>
      <c r="L55" s="714"/>
      <c r="M55" s="714"/>
      <c r="N55" s="714"/>
      <c r="O55" s="714"/>
      <c r="P55" s="714"/>
      <c r="Q55" s="714"/>
      <c r="R55" s="715"/>
      <c r="T55" s="716" t="str">
        <f>C55</f>
        <v>6th week</v>
      </c>
      <c r="U55" s="716"/>
      <c r="V55" s="716"/>
      <c r="W55" s="716"/>
      <c r="X55" s="716"/>
      <c r="Y55" s="716"/>
      <c r="AH55" s="716">
        <f>U55</f>
        <v>0</v>
      </c>
      <c r="AI55" s="716"/>
      <c r="AJ55" s="716"/>
      <c r="AK55" s="716"/>
      <c r="AL55" s="716"/>
      <c r="AM55" s="716"/>
    </row>
    <row r="56" spans="1:46" ht="23.5" customHeight="1" x14ac:dyDescent="0.25">
      <c r="A56" s="53" t="s">
        <v>10</v>
      </c>
      <c r="B56" s="37" t="s">
        <v>11</v>
      </c>
      <c r="C56" s="103" t="s">
        <v>10</v>
      </c>
      <c r="D56" s="104" t="s">
        <v>11</v>
      </c>
      <c r="E56" s="104" t="s">
        <v>1</v>
      </c>
      <c r="F56" s="104" t="s">
        <v>30</v>
      </c>
      <c r="G56" s="104" t="s">
        <v>31</v>
      </c>
      <c r="H56" s="104" t="s">
        <v>28</v>
      </c>
      <c r="I56" s="104" t="s">
        <v>29</v>
      </c>
      <c r="J56" s="104" t="s">
        <v>72</v>
      </c>
      <c r="K56" s="435" t="s">
        <v>209</v>
      </c>
      <c r="L56" s="436" t="s">
        <v>211</v>
      </c>
      <c r="M56" s="105" t="s">
        <v>48</v>
      </c>
      <c r="N56" s="105"/>
      <c r="O56" s="105"/>
      <c r="P56" s="105"/>
      <c r="Q56" s="105" t="s">
        <v>74</v>
      </c>
      <c r="R56" s="106" t="s">
        <v>73</v>
      </c>
      <c r="T56" s="253" t="s">
        <v>116</v>
      </c>
      <c r="U56" s="254" t="s">
        <v>117</v>
      </c>
      <c r="V56" s="49" t="s">
        <v>118</v>
      </c>
      <c r="W56" s="49" t="s">
        <v>119</v>
      </c>
      <c r="X56" s="49" t="s">
        <v>120</v>
      </c>
      <c r="Y56" s="255" t="s">
        <v>128</v>
      </c>
      <c r="AA56" s="1" t="s">
        <v>123</v>
      </c>
      <c r="AC56" s="36" t="s">
        <v>126</v>
      </c>
      <c r="AH56" s="253" t="s">
        <v>116</v>
      </c>
      <c r="AI56" s="254" t="s">
        <v>117</v>
      </c>
      <c r="AJ56" s="49" t="s">
        <v>118</v>
      </c>
      <c r="AK56" s="49" t="s">
        <v>119</v>
      </c>
      <c r="AL56" s="49" t="s">
        <v>120</v>
      </c>
      <c r="AM56" s="255" t="s">
        <v>128</v>
      </c>
      <c r="AO56" s="1" t="s">
        <v>123</v>
      </c>
      <c r="AQ56" s="36" t="s">
        <v>126</v>
      </c>
    </row>
    <row r="57" spans="1:46" ht="23.5" customHeight="1" x14ac:dyDescent="0.25">
      <c r="A57" s="54" t="s">
        <v>3</v>
      </c>
      <c r="B57" s="50"/>
      <c r="C57" s="107" t="s">
        <v>3</v>
      </c>
      <c r="D57" s="120">
        <f>B57</f>
        <v>0</v>
      </c>
      <c r="E57" s="74"/>
      <c r="F57" s="108"/>
      <c r="G57" s="108" t="e">
        <f t="shared" ref="G57:G64" si="40">F57/E57</f>
        <v>#DIV/0!</v>
      </c>
      <c r="H57" s="108"/>
      <c r="I57" s="109" t="e">
        <f t="shared" ref="I57:I64" si="41">H57/E57</f>
        <v>#DIV/0!</v>
      </c>
      <c r="J57" s="109"/>
      <c r="K57" s="437"/>
      <c r="L57" s="110">
        <f>F57+H57+J57+K57</f>
        <v>0</v>
      </c>
      <c r="M57" s="111" t="e">
        <f>L57/E57</f>
        <v>#DIV/0!</v>
      </c>
      <c r="N57" s="111"/>
      <c r="O57" s="111"/>
      <c r="P57" s="111"/>
      <c r="Q57" s="215"/>
      <c r="R57" s="112" t="e">
        <f>L57/Q57</f>
        <v>#DIV/0!</v>
      </c>
      <c r="T57" s="248"/>
      <c r="U57" s="248"/>
      <c r="V57" s="256"/>
      <c r="W57" s="256"/>
      <c r="X57" s="256"/>
      <c r="Y57" s="272">
        <f>SUM(V57:X57)/3</f>
        <v>0</v>
      </c>
      <c r="AA57" s="271" t="s">
        <v>124</v>
      </c>
      <c r="AB57" s="2"/>
      <c r="AC57" s="270">
        <v>5</v>
      </c>
      <c r="AH57" s="248">
        <v>26</v>
      </c>
      <c r="AI57" s="248">
        <v>29.9</v>
      </c>
      <c r="AJ57" s="440">
        <v>5</v>
      </c>
      <c r="AK57" s="440">
        <v>5</v>
      </c>
      <c r="AL57" s="440">
        <v>5</v>
      </c>
      <c r="AM57" s="272">
        <f>SUM(AJ57:AL57)/3</f>
        <v>5</v>
      </c>
      <c r="AO57" s="271" t="s">
        <v>124</v>
      </c>
      <c r="AP57" s="2"/>
      <c r="AQ57" s="270">
        <v>5</v>
      </c>
    </row>
    <row r="58" spans="1:46" ht="23.5" customHeight="1" x14ac:dyDescent="0.25">
      <c r="A58" s="55" t="s">
        <v>4</v>
      </c>
      <c r="B58" s="50"/>
      <c r="C58" s="103" t="s">
        <v>4</v>
      </c>
      <c r="D58" s="120">
        <f t="shared" ref="D58:D63" si="42">B58</f>
        <v>0</v>
      </c>
      <c r="E58" s="74"/>
      <c r="F58" s="108"/>
      <c r="G58" s="108" t="e">
        <f t="shared" si="40"/>
        <v>#DIV/0!</v>
      </c>
      <c r="H58" s="108"/>
      <c r="I58" s="109" t="e">
        <f t="shared" si="41"/>
        <v>#DIV/0!</v>
      </c>
      <c r="J58" s="109"/>
      <c r="K58" s="437"/>
      <c r="L58" s="110">
        <f t="shared" ref="L58:L64" si="43">F58+H58+J58+K58</f>
        <v>0</v>
      </c>
      <c r="M58" s="111" t="e">
        <f t="shared" ref="M58:M63" si="44">L58/E58</f>
        <v>#DIV/0!</v>
      </c>
      <c r="N58" s="111"/>
      <c r="O58" s="111"/>
      <c r="P58" s="111"/>
      <c r="Q58" s="215"/>
      <c r="R58" s="112" t="e">
        <f t="shared" ref="R58:R63" si="45">L58/Q58</f>
        <v>#DIV/0!</v>
      </c>
      <c r="T58" s="248"/>
      <c r="U58" s="248"/>
      <c r="V58" s="256"/>
      <c r="W58" s="256"/>
      <c r="X58" s="256"/>
      <c r="Y58" s="272">
        <f t="shared" ref="Y58:Y63" si="46">SUM(V58:X58)/3</f>
        <v>0</v>
      </c>
      <c r="AA58" s="35" t="s">
        <v>125</v>
      </c>
      <c r="AC58" s="1">
        <v>4</v>
      </c>
      <c r="AH58" s="248">
        <v>25.8</v>
      </c>
      <c r="AI58" s="248">
        <v>28.2</v>
      </c>
      <c r="AJ58" s="419">
        <v>1</v>
      </c>
      <c r="AK58" s="419">
        <v>1</v>
      </c>
      <c r="AL58" s="419">
        <v>1</v>
      </c>
      <c r="AM58" s="272">
        <f t="shared" ref="AM58:AM63" si="47">SUM(AJ58:AL58)/3</f>
        <v>1</v>
      </c>
      <c r="AO58" s="35" t="s">
        <v>125</v>
      </c>
      <c r="AQ58" s="1">
        <v>4</v>
      </c>
    </row>
    <row r="59" spans="1:46" ht="23.5" customHeight="1" x14ac:dyDescent="0.25">
      <c r="A59" s="55" t="s">
        <v>5</v>
      </c>
      <c r="B59" s="50"/>
      <c r="C59" s="103" t="s">
        <v>5</v>
      </c>
      <c r="D59" s="120">
        <f t="shared" si="42"/>
        <v>0</v>
      </c>
      <c r="E59" s="74"/>
      <c r="F59" s="108"/>
      <c r="G59" s="108" t="e">
        <f t="shared" si="40"/>
        <v>#DIV/0!</v>
      </c>
      <c r="H59" s="108"/>
      <c r="I59" s="109" t="e">
        <f t="shared" si="41"/>
        <v>#DIV/0!</v>
      </c>
      <c r="J59" s="109"/>
      <c r="K59" s="437"/>
      <c r="L59" s="110">
        <f t="shared" si="43"/>
        <v>0</v>
      </c>
      <c r="M59" s="111" t="e">
        <f t="shared" si="44"/>
        <v>#DIV/0!</v>
      </c>
      <c r="N59" s="111"/>
      <c r="O59" s="111"/>
      <c r="P59" s="111"/>
      <c r="Q59" s="215"/>
      <c r="R59" s="112" t="e">
        <f t="shared" si="45"/>
        <v>#DIV/0!</v>
      </c>
      <c r="T59" s="248"/>
      <c r="U59" s="248"/>
      <c r="V59" s="256"/>
      <c r="W59" s="256"/>
      <c r="X59" s="256"/>
      <c r="Y59" s="272">
        <f t="shared" si="46"/>
        <v>0</v>
      </c>
      <c r="AA59" s="35" t="s">
        <v>129</v>
      </c>
      <c r="AC59" s="1">
        <v>3</v>
      </c>
      <c r="AH59" s="248"/>
      <c r="AI59" s="248"/>
      <c r="AJ59" s="256"/>
      <c r="AK59" s="256"/>
      <c r="AL59" s="256"/>
      <c r="AM59" s="272">
        <f t="shared" si="47"/>
        <v>0</v>
      </c>
      <c r="AO59" s="35" t="s">
        <v>129</v>
      </c>
      <c r="AQ59" s="1">
        <v>3</v>
      </c>
    </row>
    <row r="60" spans="1:46" ht="23.5" customHeight="1" x14ac:dyDescent="0.25">
      <c r="A60" s="55" t="s">
        <v>6</v>
      </c>
      <c r="B60" s="50"/>
      <c r="C60" s="103" t="s">
        <v>6</v>
      </c>
      <c r="D60" s="120">
        <f t="shared" si="42"/>
        <v>0</v>
      </c>
      <c r="E60" s="74"/>
      <c r="F60" s="108"/>
      <c r="G60" s="108" t="e">
        <f t="shared" si="40"/>
        <v>#DIV/0!</v>
      </c>
      <c r="H60" s="108"/>
      <c r="I60" s="109" t="e">
        <f t="shared" si="41"/>
        <v>#DIV/0!</v>
      </c>
      <c r="J60" s="109"/>
      <c r="K60" s="437"/>
      <c r="L60" s="110">
        <f t="shared" si="43"/>
        <v>0</v>
      </c>
      <c r="M60" s="111" t="e">
        <f t="shared" si="44"/>
        <v>#DIV/0!</v>
      </c>
      <c r="N60" s="111"/>
      <c r="O60" s="111"/>
      <c r="P60" s="111"/>
      <c r="Q60" s="215"/>
      <c r="R60" s="112" t="e">
        <f t="shared" si="45"/>
        <v>#DIV/0!</v>
      </c>
      <c r="T60" s="248"/>
      <c r="U60" s="248"/>
      <c r="V60" s="256"/>
      <c r="W60" s="256"/>
      <c r="X60" s="256"/>
      <c r="Y60" s="272">
        <f t="shared" si="46"/>
        <v>0</v>
      </c>
      <c r="AA60" s="35" t="s">
        <v>121</v>
      </c>
      <c r="AC60" s="1">
        <v>2</v>
      </c>
      <c r="AH60" s="248"/>
      <c r="AI60" s="248"/>
      <c r="AJ60" s="256"/>
      <c r="AK60" s="256"/>
      <c r="AL60" s="256"/>
      <c r="AM60" s="272">
        <f t="shared" si="47"/>
        <v>0</v>
      </c>
      <c r="AO60" s="35" t="s">
        <v>121</v>
      </c>
      <c r="AQ60" s="1">
        <v>2</v>
      </c>
    </row>
    <row r="61" spans="1:46" ht="23.5" customHeight="1" x14ac:dyDescent="0.25">
      <c r="A61" s="55" t="s">
        <v>7</v>
      </c>
      <c r="B61" s="50"/>
      <c r="C61" s="103" t="s">
        <v>7</v>
      </c>
      <c r="D61" s="120">
        <f t="shared" si="42"/>
        <v>0</v>
      </c>
      <c r="E61" s="74"/>
      <c r="F61" s="108"/>
      <c r="G61" s="108" t="e">
        <f t="shared" si="40"/>
        <v>#DIV/0!</v>
      </c>
      <c r="H61" s="108"/>
      <c r="I61" s="109" t="e">
        <f t="shared" si="41"/>
        <v>#DIV/0!</v>
      </c>
      <c r="J61" s="109"/>
      <c r="K61" s="437"/>
      <c r="L61" s="110">
        <f t="shared" si="43"/>
        <v>0</v>
      </c>
      <c r="M61" s="111" t="e">
        <f t="shared" si="44"/>
        <v>#DIV/0!</v>
      </c>
      <c r="N61" s="111"/>
      <c r="O61" s="111"/>
      <c r="P61" s="111"/>
      <c r="Q61" s="215"/>
      <c r="R61" s="112" t="e">
        <f t="shared" si="45"/>
        <v>#DIV/0!</v>
      </c>
      <c r="T61" s="248"/>
      <c r="U61" s="248"/>
      <c r="V61" s="256"/>
      <c r="W61" s="256"/>
      <c r="X61" s="256"/>
      <c r="Y61" s="272">
        <f t="shared" si="46"/>
        <v>0</v>
      </c>
      <c r="AA61" s="35" t="s">
        <v>122</v>
      </c>
      <c r="AC61" s="1">
        <v>1</v>
      </c>
      <c r="AH61" s="248"/>
      <c r="AI61" s="248"/>
      <c r="AJ61" s="256"/>
      <c r="AK61" s="256"/>
      <c r="AL61" s="256"/>
      <c r="AM61" s="272">
        <f t="shared" si="47"/>
        <v>0</v>
      </c>
      <c r="AO61" s="35" t="s">
        <v>122</v>
      </c>
      <c r="AQ61" s="1">
        <v>1</v>
      </c>
    </row>
    <row r="62" spans="1:46" ht="23.5" customHeight="1" x14ac:dyDescent="0.25">
      <c r="A62" s="55" t="s">
        <v>8</v>
      </c>
      <c r="B62" s="50"/>
      <c r="C62" s="103" t="s">
        <v>8</v>
      </c>
      <c r="D62" s="120">
        <f t="shared" si="42"/>
        <v>0</v>
      </c>
      <c r="E62" s="74"/>
      <c r="F62" s="108"/>
      <c r="G62" s="108" t="e">
        <f t="shared" si="40"/>
        <v>#DIV/0!</v>
      </c>
      <c r="H62" s="108">
        <v>0</v>
      </c>
      <c r="I62" s="109" t="e">
        <f t="shared" si="41"/>
        <v>#DIV/0!</v>
      </c>
      <c r="J62" s="109"/>
      <c r="K62" s="437"/>
      <c r="L62" s="110">
        <f t="shared" si="43"/>
        <v>0</v>
      </c>
      <c r="M62" s="111" t="e">
        <f t="shared" si="44"/>
        <v>#DIV/0!</v>
      </c>
      <c r="N62" s="111"/>
      <c r="O62" s="111"/>
      <c r="P62" s="111"/>
      <c r="Q62" s="215"/>
      <c r="R62" s="112" t="e">
        <f t="shared" si="45"/>
        <v>#DIV/0!</v>
      </c>
      <c r="T62" s="248"/>
      <c r="U62" s="248"/>
      <c r="V62" s="256"/>
      <c r="W62" s="256"/>
      <c r="X62" s="256"/>
      <c r="Y62" s="272">
        <f t="shared" si="46"/>
        <v>0</v>
      </c>
      <c r="AA62" s="35" t="s">
        <v>127</v>
      </c>
      <c r="AC62" s="1">
        <v>0</v>
      </c>
      <c r="AH62" s="248"/>
      <c r="AI62" s="248"/>
      <c r="AJ62" s="256"/>
      <c r="AK62" s="256"/>
      <c r="AL62" s="256"/>
      <c r="AM62" s="272">
        <f t="shared" si="47"/>
        <v>0</v>
      </c>
      <c r="AO62" s="35" t="s">
        <v>127</v>
      </c>
      <c r="AQ62" s="1">
        <v>0</v>
      </c>
    </row>
    <row r="63" spans="1:46" ht="23.5" customHeight="1" thickBot="1" x14ac:dyDescent="0.3">
      <c r="A63" s="56" t="s">
        <v>9</v>
      </c>
      <c r="B63" s="50"/>
      <c r="C63" s="113" t="s">
        <v>9</v>
      </c>
      <c r="D63" s="120">
        <f t="shared" si="42"/>
        <v>0</v>
      </c>
      <c r="E63" s="74"/>
      <c r="F63" s="108"/>
      <c r="G63" s="108" t="e">
        <f t="shared" si="40"/>
        <v>#DIV/0!</v>
      </c>
      <c r="H63" s="108">
        <v>0</v>
      </c>
      <c r="I63" s="109" t="e">
        <f t="shared" si="41"/>
        <v>#DIV/0!</v>
      </c>
      <c r="J63" s="109">
        <v>0</v>
      </c>
      <c r="K63" s="437"/>
      <c r="L63" s="110">
        <f t="shared" si="43"/>
        <v>0</v>
      </c>
      <c r="M63" s="111" t="e">
        <f t="shared" si="44"/>
        <v>#DIV/0!</v>
      </c>
      <c r="N63" s="111"/>
      <c r="O63" s="111"/>
      <c r="P63" s="111"/>
      <c r="Q63" s="216"/>
      <c r="R63" s="112" t="e">
        <f t="shared" si="45"/>
        <v>#DIV/0!</v>
      </c>
      <c r="T63" s="249"/>
      <c r="U63" s="249"/>
      <c r="V63" s="257"/>
      <c r="W63" s="257"/>
      <c r="X63" s="257"/>
      <c r="Y63" s="273">
        <f t="shared" si="46"/>
        <v>0</v>
      </c>
      <c r="AA63" s="1" t="s">
        <v>130</v>
      </c>
      <c r="AH63" s="249"/>
      <c r="AI63" s="249"/>
      <c r="AJ63" s="257"/>
      <c r="AK63" s="257"/>
      <c r="AL63" s="257"/>
      <c r="AM63" s="273">
        <f t="shared" si="47"/>
        <v>0</v>
      </c>
      <c r="AO63" s="1" t="s">
        <v>130</v>
      </c>
    </row>
    <row r="64" spans="1:46" s="260" customFormat="1" ht="43" customHeight="1" thickTop="1" thickBot="1" x14ac:dyDescent="0.3">
      <c r="A64" s="717" t="s">
        <v>13</v>
      </c>
      <c r="B64" s="718"/>
      <c r="C64" s="717" t="s">
        <v>13</v>
      </c>
      <c r="D64" s="718"/>
      <c r="E64" s="258">
        <f>SUM(E57:E63)</f>
        <v>0</v>
      </c>
      <c r="F64" s="258">
        <f>SUM(F57:F63)</f>
        <v>0</v>
      </c>
      <c r="G64" s="258" t="e">
        <f t="shared" si="40"/>
        <v>#DIV/0!</v>
      </c>
      <c r="H64" s="258">
        <f>SUM(H57:H63)</f>
        <v>0</v>
      </c>
      <c r="I64" s="262" t="e">
        <f t="shared" si="41"/>
        <v>#DIV/0!</v>
      </c>
      <c r="J64" s="262">
        <f>SUM(J57:J63)</f>
        <v>0</v>
      </c>
      <c r="K64" s="262">
        <f>SUM(K57:K63)</f>
        <v>0</v>
      </c>
      <c r="L64" s="110">
        <f t="shared" si="43"/>
        <v>0</v>
      </c>
      <c r="M64" s="263" t="e">
        <f>L64/E64</f>
        <v>#DIV/0!</v>
      </c>
      <c r="N64" s="263"/>
      <c r="O64" s="263"/>
      <c r="P64" s="263"/>
      <c r="Q64" s="264">
        <f>SUM(Q57:Q63)</f>
        <v>0</v>
      </c>
      <c r="R64" s="259" t="e">
        <f>L64/Q64</f>
        <v>#DIV/0!</v>
      </c>
      <c r="S64" s="260">
        <v>0</v>
      </c>
      <c r="T64" s="296" t="e">
        <f>SUM(T57:T63)/S64</f>
        <v>#DIV/0!</v>
      </c>
      <c r="U64" s="292" t="e">
        <f>SUM(U57:U63)/S64</f>
        <v>#DIV/0!</v>
      </c>
      <c r="V64" s="305" t="e">
        <f>SUM(V57:V63)/S64</f>
        <v>#DIV/0!</v>
      </c>
      <c r="W64" s="305" t="e">
        <f>SUM(W57:W63)/S64</f>
        <v>#DIV/0!</v>
      </c>
      <c r="X64" s="305" t="e">
        <f>SUM(X57:X63)/S64</f>
        <v>#DIV/0!</v>
      </c>
      <c r="Y64" s="306" t="e">
        <f>SUM(V64:X64)/3</f>
        <v>#DIV/0!</v>
      </c>
      <c r="Z64" s="261">
        <v>11</v>
      </c>
      <c r="AA64" s="761" t="e">
        <f>L64/S64</f>
        <v>#DIV/0!</v>
      </c>
      <c r="AB64" s="762"/>
      <c r="AC64" s="762"/>
      <c r="AD64" s="762"/>
      <c r="AE64" s="763"/>
      <c r="AF64" s="282" t="s">
        <v>141</v>
      </c>
      <c r="AG64" s="260">
        <v>2</v>
      </c>
      <c r="AH64" s="296">
        <f>SUM(AH57:AH63)/AG64</f>
        <v>25.9</v>
      </c>
      <c r="AI64" s="292">
        <f>SUM(AI57:AI63)/AG64</f>
        <v>29.049999999999997</v>
      </c>
      <c r="AJ64" s="305">
        <f>SUM(AJ57:AJ63)/AG64</f>
        <v>3</v>
      </c>
      <c r="AK64" s="305">
        <f>SUM(AK57:AK63)/AG64</f>
        <v>3</v>
      </c>
      <c r="AL64" s="305">
        <f>SUM(AL57:AL63)/AG64</f>
        <v>3</v>
      </c>
      <c r="AM64" s="306">
        <f>SUM(AJ64:AL64)/3</f>
        <v>3</v>
      </c>
      <c r="AN64" s="261">
        <v>11</v>
      </c>
      <c r="AO64" s="761">
        <v>1311325</v>
      </c>
      <c r="AP64" s="762"/>
      <c r="AQ64" s="762"/>
      <c r="AR64" s="762"/>
      <c r="AS64" s="763"/>
      <c r="AT64" s="282" t="s">
        <v>141</v>
      </c>
    </row>
    <row r="65" spans="1:46" ht="33.5" customHeight="1" thickTop="1" x14ac:dyDescent="0.25">
      <c r="A65" s="730" t="s">
        <v>2</v>
      </c>
      <c r="B65" s="731"/>
      <c r="C65" s="732" t="s">
        <v>2</v>
      </c>
      <c r="D65" s="733"/>
      <c r="E65" s="733"/>
      <c r="F65" s="733"/>
      <c r="G65" s="733"/>
      <c r="H65" s="733"/>
      <c r="I65" s="733"/>
      <c r="J65" s="733"/>
      <c r="K65" s="733"/>
      <c r="L65" s="733"/>
      <c r="M65" s="733"/>
      <c r="N65" s="733"/>
      <c r="O65" s="733"/>
      <c r="P65" s="733"/>
      <c r="Q65" s="733"/>
      <c r="R65" s="734"/>
      <c r="T65" s="716" t="str">
        <f>C65</f>
        <v>TOTAL</v>
      </c>
      <c r="U65" s="716"/>
      <c r="V65" s="716"/>
      <c r="W65" s="716"/>
      <c r="X65" s="716"/>
      <c r="Y65" s="716"/>
      <c r="AH65" s="716">
        <f>U65</f>
        <v>0</v>
      </c>
      <c r="AI65" s="716"/>
      <c r="AJ65" s="716"/>
      <c r="AK65" s="716"/>
      <c r="AL65" s="716"/>
      <c r="AM65" s="716"/>
    </row>
    <row r="66" spans="1:46" s="38" customFormat="1" ht="31" customHeight="1" x14ac:dyDescent="0.25">
      <c r="A66" s="79" t="s">
        <v>10</v>
      </c>
      <c r="B66" s="80" t="s">
        <v>19</v>
      </c>
      <c r="C66" s="114" t="s">
        <v>10</v>
      </c>
      <c r="D66" s="115" t="s">
        <v>19</v>
      </c>
      <c r="E66" s="115" t="s">
        <v>1</v>
      </c>
      <c r="F66" s="115" t="s">
        <v>30</v>
      </c>
      <c r="G66" s="115" t="s">
        <v>31</v>
      </c>
      <c r="H66" s="115" t="s">
        <v>28</v>
      </c>
      <c r="I66" s="115" t="s">
        <v>29</v>
      </c>
      <c r="J66" s="115"/>
      <c r="K66" s="115"/>
      <c r="L66" s="115" t="s">
        <v>76</v>
      </c>
      <c r="M66" s="115" t="s">
        <v>77</v>
      </c>
      <c r="N66" s="803"/>
      <c r="O66" s="803"/>
      <c r="P66" s="803"/>
      <c r="Q66" s="105" t="s">
        <v>74</v>
      </c>
      <c r="R66" s="106" t="s">
        <v>73</v>
      </c>
      <c r="T66" s="253" t="s">
        <v>116</v>
      </c>
      <c r="U66" s="254" t="s">
        <v>117</v>
      </c>
      <c r="V66" s="49" t="s">
        <v>118</v>
      </c>
      <c r="W66" s="49" t="s">
        <v>119</v>
      </c>
      <c r="X66" s="49" t="s">
        <v>120</v>
      </c>
      <c r="Y66" s="255" t="s">
        <v>128</v>
      </c>
      <c r="Z66" s="46"/>
      <c r="AA66" s="750" t="s">
        <v>199</v>
      </c>
      <c r="AB66" s="751"/>
      <c r="AC66" s="751"/>
      <c r="AD66" s="751"/>
      <c r="AE66" s="751"/>
      <c r="AF66" s="752"/>
      <c r="AH66" s="253" t="s">
        <v>116</v>
      </c>
      <c r="AI66" s="254" t="s">
        <v>117</v>
      </c>
      <c r="AJ66" s="49" t="s">
        <v>118</v>
      </c>
      <c r="AK66" s="49" t="s">
        <v>119</v>
      </c>
      <c r="AL66" s="49" t="s">
        <v>120</v>
      </c>
      <c r="AM66" s="255" t="s">
        <v>128</v>
      </c>
      <c r="AN66" s="46"/>
      <c r="AO66" s="766" t="s">
        <v>200</v>
      </c>
      <c r="AP66" s="766"/>
      <c r="AQ66" s="766"/>
      <c r="AR66" s="766"/>
      <c r="AS66" s="766"/>
      <c r="AT66" s="766"/>
    </row>
    <row r="67" spans="1:46" ht="31" customHeight="1" x14ac:dyDescent="0.25">
      <c r="A67" s="54" t="s">
        <v>3</v>
      </c>
      <c r="B67" s="43"/>
      <c r="C67" s="107" t="s">
        <v>3</v>
      </c>
      <c r="D67" s="117">
        <v>4</v>
      </c>
      <c r="E67" s="109">
        <f>E7+E17+E27+E37+E47+E57</f>
        <v>1747</v>
      </c>
      <c r="F67" s="109">
        <f t="shared" ref="E67:F70" si="48">F7+F17+F27+F37+F47+F57</f>
        <v>5139350</v>
      </c>
      <c r="G67" s="108">
        <f t="shared" ref="G67:G74" si="49">F67/E67</f>
        <v>2941.8145392100746</v>
      </c>
      <c r="H67" s="109">
        <f>H7+H17+H27+H37+H47+H57</f>
        <v>2690920</v>
      </c>
      <c r="I67" s="109">
        <f>H67/E67</f>
        <v>1540.3091013165426</v>
      </c>
      <c r="J67" s="109">
        <f t="shared" ref="J67:K70" si="50">J7+J17+J27+J37+J47+J57</f>
        <v>102850</v>
      </c>
      <c r="K67" s="109">
        <f t="shared" si="50"/>
        <v>8910</v>
      </c>
      <c r="L67" s="74">
        <f>L7+L17+L27+L37+L47+L57</f>
        <v>7942030</v>
      </c>
      <c r="M67" s="109" t="e">
        <f t="shared" ref="L67:M70" si="51">M7+M17+M27+M37+M47+M57</f>
        <v>#DIV/0!</v>
      </c>
      <c r="N67" s="109"/>
      <c r="O67" s="109"/>
      <c r="P67" s="109"/>
      <c r="Q67" s="109">
        <f>Q7+Q17+Q27+Q37+Q47+Q57</f>
        <v>0</v>
      </c>
      <c r="R67" s="134" t="e">
        <f>L67/Q67</f>
        <v>#DIV/0!</v>
      </c>
      <c r="T67" s="250">
        <f>T7+T17+T27+T37+T47+T57</f>
        <v>83.2</v>
      </c>
      <c r="U67" s="250">
        <f>U7+U17+U27+U37+U47+U57</f>
        <v>116.6</v>
      </c>
      <c r="V67" s="275">
        <f t="shared" ref="V67:X73" si="52">V7+V17+V37+V47+V27+V57</f>
        <v>13</v>
      </c>
      <c r="W67" s="275">
        <f t="shared" si="52"/>
        <v>15</v>
      </c>
      <c r="X67" s="275">
        <f t="shared" si="52"/>
        <v>13</v>
      </c>
      <c r="Y67" s="276">
        <f>SUM(V67:X67)/3</f>
        <v>13.666666666666666</v>
      </c>
      <c r="AA67" s="753" t="s">
        <v>188</v>
      </c>
      <c r="AB67" s="753"/>
      <c r="AC67" s="423" t="s">
        <v>189</v>
      </c>
      <c r="AD67" s="423">
        <v>2024</v>
      </c>
      <c r="AE67" s="423" t="s">
        <v>191</v>
      </c>
      <c r="AF67" s="423" t="s">
        <v>192</v>
      </c>
      <c r="AH67" s="250">
        <f>AH7+AH17+AH27+AH37+AH47+AH57</f>
        <v>105.6</v>
      </c>
      <c r="AI67" s="250">
        <f>AI7+AI17+AI27+AI37+AI47+AI57</f>
        <v>140.5</v>
      </c>
      <c r="AJ67" s="275">
        <f>AJ7+AJ17+AJ37+AJ47+AJ27+AJ57</f>
        <v>20</v>
      </c>
      <c r="AK67" s="275">
        <f>AK7+AK17+AK37+AK47+AK27+AK57</f>
        <v>19</v>
      </c>
      <c r="AL67" s="275">
        <f>AL7+AL17+AL37+AL47+AL27+AL57</f>
        <v>20</v>
      </c>
      <c r="AM67" s="276">
        <f>SUM(AJ67:AL67)/3</f>
        <v>19.666666666666668</v>
      </c>
      <c r="AO67" s="753" t="s">
        <v>188</v>
      </c>
      <c r="AP67" s="753"/>
      <c r="AQ67" s="423" t="s">
        <v>189</v>
      </c>
      <c r="AR67" s="423">
        <v>2023</v>
      </c>
      <c r="AS67" s="423" t="s">
        <v>202</v>
      </c>
      <c r="AT67" s="423" t="s">
        <v>192</v>
      </c>
    </row>
    <row r="68" spans="1:46" ht="31" customHeight="1" x14ac:dyDescent="0.25">
      <c r="A68" s="55" t="s">
        <v>4</v>
      </c>
      <c r="B68" s="43"/>
      <c r="C68" s="103" t="s">
        <v>4</v>
      </c>
      <c r="D68" s="117">
        <v>5</v>
      </c>
      <c r="E68" s="109">
        <f>E8+E18+E28+E38+E48+E58</f>
        <v>1310</v>
      </c>
      <c r="F68" s="109">
        <f t="shared" si="48"/>
        <v>3919400</v>
      </c>
      <c r="G68" s="108">
        <f t="shared" si="49"/>
        <v>2991.9083969465651</v>
      </c>
      <c r="H68" s="109">
        <f>H8+H18+H28+H38+H48+H58</f>
        <v>2086700</v>
      </c>
      <c r="I68" s="109">
        <f t="shared" ref="I68:I73" si="53">H68/E68</f>
        <v>1592.9007633587787</v>
      </c>
      <c r="J68" s="109">
        <f t="shared" si="50"/>
        <v>74250</v>
      </c>
      <c r="K68" s="109">
        <f t="shared" si="50"/>
        <v>5940</v>
      </c>
      <c r="L68" s="74">
        <f>L8+L18+L28+L38+L48+L58</f>
        <v>6086290</v>
      </c>
      <c r="M68" s="109" t="e">
        <f t="shared" si="51"/>
        <v>#DIV/0!</v>
      </c>
      <c r="N68" s="109"/>
      <c r="O68" s="109"/>
      <c r="P68" s="109"/>
      <c r="Q68" s="109">
        <f>Q8+Q18+Q28+Q38+Q48+Q58</f>
        <v>0</v>
      </c>
      <c r="R68" s="134" t="e">
        <f t="shared" ref="R68:R73" si="54">L68/Q68</f>
        <v>#DIV/0!</v>
      </c>
      <c r="T68" s="250">
        <f t="shared" ref="T68:U72" si="55">T8+T18+T28+T38+T48+T58</f>
        <v>104.5</v>
      </c>
      <c r="U68" s="250">
        <f t="shared" si="55"/>
        <v>134.6</v>
      </c>
      <c r="V68" s="275">
        <f t="shared" si="52"/>
        <v>12</v>
      </c>
      <c r="W68" s="275">
        <f t="shared" si="52"/>
        <v>12</v>
      </c>
      <c r="X68" s="275">
        <f t="shared" si="52"/>
        <v>12</v>
      </c>
      <c r="Y68" s="276">
        <f t="shared" ref="Y68:Y73" si="56">SUM(V68:X68)/3</f>
        <v>12</v>
      </c>
      <c r="AA68" s="754" t="s">
        <v>124</v>
      </c>
      <c r="AB68" s="754"/>
      <c r="AC68" s="424">
        <v>5</v>
      </c>
      <c r="AD68" s="425">
        <v>26</v>
      </c>
      <c r="AE68" s="425">
        <f t="shared" ref="AE68:AE73" si="57">AC68*AD68</f>
        <v>130</v>
      </c>
      <c r="AF68" s="767">
        <f>(AD68+AD69+AD70)/AD74</f>
        <v>0.74193548387096775</v>
      </c>
      <c r="AH68" s="250">
        <f t="shared" ref="AH68:AI72" si="58">AH8+AH18+AH28+AH38+AH48+AH58</f>
        <v>108.8</v>
      </c>
      <c r="AI68" s="250">
        <f t="shared" si="58"/>
        <v>135.69999999999999</v>
      </c>
      <c r="AJ68" s="275">
        <f t="shared" ref="AJ68:AL73" si="59">AJ8+AJ18+AJ38+AJ48+AJ28+AJ58</f>
        <v>14</v>
      </c>
      <c r="AK68" s="275">
        <f t="shared" si="59"/>
        <v>14</v>
      </c>
      <c r="AL68" s="275">
        <f t="shared" si="59"/>
        <v>14</v>
      </c>
      <c r="AM68" s="276">
        <f t="shared" ref="AM68:AM73" si="60">SUM(AJ68:AL68)/3</f>
        <v>14</v>
      </c>
      <c r="AO68" s="754" t="s">
        <v>124</v>
      </c>
      <c r="AP68" s="754"/>
      <c r="AQ68" s="424">
        <v>5</v>
      </c>
      <c r="AR68" s="425">
        <v>35</v>
      </c>
      <c r="AS68" s="425">
        <f t="shared" ref="AS68:AS73" si="61">AQ68*AR68</f>
        <v>175</v>
      </c>
      <c r="AT68" s="767">
        <f>(AR68+AR69+AR70)/AR74</f>
        <v>0.79569892473118276</v>
      </c>
    </row>
    <row r="69" spans="1:46" ht="31" customHeight="1" x14ac:dyDescent="0.25">
      <c r="A69" s="55" t="s">
        <v>5</v>
      </c>
      <c r="B69" s="43"/>
      <c r="C69" s="103" t="s">
        <v>5</v>
      </c>
      <c r="D69" s="117">
        <v>5</v>
      </c>
      <c r="E69" s="109">
        <f t="shared" si="48"/>
        <v>1448</v>
      </c>
      <c r="F69" s="109">
        <f t="shared" si="48"/>
        <v>3890600</v>
      </c>
      <c r="G69" s="108">
        <f t="shared" si="49"/>
        <v>2686.8784530386743</v>
      </c>
      <c r="H69" s="109">
        <f>H9+H19+H29+H39+H49+H59</f>
        <v>2157480</v>
      </c>
      <c r="I69" s="109">
        <f t="shared" si="53"/>
        <v>1489.9723756906078</v>
      </c>
      <c r="J69" s="109">
        <f t="shared" si="50"/>
        <v>118910</v>
      </c>
      <c r="K69" s="109">
        <f t="shared" si="50"/>
        <v>8910</v>
      </c>
      <c r="L69" s="74">
        <f>L9+L19+L29+L39+L49+L59</f>
        <v>6175900</v>
      </c>
      <c r="M69" s="109" t="e">
        <f t="shared" si="51"/>
        <v>#DIV/0!</v>
      </c>
      <c r="N69" s="109"/>
      <c r="O69" s="109"/>
      <c r="P69" s="109"/>
      <c r="Q69" s="109">
        <f>Q9+Q19+Q29+Q39+Q49+Q59</f>
        <v>0</v>
      </c>
      <c r="R69" s="134" t="e">
        <f t="shared" si="54"/>
        <v>#DIV/0!</v>
      </c>
      <c r="T69" s="250">
        <f t="shared" si="55"/>
        <v>101.89999999999999</v>
      </c>
      <c r="U69" s="250">
        <f t="shared" si="55"/>
        <v>139.19999999999999</v>
      </c>
      <c r="V69" s="275">
        <f t="shared" si="52"/>
        <v>15</v>
      </c>
      <c r="W69" s="275">
        <f t="shared" si="52"/>
        <v>16</v>
      </c>
      <c r="X69" s="275">
        <f t="shared" si="52"/>
        <v>18</v>
      </c>
      <c r="Y69" s="276">
        <f t="shared" si="56"/>
        <v>16.333333333333332</v>
      </c>
      <c r="AA69" s="754" t="s">
        <v>125</v>
      </c>
      <c r="AB69" s="754"/>
      <c r="AC69" s="426">
        <v>4</v>
      </c>
      <c r="AD69" s="427">
        <v>5</v>
      </c>
      <c r="AE69" s="425">
        <f t="shared" si="57"/>
        <v>20</v>
      </c>
      <c r="AF69" s="767"/>
      <c r="AH69" s="250">
        <f t="shared" si="58"/>
        <v>84.5</v>
      </c>
      <c r="AI69" s="250">
        <f t="shared" si="58"/>
        <v>109.5</v>
      </c>
      <c r="AJ69" s="275">
        <f t="shared" si="59"/>
        <v>12</v>
      </c>
      <c r="AK69" s="275">
        <f t="shared" si="59"/>
        <v>12</v>
      </c>
      <c r="AL69" s="275">
        <f t="shared" si="59"/>
        <v>11</v>
      </c>
      <c r="AM69" s="276">
        <f t="shared" si="60"/>
        <v>11.666666666666666</v>
      </c>
      <c r="AO69" s="754" t="s">
        <v>125</v>
      </c>
      <c r="AP69" s="754"/>
      <c r="AQ69" s="426">
        <v>4</v>
      </c>
      <c r="AR69" s="427">
        <v>10</v>
      </c>
      <c r="AS69" s="425">
        <f t="shared" si="61"/>
        <v>40</v>
      </c>
      <c r="AT69" s="767"/>
    </row>
    <row r="70" spans="1:46" ht="31" customHeight="1" x14ac:dyDescent="0.25">
      <c r="A70" s="55" t="s">
        <v>6</v>
      </c>
      <c r="B70" s="43"/>
      <c r="C70" s="103" t="s">
        <v>6</v>
      </c>
      <c r="D70" s="117">
        <v>5</v>
      </c>
      <c r="E70" s="109">
        <f t="shared" si="48"/>
        <v>1754</v>
      </c>
      <c r="F70" s="109">
        <f t="shared" si="48"/>
        <v>4856150</v>
      </c>
      <c r="G70" s="108">
        <f t="shared" si="49"/>
        <v>2768.6145952109464</v>
      </c>
      <c r="H70" s="109">
        <f>H10+H20+H30+H40+H50+H60</f>
        <v>2694780</v>
      </c>
      <c r="I70" s="109">
        <f t="shared" si="53"/>
        <v>1536.3625997719498</v>
      </c>
      <c r="J70" s="109">
        <f t="shared" si="50"/>
        <v>43120</v>
      </c>
      <c r="K70" s="109">
        <f t="shared" si="50"/>
        <v>14850</v>
      </c>
      <c r="L70" s="74">
        <f t="shared" si="51"/>
        <v>7608900</v>
      </c>
      <c r="M70" s="109" t="e">
        <f t="shared" si="51"/>
        <v>#DIV/0!</v>
      </c>
      <c r="N70" s="109"/>
      <c r="O70" s="109"/>
      <c r="P70" s="109"/>
      <c r="Q70" s="109">
        <f>Q10+Q20+Q30+Q40+Q50+Q60</f>
        <v>0</v>
      </c>
      <c r="R70" s="134" t="e">
        <f t="shared" si="54"/>
        <v>#DIV/0!</v>
      </c>
      <c r="T70" s="250">
        <f t="shared" si="55"/>
        <v>100.9</v>
      </c>
      <c r="U70" s="250">
        <f t="shared" si="55"/>
        <v>141.69999999999999</v>
      </c>
      <c r="V70" s="275">
        <f t="shared" si="52"/>
        <v>21</v>
      </c>
      <c r="W70" s="275">
        <f t="shared" si="52"/>
        <v>21</v>
      </c>
      <c r="X70" s="275">
        <f t="shared" si="52"/>
        <v>19</v>
      </c>
      <c r="Y70" s="276">
        <f t="shared" si="56"/>
        <v>20.333333333333332</v>
      </c>
      <c r="AA70" s="756" t="s">
        <v>193</v>
      </c>
      <c r="AB70" s="756"/>
      <c r="AC70" s="426">
        <v>3</v>
      </c>
      <c r="AD70" s="427">
        <v>38</v>
      </c>
      <c r="AE70" s="425">
        <f t="shared" si="57"/>
        <v>114</v>
      </c>
      <c r="AF70" s="767"/>
      <c r="AH70" s="250">
        <f t="shared" si="58"/>
        <v>82.8</v>
      </c>
      <c r="AI70" s="250">
        <f t="shared" si="58"/>
        <v>111.2</v>
      </c>
      <c r="AJ70" s="275">
        <f t="shared" si="59"/>
        <v>14</v>
      </c>
      <c r="AK70" s="275">
        <f t="shared" si="59"/>
        <v>16</v>
      </c>
      <c r="AL70" s="275">
        <f t="shared" si="59"/>
        <v>15</v>
      </c>
      <c r="AM70" s="276">
        <f t="shared" si="60"/>
        <v>15</v>
      </c>
      <c r="AO70" s="756" t="s">
        <v>193</v>
      </c>
      <c r="AP70" s="756"/>
      <c r="AQ70" s="426">
        <v>3</v>
      </c>
      <c r="AR70" s="427">
        <v>29</v>
      </c>
      <c r="AS70" s="425">
        <f t="shared" si="61"/>
        <v>87</v>
      </c>
      <c r="AT70" s="767"/>
    </row>
    <row r="71" spans="1:46" ht="31" customHeight="1" x14ac:dyDescent="0.25">
      <c r="A71" s="55" t="s">
        <v>7</v>
      </c>
      <c r="B71" s="43"/>
      <c r="C71" s="103" t="s">
        <v>7</v>
      </c>
      <c r="D71" s="117">
        <v>4</v>
      </c>
      <c r="E71" s="109">
        <f>E21+E11+E31+E41+E51+E61</f>
        <v>1518</v>
      </c>
      <c r="F71" s="109">
        <f>F21+F11+F31+F41+F51+F61</f>
        <v>4021100</v>
      </c>
      <c r="G71" s="108">
        <f t="shared" si="49"/>
        <v>2648.945981554677</v>
      </c>
      <c r="H71" s="109">
        <f>H21+H11+H31+H41+H51+H61</f>
        <v>2235800</v>
      </c>
      <c r="I71" s="109">
        <f t="shared" si="53"/>
        <v>1472.859025032938</v>
      </c>
      <c r="J71" s="109">
        <f>J21+J11+J31+J41+J51+J61</f>
        <v>48950</v>
      </c>
      <c r="K71" s="109">
        <f>K21+K11+K31+K41+K51+K61</f>
        <v>2970</v>
      </c>
      <c r="L71" s="74">
        <f>L21+L11+L31+L41+L51+L61</f>
        <v>6308820</v>
      </c>
      <c r="M71" s="109" t="e">
        <f>M21+M11+M31+M41+M51+M61</f>
        <v>#DIV/0!</v>
      </c>
      <c r="N71" s="109"/>
      <c r="O71" s="109"/>
      <c r="P71" s="109"/>
      <c r="Q71" s="109">
        <f>Q21+Q11+Q31+Q41+Q51+Q61</f>
        <v>0</v>
      </c>
      <c r="R71" s="134" t="e">
        <f t="shared" si="54"/>
        <v>#DIV/0!</v>
      </c>
      <c r="T71" s="250">
        <f t="shared" si="55"/>
        <v>78.099999999999994</v>
      </c>
      <c r="U71" s="250">
        <f t="shared" si="55"/>
        <v>114.99999999999999</v>
      </c>
      <c r="V71" s="275">
        <f t="shared" si="52"/>
        <v>14</v>
      </c>
      <c r="W71" s="275">
        <f t="shared" si="52"/>
        <v>14</v>
      </c>
      <c r="X71" s="275">
        <f t="shared" si="52"/>
        <v>12</v>
      </c>
      <c r="Y71" s="276">
        <f t="shared" si="56"/>
        <v>13.333333333333334</v>
      </c>
      <c r="AA71" s="757" t="s">
        <v>121</v>
      </c>
      <c r="AB71" s="757"/>
      <c r="AC71" s="426">
        <v>2</v>
      </c>
      <c r="AD71" s="427">
        <v>9</v>
      </c>
      <c r="AE71" s="425">
        <f t="shared" si="57"/>
        <v>18</v>
      </c>
      <c r="AF71" s="758">
        <f>(AD71+AD72+AD73)/AD74</f>
        <v>0.25806451612903225</v>
      </c>
      <c r="AH71" s="250">
        <f t="shared" si="58"/>
        <v>83.4</v>
      </c>
      <c r="AI71" s="250">
        <f t="shared" si="58"/>
        <v>112.69999999999999</v>
      </c>
      <c r="AJ71" s="275">
        <f t="shared" si="59"/>
        <v>14</v>
      </c>
      <c r="AK71" s="275">
        <f t="shared" si="59"/>
        <v>14</v>
      </c>
      <c r="AL71" s="275">
        <f t="shared" si="59"/>
        <v>14</v>
      </c>
      <c r="AM71" s="276">
        <f t="shared" si="60"/>
        <v>14</v>
      </c>
      <c r="AO71" s="757" t="s">
        <v>121</v>
      </c>
      <c r="AP71" s="757"/>
      <c r="AQ71" s="426">
        <v>2</v>
      </c>
      <c r="AR71" s="427">
        <v>4</v>
      </c>
      <c r="AS71" s="425">
        <f t="shared" si="61"/>
        <v>8</v>
      </c>
      <c r="AT71" s="758">
        <f>(AR71+AR72+AR73)/AR74</f>
        <v>0.20430107526881722</v>
      </c>
    </row>
    <row r="72" spans="1:46" ht="31" customHeight="1" x14ac:dyDescent="0.25">
      <c r="A72" s="55" t="s">
        <v>8</v>
      </c>
      <c r="B72" s="43"/>
      <c r="C72" s="103" t="s">
        <v>8</v>
      </c>
      <c r="D72" s="117">
        <v>4</v>
      </c>
      <c r="E72" s="109">
        <f>E12+E22+E32+E42+E52+E62</f>
        <v>1564</v>
      </c>
      <c r="F72" s="109">
        <f>F12+F22+F32+F42+F52+F62</f>
        <v>4927650</v>
      </c>
      <c r="G72" s="108">
        <f t="shared" si="49"/>
        <v>3150.6713554987214</v>
      </c>
      <c r="H72" s="109">
        <f>H12+H22+H32+H42+H52+H62</f>
        <v>2724000</v>
      </c>
      <c r="I72" s="109">
        <f t="shared" si="53"/>
        <v>1741.6879795396419</v>
      </c>
      <c r="J72" s="109">
        <f>J12+J22+J32+J42+J52+J62</f>
        <v>151250</v>
      </c>
      <c r="K72" s="109">
        <f>K12+K22+K32+K42+K52+K62</f>
        <v>5940</v>
      </c>
      <c r="L72" s="74">
        <f t="shared" ref="L72:Q73" si="62">L12+L22+L32+L42+L52+L62</f>
        <v>7808840</v>
      </c>
      <c r="M72" s="109" t="e">
        <f t="shared" si="62"/>
        <v>#DIV/0!</v>
      </c>
      <c r="N72" s="109"/>
      <c r="O72" s="109"/>
      <c r="P72" s="109"/>
      <c r="Q72" s="109">
        <f t="shared" si="62"/>
        <v>0</v>
      </c>
      <c r="R72" s="134" t="e">
        <f t="shared" si="54"/>
        <v>#DIV/0!</v>
      </c>
      <c r="T72" s="250">
        <f t="shared" si="55"/>
        <v>82.5</v>
      </c>
      <c r="U72" s="250">
        <f t="shared" si="55"/>
        <v>112.30000000000001</v>
      </c>
      <c r="V72" s="275">
        <f t="shared" si="52"/>
        <v>12</v>
      </c>
      <c r="W72" s="275">
        <f t="shared" si="52"/>
        <v>10</v>
      </c>
      <c r="X72" s="275">
        <f t="shared" si="52"/>
        <v>12</v>
      </c>
      <c r="Y72" s="276">
        <f t="shared" si="56"/>
        <v>11.333333333333334</v>
      </c>
      <c r="AA72" s="759" t="s">
        <v>194</v>
      </c>
      <c r="AB72" s="759"/>
      <c r="AC72" s="426">
        <v>1</v>
      </c>
      <c r="AD72" s="427">
        <v>15</v>
      </c>
      <c r="AE72" s="425">
        <f t="shared" si="57"/>
        <v>15</v>
      </c>
      <c r="AF72" s="758"/>
      <c r="AH72" s="250">
        <f t="shared" si="58"/>
        <v>82.9</v>
      </c>
      <c r="AI72" s="250">
        <f t="shared" si="58"/>
        <v>113.8</v>
      </c>
      <c r="AJ72" s="275">
        <f t="shared" si="59"/>
        <v>14</v>
      </c>
      <c r="AK72" s="275">
        <f t="shared" si="59"/>
        <v>20</v>
      </c>
      <c r="AL72" s="275">
        <f t="shared" si="59"/>
        <v>14</v>
      </c>
      <c r="AM72" s="276">
        <f t="shared" si="60"/>
        <v>16</v>
      </c>
      <c r="AO72" s="759" t="s">
        <v>194</v>
      </c>
      <c r="AP72" s="759"/>
      <c r="AQ72" s="426">
        <v>1</v>
      </c>
      <c r="AR72" s="427">
        <v>15</v>
      </c>
      <c r="AS72" s="425">
        <f t="shared" si="61"/>
        <v>15</v>
      </c>
      <c r="AT72" s="758"/>
    </row>
    <row r="73" spans="1:46" ht="31" customHeight="1" thickBot="1" x14ac:dyDescent="0.3">
      <c r="A73" s="56" t="s">
        <v>9</v>
      </c>
      <c r="B73" s="43"/>
      <c r="C73" s="113" t="s">
        <v>9</v>
      </c>
      <c r="D73" s="117">
        <v>4</v>
      </c>
      <c r="E73" s="109">
        <f>E13+E23+E33+E43+E53+E63</f>
        <v>2097</v>
      </c>
      <c r="F73" s="109">
        <f>F13+F23+F33+F43+F53+F63</f>
        <v>6704550</v>
      </c>
      <c r="G73" s="108">
        <f t="shared" si="49"/>
        <v>3197.2103004291844</v>
      </c>
      <c r="H73" s="109">
        <f>H13+H23+H33+H43+H53+H63</f>
        <v>3540800</v>
      </c>
      <c r="I73" s="109">
        <f t="shared" si="53"/>
        <v>1688.5073915116834</v>
      </c>
      <c r="J73" s="109">
        <f>J13+J23+J33+J43+J53+J63</f>
        <v>186670</v>
      </c>
      <c r="K73" s="109">
        <f>K13+K23+K33+K43+K53+K63</f>
        <v>11880</v>
      </c>
      <c r="L73" s="74">
        <f t="shared" si="62"/>
        <v>10443900</v>
      </c>
      <c r="M73" s="109" t="e">
        <f t="shared" si="62"/>
        <v>#DIV/0!</v>
      </c>
      <c r="N73" s="109"/>
      <c r="O73" s="109"/>
      <c r="P73" s="109"/>
      <c r="Q73" s="109">
        <f>Q13+Q23+Q33+Q43+Q53+Q63</f>
        <v>0</v>
      </c>
      <c r="R73" s="134" t="e">
        <f t="shared" si="54"/>
        <v>#DIV/0!</v>
      </c>
      <c r="S73" s="1">
        <f>S14+S24+S34+S44+S54+S64</f>
        <v>31</v>
      </c>
      <c r="T73" s="251">
        <f>T13+T23+T33+T43+T53+T63</f>
        <v>84.3</v>
      </c>
      <c r="U73" s="251">
        <f>U13+U23+U33+U43+U53+U63</f>
        <v>108.10000000000001</v>
      </c>
      <c r="V73" s="275">
        <f t="shared" si="52"/>
        <v>11</v>
      </c>
      <c r="W73" s="275">
        <f t="shared" si="52"/>
        <v>13</v>
      </c>
      <c r="X73" s="275">
        <f t="shared" si="52"/>
        <v>12</v>
      </c>
      <c r="Y73" s="277">
        <f t="shared" si="56"/>
        <v>12</v>
      </c>
      <c r="AA73" s="760" t="s">
        <v>195</v>
      </c>
      <c r="AB73" s="760"/>
      <c r="AC73" s="426">
        <v>0</v>
      </c>
      <c r="AD73" s="427"/>
      <c r="AE73" s="425">
        <f t="shared" si="57"/>
        <v>0</v>
      </c>
      <c r="AF73" s="758"/>
      <c r="AG73" s="1">
        <f>AG14+AG24+AG34+AG44+AG54+AG64</f>
        <v>31</v>
      </c>
      <c r="AH73" s="251">
        <f>AH13+AH23+AH33+AH43+AH53+AH63</f>
        <v>101.69999999999999</v>
      </c>
      <c r="AI73" s="251">
        <f>AI13+AI23+AI33+AI43+AI53+AI63</f>
        <v>137.80000000000001</v>
      </c>
      <c r="AJ73" s="275">
        <f t="shared" si="59"/>
        <v>16</v>
      </c>
      <c r="AK73" s="275">
        <f t="shared" si="59"/>
        <v>18</v>
      </c>
      <c r="AL73" s="275">
        <f t="shared" si="59"/>
        <v>18</v>
      </c>
      <c r="AM73" s="277">
        <f t="shared" si="60"/>
        <v>17.333333333333332</v>
      </c>
      <c r="AO73" s="760" t="s">
        <v>195</v>
      </c>
      <c r="AP73" s="760"/>
      <c r="AQ73" s="426">
        <v>0</v>
      </c>
      <c r="AR73" s="427"/>
      <c r="AS73" s="425">
        <f t="shared" si="61"/>
        <v>0</v>
      </c>
      <c r="AT73" s="758"/>
    </row>
    <row r="74" spans="1:46" s="35" customFormat="1" ht="31" customHeight="1" thickTop="1" thickBot="1" x14ac:dyDescent="0.3">
      <c r="A74" s="57" t="s">
        <v>2</v>
      </c>
      <c r="B74" s="58">
        <f>SUM(B67:B73)</f>
        <v>0</v>
      </c>
      <c r="C74" s="118" t="s">
        <v>2</v>
      </c>
      <c r="D74" s="119">
        <f>SUM(D67:D73)</f>
        <v>31</v>
      </c>
      <c r="E74" s="59">
        <f>SUM(E67:E73)</f>
        <v>11438</v>
      </c>
      <c r="F74" s="59">
        <f>SUM(F67:F73)</f>
        <v>33458800</v>
      </c>
      <c r="G74" s="59">
        <f t="shared" si="49"/>
        <v>2925.2316838608149</v>
      </c>
      <c r="H74" s="59">
        <f>SUM(H67:H73)</f>
        <v>18130480</v>
      </c>
      <c r="I74" s="59">
        <f>H74/E74</f>
        <v>1585.1092848400069</v>
      </c>
      <c r="J74" s="59">
        <f>SUM(J67:J73)</f>
        <v>726000</v>
      </c>
      <c r="K74" s="59">
        <f>SUM(K67:K73)</f>
        <v>59400</v>
      </c>
      <c r="L74" s="59">
        <f>SUM(L67:L73)</f>
        <v>52374680</v>
      </c>
      <c r="M74" s="59">
        <f>L74/E74</f>
        <v>4579.0068193740162</v>
      </c>
      <c r="N74" s="59"/>
      <c r="O74" s="59"/>
      <c r="P74" s="59"/>
      <c r="Q74" s="135">
        <f>SUM(Q67:Q73)</f>
        <v>0</v>
      </c>
      <c r="R74" s="72" t="e">
        <f>L74/Q74</f>
        <v>#DIV/0!</v>
      </c>
      <c r="T74" s="247">
        <f>SUM(T67:T73)/S73</f>
        <v>20.496774193548386</v>
      </c>
      <c r="U74" s="252">
        <f>SUM(U67:U73)/S73</f>
        <v>27.983870967741932</v>
      </c>
      <c r="V74" s="414">
        <f>SUM(V67:V73)/S73</f>
        <v>3.161290322580645</v>
      </c>
      <c r="W74" s="414">
        <f>SUM(W67:W73)/S73</f>
        <v>3.2580645161290325</v>
      </c>
      <c r="X74" s="414">
        <f>SUM(X67:X73)/S73</f>
        <v>3.161290322580645</v>
      </c>
      <c r="Y74" s="415">
        <f>SUM(V74:X74)/3</f>
        <v>3.1935483870967745</v>
      </c>
      <c r="Z74" s="45"/>
      <c r="AA74" s="727" t="s">
        <v>196</v>
      </c>
      <c r="AB74" s="727"/>
      <c r="AC74" s="727"/>
      <c r="AD74" s="427">
        <f>SUM(AD68:AD73)</f>
        <v>93</v>
      </c>
      <c r="AE74" s="427">
        <f>SUM(AE68:AE73)</f>
        <v>297</v>
      </c>
      <c r="AF74" s="430">
        <f>AF68+AF71</f>
        <v>1</v>
      </c>
      <c r="AH74" s="247">
        <f>SUM(AH67:AH73)/AG73</f>
        <v>20.958064516129035</v>
      </c>
      <c r="AI74" s="252">
        <f>SUM(AI67:AI73)/AG73</f>
        <v>27.780645161290316</v>
      </c>
      <c r="AJ74" s="414">
        <f>SUM(AJ67:AJ73)/AG73</f>
        <v>3.3548387096774195</v>
      </c>
      <c r="AK74" s="414">
        <f>SUM(AK67:AK73)/AG73</f>
        <v>3.6451612903225805</v>
      </c>
      <c r="AL74" s="414">
        <f>SUM(AL67:AL73)/AG73</f>
        <v>3.4193548387096775</v>
      </c>
      <c r="AM74" s="415">
        <f>SUM(AJ74:AL74)/3</f>
        <v>3.4731182795698925</v>
      </c>
      <c r="AN74" s="45"/>
      <c r="AO74" s="727" t="s">
        <v>196</v>
      </c>
      <c r="AP74" s="727"/>
      <c r="AQ74" s="727"/>
      <c r="AR74" s="427">
        <f>SUM(AR68:AR73)</f>
        <v>93</v>
      </c>
      <c r="AS74" s="427">
        <f>SUM(AS68:AS73)</f>
        <v>325</v>
      </c>
      <c r="AT74" s="429">
        <f>AT68+AT71</f>
        <v>1</v>
      </c>
    </row>
    <row r="75" spans="1:46" s="31" customFormat="1" ht="20.25" hidden="1" customHeight="1" thickTop="1" thickBot="1" x14ac:dyDescent="0.3">
      <c r="A75" s="28" t="s">
        <v>24</v>
      </c>
      <c r="B75" s="38"/>
      <c r="C75" s="28" t="s">
        <v>24</v>
      </c>
      <c r="D75" s="38"/>
      <c r="E75" s="28"/>
      <c r="F75" s="29"/>
      <c r="G75" s="29"/>
      <c r="H75" s="29"/>
      <c r="I75" s="29"/>
      <c r="J75" s="29"/>
      <c r="K75" s="29"/>
      <c r="L75" s="29"/>
      <c r="M75" s="29"/>
      <c r="N75" s="29"/>
      <c r="O75" s="29"/>
      <c r="P75" s="29"/>
      <c r="Q75" s="29"/>
      <c r="R75" s="30"/>
      <c r="Z75" s="309"/>
      <c r="AN75" s="309"/>
    </row>
    <row r="76" spans="1:46" ht="30.5" hidden="1" customHeight="1" thickTop="1" x14ac:dyDescent="0.25">
      <c r="A76" s="39"/>
      <c r="B76" s="40"/>
      <c r="C76" s="39"/>
      <c r="D76" s="40"/>
      <c r="E76" s="27"/>
      <c r="F76" s="27"/>
      <c r="G76" s="27"/>
      <c r="H76" s="27"/>
      <c r="I76" s="27"/>
      <c r="J76" s="27"/>
      <c r="K76" s="27"/>
      <c r="L76" s="27"/>
      <c r="M76" s="27"/>
      <c r="N76" s="27"/>
      <c r="O76" s="27"/>
      <c r="P76" s="27"/>
      <c r="Q76" s="27"/>
    </row>
    <row r="77" spans="1:46" ht="32.25" hidden="1" customHeight="1" thickTop="1" x14ac:dyDescent="0.25">
      <c r="A77" s="735" t="s">
        <v>0</v>
      </c>
      <c r="B77" s="736"/>
      <c r="C77" s="735" t="s">
        <v>0</v>
      </c>
      <c r="D77" s="736"/>
      <c r="E77" s="99" t="s">
        <v>25</v>
      </c>
      <c r="F77" s="737"/>
      <c r="G77" s="737"/>
      <c r="H77" s="737"/>
      <c r="I77" s="737"/>
      <c r="J77" s="737"/>
      <c r="K77" s="737"/>
      <c r="L77" s="738"/>
      <c r="M77" s="63"/>
      <c r="N77" s="63"/>
      <c r="O77" s="63"/>
      <c r="P77" s="63"/>
      <c r="Q77" s="63"/>
      <c r="R77" s="8"/>
    </row>
    <row r="78" spans="1:46" ht="32.25" hidden="1" customHeight="1" thickTop="1" x14ac:dyDescent="0.25">
      <c r="A78" s="735"/>
      <c r="B78" s="736"/>
      <c r="C78" s="735"/>
      <c r="D78" s="736"/>
      <c r="E78" s="739" t="s">
        <v>0</v>
      </c>
      <c r="F78" s="740"/>
      <c r="G78" s="740"/>
      <c r="H78" s="740"/>
      <c r="I78" s="740"/>
      <c r="J78" s="740"/>
      <c r="K78" s="740"/>
      <c r="L78" s="741"/>
      <c r="M78" s="64"/>
      <c r="N78" s="64"/>
      <c r="O78" s="64"/>
      <c r="P78" s="64"/>
      <c r="Q78" s="64"/>
    </row>
    <row r="79" spans="1:46" ht="32.25" hidden="1" customHeight="1" thickTop="1" x14ac:dyDescent="0.25">
      <c r="A79" s="735"/>
      <c r="B79" s="736"/>
      <c r="C79" s="735"/>
      <c r="D79" s="736"/>
      <c r="E79" s="3" t="s">
        <v>1</v>
      </c>
      <c r="F79" s="6"/>
      <c r="G79" s="6"/>
      <c r="H79" s="6" t="s">
        <v>20</v>
      </c>
      <c r="I79" s="41"/>
      <c r="J79" s="41"/>
      <c r="K79" s="41"/>
      <c r="L79" s="7" t="s">
        <v>21</v>
      </c>
      <c r="M79" s="65"/>
      <c r="N79" s="65"/>
      <c r="O79" s="65"/>
      <c r="P79" s="65"/>
      <c r="Q79" s="65"/>
      <c r="R79" s="32"/>
    </row>
    <row r="80" spans="1:46" ht="32.25" hidden="1" customHeight="1" thickTop="1" x14ac:dyDescent="0.25">
      <c r="A80" s="735"/>
      <c r="B80" s="736"/>
      <c r="C80" s="735"/>
      <c r="D80" s="736"/>
      <c r="E80" s="20"/>
      <c r="F80" s="4"/>
      <c r="G80" s="4"/>
      <c r="H80" s="12" t="e">
        <f>#REF!*E80</f>
        <v>#REF!</v>
      </c>
      <c r="I80" s="14"/>
      <c r="J80" s="14"/>
      <c r="K80" s="14"/>
      <c r="L80" s="13" t="e">
        <f>#REF!*E80</f>
        <v>#REF!</v>
      </c>
      <c r="M80" s="66"/>
      <c r="N80" s="66"/>
      <c r="O80" s="66"/>
      <c r="P80" s="66"/>
      <c r="Q80" s="66"/>
      <c r="R80" s="33"/>
    </row>
    <row r="81" spans="1:45" ht="21" hidden="1" customHeight="1" thickTop="1" x14ac:dyDescent="0.25">
      <c r="A81" s="735"/>
      <c r="B81" s="736"/>
      <c r="C81" s="735"/>
      <c r="D81" s="736"/>
      <c r="F81" s="9"/>
      <c r="G81" s="9"/>
    </row>
    <row r="82" spans="1:45" ht="32.25" hidden="1" customHeight="1" thickTop="1" x14ac:dyDescent="0.25">
      <c r="A82" s="735"/>
      <c r="B82" s="736"/>
      <c r="C82" s="735"/>
      <c r="D82" s="736"/>
      <c r="E82" s="1" t="s">
        <v>22</v>
      </c>
      <c r="F82" s="10"/>
      <c r="G82" s="10"/>
    </row>
    <row r="83" spans="1:45" ht="32.25" hidden="1" customHeight="1" thickTop="1" x14ac:dyDescent="0.25">
      <c r="A83" s="735"/>
      <c r="B83" s="736"/>
      <c r="C83" s="735"/>
      <c r="D83" s="736"/>
      <c r="E83" s="15" t="s">
        <v>1</v>
      </c>
      <c r="F83" s="15"/>
      <c r="G83" s="15"/>
      <c r="H83" s="15" t="s">
        <v>20</v>
      </c>
      <c r="I83" s="15"/>
      <c r="J83" s="15"/>
      <c r="K83" s="15"/>
      <c r="L83" s="15" t="s">
        <v>21</v>
      </c>
      <c r="M83" s="51"/>
      <c r="N83" s="51"/>
      <c r="O83" s="51"/>
      <c r="P83" s="51"/>
      <c r="Q83" s="51"/>
    </row>
    <row r="84" spans="1:45" s="5" customFormat="1" ht="32.25" hidden="1" customHeight="1" thickTop="1" x14ac:dyDescent="0.25">
      <c r="A84" s="735"/>
      <c r="B84" s="736"/>
      <c r="C84" s="735"/>
      <c r="D84" s="736"/>
      <c r="E84" s="21">
        <f>E74-E80</f>
        <v>11438</v>
      </c>
      <c r="F84" s="22"/>
      <c r="G84" s="22"/>
      <c r="H84" s="21" t="e">
        <f>H74-H80</f>
        <v>#REF!</v>
      </c>
      <c r="I84" s="21"/>
      <c r="J84" s="21"/>
      <c r="K84" s="21"/>
      <c r="L84" s="21" t="e">
        <f>L74-L80</f>
        <v>#REF!</v>
      </c>
      <c r="M84" s="67"/>
      <c r="N84" s="67"/>
      <c r="O84" s="67"/>
      <c r="P84" s="67"/>
      <c r="Q84" s="67"/>
      <c r="R84" s="1"/>
      <c r="Z84" s="310"/>
      <c r="AN84" s="310"/>
    </row>
    <row r="85" spans="1:45" s="5" customFormat="1" ht="32.25" hidden="1" customHeight="1" thickTop="1" x14ac:dyDescent="0.25">
      <c r="A85" s="735"/>
      <c r="B85" s="736"/>
      <c r="C85" s="735"/>
      <c r="D85" s="736"/>
      <c r="E85" s="23" t="e">
        <f>E74/E80</f>
        <v>#DIV/0!</v>
      </c>
      <c r="F85" s="23"/>
      <c r="G85" s="23"/>
      <c r="H85" s="23" t="e">
        <f>H74/H80</f>
        <v>#REF!</v>
      </c>
      <c r="I85" s="23"/>
      <c r="J85" s="23"/>
      <c r="K85" s="23"/>
      <c r="L85" s="23" t="e">
        <f>L74/L80</f>
        <v>#REF!</v>
      </c>
      <c r="M85" s="68"/>
      <c r="N85" s="68"/>
      <c r="O85" s="68"/>
      <c r="P85" s="68"/>
      <c r="Q85" s="68"/>
      <c r="R85" s="1"/>
      <c r="Z85" s="310"/>
      <c r="AN85" s="310"/>
    </row>
    <row r="86" spans="1:45" s="5" customFormat="1" ht="32.25" hidden="1" customHeight="1" thickTop="1" x14ac:dyDescent="0.25">
      <c r="A86" s="735"/>
      <c r="B86" s="736"/>
      <c r="C86" s="735"/>
      <c r="D86" s="736"/>
      <c r="E86" s="1" t="s">
        <v>26</v>
      </c>
      <c r="F86" s="1"/>
      <c r="G86" s="1"/>
      <c r="H86" s="1"/>
      <c r="I86" s="1"/>
      <c r="J86" s="1"/>
      <c r="K86" s="1"/>
      <c r="L86" s="1"/>
      <c r="M86" s="1"/>
      <c r="N86" s="1"/>
      <c r="O86" s="1"/>
      <c r="P86" s="1"/>
      <c r="Q86" s="1"/>
      <c r="R86" s="1"/>
      <c r="Z86" s="310"/>
      <c r="AN86" s="310"/>
    </row>
    <row r="87" spans="1:45" s="5" customFormat="1" ht="32.25" hidden="1" customHeight="1" thickTop="1" x14ac:dyDescent="0.25">
      <c r="A87" s="735"/>
      <c r="B87" s="736"/>
      <c r="C87" s="735"/>
      <c r="D87" s="736"/>
      <c r="E87" s="15" t="s">
        <v>1</v>
      </c>
      <c r="F87" s="15"/>
      <c r="G87" s="15"/>
      <c r="H87" s="15" t="s">
        <v>20</v>
      </c>
      <c r="I87" s="15"/>
      <c r="J87" s="15"/>
      <c r="K87" s="15"/>
      <c r="L87" s="15" t="s">
        <v>21</v>
      </c>
      <c r="M87" s="51"/>
      <c r="N87" s="51"/>
      <c r="O87" s="51"/>
      <c r="P87" s="51"/>
      <c r="Q87" s="51"/>
      <c r="R87" s="1"/>
      <c r="Z87" s="310"/>
      <c r="AN87" s="310"/>
    </row>
    <row r="88" spans="1:45" s="5" customFormat="1" ht="32.25" hidden="1" customHeight="1" thickTop="1" x14ac:dyDescent="0.25">
      <c r="A88" s="735"/>
      <c r="B88" s="736"/>
      <c r="C88" s="735"/>
      <c r="D88" s="736"/>
      <c r="E88" s="16"/>
      <c r="F88" s="18"/>
      <c r="G88" s="18"/>
      <c r="H88" s="17"/>
      <c r="I88" s="17"/>
      <c r="J88" s="17"/>
      <c r="K88" s="17"/>
      <c r="L88" s="17"/>
      <c r="M88" s="69"/>
      <c r="N88" s="69"/>
      <c r="O88" s="69"/>
      <c r="P88" s="69"/>
      <c r="Q88" s="69"/>
      <c r="R88" s="1"/>
      <c r="Z88" s="310"/>
      <c r="AN88" s="310"/>
    </row>
    <row r="89" spans="1:45" s="5" customFormat="1" ht="32.25" hidden="1" customHeight="1" thickTop="1" x14ac:dyDescent="0.25">
      <c r="A89" s="735"/>
      <c r="B89" s="736"/>
      <c r="C89" s="735"/>
      <c r="D89" s="736"/>
      <c r="E89" s="1" t="s">
        <v>23</v>
      </c>
      <c r="F89" s="1"/>
      <c r="G89" s="1"/>
      <c r="H89" s="1"/>
      <c r="I89" s="1"/>
      <c r="J89" s="1"/>
      <c r="K89" s="1"/>
      <c r="L89" s="1"/>
      <c r="M89" s="1"/>
      <c r="N89" s="1"/>
      <c r="O89" s="1"/>
      <c r="P89" s="1"/>
      <c r="Q89" s="1"/>
      <c r="R89" s="1"/>
      <c r="Z89" s="310"/>
      <c r="AN89" s="310"/>
    </row>
    <row r="90" spans="1:45" s="5" customFormat="1" ht="32.25" hidden="1" customHeight="1" thickTop="1" x14ac:dyDescent="0.25">
      <c r="A90" s="735"/>
      <c r="B90" s="736"/>
      <c r="C90" s="735"/>
      <c r="D90" s="736"/>
      <c r="E90" s="15" t="s">
        <v>1</v>
      </c>
      <c r="F90" s="15"/>
      <c r="G90" s="15"/>
      <c r="H90" s="15" t="s">
        <v>20</v>
      </c>
      <c r="I90" s="15"/>
      <c r="J90" s="15"/>
      <c r="K90" s="15"/>
      <c r="L90" s="15" t="s">
        <v>21</v>
      </c>
      <c r="M90" s="51"/>
      <c r="N90" s="51"/>
      <c r="O90" s="51"/>
      <c r="P90" s="51"/>
      <c r="Q90" s="51"/>
      <c r="R90" s="1"/>
      <c r="Z90" s="310"/>
      <c r="AN90" s="310"/>
    </row>
    <row r="91" spans="1:45" s="5" customFormat="1" ht="30" hidden="1" customHeight="1" thickTop="1" x14ac:dyDescent="0.25">
      <c r="A91" s="735"/>
      <c r="B91" s="736"/>
      <c r="C91" s="735"/>
      <c r="D91" s="736"/>
      <c r="E91" s="16">
        <f>E74-E88</f>
        <v>11438</v>
      </c>
      <c r="F91" s="16"/>
      <c r="G91" s="16"/>
      <c r="H91" s="16">
        <f>H74-H88</f>
        <v>18130480</v>
      </c>
      <c r="I91" s="16"/>
      <c r="J91" s="16"/>
      <c r="K91" s="16"/>
      <c r="L91" s="16">
        <f>L74-L88</f>
        <v>52374680</v>
      </c>
      <c r="M91" s="70"/>
      <c r="N91" s="70"/>
      <c r="O91" s="70"/>
      <c r="P91" s="70"/>
      <c r="Q91" s="70"/>
      <c r="R91" s="1"/>
      <c r="Z91" s="310"/>
      <c r="AN91" s="310"/>
    </row>
    <row r="92" spans="1:45" s="5" customFormat="1" ht="32" hidden="1" customHeight="1" thickTop="1" x14ac:dyDescent="0.25">
      <c r="A92" s="735"/>
      <c r="B92" s="736"/>
      <c r="C92" s="735"/>
      <c r="D92" s="736"/>
      <c r="E92" s="48" t="e">
        <f>E74/E88</f>
        <v>#DIV/0!</v>
      </c>
      <c r="F92" s="19"/>
      <c r="G92" s="19"/>
      <c r="H92" s="19" t="e">
        <f>H74/H88</f>
        <v>#DIV/0!</v>
      </c>
      <c r="I92" s="19"/>
      <c r="J92" s="19"/>
      <c r="K92" s="19"/>
      <c r="L92" s="19" t="e">
        <f>L74/L88</f>
        <v>#DIV/0!</v>
      </c>
      <c r="M92" s="52"/>
      <c r="N92" s="52"/>
      <c r="O92" s="52"/>
      <c r="P92" s="52"/>
      <c r="Q92" s="52"/>
      <c r="R92" s="11"/>
      <c r="Z92" s="310"/>
      <c r="AN92" s="310"/>
    </row>
    <row r="93" spans="1:45" s="5" customFormat="1" ht="39" customHeight="1" thickTop="1" x14ac:dyDescent="0.25">
      <c r="A93" s="746" t="s">
        <v>39</v>
      </c>
      <c r="B93" s="746"/>
      <c r="C93" s="60"/>
      <c r="D93" s="60"/>
      <c r="E93" s="60">
        <f>E74/30</f>
        <v>381.26666666666665</v>
      </c>
      <c r="F93" s="60"/>
      <c r="G93" s="125">
        <f>G74/1.1</f>
        <v>2659.301530782559</v>
      </c>
      <c r="H93" s="1"/>
      <c r="I93" s="125">
        <f>I74/1.1</f>
        <v>1441.0084407636425</v>
      </c>
      <c r="J93" s="131" t="s">
        <v>85</v>
      </c>
      <c r="K93" s="131"/>
      <c r="L93" s="125">
        <f>L74/1.1</f>
        <v>47613345.454545453</v>
      </c>
      <c r="M93" s="130" t="s">
        <v>84</v>
      </c>
      <c r="N93" s="130"/>
      <c r="O93" s="130"/>
      <c r="P93" s="130"/>
      <c r="Q93" s="210" t="e">
        <f>L93/#REF!</f>
        <v>#REF!</v>
      </c>
      <c r="R93" s="748" t="e">
        <f>L93-#REF!</f>
        <v>#REF!</v>
      </c>
      <c r="S93" s="747"/>
      <c r="T93" s="747"/>
      <c r="U93" s="747"/>
      <c r="V93" s="747"/>
      <c r="Y93" s="418">
        <f>Y74/AM74</f>
        <v>0.91950464396284837</v>
      </c>
      <c r="Z93" s="304"/>
      <c r="AB93" s="394" t="e">
        <f>L93/AP93</f>
        <v>#DIV/0!</v>
      </c>
      <c r="AD93" s="765">
        <f>AE74/AD74</f>
        <v>3.193548387096774</v>
      </c>
      <c r="AE93" s="765"/>
      <c r="AH93" s="388"/>
      <c r="AI93" s="388"/>
      <c r="AJ93" s="388"/>
      <c r="AN93" s="310"/>
      <c r="AR93" s="765">
        <f>AS74/AR74</f>
        <v>3.4946236559139785</v>
      </c>
      <c r="AS93" s="765"/>
    </row>
    <row r="94" spans="1:45" s="5" customFormat="1" ht="21" customHeight="1" thickBot="1" x14ac:dyDescent="0.3">
      <c r="A94" s="746"/>
      <c r="B94" s="746"/>
      <c r="C94" s="1"/>
      <c r="D94" s="1"/>
      <c r="E94" s="1"/>
      <c r="F94" s="36"/>
      <c r="G94" s="36"/>
      <c r="H94" s="10">
        <f>G93+I93</f>
        <v>4100.3099715462013</v>
      </c>
      <c r="I94" s="1"/>
      <c r="J94" s="1">
        <f>(J74+K74)/1.1</f>
        <v>714000</v>
      </c>
      <c r="K94" s="1"/>
      <c r="L94" s="1"/>
      <c r="M94" s="1" t="s">
        <v>185</v>
      </c>
      <c r="N94" s="1"/>
      <c r="O94" s="1"/>
      <c r="P94" s="1"/>
      <c r="Q94" s="166" t="s">
        <v>184</v>
      </c>
      <c r="R94" s="1"/>
      <c r="Z94" s="304"/>
      <c r="AN94" s="310"/>
    </row>
    <row r="95" spans="1:45" ht="66" customHeight="1" thickTop="1" thickBot="1" x14ac:dyDescent="0.3">
      <c r="A95" s="746"/>
      <c r="B95" s="746"/>
      <c r="C95" s="270" t="s">
        <v>212</v>
      </c>
      <c r="D95" s="1">
        <v>0</v>
      </c>
      <c r="F95" s="52"/>
      <c r="G95" s="52"/>
      <c r="H95" s="743" t="s">
        <v>183</v>
      </c>
      <c r="I95" s="744"/>
      <c r="J95" s="744"/>
      <c r="K95" s="744"/>
      <c r="L95" s="744"/>
      <c r="M95" s="410" t="e">
        <f>L93/#REF!</f>
        <v>#REF!</v>
      </c>
      <c r="N95" s="410"/>
      <c r="O95" s="410"/>
      <c r="P95" s="410"/>
      <c r="Q95" s="411" t="e">
        <f>J94/#REF!</f>
        <v>#REF!</v>
      </c>
      <c r="R95" s="416" t="e">
        <f>L93-#REF!</f>
        <v>#REF!</v>
      </c>
      <c r="Z95" s="270"/>
    </row>
    <row r="96" spans="1:45" ht="17" thickTop="1" x14ac:dyDescent="0.25"/>
    <row r="97" spans="1:40" ht="32" customHeight="1" x14ac:dyDescent="0.25">
      <c r="K97" s="1" t="s">
        <v>213</v>
      </c>
      <c r="L97" s="447" t="e">
        <f>L93-#REF!</f>
        <v>#REF!</v>
      </c>
      <c r="M97" s="448" t="e">
        <f>L93/#REF!</f>
        <v>#REF!</v>
      </c>
      <c r="N97" s="448"/>
      <c r="O97" s="448"/>
      <c r="P97" s="448"/>
    </row>
    <row r="98" spans="1:40" s="24" customFormat="1" ht="34.25" customHeight="1" x14ac:dyDescent="0.25">
      <c r="A98" s="34" t="s">
        <v>53</v>
      </c>
      <c r="B98" s="35"/>
      <c r="Z98" s="279"/>
      <c r="AN98" s="279"/>
    </row>
    <row r="99" spans="1:40" s="81" customFormat="1" ht="32" customHeight="1" x14ac:dyDescent="0.25">
      <c r="A99" s="745" t="s">
        <v>54</v>
      </c>
      <c r="B99" s="745"/>
      <c r="L99" s="453">
        <f>L74-17800</f>
        <v>52356880</v>
      </c>
      <c r="Z99" s="311"/>
      <c r="AN99" s="311"/>
    </row>
    <row r="100" spans="1:40" ht="73" customHeight="1" x14ac:dyDescent="0.25">
      <c r="A100" s="729" t="s">
        <v>55</v>
      </c>
      <c r="B100" s="729"/>
      <c r="L100" s="1">
        <f>L99/1.1</f>
        <v>47597163.636363633</v>
      </c>
      <c r="R100" s="438" t="e">
        <f>#REF!-L93</f>
        <v>#REF!</v>
      </c>
    </row>
    <row r="101" spans="1:40" ht="73" customHeight="1" x14ac:dyDescent="0.25">
      <c r="A101" s="729" t="s">
        <v>56</v>
      </c>
      <c r="B101" s="729"/>
      <c r="R101" s="83" t="e">
        <f>R100/D95</f>
        <v>#REF!</v>
      </c>
    </row>
    <row r="102" spans="1:40" ht="73" customHeight="1" x14ac:dyDescent="0.25">
      <c r="A102" s="729" t="s">
        <v>57</v>
      </c>
      <c r="B102" s="729"/>
    </row>
    <row r="103" spans="1:40" ht="73" customHeight="1" x14ac:dyDescent="0.25">
      <c r="A103" s="729" t="s">
        <v>58</v>
      </c>
      <c r="B103" s="729"/>
    </row>
    <row r="104" spans="1:40" ht="73" customHeight="1" x14ac:dyDescent="0.25">
      <c r="A104" s="729" t="s">
        <v>59</v>
      </c>
      <c r="B104" s="729"/>
    </row>
    <row r="105" spans="1:40" ht="73" customHeight="1" x14ac:dyDescent="0.25">
      <c r="A105" s="729" t="s">
        <v>49</v>
      </c>
      <c r="B105" s="729"/>
    </row>
    <row r="106" spans="1:40" ht="73" customHeight="1" x14ac:dyDescent="0.25">
      <c r="A106" s="729" t="s">
        <v>50</v>
      </c>
      <c r="B106" s="729"/>
    </row>
    <row r="107" spans="1:40" ht="73" customHeight="1" x14ac:dyDescent="0.25">
      <c r="A107" s="729"/>
      <c r="B107" s="729"/>
    </row>
    <row r="108" spans="1:40" ht="73" customHeight="1" x14ac:dyDescent="0.25">
      <c r="A108" s="747"/>
      <c r="B108" s="747"/>
    </row>
    <row r="109" spans="1:40" ht="32" customHeight="1" x14ac:dyDescent="0.25"/>
    <row r="110" spans="1:40" ht="32" customHeight="1" x14ac:dyDescent="0.25"/>
    <row r="111" spans="1:40" ht="32" customHeight="1" x14ac:dyDescent="0.25"/>
    <row r="112" spans="1:40" ht="32" customHeight="1" x14ac:dyDescent="0.25"/>
    <row r="113" ht="32" customHeight="1" x14ac:dyDescent="0.25"/>
  </sheetData>
  <mergeCells count="103">
    <mergeCell ref="N3:Q3"/>
    <mergeCell ref="N4:Q4"/>
    <mergeCell ref="AR93:AS93"/>
    <mergeCell ref="AD93:AE93"/>
    <mergeCell ref="R93:V93"/>
    <mergeCell ref="C3:M3"/>
    <mergeCell ref="C4:D4"/>
    <mergeCell ref="C5:R5"/>
    <mergeCell ref="C14:D14"/>
    <mergeCell ref="C15:R15"/>
    <mergeCell ref="C24:D24"/>
    <mergeCell ref="C25:R25"/>
    <mergeCell ref="C34:D34"/>
    <mergeCell ref="C35:R35"/>
    <mergeCell ref="C44:D44"/>
    <mergeCell ref="C45:R45"/>
    <mergeCell ref="C54:D54"/>
    <mergeCell ref="C55:R55"/>
    <mergeCell ref="C64:D64"/>
    <mergeCell ref="C65:R65"/>
    <mergeCell ref="C77:D92"/>
    <mergeCell ref="F77:L77"/>
    <mergeCell ref="E78:L78"/>
    <mergeCell ref="T4:Y4"/>
    <mergeCell ref="T65:Y65"/>
    <mergeCell ref="H95:L95"/>
    <mergeCell ref="A2:B2"/>
    <mergeCell ref="A3:B3"/>
    <mergeCell ref="A4:B4"/>
    <mergeCell ref="A15:B15"/>
    <mergeCell ref="I4:K4"/>
    <mergeCell ref="A24:B24"/>
    <mergeCell ref="A5:B5"/>
    <mergeCell ref="A14:B14"/>
    <mergeCell ref="A35:B35"/>
    <mergeCell ref="A44:B44"/>
    <mergeCell ref="A25:B25"/>
    <mergeCell ref="A34:B34"/>
    <mergeCell ref="A45:B45"/>
    <mergeCell ref="A54:B54"/>
    <mergeCell ref="A65:B65"/>
    <mergeCell ref="A93:B95"/>
    <mergeCell ref="A55:B55"/>
    <mergeCell ref="A64:B64"/>
    <mergeCell ref="A77:B92"/>
    <mergeCell ref="A100:B100"/>
    <mergeCell ref="A99:B99"/>
    <mergeCell ref="A103:B103"/>
    <mergeCell ref="A101:B101"/>
    <mergeCell ref="A102:B102"/>
    <mergeCell ref="A105:B105"/>
    <mergeCell ref="A104:B104"/>
    <mergeCell ref="A107:B107"/>
    <mergeCell ref="A106:B106"/>
    <mergeCell ref="A108:B108"/>
    <mergeCell ref="AA14:AE14"/>
    <mergeCell ref="AA24:AE24"/>
    <mergeCell ref="AA34:AE34"/>
    <mergeCell ref="AA44:AE44"/>
    <mergeCell ref="AA54:AE54"/>
    <mergeCell ref="AA64:AE64"/>
    <mergeCell ref="T5:Y5"/>
    <mergeCell ref="T15:Y15"/>
    <mergeCell ref="T25:Y25"/>
    <mergeCell ref="T35:Y35"/>
    <mergeCell ref="T45:Y45"/>
    <mergeCell ref="T55:Y55"/>
    <mergeCell ref="AH45:AM45"/>
    <mergeCell ref="AO54:AS54"/>
    <mergeCell ref="AH55:AM55"/>
    <mergeCell ref="AO64:AS64"/>
    <mergeCell ref="AH65:AM65"/>
    <mergeCell ref="AH4:AM4"/>
    <mergeCell ref="AH5:AM5"/>
    <mergeCell ref="AO14:AS14"/>
    <mergeCell ref="AH15:AM15"/>
    <mergeCell ref="AO24:AS24"/>
    <mergeCell ref="AH25:AM25"/>
    <mergeCell ref="AO34:AS34"/>
    <mergeCell ref="AH35:AM35"/>
    <mergeCell ref="AO44:AS44"/>
    <mergeCell ref="AA74:AC74"/>
    <mergeCell ref="AO66:AT66"/>
    <mergeCell ref="AO67:AP67"/>
    <mergeCell ref="AO68:AP68"/>
    <mergeCell ref="AT68:AT70"/>
    <mergeCell ref="AO69:AP69"/>
    <mergeCell ref="AO70:AP70"/>
    <mergeCell ref="AO71:AP71"/>
    <mergeCell ref="AT71:AT73"/>
    <mergeCell ref="AO72:AP72"/>
    <mergeCell ref="AO73:AP73"/>
    <mergeCell ref="AO74:AQ74"/>
    <mergeCell ref="AA66:AF66"/>
    <mergeCell ref="AA67:AB67"/>
    <mergeCell ref="AA68:AB68"/>
    <mergeCell ref="AF68:AF70"/>
    <mergeCell ref="AA69:AB69"/>
    <mergeCell ref="AA70:AB70"/>
    <mergeCell ref="AA71:AB71"/>
    <mergeCell ref="AF71:AF73"/>
    <mergeCell ref="AA72:AB72"/>
    <mergeCell ref="AA73:AB73"/>
  </mergeCells>
  <phoneticPr fontId="1"/>
  <pageMargins left="0.7" right="0.7" top="0.75" bottom="0.75" header="0.3" footer="0.3"/>
  <pageSetup paperSize="8" scale="17"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7F5C6-CF11-3C4A-AC73-A00EC52A8C22}">
  <sheetPr>
    <tabColor rgb="FFFFC000"/>
    <pageSetUpPr fitToPage="1"/>
  </sheetPr>
  <dimension ref="A1:BX113"/>
  <sheetViews>
    <sheetView zoomScale="50" workbookViewId="0"/>
  </sheetViews>
  <sheetFormatPr baseColWidth="10" defaultColWidth="9" defaultRowHeight="18" x14ac:dyDescent="0.25"/>
  <cols>
    <col min="1" max="1" width="8.1640625" style="1" customWidth="1"/>
    <col min="2" max="2" width="6.6640625" style="35" customWidth="1"/>
    <col min="3" max="3" width="7.5" style="1" hidden="1" customWidth="1"/>
    <col min="4" max="6" width="0.1640625" style="1" hidden="1" customWidth="1"/>
    <col min="7" max="7" width="15.5" style="1" customWidth="1"/>
    <col min="8" max="8" width="7.1640625" style="1" customWidth="1"/>
    <col min="9" max="9" width="16" style="1" customWidth="1"/>
    <col min="10" max="10" width="19" style="1" customWidth="1"/>
    <col min="11" max="11" width="16" style="1" customWidth="1"/>
    <col min="12" max="12" width="18" style="1" customWidth="1"/>
    <col min="13" max="14" width="16" style="1" customWidth="1"/>
    <col min="15" max="15" width="26.33203125" style="1" customWidth="1"/>
    <col min="16" max="19" width="16" style="1" customWidth="1"/>
    <col min="20" max="20" width="16" style="166" customWidth="1"/>
    <col min="21" max="21" width="20.83203125" style="1" customWidth="1"/>
    <col min="22" max="22" width="5.1640625" style="1" customWidth="1"/>
    <col min="23" max="24" width="17.1640625" style="1" bestFit="1" customWidth="1"/>
    <col min="25" max="28" width="10.33203125" style="1" customWidth="1"/>
    <col min="29" max="29" width="9" style="270"/>
    <col min="30" max="30" width="9" style="1"/>
    <col min="31" max="31" width="19.5" style="1" customWidth="1"/>
    <col min="32" max="32" width="9.1640625" style="1" bestFit="1" customWidth="1"/>
    <col min="33" max="34" width="9" style="1"/>
    <col min="35" max="35" width="10.6640625" style="1" customWidth="1"/>
    <col min="36" max="36" width="9.1640625" style="1" bestFit="1" customWidth="1"/>
    <col min="37" max="37" width="12.33203125" style="362" bestFit="1" customWidth="1"/>
    <col min="38" max="38" width="13" style="362" bestFit="1" customWidth="1"/>
    <col min="39" max="42" width="10.33203125" style="362" customWidth="1"/>
    <col min="43" max="43" width="9" style="363"/>
    <col min="44" max="44" width="9" style="362"/>
    <col min="45" max="45" width="19.5" style="362" customWidth="1"/>
    <col min="46" max="46" width="9.1640625" style="1" bestFit="1" customWidth="1"/>
    <col min="47" max="16384" width="9" style="1"/>
  </cols>
  <sheetData>
    <row r="1" spans="1:49" s="24" customFormat="1" ht="64" customHeight="1" x14ac:dyDescent="0.25">
      <c r="A1" s="82" t="s">
        <v>334</v>
      </c>
      <c r="B1" s="35"/>
      <c r="T1" s="166"/>
      <c r="AC1" s="25"/>
      <c r="AK1" s="362"/>
      <c r="AL1" s="362"/>
      <c r="AM1" s="362"/>
      <c r="AN1" s="362"/>
      <c r="AO1" s="362"/>
      <c r="AP1" s="362"/>
      <c r="AQ1" s="363"/>
      <c r="AR1" s="362"/>
      <c r="AS1" s="362"/>
    </row>
    <row r="2" spans="1:49" s="24" customFormat="1" ht="34.25" customHeight="1" thickBot="1" x14ac:dyDescent="0.3">
      <c r="A2" s="699" t="s">
        <v>46</v>
      </c>
      <c r="B2" s="700"/>
      <c r="O2" s="129">
        <f>O14+O24+O34+O44+O54+O64</f>
        <v>21113880</v>
      </c>
      <c r="T2" s="166"/>
      <c r="U2" s="24">
        <v>30</v>
      </c>
      <c r="AC2" s="25"/>
      <c r="AK2" s="362"/>
      <c r="AL2" s="362"/>
      <c r="AM2" s="362"/>
      <c r="AN2" s="362"/>
      <c r="AO2" s="362"/>
      <c r="AP2" s="362"/>
      <c r="AQ2" s="363"/>
      <c r="AR2" s="362"/>
      <c r="AS2" s="362"/>
    </row>
    <row r="3" spans="1:49" ht="53" customHeight="1" thickTop="1" x14ac:dyDescent="0.25">
      <c r="A3" s="701" t="s">
        <v>172</v>
      </c>
      <c r="B3" s="702"/>
      <c r="G3" s="703" t="s">
        <v>82</v>
      </c>
      <c r="H3" s="704"/>
      <c r="I3" s="704"/>
      <c r="J3" s="704"/>
      <c r="K3" s="704"/>
      <c r="L3" s="704"/>
      <c r="M3" s="704"/>
      <c r="N3" s="704"/>
      <c r="O3" s="704"/>
      <c r="P3" s="704"/>
      <c r="Q3" s="811" t="s">
        <v>51</v>
      </c>
      <c r="R3" s="812"/>
      <c r="S3" s="812"/>
      <c r="T3" s="813"/>
      <c r="U3" s="75" t="s">
        <v>27</v>
      </c>
      <c r="AK3" s="790" t="s">
        <v>186</v>
      </c>
      <c r="AL3" s="790"/>
      <c r="AM3" s="790"/>
      <c r="AN3" s="790"/>
      <c r="AO3" s="790"/>
      <c r="AP3" s="790"/>
      <c r="AQ3" s="790"/>
      <c r="AR3" s="790"/>
      <c r="AS3" s="790"/>
      <c r="AT3" s="790"/>
      <c r="AU3" s="790"/>
      <c r="AV3" s="790"/>
    </row>
    <row r="4" spans="1:49" s="36" customFormat="1" ht="53" customHeight="1" x14ac:dyDescent="0.25">
      <c r="A4" s="705" t="s">
        <v>41</v>
      </c>
      <c r="B4" s="706"/>
      <c r="G4" s="717" t="s">
        <v>70</v>
      </c>
      <c r="H4" s="718"/>
      <c r="I4" s="76" t="s">
        <v>42</v>
      </c>
      <c r="J4" s="77"/>
      <c r="K4" s="78" t="s">
        <v>43</v>
      </c>
      <c r="L4" s="100"/>
      <c r="M4" s="719" t="s">
        <v>75</v>
      </c>
      <c r="N4" s="720"/>
      <c r="O4" s="126"/>
      <c r="P4" s="128" t="s">
        <v>52</v>
      </c>
      <c r="Q4" s="807"/>
      <c r="R4" s="808"/>
      <c r="S4" s="808"/>
      <c r="T4" s="809"/>
      <c r="U4" s="127">
        <f>O4/U2</f>
        <v>0</v>
      </c>
      <c r="W4" s="721" t="s">
        <v>162</v>
      </c>
      <c r="X4" s="722"/>
      <c r="Y4" s="722"/>
      <c r="Z4" s="722"/>
      <c r="AA4" s="722"/>
      <c r="AB4" s="723"/>
      <c r="AC4" s="270"/>
      <c r="AK4" s="792" t="s">
        <v>162</v>
      </c>
      <c r="AL4" s="793"/>
      <c r="AM4" s="793"/>
      <c r="AN4" s="793"/>
      <c r="AO4" s="793"/>
      <c r="AP4" s="794"/>
      <c r="AQ4" s="363"/>
      <c r="AR4" s="364"/>
      <c r="AS4" s="364"/>
    </row>
    <row r="5" spans="1:49" ht="23.5" customHeight="1" x14ac:dyDescent="0.25">
      <c r="A5" s="710" t="s">
        <v>12</v>
      </c>
      <c r="B5" s="711"/>
      <c r="G5" s="710" t="s">
        <v>12</v>
      </c>
      <c r="H5" s="711"/>
      <c r="I5" s="711"/>
      <c r="J5" s="711"/>
      <c r="K5" s="711"/>
      <c r="L5" s="711"/>
      <c r="M5" s="711"/>
      <c r="N5" s="711"/>
      <c r="O5" s="711"/>
      <c r="P5" s="711"/>
      <c r="Q5" s="711"/>
      <c r="R5" s="711"/>
      <c r="S5" s="711"/>
      <c r="T5" s="711"/>
      <c r="U5" s="712"/>
      <c r="W5" s="716" t="str">
        <f>G5</f>
        <v>1st week</v>
      </c>
      <c r="X5" s="716"/>
      <c r="Y5" s="716"/>
      <c r="Z5" s="716"/>
      <c r="AA5" s="716"/>
      <c r="AB5" s="716"/>
      <c r="AF5" s="36"/>
      <c r="AK5" s="791">
        <f>X5</f>
        <v>0</v>
      </c>
      <c r="AL5" s="791"/>
      <c r="AM5" s="791"/>
      <c r="AN5" s="791"/>
      <c r="AO5" s="791"/>
      <c r="AP5" s="791"/>
      <c r="AT5" s="36"/>
    </row>
    <row r="6" spans="1:49" s="2" customFormat="1" ht="23.5" customHeight="1" x14ac:dyDescent="0.25">
      <c r="A6" s="53" t="s">
        <v>10</v>
      </c>
      <c r="B6" s="37" t="s">
        <v>11</v>
      </c>
      <c r="C6" s="2" t="s">
        <v>32</v>
      </c>
      <c r="D6" s="2" t="s">
        <v>33</v>
      </c>
      <c r="E6" s="2" t="s">
        <v>34</v>
      </c>
      <c r="F6" s="2" t="s">
        <v>35</v>
      </c>
      <c r="G6" s="103" t="s">
        <v>10</v>
      </c>
      <c r="H6" s="104" t="s">
        <v>11</v>
      </c>
      <c r="I6" s="104" t="s">
        <v>1</v>
      </c>
      <c r="J6" s="104" t="s">
        <v>30</v>
      </c>
      <c r="K6" s="104" t="s">
        <v>31</v>
      </c>
      <c r="L6" s="104" t="s">
        <v>28</v>
      </c>
      <c r="M6" s="104" t="s">
        <v>29</v>
      </c>
      <c r="N6" s="104" t="s">
        <v>72</v>
      </c>
      <c r="O6" s="104" t="s">
        <v>71</v>
      </c>
      <c r="P6" s="105" t="s">
        <v>48</v>
      </c>
      <c r="Q6" s="105"/>
      <c r="R6" s="105"/>
      <c r="S6" s="105"/>
      <c r="T6" s="167" t="s">
        <v>74</v>
      </c>
      <c r="U6" s="106" t="s">
        <v>73</v>
      </c>
      <c r="W6" s="253" t="s">
        <v>116</v>
      </c>
      <c r="X6" s="254" t="s">
        <v>117</v>
      </c>
      <c r="Y6" s="49" t="s">
        <v>118</v>
      </c>
      <c r="Z6" s="49" t="s">
        <v>119</v>
      </c>
      <c r="AA6" s="49" t="s">
        <v>120</v>
      </c>
      <c r="AB6" s="255" t="s">
        <v>128</v>
      </c>
      <c r="AC6" s="300"/>
      <c r="AD6" s="1" t="s">
        <v>123</v>
      </c>
      <c r="AE6" s="1"/>
      <c r="AF6" s="36" t="s">
        <v>126</v>
      </c>
      <c r="AK6" s="365" t="s">
        <v>116</v>
      </c>
      <c r="AL6" s="366" t="s">
        <v>117</v>
      </c>
      <c r="AM6" s="367" t="s">
        <v>118</v>
      </c>
      <c r="AN6" s="367" t="s">
        <v>119</v>
      </c>
      <c r="AO6" s="367" t="s">
        <v>120</v>
      </c>
      <c r="AP6" s="368" t="s">
        <v>128</v>
      </c>
      <c r="AQ6" s="363"/>
      <c r="AR6" s="362" t="s">
        <v>123</v>
      </c>
      <c r="AS6" s="362"/>
      <c r="AT6" s="36" t="s">
        <v>126</v>
      </c>
    </row>
    <row r="7" spans="1:49" ht="23.5" customHeight="1" x14ac:dyDescent="0.25">
      <c r="A7" s="54" t="s">
        <v>3</v>
      </c>
      <c r="B7" s="50"/>
      <c r="C7" s="42"/>
      <c r="D7" s="42"/>
      <c r="E7" s="42"/>
      <c r="F7" s="42"/>
      <c r="G7" s="107" t="s">
        <v>3</v>
      </c>
      <c r="H7" s="120">
        <f>B7</f>
        <v>0</v>
      </c>
      <c r="I7" s="74"/>
      <c r="J7" s="108"/>
      <c r="K7" s="108" t="e">
        <f t="shared" ref="K7:K14" si="0">J7/I7</f>
        <v>#DIV/0!</v>
      </c>
      <c r="L7" s="108"/>
      <c r="M7" s="109" t="e">
        <f t="shared" ref="M7:M14" si="1">L7/I7</f>
        <v>#DIV/0!</v>
      </c>
      <c r="N7" s="109"/>
      <c r="O7" s="110">
        <f t="shared" ref="O7:O14" si="2">J7+L7+N7</f>
        <v>0</v>
      </c>
      <c r="P7" s="111" t="e">
        <f>O7/I7</f>
        <v>#DIV/0!</v>
      </c>
      <c r="Q7" s="111"/>
      <c r="R7" s="111"/>
      <c r="S7" s="111"/>
      <c r="T7" s="168"/>
      <c r="U7" s="112" t="e">
        <f>O7/T7</f>
        <v>#DIV/0!</v>
      </c>
      <c r="W7" s="243"/>
      <c r="X7" s="243"/>
      <c r="Y7" s="49"/>
      <c r="Z7" s="49"/>
      <c r="AA7" s="49"/>
      <c r="AB7" s="272">
        <f t="shared" ref="AB7:AB14" si="3">SUM(Y7:AA7)/3</f>
        <v>0</v>
      </c>
      <c r="AD7" s="271" t="s">
        <v>124</v>
      </c>
      <c r="AE7" s="2"/>
      <c r="AF7" s="270">
        <v>5</v>
      </c>
      <c r="AK7" s="369"/>
      <c r="AL7" s="369"/>
      <c r="AM7" s="367"/>
      <c r="AN7" s="367"/>
      <c r="AO7" s="367"/>
      <c r="AP7" s="370">
        <f t="shared" ref="AP7:AP14" si="4">SUM(AM7:AO7)/3</f>
        <v>0</v>
      </c>
      <c r="AR7" s="371" t="s">
        <v>124</v>
      </c>
      <c r="AS7" s="364"/>
      <c r="AT7" s="270">
        <v>5</v>
      </c>
    </row>
    <row r="8" spans="1:49" ht="23.5" customHeight="1" x14ac:dyDescent="0.25">
      <c r="A8" s="55" t="s">
        <v>4</v>
      </c>
      <c r="B8" s="50"/>
      <c r="C8" s="42"/>
      <c r="D8" s="42"/>
      <c r="E8" s="42"/>
      <c r="F8" s="42"/>
      <c r="G8" s="103" t="s">
        <v>4</v>
      </c>
      <c r="H8" s="120">
        <f t="shared" ref="H8:H13" si="5">B8</f>
        <v>0</v>
      </c>
      <c r="I8" s="74"/>
      <c r="J8" s="108"/>
      <c r="K8" s="108" t="e">
        <f t="shared" si="0"/>
        <v>#DIV/0!</v>
      </c>
      <c r="L8" s="108"/>
      <c r="M8" s="109" t="e">
        <f t="shared" si="1"/>
        <v>#DIV/0!</v>
      </c>
      <c r="N8" s="109"/>
      <c r="O8" s="110">
        <f t="shared" si="2"/>
        <v>0</v>
      </c>
      <c r="P8" s="111" t="e">
        <f t="shared" ref="P8:P13" si="6">O8/I8</f>
        <v>#DIV/0!</v>
      </c>
      <c r="Q8" s="111"/>
      <c r="R8" s="111"/>
      <c r="S8" s="111"/>
      <c r="T8" s="169"/>
      <c r="U8" s="112" t="e">
        <f t="shared" ref="U8:U14" si="7">O8/T8</f>
        <v>#DIV/0!</v>
      </c>
      <c r="W8" s="243"/>
      <c r="X8" s="243"/>
      <c r="Y8" s="49"/>
      <c r="Z8" s="49"/>
      <c r="AA8" s="49"/>
      <c r="AB8" s="272">
        <f t="shared" si="3"/>
        <v>0</v>
      </c>
      <c r="AD8" s="35" t="s">
        <v>125</v>
      </c>
      <c r="AF8" s="1">
        <v>4</v>
      </c>
      <c r="AK8" s="369"/>
      <c r="AL8" s="369"/>
      <c r="AM8" s="367"/>
      <c r="AN8" s="367"/>
      <c r="AO8" s="367"/>
      <c r="AP8" s="370">
        <f t="shared" si="4"/>
        <v>0</v>
      </c>
      <c r="AR8" s="362" t="s">
        <v>125</v>
      </c>
      <c r="AT8" s="1">
        <v>4</v>
      </c>
    </row>
    <row r="9" spans="1:49" ht="23.5" customHeight="1" x14ac:dyDescent="0.25">
      <c r="A9" s="55" t="s">
        <v>5</v>
      </c>
      <c r="B9" s="50"/>
      <c r="C9" s="42"/>
      <c r="D9" s="42"/>
      <c r="E9" s="42"/>
      <c r="F9" s="42"/>
      <c r="G9" s="103" t="s">
        <v>5</v>
      </c>
      <c r="H9" s="120">
        <f t="shared" si="5"/>
        <v>0</v>
      </c>
      <c r="I9" s="74"/>
      <c r="J9" s="108"/>
      <c r="K9" s="108" t="e">
        <f t="shared" si="0"/>
        <v>#DIV/0!</v>
      </c>
      <c r="L9" s="108"/>
      <c r="M9" s="109" t="e">
        <f t="shared" si="1"/>
        <v>#DIV/0!</v>
      </c>
      <c r="N9" s="109"/>
      <c r="O9" s="110">
        <f t="shared" si="2"/>
        <v>0</v>
      </c>
      <c r="P9" s="111" t="e">
        <f t="shared" si="6"/>
        <v>#DIV/0!</v>
      </c>
      <c r="Q9" s="111"/>
      <c r="R9" s="111"/>
      <c r="S9" s="111"/>
      <c r="T9" s="169"/>
      <c r="U9" s="112" t="e">
        <f t="shared" si="7"/>
        <v>#DIV/0!</v>
      </c>
      <c r="W9" s="243"/>
      <c r="X9" s="243"/>
      <c r="Y9" s="49"/>
      <c r="Z9" s="49"/>
      <c r="AA9" s="49"/>
      <c r="AB9" s="272">
        <f t="shared" si="3"/>
        <v>0</v>
      </c>
      <c r="AD9" s="35" t="s">
        <v>182</v>
      </c>
      <c r="AF9" s="1">
        <v>3</v>
      </c>
      <c r="AK9" s="369"/>
      <c r="AL9" s="369"/>
      <c r="AM9" s="367"/>
      <c r="AN9" s="367"/>
      <c r="AO9" s="367"/>
      <c r="AP9" s="370">
        <f t="shared" si="4"/>
        <v>0</v>
      </c>
      <c r="AR9" s="362" t="s">
        <v>129</v>
      </c>
      <c r="AT9" s="1">
        <v>3</v>
      </c>
    </row>
    <row r="10" spans="1:49" ht="23.5" customHeight="1" x14ac:dyDescent="0.25">
      <c r="A10" s="55" t="s">
        <v>6</v>
      </c>
      <c r="B10" s="50"/>
      <c r="C10" s="42"/>
      <c r="D10" s="42"/>
      <c r="E10" s="42"/>
      <c r="F10" s="42"/>
      <c r="G10" s="103" t="s">
        <v>6</v>
      </c>
      <c r="H10" s="120">
        <f t="shared" si="5"/>
        <v>0</v>
      </c>
      <c r="I10" s="74"/>
      <c r="J10" s="108"/>
      <c r="K10" s="108" t="e">
        <f t="shared" si="0"/>
        <v>#DIV/0!</v>
      </c>
      <c r="L10" s="108"/>
      <c r="M10" s="109" t="e">
        <f t="shared" si="1"/>
        <v>#DIV/0!</v>
      </c>
      <c r="N10" s="109"/>
      <c r="O10" s="110">
        <f t="shared" si="2"/>
        <v>0</v>
      </c>
      <c r="P10" s="111" t="e">
        <f t="shared" si="6"/>
        <v>#DIV/0!</v>
      </c>
      <c r="Q10" s="111"/>
      <c r="R10" s="111"/>
      <c r="S10" s="111"/>
      <c r="T10" s="169"/>
      <c r="U10" s="112" t="e">
        <f t="shared" si="7"/>
        <v>#DIV/0!</v>
      </c>
      <c r="W10" s="243"/>
      <c r="X10" s="243"/>
      <c r="Y10" s="49"/>
      <c r="Z10" s="49"/>
      <c r="AA10" s="49"/>
      <c r="AB10" s="272">
        <f t="shared" si="3"/>
        <v>0</v>
      </c>
      <c r="AD10" s="35" t="s">
        <v>121</v>
      </c>
      <c r="AF10" s="1">
        <v>2</v>
      </c>
      <c r="AK10" s="369"/>
      <c r="AL10" s="369"/>
      <c r="AM10" s="367"/>
      <c r="AN10" s="367"/>
      <c r="AO10" s="367"/>
      <c r="AP10" s="370">
        <f t="shared" si="4"/>
        <v>0</v>
      </c>
      <c r="AR10" s="362" t="s">
        <v>121</v>
      </c>
      <c r="AT10" s="1">
        <v>2</v>
      </c>
    </row>
    <row r="11" spans="1:49" ht="23.5" customHeight="1" x14ac:dyDescent="0.25">
      <c r="A11" s="55" t="s">
        <v>7</v>
      </c>
      <c r="B11" s="50"/>
      <c r="C11" s="42"/>
      <c r="D11" s="42"/>
      <c r="E11" s="42"/>
      <c r="F11" s="42"/>
      <c r="G11" s="103" t="s">
        <v>7</v>
      </c>
      <c r="H11" s="120">
        <f t="shared" si="5"/>
        <v>0</v>
      </c>
      <c r="I11" s="74"/>
      <c r="J11" s="108"/>
      <c r="K11" s="108" t="e">
        <f t="shared" si="0"/>
        <v>#DIV/0!</v>
      </c>
      <c r="L11" s="108"/>
      <c r="M11" s="109" t="e">
        <f t="shared" si="1"/>
        <v>#DIV/0!</v>
      </c>
      <c r="N11" s="109"/>
      <c r="O11" s="110">
        <f t="shared" si="2"/>
        <v>0</v>
      </c>
      <c r="P11" s="111" t="e">
        <f t="shared" si="6"/>
        <v>#DIV/0!</v>
      </c>
      <c r="Q11" s="111"/>
      <c r="R11" s="111"/>
      <c r="S11" s="111"/>
      <c r="T11" s="169"/>
      <c r="U11" s="112" t="e">
        <f t="shared" si="7"/>
        <v>#DIV/0!</v>
      </c>
      <c r="W11" s="243"/>
      <c r="X11" s="243"/>
      <c r="Y11" s="256"/>
      <c r="Z11" s="256"/>
      <c r="AA11" s="256"/>
      <c r="AB11" s="272">
        <f t="shared" si="3"/>
        <v>0</v>
      </c>
      <c r="AD11" s="35" t="s">
        <v>122</v>
      </c>
      <c r="AF11" s="1">
        <v>1</v>
      </c>
      <c r="AK11" s="369">
        <v>9.6</v>
      </c>
      <c r="AL11" s="369">
        <v>24.7</v>
      </c>
      <c r="AM11" s="370">
        <v>4</v>
      </c>
      <c r="AN11" s="370">
        <v>4</v>
      </c>
      <c r="AO11" s="370">
        <v>4</v>
      </c>
      <c r="AP11" s="370">
        <f t="shared" si="4"/>
        <v>4</v>
      </c>
      <c r="AR11" s="362" t="s">
        <v>122</v>
      </c>
      <c r="AT11" s="1">
        <v>1</v>
      </c>
    </row>
    <row r="12" spans="1:49" ht="23.5" customHeight="1" x14ac:dyDescent="0.25">
      <c r="A12" s="55" t="s">
        <v>8</v>
      </c>
      <c r="B12" s="50"/>
      <c r="C12" s="42"/>
      <c r="D12" s="42"/>
      <c r="E12" s="42"/>
      <c r="F12" s="42"/>
      <c r="G12" s="103" t="s">
        <v>8</v>
      </c>
      <c r="H12" s="120">
        <f t="shared" si="5"/>
        <v>0</v>
      </c>
      <c r="I12" s="74"/>
      <c r="J12" s="108"/>
      <c r="K12" s="108" t="e">
        <f t="shared" si="0"/>
        <v>#DIV/0!</v>
      </c>
      <c r="L12" s="108"/>
      <c r="M12" s="109" t="e">
        <f t="shared" si="1"/>
        <v>#DIV/0!</v>
      </c>
      <c r="N12" s="109"/>
      <c r="O12" s="110">
        <f t="shared" si="2"/>
        <v>0</v>
      </c>
      <c r="P12" s="111" t="e">
        <f t="shared" si="6"/>
        <v>#DIV/0!</v>
      </c>
      <c r="Q12" s="111"/>
      <c r="R12" s="111"/>
      <c r="S12" s="111"/>
      <c r="T12" s="169"/>
      <c r="U12" s="112" t="e">
        <f t="shared" si="7"/>
        <v>#DIV/0!</v>
      </c>
      <c r="W12" s="244"/>
      <c r="X12" s="243"/>
      <c r="Y12" s="256"/>
      <c r="Z12" s="256"/>
      <c r="AA12" s="256"/>
      <c r="AB12" s="272">
        <f t="shared" si="3"/>
        <v>0</v>
      </c>
      <c r="AD12" s="35" t="s">
        <v>127</v>
      </c>
      <c r="AF12" s="1">
        <v>0</v>
      </c>
      <c r="AK12" s="372">
        <v>15.4</v>
      </c>
      <c r="AL12" s="369">
        <v>21.9</v>
      </c>
      <c r="AM12" s="370">
        <v>4</v>
      </c>
      <c r="AN12" s="370">
        <v>4</v>
      </c>
      <c r="AO12" s="421">
        <v>1</v>
      </c>
      <c r="AP12" s="370">
        <f t="shared" si="4"/>
        <v>3</v>
      </c>
      <c r="AR12" s="362" t="s">
        <v>127</v>
      </c>
      <c r="AT12" s="1">
        <v>0</v>
      </c>
    </row>
    <row r="13" spans="1:49" ht="23.5" customHeight="1" thickBot="1" x14ac:dyDescent="0.3">
      <c r="A13" s="56" t="s">
        <v>9</v>
      </c>
      <c r="B13" s="50">
        <v>1</v>
      </c>
      <c r="C13" s="42"/>
      <c r="D13" s="42"/>
      <c r="E13" s="42"/>
      <c r="F13" s="42"/>
      <c r="G13" s="113" t="s">
        <v>9</v>
      </c>
      <c r="H13" s="120">
        <f t="shared" si="5"/>
        <v>1</v>
      </c>
      <c r="I13" s="74">
        <v>214</v>
      </c>
      <c r="J13" s="108">
        <v>429850</v>
      </c>
      <c r="K13" s="108">
        <f t="shared" si="0"/>
        <v>2008.6448598130842</v>
      </c>
      <c r="L13" s="108">
        <v>258400</v>
      </c>
      <c r="M13" s="109">
        <f t="shared" si="1"/>
        <v>1207.4766355140187</v>
      </c>
      <c r="N13" s="109">
        <v>2750</v>
      </c>
      <c r="O13" s="110">
        <f t="shared" si="2"/>
        <v>691000</v>
      </c>
      <c r="P13" s="111">
        <f t="shared" si="6"/>
        <v>3228.9719626168226</v>
      </c>
      <c r="Q13" s="111"/>
      <c r="R13" s="111"/>
      <c r="S13" s="111"/>
      <c r="T13" s="169"/>
      <c r="U13" s="112" t="e">
        <f t="shared" si="7"/>
        <v>#DIV/0!</v>
      </c>
      <c r="W13" s="245">
        <v>11.5</v>
      </c>
      <c r="X13" s="246">
        <v>21.5</v>
      </c>
      <c r="Y13" s="256">
        <v>3</v>
      </c>
      <c r="Z13" s="256">
        <v>3</v>
      </c>
      <c r="AA13" s="256">
        <v>3</v>
      </c>
      <c r="AB13" s="273">
        <f t="shared" si="3"/>
        <v>3</v>
      </c>
      <c r="AD13" s="1" t="s">
        <v>130</v>
      </c>
      <c r="AK13" s="373">
        <v>13.6</v>
      </c>
      <c r="AL13" s="374">
        <v>16.399999999999999</v>
      </c>
      <c r="AM13" s="370">
        <v>1</v>
      </c>
      <c r="AN13" s="370">
        <v>1</v>
      </c>
      <c r="AO13" s="370">
        <v>4</v>
      </c>
      <c r="AP13" s="375">
        <f t="shared" si="4"/>
        <v>2</v>
      </c>
      <c r="AR13" s="362" t="s">
        <v>130</v>
      </c>
    </row>
    <row r="14" spans="1:49" s="396" customFormat="1" ht="31" customHeight="1" thickTop="1" thickBot="1" x14ac:dyDescent="0.3">
      <c r="A14" s="726" t="s">
        <v>13</v>
      </c>
      <c r="B14" s="727"/>
      <c r="C14" s="396" t="s">
        <v>36</v>
      </c>
      <c r="D14" s="395" t="e">
        <f>#REF!/F14</f>
        <v>#REF!</v>
      </c>
      <c r="E14" s="397" t="s">
        <v>37</v>
      </c>
      <c r="F14" s="396" t="e">
        <f>#REF!</f>
        <v>#REF!</v>
      </c>
      <c r="G14" s="726" t="s">
        <v>13</v>
      </c>
      <c r="H14" s="727"/>
      <c r="I14" s="110">
        <f>SUM(I7:I13)</f>
        <v>214</v>
      </c>
      <c r="J14" s="110">
        <f>SUM(J7:J13)</f>
        <v>429850</v>
      </c>
      <c r="K14" s="110">
        <f t="shared" si="0"/>
        <v>2008.6448598130842</v>
      </c>
      <c r="L14" s="110">
        <f>SUM(L7:L13)</f>
        <v>258400</v>
      </c>
      <c r="M14" s="74">
        <f t="shared" si="1"/>
        <v>1207.4766355140187</v>
      </c>
      <c r="N14" s="74">
        <f>SUM(N7:N13)</f>
        <v>2750</v>
      </c>
      <c r="O14" s="408">
        <f t="shared" si="2"/>
        <v>691000</v>
      </c>
      <c r="P14" s="116">
        <f>O14/I14</f>
        <v>3228.9719626168226</v>
      </c>
      <c r="Q14" s="116"/>
      <c r="R14" s="116"/>
      <c r="S14" s="116"/>
      <c r="T14" s="170">
        <f>SUM(T7:T13)</f>
        <v>0</v>
      </c>
      <c r="U14" s="112" t="e">
        <f t="shared" si="7"/>
        <v>#DIV/0!</v>
      </c>
      <c r="V14" s="396">
        <v>1</v>
      </c>
      <c r="W14" s="398">
        <f>SUM(W7:W13)/V14</f>
        <v>11.5</v>
      </c>
      <c r="X14" s="399">
        <f>SUM(X7:X13)/V14</f>
        <v>21.5</v>
      </c>
      <c r="Y14" s="400">
        <f>SUM(Y7:Y13)/V14</f>
        <v>3</v>
      </c>
      <c r="Z14" s="400">
        <f>SUM(Z7:Z13)/V14</f>
        <v>3</v>
      </c>
      <c r="AA14" s="400">
        <f>SUM(AA7:AA13)/V14</f>
        <v>3</v>
      </c>
      <c r="AB14" s="401">
        <f t="shared" si="3"/>
        <v>3</v>
      </c>
      <c r="AC14" s="402" t="s">
        <v>132</v>
      </c>
      <c r="AD14" s="787">
        <f>O14/V14</f>
        <v>691000</v>
      </c>
      <c r="AE14" s="788"/>
      <c r="AF14" s="788"/>
      <c r="AG14" s="788"/>
      <c r="AH14" s="789"/>
      <c r="AI14" s="396" t="s">
        <v>141</v>
      </c>
      <c r="AJ14" s="396">
        <v>3</v>
      </c>
      <c r="AK14" s="398">
        <f>SUM(AK7:AK13)/AJ14</f>
        <v>12.866666666666667</v>
      </c>
      <c r="AL14" s="399">
        <f>SUM(AL7:AL13)/AJ14</f>
        <v>20.999999999999996</v>
      </c>
      <c r="AM14" s="400">
        <f>SUM(AM7:AM13)/AJ14</f>
        <v>3</v>
      </c>
      <c r="AN14" s="400">
        <f>SUM(AN7:AN13)/AJ14</f>
        <v>3</v>
      </c>
      <c r="AO14" s="400">
        <f>SUM(AO7:AO13)/AJ14</f>
        <v>3</v>
      </c>
      <c r="AP14" s="401">
        <f t="shared" si="4"/>
        <v>3</v>
      </c>
      <c r="AQ14" s="402" t="s">
        <v>132</v>
      </c>
      <c r="AR14" s="771">
        <v>387183.33333333331</v>
      </c>
      <c r="AS14" s="772"/>
      <c r="AT14" s="772"/>
      <c r="AU14" s="772"/>
      <c r="AV14" s="773"/>
      <c r="AW14" s="396" t="s">
        <v>141</v>
      </c>
    </row>
    <row r="15" spans="1:49" ht="23.5" customHeight="1" thickTop="1" x14ac:dyDescent="0.25">
      <c r="A15" s="710" t="s">
        <v>14</v>
      </c>
      <c r="B15" s="711"/>
      <c r="G15" s="713" t="s">
        <v>14</v>
      </c>
      <c r="H15" s="714"/>
      <c r="I15" s="714"/>
      <c r="J15" s="714"/>
      <c r="K15" s="714"/>
      <c r="L15" s="714"/>
      <c r="M15" s="714"/>
      <c r="N15" s="714"/>
      <c r="O15" s="714"/>
      <c r="P15" s="714"/>
      <c r="Q15" s="714"/>
      <c r="R15" s="714"/>
      <c r="S15" s="714"/>
      <c r="T15" s="714"/>
      <c r="U15" s="715"/>
      <c r="W15" s="716" t="str">
        <f>G15</f>
        <v>2nd week</v>
      </c>
      <c r="X15" s="716"/>
      <c r="Y15" s="716"/>
      <c r="Z15" s="716"/>
      <c r="AA15" s="716"/>
      <c r="AB15" s="716"/>
      <c r="AK15" s="791">
        <f>X15</f>
        <v>0</v>
      </c>
      <c r="AL15" s="791"/>
      <c r="AM15" s="791"/>
      <c r="AN15" s="791"/>
      <c r="AO15" s="791"/>
      <c r="AP15" s="791"/>
    </row>
    <row r="16" spans="1:49" ht="23.5" customHeight="1" x14ac:dyDescent="0.25">
      <c r="A16" s="53" t="s">
        <v>10</v>
      </c>
      <c r="B16" s="37" t="s">
        <v>11</v>
      </c>
      <c r="C16" s="2" t="s">
        <v>32</v>
      </c>
      <c r="D16" s="2" t="s">
        <v>33</v>
      </c>
      <c r="E16" s="2" t="s">
        <v>34</v>
      </c>
      <c r="F16" s="2" t="s">
        <v>35</v>
      </c>
      <c r="G16" s="103" t="s">
        <v>10</v>
      </c>
      <c r="H16" s="104" t="s">
        <v>11</v>
      </c>
      <c r="I16" s="104" t="s">
        <v>1</v>
      </c>
      <c r="J16" s="104" t="s">
        <v>30</v>
      </c>
      <c r="K16" s="104" t="s">
        <v>31</v>
      </c>
      <c r="L16" s="104" t="s">
        <v>28</v>
      </c>
      <c r="M16" s="104" t="s">
        <v>29</v>
      </c>
      <c r="N16" s="104" t="s">
        <v>72</v>
      </c>
      <c r="O16" s="104" t="s">
        <v>71</v>
      </c>
      <c r="P16" s="105" t="s">
        <v>48</v>
      </c>
      <c r="Q16" s="105"/>
      <c r="R16" s="105"/>
      <c r="S16" s="105"/>
      <c r="T16" s="167" t="s">
        <v>74</v>
      </c>
      <c r="U16" s="106" t="s">
        <v>73</v>
      </c>
      <c r="W16" s="253" t="s">
        <v>116</v>
      </c>
      <c r="X16" s="254" t="s">
        <v>117</v>
      </c>
      <c r="Y16" s="49" t="s">
        <v>118</v>
      </c>
      <c r="Z16" s="49" t="s">
        <v>119</v>
      </c>
      <c r="AA16" s="49" t="s">
        <v>120</v>
      </c>
      <c r="AB16" s="255" t="s">
        <v>128</v>
      </c>
      <c r="AD16" s="1" t="s">
        <v>123</v>
      </c>
      <c r="AF16" s="36" t="s">
        <v>126</v>
      </c>
      <c r="AK16" s="365" t="s">
        <v>116</v>
      </c>
      <c r="AL16" s="366" t="s">
        <v>117</v>
      </c>
      <c r="AM16" s="367" t="s">
        <v>118</v>
      </c>
      <c r="AN16" s="367" t="s">
        <v>119</v>
      </c>
      <c r="AO16" s="367" t="s">
        <v>120</v>
      </c>
      <c r="AP16" s="368" t="s">
        <v>128</v>
      </c>
      <c r="AR16" s="362" t="s">
        <v>123</v>
      </c>
      <c r="AT16" s="36" t="s">
        <v>126</v>
      </c>
    </row>
    <row r="17" spans="1:49" ht="23.5" customHeight="1" x14ac:dyDescent="0.25">
      <c r="A17" s="54" t="s">
        <v>3</v>
      </c>
      <c r="B17" s="50">
        <v>2</v>
      </c>
      <c r="C17" s="42"/>
      <c r="D17" s="42"/>
      <c r="E17" s="42"/>
      <c r="F17" s="42"/>
      <c r="G17" s="107" t="s">
        <v>3</v>
      </c>
      <c r="H17" s="120">
        <f>B17</f>
        <v>2</v>
      </c>
      <c r="I17" s="74">
        <v>176</v>
      </c>
      <c r="J17" s="108">
        <v>399250</v>
      </c>
      <c r="K17" s="108">
        <f t="shared" ref="K17:K24" si="8">J17/I17</f>
        <v>2268.465909090909</v>
      </c>
      <c r="L17" s="108">
        <v>226050</v>
      </c>
      <c r="M17" s="109">
        <f t="shared" ref="M17:M24" si="9">L17/I17</f>
        <v>1284.375</v>
      </c>
      <c r="N17" s="109"/>
      <c r="O17" s="110">
        <f t="shared" ref="O17:O24" si="10">J17+L17+N17</f>
        <v>625300</v>
      </c>
      <c r="P17" s="111">
        <f>O17/I17</f>
        <v>3552.840909090909</v>
      </c>
      <c r="Q17" s="111"/>
      <c r="R17" s="111"/>
      <c r="S17" s="111"/>
      <c r="T17" s="168"/>
      <c r="U17" s="112" t="e">
        <f>O17/T17</f>
        <v>#DIV/0!</v>
      </c>
      <c r="W17" s="248">
        <v>10.5</v>
      </c>
      <c r="X17" s="248">
        <v>20.399999999999999</v>
      </c>
      <c r="Y17" s="256">
        <v>3</v>
      </c>
      <c r="Z17" s="256">
        <v>3</v>
      </c>
      <c r="AA17" s="256">
        <v>3</v>
      </c>
      <c r="AB17" s="272">
        <f>SUM(Y17:AA17)/3</f>
        <v>3</v>
      </c>
      <c r="AD17" s="271" t="s">
        <v>124</v>
      </c>
      <c r="AE17" s="2"/>
      <c r="AF17" s="270">
        <v>5</v>
      </c>
      <c r="AK17" s="378">
        <v>8.1999999999999993</v>
      </c>
      <c r="AL17" s="378">
        <v>17.399999999999999</v>
      </c>
      <c r="AM17" s="370">
        <v>1</v>
      </c>
      <c r="AN17" s="370">
        <v>1</v>
      </c>
      <c r="AO17" s="370">
        <v>4</v>
      </c>
      <c r="AP17" s="370">
        <f>SUM(AM17:AO17)/3</f>
        <v>2</v>
      </c>
      <c r="AR17" s="371" t="s">
        <v>124</v>
      </c>
      <c r="AS17" s="364"/>
      <c r="AT17" s="270">
        <v>5</v>
      </c>
    </row>
    <row r="18" spans="1:49" ht="23.5" customHeight="1" x14ac:dyDescent="0.25">
      <c r="A18" s="55" t="s">
        <v>4</v>
      </c>
      <c r="B18" s="50">
        <v>3</v>
      </c>
      <c r="C18" s="42"/>
      <c r="D18" s="42"/>
      <c r="E18" s="42"/>
      <c r="F18" s="42"/>
      <c r="G18" s="103" t="s">
        <v>4</v>
      </c>
      <c r="H18" s="120">
        <f t="shared" ref="H18:H23" si="11">B18</f>
        <v>3</v>
      </c>
      <c r="I18" s="74">
        <v>46</v>
      </c>
      <c r="J18" s="108">
        <v>112350</v>
      </c>
      <c r="K18" s="108">
        <f t="shared" si="8"/>
        <v>2442.391304347826</v>
      </c>
      <c r="L18" s="108">
        <v>64800</v>
      </c>
      <c r="M18" s="109">
        <f t="shared" si="9"/>
        <v>1408.695652173913</v>
      </c>
      <c r="N18" s="109"/>
      <c r="O18" s="110">
        <f t="shared" si="10"/>
        <v>177150</v>
      </c>
      <c r="P18" s="111">
        <f t="shared" ref="P18:P23" si="12">O18/I18</f>
        <v>3851.086956521739</v>
      </c>
      <c r="Q18" s="111"/>
      <c r="R18" s="111"/>
      <c r="S18" s="111"/>
      <c r="T18" s="168"/>
      <c r="U18" s="112" t="e">
        <f>O18/#REF!</f>
        <v>#REF!</v>
      </c>
      <c r="W18" s="248">
        <v>12.2</v>
      </c>
      <c r="X18" s="248">
        <v>19.899999999999999</v>
      </c>
      <c r="Y18" s="256">
        <v>2</v>
      </c>
      <c r="Z18" s="256">
        <v>2</v>
      </c>
      <c r="AA18" s="256">
        <v>2</v>
      </c>
      <c r="AB18" s="272">
        <f t="shared" ref="AB18:AB23" si="13">SUM(Y18:AA18)/3</f>
        <v>2</v>
      </c>
      <c r="AD18" s="35" t="s">
        <v>125</v>
      </c>
      <c r="AF18" s="1">
        <v>4</v>
      </c>
      <c r="AK18" s="378">
        <v>8.9</v>
      </c>
      <c r="AL18" s="378">
        <v>17.7</v>
      </c>
      <c r="AM18" s="370">
        <v>2</v>
      </c>
      <c r="AN18" s="370">
        <v>1</v>
      </c>
      <c r="AO18" s="370">
        <v>4</v>
      </c>
      <c r="AP18" s="370">
        <f t="shared" ref="AP18:AP23" si="14">SUM(AM18:AO18)/3</f>
        <v>2.3333333333333335</v>
      </c>
      <c r="AR18" s="362" t="s">
        <v>125</v>
      </c>
      <c r="AT18" s="1">
        <v>4</v>
      </c>
    </row>
    <row r="19" spans="1:49" ht="23.5" customHeight="1" x14ac:dyDescent="0.25">
      <c r="A19" s="55" t="s">
        <v>5</v>
      </c>
      <c r="B19" s="50">
        <v>4</v>
      </c>
      <c r="C19" s="42"/>
      <c r="D19" s="42"/>
      <c r="E19" s="42"/>
      <c r="F19" s="42"/>
      <c r="G19" s="103" t="s">
        <v>5</v>
      </c>
      <c r="H19" s="120">
        <f t="shared" si="11"/>
        <v>4</v>
      </c>
      <c r="I19" s="74">
        <v>31</v>
      </c>
      <c r="J19" s="108">
        <v>53050</v>
      </c>
      <c r="K19" s="108">
        <f t="shared" si="8"/>
        <v>1711.2903225806451</v>
      </c>
      <c r="L19" s="108">
        <v>37250</v>
      </c>
      <c r="M19" s="109">
        <f t="shared" si="9"/>
        <v>1201.6129032258063</v>
      </c>
      <c r="N19" s="109"/>
      <c r="O19" s="110">
        <f t="shared" si="10"/>
        <v>90300</v>
      </c>
      <c r="P19" s="111">
        <f t="shared" si="12"/>
        <v>2912.9032258064517</v>
      </c>
      <c r="Q19" s="810"/>
      <c r="R19" s="810"/>
      <c r="S19" s="810"/>
      <c r="U19" s="112" t="e">
        <f>O19/T18</f>
        <v>#DIV/0!</v>
      </c>
      <c r="W19" s="248">
        <v>11.9</v>
      </c>
      <c r="X19" s="248">
        <v>22.3</v>
      </c>
      <c r="Y19" s="256">
        <v>3</v>
      </c>
      <c r="Z19" s="419">
        <v>1</v>
      </c>
      <c r="AA19" s="419">
        <v>1</v>
      </c>
      <c r="AB19" s="272">
        <f t="shared" si="13"/>
        <v>1.6666666666666667</v>
      </c>
      <c r="AD19" s="35" t="s">
        <v>182</v>
      </c>
      <c r="AF19" s="1">
        <v>3</v>
      </c>
      <c r="AK19" s="378">
        <v>10.9</v>
      </c>
      <c r="AL19" s="378">
        <v>22.5</v>
      </c>
      <c r="AM19" s="370">
        <v>1</v>
      </c>
      <c r="AN19" s="370">
        <v>1</v>
      </c>
      <c r="AO19" s="370">
        <v>4</v>
      </c>
      <c r="AP19" s="370">
        <f t="shared" si="14"/>
        <v>2</v>
      </c>
      <c r="AR19" s="362" t="s">
        <v>129</v>
      </c>
      <c r="AT19" s="1">
        <v>3</v>
      </c>
    </row>
    <row r="20" spans="1:49" ht="23.5" customHeight="1" x14ac:dyDescent="0.25">
      <c r="A20" s="55" t="s">
        <v>6</v>
      </c>
      <c r="B20" s="50">
        <v>5</v>
      </c>
      <c r="C20" s="42"/>
      <c r="D20" s="42"/>
      <c r="E20" s="42"/>
      <c r="F20" s="42"/>
      <c r="G20" s="103" t="s">
        <v>6</v>
      </c>
      <c r="H20" s="120">
        <f t="shared" si="11"/>
        <v>5</v>
      </c>
      <c r="I20" s="74">
        <v>51</v>
      </c>
      <c r="J20" s="108">
        <v>139450</v>
      </c>
      <c r="K20" s="108">
        <f t="shared" si="8"/>
        <v>2734.3137254901962</v>
      </c>
      <c r="L20" s="108">
        <v>69900</v>
      </c>
      <c r="M20" s="109">
        <f t="shared" si="9"/>
        <v>1370.5882352941176</v>
      </c>
      <c r="N20" s="109">
        <v>2200</v>
      </c>
      <c r="O20" s="110">
        <f t="shared" si="10"/>
        <v>211550</v>
      </c>
      <c r="P20" s="111">
        <f t="shared" si="12"/>
        <v>4148.0392156862745</v>
      </c>
      <c r="Q20" s="111"/>
      <c r="R20" s="111"/>
      <c r="S20" s="111"/>
      <c r="T20" s="168"/>
      <c r="U20" s="112" t="e">
        <f>O20/T20</f>
        <v>#DIV/0!</v>
      </c>
      <c r="W20" s="248">
        <v>11.8</v>
      </c>
      <c r="X20" s="248">
        <v>13.5</v>
      </c>
      <c r="Y20" s="419">
        <v>1</v>
      </c>
      <c r="Z20" s="419">
        <v>1</v>
      </c>
      <c r="AA20" s="419">
        <v>1</v>
      </c>
      <c r="AB20" s="272">
        <f t="shared" si="13"/>
        <v>1</v>
      </c>
      <c r="AD20" s="35" t="s">
        <v>121</v>
      </c>
      <c r="AF20" s="1">
        <v>2</v>
      </c>
      <c r="AK20" s="378">
        <v>15.5</v>
      </c>
      <c r="AL20" s="378">
        <v>20.6</v>
      </c>
      <c r="AM20" s="370">
        <v>1</v>
      </c>
      <c r="AN20" s="370">
        <v>1</v>
      </c>
      <c r="AO20" s="370">
        <v>2</v>
      </c>
      <c r="AP20" s="370">
        <f t="shared" si="14"/>
        <v>1.3333333333333333</v>
      </c>
      <c r="AR20" s="362" t="s">
        <v>121</v>
      </c>
      <c r="AT20" s="1">
        <v>2</v>
      </c>
    </row>
    <row r="21" spans="1:49" ht="23.5" customHeight="1" x14ac:dyDescent="0.25">
      <c r="A21" s="55" t="s">
        <v>7</v>
      </c>
      <c r="B21" s="50">
        <v>6</v>
      </c>
      <c r="C21" s="42"/>
      <c r="D21" s="42"/>
      <c r="E21" s="42"/>
      <c r="F21" s="42"/>
      <c r="G21" s="103" t="s">
        <v>7</v>
      </c>
      <c r="H21" s="120">
        <f t="shared" si="11"/>
        <v>6</v>
      </c>
      <c r="I21" s="74">
        <v>41</v>
      </c>
      <c r="J21" s="108">
        <v>51350</v>
      </c>
      <c r="K21" s="108">
        <f t="shared" si="8"/>
        <v>1252.439024390244</v>
      </c>
      <c r="L21" s="108">
        <v>85950</v>
      </c>
      <c r="M21" s="109">
        <f t="shared" si="9"/>
        <v>2096.3414634146343</v>
      </c>
      <c r="N21" s="109"/>
      <c r="O21" s="110">
        <f t="shared" si="10"/>
        <v>137300</v>
      </c>
      <c r="P21" s="111">
        <f t="shared" si="12"/>
        <v>3348.7804878048782</v>
      </c>
      <c r="Q21" s="111"/>
      <c r="R21" s="111"/>
      <c r="S21" s="111"/>
      <c r="T21" s="168"/>
      <c r="U21" s="112" t="e">
        <f>O21/T21</f>
        <v>#DIV/0!</v>
      </c>
      <c r="W21" s="248">
        <v>10.7</v>
      </c>
      <c r="X21" s="248">
        <v>15.1</v>
      </c>
      <c r="Y21" s="256">
        <v>2</v>
      </c>
      <c r="Z21" s="256">
        <v>2</v>
      </c>
      <c r="AA21" s="256">
        <v>2</v>
      </c>
      <c r="AB21" s="272">
        <f t="shared" si="13"/>
        <v>2</v>
      </c>
      <c r="AD21" s="35" t="s">
        <v>122</v>
      </c>
      <c r="AF21" s="1">
        <v>1</v>
      </c>
      <c r="AK21" s="378">
        <v>14.3</v>
      </c>
      <c r="AL21" s="378">
        <v>26.2</v>
      </c>
      <c r="AM21" s="370">
        <v>5</v>
      </c>
      <c r="AN21" s="370">
        <v>5</v>
      </c>
      <c r="AO21" s="370">
        <v>4</v>
      </c>
      <c r="AP21" s="370">
        <f t="shared" si="14"/>
        <v>4.666666666666667</v>
      </c>
      <c r="AR21" s="362" t="s">
        <v>122</v>
      </c>
      <c r="AT21" s="1">
        <v>1</v>
      </c>
    </row>
    <row r="22" spans="1:49" ht="23.5" customHeight="1" x14ac:dyDescent="0.25">
      <c r="A22" s="55" t="s">
        <v>8</v>
      </c>
      <c r="B22" s="50">
        <v>7</v>
      </c>
      <c r="C22" s="42"/>
      <c r="D22" s="42"/>
      <c r="E22" s="42"/>
      <c r="F22" s="42"/>
      <c r="G22" s="103" t="s">
        <v>8</v>
      </c>
      <c r="H22" s="120">
        <f t="shared" si="11"/>
        <v>7</v>
      </c>
      <c r="I22" s="74">
        <v>121</v>
      </c>
      <c r="J22" s="108">
        <v>277200</v>
      </c>
      <c r="K22" s="108">
        <f t="shared" si="8"/>
        <v>2290.909090909091</v>
      </c>
      <c r="L22" s="108">
        <v>162050</v>
      </c>
      <c r="M22" s="109">
        <f t="shared" si="9"/>
        <v>1339.2561983471073</v>
      </c>
      <c r="N22" s="109">
        <v>2200</v>
      </c>
      <c r="O22" s="110">
        <f t="shared" si="10"/>
        <v>441450</v>
      </c>
      <c r="P22" s="111">
        <f t="shared" si="12"/>
        <v>3648.3471074380163</v>
      </c>
      <c r="Q22" s="111"/>
      <c r="R22" s="111"/>
      <c r="S22" s="111"/>
      <c r="T22" s="168"/>
      <c r="U22" s="112" t="e">
        <f>O22/T22</f>
        <v>#DIV/0!</v>
      </c>
      <c r="W22" s="248">
        <v>12</v>
      </c>
      <c r="X22" s="248">
        <v>24.3</v>
      </c>
      <c r="Y22" s="256">
        <v>3</v>
      </c>
      <c r="Z22" s="256">
        <v>3</v>
      </c>
      <c r="AA22" s="256">
        <v>3</v>
      </c>
      <c r="AB22" s="272">
        <f t="shared" si="13"/>
        <v>3</v>
      </c>
      <c r="AD22" s="35" t="s">
        <v>127</v>
      </c>
      <c r="AF22" s="1">
        <v>0</v>
      </c>
      <c r="AK22" s="378">
        <v>16.399999999999999</v>
      </c>
      <c r="AL22" s="378">
        <v>19.2</v>
      </c>
      <c r="AM22" s="370">
        <v>1</v>
      </c>
      <c r="AN22" s="370">
        <v>1</v>
      </c>
      <c r="AO22" s="370">
        <v>1</v>
      </c>
      <c r="AP22" s="370">
        <f t="shared" si="14"/>
        <v>1</v>
      </c>
      <c r="AR22" s="362" t="s">
        <v>127</v>
      </c>
      <c r="AT22" s="1">
        <v>0</v>
      </c>
    </row>
    <row r="23" spans="1:49" ht="23.5" customHeight="1" thickBot="1" x14ac:dyDescent="0.3">
      <c r="A23" s="56" t="s">
        <v>9</v>
      </c>
      <c r="B23" s="50">
        <v>8</v>
      </c>
      <c r="C23" s="42"/>
      <c r="D23" s="42"/>
      <c r="E23" s="42"/>
      <c r="F23" s="42"/>
      <c r="G23" s="113" t="s">
        <v>9</v>
      </c>
      <c r="H23" s="120">
        <f t="shared" si="11"/>
        <v>8</v>
      </c>
      <c r="I23" s="74">
        <v>345</v>
      </c>
      <c r="J23" s="108">
        <v>950050</v>
      </c>
      <c r="K23" s="108">
        <f t="shared" si="8"/>
        <v>2753.768115942029</v>
      </c>
      <c r="L23" s="108">
        <v>523480</v>
      </c>
      <c r="M23" s="109">
        <f t="shared" si="9"/>
        <v>1517.3333333333333</v>
      </c>
      <c r="N23" s="109">
        <v>8250</v>
      </c>
      <c r="O23" s="110">
        <f t="shared" si="10"/>
        <v>1481780</v>
      </c>
      <c r="P23" s="111">
        <f t="shared" si="12"/>
        <v>4295.014492753623</v>
      </c>
      <c r="Q23" s="111"/>
      <c r="R23" s="111"/>
      <c r="S23" s="111"/>
      <c r="T23" s="168"/>
      <c r="U23" s="112" t="e">
        <f>O23/T23</f>
        <v>#DIV/0!</v>
      </c>
      <c r="W23" s="249">
        <v>14.8</v>
      </c>
      <c r="X23" s="249">
        <v>27</v>
      </c>
      <c r="Y23" s="257">
        <v>3</v>
      </c>
      <c r="Z23" s="256">
        <v>4</v>
      </c>
      <c r="AA23" s="256">
        <v>3</v>
      </c>
      <c r="AB23" s="273">
        <f t="shared" si="13"/>
        <v>3.3333333333333335</v>
      </c>
      <c r="AD23" s="1" t="s">
        <v>130</v>
      </c>
      <c r="AK23" s="379">
        <v>15.3</v>
      </c>
      <c r="AL23" s="379">
        <v>19.2</v>
      </c>
      <c r="AM23" s="380">
        <v>4</v>
      </c>
      <c r="AN23" s="370">
        <v>4</v>
      </c>
      <c r="AO23" s="370">
        <v>4</v>
      </c>
      <c r="AP23" s="375">
        <f t="shared" si="14"/>
        <v>4</v>
      </c>
      <c r="AR23" s="362" t="s">
        <v>130</v>
      </c>
    </row>
    <row r="24" spans="1:49" s="287" customFormat="1" ht="35" customHeight="1" thickTop="1" thickBot="1" x14ac:dyDescent="0.3">
      <c r="A24" s="728" t="s">
        <v>13</v>
      </c>
      <c r="B24" s="729"/>
      <c r="C24" s="287" t="s">
        <v>36</v>
      </c>
      <c r="D24" s="286" t="e">
        <f>#REF!/F24</f>
        <v>#REF!</v>
      </c>
      <c r="E24" s="288" t="s">
        <v>37</v>
      </c>
      <c r="F24" s="287" t="e">
        <f>#REF!</f>
        <v>#REF!</v>
      </c>
      <c r="G24" s="728" t="s">
        <v>13</v>
      </c>
      <c r="H24" s="729"/>
      <c r="I24" s="121">
        <f>SUM(I17:I23)</f>
        <v>811</v>
      </c>
      <c r="J24" s="121">
        <f>SUM(J17:J23)</f>
        <v>1982700</v>
      </c>
      <c r="K24" s="121">
        <f t="shared" si="8"/>
        <v>2444.759556103576</v>
      </c>
      <c r="L24" s="121">
        <f>SUM(L17:L23)</f>
        <v>1169480</v>
      </c>
      <c r="M24" s="122">
        <f t="shared" si="9"/>
        <v>1442.0221948212084</v>
      </c>
      <c r="N24" s="122">
        <f>SUM(N17:N23)</f>
        <v>12650</v>
      </c>
      <c r="O24" s="408">
        <f t="shared" si="10"/>
        <v>3164830</v>
      </c>
      <c r="P24" s="123">
        <f>O24/I24</f>
        <v>3902.379778051788</v>
      </c>
      <c r="Q24" s="123"/>
      <c r="R24" s="123"/>
      <c r="S24" s="123"/>
      <c r="T24" s="403">
        <f>SUM(T17:T23)</f>
        <v>0</v>
      </c>
      <c r="U24" s="124" t="e">
        <f>O24/T24</f>
        <v>#DIV/0!</v>
      </c>
      <c r="V24" s="287">
        <v>7</v>
      </c>
      <c r="W24" s="297">
        <f>SUM(W17:W23)/V24</f>
        <v>11.985714285714286</v>
      </c>
      <c r="X24" s="298">
        <f>SUM(X17:X23)/V24</f>
        <v>20.357142857142858</v>
      </c>
      <c r="Y24" s="312">
        <f>SUM(Y17:Y23)/V24</f>
        <v>2.4285714285714284</v>
      </c>
      <c r="Z24" s="312">
        <f>SUM(Z17:Z23)/V24</f>
        <v>2.2857142857142856</v>
      </c>
      <c r="AA24" s="312">
        <f>SUM(AA17:AA23)/V24</f>
        <v>2.1428571428571428</v>
      </c>
      <c r="AB24" s="313">
        <f>SUM(Y24:AA24)/3</f>
        <v>2.2857142857142851</v>
      </c>
      <c r="AC24" s="404" t="s">
        <v>133</v>
      </c>
      <c r="AD24" s="787">
        <f>O24/V24</f>
        <v>452118.57142857142</v>
      </c>
      <c r="AE24" s="788"/>
      <c r="AF24" s="788"/>
      <c r="AG24" s="788"/>
      <c r="AH24" s="789"/>
      <c r="AI24" s="287" t="s">
        <v>141</v>
      </c>
      <c r="AJ24" s="287">
        <v>7</v>
      </c>
      <c r="AK24" s="297">
        <f>SUM(AK17:AK23)/AJ24</f>
        <v>12.785714285714283</v>
      </c>
      <c r="AL24" s="298">
        <f>SUM(AL17:AL23)/AJ24</f>
        <v>20.399999999999999</v>
      </c>
      <c r="AM24" s="312">
        <f>SUM(AM17:AM23)/AJ24</f>
        <v>2.1428571428571428</v>
      </c>
      <c r="AN24" s="312">
        <f>SUM(AN17:AN23)/AJ24</f>
        <v>2</v>
      </c>
      <c r="AO24" s="312">
        <f>SUM(AO17:AO23)/AJ24</f>
        <v>3.2857142857142856</v>
      </c>
      <c r="AP24" s="313">
        <f>SUM(AM24:AO24)/3</f>
        <v>2.4761904761904758</v>
      </c>
      <c r="AQ24" s="404" t="s">
        <v>133</v>
      </c>
      <c r="AR24" s="771">
        <v>317435.71428571426</v>
      </c>
      <c r="AS24" s="772"/>
      <c r="AT24" s="772"/>
      <c r="AU24" s="772"/>
      <c r="AV24" s="773"/>
      <c r="AW24" s="287" t="s">
        <v>141</v>
      </c>
    </row>
    <row r="25" spans="1:49" ht="23.5" customHeight="1" thickTop="1" x14ac:dyDescent="0.25">
      <c r="A25" s="710" t="s">
        <v>15</v>
      </c>
      <c r="B25" s="711"/>
      <c r="G25" s="713" t="s">
        <v>15</v>
      </c>
      <c r="H25" s="714"/>
      <c r="I25" s="714"/>
      <c r="J25" s="714"/>
      <c r="K25" s="714"/>
      <c r="L25" s="714"/>
      <c r="M25" s="714"/>
      <c r="N25" s="714"/>
      <c r="O25" s="714"/>
      <c r="P25" s="714"/>
      <c r="Q25" s="714"/>
      <c r="R25" s="714"/>
      <c r="S25" s="714"/>
      <c r="T25" s="714"/>
      <c r="U25" s="715"/>
      <c r="W25" s="716" t="str">
        <f>G25</f>
        <v>3rd week</v>
      </c>
      <c r="X25" s="716"/>
      <c r="Y25" s="716"/>
      <c r="Z25" s="716"/>
      <c r="AA25" s="716"/>
      <c r="AB25" s="716"/>
      <c r="AK25" s="791">
        <f>X25</f>
        <v>0</v>
      </c>
      <c r="AL25" s="791"/>
      <c r="AM25" s="791"/>
      <c r="AN25" s="791"/>
      <c r="AO25" s="791"/>
      <c r="AP25" s="791"/>
    </row>
    <row r="26" spans="1:49" ht="23.5" customHeight="1" x14ac:dyDescent="0.25">
      <c r="A26" s="53" t="s">
        <v>10</v>
      </c>
      <c r="B26" s="37" t="s">
        <v>11</v>
      </c>
      <c r="C26" s="2" t="s">
        <v>32</v>
      </c>
      <c r="D26" s="2" t="s">
        <v>33</v>
      </c>
      <c r="E26" s="2" t="s">
        <v>34</v>
      </c>
      <c r="F26" s="2" t="s">
        <v>35</v>
      </c>
      <c r="G26" s="103" t="s">
        <v>10</v>
      </c>
      <c r="H26" s="104" t="s">
        <v>11</v>
      </c>
      <c r="I26" s="104" t="s">
        <v>1</v>
      </c>
      <c r="J26" s="104" t="s">
        <v>30</v>
      </c>
      <c r="K26" s="104" t="s">
        <v>31</v>
      </c>
      <c r="L26" s="104" t="s">
        <v>28</v>
      </c>
      <c r="M26" s="104" t="s">
        <v>29</v>
      </c>
      <c r="N26" s="104" t="s">
        <v>72</v>
      </c>
      <c r="O26" s="104" t="s">
        <v>71</v>
      </c>
      <c r="P26" s="105" t="s">
        <v>48</v>
      </c>
      <c r="Q26" s="105"/>
      <c r="R26" s="105"/>
      <c r="S26" s="105"/>
      <c r="T26" s="167" t="s">
        <v>74</v>
      </c>
      <c r="U26" s="106" t="s">
        <v>73</v>
      </c>
      <c r="W26" s="253" t="s">
        <v>116</v>
      </c>
      <c r="X26" s="254" t="s">
        <v>117</v>
      </c>
      <c r="Y26" s="49" t="s">
        <v>118</v>
      </c>
      <c r="Z26" s="49" t="s">
        <v>119</v>
      </c>
      <c r="AA26" s="49" t="s">
        <v>120</v>
      </c>
      <c r="AB26" s="255" t="s">
        <v>128</v>
      </c>
      <c r="AD26" s="1" t="s">
        <v>123</v>
      </c>
      <c r="AF26" s="36" t="s">
        <v>126</v>
      </c>
      <c r="AK26" s="365" t="s">
        <v>116</v>
      </c>
      <c r="AL26" s="366" t="s">
        <v>117</v>
      </c>
      <c r="AM26" s="367" t="s">
        <v>118</v>
      </c>
      <c r="AN26" s="367" t="s">
        <v>119</v>
      </c>
      <c r="AO26" s="367" t="s">
        <v>120</v>
      </c>
      <c r="AP26" s="368" t="s">
        <v>128</v>
      </c>
      <c r="AR26" s="362" t="s">
        <v>123</v>
      </c>
      <c r="AT26" s="36" t="s">
        <v>126</v>
      </c>
    </row>
    <row r="27" spans="1:49" ht="23.5" customHeight="1" x14ac:dyDescent="0.25">
      <c r="A27" s="54" t="s">
        <v>3</v>
      </c>
      <c r="B27" s="50">
        <v>9</v>
      </c>
      <c r="C27" s="42"/>
      <c r="D27" s="42"/>
      <c r="E27" s="42"/>
      <c r="F27" s="42"/>
      <c r="G27" s="107" t="s">
        <v>3</v>
      </c>
      <c r="H27" s="120">
        <f>B27</f>
        <v>9</v>
      </c>
      <c r="I27" s="74">
        <v>54</v>
      </c>
      <c r="J27" s="108">
        <v>160350</v>
      </c>
      <c r="K27" s="108">
        <f t="shared" ref="K27:K34" si="15">J27/I27</f>
        <v>2969.4444444444443</v>
      </c>
      <c r="L27" s="108">
        <v>78200</v>
      </c>
      <c r="M27" s="109">
        <f t="shared" ref="M27:M34" si="16">L27/I27</f>
        <v>1448.148148148148</v>
      </c>
      <c r="N27" s="109"/>
      <c r="O27" s="110">
        <f t="shared" ref="O27:O34" si="17">J27+L27+N27</f>
        <v>238550</v>
      </c>
      <c r="P27" s="111">
        <f>O27/I27</f>
        <v>4417.5925925925922</v>
      </c>
      <c r="Q27" s="111"/>
      <c r="R27" s="111"/>
      <c r="S27" s="111"/>
      <c r="T27" s="168"/>
      <c r="U27" s="112" t="e">
        <f>O27/T27</f>
        <v>#DIV/0!</v>
      </c>
      <c r="W27" s="248">
        <v>17.100000000000001</v>
      </c>
      <c r="X27" s="248">
        <v>20.2</v>
      </c>
      <c r="Y27" s="256">
        <v>2</v>
      </c>
      <c r="Z27" s="419">
        <v>1</v>
      </c>
      <c r="AA27" s="419">
        <v>1</v>
      </c>
      <c r="AB27" s="272">
        <f>SUM(Y27:AA27)/3</f>
        <v>1.3333333333333333</v>
      </c>
      <c r="AD27" s="271" t="s">
        <v>124</v>
      </c>
      <c r="AE27" s="2"/>
      <c r="AF27" s="270">
        <v>5</v>
      </c>
      <c r="AK27" s="378">
        <v>13.4</v>
      </c>
      <c r="AL27" s="378">
        <v>24.2</v>
      </c>
      <c r="AM27" s="370">
        <v>4</v>
      </c>
      <c r="AN27" s="370">
        <v>4</v>
      </c>
      <c r="AO27" s="370">
        <v>4</v>
      </c>
      <c r="AP27" s="370">
        <f>SUM(AM27:AO27)/3</f>
        <v>4</v>
      </c>
      <c r="AR27" s="371" t="s">
        <v>124</v>
      </c>
      <c r="AS27" s="364"/>
      <c r="AT27" s="270">
        <v>5</v>
      </c>
    </row>
    <row r="28" spans="1:49" ht="23.5" customHeight="1" x14ac:dyDescent="0.25">
      <c r="A28" s="55" t="s">
        <v>4</v>
      </c>
      <c r="B28" s="50">
        <v>10</v>
      </c>
      <c r="C28" s="42"/>
      <c r="D28" s="42"/>
      <c r="E28" s="42"/>
      <c r="F28" s="42"/>
      <c r="G28" s="103" t="s">
        <v>4</v>
      </c>
      <c r="H28" s="120">
        <f t="shared" ref="H28:H33" si="18">B28</f>
        <v>10</v>
      </c>
      <c r="I28" s="74">
        <v>122</v>
      </c>
      <c r="J28" s="108">
        <v>303200</v>
      </c>
      <c r="K28" s="108">
        <f t="shared" si="15"/>
        <v>2485.2459016393441</v>
      </c>
      <c r="L28" s="108">
        <v>182950</v>
      </c>
      <c r="M28" s="109">
        <f t="shared" si="16"/>
        <v>1499.5901639344263</v>
      </c>
      <c r="N28" s="109"/>
      <c r="O28" s="110">
        <f t="shared" si="17"/>
        <v>486150</v>
      </c>
      <c r="P28" s="111">
        <f t="shared" ref="P28:P33" si="19">O28/I28</f>
        <v>3984.8360655737706</v>
      </c>
      <c r="Q28" s="111"/>
      <c r="R28" s="111"/>
      <c r="S28" s="111"/>
      <c r="T28" s="168"/>
      <c r="U28" s="112" t="e">
        <f t="shared" ref="U28:U34" si="20">O28/T28</f>
        <v>#DIV/0!</v>
      </c>
      <c r="W28" s="248">
        <v>16.3</v>
      </c>
      <c r="X28" s="248">
        <v>26.1</v>
      </c>
      <c r="Y28" s="256">
        <v>5</v>
      </c>
      <c r="Z28" s="256">
        <v>5</v>
      </c>
      <c r="AA28" s="256">
        <v>4</v>
      </c>
      <c r="AB28" s="272">
        <f t="shared" ref="AB28:AB33" si="21">SUM(Y28:AA28)/3</f>
        <v>4.666666666666667</v>
      </c>
      <c r="AD28" s="35" t="s">
        <v>125</v>
      </c>
      <c r="AF28" s="1">
        <v>4</v>
      </c>
      <c r="AK28" s="378">
        <v>15.7</v>
      </c>
      <c r="AL28" s="378">
        <v>25.6</v>
      </c>
      <c r="AM28" s="370">
        <v>5</v>
      </c>
      <c r="AN28" s="370">
        <v>5</v>
      </c>
      <c r="AO28" s="370">
        <v>4</v>
      </c>
      <c r="AP28" s="370">
        <f t="shared" ref="AP28:AP33" si="22">SUM(AM28:AO28)/3</f>
        <v>4.666666666666667</v>
      </c>
      <c r="AR28" s="362" t="s">
        <v>125</v>
      </c>
      <c r="AT28" s="1">
        <v>4</v>
      </c>
    </row>
    <row r="29" spans="1:49" ht="23.5" customHeight="1" x14ac:dyDescent="0.25">
      <c r="A29" s="55" t="s">
        <v>5</v>
      </c>
      <c r="B29" s="50">
        <v>11</v>
      </c>
      <c r="C29" s="42"/>
      <c r="D29" s="42"/>
      <c r="E29" s="42"/>
      <c r="F29" s="42"/>
      <c r="G29" s="103" t="s">
        <v>5</v>
      </c>
      <c r="H29" s="120">
        <f t="shared" si="18"/>
        <v>11</v>
      </c>
      <c r="I29" s="74">
        <v>163</v>
      </c>
      <c r="J29" s="108">
        <v>340950</v>
      </c>
      <c r="K29" s="108">
        <f t="shared" si="15"/>
        <v>2091.717791411043</v>
      </c>
      <c r="L29" s="108">
        <v>241750</v>
      </c>
      <c r="M29" s="109">
        <f t="shared" si="16"/>
        <v>1483.1288343558283</v>
      </c>
      <c r="N29" s="109"/>
      <c r="O29" s="110">
        <f t="shared" si="17"/>
        <v>582700</v>
      </c>
      <c r="P29" s="111">
        <f t="shared" si="19"/>
        <v>3574.8466257668711</v>
      </c>
      <c r="Q29" s="111"/>
      <c r="R29" s="111"/>
      <c r="S29" s="111"/>
      <c r="T29" s="168"/>
      <c r="U29" s="112" t="e">
        <f t="shared" si="20"/>
        <v>#DIV/0!</v>
      </c>
      <c r="W29" s="248">
        <v>16</v>
      </c>
      <c r="X29" s="248">
        <v>25</v>
      </c>
      <c r="Y29" s="419">
        <v>1</v>
      </c>
      <c r="Z29" s="256">
        <v>2</v>
      </c>
      <c r="AA29" s="256">
        <v>4</v>
      </c>
      <c r="AB29" s="272">
        <f t="shared" si="21"/>
        <v>2.3333333333333335</v>
      </c>
      <c r="AD29" s="35" t="s">
        <v>182</v>
      </c>
      <c r="AF29" s="1">
        <v>3</v>
      </c>
      <c r="AK29" s="378">
        <v>16.899999999999999</v>
      </c>
      <c r="AL29" s="378">
        <v>21.9</v>
      </c>
      <c r="AM29" s="370">
        <v>2</v>
      </c>
      <c r="AN29" s="370">
        <v>2</v>
      </c>
      <c r="AO29" s="370">
        <v>2</v>
      </c>
      <c r="AP29" s="370">
        <f t="shared" si="22"/>
        <v>2</v>
      </c>
      <c r="AR29" s="362" t="s">
        <v>129</v>
      </c>
      <c r="AT29" s="1">
        <v>3</v>
      </c>
    </row>
    <row r="30" spans="1:49" ht="23.5" customHeight="1" x14ac:dyDescent="0.25">
      <c r="A30" s="55" t="s">
        <v>6</v>
      </c>
      <c r="B30" s="50">
        <v>12</v>
      </c>
      <c r="C30" s="42"/>
      <c r="D30" s="42"/>
      <c r="E30" s="42"/>
      <c r="F30" s="42"/>
      <c r="G30" s="103" t="s">
        <v>6</v>
      </c>
      <c r="H30" s="120">
        <f t="shared" si="18"/>
        <v>12</v>
      </c>
      <c r="I30" s="74">
        <v>205</v>
      </c>
      <c r="J30" s="108">
        <v>482550</v>
      </c>
      <c r="K30" s="108">
        <f t="shared" si="15"/>
        <v>2353.9024390243903</v>
      </c>
      <c r="L30" s="108">
        <v>315800</v>
      </c>
      <c r="M30" s="109">
        <f t="shared" si="16"/>
        <v>1540.4878048780488</v>
      </c>
      <c r="N30" s="109">
        <v>9900</v>
      </c>
      <c r="O30" s="110">
        <f t="shared" si="17"/>
        <v>808250</v>
      </c>
      <c r="P30" s="111">
        <f t="shared" si="19"/>
        <v>3942.6829268292681</v>
      </c>
      <c r="Q30" s="111"/>
      <c r="R30" s="111"/>
      <c r="S30" s="111"/>
      <c r="T30" s="168"/>
      <c r="U30" s="112" t="e">
        <f t="shared" si="20"/>
        <v>#DIV/0!</v>
      </c>
      <c r="W30" s="248">
        <v>15.8</v>
      </c>
      <c r="X30" s="248">
        <v>28.4</v>
      </c>
      <c r="Y30" s="256">
        <v>5</v>
      </c>
      <c r="Z30" s="256">
        <v>5</v>
      </c>
      <c r="AA30" s="256">
        <v>4</v>
      </c>
      <c r="AB30" s="272">
        <f t="shared" si="21"/>
        <v>4.666666666666667</v>
      </c>
      <c r="AD30" s="35" t="s">
        <v>121</v>
      </c>
      <c r="AF30" s="1">
        <v>2</v>
      </c>
      <c r="AK30" s="378">
        <v>16.5</v>
      </c>
      <c r="AL30" s="378">
        <v>23.2</v>
      </c>
      <c r="AM30" s="370">
        <v>1</v>
      </c>
      <c r="AN30" s="370">
        <v>4</v>
      </c>
      <c r="AO30" s="370">
        <v>4</v>
      </c>
      <c r="AP30" s="370">
        <f t="shared" si="22"/>
        <v>3</v>
      </c>
      <c r="AR30" s="362" t="s">
        <v>121</v>
      </c>
      <c r="AT30" s="1">
        <v>2</v>
      </c>
    </row>
    <row r="31" spans="1:49" ht="23.5" customHeight="1" x14ac:dyDescent="0.25">
      <c r="A31" s="55" t="s">
        <v>7</v>
      </c>
      <c r="B31" s="50">
        <v>13</v>
      </c>
      <c r="C31" s="42"/>
      <c r="D31" s="42"/>
      <c r="E31" s="42"/>
      <c r="F31" s="42"/>
      <c r="G31" s="391" t="s">
        <v>7</v>
      </c>
      <c r="H31" s="120">
        <f t="shared" si="18"/>
        <v>13</v>
      </c>
      <c r="I31" s="392">
        <v>279</v>
      </c>
      <c r="J31" s="108">
        <v>869900</v>
      </c>
      <c r="K31" s="108">
        <f t="shared" si="15"/>
        <v>3117.9211469534052</v>
      </c>
      <c r="L31" s="108">
        <v>476050</v>
      </c>
      <c r="M31" s="109">
        <f t="shared" si="16"/>
        <v>1706.2724014336918</v>
      </c>
      <c r="N31" s="109">
        <v>6050</v>
      </c>
      <c r="O31" s="110">
        <f t="shared" si="17"/>
        <v>1352000</v>
      </c>
      <c r="P31" s="111">
        <f t="shared" si="19"/>
        <v>4845.8781362007167</v>
      </c>
      <c r="Q31" s="111"/>
      <c r="R31" s="111"/>
      <c r="S31" s="111"/>
      <c r="T31" s="168"/>
      <c r="U31" s="112" t="e">
        <f t="shared" si="20"/>
        <v>#DIV/0!</v>
      </c>
      <c r="W31" s="248">
        <v>18.2</v>
      </c>
      <c r="X31" s="248">
        <v>23.4</v>
      </c>
      <c r="Y31" s="256">
        <v>2</v>
      </c>
      <c r="Z31" s="256">
        <v>2</v>
      </c>
      <c r="AA31" s="256">
        <v>2</v>
      </c>
      <c r="AB31" s="272">
        <f t="shared" si="21"/>
        <v>2</v>
      </c>
      <c r="AD31" s="35" t="s">
        <v>122</v>
      </c>
      <c r="AF31" s="1">
        <v>1</v>
      </c>
      <c r="AK31" s="378">
        <v>16</v>
      </c>
      <c r="AL31" s="378">
        <v>26.5</v>
      </c>
      <c r="AM31" s="370">
        <v>5</v>
      </c>
      <c r="AN31" s="370">
        <v>5</v>
      </c>
      <c r="AO31" s="370">
        <v>4</v>
      </c>
      <c r="AP31" s="370">
        <f t="shared" si="22"/>
        <v>4.666666666666667</v>
      </c>
      <c r="AR31" s="362" t="s">
        <v>122</v>
      </c>
      <c r="AT31" s="1">
        <v>1</v>
      </c>
    </row>
    <row r="32" spans="1:49" ht="23.5" customHeight="1" x14ac:dyDescent="0.25">
      <c r="A32" s="55" t="s">
        <v>8</v>
      </c>
      <c r="B32" s="50">
        <v>14</v>
      </c>
      <c r="C32" s="42"/>
      <c r="D32" s="42"/>
      <c r="E32" s="42"/>
      <c r="F32" s="42"/>
      <c r="G32" s="103" t="s">
        <v>8</v>
      </c>
      <c r="H32" s="120">
        <f t="shared" si="18"/>
        <v>14</v>
      </c>
      <c r="I32" s="74">
        <v>154</v>
      </c>
      <c r="J32" s="108">
        <v>465400</v>
      </c>
      <c r="K32" s="108">
        <f t="shared" si="15"/>
        <v>3022.0779220779223</v>
      </c>
      <c r="L32" s="108">
        <v>250500</v>
      </c>
      <c r="M32" s="109">
        <f t="shared" si="16"/>
        <v>1626.6233766233765</v>
      </c>
      <c r="N32" s="109">
        <v>2750</v>
      </c>
      <c r="O32" s="110">
        <f t="shared" si="17"/>
        <v>718650</v>
      </c>
      <c r="P32" s="111">
        <f t="shared" si="19"/>
        <v>4666.5584415584417</v>
      </c>
      <c r="Q32" s="111"/>
      <c r="R32" s="111"/>
      <c r="S32" s="111"/>
      <c r="T32" s="168"/>
      <c r="U32" s="112" t="e">
        <f t="shared" si="20"/>
        <v>#DIV/0!</v>
      </c>
      <c r="W32" s="248">
        <v>15.5</v>
      </c>
      <c r="X32" s="248">
        <v>22.8</v>
      </c>
      <c r="Y32" s="256">
        <v>2</v>
      </c>
      <c r="Z32" s="256">
        <v>2</v>
      </c>
      <c r="AA32" s="256">
        <v>3</v>
      </c>
      <c r="AB32" s="272">
        <f t="shared" si="21"/>
        <v>2.3333333333333335</v>
      </c>
      <c r="AD32" s="35" t="s">
        <v>127</v>
      </c>
      <c r="AF32" s="1">
        <v>0</v>
      </c>
      <c r="AK32" s="378">
        <v>17.3</v>
      </c>
      <c r="AL32" s="378">
        <v>27.3</v>
      </c>
      <c r="AM32" s="370">
        <v>5</v>
      </c>
      <c r="AN32" s="370">
        <v>5</v>
      </c>
      <c r="AO32" s="370">
        <v>3</v>
      </c>
      <c r="AP32" s="370">
        <f t="shared" si="22"/>
        <v>4.333333333333333</v>
      </c>
      <c r="AR32" s="362" t="s">
        <v>127</v>
      </c>
      <c r="AT32" s="1">
        <v>0</v>
      </c>
    </row>
    <row r="33" spans="1:49" ht="23.5" customHeight="1" thickBot="1" x14ac:dyDescent="0.3">
      <c r="A33" s="56" t="s">
        <v>9</v>
      </c>
      <c r="B33" s="50">
        <v>15</v>
      </c>
      <c r="C33" s="42"/>
      <c r="D33" s="42"/>
      <c r="E33" s="42"/>
      <c r="F33" s="42"/>
      <c r="G33" s="113" t="s">
        <v>9</v>
      </c>
      <c r="H33" s="120">
        <f t="shared" si="18"/>
        <v>15</v>
      </c>
      <c r="I33" s="74">
        <v>300</v>
      </c>
      <c r="J33" s="108">
        <v>765900</v>
      </c>
      <c r="K33" s="108">
        <f t="shared" si="15"/>
        <v>2553</v>
      </c>
      <c r="L33" s="108">
        <v>420650</v>
      </c>
      <c r="M33" s="109">
        <f t="shared" si="16"/>
        <v>1402.1666666666667</v>
      </c>
      <c r="N33" s="109">
        <v>2200</v>
      </c>
      <c r="O33" s="110">
        <f t="shared" si="17"/>
        <v>1188750</v>
      </c>
      <c r="P33" s="111">
        <f t="shared" si="19"/>
        <v>3962.5</v>
      </c>
      <c r="Q33" s="111"/>
      <c r="R33" s="111"/>
      <c r="S33" s="111"/>
      <c r="T33" s="168"/>
      <c r="U33" s="112" t="e">
        <f t="shared" si="20"/>
        <v>#DIV/0!</v>
      </c>
      <c r="W33" s="249">
        <v>15.5</v>
      </c>
      <c r="X33" s="249">
        <v>25.5</v>
      </c>
      <c r="Y33" s="257">
        <v>4</v>
      </c>
      <c r="Z33" s="256">
        <v>5</v>
      </c>
      <c r="AA33" s="257">
        <v>4</v>
      </c>
      <c r="AB33" s="273">
        <f t="shared" si="21"/>
        <v>4.333333333333333</v>
      </c>
      <c r="AD33" s="1" t="s">
        <v>130</v>
      </c>
      <c r="AK33" s="379">
        <v>16.899999999999999</v>
      </c>
      <c r="AL33" s="379">
        <v>28.7</v>
      </c>
      <c r="AM33" s="380">
        <v>5</v>
      </c>
      <c r="AN33" s="370">
        <v>5</v>
      </c>
      <c r="AO33" s="380">
        <v>4</v>
      </c>
      <c r="AP33" s="375">
        <f t="shared" si="22"/>
        <v>4.666666666666667</v>
      </c>
      <c r="AR33" s="362" t="s">
        <v>130</v>
      </c>
    </row>
    <row r="34" spans="1:49" s="287" customFormat="1" ht="35" customHeight="1" thickTop="1" thickBot="1" x14ac:dyDescent="0.3">
      <c r="A34" s="728" t="s">
        <v>13</v>
      </c>
      <c r="B34" s="729"/>
      <c r="C34" s="287" t="s">
        <v>36</v>
      </c>
      <c r="D34" s="286" t="e">
        <f>#REF!/F34</f>
        <v>#REF!</v>
      </c>
      <c r="E34" s="288" t="s">
        <v>37</v>
      </c>
      <c r="F34" s="287" t="e">
        <f>#REF!</f>
        <v>#REF!</v>
      </c>
      <c r="G34" s="728" t="s">
        <v>13</v>
      </c>
      <c r="H34" s="729"/>
      <c r="I34" s="121">
        <f>SUM(I27:I33)</f>
        <v>1277</v>
      </c>
      <c r="J34" s="121">
        <f>SUM(J27:J33)</f>
        <v>3388250</v>
      </c>
      <c r="K34" s="121">
        <f t="shared" si="15"/>
        <v>2653.288958496476</v>
      </c>
      <c r="L34" s="121">
        <f>SUM(L27:L33)</f>
        <v>1965900</v>
      </c>
      <c r="M34" s="122">
        <f t="shared" si="16"/>
        <v>1539.4675019577135</v>
      </c>
      <c r="N34" s="122">
        <f>SUM(N27:N33)</f>
        <v>20900</v>
      </c>
      <c r="O34" s="408">
        <f t="shared" si="17"/>
        <v>5375050</v>
      </c>
      <c r="P34" s="123">
        <f>O34/I34</f>
        <v>4209.1229444009396</v>
      </c>
      <c r="Q34" s="123"/>
      <c r="R34" s="123"/>
      <c r="S34" s="123"/>
      <c r="T34" s="403">
        <f>SUM(T27:T33)</f>
        <v>0</v>
      </c>
      <c r="U34" s="124" t="e">
        <f t="shared" si="20"/>
        <v>#DIV/0!</v>
      </c>
      <c r="V34" s="287">
        <v>7</v>
      </c>
      <c r="W34" s="297">
        <f>SUM(W27:W33)/V34</f>
        <v>16.342857142857145</v>
      </c>
      <c r="X34" s="298">
        <f>SUM(X27:X33)/V34</f>
        <v>24.485714285714288</v>
      </c>
      <c r="Y34" s="312">
        <f>SUM(Y27:Y33)/V34</f>
        <v>3</v>
      </c>
      <c r="Z34" s="312">
        <f>SUM(Z27:Z33)/V34</f>
        <v>3.1428571428571428</v>
      </c>
      <c r="AA34" s="312">
        <f>SUM(AA27:AA33)/V34</f>
        <v>3.1428571428571428</v>
      </c>
      <c r="AB34" s="313">
        <f>SUM(Y34:AA34)/3</f>
        <v>3.0952380952380949</v>
      </c>
      <c r="AC34" s="404" t="s">
        <v>134</v>
      </c>
      <c r="AD34" s="787">
        <f>O34/V34</f>
        <v>767864.28571428568</v>
      </c>
      <c r="AE34" s="788"/>
      <c r="AF34" s="788"/>
      <c r="AG34" s="788"/>
      <c r="AH34" s="789"/>
      <c r="AI34" s="287" t="s">
        <v>141</v>
      </c>
      <c r="AJ34" s="287">
        <v>7</v>
      </c>
      <c r="AK34" s="297">
        <f>SUM(AK27:AK33)/AJ34</f>
        <v>16.099999999999998</v>
      </c>
      <c r="AL34" s="298">
        <f>SUM(AL27:AL33)/AJ34</f>
        <v>25.342857142857138</v>
      </c>
      <c r="AM34" s="312">
        <f>SUM(AM27:AM33)/AJ34</f>
        <v>3.8571428571428572</v>
      </c>
      <c r="AN34" s="312">
        <f>SUM(AN27:AN33)/AJ34</f>
        <v>4.2857142857142856</v>
      </c>
      <c r="AO34" s="312">
        <f>SUM(AO27:AO33)/AJ34</f>
        <v>3.5714285714285716</v>
      </c>
      <c r="AP34" s="313">
        <f>SUM(AM34:AO34)/3</f>
        <v>3.9047619047619047</v>
      </c>
      <c r="AQ34" s="404" t="s">
        <v>134</v>
      </c>
      <c r="AR34" s="771">
        <v>945742.85714285716</v>
      </c>
      <c r="AS34" s="772"/>
      <c r="AT34" s="772"/>
      <c r="AU34" s="772"/>
      <c r="AV34" s="773"/>
      <c r="AW34" s="287" t="s">
        <v>141</v>
      </c>
    </row>
    <row r="35" spans="1:49" ht="23.5" customHeight="1" thickTop="1" x14ac:dyDescent="0.25">
      <c r="A35" s="710" t="s">
        <v>16</v>
      </c>
      <c r="B35" s="711"/>
      <c r="G35" s="713" t="s">
        <v>16</v>
      </c>
      <c r="H35" s="714"/>
      <c r="I35" s="714"/>
      <c r="J35" s="714"/>
      <c r="K35" s="714"/>
      <c r="L35" s="714"/>
      <c r="M35" s="714"/>
      <c r="N35" s="714"/>
      <c r="O35" s="714"/>
      <c r="P35" s="714"/>
      <c r="Q35" s="714"/>
      <c r="R35" s="714"/>
      <c r="S35" s="714"/>
      <c r="T35" s="714"/>
      <c r="U35" s="715"/>
      <c r="W35" s="716" t="str">
        <f>G35</f>
        <v>4th week</v>
      </c>
      <c r="X35" s="716"/>
      <c r="Y35" s="716"/>
      <c r="Z35" s="716"/>
      <c r="AA35" s="716"/>
      <c r="AB35" s="716"/>
      <c r="AK35" s="791">
        <f>X35</f>
        <v>0</v>
      </c>
      <c r="AL35" s="791"/>
      <c r="AM35" s="791"/>
      <c r="AN35" s="791"/>
      <c r="AO35" s="791"/>
      <c r="AP35" s="791"/>
    </row>
    <row r="36" spans="1:49" ht="23.5" customHeight="1" x14ac:dyDescent="0.25">
      <c r="A36" s="53" t="s">
        <v>10</v>
      </c>
      <c r="B36" s="37" t="s">
        <v>11</v>
      </c>
      <c r="C36" s="2" t="s">
        <v>32</v>
      </c>
      <c r="D36" s="2" t="s">
        <v>33</v>
      </c>
      <c r="E36" s="2" t="s">
        <v>34</v>
      </c>
      <c r="F36" s="2" t="s">
        <v>35</v>
      </c>
      <c r="G36" s="103" t="s">
        <v>10</v>
      </c>
      <c r="H36" s="104" t="s">
        <v>11</v>
      </c>
      <c r="I36" s="104" t="s">
        <v>1</v>
      </c>
      <c r="J36" s="104" t="s">
        <v>30</v>
      </c>
      <c r="K36" s="104" t="s">
        <v>31</v>
      </c>
      <c r="L36" s="104" t="s">
        <v>28</v>
      </c>
      <c r="M36" s="104" t="s">
        <v>29</v>
      </c>
      <c r="N36" s="104" t="s">
        <v>72</v>
      </c>
      <c r="O36" s="104" t="s">
        <v>71</v>
      </c>
      <c r="P36" s="105" t="s">
        <v>48</v>
      </c>
      <c r="Q36" s="105"/>
      <c r="R36" s="105"/>
      <c r="S36" s="105"/>
      <c r="T36" s="167" t="s">
        <v>74</v>
      </c>
      <c r="U36" s="106" t="s">
        <v>73</v>
      </c>
      <c r="W36" s="253" t="s">
        <v>116</v>
      </c>
      <c r="X36" s="254" t="s">
        <v>117</v>
      </c>
      <c r="Y36" s="49" t="s">
        <v>118</v>
      </c>
      <c r="Z36" s="49" t="s">
        <v>119</v>
      </c>
      <c r="AA36" s="49" t="s">
        <v>120</v>
      </c>
      <c r="AB36" s="255" t="s">
        <v>128</v>
      </c>
      <c r="AD36" s="1" t="s">
        <v>123</v>
      </c>
      <c r="AF36" s="36" t="s">
        <v>126</v>
      </c>
      <c r="AK36" s="365" t="s">
        <v>116</v>
      </c>
      <c r="AL36" s="366" t="s">
        <v>117</v>
      </c>
      <c r="AM36" s="367" t="s">
        <v>118</v>
      </c>
      <c r="AN36" s="367" t="s">
        <v>119</v>
      </c>
      <c r="AO36" s="367" t="s">
        <v>120</v>
      </c>
      <c r="AP36" s="368" t="s">
        <v>128</v>
      </c>
      <c r="AR36" s="362" t="s">
        <v>123</v>
      </c>
      <c r="AT36" s="36" t="s">
        <v>126</v>
      </c>
    </row>
    <row r="37" spans="1:49" ht="23.5" customHeight="1" x14ac:dyDescent="0.25">
      <c r="A37" s="54" t="s">
        <v>3</v>
      </c>
      <c r="B37" s="50">
        <v>16</v>
      </c>
      <c r="C37" s="42"/>
      <c r="D37" s="42"/>
      <c r="E37" s="42"/>
      <c r="F37" s="42"/>
      <c r="G37" s="107" t="s">
        <v>3</v>
      </c>
      <c r="H37" s="120">
        <f>B37</f>
        <v>16</v>
      </c>
      <c r="I37" s="74">
        <v>101</v>
      </c>
      <c r="J37" s="108">
        <v>274850</v>
      </c>
      <c r="K37" s="108">
        <f t="shared" ref="K37:K44" si="23">J37/I37</f>
        <v>2721.2871287128714</v>
      </c>
      <c r="L37" s="108">
        <v>143400</v>
      </c>
      <c r="M37" s="109">
        <f t="shared" ref="M37:M44" si="24">L37/I37</f>
        <v>1419.8019801980197</v>
      </c>
      <c r="N37" s="109">
        <v>12100</v>
      </c>
      <c r="O37" s="110">
        <f t="shared" ref="O37:O44" si="25">J37+L37+N37</f>
        <v>430350</v>
      </c>
      <c r="P37" s="111">
        <f>O37/I37</f>
        <v>4260.8910891089108</v>
      </c>
      <c r="Q37" s="111"/>
      <c r="R37" s="111"/>
      <c r="S37" s="111"/>
      <c r="T37" s="168"/>
      <c r="U37" s="112" t="e">
        <f>O37/T37</f>
        <v>#DIV/0!</v>
      </c>
      <c r="W37" s="248">
        <v>19.3</v>
      </c>
      <c r="X37" s="248">
        <v>22.4</v>
      </c>
      <c r="Y37" s="419">
        <v>1</v>
      </c>
      <c r="Z37" s="419">
        <v>0</v>
      </c>
      <c r="AA37" s="419">
        <v>1</v>
      </c>
      <c r="AB37" s="272">
        <f>SUM(Y37:AA37)/3</f>
        <v>0.66666666666666663</v>
      </c>
      <c r="AD37" s="271" t="s">
        <v>124</v>
      </c>
      <c r="AE37" s="2"/>
      <c r="AF37" s="270">
        <v>5</v>
      </c>
      <c r="AK37" s="378">
        <v>17.399999999999999</v>
      </c>
      <c r="AL37" s="378">
        <v>21.5</v>
      </c>
      <c r="AM37" s="370">
        <v>1</v>
      </c>
      <c r="AN37" s="370">
        <v>2</v>
      </c>
      <c r="AO37" s="370">
        <v>4</v>
      </c>
      <c r="AP37" s="370">
        <f>SUM(AM37:AO37)/3</f>
        <v>2.3333333333333335</v>
      </c>
      <c r="AR37" s="371" t="s">
        <v>124</v>
      </c>
      <c r="AS37" s="364"/>
      <c r="AT37" s="270">
        <v>5</v>
      </c>
    </row>
    <row r="38" spans="1:49" ht="23.5" customHeight="1" x14ac:dyDescent="0.25">
      <c r="A38" s="55" t="s">
        <v>4</v>
      </c>
      <c r="B38" s="50">
        <v>17</v>
      </c>
      <c r="C38" s="42"/>
      <c r="D38" s="42"/>
      <c r="E38" s="42"/>
      <c r="F38" s="42"/>
      <c r="G38" s="103" t="s">
        <v>4</v>
      </c>
      <c r="H38" s="120">
        <f t="shared" ref="H38:H43" si="26">B38</f>
        <v>17</v>
      </c>
      <c r="I38" s="74">
        <v>136</v>
      </c>
      <c r="J38" s="108">
        <v>319450</v>
      </c>
      <c r="K38" s="108">
        <f t="shared" si="23"/>
        <v>2348.8970588235293</v>
      </c>
      <c r="L38" s="108">
        <v>215000</v>
      </c>
      <c r="M38" s="109">
        <f t="shared" si="24"/>
        <v>1580.8823529411766</v>
      </c>
      <c r="N38" s="109"/>
      <c r="O38" s="110">
        <f t="shared" si="25"/>
        <v>534450</v>
      </c>
      <c r="P38" s="111">
        <f t="shared" ref="P38:P43" si="27">O38/I38</f>
        <v>3929.7794117647059</v>
      </c>
      <c r="Q38" s="111"/>
      <c r="R38" s="111"/>
      <c r="S38" s="111"/>
      <c r="T38" s="168"/>
      <c r="U38" s="112" t="e">
        <f t="shared" ref="U38:U44" si="28">O38/T38</f>
        <v>#DIV/0!</v>
      </c>
      <c r="W38" s="248">
        <v>17</v>
      </c>
      <c r="X38" s="248">
        <v>27.5</v>
      </c>
      <c r="Y38" s="256">
        <v>2</v>
      </c>
      <c r="Z38" s="256">
        <v>5</v>
      </c>
      <c r="AA38" s="256">
        <v>4</v>
      </c>
      <c r="AB38" s="272">
        <f t="shared" ref="AB38:AB43" si="29">SUM(Y38:AA38)/3</f>
        <v>3.6666666666666665</v>
      </c>
      <c r="AD38" s="35" t="s">
        <v>125</v>
      </c>
      <c r="AF38" s="1">
        <v>4</v>
      </c>
      <c r="AK38" s="378">
        <v>14.7</v>
      </c>
      <c r="AL38" s="378">
        <v>20</v>
      </c>
      <c r="AM38" s="370">
        <v>4</v>
      </c>
      <c r="AN38" s="370">
        <v>4</v>
      </c>
      <c r="AO38" s="370">
        <v>4</v>
      </c>
      <c r="AP38" s="370">
        <f t="shared" ref="AP38:AP43" si="30">SUM(AM38:AO38)/3</f>
        <v>4</v>
      </c>
      <c r="AR38" s="362" t="s">
        <v>125</v>
      </c>
      <c r="AT38" s="1">
        <v>4</v>
      </c>
    </row>
    <row r="39" spans="1:49" ht="23.5" customHeight="1" x14ac:dyDescent="0.25">
      <c r="A39" s="55" t="s">
        <v>5</v>
      </c>
      <c r="B39" s="50">
        <v>18</v>
      </c>
      <c r="C39" s="42"/>
      <c r="D39" s="42"/>
      <c r="E39" s="42"/>
      <c r="F39" s="42"/>
      <c r="G39" s="103" t="s">
        <v>5</v>
      </c>
      <c r="H39" s="120">
        <f t="shared" si="26"/>
        <v>18</v>
      </c>
      <c r="I39" s="74">
        <v>81</v>
      </c>
      <c r="J39" s="108">
        <v>216100</v>
      </c>
      <c r="K39" s="108">
        <f t="shared" si="23"/>
        <v>2667.9012345679012</v>
      </c>
      <c r="L39" s="108">
        <v>112300</v>
      </c>
      <c r="M39" s="109">
        <f t="shared" si="24"/>
        <v>1386.4197530864199</v>
      </c>
      <c r="N39" s="109">
        <v>6600</v>
      </c>
      <c r="O39" s="110">
        <f t="shared" si="25"/>
        <v>335000</v>
      </c>
      <c r="P39" s="111">
        <f t="shared" si="27"/>
        <v>4135.8024691358023</v>
      </c>
      <c r="Q39" s="111"/>
      <c r="R39" s="111"/>
      <c r="S39" s="111"/>
      <c r="T39" s="168"/>
      <c r="U39" s="112" t="e">
        <f t="shared" si="28"/>
        <v>#DIV/0!</v>
      </c>
      <c r="W39" s="248">
        <v>20.2</v>
      </c>
      <c r="X39" s="248">
        <v>25</v>
      </c>
      <c r="Y39" s="256">
        <v>2</v>
      </c>
      <c r="Z39" s="419">
        <v>1</v>
      </c>
      <c r="AA39" s="419">
        <v>1</v>
      </c>
      <c r="AB39" s="272">
        <f t="shared" si="29"/>
        <v>1.3333333333333333</v>
      </c>
      <c r="AD39" s="35" t="s">
        <v>182</v>
      </c>
      <c r="AF39" s="1">
        <v>3</v>
      </c>
      <c r="AK39" s="378">
        <v>13.8</v>
      </c>
      <c r="AL39" s="378">
        <v>23.6</v>
      </c>
      <c r="AM39" s="370">
        <v>4</v>
      </c>
      <c r="AN39" s="370">
        <v>4</v>
      </c>
      <c r="AO39" s="370">
        <v>4</v>
      </c>
      <c r="AP39" s="370">
        <f t="shared" si="30"/>
        <v>4</v>
      </c>
      <c r="AR39" s="362" t="s">
        <v>129</v>
      </c>
      <c r="AT39" s="1">
        <v>3</v>
      </c>
    </row>
    <row r="40" spans="1:49" ht="23.5" customHeight="1" x14ac:dyDescent="0.25">
      <c r="A40" s="55" t="s">
        <v>6</v>
      </c>
      <c r="B40" s="50">
        <v>19</v>
      </c>
      <c r="C40" s="42"/>
      <c r="D40" s="42"/>
      <c r="E40" s="42"/>
      <c r="F40" s="42"/>
      <c r="G40" s="103" t="s">
        <v>6</v>
      </c>
      <c r="H40" s="120">
        <f t="shared" si="26"/>
        <v>19</v>
      </c>
      <c r="I40" s="74">
        <v>175</v>
      </c>
      <c r="J40" s="108">
        <v>453600</v>
      </c>
      <c r="K40" s="108">
        <f t="shared" si="23"/>
        <v>2592</v>
      </c>
      <c r="L40" s="108">
        <v>248150</v>
      </c>
      <c r="M40" s="109">
        <f t="shared" si="24"/>
        <v>1418</v>
      </c>
      <c r="N40" s="109">
        <v>1100</v>
      </c>
      <c r="O40" s="110">
        <f t="shared" si="25"/>
        <v>702850</v>
      </c>
      <c r="P40" s="111">
        <f t="shared" si="27"/>
        <v>4016.2857142857142</v>
      </c>
      <c r="Q40" s="111"/>
      <c r="R40" s="111"/>
      <c r="S40" s="111"/>
      <c r="T40" s="168"/>
      <c r="U40" s="112" t="e">
        <f t="shared" si="28"/>
        <v>#DIV/0!</v>
      </c>
      <c r="W40" s="248">
        <v>15</v>
      </c>
      <c r="X40" s="248">
        <v>23.8</v>
      </c>
      <c r="Y40" s="256">
        <v>4</v>
      </c>
      <c r="Z40" s="256">
        <v>4</v>
      </c>
      <c r="AA40" s="256">
        <v>4</v>
      </c>
      <c r="AB40" s="272">
        <f t="shared" si="29"/>
        <v>4</v>
      </c>
      <c r="AD40" s="35" t="s">
        <v>121</v>
      </c>
      <c r="AF40" s="1">
        <v>2</v>
      </c>
      <c r="AK40" s="378">
        <v>14.5</v>
      </c>
      <c r="AL40" s="378">
        <v>28.2</v>
      </c>
      <c r="AM40" s="370">
        <v>5</v>
      </c>
      <c r="AN40" s="370">
        <v>5</v>
      </c>
      <c r="AO40" s="370">
        <v>4</v>
      </c>
      <c r="AP40" s="370">
        <f t="shared" si="30"/>
        <v>4.666666666666667</v>
      </c>
      <c r="AR40" s="362" t="s">
        <v>121</v>
      </c>
      <c r="AT40" s="1">
        <v>2</v>
      </c>
    </row>
    <row r="41" spans="1:49" ht="23.5" customHeight="1" x14ac:dyDescent="0.25">
      <c r="A41" s="55" t="s">
        <v>7</v>
      </c>
      <c r="B41" s="50">
        <v>20</v>
      </c>
      <c r="C41" s="42"/>
      <c r="D41" s="42"/>
      <c r="E41" s="42"/>
      <c r="F41" s="42"/>
      <c r="G41" s="103" t="s">
        <v>7</v>
      </c>
      <c r="H41" s="120">
        <f t="shared" si="26"/>
        <v>20</v>
      </c>
      <c r="I41" s="74">
        <v>153</v>
      </c>
      <c r="J41" s="108">
        <v>383750</v>
      </c>
      <c r="K41" s="108">
        <f t="shared" si="23"/>
        <v>2508.169934640523</v>
      </c>
      <c r="L41" s="108">
        <v>224150</v>
      </c>
      <c r="M41" s="109">
        <f t="shared" si="24"/>
        <v>1465.0326797385621</v>
      </c>
      <c r="N41" s="109">
        <v>2750</v>
      </c>
      <c r="O41" s="110">
        <f t="shared" si="25"/>
        <v>610650</v>
      </c>
      <c r="P41" s="111">
        <f t="shared" si="27"/>
        <v>3991.1764705882351</v>
      </c>
      <c r="Q41" s="111"/>
      <c r="R41" s="111"/>
      <c r="S41" s="111"/>
      <c r="T41" s="168"/>
      <c r="U41" s="112" t="e">
        <f t="shared" si="28"/>
        <v>#DIV/0!</v>
      </c>
      <c r="W41" s="248">
        <v>16</v>
      </c>
      <c r="X41" s="248">
        <v>24.1</v>
      </c>
      <c r="Y41" s="256">
        <v>2</v>
      </c>
      <c r="Z41" s="256">
        <v>4</v>
      </c>
      <c r="AA41" s="256">
        <v>4</v>
      </c>
      <c r="AB41" s="272">
        <f t="shared" si="29"/>
        <v>3.3333333333333335</v>
      </c>
      <c r="AD41" s="35" t="s">
        <v>122</v>
      </c>
      <c r="AF41" s="1">
        <v>1</v>
      </c>
      <c r="AK41" s="378">
        <v>17.100000000000001</v>
      </c>
      <c r="AL41" s="378">
        <v>24.5</v>
      </c>
      <c r="AM41" s="370">
        <v>4</v>
      </c>
      <c r="AN41" s="370">
        <v>4</v>
      </c>
      <c r="AO41" s="370">
        <v>4</v>
      </c>
      <c r="AP41" s="370">
        <f t="shared" si="30"/>
        <v>4</v>
      </c>
      <c r="AR41" s="362" t="s">
        <v>122</v>
      </c>
      <c r="AT41" s="1">
        <v>1</v>
      </c>
    </row>
    <row r="42" spans="1:49" ht="23.5" customHeight="1" x14ac:dyDescent="0.25">
      <c r="A42" s="55" t="s">
        <v>8</v>
      </c>
      <c r="B42" s="50">
        <v>21</v>
      </c>
      <c r="C42" s="42"/>
      <c r="D42" s="42"/>
      <c r="E42" s="42"/>
      <c r="F42" s="42"/>
      <c r="G42" s="103" t="s">
        <v>8</v>
      </c>
      <c r="H42" s="120">
        <f t="shared" si="26"/>
        <v>21</v>
      </c>
      <c r="I42" s="74">
        <v>184</v>
      </c>
      <c r="J42" s="108">
        <v>414350</v>
      </c>
      <c r="K42" s="108">
        <f t="shared" si="23"/>
        <v>2251.9021739130435</v>
      </c>
      <c r="L42" s="108">
        <v>253850</v>
      </c>
      <c r="M42" s="109">
        <f t="shared" si="24"/>
        <v>1379.6195652173913</v>
      </c>
      <c r="N42" s="109">
        <v>3300</v>
      </c>
      <c r="O42" s="110">
        <f t="shared" si="25"/>
        <v>671500</v>
      </c>
      <c r="P42" s="111">
        <f t="shared" si="27"/>
        <v>3649.4565217391305</v>
      </c>
      <c r="Q42" s="111"/>
      <c r="R42" s="111"/>
      <c r="S42" s="111"/>
      <c r="T42" s="168"/>
      <c r="U42" s="112" t="e">
        <f t="shared" si="28"/>
        <v>#DIV/0!</v>
      </c>
      <c r="W42" s="248">
        <v>17.5</v>
      </c>
      <c r="X42" s="248">
        <v>26.6</v>
      </c>
      <c r="Y42" s="256">
        <v>2</v>
      </c>
      <c r="Z42" s="256">
        <v>5</v>
      </c>
      <c r="AA42" s="256">
        <v>2</v>
      </c>
      <c r="AB42" s="272">
        <f t="shared" si="29"/>
        <v>3</v>
      </c>
      <c r="AD42" s="35" t="s">
        <v>127</v>
      </c>
      <c r="AF42" s="1">
        <v>0</v>
      </c>
      <c r="AK42" s="378">
        <v>18.399999999999999</v>
      </c>
      <c r="AL42" s="378">
        <v>26</v>
      </c>
      <c r="AM42" s="370">
        <v>3</v>
      </c>
      <c r="AN42" s="370">
        <v>3</v>
      </c>
      <c r="AO42" s="370">
        <v>4</v>
      </c>
      <c r="AP42" s="370">
        <f t="shared" si="30"/>
        <v>3.3333333333333335</v>
      </c>
      <c r="AR42" s="362" t="s">
        <v>127</v>
      </c>
      <c r="AT42" s="1">
        <v>0</v>
      </c>
    </row>
    <row r="43" spans="1:49" ht="23.5" customHeight="1" thickBot="1" x14ac:dyDescent="0.3">
      <c r="A43" s="56" t="s">
        <v>9</v>
      </c>
      <c r="B43" s="50">
        <v>22</v>
      </c>
      <c r="C43" s="42"/>
      <c r="D43" s="42"/>
      <c r="E43" s="42"/>
      <c r="F43" s="42"/>
      <c r="G43" s="113" t="s">
        <v>9</v>
      </c>
      <c r="H43" s="120">
        <f t="shared" si="26"/>
        <v>22</v>
      </c>
      <c r="I43" s="74">
        <v>316</v>
      </c>
      <c r="J43" s="108">
        <v>845550</v>
      </c>
      <c r="K43" s="108">
        <f t="shared" si="23"/>
        <v>2675.7911392405063</v>
      </c>
      <c r="L43" s="108">
        <v>454050</v>
      </c>
      <c r="M43" s="109">
        <f t="shared" si="24"/>
        <v>1436.867088607595</v>
      </c>
      <c r="N43" s="109">
        <v>9350</v>
      </c>
      <c r="O43" s="110">
        <f t="shared" si="25"/>
        <v>1308950</v>
      </c>
      <c r="P43" s="111">
        <f t="shared" si="27"/>
        <v>4142.2468354430375</v>
      </c>
      <c r="Q43" s="111"/>
      <c r="R43" s="111"/>
      <c r="S43" s="111"/>
      <c r="T43" s="168"/>
      <c r="U43" s="112" t="e">
        <f t="shared" si="28"/>
        <v>#DIV/0!</v>
      </c>
      <c r="W43" s="249">
        <v>17.8</v>
      </c>
      <c r="X43" s="249">
        <v>26.7</v>
      </c>
      <c r="Y43" s="257">
        <v>5</v>
      </c>
      <c r="Z43" s="256">
        <v>2</v>
      </c>
      <c r="AA43" s="256">
        <v>1</v>
      </c>
      <c r="AB43" s="273">
        <f t="shared" si="29"/>
        <v>2.6666666666666665</v>
      </c>
      <c r="AD43" s="1" t="s">
        <v>130</v>
      </c>
      <c r="AK43" s="379">
        <v>16.8</v>
      </c>
      <c r="AL43" s="379">
        <v>25.3</v>
      </c>
      <c r="AM43" s="380">
        <v>5</v>
      </c>
      <c r="AN43" s="370">
        <v>5</v>
      </c>
      <c r="AO43" s="370">
        <v>4</v>
      </c>
      <c r="AP43" s="375">
        <f t="shared" si="30"/>
        <v>4.666666666666667</v>
      </c>
      <c r="AR43" s="362" t="s">
        <v>130</v>
      </c>
    </row>
    <row r="44" spans="1:49" s="287" customFormat="1" ht="31" customHeight="1" thickTop="1" thickBot="1" x14ac:dyDescent="0.3">
      <c r="A44" s="728" t="s">
        <v>13</v>
      </c>
      <c r="B44" s="729"/>
      <c r="C44" s="287" t="s">
        <v>36</v>
      </c>
      <c r="D44" s="286" t="e">
        <f>#REF!/F44</f>
        <v>#REF!</v>
      </c>
      <c r="E44" s="288" t="s">
        <v>37</v>
      </c>
      <c r="F44" s="287" t="e">
        <f>#REF!</f>
        <v>#REF!</v>
      </c>
      <c r="G44" s="728" t="s">
        <v>13</v>
      </c>
      <c r="H44" s="729"/>
      <c r="I44" s="121">
        <f>SUM(I37:I43)</f>
        <v>1146</v>
      </c>
      <c r="J44" s="121">
        <f>SUM(J37:J43)</f>
        <v>2907650</v>
      </c>
      <c r="K44" s="121">
        <f t="shared" si="23"/>
        <v>2537.216404886562</v>
      </c>
      <c r="L44" s="121">
        <f>SUM(L37:L43)</f>
        <v>1650900</v>
      </c>
      <c r="M44" s="122">
        <f t="shared" si="24"/>
        <v>1440.5759162303666</v>
      </c>
      <c r="N44" s="122">
        <f>SUM(N37:N43)</f>
        <v>35200</v>
      </c>
      <c r="O44" s="408">
        <f t="shared" si="25"/>
        <v>4593750</v>
      </c>
      <c r="P44" s="123">
        <f>O44/I44</f>
        <v>4008.5078534031413</v>
      </c>
      <c r="Q44" s="123"/>
      <c r="R44" s="123"/>
      <c r="S44" s="123"/>
      <c r="T44" s="403">
        <f>SUM(T37:T43)</f>
        <v>0</v>
      </c>
      <c r="U44" s="124" t="e">
        <f t="shared" si="28"/>
        <v>#DIV/0!</v>
      </c>
      <c r="V44" s="287">
        <v>7</v>
      </c>
      <c r="W44" s="297">
        <f>SUM(W37:W43)/V44</f>
        <v>17.542857142857141</v>
      </c>
      <c r="X44" s="298">
        <f>SUM(X37:X43)/V44</f>
        <v>25.157142857142855</v>
      </c>
      <c r="Y44" s="312">
        <f>SUM(Y37:Y43)/V44</f>
        <v>2.5714285714285716</v>
      </c>
      <c r="Z44" s="312">
        <f>SUM(Z37:Z43)/V44</f>
        <v>3</v>
      </c>
      <c r="AA44" s="312">
        <f>SUM(AA37:AA43)/V44</f>
        <v>2.4285714285714284</v>
      </c>
      <c r="AB44" s="313">
        <f>SUM(Y44:AA44)/3</f>
        <v>2.6666666666666665</v>
      </c>
      <c r="AC44" s="404" t="s">
        <v>135</v>
      </c>
      <c r="AD44" s="787">
        <f>O44/V44</f>
        <v>656250</v>
      </c>
      <c r="AE44" s="788"/>
      <c r="AF44" s="788"/>
      <c r="AG44" s="788"/>
      <c r="AH44" s="789"/>
      <c r="AI44" s="287" t="s">
        <v>141</v>
      </c>
      <c r="AJ44" s="287">
        <v>7</v>
      </c>
      <c r="AK44" s="297">
        <f>SUM(AK37:AK43)/AJ44</f>
        <v>16.100000000000001</v>
      </c>
      <c r="AL44" s="298">
        <f>SUM(AL37:AL43)/AJ44</f>
        <v>24.157142857142862</v>
      </c>
      <c r="AM44" s="312">
        <f>SUM(AM37:AM43)/AJ44</f>
        <v>3.7142857142857144</v>
      </c>
      <c r="AN44" s="312">
        <f>SUM(AN37:AN43)/AJ44</f>
        <v>3.8571428571428572</v>
      </c>
      <c r="AO44" s="312">
        <f>SUM(AO37:AO43)/AJ44</f>
        <v>4</v>
      </c>
      <c r="AP44" s="313">
        <f>SUM(AM44:AO44)/3</f>
        <v>3.8571428571428572</v>
      </c>
      <c r="AQ44" s="404" t="s">
        <v>135</v>
      </c>
      <c r="AR44" s="771">
        <v>792392.85714285716</v>
      </c>
      <c r="AS44" s="772"/>
      <c r="AT44" s="772"/>
      <c r="AU44" s="772"/>
      <c r="AV44" s="773"/>
      <c r="AW44" s="287" t="s">
        <v>141</v>
      </c>
    </row>
    <row r="45" spans="1:49" ht="23.5" customHeight="1" thickTop="1" x14ac:dyDescent="0.25">
      <c r="A45" s="710" t="s">
        <v>17</v>
      </c>
      <c r="B45" s="711"/>
      <c r="G45" s="713" t="s">
        <v>17</v>
      </c>
      <c r="H45" s="714"/>
      <c r="I45" s="714"/>
      <c r="J45" s="714"/>
      <c r="K45" s="714"/>
      <c r="L45" s="714"/>
      <c r="M45" s="714"/>
      <c r="N45" s="714"/>
      <c r="O45" s="714"/>
      <c r="P45" s="714"/>
      <c r="Q45" s="714"/>
      <c r="R45" s="714"/>
      <c r="S45" s="714"/>
      <c r="T45" s="714"/>
      <c r="U45" s="715"/>
      <c r="W45" s="716" t="str">
        <f>G45</f>
        <v>5th week</v>
      </c>
      <c r="X45" s="716"/>
      <c r="Y45" s="716"/>
      <c r="Z45" s="716"/>
      <c r="AA45" s="716"/>
      <c r="AB45" s="716"/>
      <c r="AK45" s="791">
        <f>X45</f>
        <v>0</v>
      </c>
      <c r="AL45" s="791"/>
      <c r="AM45" s="791"/>
      <c r="AN45" s="791"/>
      <c r="AO45" s="791"/>
      <c r="AP45" s="791"/>
    </row>
    <row r="46" spans="1:49" ht="23.5" customHeight="1" x14ac:dyDescent="0.25">
      <c r="A46" s="53" t="s">
        <v>10</v>
      </c>
      <c r="B46" s="37" t="s">
        <v>11</v>
      </c>
      <c r="C46" s="2" t="s">
        <v>32</v>
      </c>
      <c r="D46" s="2" t="s">
        <v>33</v>
      </c>
      <c r="E46" s="2" t="s">
        <v>34</v>
      </c>
      <c r="F46" s="2" t="s">
        <v>35</v>
      </c>
      <c r="G46" s="103" t="s">
        <v>10</v>
      </c>
      <c r="H46" s="104" t="s">
        <v>11</v>
      </c>
      <c r="I46" s="104" t="s">
        <v>1</v>
      </c>
      <c r="J46" s="104" t="s">
        <v>30</v>
      </c>
      <c r="K46" s="104" t="s">
        <v>31</v>
      </c>
      <c r="L46" s="104" t="s">
        <v>28</v>
      </c>
      <c r="M46" s="104" t="s">
        <v>29</v>
      </c>
      <c r="N46" s="104" t="s">
        <v>72</v>
      </c>
      <c r="O46" s="104" t="s">
        <v>71</v>
      </c>
      <c r="P46" s="105" t="s">
        <v>48</v>
      </c>
      <c r="Q46" s="105"/>
      <c r="R46" s="105"/>
      <c r="S46" s="105"/>
      <c r="T46" s="167" t="s">
        <v>74</v>
      </c>
      <c r="U46" s="106" t="s">
        <v>73</v>
      </c>
      <c r="W46" s="253" t="s">
        <v>116</v>
      </c>
      <c r="X46" s="254" t="s">
        <v>117</v>
      </c>
      <c r="Y46" s="49" t="s">
        <v>118</v>
      </c>
      <c r="Z46" s="49" t="s">
        <v>119</v>
      </c>
      <c r="AA46" s="49" t="s">
        <v>120</v>
      </c>
      <c r="AB46" s="255" t="s">
        <v>128</v>
      </c>
      <c r="AD46" s="1" t="s">
        <v>123</v>
      </c>
      <c r="AF46" s="36" t="s">
        <v>126</v>
      </c>
      <c r="AK46" s="365" t="s">
        <v>116</v>
      </c>
      <c r="AL46" s="366" t="s">
        <v>117</v>
      </c>
      <c r="AM46" s="367" t="s">
        <v>118</v>
      </c>
      <c r="AN46" s="367" t="s">
        <v>119</v>
      </c>
      <c r="AO46" s="367" t="s">
        <v>120</v>
      </c>
      <c r="AP46" s="368" t="s">
        <v>128</v>
      </c>
      <c r="AR46" s="362" t="s">
        <v>123</v>
      </c>
      <c r="AT46" s="36" t="s">
        <v>126</v>
      </c>
    </row>
    <row r="47" spans="1:49" ht="23.5" customHeight="1" x14ac:dyDescent="0.25">
      <c r="A47" s="54" t="s">
        <v>3</v>
      </c>
      <c r="B47" s="50">
        <v>23</v>
      </c>
      <c r="C47" s="42"/>
      <c r="D47" s="42"/>
      <c r="E47" s="42"/>
      <c r="F47" s="42"/>
      <c r="G47" s="107" t="s">
        <v>3</v>
      </c>
      <c r="H47" s="120">
        <f>B47</f>
        <v>23</v>
      </c>
      <c r="I47" s="74">
        <v>208</v>
      </c>
      <c r="J47" s="108">
        <v>561900</v>
      </c>
      <c r="K47" s="108">
        <f t="shared" ref="K47:K54" si="31">J47/I47</f>
        <v>2701.4423076923076</v>
      </c>
      <c r="L47" s="108">
        <v>314100</v>
      </c>
      <c r="M47" s="109">
        <f t="shared" ref="M47:M54" si="32">L47/I47</f>
        <v>1510.0961538461538</v>
      </c>
      <c r="N47" s="109"/>
      <c r="O47" s="110">
        <f t="shared" ref="O47:O54" si="33">J47+L47+N47</f>
        <v>876000</v>
      </c>
      <c r="P47" s="111">
        <f>O47/I47</f>
        <v>4211.5384615384619</v>
      </c>
      <c r="Q47" s="111"/>
      <c r="R47" s="111"/>
      <c r="S47" s="111"/>
      <c r="T47" s="168"/>
      <c r="U47" s="112" t="e">
        <f>O47/T47</f>
        <v>#DIV/0!</v>
      </c>
      <c r="W47" s="248">
        <v>15.7</v>
      </c>
      <c r="X47" s="248">
        <v>25</v>
      </c>
      <c r="Y47" s="256">
        <v>2</v>
      </c>
      <c r="Z47" s="256">
        <v>2</v>
      </c>
      <c r="AA47" s="256">
        <v>2</v>
      </c>
      <c r="AB47" s="272">
        <f>SUM(Y47:AA47)/3</f>
        <v>2</v>
      </c>
      <c r="AD47" s="271" t="s">
        <v>124</v>
      </c>
      <c r="AE47" s="2"/>
      <c r="AF47" s="270">
        <v>5</v>
      </c>
      <c r="AK47" s="378">
        <v>16.3</v>
      </c>
      <c r="AL47" s="378">
        <v>27.9</v>
      </c>
      <c r="AM47" s="370">
        <v>5</v>
      </c>
      <c r="AN47" s="370">
        <v>5</v>
      </c>
      <c r="AO47" s="370">
        <v>4</v>
      </c>
      <c r="AP47" s="370">
        <f>SUM(AM47:AO47)/3</f>
        <v>4.666666666666667</v>
      </c>
      <c r="AR47" s="371" t="s">
        <v>124</v>
      </c>
      <c r="AS47" s="364"/>
      <c r="AT47" s="270">
        <v>5</v>
      </c>
    </row>
    <row r="48" spans="1:49" ht="23.5" customHeight="1" x14ac:dyDescent="0.25">
      <c r="A48" s="55" t="s">
        <v>4</v>
      </c>
      <c r="B48" s="50">
        <v>24</v>
      </c>
      <c r="C48" s="42"/>
      <c r="D48" s="42"/>
      <c r="E48" s="42"/>
      <c r="F48" s="42"/>
      <c r="G48" s="103" t="s">
        <v>4</v>
      </c>
      <c r="H48" s="120">
        <f t="shared" ref="H48:H53" si="34">B48</f>
        <v>24</v>
      </c>
      <c r="I48" s="74">
        <v>85</v>
      </c>
      <c r="J48" s="108">
        <v>147100</v>
      </c>
      <c r="K48" s="108">
        <f t="shared" si="31"/>
        <v>1730.5882352941176</v>
      </c>
      <c r="L48" s="108">
        <v>94800</v>
      </c>
      <c r="M48" s="109">
        <f t="shared" si="32"/>
        <v>1115.2941176470588</v>
      </c>
      <c r="N48" s="109">
        <v>3850</v>
      </c>
      <c r="O48" s="110">
        <f t="shared" si="33"/>
        <v>245750</v>
      </c>
      <c r="P48" s="111">
        <f t="shared" ref="P48:P53" si="35">O48/I48</f>
        <v>2891.1764705882351</v>
      </c>
      <c r="Q48" s="111"/>
      <c r="R48" s="111"/>
      <c r="S48" s="111"/>
      <c r="T48" s="168"/>
      <c r="U48" s="112" t="e">
        <f t="shared" ref="U48:U54" si="36">O48/T48</f>
        <v>#DIV/0!</v>
      </c>
      <c r="W48" s="248">
        <v>18.8</v>
      </c>
      <c r="X48" s="248">
        <v>22.4</v>
      </c>
      <c r="Y48" s="256">
        <v>2</v>
      </c>
      <c r="Z48" s="256">
        <v>2</v>
      </c>
      <c r="AA48" s="256">
        <v>2</v>
      </c>
      <c r="AB48" s="272">
        <f t="shared" ref="AB48:AB53" si="37">SUM(Y48:AA48)/3</f>
        <v>2</v>
      </c>
      <c r="AD48" s="35" t="s">
        <v>125</v>
      </c>
      <c r="AF48" s="1">
        <v>4</v>
      </c>
      <c r="AK48" s="378">
        <v>17.600000000000001</v>
      </c>
      <c r="AL48" s="378">
        <v>28.3</v>
      </c>
      <c r="AM48" s="370">
        <v>5</v>
      </c>
      <c r="AN48" s="370">
        <v>5</v>
      </c>
      <c r="AO48" s="370">
        <v>4</v>
      </c>
      <c r="AP48" s="370">
        <f t="shared" ref="AP48:AP53" si="38">SUM(AM48:AO48)/3</f>
        <v>4.666666666666667</v>
      </c>
      <c r="AR48" s="362" t="s">
        <v>125</v>
      </c>
      <c r="AT48" s="1">
        <v>4</v>
      </c>
    </row>
    <row r="49" spans="1:49" ht="23.5" customHeight="1" x14ac:dyDescent="0.25">
      <c r="A49" s="55" t="s">
        <v>5</v>
      </c>
      <c r="B49" s="50">
        <v>25</v>
      </c>
      <c r="C49" s="42"/>
      <c r="D49" s="42"/>
      <c r="E49" s="42"/>
      <c r="F49" s="42"/>
      <c r="G49" s="103" t="s">
        <v>5</v>
      </c>
      <c r="H49" s="120">
        <f t="shared" si="34"/>
        <v>25</v>
      </c>
      <c r="I49" s="74">
        <v>64</v>
      </c>
      <c r="J49" s="108">
        <v>171050</v>
      </c>
      <c r="K49" s="108">
        <f t="shared" si="31"/>
        <v>2672.65625</v>
      </c>
      <c r="L49" s="108">
        <v>89950</v>
      </c>
      <c r="M49" s="109">
        <f t="shared" si="32"/>
        <v>1405.46875</v>
      </c>
      <c r="N49" s="109">
        <v>1650</v>
      </c>
      <c r="O49" s="110">
        <f t="shared" si="33"/>
        <v>262650</v>
      </c>
      <c r="P49" s="111">
        <f t="shared" si="35"/>
        <v>4103.90625</v>
      </c>
      <c r="Q49" s="111"/>
      <c r="R49" s="111"/>
      <c r="S49" s="111"/>
      <c r="T49" s="168"/>
      <c r="U49" s="112" t="e">
        <f t="shared" si="36"/>
        <v>#DIV/0!</v>
      </c>
      <c r="W49" s="248">
        <v>18.8</v>
      </c>
      <c r="X49" s="248">
        <v>22.8</v>
      </c>
      <c r="Y49" s="256">
        <v>2</v>
      </c>
      <c r="Z49" s="419">
        <v>1</v>
      </c>
      <c r="AA49" s="256">
        <v>2</v>
      </c>
      <c r="AB49" s="272">
        <f t="shared" si="37"/>
        <v>1.6666666666666667</v>
      </c>
      <c r="AD49" s="35" t="s">
        <v>182</v>
      </c>
      <c r="AF49" s="1">
        <v>3</v>
      </c>
      <c r="AK49" s="378">
        <v>17.899999999999999</v>
      </c>
      <c r="AL49" s="378">
        <v>31.2</v>
      </c>
      <c r="AM49" s="370">
        <v>5</v>
      </c>
      <c r="AN49" s="370">
        <v>5</v>
      </c>
      <c r="AO49" s="370">
        <v>4</v>
      </c>
      <c r="AP49" s="370">
        <f t="shared" si="38"/>
        <v>4.666666666666667</v>
      </c>
      <c r="AR49" s="362" t="s">
        <v>129</v>
      </c>
      <c r="AT49" s="1">
        <v>3</v>
      </c>
    </row>
    <row r="50" spans="1:49" ht="23.5" customHeight="1" x14ac:dyDescent="0.25">
      <c r="A50" s="55" t="s">
        <v>6</v>
      </c>
      <c r="B50" s="50">
        <v>26</v>
      </c>
      <c r="C50" s="42"/>
      <c r="D50" s="42"/>
      <c r="E50" s="42"/>
      <c r="F50" s="42"/>
      <c r="G50" s="103" t="s">
        <v>6</v>
      </c>
      <c r="H50" s="120">
        <f t="shared" si="34"/>
        <v>26</v>
      </c>
      <c r="I50" s="74">
        <v>62</v>
      </c>
      <c r="J50" s="108">
        <v>129100</v>
      </c>
      <c r="K50" s="108">
        <f t="shared" si="31"/>
        <v>2082.2580645161293</v>
      </c>
      <c r="L50" s="108">
        <v>73700</v>
      </c>
      <c r="M50" s="109">
        <f t="shared" si="32"/>
        <v>1188.7096774193549</v>
      </c>
      <c r="N50" s="109">
        <v>3850</v>
      </c>
      <c r="O50" s="110">
        <f t="shared" si="33"/>
        <v>206650</v>
      </c>
      <c r="P50" s="111">
        <f t="shared" si="35"/>
        <v>3333.0645161290322</v>
      </c>
      <c r="Q50" s="111"/>
      <c r="R50" s="111"/>
      <c r="S50" s="111"/>
      <c r="T50" s="168"/>
      <c r="U50" s="112" t="e">
        <f t="shared" si="36"/>
        <v>#DIV/0!</v>
      </c>
      <c r="W50" s="248">
        <v>13</v>
      </c>
      <c r="X50" s="248">
        <v>18.8</v>
      </c>
      <c r="Y50" s="256">
        <v>2</v>
      </c>
      <c r="Z50" s="256">
        <v>4</v>
      </c>
      <c r="AA50" s="256">
        <v>3</v>
      </c>
      <c r="AB50" s="272">
        <f t="shared" si="37"/>
        <v>3</v>
      </c>
      <c r="AD50" s="35" t="s">
        <v>121</v>
      </c>
      <c r="AF50" s="1">
        <v>2</v>
      </c>
      <c r="AK50" s="378">
        <v>20.5</v>
      </c>
      <c r="AL50" s="378">
        <v>29.2</v>
      </c>
      <c r="AM50" s="370">
        <v>1</v>
      </c>
      <c r="AN50" s="370">
        <v>3</v>
      </c>
      <c r="AO50" s="370">
        <v>4</v>
      </c>
      <c r="AP50" s="370">
        <f t="shared" si="38"/>
        <v>2.6666666666666665</v>
      </c>
      <c r="AR50" s="362" t="s">
        <v>121</v>
      </c>
      <c r="AT50" s="1">
        <v>2</v>
      </c>
    </row>
    <row r="51" spans="1:49" ht="23.5" customHeight="1" x14ac:dyDescent="0.25">
      <c r="A51" s="55" t="s">
        <v>7</v>
      </c>
      <c r="B51" s="50">
        <v>27</v>
      </c>
      <c r="C51" s="42"/>
      <c r="D51" s="42"/>
      <c r="E51" s="42"/>
      <c r="F51" s="42"/>
      <c r="G51" s="103" t="s">
        <v>7</v>
      </c>
      <c r="H51" s="120">
        <f t="shared" si="34"/>
        <v>27</v>
      </c>
      <c r="I51" s="74">
        <v>145</v>
      </c>
      <c r="J51" s="108">
        <v>371050</v>
      </c>
      <c r="K51" s="108">
        <f t="shared" si="31"/>
        <v>2558.9655172413795</v>
      </c>
      <c r="L51" s="108">
        <v>219550</v>
      </c>
      <c r="M51" s="109">
        <f t="shared" si="32"/>
        <v>1514.1379310344828</v>
      </c>
      <c r="N51" s="109"/>
      <c r="O51" s="110">
        <f t="shared" si="33"/>
        <v>590600</v>
      </c>
      <c r="P51" s="111">
        <f t="shared" si="35"/>
        <v>4073.1034482758619</v>
      </c>
      <c r="Q51" s="111"/>
      <c r="R51" s="111"/>
      <c r="S51" s="111"/>
      <c r="T51" s="168"/>
      <c r="U51" s="112" t="e">
        <f t="shared" si="36"/>
        <v>#DIV/0!</v>
      </c>
      <c r="W51" s="248">
        <v>11.5</v>
      </c>
      <c r="X51" s="248">
        <v>25.7</v>
      </c>
      <c r="Y51" s="256">
        <v>5</v>
      </c>
      <c r="Z51" s="256">
        <v>3</v>
      </c>
      <c r="AA51" s="419">
        <v>1</v>
      </c>
      <c r="AB51" s="272">
        <f t="shared" si="37"/>
        <v>3</v>
      </c>
      <c r="AD51" s="35" t="s">
        <v>122</v>
      </c>
      <c r="AF51" s="1">
        <v>1</v>
      </c>
      <c r="AK51" s="378">
        <v>21.3</v>
      </c>
      <c r="AL51" s="378">
        <v>28.2</v>
      </c>
      <c r="AM51" s="370">
        <v>1</v>
      </c>
      <c r="AN51" s="370">
        <v>3</v>
      </c>
      <c r="AO51" s="370">
        <v>1</v>
      </c>
      <c r="AP51" s="370">
        <f t="shared" si="38"/>
        <v>1.6666666666666667</v>
      </c>
      <c r="AR51" s="362" t="s">
        <v>122</v>
      </c>
      <c r="AT51" s="1">
        <v>1</v>
      </c>
    </row>
    <row r="52" spans="1:49" ht="23.5" customHeight="1" x14ac:dyDescent="0.25">
      <c r="A52" s="55" t="s">
        <v>8</v>
      </c>
      <c r="B52" s="50">
        <v>28</v>
      </c>
      <c r="C52" s="42"/>
      <c r="D52" s="42"/>
      <c r="E52" s="42"/>
      <c r="F52" s="42"/>
      <c r="G52" s="103" t="s">
        <v>8</v>
      </c>
      <c r="H52" s="120">
        <f t="shared" si="34"/>
        <v>28</v>
      </c>
      <c r="I52" s="74">
        <v>329</v>
      </c>
      <c r="J52" s="108">
        <v>873700</v>
      </c>
      <c r="K52" s="108">
        <f t="shared" si="31"/>
        <v>2655.6231003039516</v>
      </c>
      <c r="L52" s="108">
        <v>504150</v>
      </c>
      <c r="M52" s="109">
        <f t="shared" si="32"/>
        <v>1532.3708206686931</v>
      </c>
      <c r="N52" s="109">
        <v>6600</v>
      </c>
      <c r="O52" s="110">
        <f t="shared" si="33"/>
        <v>1384450</v>
      </c>
      <c r="P52" s="111">
        <f t="shared" si="35"/>
        <v>4208.0547112462009</v>
      </c>
      <c r="Q52" s="111"/>
      <c r="R52" s="111"/>
      <c r="S52" s="111"/>
      <c r="T52" s="168"/>
      <c r="U52" s="112" t="e">
        <f t="shared" si="36"/>
        <v>#DIV/0!</v>
      </c>
      <c r="W52" s="248">
        <v>18.899999999999999</v>
      </c>
      <c r="X52" s="248">
        <v>29.1</v>
      </c>
      <c r="Y52" s="256">
        <v>5</v>
      </c>
      <c r="Z52" s="256">
        <v>5</v>
      </c>
      <c r="AA52" s="256">
        <v>4</v>
      </c>
      <c r="AB52" s="272">
        <f t="shared" si="37"/>
        <v>4.666666666666667</v>
      </c>
      <c r="AD52" s="35" t="s">
        <v>127</v>
      </c>
      <c r="AF52" s="1">
        <v>0</v>
      </c>
      <c r="AK52" s="378">
        <v>20.7</v>
      </c>
      <c r="AL52" s="378">
        <v>25.7</v>
      </c>
      <c r="AM52" s="370">
        <v>3</v>
      </c>
      <c r="AN52" s="370">
        <v>1</v>
      </c>
      <c r="AO52" s="370">
        <v>2</v>
      </c>
      <c r="AP52" s="370">
        <f t="shared" si="38"/>
        <v>2</v>
      </c>
      <c r="AR52" s="362" t="s">
        <v>127</v>
      </c>
      <c r="AT52" s="1">
        <v>0</v>
      </c>
    </row>
    <row r="53" spans="1:49" ht="23.5" customHeight="1" thickBot="1" x14ac:dyDescent="0.3">
      <c r="A53" s="56" t="s">
        <v>9</v>
      </c>
      <c r="B53" s="50">
        <v>29</v>
      </c>
      <c r="C53" s="42"/>
      <c r="D53" s="42"/>
      <c r="E53" s="42"/>
      <c r="F53" s="42"/>
      <c r="G53" s="113" t="s">
        <v>9</v>
      </c>
      <c r="H53" s="120">
        <f t="shared" si="34"/>
        <v>29</v>
      </c>
      <c r="I53" s="74">
        <v>507</v>
      </c>
      <c r="J53" s="108">
        <v>1461500</v>
      </c>
      <c r="K53" s="108">
        <f t="shared" si="31"/>
        <v>2882.6429980276134</v>
      </c>
      <c r="L53" s="108">
        <v>844250</v>
      </c>
      <c r="M53" s="109">
        <f t="shared" si="32"/>
        <v>1665.1873767258382</v>
      </c>
      <c r="N53" s="109">
        <v>34100</v>
      </c>
      <c r="O53" s="110">
        <f t="shared" si="33"/>
        <v>2339850</v>
      </c>
      <c r="P53" s="111">
        <f t="shared" si="35"/>
        <v>4615.0887573964501</v>
      </c>
      <c r="Q53" s="111"/>
      <c r="R53" s="111"/>
      <c r="S53" s="111"/>
      <c r="T53" s="168"/>
      <c r="U53" s="112" t="e">
        <f t="shared" si="36"/>
        <v>#DIV/0!</v>
      </c>
      <c r="W53" s="249">
        <v>18.7</v>
      </c>
      <c r="X53" s="249">
        <v>31.3</v>
      </c>
      <c r="Y53" s="257">
        <v>5</v>
      </c>
      <c r="Z53" s="256">
        <v>5</v>
      </c>
      <c r="AA53" s="256">
        <v>4</v>
      </c>
      <c r="AB53" s="273">
        <f t="shared" si="37"/>
        <v>4.666666666666667</v>
      </c>
      <c r="AD53" s="1" t="s">
        <v>130</v>
      </c>
      <c r="AK53" s="379"/>
      <c r="AL53" s="379"/>
      <c r="AM53" s="380"/>
      <c r="AN53" s="370"/>
      <c r="AO53" s="370"/>
      <c r="AP53" s="375">
        <f t="shared" si="38"/>
        <v>0</v>
      </c>
      <c r="AR53" s="362" t="s">
        <v>130</v>
      </c>
    </row>
    <row r="54" spans="1:49" s="287" customFormat="1" ht="37" customHeight="1" thickTop="1" thickBot="1" x14ac:dyDescent="0.3">
      <c r="A54" s="728" t="s">
        <v>13</v>
      </c>
      <c r="B54" s="729"/>
      <c r="C54" s="287" t="s">
        <v>36</v>
      </c>
      <c r="D54" s="286" t="e">
        <f>#REF!/F54</f>
        <v>#REF!</v>
      </c>
      <c r="E54" s="288" t="s">
        <v>37</v>
      </c>
      <c r="F54" s="287" t="e">
        <f>#REF!</f>
        <v>#REF!</v>
      </c>
      <c r="G54" s="728" t="s">
        <v>13</v>
      </c>
      <c r="H54" s="729"/>
      <c r="I54" s="121">
        <f>SUM(I47:I53)</f>
        <v>1400</v>
      </c>
      <c r="J54" s="121">
        <f>SUM(J47:J53)</f>
        <v>3715400</v>
      </c>
      <c r="K54" s="121">
        <f t="shared" si="31"/>
        <v>2653.8571428571427</v>
      </c>
      <c r="L54" s="121">
        <f>SUM(L47:L53)</f>
        <v>2140500</v>
      </c>
      <c r="M54" s="122">
        <f t="shared" si="32"/>
        <v>1528.9285714285713</v>
      </c>
      <c r="N54" s="122">
        <f>SUM(N47:N53)</f>
        <v>50050</v>
      </c>
      <c r="O54" s="408">
        <f t="shared" si="33"/>
        <v>5905950</v>
      </c>
      <c r="P54" s="123">
        <f>O54/I54</f>
        <v>4218.5357142857147</v>
      </c>
      <c r="Q54" s="123"/>
      <c r="R54" s="123"/>
      <c r="S54" s="123"/>
      <c r="T54" s="403">
        <f>SUM(T47:T53)</f>
        <v>0</v>
      </c>
      <c r="U54" s="124" t="e">
        <f t="shared" si="36"/>
        <v>#DIV/0!</v>
      </c>
      <c r="V54" s="287">
        <v>7</v>
      </c>
      <c r="W54" s="297">
        <f>SUM(W47:W53)/V54</f>
        <v>16.485714285714284</v>
      </c>
      <c r="X54" s="298">
        <f>SUM(X47:X53)/V54</f>
        <v>25.014285714285716</v>
      </c>
      <c r="Y54" s="312">
        <f>SUM(Y47:Y53)/V54</f>
        <v>3.2857142857142856</v>
      </c>
      <c r="Z54" s="312">
        <f>SUM(Z47:Z53)/V54</f>
        <v>3.1428571428571428</v>
      </c>
      <c r="AA54" s="312">
        <f>SUM(AA47:AA53)/V54</f>
        <v>2.5714285714285716</v>
      </c>
      <c r="AB54" s="313">
        <f>SUM(Y54:AA54)/3</f>
        <v>3</v>
      </c>
      <c r="AC54" s="404" t="s">
        <v>136</v>
      </c>
      <c r="AD54" s="787">
        <f>O54/V54</f>
        <v>843707.14285714284</v>
      </c>
      <c r="AE54" s="788"/>
      <c r="AF54" s="788"/>
      <c r="AG54" s="788"/>
      <c r="AH54" s="789"/>
      <c r="AI54" s="287" t="s">
        <v>141</v>
      </c>
      <c r="AJ54" s="287">
        <v>6</v>
      </c>
      <c r="AK54" s="297">
        <f>SUM(AK47:AK53)/AJ54</f>
        <v>19.05</v>
      </c>
      <c r="AL54" s="298">
        <f>SUM(AL47:AL53)/AJ54</f>
        <v>28.416666666666668</v>
      </c>
      <c r="AM54" s="312">
        <f>SUM(AM47:AM53)/AJ54</f>
        <v>3.3333333333333335</v>
      </c>
      <c r="AN54" s="312">
        <f>SUM(AN47:AN53)/AJ54</f>
        <v>3.6666666666666665</v>
      </c>
      <c r="AO54" s="312">
        <f>SUM(AO47:AO53)/AJ54</f>
        <v>3.1666666666666665</v>
      </c>
      <c r="AP54" s="313">
        <f>SUM(AM54:AO54)/3</f>
        <v>3.3888888888888888</v>
      </c>
      <c r="AQ54" s="404" t="s">
        <v>136</v>
      </c>
      <c r="AR54" s="771">
        <v>882358.33333333337</v>
      </c>
      <c r="AS54" s="772"/>
      <c r="AT54" s="772"/>
      <c r="AU54" s="772"/>
      <c r="AV54" s="773"/>
      <c r="AW54" s="287" t="s">
        <v>141</v>
      </c>
    </row>
    <row r="55" spans="1:49" ht="23.5" customHeight="1" thickTop="1" x14ac:dyDescent="0.25">
      <c r="A55" s="710" t="s">
        <v>18</v>
      </c>
      <c r="B55" s="711"/>
      <c r="G55" s="713" t="s">
        <v>18</v>
      </c>
      <c r="H55" s="714"/>
      <c r="I55" s="714"/>
      <c r="J55" s="714"/>
      <c r="K55" s="714"/>
      <c r="L55" s="714"/>
      <c r="M55" s="714"/>
      <c r="N55" s="714"/>
      <c r="O55" s="714"/>
      <c r="P55" s="714"/>
      <c r="Q55" s="714"/>
      <c r="R55" s="714"/>
      <c r="S55" s="714"/>
      <c r="T55" s="714"/>
      <c r="U55" s="715"/>
      <c r="W55" s="716" t="str">
        <f>G55</f>
        <v>6th week</v>
      </c>
      <c r="X55" s="716"/>
      <c r="Y55" s="716"/>
      <c r="Z55" s="716"/>
      <c r="AA55" s="716"/>
      <c r="AB55" s="716"/>
      <c r="AK55" s="791">
        <f>X55</f>
        <v>0</v>
      </c>
      <c r="AL55" s="791"/>
      <c r="AM55" s="791"/>
      <c r="AN55" s="791"/>
      <c r="AO55" s="791"/>
      <c r="AP55" s="791"/>
    </row>
    <row r="56" spans="1:49" ht="23.5" customHeight="1" x14ac:dyDescent="0.25">
      <c r="A56" s="53" t="s">
        <v>10</v>
      </c>
      <c r="B56" s="37" t="s">
        <v>11</v>
      </c>
      <c r="C56" s="2" t="s">
        <v>32</v>
      </c>
      <c r="D56" s="2" t="s">
        <v>33</v>
      </c>
      <c r="E56" s="2" t="s">
        <v>34</v>
      </c>
      <c r="F56" s="2" t="s">
        <v>35</v>
      </c>
      <c r="G56" s="103" t="s">
        <v>10</v>
      </c>
      <c r="H56" s="104" t="s">
        <v>11</v>
      </c>
      <c r="I56" s="104" t="s">
        <v>1</v>
      </c>
      <c r="J56" s="104" t="s">
        <v>30</v>
      </c>
      <c r="K56" s="104" t="s">
        <v>31</v>
      </c>
      <c r="L56" s="104" t="s">
        <v>28</v>
      </c>
      <c r="M56" s="104" t="s">
        <v>29</v>
      </c>
      <c r="N56" s="104" t="s">
        <v>72</v>
      </c>
      <c r="O56" s="104" t="s">
        <v>71</v>
      </c>
      <c r="P56" s="105" t="s">
        <v>48</v>
      </c>
      <c r="Q56" s="105"/>
      <c r="R56" s="105"/>
      <c r="S56" s="105"/>
      <c r="T56" s="167" t="s">
        <v>74</v>
      </c>
      <c r="U56" s="106" t="s">
        <v>73</v>
      </c>
      <c r="W56" s="253" t="s">
        <v>116</v>
      </c>
      <c r="X56" s="254" t="s">
        <v>117</v>
      </c>
      <c r="Y56" s="49" t="s">
        <v>118</v>
      </c>
      <c r="Z56" s="49" t="s">
        <v>119</v>
      </c>
      <c r="AA56" s="49" t="s">
        <v>120</v>
      </c>
      <c r="AB56" s="255" t="s">
        <v>128</v>
      </c>
      <c r="AD56" s="1" t="s">
        <v>123</v>
      </c>
      <c r="AF56" s="36" t="s">
        <v>126</v>
      </c>
      <c r="AK56" s="365" t="s">
        <v>116</v>
      </c>
      <c r="AL56" s="366" t="s">
        <v>117</v>
      </c>
      <c r="AM56" s="367" t="s">
        <v>118</v>
      </c>
      <c r="AN56" s="367" t="s">
        <v>119</v>
      </c>
      <c r="AO56" s="367" t="s">
        <v>120</v>
      </c>
      <c r="AP56" s="368" t="s">
        <v>128</v>
      </c>
      <c r="AR56" s="362" t="s">
        <v>123</v>
      </c>
      <c r="AT56" s="36" t="s">
        <v>126</v>
      </c>
    </row>
    <row r="57" spans="1:49" ht="23.5" customHeight="1" x14ac:dyDescent="0.25">
      <c r="A57" s="54" t="s">
        <v>3</v>
      </c>
      <c r="B57" s="50">
        <v>30</v>
      </c>
      <c r="C57" s="42"/>
      <c r="D57" s="42"/>
      <c r="E57" s="42"/>
      <c r="F57" s="42"/>
      <c r="G57" s="107" t="s">
        <v>3</v>
      </c>
      <c r="H57" s="120">
        <f>B57</f>
        <v>30</v>
      </c>
      <c r="I57" s="74">
        <v>326</v>
      </c>
      <c r="J57" s="108">
        <v>865650</v>
      </c>
      <c r="K57" s="108">
        <f t="shared" ref="K57:K64" si="39">J57/I57</f>
        <v>2655.3680981595094</v>
      </c>
      <c r="L57" s="108">
        <v>503350</v>
      </c>
      <c r="M57" s="109">
        <f t="shared" ref="M57:M64" si="40">L57/I57</f>
        <v>1544.0184049079755</v>
      </c>
      <c r="N57" s="109">
        <v>14300</v>
      </c>
      <c r="O57" s="110">
        <f t="shared" ref="O57:O64" si="41">J57+L57+N57</f>
        <v>1383300</v>
      </c>
      <c r="P57" s="111">
        <f>O57/I57</f>
        <v>4243.251533742331</v>
      </c>
      <c r="Q57" s="111"/>
      <c r="R57" s="111"/>
      <c r="S57" s="111"/>
      <c r="T57" s="168"/>
      <c r="U57" s="112" t="e">
        <f>O57/T57</f>
        <v>#DIV/0!</v>
      </c>
      <c r="W57" s="248">
        <v>18.600000000000001</v>
      </c>
      <c r="X57" s="248">
        <v>30.9</v>
      </c>
      <c r="Y57" s="256">
        <v>5</v>
      </c>
      <c r="Z57" s="256">
        <v>2</v>
      </c>
      <c r="AA57" s="256">
        <v>2</v>
      </c>
      <c r="AB57" s="272">
        <f>SUM(Y57:AA57)/3</f>
        <v>3</v>
      </c>
      <c r="AD57" s="271" t="s">
        <v>124</v>
      </c>
      <c r="AE57" s="2"/>
      <c r="AF57" s="270">
        <v>5</v>
      </c>
      <c r="AK57" s="378"/>
      <c r="AL57" s="378"/>
      <c r="AM57" s="370"/>
      <c r="AN57" s="370"/>
      <c r="AO57" s="370"/>
      <c r="AP57" s="370">
        <f>SUM(AM57:AO57)/3</f>
        <v>0</v>
      </c>
      <c r="AR57" s="371" t="s">
        <v>124</v>
      </c>
      <c r="AS57" s="364"/>
      <c r="AT57" s="270">
        <v>5</v>
      </c>
    </row>
    <row r="58" spans="1:49" ht="23.5" customHeight="1" x14ac:dyDescent="0.25">
      <c r="A58" s="55" t="s">
        <v>4</v>
      </c>
      <c r="B58" s="50"/>
      <c r="C58" s="42"/>
      <c r="D58" s="42"/>
      <c r="E58" s="42"/>
      <c r="F58" s="42"/>
      <c r="G58" s="103" t="s">
        <v>4</v>
      </c>
      <c r="H58" s="120">
        <f t="shared" ref="H58:H63" si="42">B58</f>
        <v>0</v>
      </c>
      <c r="I58" s="74"/>
      <c r="J58" s="108"/>
      <c r="K58" s="108" t="e">
        <f t="shared" si="39"/>
        <v>#DIV/0!</v>
      </c>
      <c r="L58" s="108"/>
      <c r="M58" s="109" t="e">
        <f t="shared" si="40"/>
        <v>#DIV/0!</v>
      </c>
      <c r="N58" s="109"/>
      <c r="O58" s="110">
        <f t="shared" si="41"/>
        <v>0</v>
      </c>
      <c r="P58" s="111" t="e">
        <f t="shared" ref="P58:P63" si="43">O58/I58</f>
        <v>#DIV/0!</v>
      </c>
      <c r="Q58" s="111"/>
      <c r="R58" s="111"/>
      <c r="S58" s="111"/>
      <c r="T58" s="168"/>
      <c r="U58" s="112" t="e">
        <f t="shared" ref="U58:U64" si="44">O58/T58</f>
        <v>#DIV/0!</v>
      </c>
      <c r="W58" s="248"/>
      <c r="X58" s="248"/>
      <c r="Y58" s="256"/>
      <c r="Z58" s="256"/>
      <c r="AA58" s="256"/>
      <c r="AB58" s="272">
        <f t="shared" ref="AB58:AB63" si="45">SUM(Y58:AA58)/3</f>
        <v>0</v>
      </c>
      <c r="AD58" s="35" t="s">
        <v>125</v>
      </c>
      <c r="AF58" s="1">
        <v>4</v>
      </c>
      <c r="AK58" s="378"/>
      <c r="AL58" s="378"/>
      <c r="AM58" s="370"/>
      <c r="AN58" s="370"/>
      <c r="AO58" s="370"/>
      <c r="AP58" s="370">
        <f t="shared" ref="AP58:AP63" si="46">SUM(AM58:AO58)/3</f>
        <v>0</v>
      </c>
      <c r="AR58" s="362" t="s">
        <v>125</v>
      </c>
      <c r="AT58" s="1">
        <v>4</v>
      </c>
    </row>
    <row r="59" spans="1:49" ht="23.5" customHeight="1" x14ac:dyDescent="0.25">
      <c r="A59" s="55" t="s">
        <v>5</v>
      </c>
      <c r="B59" s="50"/>
      <c r="C59" s="42"/>
      <c r="D59" s="42"/>
      <c r="E59" s="42"/>
      <c r="F59" s="42"/>
      <c r="G59" s="103" t="s">
        <v>5</v>
      </c>
      <c r="H59" s="120">
        <f t="shared" si="42"/>
        <v>0</v>
      </c>
      <c r="I59" s="74"/>
      <c r="J59" s="108"/>
      <c r="K59" s="108" t="e">
        <f t="shared" si="39"/>
        <v>#DIV/0!</v>
      </c>
      <c r="L59" s="108"/>
      <c r="M59" s="109" t="e">
        <f t="shared" si="40"/>
        <v>#DIV/0!</v>
      </c>
      <c r="N59" s="109"/>
      <c r="O59" s="110">
        <f t="shared" si="41"/>
        <v>0</v>
      </c>
      <c r="P59" s="111" t="e">
        <f t="shared" si="43"/>
        <v>#DIV/0!</v>
      </c>
      <c r="Q59" s="111"/>
      <c r="R59" s="111"/>
      <c r="S59" s="111"/>
      <c r="T59" s="168"/>
      <c r="U59" s="112" t="e">
        <f t="shared" si="44"/>
        <v>#DIV/0!</v>
      </c>
      <c r="W59" s="248"/>
      <c r="X59" s="248"/>
      <c r="Y59" s="256"/>
      <c r="Z59" s="256"/>
      <c r="AA59" s="256"/>
      <c r="AB59" s="272">
        <f t="shared" si="45"/>
        <v>0</v>
      </c>
      <c r="AD59" s="35" t="s">
        <v>182</v>
      </c>
      <c r="AF59" s="1">
        <v>3</v>
      </c>
      <c r="AK59" s="378"/>
      <c r="AL59" s="378"/>
      <c r="AM59" s="370"/>
      <c r="AN59" s="370"/>
      <c r="AO59" s="370"/>
      <c r="AP59" s="370">
        <f t="shared" si="46"/>
        <v>0</v>
      </c>
      <c r="AR59" s="362" t="s">
        <v>129</v>
      </c>
      <c r="AT59" s="1">
        <v>3</v>
      </c>
    </row>
    <row r="60" spans="1:49" ht="23.5" customHeight="1" x14ac:dyDescent="0.25">
      <c r="A60" s="55" t="s">
        <v>6</v>
      </c>
      <c r="B60" s="50"/>
      <c r="C60" s="42"/>
      <c r="D60" s="42"/>
      <c r="E60" s="42"/>
      <c r="F60" s="42"/>
      <c r="G60" s="103" t="s">
        <v>6</v>
      </c>
      <c r="H60" s="120">
        <f t="shared" si="42"/>
        <v>0</v>
      </c>
      <c r="I60" s="74"/>
      <c r="J60" s="108"/>
      <c r="K60" s="108" t="e">
        <f t="shared" si="39"/>
        <v>#DIV/0!</v>
      </c>
      <c r="L60" s="108"/>
      <c r="M60" s="109" t="e">
        <f t="shared" si="40"/>
        <v>#DIV/0!</v>
      </c>
      <c r="N60" s="109"/>
      <c r="O60" s="110">
        <f t="shared" si="41"/>
        <v>0</v>
      </c>
      <c r="P60" s="111" t="e">
        <f t="shared" si="43"/>
        <v>#DIV/0!</v>
      </c>
      <c r="Q60" s="111"/>
      <c r="R60" s="111"/>
      <c r="S60" s="111"/>
      <c r="T60" s="168"/>
      <c r="U60" s="112" t="e">
        <f t="shared" si="44"/>
        <v>#DIV/0!</v>
      </c>
      <c r="W60" s="248"/>
      <c r="X60" s="248"/>
      <c r="Y60" s="256"/>
      <c r="Z60" s="256"/>
      <c r="AA60" s="256"/>
      <c r="AB60" s="272">
        <f t="shared" si="45"/>
        <v>0</v>
      </c>
      <c r="AD60" s="35" t="s">
        <v>121</v>
      </c>
      <c r="AF60" s="1">
        <v>2</v>
      </c>
      <c r="AK60" s="378"/>
      <c r="AL60" s="378"/>
      <c r="AM60" s="370"/>
      <c r="AN60" s="370"/>
      <c r="AO60" s="370"/>
      <c r="AP60" s="370">
        <f t="shared" si="46"/>
        <v>0</v>
      </c>
      <c r="AR60" s="362" t="s">
        <v>121</v>
      </c>
      <c r="AT60" s="1">
        <v>2</v>
      </c>
    </row>
    <row r="61" spans="1:49" ht="23.5" customHeight="1" x14ac:dyDescent="0.25">
      <c r="A61" s="55" t="s">
        <v>7</v>
      </c>
      <c r="B61" s="50"/>
      <c r="C61" s="42"/>
      <c r="D61" s="42"/>
      <c r="E61" s="42"/>
      <c r="F61" s="42"/>
      <c r="G61" s="103" t="s">
        <v>7</v>
      </c>
      <c r="H61" s="120">
        <f t="shared" si="42"/>
        <v>0</v>
      </c>
      <c r="I61" s="74"/>
      <c r="J61" s="108"/>
      <c r="K61" s="108" t="e">
        <f t="shared" si="39"/>
        <v>#DIV/0!</v>
      </c>
      <c r="L61" s="108"/>
      <c r="M61" s="109" t="e">
        <f t="shared" si="40"/>
        <v>#DIV/0!</v>
      </c>
      <c r="N61" s="109"/>
      <c r="O61" s="110">
        <f t="shared" si="41"/>
        <v>0</v>
      </c>
      <c r="P61" s="111" t="e">
        <f t="shared" si="43"/>
        <v>#DIV/0!</v>
      </c>
      <c r="Q61" s="111"/>
      <c r="R61" s="111"/>
      <c r="S61" s="111"/>
      <c r="T61" s="168"/>
      <c r="U61" s="112" t="e">
        <f t="shared" si="44"/>
        <v>#DIV/0!</v>
      </c>
      <c r="W61" s="248"/>
      <c r="X61" s="248"/>
      <c r="Y61" s="256"/>
      <c r="Z61" s="256"/>
      <c r="AA61" s="256"/>
      <c r="AB61" s="272">
        <f t="shared" si="45"/>
        <v>0</v>
      </c>
      <c r="AD61" s="35" t="s">
        <v>122</v>
      </c>
      <c r="AF61" s="1">
        <v>1</v>
      </c>
      <c r="AK61" s="378"/>
      <c r="AL61" s="378"/>
      <c r="AM61" s="370"/>
      <c r="AN61" s="370"/>
      <c r="AO61" s="370"/>
      <c r="AP61" s="370">
        <f t="shared" si="46"/>
        <v>0</v>
      </c>
      <c r="AR61" s="362" t="s">
        <v>122</v>
      </c>
      <c r="AT61" s="1">
        <v>1</v>
      </c>
    </row>
    <row r="62" spans="1:49" ht="23.5" customHeight="1" x14ac:dyDescent="0.25">
      <c r="A62" s="55" t="s">
        <v>8</v>
      </c>
      <c r="B62" s="50"/>
      <c r="C62" s="42"/>
      <c r="D62" s="42"/>
      <c r="E62" s="42"/>
      <c r="F62" s="42"/>
      <c r="G62" s="103" t="s">
        <v>8</v>
      </c>
      <c r="H62" s="120">
        <f t="shared" si="42"/>
        <v>0</v>
      </c>
      <c r="I62" s="74"/>
      <c r="J62" s="108"/>
      <c r="K62" s="108" t="e">
        <f t="shared" si="39"/>
        <v>#DIV/0!</v>
      </c>
      <c r="L62" s="108">
        <v>0</v>
      </c>
      <c r="M62" s="109" t="e">
        <f t="shared" si="40"/>
        <v>#DIV/0!</v>
      </c>
      <c r="N62" s="109"/>
      <c r="O62" s="110">
        <f t="shared" si="41"/>
        <v>0</v>
      </c>
      <c r="P62" s="111" t="e">
        <f t="shared" si="43"/>
        <v>#DIV/0!</v>
      </c>
      <c r="Q62" s="111"/>
      <c r="R62" s="111"/>
      <c r="S62" s="111"/>
      <c r="T62" s="168"/>
      <c r="U62" s="112" t="e">
        <f t="shared" si="44"/>
        <v>#DIV/0!</v>
      </c>
      <c r="W62" s="248"/>
      <c r="X62" s="248"/>
      <c r="Y62" s="256"/>
      <c r="Z62" s="256"/>
      <c r="AA62" s="256"/>
      <c r="AB62" s="272">
        <f t="shared" si="45"/>
        <v>0</v>
      </c>
      <c r="AD62" s="35" t="s">
        <v>127</v>
      </c>
      <c r="AF62" s="1">
        <v>0</v>
      </c>
      <c r="AK62" s="378"/>
      <c r="AL62" s="378"/>
      <c r="AM62" s="370"/>
      <c r="AN62" s="370"/>
      <c r="AO62" s="370"/>
      <c r="AP62" s="370">
        <f t="shared" si="46"/>
        <v>0</v>
      </c>
      <c r="AR62" s="362" t="s">
        <v>127</v>
      </c>
      <c r="AT62" s="1">
        <v>0</v>
      </c>
    </row>
    <row r="63" spans="1:49" ht="23.5" customHeight="1" thickBot="1" x14ac:dyDescent="0.3">
      <c r="A63" s="56" t="s">
        <v>9</v>
      </c>
      <c r="B63" s="50"/>
      <c r="C63" s="42"/>
      <c r="D63" s="42"/>
      <c r="E63" s="42"/>
      <c r="F63" s="42"/>
      <c r="G63" s="113" t="s">
        <v>9</v>
      </c>
      <c r="H63" s="120">
        <f t="shared" si="42"/>
        <v>0</v>
      </c>
      <c r="I63" s="74"/>
      <c r="J63" s="108"/>
      <c r="K63" s="108" t="e">
        <f t="shared" si="39"/>
        <v>#DIV/0!</v>
      </c>
      <c r="L63" s="108">
        <v>0</v>
      </c>
      <c r="M63" s="109" t="e">
        <f t="shared" si="40"/>
        <v>#DIV/0!</v>
      </c>
      <c r="N63" s="109">
        <v>0</v>
      </c>
      <c r="O63" s="110">
        <f t="shared" si="41"/>
        <v>0</v>
      </c>
      <c r="P63" s="111" t="e">
        <f t="shared" si="43"/>
        <v>#DIV/0!</v>
      </c>
      <c r="Q63" s="111"/>
      <c r="R63" s="111"/>
      <c r="S63" s="111"/>
      <c r="T63" s="168"/>
      <c r="U63" s="112" t="e">
        <f t="shared" si="44"/>
        <v>#DIV/0!</v>
      </c>
      <c r="W63" s="249"/>
      <c r="X63" s="249"/>
      <c r="Y63" s="257"/>
      <c r="Z63" s="257"/>
      <c r="AA63" s="257"/>
      <c r="AB63" s="273">
        <f t="shared" si="45"/>
        <v>0</v>
      </c>
      <c r="AD63" s="1" t="s">
        <v>130</v>
      </c>
      <c r="AK63" s="379"/>
      <c r="AL63" s="379"/>
      <c r="AM63" s="380"/>
      <c r="AN63" s="380"/>
      <c r="AO63" s="380"/>
      <c r="AP63" s="375">
        <f t="shared" si="46"/>
        <v>0</v>
      </c>
      <c r="AR63" s="362" t="s">
        <v>130</v>
      </c>
    </row>
    <row r="64" spans="1:49" s="287" customFormat="1" ht="46" customHeight="1" thickTop="1" thickBot="1" x14ac:dyDescent="0.3">
      <c r="A64" s="728" t="s">
        <v>13</v>
      </c>
      <c r="B64" s="729"/>
      <c r="C64" s="287" t="s">
        <v>36</v>
      </c>
      <c r="D64" s="286" t="e">
        <f>#REF!/F64</f>
        <v>#REF!</v>
      </c>
      <c r="E64" s="288" t="s">
        <v>37</v>
      </c>
      <c r="F64" s="287" t="e">
        <f>#REF!</f>
        <v>#REF!</v>
      </c>
      <c r="G64" s="728" t="s">
        <v>13</v>
      </c>
      <c r="H64" s="729"/>
      <c r="I64" s="121">
        <f>SUM(I57:I63)</f>
        <v>326</v>
      </c>
      <c r="J64" s="121">
        <f>SUM(J57:J63)</f>
        <v>865650</v>
      </c>
      <c r="K64" s="121">
        <f t="shared" si="39"/>
        <v>2655.3680981595094</v>
      </c>
      <c r="L64" s="121">
        <f>SUM(L57:L63)</f>
        <v>503350</v>
      </c>
      <c r="M64" s="122">
        <f t="shared" si="40"/>
        <v>1544.0184049079755</v>
      </c>
      <c r="N64" s="122">
        <f>SUM(N57:N63)</f>
        <v>14300</v>
      </c>
      <c r="O64" s="408">
        <f t="shared" si="41"/>
        <v>1383300</v>
      </c>
      <c r="P64" s="123">
        <f>O64/I64</f>
        <v>4243.251533742331</v>
      </c>
      <c r="Q64" s="123"/>
      <c r="R64" s="123"/>
      <c r="S64" s="123"/>
      <c r="T64" s="403">
        <f>SUM(T57:T63)</f>
        <v>0</v>
      </c>
      <c r="U64" s="124" t="e">
        <f t="shared" si="44"/>
        <v>#DIV/0!</v>
      </c>
      <c r="V64" s="287">
        <v>1</v>
      </c>
      <c r="W64" s="405">
        <f>SUM(W57:W63)/V64</f>
        <v>18.600000000000001</v>
      </c>
      <c r="X64" s="406">
        <f>SUM(X57:X63)/V64</f>
        <v>30.9</v>
      </c>
      <c r="Y64" s="406">
        <f>SUM(Y57:Y63)/V64</f>
        <v>5</v>
      </c>
      <c r="Z64" s="406">
        <f>SUM(Z57:Z63)/V64</f>
        <v>2</v>
      </c>
      <c r="AA64" s="406">
        <f>SUM(AA57:AA63)/V64</f>
        <v>2</v>
      </c>
      <c r="AB64" s="407">
        <f>SUM(Y64:AA64)/3</f>
        <v>3</v>
      </c>
      <c r="AC64" s="404"/>
      <c r="AD64" s="787">
        <f>O64/V64</f>
        <v>1383300</v>
      </c>
      <c r="AE64" s="788"/>
      <c r="AF64" s="788"/>
      <c r="AG64" s="788"/>
      <c r="AH64" s="789"/>
      <c r="AK64" s="405" t="e">
        <f>SUM(AK57:AK63)/AJ64</f>
        <v>#DIV/0!</v>
      </c>
      <c r="AL64" s="406" t="e">
        <f>SUM(AL57:AL63)/AJ64</f>
        <v>#DIV/0!</v>
      </c>
      <c r="AM64" s="406" t="e">
        <f>SUM(AM57:AM63)/AJ64</f>
        <v>#DIV/0!</v>
      </c>
      <c r="AN64" s="406" t="e">
        <f>SUM(AN57:AN63)/AJ64</f>
        <v>#DIV/0!</v>
      </c>
      <c r="AO64" s="406" t="e">
        <f>SUM(AO57:AO63)/AJ64</f>
        <v>#DIV/0!</v>
      </c>
      <c r="AP64" s="407" t="e">
        <f>SUM(AM64:AO64)/3</f>
        <v>#DIV/0!</v>
      </c>
      <c r="AQ64" s="404"/>
      <c r="AR64" s="771" t="e">
        <f>AF64/AJ64</f>
        <v>#DIV/0!</v>
      </c>
      <c r="AS64" s="772"/>
      <c r="AT64" s="772"/>
      <c r="AU64" s="772"/>
      <c r="AV64" s="773"/>
    </row>
    <row r="65" spans="1:49" ht="33.5" customHeight="1" thickTop="1" x14ac:dyDescent="0.25">
      <c r="A65" s="730" t="s">
        <v>2</v>
      </c>
      <c r="B65" s="731"/>
      <c r="G65" s="732" t="s">
        <v>2</v>
      </c>
      <c r="H65" s="733"/>
      <c r="I65" s="733"/>
      <c r="J65" s="733"/>
      <c r="K65" s="733"/>
      <c r="L65" s="733"/>
      <c r="M65" s="733"/>
      <c r="N65" s="733"/>
      <c r="O65" s="733"/>
      <c r="P65" s="733"/>
      <c r="Q65" s="733"/>
      <c r="R65" s="733"/>
      <c r="S65" s="733"/>
      <c r="T65" s="733"/>
      <c r="U65" s="734"/>
      <c r="W65" s="716" t="str">
        <f>G65</f>
        <v>TOTAL</v>
      </c>
      <c r="X65" s="716"/>
      <c r="Y65" s="716"/>
      <c r="Z65" s="716"/>
      <c r="AA65" s="716"/>
      <c r="AB65" s="716"/>
      <c r="AK65" s="791">
        <f>X65</f>
        <v>0</v>
      </c>
      <c r="AL65" s="791"/>
      <c r="AM65" s="791"/>
      <c r="AN65" s="791"/>
      <c r="AO65" s="791"/>
      <c r="AP65" s="791"/>
    </row>
    <row r="66" spans="1:49" s="38" customFormat="1" ht="40" customHeight="1" x14ac:dyDescent="0.25">
      <c r="A66" s="79" t="s">
        <v>10</v>
      </c>
      <c r="B66" s="80" t="s">
        <v>19</v>
      </c>
      <c r="G66" s="114" t="s">
        <v>10</v>
      </c>
      <c r="H66" s="115" t="s">
        <v>19</v>
      </c>
      <c r="I66" s="115" t="s">
        <v>1</v>
      </c>
      <c r="J66" s="115" t="s">
        <v>30</v>
      </c>
      <c r="K66" s="115" t="s">
        <v>31</v>
      </c>
      <c r="L66" s="115" t="s">
        <v>28</v>
      </c>
      <c r="M66" s="115" t="s">
        <v>29</v>
      </c>
      <c r="N66" s="115" t="s">
        <v>72</v>
      </c>
      <c r="O66" s="115" t="s">
        <v>76</v>
      </c>
      <c r="P66" s="115" t="s">
        <v>77</v>
      </c>
      <c r="Q66" s="803"/>
      <c r="R66" s="803"/>
      <c r="S66" s="803"/>
      <c r="T66" s="167" t="s">
        <v>74</v>
      </c>
      <c r="U66" s="106" t="s">
        <v>73</v>
      </c>
      <c r="W66" s="253" t="s">
        <v>116</v>
      </c>
      <c r="X66" s="254" t="s">
        <v>117</v>
      </c>
      <c r="Y66" s="49" t="s">
        <v>118</v>
      </c>
      <c r="Z66" s="49" t="s">
        <v>119</v>
      </c>
      <c r="AA66" s="49" t="s">
        <v>120</v>
      </c>
      <c r="AB66" s="255" t="s">
        <v>128</v>
      </c>
      <c r="AC66" s="301"/>
      <c r="AD66" s="750" t="s">
        <v>187</v>
      </c>
      <c r="AE66" s="751"/>
      <c r="AF66" s="751"/>
      <c r="AG66" s="751"/>
      <c r="AH66" s="751"/>
      <c r="AI66" s="752"/>
      <c r="AK66" s="365" t="s">
        <v>116</v>
      </c>
      <c r="AL66" s="366" t="s">
        <v>117</v>
      </c>
      <c r="AM66" s="367" t="s">
        <v>118</v>
      </c>
      <c r="AN66" s="367" t="s">
        <v>119</v>
      </c>
      <c r="AO66" s="367" t="s">
        <v>120</v>
      </c>
      <c r="AP66" s="368" t="s">
        <v>128</v>
      </c>
      <c r="AQ66" s="381"/>
      <c r="AR66" s="766" t="s">
        <v>198</v>
      </c>
      <c r="AS66" s="766"/>
      <c r="AT66" s="766"/>
      <c r="AU66" s="766"/>
      <c r="AV66" s="766"/>
      <c r="AW66" s="766"/>
    </row>
    <row r="67" spans="1:49" ht="40" customHeight="1" x14ac:dyDescent="0.25">
      <c r="A67" s="54" t="s">
        <v>3</v>
      </c>
      <c r="B67" s="43"/>
      <c r="C67" s="42"/>
      <c r="D67" s="42"/>
      <c r="E67" s="42"/>
      <c r="F67" s="42"/>
      <c r="G67" s="107" t="s">
        <v>3</v>
      </c>
      <c r="H67" s="117"/>
      <c r="I67" s="109">
        <f t="shared" ref="I67:J70" si="47">I7+I17+I27+I37+I47+I57</f>
        <v>865</v>
      </c>
      <c r="J67" s="109">
        <f t="shared" si="47"/>
        <v>2262000</v>
      </c>
      <c r="K67" s="108">
        <f t="shared" ref="K67:K74" si="48">J67/I67</f>
        <v>2615.0289017341042</v>
      </c>
      <c r="L67" s="109">
        <f>L7+L17+L27+L37+L47+L57</f>
        <v>1265100</v>
      </c>
      <c r="M67" s="109">
        <f>L67/I67</f>
        <v>1462.5433526011561</v>
      </c>
      <c r="N67" s="109">
        <f>N7+N17+N27+N37+N47+N57</f>
        <v>26400</v>
      </c>
      <c r="O67" s="74">
        <f>O7+O17+O27+O37+O47+O57</f>
        <v>3553500</v>
      </c>
      <c r="P67" s="109" t="e">
        <f t="shared" ref="O67:P70" si="49">P7+P17+P27+P37+P47+P57</f>
        <v>#DIV/0!</v>
      </c>
      <c r="Q67" s="109"/>
      <c r="R67" s="109"/>
      <c r="S67" s="109"/>
      <c r="T67" s="171">
        <f>T7+T17+T27+T37+T47+T57</f>
        <v>0</v>
      </c>
      <c r="U67" s="134" t="e">
        <f>O67/T67</f>
        <v>#DIV/0!</v>
      </c>
      <c r="W67" s="250">
        <f>W7+W17+W27+W37+W47+W57</f>
        <v>81.200000000000017</v>
      </c>
      <c r="X67" s="250">
        <f>X7+X17+X27+X37+X47+X57</f>
        <v>118.9</v>
      </c>
      <c r="Y67" s="275">
        <f>Y7+Y17+Y37+Y47+Y27+Y57</f>
        <v>13</v>
      </c>
      <c r="Z67" s="275">
        <f>Z7+Z17+Z37+Z47+Z27+Z57</f>
        <v>8</v>
      </c>
      <c r="AA67" s="275">
        <f>AA7+AA17+AA37+AA47+AA27+AA57</f>
        <v>9</v>
      </c>
      <c r="AB67" s="276">
        <f>SUM(Y67:AA67)/3</f>
        <v>10</v>
      </c>
      <c r="AD67" s="753" t="s">
        <v>188</v>
      </c>
      <c r="AE67" s="753"/>
      <c r="AF67" s="423" t="s">
        <v>189</v>
      </c>
      <c r="AG67" s="423" t="s">
        <v>190</v>
      </c>
      <c r="AH67" s="423" t="s">
        <v>191</v>
      </c>
      <c r="AI67" s="423" t="s">
        <v>192</v>
      </c>
      <c r="AK67" s="383">
        <f t="shared" ref="AK67:AL73" si="50">AK7+AK17+AK27+AK37+AK47+AK57</f>
        <v>55.3</v>
      </c>
      <c r="AL67" s="383">
        <f t="shared" si="50"/>
        <v>91</v>
      </c>
      <c r="AM67" s="384">
        <f t="shared" ref="AM67:AO73" si="51">AM7+AM17+AM37+AM47+AM27+AM57</f>
        <v>11</v>
      </c>
      <c r="AN67" s="384">
        <f t="shared" si="51"/>
        <v>12</v>
      </c>
      <c r="AO67" s="384">
        <f t="shared" si="51"/>
        <v>16</v>
      </c>
      <c r="AP67" s="385">
        <f>SUM(AM67:AO67)/3</f>
        <v>13</v>
      </c>
      <c r="AR67" s="753" t="s">
        <v>188</v>
      </c>
      <c r="AS67" s="753"/>
      <c r="AT67" s="423" t="s">
        <v>189</v>
      </c>
      <c r="AU67" s="423" t="s">
        <v>201</v>
      </c>
      <c r="AV67" s="423" t="s">
        <v>202</v>
      </c>
      <c r="AW67" s="423" t="s">
        <v>192</v>
      </c>
    </row>
    <row r="68" spans="1:49" ht="40" customHeight="1" x14ac:dyDescent="0.25">
      <c r="A68" s="55" t="s">
        <v>4</v>
      </c>
      <c r="B68" s="43"/>
      <c r="C68" s="42"/>
      <c r="D68" s="42"/>
      <c r="E68" s="42"/>
      <c r="F68" s="42"/>
      <c r="G68" s="103" t="s">
        <v>4</v>
      </c>
      <c r="H68" s="117"/>
      <c r="I68" s="109">
        <f t="shared" si="47"/>
        <v>389</v>
      </c>
      <c r="J68" s="109">
        <f t="shared" si="47"/>
        <v>882100</v>
      </c>
      <c r="K68" s="108">
        <f t="shared" si="48"/>
        <v>2267.6092544987146</v>
      </c>
      <c r="L68" s="109">
        <f>L8+L18+L28+L38+L48+L58</f>
        <v>557550</v>
      </c>
      <c r="M68" s="109">
        <f t="shared" ref="M68:M73" si="52">L68/I68</f>
        <v>1433.2904884318766</v>
      </c>
      <c r="N68" s="109">
        <f>N8+N18+N28+N38+N48+N58</f>
        <v>3850</v>
      </c>
      <c r="O68" s="74">
        <f t="shared" si="49"/>
        <v>1443500</v>
      </c>
      <c r="P68" s="109" t="e">
        <f t="shared" si="49"/>
        <v>#DIV/0!</v>
      </c>
      <c r="Q68" s="109"/>
      <c r="R68" s="109"/>
      <c r="S68" s="109"/>
      <c r="T68" s="171">
        <f>T8+T18+T28+T38+T48+T58</f>
        <v>0</v>
      </c>
      <c r="U68" s="134" t="e">
        <f t="shared" ref="U68:U73" si="53">O68/T68</f>
        <v>#DIV/0!</v>
      </c>
      <c r="W68" s="250">
        <f t="shared" ref="W68:X72" si="54">W8+W18+W28+W38+W48+W58</f>
        <v>64.3</v>
      </c>
      <c r="X68" s="250">
        <f t="shared" si="54"/>
        <v>95.9</v>
      </c>
      <c r="Y68" s="275">
        <f t="shared" ref="Y68:AA73" si="55">Y8+Y18+Y38+Y48+Y28+Y58</f>
        <v>11</v>
      </c>
      <c r="Z68" s="275">
        <f t="shared" si="55"/>
        <v>14</v>
      </c>
      <c r="AA68" s="275">
        <f t="shared" si="55"/>
        <v>12</v>
      </c>
      <c r="AB68" s="276">
        <f t="shared" ref="AB68:AB73" si="56">SUM(Y68:AA68)/3</f>
        <v>12.333333333333334</v>
      </c>
      <c r="AD68" s="754" t="s">
        <v>124</v>
      </c>
      <c r="AE68" s="754"/>
      <c r="AF68" s="424">
        <v>5</v>
      </c>
      <c r="AG68" s="425">
        <v>13</v>
      </c>
      <c r="AH68" s="425">
        <f t="shared" ref="AH68:AH73" si="57">AF68*AG68</f>
        <v>65</v>
      </c>
      <c r="AI68" s="755">
        <f>(AG68+AG69+AG70)/AG74</f>
        <v>0.48888888888888887</v>
      </c>
      <c r="AK68" s="383">
        <f t="shared" si="50"/>
        <v>56.9</v>
      </c>
      <c r="AL68" s="383">
        <f t="shared" si="50"/>
        <v>91.6</v>
      </c>
      <c r="AM68" s="384">
        <f t="shared" si="51"/>
        <v>16</v>
      </c>
      <c r="AN68" s="384">
        <f t="shared" si="51"/>
        <v>15</v>
      </c>
      <c r="AO68" s="384">
        <f t="shared" si="51"/>
        <v>16</v>
      </c>
      <c r="AP68" s="385">
        <f t="shared" ref="AP68:AP73" si="58">SUM(AM68:AO68)/3</f>
        <v>15.666666666666666</v>
      </c>
      <c r="AR68" s="754" t="s">
        <v>124</v>
      </c>
      <c r="AS68" s="754"/>
      <c r="AT68" s="424">
        <v>5</v>
      </c>
      <c r="AU68" s="425">
        <v>20</v>
      </c>
      <c r="AV68" s="425">
        <f t="shared" ref="AV68:AV73" si="59">AT68*AU68</f>
        <v>100</v>
      </c>
      <c r="AW68" s="755">
        <f>(AU68+AU69+AU70)/AU74</f>
        <v>0.71111111111111114</v>
      </c>
    </row>
    <row r="69" spans="1:49" ht="40" customHeight="1" x14ac:dyDescent="0.25">
      <c r="A69" s="55" t="s">
        <v>5</v>
      </c>
      <c r="B69" s="43"/>
      <c r="C69" s="42"/>
      <c r="D69" s="42"/>
      <c r="E69" s="42"/>
      <c r="F69" s="42"/>
      <c r="G69" s="103" t="s">
        <v>5</v>
      </c>
      <c r="H69" s="117"/>
      <c r="I69" s="109">
        <f t="shared" si="47"/>
        <v>339</v>
      </c>
      <c r="J69" s="109">
        <f t="shared" si="47"/>
        <v>781150</v>
      </c>
      <c r="K69" s="108">
        <f t="shared" si="48"/>
        <v>2304.2772861356934</v>
      </c>
      <c r="L69" s="109">
        <f>L9+L19+L29+L39+L49+L59</f>
        <v>481250</v>
      </c>
      <c r="M69" s="109">
        <f t="shared" si="52"/>
        <v>1419.6165191740413</v>
      </c>
      <c r="N69" s="109">
        <f>N9+N19+N29+N39+N49+N59</f>
        <v>8250</v>
      </c>
      <c r="O69" s="74">
        <f t="shared" si="49"/>
        <v>1270650</v>
      </c>
      <c r="P69" s="109" t="e">
        <f t="shared" si="49"/>
        <v>#DIV/0!</v>
      </c>
      <c r="Q69" s="109"/>
      <c r="R69" s="109"/>
      <c r="S69" s="109"/>
      <c r="T69" s="171">
        <f>T9+T19+T29+T39+T49+T59</f>
        <v>0</v>
      </c>
      <c r="U69" s="134" t="e">
        <f t="shared" si="53"/>
        <v>#DIV/0!</v>
      </c>
      <c r="W69" s="250">
        <f t="shared" si="54"/>
        <v>66.899999999999991</v>
      </c>
      <c r="X69" s="250">
        <f t="shared" si="54"/>
        <v>95.1</v>
      </c>
      <c r="Y69" s="275">
        <f t="shared" si="55"/>
        <v>8</v>
      </c>
      <c r="Z69" s="275">
        <f t="shared" si="55"/>
        <v>5</v>
      </c>
      <c r="AA69" s="275">
        <f t="shared" si="55"/>
        <v>8</v>
      </c>
      <c r="AB69" s="276">
        <f t="shared" si="56"/>
        <v>7</v>
      </c>
      <c r="AD69" s="754" t="s">
        <v>125</v>
      </c>
      <c r="AE69" s="754"/>
      <c r="AF69" s="426">
        <v>4</v>
      </c>
      <c r="AG69" s="427">
        <v>16</v>
      </c>
      <c r="AH69" s="425">
        <f t="shared" si="57"/>
        <v>64</v>
      </c>
      <c r="AI69" s="755"/>
      <c r="AK69" s="383">
        <f t="shared" si="50"/>
        <v>59.499999999999993</v>
      </c>
      <c r="AL69" s="383">
        <f t="shared" si="50"/>
        <v>99.2</v>
      </c>
      <c r="AM69" s="384">
        <f t="shared" si="51"/>
        <v>12</v>
      </c>
      <c r="AN69" s="384">
        <f t="shared" si="51"/>
        <v>12</v>
      </c>
      <c r="AO69" s="384">
        <f t="shared" si="51"/>
        <v>14</v>
      </c>
      <c r="AP69" s="385">
        <f t="shared" si="58"/>
        <v>12.666666666666666</v>
      </c>
      <c r="AR69" s="754" t="s">
        <v>125</v>
      </c>
      <c r="AS69" s="754"/>
      <c r="AT69" s="426">
        <v>4</v>
      </c>
      <c r="AU69" s="427">
        <v>38</v>
      </c>
      <c r="AV69" s="425">
        <f t="shared" si="59"/>
        <v>152</v>
      </c>
      <c r="AW69" s="755"/>
    </row>
    <row r="70" spans="1:49" ht="40" customHeight="1" x14ac:dyDescent="0.25">
      <c r="A70" s="55" t="s">
        <v>6</v>
      </c>
      <c r="B70" s="43"/>
      <c r="C70" s="42"/>
      <c r="D70" s="42"/>
      <c r="E70" s="42"/>
      <c r="F70" s="42"/>
      <c r="G70" s="103" t="s">
        <v>6</v>
      </c>
      <c r="H70" s="117"/>
      <c r="I70" s="109">
        <f t="shared" si="47"/>
        <v>493</v>
      </c>
      <c r="J70" s="109">
        <f t="shared" si="47"/>
        <v>1204700</v>
      </c>
      <c r="K70" s="108">
        <f t="shared" si="48"/>
        <v>2443.6105476673429</v>
      </c>
      <c r="L70" s="109">
        <f>L10+L20+L30+L40+L50+L60</f>
        <v>707550</v>
      </c>
      <c r="M70" s="109">
        <f t="shared" si="52"/>
        <v>1435.1926977687626</v>
      </c>
      <c r="N70" s="109">
        <f>N10+N20+N30+N40+N50+N60</f>
        <v>17050</v>
      </c>
      <c r="O70" s="74">
        <f t="shared" si="49"/>
        <v>1929300</v>
      </c>
      <c r="P70" s="109" t="e">
        <f t="shared" si="49"/>
        <v>#DIV/0!</v>
      </c>
      <c r="Q70" s="109"/>
      <c r="R70" s="109"/>
      <c r="S70" s="109"/>
      <c r="T70" s="171">
        <f>T10+T20+T30+T40+T50+T60</f>
        <v>0</v>
      </c>
      <c r="U70" s="134" t="e">
        <f t="shared" si="53"/>
        <v>#DIV/0!</v>
      </c>
      <c r="W70" s="250">
        <f t="shared" si="54"/>
        <v>55.6</v>
      </c>
      <c r="X70" s="250">
        <f t="shared" si="54"/>
        <v>84.5</v>
      </c>
      <c r="Y70" s="275">
        <f t="shared" si="55"/>
        <v>12</v>
      </c>
      <c r="Z70" s="275">
        <f t="shared" si="55"/>
        <v>14</v>
      </c>
      <c r="AA70" s="275">
        <f t="shared" si="55"/>
        <v>12</v>
      </c>
      <c r="AB70" s="276">
        <f t="shared" si="56"/>
        <v>12.666666666666666</v>
      </c>
      <c r="AD70" s="756" t="s">
        <v>193</v>
      </c>
      <c r="AE70" s="756"/>
      <c r="AF70" s="426">
        <v>3</v>
      </c>
      <c r="AG70" s="427">
        <v>15</v>
      </c>
      <c r="AH70" s="425">
        <f t="shared" si="57"/>
        <v>45</v>
      </c>
      <c r="AI70" s="755"/>
      <c r="AK70" s="383">
        <f t="shared" si="50"/>
        <v>67</v>
      </c>
      <c r="AL70" s="383">
        <f t="shared" si="50"/>
        <v>101.2</v>
      </c>
      <c r="AM70" s="384">
        <f t="shared" si="51"/>
        <v>8</v>
      </c>
      <c r="AN70" s="384">
        <f t="shared" si="51"/>
        <v>13</v>
      </c>
      <c r="AO70" s="384">
        <f t="shared" si="51"/>
        <v>14</v>
      </c>
      <c r="AP70" s="385">
        <f t="shared" si="58"/>
        <v>11.666666666666666</v>
      </c>
      <c r="AR70" s="756" t="s">
        <v>193</v>
      </c>
      <c r="AS70" s="756"/>
      <c r="AT70" s="426">
        <v>3</v>
      </c>
      <c r="AU70" s="427">
        <v>6</v>
      </c>
      <c r="AV70" s="425">
        <f t="shared" si="59"/>
        <v>18</v>
      </c>
      <c r="AW70" s="755"/>
    </row>
    <row r="71" spans="1:49" ht="40" customHeight="1" x14ac:dyDescent="0.25">
      <c r="A71" s="55" t="s">
        <v>7</v>
      </c>
      <c r="B71" s="43"/>
      <c r="C71" s="42"/>
      <c r="D71" s="42"/>
      <c r="E71" s="42"/>
      <c r="F71" s="42"/>
      <c r="G71" s="103" t="s">
        <v>7</v>
      </c>
      <c r="H71" s="117"/>
      <c r="I71" s="109">
        <f>I21+I11+I31+I41+I51+I61</f>
        <v>618</v>
      </c>
      <c r="J71" s="109">
        <f>J21+J11+J31+J41+J51+J61</f>
        <v>1676050</v>
      </c>
      <c r="K71" s="108">
        <f t="shared" si="48"/>
        <v>2712.0550161812298</v>
      </c>
      <c r="L71" s="109">
        <f>L21+L11+L31+L41+L51+L61</f>
        <v>1005700</v>
      </c>
      <c r="M71" s="109">
        <f t="shared" si="52"/>
        <v>1627.3462783171522</v>
      </c>
      <c r="N71" s="109">
        <f>N21+N11+N31+N41+N51+N61</f>
        <v>8800</v>
      </c>
      <c r="O71" s="74">
        <f>O21+O11+O31+O41+O51+O61</f>
        <v>2690550</v>
      </c>
      <c r="P71" s="109" t="e">
        <f>P21+P11+P31+P41+P51+P61</f>
        <v>#DIV/0!</v>
      </c>
      <c r="Q71" s="109"/>
      <c r="R71" s="109"/>
      <c r="S71" s="109"/>
      <c r="T71" s="171">
        <f>T21+T11+T31+T41+T51+T61</f>
        <v>0</v>
      </c>
      <c r="U71" s="134" t="e">
        <f t="shared" si="53"/>
        <v>#DIV/0!</v>
      </c>
      <c r="W71" s="250">
        <f t="shared" si="54"/>
        <v>56.4</v>
      </c>
      <c r="X71" s="250">
        <f t="shared" si="54"/>
        <v>88.3</v>
      </c>
      <c r="Y71" s="275">
        <f t="shared" si="55"/>
        <v>11</v>
      </c>
      <c r="Z71" s="275">
        <f t="shared" si="55"/>
        <v>11</v>
      </c>
      <c r="AA71" s="275">
        <f t="shared" si="55"/>
        <v>9</v>
      </c>
      <c r="AB71" s="276">
        <f t="shared" si="56"/>
        <v>10.333333333333334</v>
      </c>
      <c r="AD71" s="757" t="s">
        <v>121</v>
      </c>
      <c r="AE71" s="757"/>
      <c r="AF71" s="426">
        <v>2</v>
      </c>
      <c r="AG71" s="427">
        <v>30</v>
      </c>
      <c r="AH71" s="425">
        <f t="shared" si="57"/>
        <v>60</v>
      </c>
      <c r="AI71" s="758">
        <f>(AG71+AG72+AG73)/AG74</f>
        <v>0.51111111111111107</v>
      </c>
      <c r="AK71" s="383">
        <f t="shared" si="50"/>
        <v>78.3</v>
      </c>
      <c r="AL71" s="383">
        <f t="shared" si="50"/>
        <v>130.1</v>
      </c>
      <c r="AM71" s="384">
        <f t="shared" si="51"/>
        <v>19</v>
      </c>
      <c r="AN71" s="384">
        <f t="shared" si="51"/>
        <v>21</v>
      </c>
      <c r="AO71" s="384">
        <f t="shared" si="51"/>
        <v>17</v>
      </c>
      <c r="AP71" s="385">
        <f t="shared" si="58"/>
        <v>19</v>
      </c>
      <c r="AR71" s="757" t="s">
        <v>121</v>
      </c>
      <c r="AS71" s="757"/>
      <c r="AT71" s="426">
        <v>2</v>
      </c>
      <c r="AU71" s="427">
        <v>7</v>
      </c>
      <c r="AV71" s="425">
        <f t="shared" si="59"/>
        <v>14</v>
      </c>
      <c r="AW71" s="758">
        <f>(AU71+AU72+AU73)/AU74</f>
        <v>0.28888888888888886</v>
      </c>
    </row>
    <row r="72" spans="1:49" ht="40" customHeight="1" x14ac:dyDescent="0.25">
      <c r="A72" s="55" t="s">
        <v>8</v>
      </c>
      <c r="B72" s="43"/>
      <c r="C72" s="42"/>
      <c r="D72" s="42"/>
      <c r="E72" s="42"/>
      <c r="F72" s="42"/>
      <c r="G72" s="103" t="s">
        <v>8</v>
      </c>
      <c r="H72" s="117"/>
      <c r="I72" s="109">
        <f>I12+I22+I32+I42+I52+I62</f>
        <v>788</v>
      </c>
      <c r="J72" s="109">
        <f>J12+J22+J32+J42+J52+J62</f>
        <v>2030650</v>
      </c>
      <c r="K72" s="108">
        <f t="shared" si="48"/>
        <v>2576.967005076142</v>
      </c>
      <c r="L72" s="109">
        <f>L12+L22+L32+L42+L52+L62</f>
        <v>1170550</v>
      </c>
      <c r="M72" s="109">
        <f t="shared" si="52"/>
        <v>1485.469543147208</v>
      </c>
      <c r="N72" s="109">
        <f>N12+N22+N32+N42+N52+N62</f>
        <v>14850</v>
      </c>
      <c r="O72" s="74">
        <f t="shared" ref="O72:T73" si="60">O12+O22+O32+O42+O52+O62</f>
        <v>3216050</v>
      </c>
      <c r="P72" s="109" t="e">
        <f t="shared" si="60"/>
        <v>#DIV/0!</v>
      </c>
      <c r="Q72" s="109"/>
      <c r="R72" s="109"/>
      <c r="S72" s="109"/>
      <c r="T72" s="171">
        <f t="shared" si="60"/>
        <v>0</v>
      </c>
      <c r="U72" s="134" t="e">
        <f t="shared" si="53"/>
        <v>#DIV/0!</v>
      </c>
      <c r="W72" s="250">
        <f t="shared" si="54"/>
        <v>63.9</v>
      </c>
      <c r="X72" s="250">
        <f t="shared" si="54"/>
        <v>102.80000000000001</v>
      </c>
      <c r="Y72" s="275">
        <f t="shared" si="55"/>
        <v>12</v>
      </c>
      <c r="Z72" s="275">
        <f t="shared" si="55"/>
        <v>15</v>
      </c>
      <c r="AA72" s="275">
        <f t="shared" si="55"/>
        <v>12</v>
      </c>
      <c r="AB72" s="276">
        <f t="shared" si="56"/>
        <v>13</v>
      </c>
      <c r="AD72" s="759" t="s">
        <v>194</v>
      </c>
      <c r="AE72" s="759"/>
      <c r="AF72" s="426">
        <v>1</v>
      </c>
      <c r="AG72" s="427">
        <v>15</v>
      </c>
      <c r="AH72" s="425">
        <f t="shared" si="57"/>
        <v>15</v>
      </c>
      <c r="AI72" s="758"/>
      <c r="AK72" s="383">
        <f t="shared" si="50"/>
        <v>88.2</v>
      </c>
      <c r="AL72" s="383">
        <f t="shared" si="50"/>
        <v>120.1</v>
      </c>
      <c r="AM72" s="384">
        <f t="shared" si="51"/>
        <v>16</v>
      </c>
      <c r="AN72" s="384">
        <f t="shared" si="51"/>
        <v>14</v>
      </c>
      <c r="AO72" s="384">
        <f t="shared" si="51"/>
        <v>11</v>
      </c>
      <c r="AP72" s="385">
        <f t="shared" si="58"/>
        <v>13.666666666666666</v>
      </c>
      <c r="AR72" s="759" t="s">
        <v>194</v>
      </c>
      <c r="AS72" s="759"/>
      <c r="AT72" s="426">
        <v>1</v>
      </c>
      <c r="AU72" s="427">
        <v>19</v>
      </c>
      <c r="AV72" s="425">
        <f t="shared" si="59"/>
        <v>19</v>
      </c>
      <c r="AW72" s="758"/>
    </row>
    <row r="73" spans="1:49" ht="40" customHeight="1" thickBot="1" x14ac:dyDescent="0.3">
      <c r="A73" s="56" t="s">
        <v>9</v>
      </c>
      <c r="B73" s="43"/>
      <c r="C73" s="42"/>
      <c r="D73" s="42"/>
      <c r="E73" s="42"/>
      <c r="F73" s="42"/>
      <c r="G73" s="113" t="s">
        <v>9</v>
      </c>
      <c r="H73" s="117"/>
      <c r="I73" s="109">
        <f>I13+I23+I33+I43+I53+I63</f>
        <v>1682</v>
      </c>
      <c r="J73" s="109">
        <f>J13+J23+J33+J43+J53+J63</f>
        <v>4452850</v>
      </c>
      <c r="K73" s="108">
        <f t="shared" si="48"/>
        <v>2647.3543400713438</v>
      </c>
      <c r="L73" s="109">
        <f>L13+L23+L33+L43+L53+L63</f>
        <v>2500830</v>
      </c>
      <c r="M73" s="109">
        <f t="shared" si="52"/>
        <v>1486.8192627824019</v>
      </c>
      <c r="N73" s="109">
        <f>N13+N23+N33+N43+N53+N63</f>
        <v>56650</v>
      </c>
      <c r="O73" s="74">
        <f t="shared" si="60"/>
        <v>7010330</v>
      </c>
      <c r="P73" s="109" t="e">
        <f t="shared" si="60"/>
        <v>#DIV/0!</v>
      </c>
      <c r="Q73" s="109"/>
      <c r="R73" s="109"/>
      <c r="S73" s="109"/>
      <c r="T73" s="171">
        <f t="shared" si="60"/>
        <v>0</v>
      </c>
      <c r="U73" s="134" t="e">
        <f t="shared" si="53"/>
        <v>#DIV/0!</v>
      </c>
      <c r="V73" s="1">
        <f>V14+V24+V34+V44+V54+V64</f>
        <v>30</v>
      </c>
      <c r="W73" s="251">
        <f>W13+W23+W33+W43+W53+W63</f>
        <v>78.3</v>
      </c>
      <c r="X73" s="251">
        <f>X13+X23+X33+X43+X53+X63</f>
        <v>132</v>
      </c>
      <c r="Y73" s="275">
        <f t="shared" si="55"/>
        <v>20</v>
      </c>
      <c r="Z73" s="275">
        <f t="shared" si="55"/>
        <v>19</v>
      </c>
      <c r="AA73" s="275">
        <f t="shared" si="55"/>
        <v>15</v>
      </c>
      <c r="AB73" s="277">
        <f t="shared" si="56"/>
        <v>18</v>
      </c>
      <c r="AD73" s="760" t="s">
        <v>195</v>
      </c>
      <c r="AE73" s="760"/>
      <c r="AF73" s="426">
        <v>0</v>
      </c>
      <c r="AG73" s="427">
        <v>1</v>
      </c>
      <c r="AH73" s="425">
        <f t="shared" si="57"/>
        <v>0</v>
      </c>
      <c r="AI73" s="758"/>
      <c r="AJ73" s="1">
        <f>AJ14+AJ24+AJ34+AJ44+AJ54+AJ64</f>
        <v>30</v>
      </c>
      <c r="AK73" s="386">
        <f t="shared" si="50"/>
        <v>62.599999999999994</v>
      </c>
      <c r="AL73" s="386">
        <f t="shared" si="50"/>
        <v>89.6</v>
      </c>
      <c r="AM73" s="384">
        <f t="shared" si="51"/>
        <v>15</v>
      </c>
      <c r="AN73" s="384">
        <f t="shared" si="51"/>
        <v>15</v>
      </c>
      <c r="AO73" s="384">
        <f t="shared" si="51"/>
        <v>16</v>
      </c>
      <c r="AP73" s="387">
        <f t="shared" si="58"/>
        <v>15.333333333333334</v>
      </c>
      <c r="AR73" s="760" t="s">
        <v>195</v>
      </c>
      <c r="AS73" s="760"/>
      <c r="AT73" s="426">
        <v>0</v>
      </c>
      <c r="AU73" s="427">
        <v>0</v>
      </c>
      <c r="AV73" s="425">
        <f t="shared" si="59"/>
        <v>0</v>
      </c>
      <c r="AW73" s="758"/>
    </row>
    <row r="74" spans="1:49" s="35" customFormat="1" ht="40" customHeight="1" thickTop="1" thickBot="1" x14ac:dyDescent="0.3">
      <c r="A74" s="57" t="s">
        <v>2</v>
      </c>
      <c r="B74" s="58">
        <f>SUM(B67:B73)</f>
        <v>0</v>
      </c>
      <c r="C74" s="47" t="s">
        <v>36</v>
      </c>
      <c r="D74" s="73" t="e">
        <f>#REF!/F74</f>
        <v>#REF!</v>
      </c>
      <c r="E74" s="46" t="s">
        <v>37</v>
      </c>
      <c r="F74" s="35" t="e">
        <f>#REF!</f>
        <v>#REF!</v>
      </c>
      <c r="G74" s="118" t="s">
        <v>2</v>
      </c>
      <c r="H74" s="119">
        <f>SUM(H67:H73)</f>
        <v>0</v>
      </c>
      <c r="I74" s="59">
        <f>SUM(I67:I73)</f>
        <v>5174</v>
      </c>
      <c r="J74" s="59">
        <f>SUM(J67:J73)</f>
        <v>13289500</v>
      </c>
      <c r="K74" s="59">
        <f t="shared" si="48"/>
        <v>2568.5156551990722</v>
      </c>
      <c r="L74" s="59">
        <f>SUM(L67:L73)</f>
        <v>7688530</v>
      </c>
      <c r="M74" s="59">
        <f>L74/I74</f>
        <v>1485.9934286818709</v>
      </c>
      <c r="N74" s="59">
        <f>SUM(N67:N73)</f>
        <v>135850</v>
      </c>
      <c r="O74" s="59">
        <f>SUM(O67:O73)</f>
        <v>21113880</v>
      </c>
      <c r="P74" s="59">
        <f>O74/I74</f>
        <v>4080.7653652879785</v>
      </c>
      <c r="Q74" s="59"/>
      <c r="R74" s="59"/>
      <c r="S74" s="59"/>
      <c r="T74" s="172">
        <f>SUM(T67:T73)</f>
        <v>0</v>
      </c>
      <c r="U74" s="72" t="e">
        <f>O74/T74</f>
        <v>#DIV/0!</v>
      </c>
      <c r="W74" s="293">
        <f>SUM(W67:W73)/V73</f>
        <v>15.553333333333333</v>
      </c>
      <c r="X74" s="294">
        <f>SUM(X67:X73)/V73</f>
        <v>23.916666666666668</v>
      </c>
      <c r="Y74" s="305">
        <f>SUM(Y67:Y73)/V73</f>
        <v>2.9</v>
      </c>
      <c r="Z74" s="305">
        <f>SUM(Z67:Z73)/V73</f>
        <v>2.8666666666666667</v>
      </c>
      <c r="AA74" s="305">
        <f>SUM(AA67:AA73)/V73</f>
        <v>2.5666666666666669</v>
      </c>
      <c r="AB74" s="306">
        <f>SUM(Y74:AA74)/3</f>
        <v>2.7777777777777781</v>
      </c>
      <c r="AC74" s="302"/>
      <c r="AD74" s="727" t="s">
        <v>196</v>
      </c>
      <c r="AE74" s="727"/>
      <c r="AF74" s="727"/>
      <c r="AG74" s="427">
        <f>SUM(AG68:AG73)</f>
        <v>90</v>
      </c>
      <c r="AH74" s="427">
        <f>SUM(AH68:AH73)</f>
        <v>249</v>
      </c>
      <c r="AI74" s="428">
        <f>AI68+AI71</f>
        <v>1</v>
      </c>
      <c r="AK74" s="376">
        <f>SUM(AK67:AK73)/AJ73</f>
        <v>15.593333333333332</v>
      </c>
      <c r="AL74" s="377">
        <f>SUM(AL67:AL73)/AJ73</f>
        <v>24.093333333333337</v>
      </c>
      <c r="AM74" s="412">
        <f>SUM(AM67:AM73)/AJ73</f>
        <v>3.2333333333333334</v>
      </c>
      <c r="AN74" s="412">
        <f>SUM(AN67:AN73)/AJ73</f>
        <v>3.4</v>
      </c>
      <c r="AO74" s="412">
        <f>SUM(AO67:AO73)/AJ73</f>
        <v>3.4666666666666668</v>
      </c>
      <c r="AP74" s="413">
        <f>SUM(AM74:AO74)/3</f>
        <v>3.3666666666666667</v>
      </c>
      <c r="AQ74" s="363"/>
      <c r="AR74" s="727" t="s">
        <v>196</v>
      </c>
      <c r="AS74" s="727"/>
      <c r="AT74" s="727"/>
      <c r="AU74" s="427">
        <f>SUM(AU68:AU73)</f>
        <v>90</v>
      </c>
      <c r="AV74" s="427">
        <f>SUM(AV68:AV73)</f>
        <v>303</v>
      </c>
      <c r="AW74" s="429">
        <f>AW68+AW71</f>
        <v>1</v>
      </c>
    </row>
    <row r="75" spans="1:49" s="31" customFormat="1" ht="20.25" hidden="1" customHeight="1" thickTop="1" thickBot="1" x14ac:dyDescent="0.3">
      <c r="A75" s="28" t="s">
        <v>24</v>
      </c>
      <c r="B75" s="38"/>
      <c r="G75" s="28" t="s">
        <v>24</v>
      </c>
      <c r="H75" s="38"/>
      <c r="I75" s="28"/>
      <c r="J75" s="29"/>
      <c r="K75" s="29"/>
      <c r="L75" s="29"/>
      <c r="M75" s="29"/>
      <c r="N75" s="29"/>
      <c r="O75" s="29"/>
      <c r="P75" s="29"/>
      <c r="Q75" s="29"/>
      <c r="R75" s="29"/>
      <c r="S75" s="29"/>
      <c r="T75" s="173"/>
      <c r="U75" s="30"/>
      <c r="AC75" s="303"/>
      <c r="AD75" s="727" t="s">
        <v>197</v>
      </c>
      <c r="AE75" s="727"/>
      <c r="AF75" s="727"/>
      <c r="AG75" s="786">
        <f>AH74/AG74</f>
        <v>2.7666666666666666</v>
      </c>
      <c r="AH75" s="786"/>
      <c r="AI75" s="786"/>
      <c r="AK75" s="362"/>
      <c r="AL75" s="362"/>
      <c r="AM75" s="362"/>
      <c r="AN75" s="362"/>
      <c r="AO75" s="362"/>
      <c r="AP75" s="362"/>
      <c r="AQ75" s="363"/>
      <c r="AR75" s="727" t="s">
        <v>197</v>
      </c>
      <c r="AS75" s="727"/>
      <c r="AT75" s="727"/>
      <c r="AU75" s="786">
        <f>AV74/AU74</f>
        <v>3.3666666666666667</v>
      </c>
      <c r="AV75" s="786"/>
      <c r="AW75" s="786"/>
    </row>
    <row r="76" spans="1:49" ht="30.5" hidden="1" customHeight="1" thickTop="1" x14ac:dyDescent="0.25">
      <c r="A76" s="39"/>
      <c r="B76" s="40"/>
      <c r="G76" s="39"/>
      <c r="H76" s="40"/>
      <c r="I76" s="27"/>
      <c r="J76" s="27"/>
      <c r="K76" s="27"/>
      <c r="L76" s="27"/>
      <c r="M76" s="27"/>
      <c r="N76" s="27"/>
      <c r="O76" s="27"/>
      <c r="P76" s="27"/>
      <c r="Q76" s="27"/>
      <c r="R76" s="27"/>
      <c r="S76" s="27"/>
      <c r="T76" s="174"/>
    </row>
    <row r="77" spans="1:49" ht="32.25" hidden="1" customHeight="1" thickTop="1" x14ac:dyDescent="0.25">
      <c r="A77" s="735" t="s">
        <v>0</v>
      </c>
      <c r="B77" s="736"/>
      <c r="G77" s="735" t="s">
        <v>0</v>
      </c>
      <c r="H77" s="736"/>
      <c r="I77" s="99" t="s">
        <v>25</v>
      </c>
      <c r="J77" s="737"/>
      <c r="K77" s="737"/>
      <c r="L77" s="737"/>
      <c r="M77" s="737"/>
      <c r="N77" s="737"/>
      <c r="O77" s="738"/>
      <c r="P77" s="63"/>
      <c r="Q77" s="63"/>
      <c r="R77" s="63"/>
      <c r="S77" s="63"/>
      <c r="T77" s="175"/>
      <c r="U77" s="8"/>
    </row>
    <row r="78" spans="1:49" ht="32.25" hidden="1" customHeight="1" thickTop="1" x14ac:dyDescent="0.25">
      <c r="A78" s="735"/>
      <c r="B78" s="736"/>
      <c r="G78" s="735"/>
      <c r="H78" s="736"/>
      <c r="I78" s="739" t="s">
        <v>0</v>
      </c>
      <c r="J78" s="740"/>
      <c r="K78" s="740"/>
      <c r="L78" s="740"/>
      <c r="M78" s="740"/>
      <c r="N78" s="740"/>
      <c r="O78" s="741"/>
      <c r="P78" s="64"/>
      <c r="Q78" s="64"/>
      <c r="R78" s="64"/>
      <c r="S78" s="64"/>
      <c r="T78" s="176"/>
    </row>
    <row r="79" spans="1:49" ht="32.25" hidden="1" customHeight="1" thickTop="1" x14ac:dyDescent="0.25">
      <c r="A79" s="735"/>
      <c r="B79" s="736"/>
      <c r="G79" s="735"/>
      <c r="H79" s="736"/>
      <c r="I79" s="3" t="s">
        <v>1</v>
      </c>
      <c r="J79" s="6"/>
      <c r="K79" s="6"/>
      <c r="L79" s="6" t="s">
        <v>20</v>
      </c>
      <c r="M79" s="41"/>
      <c r="N79" s="41"/>
      <c r="O79" s="7" t="s">
        <v>21</v>
      </c>
      <c r="P79" s="65"/>
      <c r="Q79" s="65"/>
      <c r="R79" s="65"/>
      <c r="S79" s="65"/>
      <c r="T79" s="177"/>
      <c r="U79" s="32"/>
    </row>
    <row r="80" spans="1:49" ht="32.25" hidden="1" customHeight="1" thickTop="1" x14ac:dyDescent="0.25">
      <c r="A80" s="735"/>
      <c r="B80" s="736"/>
      <c r="G80" s="735"/>
      <c r="H80" s="736"/>
      <c r="I80" s="20"/>
      <c r="J80" s="4"/>
      <c r="K80" s="4"/>
      <c r="L80" s="12" t="e">
        <f>#REF!*I80</f>
        <v>#REF!</v>
      </c>
      <c r="M80" s="14"/>
      <c r="N80" s="14"/>
      <c r="O80" s="13" t="e">
        <f>#REF!*I80</f>
        <v>#REF!</v>
      </c>
      <c r="P80" s="66"/>
      <c r="Q80" s="66"/>
      <c r="R80" s="66"/>
      <c r="S80" s="66"/>
      <c r="T80" s="178"/>
      <c r="U80" s="33"/>
    </row>
    <row r="81" spans="1:48" ht="21" hidden="1" customHeight="1" thickTop="1" x14ac:dyDescent="0.25">
      <c r="A81" s="735"/>
      <c r="B81" s="736"/>
      <c r="G81" s="735"/>
      <c r="H81" s="736"/>
      <c r="J81" s="9"/>
      <c r="K81" s="9"/>
    </row>
    <row r="82" spans="1:48" ht="32.25" hidden="1" customHeight="1" thickTop="1" x14ac:dyDescent="0.25">
      <c r="A82" s="735"/>
      <c r="B82" s="736"/>
      <c r="G82" s="735"/>
      <c r="H82" s="736"/>
      <c r="I82" s="1" t="s">
        <v>22</v>
      </c>
      <c r="J82" s="10"/>
      <c r="K82" s="10"/>
    </row>
    <row r="83" spans="1:48" ht="32.25" hidden="1" customHeight="1" thickTop="1" x14ac:dyDescent="0.25">
      <c r="A83" s="735"/>
      <c r="B83" s="736"/>
      <c r="G83" s="735"/>
      <c r="H83" s="736"/>
      <c r="I83" s="15" t="s">
        <v>1</v>
      </c>
      <c r="J83" s="15"/>
      <c r="K83" s="15"/>
      <c r="L83" s="15" t="s">
        <v>20</v>
      </c>
      <c r="M83" s="15"/>
      <c r="N83" s="15"/>
      <c r="O83" s="15" t="s">
        <v>21</v>
      </c>
      <c r="P83" s="51"/>
      <c r="Q83" s="51"/>
      <c r="R83" s="51"/>
      <c r="S83" s="51"/>
      <c r="T83" s="179"/>
    </row>
    <row r="84" spans="1:48" s="5" customFormat="1" ht="32.25" hidden="1" customHeight="1" thickTop="1" x14ac:dyDescent="0.25">
      <c r="A84" s="735"/>
      <c r="B84" s="736"/>
      <c r="G84" s="735"/>
      <c r="H84" s="736"/>
      <c r="I84" s="21">
        <f>I74-I80</f>
        <v>5174</v>
      </c>
      <c r="J84" s="22"/>
      <c r="K84" s="22"/>
      <c r="L84" s="21" t="e">
        <f>L74-L80</f>
        <v>#REF!</v>
      </c>
      <c r="M84" s="21"/>
      <c r="N84" s="21"/>
      <c r="O84" s="21" t="e">
        <f>O74-O80</f>
        <v>#REF!</v>
      </c>
      <c r="P84" s="67"/>
      <c r="Q84" s="67"/>
      <c r="R84" s="67"/>
      <c r="S84" s="67"/>
      <c r="T84" s="180"/>
      <c r="U84" s="1"/>
      <c r="AC84" s="304"/>
      <c r="AK84" s="388"/>
      <c r="AL84" s="388"/>
      <c r="AM84" s="388"/>
      <c r="AN84" s="388"/>
      <c r="AO84" s="388"/>
      <c r="AP84" s="388"/>
      <c r="AQ84" s="389"/>
      <c r="AR84" s="388"/>
      <c r="AS84" s="388"/>
    </row>
    <row r="85" spans="1:48" s="5" customFormat="1" ht="32.25" hidden="1" customHeight="1" thickTop="1" x14ac:dyDescent="0.25">
      <c r="A85" s="735"/>
      <c r="B85" s="736"/>
      <c r="G85" s="735"/>
      <c r="H85" s="736"/>
      <c r="I85" s="23" t="e">
        <f>I74/I80</f>
        <v>#DIV/0!</v>
      </c>
      <c r="J85" s="23"/>
      <c r="K85" s="23"/>
      <c r="L85" s="23" t="e">
        <f>L74/L80</f>
        <v>#REF!</v>
      </c>
      <c r="M85" s="23"/>
      <c r="N85" s="23"/>
      <c r="O85" s="23" t="e">
        <f>O74/O80</f>
        <v>#REF!</v>
      </c>
      <c r="P85" s="68"/>
      <c r="Q85" s="68"/>
      <c r="R85" s="68"/>
      <c r="S85" s="68"/>
      <c r="T85" s="181"/>
      <c r="U85" s="1"/>
      <c r="AC85" s="304"/>
      <c r="AK85" s="388"/>
      <c r="AL85" s="388"/>
      <c r="AM85" s="388"/>
      <c r="AN85" s="388"/>
      <c r="AO85" s="388"/>
      <c r="AP85" s="388"/>
      <c r="AQ85" s="389"/>
      <c r="AR85" s="388"/>
      <c r="AS85" s="388"/>
    </row>
    <row r="86" spans="1:48" s="5" customFormat="1" ht="32.25" hidden="1" customHeight="1" thickTop="1" x14ac:dyDescent="0.25">
      <c r="A86" s="735"/>
      <c r="B86" s="736"/>
      <c r="G86" s="735"/>
      <c r="H86" s="736"/>
      <c r="I86" s="1" t="s">
        <v>26</v>
      </c>
      <c r="J86" s="1"/>
      <c r="K86" s="1"/>
      <c r="L86" s="1"/>
      <c r="M86" s="1"/>
      <c r="N86" s="1"/>
      <c r="O86" s="1"/>
      <c r="P86" s="1"/>
      <c r="Q86" s="1"/>
      <c r="R86" s="1"/>
      <c r="S86" s="1"/>
      <c r="T86" s="166"/>
      <c r="U86" s="1"/>
      <c r="AC86" s="304"/>
      <c r="AK86" s="388"/>
      <c r="AL86" s="388"/>
      <c r="AM86" s="388"/>
      <c r="AN86" s="388"/>
      <c r="AO86" s="388"/>
      <c r="AP86" s="388"/>
      <c r="AQ86" s="389"/>
      <c r="AR86" s="388"/>
      <c r="AS86" s="388"/>
    </row>
    <row r="87" spans="1:48" s="5" customFormat="1" ht="32.25" hidden="1" customHeight="1" thickTop="1" x14ac:dyDescent="0.25">
      <c r="A87" s="735"/>
      <c r="B87" s="736"/>
      <c r="G87" s="735"/>
      <c r="H87" s="736"/>
      <c r="I87" s="15" t="s">
        <v>1</v>
      </c>
      <c r="J87" s="15"/>
      <c r="K87" s="15"/>
      <c r="L87" s="15" t="s">
        <v>20</v>
      </c>
      <c r="M87" s="15"/>
      <c r="N87" s="15"/>
      <c r="O87" s="15" t="s">
        <v>21</v>
      </c>
      <c r="P87" s="51"/>
      <c r="Q87" s="51"/>
      <c r="R87" s="51"/>
      <c r="S87" s="51"/>
      <c r="T87" s="179"/>
      <c r="U87" s="1"/>
      <c r="AC87" s="304"/>
      <c r="AK87" s="388"/>
      <c r="AL87" s="388"/>
      <c r="AM87" s="388"/>
      <c r="AN87" s="388"/>
      <c r="AO87" s="388"/>
      <c r="AP87" s="388"/>
      <c r="AQ87" s="389"/>
      <c r="AR87" s="388"/>
      <c r="AS87" s="388"/>
    </row>
    <row r="88" spans="1:48" s="5" customFormat="1" ht="32.25" hidden="1" customHeight="1" thickTop="1" x14ac:dyDescent="0.25">
      <c r="A88" s="735"/>
      <c r="B88" s="736"/>
      <c r="G88" s="735"/>
      <c r="H88" s="736"/>
      <c r="I88" s="16"/>
      <c r="J88" s="18"/>
      <c r="K88" s="18"/>
      <c r="L88" s="17"/>
      <c r="M88" s="17"/>
      <c r="N88" s="17"/>
      <c r="O88" s="17"/>
      <c r="P88" s="69"/>
      <c r="Q88" s="69"/>
      <c r="R88" s="69"/>
      <c r="S88" s="69"/>
      <c r="T88" s="182"/>
      <c r="U88" s="1"/>
      <c r="AC88" s="304"/>
      <c r="AK88" s="388"/>
      <c r="AL88" s="388"/>
      <c r="AM88" s="388"/>
      <c r="AN88" s="388"/>
      <c r="AO88" s="388"/>
      <c r="AP88" s="388"/>
      <c r="AQ88" s="389"/>
      <c r="AR88" s="388"/>
      <c r="AS88" s="388"/>
    </row>
    <row r="89" spans="1:48" s="5" customFormat="1" ht="32.25" hidden="1" customHeight="1" thickTop="1" x14ac:dyDescent="0.25">
      <c r="A89" s="735"/>
      <c r="B89" s="736"/>
      <c r="G89" s="735"/>
      <c r="H89" s="736"/>
      <c r="I89" s="1" t="s">
        <v>23</v>
      </c>
      <c r="J89" s="1"/>
      <c r="K89" s="1"/>
      <c r="L89" s="1"/>
      <c r="M89" s="1"/>
      <c r="N89" s="1"/>
      <c r="O89" s="1"/>
      <c r="P89" s="1"/>
      <c r="Q89" s="1"/>
      <c r="R89" s="1"/>
      <c r="S89" s="1"/>
      <c r="T89" s="166"/>
      <c r="U89" s="1"/>
      <c r="AC89" s="304"/>
      <c r="AK89" s="388"/>
      <c r="AL89" s="388"/>
      <c r="AM89" s="388"/>
      <c r="AN89" s="388"/>
      <c r="AO89" s="388"/>
      <c r="AP89" s="388"/>
      <c r="AQ89" s="389"/>
      <c r="AR89" s="388"/>
      <c r="AS89" s="388"/>
    </row>
    <row r="90" spans="1:48" s="5" customFormat="1" ht="32.25" hidden="1" customHeight="1" thickTop="1" x14ac:dyDescent="0.25">
      <c r="A90" s="735"/>
      <c r="B90" s="736"/>
      <c r="G90" s="735"/>
      <c r="H90" s="736"/>
      <c r="I90" s="15" t="s">
        <v>1</v>
      </c>
      <c r="J90" s="15"/>
      <c r="K90" s="15"/>
      <c r="L90" s="15" t="s">
        <v>20</v>
      </c>
      <c r="M90" s="15"/>
      <c r="N90" s="15"/>
      <c r="O90" s="15" t="s">
        <v>21</v>
      </c>
      <c r="P90" s="51"/>
      <c r="Q90" s="51"/>
      <c r="R90" s="51"/>
      <c r="S90" s="51"/>
      <c r="T90" s="179"/>
      <c r="U90" s="1"/>
      <c r="AC90" s="304"/>
      <c r="AK90" s="388"/>
      <c r="AL90" s="388"/>
      <c r="AM90" s="388"/>
      <c r="AN90" s="388"/>
      <c r="AO90" s="388"/>
      <c r="AP90" s="388"/>
      <c r="AQ90" s="389"/>
      <c r="AR90" s="388"/>
      <c r="AS90" s="388"/>
    </row>
    <row r="91" spans="1:48" s="5" customFormat="1" ht="30" hidden="1" customHeight="1" thickTop="1" x14ac:dyDescent="0.25">
      <c r="A91" s="735"/>
      <c r="B91" s="736"/>
      <c r="G91" s="735"/>
      <c r="H91" s="736"/>
      <c r="I91" s="16">
        <f>I74-I88</f>
        <v>5174</v>
      </c>
      <c r="J91" s="16"/>
      <c r="K91" s="16"/>
      <c r="L91" s="16">
        <f>L74-L88</f>
        <v>7688530</v>
      </c>
      <c r="M91" s="16"/>
      <c r="N91" s="16"/>
      <c r="O91" s="16">
        <f>O74-O88</f>
        <v>21113880</v>
      </c>
      <c r="P91" s="70"/>
      <c r="Q91" s="70"/>
      <c r="R91" s="70"/>
      <c r="S91" s="70"/>
      <c r="T91" s="183"/>
      <c r="U91" s="1"/>
      <c r="AC91" s="304"/>
      <c r="AK91" s="388"/>
      <c r="AL91" s="388"/>
      <c r="AM91" s="388"/>
      <c r="AN91" s="388"/>
      <c r="AO91" s="388"/>
      <c r="AP91" s="388"/>
      <c r="AQ91" s="389"/>
      <c r="AR91" s="388"/>
      <c r="AS91" s="388"/>
    </row>
    <row r="92" spans="1:48" s="5" customFormat="1" ht="32" hidden="1" customHeight="1" thickTop="1" x14ac:dyDescent="0.25">
      <c r="A92" s="735"/>
      <c r="B92" s="736"/>
      <c r="G92" s="735"/>
      <c r="H92" s="736"/>
      <c r="I92" s="48" t="e">
        <f>I74/I88</f>
        <v>#DIV/0!</v>
      </c>
      <c r="J92" s="19"/>
      <c r="K92" s="19"/>
      <c r="L92" s="19" t="e">
        <f>L74/L88</f>
        <v>#DIV/0!</v>
      </c>
      <c r="M92" s="19"/>
      <c r="N92" s="19"/>
      <c r="O92" s="19" t="e">
        <f>O74/O88</f>
        <v>#DIV/0!</v>
      </c>
      <c r="P92" s="52"/>
      <c r="Q92" s="52"/>
      <c r="R92" s="52"/>
      <c r="S92" s="52"/>
      <c r="T92" s="184"/>
      <c r="U92" s="11"/>
      <c r="AC92" s="304"/>
      <c r="AK92" s="388"/>
      <c r="AL92" s="388"/>
      <c r="AM92" s="388"/>
      <c r="AN92" s="388"/>
      <c r="AO92" s="388"/>
      <c r="AP92" s="388"/>
      <c r="AQ92" s="389"/>
      <c r="AR92" s="388"/>
      <c r="AS92" s="388"/>
    </row>
    <row r="93" spans="1:48" s="5" customFormat="1" ht="39" customHeight="1" thickTop="1" x14ac:dyDescent="0.25">
      <c r="A93" s="746" t="s">
        <v>39</v>
      </c>
      <c r="B93" s="746"/>
      <c r="G93" s="60"/>
      <c r="H93" s="60"/>
      <c r="I93" s="60"/>
      <c r="J93" s="742"/>
      <c r="K93" s="742"/>
      <c r="L93" s="83">
        <f>L74/1.1</f>
        <v>6989572.7272727266</v>
      </c>
      <c r="M93" s="1"/>
      <c r="N93" s="131" t="s">
        <v>85</v>
      </c>
      <c r="O93" s="125">
        <f>O74/1.1</f>
        <v>19194436.363636363</v>
      </c>
      <c r="P93" s="130" t="s">
        <v>84</v>
      </c>
      <c r="Q93" s="130"/>
      <c r="R93" s="130"/>
      <c r="S93" s="130"/>
      <c r="T93" s="210" t="e">
        <f>O93/#REF!</f>
        <v>#REF!</v>
      </c>
      <c r="U93" s="748" t="e">
        <f>O93-#REF!</f>
        <v>#REF!</v>
      </c>
      <c r="V93" s="747"/>
      <c r="W93" s="747"/>
      <c r="X93" s="747"/>
      <c r="Y93" s="747"/>
      <c r="AB93" s="418">
        <f>AB74/AP74</f>
        <v>0.82508250825082519</v>
      </c>
      <c r="AC93" s="304"/>
      <c r="AE93" s="394">
        <f>O93/AS93</f>
        <v>1.007596386490859</v>
      </c>
      <c r="AG93" s="765">
        <f>AH74/AG74</f>
        <v>2.7666666666666666</v>
      </c>
      <c r="AH93" s="765"/>
      <c r="AK93" s="388"/>
      <c r="AL93" s="388"/>
      <c r="AM93" s="388"/>
      <c r="AN93" s="388"/>
      <c r="AO93" s="388"/>
      <c r="AP93" s="388"/>
      <c r="AQ93" s="389"/>
      <c r="AR93" s="388"/>
      <c r="AS93" s="393">
        <v>19049727.27272727</v>
      </c>
      <c r="AU93" s="765">
        <f>AV74/AU74</f>
        <v>3.3666666666666667</v>
      </c>
      <c r="AV93" s="765"/>
    </row>
    <row r="94" spans="1:48" s="5" customFormat="1" ht="34" customHeight="1" thickBot="1" x14ac:dyDescent="0.3">
      <c r="A94" s="746"/>
      <c r="B94" s="746"/>
      <c r="G94" s="1"/>
      <c r="H94" s="1"/>
      <c r="I94" s="1"/>
      <c r="J94" s="36"/>
      <c r="K94" s="36"/>
      <c r="L94" s="1"/>
      <c r="M94" s="1"/>
      <c r="N94" s="1">
        <f>N74/1.1</f>
        <v>123499.99999999999</v>
      </c>
      <c r="O94" s="1"/>
      <c r="P94" s="1" t="s">
        <v>185</v>
      </c>
      <c r="Q94" s="1"/>
      <c r="R94" s="1"/>
      <c r="S94" s="1"/>
      <c r="T94" s="166" t="s">
        <v>184</v>
      </c>
      <c r="U94" s="1"/>
      <c r="AC94" s="304"/>
      <c r="AK94" s="388"/>
      <c r="AL94" s="388"/>
      <c r="AM94" s="388"/>
      <c r="AN94" s="388"/>
      <c r="AO94" s="388"/>
      <c r="AP94" s="388"/>
      <c r="AQ94" s="389"/>
      <c r="AR94" s="388"/>
      <c r="AS94" s="388"/>
    </row>
    <row r="95" spans="1:48" ht="66" customHeight="1" thickTop="1" thickBot="1" x14ac:dyDescent="0.3">
      <c r="A95" s="746"/>
      <c r="B95" s="746"/>
      <c r="J95" s="52"/>
      <c r="K95" s="52"/>
      <c r="L95" s="743" t="s">
        <v>183</v>
      </c>
      <c r="M95" s="744"/>
      <c r="N95" s="744"/>
      <c r="O95" s="744"/>
      <c r="P95" s="410" t="e">
        <f>O93/#REF!</f>
        <v>#REF!</v>
      </c>
      <c r="Q95" s="410"/>
      <c r="R95" s="410"/>
      <c r="S95" s="410"/>
      <c r="T95" s="411" t="e">
        <f>N94/#REF!</f>
        <v>#REF!</v>
      </c>
      <c r="U95" s="61" t="e">
        <f>O93-#REF!</f>
        <v>#REF!</v>
      </c>
    </row>
    <row r="96" spans="1:48" ht="19" thickTop="1" x14ac:dyDescent="0.25"/>
    <row r="97" spans="1:45" ht="32" customHeight="1" x14ac:dyDescent="0.25">
      <c r="O97" s="125">
        <v>19049727.27272727</v>
      </c>
      <c r="X97" s="1">
        <v>1384450</v>
      </c>
    </row>
    <row r="98" spans="1:45" s="24" customFormat="1" ht="34.25" customHeight="1" x14ac:dyDescent="0.25">
      <c r="A98" s="34" t="s">
        <v>53</v>
      </c>
      <c r="B98" s="35"/>
      <c r="O98" s="129">
        <f>O93-O97</f>
        <v>144709.09090909362</v>
      </c>
      <c r="T98" s="166"/>
      <c r="X98" s="24">
        <v>2339850</v>
      </c>
      <c r="AC98" s="25"/>
      <c r="AK98" s="362"/>
      <c r="AL98" s="362"/>
      <c r="AM98" s="362"/>
      <c r="AN98" s="362"/>
      <c r="AO98" s="362"/>
      <c r="AP98" s="362"/>
      <c r="AQ98" s="363"/>
      <c r="AR98" s="362"/>
      <c r="AS98" s="362"/>
    </row>
    <row r="99" spans="1:45" s="81" customFormat="1" ht="32" customHeight="1" x14ac:dyDescent="0.25">
      <c r="A99" s="745" t="s">
        <v>54</v>
      </c>
      <c r="B99" s="745"/>
      <c r="O99" s="417">
        <f>O93/O97</f>
        <v>1.007596386490859</v>
      </c>
      <c r="T99" s="185"/>
      <c r="X99" s="81">
        <v>1383300</v>
      </c>
      <c r="AC99" s="131"/>
      <c r="AK99" s="382"/>
      <c r="AL99" s="382"/>
      <c r="AM99" s="382"/>
      <c r="AN99" s="382"/>
      <c r="AO99" s="382"/>
      <c r="AP99" s="382"/>
      <c r="AQ99" s="381"/>
      <c r="AR99" s="382"/>
      <c r="AS99" s="382"/>
    </row>
    <row r="100" spans="1:45" ht="73" customHeight="1" x14ac:dyDescent="0.25">
      <c r="A100" s="729" t="s">
        <v>55</v>
      </c>
      <c r="B100" s="729"/>
      <c r="X100" s="1">
        <f>SUM(X97:X99)</f>
        <v>5107600</v>
      </c>
    </row>
    <row r="101" spans="1:45" ht="73" customHeight="1" x14ac:dyDescent="0.25">
      <c r="A101" s="729" t="s">
        <v>56</v>
      </c>
      <c r="B101" s="729"/>
    </row>
    <row r="102" spans="1:45" ht="73" customHeight="1" x14ac:dyDescent="0.25">
      <c r="A102" s="729" t="s">
        <v>57</v>
      </c>
      <c r="B102" s="729"/>
    </row>
    <row r="103" spans="1:45" ht="73" customHeight="1" x14ac:dyDescent="0.25">
      <c r="A103" s="729" t="s">
        <v>58</v>
      </c>
      <c r="B103" s="729"/>
    </row>
    <row r="104" spans="1:45" ht="73" customHeight="1" x14ac:dyDescent="0.25">
      <c r="A104" s="729" t="s">
        <v>59</v>
      </c>
      <c r="B104" s="729"/>
    </row>
    <row r="105" spans="1:45" ht="73" customHeight="1" x14ac:dyDescent="0.25">
      <c r="A105" s="729" t="s">
        <v>49</v>
      </c>
      <c r="B105" s="729"/>
    </row>
    <row r="106" spans="1:45" ht="73" customHeight="1" x14ac:dyDescent="0.25">
      <c r="A106" s="729" t="s">
        <v>50</v>
      </c>
      <c r="B106" s="729"/>
    </row>
    <row r="107" spans="1:45" ht="73" customHeight="1" x14ac:dyDescent="0.25">
      <c r="A107" s="729"/>
      <c r="B107" s="729"/>
    </row>
    <row r="108" spans="1:45" ht="73" customHeight="1" x14ac:dyDescent="0.25">
      <c r="A108" s="747"/>
      <c r="B108" s="747"/>
    </row>
    <row r="109" spans="1:45" ht="32" customHeight="1" x14ac:dyDescent="0.25"/>
    <row r="110" spans="1:45" ht="32" customHeight="1" x14ac:dyDescent="0.25"/>
    <row r="111" spans="1:45" ht="32" customHeight="1" x14ac:dyDescent="0.25"/>
    <row r="112" spans="1:45" ht="32" customHeight="1" x14ac:dyDescent="0.25"/>
    <row r="113" ht="32" customHeight="1" x14ac:dyDescent="0.25"/>
  </sheetData>
  <mergeCells count="109">
    <mergeCell ref="Q3:T3"/>
    <mergeCell ref="Q4:T4"/>
    <mergeCell ref="AG93:AH93"/>
    <mergeCell ref="AU93:AV93"/>
    <mergeCell ref="AK3:AV3"/>
    <mergeCell ref="AK45:AP45"/>
    <mergeCell ref="AR54:AV54"/>
    <mergeCell ref="AK55:AP55"/>
    <mergeCell ref="AR64:AV64"/>
    <mergeCell ref="AK65:AP65"/>
    <mergeCell ref="AK4:AP4"/>
    <mergeCell ref="AK5:AP5"/>
    <mergeCell ref="AR14:AV14"/>
    <mergeCell ref="AK15:AP15"/>
    <mergeCell ref="AR24:AV24"/>
    <mergeCell ref="AK25:AP25"/>
    <mergeCell ref="AR34:AV34"/>
    <mergeCell ref="AK35:AP35"/>
    <mergeCell ref="AR44:AV44"/>
    <mergeCell ref="U93:Y93"/>
    <mergeCell ref="G3:P3"/>
    <mergeCell ref="G4:H4"/>
    <mergeCell ref="G5:U5"/>
    <mergeCell ref="G14:H14"/>
    <mergeCell ref="G15:U15"/>
    <mergeCell ref="G65:U65"/>
    <mergeCell ref="G77:H92"/>
    <mergeCell ref="J77:O77"/>
    <mergeCell ref="I78:O78"/>
    <mergeCell ref="J93:K93"/>
    <mergeCell ref="W4:AB4"/>
    <mergeCell ref="W5:AB5"/>
    <mergeCell ref="W15:AB15"/>
    <mergeCell ref="W25:AB25"/>
    <mergeCell ref="G24:H24"/>
    <mergeCell ref="G25:U25"/>
    <mergeCell ref="G34:H34"/>
    <mergeCell ref="G35:U35"/>
    <mergeCell ref="G44:H44"/>
    <mergeCell ref="G45:U45"/>
    <mergeCell ref="G54:H54"/>
    <mergeCell ref="G55:U55"/>
    <mergeCell ref="G64:H64"/>
    <mergeCell ref="L95:O95"/>
    <mergeCell ref="M4:N4"/>
    <mergeCell ref="A2:B2"/>
    <mergeCell ref="A3:B3"/>
    <mergeCell ref="A4:B4"/>
    <mergeCell ref="A15:B15"/>
    <mergeCell ref="A24:B24"/>
    <mergeCell ref="A5:B5"/>
    <mergeCell ref="A14:B14"/>
    <mergeCell ref="A35:B35"/>
    <mergeCell ref="A44:B44"/>
    <mergeCell ref="A25:B25"/>
    <mergeCell ref="A34:B34"/>
    <mergeCell ref="A45:B45"/>
    <mergeCell ref="A54:B54"/>
    <mergeCell ref="A65:B65"/>
    <mergeCell ref="A93:B95"/>
    <mergeCell ref="A55:B55"/>
    <mergeCell ref="A64:B64"/>
    <mergeCell ref="A77:B92"/>
    <mergeCell ref="A100:B100"/>
    <mergeCell ref="A99:B99"/>
    <mergeCell ref="A103:B103"/>
    <mergeCell ref="A101:B101"/>
    <mergeCell ref="A102:B102"/>
    <mergeCell ref="A105:B105"/>
    <mergeCell ref="A104:B104"/>
    <mergeCell ref="A107:B107"/>
    <mergeCell ref="A106:B106"/>
    <mergeCell ref="A108:B108"/>
    <mergeCell ref="AD72:AE72"/>
    <mergeCell ref="AD73:AE73"/>
    <mergeCell ref="AD14:AH14"/>
    <mergeCell ref="AD24:AH24"/>
    <mergeCell ref="AD34:AH34"/>
    <mergeCell ref="AD44:AH44"/>
    <mergeCell ref="AD54:AH54"/>
    <mergeCell ref="AD64:AH64"/>
    <mergeCell ref="W35:AB35"/>
    <mergeCell ref="W45:AB45"/>
    <mergeCell ref="W55:AB55"/>
    <mergeCell ref="W65:AB65"/>
    <mergeCell ref="AD74:AF74"/>
    <mergeCell ref="AD75:AF75"/>
    <mergeCell ref="AG75:AI75"/>
    <mergeCell ref="AR66:AW66"/>
    <mergeCell ref="AR67:AS67"/>
    <mergeCell ref="AR68:AS68"/>
    <mergeCell ref="AW68:AW70"/>
    <mergeCell ref="AR69:AS69"/>
    <mergeCell ref="AR70:AS70"/>
    <mergeCell ref="AR71:AS71"/>
    <mergeCell ref="AW71:AW73"/>
    <mergeCell ref="AR72:AS72"/>
    <mergeCell ref="AR73:AS73"/>
    <mergeCell ref="AR74:AT74"/>
    <mergeCell ref="AR75:AT75"/>
    <mergeCell ref="AU75:AW75"/>
    <mergeCell ref="AD66:AI66"/>
    <mergeCell ref="AD67:AE67"/>
    <mergeCell ref="AD68:AE68"/>
    <mergeCell ref="AI68:AI70"/>
    <mergeCell ref="AD69:AE69"/>
    <mergeCell ref="AD70:AE70"/>
    <mergeCell ref="AD71:AE71"/>
    <mergeCell ref="AI71:AI73"/>
  </mergeCells>
  <phoneticPr fontId="1"/>
  <pageMargins left="0.7" right="0.7" top="0.75" bottom="0.75" header="0.3" footer="0.3"/>
  <pageSetup paperSize="8" scale="1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72E3-8403-E74C-9122-9D9DA903824A}">
  <sheetPr>
    <tabColor rgb="FFFFC000"/>
    <pageSetUpPr fitToPage="1"/>
  </sheetPr>
  <dimension ref="A1:AZ113"/>
  <sheetViews>
    <sheetView tabSelected="1" zoomScale="69" workbookViewId="0">
      <pane xSplit="2" topLeftCell="G1" activePane="topRight" state="frozen"/>
      <selection pane="topRight" activeCell="J2" sqref="J2"/>
    </sheetView>
  </sheetViews>
  <sheetFormatPr baseColWidth="10" defaultColWidth="9" defaultRowHeight="16" x14ac:dyDescent="0.25"/>
  <cols>
    <col min="1" max="1" width="8.1640625" style="1" customWidth="1"/>
    <col min="2" max="2" width="6.6640625" style="35" customWidth="1"/>
    <col min="3" max="3" width="7.5" style="1" hidden="1" customWidth="1"/>
    <col min="4" max="6" width="0.1640625" style="1" hidden="1" customWidth="1"/>
    <col min="7" max="7" width="15.5" style="1" customWidth="1"/>
    <col min="8" max="8" width="7.1640625" style="1" customWidth="1"/>
    <col min="9" max="14" width="16" style="1" customWidth="1"/>
    <col min="15" max="15" width="26.33203125" style="1" customWidth="1"/>
    <col min="16" max="16" width="16" style="1" customWidth="1"/>
    <col min="17" max="17" width="16" style="201" customWidth="1"/>
    <col min="18" max="18" width="16" style="1" customWidth="1"/>
    <col min="19" max="19" width="5.1640625" style="1" customWidth="1"/>
    <col min="20" max="21" width="16.5" style="1" bestFit="1" customWidth="1"/>
    <col min="22" max="25" width="10.33203125" style="1" customWidth="1"/>
    <col min="26" max="26" width="5.33203125" style="1" customWidth="1"/>
    <col min="27" max="27" width="9" style="1"/>
    <col min="28" max="28" width="19.5" style="1" customWidth="1"/>
    <col min="29" max="33" width="9" style="1"/>
    <col min="34" max="34" width="5.1640625" style="1" customWidth="1"/>
    <col min="35" max="36" width="16.5" style="1" bestFit="1" customWidth="1"/>
    <col min="37" max="40" width="10.33203125" style="1" customWidth="1"/>
    <col min="41" max="41" width="5.33203125" style="1" customWidth="1"/>
    <col min="42" max="42" width="9" style="1"/>
    <col min="43" max="43" width="19.5" style="1" customWidth="1"/>
    <col min="44" max="16384" width="9" style="1"/>
  </cols>
  <sheetData>
    <row r="1" spans="1:44" s="24" customFormat="1" ht="64" customHeight="1" x14ac:dyDescent="0.25">
      <c r="A1" s="82" t="s">
        <v>334</v>
      </c>
      <c r="B1" s="35"/>
      <c r="Q1" s="166"/>
      <c r="Z1" s="25"/>
      <c r="AH1" s="362"/>
      <c r="AI1" s="362"/>
      <c r="AJ1" s="362"/>
      <c r="AK1" s="362"/>
      <c r="AL1" s="362"/>
      <c r="AM1" s="362"/>
      <c r="AN1" s="363"/>
      <c r="AO1" s="362"/>
      <c r="AP1" s="362"/>
    </row>
    <row r="2" spans="1:44" s="24" customFormat="1" ht="34.25" customHeight="1" thickBot="1" x14ac:dyDescent="0.3">
      <c r="A2" s="699" t="s">
        <v>45</v>
      </c>
      <c r="B2" s="700"/>
      <c r="O2" s="129">
        <f>O14+O24+O34+O44+O54+O64</f>
        <v>523000</v>
      </c>
      <c r="Q2" s="186"/>
    </row>
    <row r="3" spans="1:44" ht="53" customHeight="1" thickTop="1" x14ac:dyDescent="0.25">
      <c r="A3" s="701"/>
      <c r="B3" s="702"/>
      <c r="G3" s="703" t="s">
        <v>83</v>
      </c>
      <c r="H3" s="704"/>
      <c r="I3" s="704"/>
      <c r="J3" s="704"/>
      <c r="K3" s="704"/>
      <c r="L3" s="704"/>
      <c r="M3" s="704"/>
      <c r="N3" s="704"/>
      <c r="O3" s="704"/>
      <c r="P3" s="704"/>
      <c r="Q3" s="187" t="s">
        <v>51</v>
      </c>
      <c r="R3" s="75" t="s">
        <v>27</v>
      </c>
    </row>
    <row r="4" spans="1:44" s="36" customFormat="1" ht="53" customHeight="1" x14ac:dyDescent="0.25">
      <c r="A4" s="705" t="s">
        <v>41</v>
      </c>
      <c r="B4" s="706"/>
      <c r="G4" s="717" t="s">
        <v>70</v>
      </c>
      <c r="H4" s="718"/>
      <c r="I4" s="76" t="s">
        <v>42</v>
      </c>
      <c r="J4" s="77" t="e">
        <f>#REF!</f>
        <v>#REF!</v>
      </c>
      <c r="K4" s="78" t="s">
        <v>43</v>
      </c>
      <c r="L4" s="100" t="e">
        <f>#REF!+#REF!</f>
        <v>#REF!</v>
      </c>
      <c r="M4" s="101" t="s">
        <v>27</v>
      </c>
      <c r="N4" s="101"/>
      <c r="O4" s="100" t="e">
        <f>#REF!+#REF!</f>
        <v>#REF!</v>
      </c>
      <c r="P4" s="101" t="s">
        <v>52</v>
      </c>
      <c r="Q4" s="188" t="e">
        <f>J4/L2</f>
        <v>#REF!</v>
      </c>
      <c r="R4" s="102" t="e">
        <f>O4/L2</f>
        <v>#REF!</v>
      </c>
      <c r="T4" s="721" t="s">
        <v>162</v>
      </c>
      <c r="U4" s="722"/>
      <c r="V4" s="722"/>
      <c r="W4" s="722"/>
      <c r="X4" s="722"/>
      <c r="Y4" s="723"/>
      <c r="AI4" s="721" t="s">
        <v>162</v>
      </c>
      <c r="AJ4" s="722"/>
      <c r="AK4" s="722"/>
      <c r="AL4" s="722"/>
      <c r="AM4" s="722"/>
      <c r="AN4" s="723"/>
    </row>
    <row r="5" spans="1:44" ht="23.5" customHeight="1" x14ac:dyDescent="0.25">
      <c r="A5" s="710" t="s">
        <v>12</v>
      </c>
      <c r="B5" s="711"/>
      <c r="G5" s="710" t="s">
        <v>12</v>
      </c>
      <c r="H5" s="711"/>
      <c r="I5" s="711"/>
      <c r="J5" s="711"/>
      <c r="K5" s="711"/>
      <c r="L5" s="711"/>
      <c r="M5" s="711"/>
      <c r="N5" s="711"/>
      <c r="O5" s="711"/>
      <c r="P5" s="711"/>
      <c r="Q5" s="711"/>
      <c r="R5" s="712"/>
      <c r="T5" s="716" t="str">
        <f>G5</f>
        <v>1st week</v>
      </c>
      <c r="U5" s="716"/>
      <c r="V5" s="716"/>
      <c r="W5" s="716"/>
      <c r="X5" s="716"/>
      <c r="Y5" s="716"/>
      <c r="AC5" s="36"/>
      <c r="AI5" s="716">
        <f>V5</f>
        <v>0</v>
      </c>
      <c r="AJ5" s="716"/>
      <c r="AK5" s="716"/>
      <c r="AL5" s="716"/>
      <c r="AM5" s="716"/>
      <c r="AN5" s="716"/>
      <c r="AR5" s="36"/>
    </row>
    <row r="6" spans="1:44" s="2" customFormat="1" ht="23.5" customHeight="1" x14ac:dyDescent="0.25">
      <c r="A6" s="53" t="s">
        <v>10</v>
      </c>
      <c r="B6" s="37" t="s">
        <v>11</v>
      </c>
      <c r="C6" s="2" t="s">
        <v>32</v>
      </c>
      <c r="D6" s="2" t="s">
        <v>33</v>
      </c>
      <c r="E6" s="2" t="s">
        <v>34</v>
      </c>
      <c r="F6" s="2" t="s">
        <v>35</v>
      </c>
      <c r="G6" s="103" t="s">
        <v>10</v>
      </c>
      <c r="H6" s="104" t="s">
        <v>11</v>
      </c>
      <c r="I6" s="104" t="s">
        <v>1</v>
      </c>
      <c r="J6" s="104" t="s">
        <v>30</v>
      </c>
      <c r="K6" s="104" t="s">
        <v>31</v>
      </c>
      <c r="L6" s="104" t="s">
        <v>28</v>
      </c>
      <c r="M6" s="104" t="s">
        <v>29</v>
      </c>
      <c r="N6" s="104" t="s">
        <v>72</v>
      </c>
      <c r="O6" s="104" t="s">
        <v>71</v>
      </c>
      <c r="P6" s="105" t="s">
        <v>48</v>
      </c>
      <c r="Q6" s="189" t="s">
        <v>74</v>
      </c>
      <c r="R6" s="106" t="s">
        <v>73</v>
      </c>
      <c r="T6" s="253" t="s">
        <v>116</v>
      </c>
      <c r="U6" s="254" t="s">
        <v>117</v>
      </c>
      <c r="V6" s="49" t="s">
        <v>118</v>
      </c>
      <c r="W6" s="49" t="s">
        <v>119</v>
      </c>
      <c r="X6" s="49" t="s">
        <v>120</v>
      </c>
      <c r="Y6" s="255" t="s">
        <v>128</v>
      </c>
      <c r="AA6" s="1" t="s">
        <v>123</v>
      </c>
      <c r="AB6" s="1"/>
      <c r="AC6" s="36" t="s">
        <v>126</v>
      </c>
      <c r="AI6" s="253" t="s">
        <v>116</v>
      </c>
      <c r="AJ6" s="254" t="s">
        <v>117</v>
      </c>
      <c r="AK6" s="49" t="s">
        <v>118</v>
      </c>
      <c r="AL6" s="49" t="s">
        <v>119</v>
      </c>
      <c r="AM6" s="49" t="s">
        <v>120</v>
      </c>
      <c r="AN6" s="255" t="s">
        <v>128</v>
      </c>
      <c r="AP6" s="1" t="s">
        <v>123</v>
      </c>
      <c r="AQ6" s="1"/>
      <c r="AR6" s="36" t="s">
        <v>126</v>
      </c>
    </row>
    <row r="7" spans="1:44" ht="23.5" customHeight="1" x14ac:dyDescent="0.25">
      <c r="A7" s="54" t="s">
        <v>3</v>
      </c>
      <c r="B7" s="50"/>
      <c r="C7" s="42"/>
      <c r="D7" s="42"/>
      <c r="E7" s="42"/>
      <c r="F7" s="42"/>
      <c r="G7" s="107" t="s">
        <v>3</v>
      </c>
      <c r="H7" s="120">
        <f>B7</f>
        <v>0</v>
      </c>
      <c r="I7" s="74"/>
      <c r="J7" s="108">
        <v>0</v>
      </c>
      <c r="K7" s="108" t="e">
        <f t="shared" ref="K7:K14" si="0">J7/I7</f>
        <v>#DIV/0!</v>
      </c>
      <c r="L7" s="108">
        <v>0</v>
      </c>
      <c r="M7" s="109" t="e">
        <f t="shared" ref="M7:M14" si="1">L7/I7</f>
        <v>#DIV/0!</v>
      </c>
      <c r="N7" s="109"/>
      <c r="O7" s="110">
        <f t="shared" ref="O7:O13" si="2">J7+L7+N7</f>
        <v>0</v>
      </c>
      <c r="P7" s="111" t="e">
        <f>O7/I7</f>
        <v>#DIV/0!</v>
      </c>
      <c r="Q7" s="190"/>
      <c r="R7" s="112" t="e">
        <f>O7/Q7</f>
        <v>#DIV/0!</v>
      </c>
      <c r="T7" s="243"/>
      <c r="U7" s="243"/>
      <c r="V7" s="49"/>
      <c r="W7" s="49"/>
      <c r="X7" s="49"/>
      <c r="Y7" s="272">
        <f t="shared" ref="Y7:Y14" si="3">SUM(V7:X7)/3</f>
        <v>0</v>
      </c>
      <c r="AA7" s="271" t="s">
        <v>124</v>
      </c>
      <c r="AB7" s="2"/>
      <c r="AC7" s="270">
        <v>5</v>
      </c>
      <c r="AI7" s="243"/>
      <c r="AJ7" s="243"/>
      <c r="AK7" s="49"/>
      <c r="AL7" s="49"/>
      <c r="AM7" s="49"/>
      <c r="AN7" s="272">
        <f t="shared" ref="AN7:AN14" si="4">SUM(AK7:AM7)/3</f>
        <v>0</v>
      </c>
      <c r="AP7" s="271" t="s">
        <v>124</v>
      </c>
      <c r="AQ7" s="2"/>
      <c r="AR7" s="270">
        <v>5</v>
      </c>
    </row>
    <row r="8" spans="1:44" ht="23.5" customHeight="1" x14ac:dyDescent="0.25">
      <c r="A8" s="55" t="s">
        <v>4</v>
      </c>
      <c r="B8" s="50"/>
      <c r="C8" s="42"/>
      <c r="D8" s="42"/>
      <c r="E8" s="42"/>
      <c r="F8" s="42"/>
      <c r="G8" s="103" t="s">
        <v>4</v>
      </c>
      <c r="H8" s="120">
        <f t="shared" ref="H8:H13" si="5">B8</f>
        <v>0</v>
      </c>
      <c r="I8" s="74"/>
      <c r="J8" s="108">
        <v>0</v>
      </c>
      <c r="K8" s="108" t="e">
        <f t="shared" si="0"/>
        <v>#DIV/0!</v>
      </c>
      <c r="L8" s="108">
        <v>0</v>
      </c>
      <c r="M8" s="109" t="e">
        <f t="shared" si="1"/>
        <v>#DIV/0!</v>
      </c>
      <c r="N8" s="109"/>
      <c r="O8" s="110">
        <f t="shared" si="2"/>
        <v>0</v>
      </c>
      <c r="P8" s="111" t="e">
        <f t="shared" ref="P8:P13" si="6">O8/I8</f>
        <v>#DIV/0!</v>
      </c>
      <c r="Q8" s="190"/>
      <c r="R8" s="112" t="e">
        <f t="shared" ref="R8:R14" si="7">O8/Q8</f>
        <v>#DIV/0!</v>
      </c>
      <c r="T8" s="243"/>
      <c r="U8" s="243"/>
      <c r="V8" s="49"/>
      <c r="W8" s="49"/>
      <c r="X8" s="49"/>
      <c r="Y8" s="272">
        <f t="shared" si="3"/>
        <v>0</v>
      </c>
      <c r="AA8" s="35" t="s">
        <v>125</v>
      </c>
      <c r="AC8" s="1">
        <v>4</v>
      </c>
      <c r="AI8" s="243"/>
      <c r="AJ8" s="243"/>
      <c r="AK8" s="49"/>
      <c r="AL8" s="49"/>
      <c r="AM8" s="49"/>
      <c r="AN8" s="272">
        <f t="shared" si="4"/>
        <v>0</v>
      </c>
      <c r="AP8" s="35" t="s">
        <v>125</v>
      </c>
      <c r="AR8" s="1">
        <v>4</v>
      </c>
    </row>
    <row r="9" spans="1:44" ht="23.5" customHeight="1" x14ac:dyDescent="0.25">
      <c r="A9" s="55" t="s">
        <v>5</v>
      </c>
      <c r="B9" s="50"/>
      <c r="C9" s="42"/>
      <c r="D9" s="42"/>
      <c r="E9" s="42"/>
      <c r="F9" s="42"/>
      <c r="G9" s="103" t="s">
        <v>5</v>
      </c>
      <c r="H9" s="120">
        <f t="shared" si="5"/>
        <v>0</v>
      </c>
      <c r="I9" s="74"/>
      <c r="J9" s="108">
        <v>0</v>
      </c>
      <c r="K9" s="108" t="e">
        <f t="shared" si="0"/>
        <v>#DIV/0!</v>
      </c>
      <c r="L9" s="108">
        <v>0</v>
      </c>
      <c r="M9" s="109" t="e">
        <f t="shared" si="1"/>
        <v>#DIV/0!</v>
      </c>
      <c r="N9" s="109"/>
      <c r="O9" s="110">
        <f t="shared" si="2"/>
        <v>0</v>
      </c>
      <c r="P9" s="111" t="e">
        <f t="shared" si="6"/>
        <v>#DIV/0!</v>
      </c>
      <c r="Q9" s="190"/>
      <c r="R9" s="112" t="e">
        <f t="shared" si="7"/>
        <v>#DIV/0!</v>
      </c>
      <c r="T9" s="243"/>
      <c r="U9" s="243"/>
      <c r="V9" s="49"/>
      <c r="W9" s="49"/>
      <c r="X9" s="49"/>
      <c r="Y9" s="272">
        <f t="shared" si="3"/>
        <v>0</v>
      </c>
      <c r="AA9" s="35" t="s">
        <v>182</v>
      </c>
      <c r="AC9" s="1">
        <v>3</v>
      </c>
      <c r="AI9" s="243"/>
      <c r="AJ9" s="243"/>
      <c r="AK9" s="49"/>
      <c r="AL9" s="49"/>
      <c r="AM9" s="49"/>
      <c r="AN9" s="272">
        <f t="shared" si="4"/>
        <v>0</v>
      </c>
      <c r="AP9" s="35" t="s">
        <v>129</v>
      </c>
      <c r="AR9" s="1">
        <v>3</v>
      </c>
    </row>
    <row r="10" spans="1:44" ht="23.5" customHeight="1" x14ac:dyDescent="0.25">
      <c r="A10" s="55" t="s">
        <v>6</v>
      </c>
      <c r="B10" s="50">
        <v>1</v>
      </c>
      <c r="C10" s="42"/>
      <c r="D10" s="42"/>
      <c r="E10" s="42"/>
      <c r="F10" s="42"/>
      <c r="G10" s="103" t="s">
        <v>6</v>
      </c>
      <c r="H10" s="120">
        <f t="shared" si="5"/>
        <v>1</v>
      </c>
      <c r="I10" s="74"/>
      <c r="J10" s="108">
        <v>0</v>
      </c>
      <c r="K10" s="108" t="e">
        <f t="shared" si="0"/>
        <v>#DIV/0!</v>
      </c>
      <c r="L10" s="108">
        <v>0</v>
      </c>
      <c r="M10" s="109" t="e">
        <f t="shared" si="1"/>
        <v>#DIV/0!</v>
      </c>
      <c r="N10" s="109"/>
      <c r="O10" s="110">
        <f t="shared" si="2"/>
        <v>0</v>
      </c>
      <c r="P10" s="111" t="e">
        <f t="shared" si="6"/>
        <v>#DIV/0!</v>
      </c>
      <c r="Q10" s="190"/>
      <c r="R10" s="112" t="e">
        <f t="shared" si="7"/>
        <v>#DIV/0!</v>
      </c>
      <c r="T10" s="243"/>
      <c r="U10" s="243"/>
      <c r="V10" s="49"/>
      <c r="W10" s="49"/>
      <c r="X10" s="49"/>
      <c r="Y10" s="272">
        <f t="shared" si="3"/>
        <v>0</v>
      </c>
      <c r="AA10" s="35" t="s">
        <v>121</v>
      </c>
      <c r="AC10" s="1">
        <v>2</v>
      </c>
      <c r="AI10" s="243"/>
      <c r="AJ10" s="243"/>
      <c r="AK10" s="49"/>
      <c r="AL10" s="49"/>
      <c r="AM10" s="49"/>
      <c r="AN10" s="272">
        <f t="shared" si="4"/>
        <v>0</v>
      </c>
      <c r="AP10" s="35" t="s">
        <v>121</v>
      </c>
      <c r="AR10" s="1">
        <v>2</v>
      </c>
    </row>
    <row r="11" spans="1:44" ht="23.5" customHeight="1" x14ac:dyDescent="0.25">
      <c r="A11" s="55" t="s">
        <v>7</v>
      </c>
      <c r="B11" s="50">
        <v>2</v>
      </c>
      <c r="C11" s="42"/>
      <c r="D11" s="42"/>
      <c r="E11" s="42"/>
      <c r="F11" s="42"/>
      <c r="G11" s="103" t="s">
        <v>7</v>
      </c>
      <c r="H11" s="120">
        <f t="shared" si="5"/>
        <v>2</v>
      </c>
      <c r="I11" s="74"/>
      <c r="J11" s="108">
        <v>0</v>
      </c>
      <c r="K11" s="108" t="e">
        <f t="shared" si="0"/>
        <v>#DIV/0!</v>
      </c>
      <c r="L11" s="108">
        <v>0</v>
      </c>
      <c r="M11" s="109" t="e">
        <f t="shared" si="1"/>
        <v>#DIV/0!</v>
      </c>
      <c r="N11" s="109"/>
      <c r="O11" s="110">
        <f t="shared" si="2"/>
        <v>0</v>
      </c>
      <c r="P11" s="111" t="e">
        <f t="shared" si="6"/>
        <v>#DIV/0!</v>
      </c>
      <c r="Q11" s="190"/>
      <c r="R11" s="112" t="e">
        <f t="shared" si="7"/>
        <v>#DIV/0!</v>
      </c>
      <c r="T11" s="243"/>
      <c r="U11" s="243"/>
      <c r="V11" s="49"/>
      <c r="W11" s="49"/>
      <c r="X11" s="49"/>
      <c r="Y11" s="272">
        <f t="shared" si="3"/>
        <v>0</v>
      </c>
      <c r="AA11" s="35" t="s">
        <v>122</v>
      </c>
      <c r="AC11" s="1">
        <v>1</v>
      </c>
      <c r="AI11" s="243"/>
      <c r="AJ11" s="243"/>
      <c r="AK11" s="49"/>
      <c r="AL11" s="49"/>
      <c r="AM11" s="49"/>
      <c r="AN11" s="272">
        <f t="shared" si="4"/>
        <v>0</v>
      </c>
      <c r="AP11" s="35" t="s">
        <v>122</v>
      </c>
      <c r="AR11" s="1">
        <v>1</v>
      </c>
    </row>
    <row r="12" spans="1:44" ht="23.5" customHeight="1" x14ac:dyDescent="0.25">
      <c r="A12" s="55" t="s">
        <v>8</v>
      </c>
      <c r="B12" s="50">
        <v>3</v>
      </c>
      <c r="C12" s="42"/>
      <c r="D12" s="42"/>
      <c r="E12" s="42"/>
      <c r="F12" s="42"/>
      <c r="G12" s="103" t="s">
        <v>8</v>
      </c>
      <c r="H12" s="120">
        <f t="shared" si="5"/>
        <v>3</v>
      </c>
      <c r="I12" s="74"/>
      <c r="J12" s="108">
        <v>0</v>
      </c>
      <c r="K12" s="108" t="e">
        <f t="shared" si="0"/>
        <v>#DIV/0!</v>
      </c>
      <c r="L12" s="108">
        <v>0</v>
      </c>
      <c r="M12" s="109" t="e">
        <f t="shared" si="1"/>
        <v>#DIV/0!</v>
      </c>
      <c r="N12" s="109"/>
      <c r="O12" s="110">
        <f t="shared" si="2"/>
        <v>0</v>
      </c>
      <c r="P12" s="111" t="e">
        <f t="shared" si="6"/>
        <v>#DIV/0!</v>
      </c>
      <c r="Q12" s="190"/>
      <c r="R12" s="112" t="e">
        <f t="shared" si="7"/>
        <v>#DIV/0!</v>
      </c>
      <c r="T12" s="244"/>
      <c r="U12" s="243"/>
      <c r="V12" s="49"/>
      <c r="W12" s="49"/>
      <c r="X12" s="49"/>
      <c r="Y12" s="272">
        <f t="shared" si="3"/>
        <v>0</v>
      </c>
      <c r="AA12" s="35" t="s">
        <v>127</v>
      </c>
      <c r="AC12" s="1">
        <v>0</v>
      </c>
      <c r="AI12" s="244"/>
      <c r="AJ12" s="243"/>
      <c r="AK12" s="49"/>
      <c r="AL12" s="49"/>
      <c r="AM12" s="49"/>
      <c r="AN12" s="272">
        <f t="shared" si="4"/>
        <v>0</v>
      </c>
      <c r="AP12" s="35" t="s">
        <v>127</v>
      </c>
      <c r="AR12" s="1">
        <v>0</v>
      </c>
    </row>
    <row r="13" spans="1:44" ht="23.5" customHeight="1" thickBot="1" x14ac:dyDescent="0.3">
      <c r="A13" s="56" t="s">
        <v>9</v>
      </c>
      <c r="B13" s="50">
        <v>4</v>
      </c>
      <c r="C13" s="42"/>
      <c r="D13" s="42"/>
      <c r="E13" s="42"/>
      <c r="F13" s="42"/>
      <c r="G13" s="113" t="s">
        <v>9</v>
      </c>
      <c r="H13" s="120">
        <f t="shared" si="5"/>
        <v>4</v>
      </c>
      <c r="I13" s="74"/>
      <c r="J13" s="108">
        <v>0</v>
      </c>
      <c r="K13" s="108" t="e">
        <f t="shared" si="0"/>
        <v>#DIV/0!</v>
      </c>
      <c r="L13" s="108">
        <v>0</v>
      </c>
      <c r="M13" s="109" t="e">
        <f t="shared" si="1"/>
        <v>#DIV/0!</v>
      </c>
      <c r="N13" s="109">
        <v>0</v>
      </c>
      <c r="O13" s="110">
        <f t="shared" si="2"/>
        <v>0</v>
      </c>
      <c r="P13" s="111" t="e">
        <f t="shared" si="6"/>
        <v>#DIV/0!</v>
      </c>
      <c r="Q13" s="190"/>
      <c r="R13" s="112" t="e">
        <f t="shared" si="7"/>
        <v>#DIV/0!</v>
      </c>
      <c r="T13" s="245"/>
      <c r="U13" s="246"/>
      <c r="V13" s="274"/>
      <c r="W13" s="256"/>
      <c r="X13" s="256"/>
      <c r="Y13" s="273">
        <f t="shared" si="3"/>
        <v>0</v>
      </c>
      <c r="AA13" s="1" t="s">
        <v>130</v>
      </c>
      <c r="AI13" s="245"/>
      <c r="AJ13" s="246"/>
      <c r="AK13" s="274"/>
      <c r="AL13" s="256"/>
      <c r="AM13" s="256"/>
      <c r="AN13" s="273">
        <f t="shared" si="4"/>
        <v>0</v>
      </c>
      <c r="AP13" s="1" t="s">
        <v>130</v>
      </c>
    </row>
    <row r="14" spans="1:44" ht="23.5" customHeight="1" thickTop="1" thickBot="1" x14ac:dyDescent="0.3">
      <c r="A14" s="724" t="s">
        <v>13</v>
      </c>
      <c r="B14" s="725"/>
      <c r="C14" s="35" t="s">
        <v>36</v>
      </c>
      <c r="D14" s="44" t="e">
        <f>#REF!/F14</f>
        <v>#REF!</v>
      </c>
      <c r="E14" s="45" t="s">
        <v>37</v>
      </c>
      <c r="F14" s="35" t="e">
        <f>#REF!</f>
        <v>#REF!</v>
      </c>
      <c r="G14" s="726" t="s">
        <v>13</v>
      </c>
      <c r="H14" s="727"/>
      <c r="I14" s="108">
        <f>SUM(I7:I13)</f>
        <v>0</v>
      </c>
      <c r="J14" s="108">
        <f>SUM(J7:J13)</f>
        <v>0</v>
      </c>
      <c r="K14" s="108" t="e">
        <f t="shared" si="0"/>
        <v>#DIV/0!</v>
      </c>
      <c r="L14" s="108">
        <f>SUM(L7:L13)</f>
        <v>0</v>
      </c>
      <c r="M14" s="109" t="e">
        <f t="shared" si="1"/>
        <v>#DIV/0!</v>
      </c>
      <c r="N14" s="109" t="e">
        <f>M14/J14</f>
        <v>#DIV/0!</v>
      </c>
      <c r="O14" s="110">
        <f>J14+L14</f>
        <v>0</v>
      </c>
      <c r="P14" s="111" t="e">
        <f>O14/I14</f>
        <v>#DIV/0!</v>
      </c>
      <c r="Q14" s="191"/>
      <c r="R14" s="112" t="e">
        <f t="shared" si="7"/>
        <v>#DIV/0!</v>
      </c>
      <c r="S14" s="260"/>
      <c r="T14" s="265" t="e">
        <f>SUM(T7:T13)/S14</f>
        <v>#DIV/0!</v>
      </c>
      <c r="U14" s="266" t="e">
        <f>SUM(U7:U13)/S14</f>
        <v>#DIV/0!</v>
      </c>
      <c r="V14" s="267" t="e">
        <f>SUM(V7:V13)/S14</f>
        <v>#DIV/0!</v>
      </c>
      <c r="W14" s="267" t="e">
        <f>SUM(W7:W13)/S14</f>
        <v>#DIV/0!</v>
      </c>
      <c r="X14" s="267" t="e">
        <f>SUM(X7:X13)/S14</f>
        <v>#DIV/0!</v>
      </c>
      <c r="Y14" s="269" t="e">
        <f t="shared" si="3"/>
        <v>#DIV/0!</v>
      </c>
      <c r="Z14" s="260"/>
      <c r="AA14" s="260"/>
      <c r="AB14" s="260"/>
      <c r="AC14" s="260"/>
      <c r="AH14" s="260"/>
      <c r="AI14" s="265" t="e">
        <f>SUM(AI7:AI13)/AH14</f>
        <v>#DIV/0!</v>
      </c>
      <c r="AJ14" s="266" t="e">
        <f>SUM(AJ7:AJ13)/AH14</f>
        <v>#DIV/0!</v>
      </c>
      <c r="AK14" s="267" t="e">
        <f>SUM(AK7:AK13)/AH14</f>
        <v>#DIV/0!</v>
      </c>
      <c r="AL14" s="267" t="e">
        <f>SUM(AL7:AL13)/AH14</f>
        <v>#DIV/0!</v>
      </c>
      <c r="AM14" s="267" t="e">
        <f>SUM(AM7:AM13)/AH14</f>
        <v>#DIV/0!</v>
      </c>
      <c r="AN14" s="269" t="e">
        <f t="shared" si="4"/>
        <v>#DIV/0!</v>
      </c>
      <c r="AO14" s="260"/>
      <c r="AP14" s="260"/>
      <c r="AQ14" s="260"/>
      <c r="AR14" s="260"/>
    </row>
    <row r="15" spans="1:44" ht="23.5" customHeight="1" thickTop="1" x14ac:dyDescent="0.25">
      <c r="A15" s="710" t="s">
        <v>14</v>
      </c>
      <c r="B15" s="711"/>
      <c r="G15" s="713" t="s">
        <v>14</v>
      </c>
      <c r="H15" s="714"/>
      <c r="I15" s="714"/>
      <c r="J15" s="714"/>
      <c r="K15" s="714"/>
      <c r="L15" s="714"/>
      <c r="M15" s="714"/>
      <c r="N15" s="714"/>
      <c r="O15" s="714"/>
      <c r="P15" s="714"/>
      <c r="Q15" s="714"/>
      <c r="R15" s="715"/>
      <c r="T15" s="716" t="str">
        <f>G15</f>
        <v>2nd week</v>
      </c>
      <c r="U15" s="716"/>
      <c r="V15" s="716"/>
      <c r="W15" s="716"/>
      <c r="X15" s="716"/>
      <c r="Y15" s="716"/>
      <c r="AI15" s="716">
        <f>V15</f>
        <v>0</v>
      </c>
      <c r="AJ15" s="716"/>
      <c r="AK15" s="716"/>
      <c r="AL15" s="716"/>
      <c r="AM15" s="716"/>
      <c r="AN15" s="716"/>
    </row>
    <row r="16" spans="1:44" ht="23.5" customHeight="1" x14ac:dyDescent="0.25">
      <c r="A16" s="53" t="s">
        <v>10</v>
      </c>
      <c r="B16" s="37" t="s">
        <v>11</v>
      </c>
      <c r="C16" s="2" t="s">
        <v>32</v>
      </c>
      <c r="D16" s="2" t="s">
        <v>33</v>
      </c>
      <c r="E16" s="2" t="s">
        <v>34</v>
      </c>
      <c r="F16" s="2" t="s">
        <v>35</v>
      </c>
      <c r="G16" s="103" t="s">
        <v>10</v>
      </c>
      <c r="H16" s="104" t="s">
        <v>11</v>
      </c>
      <c r="I16" s="104" t="s">
        <v>1</v>
      </c>
      <c r="J16" s="104" t="s">
        <v>30</v>
      </c>
      <c r="K16" s="104" t="s">
        <v>31</v>
      </c>
      <c r="L16" s="104" t="s">
        <v>28</v>
      </c>
      <c r="M16" s="104" t="s">
        <v>29</v>
      </c>
      <c r="N16" s="104" t="s">
        <v>72</v>
      </c>
      <c r="O16" s="104" t="s">
        <v>71</v>
      </c>
      <c r="P16" s="105" t="s">
        <v>48</v>
      </c>
      <c r="Q16" s="189" t="s">
        <v>74</v>
      </c>
      <c r="R16" s="106" t="s">
        <v>73</v>
      </c>
      <c r="T16" s="253" t="s">
        <v>116</v>
      </c>
      <c r="U16" s="254" t="s">
        <v>117</v>
      </c>
      <c r="V16" s="49" t="s">
        <v>118</v>
      </c>
      <c r="W16" s="49" t="s">
        <v>119</v>
      </c>
      <c r="X16" s="49" t="s">
        <v>120</v>
      </c>
      <c r="Y16" s="255" t="s">
        <v>128</v>
      </c>
      <c r="AA16" s="1" t="s">
        <v>123</v>
      </c>
      <c r="AC16" s="36" t="s">
        <v>126</v>
      </c>
      <c r="AI16" s="253" t="s">
        <v>116</v>
      </c>
      <c r="AJ16" s="254" t="s">
        <v>117</v>
      </c>
      <c r="AK16" s="49" t="s">
        <v>118</v>
      </c>
      <c r="AL16" s="49" t="s">
        <v>119</v>
      </c>
      <c r="AM16" s="49" t="s">
        <v>120</v>
      </c>
      <c r="AN16" s="255" t="s">
        <v>128</v>
      </c>
      <c r="AP16" s="1" t="s">
        <v>123</v>
      </c>
      <c r="AR16" s="36" t="s">
        <v>126</v>
      </c>
    </row>
    <row r="17" spans="1:44" ht="23.5" customHeight="1" x14ac:dyDescent="0.25">
      <c r="A17" s="54" t="s">
        <v>3</v>
      </c>
      <c r="B17" s="50">
        <v>5</v>
      </c>
      <c r="C17" s="42"/>
      <c r="D17" s="42"/>
      <c r="E17" s="42"/>
      <c r="F17" s="42"/>
      <c r="G17" s="107" t="s">
        <v>3</v>
      </c>
      <c r="H17" s="120">
        <f>B17</f>
        <v>5</v>
      </c>
      <c r="I17" s="74"/>
      <c r="J17" s="108">
        <v>0</v>
      </c>
      <c r="K17" s="108" t="e">
        <f t="shared" ref="K17:K24" si="8">J17/I17</f>
        <v>#DIV/0!</v>
      </c>
      <c r="L17" s="108">
        <v>0</v>
      </c>
      <c r="M17" s="109" t="e">
        <f t="shared" ref="M17:M24" si="9">L17/I17</f>
        <v>#DIV/0!</v>
      </c>
      <c r="N17" s="109"/>
      <c r="O17" s="110">
        <f t="shared" ref="O17:O23" si="10">J17+L17+N17</f>
        <v>0</v>
      </c>
      <c r="P17" s="111" t="e">
        <f t="shared" ref="P17:P24" si="11">O17/I17</f>
        <v>#DIV/0!</v>
      </c>
      <c r="Q17" s="190"/>
      <c r="R17" s="112" t="e">
        <f t="shared" ref="R17:R24" si="12">O17/Q17</f>
        <v>#DIV/0!</v>
      </c>
      <c r="T17" s="248"/>
      <c r="U17" s="248"/>
      <c r="V17" s="256"/>
      <c r="W17" s="256"/>
      <c r="X17" s="256"/>
      <c r="Y17" s="272">
        <f>SUM(V17:X17)/3</f>
        <v>0</v>
      </c>
      <c r="AA17" s="271" t="s">
        <v>124</v>
      </c>
      <c r="AB17" s="2"/>
      <c r="AC17" s="270">
        <v>5</v>
      </c>
      <c r="AI17" s="248"/>
      <c r="AJ17" s="248"/>
      <c r="AK17" s="256"/>
      <c r="AL17" s="256"/>
      <c r="AM17" s="256"/>
      <c r="AN17" s="272">
        <f>SUM(AK17:AM17)/3</f>
        <v>0</v>
      </c>
      <c r="AP17" s="271" t="s">
        <v>124</v>
      </c>
      <c r="AQ17" s="2"/>
      <c r="AR17" s="270">
        <v>5</v>
      </c>
    </row>
    <row r="18" spans="1:44" ht="23.5" customHeight="1" x14ac:dyDescent="0.25">
      <c r="A18" s="55" t="s">
        <v>4</v>
      </c>
      <c r="B18" s="50">
        <v>6</v>
      </c>
      <c r="C18" s="42"/>
      <c r="D18" s="42"/>
      <c r="E18" s="42"/>
      <c r="F18" s="42"/>
      <c r="G18" s="103" t="s">
        <v>4</v>
      </c>
      <c r="H18" s="120">
        <f t="shared" ref="H18:H23" si="13">B18</f>
        <v>6</v>
      </c>
      <c r="I18" s="74"/>
      <c r="J18" s="108">
        <v>0</v>
      </c>
      <c r="K18" s="108" t="e">
        <f t="shared" si="8"/>
        <v>#DIV/0!</v>
      </c>
      <c r="L18" s="108">
        <v>0</v>
      </c>
      <c r="M18" s="109" t="e">
        <f t="shared" si="9"/>
        <v>#DIV/0!</v>
      </c>
      <c r="N18" s="109"/>
      <c r="O18" s="110">
        <f t="shared" si="10"/>
        <v>0</v>
      </c>
      <c r="P18" s="111" t="e">
        <f t="shared" si="11"/>
        <v>#DIV/0!</v>
      </c>
      <c r="Q18" s="190"/>
      <c r="R18" s="112" t="e">
        <f t="shared" si="12"/>
        <v>#DIV/0!</v>
      </c>
      <c r="T18" s="248"/>
      <c r="U18" s="248"/>
      <c r="V18" s="256"/>
      <c r="W18" s="256"/>
      <c r="X18" s="256"/>
      <c r="Y18" s="272">
        <f t="shared" ref="Y18:Y23" si="14">SUM(V18:X18)/3</f>
        <v>0</v>
      </c>
      <c r="AA18" s="35" t="s">
        <v>125</v>
      </c>
      <c r="AC18" s="1">
        <v>4</v>
      </c>
      <c r="AI18" s="248"/>
      <c r="AJ18" s="248"/>
      <c r="AK18" s="256"/>
      <c r="AL18" s="256"/>
      <c r="AM18" s="256"/>
      <c r="AN18" s="272">
        <f t="shared" ref="AN18:AN23" si="15">SUM(AK18:AM18)/3</f>
        <v>0</v>
      </c>
      <c r="AP18" s="35" t="s">
        <v>125</v>
      </c>
      <c r="AR18" s="1">
        <v>4</v>
      </c>
    </row>
    <row r="19" spans="1:44" ht="23.5" customHeight="1" x14ac:dyDescent="0.25">
      <c r="A19" s="55" t="s">
        <v>5</v>
      </c>
      <c r="B19" s="50">
        <v>7</v>
      </c>
      <c r="C19" s="42"/>
      <c r="D19" s="42"/>
      <c r="E19" s="42"/>
      <c r="F19" s="42"/>
      <c r="G19" s="103" t="s">
        <v>5</v>
      </c>
      <c r="H19" s="120">
        <f t="shared" si="13"/>
        <v>7</v>
      </c>
      <c r="I19" s="74"/>
      <c r="J19" s="108">
        <v>0</v>
      </c>
      <c r="K19" s="108" t="e">
        <f t="shared" si="8"/>
        <v>#DIV/0!</v>
      </c>
      <c r="L19" s="108">
        <v>0</v>
      </c>
      <c r="M19" s="109" t="e">
        <f t="shared" si="9"/>
        <v>#DIV/0!</v>
      </c>
      <c r="N19" s="109"/>
      <c r="O19" s="110">
        <f t="shared" si="10"/>
        <v>0</v>
      </c>
      <c r="P19" s="111" t="e">
        <f t="shared" si="11"/>
        <v>#DIV/0!</v>
      </c>
      <c r="Q19" s="190"/>
      <c r="R19" s="112" t="e">
        <f t="shared" si="12"/>
        <v>#DIV/0!</v>
      </c>
      <c r="T19" s="248"/>
      <c r="U19" s="248"/>
      <c r="V19" s="256"/>
      <c r="W19" s="256"/>
      <c r="X19" s="256"/>
      <c r="Y19" s="272">
        <f t="shared" si="14"/>
        <v>0</v>
      </c>
      <c r="AA19" s="35" t="s">
        <v>182</v>
      </c>
      <c r="AC19" s="1">
        <v>3</v>
      </c>
      <c r="AI19" s="248"/>
      <c r="AJ19" s="248"/>
      <c r="AK19" s="256"/>
      <c r="AL19" s="256"/>
      <c r="AM19" s="256"/>
      <c r="AN19" s="272">
        <f t="shared" si="15"/>
        <v>0</v>
      </c>
      <c r="AP19" s="35" t="s">
        <v>129</v>
      </c>
      <c r="AR19" s="1">
        <v>3</v>
      </c>
    </row>
    <row r="20" spans="1:44" ht="23.5" customHeight="1" x14ac:dyDescent="0.25">
      <c r="A20" s="55" t="s">
        <v>6</v>
      </c>
      <c r="B20" s="50">
        <v>8</v>
      </c>
      <c r="C20" s="42"/>
      <c r="D20" s="42"/>
      <c r="E20" s="42"/>
      <c r="F20" s="42"/>
      <c r="G20" s="103" t="s">
        <v>6</v>
      </c>
      <c r="H20" s="120">
        <f t="shared" si="13"/>
        <v>8</v>
      </c>
      <c r="I20" s="74"/>
      <c r="J20" s="108">
        <v>0</v>
      </c>
      <c r="K20" s="108" t="e">
        <f t="shared" si="8"/>
        <v>#DIV/0!</v>
      </c>
      <c r="L20" s="108">
        <v>0</v>
      </c>
      <c r="M20" s="109" t="e">
        <f t="shared" si="9"/>
        <v>#DIV/0!</v>
      </c>
      <c r="N20" s="109"/>
      <c r="O20" s="110">
        <f t="shared" si="10"/>
        <v>0</v>
      </c>
      <c r="P20" s="111" t="e">
        <f t="shared" si="11"/>
        <v>#DIV/0!</v>
      </c>
      <c r="Q20" s="190"/>
      <c r="R20" s="112" t="e">
        <f t="shared" si="12"/>
        <v>#DIV/0!</v>
      </c>
      <c r="T20" s="248"/>
      <c r="U20" s="248"/>
      <c r="V20" s="256"/>
      <c r="W20" s="256"/>
      <c r="X20" s="256"/>
      <c r="Y20" s="272">
        <f t="shared" si="14"/>
        <v>0</v>
      </c>
      <c r="AA20" s="35" t="s">
        <v>121</v>
      </c>
      <c r="AC20" s="1">
        <v>2</v>
      </c>
      <c r="AI20" s="248"/>
      <c r="AJ20" s="248"/>
      <c r="AK20" s="256"/>
      <c r="AL20" s="256"/>
      <c r="AM20" s="256"/>
      <c r="AN20" s="272">
        <f t="shared" si="15"/>
        <v>0</v>
      </c>
      <c r="AP20" s="35" t="s">
        <v>121</v>
      </c>
      <c r="AR20" s="1">
        <v>2</v>
      </c>
    </row>
    <row r="21" spans="1:44" ht="23.5" customHeight="1" x14ac:dyDescent="0.25">
      <c r="A21" s="55" t="s">
        <v>7</v>
      </c>
      <c r="B21" s="50">
        <v>9</v>
      </c>
      <c r="C21" s="42"/>
      <c r="D21" s="42"/>
      <c r="E21" s="42"/>
      <c r="F21" s="42"/>
      <c r="G21" s="103" t="s">
        <v>7</v>
      </c>
      <c r="H21" s="120">
        <f t="shared" si="13"/>
        <v>9</v>
      </c>
      <c r="I21" s="74"/>
      <c r="J21" s="108">
        <v>0</v>
      </c>
      <c r="K21" s="108" t="e">
        <f t="shared" si="8"/>
        <v>#DIV/0!</v>
      </c>
      <c r="L21" s="108">
        <v>0</v>
      </c>
      <c r="M21" s="109" t="e">
        <f t="shared" si="9"/>
        <v>#DIV/0!</v>
      </c>
      <c r="N21" s="109"/>
      <c r="O21" s="110">
        <f t="shared" si="10"/>
        <v>0</v>
      </c>
      <c r="P21" s="111" t="e">
        <f t="shared" si="11"/>
        <v>#DIV/0!</v>
      </c>
      <c r="Q21" s="190"/>
      <c r="R21" s="112" t="e">
        <f t="shared" si="12"/>
        <v>#DIV/0!</v>
      </c>
      <c r="T21" s="248"/>
      <c r="U21" s="248"/>
      <c r="V21" s="256"/>
      <c r="W21" s="256"/>
      <c r="X21" s="256"/>
      <c r="Y21" s="272">
        <f t="shared" si="14"/>
        <v>0</v>
      </c>
      <c r="AA21" s="35" t="s">
        <v>122</v>
      </c>
      <c r="AC21" s="1">
        <v>1</v>
      </c>
      <c r="AI21" s="248"/>
      <c r="AJ21" s="248"/>
      <c r="AK21" s="256"/>
      <c r="AL21" s="256"/>
      <c r="AM21" s="256"/>
      <c r="AN21" s="272">
        <f t="shared" si="15"/>
        <v>0</v>
      </c>
      <c r="AP21" s="35" t="s">
        <v>122</v>
      </c>
      <c r="AR21" s="1">
        <v>1</v>
      </c>
    </row>
    <row r="22" spans="1:44" ht="23.5" customHeight="1" x14ac:dyDescent="0.25">
      <c r="A22" s="55" t="s">
        <v>8</v>
      </c>
      <c r="B22" s="50">
        <v>10</v>
      </c>
      <c r="C22" s="42"/>
      <c r="D22" s="42"/>
      <c r="E22" s="42"/>
      <c r="F22" s="42"/>
      <c r="G22" s="103" t="s">
        <v>8</v>
      </c>
      <c r="H22" s="120">
        <f t="shared" si="13"/>
        <v>10</v>
      </c>
      <c r="I22" s="74"/>
      <c r="J22" s="108">
        <v>0</v>
      </c>
      <c r="K22" s="108" t="e">
        <f t="shared" si="8"/>
        <v>#DIV/0!</v>
      </c>
      <c r="L22" s="108">
        <v>0</v>
      </c>
      <c r="M22" s="109" t="e">
        <f t="shared" si="9"/>
        <v>#DIV/0!</v>
      </c>
      <c r="N22" s="109"/>
      <c r="O22" s="110">
        <f t="shared" si="10"/>
        <v>0</v>
      </c>
      <c r="P22" s="111" t="e">
        <f t="shared" si="11"/>
        <v>#DIV/0!</v>
      </c>
      <c r="Q22" s="190"/>
      <c r="R22" s="112" t="e">
        <f t="shared" si="12"/>
        <v>#DIV/0!</v>
      </c>
      <c r="T22" s="248"/>
      <c r="U22" s="248"/>
      <c r="V22" s="256"/>
      <c r="W22" s="256"/>
      <c r="X22" s="256"/>
      <c r="Y22" s="272">
        <f t="shared" si="14"/>
        <v>0</v>
      </c>
      <c r="AA22" s="35" t="s">
        <v>127</v>
      </c>
      <c r="AC22" s="1">
        <v>0</v>
      </c>
      <c r="AI22" s="248"/>
      <c r="AJ22" s="248"/>
      <c r="AK22" s="256"/>
      <c r="AL22" s="256"/>
      <c r="AM22" s="256"/>
      <c r="AN22" s="272">
        <f t="shared" si="15"/>
        <v>0</v>
      </c>
      <c r="AP22" s="35" t="s">
        <v>127</v>
      </c>
      <c r="AR22" s="1">
        <v>0</v>
      </c>
    </row>
    <row r="23" spans="1:44" ht="23.5" customHeight="1" thickBot="1" x14ac:dyDescent="0.3">
      <c r="A23" s="56" t="s">
        <v>9</v>
      </c>
      <c r="B23" s="50">
        <v>11</v>
      </c>
      <c r="C23" s="42"/>
      <c r="D23" s="42"/>
      <c r="E23" s="42"/>
      <c r="F23" s="42"/>
      <c r="G23" s="113" t="s">
        <v>9</v>
      </c>
      <c r="H23" s="120">
        <f t="shared" si="13"/>
        <v>11</v>
      </c>
      <c r="I23" s="74"/>
      <c r="J23" s="108">
        <v>0</v>
      </c>
      <c r="K23" s="108" t="e">
        <f t="shared" si="8"/>
        <v>#DIV/0!</v>
      </c>
      <c r="L23" s="108">
        <v>0</v>
      </c>
      <c r="M23" s="109" t="e">
        <f t="shared" si="9"/>
        <v>#DIV/0!</v>
      </c>
      <c r="N23" s="109">
        <v>0</v>
      </c>
      <c r="O23" s="110">
        <f t="shared" si="10"/>
        <v>0</v>
      </c>
      <c r="P23" s="111" t="e">
        <f t="shared" si="11"/>
        <v>#DIV/0!</v>
      </c>
      <c r="Q23" s="190"/>
      <c r="R23" s="112" t="e">
        <f t="shared" si="12"/>
        <v>#DIV/0!</v>
      </c>
      <c r="T23" s="249"/>
      <c r="U23" s="249"/>
      <c r="V23" s="257"/>
      <c r="W23" s="256"/>
      <c r="X23" s="256"/>
      <c r="Y23" s="273">
        <f t="shared" si="14"/>
        <v>0</v>
      </c>
      <c r="AA23" s="1" t="s">
        <v>130</v>
      </c>
      <c r="AI23" s="249"/>
      <c r="AJ23" s="249"/>
      <c r="AK23" s="257"/>
      <c r="AL23" s="256"/>
      <c r="AM23" s="256"/>
      <c r="AN23" s="273">
        <f t="shared" si="15"/>
        <v>0</v>
      </c>
      <c r="AP23" s="1" t="s">
        <v>130</v>
      </c>
    </row>
    <row r="24" spans="1:44" ht="23.5" customHeight="1" thickTop="1" thickBot="1" x14ac:dyDescent="0.3">
      <c r="A24" s="724" t="s">
        <v>13</v>
      </c>
      <c r="B24" s="725"/>
      <c r="C24" s="35" t="s">
        <v>36</v>
      </c>
      <c r="D24" s="44" t="e">
        <f>#REF!/F24</f>
        <v>#REF!</v>
      </c>
      <c r="E24" s="45" t="s">
        <v>37</v>
      </c>
      <c r="F24" s="35" t="e">
        <f>#REF!</f>
        <v>#REF!</v>
      </c>
      <c r="G24" s="726" t="s">
        <v>13</v>
      </c>
      <c r="H24" s="727"/>
      <c r="I24" s="108">
        <f>SUM(I17:I23)</f>
        <v>0</v>
      </c>
      <c r="J24" s="108">
        <f>SUM(J17:J23)</f>
        <v>0</v>
      </c>
      <c r="K24" s="108" t="e">
        <f t="shared" si="8"/>
        <v>#DIV/0!</v>
      </c>
      <c r="L24" s="108">
        <f>SUM(L17:L23)</f>
        <v>0</v>
      </c>
      <c r="M24" s="109" t="e">
        <f t="shared" si="9"/>
        <v>#DIV/0!</v>
      </c>
      <c r="N24" s="109" t="e">
        <f>M24/J24</f>
        <v>#DIV/0!</v>
      </c>
      <c r="O24" s="110">
        <f>J24+L24</f>
        <v>0</v>
      </c>
      <c r="P24" s="111" t="e">
        <f t="shared" si="11"/>
        <v>#DIV/0!</v>
      </c>
      <c r="Q24" s="191"/>
      <c r="R24" s="112" t="e">
        <f t="shared" si="12"/>
        <v>#DIV/0!</v>
      </c>
      <c r="S24" s="260"/>
      <c r="T24" s="265" t="e">
        <f>SUM(T17:T23)/S24</f>
        <v>#DIV/0!</v>
      </c>
      <c r="U24" s="267" t="e">
        <f>SUM(U17:U23)/S24</f>
        <v>#DIV/0!</v>
      </c>
      <c r="V24" s="267" t="e">
        <f>SUM(V17:V23)/S24</f>
        <v>#DIV/0!</v>
      </c>
      <c r="W24" s="267" t="e">
        <f>SUM(W17:W23)/S24</f>
        <v>#DIV/0!</v>
      </c>
      <c r="X24" s="267" t="e">
        <f>SUM(X17:X23)/S24</f>
        <v>#DIV/0!</v>
      </c>
      <c r="Y24" s="269" t="e">
        <f>SUM(V24:X24)/3</f>
        <v>#DIV/0!</v>
      </c>
      <c r="Z24" s="260"/>
      <c r="AA24" s="260"/>
      <c r="AB24" s="260"/>
      <c r="AC24" s="260"/>
      <c r="AH24" s="260"/>
      <c r="AI24" s="265" t="e">
        <f>SUM(AI17:AI23)/AH24</f>
        <v>#DIV/0!</v>
      </c>
      <c r="AJ24" s="267" t="e">
        <f>SUM(AJ17:AJ23)/AH24</f>
        <v>#DIV/0!</v>
      </c>
      <c r="AK24" s="267" t="e">
        <f>SUM(AK17:AK23)/AH24</f>
        <v>#DIV/0!</v>
      </c>
      <c r="AL24" s="267" t="e">
        <f>SUM(AL17:AL23)/AH24</f>
        <v>#DIV/0!</v>
      </c>
      <c r="AM24" s="267" t="e">
        <f>SUM(AM17:AM23)/AH24</f>
        <v>#DIV/0!</v>
      </c>
      <c r="AN24" s="269" t="e">
        <f>SUM(AK24:AM24)/3</f>
        <v>#DIV/0!</v>
      </c>
      <c r="AO24" s="260"/>
      <c r="AP24" s="260"/>
      <c r="AQ24" s="260"/>
      <c r="AR24" s="260"/>
    </row>
    <row r="25" spans="1:44" ht="23.5" customHeight="1" thickTop="1" x14ac:dyDescent="0.25">
      <c r="A25" s="710" t="s">
        <v>15</v>
      </c>
      <c r="B25" s="711"/>
      <c r="G25" s="713" t="s">
        <v>15</v>
      </c>
      <c r="H25" s="714"/>
      <c r="I25" s="714"/>
      <c r="J25" s="714"/>
      <c r="K25" s="714"/>
      <c r="L25" s="714"/>
      <c r="M25" s="714"/>
      <c r="N25" s="714"/>
      <c r="O25" s="714"/>
      <c r="P25" s="714"/>
      <c r="Q25" s="714"/>
      <c r="R25" s="715"/>
      <c r="T25" s="716" t="str">
        <f>G25</f>
        <v>3rd week</v>
      </c>
      <c r="U25" s="716"/>
      <c r="V25" s="716"/>
      <c r="W25" s="716"/>
      <c r="X25" s="716"/>
      <c r="Y25" s="716"/>
      <c r="AI25" s="716">
        <f>V25</f>
        <v>0</v>
      </c>
      <c r="AJ25" s="716"/>
      <c r="AK25" s="716"/>
      <c r="AL25" s="716"/>
      <c r="AM25" s="716"/>
      <c r="AN25" s="716"/>
    </row>
    <row r="26" spans="1:44" ht="23.5" customHeight="1" x14ac:dyDescent="0.25">
      <c r="A26" s="53" t="s">
        <v>10</v>
      </c>
      <c r="B26" s="37" t="s">
        <v>11</v>
      </c>
      <c r="C26" s="2" t="s">
        <v>32</v>
      </c>
      <c r="D26" s="2" t="s">
        <v>33</v>
      </c>
      <c r="E26" s="2" t="s">
        <v>34</v>
      </c>
      <c r="F26" s="2" t="s">
        <v>35</v>
      </c>
      <c r="G26" s="103" t="s">
        <v>10</v>
      </c>
      <c r="H26" s="104" t="s">
        <v>11</v>
      </c>
      <c r="I26" s="104" t="s">
        <v>1</v>
      </c>
      <c r="J26" s="104" t="s">
        <v>30</v>
      </c>
      <c r="K26" s="104" t="s">
        <v>31</v>
      </c>
      <c r="L26" s="104" t="s">
        <v>28</v>
      </c>
      <c r="M26" s="104" t="s">
        <v>29</v>
      </c>
      <c r="N26" s="104" t="s">
        <v>72</v>
      </c>
      <c r="O26" s="104" t="s">
        <v>71</v>
      </c>
      <c r="P26" s="105" t="s">
        <v>48</v>
      </c>
      <c r="Q26" s="189" t="s">
        <v>74</v>
      </c>
      <c r="R26" s="106" t="s">
        <v>73</v>
      </c>
      <c r="T26" s="253" t="s">
        <v>116</v>
      </c>
      <c r="U26" s="254" t="s">
        <v>117</v>
      </c>
      <c r="V26" s="49" t="s">
        <v>118</v>
      </c>
      <c r="W26" s="49" t="s">
        <v>119</v>
      </c>
      <c r="X26" s="49" t="s">
        <v>120</v>
      </c>
      <c r="Y26" s="255" t="s">
        <v>128</v>
      </c>
      <c r="AA26" s="1" t="s">
        <v>123</v>
      </c>
      <c r="AC26" s="36" t="s">
        <v>126</v>
      </c>
      <c r="AI26" s="253" t="s">
        <v>116</v>
      </c>
      <c r="AJ26" s="254" t="s">
        <v>117</v>
      </c>
      <c r="AK26" s="49" t="s">
        <v>118</v>
      </c>
      <c r="AL26" s="49" t="s">
        <v>119</v>
      </c>
      <c r="AM26" s="49" t="s">
        <v>120</v>
      </c>
      <c r="AN26" s="255" t="s">
        <v>128</v>
      </c>
      <c r="AP26" s="1" t="s">
        <v>123</v>
      </c>
      <c r="AR26" s="36" t="s">
        <v>126</v>
      </c>
    </row>
    <row r="27" spans="1:44" ht="23.5" customHeight="1" x14ac:dyDescent="0.25">
      <c r="A27" s="54" t="s">
        <v>3</v>
      </c>
      <c r="B27" s="50">
        <v>12</v>
      </c>
      <c r="C27" s="42"/>
      <c r="D27" s="42"/>
      <c r="E27" s="42"/>
      <c r="F27" s="42"/>
      <c r="G27" s="107" t="s">
        <v>3</v>
      </c>
      <c r="H27" s="120">
        <f>B27</f>
        <v>12</v>
      </c>
      <c r="I27" s="74"/>
      <c r="J27" s="108">
        <v>0</v>
      </c>
      <c r="K27" s="108" t="e">
        <f t="shared" ref="K27:K34" si="16">J27/I27</f>
        <v>#DIV/0!</v>
      </c>
      <c r="L27" s="108">
        <v>0</v>
      </c>
      <c r="M27" s="109" t="e">
        <f t="shared" ref="M27:M34" si="17">L27/I27</f>
        <v>#DIV/0!</v>
      </c>
      <c r="N27" s="109"/>
      <c r="O27" s="110">
        <f t="shared" ref="O27:O33" si="18">J27+L27+N27</f>
        <v>0</v>
      </c>
      <c r="P27" s="111" t="e">
        <f>O27/I27</f>
        <v>#DIV/0!</v>
      </c>
      <c r="Q27" s="190"/>
      <c r="R27" s="112" t="e">
        <f>O27/Q27</f>
        <v>#DIV/0!</v>
      </c>
      <c r="T27" s="248"/>
      <c r="U27" s="248"/>
      <c r="V27" s="256"/>
      <c r="W27" s="256"/>
      <c r="X27" s="256"/>
      <c r="Y27" s="272">
        <f>SUM(V27:X27)/3</f>
        <v>0</v>
      </c>
      <c r="AA27" s="271" t="s">
        <v>124</v>
      </c>
      <c r="AB27" s="2"/>
      <c r="AC27" s="270">
        <v>5</v>
      </c>
      <c r="AI27" s="248"/>
      <c r="AJ27" s="248"/>
      <c r="AK27" s="256"/>
      <c r="AL27" s="256"/>
      <c r="AM27" s="256"/>
      <c r="AN27" s="272">
        <f>SUM(AK27:AM27)/3</f>
        <v>0</v>
      </c>
      <c r="AP27" s="271" t="s">
        <v>124</v>
      </c>
      <c r="AQ27" s="2"/>
      <c r="AR27" s="270">
        <v>5</v>
      </c>
    </row>
    <row r="28" spans="1:44" ht="23.5" customHeight="1" x14ac:dyDescent="0.25">
      <c r="A28" s="55" t="s">
        <v>4</v>
      </c>
      <c r="B28" s="50">
        <v>13</v>
      </c>
      <c r="C28" s="42"/>
      <c r="D28" s="42"/>
      <c r="E28" s="42"/>
      <c r="F28" s="42"/>
      <c r="G28" s="103" t="s">
        <v>4</v>
      </c>
      <c r="H28" s="120">
        <f t="shared" ref="H28:H33" si="19">B28</f>
        <v>13</v>
      </c>
      <c r="I28" s="74"/>
      <c r="J28" s="108">
        <v>0</v>
      </c>
      <c r="K28" s="108" t="e">
        <f t="shared" si="16"/>
        <v>#DIV/0!</v>
      </c>
      <c r="L28" s="108">
        <v>0</v>
      </c>
      <c r="M28" s="109" t="e">
        <f t="shared" si="17"/>
        <v>#DIV/0!</v>
      </c>
      <c r="N28" s="109"/>
      <c r="O28" s="110">
        <f t="shared" si="18"/>
        <v>0</v>
      </c>
      <c r="P28" s="111" t="e">
        <f t="shared" ref="P28:P33" si="20">O28/I28</f>
        <v>#DIV/0!</v>
      </c>
      <c r="Q28" s="190"/>
      <c r="R28" s="112" t="e">
        <f t="shared" ref="R28:R33" si="21">O28/Q28</f>
        <v>#DIV/0!</v>
      </c>
      <c r="T28" s="248"/>
      <c r="U28" s="248"/>
      <c r="V28" s="256"/>
      <c r="W28" s="256"/>
      <c r="X28" s="256"/>
      <c r="Y28" s="272">
        <f t="shared" ref="Y28:Y33" si="22">SUM(V28:X28)/3</f>
        <v>0</v>
      </c>
      <c r="AA28" s="35" t="s">
        <v>125</v>
      </c>
      <c r="AC28" s="1">
        <v>4</v>
      </c>
      <c r="AI28" s="248"/>
      <c r="AJ28" s="248"/>
      <c r="AK28" s="256"/>
      <c r="AL28" s="256"/>
      <c r="AM28" s="256"/>
      <c r="AN28" s="272">
        <f t="shared" ref="AN28:AN33" si="23">SUM(AK28:AM28)/3</f>
        <v>0</v>
      </c>
      <c r="AP28" s="35" t="s">
        <v>125</v>
      </c>
      <c r="AR28" s="1">
        <v>4</v>
      </c>
    </row>
    <row r="29" spans="1:44" ht="23.5" customHeight="1" x14ac:dyDescent="0.25">
      <c r="A29" s="55" t="s">
        <v>5</v>
      </c>
      <c r="B29" s="50">
        <v>14</v>
      </c>
      <c r="C29" s="42"/>
      <c r="D29" s="42"/>
      <c r="E29" s="42"/>
      <c r="F29" s="42"/>
      <c r="G29" s="103" t="s">
        <v>5</v>
      </c>
      <c r="H29" s="120">
        <f t="shared" si="19"/>
        <v>14</v>
      </c>
      <c r="I29" s="74"/>
      <c r="J29" s="108">
        <v>0</v>
      </c>
      <c r="K29" s="108" t="e">
        <f t="shared" si="16"/>
        <v>#DIV/0!</v>
      </c>
      <c r="L29" s="108">
        <v>0</v>
      </c>
      <c r="M29" s="109" t="e">
        <f t="shared" si="17"/>
        <v>#DIV/0!</v>
      </c>
      <c r="N29" s="109"/>
      <c r="O29" s="110">
        <f t="shared" si="18"/>
        <v>0</v>
      </c>
      <c r="P29" s="111" t="e">
        <f t="shared" si="20"/>
        <v>#DIV/0!</v>
      </c>
      <c r="Q29" s="190"/>
      <c r="R29" s="112" t="e">
        <f t="shared" si="21"/>
        <v>#DIV/0!</v>
      </c>
      <c r="T29" s="248"/>
      <c r="U29" s="248"/>
      <c r="V29" s="256"/>
      <c r="W29" s="256"/>
      <c r="X29" s="256"/>
      <c r="Y29" s="272">
        <f t="shared" si="22"/>
        <v>0</v>
      </c>
      <c r="AA29" s="35" t="s">
        <v>182</v>
      </c>
      <c r="AC29" s="1">
        <v>3</v>
      </c>
      <c r="AI29" s="248"/>
      <c r="AJ29" s="248"/>
      <c r="AK29" s="256"/>
      <c r="AL29" s="256"/>
      <c r="AM29" s="256"/>
      <c r="AN29" s="272">
        <f t="shared" si="23"/>
        <v>0</v>
      </c>
      <c r="AP29" s="35" t="s">
        <v>129</v>
      </c>
      <c r="AR29" s="1">
        <v>3</v>
      </c>
    </row>
    <row r="30" spans="1:44" ht="23.5" customHeight="1" x14ac:dyDescent="0.25">
      <c r="A30" s="55" t="s">
        <v>6</v>
      </c>
      <c r="B30" s="50">
        <v>15</v>
      </c>
      <c r="C30" s="42"/>
      <c r="D30" s="42"/>
      <c r="E30" s="42"/>
      <c r="F30" s="42"/>
      <c r="G30" s="103" t="s">
        <v>6</v>
      </c>
      <c r="H30" s="120">
        <f t="shared" si="19"/>
        <v>15</v>
      </c>
      <c r="I30" s="74"/>
      <c r="J30" s="108">
        <v>0</v>
      </c>
      <c r="K30" s="108" t="e">
        <f t="shared" si="16"/>
        <v>#DIV/0!</v>
      </c>
      <c r="L30" s="108">
        <v>0</v>
      </c>
      <c r="M30" s="109" t="e">
        <f t="shared" si="17"/>
        <v>#DIV/0!</v>
      </c>
      <c r="N30" s="109"/>
      <c r="O30" s="110">
        <f t="shared" si="18"/>
        <v>0</v>
      </c>
      <c r="P30" s="111" t="e">
        <f t="shared" si="20"/>
        <v>#DIV/0!</v>
      </c>
      <c r="Q30" s="190"/>
      <c r="R30" s="112" t="e">
        <f t="shared" si="21"/>
        <v>#DIV/0!</v>
      </c>
      <c r="T30" s="248"/>
      <c r="U30" s="248"/>
      <c r="V30" s="256"/>
      <c r="W30" s="256"/>
      <c r="X30" s="256"/>
      <c r="Y30" s="272">
        <f t="shared" si="22"/>
        <v>0</v>
      </c>
      <c r="AA30" s="35" t="s">
        <v>121</v>
      </c>
      <c r="AC30" s="1">
        <v>2</v>
      </c>
      <c r="AI30" s="248"/>
      <c r="AJ30" s="248"/>
      <c r="AK30" s="256"/>
      <c r="AL30" s="256"/>
      <c r="AM30" s="256"/>
      <c r="AN30" s="272">
        <f t="shared" si="23"/>
        <v>0</v>
      </c>
      <c r="AP30" s="35" t="s">
        <v>121</v>
      </c>
      <c r="AR30" s="1">
        <v>2</v>
      </c>
    </row>
    <row r="31" spans="1:44" ht="23.5" customHeight="1" x14ac:dyDescent="0.25">
      <c r="A31" s="55" t="s">
        <v>7</v>
      </c>
      <c r="B31" s="50">
        <v>16</v>
      </c>
      <c r="C31" s="42"/>
      <c r="D31" s="42"/>
      <c r="E31" s="42"/>
      <c r="F31" s="42"/>
      <c r="G31" s="103" t="s">
        <v>7</v>
      </c>
      <c r="H31" s="120">
        <f t="shared" si="19"/>
        <v>16</v>
      </c>
      <c r="I31" s="74"/>
      <c r="J31" s="108">
        <v>0</v>
      </c>
      <c r="K31" s="108" t="e">
        <f t="shared" si="16"/>
        <v>#DIV/0!</v>
      </c>
      <c r="L31" s="108">
        <v>0</v>
      </c>
      <c r="M31" s="109" t="e">
        <f t="shared" si="17"/>
        <v>#DIV/0!</v>
      </c>
      <c r="N31" s="109"/>
      <c r="O31" s="110">
        <f t="shared" si="18"/>
        <v>0</v>
      </c>
      <c r="P31" s="111" t="e">
        <f t="shared" si="20"/>
        <v>#DIV/0!</v>
      </c>
      <c r="Q31" s="190"/>
      <c r="R31" s="112" t="e">
        <f t="shared" si="21"/>
        <v>#DIV/0!</v>
      </c>
      <c r="T31" s="248"/>
      <c r="U31" s="248"/>
      <c r="V31" s="256"/>
      <c r="W31" s="256"/>
      <c r="X31" s="256"/>
      <c r="Y31" s="272">
        <f t="shared" si="22"/>
        <v>0</v>
      </c>
      <c r="AA31" s="35" t="s">
        <v>122</v>
      </c>
      <c r="AC31" s="1">
        <v>1</v>
      </c>
      <c r="AI31" s="248"/>
      <c r="AJ31" s="248"/>
      <c r="AK31" s="256"/>
      <c r="AL31" s="256"/>
      <c r="AM31" s="256"/>
      <c r="AN31" s="272">
        <f t="shared" si="23"/>
        <v>0</v>
      </c>
      <c r="AP31" s="35" t="s">
        <v>122</v>
      </c>
      <c r="AR31" s="1">
        <v>1</v>
      </c>
    </row>
    <row r="32" spans="1:44" ht="23.5" customHeight="1" x14ac:dyDescent="0.25">
      <c r="A32" s="55" t="s">
        <v>8</v>
      </c>
      <c r="B32" s="50">
        <v>17</v>
      </c>
      <c r="C32" s="42"/>
      <c r="D32" s="42"/>
      <c r="E32" s="42"/>
      <c r="F32" s="42"/>
      <c r="G32" s="103" t="s">
        <v>8</v>
      </c>
      <c r="H32" s="120">
        <f t="shared" si="19"/>
        <v>17</v>
      </c>
      <c r="I32" s="74"/>
      <c r="J32" s="108">
        <v>0</v>
      </c>
      <c r="K32" s="108" t="e">
        <f t="shared" si="16"/>
        <v>#DIV/0!</v>
      </c>
      <c r="L32" s="108">
        <v>0</v>
      </c>
      <c r="M32" s="109" t="e">
        <f t="shared" si="17"/>
        <v>#DIV/0!</v>
      </c>
      <c r="N32" s="109"/>
      <c r="O32" s="110">
        <f t="shared" si="18"/>
        <v>0</v>
      </c>
      <c r="P32" s="111" t="e">
        <f t="shared" si="20"/>
        <v>#DIV/0!</v>
      </c>
      <c r="Q32" s="190"/>
      <c r="R32" s="112" t="e">
        <f t="shared" si="21"/>
        <v>#DIV/0!</v>
      </c>
      <c r="T32" s="248"/>
      <c r="U32" s="248"/>
      <c r="V32" s="256"/>
      <c r="W32" s="256"/>
      <c r="X32" s="256"/>
      <c r="Y32" s="272">
        <f t="shared" si="22"/>
        <v>0</v>
      </c>
      <c r="AA32" s="35" t="s">
        <v>127</v>
      </c>
      <c r="AC32" s="1">
        <v>0</v>
      </c>
      <c r="AI32" s="248"/>
      <c r="AJ32" s="248"/>
      <c r="AK32" s="256"/>
      <c r="AL32" s="256"/>
      <c r="AM32" s="256"/>
      <c r="AN32" s="272">
        <f t="shared" si="23"/>
        <v>0</v>
      </c>
      <c r="AP32" s="35" t="s">
        <v>127</v>
      </c>
      <c r="AR32" s="1">
        <v>0</v>
      </c>
    </row>
    <row r="33" spans="1:47" ht="23.5" customHeight="1" thickBot="1" x14ac:dyDescent="0.3">
      <c r="A33" s="56" t="s">
        <v>9</v>
      </c>
      <c r="B33" s="50">
        <v>18</v>
      </c>
      <c r="C33" s="42"/>
      <c r="D33" s="42"/>
      <c r="E33" s="42"/>
      <c r="F33" s="42"/>
      <c r="G33" s="113" t="s">
        <v>9</v>
      </c>
      <c r="H33" s="120">
        <f t="shared" si="19"/>
        <v>18</v>
      </c>
      <c r="I33" s="74"/>
      <c r="J33" s="108">
        <v>0</v>
      </c>
      <c r="K33" s="108" t="e">
        <f t="shared" si="16"/>
        <v>#DIV/0!</v>
      </c>
      <c r="L33" s="108">
        <v>0</v>
      </c>
      <c r="M33" s="109" t="e">
        <f t="shared" si="17"/>
        <v>#DIV/0!</v>
      </c>
      <c r="N33" s="109">
        <v>0</v>
      </c>
      <c r="O33" s="110">
        <f t="shared" si="18"/>
        <v>0</v>
      </c>
      <c r="P33" s="111" t="e">
        <f t="shared" si="20"/>
        <v>#DIV/0!</v>
      </c>
      <c r="Q33" s="190"/>
      <c r="R33" s="112" t="e">
        <f t="shared" si="21"/>
        <v>#DIV/0!</v>
      </c>
      <c r="T33" s="249"/>
      <c r="U33" s="249"/>
      <c r="V33" s="257"/>
      <c r="W33" s="256"/>
      <c r="X33" s="257"/>
      <c r="Y33" s="273">
        <f t="shared" si="22"/>
        <v>0</v>
      </c>
      <c r="AA33" s="1" t="s">
        <v>130</v>
      </c>
      <c r="AI33" s="249"/>
      <c r="AJ33" s="249"/>
      <c r="AK33" s="257"/>
      <c r="AL33" s="256"/>
      <c r="AM33" s="257"/>
      <c r="AN33" s="273">
        <f t="shared" si="23"/>
        <v>0</v>
      </c>
      <c r="AP33" s="1" t="s">
        <v>130</v>
      </c>
    </row>
    <row r="34" spans="1:47" ht="23.5" customHeight="1" thickTop="1" thickBot="1" x14ac:dyDescent="0.3">
      <c r="A34" s="724" t="s">
        <v>13</v>
      </c>
      <c r="B34" s="725"/>
      <c r="C34" s="35" t="s">
        <v>36</v>
      </c>
      <c r="D34" s="44" t="e">
        <f>#REF!/F34</f>
        <v>#REF!</v>
      </c>
      <c r="E34" s="45" t="s">
        <v>37</v>
      </c>
      <c r="F34" s="35" t="e">
        <f>#REF!</f>
        <v>#REF!</v>
      </c>
      <c r="G34" s="726" t="s">
        <v>13</v>
      </c>
      <c r="H34" s="727"/>
      <c r="I34" s="108">
        <f>SUM(I27:I33)</f>
        <v>0</v>
      </c>
      <c r="J34" s="108">
        <f>SUM(J27:J33)</f>
        <v>0</v>
      </c>
      <c r="K34" s="108" t="e">
        <f t="shared" si="16"/>
        <v>#DIV/0!</v>
      </c>
      <c r="L34" s="108">
        <f>SUM(L27:L33)</f>
        <v>0</v>
      </c>
      <c r="M34" s="109" t="e">
        <f t="shared" si="17"/>
        <v>#DIV/0!</v>
      </c>
      <c r="N34" s="109" t="e">
        <f>M34/J34</f>
        <v>#DIV/0!</v>
      </c>
      <c r="O34" s="110">
        <f>J34+L34</f>
        <v>0</v>
      </c>
      <c r="P34" s="111" t="e">
        <f>O34/I34</f>
        <v>#DIV/0!</v>
      </c>
      <c r="Q34" s="191"/>
      <c r="R34" s="112" t="e">
        <f>O34/Q34</f>
        <v>#DIV/0!</v>
      </c>
      <c r="S34" s="260"/>
      <c r="T34" s="265" t="e">
        <f>SUM(T27:T33)/S34</f>
        <v>#DIV/0!</v>
      </c>
      <c r="U34" s="267" t="e">
        <f>SUM(U27:U33)/S34</f>
        <v>#DIV/0!</v>
      </c>
      <c r="V34" s="267" t="e">
        <f>SUM(V27:V33)/S34</f>
        <v>#DIV/0!</v>
      </c>
      <c r="W34" s="267" t="e">
        <f>SUM(W27:W33)/S34</f>
        <v>#DIV/0!</v>
      </c>
      <c r="X34" s="267" t="e">
        <f>SUM(X27:X33)/S34</f>
        <v>#DIV/0!</v>
      </c>
      <c r="Y34" s="269" t="e">
        <f>SUM(V34:X34)/3</f>
        <v>#DIV/0!</v>
      </c>
      <c r="Z34" s="260"/>
      <c r="AA34" s="260"/>
      <c r="AB34" s="260"/>
      <c r="AC34" s="260"/>
      <c r="AH34" s="260"/>
      <c r="AI34" s="265" t="e">
        <f>SUM(AI27:AI33)/AH34</f>
        <v>#DIV/0!</v>
      </c>
      <c r="AJ34" s="267" t="e">
        <f>SUM(AJ27:AJ33)/AH34</f>
        <v>#DIV/0!</v>
      </c>
      <c r="AK34" s="267" t="e">
        <f>SUM(AK27:AK33)/AH34</f>
        <v>#DIV/0!</v>
      </c>
      <c r="AL34" s="267" t="e">
        <f>SUM(AL27:AL33)/AH34</f>
        <v>#DIV/0!</v>
      </c>
      <c r="AM34" s="267" t="e">
        <f>SUM(AM27:AM33)/AH34</f>
        <v>#DIV/0!</v>
      </c>
      <c r="AN34" s="269" t="e">
        <f>SUM(AK34:AM34)/3</f>
        <v>#DIV/0!</v>
      </c>
      <c r="AO34" s="260"/>
      <c r="AP34" s="260"/>
      <c r="AQ34" s="260"/>
      <c r="AR34" s="260"/>
    </row>
    <row r="35" spans="1:47" ht="23.5" customHeight="1" thickTop="1" x14ac:dyDescent="0.25">
      <c r="A35" s="710" t="s">
        <v>16</v>
      </c>
      <c r="B35" s="711"/>
      <c r="G35" s="713" t="s">
        <v>16</v>
      </c>
      <c r="H35" s="714"/>
      <c r="I35" s="714"/>
      <c r="J35" s="714"/>
      <c r="K35" s="714"/>
      <c r="L35" s="714"/>
      <c r="M35" s="714"/>
      <c r="N35" s="714"/>
      <c r="O35" s="714"/>
      <c r="P35" s="714"/>
      <c r="Q35" s="714"/>
      <c r="R35" s="715"/>
      <c r="T35" s="716" t="str">
        <f>G35</f>
        <v>4th week</v>
      </c>
      <c r="U35" s="716"/>
      <c r="V35" s="716"/>
      <c r="W35" s="716"/>
      <c r="X35" s="716"/>
      <c r="Y35" s="716"/>
      <c r="AI35" s="716">
        <f>V35</f>
        <v>0</v>
      </c>
      <c r="AJ35" s="716"/>
      <c r="AK35" s="716"/>
      <c r="AL35" s="716"/>
      <c r="AM35" s="716"/>
      <c r="AN35" s="716"/>
    </row>
    <row r="36" spans="1:47" ht="23.5" customHeight="1" x14ac:dyDescent="0.25">
      <c r="A36" s="53" t="s">
        <v>10</v>
      </c>
      <c r="B36" s="37" t="s">
        <v>11</v>
      </c>
      <c r="C36" s="2" t="s">
        <v>32</v>
      </c>
      <c r="D36" s="2" t="s">
        <v>33</v>
      </c>
      <c r="E36" s="2" t="s">
        <v>34</v>
      </c>
      <c r="F36" s="2" t="s">
        <v>35</v>
      </c>
      <c r="G36" s="103" t="s">
        <v>10</v>
      </c>
      <c r="H36" s="104" t="s">
        <v>11</v>
      </c>
      <c r="I36" s="104" t="s">
        <v>1</v>
      </c>
      <c r="J36" s="104" t="s">
        <v>30</v>
      </c>
      <c r="K36" s="104" t="s">
        <v>31</v>
      </c>
      <c r="L36" s="104" t="s">
        <v>28</v>
      </c>
      <c r="M36" s="104" t="s">
        <v>29</v>
      </c>
      <c r="N36" s="104" t="s">
        <v>72</v>
      </c>
      <c r="O36" s="104" t="s">
        <v>71</v>
      </c>
      <c r="P36" s="105" t="s">
        <v>48</v>
      </c>
      <c r="Q36" s="189" t="s">
        <v>74</v>
      </c>
      <c r="R36" s="106" t="s">
        <v>73</v>
      </c>
      <c r="T36" s="253" t="s">
        <v>116</v>
      </c>
      <c r="U36" s="254" t="s">
        <v>117</v>
      </c>
      <c r="V36" s="49" t="s">
        <v>118</v>
      </c>
      <c r="W36" s="49" t="s">
        <v>119</v>
      </c>
      <c r="X36" s="49" t="s">
        <v>120</v>
      </c>
      <c r="Y36" s="255" t="s">
        <v>128</v>
      </c>
      <c r="AA36" s="1" t="s">
        <v>123</v>
      </c>
      <c r="AC36" s="36" t="s">
        <v>126</v>
      </c>
      <c r="AI36" s="253" t="s">
        <v>116</v>
      </c>
      <c r="AJ36" s="254" t="s">
        <v>117</v>
      </c>
      <c r="AK36" s="49" t="s">
        <v>118</v>
      </c>
      <c r="AL36" s="49" t="s">
        <v>119</v>
      </c>
      <c r="AM36" s="49" t="s">
        <v>120</v>
      </c>
      <c r="AN36" s="255" t="s">
        <v>128</v>
      </c>
      <c r="AP36" s="1" t="s">
        <v>123</v>
      </c>
      <c r="AR36" s="36" t="s">
        <v>126</v>
      </c>
    </row>
    <row r="37" spans="1:47" ht="23.5" customHeight="1" x14ac:dyDescent="0.25">
      <c r="A37" s="54" t="s">
        <v>3</v>
      </c>
      <c r="B37" s="50">
        <v>19</v>
      </c>
      <c r="C37" s="42"/>
      <c r="D37" s="42"/>
      <c r="E37" s="42"/>
      <c r="F37" s="42"/>
      <c r="G37" s="107" t="s">
        <v>3</v>
      </c>
      <c r="H37" s="120">
        <f>B37</f>
        <v>19</v>
      </c>
      <c r="I37" s="74"/>
      <c r="J37" s="108">
        <v>0</v>
      </c>
      <c r="K37" s="108" t="e">
        <f t="shared" ref="K37:K44" si="24">J37/I37</f>
        <v>#DIV/0!</v>
      </c>
      <c r="L37" s="108">
        <v>0</v>
      </c>
      <c r="M37" s="109" t="e">
        <f t="shared" ref="M37:M44" si="25">L37/I37</f>
        <v>#DIV/0!</v>
      </c>
      <c r="N37" s="109"/>
      <c r="O37" s="110">
        <f t="shared" ref="O37:O43" si="26">J37+L37+N37</f>
        <v>0</v>
      </c>
      <c r="P37" s="111" t="e">
        <f>O37/I37</f>
        <v>#DIV/0!</v>
      </c>
      <c r="Q37" s="190"/>
      <c r="R37" s="112" t="e">
        <f>O37/Q37</f>
        <v>#DIV/0!</v>
      </c>
      <c r="T37" s="248"/>
      <c r="U37" s="248"/>
      <c r="V37" s="256"/>
      <c r="W37" s="256"/>
      <c r="X37" s="256"/>
      <c r="Y37" s="272">
        <f>SUM(V37:X37)/3</f>
        <v>0</v>
      </c>
      <c r="AA37" s="271" t="s">
        <v>124</v>
      </c>
      <c r="AB37" s="2"/>
      <c r="AC37" s="270">
        <v>5</v>
      </c>
      <c r="AI37" s="248"/>
      <c r="AJ37" s="248"/>
      <c r="AK37" s="256"/>
      <c r="AL37" s="256"/>
      <c r="AM37" s="256"/>
      <c r="AN37" s="272">
        <f>SUM(AK37:AM37)/3</f>
        <v>0</v>
      </c>
      <c r="AP37" s="271" t="s">
        <v>124</v>
      </c>
      <c r="AQ37" s="2"/>
      <c r="AR37" s="270">
        <v>5</v>
      </c>
    </row>
    <row r="38" spans="1:47" ht="23.5" customHeight="1" x14ac:dyDescent="0.25">
      <c r="A38" s="55" t="s">
        <v>4</v>
      </c>
      <c r="B38" s="50">
        <v>20</v>
      </c>
      <c r="C38" s="42"/>
      <c r="D38" s="42"/>
      <c r="E38" s="42"/>
      <c r="F38" s="42"/>
      <c r="G38" s="103" t="s">
        <v>4</v>
      </c>
      <c r="H38" s="120">
        <f t="shared" ref="H38:H43" si="27">B38</f>
        <v>20</v>
      </c>
      <c r="I38" s="74"/>
      <c r="J38" s="108">
        <v>0</v>
      </c>
      <c r="K38" s="108" t="e">
        <f t="shared" si="24"/>
        <v>#DIV/0!</v>
      </c>
      <c r="L38" s="108">
        <v>0</v>
      </c>
      <c r="M38" s="109" t="e">
        <f t="shared" si="25"/>
        <v>#DIV/0!</v>
      </c>
      <c r="N38" s="109"/>
      <c r="O38" s="110">
        <f t="shared" si="26"/>
        <v>0</v>
      </c>
      <c r="P38" s="111" t="e">
        <f t="shared" ref="P38:P43" si="28">O38/I38</f>
        <v>#DIV/0!</v>
      </c>
      <c r="Q38" s="190"/>
      <c r="R38" s="112" t="e">
        <f t="shared" ref="R38:R43" si="29">O38/Q38</f>
        <v>#DIV/0!</v>
      </c>
      <c r="T38" s="248"/>
      <c r="U38" s="248"/>
      <c r="V38" s="256"/>
      <c r="W38" s="256"/>
      <c r="X38" s="256"/>
      <c r="Y38" s="272">
        <f t="shared" ref="Y38:Y43" si="30">SUM(V38:X38)/3</f>
        <v>0</v>
      </c>
      <c r="AA38" s="35" t="s">
        <v>125</v>
      </c>
      <c r="AC38" s="1">
        <v>4</v>
      </c>
      <c r="AI38" s="248"/>
      <c r="AJ38" s="248"/>
      <c r="AK38" s="256"/>
      <c r="AL38" s="256"/>
      <c r="AM38" s="256"/>
      <c r="AN38" s="272">
        <f t="shared" ref="AN38:AN43" si="31">SUM(AK38:AM38)/3</f>
        <v>0</v>
      </c>
      <c r="AP38" s="35" t="s">
        <v>125</v>
      </c>
      <c r="AR38" s="1">
        <v>4</v>
      </c>
    </row>
    <row r="39" spans="1:47" ht="23.5" customHeight="1" x14ac:dyDescent="0.25">
      <c r="A39" s="55" t="s">
        <v>5</v>
      </c>
      <c r="B39" s="50">
        <v>21</v>
      </c>
      <c r="C39" s="42"/>
      <c r="D39" s="42"/>
      <c r="E39" s="42"/>
      <c r="F39" s="42"/>
      <c r="G39" s="103" t="s">
        <v>5</v>
      </c>
      <c r="H39" s="120">
        <f t="shared" si="27"/>
        <v>21</v>
      </c>
      <c r="I39" s="74"/>
      <c r="J39" s="108">
        <v>0</v>
      </c>
      <c r="K39" s="108" t="e">
        <f t="shared" si="24"/>
        <v>#DIV/0!</v>
      </c>
      <c r="L39" s="108">
        <v>0</v>
      </c>
      <c r="M39" s="109" t="e">
        <f t="shared" si="25"/>
        <v>#DIV/0!</v>
      </c>
      <c r="N39" s="109"/>
      <c r="O39" s="110">
        <f t="shared" si="26"/>
        <v>0</v>
      </c>
      <c r="P39" s="111" t="e">
        <f t="shared" si="28"/>
        <v>#DIV/0!</v>
      </c>
      <c r="Q39" s="190"/>
      <c r="R39" s="112" t="e">
        <f t="shared" si="29"/>
        <v>#DIV/0!</v>
      </c>
      <c r="T39" s="248"/>
      <c r="U39" s="248"/>
      <c r="V39" s="256"/>
      <c r="W39" s="256"/>
      <c r="X39" s="256"/>
      <c r="Y39" s="272">
        <f t="shared" si="30"/>
        <v>0</v>
      </c>
      <c r="AA39" s="35" t="s">
        <v>182</v>
      </c>
      <c r="AC39" s="1">
        <v>3</v>
      </c>
      <c r="AI39" s="248"/>
      <c r="AJ39" s="248"/>
      <c r="AK39" s="256"/>
      <c r="AL39" s="256"/>
      <c r="AM39" s="256"/>
      <c r="AN39" s="272">
        <f t="shared" si="31"/>
        <v>0</v>
      </c>
      <c r="AP39" s="35" t="s">
        <v>129</v>
      </c>
      <c r="AR39" s="1">
        <v>3</v>
      </c>
    </row>
    <row r="40" spans="1:47" ht="23.5" customHeight="1" x14ac:dyDescent="0.25">
      <c r="A40" s="55" t="s">
        <v>6</v>
      </c>
      <c r="B40" s="50">
        <v>22</v>
      </c>
      <c r="C40" s="42"/>
      <c r="D40" s="42"/>
      <c r="E40" s="42"/>
      <c r="F40" s="42"/>
      <c r="G40" s="103" t="s">
        <v>6</v>
      </c>
      <c r="H40" s="120">
        <f t="shared" si="27"/>
        <v>22</v>
      </c>
      <c r="I40" s="74"/>
      <c r="J40" s="108">
        <v>0</v>
      </c>
      <c r="K40" s="108" t="e">
        <f t="shared" si="24"/>
        <v>#DIV/0!</v>
      </c>
      <c r="L40" s="108">
        <v>0</v>
      </c>
      <c r="M40" s="109" t="e">
        <f t="shared" si="25"/>
        <v>#DIV/0!</v>
      </c>
      <c r="N40" s="109"/>
      <c r="O40" s="110">
        <f t="shared" si="26"/>
        <v>0</v>
      </c>
      <c r="P40" s="111" t="e">
        <f t="shared" si="28"/>
        <v>#DIV/0!</v>
      </c>
      <c r="Q40" s="190"/>
      <c r="R40" s="112" t="e">
        <f t="shared" si="29"/>
        <v>#DIV/0!</v>
      </c>
      <c r="T40" s="248"/>
      <c r="U40" s="248"/>
      <c r="V40" s="256"/>
      <c r="W40" s="256"/>
      <c r="X40" s="256"/>
      <c r="Y40" s="272">
        <f t="shared" si="30"/>
        <v>0</v>
      </c>
      <c r="AA40" s="35" t="s">
        <v>121</v>
      </c>
      <c r="AC40" s="1">
        <v>2</v>
      </c>
      <c r="AI40" s="248"/>
      <c r="AJ40" s="248"/>
      <c r="AK40" s="256"/>
      <c r="AL40" s="256"/>
      <c r="AM40" s="256"/>
      <c r="AN40" s="272">
        <f t="shared" si="31"/>
        <v>0</v>
      </c>
      <c r="AP40" s="35" t="s">
        <v>121</v>
      </c>
      <c r="AR40" s="1">
        <v>2</v>
      </c>
    </row>
    <row r="41" spans="1:47" ht="23.5" customHeight="1" x14ac:dyDescent="0.25">
      <c r="A41" s="55" t="s">
        <v>7</v>
      </c>
      <c r="B41" s="50">
        <v>23</v>
      </c>
      <c r="C41" s="42"/>
      <c r="D41" s="42"/>
      <c r="E41" s="42"/>
      <c r="F41" s="42"/>
      <c r="G41" s="103" t="s">
        <v>7</v>
      </c>
      <c r="H41" s="120">
        <f t="shared" si="27"/>
        <v>23</v>
      </c>
      <c r="I41" s="74"/>
      <c r="J41" s="108">
        <v>0</v>
      </c>
      <c r="K41" s="108" t="e">
        <f t="shared" si="24"/>
        <v>#DIV/0!</v>
      </c>
      <c r="L41" s="108">
        <v>0</v>
      </c>
      <c r="M41" s="109" t="e">
        <f t="shared" si="25"/>
        <v>#DIV/0!</v>
      </c>
      <c r="N41" s="109"/>
      <c r="O41" s="110">
        <f t="shared" si="26"/>
        <v>0</v>
      </c>
      <c r="P41" s="111" t="e">
        <f t="shared" si="28"/>
        <v>#DIV/0!</v>
      </c>
      <c r="Q41" s="190"/>
      <c r="R41" s="112" t="e">
        <f t="shared" si="29"/>
        <v>#DIV/0!</v>
      </c>
      <c r="T41" s="248"/>
      <c r="U41" s="248"/>
      <c r="V41" s="256"/>
      <c r="W41" s="256"/>
      <c r="X41" s="256"/>
      <c r="Y41" s="272">
        <f t="shared" si="30"/>
        <v>0</v>
      </c>
      <c r="AA41" s="35" t="s">
        <v>122</v>
      </c>
      <c r="AC41" s="1">
        <v>1</v>
      </c>
      <c r="AI41" s="248"/>
      <c r="AJ41" s="248"/>
      <c r="AK41" s="256"/>
      <c r="AL41" s="256"/>
      <c r="AM41" s="256"/>
      <c r="AN41" s="272">
        <f t="shared" si="31"/>
        <v>0</v>
      </c>
      <c r="AP41" s="35" t="s">
        <v>122</v>
      </c>
      <c r="AR41" s="1">
        <v>1</v>
      </c>
    </row>
    <row r="42" spans="1:47" ht="23.5" customHeight="1" x14ac:dyDescent="0.25">
      <c r="A42" s="55" t="s">
        <v>8</v>
      </c>
      <c r="B42" s="50">
        <v>24</v>
      </c>
      <c r="C42" s="42"/>
      <c r="D42" s="42"/>
      <c r="E42" s="42"/>
      <c r="F42" s="42"/>
      <c r="G42" s="103" t="s">
        <v>8</v>
      </c>
      <c r="H42" s="120">
        <f t="shared" si="27"/>
        <v>24</v>
      </c>
      <c r="I42" s="74"/>
      <c r="J42" s="108">
        <v>0</v>
      </c>
      <c r="K42" s="108" t="e">
        <f t="shared" si="24"/>
        <v>#DIV/0!</v>
      </c>
      <c r="L42" s="108">
        <v>0</v>
      </c>
      <c r="M42" s="109" t="e">
        <f t="shared" si="25"/>
        <v>#DIV/0!</v>
      </c>
      <c r="N42" s="109"/>
      <c r="O42" s="110">
        <f t="shared" si="26"/>
        <v>0</v>
      </c>
      <c r="P42" s="111" t="e">
        <f t="shared" si="28"/>
        <v>#DIV/0!</v>
      </c>
      <c r="Q42" s="190"/>
      <c r="R42" s="112" t="e">
        <f t="shared" si="29"/>
        <v>#DIV/0!</v>
      </c>
      <c r="T42" s="248"/>
      <c r="U42" s="248"/>
      <c r="V42" s="256"/>
      <c r="W42" s="256"/>
      <c r="X42" s="256"/>
      <c r="Y42" s="272">
        <f t="shared" si="30"/>
        <v>0</v>
      </c>
      <c r="AA42" s="35" t="s">
        <v>127</v>
      </c>
      <c r="AC42" s="1">
        <v>0</v>
      </c>
      <c r="AI42" s="248"/>
      <c r="AJ42" s="248"/>
      <c r="AK42" s="256"/>
      <c r="AL42" s="256"/>
      <c r="AM42" s="256"/>
      <c r="AN42" s="272">
        <f t="shared" si="31"/>
        <v>0</v>
      </c>
      <c r="AP42" s="35" t="s">
        <v>127</v>
      </c>
      <c r="AR42" s="1">
        <v>0</v>
      </c>
    </row>
    <row r="43" spans="1:47" ht="23.5" customHeight="1" thickBot="1" x14ac:dyDescent="0.3">
      <c r="A43" s="56" t="s">
        <v>9</v>
      </c>
      <c r="B43" s="50">
        <v>25</v>
      </c>
      <c r="C43" s="42"/>
      <c r="D43" s="42"/>
      <c r="E43" s="42"/>
      <c r="F43" s="42"/>
      <c r="G43" s="113" t="s">
        <v>9</v>
      </c>
      <c r="H43" s="120">
        <f t="shared" si="27"/>
        <v>25</v>
      </c>
      <c r="I43" s="74"/>
      <c r="J43" s="108"/>
      <c r="K43" s="108" t="e">
        <f t="shared" si="24"/>
        <v>#DIV/0!</v>
      </c>
      <c r="L43" s="108"/>
      <c r="M43" s="109" t="e">
        <f t="shared" si="25"/>
        <v>#DIV/0!</v>
      </c>
      <c r="N43" s="109">
        <v>0</v>
      </c>
      <c r="O43" s="110">
        <f t="shared" si="26"/>
        <v>0</v>
      </c>
      <c r="P43" s="111" t="e">
        <f t="shared" si="28"/>
        <v>#DIV/0!</v>
      </c>
      <c r="Q43" s="190"/>
      <c r="R43" s="112" t="e">
        <f t="shared" si="29"/>
        <v>#DIV/0!</v>
      </c>
      <c r="T43" s="249"/>
      <c r="U43" s="249"/>
      <c r="V43" s="257"/>
      <c r="W43" s="256"/>
      <c r="X43" s="256"/>
      <c r="Y43" s="273">
        <f t="shared" si="30"/>
        <v>0</v>
      </c>
      <c r="AA43" s="1" t="s">
        <v>130</v>
      </c>
      <c r="AI43" s="249">
        <v>15.4</v>
      </c>
      <c r="AJ43" s="249">
        <v>25.8</v>
      </c>
      <c r="AK43" s="257">
        <v>5</v>
      </c>
      <c r="AL43" s="256">
        <v>5</v>
      </c>
      <c r="AM43" s="256">
        <v>4</v>
      </c>
      <c r="AN43" s="273">
        <f t="shared" si="31"/>
        <v>4.666666666666667</v>
      </c>
      <c r="AP43" s="1" t="s">
        <v>130</v>
      </c>
    </row>
    <row r="44" spans="1:47" ht="35" customHeight="1" thickTop="1" thickBot="1" x14ac:dyDescent="0.3">
      <c r="A44" s="724" t="s">
        <v>13</v>
      </c>
      <c r="B44" s="725"/>
      <c r="C44" s="35" t="s">
        <v>36</v>
      </c>
      <c r="D44" s="44" t="e">
        <f>#REF!/F44</f>
        <v>#REF!</v>
      </c>
      <c r="E44" s="45" t="s">
        <v>37</v>
      </c>
      <c r="F44" s="35" t="e">
        <f>#REF!</f>
        <v>#REF!</v>
      </c>
      <c r="G44" s="726" t="s">
        <v>13</v>
      </c>
      <c r="H44" s="727"/>
      <c r="I44" s="121">
        <f>SUM(I37:I43)</f>
        <v>0</v>
      </c>
      <c r="J44" s="121">
        <f>SUM(J37:J43)</f>
        <v>0</v>
      </c>
      <c r="K44" s="121" t="e">
        <f t="shared" si="24"/>
        <v>#DIV/0!</v>
      </c>
      <c r="L44" s="121">
        <f>SUM(L37:L43)</f>
        <v>0</v>
      </c>
      <c r="M44" s="122" t="e">
        <f t="shared" si="25"/>
        <v>#DIV/0!</v>
      </c>
      <c r="N44" s="122" t="e">
        <f>M44/J44</f>
        <v>#DIV/0!</v>
      </c>
      <c r="O44" s="121">
        <f>J44+L44</f>
        <v>0</v>
      </c>
      <c r="P44" s="123" t="e">
        <f>O44/I44</f>
        <v>#DIV/0!</v>
      </c>
      <c r="Q44" s="192">
        <f>SUM(Q37:Q43)</f>
        <v>0</v>
      </c>
      <c r="R44" s="124" t="e">
        <f>O44/Q44</f>
        <v>#DIV/0!</v>
      </c>
      <c r="S44" s="260">
        <v>0</v>
      </c>
      <c r="T44" s="291" t="e">
        <f>SUM(T37:T43)/S44</f>
        <v>#DIV/0!</v>
      </c>
      <c r="U44" s="292" t="e">
        <f>SUM(U37:U43)/S44</f>
        <v>#DIV/0!</v>
      </c>
      <c r="V44" s="305" t="e">
        <f>SUM(V37:V43)/S44</f>
        <v>#DIV/0!</v>
      </c>
      <c r="W44" s="305" t="e">
        <f>SUM(W37:W43)/S44</f>
        <v>#DIV/0!</v>
      </c>
      <c r="X44" s="305" t="e">
        <f>SUM(X37:X43)/S44</f>
        <v>#DIV/0!</v>
      </c>
      <c r="Y44" s="306" t="e">
        <f>SUM(V44:X44)/3</f>
        <v>#DIV/0!</v>
      </c>
      <c r="Z44" s="260"/>
      <c r="AA44" s="761" t="e">
        <f>O44/S44</f>
        <v>#DIV/0!</v>
      </c>
      <c r="AB44" s="762"/>
      <c r="AC44" s="762"/>
      <c r="AD44" s="762"/>
      <c r="AE44" s="763"/>
      <c r="AF44" s="282" t="s">
        <v>141</v>
      </c>
      <c r="AH44" s="260">
        <v>1</v>
      </c>
      <c r="AI44" s="291">
        <f>SUM(AI37:AI43)/AH44</f>
        <v>15.4</v>
      </c>
      <c r="AJ44" s="292">
        <f>SUM(AJ37:AJ43)/AH44</f>
        <v>25.8</v>
      </c>
      <c r="AK44" s="305">
        <f>SUM(AK37:AK43)/AH44</f>
        <v>5</v>
      </c>
      <c r="AL44" s="305">
        <f>SUM(AL37:AL43)/AH44</f>
        <v>5</v>
      </c>
      <c r="AM44" s="305">
        <f>SUM(AM37:AM43)/AH44</f>
        <v>4</v>
      </c>
      <c r="AN44" s="306">
        <f>SUM(AK44:AM44)/3</f>
        <v>4.666666666666667</v>
      </c>
      <c r="AO44" s="260" t="s">
        <v>131</v>
      </c>
      <c r="AP44" s="761">
        <v>884000</v>
      </c>
      <c r="AQ44" s="762"/>
      <c r="AR44" s="762"/>
      <c r="AS44" s="762"/>
      <c r="AT44" s="763"/>
      <c r="AU44" s="282" t="s">
        <v>141</v>
      </c>
    </row>
    <row r="45" spans="1:47" ht="23.5" customHeight="1" thickTop="1" x14ac:dyDescent="0.25">
      <c r="A45" s="710" t="s">
        <v>17</v>
      </c>
      <c r="B45" s="711"/>
      <c r="G45" s="713" t="s">
        <v>17</v>
      </c>
      <c r="H45" s="714"/>
      <c r="I45" s="714"/>
      <c r="J45" s="714"/>
      <c r="K45" s="714"/>
      <c r="L45" s="714"/>
      <c r="M45" s="714"/>
      <c r="N45" s="714"/>
      <c r="O45" s="714"/>
      <c r="P45" s="714"/>
      <c r="Q45" s="714"/>
      <c r="R45" s="715"/>
      <c r="T45" s="716" t="str">
        <f>G45</f>
        <v>5th week</v>
      </c>
      <c r="U45" s="716"/>
      <c r="V45" s="716"/>
      <c r="W45" s="716"/>
      <c r="X45" s="716"/>
      <c r="Y45" s="716"/>
      <c r="AI45" s="716">
        <f>V45</f>
        <v>0</v>
      </c>
      <c r="AJ45" s="716"/>
      <c r="AK45" s="716"/>
      <c r="AL45" s="716"/>
      <c r="AM45" s="716"/>
      <c r="AN45" s="716"/>
    </row>
    <row r="46" spans="1:47" ht="23.5" customHeight="1" x14ac:dyDescent="0.25">
      <c r="A46" s="53" t="s">
        <v>10</v>
      </c>
      <c r="B46" s="37" t="s">
        <v>11</v>
      </c>
      <c r="C46" s="2" t="s">
        <v>32</v>
      </c>
      <c r="D46" s="2" t="s">
        <v>33</v>
      </c>
      <c r="E46" s="2" t="s">
        <v>34</v>
      </c>
      <c r="F46" s="2" t="s">
        <v>35</v>
      </c>
      <c r="G46" s="103" t="s">
        <v>10</v>
      </c>
      <c r="H46" s="104" t="s">
        <v>11</v>
      </c>
      <c r="I46" s="104" t="s">
        <v>1</v>
      </c>
      <c r="J46" s="104" t="s">
        <v>30</v>
      </c>
      <c r="K46" s="104" t="s">
        <v>31</v>
      </c>
      <c r="L46" s="104" t="s">
        <v>28</v>
      </c>
      <c r="M46" s="104" t="s">
        <v>29</v>
      </c>
      <c r="N46" s="104" t="s">
        <v>72</v>
      </c>
      <c r="O46" s="104" t="s">
        <v>71</v>
      </c>
      <c r="P46" s="105" t="s">
        <v>48</v>
      </c>
      <c r="Q46" s="189" t="s">
        <v>74</v>
      </c>
      <c r="R46" s="106" t="s">
        <v>73</v>
      </c>
      <c r="T46" s="253" t="s">
        <v>116</v>
      </c>
      <c r="U46" s="254" t="s">
        <v>117</v>
      </c>
      <c r="V46" s="49" t="s">
        <v>118</v>
      </c>
      <c r="W46" s="49" t="s">
        <v>119</v>
      </c>
      <c r="X46" s="49" t="s">
        <v>120</v>
      </c>
      <c r="Y46" s="255" t="s">
        <v>128</v>
      </c>
      <c r="AA46" s="1" t="s">
        <v>123</v>
      </c>
      <c r="AC46" s="36" t="s">
        <v>126</v>
      </c>
      <c r="AI46" s="253" t="s">
        <v>116</v>
      </c>
      <c r="AJ46" s="254" t="s">
        <v>117</v>
      </c>
      <c r="AK46" s="49" t="s">
        <v>118</v>
      </c>
      <c r="AL46" s="49" t="s">
        <v>119</v>
      </c>
      <c r="AM46" s="49" t="s">
        <v>120</v>
      </c>
      <c r="AN46" s="255" t="s">
        <v>128</v>
      </c>
      <c r="AP46" s="1" t="s">
        <v>123</v>
      </c>
      <c r="AR46" s="36" t="s">
        <v>126</v>
      </c>
    </row>
    <row r="47" spans="1:47" ht="23.5" customHeight="1" x14ac:dyDescent="0.25">
      <c r="A47" s="54" t="s">
        <v>3</v>
      </c>
      <c r="B47" s="50">
        <v>26</v>
      </c>
      <c r="C47" s="42"/>
      <c r="D47" s="42"/>
      <c r="E47" s="42"/>
      <c r="F47" s="42"/>
      <c r="G47" s="107" t="s">
        <v>3</v>
      </c>
      <c r="H47" s="120">
        <f>B47</f>
        <v>26</v>
      </c>
      <c r="I47" s="74"/>
      <c r="J47" s="108"/>
      <c r="K47" s="108" t="e">
        <f t="shared" ref="K47:K54" si="32">J47/I47</f>
        <v>#DIV/0!</v>
      </c>
      <c r="L47" s="108"/>
      <c r="M47" s="109" t="e">
        <f t="shared" ref="M47:M54" si="33">L47/I47</f>
        <v>#DIV/0!</v>
      </c>
      <c r="N47" s="109"/>
      <c r="O47" s="110">
        <f t="shared" ref="O47:O53" si="34">J47+L47+N47</f>
        <v>0</v>
      </c>
      <c r="P47" s="111" t="e">
        <f>O47/I47</f>
        <v>#DIV/0!</v>
      </c>
      <c r="Q47" s="190"/>
      <c r="R47" s="112" t="e">
        <f>O47/Q47</f>
        <v>#DIV/0!</v>
      </c>
      <c r="T47" s="248"/>
      <c r="U47" s="248"/>
      <c r="V47" s="256"/>
      <c r="W47" s="256"/>
      <c r="X47" s="256"/>
      <c r="Y47" s="272">
        <f>SUM(V47:X47)/3</f>
        <v>0</v>
      </c>
      <c r="AA47" s="271" t="s">
        <v>124</v>
      </c>
      <c r="AB47" s="2"/>
      <c r="AC47" s="270">
        <v>5</v>
      </c>
      <c r="AI47" s="248">
        <v>15.8</v>
      </c>
      <c r="AJ47" s="248">
        <v>23</v>
      </c>
      <c r="AK47" s="256">
        <v>1</v>
      </c>
      <c r="AL47" s="256">
        <v>1</v>
      </c>
      <c r="AM47" s="256">
        <v>1</v>
      </c>
      <c r="AN47" s="272">
        <f>SUM(AK47:AM47)/3</f>
        <v>1</v>
      </c>
      <c r="AP47" s="271" t="s">
        <v>124</v>
      </c>
      <c r="AQ47" s="2"/>
      <c r="AR47" s="270">
        <v>5</v>
      </c>
    </row>
    <row r="48" spans="1:47" ht="23.5" customHeight="1" x14ac:dyDescent="0.25">
      <c r="A48" s="55" t="s">
        <v>4</v>
      </c>
      <c r="B48" s="50">
        <v>27</v>
      </c>
      <c r="C48" s="42"/>
      <c r="D48" s="42"/>
      <c r="E48" s="42"/>
      <c r="F48" s="42"/>
      <c r="G48" s="103" t="s">
        <v>4</v>
      </c>
      <c r="H48" s="120">
        <f t="shared" ref="H48:H53" si="35">B48</f>
        <v>27</v>
      </c>
      <c r="I48" s="74">
        <v>17</v>
      </c>
      <c r="J48" s="108">
        <v>43000</v>
      </c>
      <c r="K48" s="108">
        <f t="shared" si="32"/>
        <v>2529.4117647058824</v>
      </c>
      <c r="L48" s="108">
        <v>26200</v>
      </c>
      <c r="M48" s="109">
        <f t="shared" si="33"/>
        <v>1541.1764705882354</v>
      </c>
      <c r="N48" s="109"/>
      <c r="O48" s="110">
        <f t="shared" si="34"/>
        <v>69200</v>
      </c>
      <c r="P48" s="111">
        <f t="shared" ref="P48:P53" si="36">O48/I48</f>
        <v>4070.5882352941176</v>
      </c>
      <c r="Q48" s="190"/>
      <c r="R48" s="112" t="e">
        <f t="shared" ref="R48:R53" si="37">O48/Q48</f>
        <v>#DIV/0!</v>
      </c>
      <c r="T48" s="248">
        <v>12.3</v>
      </c>
      <c r="U48" s="248">
        <v>19.2</v>
      </c>
      <c r="V48" s="256">
        <v>0</v>
      </c>
      <c r="W48" s="256">
        <v>0</v>
      </c>
      <c r="X48" s="256">
        <v>1</v>
      </c>
      <c r="Y48" s="272">
        <f t="shared" ref="Y48:Y53" si="38">SUM(V48:X48)/3</f>
        <v>0.33333333333333331</v>
      </c>
      <c r="AA48" s="35" t="s">
        <v>125</v>
      </c>
      <c r="AC48" s="1">
        <v>4</v>
      </c>
      <c r="AI48" s="248">
        <v>14</v>
      </c>
      <c r="AJ48" s="248">
        <v>16.399999999999999</v>
      </c>
      <c r="AK48" s="256">
        <v>2</v>
      </c>
      <c r="AL48" s="256">
        <v>2</v>
      </c>
      <c r="AM48" s="256">
        <v>2</v>
      </c>
      <c r="AN48" s="272">
        <f t="shared" ref="AN48:AN53" si="39">SUM(AK48:AM48)/3</f>
        <v>2</v>
      </c>
      <c r="AP48" s="35" t="s">
        <v>125</v>
      </c>
      <c r="AR48" s="1">
        <v>4</v>
      </c>
    </row>
    <row r="49" spans="1:47" ht="23.5" customHeight="1" x14ac:dyDescent="0.25">
      <c r="A49" s="55" t="s">
        <v>5</v>
      </c>
      <c r="B49" s="50">
        <v>28</v>
      </c>
      <c r="C49" s="42"/>
      <c r="D49" s="42"/>
      <c r="E49" s="42"/>
      <c r="F49" s="42"/>
      <c r="G49" s="103" t="s">
        <v>5</v>
      </c>
      <c r="H49" s="120">
        <f t="shared" si="35"/>
        <v>28</v>
      </c>
      <c r="I49" s="74">
        <v>16</v>
      </c>
      <c r="J49" s="108">
        <v>43400</v>
      </c>
      <c r="K49" s="108">
        <f t="shared" si="32"/>
        <v>2712.5</v>
      </c>
      <c r="L49" s="108">
        <v>22550</v>
      </c>
      <c r="M49" s="109">
        <f t="shared" si="33"/>
        <v>1409.375</v>
      </c>
      <c r="N49" s="109">
        <v>550</v>
      </c>
      <c r="O49" s="110">
        <f t="shared" si="34"/>
        <v>66500</v>
      </c>
      <c r="P49" s="111">
        <f t="shared" si="36"/>
        <v>4156.25</v>
      </c>
      <c r="Q49" s="190"/>
      <c r="R49" s="112" t="e">
        <f t="shared" si="37"/>
        <v>#DIV/0!</v>
      </c>
      <c r="T49" s="248">
        <v>15.1</v>
      </c>
      <c r="U49" s="248">
        <v>19.2</v>
      </c>
      <c r="V49" s="256">
        <v>1</v>
      </c>
      <c r="W49" s="256">
        <v>1</v>
      </c>
      <c r="X49" s="256">
        <v>2</v>
      </c>
      <c r="Y49" s="272">
        <f t="shared" si="38"/>
        <v>1.3333333333333333</v>
      </c>
      <c r="AA49" s="35" t="s">
        <v>182</v>
      </c>
      <c r="AC49" s="1">
        <v>3</v>
      </c>
      <c r="AI49" s="248">
        <v>10.199999999999999</v>
      </c>
      <c r="AJ49" s="248">
        <v>15.1</v>
      </c>
      <c r="AK49" s="256">
        <v>2</v>
      </c>
      <c r="AL49" s="256">
        <v>1</v>
      </c>
      <c r="AM49" s="256">
        <v>1</v>
      </c>
      <c r="AN49" s="272">
        <f t="shared" si="39"/>
        <v>1.3333333333333333</v>
      </c>
      <c r="AP49" s="35" t="s">
        <v>129</v>
      </c>
      <c r="AR49" s="1">
        <v>3</v>
      </c>
    </row>
    <row r="50" spans="1:47" ht="23.5" customHeight="1" x14ac:dyDescent="0.25">
      <c r="A50" s="55" t="s">
        <v>6</v>
      </c>
      <c r="B50" s="50">
        <v>29</v>
      </c>
      <c r="C50" s="42"/>
      <c r="D50" s="42"/>
      <c r="E50" s="42"/>
      <c r="F50" s="42"/>
      <c r="G50" s="103" t="s">
        <v>6</v>
      </c>
      <c r="H50" s="120">
        <f t="shared" si="35"/>
        <v>29</v>
      </c>
      <c r="I50" s="74">
        <v>9</v>
      </c>
      <c r="J50" s="108">
        <v>9700</v>
      </c>
      <c r="K50" s="108">
        <f t="shared" si="32"/>
        <v>1077.7777777777778</v>
      </c>
      <c r="L50" s="108">
        <v>11600</v>
      </c>
      <c r="M50" s="109">
        <f t="shared" si="33"/>
        <v>1288.8888888888889</v>
      </c>
      <c r="N50" s="109"/>
      <c r="O50" s="110">
        <f t="shared" si="34"/>
        <v>21300</v>
      </c>
      <c r="P50" s="111">
        <f t="shared" si="36"/>
        <v>2366.6666666666665</v>
      </c>
      <c r="Q50" s="190"/>
      <c r="R50" s="112" t="e">
        <f t="shared" si="37"/>
        <v>#DIV/0!</v>
      </c>
      <c r="T50" s="248">
        <v>9.8000000000000007</v>
      </c>
      <c r="U50" s="248">
        <v>12.9</v>
      </c>
      <c r="V50" s="256">
        <v>2</v>
      </c>
      <c r="W50" s="256">
        <v>1</v>
      </c>
      <c r="X50" s="256">
        <v>1</v>
      </c>
      <c r="Y50" s="272">
        <f t="shared" si="38"/>
        <v>1.3333333333333333</v>
      </c>
      <c r="AA50" s="35" t="s">
        <v>121</v>
      </c>
      <c r="AC50" s="1">
        <v>2</v>
      </c>
      <c r="AI50" s="248">
        <v>8</v>
      </c>
      <c r="AJ50" s="248">
        <v>19.600000000000001</v>
      </c>
      <c r="AK50" s="256">
        <v>4</v>
      </c>
      <c r="AL50" s="256">
        <v>4</v>
      </c>
      <c r="AM50" s="256">
        <v>4</v>
      </c>
      <c r="AN50" s="272">
        <f t="shared" si="39"/>
        <v>4</v>
      </c>
      <c r="AP50" s="35" t="s">
        <v>121</v>
      </c>
      <c r="AR50" s="1">
        <v>2</v>
      </c>
    </row>
    <row r="51" spans="1:47" ht="23.5" customHeight="1" x14ac:dyDescent="0.25">
      <c r="A51" s="55" t="s">
        <v>7</v>
      </c>
      <c r="B51" s="50">
        <v>30</v>
      </c>
      <c r="C51" s="42"/>
      <c r="D51" s="42"/>
      <c r="E51" s="42"/>
      <c r="F51" s="42"/>
      <c r="G51" s="103" t="s">
        <v>7</v>
      </c>
      <c r="H51" s="120">
        <f t="shared" si="35"/>
        <v>30</v>
      </c>
      <c r="I51" s="74">
        <v>24</v>
      </c>
      <c r="J51" s="108">
        <v>50950</v>
      </c>
      <c r="K51" s="108">
        <f t="shared" si="32"/>
        <v>2122.9166666666665</v>
      </c>
      <c r="L51" s="108">
        <v>32150</v>
      </c>
      <c r="M51" s="109">
        <f t="shared" si="33"/>
        <v>1339.5833333333333</v>
      </c>
      <c r="N51" s="109"/>
      <c r="O51" s="110">
        <f t="shared" si="34"/>
        <v>83100</v>
      </c>
      <c r="P51" s="111">
        <f t="shared" si="36"/>
        <v>3462.5</v>
      </c>
      <c r="Q51" s="190"/>
      <c r="R51" s="112" t="e">
        <f t="shared" si="37"/>
        <v>#DIV/0!</v>
      </c>
      <c r="T51" s="248">
        <v>9.6</v>
      </c>
      <c r="U51" s="248">
        <v>16</v>
      </c>
      <c r="V51" s="256">
        <v>2</v>
      </c>
      <c r="W51" s="256">
        <v>2</v>
      </c>
      <c r="X51" s="256">
        <v>1</v>
      </c>
      <c r="Y51" s="272">
        <f t="shared" si="38"/>
        <v>1.6666666666666667</v>
      </c>
      <c r="AA51" s="35" t="s">
        <v>122</v>
      </c>
      <c r="AC51" s="1">
        <v>1</v>
      </c>
      <c r="AI51" s="248"/>
      <c r="AJ51" s="248"/>
      <c r="AK51" s="256"/>
      <c r="AL51" s="256"/>
      <c r="AM51" s="256"/>
      <c r="AN51" s="272">
        <f t="shared" si="39"/>
        <v>0</v>
      </c>
      <c r="AP51" s="35" t="s">
        <v>122</v>
      </c>
      <c r="AR51" s="1">
        <v>1</v>
      </c>
    </row>
    <row r="52" spans="1:47" ht="23.5" customHeight="1" x14ac:dyDescent="0.25">
      <c r="A52" s="55" t="s">
        <v>8</v>
      </c>
      <c r="B52" s="50">
        <v>31</v>
      </c>
      <c r="C52" s="42"/>
      <c r="D52" s="42"/>
      <c r="E52" s="42"/>
      <c r="F52" s="42"/>
      <c r="G52" s="103" t="s">
        <v>8</v>
      </c>
      <c r="H52" s="120">
        <f t="shared" si="35"/>
        <v>31</v>
      </c>
      <c r="I52" s="74">
        <v>67</v>
      </c>
      <c r="J52" s="108">
        <v>183050</v>
      </c>
      <c r="K52" s="108">
        <f t="shared" si="32"/>
        <v>2732.0895522388059</v>
      </c>
      <c r="L52" s="108">
        <v>100400</v>
      </c>
      <c r="M52" s="109">
        <f t="shared" si="33"/>
        <v>1498.5074626865671</v>
      </c>
      <c r="N52" s="109">
        <v>4950</v>
      </c>
      <c r="O52" s="110">
        <f t="shared" si="34"/>
        <v>288400</v>
      </c>
      <c r="P52" s="111">
        <f t="shared" si="36"/>
        <v>4304.4776119402986</v>
      </c>
      <c r="Q52" s="190"/>
      <c r="R52" s="112" t="e">
        <f t="shared" si="37"/>
        <v>#DIV/0!</v>
      </c>
      <c r="T52" s="248">
        <v>11.1</v>
      </c>
      <c r="U52" s="248">
        <v>17.5</v>
      </c>
      <c r="V52" s="256">
        <v>1</v>
      </c>
      <c r="W52" s="256">
        <v>2</v>
      </c>
      <c r="X52" s="256">
        <v>3</v>
      </c>
      <c r="Y52" s="272">
        <f t="shared" si="38"/>
        <v>2</v>
      </c>
      <c r="AA52" s="35" t="s">
        <v>127</v>
      </c>
      <c r="AC52" s="1">
        <v>0</v>
      </c>
      <c r="AI52" s="248"/>
      <c r="AJ52" s="248"/>
      <c r="AK52" s="256"/>
      <c r="AL52" s="256"/>
      <c r="AM52" s="256"/>
      <c r="AN52" s="272">
        <f t="shared" si="39"/>
        <v>0</v>
      </c>
      <c r="AP52" s="35" t="s">
        <v>127</v>
      </c>
      <c r="AR52" s="1">
        <v>0</v>
      </c>
    </row>
    <row r="53" spans="1:47" ht="23.5" customHeight="1" thickBot="1" x14ac:dyDescent="0.3">
      <c r="A53" s="56" t="s">
        <v>9</v>
      </c>
      <c r="B53" s="50"/>
      <c r="C53" s="42"/>
      <c r="D53" s="42"/>
      <c r="E53" s="42"/>
      <c r="F53" s="42"/>
      <c r="G53" s="113" t="s">
        <v>9</v>
      </c>
      <c r="H53" s="120">
        <f t="shared" si="35"/>
        <v>0</v>
      </c>
      <c r="I53" s="74"/>
      <c r="J53" s="108">
        <v>0</v>
      </c>
      <c r="K53" s="108" t="e">
        <f t="shared" si="32"/>
        <v>#DIV/0!</v>
      </c>
      <c r="L53" s="108">
        <v>0</v>
      </c>
      <c r="M53" s="109" t="e">
        <f t="shared" si="33"/>
        <v>#DIV/0!</v>
      </c>
      <c r="N53" s="109">
        <v>0</v>
      </c>
      <c r="O53" s="110">
        <f t="shared" si="34"/>
        <v>0</v>
      </c>
      <c r="P53" s="111" t="e">
        <f t="shared" si="36"/>
        <v>#DIV/0!</v>
      </c>
      <c r="Q53" s="190"/>
      <c r="R53" s="112" t="e">
        <f t="shared" si="37"/>
        <v>#DIV/0!</v>
      </c>
      <c r="T53" s="249"/>
      <c r="U53" s="249"/>
      <c r="V53" s="257"/>
      <c r="W53" s="256"/>
      <c r="X53" s="256"/>
      <c r="Y53" s="273">
        <f t="shared" si="38"/>
        <v>0</v>
      </c>
      <c r="AA53" s="1" t="s">
        <v>130</v>
      </c>
      <c r="AI53" s="249"/>
      <c r="AJ53" s="249"/>
      <c r="AK53" s="257"/>
      <c r="AL53" s="256"/>
      <c r="AM53" s="256"/>
      <c r="AN53" s="273">
        <f t="shared" si="39"/>
        <v>0</v>
      </c>
      <c r="AP53" s="1" t="s">
        <v>130</v>
      </c>
    </row>
    <row r="54" spans="1:47" ht="37" customHeight="1" thickTop="1" thickBot="1" x14ac:dyDescent="0.3">
      <c r="A54" s="724" t="s">
        <v>13</v>
      </c>
      <c r="B54" s="725"/>
      <c r="C54" s="35" t="s">
        <v>36</v>
      </c>
      <c r="D54" s="44" t="e">
        <f>#REF!/F54</f>
        <v>#REF!</v>
      </c>
      <c r="E54" s="45" t="s">
        <v>37</v>
      </c>
      <c r="F54" s="35" t="e">
        <f>#REF!</f>
        <v>#REF!</v>
      </c>
      <c r="G54" s="726" t="s">
        <v>13</v>
      </c>
      <c r="H54" s="727"/>
      <c r="I54" s="121">
        <f>SUM(I47:I53)</f>
        <v>133</v>
      </c>
      <c r="J54" s="121">
        <f>SUM(J47:J53)</f>
        <v>330100</v>
      </c>
      <c r="K54" s="121">
        <f t="shared" si="32"/>
        <v>2481.9548872180453</v>
      </c>
      <c r="L54" s="121">
        <f>SUM(L47:L53)</f>
        <v>192900</v>
      </c>
      <c r="M54" s="122">
        <f t="shared" si="33"/>
        <v>1450.375939849624</v>
      </c>
      <c r="N54" s="122">
        <f>M54/J54</f>
        <v>4.3937471670694459E-3</v>
      </c>
      <c r="O54" s="121">
        <f>J54+L54</f>
        <v>523000</v>
      </c>
      <c r="P54" s="123">
        <f>O54/I54</f>
        <v>3932.3308270676694</v>
      </c>
      <c r="Q54" s="192">
        <f>SUM(Q47:Q53)</f>
        <v>0</v>
      </c>
      <c r="R54" s="124" t="e">
        <f>O54/Q54</f>
        <v>#DIV/0!</v>
      </c>
      <c r="S54" s="260">
        <v>5</v>
      </c>
      <c r="T54" s="291">
        <f>SUM(T47:T53)/S54</f>
        <v>11.580000000000002</v>
      </c>
      <c r="U54" s="292">
        <f>SUM(U47:U53)/S54</f>
        <v>16.96</v>
      </c>
      <c r="V54" s="305">
        <f>SUM(V47:V53)/S54</f>
        <v>1.2</v>
      </c>
      <c r="W54" s="305">
        <f>SUM(W47:W53)/S54</f>
        <v>1.2</v>
      </c>
      <c r="X54" s="305">
        <f>SUM(X47:X53)/S54</f>
        <v>1.6</v>
      </c>
      <c r="Y54" s="306">
        <f>SUM(V54:X54)/3</f>
        <v>1.3333333333333333</v>
      </c>
      <c r="Z54" s="260" t="s">
        <v>214</v>
      </c>
      <c r="AA54" s="761">
        <f>O54/S54</f>
        <v>104600</v>
      </c>
      <c r="AB54" s="762"/>
      <c r="AC54" s="762"/>
      <c r="AD54" s="762"/>
      <c r="AE54" s="763"/>
      <c r="AF54" s="282" t="s">
        <v>141</v>
      </c>
      <c r="AH54" s="260">
        <v>4</v>
      </c>
      <c r="AI54" s="291">
        <f>SUM(AI47:AI53)/AH54</f>
        <v>12</v>
      </c>
      <c r="AJ54" s="292">
        <f>SUM(AJ47:AJ53)/AH54</f>
        <v>18.524999999999999</v>
      </c>
      <c r="AK54" s="305">
        <f>SUM(AK47:AK53)/AH54</f>
        <v>2.25</v>
      </c>
      <c r="AL54" s="305">
        <f>SUM(AL47:AL53)/AH54</f>
        <v>2</v>
      </c>
      <c r="AM54" s="305">
        <f>SUM(AM47:AM53)/AH54</f>
        <v>2</v>
      </c>
      <c r="AN54" s="306">
        <f>SUM(AK54:AM54)/3</f>
        <v>2.0833333333333335</v>
      </c>
      <c r="AO54" s="260" t="s">
        <v>132</v>
      </c>
      <c r="AP54" s="761">
        <v>272687.5</v>
      </c>
      <c r="AQ54" s="762"/>
      <c r="AR54" s="762"/>
      <c r="AS54" s="762"/>
      <c r="AT54" s="763"/>
      <c r="AU54" s="282" t="s">
        <v>141</v>
      </c>
    </row>
    <row r="55" spans="1:47" ht="23.5" customHeight="1" thickTop="1" x14ac:dyDescent="0.25">
      <c r="A55" s="710" t="s">
        <v>18</v>
      </c>
      <c r="B55" s="711"/>
      <c r="G55" s="713" t="s">
        <v>18</v>
      </c>
      <c r="H55" s="714"/>
      <c r="I55" s="714"/>
      <c r="J55" s="714"/>
      <c r="K55" s="714"/>
      <c r="L55" s="714"/>
      <c r="M55" s="714"/>
      <c r="N55" s="714"/>
      <c r="O55" s="714"/>
      <c r="P55" s="714"/>
      <c r="Q55" s="714"/>
      <c r="R55" s="715"/>
      <c r="T55" s="716" t="str">
        <f>G55</f>
        <v>6th week</v>
      </c>
      <c r="U55" s="716"/>
      <c r="V55" s="716"/>
      <c r="W55" s="716"/>
      <c r="X55" s="716"/>
      <c r="Y55" s="716"/>
      <c r="AI55" s="716">
        <f>V55</f>
        <v>0</v>
      </c>
      <c r="AJ55" s="716"/>
      <c r="AK55" s="716"/>
      <c r="AL55" s="716"/>
      <c r="AM55" s="716"/>
      <c r="AN55" s="716"/>
    </row>
    <row r="56" spans="1:47" ht="23.5" customHeight="1" x14ac:dyDescent="0.25">
      <c r="A56" s="53" t="s">
        <v>10</v>
      </c>
      <c r="B56" s="37" t="s">
        <v>11</v>
      </c>
      <c r="C56" s="2" t="s">
        <v>32</v>
      </c>
      <c r="D56" s="2" t="s">
        <v>33</v>
      </c>
      <c r="E56" s="2" t="s">
        <v>34</v>
      </c>
      <c r="F56" s="2" t="s">
        <v>35</v>
      </c>
      <c r="G56" s="103" t="s">
        <v>10</v>
      </c>
      <c r="H56" s="104" t="s">
        <v>11</v>
      </c>
      <c r="I56" s="104" t="s">
        <v>1</v>
      </c>
      <c r="J56" s="104" t="s">
        <v>30</v>
      </c>
      <c r="K56" s="104" t="s">
        <v>31</v>
      </c>
      <c r="L56" s="104" t="s">
        <v>28</v>
      </c>
      <c r="M56" s="104" t="s">
        <v>29</v>
      </c>
      <c r="N56" s="104" t="s">
        <v>72</v>
      </c>
      <c r="O56" s="104" t="s">
        <v>71</v>
      </c>
      <c r="P56" s="105" t="s">
        <v>48</v>
      </c>
      <c r="Q56" s="189" t="s">
        <v>74</v>
      </c>
      <c r="R56" s="106" t="s">
        <v>73</v>
      </c>
      <c r="T56" s="253" t="s">
        <v>116</v>
      </c>
      <c r="U56" s="254" t="s">
        <v>117</v>
      </c>
      <c r="V56" s="49" t="s">
        <v>118</v>
      </c>
      <c r="W56" s="49" t="s">
        <v>119</v>
      </c>
      <c r="X56" s="49" t="s">
        <v>120</v>
      </c>
      <c r="Y56" s="255" t="s">
        <v>128</v>
      </c>
      <c r="AA56" s="1" t="s">
        <v>123</v>
      </c>
      <c r="AC56" s="36" t="s">
        <v>126</v>
      </c>
      <c r="AI56" s="253" t="s">
        <v>116</v>
      </c>
      <c r="AJ56" s="254" t="s">
        <v>117</v>
      </c>
      <c r="AK56" s="49" t="s">
        <v>118</v>
      </c>
      <c r="AL56" s="49" t="s">
        <v>119</v>
      </c>
      <c r="AM56" s="49" t="s">
        <v>120</v>
      </c>
      <c r="AN56" s="255" t="s">
        <v>128</v>
      </c>
      <c r="AP56" s="1" t="s">
        <v>123</v>
      </c>
      <c r="AR56" s="36" t="s">
        <v>126</v>
      </c>
    </row>
    <row r="57" spans="1:47" ht="23.5" customHeight="1" x14ac:dyDescent="0.25">
      <c r="A57" s="54" t="s">
        <v>3</v>
      </c>
      <c r="B57" s="50"/>
      <c r="C57" s="42"/>
      <c r="D57" s="42"/>
      <c r="E57" s="42"/>
      <c r="F57" s="42"/>
      <c r="G57" s="107" t="s">
        <v>3</v>
      </c>
      <c r="H57" s="120">
        <f>B57</f>
        <v>0</v>
      </c>
      <c r="I57" s="74"/>
      <c r="J57" s="108">
        <v>0</v>
      </c>
      <c r="K57" s="108" t="e">
        <f>#REF!</f>
        <v>#REF!</v>
      </c>
      <c r="L57" s="108">
        <v>0</v>
      </c>
      <c r="M57" s="109" t="e">
        <f>#REF!</f>
        <v>#REF!</v>
      </c>
      <c r="N57" s="109"/>
      <c r="O57" s="110">
        <f t="shared" ref="O57:O63" si="40">J57+L57+N57</f>
        <v>0</v>
      </c>
      <c r="P57" s="111" t="e">
        <f>O57/I57</f>
        <v>#DIV/0!</v>
      </c>
      <c r="Q57" s="190"/>
      <c r="R57" s="112" t="e">
        <f>O57/Q57</f>
        <v>#DIV/0!</v>
      </c>
      <c r="T57" s="248"/>
      <c r="U57" s="248"/>
      <c r="V57" s="256"/>
      <c r="W57" s="256"/>
      <c r="X57" s="256"/>
      <c r="Y57" s="272">
        <f>SUM(V57:X57)/3</f>
        <v>0</v>
      </c>
      <c r="AA57" s="271" t="s">
        <v>124</v>
      </c>
      <c r="AB57" s="2"/>
      <c r="AC57" s="270">
        <v>5</v>
      </c>
      <c r="AI57" s="248"/>
      <c r="AJ57" s="248"/>
      <c r="AK57" s="256"/>
      <c r="AL57" s="256"/>
      <c r="AM57" s="256"/>
      <c r="AN57" s="272">
        <f>SUM(AK57:AM57)/3</f>
        <v>0</v>
      </c>
      <c r="AP57" s="271" t="s">
        <v>124</v>
      </c>
      <c r="AQ57" s="2"/>
      <c r="AR57" s="270">
        <v>5</v>
      </c>
    </row>
    <row r="58" spans="1:47" ht="23.5" customHeight="1" x14ac:dyDescent="0.25">
      <c r="A58" s="55" t="s">
        <v>4</v>
      </c>
      <c r="B58" s="50"/>
      <c r="C58" s="42"/>
      <c r="D58" s="42"/>
      <c r="E58" s="42"/>
      <c r="F58" s="42"/>
      <c r="G58" s="103" t="s">
        <v>4</v>
      </c>
      <c r="H58" s="120">
        <f t="shared" ref="H58:H63" si="41">B58</f>
        <v>0</v>
      </c>
      <c r="I58" s="74"/>
      <c r="J58" s="108">
        <v>0</v>
      </c>
      <c r="K58" s="108" t="e">
        <f>#REF!</f>
        <v>#REF!</v>
      </c>
      <c r="L58" s="108">
        <v>0</v>
      </c>
      <c r="M58" s="109" t="e">
        <f>#REF!</f>
        <v>#REF!</v>
      </c>
      <c r="N58" s="109"/>
      <c r="O58" s="110">
        <f t="shared" si="40"/>
        <v>0</v>
      </c>
      <c r="P58" s="111" t="e">
        <f t="shared" ref="P58:P63" si="42">O58/I58</f>
        <v>#DIV/0!</v>
      </c>
      <c r="Q58" s="190"/>
      <c r="R58" s="112" t="e">
        <f t="shared" ref="R58:R64" si="43">O58/Q58</f>
        <v>#DIV/0!</v>
      </c>
      <c r="T58" s="248"/>
      <c r="U58" s="248"/>
      <c r="V58" s="256"/>
      <c r="W58" s="256"/>
      <c r="X58" s="256"/>
      <c r="Y58" s="272">
        <f t="shared" ref="Y58:Y63" si="44">SUM(V58:X58)/3</f>
        <v>0</v>
      </c>
      <c r="AA58" s="35" t="s">
        <v>125</v>
      </c>
      <c r="AC58" s="1">
        <v>4</v>
      </c>
      <c r="AI58" s="248"/>
      <c r="AJ58" s="248"/>
      <c r="AK58" s="256"/>
      <c r="AL58" s="256"/>
      <c r="AM58" s="256"/>
      <c r="AN58" s="272">
        <f t="shared" ref="AN58:AN63" si="45">SUM(AK58:AM58)/3</f>
        <v>0</v>
      </c>
      <c r="AP58" s="35" t="s">
        <v>125</v>
      </c>
      <c r="AR58" s="1">
        <v>4</v>
      </c>
    </row>
    <row r="59" spans="1:47" ht="23.5" customHeight="1" x14ac:dyDescent="0.25">
      <c r="A59" s="55" t="s">
        <v>5</v>
      </c>
      <c r="B59" s="50"/>
      <c r="C59" s="42"/>
      <c r="D59" s="42"/>
      <c r="E59" s="42"/>
      <c r="F59" s="42"/>
      <c r="G59" s="103" t="s">
        <v>5</v>
      </c>
      <c r="H59" s="120">
        <f t="shared" si="41"/>
        <v>0</v>
      </c>
      <c r="I59" s="74"/>
      <c r="J59" s="108">
        <v>0</v>
      </c>
      <c r="K59" s="108" t="e">
        <f>#REF!</f>
        <v>#REF!</v>
      </c>
      <c r="L59" s="108">
        <v>0</v>
      </c>
      <c r="M59" s="109" t="e">
        <f>#REF!</f>
        <v>#REF!</v>
      </c>
      <c r="N59" s="109"/>
      <c r="O59" s="110">
        <f t="shared" si="40"/>
        <v>0</v>
      </c>
      <c r="P59" s="111" t="e">
        <f t="shared" si="42"/>
        <v>#DIV/0!</v>
      </c>
      <c r="Q59" s="190"/>
      <c r="R59" s="112" t="e">
        <f t="shared" si="43"/>
        <v>#DIV/0!</v>
      </c>
      <c r="T59" s="248"/>
      <c r="U59" s="248"/>
      <c r="V59" s="256"/>
      <c r="W59" s="256"/>
      <c r="X59" s="256"/>
      <c r="Y59" s="272">
        <f t="shared" si="44"/>
        <v>0</v>
      </c>
      <c r="AA59" s="35" t="s">
        <v>182</v>
      </c>
      <c r="AC59" s="1">
        <v>3</v>
      </c>
      <c r="AI59" s="248"/>
      <c r="AJ59" s="248"/>
      <c r="AK59" s="256"/>
      <c r="AL59" s="256"/>
      <c r="AM59" s="256"/>
      <c r="AN59" s="272">
        <f t="shared" si="45"/>
        <v>0</v>
      </c>
      <c r="AP59" s="35" t="s">
        <v>129</v>
      </c>
      <c r="AR59" s="1">
        <v>3</v>
      </c>
    </row>
    <row r="60" spans="1:47" ht="23.5" customHeight="1" x14ac:dyDescent="0.25">
      <c r="A60" s="55" t="s">
        <v>6</v>
      </c>
      <c r="B60" s="50"/>
      <c r="C60" s="42"/>
      <c r="D60" s="42"/>
      <c r="E60" s="42"/>
      <c r="F60" s="42"/>
      <c r="G60" s="103" t="s">
        <v>6</v>
      </c>
      <c r="H60" s="120">
        <f t="shared" si="41"/>
        <v>0</v>
      </c>
      <c r="I60" s="74"/>
      <c r="J60" s="108">
        <v>0</v>
      </c>
      <c r="K60" s="108" t="e">
        <f>#REF!</f>
        <v>#REF!</v>
      </c>
      <c r="L60" s="108">
        <v>0</v>
      </c>
      <c r="M60" s="109" t="e">
        <f>#REF!</f>
        <v>#REF!</v>
      </c>
      <c r="N60" s="109"/>
      <c r="O60" s="110">
        <f t="shared" si="40"/>
        <v>0</v>
      </c>
      <c r="P60" s="111" t="e">
        <f t="shared" si="42"/>
        <v>#DIV/0!</v>
      </c>
      <c r="Q60" s="190"/>
      <c r="R60" s="112" t="e">
        <f t="shared" si="43"/>
        <v>#DIV/0!</v>
      </c>
      <c r="T60" s="248"/>
      <c r="U60" s="248"/>
      <c r="V60" s="256"/>
      <c r="W60" s="256"/>
      <c r="X60" s="256"/>
      <c r="Y60" s="272">
        <f t="shared" si="44"/>
        <v>0</v>
      </c>
      <c r="AA60" s="35" t="s">
        <v>121</v>
      </c>
      <c r="AC60" s="1">
        <v>2</v>
      </c>
      <c r="AI60" s="248"/>
      <c r="AJ60" s="248"/>
      <c r="AK60" s="256"/>
      <c r="AL60" s="256"/>
      <c r="AM60" s="256"/>
      <c r="AN60" s="272">
        <f t="shared" si="45"/>
        <v>0</v>
      </c>
      <c r="AP60" s="35" t="s">
        <v>121</v>
      </c>
      <c r="AR60" s="1">
        <v>2</v>
      </c>
    </row>
    <row r="61" spans="1:47" ht="23.5" customHeight="1" x14ac:dyDescent="0.25">
      <c r="A61" s="55" t="s">
        <v>7</v>
      </c>
      <c r="B61" s="50"/>
      <c r="C61" s="42"/>
      <c r="D61" s="42"/>
      <c r="E61" s="42"/>
      <c r="F61" s="42"/>
      <c r="G61" s="103" t="s">
        <v>7</v>
      </c>
      <c r="H61" s="120">
        <f t="shared" si="41"/>
        <v>0</v>
      </c>
      <c r="I61" s="74"/>
      <c r="J61" s="108">
        <v>0</v>
      </c>
      <c r="K61" s="108" t="e">
        <f>#REF!</f>
        <v>#REF!</v>
      </c>
      <c r="L61" s="108">
        <v>0</v>
      </c>
      <c r="M61" s="109" t="e">
        <f>#REF!</f>
        <v>#REF!</v>
      </c>
      <c r="N61" s="109"/>
      <c r="O61" s="110">
        <f t="shared" si="40"/>
        <v>0</v>
      </c>
      <c r="P61" s="111" t="e">
        <f t="shared" si="42"/>
        <v>#DIV/0!</v>
      </c>
      <c r="Q61" s="190"/>
      <c r="R61" s="112" t="e">
        <f t="shared" si="43"/>
        <v>#DIV/0!</v>
      </c>
      <c r="T61" s="248"/>
      <c r="U61" s="248"/>
      <c r="V61" s="256"/>
      <c r="W61" s="256"/>
      <c r="X61" s="256"/>
      <c r="Y61" s="272">
        <f t="shared" si="44"/>
        <v>0</v>
      </c>
      <c r="AA61" s="35" t="s">
        <v>122</v>
      </c>
      <c r="AC61" s="1">
        <v>1</v>
      </c>
      <c r="AI61" s="248"/>
      <c r="AJ61" s="248"/>
      <c r="AK61" s="256"/>
      <c r="AL61" s="256"/>
      <c r="AM61" s="256"/>
      <c r="AN61" s="272">
        <f t="shared" si="45"/>
        <v>0</v>
      </c>
      <c r="AP61" s="35" t="s">
        <v>122</v>
      </c>
      <c r="AR61" s="1">
        <v>1</v>
      </c>
    </row>
    <row r="62" spans="1:47" ht="23.5" customHeight="1" x14ac:dyDescent="0.25">
      <c r="A62" s="55" t="s">
        <v>8</v>
      </c>
      <c r="B62" s="50"/>
      <c r="C62" s="42"/>
      <c r="D62" s="42"/>
      <c r="E62" s="42"/>
      <c r="F62" s="42"/>
      <c r="G62" s="103" t="s">
        <v>8</v>
      </c>
      <c r="H62" s="120">
        <f t="shared" si="41"/>
        <v>0</v>
      </c>
      <c r="I62" s="74"/>
      <c r="J62" s="108">
        <v>0</v>
      </c>
      <c r="K62" s="108" t="e">
        <f>#REF!</f>
        <v>#REF!</v>
      </c>
      <c r="L62" s="108">
        <v>0</v>
      </c>
      <c r="M62" s="109" t="e">
        <f>#REF!</f>
        <v>#REF!</v>
      </c>
      <c r="N62" s="109"/>
      <c r="O62" s="110">
        <f t="shared" si="40"/>
        <v>0</v>
      </c>
      <c r="P62" s="111" t="e">
        <f t="shared" si="42"/>
        <v>#DIV/0!</v>
      </c>
      <c r="Q62" s="190"/>
      <c r="R62" s="112" t="e">
        <f t="shared" si="43"/>
        <v>#DIV/0!</v>
      </c>
      <c r="T62" s="248"/>
      <c r="U62" s="248"/>
      <c r="V62" s="256"/>
      <c r="W62" s="256"/>
      <c r="X62" s="256"/>
      <c r="Y62" s="272">
        <f t="shared" si="44"/>
        <v>0</v>
      </c>
      <c r="AA62" s="35" t="s">
        <v>127</v>
      </c>
      <c r="AC62" s="1">
        <v>0</v>
      </c>
      <c r="AI62" s="248"/>
      <c r="AJ62" s="248"/>
      <c r="AK62" s="256"/>
      <c r="AL62" s="256"/>
      <c r="AM62" s="256"/>
      <c r="AN62" s="272">
        <f t="shared" si="45"/>
        <v>0</v>
      </c>
      <c r="AP62" s="35" t="s">
        <v>127</v>
      </c>
      <c r="AR62" s="1">
        <v>0</v>
      </c>
    </row>
    <row r="63" spans="1:47" ht="23.5" customHeight="1" thickBot="1" x14ac:dyDescent="0.3">
      <c r="A63" s="56" t="s">
        <v>9</v>
      </c>
      <c r="B63" s="50"/>
      <c r="C63" s="42"/>
      <c r="D63" s="42"/>
      <c r="E63" s="42"/>
      <c r="F63" s="42"/>
      <c r="G63" s="113" t="s">
        <v>9</v>
      </c>
      <c r="H63" s="120">
        <f t="shared" si="41"/>
        <v>0</v>
      </c>
      <c r="I63" s="74"/>
      <c r="J63" s="108"/>
      <c r="K63" s="108" t="e">
        <f>J63/I63</f>
        <v>#DIV/0!</v>
      </c>
      <c r="L63" s="108"/>
      <c r="M63" s="109" t="e">
        <f>L63/I63</f>
        <v>#DIV/0!</v>
      </c>
      <c r="N63" s="109">
        <v>0</v>
      </c>
      <c r="O63" s="110">
        <f t="shared" si="40"/>
        <v>0</v>
      </c>
      <c r="P63" s="111" t="e">
        <f t="shared" si="42"/>
        <v>#DIV/0!</v>
      </c>
      <c r="Q63" s="190"/>
      <c r="R63" s="112" t="e">
        <f t="shared" si="43"/>
        <v>#DIV/0!</v>
      </c>
      <c r="T63" s="249"/>
      <c r="U63" s="249"/>
      <c r="V63" s="257"/>
      <c r="W63" s="257"/>
      <c r="X63" s="257"/>
      <c r="Y63" s="273">
        <f t="shared" si="44"/>
        <v>0</v>
      </c>
      <c r="AA63" s="1" t="s">
        <v>130</v>
      </c>
      <c r="AI63" s="249"/>
      <c r="AJ63" s="249"/>
      <c r="AK63" s="257"/>
      <c r="AL63" s="257"/>
      <c r="AM63" s="257"/>
      <c r="AN63" s="273">
        <f t="shared" si="45"/>
        <v>0</v>
      </c>
      <c r="AP63" s="1" t="s">
        <v>130</v>
      </c>
    </row>
    <row r="64" spans="1:47" ht="35" customHeight="1" thickTop="1" thickBot="1" x14ac:dyDescent="0.3">
      <c r="A64" s="724" t="s">
        <v>13</v>
      </c>
      <c r="B64" s="725"/>
      <c r="C64" s="35" t="s">
        <v>36</v>
      </c>
      <c r="D64" s="44" t="e">
        <f>#REF!/F64</f>
        <v>#REF!</v>
      </c>
      <c r="E64" s="45" t="s">
        <v>37</v>
      </c>
      <c r="F64" s="35" t="e">
        <f>#REF!</f>
        <v>#REF!</v>
      </c>
      <c r="G64" s="726" t="s">
        <v>13</v>
      </c>
      <c r="H64" s="727"/>
      <c r="I64" s="108">
        <f>SUM(I57:I63)</f>
        <v>0</v>
      </c>
      <c r="J64" s="108">
        <f>SUM(J57:J63)</f>
        <v>0</v>
      </c>
      <c r="K64" s="108" t="e">
        <f>J64/I64</f>
        <v>#DIV/0!</v>
      </c>
      <c r="L64" s="108">
        <f>SUM(L57:L63)</f>
        <v>0</v>
      </c>
      <c r="M64" s="109" t="e">
        <f>L64/I64</f>
        <v>#DIV/0!</v>
      </c>
      <c r="N64" s="109" t="e">
        <f>M64/J64</f>
        <v>#DIV/0!</v>
      </c>
      <c r="O64" s="110">
        <f>J64+L64</f>
        <v>0</v>
      </c>
      <c r="P64" s="111" t="e">
        <f>O64/I64</f>
        <v>#DIV/0!</v>
      </c>
      <c r="Q64" s="192">
        <f>SUM(Q57:Q63)</f>
        <v>0</v>
      </c>
      <c r="R64" s="112" t="e">
        <f t="shared" si="43"/>
        <v>#DIV/0!</v>
      </c>
      <c r="S64" s="260"/>
      <c r="T64" s="268" t="e">
        <f>SUM(T57:T63)/S64</f>
        <v>#DIV/0!</v>
      </c>
      <c r="U64" s="267" t="e">
        <f>SUM(U57:U63)/S64</f>
        <v>#DIV/0!</v>
      </c>
      <c r="V64" s="267" t="e">
        <f>SUM(V57:V63)/S64</f>
        <v>#DIV/0!</v>
      </c>
      <c r="W64" s="267" t="e">
        <f>SUM(W57:W63)/S64</f>
        <v>#DIV/0!</v>
      </c>
      <c r="X64" s="267" t="e">
        <f>SUM(X57:X63)/S64</f>
        <v>#DIV/0!</v>
      </c>
      <c r="Y64" s="269" t="e">
        <f>SUM(V64:X64)/3</f>
        <v>#DIV/0!</v>
      </c>
      <c r="Z64" s="260"/>
      <c r="AA64" s="761" t="e">
        <f>O64/S64</f>
        <v>#DIV/0!</v>
      </c>
      <c r="AB64" s="762"/>
      <c r="AC64" s="762"/>
      <c r="AD64" s="762"/>
      <c r="AE64" s="763"/>
      <c r="AF64" s="282" t="s">
        <v>141</v>
      </c>
      <c r="AH64" s="260"/>
      <c r="AI64" s="268" t="e">
        <f>SUM(AI57:AI63)/AH64</f>
        <v>#DIV/0!</v>
      </c>
      <c r="AJ64" s="267" t="e">
        <f>SUM(AJ57:AJ63)/AH64</f>
        <v>#DIV/0!</v>
      </c>
      <c r="AK64" s="267" t="e">
        <f>SUM(AK57:AK63)/AH64</f>
        <v>#DIV/0!</v>
      </c>
      <c r="AL64" s="267" t="e">
        <f>SUM(AL57:AL63)/AH64</f>
        <v>#DIV/0!</v>
      </c>
      <c r="AM64" s="267" t="e">
        <f>SUM(AM57:AM63)/AH64</f>
        <v>#DIV/0!</v>
      </c>
      <c r="AN64" s="269" t="e">
        <f>SUM(AK64:AM64)/3</f>
        <v>#DIV/0!</v>
      </c>
      <c r="AO64" s="260"/>
      <c r="AP64" s="761" t="e">
        <f>AD64/AH64</f>
        <v>#DIV/0!</v>
      </c>
      <c r="AQ64" s="762"/>
      <c r="AR64" s="762"/>
      <c r="AS64" s="762"/>
      <c r="AT64" s="763"/>
      <c r="AU64" s="282" t="s">
        <v>141</v>
      </c>
    </row>
    <row r="65" spans="1:47" ht="33.5" customHeight="1" thickTop="1" x14ac:dyDescent="0.25">
      <c r="A65" s="730" t="s">
        <v>2</v>
      </c>
      <c r="B65" s="731"/>
      <c r="G65" s="732" t="s">
        <v>2</v>
      </c>
      <c r="H65" s="733"/>
      <c r="I65" s="733"/>
      <c r="J65" s="733"/>
      <c r="K65" s="733"/>
      <c r="L65" s="733"/>
      <c r="M65" s="733"/>
      <c r="N65" s="733"/>
      <c r="O65" s="733"/>
      <c r="P65" s="733"/>
      <c r="Q65" s="733"/>
      <c r="R65" s="734"/>
      <c r="T65" s="716" t="str">
        <f>G65</f>
        <v>TOTAL</v>
      </c>
      <c r="U65" s="716"/>
      <c r="V65" s="716"/>
      <c r="W65" s="716"/>
      <c r="X65" s="716"/>
      <c r="Y65" s="716"/>
      <c r="AI65" s="716">
        <f>V65</f>
        <v>0</v>
      </c>
      <c r="AJ65" s="716"/>
      <c r="AK65" s="716"/>
      <c r="AL65" s="716"/>
      <c r="AM65" s="716"/>
      <c r="AN65" s="716"/>
    </row>
    <row r="66" spans="1:47" s="38" customFormat="1" ht="31" customHeight="1" x14ac:dyDescent="0.25">
      <c r="A66" s="79" t="s">
        <v>10</v>
      </c>
      <c r="B66" s="80" t="s">
        <v>19</v>
      </c>
      <c r="G66" s="114" t="s">
        <v>10</v>
      </c>
      <c r="H66" s="115" t="s">
        <v>19</v>
      </c>
      <c r="I66" s="115" t="s">
        <v>1</v>
      </c>
      <c r="J66" s="115" t="s">
        <v>30</v>
      </c>
      <c r="K66" s="115" t="s">
        <v>31</v>
      </c>
      <c r="L66" s="115" t="s">
        <v>28</v>
      </c>
      <c r="M66" s="115" t="s">
        <v>29</v>
      </c>
      <c r="N66" s="115"/>
      <c r="O66" s="115" t="s">
        <v>78</v>
      </c>
      <c r="P66" s="115" t="s">
        <v>77</v>
      </c>
      <c r="Q66" s="189" t="s">
        <v>74</v>
      </c>
      <c r="R66" s="106" t="s">
        <v>73</v>
      </c>
      <c r="T66" s="253" t="s">
        <v>116</v>
      </c>
      <c r="U66" s="254" t="s">
        <v>117</v>
      </c>
      <c r="V66" s="49" t="s">
        <v>118</v>
      </c>
      <c r="W66" s="49" t="s">
        <v>119</v>
      </c>
      <c r="X66" s="49" t="s">
        <v>120</v>
      </c>
      <c r="Y66" s="255" t="s">
        <v>128</v>
      </c>
      <c r="AA66" s="750" t="s">
        <v>204</v>
      </c>
      <c r="AB66" s="751"/>
      <c r="AC66" s="751"/>
      <c r="AD66" s="751"/>
      <c r="AE66" s="751"/>
      <c r="AF66" s="752"/>
      <c r="AI66" s="253" t="s">
        <v>116</v>
      </c>
      <c r="AJ66" s="254" t="s">
        <v>117</v>
      </c>
      <c r="AK66" s="49" t="s">
        <v>118</v>
      </c>
      <c r="AL66" s="49" t="s">
        <v>119</v>
      </c>
      <c r="AM66" s="49" t="s">
        <v>120</v>
      </c>
      <c r="AN66" s="255" t="s">
        <v>128</v>
      </c>
      <c r="AP66" s="750" t="s">
        <v>203</v>
      </c>
      <c r="AQ66" s="751"/>
      <c r="AR66" s="751"/>
      <c r="AS66" s="751"/>
      <c r="AT66" s="751"/>
      <c r="AU66" s="752"/>
    </row>
    <row r="67" spans="1:47" ht="31" customHeight="1" x14ac:dyDescent="0.25">
      <c r="A67" s="54" t="s">
        <v>3</v>
      </c>
      <c r="B67" s="43"/>
      <c r="C67" s="42"/>
      <c r="D67" s="42"/>
      <c r="E67" s="42"/>
      <c r="F67" s="42"/>
      <c r="G67" s="107" t="s">
        <v>3</v>
      </c>
      <c r="H67" s="117"/>
      <c r="I67" s="109">
        <f t="shared" ref="I67:J70" si="46">I7+I17+I27+I37+I47+I57</f>
        <v>0</v>
      </c>
      <c r="J67" s="109">
        <f t="shared" si="46"/>
        <v>0</v>
      </c>
      <c r="K67" s="108" t="e">
        <f t="shared" ref="K67:K74" si="47">J67/I67</f>
        <v>#DIV/0!</v>
      </c>
      <c r="L67" s="109">
        <f>L7+L17+L27+L37+L47+L57</f>
        <v>0</v>
      </c>
      <c r="M67" s="109" t="e">
        <f>L67/I67</f>
        <v>#DIV/0!</v>
      </c>
      <c r="N67" s="109"/>
      <c r="O67" s="74">
        <f t="shared" ref="O67:Q70" si="48">O7+O17+O27+O37+O47+O57</f>
        <v>0</v>
      </c>
      <c r="P67" s="109" t="e">
        <f t="shared" si="48"/>
        <v>#DIV/0!</v>
      </c>
      <c r="Q67" s="193">
        <f t="shared" si="48"/>
        <v>0</v>
      </c>
      <c r="R67" s="134" t="e">
        <f>O67/Q67</f>
        <v>#DIV/0!</v>
      </c>
      <c r="T67" s="243">
        <f>T7+T17+T27+T37+T47+T57</f>
        <v>0</v>
      </c>
      <c r="U67" s="243">
        <f>U7+U17+U27+U37+U47+U57</f>
        <v>0</v>
      </c>
      <c r="V67" s="578">
        <f>V7+V17+V37+V47+V27+V57</f>
        <v>0</v>
      </c>
      <c r="W67" s="578">
        <f>W7+W17+W37+W47+W27+W57</f>
        <v>0</v>
      </c>
      <c r="X67" s="578">
        <f>X7+X17+X37+X47+X27+X57</f>
        <v>0</v>
      </c>
      <c r="Y67" s="272">
        <f>SUM(V67:X67)/3</f>
        <v>0</v>
      </c>
      <c r="AA67" s="753" t="s">
        <v>188</v>
      </c>
      <c r="AB67" s="753"/>
      <c r="AC67" s="423" t="s">
        <v>189</v>
      </c>
      <c r="AD67" s="423" t="s">
        <v>190</v>
      </c>
      <c r="AE67" s="423" t="s">
        <v>191</v>
      </c>
      <c r="AF67" s="423" t="s">
        <v>192</v>
      </c>
      <c r="AI67" s="250">
        <f t="shared" ref="AI67:AJ73" si="49">AI7+AI17+AI27+AI37+AI47+AI57</f>
        <v>15.8</v>
      </c>
      <c r="AJ67" s="250">
        <f t="shared" si="49"/>
        <v>23</v>
      </c>
      <c r="AK67" s="275">
        <f t="shared" ref="AK67:AM73" si="50">AK7+AK17+AK37+AK47+AK27+AK57</f>
        <v>1</v>
      </c>
      <c r="AL67" s="275">
        <f t="shared" si="50"/>
        <v>1</v>
      </c>
      <c r="AM67" s="275">
        <f t="shared" si="50"/>
        <v>1</v>
      </c>
      <c r="AN67" s="276">
        <f>SUM(AK67:AM67)/3</f>
        <v>1</v>
      </c>
      <c r="AP67" s="753" t="s">
        <v>188</v>
      </c>
      <c r="AQ67" s="753"/>
      <c r="AR67" s="423" t="s">
        <v>189</v>
      </c>
      <c r="AS67" s="423" t="s">
        <v>201</v>
      </c>
      <c r="AT67" s="423" t="s">
        <v>202</v>
      </c>
      <c r="AU67" s="423" t="s">
        <v>192</v>
      </c>
    </row>
    <row r="68" spans="1:47" ht="31" customHeight="1" x14ac:dyDescent="0.25">
      <c r="A68" s="55" t="s">
        <v>4</v>
      </c>
      <c r="B68" s="43"/>
      <c r="C68" s="42"/>
      <c r="D68" s="42"/>
      <c r="E68" s="42"/>
      <c r="F68" s="42"/>
      <c r="G68" s="103" t="s">
        <v>4</v>
      </c>
      <c r="H68" s="117"/>
      <c r="I68" s="109">
        <f t="shared" si="46"/>
        <v>17</v>
      </c>
      <c r="J68" s="109">
        <f t="shared" si="46"/>
        <v>43000</v>
      </c>
      <c r="K68" s="108">
        <f t="shared" si="47"/>
        <v>2529.4117647058824</v>
      </c>
      <c r="L68" s="109">
        <f>L8+L18+L28+L38+L48+L58</f>
        <v>26200</v>
      </c>
      <c r="M68" s="109">
        <f t="shared" ref="M68:M73" si="51">L68/I68</f>
        <v>1541.1764705882354</v>
      </c>
      <c r="N68" s="109"/>
      <c r="O68" s="74">
        <f t="shared" si="48"/>
        <v>69200</v>
      </c>
      <c r="P68" s="109" t="e">
        <f t="shared" si="48"/>
        <v>#DIV/0!</v>
      </c>
      <c r="Q68" s="193">
        <f t="shared" si="48"/>
        <v>0</v>
      </c>
      <c r="R68" s="134" t="e">
        <f t="shared" ref="R68:R73" si="52">O68/Q68</f>
        <v>#DIV/0!</v>
      </c>
      <c r="T68" s="243">
        <f t="shared" ref="T68:U72" si="53">T8+T18+T28+T38+T48+T58</f>
        <v>12.3</v>
      </c>
      <c r="U68" s="243">
        <f t="shared" si="53"/>
        <v>19.2</v>
      </c>
      <c r="V68" s="578">
        <f t="shared" ref="V68:X73" si="54">V8+V18+V38+V48+V28+V58</f>
        <v>0</v>
      </c>
      <c r="W68" s="578">
        <f t="shared" si="54"/>
        <v>0</v>
      </c>
      <c r="X68" s="578">
        <f t="shared" si="54"/>
        <v>1</v>
      </c>
      <c r="Y68" s="272">
        <f t="shared" ref="Y68:Y73" si="55">SUM(V68:X68)/3</f>
        <v>0.33333333333333331</v>
      </c>
      <c r="AA68" s="754" t="s">
        <v>124</v>
      </c>
      <c r="AB68" s="754"/>
      <c r="AC68" s="424">
        <v>5</v>
      </c>
      <c r="AD68" s="425">
        <v>0</v>
      </c>
      <c r="AE68" s="425">
        <f t="shared" ref="AE68:AE73" si="56">AC68*AD68</f>
        <v>0</v>
      </c>
      <c r="AF68" s="755">
        <f>(AD68+AD69+AD70)/AD74</f>
        <v>6.6666666666666666E-2</v>
      </c>
      <c r="AI68" s="250">
        <f t="shared" si="49"/>
        <v>14</v>
      </c>
      <c r="AJ68" s="250">
        <f t="shared" si="49"/>
        <v>16.399999999999999</v>
      </c>
      <c r="AK68" s="275">
        <f t="shared" si="50"/>
        <v>2</v>
      </c>
      <c r="AL68" s="275">
        <f t="shared" si="50"/>
        <v>2</v>
      </c>
      <c r="AM68" s="275">
        <f t="shared" si="50"/>
        <v>2</v>
      </c>
      <c r="AN68" s="276">
        <f t="shared" ref="AN68:AN73" si="57">SUM(AK68:AM68)/3</f>
        <v>2</v>
      </c>
      <c r="AP68" s="754" t="s">
        <v>124</v>
      </c>
      <c r="AQ68" s="754"/>
      <c r="AR68" s="424">
        <v>5</v>
      </c>
      <c r="AS68" s="425">
        <v>2</v>
      </c>
      <c r="AT68" s="425">
        <f t="shared" ref="AT68:AT73" si="58">AR68*AS68</f>
        <v>10</v>
      </c>
      <c r="AU68" s="755">
        <f>(AS68+AS69+AS70)/AS74</f>
        <v>0.4</v>
      </c>
    </row>
    <row r="69" spans="1:47" ht="31" customHeight="1" x14ac:dyDescent="0.25">
      <c r="A69" s="55" t="s">
        <v>5</v>
      </c>
      <c r="B69" s="43"/>
      <c r="C69" s="42"/>
      <c r="D69" s="42"/>
      <c r="E69" s="42"/>
      <c r="F69" s="42"/>
      <c r="G69" s="103" t="s">
        <v>5</v>
      </c>
      <c r="H69" s="117"/>
      <c r="I69" s="109">
        <f t="shared" si="46"/>
        <v>16</v>
      </c>
      <c r="J69" s="109">
        <f t="shared" si="46"/>
        <v>43400</v>
      </c>
      <c r="K69" s="108">
        <f t="shared" si="47"/>
        <v>2712.5</v>
      </c>
      <c r="L69" s="109">
        <f>L9+L19+L29+L39+L49+L59</f>
        <v>22550</v>
      </c>
      <c r="M69" s="109">
        <f t="shared" si="51"/>
        <v>1409.375</v>
      </c>
      <c r="N69" s="109"/>
      <c r="O69" s="74">
        <f t="shared" si="48"/>
        <v>66500</v>
      </c>
      <c r="P69" s="109" t="e">
        <f t="shared" si="48"/>
        <v>#DIV/0!</v>
      </c>
      <c r="Q69" s="193">
        <f t="shared" si="48"/>
        <v>0</v>
      </c>
      <c r="R69" s="134" t="e">
        <f t="shared" si="52"/>
        <v>#DIV/0!</v>
      </c>
      <c r="T69" s="243">
        <f t="shared" si="53"/>
        <v>15.1</v>
      </c>
      <c r="U69" s="243">
        <f t="shared" si="53"/>
        <v>19.2</v>
      </c>
      <c r="V69" s="578">
        <f t="shared" si="54"/>
        <v>1</v>
      </c>
      <c r="W69" s="578">
        <f t="shared" si="54"/>
        <v>1</v>
      </c>
      <c r="X69" s="578">
        <f t="shared" si="54"/>
        <v>2</v>
      </c>
      <c r="Y69" s="272">
        <f t="shared" si="55"/>
        <v>1.3333333333333333</v>
      </c>
      <c r="AA69" s="754" t="s">
        <v>125</v>
      </c>
      <c r="AB69" s="754"/>
      <c r="AC69" s="426">
        <v>4</v>
      </c>
      <c r="AD69" s="427">
        <v>0</v>
      </c>
      <c r="AE69" s="425">
        <f t="shared" si="56"/>
        <v>0</v>
      </c>
      <c r="AF69" s="755"/>
      <c r="AI69" s="250">
        <f t="shared" si="49"/>
        <v>10.199999999999999</v>
      </c>
      <c r="AJ69" s="250">
        <f t="shared" si="49"/>
        <v>15.1</v>
      </c>
      <c r="AK69" s="275">
        <f t="shared" si="50"/>
        <v>2</v>
      </c>
      <c r="AL69" s="275">
        <f t="shared" si="50"/>
        <v>1</v>
      </c>
      <c r="AM69" s="275">
        <f t="shared" si="50"/>
        <v>1</v>
      </c>
      <c r="AN69" s="276">
        <f t="shared" si="57"/>
        <v>1.3333333333333333</v>
      </c>
      <c r="AP69" s="754" t="s">
        <v>125</v>
      </c>
      <c r="AQ69" s="754"/>
      <c r="AR69" s="426">
        <v>4</v>
      </c>
      <c r="AS69" s="427">
        <v>4</v>
      </c>
      <c r="AT69" s="425">
        <f t="shared" si="58"/>
        <v>16</v>
      </c>
      <c r="AU69" s="755"/>
    </row>
    <row r="70" spans="1:47" ht="31" customHeight="1" x14ac:dyDescent="0.25">
      <c r="A70" s="55" t="s">
        <v>6</v>
      </c>
      <c r="B70" s="43"/>
      <c r="C70" s="42"/>
      <c r="D70" s="42"/>
      <c r="E70" s="42"/>
      <c r="F70" s="42"/>
      <c r="G70" s="103" t="s">
        <v>6</v>
      </c>
      <c r="H70" s="117"/>
      <c r="I70" s="109">
        <f t="shared" si="46"/>
        <v>9</v>
      </c>
      <c r="J70" s="109">
        <f t="shared" si="46"/>
        <v>9700</v>
      </c>
      <c r="K70" s="108">
        <f t="shared" si="47"/>
        <v>1077.7777777777778</v>
      </c>
      <c r="L70" s="109">
        <f>L10+L20+L30+L40+L50+L60</f>
        <v>11600</v>
      </c>
      <c r="M70" s="109">
        <f t="shared" si="51"/>
        <v>1288.8888888888889</v>
      </c>
      <c r="N70" s="109"/>
      <c r="O70" s="74">
        <f t="shared" si="48"/>
        <v>21300</v>
      </c>
      <c r="P70" s="109" t="e">
        <f t="shared" si="48"/>
        <v>#DIV/0!</v>
      </c>
      <c r="Q70" s="193">
        <f t="shared" si="48"/>
        <v>0</v>
      </c>
      <c r="R70" s="134" t="e">
        <f t="shared" si="52"/>
        <v>#DIV/0!</v>
      </c>
      <c r="T70" s="243">
        <f t="shared" si="53"/>
        <v>9.8000000000000007</v>
      </c>
      <c r="U70" s="243">
        <f t="shared" si="53"/>
        <v>12.9</v>
      </c>
      <c r="V70" s="578">
        <f t="shared" si="54"/>
        <v>2</v>
      </c>
      <c r="W70" s="578">
        <f t="shared" si="54"/>
        <v>1</v>
      </c>
      <c r="X70" s="578">
        <f t="shared" si="54"/>
        <v>1</v>
      </c>
      <c r="Y70" s="272">
        <f t="shared" si="55"/>
        <v>1.3333333333333333</v>
      </c>
      <c r="AA70" s="756" t="s">
        <v>193</v>
      </c>
      <c r="AB70" s="756"/>
      <c r="AC70" s="426">
        <v>3</v>
      </c>
      <c r="AD70" s="427">
        <v>1</v>
      </c>
      <c r="AE70" s="425">
        <f t="shared" si="56"/>
        <v>3</v>
      </c>
      <c r="AF70" s="755"/>
      <c r="AI70" s="250">
        <f t="shared" si="49"/>
        <v>8</v>
      </c>
      <c r="AJ70" s="250">
        <f t="shared" si="49"/>
        <v>19.600000000000001</v>
      </c>
      <c r="AK70" s="275">
        <f t="shared" si="50"/>
        <v>4</v>
      </c>
      <c r="AL70" s="275">
        <f t="shared" si="50"/>
        <v>4</v>
      </c>
      <c r="AM70" s="275">
        <f t="shared" si="50"/>
        <v>4</v>
      </c>
      <c r="AN70" s="276">
        <f t="shared" si="57"/>
        <v>4</v>
      </c>
      <c r="AP70" s="756" t="s">
        <v>193</v>
      </c>
      <c r="AQ70" s="756"/>
      <c r="AR70" s="426">
        <v>3</v>
      </c>
      <c r="AS70" s="427">
        <v>0</v>
      </c>
      <c r="AT70" s="425">
        <f t="shared" si="58"/>
        <v>0</v>
      </c>
      <c r="AU70" s="755"/>
    </row>
    <row r="71" spans="1:47" ht="31" customHeight="1" x14ac:dyDescent="0.25">
      <c r="A71" s="55" t="s">
        <v>7</v>
      </c>
      <c r="B71" s="43"/>
      <c r="C71" s="42"/>
      <c r="D71" s="42"/>
      <c r="E71" s="42"/>
      <c r="F71" s="42"/>
      <c r="G71" s="103" t="s">
        <v>7</v>
      </c>
      <c r="H71" s="117"/>
      <c r="I71" s="109">
        <f>I21+I11+I31+I41+I51+I61</f>
        <v>24</v>
      </c>
      <c r="J71" s="109">
        <f>J21+J11+J31+J41+J51+J61</f>
        <v>50950</v>
      </c>
      <c r="K71" s="108">
        <f t="shared" si="47"/>
        <v>2122.9166666666665</v>
      </c>
      <c r="L71" s="109">
        <f>L21+L11+L31+L41+L51+L61</f>
        <v>32150</v>
      </c>
      <c r="M71" s="109">
        <f t="shared" si="51"/>
        <v>1339.5833333333333</v>
      </c>
      <c r="N71" s="109"/>
      <c r="O71" s="74">
        <f>O21+O11+O31+O41+O51+O61</f>
        <v>83100</v>
      </c>
      <c r="P71" s="109" t="e">
        <f>P21+P11+P31+P41+P51+P61</f>
        <v>#DIV/0!</v>
      </c>
      <c r="Q71" s="193">
        <f>Q21+Q11+Q31+Q41+Q51+Q61</f>
        <v>0</v>
      </c>
      <c r="R71" s="134" t="e">
        <f t="shared" si="52"/>
        <v>#DIV/0!</v>
      </c>
      <c r="T71" s="243">
        <f t="shared" si="53"/>
        <v>9.6</v>
      </c>
      <c r="U71" s="243">
        <f t="shared" si="53"/>
        <v>16</v>
      </c>
      <c r="V71" s="578">
        <f t="shared" si="54"/>
        <v>2</v>
      </c>
      <c r="W71" s="578">
        <f t="shared" si="54"/>
        <v>2</v>
      </c>
      <c r="X71" s="578">
        <f t="shared" si="54"/>
        <v>1</v>
      </c>
      <c r="Y71" s="272">
        <f t="shared" si="55"/>
        <v>1.6666666666666667</v>
      </c>
      <c r="AA71" s="757" t="s">
        <v>121</v>
      </c>
      <c r="AB71" s="757"/>
      <c r="AC71" s="426">
        <v>2</v>
      </c>
      <c r="AD71" s="427">
        <v>5</v>
      </c>
      <c r="AE71" s="425">
        <f t="shared" si="56"/>
        <v>10</v>
      </c>
      <c r="AF71" s="758">
        <f>(AD71+AD72+AD73)/AD74</f>
        <v>0.93333333333333335</v>
      </c>
      <c r="AI71" s="250">
        <f t="shared" si="49"/>
        <v>0</v>
      </c>
      <c r="AJ71" s="250">
        <f t="shared" si="49"/>
        <v>0</v>
      </c>
      <c r="AK71" s="275">
        <f t="shared" si="50"/>
        <v>0</v>
      </c>
      <c r="AL71" s="275">
        <f t="shared" si="50"/>
        <v>0</v>
      </c>
      <c r="AM71" s="275">
        <f t="shared" si="50"/>
        <v>0</v>
      </c>
      <c r="AN71" s="276">
        <f t="shared" si="57"/>
        <v>0</v>
      </c>
      <c r="AP71" s="757" t="s">
        <v>121</v>
      </c>
      <c r="AQ71" s="757"/>
      <c r="AR71" s="426">
        <v>2</v>
      </c>
      <c r="AS71" s="427">
        <v>4</v>
      </c>
      <c r="AT71" s="425">
        <f t="shared" si="58"/>
        <v>8</v>
      </c>
      <c r="AU71" s="758">
        <f>(AS71+AS72+AS73)/AS74</f>
        <v>0.6</v>
      </c>
    </row>
    <row r="72" spans="1:47" ht="31" customHeight="1" x14ac:dyDescent="0.25">
      <c r="A72" s="55" t="s">
        <v>8</v>
      </c>
      <c r="B72" s="43"/>
      <c r="C72" s="42"/>
      <c r="D72" s="42"/>
      <c r="E72" s="42"/>
      <c r="F72" s="42"/>
      <c r="G72" s="103" t="s">
        <v>8</v>
      </c>
      <c r="H72" s="117"/>
      <c r="I72" s="109">
        <f>I12+I22+I32+I42+I52+I62</f>
        <v>67</v>
      </c>
      <c r="J72" s="109">
        <f>J12+J22+J32+J42+J52+J62</f>
        <v>183050</v>
      </c>
      <c r="K72" s="108">
        <f t="shared" si="47"/>
        <v>2732.0895522388059</v>
      </c>
      <c r="L72" s="109">
        <f>L12+L22+L32+L42+L52+L62</f>
        <v>100400</v>
      </c>
      <c r="M72" s="109">
        <f t="shared" si="51"/>
        <v>1498.5074626865671</v>
      </c>
      <c r="N72" s="109"/>
      <c r="O72" s="74">
        <f t="shared" ref="O72:Q73" si="59">O12+O22+O32+O42+O52+O62</f>
        <v>288400</v>
      </c>
      <c r="P72" s="109" t="e">
        <f t="shared" si="59"/>
        <v>#DIV/0!</v>
      </c>
      <c r="Q72" s="193">
        <f t="shared" si="59"/>
        <v>0</v>
      </c>
      <c r="R72" s="134" t="e">
        <f t="shared" si="52"/>
        <v>#DIV/0!</v>
      </c>
      <c r="T72" s="243">
        <f t="shared" si="53"/>
        <v>11.1</v>
      </c>
      <c r="U72" s="243">
        <f t="shared" si="53"/>
        <v>17.5</v>
      </c>
      <c r="V72" s="578">
        <f t="shared" si="54"/>
        <v>1</v>
      </c>
      <c r="W72" s="578">
        <f t="shared" si="54"/>
        <v>2</v>
      </c>
      <c r="X72" s="578">
        <f t="shared" si="54"/>
        <v>3</v>
      </c>
      <c r="Y72" s="272">
        <f t="shared" si="55"/>
        <v>2</v>
      </c>
      <c r="AA72" s="759" t="s">
        <v>194</v>
      </c>
      <c r="AB72" s="759"/>
      <c r="AC72" s="426">
        <v>1</v>
      </c>
      <c r="AD72" s="427">
        <v>7</v>
      </c>
      <c r="AE72" s="425">
        <f t="shared" si="56"/>
        <v>7</v>
      </c>
      <c r="AF72" s="758"/>
      <c r="AI72" s="250">
        <f t="shared" si="49"/>
        <v>0</v>
      </c>
      <c r="AJ72" s="250">
        <f t="shared" si="49"/>
        <v>0</v>
      </c>
      <c r="AK72" s="275">
        <f t="shared" si="50"/>
        <v>0</v>
      </c>
      <c r="AL72" s="275">
        <f t="shared" si="50"/>
        <v>0</v>
      </c>
      <c r="AM72" s="275">
        <f t="shared" si="50"/>
        <v>0</v>
      </c>
      <c r="AN72" s="276">
        <f t="shared" si="57"/>
        <v>0</v>
      </c>
      <c r="AP72" s="759" t="s">
        <v>194</v>
      </c>
      <c r="AQ72" s="759"/>
      <c r="AR72" s="426">
        <v>1</v>
      </c>
      <c r="AS72" s="427">
        <v>5</v>
      </c>
      <c r="AT72" s="425">
        <f t="shared" si="58"/>
        <v>5</v>
      </c>
      <c r="AU72" s="758"/>
    </row>
    <row r="73" spans="1:47" ht="31" customHeight="1" thickBot="1" x14ac:dyDescent="0.3">
      <c r="A73" s="56" t="s">
        <v>9</v>
      </c>
      <c r="B73" s="43"/>
      <c r="C73" s="42"/>
      <c r="D73" s="42"/>
      <c r="E73" s="42"/>
      <c r="F73" s="42"/>
      <c r="G73" s="113" t="s">
        <v>9</v>
      </c>
      <c r="H73" s="117"/>
      <c r="I73" s="109">
        <f>I13+I23+I33+I43+I53+I63</f>
        <v>0</v>
      </c>
      <c r="J73" s="109">
        <f>J13+J23+J33+J43+J53+J63</f>
        <v>0</v>
      </c>
      <c r="K73" s="108" t="e">
        <f t="shared" si="47"/>
        <v>#DIV/0!</v>
      </c>
      <c r="L73" s="109">
        <f>L13+L23+L33+L43+L53+L63</f>
        <v>0</v>
      </c>
      <c r="M73" s="109" t="e">
        <f t="shared" si="51"/>
        <v>#DIV/0!</v>
      </c>
      <c r="N73" s="109"/>
      <c r="O73" s="74">
        <f t="shared" si="59"/>
        <v>0</v>
      </c>
      <c r="P73" s="109" t="e">
        <f t="shared" si="59"/>
        <v>#DIV/0!</v>
      </c>
      <c r="Q73" s="193">
        <f t="shared" si="59"/>
        <v>0</v>
      </c>
      <c r="R73" s="134" t="e">
        <f t="shared" si="52"/>
        <v>#DIV/0!</v>
      </c>
      <c r="S73" s="1">
        <f>S14+S24+S34+S44+S54+S64</f>
        <v>5</v>
      </c>
      <c r="T73" s="244">
        <f>T13+T23+T33+T43+T53+T63</f>
        <v>0</v>
      </c>
      <c r="U73" s="244">
        <f>U13+U23+U33+U43+U53+U63</f>
        <v>0</v>
      </c>
      <c r="V73" s="578">
        <f t="shared" si="54"/>
        <v>0</v>
      </c>
      <c r="W73" s="578">
        <f t="shared" si="54"/>
        <v>0</v>
      </c>
      <c r="X73" s="578">
        <f t="shared" si="54"/>
        <v>0</v>
      </c>
      <c r="Y73" s="273">
        <f t="shared" si="55"/>
        <v>0</v>
      </c>
      <c r="AA73" s="760" t="s">
        <v>195</v>
      </c>
      <c r="AB73" s="760"/>
      <c r="AC73" s="426">
        <v>0</v>
      </c>
      <c r="AD73" s="427">
        <v>2</v>
      </c>
      <c r="AE73" s="425">
        <f t="shared" si="56"/>
        <v>0</v>
      </c>
      <c r="AF73" s="758"/>
      <c r="AH73" s="1">
        <f>AH14+AH24+AH34+AH44+AH54+AH64</f>
        <v>5</v>
      </c>
      <c r="AI73" s="251">
        <f t="shared" si="49"/>
        <v>15.4</v>
      </c>
      <c r="AJ73" s="251">
        <f t="shared" si="49"/>
        <v>25.8</v>
      </c>
      <c r="AK73" s="275">
        <f t="shared" si="50"/>
        <v>5</v>
      </c>
      <c r="AL73" s="275">
        <f t="shared" si="50"/>
        <v>5</v>
      </c>
      <c r="AM73" s="275">
        <f t="shared" si="50"/>
        <v>4</v>
      </c>
      <c r="AN73" s="277">
        <f t="shared" si="57"/>
        <v>4.666666666666667</v>
      </c>
      <c r="AP73" s="760" t="s">
        <v>195</v>
      </c>
      <c r="AQ73" s="760"/>
      <c r="AR73" s="426">
        <v>0</v>
      </c>
      <c r="AS73" s="427"/>
      <c r="AT73" s="425">
        <f t="shared" si="58"/>
        <v>0</v>
      </c>
      <c r="AU73" s="758"/>
    </row>
    <row r="74" spans="1:47" s="35" customFormat="1" ht="31" customHeight="1" thickTop="1" thickBot="1" x14ac:dyDescent="0.3">
      <c r="A74" s="57" t="s">
        <v>2</v>
      </c>
      <c r="B74" s="58">
        <f>SUM(B67:B73)</f>
        <v>0</v>
      </c>
      <c r="C74" s="47" t="s">
        <v>36</v>
      </c>
      <c r="D74" s="73" t="e">
        <f>#REF!/F74</f>
        <v>#REF!</v>
      </c>
      <c r="E74" s="46" t="s">
        <v>37</v>
      </c>
      <c r="F74" s="35" t="e">
        <f>#REF!</f>
        <v>#REF!</v>
      </c>
      <c r="G74" s="118" t="s">
        <v>2</v>
      </c>
      <c r="H74" s="119">
        <f>SUM(H67:H73)</f>
        <v>0</v>
      </c>
      <c r="I74" s="59">
        <f>SUM(I67:I73)</f>
        <v>133</v>
      </c>
      <c r="J74" s="59">
        <f>SUM(J67:J73)</f>
        <v>330100</v>
      </c>
      <c r="K74" s="59">
        <f t="shared" si="47"/>
        <v>2481.9548872180453</v>
      </c>
      <c r="L74" s="59">
        <f>SUM(L67:L73)</f>
        <v>192900</v>
      </c>
      <c r="M74" s="59">
        <f>L74/I74</f>
        <v>1450.375939849624</v>
      </c>
      <c r="N74" s="59"/>
      <c r="O74" s="59">
        <f>SUM(O67:O73)</f>
        <v>528500</v>
      </c>
      <c r="P74" s="59">
        <f>O74/I74</f>
        <v>3973.6842105263158</v>
      </c>
      <c r="Q74" s="194">
        <f>SUM(Q67:Q73)</f>
        <v>0</v>
      </c>
      <c r="R74" s="72" t="e">
        <f>O74/Q74</f>
        <v>#DIV/0!</v>
      </c>
      <c r="T74" s="247">
        <f>SUM(T67:T73)/S73</f>
        <v>11.580000000000002</v>
      </c>
      <c r="U74" s="252">
        <f>SUM(U67:U73)/S73</f>
        <v>16.96</v>
      </c>
      <c r="V74" s="414">
        <f>SUM(V67:V73)/S73</f>
        <v>1.2</v>
      </c>
      <c r="W74" s="414">
        <f>SUM(W67:W73)/S73</f>
        <v>1.2</v>
      </c>
      <c r="X74" s="414">
        <f>SUM(X67:X73)/S73</f>
        <v>1.6</v>
      </c>
      <c r="Y74" s="415">
        <f>SUM(V74:X74)/3</f>
        <v>1.3333333333333333</v>
      </c>
      <c r="AA74" s="727" t="s">
        <v>196</v>
      </c>
      <c r="AB74" s="727"/>
      <c r="AC74" s="727"/>
      <c r="AD74" s="427">
        <f>SUM(AD68:AD73)</f>
        <v>15</v>
      </c>
      <c r="AE74" s="427">
        <f>SUM(AE68:AE73)</f>
        <v>20</v>
      </c>
      <c r="AF74" s="430">
        <f>AF68+AF71</f>
        <v>1</v>
      </c>
      <c r="AI74" s="247">
        <f>SUM(AI67:AI73)/AH73</f>
        <v>12.68</v>
      </c>
      <c r="AJ74" s="252">
        <f>SUM(AJ67:AJ73)/AH73</f>
        <v>19.979999999999997</v>
      </c>
      <c r="AK74" s="414">
        <f>SUM(AK67:AK73)/AH73</f>
        <v>2.8</v>
      </c>
      <c r="AL74" s="414">
        <f>SUM(AL67:AL73)/AH73</f>
        <v>2.6</v>
      </c>
      <c r="AM74" s="414">
        <f>SUM(AM67:AM73)/AH73</f>
        <v>2.4</v>
      </c>
      <c r="AN74" s="415">
        <f>SUM(AK74:AM74)/3</f>
        <v>2.6</v>
      </c>
      <c r="AP74" s="727" t="s">
        <v>196</v>
      </c>
      <c r="AQ74" s="727"/>
      <c r="AR74" s="727"/>
      <c r="AS74" s="427">
        <f>SUM(AS68:AS73)</f>
        <v>15</v>
      </c>
      <c r="AT74" s="427">
        <f>SUM(AT68:AT73)</f>
        <v>39</v>
      </c>
      <c r="AU74" s="430">
        <f>AU68+AU71</f>
        <v>1</v>
      </c>
    </row>
    <row r="75" spans="1:47" s="31" customFormat="1" ht="20.25" hidden="1" customHeight="1" thickTop="1" thickBot="1" x14ac:dyDescent="0.3">
      <c r="A75" s="28" t="s">
        <v>24</v>
      </c>
      <c r="B75" s="38"/>
      <c r="G75" s="28" t="s">
        <v>24</v>
      </c>
      <c r="H75" s="38"/>
      <c r="I75" s="28"/>
      <c r="J75" s="29"/>
      <c r="K75" s="29"/>
      <c r="L75" s="29"/>
      <c r="M75" s="29"/>
      <c r="N75" s="29"/>
      <c r="O75" s="29"/>
      <c r="P75" s="29"/>
      <c r="Q75" s="195"/>
      <c r="R75" s="30"/>
    </row>
    <row r="76" spans="1:47" ht="30.5" hidden="1" customHeight="1" thickTop="1" thickBot="1" x14ac:dyDescent="0.3">
      <c r="A76" s="39"/>
      <c r="B76" s="40"/>
      <c r="G76" s="39"/>
      <c r="H76" s="40"/>
      <c r="I76" s="27"/>
      <c r="J76" s="27"/>
      <c r="K76" s="27"/>
      <c r="L76" s="27"/>
      <c r="M76" s="27"/>
      <c r="N76" s="27"/>
      <c r="O76" s="27"/>
      <c r="P76" s="27"/>
      <c r="Q76" s="196"/>
    </row>
    <row r="77" spans="1:47" ht="32.25" hidden="1" customHeight="1" thickTop="1" thickBot="1" x14ac:dyDescent="0.3">
      <c r="A77" s="735" t="s">
        <v>0</v>
      </c>
      <c r="B77" s="736"/>
      <c r="G77" s="735" t="s">
        <v>0</v>
      </c>
      <c r="H77" s="736"/>
      <c r="I77" s="99" t="s">
        <v>25</v>
      </c>
      <c r="J77" s="737"/>
      <c r="K77" s="737"/>
      <c r="L77" s="737"/>
      <c r="M77" s="737"/>
      <c r="N77" s="737"/>
      <c r="O77" s="738"/>
      <c r="P77" s="63"/>
      <c r="Q77" s="197"/>
      <c r="R77" s="8"/>
    </row>
    <row r="78" spans="1:47" ht="32.25" hidden="1" customHeight="1" thickTop="1" thickBot="1" x14ac:dyDescent="0.3">
      <c r="A78" s="735"/>
      <c r="B78" s="736"/>
      <c r="G78" s="735"/>
      <c r="H78" s="736"/>
      <c r="I78" s="739" t="s">
        <v>0</v>
      </c>
      <c r="J78" s="740"/>
      <c r="K78" s="740"/>
      <c r="L78" s="740"/>
      <c r="M78" s="740"/>
      <c r="N78" s="740"/>
      <c r="O78" s="741"/>
      <c r="P78" s="64"/>
      <c r="Q78" s="198"/>
    </row>
    <row r="79" spans="1:47" ht="32.25" hidden="1" customHeight="1" thickTop="1" thickBot="1" x14ac:dyDescent="0.3">
      <c r="A79" s="735"/>
      <c r="B79" s="736"/>
      <c r="G79" s="735"/>
      <c r="H79" s="736"/>
      <c r="I79" s="3" t="s">
        <v>1</v>
      </c>
      <c r="J79" s="6"/>
      <c r="K79" s="6"/>
      <c r="L79" s="6" t="s">
        <v>20</v>
      </c>
      <c r="M79" s="41"/>
      <c r="N79" s="41"/>
      <c r="O79" s="7" t="s">
        <v>21</v>
      </c>
      <c r="P79" s="65"/>
      <c r="Q79" s="199"/>
      <c r="R79" s="32"/>
    </row>
    <row r="80" spans="1:47" ht="32.25" hidden="1" customHeight="1" thickTop="1" thickBot="1" x14ac:dyDescent="0.3">
      <c r="A80" s="735"/>
      <c r="B80" s="736"/>
      <c r="G80" s="735"/>
      <c r="H80" s="736"/>
      <c r="I80" s="20"/>
      <c r="J80" s="4"/>
      <c r="K80" s="4"/>
      <c r="L80" s="12" t="e">
        <f>#REF!*I80</f>
        <v>#REF!</v>
      </c>
      <c r="M80" s="14"/>
      <c r="N80" s="14"/>
      <c r="O80" s="13" t="e">
        <f>#REF!*I80</f>
        <v>#REF!</v>
      </c>
      <c r="P80" s="66"/>
      <c r="Q80" s="200"/>
      <c r="R80" s="33"/>
    </row>
    <row r="81" spans="1:47" ht="21" hidden="1" customHeight="1" thickTop="1" thickBot="1" x14ac:dyDescent="0.3">
      <c r="A81" s="735"/>
      <c r="B81" s="736"/>
      <c r="G81" s="735"/>
      <c r="H81" s="736"/>
      <c r="J81" s="9"/>
      <c r="K81" s="9"/>
    </row>
    <row r="82" spans="1:47" ht="32.25" hidden="1" customHeight="1" thickTop="1" thickBot="1" x14ac:dyDescent="0.3">
      <c r="A82" s="735"/>
      <c r="B82" s="736"/>
      <c r="G82" s="735"/>
      <c r="H82" s="736"/>
      <c r="I82" s="1" t="s">
        <v>22</v>
      </c>
      <c r="J82" s="10"/>
      <c r="K82" s="10"/>
    </row>
    <row r="83" spans="1:47" ht="32.25" hidden="1" customHeight="1" thickTop="1" thickBot="1" x14ac:dyDescent="0.3">
      <c r="A83" s="735"/>
      <c r="B83" s="736"/>
      <c r="G83" s="735"/>
      <c r="H83" s="736"/>
      <c r="I83" s="15" t="s">
        <v>1</v>
      </c>
      <c r="J83" s="15"/>
      <c r="K83" s="15"/>
      <c r="L83" s="15" t="s">
        <v>20</v>
      </c>
      <c r="M83" s="15"/>
      <c r="N83" s="15"/>
      <c r="O83" s="15" t="s">
        <v>21</v>
      </c>
      <c r="P83" s="51"/>
      <c r="Q83" s="202"/>
    </row>
    <row r="84" spans="1:47" s="5" customFormat="1" ht="32.25" hidden="1" customHeight="1" thickTop="1" thickBot="1" x14ac:dyDescent="0.3">
      <c r="A84" s="735"/>
      <c r="B84" s="736"/>
      <c r="G84" s="735"/>
      <c r="H84" s="736"/>
      <c r="I84" s="21">
        <f>I74-I80</f>
        <v>133</v>
      </c>
      <c r="J84" s="22"/>
      <c r="K84" s="22"/>
      <c r="L84" s="21" t="e">
        <f>L74-L80</f>
        <v>#REF!</v>
      </c>
      <c r="M84" s="21"/>
      <c r="N84" s="21"/>
      <c r="O84" s="21" t="e">
        <f>O74-O80</f>
        <v>#REF!</v>
      </c>
      <c r="P84" s="67"/>
      <c r="Q84" s="203"/>
      <c r="R84" s="1"/>
    </row>
    <row r="85" spans="1:47" s="5" customFormat="1" ht="32.25" hidden="1" customHeight="1" thickTop="1" thickBot="1" x14ac:dyDescent="0.3">
      <c r="A85" s="735"/>
      <c r="B85" s="736"/>
      <c r="G85" s="735"/>
      <c r="H85" s="736"/>
      <c r="I85" s="23" t="e">
        <f>I74/I80</f>
        <v>#DIV/0!</v>
      </c>
      <c r="J85" s="23"/>
      <c r="K85" s="23"/>
      <c r="L85" s="23" t="e">
        <f>L74/L80</f>
        <v>#REF!</v>
      </c>
      <c r="M85" s="23"/>
      <c r="N85" s="23"/>
      <c r="O85" s="23" t="e">
        <f>O74/O80</f>
        <v>#REF!</v>
      </c>
      <c r="P85" s="68"/>
      <c r="Q85" s="204"/>
      <c r="R85" s="1"/>
    </row>
    <row r="86" spans="1:47" s="5" customFormat="1" ht="32.25" hidden="1" customHeight="1" thickTop="1" thickBot="1" x14ac:dyDescent="0.3">
      <c r="A86" s="735"/>
      <c r="B86" s="736"/>
      <c r="G86" s="735"/>
      <c r="H86" s="736"/>
      <c r="I86" s="1" t="s">
        <v>26</v>
      </c>
      <c r="J86" s="1"/>
      <c r="K86" s="1"/>
      <c r="L86" s="1"/>
      <c r="M86" s="1"/>
      <c r="N86" s="1"/>
      <c r="O86" s="1"/>
      <c r="P86" s="1"/>
      <c r="Q86" s="201"/>
      <c r="R86" s="1"/>
    </row>
    <row r="87" spans="1:47" s="5" customFormat="1" ht="32.25" hidden="1" customHeight="1" thickTop="1" thickBot="1" x14ac:dyDescent="0.3">
      <c r="A87" s="735"/>
      <c r="B87" s="736"/>
      <c r="G87" s="735"/>
      <c r="H87" s="736"/>
      <c r="I87" s="15" t="s">
        <v>1</v>
      </c>
      <c r="J87" s="15"/>
      <c r="K87" s="15"/>
      <c r="L87" s="15" t="s">
        <v>20</v>
      </c>
      <c r="M87" s="15"/>
      <c r="N87" s="15"/>
      <c r="O87" s="15" t="s">
        <v>21</v>
      </c>
      <c r="P87" s="51"/>
      <c r="Q87" s="202"/>
      <c r="R87" s="1"/>
    </row>
    <row r="88" spans="1:47" s="5" customFormat="1" ht="32.25" hidden="1" customHeight="1" thickTop="1" thickBot="1" x14ac:dyDescent="0.3">
      <c r="A88" s="735"/>
      <c r="B88" s="736"/>
      <c r="G88" s="735"/>
      <c r="H88" s="736"/>
      <c r="I88" s="16"/>
      <c r="J88" s="18"/>
      <c r="K88" s="18"/>
      <c r="L88" s="17"/>
      <c r="M88" s="17"/>
      <c r="N88" s="17"/>
      <c r="O88" s="17"/>
      <c r="P88" s="69"/>
      <c r="Q88" s="205"/>
      <c r="R88" s="1"/>
    </row>
    <row r="89" spans="1:47" s="5" customFormat="1" ht="32.25" hidden="1" customHeight="1" thickTop="1" thickBot="1" x14ac:dyDescent="0.3">
      <c r="A89" s="735"/>
      <c r="B89" s="736"/>
      <c r="G89" s="735"/>
      <c r="H89" s="736"/>
      <c r="I89" s="1" t="s">
        <v>23</v>
      </c>
      <c r="J89" s="1"/>
      <c r="K89" s="1"/>
      <c r="L89" s="1"/>
      <c r="M89" s="1"/>
      <c r="N89" s="1"/>
      <c r="O89" s="1"/>
      <c r="P89" s="1"/>
      <c r="Q89" s="201"/>
      <c r="R89" s="1"/>
    </row>
    <row r="90" spans="1:47" s="5" customFormat="1" ht="32.25" hidden="1" customHeight="1" thickTop="1" thickBot="1" x14ac:dyDescent="0.3">
      <c r="A90" s="735"/>
      <c r="B90" s="736"/>
      <c r="G90" s="735"/>
      <c r="H90" s="736"/>
      <c r="I90" s="15" t="s">
        <v>1</v>
      </c>
      <c r="J90" s="15"/>
      <c r="K90" s="15"/>
      <c r="L90" s="15" t="s">
        <v>20</v>
      </c>
      <c r="M90" s="15"/>
      <c r="N90" s="15"/>
      <c r="O90" s="15" t="s">
        <v>21</v>
      </c>
      <c r="P90" s="51"/>
      <c r="Q90" s="202"/>
      <c r="R90" s="1"/>
    </row>
    <row r="91" spans="1:47" s="5" customFormat="1" ht="30" hidden="1" customHeight="1" thickTop="1" thickBot="1" x14ac:dyDescent="0.3">
      <c r="A91" s="735"/>
      <c r="B91" s="736"/>
      <c r="G91" s="735"/>
      <c r="H91" s="736"/>
      <c r="I91" s="16">
        <f>I74-I88</f>
        <v>133</v>
      </c>
      <c r="J91" s="16"/>
      <c r="K91" s="16"/>
      <c r="L91" s="16">
        <f>L74-L88</f>
        <v>192900</v>
      </c>
      <c r="M91" s="16"/>
      <c r="N91" s="16"/>
      <c r="O91" s="16">
        <f>O74-O88</f>
        <v>528500</v>
      </c>
      <c r="P91" s="70"/>
      <c r="Q91" s="206"/>
      <c r="R91" s="1"/>
    </row>
    <row r="92" spans="1:47" s="5" customFormat="1" ht="32" hidden="1" customHeight="1" thickTop="1" thickBot="1" x14ac:dyDescent="0.3">
      <c r="A92" s="735"/>
      <c r="B92" s="736"/>
      <c r="G92" s="735"/>
      <c r="H92" s="736"/>
      <c r="I92" s="48" t="e">
        <f>I74/I88</f>
        <v>#DIV/0!</v>
      </c>
      <c r="J92" s="19"/>
      <c r="K92" s="19"/>
      <c r="L92" s="19" t="e">
        <f>L74/L88</f>
        <v>#DIV/0!</v>
      </c>
      <c r="M92" s="19"/>
      <c r="N92" s="19"/>
      <c r="O92" s="19" t="e">
        <f>O74/O88</f>
        <v>#DIV/0!</v>
      </c>
      <c r="P92" s="52"/>
      <c r="Q92" s="207"/>
      <c r="R92" s="11"/>
    </row>
    <row r="93" spans="1:47" s="5" customFormat="1" ht="55" customHeight="1" thickTop="1" thickBot="1" x14ac:dyDescent="0.3">
      <c r="A93" s="746" t="s">
        <v>39</v>
      </c>
      <c r="B93" s="746"/>
      <c r="G93" s="60"/>
      <c r="H93" s="60"/>
      <c r="I93" s="60"/>
      <c r="J93" s="742"/>
      <c r="K93" s="742"/>
      <c r="L93" s="83">
        <f>L74/1.1</f>
        <v>175363.63636363635</v>
      </c>
      <c r="M93" s="1"/>
      <c r="N93" s="131" t="s">
        <v>85</v>
      </c>
      <c r="O93" s="125">
        <f>O74/1.1</f>
        <v>480454.54545454541</v>
      </c>
      <c r="P93" s="130" t="s">
        <v>84</v>
      </c>
      <c r="Q93" s="210" t="e">
        <f>O93/#REF!</f>
        <v>#REF!</v>
      </c>
      <c r="R93" s="748" t="e">
        <f>O93-#REF!</f>
        <v>#REF!</v>
      </c>
      <c r="S93" s="747"/>
      <c r="T93" s="747"/>
      <c r="U93" s="747"/>
      <c r="V93" s="747"/>
      <c r="AB93" s="431">
        <f>O93</f>
        <v>480454.54545454541</v>
      </c>
      <c r="AD93" s="795">
        <f>AE74/AD74</f>
        <v>1.3333333333333333</v>
      </c>
      <c r="AE93" s="796"/>
      <c r="AF93" s="797"/>
      <c r="AQ93" s="125">
        <v>1795227.2727272725</v>
      </c>
      <c r="AS93" s="798">
        <f>AT74/AS74</f>
        <v>2.6</v>
      </c>
      <c r="AT93" s="799"/>
      <c r="AU93" s="800"/>
    </row>
    <row r="94" spans="1:47" s="5" customFormat="1" ht="21" customHeight="1" thickTop="1" thickBot="1" x14ac:dyDescent="0.3">
      <c r="A94" s="746"/>
      <c r="B94" s="746"/>
      <c r="G94" s="1"/>
      <c r="H94" s="1"/>
      <c r="I94" s="1"/>
      <c r="J94" s="36"/>
      <c r="K94" s="36"/>
      <c r="L94" s="1"/>
      <c r="M94" s="1"/>
      <c r="N94" s="1"/>
      <c r="O94" s="1"/>
      <c r="P94" s="1"/>
      <c r="Q94" s="201"/>
      <c r="R94" s="1"/>
    </row>
    <row r="95" spans="1:47" ht="66" customHeight="1" thickTop="1" thickBot="1" x14ac:dyDescent="0.3">
      <c r="A95" s="746"/>
      <c r="B95" s="746"/>
      <c r="J95" s="52"/>
      <c r="K95" s="52"/>
      <c r="L95" s="801" t="s">
        <v>44</v>
      </c>
      <c r="M95" s="802"/>
      <c r="N95" s="802"/>
      <c r="O95" s="802"/>
      <c r="P95" s="62"/>
      <c r="Q95" s="208"/>
      <c r="R95" s="61"/>
    </row>
    <row r="96" spans="1:47" ht="17" thickTop="1" x14ac:dyDescent="0.25"/>
    <row r="97" spans="1:17" ht="32" customHeight="1" x14ac:dyDescent="0.25"/>
    <row r="98" spans="1:17" s="24" customFormat="1" ht="34.25" customHeight="1" x14ac:dyDescent="0.25">
      <c r="A98" s="34" t="s">
        <v>53</v>
      </c>
      <c r="B98" s="35"/>
      <c r="Q98" s="186"/>
    </row>
    <row r="99" spans="1:17" s="81" customFormat="1" ht="32" customHeight="1" x14ac:dyDescent="0.25">
      <c r="A99" s="745" t="s">
        <v>54</v>
      </c>
      <c r="B99" s="745"/>
      <c r="Q99" s="209"/>
    </row>
    <row r="100" spans="1:17" ht="73" customHeight="1" x14ac:dyDescent="0.25">
      <c r="A100" s="729" t="s">
        <v>55</v>
      </c>
      <c r="B100" s="729"/>
    </row>
    <row r="101" spans="1:17" ht="73" customHeight="1" x14ac:dyDescent="0.25">
      <c r="A101" s="729" t="s">
        <v>56</v>
      </c>
      <c r="B101" s="729"/>
    </row>
    <row r="102" spans="1:17" ht="73" customHeight="1" x14ac:dyDescent="0.25">
      <c r="A102" s="729" t="s">
        <v>57</v>
      </c>
      <c r="B102" s="729"/>
    </row>
    <row r="103" spans="1:17" ht="73" customHeight="1" x14ac:dyDescent="0.25">
      <c r="A103" s="729" t="s">
        <v>58</v>
      </c>
      <c r="B103" s="729"/>
    </row>
    <row r="104" spans="1:17" ht="73" customHeight="1" x14ac:dyDescent="0.25">
      <c r="A104" s="729" t="s">
        <v>59</v>
      </c>
      <c r="B104" s="729"/>
    </row>
    <row r="105" spans="1:17" ht="73" customHeight="1" x14ac:dyDescent="0.25">
      <c r="A105" s="729" t="s">
        <v>49</v>
      </c>
      <c r="B105" s="729"/>
    </row>
    <row r="106" spans="1:17" ht="73" customHeight="1" x14ac:dyDescent="0.25">
      <c r="A106" s="729" t="s">
        <v>50</v>
      </c>
      <c r="B106" s="729"/>
    </row>
    <row r="107" spans="1:17" ht="73" customHeight="1" x14ac:dyDescent="0.25">
      <c r="A107" s="729" t="s">
        <v>180</v>
      </c>
      <c r="B107" s="729"/>
    </row>
    <row r="108" spans="1:17" ht="73" customHeight="1" x14ac:dyDescent="0.25">
      <c r="A108" s="747"/>
      <c r="B108" s="747"/>
    </row>
    <row r="109" spans="1:17" ht="32" customHeight="1" x14ac:dyDescent="0.25"/>
    <row r="110" spans="1:17" ht="32" customHeight="1" x14ac:dyDescent="0.25"/>
    <row r="111" spans="1:17" ht="32" customHeight="1" x14ac:dyDescent="0.25"/>
    <row r="112" spans="1:17" ht="32" customHeight="1" x14ac:dyDescent="0.25"/>
    <row r="113" ht="32" customHeight="1" x14ac:dyDescent="0.25"/>
  </sheetData>
  <mergeCells count="95">
    <mergeCell ref="AP64:AT64"/>
    <mergeCell ref="AI65:AN65"/>
    <mergeCell ref="AI4:AN4"/>
    <mergeCell ref="AI5:AN5"/>
    <mergeCell ref="AI15:AN15"/>
    <mergeCell ref="AI25:AN25"/>
    <mergeCell ref="AI35:AN35"/>
    <mergeCell ref="AP44:AT44"/>
    <mergeCell ref="AI45:AN45"/>
    <mergeCell ref="AP54:AT54"/>
    <mergeCell ref="AI55:AN55"/>
    <mergeCell ref="G3:P3"/>
    <mergeCell ref="G4:H4"/>
    <mergeCell ref="G5:R5"/>
    <mergeCell ref="G14:H14"/>
    <mergeCell ref="G15:R15"/>
    <mergeCell ref="G24:H24"/>
    <mergeCell ref="G25:R25"/>
    <mergeCell ref="G34:H34"/>
    <mergeCell ref="G35:R35"/>
    <mergeCell ref="A2:B2"/>
    <mergeCell ref="A3:B3"/>
    <mergeCell ref="A4:B4"/>
    <mergeCell ref="A14:B14"/>
    <mergeCell ref="A15:B15"/>
    <mergeCell ref="A5:B5"/>
    <mergeCell ref="A34:B34"/>
    <mergeCell ref="A35:B35"/>
    <mergeCell ref="A24:B24"/>
    <mergeCell ref="A25:B25"/>
    <mergeCell ref="A54:B54"/>
    <mergeCell ref="A55:B55"/>
    <mergeCell ref="A44:B44"/>
    <mergeCell ref="A45:B45"/>
    <mergeCell ref="A64:B64"/>
    <mergeCell ref="A65:B65"/>
    <mergeCell ref="A77:B92"/>
    <mergeCell ref="A93:B95"/>
    <mergeCell ref="A99:B99"/>
    <mergeCell ref="A100:B100"/>
    <mergeCell ref="A101:B101"/>
    <mergeCell ref="A102:B102"/>
    <mergeCell ref="A103:B103"/>
    <mergeCell ref="A104:B104"/>
    <mergeCell ref="A105:B105"/>
    <mergeCell ref="A106:B106"/>
    <mergeCell ref="A107:B107"/>
    <mergeCell ref="A108:B108"/>
    <mergeCell ref="AA44:AE44"/>
    <mergeCell ref="T4:Y4"/>
    <mergeCell ref="T5:Y5"/>
    <mergeCell ref="T15:Y15"/>
    <mergeCell ref="T25:Y25"/>
    <mergeCell ref="T35:Y35"/>
    <mergeCell ref="T45:Y45"/>
    <mergeCell ref="T55:Y55"/>
    <mergeCell ref="G44:H44"/>
    <mergeCell ref="G45:R45"/>
    <mergeCell ref="J93:K93"/>
    <mergeCell ref="L95:O95"/>
    <mergeCell ref="AA54:AE54"/>
    <mergeCell ref="AA64:AE64"/>
    <mergeCell ref="R93:V93"/>
    <mergeCell ref="G54:H54"/>
    <mergeCell ref="G55:R55"/>
    <mergeCell ref="G64:H64"/>
    <mergeCell ref="G65:R65"/>
    <mergeCell ref="G77:H92"/>
    <mergeCell ref="J77:O77"/>
    <mergeCell ref="I78:O78"/>
    <mergeCell ref="T65:Y65"/>
    <mergeCell ref="AP66:AU66"/>
    <mergeCell ref="AP67:AQ67"/>
    <mergeCell ref="AU68:AU70"/>
    <mergeCell ref="AU71:AU73"/>
    <mergeCell ref="AP74:AR74"/>
    <mergeCell ref="AD93:AF93"/>
    <mergeCell ref="AS93:AU93"/>
    <mergeCell ref="AA74:AC74"/>
    <mergeCell ref="AP68:AQ68"/>
    <mergeCell ref="AP69:AQ69"/>
    <mergeCell ref="AP70:AQ70"/>
    <mergeCell ref="AP71:AQ71"/>
    <mergeCell ref="AP72:AQ72"/>
    <mergeCell ref="AP73:AQ73"/>
    <mergeCell ref="AA66:AF66"/>
    <mergeCell ref="AA67:AB67"/>
    <mergeCell ref="AA68:AB68"/>
    <mergeCell ref="AF68:AF70"/>
    <mergeCell ref="AA69:AB69"/>
    <mergeCell ref="AA70:AB70"/>
    <mergeCell ref="AA71:AB71"/>
    <mergeCell ref="AF71:AF73"/>
    <mergeCell ref="AA72:AB72"/>
    <mergeCell ref="AA73:AB73"/>
  </mergeCells>
  <phoneticPr fontId="1"/>
  <pageMargins left="0.7" right="0.7" top="0.75" bottom="0.75" header="0.3" footer="0.3"/>
  <pageSetup paperSize="8" scale="18"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10</vt:i4>
      </vt:variant>
      <vt:variant>
        <vt:lpstr>名前付き一覧</vt:lpstr>
      </vt:variant>
      <vt:variant>
        <vt:i4>3</vt:i4>
      </vt:variant>
    </vt:vector>
  </HeadingPairs>
  <TitlesOfParts>
    <vt:vector size="13" baseType="lpstr">
      <vt:lpstr>2024レビュー</vt:lpstr>
      <vt:lpstr>2023レビュー</vt:lpstr>
      <vt:lpstr>天候指数対比</vt:lpstr>
      <vt:lpstr>2024計画値・予測・実績進捗</vt:lpstr>
      <vt:lpstr>2024.10月実績</vt:lpstr>
      <vt:lpstr>2024.9月実績</vt:lpstr>
      <vt:lpstr>2024.8月実績</vt:lpstr>
      <vt:lpstr>2024.7月実績</vt:lpstr>
      <vt:lpstr>2024.6月実績</vt:lpstr>
      <vt:lpstr>2024.5月実績</vt:lpstr>
      <vt:lpstr>'2023レビュー'!Print_Area</vt:lpstr>
      <vt:lpstr>'2024レビュー'!Print_Area</vt:lpstr>
      <vt:lpstr>天候指数対比!Print_Area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dc:creator>
  <cp:lastModifiedBy>SATOSHI IGA</cp:lastModifiedBy>
  <cp:lastPrinted>2023-09-12T03:58:40Z</cp:lastPrinted>
  <dcterms:created xsi:type="dcterms:W3CDTF">2015-06-05T18:19:34Z</dcterms:created>
  <dcterms:modified xsi:type="dcterms:W3CDTF">2026-02-20T05:51:38Z</dcterms:modified>
</cp:coreProperties>
</file>