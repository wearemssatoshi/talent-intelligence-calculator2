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iiga/Desktop/"/>
    </mc:Choice>
  </mc:AlternateContent>
  <xr:revisionPtr revIDLastSave="0" documentId="8_{4182D66B-4828-F241-B819-AED279D0D069}" xr6:coauthVersionLast="47" xr6:coauthVersionMax="47" xr10:uidLastSave="{00000000-0000-0000-0000-000000000000}"/>
  <bookViews>
    <workbookView xWindow="9580" yWindow="700" windowWidth="28300" windowHeight="17360" activeTab="2" xr2:uid="{97ED2CC3-0D7F-0E48-8EA3-AB992C966413}"/>
  </bookViews>
  <sheets>
    <sheet name="2024.10" sheetId="1" r:id="rId1"/>
    <sheet name="2024.11" sheetId="2" r:id="rId2"/>
    <sheet name="2024.12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3" l="1"/>
  <c r="H77" i="3"/>
  <c r="Q76" i="3"/>
  <c r="Q77" i="3" s="1"/>
  <c r="P76" i="3"/>
  <c r="P77" i="3" s="1"/>
  <c r="O76" i="3"/>
  <c r="O77" i="3" s="1"/>
  <c r="N76" i="3"/>
  <c r="N77" i="3" s="1"/>
  <c r="I76" i="3"/>
  <c r="H76" i="3"/>
  <c r="G76" i="3"/>
  <c r="G77" i="3" s="1"/>
  <c r="F76" i="3"/>
  <c r="F77" i="3" s="1"/>
  <c r="BJ70" i="3"/>
  <c r="BI70" i="3"/>
  <c r="BK70" i="3" s="1"/>
  <c r="BJ69" i="3"/>
  <c r="BK69" i="3" s="1"/>
  <c r="BI69" i="3"/>
  <c r="BJ68" i="3"/>
  <c r="BI68" i="3"/>
  <c r="BK68" i="3" s="1"/>
  <c r="BJ67" i="3"/>
  <c r="BK67" i="3" s="1"/>
  <c r="BI67" i="3"/>
  <c r="BJ66" i="3"/>
  <c r="BI66" i="3"/>
  <c r="BK66" i="3" s="1"/>
  <c r="BJ65" i="3"/>
  <c r="BK65" i="3" s="1"/>
  <c r="BI65" i="3"/>
  <c r="BJ64" i="3"/>
  <c r="BI64" i="3"/>
  <c r="BK64" i="3" s="1"/>
  <c r="BJ63" i="3"/>
  <c r="BI63" i="3"/>
  <c r="BK63" i="3" s="1"/>
  <c r="BJ62" i="3"/>
  <c r="BI62" i="3"/>
  <c r="BK62" i="3" s="1"/>
  <c r="BJ61" i="3"/>
  <c r="BK61" i="3" s="1"/>
  <c r="BI61" i="3"/>
  <c r="BJ60" i="3"/>
  <c r="BI60" i="3"/>
  <c r="BK60" i="3" s="1"/>
  <c r="BK59" i="3"/>
  <c r="BJ59" i="3"/>
  <c r="BI59" i="3"/>
  <c r="BJ58" i="3"/>
  <c r="BI58" i="3"/>
  <c r="BK58" i="3" s="1"/>
  <c r="Y58" i="3"/>
  <c r="BJ57" i="3"/>
  <c r="BI57" i="3"/>
  <c r="BK57" i="3" s="1"/>
  <c r="X57" i="3"/>
  <c r="BJ56" i="3"/>
  <c r="BK56" i="3" s="1"/>
  <c r="BI56" i="3"/>
  <c r="Y56" i="3"/>
  <c r="X56" i="3"/>
  <c r="BJ55" i="3"/>
  <c r="BK55" i="3" s="1"/>
  <c r="BI55" i="3"/>
  <c r="BJ54" i="3"/>
  <c r="BI54" i="3"/>
  <c r="Y54" i="3"/>
  <c r="X55" i="3" s="1"/>
  <c r="X54" i="3"/>
  <c r="BJ53" i="3"/>
  <c r="BI53" i="3"/>
  <c r="BK53" i="3" s="1"/>
  <c r="X53" i="3"/>
  <c r="BK52" i="3"/>
  <c r="BJ52" i="3"/>
  <c r="BI52" i="3"/>
  <c r="Y52" i="3"/>
  <c r="X52" i="3"/>
  <c r="BK51" i="3"/>
  <c r="BJ51" i="3"/>
  <c r="BI51" i="3"/>
  <c r="BJ50" i="3"/>
  <c r="BI50" i="3"/>
  <c r="BK50" i="3" s="1"/>
  <c r="AQ50" i="3"/>
  <c r="AW49" i="3"/>
  <c r="AQ49" i="3"/>
  <c r="AE49" i="3"/>
  <c r="S48" i="3"/>
  <c r="Q48" i="3"/>
  <c r="K48" i="3"/>
  <c r="I48" i="3"/>
  <c r="AX46" i="3"/>
  <c r="AV47" i="3" s="1"/>
  <c r="AF46" i="3"/>
  <c r="AN46" i="3" s="1"/>
  <c r="X46" i="3"/>
  <c r="S46" i="3"/>
  <c r="K46" i="3"/>
  <c r="BH45" i="3"/>
  <c r="W45" i="3"/>
  <c r="BH44" i="3"/>
  <c r="BB44" i="3"/>
  <c r="BF43" i="3"/>
  <c r="BH43" i="3" s="1"/>
  <c r="V41" i="3"/>
  <c r="AQ38" i="3"/>
  <c r="AI38" i="3"/>
  <c r="AA38" i="3"/>
  <c r="O38" i="3"/>
  <c r="U38" i="3" s="1"/>
  <c r="AV37" i="3"/>
  <c r="AU37" i="3"/>
  <c r="AQ37" i="3"/>
  <c r="AI37" i="3"/>
  <c r="AJ37" i="3" s="1"/>
  <c r="H37" i="3"/>
  <c r="I37" i="3" s="1"/>
  <c r="BJ36" i="3"/>
  <c r="BI36" i="3"/>
  <c r="BH36" i="3"/>
  <c r="BG36" i="3"/>
  <c r="BF36" i="3"/>
  <c r="BE36" i="3"/>
  <c r="BD36" i="3"/>
  <c r="AV36" i="3"/>
  <c r="AU36" i="3"/>
  <c r="AS36" i="3"/>
  <c r="AS37" i="3" s="1"/>
  <c r="BF42" i="3" s="1"/>
  <c r="AQ36" i="3"/>
  <c r="AP36" i="3"/>
  <c r="AT37" i="3" s="1"/>
  <c r="AO36" i="3"/>
  <c r="AK36" i="3"/>
  <c r="AK37" i="3" s="1"/>
  <c r="AI36" i="3"/>
  <c r="AH36" i="3"/>
  <c r="AG36" i="3"/>
  <c r="AC36" i="3"/>
  <c r="AC37" i="3" s="1"/>
  <c r="AA36" i="3"/>
  <c r="AA37" i="3" s="1"/>
  <c r="AB37" i="3" s="1"/>
  <c r="Z36" i="3"/>
  <c r="AD37" i="3" s="1"/>
  <c r="Y36" i="3"/>
  <c r="X36" i="3"/>
  <c r="L36" i="3"/>
  <c r="H36" i="3"/>
  <c r="I36" i="3" s="1"/>
  <c r="G36" i="3"/>
  <c r="F36" i="3"/>
  <c r="F37" i="3" s="1"/>
  <c r="G37" i="3" s="1"/>
  <c r="E36" i="3"/>
  <c r="F38" i="3" s="1"/>
  <c r="D36" i="3"/>
  <c r="C36" i="3"/>
  <c r="BM35" i="3"/>
  <c r="BK35" i="3"/>
  <c r="BC35" i="3"/>
  <c r="BA35" i="3"/>
  <c r="AX35" i="3"/>
  <c r="AW35" i="3"/>
  <c r="AT35" i="3"/>
  <c r="AR35" i="3"/>
  <c r="AN35" i="3"/>
  <c r="AM35" i="3"/>
  <c r="AL35" i="3"/>
  <c r="AJ35" i="3"/>
  <c r="AE35" i="3"/>
  <c r="AF35" i="3" s="1"/>
  <c r="AD35" i="3"/>
  <c r="AB35" i="3"/>
  <c r="V35" i="3"/>
  <c r="P35" i="3"/>
  <c r="N35" i="3"/>
  <c r="M35" i="3"/>
  <c r="J35" i="3"/>
  <c r="K35" i="3" s="1"/>
  <c r="I35" i="3"/>
  <c r="G35" i="3"/>
  <c r="BK34" i="3"/>
  <c r="BM34" i="3" s="1"/>
  <c r="BC34" i="3"/>
  <c r="AY34" i="3"/>
  <c r="AX34" i="3"/>
  <c r="AW34" i="3"/>
  <c r="AT34" i="3"/>
  <c r="AR34" i="3"/>
  <c r="AN34" i="3"/>
  <c r="AM34" i="3"/>
  <c r="AL34" i="3"/>
  <c r="AJ34" i="3"/>
  <c r="AE34" i="3"/>
  <c r="AF34" i="3" s="1"/>
  <c r="AD34" i="3"/>
  <c r="AB34" i="3"/>
  <c r="V34" i="3"/>
  <c r="BA34" i="3" s="1"/>
  <c r="S34" i="3"/>
  <c r="R34" i="3"/>
  <c r="P34" i="3"/>
  <c r="N34" i="3"/>
  <c r="M34" i="3"/>
  <c r="T34" i="3" s="1"/>
  <c r="J34" i="3"/>
  <c r="W34" i="3" s="1"/>
  <c r="I34" i="3"/>
  <c r="G34" i="3"/>
  <c r="BK33" i="3"/>
  <c r="BM33" i="3" s="1"/>
  <c r="BC33" i="3"/>
  <c r="AY33" i="3"/>
  <c r="AX33" i="3"/>
  <c r="AW33" i="3"/>
  <c r="AT33" i="3"/>
  <c r="AR33" i="3"/>
  <c r="AN33" i="3"/>
  <c r="AM33" i="3"/>
  <c r="AL33" i="3"/>
  <c r="AJ33" i="3"/>
  <c r="AE33" i="3"/>
  <c r="AF33" i="3" s="1"/>
  <c r="AD33" i="3"/>
  <c r="AB33" i="3"/>
  <c r="U33" i="3"/>
  <c r="AZ33" i="3" s="1"/>
  <c r="P33" i="3"/>
  <c r="N33" i="3"/>
  <c r="O33" i="3" s="1"/>
  <c r="M33" i="3"/>
  <c r="T33" i="3" s="1"/>
  <c r="J33" i="3"/>
  <c r="I33" i="3"/>
  <c r="G33" i="3"/>
  <c r="BK32" i="3"/>
  <c r="BC32" i="3"/>
  <c r="AY32" i="3"/>
  <c r="AX32" i="3"/>
  <c r="AW32" i="3"/>
  <c r="AT32" i="3"/>
  <c r="AR32" i="3"/>
  <c r="AN32" i="3"/>
  <c r="AM32" i="3"/>
  <c r="AL32" i="3"/>
  <c r="AJ32" i="3"/>
  <c r="AE32" i="3"/>
  <c r="AF32" i="3" s="1"/>
  <c r="AD32" i="3"/>
  <c r="AB32" i="3"/>
  <c r="V32" i="3"/>
  <c r="BA32" i="3" s="1"/>
  <c r="U32" i="3"/>
  <c r="AZ32" i="3" s="1"/>
  <c r="T32" i="3"/>
  <c r="P32" i="3"/>
  <c r="Q32" i="3" s="1"/>
  <c r="N32" i="3"/>
  <c r="R32" i="3" s="1"/>
  <c r="S32" i="3" s="1"/>
  <c r="M32" i="3"/>
  <c r="J32" i="3"/>
  <c r="K32" i="3" s="1"/>
  <c r="I32" i="3"/>
  <c r="G32" i="3"/>
  <c r="BM31" i="3"/>
  <c r="BK31" i="3"/>
  <c r="BC31" i="3"/>
  <c r="BA31" i="3"/>
  <c r="AX31" i="3"/>
  <c r="AW31" i="3"/>
  <c r="AT31" i="3"/>
  <c r="AR31" i="3"/>
  <c r="AN31" i="3"/>
  <c r="AM31" i="3"/>
  <c r="AL31" i="3"/>
  <c r="AJ31" i="3"/>
  <c r="AE31" i="3"/>
  <c r="AF31" i="3" s="1"/>
  <c r="AD31" i="3"/>
  <c r="AB31" i="3"/>
  <c r="V31" i="3"/>
  <c r="P31" i="3"/>
  <c r="Q31" i="3" s="1"/>
  <c r="N31" i="3"/>
  <c r="O31" i="3" s="1"/>
  <c r="M31" i="3"/>
  <c r="AY31" i="3" s="1"/>
  <c r="J31" i="3"/>
  <c r="K31" i="3" s="1"/>
  <c r="I31" i="3"/>
  <c r="G31" i="3"/>
  <c r="BK30" i="3"/>
  <c r="BM30" i="3" s="1"/>
  <c r="BC30" i="3"/>
  <c r="AY30" i="3"/>
  <c r="AX30" i="3"/>
  <c r="AW30" i="3"/>
  <c r="AT30" i="3"/>
  <c r="AR30" i="3"/>
  <c r="AN30" i="3"/>
  <c r="AM30" i="3"/>
  <c r="AL30" i="3"/>
  <c r="AJ30" i="3"/>
  <c r="AE30" i="3"/>
  <c r="AF30" i="3" s="1"/>
  <c r="AD30" i="3"/>
  <c r="AB30" i="3"/>
  <c r="T30" i="3"/>
  <c r="P30" i="3"/>
  <c r="V30" i="3" s="1"/>
  <c r="BA30" i="3" s="1"/>
  <c r="N30" i="3"/>
  <c r="M30" i="3"/>
  <c r="Q30" i="3" s="1"/>
  <c r="K30" i="3"/>
  <c r="J30" i="3"/>
  <c r="I30" i="3"/>
  <c r="G30" i="3"/>
  <c r="BK29" i="3"/>
  <c r="BM29" i="3" s="1"/>
  <c r="BC29" i="3"/>
  <c r="AZ29" i="3"/>
  <c r="AY29" i="3"/>
  <c r="AX29" i="3"/>
  <c r="AW29" i="3"/>
  <c r="AT29" i="3"/>
  <c r="AR29" i="3"/>
  <c r="AN29" i="3"/>
  <c r="AM29" i="3"/>
  <c r="AL29" i="3"/>
  <c r="AJ29" i="3"/>
  <c r="AE29" i="3"/>
  <c r="AF29" i="3" s="1"/>
  <c r="AD29" i="3"/>
  <c r="AB29" i="3"/>
  <c r="R29" i="3"/>
  <c r="S29" i="3" s="1"/>
  <c r="P29" i="3"/>
  <c r="V29" i="3" s="1"/>
  <c r="BA29" i="3" s="1"/>
  <c r="N29" i="3"/>
  <c r="U29" i="3" s="1"/>
  <c r="M29" i="3"/>
  <c r="T29" i="3" s="1"/>
  <c r="J29" i="3"/>
  <c r="I29" i="3"/>
  <c r="G29" i="3"/>
  <c r="BK28" i="3"/>
  <c r="BM28" i="3" s="1"/>
  <c r="BC28" i="3"/>
  <c r="AY28" i="3"/>
  <c r="AX28" i="3"/>
  <c r="AW28" i="3"/>
  <c r="AT28" i="3"/>
  <c r="AR28" i="3"/>
  <c r="AN28" i="3"/>
  <c r="AM28" i="3"/>
  <c r="AL28" i="3"/>
  <c r="AJ28" i="3"/>
  <c r="AF28" i="3"/>
  <c r="AE28" i="3"/>
  <c r="AD28" i="3"/>
  <c r="AB28" i="3"/>
  <c r="P28" i="3"/>
  <c r="O28" i="3"/>
  <c r="N28" i="3"/>
  <c r="U28" i="3" s="1"/>
  <c r="AZ28" i="3" s="1"/>
  <c r="M28" i="3"/>
  <c r="T28" i="3" s="1"/>
  <c r="J28" i="3"/>
  <c r="I28" i="3"/>
  <c r="G28" i="3"/>
  <c r="BK27" i="3"/>
  <c r="BM27" i="3" s="1"/>
  <c r="BC27" i="3"/>
  <c r="AY27" i="3"/>
  <c r="AX27" i="3"/>
  <c r="AW27" i="3"/>
  <c r="AT27" i="3"/>
  <c r="AR27" i="3"/>
  <c r="AM27" i="3"/>
  <c r="AN27" i="3" s="1"/>
  <c r="AL27" i="3"/>
  <c r="AJ27" i="3"/>
  <c r="AE27" i="3"/>
  <c r="AF27" i="3" s="1"/>
  <c r="AD27" i="3"/>
  <c r="AB27" i="3"/>
  <c r="V27" i="3"/>
  <c r="BA27" i="3" s="1"/>
  <c r="P27" i="3"/>
  <c r="Q27" i="3" s="1"/>
  <c r="O27" i="3"/>
  <c r="N27" i="3"/>
  <c r="M27" i="3"/>
  <c r="T27" i="3" s="1"/>
  <c r="J27" i="3"/>
  <c r="K27" i="3" s="1"/>
  <c r="I27" i="3"/>
  <c r="G27" i="3"/>
  <c r="BK26" i="3"/>
  <c r="BM26" i="3" s="1"/>
  <c r="BC26" i="3"/>
  <c r="AX26" i="3"/>
  <c r="AW26" i="3"/>
  <c r="AT26" i="3"/>
  <c r="AR26" i="3"/>
  <c r="AN26" i="3"/>
  <c r="AM26" i="3"/>
  <c r="AL26" i="3"/>
  <c r="AJ26" i="3"/>
  <c r="AE26" i="3"/>
  <c r="AF26" i="3" s="1"/>
  <c r="AD26" i="3"/>
  <c r="AB26" i="3"/>
  <c r="V26" i="3"/>
  <c r="BA26" i="3" s="1"/>
  <c r="U26" i="3"/>
  <c r="AZ26" i="3" s="1"/>
  <c r="T26" i="3"/>
  <c r="P26" i="3"/>
  <c r="N26" i="3"/>
  <c r="R26" i="3" s="1"/>
  <c r="M26" i="3"/>
  <c r="J26" i="3"/>
  <c r="K26" i="3" s="1"/>
  <c r="I26" i="3"/>
  <c r="G26" i="3"/>
  <c r="BK25" i="3"/>
  <c r="BM25" i="3" s="1"/>
  <c r="BC25" i="3"/>
  <c r="AX25" i="3"/>
  <c r="AW25" i="3"/>
  <c r="AT25" i="3"/>
  <c r="AR25" i="3"/>
  <c r="AN25" i="3"/>
  <c r="AM25" i="3"/>
  <c r="AL25" i="3"/>
  <c r="AJ25" i="3"/>
  <c r="AE25" i="3"/>
  <c r="AF25" i="3" s="1"/>
  <c r="AD25" i="3"/>
  <c r="AB25" i="3"/>
  <c r="T25" i="3"/>
  <c r="S25" i="3"/>
  <c r="P25" i="3"/>
  <c r="Q25" i="3" s="1"/>
  <c r="O25" i="3"/>
  <c r="N25" i="3"/>
  <c r="R25" i="3" s="1"/>
  <c r="M25" i="3"/>
  <c r="AY25" i="3" s="1"/>
  <c r="K25" i="3"/>
  <c r="J25" i="3"/>
  <c r="W25" i="3" s="1"/>
  <c r="BB25" i="3" s="1"/>
  <c r="I25" i="3"/>
  <c r="G25" i="3"/>
  <c r="BM24" i="3"/>
  <c r="BK24" i="3"/>
  <c r="BC24" i="3"/>
  <c r="BA24" i="3"/>
  <c r="AY24" i="3"/>
  <c r="AX24" i="3"/>
  <c r="AW24" i="3"/>
  <c r="AT24" i="3"/>
  <c r="AR24" i="3"/>
  <c r="AM24" i="3"/>
  <c r="AN24" i="3" s="1"/>
  <c r="AL24" i="3"/>
  <c r="AJ24" i="3"/>
  <c r="AE24" i="3"/>
  <c r="AF24" i="3" s="1"/>
  <c r="AD24" i="3"/>
  <c r="AB24" i="3"/>
  <c r="V24" i="3"/>
  <c r="T24" i="3"/>
  <c r="R24" i="3"/>
  <c r="S24" i="3" s="1"/>
  <c r="P24" i="3"/>
  <c r="N24" i="3"/>
  <c r="M24" i="3"/>
  <c r="J24" i="3"/>
  <c r="K24" i="3" s="1"/>
  <c r="I24" i="3"/>
  <c r="G24" i="3"/>
  <c r="BK23" i="3"/>
  <c r="BM23" i="3" s="1"/>
  <c r="BC23" i="3"/>
  <c r="AX23" i="3"/>
  <c r="AW23" i="3"/>
  <c r="AT23" i="3"/>
  <c r="AR23" i="3"/>
  <c r="AM23" i="3"/>
  <c r="AN23" i="3" s="1"/>
  <c r="AL23" i="3"/>
  <c r="AJ23" i="3"/>
  <c r="AE23" i="3"/>
  <c r="AF23" i="3" s="1"/>
  <c r="AD23" i="3"/>
  <c r="AB23" i="3"/>
  <c r="V23" i="3"/>
  <c r="BA23" i="3" s="1"/>
  <c r="R23" i="3"/>
  <c r="Q23" i="3"/>
  <c r="P23" i="3"/>
  <c r="N23" i="3"/>
  <c r="O23" i="3" s="1"/>
  <c r="M23" i="3"/>
  <c r="T23" i="3" s="1"/>
  <c r="J23" i="3"/>
  <c r="W23" i="3" s="1"/>
  <c r="BB23" i="3" s="1"/>
  <c r="I23" i="3"/>
  <c r="G23" i="3"/>
  <c r="BK22" i="3"/>
  <c r="BM22" i="3" s="1"/>
  <c r="BC22" i="3"/>
  <c r="AX22" i="3"/>
  <c r="AW22" i="3"/>
  <c r="AT22" i="3"/>
  <c r="AR22" i="3"/>
  <c r="AN22" i="3"/>
  <c r="AM22" i="3"/>
  <c r="AL22" i="3"/>
  <c r="AJ22" i="3"/>
  <c r="AE22" i="3"/>
  <c r="AF22" i="3" s="1"/>
  <c r="AD22" i="3"/>
  <c r="AB22" i="3"/>
  <c r="V22" i="3"/>
  <c r="BA22" i="3" s="1"/>
  <c r="U22" i="3"/>
  <c r="AZ22" i="3" s="1"/>
  <c r="R22" i="3"/>
  <c r="W22" i="3" s="1"/>
  <c r="BB22" i="3" s="1"/>
  <c r="P22" i="3"/>
  <c r="N22" i="3"/>
  <c r="M22" i="3"/>
  <c r="K22" i="3"/>
  <c r="J22" i="3"/>
  <c r="I22" i="3"/>
  <c r="G22" i="3"/>
  <c r="BK21" i="3"/>
  <c r="BM21" i="3" s="1"/>
  <c r="BC21" i="3"/>
  <c r="AY21" i="3"/>
  <c r="AX21" i="3"/>
  <c r="AW21" i="3"/>
  <c r="AT21" i="3"/>
  <c r="AS49" i="3" s="1"/>
  <c r="AS50" i="3" s="1"/>
  <c r="AR21" i="3"/>
  <c r="AR49" i="3" s="1"/>
  <c r="AR50" i="3" s="1"/>
  <c r="AM21" i="3"/>
  <c r="AN21" i="3" s="1"/>
  <c r="AL21" i="3"/>
  <c r="AJ21" i="3"/>
  <c r="AF21" i="3"/>
  <c r="AE21" i="3"/>
  <c r="AD21" i="3"/>
  <c r="AB21" i="3"/>
  <c r="U21" i="3"/>
  <c r="AZ21" i="3" s="1"/>
  <c r="T21" i="3"/>
  <c r="P21" i="3"/>
  <c r="O21" i="3"/>
  <c r="N21" i="3"/>
  <c r="M21" i="3"/>
  <c r="J21" i="3"/>
  <c r="K21" i="3" s="1"/>
  <c r="I21" i="3"/>
  <c r="G21" i="3"/>
  <c r="BK20" i="3"/>
  <c r="BM20" i="3" s="1"/>
  <c r="BC20" i="3"/>
  <c r="AY20" i="3"/>
  <c r="AX20" i="3"/>
  <c r="AW20" i="3"/>
  <c r="AT20" i="3"/>
  <c r="AR20" i="3"/>
  <c r="AN20" i="3"/>
  <c r="AM20" i="3"/>
  <c r="AL20" i="3"/>
  <c r="AJ20" i="3"/>
  <c r="AE20" i="3"/>
  <c r="AF20" i="3" s="1"/>
  <c r="AD20" i="3"/>
  <c r="AB20" i="3"/>
  <c r="U20" i="3"/>
  <c r="AZ20" i="3" s="1"/>
  <c r="T20" i="3"/>
  <c r="P20" i="3"/>
  <c r="N20" i="3"/>
  <c r="M20" i="3"/>
  <c r="J20" i="3"/>
  <c r="I20" i="3"/>
  <c r="J50" i="3" s="1"/>
  <c r="G20" i="3"/>
  <c r="BM19" i="3"/>
  <c r="BK19" i="3"/>
  <c r="BC19" i="3"/>
  <c r="BA19" i="3"/>
  <c r="AX19" i="3"/>
  <c r="AW19" i="3"/>
  <c r="AT19" i="3"/>
  <c r="AR19" i="3"/>
  <c r="AN19" i="3"/>
  <c r="AM19" i="3"/>
  <c r="AL19" i="3"/>
  <c r="AJ19" i="3"/>
  <c r="AE19" i="3"/>
  <c r="AF19" i="3" s="1"/>
  <c r="AB19" i="3"/>
  <c r="U19" i="3"/>
  <c r="AZ19" i="3" s="1"/>
  <c r="T19" i="3"/>
  <c r="R19" i="3"/>
  <c r="S19" i="3" s="1"/>
  <c r="Q19" i="3"/>
  <c r="P19" i="3"/>
  <c r="V19" i="3" s="1"/>
  <c r="N19" i="3"/>
  <c r="M19" i="3"/>
  <c r="AY19" i="3" s="1"/>
  <c r="K19" i="3"/>
  <c r="J19" i="3"/>
  <c r="I19" i="3"/>
  <c r="G19" i="3"/>
  <c r="BK18" i="3"/>
  <c r="BM18" i="3" s="1"/>
  <c r="BC18" i="3"/>
  <c r="AX18" i="3"/>
  <c r="AW18" i="3"/>
  <c r="AT18" i="3"/>
  <c r="AR18" i="3"/>
  <c r="AM18" i="3"/>
  <c r="AN18" i="3" s="1"/>
  <c r="AL18" i="3"/>
  <c r="AJ18" i="3"/>
  <c r="AE18" i="3"/>
  <c r="AF18" i="3" s="1"/>
  <c r="AD18" i="3"/>
  <c r="AB18" i="3"/>
  <c r="P18" i="3"/>
  <c r="N18" i="3"/>
  <c r="U18" i="3" s="1"/>
  <c r="AZ18" i="3" s="1"/>
  <c r="M18" i="3"/>
  <c r="AY18" i="3" s="1"/>
  <c r="J18" i="3"/>
  <c r="I18" i="3"/>
  <c r="G18" i="3"/>
  <c r="BK17" i="3"/>
  <c r="BM17" i="3" s="1"/>
  <c r="BC17" i="3"/>
  <c r="AY17" i="3"/>
  <c r="AX17" i="3"/>
  <c r="AW17" i="3"/>
  <c r="AT17" i="3"/>
  <c r="AR17" i="3"/>
  <c r="AN17" i="3"/>
  <c r="AM17" i="3"/>
  <c r="AL17" i="3"/>
  <c r="AJ17" i="3"/>
  <c r="AF17" i="3"/>
  <c r="AE17" i="3"/>
  <c r="AD17" i="3"/>
  <c r="AB17" i="3"/>
  <c r="P17" i="3"/>
  <c r="O17" i="3"/>
  <c r="N17" i="3"/>
  <c r="U17" i="3" s="1"/>
  <c r="AZ17" i="3" s="1"/>
  <c r="M17" i="3"/>
  <c r="T17" i="3" s="1"/>
  <c r="J17" i="3"/>
  <c r="K17" i="3" s="1"/>
  <c r="I17" i="3"/>
  <c r="G17" i="3"/>
  <c r="BK16" i="3"/>
  <c r="BM16" i="3" s="1"/>
  <c r="BC16" i="3"/>
  <c r="AY16" i="3"/>
  <c r="AX16" i="3"/>
  <c r="AW16" i="3"/>
  <c r="AT16" i="3"/>
  <c r="AR16" i="3"/>
  <c r="AM16" i="3"/>
  <c r="AN16" i="3" s="1"/>
  <c r="AL16" i="3"/>
  <c r="AJ16" i="3"/>
  <c r="AE16" i="3"/>
  <c r="AF16" i="3" s="1"/>
  <c r="AD16" i="3"/>
  <c r="AB16" i="3"/>
  <c r="P16" i="3"/>
  <c r="O16" i="3"/>
  <c r="N16" i="3"/>
  <c r="U16" i="3" s="1"/>
  <c r="AZ16" i="3" s="1"/>
  <c r="M16" i="3"/>
  <c r="T16" i="3" s="1"/>
  <c r="J16" i="3"/>
  <c r="K16" i="3" s="1"/>
  <c r="I16" i="3"/>
  <c r="G16" i="3"/>
  <c r="BK15" i="3"/>
  <c r="BM15" i="3" s="1"/>
  <c r="BC15" i="3"/>
  <c r="AX15" i="3"/>
  <c r="AW15" i="3"/>
  <c r="AT15" i="3"/>
  <c r="AR15" i="3"/>
  <c r="AM15" i="3"/>
  <c r="AN15" i="3" s="1"/>
  <c r="AL15" i="3"/>
  <c r="AJ15" i="3"/>
  <c r="AE15" i="3"/>
  <c r="AF15" i="3" s="1"/>
  <c r="AD15" i="3"/>
  <c r="AB15" i="3"/>
  <c r="V15" i="3"/>
  <c r="BA15" i="3" s="1"/>
  <c r="P15" i="3"/>
  <c r="N15" i="3"/>
  <c r="M15" i="3"/>
  <c r="J15" i="3"/>
  <c r="K15" i="3" s="1"/>
  <c r="I15" i="3"/>
  <c r="G15" i="3"/>
  <c r="BK14" i="3"/>
  <c r="BM14" i="3" s="1"/>
  <c r="BC14" i="3"/>
  <c r="BB14" i="3"/>
  <c r="AY14" i="3"/>
  <c r="AX14" i="3"/>
  <c r="AW14" i="3"/>
  <c r="AT14" i="3"/>
  <c r="AR14" i="3"/>
  <c r="AN14" i="3"/>
  <c r="AM14" i="3"/>
  <c r="AL14" i="3"/>
  <c r="AJ14" i="3"/>
  <c r="AF14" i="3"/>
  <c r="AE14" i="3"/>
  <c r="AD14" i="3"/>
  <c r="AB14" i="3"/>
  <c r="U14" i="3"/>
  <c r="AZ14" i="3" s="1"/>
  <c r="T14" i="3"/>
  <c r="P14" i="3"/>
  <c r="N14" i="3"/>
  <c r="R14" i="3" s="1"/>
  <c r="M14" i="3"/>
  <c r="S14" i="3" s="1"/>
  <c r="K14" i="3"/>
  <c r="J14" i="3"/>
  <c r="W14" i="3" s="1"/>
  <c r="I14" i="3"/>
  <c r="G14" i="3"/>
  <c r="BM13" i="3"/>
  <c r="BK13" i="3"/>
  <c r="BC13" i="3"/>
  <c r="BA13" i="3"/>
  <c r="AZ13" i="3"/>
  <c r="AY13" i="3"/>
  <c r="AX13" i="3"/>
  <c r="AW13" i="3"/>
  <c r="AT13" i="3"/>
  <c r="AR13" i="3"/>
  <c r="AN13" i="3"/>
  <c r="AM13" i="3"/>
  <c r="AL13" i="3"/>
  <c r="AJ13" i="3"/>
  <c r="AE13" i="3"/>
  <c r="AF13" i="3" s="1"/>
  <c r="AD13" i="3"/>
  <c r="AB13" i="3"/>
  <c r="W13" i="3"/>
  <c r="BB13" i="3" s="1"/>
  <c r="V13" i="3"/>
  <c r="T13" i="3"/>
  <c r="R13" i="3"/>
  <c r="S13" i="3" s="1"/>
  <c r="P13" i="3"/>
  <c r="Q13" i="3" s="1"/>
  <c r="O13" i="3"/>
  <c r="N13" i="3"/>
  <c r="U13" i="3" s="1"/>
  <c r="M13" i="3"/>
  <c r="J13" i="3"/>
  <c r="K13" i="3" s="1"/>
  <c r="I13" i="3"/>
  <c r="G13" i="3"/>
  <c r="BK12" i="3"/>
  <c r="BM12" i="3" s="1"/>
  <c r="BC12" i="3"/>
  <c r="BA12" i="3"/>
  <c r="AX12" i="3"/>
  <c r="AW12" i="3"/>
  <c r="AT12" i="3"/>
  <c r="AR12" i="3"/>
  <c r="AN12" i="3"/>
  <c r="AM12" i="3"/>
  <c r="AL12" i="3"/>
  <c r="AJ12" i="3"/>
  <c r="AE12" i="3"/>
  <c r="AF12" i="3" s="1"/>
  <c r="AD12" i="3"/>
  <c r="AB12" i="3"/>
  <c r="V12" i="3"/>
  <c r="Q12" i="3"/>
  <c r="P12" i="3"/>
  <c r="N12" i="3"/>
  <c r="M12" i="3"/>
  <c r="T12" i="3" s="1"/>
  <c r="J12" i="3"/>
  <c r="I12" i="3"/>
  <c r="G12" i="3"/>
  <c r="BK11" i="3"/>
  <c r="BM11" i="3" s="1"/>
  <c r="BC11" i="3"/>
  <c r="AX11" i="3"/>
  <c r="AW11" i="3"/>
  <c r="AT11" i="3"/>
  <c r="AR11" i="3"/>
  <c r="AN11" i="3"/>
  <c r="AM11" i="3"/>
  <c r="AL11" i="3"/>
  <c r="AJ11" i="3"/>
  <c r="AE11" i="3"/>
  <c r="AF11" i="3" s="1"/>
  <c r="AD11" i="3"/>
  <c r="AB11" i="3"/>
  <c r="U11" i="3"/>
  <c r="AZ11" i="3" s="1"/>
  <c r="P11" i="3"/>
  <c r="N11" i="3"/>
  <c r="M11" i="3"/>
  <c r="J11" i="3"/>
  <c r="K11" i="3" s="1"/>
  <c r="I11" i="3"/>
  <c r="G11" i="3"/>
  <c r="BK10" i="3"/>
  <c r="BM10" i="3" s="1"/>
  <c r="BC10" i="3"/>
  <c r="AY10" i="3"/>
  <c r="AX10" i="3"/>
  <c r="AW10" i="3"/>
  <c r="AW36" i="3" s="1"/>
  <c r="AT10" i="3"/>
  <c r="AR10" i="3"/>
  <c r="AM10" i="3"/>
  <c r="AN10" i="3" s="1"/>
  <c r="AL10" i="3"/>
  <c r="AJ10" i="3"/>
  <c r="AF10" i="3"/>
  <c r="AE10" i="3"/>
  <c r="AD10" i="3"/>
  <c r="AB10" i="3"/>
  <c r="V10" i="3"/>
  <c r="BA10" i="3" s="1"/>
  <c r="U10" i="3"/>
  <c r="AZ10" i="3" s="1"/>
  <c r="T10" i="3"/>
  <c r="Q10" i="3"/>
  <c r="P10" i="3"/>
  <c r="R10" i="3" s="1"/>
  <c r="S10" i="3" s="1"/>
  <c r="O10" i="3"/>
  <c r="N10" i="3"/>
  <c r="M10" i="3"/>
  <c r="J10" i="3"/>
  <c r="I10" i="3"/>
  <c r="G10" i="3"/>
  <c r="BK9" i="3"/>
  <c r="BM9" i="3" s="1"/>
  <c r="BC9" i="3"/>
  <c r="AY9" i="3"/>
  <c r="AX9" i="3"/>
  <c r="AW9" i="3"/>
  <c r="AT9" i="3"/>
  <c r="AR9" i="3"/>
  <c r="AN9" i="3"/>
  <c r="AM9" i="3"/>
  <c r="AL9" i="3"/>
  <c r="AJ9" i="3"/>
  <c r="AE9" i="3"/>
  <c r="AF9" i="3" s="1"/>
  <c r="AD9" i="3"/>
  <c r="AB9" i="3"/>
  <c r="V9" i="3"/>
  <c r="BA9" i="3" s="1"/>
  <c r="T9" i="3"/>
  <c r="P9" i="3"/>
  <c r="Q9" i="3" s="1"/>
  <c r="N9" i="3"/>
  <c r="M9" i="3"/>
  <c r="J9" i="3"/>
  <c r="I9" i="3"/>
  <c r="G9" i="3"/>
  <c r="BM8" i="3"/>
  <c r="BK8" i="3"/>
  <c r="BC8" i="3"/>
  <c r="AX8" i="3"/>
  <c r="AW8" i="3"/>
  <c r="AT8" i="3"/>
  <c r="AR8" i="3"/>
  <c r="AN8" i="3"/>
  <c r="AM8" i="3"/>
  <c r="AL8" i="3"/>
  <c r="AJ8" i="3"/>
  <c r="AE8" i="3"/>
  <c r="AF8" i="3" s="1"/>
  <c r="AD8" i="3"/>
  <c r="AB8" i="3"/>
  <c r="V8" i="3"/>
  <c r="BA8" i="3" s="1"/>
  <c r="U8" i="3"/>
  <c r="AZ8" i="3" s="1"/>
  <c r="P8" i="3"/>
  <c r="N8" i="3"/>
  <c r="M8" i="3"/>
  <c r="T8" i="3" s="1"/>
  <c r="J8" i="3"/>
  <c r="K8" i="3" s="1"/>
  <c r="I8" i="3"/>
  <c r="G8" i="3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K7" i="3"/>
  <c r="BM7" i="3" s="1"/>
  <c r="BC7" i="3"/>
  <c r="AX7" i="3"/>
  <c r="AW7" i="3"/>
  <c r="AT7" i="3"/>
  <c r="AR7" i="3"/>
  <c r="AM7" i="3"/>
  <c r="AN7" i="3" s="1"/>
  <c r="AL7" i="3"/>
  <c r="AJ7" i="3"/>
  <c r="AE7" i="3"/>
  <c r="AF7" i="3" s="1"/>
  <c r="AD7" i="3"/>
  <c r="AB7" i="3"/>
  <c r="P7" i="3"/>
  <c r="V7" i="3" s="1"/>
  <c r="BA7" i="3" s="1"/>
  <c r="N7" i="3"/>
  <c r="M7" i="3"/>
  <c r="K7" i="3"/>
  <c r="J7" i="3"/>
  <c r="I7" i="3"/>
  <c r="G7" i="3"/>
  <c r="B7" i="3"/>
  <c r="BK6" i="3"/>
  <c r="BM6" i="3" s="1"/>
  <c r="BC6" i="3"/>
  <c r="AZ6" i="3"/>
  <c r="AX6" i="3"/>
  <c r="AW6" i="3"/>
  <c r="AT6" i="3"/>
  <c r="AR6" i="3"/>
  <c r="AN6" i="3"/>
  <c r="AM6" i="3"/>
  <c r="AL6" i="3"/>
  <c r="AJ6" i="3"/>
  <c r="AE6" i="3"/>
  <c r="AF6" i="3" s="1"/>
  <c r="AD6" i="3"/>
  <c r="AB6" i="3"/>
  <c r="T6" i="3"/>
  <c r="R6" i="3"/>
  <c r="S6" i="3" s="1"/>
  <c r="P6" i="3"/>
  <c r="V6" i="3" s="1"/>
  <c r="BA6" i="3" s="1"/>
  <c r="N6" i="3"/>
  <c r="U6" i="3" s="1"/>
  <c r="M6" i="3"/>
  <c r="AY6" i="3" s="1"/>
  <c r="J6" i="3"/>
  <c r="I6" i="3"/>
  <c r="G6" i="3"/>
  <c r="B6" i="3"/>
  <c r="BK5" i="3"/>
  <c r="BC5" i="3"/>
  <c r="AY5" i="3"/>
  <c r="AX5" i="3"/>
  <c r="AW5" i="3"/>
  <c r="AT5" i="3"/>
  <c r="AR5" i="3"/>
  <c r="AN5" i="3"/>
  <c r="AM5" i="3"/>
  <c r="AL5" i="3"/>
  <c r="AJ5" i="3"/>
  <c r="AF5" i="3"/>
  <c r="AE5" i="3"/>
  <c r="AD5" i="3"/>
  <c r="AB5" i="3"/>
  <c r="V5" i="3"/>
  <c r="BA5" i="3" s="1"/>
  <c r="R5" i="3"/>
  <c r="Q5" i="3"/>
  <c r="P5" i="3"/>
  <c r="O5" i="3"/>
  <c r="N5" i="3"/>
  <c r="U5" i="3" s="1"/>
  <c r="M5" i="3"/>
  <c r="K5" i="3"/>
  <c r="J5" i="3"/>
  <c r="I5" i="3"/>
  <c r="G5" i="3"/>
  <c r="B5" i="3"/>
  <c r="I77" i="2"/>
  <c r="H77" i="2"/>
  <c r="G77" i="2"/>
  <c r="F77" i="2"/>
  <c r="Q76" i="2"/>
  <c r="Q77" i="2" s="1"/>
  <c r="P76" i="2"/>
  <c r="P77" i="2" s="1"/>
  <c r="O76" i="2"/>
  <c r="O77" i="2" s="1"/>
  <c r="N76" i="2"/>
  <c r="N77" i="2" s="1"/>
  <c r="I76" i="2"/>
  <c r="H76" i="2"/>
  <c r="G76" i="2"/>
  <c r="F76" i="2"/>
  <c r="BJ70" i="2"/>
  <c r="BI70" i="2"/>
  <c r="BK70" i="2" s="1"/>
  <c r="BJ69" i="2"/>
  <c r="BK69" i="2" s="1"/>
  <c r="BI69" i="2"/>
  <c r="BJ68" i="2"/>
  <c r="BI68" i="2"/>
  <c r="BK68" i="2" s="1"/>
  <c r="BJ67" i="2"/>
  <c r="BI67" i="2"/>
  <c r="BK67" i="2" s="1"/>
  <c r="BK66" i="2"/>
  <c r="BJ66" i="2"/>
  <c r="BI66" i="2"/>
  <c r="BJ65" i="2"/>
  <c r="BK65" i="2" s="1"/>
  <c r="BI65" i="2"/>
  <c r="BJ64" i="2"/>
  <c r="BI64" i="2"/>
  <c r="BK64" i="2" s="1"/>
  <c r="BJ63" i="2"/>
  <c r="BI63" i="2"/>
  <c r="BK63" i="2" s="1"/>
  <c r="BJ62" i="2"/>
  <c r="BI62" i="2"/>
  <c r="BK62" i="2" s="1"/>
  <c r="BJ61" i="2"/>
  <c r="BK61" i="2" s="1"/>
  <c r="BI61" i="2"/>
  <c r="BJ60" i="2"/>
  <c r="BI60" i="2"/>
  <c r="BK60" i="2" s="1"/>
  <c r="BJ59" i="2"/>
  <c r="BI59" i="2"/>
  <c r="BK59" i="2" s="1"/>
  <c r="BJ58" i="2"/>
  <c r="BI58" i="2"/>
  <c r="BK58" i="2" s="1"/>
  <c r="Y58" i="2"/>
  <c r="BJ57" i="2"/>
  <c r="BI57" i="2"/>
  <c r="BK57" i="2" s="1"/>
  <c r="BJ56" i="2"/>
  <c r="BI56" i="2"/>
  <c r="BK56" i="2" s="1"/>
  <c r="Y56" i="2"/>
  <c r="X57" i="2" s="1"/>
  <c r="X56" i="2"/>
  <c r="BK55" i="2"/>
  <c r="BJ55" i="2"/>
  <c r="BI55" i="2"/>
  <c r="BJ54" i="2"/>
  <c r="BI54" i="2"/>
  <c r="BK54" i="2" s="1"/>
  <c r="Y54" i="2"/>
  <c r="X55" i="2" s="1"/>
  <c r="X54" i="2"/>
  <c r="BJ53" i="2"/>
  <c r="BI53" i="2"/>
  <c r="BK53" i="2" s="1"/>
  <c r="X53" i="2"/>
  <c r="BK52" i="2"/>
  <c r="BJ52" i="2"/>
  <c r="BI52" i="2"/>
  <c r="Y52" i="2"/>
  <c r="X52" i="2"/>
  <c r="BJ51" i="2"/>
  <c r="BI51" i="2"/>
  <c r="BK51" i="2" s="1"/>
  <c r="BJ50" i="2"/>
  <c r="BI50" i="2"/>
  <c r="AW49" i="2"/>
  <c r="AR49" i="2"/>
  <c r="AR50" i="2" s="1"/>
  <c r="AQ49" i="2"/>
  <c r="AQ50" i="2" s="1"/>
  <c r="AE49" i="2"/>
  <c r="S48" i="2"/>
  <c r="Q48" i="2"/>
  <c r="K48" i="2"/>
  <c r="I48" i="2"/>
  <c r="K46" i="2"/>
  <c r="AF46" i="2" s="1"/>
  <c r="AN46" i="2" s="1"/>
  <c r="AX46" i="2" s="1"/>
  <c r="AV47" i="2" s="1"/>
  <c r="BH45" i="2"/>
  <c r="W45" i="2"/>
  <c r="BH44" i="2"/>
  <c r="BB44" i="2"/>
  <c r="BF43" i="2"/>
  <c r="BH43" i="2" s="1"/>
  <c r="V41" i="2"/>
  <c r="AQ38" i="2"/>
  <c r="AA38" i="2"/>
  <c r="AI38" i="2" s="1"/>
  <c r="U38" i="2"/>
  <c r="O38" i="2"/>
  <c r="AQ37" i="2"/>
  <c r="AR37" i="2" s="1"/>
  <c r="AL37" i="2"/>
  <c r="AI37" i="2"/>
  <c r="AJ37" i="2" s="1"/>
  <c r="AC37" i="2"/>
  <c r="H37" i="2"/>
  <c r="I37" i="2" s="1"/>
  <c r="G37" i="2"/>
  <c r="K37" i="2" s="1"/>
  <c r="F37" i="2"/>
  <c r="BJ36" i="2"/>
  <c r="BI36" i="2"/>
  <c r="BH36" i="2"/>
  <c r="BG36" i="2"/>
  <c r="BF36" i="2"/>
  <c r="BE36" i="2"/>
  <c r="BD36" i="2"/>
  <c r="AV36" i="2"/>
  <c r="AV37" i="2" s="1"/>
  <c r="AU36" i="2"/>
  <c r="AU37" i="2" s="1"/>
  <c r="AS36" i="2"/>
  <c r="AS37" i="2" s="1"/>
  <c r="AQ36" i="2"/>
  <c r="AP36" i="2"/>
  <c r="AO36" i="2"/>
  <c r="AK36" i="2"/>
  <c r="AK37" i="2" s="1"/>
  <c r="AI36" i="2"/>
  <c r="AH36" i="2"/>
  <c r="AG36" i="2"/>
  <c r="AC36" i="2"/>
  <c r="AA36" i="2"/>
  <c r="Z36" i="2"/>
  <c r="AD36" i="2" s="1"/>
  <c r="Y36" i="2"/>
  <c r="X36" i="2"/>
  <c r="L36" i="2"/>
  <c r="F36" i="2"/>
  <c r="G36" i="2" s="1"/>
  <c r="E36" i="2"/>
  <c r="F38" i="2" s="1"/>
  <c r="D36" i="2"/>
  <c r="C36" i="2"/>
  <c r="BK35" i="2"/>
  <c r="BM35" i="2" s="1"/>
  <c r="BC35" i="2"/>
  <c r="AX35" i="2"/>
  <c r="AW35" i="2"/>
  <c r="AT35" i="2"/>
  <c r="AR35" i="2"/>
  <c r="AN35" i="2"/>
  <c r="AM35" i="2"/>
  <c r="AL35" i="2"/>
  <c r="AJ35" i="2"/>
  <c r="AF35" i="2"/>
  <c r="AE35" i="2"/>
  <c r="AD35" i="2"/>
  <c r="AB35" i="2"/>
  <c r="T35" i="2"/>
  <c r="Q35" i="2"/>
  <c r="P35" i="2"/>
  <c r="V35" i="2" s="1"/>
  <c r="BA35" i="2" s="1"/>
  <c r="N35" i="2"/>
  <c r="U35" i="2" s="1"/>
  <c r="AZ35" i="2" s="1"/>
  <c r="M35" i="2"/>
  <c r="AY35" i="2" s="1"/>
  <c r="K35" i="2"/>
  <c r="J35" i="2"/>
  <c r="I35" i="2"/>
  <c r="G35" i="2"/>
  <c r="BK34" i="2"/>
  <c r="BM34" i="2" s="1"/>
  <c r="BC34" i="2"/>
  <c r="BA34" i="2"/>
  <c r="AZ34" i="2"/>
  <c r="AX34" i="2"/>
  <c r="AW34" i="2"/>
  <c r="AT34" i="2"/>
  <c r="AR34" i="2"/>
  <c r="AN34" i="2"/>
  <c r="AM34" i="2"/>
  <c r="AL34" i="2"/>
  <c r="AJ34" i="2"/>
  <c r="AF34" i="2"/>
  <c r="AE34" i="2"/>
  <c r="AD34" i="2"/>
  <c r="AB34" i="2"/>
  <c r="R34" i="2"/>
  <c r="S34" i="2" s="1"/>
  <c r="P34" i="2"/>
  <c r="V34" i="2" s="1"/>
  <c r="N34" i="2"/>
  <c r="U34" i="2" s="1"/>
  <c r="M34" i="2"/>
  <c r="J34" i="2"/>
  <c r="K34" i="2" s="1"/>
  <c r="I34" i="2"/>
  <c r="G34" i="2"/>
  <c r="BK33" i="2"/>
  <c r="BM33" i="2" s="1"/>
  <c r="BC33" i="2"/>
  <c r="AX33" i="2"/>
  <c r="AW33" i="2"/>
  <c r="AT33" i="2"/>
  <c r="AR33" i="2"/>
  <c r="AN33" i="2"/>
  <c r="AM33" i="2"/>
  <c r="AL33" i="2"/>
  <c r="AJ33" i="2"/>
  <c r="AF33" i="2"/>
  <c r="AE33" i="2"/>
  <c r="AD33" i="2"/>
  <c r="AB33" i="2"/>
  <c r="P33" i="2"/>
  <c r="V33" i="2" s="1"/>
  <c r="BA33" i="2" s="1"/>
  <c r="O33" i="2"/>
  <c r="N33" i="2"/>
  <c r="U33" i="2" s="1"/>
  <c r="AZ33" i="2" s="1"/>
  <c r="M33" i="2"/>
  <c r="K33" i="2"/>
  <c r="J33" i="2"/>
  <c r="I33" i="2"/>
  <c r="G33" i="2"/>
  <c r="BK32" i="2"/>
  <c r="BC32" i="2"/>
  <c r="AY32" i="2"/>
  <c r="AX32" i="2"/>
  <c r="AW32" i="2"/>
  <c r="AT32" i="2"/>
  <c r="AR32" i="2"/>
  <c r="AN32" i="2"/>
  <c r="AM32" i="2"/>
  <c r="AL32" i="2"/>
  <c r="AJ32" i="2"/>
  <c r="AE32" i="2"/>
  <c r="AF32" i="2" s="1"/>
  <c r="AD32" i="2"/>
  <c r="AB32" i="2"/>
  <c r="P32" i="2"/>
  <c r="Q32" i="2" s="1"/>
  <c r="N32" i="2"/>
  <c r="M32" i="2"/>
  <c r="J32" i="2"/>
  <c r="K32" i="2" s="1"/>
  <c r="I32" i="2"/>
  <c r="G32" i="2"/>
  <c r="BK31" i="2"/>
  <c r="BM31" i="2" s="1"/>
  <c r="BC31" i="2"/>
  <c r="BA31" i="2"/>
  <c r="AY31" i="2"/>
  <c r="AX31" i="2"/>
  <c r="AW31" i="2"/>
  <c r="AT31" i="2"/>
  <c r="AR31" i="2"/>
  <c r="AN31" i="2"/>
  <c r="AM31" i="2"/>
  <c r="AL31" i="2"/>
  <c r="AJ31" i="2"/>
  <c r="AE31" i="2"/>
  <c r="AF31" i="2" s="1"/>
  <c r="AD31" i="2"/>
  <c r="AB31" i="2"/>
  <c r="W31" i="2"/>
  <c r="BB31" i="2" s="1"/>
  <c r="V31" i="2"/>
  <c r="P31" i="2"/>
  <c r="N31" i="2"/>
  <c r="R31" i="2" s="1"/>
  <c r="M31" i="2"/>
  <c r="K31" i="2"/>
  <c r="J31" i="2"/>
  <c r="I31" i="2"/>
  <c r="G31" i="2"/>
  <c r="BM30" i="2"/>
  <c r="BK30" i="2"/>
  <c r="BC30" i="2"/>
  <c r="AX30" i="2"/>
  <c r="AW30" i="2"/>
  <c r="AT30" i="2"/>
  <c r="AR30" i="2"/>
  <c r="AN30" i="2"/>
  <c r="AM30" i="2"/>
  <c r="AL30" i="2"/>
  <c r="AJ30" i="2"/>
  <c r="AE30" i="2"/>
  <c r="AF30" i="2" s="1"/>
  <c r="AD30" i="2"/>
  <c r="AB30" i="2"/>
  <c r="V30" i="2"/>
  <c r="BA30" i="2" s="1"/>
  <c r="U30" i="2"/>
  <c r="AZ30" i="2" s="1"/>
  <c r="T30" i="2"/>
  <c r="P30" i="2"/>
  <c r="N30" i="2"/>
  <c r="M30" i="2"/>
  <c r="J30" i="2"/>
  <c r="I30" i="2"/>
  <c r="G30" i="2"/>
  <c r="BK29" i="2"/>
  <c r="BM29" i="2" s="1"/>
  <c r="BC29" i="2"/>
  <c r="AY29" i="2"/>
  <c r="AX29" i="2"/>
  <c r="AW29" i="2"/>
  <c r="AT29" i="2"/>
  <c r="AR29" i="2"/>
  <c r="AN29" i="2"/>
  <c r="AM29" i="2"/>
  <c r="AL29" i="2"/>
  <c r="AJ29" i="2"/>
  <c r="AF29" i="2"/>
  <c r="AE29" i="2"/>
  <c r="AD29" i="2"/>
  <c r="AB29" i="2"/>
  <c r="V29" i="2"/>
  <c r="BA29" i="2" s="1"/>
  <c r="U29" i="2"/>
  <c r="AZ29" i="2" s="1"/>
  <c r="T29" i="2"/>
  <c r="S29" i="2"/>
  <c r="P29" i="2"/>
  <c r="Q29" i="2" s="1"/>
  <c r="N29" i="2"/>
  <c r="R29" i="2" s="1"/>
  <c r="M29" i="2"/>
  <c r="O29" i="2" s="1"/>
  <c r="J29" i="2"/>
  <c r="K29" i="2" s="1"/>
  <c r="I29" i="2"/>
  <c r="G29" i="2"/>
  <c r="BM28" i="2"/>
  <c r="BK28" i="2"/>
  <c r="BC28" i="2"/>
  <c r="AY28" i="2"/>
  <c r="AX28" i="2"/>
  <c r="AW28" i="2"/>
  <c r="AT28" i="2"/>
  <c r="AR28" i="2"/>
  <c r="AN28" i="2"/>
  <c r="AM28" i="2"/>
  <c r="AL28" i="2"/>
  <c r="AJ28" i="2"/>
  <c r="AE28" i="2"/>
  <c r="AF28" i="2" s="1"/>
  <c r="AD28" i="2"/>
  <c r="AB28" i="2"/>
  <c r="W28" i="2"/>
  <c r="BB28" i="2" s="1"/>
  <c r="V28" i="2"/>
  <c r="BA28" i="2" s="1"/>
  <c r="U28" i="2"/>
  <c r="AZ28" i="2" s="1"/>
  <c r="T28" i="2"/>
  <c r="R28" i="2"/>
  <c r="S28" i="2" s="1"/>
  <c r="P28" i="2"/>
  <c r="N28" i="2"/>
  <c r="O28" i="2" s="1"/>
  <c r="M28" i="2"/>
  <c r="Q28" i="2" s="1"/>
  <c r="J28" i="2"/>
  <c r="K28" i="2" s="1"/>
  <c r="I28" i="2"/>
  <c r="G28" i="2"/>
  <c r="BK27" i="2"/>
  <c r="BM27" i="2" s="1"/>
  <c r="BC27" i="2"/>
  <c r="AX27" i="2"/>
  <c r="AW27" i="2"/>
  <c r="AT27" i="2"/>
  <c r="AR27" i="2"/>
  <c r="AN27" i="2"/>
  <c r="AM27" i="2"/>
  <c r="AL27" i="2"/>
  <c r="AJ27" i="2"/>
  <c r="AE27" i="2"/>
  <c r="AF27" i="2" s="1"/>
  <c r="AD27" i="2"/>
  <c r="AB27" i="2"/>
  <c r="V27" i="2"/>
  <c r="BA27" i="2" s="1"/>
  <c r="U27" i="2"/>
  <c r="AZ27" i="2" s="1"/>
  <c r="T27" i="2"/>
  <c r="R27" i="2"/>
  <c r="W27" i="2" s="1"/>
  <c r="BB27" i="2" s="1"/>
  <c r="Q27" i="2"/>
  <c r="P27" i="2"/>
  <c r="N27" i="2"/>
  <c r="M27" i="2"/>
  <c r="O27" i="2" s="1"/>
  <c r="J27" i="2"/>
  <c r="K27" i="2" s="1"/>
  <c r="I27" i="2"/>
  <c r="G27" i="2"/>
  <c r="BK26" i="2"/>
  <c r="BM26" i="2" s="1"/>
  <c r="BC26" i="2"/>
  <c r="AY26" i="2"/>
  <c r="AX26" i="2"/>
  <c r="AW26" i="2"/>
  <c r="AT26" i="2"/>
  <c r="AR26" i="2"/>
  <c r="AN26" i="2"/>
  <c r="AM26" i="2"/>
  <c r="AL26" i="2"/>
  <c r="AJ26" i="2"/>
  <c r="AE26" i="2"/>
  <c r="AF26" i="2" s="1"/>
  <c r="AD26" i="2"/>
  <c r="AB26" i="2"/>
  <c r="V26" i="2"/>
  <c r="BA26" i="2" s="1"/>
  <c r="U26" i="2"/>
  <c r="AZ26" i="2" s="1"/>
  <c r="T26" i="2"/>
  <c r="S26" i="2"/>
  <c r="R26" i="2"/>
  <c r="P26" i="2"/>
  <c r="Q26" i="2" s="1"/>
  <c r="N26" i="2"/>
  <c r="O26" i="2" s="1"/>
  <c r="M26" i="2"/>
  <c r="K26" i="2"/>
  <c r="J26" i="2"/>
  <c r="W26" i="2" s="1"/>
  <c r="I26" i="2"/>
  <c r="G26" i="2"/>
  <c r="BM25" i="2"/>
  <c r="BK25" i="2"/>
  <c r="BC25" i="2"/>
  <c r="AX25" i="2"/>
  <c r="AW25" i="2"/>
  <c r="AT25" i="2"/>
  <c r="AR25" i="2"/>
  <c r="AN25" i="2"/>
  <c r="AM25" i="2"/>
  <c r="AL25" i="2"/>
  <c r="AJ25" i="2"/>
  <c r="AF25" i="2"/>
  <c r="AE25" i="2"/>
  <c r="AD25" i="2"/>
  <c r="AB25" i="2"/>
  <c r="U25" i="2"/>
  <c r="AZ25" i="2" s="1"/>
  <c r="T25" i="2"/>
  <c r="R25" i="2"/>
  <c r="S25" i="2" s="1"/>
  <c r="Q25" i="2"/>
  <c r="P25" i="2"/>
  <c r="V25" i="2" s="1"/>
  <c r="BA25" i="2" s="1"/>
  <c r="O25" i="2"/>
  <c r="N25" i="2"/>
  <c r="M25" i="2"/>
  <c r="AY25" i="2" s="1"/>
  <c r="J25" i="2"/>
  <c r="W25" i="2" s="1"/>
  <c r="BB25" i="2" s="1"/>
  <c r="I25" i="2"/>
  <c r="G25" i="2"/>
  <c r="BK24" i="2"/>
  <c r="BM24" i="2" s="1"/>
  <c r="BC24" i="2"/>
  <c r="BA24" i="2"/>
  <c r="AX24" i="2"/>
  <c r="AW24" i="2"/>
  <c r="AT24" i="2"/>
  <c r="AR24" i="2"/>
  <c r="AN24" i="2"/>
  <c r="AM24" i="2"/>
  <c r="AL24" i="2"/>
  <c r="AJ24" i="2"/>
  <c r="AE24" i="2"/>
  <c r="AF24" i="2" s="1"/>
  <c r="AD24" i="2"/>
  <c r="AB24" i="2"/>
  <c r="T24" i="2"/>
  <c r="R24" i="2"/>
  <c r="S24" i="2" s="1"/>
  <c r="Q24" i="2"/>
  <c r="P24" i="2"/>
  <c r="V24" i="2" s="1"/>
  <c r="N24" i="2"/>
  <c r="U24" i="2" s="1"/>
  <c r="AZ24" i="2" s="1"/>
  <c r="M24" i="2"/>
  <c r="AY24" i="2" s="1"/>
  <c r="J24" i="2"/>
  <c r="K24" i="2" s="1"/>
  <c r="I24" i="2"/>
  <c r="G24" i="2"/>
  <c r="BK23" i="2"/>
  <c r="BM23" i="2" s="1"/>
  <c r="BC23" i="2"/>
  <c r="AX23" i="2"/>
  <c r="AW23" i="2"/>
  <c r="AT23" i="2"/>
  <c r="AR23" i="2"/>
  <c r="AN23" i="2"/>
  <c r="AM23" i="2"/>
  <c r="AL23" i="2"/>
  <c r="AJ23" i="2"/>
  <c r="AE23" i="2"/>
  <c r="AF23" i="2" s="1"/>
  <c r="AD23" i="2"/>
  <c r="AB23" i="2"/>
  <c r="P23" i="2"/>
  <c r="V23" i="2" s="1"/>
  <c r="BA23" i="2" s="1"/>
  <c r="O23" i="2"/>
  <c r="N23" i="2"/>
  <c r="U23" i="2" s="1"/>
  <c r="AZ23" i="2" s="1"/>
  <c r="M23" i="2"/>
  <c r="J23" i="2"/>
  <c r="K23" i="2" s="1"/>
  <c r="I23" i="2"/>
  <c r="G23" i="2"/>
  <c r="BM22" i="2"/>
  <c r="BK22" i="2"/>
  <c r="BC22" i="2"/>
  <c r="AY22" i="2"/>
  <c r="AX22" i="2"/>
  <c r="AW22" i="2"/>
  <c r="AT22" i="2"/>
  <c r="AR22" i="2"/>
  <c r="AN22" i="2"/>
  <c r="AM22" i="2"/>
  <c r="AL22" i="2"/>
  <c r="AJ22" i="2"/>
  <c r="AE22" i="2"/>
  <c r="AF22" i="2" s="1"/>
  <c r="AD22" i="2"/>
  <c r="AB22" i="2"/>
  <c r="P22" i="2"/>
  <c r="V22" i="2" s="1"/>
  <c r="BA22" i="2" s="1"/>
  <c r="N22" i="2"/>
  <c r="M22" i="2"/>
  <c r="K22" i="2"/>
  <c r="J22" i="2"/>
  <c r="I22" i="2"/>
  <c r="G22" i="2"/>
  <c r="BK21" i="2"/>
  <c r="BM21" i="2" s="1"/>
  <c r="BC21" i="2"/>
  <c r="BA21" i="2"/>
  <c r="AY21" i="2"/>
  <c r="AX21" i="2"/>
  <c r="AW21" i="2"/>
  <c r="AT21" i="2"/>
  <c r="AR21" i="2"/>
  <c r="AN21" i="2"/>
  <c r="AM21" i="2"/>
  <c r="AL21" i="2"/>
  <c r="AJ21" i="2"/>
  <c r="AE21" i="2"/>
  <c r="AF21" i="2" s="1"/>
  <c r="AD21" i="2"/>
  <c r="AB21" i="2"/>
  <c r="P21" i="2"/>
  <c r="V21" i="2" s="1"/>
  <c r="N21" i="2"/>
  <c r="M21" i="2"/>
  <c r="J21" i="2"/>
  <c r="K21" i="2" s="1"/>
  <c r="I21" i="2"/>
  <c r="G21" i="2"/>
  <c r="BM20" i="2"/>
  <c r="BK20" i="2"/>
  <c r="BC20" i="2"/>
  <c r="AX20" i="2"/>
  <c r="AW20" i="2"/>
  <c r="AT20" i="2"/>
  <c r="AR20" i="2"/>
  <c r="AN20" i="2"/>
  <c r="AM20" i="2"/>
  <c r="AL20" i="2"/>
  <c r="AJ20" i="2"/>
  <c r="AF20" i="2"/>
  <c r="AE20" i="2"/>
  <c r="AD20" i="2"/>
  <c r="AB20" i="2"/>
  <c r="P20" i="2"/>
  <c r="N20" i="2"/>
  <c r="M20" i="2"/>
  <c r="J20" i="2"/>
  <c r="I20" i="2"/>
  <c r="G20" i="2"/>
  <c r="BK19" i="2"/>
  <c r="BM19" i="2" s="1"/>
  <c r="BC19" i="2"/>
  <c r="BA19" i="2"/>
  <c r="AZ19" i="2"/>
  <c r="AY19" i="2"/>
  <c r="AX19" i="2"/>
  <c r="AW19" i="2"/>
  <c r="AT19" i="2"/>
  <c r="AR19" i="2"/>
  <c r="AN19" i="2"/>
  <c r="AM19" i="2"/>
  <c r="AL19" i="2"/>
  <c r="AJ19" i="2"/>
  <c r="AE19" i="2"/>
  <c r="AF19" i="2" s="1"/>
  <c r="AB19" i="2"/>
  <c r="V19" i="2"/>
  <c r="U19" i="2"/>
  <c r="T19" i="2"/>
  <c r="P19" i="2"/>
  <c r="Q19" i="2" s="1"/>
  <c r="N19" i="2"/>
  <c r="M19" i="2"/>
  <c r="J19" i="2"/>
  <c r="K19" i="2" s="1"/>
  <c r="I19" i="2"/>
  <c r="G19" i="2"/>
  <c r="BK18" i="2"/>
  <c r="BM18" i="2" s="1"/>
  <c r="BC18" i="2"/>
  <c r="AZ18" i="2"/>
  <c r="AY18" i="2"/>
  <c r="AX18" i="2"/>
  <c r="AW18" i="2"/>
  <c r="AT18" i="2"/>
  <c r="AR18" i="2"/>
  <c r="AN18" i="2"/>
  <c r="AM18" i="2"/>
  <c r="AL18" i="2"/>
  <c r="AJ18" i="2"/>
  <c r="AF18" i="2"/>
  <c r="AE18" i="2"/>
  <c r="AD18" i="2"/>
  <c r="AB18" i="2"/>
  <c r="V18" i="2"/>
  <c r="BA18" i="2" s="1"/>
  <c r="U18" i="2"/>
  <c r="P18" i="2"/>
  <c r="Q18" i="2" s="1"/>
  <c r="O18" i="2"/>
  <c r="N18" i="2"/>
  <c r="R18" i="2" s="1"/>
  <c r="S18" i="2" s="1"/>
  <c r="M18" i="2"/>
  <c r="T18" i="2" s="1"/>
  <c r="J18" i="2"/>
  <c r="K18" i="2" s="1"/>
  <c r="I18" i="2"/>
  <c r="G18" i="2"/>
  <c r="BM17" i="2"/>
  <c r="BK17" i="2"/>
  <c r="BC17" i="2"/>
  <c r="BA17" i="2"/>
  <c r="AY17" i="2"/>
  <c r="AX17" i="2"/>
  <c r="AW17" i="2"/>
  <c r="AT17" i="2"/>
  <c r="AR17" i="2"/>
  <c r="AN17" i="2"/>
  <c r="AM17" i="2"/>
  <c r="AL17" i="2"/>
  <c r="AJ17" i="2"/>
  <c r="AF17" i="2"/>
  <c r="AE17" i="2"/>
  <c r="AD17" i="2"/>
  <c r="AB17" i="2"/>
  <c r="W17" i="2"/>
  <c r="BB17" i="2" s="1"/>
  <c r="V17" i="2"/>
  <c r="U17" i="2"/>
  <c r="AZ17" i="2" s="1"/>
  <c r="T17" i="2"/>
  <c r="S17" i="2"/>
  <c r="R17" i="2"/>
  <c r="P17" i="2"/>
  <c r="Q17" i="2" s="1"/>
  <c r="N17" i="2"/>
  <c r="O17" i="2" s="1"/>
  <c r="M17" i="2"/>
  <c r="K17" i="2"/>
  <c r="J17" i="2"/>
  <c r="I17" i="2"/>
  <c r="G17" i="2"/>
  <c r="BK16" i="2"/>
  <c r="BM16" i="2" s="1"/>
  <c r="BC16" i="2"/>
  <c r="AZ16" i="2"/>
  <c r="AX16" i="2"/>
  <c r="AW16" i="2"/>
  <c r="AT16" i="2"/>
  <c r="AR16" i="2"/>
  <c r="AN16" i="2"/>
  <c r="AM16" i="2"/>
  <c r="AL16" i="2"/>
  <c r="AJ16" i="2"/>
  <c r="AE16" i="2"/>
  <c r="AF16" i="2" s="1"/>
  <c r="AD16" i="2"/>
  <c r="AB16" i="2"/>
  <c r="W16" i="2"/>
  <c r="BB16" i="2" s="1"/>
  <c r="V16" i="2"/>
  <c r="BA16" i="2" s="1"/>
  <c r="U16" i="2"/>
  <c r="R16" i="2"/>
  <c r="Q16" i="2"/>
  <c r="P16" i="2"/>
  <c r="N16" i="2"/>
  <c r="M16" i="2"/>
  <c r="AY16" i="2" s="1"/>
  <c r="J16" i="2"/>
  <c r="K16" i="2" s="1"/>
  <c r="I16" i="2"/>
  <c r="G16" i="2"/>
  <c r="BK15" i="2"/>
  <c r="BM15" i="2" s="1"/>
  <c r="BC15" i="2"/>
  <c r="AY15" i="2"/>
  <c r="AX15" i="2"/>
  <c r="AW15" i="2"/>
  <c r="AT15" i="2"/>
  <c r="AR15" i="2"/>
  <c r="AN15" i="2"/>
  <c r="AM15" i="2"/>
  <c r="AL15" i="2"/>
  <c r="AJ15" i="2"/>
  <c r="AE15" i="2"/>
  <c r="AF15" i="2" s="1"/>
  <c r="AD15" i="2"/>
  <c r="AB15" i="2"/>
  <c r="U15" i="2"/>
  <c r="AZ15" i="2" s="1"/>
  <c r="T15" i="2"/>
  <c r="P15" i="2"/>
  <c r="N15" i="2"/>
  <c r="O15" i="2" s="1"/>
  <c r="M15" i="2"/>
  <c r="K15" i="2"/>
  <c r="J15" i="2"/>
  <c r="I15" i="2"/>
  <c r="G15" i="2"/>
  <c r="BM14" i="2"/>
  <c r="BK14" i="2"/>
  <c r="BC14" i="2"/>
  <c r="AX14" i="2"/>
  <c r="AW14" i="2"/>
  <c r="AT14" i="2"/>
  <c r="AS49" i="2" s="1"/>
  <c r="AS50" i="2" s="1"/>
  <c r="AR14" i="2"/>
  <c r="AN14" i="2"/>
  <c r="AM14" i="2"/>
  <c r="AL14" i="2"/>
  <c r="AJ14" i="2"/>
  <c r="AF14" i="2"/>
  <c r="AE14" i="2"/>
  <c r="AD14" i="2"/>
  <c r="AB14" i="2"/>
  <c r="U14" i="2"/>
  <c r="AZ14" i="2" s="1"/>
  <c r="T14" i="2"/>
  <c r="P14" i="2"/>
  <c r="V14" i="2" s="1"/>
  <c r="BA14" i="2" s="1"/>
  <c r="O14" i="2"/>
  <c r="N14" i="2"/>
  <c r="M14" i="2"/>
  <c r="AY14" i="2" s="1"/>
  <c r="J14" i="2"/>
  <c r="K14" i="2" s="1"/>
  <c r="I14" i="2"/>
  <c r="G14" i="2"/>
  <c r="BM13" i="2"/>
  <c r="BK13" i="2"/>
  <c r="BC13" i="2"/>
  <c r="AX13" i="2"/>
  <c r="AW13" i="2"/>
  <c r="AT13" i="2"/>
  <c r="AR13" i="2"/>
  <c r="AN13" i="2"/>
  <c r="AM13" i="2"/>
  <c r="AL13" i="2"/>
  <c r="AJ13" i="2"/>
  <c r="AE13" i="2"/>
  <c r="AF13" i="2" s="1"/>
  <c r="AD13" i="2"/>
  <c r="AB13" i="2"/>
  <c r="T13" i="2"/>
  <c r="P13" i="2"/>
  <c r="O13" i="2"/>
  <c r="N13" i="2"/>
  <c r="U13" i="2" s="1"/>
  <c r="AZ13" i="2" s="1"/>
  <c r="M13" i="2"/>
  <c r="AY13" i="2" s="1"/>
  <c r="K13" i="2"/>
  <c r="J13" i="2"/>
  <c r="I13" i="2"/>
  <c r="G13" i="2"/>
  <c r="BK12" i="2"/>
  <c r="BM12" i="2" s="1"/>
  <c r="BC12" i="2"/>
  <c r="BA12" i="2"/>
  <c r="AX12" i="2"/>
  <c r="AW12" i="2"/>
  <c r="AT12" i="2"/>
  <c r="AR12" i="2"/>
  <c r="AM12" i="2"/>
  <c r="AN12" i="2" s="1"/>
  <c r="AL12" i="2"/>
  <c r="AJ12" i="2"/>
  <c r="AE12" i="2"/>
  <c r="AF12" i="2" s="1"/>
  <c r="AD12" i="2"/>
  <c r="AB12" i="2"/>
  <c r="P12" i="2"/>
  <c r="V12" i="2" s="1"/>
  <c r="O12" i="2"/>
  <c r="N12" i="2"/>
  <c r="U12" i="2" s="1"/>
  <c r="AZ12" i="2" s="1"/>
  <c r="M12" i="2"/>
  <c r="J12" i="2"/>
  <c r="K12" i="2" s="1"/>
  <c r="I12" i="2"/>
  <c r="G12" i="2"/>
  <c r="BM11" i="2"/>
  <c r="BK11" i="2"/>
  <c r="BC11" i="2"/>
  <c r="AZ11" i="2"/>
  <c r="AY11" i="2"/>
  <c r="AX11" i="2"/>
  <c r="AW11" i="2"/>
  <c r="AT11" i="2"/>
  <c r="AR11" i="2"/>
  <c r="AN11" i="2"/>
  <c r="AM11" i="2"/>
  <c r="AL11" i="2"/>
  <c r="AJ11" i="2"/>
  <c r="AE11" i="2"/>
  <c r="AF11" i="2" s="1"/>
  <c r="AD11" i="2"/>
  <c r="AB11" i="2"/>
  <c r="T11" i="2"/>
  <c r="P11" i="2"/>
  <c r="O11" i="2"/>
  <c r="N11" i="2"/>
  <c r="U11" i="2" s="1"/>
  <c r="M11" i="2"/>
  <c r="K11" i="2"/>
  <c r="J11" i="2"/>
  <c r="I11" i="2"/>
  <c r="G11" i="2"/>
  <c r="BK10" i="2"/>
  <c r="BM10" i="2" s="1"/>
  <c r="BC10" i="2"/>
  <c r="BA10" i="2"/>
  <c r="AX10" i="2"/>
  <c r="AW10" i="2"/>
  <c r="AT10" i="2"/>
  <c r="AR10" i="2"/>
  <c r="AN10" i="2"/>
  <c r="AM10" i="2"/>
  <c r="AL10" i="2"/>
  <c r="AJ10" i="2"/>
  <c r="AE10" i="2"/>
  <c r="AF10" i="2" s="1"/>
  <c r="AD10" i="2"/>
  <c r="AB10" i="2"/>
  <c r="P10" i="2"/>
  <c r="V10" i="2" s="1"/>
  <c r="N10" i="2"/>
  <c r="M10" i="2"/>
  <c r="T10" i="2" s="1"/>
  <c r="J10" i="2"/>
  <c r="I10" i="2"/>
  <c r="G10" i="2"/>
  <c r="BM9" i="2"/>
  <c r="BK9" i="2"/>
  <c r="BC9" i="2"/>
  <c r="AZ9" i="2"/>
  <c r="AY9" i="2"/>
  <c r="AX9" i="2"/>
  <c r="AW9" i="2"/>
  <c r="AT9" i="2"/>
  <c r="AR9" i="2"/>
  <c r="AN9" i="2"/>
  <c r="AM9" i="2"/>
  <c r="AL9" i="2"/>
  <c r="AJ9" i="2"/>
  <c r="AE9" i="2"/>
  <c r="AF9" i="2" s="1"/>
  <c r="AD9" i="2"/>
  <c r="AB9" i="2"/>
  <c r="P9" i="2"/>
  <c r="O9" i="2"/>
  <c r="N9" i="2"/>
  <c r="U9" i="2" s="1"/>
  <c r="M9" i="2"/>
  <c r="J9" i="2"/>
  <c r="K9" i="2" s="1"/>
  <c r="I9" i="2"/>
  <c r="G9" i="2"/>
  <c r="BK8" i="2"/>
  <c r="BC8" i="2"/>
  <c r="BA8" i="2"/>
  <c r="AY8" i="2"/>
  <c r="AX8" i="2"/>
  <c r="AW8" i="2"/>
  <c r="AT8" i="2"/>
  <c r="AR8" i="2"/>
  <c r="AN8" i="2"/>
  <c r="AM8" i="2"/>
  <c r="AL8" i="2"/>
  <c r="AJ8" i="2"/>
  <c r="AE8" i="2"/>
  <c r="AF8" i="2" s="1"/>
  <c r="AD8" i="2"/>
  <c r="AB8" i="2"/>
  <c r="V8" i="2"/>
  <c r="Q8" i="2"/>
  <c r="P8" i="2"/>
  <c r="N8" i="2"/>
  <c r="M8" i="2"/>
  <c r="J8" i="2"/>
  <c r="I8" i="2"/>
  <c r="G8" i="2"/>
  <c r="BK7" i="2"/>
  <c r="BM7" i="2" s="1"/>
  <c r="BC7" i="2"/>
  <c r="AX7" i="2"/>
  <c r="AW7" i="2"/>
  <c r="AT7" i="2"/>
  <c r="AR7" i="2"/>
  <c r="AM7" i="2"/>
  <c r="AN7" i="2" s="1"/>
  <c r="AL7" i="2"/>
  <c r="AJ7" i="2"/>
  <c r="AE7" i="2"/>
  <c r="AF7" i="2" s="1"/>
  <c r="AD7" i="2"/>
  <c r="AB7" i="2"/>
  <c r="V7" i="2"/>
  <c r="BA7" i="2" s="1"/>
  <c r="U7" i="2"/>
  <c r="AZ7" i="2" s="1"/>
  <c r="T7" i="2"/>
  <c r="P7" i="2"/>
  <c r="N7" i="2"/>
  <c r="M7" i="2"/>
  <c r="K7" i="2"/>
  <c r="J7" i="2"/>
  <c r="I7" i="2"/>
  <c r="H7" i="2"/>
  <c r="H36" i="2" s="1"/>
  <c r="I36" i="2" s="1"/>
  <c r="G7" i="2"/>
  <c r="BK6" i="2"/>
  <c r="BM6" i="2" s="1"/>
  <c r="BC6" i="2"/>
  <c r="AZ6" i="2"/>
  <c r="AY6" i="2"/>
  <c r="AX6" i="2"/>
  <c r="AW6" i="2"/>
  <c r="AT6" i="2"/>
  <c r="AR6" i="2"/>
  <c r="AN6" i="2"/>
  <c r="AM6" i="2"/>
  <c r="AL6" i="2"/>
  <c r="AJ6" i="2"/>
  <c r="AE6" i="2"/>
  <c r="AF6" i="2" s="1"/>
  <c r="AD6" i="2"/>
  <c r="AB6" i="2"/>
  <c r="U6" i="2"/>
  <c r="T6" i="2"/>
  <c r="P6" i="2"/>
  <c r="N6" i="2"/>
  <c r="M6" i="2"/>
  <c r="J6" i="2"/>
  <c r="K6" i="2" s="1"/>
  <c r="I6" i="2"/>
  <c r="J50" i="2" s="1"/>
  <c r="G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K5" i="2"/>
  <c r="BM5" i="2" s="1"/>
  <c r="BC5" i="2"/>
  <c r="AZ5" i="2"/>
  <c r="AY5" i="2"/>
  <c r="AX5" i="2"/>
  <c r="AW5" i="2"/>
  <c r="AT5" i="2"/>
  <c r="AR5" i="2"/>
  <c r="AN5" i="2"/>
  <c r="AM5" i="2"/>
  <c r="AL5" i="2"/>
  <c r="AJ5" i="2"/>
  <c r="AF5" i="2"/>
  <c r="AE5" i="2"/>
  <c r="AD5" i="2"/>
  <c r="AB5" i="2"/>
  <c r="V5" i="2"/>
  <c r="BA5" i="2" s="1"/>
  <c r="U5" i="2"/>
  <c r="P5" i="2"/>
  <c r="R5" i="2" s="1"/>
  <c r="O5" i="2"/>
  <c r="N5" i="2"/>
  <c r="M5" i="2"/>
  <c r="S5" i="2" s="1"/>
  <c r="J5" i="2"/>
  <c r="I5" i="2"/>
  <c r="J49" i="2" s="1"/>
  <c r="G5" i="2"/>
  <c r="B5" i="2"/>
  <c r="I77" i="1"/>
  <c r="H77" i="1"/>
  <c r="G77" i="1"/>
  <c r="F77" i="1"/>
  <c r="Q76" i="1"/>
  <c r="Q77" i="1" s="1"/>
  <c r="P76" i="1"/>
  <c r="P77" i="1" s="1"/>
  <c r="O76" i="1"/>
  <c r="O77" i="1" s="1"/>
  <c r="N76" i="1"/>
  <c r="N77" i="1" s="1"/>
  <c r="I76" i="1"/>
  <c r="H76" i="1"/>
  <c r="G76" i="1"/>
  <c r="F76" i="1"/>
  <c r="BJ70" i="1"/>
  <c r="BI70" i="1"/>
  <c r="BK70" i="1" s="1"/>
  <c r="BJ69" i="1"/>
  <c r="BK69" i="1" s="1"/>
  <c r="BI69" i="1"/>
  <c r="BJ68" i="1"/>
  <c r="BI68" i="1"/>
  <c r="BK68" i="1" s="1"/>
  <c r="BJ67" i="1"/>
  <c r="BI67" i="1"/>
  <c r="BK67" i="1" s="1"/>
  <c r="BK66" i="1"/>
  <c r="BJ66" i="1"/>
  <c r="BI66" i="1"/>
  <c r="BJ65" i="1"/>
  <c r="BK65" i="1" s="1"/>
  <c r="BI65" i="1"/>
  <c r="BJ64" i="1"/>
  <c r="BI64" i="1"/>
  <c r="BK64" i="1" s="1"/>
  <c r="BJ63" i="1"/>
  <c r="BI63" i="1"/>
  <c r="BK63" i="1" s="1"/>
  <c r="BJ62" i="1"/>
  <c r="BI62" i="1"/>
  <c r="BJ61" i="1"/>
  <c r="BK61" i="1" s="1"/>
  <c r="BI61" i="1"/>
  <c r="BJ60" i="1"/>
  <c r="BI60" i="1"/>
  <c r="BK60" i="1" s="1"/>
  <c r="BJ59" i="1"/>
  <c r="BI59" i="1"/>
  <c r="BK59" i="1" s="1"/>
  <c r="BJ58" i="1"/>
  <c r="BI58" i="1"/>
  <c r="BK58" i="1" s="1"/>
  <c r="Y58" i="1"/>
  <c r="BJ57" i="1"/>
  <c r="BI57" i="1"/>
  <c r="BK57" i="1" s="1"/>
  <c r="G57" i="1"/>
  <c r="F57" i="1"/>
  <c r="E57" i="1"/>
  <c r="BK56" i="1"/>
  <c r="BJ56" i="1"/>
  <c r="BI56" i="1"/>
  <c r="Y56" i="1"/>
  <c r="G56" i="1"/>
  <c r="F56" i="1"/>
  <c r="E56" i="1"/>
  <c r="BJ55" i="1"/>
  <c r="BI55" i="1"/>
  <c r="BK55" i="1" s="1"/>
  <c r="X55" i="1"/>
  <c r="G55" i="1"/>
  <c r="F55" i="1"/>
  <c r="E55" i="1"/>
  <c r="BK54" i="1"/>
  <c r="BJ54" i="1"/>
  <c r="BI54" i="1"/>
  <c r="Y54" i="1"/>
  <c r="X54" i="1"/>
  <c r="G54" i="1"/>
  <c r="F54" i="1"/>
  <c r="E54" i="1"/>
  <c r="BJ53" i="1"/>
  <c r="BI53" i="1"/>
  <c r="BK53" i="1" s="1"/>
  <c r="X53" i="1"/>
  <c r="G53" i="1"/>
  <c r="F53" i="1"/>
  <c r="E53" i="1"/>
  <c r="BJ52" i="1"/>
  <c r="BI52" i="1"/>
  <c r="BK52" i="1" s="1"/>
  <c r="Y52" i="1"/>
  <c r="X52" i="1"/>
  <c r="G52" i="1"/>
  <c r="F52" i="1"/>
  <c r="E52" i="1"/>
  <c r="BJ51" i="1"/>
  <c r="BK51" i="1" s="1"/>
  <c r="BI51" i="1"/>
  <c r="G51" i="1"/>
  <c r="F51" i="1"/>
  <c r="E51" i="1"/>
  <c r="BJ50" i="1"/>
  <c r="BI50" i="1"/>
  <c r="AQ50" i="1"/>
  <c r="AW49" i="1"/>
  <c r="AQ49" i="1"/>
  <c r="AE49" i="1"/>
  <c r="S48" i="1"/>
  <c r="Q48" i="1"/>
  <c r="K48" i="1"/>
  <c r="I48" i="1"/>
  <c r="K46" i="1"/>
  <c r="S46" i="1" s="1"/>
  <c r="X46" i="1" s="1"/>
  <c r="BH45" i="1"/>
  <c r="W45" i="1"/>
  <c r="BH44" i="1"/>
  <c r="BB44" i="1"/>
  <c r="BF43" i="1"/>
  <c r="BH43" i="1" s="1"/>
  <c r="V41" i="1"/>
  <c r="AQ38" i="1"/>
  <c r="AA38" i="1"/>
  <c r="AI38" i="1" s="1"/>
  <c r="O38" i="1"/>
  <c r="U38" i="1" s="1"/>
  <c r="N38" i="1"/>
  <c r="AU37" i="1"/>
  <c r="AT37" i="1"/>
  <c r="AK37" i="1"/>
  <c r="AL37" i="1" s="1"/>
  <c r="AI37" i="1"/>
  <c r="AJ37" i="1" s="1"/>
  <c r="F37" i="1"/>
  <c r="G37" i="1" s="1"/>
  <c r="K37" i="1" s="1"/>
  <c r="BJ36" i="1"/>
  <c r="BI36" i="1"/>
  <c r="BH36" i="1"/>
  <c r="BG36" i="1"/>
  <c r="BF36" i="1"/>
  <c r="BE36" i="1"/>
  <c r="BD36" i="1"/>
  <c r="AV36" i="1"/>
  <c r="AV37" i="1" s="1"/>
  <c r="AU36" i="1"/>
  <c r="AS36" i="1"/>
  <c r="AS37" i="1" s="1"/>
  <c r="BF42" i="1" s="1"/>
  <c r="BF46" i="1" s="1"/>
  <c r="AQ36" i="1"/>
  <c r="AQ37" i="1" s="1"/>
  <c r="AR37" i="1" s="1"/>
  <c r="AP36" i="1"/>
  <c r="AO36" i="1"/>
  <c r="AK36" i="1"/>
  <c r="AI36" i="1"/>
  <c r="AH36" i="1"/>
  <c r="AG36" i="1"/>
  <c r="AC36" i="1"/>
  <c r="AC37" i="1" s="1"/>
  <c r="AD37" i="1" s="1"/>
  <c r="AA36" i="1"/>
  <c r="AA37" i="1" s="1"/>
  <c r="AB37" i="1" s="1"/>
  <c r="Z36" i="1"/>
  <c r="Y36" i="1"/>
  <c r="X36" i="1"/>
  <c r="M36" i="1"/>
  <c r="L36" i="1"/>
  <c r="H36" i="1"/>
  <c r="H37" i="1" s="1"/>
  <c r="I37" i="1" s="1"/>
  <c r="G36" i="1"/>
  <c r="E36" i="1"/>
  <c r="F38" i="1" s="1"/>
  <c r="D36" i="1"/>
  <c r="C36" i="1"/>
  <c r="BK35" i="1"/>
  <c r="BM35" i="1" s="1"/>
  <c r="BC35" i="1"/>
  <c r="BA35" i="1"/>
  <c r="AX35" i="1"/>
  <c r="AW35" i="1"/>
  <c r="AT35" i="1"/>
  <c r="AR35" i="1"/>
  <c r="AN35" i="1"/>
  <c r="AM35" i="1"/>
  <c r="AL35" i="1"/>
  <c r="AJ35" i="1"/>
  <c r="AE35" i="1"/>
  <c r="AE36" i="1" s="1"/>
  <c r="AD35" i="1"/>
  <c r="AB35" i="1"/>
  <c r="P35" i="1"/>
  <c r="V35" i="1" s="1"/>
  <c r="O35" i="1"/>
  <c r="N35" i="1"/>
  <c r="M35" i="1"/>
  <c r="J35" i="1"/>
  <c r="I35" i="1"/>
  <c r="G35" i="1"/>
  <c r="BK34" i="1"/>
  <c r="BM34" i="1" s="1"/>
  <c r="BC34" i="1"/>
  <c r="AX34" i="1"/>
  <c r="AW34" i="1"/>
  <c r="AT34" i="1"/>
  <c r="AR34" i="1"/>
  <c r="AN34" i="1"/>
  <c r="AM34" i="1"/>
  <c r="AL34" i="1"/>
  <c r="AJ34" i="1"/>
  <c r="AE34" i="1"/>
  <c r="AF34" i="1" s="1"/>
  <c r="AD34" i="1"/>
  <c r="AB34" i="1"/>
  <c r="P34" i="1"/>
  <c r="N34" i="1"/>
  <c r="M34" i="1"/>
  <c r="J34" i="1"/>
  <c r="K34" i="1" s="1"/>
  <c r="I34" i="1"/>
  <c r="G34" i="1"/>
  <c r="BK33" i="1"/>
  <c r="BM33" i="1" s="1"/>
  <c r="BC33" i="1"/>
  <c r="AY33" i="1"/>
  <c r="AX33" i="1"/>
  <c r="AW33" i="1"/>
  <c r="AT33" i="1"/>
  <c r="AR33" i="1"/>
  <c r="AN33" i="1"/>
  <c r="AM33" i="1"/>
  <c r="AL33" i="1"/>
  <c r="AJ33" i="1"/>
  <c r="AE33" i="1"/>
  <c r="AF33" i="1" s="1"/>
  <c r="AD33" i="1"/>
  <c r="AB33" i="1"/>
  <c r="W33" i="1"/>
  <c r="V33" i="1"/>
  <c r="BA33" i="1" s="1"/>
  <c r="P33" i="1"/>
  <c r="N33" i="1"/>
  <c r="R33" i="1" s="1"/>
  <c r="M33" i="1"/>
  <c r="K33" i="1"/>
  <c r="J33" i="1"/>
  <c r="I33" i="1"/>
  <c r="G33" i="1"/>
  <c r="BK32" i="1"/>
  <c r="BC32" i="1"/>
  <c r="AZ32" i="1"/>
  <c r="AX32" i="1"/>
  <c r="AW32" i="1"/>
  <c r="AT32" i="1"/>
  <c r="AR32" i="1"/>
  <c r="AN32" i="1"/>
  <c r="AM32" i="1"/>
  <c r="AL32" i="1"/>
  <c r="AJ32" i="1"/>
  <c r="AE32" i="1"/>
  <c r="AF32" i="1" s="1"/>
  <c r="AD32" i="1"/>
  <c r="AB32" i="1"/>
  <c r="V32" i="1"/>
  <c r="BA32" i="1" s="1"/>
  <c r="U32" i="1"/>
  <c r="S32" i="1"/>
  <c r="P32" i="1"/>
  <c r="N32" i="1"/>
  <c r="R32" i="1" s="1"/>
  <c r="M32" i="1"/>
  <c r="Q32" i="1" s="1"/>
  <c r="J32" i="1"/>
  <c r="W32" i="1" s="1"/>
  <c r="BB32" i="1" s="1"/>
  <c r="I32" i="1"/>
  <c r="G32" i="1"/>
  <c r="BM31" i="1"/>
  <c r="BK31" i="1"/>
  <c r="BC31" i="1"/>
  <c r="AY31" i="1"/>
  <c r="AX31" i="1"/>
  <c r="AW31" i="1"/>
  <c r="AT31" i="1"/>
  <c r="AR31" i="1"/>
  <c r="AN31" i="1"/>
  <c r="AM31" i="1"/>
  <c r="AL31" i="1"/>
  <c r="AJ31" i="1"/>
  <c r="AE31" i="1"/>
  <c r="AF31" i="1" s="1"/>
  <c r="AD31" i="1"/>
  <c r="AB31" i="1"/>
  <c r="V31" i="1"/>
  <c r="BA31" i="1" s="1"/>
  <c r="U31" i="1"/>
  <c r="AZ31" i="1" s="1"/>
  <c r="T31" i="1"/>
  <c r="R31" i="1"/>
  <c r="W31" i="1" s="1"/>
  <c r="P31" i="1"/>
  <c r="Q31" i="1" s="1"/>
  <c r="N31" i="1"/>
  <c r="O31" i="1" s="1"/>
  <c r="M31" i="1"/>
  <c r="K31" i="1"/>
  <c r="J31" i="1"/>
  <c r="I31" i="1"/>
  <c r="G31" i="1"/>
  <c r="BK30" i="1"/>
  <c r="BM30" i="1" s="1"/>
  <c r="BC30" i="1"/>
  <c r="AY30" i="1"/>
  <c r="AX30" i="1"/>
  <c r="AW30" i="1"/>
  <c r="AT30" i="1"/>
  <c r="AR30" i="1"/>
  <c r="AN30" i="1"/>
  <c r="AM30" i="1"/>
  <c r="AL30" i="1"/>
  <c r="AJ30" i="1"/>
  <c r="AF30" i="1"/>
  <c r="AE30" i="1"/>
  <c r="AD30" i="1"/>
  <c r="AB30" i="1"/>
  <c r="W30" i="1"/>
  <c r="V30" i="1"/>
  <c r="BA30" i="1" s="1"/>
  <c r="U30" i="1"/>
  <c r="AZ30" i="1" s="1"/>
  <c r="T30" i="1"/>
  <c r="R30" i="1"/>
  <c r="S30" i="1" s="1"/>
  <c r="Q30" i="1"/>
  <c r="P30" i="1"/>
  <c r="O30" i="1"/>
  <c r="N30" i="1"/>
  <c r="M30" i="1"/>
  <c r="J30" i="1"/>
  <c r="K30" i="1" s="1"/>
  <c r="I30" i="1"/>
  <c r="G30" i="1"/>
  <c r="BK29" i="1"/>
  <c r="BM29" i="1" s="1"/>
  <c r="BC29" i="1"/>
  <c r="AY29" i="1"/>
  <c r="AX29" i="1"/>
  <c r="AW29" i="1"/>
  <c r="AT29" i="1"/>
  <c r="AR29" i="1"/>
  <c r="AN29" i="1"/>
  <c r="AM29" i="1"/>
  <c r="AL29" i="1"/>
  <c r="AJ29" i="1"/>
  <c r="AE29" i="1"/>
  <c r="AF29" i="1" s="1"/>
  <c r="AD29" i="1"/>
  <c r="AB29" i="1"/>
  <c r="U29" i="1"/>
  <c r="AZ29" i="1" s="1"/>
  <c r="T29" i="1"/>
  <c r="P29" i="1"/>
  <c r="N29" i="1"/>
  <c r="O29" i="1" s="1"/>
  <c r="M29" i="1"/>
  <c r="J29" i="1"/>
  <c r="K29" i="1" s="1"/>
  <c r="I29" i="1"/>
  <c r="G29" i="1"/>
  <c r="BM28" i="1"/>
  <c r="BK28" i="1"/>
  <c r="BC28" i="1"/>
  <c r="AX28" i="1"/>
  <c r="AW28" i="1"/>
  <c r="AT28" i="1"/>
  <c r="AR28" i="1"/>
  <c r="AN28" i="1"/>
  <c r="AM28" i="1"/>
  <c r="AL28" i="1"/>
  <c r="AJ28" i="1"/>
  <c r="AF28" i="1"/>
  <c r="AE28" i="1"/>
  <c r="AD28" i="1"/>
  <c r="AB28" i="1"/>
  <c r="U28" i="1"/>
  <c r="AZ28" i="1" s="1"/>
  <c r="T28" i="1"/>
  <c r="P28" i="1"/>
  <c r="V28" i="1" s="1"/>
  <c r="BA28" i="1" s="1"/>
  <c r="O28" i="1"/>
  <c r="N28" i="1"/>
  <c r="M28" i="1"/>
  <c r="AY28" i="1" s="1"/>
  <c r="J28" i="1"/>
  <c r="K28" i="1" s="1"/>
  <c r="I28" i="1"/>
  <c r="G28" i="1"/>
  <c r="BK27" i="1"/>
  <c r="BM27" i="1" s="1"/>
  <c r="BC27" i="1"/>
  <c r="AY27" i="1"/>
  <c r="AX27" i="1"/>
  <c r="AW27" i="1"/>
  <c r="AT27" i="1"/>
  <c r="AR27" i="1"/>
  <c r="AN27" i="1"/>
  <c r="AM27" i="1"/>
  <c r="AL27" i="1"/>
  <c r="AJ27" i="1"/>
  <c r="AE27" i="1"/>
  <c r="AF27" i="1" s="1"/>
  <c r="AD27" i="1"/>
  <c r="AB27" i="1"/>
  <c r="T27" i="1"/>
  <c r="P27" i="1"/>
  <c r="V27" i="1" s="1"/>
  <c r="BA27" i="1" s="1"/>
  <c r="N27" i="1"/>
  <c r="M27" i="1"/>
  <c r="K27" i="1"/>
  <c r="J27" i="1"/>
  <c r="I27" i="1"/>
  <c r="G27" i="1"/>
  <c r="BM26" i="1"/>
  <c r="BK26" i="1"/>
  <c r="BC26" i="1"/>
  <c r="BA26" i="1"/>
  <c r="AZ26" i="1"/>
  <c r="AX26" i="1"/>
  <c r="AW26" i="1"/>
  <c r="AT26" i="1"/>
  <c r="AR26" i="1"/>
  <c r="AN26" i="1"/>
  <c r="AM26" i="1"/>
  <c r="AL26" i="1"/>
  <c r="AJ26" i="1"/>
  <c r="AE26" i="1"/>
  <c r="AF26" i="1" s="1"/>
  <c r="AD26" i="1"/>
  <c r="AB26" i="1"/>
  <c r="P26" i="1"/>
  <c r="V26" i="1" s="1"/>
  <c r="N26" i="1"/>
  <c r="U26" i="1" s="1"/>
  <c r="M26" i="1"/>
  <c r="J26" i="1"/>
  <c r="K26" i="1" s="1"/>
  <c r="I26" i="1"/>
  <c r="G26" i="1"/>
  <c r="BM25" i="1"/>
  <c r="BK25" i="1"/>
  <c r="BC25" i="1"/>
  <c r="AX25" i="1"/>
  <c r="AW25" i="1"/>
  <c r="AT25" i="1"/>
  <c r="AR25" i="1"/>
  <c r="AN25" i="1"/>
  <c r="AM25" i="1"/>
  <c r="AL25" i="1"/>
  <c r="AJ25" i="1"/>
  <c r="AE25" i="1"/>
  <c r="AF25" i="1" s="1"/>
  <c r="AD25" i="1"/>
  <c r="AB25" i="1"/>
  <c r="P25" i="1"/>
  <c r="V25" i="1" s="1"/>
  <c r="BA25" i="1" s="1"/>
  <c r="N25" i="1"/>
  <c r="U25" i="1" s="1"/>
  <c r="AZ25" i="1" s="1"/>
  <c r="M25" i="1"/>
  <c r="K25" i="1"/>
  <c r="J25" i="1"/>
  <c r="I25" i="1"/>
  <c r="G25" i="1"/>
  <c r="BK24" i="1"/>
  <c r="BM24" i="1" s="1"/>
  <c r="BC24" i="1"/>
  <c r="AY24" i="1"/>
  <c r="AX24" i="1"/>
  <c r="AW24" i="1"/>
  <c r="AT24" i="1"/>
  <c r="AR24" i="1"/>
  <c r="AN24" i="1"/>
  <c r="AM24" i="1"/>
  <c r="AL24" i="1"/>
  <c r="AJ24" i="1"/>
  <c r="AE24" i="1"/>
  <c r="AF24" i="1" s="1"/>
  <c r="AD24" i="1"/>
  <c r="AB24" i="1"/>
  <c r="P24" i="1"/>
  <c r="V24" i="1" s="1"/>
  <c r="BA24" i="1" s="1"/>
  <c r="O24" i="1"/>
  <c r="N24" i="1"/>
  <c r="M24" i="1"/>
  <c r="J24" i="1"/>
  <c r="K24" i="1" s="1"/>
  <c r="I24" i="1"/>
  <c r="G24" i="1"/>
  <c r="BK23" i="1"/>
  <c r="BM23" i="1" s="1"/>
  <c r="BC23" i="1"/>
  <c r="AY23" i="1"/>
  <c r="AX23" i="1"/>
  <c r="AW23" i="1"/>
  <c r="AT23" i="1"/>
  <c r="AR23" i="1"/>
  <c r="AM23" i="1"/>
  <c r="AN23" i="1" s="1"/>
  <c r="AL23" i="1"/>
  <c r="AJ23" i="1"/>
  <c r="AE23" i="1"/>
  <c r="AF23" i="1" s="1"/>
  <c r="AD23" i="1"/>
  <c r="AB23" i="1"/>
  <c r="P23" i="1"/>
  <c r="N23" i="1"/>
  <c r="M23" i="1"/>
  <c r="K23" i="1"/>
  <c r="J23" i="1"/>
  <c r="I23" i="1"/>
  <c r="G23" i="1"/>
  <c r="BK22" i="1"/>
  <c r="BM22" i="1" s="1"/>
  <c r="BC22" i="1"/>
  <c r="BB22" i="1"/>
  <c r="AX22" i="1"/>
  <c r="AW22" i="1"/>
  <c r="AT22" i="1"/>
  <c r="AR22" i="1"/>
  <c r="AN22" i="1"/>
  <c r="AM22" i="1"/>
  <c r="AL22" i="1"/>
  <c r="AJ22" i="1"/>
  <c r="AF22" i="1"/>
  <c r="AE22" i="1"/>
  <c r="AD22" i="1"/>
  <c r="AB22" i="1"/>
  <c r="V22" i="1"/>
  <c r="BA22" i="1" s="1"/>
  <c r="U22" i="1"/>
  <c r="AZ22" i="1" s="1"/>
  <c r="P22" i="1"/>
  <c r="N22" i="1"/>
  <c r="R22" i="1" s="1"/>
  <c r="M22" i="1"/>
  <c r="J22" i="1"/>
  <c r="W22" i="1" s="1"/>
  <c r="I22" i="1"/>
  <c r="G22" i="1"/>
  <c r="BM21" i="1"/>
  <c r="BK21" i="1"/>
  <c r="BC21" i="1"/>
  <c r="BA21" i="1"/>
  <c r="AY21" i="1"/>
  <c r="AX21" i="1"/>
  <c r="AW21" i="1"/>
  <c r="AT21" i="1"/>
  <c r="AR21" i="1"/>
  <c r="AN21" i="1"/>
  <c r="AM21" i="1"/>
  <c r="AL21" i="1"/>
  <c r="AJ21" i="1"/>
  <c r="AE21" i="1"/>
  <c r="AF21" i="1" s="1"/>
  <c r="AD21" i="1"/>
  <c r="AB21" i="1"/>
  <c r="V21" i="1"/>
  <c r="U21" i="1"/>
  <c r="AZ21" i="1" s="1"/>
  <c r="T21" i="1"/>
  <c r="P21" i="1"/>
  <c r="Q21" i="1" s="1"/>
  <c r="N21" i="1"/>
  <c r="M21" i="1"/>
  <c r="J21" i="1"/>
  <c r="K21" i="1" s="1"/>
  <c r="I21" i="1"/>
  <c r="G21" i="1"/>
  <c r="BK20" i="1"/>
  <c r="BM20" i="1" s="1"/>
  <c r="BC20" i="1"/>
  <c r="AZ20" i="1"/>
  <c r="AY20" i="1"/>
  <c r="AX20" i="1"/>
  <c r="AW20" i="1"/>
  <c r="AT20" i="1"/>
  <c r="AR20" i="1"/>
  <c r="AN20" i="1"/>
  <c r="AM20" i="1"/>
  <c r="AL20" i="1"/>
  <c r="AJ20" i="1"/>
  <c r="AE20" i="1"/>
  <c r="AF20" i="1" s="1"/>
  <c r="AD20" i="1"/>
  <c r="AB20" i="1"/>
  <c r="W20" i="1"/>
  <c r="BB20" i="1" s="1"/>
  <c r="V20" i="1"/>
  <c r="BA20" i="1" s="1"/>
  <c r="U20" i="1"/>
  <c r="P20" i="1"/>
  <c r="N20" i="1"/>
  <c r="R20" i="1" s="1"/>
  <c r="M20" i="1"/>
  <c r="Q20" i="1" s="1"/>
  <c r="J20" i="1"/>
  <c r="K20" i="1" s="1"/>
  <c r="I20" i="1"/>
  <c r="G20" i="1"/>
  <c r="BM19" i="1"/>
  <c r="BK19" i="1"/>
  <c r="BC19" i="1"/>
  <c r="AY19" i="1"/>
  <c r="AX19" i="1"/>
  <c r="AW19" i="1"/>
  <c r="AT19" i="1"/>
  <c r="AR19" i="1"/>
  <c r="AN19" i="1"/>
  <c r="AM19" i="1"/>
  <c r="AL19" i="1"/>
  <c r="AJ19" i="1"/>
  <c r="AE19" i="1"/>
  <c r="AF19" i="1" s="1"/>
  <c r="AB19" i="1"/>
  <c r="V19" i="1"/>
  <c r="BA19" i="1" s="1"/>
  <c r="U19" i="1"/>
  <c r="AZ19" i="1" s="1"/>
  <c r="T19" i="1"/>
  <c r="S19" i="1"/>
  <c r="R19" i="1"/>
  <c r="Q19" i="1"/>
  <c r="P19" i="1"/>
  <c r="N19" i="1"/>
  <c r="M19" i="1"/>
  <c r="O19" i="1" s="1"/>
  <c r="J19" i="1"/>
  <c r="I19" i="1"/>
  <c r="G19" i="1"/>
  <c r="BK18" i="1"/>
  <c r="BM18" i="1" s="1"/>
  <c r="BC18" i="1"/>
  <c r="AY18" i="1"/>
  <c r="AX18" i="1"/>
  <c r="AW18" i="1"/>
  <c r="AT18" i="1"/>
  <c r="AR18" i="1"/>
  <c r="AN18" i="1"/>
  <c r="AM18" i="1"/>
  <c r="AL18" i="1"/>
  <c r="AJ18" i="1"/>
  <c r="AE18" i="1"/>
  <c r="AF18" i="1" s="1"/>
  <c r="AD18" i="1"/>
  <c r="AB18" i="1"/>
  <c r="V18" i="1"/>
  <c r="BA18" i="1" s="1"/>
  <c r="U18" i="1"/>
  <c r="AZ18" i="1" s="1"/>
  <c r="T18" i="1"/>
  <c r="R18" i="1"/>
  <c r="S18" i="1" s="1"/>
  <c r="Q18" i="1"/>
  <c r="P18" i="1"/>
  <c r="N18" i="1"/>
  <c r="O18" i="1" s="1"/>
  <c r="M18" i="1"/>
  <c r="J18" i="1"/>
  <c r="K18" i="1" s="1"/>
  <c r="I18" i="1"/>
  <c r="G18" i="1"/>
  <c r="BK17" i="1"/>
  <c r="BM17" i="1" s="1"/>
  <c r="BC17" i="1"/>
  <c r="AX17" i="1"/>
  <c r="AW17" i="1"/>
  <c r="AT17" i="1"/>
  <c r="AR17" i="1"/>
  <c r="AN17" i="1"/>
  <c r="AM17" i="1"/>
  <c r="AL17" i="1"/>
  <c r="AJ17" i="1"/>
  <c r="AF17" i="1"/>
  <c r="AE17" i="1"/>
  <c r="AD17" i="1"/>
  <c r="AB17" i="1"/>
  <c r="U17" i="1"/>
  <c r="AZ17" i="1" s="1"/>
  <c r="T17" i="1"/>
  <c r="P17" i="1"/>
  <c r="V17" i="1" s="1"/>
  <c r="BA17" i="1" s="1"/>
  <c r="O17" i="1"/>
  <c r="N17" i="1"/>
  <c r="M17" i="1"/>
  <c r="AY17" i="1" s="1"/>
  <c r="J17" i="1"/>
  <c r="K17" i="1" s="1"/>
  <c r="I17" i="1"/>
  <c r="G17" i="1"/>
  <c r="BK16" i="1"/>
  <c r="BM16" i="1" s="1"/>
  <c r="BC16" i="1"/>
  <c r="AY16" i="1"/>
  <c r="AX16" i="1"/>
  <c r="AW16" i="1"/>
  <c r="AT16" i="1"/>
  <c r="AR16" i="1"/>
  <c r="AM16" i="1"/>
  <c r="AN16" i="1" s="1"/>
  <c r="AL16" i="1"/>
  <c r="AJ16" i="1"/>
  <c r="AE16" i="1"/>
  <c r="AF16" i="1" s="1"/>
  <c r="AD16" i="1"/>
  <c r="AB16" i="1"/>
  <c r="T16" i="1"/>
  <c r="P16" i="1"/>
  <c r="O16" i="1"/>
  <c r="N16" i="1"/>
  <c r="U16" i="1" s="1"/>
  <c r="AZ16" i="1" s="1"/>
  <c r="M16" i="1"/>
  <c r="K16" i="1"/>
  <c r="J16" i="1"/>
  <c r="I16" i="1"/>
  <c r="G16" i="1"/>
  <c r="BK15" i="1"/>
  <c r="BM15" i="1" s="1"/>
  <c r="BC15" i="1"/>
  <c r="BA15" i="1"/>
  <c r="AX15" i="1"/>
  <c r="AW15" i="1"/>
  <c r="AT15" i="1"/>
  <c r="AR15" i="1"/>
  <c r="AN15" i="1"/>
  <c r="AM15" i="1"/>
  <c r="AL15" i="1"/>
  <c r="AJ15" i="1"/>
  <c r="AE15" i="1"/>
  <c r="AF15" i="1" s="1"/>
  <c r="AD15" i="1"/>
  <c r="AB15" i="1"/>
  <c r="P15" i="1"/>
  <c r="V15" i="1" s="1"/>
  <c r="O15" i="1"/>
  <c r="N15" i="1"/>
  <c r="U15" i="1" s="1"/>
  <c r="AZ15" i="1" s="1"/>
  <c r="M15" i="1"/>
  <c r="J15" i="1"/>
  <c r="K15" i="1" s="1"/>
  <c r="I15" i="1"/>
  <c r="G15" i="1"/>
  <c r="BM14" i="1"/>
  <c r="BK14" i="1"/>
  <c r="BC14" i="1"/>
  <c r="AX14" i="1"/>
  <c r="AW14" i="1"/>
  <c r="AT14" i="1"/>
  <c r="AR14" i="1"/>
  <c r="AR49" i="1" s="1"/>
  <c r="AR50" i="1" s="1"/>
  <c r="AN14" i="1"/>
  <c r="AM14" i="1"/>
  <c r="AL14" i="1"/>
  <c r="AJ14" i="1"/>
  <c r="AE14" i="1"/>
  <c r="AF14" i="1" s="1"/>
  <c r="AD14" i="1"/>
  <c r="AB14" i="1"/>
  <c r="P14" i="1"/>
  <c r="V14" i="1" s="1"/>
  <c r="BA14" i="1" s="1"/>
  <c r="N14" i="1"/>
  <c r="R14" i="1" s="1"/>
  <c r="M14" i="1"/>
  <c r="I14" i="1"/>
  <c r="H14" i="1"/>
  <c r="F14" i="1"/>
  <c r="F36" i="1" s="1"/>
  <c r="BM13" i="1"/>
  <c r="BK13" i="1"/>
  <c r="BC13" i="1"/>
  <c r="BA13" i="1"/>
  <c r="AZ13" i="1"/>
  <c r="AX13" i="1"/>
  <c r="AW13" i="1"/>
  <c r="AT13" i="1"/>
  <c r="AR13" i="1"/>
  <c r="AN13" i="1"/>
  <c r="AM13" i="1"/>
  <c r="AL13" i="1"/>
  <c r="AJ13" i="1"/>
  <c r="AE13" i="1"/>
  <c r="AF13" i="1" s="1"/>
  <c r="AD13" i="1"/>
  <c r="AB13" i="1"/>
  <c r="P13" i="1"/>
  <c r="V13" i="1" s="1"/>
  <c r="N13" i="1"/>
  <c r="U13" i="1" s="1"/>
  <c r="M13" i="1"/>
  <c r="J13" i="1"/>
  <c r="K13" i="1" s="1"/>
  <c r="I13" i="1"/>
  <c r="G13" i="1"/>
  <c r="BK12" i="1"/>
  <c r="BK36" i="1" s="1"/>
  <c r="BK37" i="1" s="1"/>
  <c r="BC12" i="1"/>
  <c r="AX12" i="1"/>
  <c r="AW12" i="1"/>
  <c r="AT12" i="1"/>
  <c r="AR12" i="1"/>
  <c r="AM12" i="1"/>
  <c r="AN12" i="1" s="1"/>
  <c r="AL12" i="1"/>
  <c r="AJ12" i="1"/>
  <c r="AF12" i="1"/>
  <c r="AE12" i="1"/>
  <c r="AD12" i="1"/>
  <c r="AB12" i="1"/>
  <c r="P12" i="1"/>
  <c r="V12" i="1" s="1"/>
  <c r="BA12" i="1" s="1"/>
  <c r="N12" i="1"/>
  <c r="U12" i="1" s="1"/>
  <c r="AZ12" i="1" s="1"/>
  <c r="M12" i="1"/>
  <c r="K12" i="1"/>
  <c r="J12" i="1"/>
  <c r="I12" i="1"/>
  <c r="G12" i="1"/>
  <c r="BK11" i="1"/>
  <c r="BM11" i="1" s="1"/>
  <c r="BC11" i="1"/>
  <c r="AY11" i="1"/>
  <c r="AX11" i="1"/>
  <c r="AW11" i="1"/>
  <c r="AT11" i="1"/>
  <c r="AR11" i="1"/>
  <c r="AN11" i="1"/>
  <c r="AM11" i="1"/>
  <c r="AL11" i="1"/>
  <c r="AJ11" i="1"/>
  <c r="AE11" i="1"/>
  <c r="AF11" i="1" s="1"/>
  <c r="AD11" i="1"/>
  <c r="AB11" i="1"/>
  <c r="P11" i="1"/>
  <c r="N11" i="1"/>
  <c r="M11" i="1"/>
  <c r="K11" i="1"/>
  <c r="J11" i="1"/>
  <c r="I11" i="1"/>
  <c r="G11" i="1"/>
  <c r="BK10" i="1"/>
  <c r="BM10" i="1" s="1"/>
  <c r="BC10" i="1"/>
  <c r="AY10" i="1"/>
  <c r="AX10" i="1"/>
  <c r="AW10" i="1"/>
  <c r="AT10" i="1"/>
  <c r="AR10" i="1"/>
  <c r="AN10" i="1"/>
  <c r="AM10" i="1"/>
  <c r="AL10" i="1"/>
  <c r="AJ10" i="1"/>
  <c r="AE10" i="1"/>
  <c r="AF10" i="1" s="1"/>
  <c r="AD10" i="1"/>
  <c r="AB10" i="1"/>
  <c r="P10" i="1"/>
  <c r="N10" i="1"/>
  <c r="O10" i="1" s="1"/>
  <c r="M10" i="1"/>
  <c r="K10" i="1"/>
  <c r="J10" i="1"/>
  <c r="I10" i="1"/>
  <c r="G10" i="1"/>
  <c r="BK9" i="1"/>
  <c r="BM9" i="1" s="1"/>
  <c r="BC9" i="1"/>
  <c r="AW9" i="1"/>
  <c r="AX9" i="1" s="1"/>
  <c r="AT9" i="1"/>
  <c r="AR9" i="1"/>
  <c r="AN9" i="1"/>
  <c r="AM9" i="1"/>
  <c r="AL9" i="1"/>
  <c r="AJ9" i="1"/>
  <c r="AF9" i="1"/>
  <c r="AE9" i="1"/>
  <c r="AD9" i="1"/>
  <c r="AB9" i="1"/>
  <c r="V9" i="1"/>
  <c r="BA9" i="1" s="1"/>
  <c r="U9" i="1"/>
  <c r="AZ9" i="1" s="1"/>
  <c r="P9" i="1"/>
  <c r="N9" i="1"/>
  <c r="R9" i="1" s="1"/>
  <c r="M9" i="1"/>
  <c r="J9" i="1"/>
  <c r="W9" i="1" s="1"/>
  <c r="BB9" i="1" s="1"/>
  <c r="I9" i="1"/>
  <c r="G9" i="1"/>
  <c r="BM8" i="1"/>
  <c r="BK8" i="1"/>
  <c r="BC8" i="1"/>
  <c r="AY8" i="1"/>
  <c r="AW8" i="1"/>
  <c r="AX8" i="1" s="1"/>
  <c r="AT8" i="1"/>
  <c r="AR8" i="1"/>
  <c r="AN8" i="1"/>
  <c r="AM8" i="1"/>
  <c r="AL8" i="1"/>
  <c r="AJ8" i="1"/>
  <c r="AE8" i="1"/>
  <c r="AF8" i="1" s="1"/>
  <c r="AD8" i="1"/>
  <c r="AB8" i="1"/>
  <c r="V8" i="1"/>
  <c r="BA8" i="1" s="1"/>
  <c r="U8" i="1"/>
  <c r="AZ8" i="1" s="1"/>
  <c r="T8" i="1"/>
  <c r="P8" i="1"/>
  <c r="Q8" i="1" s="1"/>
  <c r="N8" i="1"/>
  <c r="M8" i="1"/>
  <c r="J8" i="1"/>
  <c r="K8" i="1" s="1"/>
  <c r="I8" i="1"/>
  <c r="G8" i="1"/>
  <c r="BK7" i="1"/>
  <c r="BM7" i="1" s="1"/>
  <c r="BC7" i="1"/>
  <c r="AZ7" i="1"/>
  <c r="AY7" i="1"/>
  <c r="AX7" i="1"/>
  <c r="AW7" i="1"/>
  <c r="AT7" i="1"/>
  <c r="AR7" i="1"/>
  <c r="AN7" i="1"/>
  <c r="AM7" i="1"/>
  <c r="AL7" i="1"/>
  <c r="AJ7" i="1"/>
  <c r="AE7" i="1"/>
  <c r="AF7" i="1" s="1"/>
  <c r="AD7" i="1"/>
  <c r="AB7" i="1"/>
  <c r="W7" i="1"/>
  <c r="BB7" i="1" s="1"/>
  <c r="V7" i="1"/>
  <c r="BA7" i="1" s="1"/>
  <c r="U7" i="1"/>
  <c r="P7" i="1"/>
  <c r="N7" i="1"/>
  <c r="R7" i="1" s="1"/>
  <c r="M7" i="1"/>
  <c r="Q7" i="1" s="1"/>
  <c r="J7" i="1"/>
  <c r="K7" i="1" s="1"/>
  <c r="I7" i="1"/>
  <c r="G7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M6" i="1"/>
  <c r="BK6" i="1"/>
  <c r="BC6" i="1"/>
  <c r="AY6" i="1"/>
  <c r="AW6" i="1"/>
  <c r="AX6" i="1" s="1"/>
  <c r="AT6" i="1"/>
  <c r="AR6" i="1"/>
  <c r="AN6" i="1"/>
  <c r="AM6" i="1"/>
  <c r="AL6" i="1"/>
  <c r="AJ6" i="1"/>
  <c r="AE6" i="1"/>
  <c r="AF6" i="1" s="1"/>
  <c r="AD6" i="1"/>
  <c r="AB6" i="1"/>
  <c r="V6" i="1"/>
  <c r="BA6" i="1" s="1"/>
  <c r="U6" i="1"/>
  <c r="AZ6" i="1" s="1"/>
  <c r="T6" i="1"/>
  <c r="R6" i="1"/>
  <c r="W6" i="1" s="1"/>
  <c r="BB6" i="1" s="1"/>
  <c r="P6" i="1"/>
  <c r="Q6" i="1" s="1"/>
  <c r="N6" i="1"/>
  <c r="O6" i="1" s="1"/>
  <c r="M6" i="1"/>
  <c r="K6" i="1"/>
  <c r="J6" i="1"/>
  <c r="I6" i="1"/>
  <c r="G6" i="1"/>
  <c r="BK5" i="1"/>
  <c r="BM5" i="1" s="1"/>
  <c r="BC5" i="1"/>
  <c r="AY5" i="1"/>
  <c r="AW5" i="1"/>
  <c r="AX5" i="1" s="1"/>
  <c r="AT5" i="1"/>
  <c r="AR5" i="1"/>
  <c r="AN5" i="1"/>
  <c r="AM5" i="1"/>
  <c r="AL5" i="1"/>
  <c r="AJ5" i="1"/>
  <c r="AF5" i="1"/>
  <c r="AE5" i="1"/>
  <c r="AD5" i="1"/>
  <c r="AB5" i="1"/>
  <c r="W5" i="1"/>
  <c r="V5" i="1"/>
  <c r="U5" i="1"/>
  <c r="T5" i="1"/>
  <c r="R5" i="1"/>
  <c r="Q5" i="1"/>
  <c r="P5" i="1"/>
  <c r="N5" i="1"/>
  <c r="M5" i="1"/>
  <c r="O5" i="1" s="1"/>
  <c r="J5" i="1"/>
  <c r="K5" i="1" s="1"/>
  <c r="I5" i="1"/>
  <c r="J49" i="1" s="1"/>
  <c r="G5" i="1"/>
  <c r="B5" i="1"/>
  <c r="B6" i="1" s="1"/>
  <c r="AW37" i="3" l="1"/>
  <c r="AX36" i="3"/>
  <c r="AZ5" i="3"/>
  <c r="AY35" i="3"/>
  <c r="BC36" i="3"/>
  <c r="BC37" i="3" s="1"/>
  <c r="R11" i="3"/>
  <c r="W11" i="3" s="1"/>
  <c r="BB11" i="3" s="1"/>
  <c r="Q11" i="3"/>
  <c r="S15" i="3"/>
  <c r="AY15" i="3"/>
  <c r="Q16" i="3"/>
  <c r="V16" i="3"/>
  <c r="BA16" i="3" s="1"/>
  <c r="R16" i="3"/>
  <c r="J49" i="3"/>
  <c r="BK36" i="3"/>
  <c r="BK37" i="3" s="1"/>
  <c r="R15" i="3"/>
  <c r="W15" i="3" s="1"/>
  <c r="BB15" i="3" s="1"/>
  <c r="O15" i="3"/>
  <c r="BM5" i="3"/>
  <c r="BM36" i="3" s="1"/>
  <c r="V11" i="3"/>
  <c r="BA11" i="3" s="1"/>
  <c r="BA36" i="3" s="1"/>
  <c r="BA37" i="3" s="1"/>
  <c r="Q15" i="3"/>
  <c r="T15" i="3"/>
  <c r="BB34" i="3"/>
  <c r="M36" i="3"/>
  <c r="N38" i="3" s="1"/>
  <c r="U15" i="3"/>
  <c r="AZ15" i="3" s="1"/>
  <c r="K20" i="3"/>
  <c r="W20" i="3"/>
  <c r="BB20" i="3" s="1"/>
  <c r="K34" i="3"/>
  <c r="K37" i="3"/>
  <c r="K9" i="3"/>
  <c r="W9" i="3"/>
  <c r="BB9" i="3" s="1"/>
  <c r="J36" i="3"/>
  <c r="K6" i="3"/>
  <c r="W6" i="3"/>
  <c r="BB6" i="3" s="1"/>
  <c r="W12" i="3"/>
  <c r="BB12" i="3" s="1"/>
  <c r="K12" i="3"/>
  <c r="K29" i="3"/>
  <c r="W29" i="3"/>
  <c r="BB29" i="3" s="1"/>
  <c r="O35" i="3"/>
  <c r="U35" i="3"/>
  <c r="AZ35" i="3" s="1"/>
  <c r="R35" i="3"/>
  <c r="W35" i="3" s="1"/>
  <c r="BB35" i="3" s="1"/>
  <c r="K10" i="3"/>
  <c r="W10" i="3"/>
  <c r="BB10" i="3" s="1"/>
  <c r="Q20" i="3"/>
  <c r="V20" i="3"/>
  <c r="BA20" i="3" s="1"/>
  <c r="X58" i="3"/>
  <c r="X59" i="3"/>
  <c r="S5" i="3"/>
  <c r="W5" i="3"/>
  <c r="O7" i="3"/>
  <c r="N36" i="3"/>
  <c r="U7" i="3"/>
  <c r="AZ7" i="3" s="1"/>
  <c r="V18" i="3"/>
  <c r="BA18" i="3" s="1"/>
  <c r="R18" i="3"/>
  <c r="W18" i="3" s="1"/>
  <c r="BB18" i="3" s="1"/>
  <c r="Q18" i="3"/>
  <c r="R21" i="3"/>
  <c r="V21" i="3"/>
  <c r="BA21" i="3" s="1"/>
  <c r="T22" i="3"/>
  <c r="S22" i="3"/>
  <c r="AY22" i="3"/>
  <c r="U30" i="3"/>
  <c r="AZ30" i="3" s="1"/>
  <c r="O30" i="3"/>
  <c r="R30" i="3"/>
  <c r="W30" i="3" s="1"/>
  <c r="BB30" i="3" s="1"/>
  <c r="O32" i="3"/>
  <c r="Q33" i="3"/>
  <c r="V33" i="3"/>
  <c r="BA33" i="3" s="1"/>
  <c r="R33" i="3"/>
  <c r="W33" i="3" s="1"/>
  <c r="BB33" i="3" s="1"/>
  <c r="AY8" i="3"/>
  <c r="O8" i="3"/>
  <c r="K28" i="3"/>
  <c r="BJ71" i="3"/>
  <c r="P36" i="3"/>
  <c r="T11" i="3"/>
  <c r="S11" i="3"/>
  <c r="AY11" i="3"/>
  <c r="V17" i="3"/>
  <c r="BA17" i="3" s="1"/>
  <c r="R17" i="3"/>
  <c r="Q21" i="3"/>
  <c r="AY7" i="3"/>
  <c r="T7" i="3"/>
  <c r="Q7" i="3"/>
  <c r="R9" i="3"/>
  <c r="S9" i="3" s="1"/>
  <c r="U9" i="3"/>
  <c r="AZ9" i="3" s="1"/>
  <c r="O9" i="3"/>
  <c r="O12" i="3"/>
  <c r="U12" i="3"/>
  <c r="AZ12" i="3" s="1"/>
  <c r="R12" i="3"/>
  <c r="S12" i="3" s="1"/>
  <c r="U31" i="3"/>
  <c r="AZ31" i="3" s="1"/>
  <c r="R31" i="3"/>
  <c r="W31" i="3" s="1"/>
  <c r="BB31" i="3" s="1"/>
  <c r="T35" i="3"/>
  <c r="R7" i="3"/>
  <c r="S7" i="3" s="1"/>
  <c r="O11" i="3"/>
  <c r="Q17" i="3"/>
  <c r="Q22" i="3"/>
  <c r="R27" i="3"/>
  <c r="U27" i="3"/>
  <c r="AZ27" i="3" s="1"/>
  <c r="Q28" i="3"/>
  <c r="V28" i="3"/>
  <c r="BA28" i="3" s="1"/>
  <c r="R28" i="3"/>
  <c r="S28" i="3" s="1"/>
  <c r="S30" i="3"/>
  <c r="O22" i="3"/>
  <c r="Q35" i="3"/>
  <c r="K18" i="3"/>
  <c r="R20" i="3"/>
  <c r="S20" i="3" s="1"/>
  <c r="K23" i="3"/>
  <c r="K33" i="3"/>
  <c r="AR37" i="3"/>
  <c r="AM36" i="3"/>
  <c r="O20" i="3"/>
  <c r="W24" i="3"/>
  <c r="BB24" i="3" s="1"/>
  <c r="AL37" i="3"/>
  <c r="W19" i="3"/>
  <c r="BB19" i="3" s="1"/>
  <c r="Q8" i="3"/>
  <c r="O14" i="3"/>
  <c r="S23" i="3"/>
  <c r="U25" i="3"/>
  <c r="AZ25" i="3" s="1"/>
  <c r="AB36" i="3"/>
  <c r="BF46" i="3"/>
  <c r="BI71" i="3"/>
  <c r="AY36" i="3"/>
  <c r="R8" i="3"/>
  <c r="S8" i="3" s="1"/>
  <c r="Q14" i="3"/>
  <c r="V14" i="3"/>
  <c r="BA14" i="3" s="1"/>
  <c r="T18" i="3"/>
  <c r="O19" i="3"/>
  <c r="O24" i="3"/>
  <c r="U24" i="3"/>
  <c r="AZ24" i="3" s="1"/>
  <c r="O26" i="3"/>
  <c r="T31" i="3"/>
  <c r="Q34" i="3"/>
  <c r="S26" i="3"/>
  <c r="AY26" i="3"/>
  <c r="O34" i="3"/>
  <c r="Q6" i="3"/>
  <c r="W7" i="3"/>
  <c r="BB7" i="3" s="1"/>
  <c r="AY12" i="3"/>
  <c r="W16" i="3"/>
  <c r="BB16" i="3" s="1"/>
  <c r="AY23" i="3"/>
  <c r="Q24" i="3"/>
  <c r="Q26" i="3"/>
  <c r="Q29" i="3"/>
  <c r="AE36" i="3"/>
  <c r="BK54" i="3"/>
  <c r="BK71" i="3" s="1"/>
  <c r="BG46" i="3" s="1"/>
  <c r="BH46" i="3" s="1"/>
  <c r="V25" i="3"/>
  <c r="BA25" i="3" s="1"/>
  <c r="W26" i="3"/>
  <c r="BB26" i="3" s="1"/>
  <c r="O6" i="3"/>
  <c r="O18" i="3"/>
  <c r="U23" i="3"/>
  <c r="AZ23" i="3" s="1"/>
  <c r="O29" i="3"/>
  <c r="U34" i="3"/>
  <c r="AZ34" i="3" s="1"/>
  <c r="AD36" i="3"/>
  <c r="W32" i="3"/>
  <c r="BB32" i="3" s="1"/>
  <c r="T5" i="3"/>
  <c r="T36" i="3" s="1"/>
  <c r="W8" i="3"/>
  <c r="BB8" i="3" s="1"/>
  <c r="S16" i="3"/>
  <c r="Q6" i="2"/>
  <c r="V6" i="2"/>
  <c r="U22" i="2"/>
  <c r="AZ22" i="2" s="1"/>
  <c r="R22" i="2"/>
  <c r="AT37" i="2"/>
  <c r="BF42" i="2"/>
  <c r="BF46" i="2" s="1"/>
  <c r="O22" i="2"/>
  <c r="W30" i="2"/>
  <c r="BB30" i="2" s="1"/>
  <c r="K20" i="2"/>
  <c r="K30" i="2"/>
  <c r="U32" i="2"/>
  <c r="AZ32" i="2" s="1"/>
  <c r="R32" i="2"/>
  <c r="W32" i="2" s="1"/>
  <c r="BB32" i="2" s="1"/>
  <c r="BM8" i="2"/>
  <c r="BK36" i="2"/>
  <c r="BK37" i="2" s="1"/>
  <c r="O32" i="2"/>
  <c r="W18" i="2"/>
  <c r="BB18" i="2" s="1"/>
  <c r="W5" i="2"/>
  <c r="J36" i="2"/>
  <c r="K5" i="2"/>
  <c r="R8" i="2"/>
  <c r="W8" i="2" s="1"/>
  <c r="BB8" i="2" s="1"/>
  <c r="U8" i="2"/>
  <c r="AZ8" i="2" s="1"/>
  <c r="AZ36" i="2" s="1"/>
  <c r="AZ37" i="2" s="1"/>
  <c r="O8" i="2"/>
  <c r="V11" i="2"/>
  <c r="BA11" i="2" s="1"/>
  <c r="R11" i="2"/>
  <c r="S11" i="2" s="1"/>
  <c r="Q11" i="2"/>
  <c r="W10" i="2"/>
  <c r="BB10" i="2" s="1"/>
  <c r="BC36" i="2"/>
  <c r="BC37" i="2" s="1"/>
  <c r="P36" i="2"/>
  <c r="BM36" i="2"/>
  <c r="Q20" i="2"/>
  <c r="V20" i="2"/>
  <c r="BA20" i="2" s="1"/>
  <c r="BI71" i="2"/>
  <c r="U10" i="2"/>
  <c r="AZ10" i="2" s="1"/>
  <c r="R10" i="2"/>
  <c r="O10" i="2"/>
  <c r="V13" i="2"/>
  <c r="BA13" i="2" s="1"/>
  <c r="R13" i="2"/>
  <c r="S13" i="2" s="1"/>
  <c r="Q13" i="2"/>
  <c r="V15" i="2"/>
  <c r="BA15" i="2" s="1"/>
  <c r="R15" i="2"/>
  <c r="S15" i="2" s="1"/>
  <c r="Q15" i="2"/>
  <c r="BB26" i="2"/>
  <c r="AM36" i="2"/>
  <c r="X58" i="2"/>
  <c r="X59" i="2"/>
  <c r="N36" i="2"/>
  <c r="Q9" i="2"/>
  <c r="V9" i="2"/>
  <c r="BA9" i="2" s="1"/>
  <c r="R9" i="2"/>
  <c r="S9" i="2" s="1"/>
  <c r="W33" i="2"/>
  <c r="BB33" i="2" s="1"/>
  <c r="AE36" i="2"/>
  <c r="S7" i="2"/>
  <c r="T20" i="2"/>
  <c r="R7" i="2"/>
  <c r="W7" i="2" s="1"/>
  <c r="BB7" i="2" s="1"/>
  <c r="O7" i="2"/>
  <c r="K8" i="2"/>
  <c r="K10" i="2"/>
  <c r="AY12" i="2"/>
  <c r="T12" i="2"/>
  <c r="U20" i="2"/>
  <c r="AZ20" i="2" s="1"/>
  <c r="R20" i="2"/>
  <c r="S20" i="2" s="1"/>
  <c r="Q22" i="2"/>
  <c r="AY23" i="2"/>
  <c r="AY36" i="2" s="1"/>
  <c r="T23" i="2"/>
  <c r="R30" i="2"/>
  <c r="S30" i="2" s="1"/>
  <c r="O30" i="2"/>
  <c r="V32" i="2"/>
  <c r="BA32" i="2" s="1"/>
  <c r="T33" i="2"/>
  <c r="O35" i="2"/>
  <c r="Q7" i="2"/>
  <c r="T8" i="2"/>
  <c r="S8" i="2"/>
  <c r="W9" i="2"/>
  <c r="BB9" i="2" s="1"/>
  <c r="O16" i="2"/>
  <c r="O20" i="2"/>
  <c r="S27" i="2"/>
  <c r="W29" i="2"/>
  <c r="BB29" i="2" s="1"/>
  <c r="Q30" i="2"/>
  <c r="T5" i="2"/>
  <c r="Q10" i="2"/>
  <c r="W11" i="2"/>
  <c r="BB11" i="2" s="1"/>
  <c r="R12" i="2"/>
  <c r="S12" i="2" s="1"/>
  <c r="W13" i="2"/>
  <c r="BB13" i="2" s="1"/>
  <c r="Q14" i="2"/>
  <c r="S16" i="2"/>
  <c r="AY20" i="2"/>
  <c r="U21" i="2"/>
  <c r="AZ21" i="2" s="1"/>
  <c r="R21" i="2"/>
  <c r="W21" i="2" s="1"/>
  <c r="BB21" i="2" s="1"/>
  <c r="R23" i="2"/>
  <c r="AY30" i="2"/>
  <c r="O31" i="2"/>
  <c r="R33" i="2"/>
  <c r="S33" i="2" s="1"/>
  <c r="AD37" i="2"/>
  <c r="S46" i="2"/>
  <c r="X46" i="2" s="1"/>
  <c r="U36" i="2"/>
  <c r="U37" i="2" s="1"/>
  <c r="S10" i="2"/>
  <c r="R14" i="2"/>
  <c r="T16" i="2"/>
  <c r="O21" i="2"/>
  <c r="W22" i="2"/>
  <c r="BB22" i="2" s="1"/>
  <c r="S23" i="2"/>
  <c r="AY33" i="2"/>
  <c r="O34" i="2"/>
  <c r="M36" i="2"/>
  <c r="N38" i="2" s="1"/>
  <c r="BJ71" i="2"/>
  <c r="T31" i="2"/>
  <c r="Q31" i="2"/>
  <c r="S31" i="2"/>
  <c r="R35" i="2"/>
  <c r="S35" i="2" s="1"/>
  <c r="AA37" i="2"/>
  <c r="AB37" i="2" s="1"/>
  <c r="AB36" i="2"/>
  <c r="AY7" i="2"/>
  <c r="Q12" i="2"/>
  <c r="S21" i="2"/>
  <c r="T21" i="2"/>
  <c r="Q23" i="2"/>
  <c r="Q33" i="2"/>
  <c r="AY34" i="2"/>
  <c r="T34" i="2"/>
  <c r="AW36" i="2"/>
  <c r="T9" i="2"/>
  <c r="S19" i="2"/>
  <c r="O24" i="2"/>
  <c r="U31" i="2"/>
  <c r="AZ31" i="2" s="1"/>
  <c r="BK50" i="2"/>
  <c r="BK71" i="2" s="1"/>
  <c r="BG46" i="2" s="1"/>
  <c r="BH46" i="2" s="1"/>
  <c r="R6" i="2"/>
  <c r="R36" i="2" s="1"/>
  <c r="O6" i="2"/>
  <c r="AY10" i="2"/>
  <c r="R19" i="2"/>
  <c r="W19" i="2" s="1"/>
  <c r="BB19" i="2" s="1"/>
  <c r="O19" i="2"/>
  <c r="Q21" i="2"/>
  <c r="T22" i="2"/>
  <c r="S22" i="2"/>
  <c r="T32" i="2"/>
  <c r="S32" i="2"/>
  <c r="Q34" i="2"/>
  <c r="W35" i="2"/>
  <c r="BB35" i="2" s="1"/>
  <c r="AY27" i="2"/>
  <c r="W24" i="2"/>
  <c r="BB24" i="2" s="1"/>
  <c r="K25" i="2"/>
  <c r="Q5" i="2"/>
  <c r="W23" i="2"/>
  <c r="BB23" i="2" s="1"/>
  <c r="W34" i="2"/>
  <c r="BB34" i="2" s="1"/>
  <c r="AF36" i="1"/>
  <c r="AE37" i="1"/>
  <c r="AM36" i="1"/>
  <c r="K9" i="1"/>
  <c r="U11" i="1"/>
  <c r="AZ11" i="1" s="1"/>
  <c r="R11" i="1"/>
  <c r="W11" i="1" s="1"/>
  <c r="BB11" i="1" s="1"/>
  <c r="T9" i="1"/>
  <c r="S9" i="1"/>
  <c r="AY9" i="1"/>
  <c r="O11" i="1"/>
  <c r="BM12" i="1"/>
  <c r="BM36" i="1" s="1"/>
  <c r="V11" i="1"/>
  <c r="BA11" i="1" s="1"/>
  <c r="Q11" i="1"/>
  <c r="K19" i="1"/>
  <c r="W19" i="1"/>
  <c r="BB19" i="1" s="1"/>
  <c r="U27" i="1"/>
  <c r="AZ27" i="1" s="1"/>
  <c r="R27" i="1"/>
  <c r="S27" i="1" s="1"/>
  <c r="O27" i="1"/>
  <c r="Q29" i="1"/>
  <c r="V29" i="1"/>
  <c r="BA29" i="1" s="1"/>
  <c r="R29" i="1"/>
  <c r="S29" i="1" s="1"/>
  <c r="T34" i="1"/>
  <c r="S34" i="1"/>
  <c r="AY34" i="1"/>
  <c r="BK62" i="1"/>
  <c r="U34" i="1"/>
  <c r="AZ34" i="1" s="1"/>
  <c r="R34" i="1"/>
  <c r="W34" i="1" s="1"/>
  <c r="BB34" i="1" s="1"/>
  <c r="O34" i="1"/>
  <c r="BA5" i="1"/>
  <c r="S14" i="1"/>
  <c r="T14" i="1"/>
  <c r="AY14" i="1"/>
  <c r="V16" i="1"/>
  <c r="BA16" i="1" s="1"/>
  <c r="R16" i="1"/>
  <c r="S16" i="1" s="1"/>
  <c r="AF35" i="1"/>
  <c r="T25" i="1"/>
  <c r="AY25" i="1"/>
  <c r="Q25" i="1"/>
  <c r="AW36" i="1"/>
  <c r="X58" i="1"/>
  <c r="X59" i="1"/>
  <c r="O14" i="1"/>
  <c r="BB31" i="1"/>
  <c r="Q16" i="1"/>
  <c r="K22" i="1"/>
  <c r="BB30" i="1"/>
  <c r="BK50" i="1"/>
  <c r="BK71" i="1" s="1"/>
  <c r="BG46" i="1" s="1"/>
  <c r="BH46" i="1" s="1"/>
  <c r="BI71" i="1"/>
  <c r="Q24" i="1"/>
  <c r="AZ5" i="1"/>
  <c r="AZ36" i="1" s="1"/>
  <c r="AZ37" i="1" s="1"/>
  <c r="U36" i="1"/>
  <c r="U37" i="1" s="1"/>
  <c r="T22" i="1"/>
  <c r="S22" i="1"/>
  <c r="AY22" i="1"/>
  <c r="BB33" i="1"/>
  <c r="BJ71" i="1"/>
  <c r="T12" i="1"/>
  <c r="AS49" i="1"/>
  <c r="AS50" i="1" s="1"/>
  <c r="S31" i="1"/>
  <c r="K32" i="1"/>
  <c r="Q34" i="1"/>
  <c r="K35" i="1"/>
  <c r="X56" i="1"/>
  <c r="X57" i="1"/>
  <c r="O9" i="1"/>
  <c r="Q14" i="1"/>
  <c r="AY15" i="1"/>
  <c r="T15" i="1"/>
  <c r="O22" i="1"/>
  <c r="O25" i="1"/>
  <c r="Q27" i="1"/>
  <c r="V34" i="1"/>
  <c r="BA34" i="1" s="1"/>
  <c r="T35" i="1"/>
  <c r="S35" i="1"/>
  <c r="BC36" i="1"/>
  <c r="BC37" i="1" s="1"/>
  <c r="S6" i="1"/>
  <c r="Q9" i="1"/>
  <c r="O12" i="1"/>
  <c r="Q22" i="1"/>
  <c r="U35" i="1"/>
  <c r="AZ35" i="1" s="1"/>
  <c r="R35" i="1"/>
  <c r="W35" i="1" s="1"/>
  <c r="BB35" i="1" s="1"/>
  <c r="AY12" i="1"/>
  <c r="BB5" i="1"/>
  <c r="AY13" i="1"/>
  <c r="AY36" i="1" s="1"/>
  <c r="BD38" i="1" s="1"/>
  <c r="T13" i="1"/>
  <c r="T10" i="1"/>
  <c r="T36" i="1" s="1"/>
  <c r="T23" i="1"/>
  <c r="P36" i="1"/>
  <c r="R12" i="1"/>
  <c r="S12" i="1" s="1"/>
  <c r="Q15" i="1"/>
  <c r="U23" i="1"/>
  <c r="AZ23" i="1" s="1"/>
  <c r="R23" i="1"/>
  <c r="W23" i="1" s="1"/>
  <c r="BB23" i="1" s="1"/>
  <c r="T32" i="1"/>
  <c r="S7" i="1"/>
  <c r="R15" i="1"/>
  <c r="S15" i="1" s="1"/>
  <c r="R17" i="1"/>
  <c r="S17" i="1" s="1"/>
  <c r="S20" i="1"/>
  <c r="O23" i="1"/>
  <c r="O33" i="1"/>
  <c r="I36" i="1"/>
  <c r="T33" i="1"/>
  <c r="S33" i="1"/>
  <c r="U10" i="1"/>
  <c r="AZ10" i="1" s="1"/>
  <c r="R10" i="1"/>
  <c r="W10" i="1" s="1"/>
  <c r="BB10" i="1" s="1"/>
  <c r="J50" i="1"/>
  <c r="S8" i="1"/>
  <c r="Q10" i="1"/>
  <c r="Q13" i="1"/>
  <c r="T20" i="1"/>
  <c r="Q23" i="1"/>
  <c r="T24" i="1"/>
  <c r="Q26" i="1"/>
  <c r="W27" i="1"/>
  <c r="BB27" i="1" s="1"/>
  <c r="Q28" i="1"/>
  <c r="Q33" i="1"/>
  <c r="AY35" i="1"/>
  <c r="AY26" i="1"/>
  <c r="T26" i="1"/>
  <c r="Q12" i="1"/>
  <c r="R25" i="1"/>
  <c r="W25" i="1" s="1"/>
  <c r="BB25" i="1" s="1"/>
  <c r="O13" i="1"/>
  <c r="W16" i="1"/>
  <c r="BB16" i="1" s="1"/>
  <c r="Q17" i="1"/>
  <c r="O26" i="1"/>
  <c r="Q35" i="1"/>
  <c r="T7" i="1"/>
  <c r="S5" i="1"/>
  <c r="R8" i="1"/>
  <c r="W8" i="1" s="1"/>
  <c r="BB8" i="1" s="1"/>
  <c r="O8" i="1"/>
  <c r="V10" i="1"/>
  <c r="BA10" i="1" s="1"/>
  <c r="T11" i="1"/>
  <c r="S11" i="1"/>
  <c r="R13" i="1"/>
  <c r="S13" i="1" s="1"/>
  <c r="R21" i="1"/>
  <c r="W21" i="1" s="1"/>
  <c r="BB21" i="1" s="1"/>
  <c r="O21" i="1"/>
  <c r="V23" i="1"/>
  <c r="BA23" i="1" s="1"/>
  <c r="R24" i="1"/>
  <c r="W24" i="1" s="1"/>
  <c r="BB24" i="1" s="1"/>
  <c r="U24" i="1"/>
  <c r="AZ24" i="1" s="1"/>
  <c r="R26" i="1"/>
  <c r="S26" i="1" s="1"/>
  <c r="R28" i="1"/>
  <c r="S28" i="1" s="1"/>
  <c r="AY32" i="1"/>
  <c r="U33" i="1"/>
  <c r="AZ33" i="1" s="1"/>
  <c r="AF46" i="1"/>
  <c r="AN46" i="1" s="1"/>
  <c r="AX46" i="1" s="1"/>
  <c r="AV47" i="1" s="1"/>
  <c r="W18" i="1"/>
  <c r="BB18" i="1" s="1"/>
  <c r="N36" i="1"/>
  <c r="O7" i="1"/>
  <c r="G14" i="1"/>
  <c r="W17" i="1"/>
  <c r="BB17" i="1" s="1"/>
  <c r="O20" i="1"/>
  <c r="O32" i="1"/>
  <c r="U14" i="1"/>
  <c r="AZ14" i="1" s="1"/>
  <c r="AB36" i="1"/>
  <c r="W26" i="1"/>
  <c r="BB26" i="1" s="1"/>
  <c r="J14" i="1"/>
  <c r="AD36" i="1"/>
  <c r="BD38" i="3" l="1"/>
  <c r="S17" i="3"/>
  <c r="W17" i="3"/>
  <c r="BB17" i="3" s="1"/>
  <c r="BI46" i="3"/>
  <c r="V36" i="3"/>
  <c r="V37" i="3" s="1"/>
  <c r="S31" i="3"/>
  <c r="K36" i="3"/>
  <c r="J37" i="3"/>
  <c r="S21" i="3"/>
  <c r="W21" i="3"/>
  <c r="BB21" i="3" s="1"/>
  <c r="S35" i="3"/>
  <c r="S18" i="3"/>
  <c r="S27" i="3"/>
  <c r="W27" i="3"/>
  <c r="BB27" i="3" s="1"/>
  <c r="W28" i="3"/>
  <c r="BB28" i="3" s="1"/>
  <c r="R36" i="3"/>
  <c r="AZ36" i="3"/>
  <c r="AZ37" i="3" s="1"/>
  <c r="BB5" i="3"/>
  <c r="S33" i="3"/>
  <c r="AE37" i="3"/>
  <c r="AF36" i="3"/>
  <c r="O36" i="3"/>
  <c r="N37" i="3"/>
  <c r="O37" i="3" s="1"/>
  <c r="BC45" i="3"/>
  <c r="BD45" i="3"/>
  <c r="BF39" i="3"/>
  <c r="AN36" i="3"/>
  <c r="AM37" i="3"/>
  <c r="Q36" i="3"/>
  <c r="P37" i="3"/>
  <c r="Q37" i="3" s="1"/>
  <c r="U36" i="3"/>
  <c r="U37" i="3" s="1"/>
  <c r="AX37" i="3"/>
  <c r="AX38" i="3"/>
  <c r="AX50" i="3"/>
  <c r="AX51" i="3" s="1"/>
  <c r="AX48" i="3"/>
  <c r="AW46" i="3"/>
  <c r="AW47" i="3" s="1"/>
  <c r="AX47" i="3"/>
  <c r="S36" i="2"/>
  <c r="R37" i="2"/>
  <c r="P37" i="2"/>
  <c r="Q37" i="2" s="1"/>
  <c r="Q36" i="2"/>
  <c r="BC45" i="2"/>
  <c r="BD45" i="2"/>
  <c r="J37" i="2"/>
  <c r="K36" i="2"/>
  <c r="N37" i="2"/>
  <c r="O37" i="2" s="1"/>
  <c r="O36" i="2"/>
  <c r="AE37" i="2"/>
  <c r="AF36" i="2"/>
  <c r="BB5" i="2"/>
  <c r="W6" i="2"/>
  <c r="BB6" i="2" s="1"/>
  <c r="W12" i="2"/>
  <c r="BB12" i="2" s="1"/>
  <c r="S6" i="2"/>
  <c r="W15" i="2"/>
  <c r="BB15" i="2" s="1"/>
  <c r="AX36" i="2"/>
  <c r="AW37" i="2"/>
  <c r="S14" i="2"/>
  <c r="W14" i="2"/>
  <c r="BB14" i="2" s="1"/>
  <c r="AM37" i="2"/>
  <c r="AN36" i="2"/>
  <c r="BA6" i="2"/>
  <c r="BA36" i="2" s="1"/>
  <c r="BA37" i="2" s="1"/>
  <c r="V36" i="2"/>
  <c r="V37" i="2" s="1"/>
  <c r="W20" i="2"/>
  <c r="BB20" i="2" s="1"/>
  <c r="T36" i="2"/>
  <c r="BD38" i="2" s="1"/>
  <c r="BI46" i="2"/>
  <c r="W14" i="1"/>
  <c r="BB14" i="1" s="1"/>
  <c r="K14" i="1"/>
  <c r="W29" i="1"/>
  <c r="BB29" i="1" s="1"/>
  <c r="AW37" i="1"/>
  <c r="AX36" i="1"/>
  <c r="BA36" i="1"/>
  <c r="BA37" i="1" s="1"/>
  <c r="R36" i="1"/>
  <c r="O36" i="1"/>
  <c r="N37" i="1"/>
  <c r="O37" i="1" s="1"/>
  <c r="V36" i="1"/>
  <c r="V37" i="1" s="1"/>
  <c r="S23" i="1"/>
  <c r="W12" i="1"/>
  <c r="BB12" i="1" s="1"/>
  <c r="S25" i="1"/>
  <c r="AM37" i="1"/>
  <c r="AN36" i="1"/>
  <c r="W15" i="1"/>
  <c r="BB15" i="1" s="1"/>
  <c r="W36" i="1"/>
  <c r="W37" i="1" s="1"/>
  <c r="Q36" i="1"/>
  <c r="P37" i="1"/>
  <c r="Q37" i="1" s="1"/>
  <c r="J36" i="1"/>
  <c r="AE46" i="1"/>
  <c r="AE47" i="1" s="1"/>
  <c r="AF47" i="1"/>
  <c r="AF38" i="1"/>
  <c r="AF37" i="1"/>
  <c r="S24" i="1"/>
  <c r="W13" i="1"/>
  <c r="BB13" i="1" s="1"/>
  <c r="S21" i="1"/>
  <c r="BI46" i="1"/>
  <c r="W28" i="1"/>
  <c r="BB28" i="1" s="1"/>
  <c r="BB36" i="1" s="1"/>
  <c r="S10" i="1"/>
  <c r="BD45" i="1"/>
  <c r="BC45" i="1"/>
  <c r="K47" i="3" l="1"/>
  <c r="U40" i="3"/>
  <c r="K38" i="3"/>
  <c r="J46" i="3"/>
  <c r="J47" i="3" s="1"/>
  <c r="BB36" i="3"/>
  <c r="W36" i="3"/>
  <c r="W37" i="3" s="1"/>
  <c r="AM46" i="3"/>
  <c r="AM47" i="3" s="1"/>
  <c r="AN47" i="3"/>
  <c r="AN37" i="3"/>
  <c r="AN38" i="3"/>
  <c r="R37" i="3"/>
  <c r="S36" i="3"/>
  <c r="AF38" i="3"/>
  <c r="AF47" i="3"/>
  <c r="AF37" i="3"/>
  <c r="AE46" i="3"/>
  <c r="AE47" i="3" s="1"/>
  <c r="AM46" i="2"/>
  <c r="AM47" i="2" s="1"/>
  <c r="AN47" i="2"/>
  <c r="AN38" i="2"/>
  <c r="AN37" i="2"/>
  <c r="AF37" i="2"/>
  <c r="AE46" i="2"/>
  <c r="AE47" i="2" s="1"/>
  <c r="AF47" i="2"/>
  <c r="AF38" i="2"/>
  <c r="AX47" i="2"/>
  <c r="AX38" i="2"/>
  <c r="AX50" i="2"/>
  <c r="AX51" i="2" s="1"/>
  <c r="AW46" i="2"/>
  <c r="AW47" i="2" s="1"/>
  <c r="AX48" i="2"/>
  <c r="AX37" i="2"/>
  <c r="K38" i="2"/>
  <c r="K47" i="2"/>
  <c r="J46" i="2"/>
  <c r="J47" i="2" s="1"/>
  <c r="BB36" i="2"/>
  <c r="W36" i="2"/>
  <c r="W37" i="2" s="1"/>
  <c r="S47" i="2"/>
  <c r="S38" i="2"/>
  <c r="R46" i="2"/>
  <c r="R47" i="2" s="1"/>
  <c r="S37" i="2"/>
  <c r="BB37" i="1"/>
  <c r="BB39" i="1"/>
  <c r="BC39" i="1" s="1"/>
  <c r="J37" i="1"/>
  <c r="K36" i="1"/>
  <c r="R37" i="1"/>
  <c r="S36" i="1"/>
  <c r="AX47" i="1"/>
  <c r="AX38" i="1"/>
  <c r="AX50" i="1"/>
  <c r="AX51" i="1" s="1"/>
  <c r="AX37" i="1"/>
  <c r="AX48" i="1"/>
  <c r="AW46" i="1"/>
  <c r="AW47" i="1" s="1"/>
  <c r="AN47" i="1"/>
  <c r="AN38" i="1"/>
  <c r="AN37" i="1"/>
  <c r="AM46" i="1"/>
  <c r="AM47" i="1" s="1"/>
  <c r="X47" i="1"/>
  <c r="W38" i="1"/>
  <c r="W46" i="1"/>
  <c r="W47" i="1" s="1"/>
  <c r="S47" i="3" l="1"/>
  <c r="S37" i="3"/>
  <c r="R46" i="3"/>
  <c r="R47" i="3" s="1"/>
  <c r="S38" i="3"/>
  <c r="BB37" i="3"/>
  <c r="BB39" i="3"/>
  <c r="W38" i="3"/>
  <c r="X47" i="3"/>
  <c r="W46" i="3"/>
  <c r="W47" i="3" s="1"/>
  <c r="BA40" i="3"/>
  <c r="BA41" i="3" s="1"/>
  <c r="BB39" i="2"/>
  <c r="BC39" i="2" s="1"/>
  <c r="BB37" i="2"/>
  <c r="W46" i="2"/>
  <c r="W47" i="2" s="1"/>
  <c r="X47" i="2"/>
  <c r="W38" i="2"/>
  <c r="K38" i="1"/>
  <c r="J46" i="1"/>
  <c r="J47" i="1" s="1"/>
  <c r="K47" i="1"/>
  <c r="R46" i="1"/>
  <c r="R47" i="1" s="1"/>
  <c r="S37" i="1"/>
  <c r="S47" i="1"/>
  <c r="S38" i="1"/>
  <c r="BC38" i="1"/>
  <c r="BC46" i="1"/>
  <c r="BB43" i="1"/>
  <c r="BB40" i="1"/>
  <c r="BC41" i="1" s="1"/>
  <c r="BB45" i="1"/>
  <c r="BB46" i="1" s="1"/>
  <c r="BB43" i="3" l="1"/>
  <c r="BC38" i="3"/>
  <c r="BC46" i="3"/>
  <c r="BB45" i="3"/>
  <c r="BB46" i="3" s="1"/>
  <c r="BB40" i="3"/>
  <c r="BC41" i="3" s="1"/>
  <c r="BC39" i="3"/>
  <c r="BC38" i="2"/>
  <c r="BB43" i="2"/>
  <c r="BB40" i="2"/>
  <c r="BC41" i="2" s="1"/>
  <c r="BC46" i="2"/>
  <c r="BB45" i="2"/>
  <c r="BB4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E0C05548-10B3-FD45-9572-59E647002F4B}">
      <text>
        <r>
          <rPr>
            <b/>
            <sz val="11"/>
            <color indexed="8"/>
            <rFont val="Meiryo UI"/>
            <family val="2"/>
          </rPr>
          <t>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FC489167-DAFF-F04F-AED1-3B2D994CBF82}">
      <text>
        <r>
          <rPr>
            <b/>
            <sz val="11"/>
            <color indexed="8"/>
            <rFont val="Meiryo UI"/>
            <family val="2"/>
          </rPr>
          <t>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F581797F-8415-A44F-9E01-F0268C0A222A}">
      <text>
        <r>
          <rPr>
            <b/>
            <sz val="11"/>
            <color indexed="8"/>
            <rFont val="Meiryo UI"/>
            <family val="2"/>
          </rPr>
          <t>月の数字のみ入力</t>
        </r>
      </text>
    </comment>
  </commentList>
</comments>
</file>

<file path=xl/sharedStrings.xml><?xml version="1.0" encoding="utf-8"?>
<sst xmlns="http://schemas.openxmlformats.org/spreadsheetml/2006/main" count="506" uniqueCount="110">
  <si>
    <t>※割引反映前</t>
  </si>
  <si>
    <t>金額：(税込)</t>
  </si>
  <si>
    <t>GA</t>
    <phoneticPr fontId="8"/>
  </si>
  <si>
    <t>LUNCH</t>
  </si>
  <si>
    <t>DINNER（計算式あり・入力不要）</t>
  </si>
  <si>
    <t>レストランTOTAL売上（税込）</t>
  </si>
  <si>
    <t>EAT-IN・T/O（税込）</t>
    <phoneticPr fontId="8"/>
  </si>
  <si>
    <t>宴会（テレビ塔ケータリング）手数料払い出し済み</t>
    <rPh sb="0" eb="2">
      <t xml:space="preserve">エンカイ </t>
    </rPh>
    <rPh sb="14" eb="17">
      <t xml:space="preserve">テスウリョウ </t>
    </rPh>
    <rPh sb="17" eb="18">
      <t xml:space="preserve">ハライダシズミ </t>
    </rPh>
    <phoneticPr fontId="8"/>
  </si>
  <si>
    <t>ビアガーデン 9/8まで　ピコレコラボ9/14~10/6まで</t>
    <phoneticPr fontId="8"/>
  </si>
  <si>
    <t>L+D＋T/O＋宴会場+BG（人数は含まず）TOTAL</t>
    <rPh sb="19" eb="22">
      <t xml:space="preserve">エンカイジョウ </t>
    </rPh>
    <phoneticPr fontId="8"/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</si>
  <si>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</si>
  <si>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</si>
  <si>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</si>
  <si>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</si>
  <si>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</si>
  <si>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</si>
  <si>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</si>
  <si>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</si>
  <si>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</si>
  <si>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</si>
  <si>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</si>
  <si>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</si>
  <si>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</si>
  <si>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</si>
  <si>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</si>
  <si>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</si>
  <si>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</si>
  <si>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</si>
  <si>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</si>
  <si>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件数</t>
    <rPh sb="0" eb="2">
      <t xml:space="preserve">ケンスウ </t>
    </rPh>
    <phoneticPr fontId="8"/>
  </si>
  <si>
    <t>テント利用料</t>
    <rPh sb="3" eb="6">
      <t xml:space="preserve">リヨウリョウ </t>
    </rPh>
    <phoneticPr fontId="8"/>
  </si>
  <si>
    <t>物販</t>
    <rPh sb="0" eb="2">
      <t>ブッパン</t>
    </rPh>
    <phoneticPr fontId="8"/>
  </si>
  <si>
    <t>その他</t>
    <phoneticPr fontId="8"/>
  </si>
  <si>
    <t>客数</t>
  </si>
  <si>
    <t>料理</t>
  </si>
  <si>
    <t>飲料</t>
  </si>
  <si>
    <t>室料</t>
    <rPh sb="0" eb="2">
      <t xml:space="preserve">シツリョウ </t>
    </rPh>
    <phoneticPr fontId="8"/>
  </si>
  <si>
    <t>展望台チケット（各種利用料）</t>
    <rPh sb="0" eb="3">
      <t xml:space="preserve">テンボウダイ </t>
    </rPh>
    <rPh sb="8" eb="10">
      <t xml:space="preserve">カクシュ </t>
    </rPh>
    <rPh sb="10" eb="13">
      <t xml:space="preserve">リヨウリョウ </t>
    </rPh>
    <phoneticPr fontId="8"/>
  </si>
  <si>
    <t>花束（各種利用料）</t>
    <rPh sb="3" eb="5">
      <t xml:space="preserve">カクシュ </t>
    </rPh>
    <rPh sb="5" eb="8">
      <t xml:space="preserve">リヨウリョウ </t>
    </rPh>
    <phoneticPr fontId="8"/>
  </si>
  <si>
    <t>招待券</t>
    <phoneticPr fontId="8"/>
  </si>
  <si>
    <t>売上合計　　　　　（花束預り金除く）</t>
  </si>
  <si>
    <t>宴会コーヒーケーキ9名</t>
    <rPh sb="0" eb="2">
      <t>エンカイ</t>
    </rPh>
    <rPh sb="10" eb="11">
      <t>メイ</t>
    </rPh>
    <phoneticPr fontId="11"/>
  </si>
  <si>
    <t>税抜金額</t>
  </si>
  <si>
    <t>入客</t>
  </si>
  <si>
    <t>一日平均</t>
  </si>
  <si>
    <t>■ランチコメント</t>
  </si>
  <si>
    <t>■ディナーコメント</t>
  </si>
  <si>
    <t>■EAT-INコメント</t>
    <phoneticPr fontId="8"/>
  </si>
  <si>
    <t>■宴会コメント</t>
    <rPh sb="1" eb="3">
      <t xml:space="preserve">エンカイ </t>
    </rPh>
    <phoneticPr fontId="8"/>
  </si>
  <si>
    <t>■BGコメント</t>
    <phoneticPr fontId="8"/>
  </si>
  <si>
    <t>　1日売上平均（税込）</t>
  </si>
  <si>
    <t>　1日売上平均</t>
  </si>
  <si>
    <t>その他予算</t>
  </si>
  <si>
    <t>TOTAL予算</t>
  </si>
  <si>
    <t>7/25現在</t>
    <rPh sb="4" eb="6">
      <t xml:space="preserve">ゲンザイ </t>
    </rPh>
    <phoneticPr fontId="8"/>
  </si>
  <si>
    <t>ランチ予算</t>
  </si>
  <si>
    <t>当月残り日数</t>
  </si>
  <si>
    <t>ディナー予算</t>
  </si>
  <si>
    <t>レストラン予算</t>
    <phoneticPr fontId="8"/>
  </si>
  <si>
    <t>テイク予算</t>
  </si>
  <si>
    <t>宴会予算</t>
    <rPh sb="0" eb="2">
      <t xml:space="preserve">エンカイ </t>
    </rPh>
    <phoneticPr fontId="8"/>
  </si>
  <si>
    <t>ビアガーデン予算</t>
    <phoneticPr fontId="8"/>
  </si>
  <si>
    <t>予算まで</t>
  </si>
  <si>
    <t>粗利</t>
    <rPh sb="0" eb="2">
      <t xml:space="preserve">アラリ </t>
    </rPh>
    <phoneticPr fontId="8"/>
  </si>
  <si>
    <t>達成まで一日あたり</t>
  </si>
  <si>
    <t>平日BV単価</t>
    <rPh sb="0" eb="2">
      <t>ヘイジツ</t>
    </rPh>
    <rPh sb="4" eb="6">
      <t>タンカ</t>
    </rPh>
    <phoneticPr fontId="8"/>
  </si>
  <si>
    <t>スタートから</t>
    <phoneticPr fontId="8"/>
  </si>
  <si>
    <t>単価</t>
    <rPh sb="0" eb="2">
      <t xml:space="preserve">タンカ </t>
    </rPh>
    <phoneticPr fontId="8"/>
  </si>
  <si>
    <t>数量</t>
    <rPh sb="0" eb="2">
      <t xml:space="preserve">スウリョウ </t>
    </rPh>
    <phoneticPr fontId="8"/>
  </si>
  <si>
    <t>残数</t>
    <rPh sb="0" eb="2">
      <t xml:space="preserve">ザンスウ </t>
    </rPh>
    <phoneticPr fontId="8"/>
  </si>
  <si>
    <t>発注数</t>
    <rPh sb="0" eb="3">
      <t xml:space="preserve">ハッチュウスウ </t>
    </rPh>
    <phoneticPr fontId="8"/>
  </si>
  <si>
    <t>発注金額</t>
    <rPh sb="0" eb="4">
      <t xml:space="preserve">ハッチュウキンガク </t>
    </rPh>
    <phoneticPr fontId="8"/>
  </si>
  <si>
    <t>棚卸</t>
    <rPh sb="0" eb="2">
      <t xml:space="preserve">タナオロシ </t>
    </rPh>
    <phoneticPr fontId="8"/>
  </si>
  <si>
    <t>使用金額</t>
    <rPh sb="0" eb="4">
      <t xml:space="preserve">シヨウキンガク </t>
    </rPh>
    <phoneticPr fontId="8"/>
  </si>
  <si>
    <t>週末BV単価</t>
    <rPh sb="0" eb="2">
      <t>シュウマツ</t>
    </rPh>
    <rPh sb="4" eb="6">
      <t>タンカ</t>
    </rPh>
    <phoneticPr fontId="8"/>
  </si>
  <si>
    <t>焼酎</t>
    <rPh sb="0" eb="2">
      <t xml:space="preserve">ショウチュウ </t>
    </rPh>
    <phoneticPr fontId="8"/>
  </si>
  <si>
    <t>金</t>
    <rPh sb="0" eb="1">
      <t>キn</t>
    </rPh>
    <phoneticPr fontId="21"/>
  </si>
  <si>
    <t>24日終了時点</t>
    <rPh sb="2" eb="3">
      <t xml:space="preserve">ニチ </t>
    </rPh>
    <rPh sb="3" eb="7">
      <t xml:space="preserve">シュウリョウジテン </t>
    </rPh>
    <phoneticPr fontId="8"/>
  </si>
  <si>
    <t>クラシック20</t>
    <phoneticPr fontId="8"/>
  </si>
  <si>
    <t>土</t>
  </si>
  <si>
    <t>JW</t>
    <phoneticPr fontId="8"/>
  </si>
  <si>
    <t>L</t>
    <phoneticPr fontId="8"/>
  </si>
  <si>
    <t>ソラチ10</t>
    <phoneticPr fontId="8"/>
  </si>
  <si>
    <t>日</t>
  </si>
  <si>
    <t>D</t>
    <phoneticPr fontId="8"/>
  </si>
  <si>
    <t>ç</t>
    <phoneticPr fontId="8"/>
  </si>
  <si>
    <t>余市ケルナー</t>
    <rPh sb="0" eb="2">
      <t xml:space="preserve">ヨイチ </t>
    </rPh>
    <phoneticPr fontId="8"/>
  </si>
  <si>
    <t>月</t>
  </si>
  <si>
    <t>NP</t>
    <phoneticPr fontId="8"/>
  </si>
  <si>
    <t>余市ツバい</t>
    <rPh sb="0" eb="1">
      <t xml:space="preserve">ヨイチ </t>
    </rPh>
    <phoneticPr fontId="8"/>
  </si>
  <si>
    <t>火</t>
  </si>
  <si>
    <t>ポールスター</t>
    <phoneticPr fontId="8"/>
  </si>
  <si>
    <t>水</t>
  </si>
  <si>
    <t>テタンジェ</t>
    <phoneticPr fontId="8"/>
  </si>
  <si>
    <t>木</t>
  </si>
  <si>
    <t>ノクターン</t>
    <phoneticPr fontId="8"/>
  </si>
  <si>
    <t>TOTAL</t>
    <phoneticPr fontId="8"/>
  </si>
  <si>
    <t>カベルネ史ラーズ</t>
    <rPh sb="4" eb="5">
      <t xml:space="preserve">シラーズ </t>
    </rPh>
    <phoneticPr fontId="8"/>
  </si>
  <si>
    <t>シャルドネ</t>
    <phoneticPr fontId="8"/>
  </si>
  <si>
    <t>ベリンじゃ</t>
    <phoneticPr fontId="8"/>
  </si>
  <si>
    <t>氷彩サワー</t>
    <rPh sb="0" eb="1">
      <t xml:space="preserve">コオリ </t>
    </rPh>
    <rPh sb="1" eb="2">
      <t xml:space="preserve">イロドル </t>
    </rPh>
    <phoneticPr fontId="8"/>
  </si>
  <si>
    <t>デュワーズ</t>
    <phoneticPr fontId="8"/>
  </si>
  <si>
    <t>カシス</t>
    <phoneticPr fontId="8"/>
  </si>
  <si>
    <t>ピーチ</t>
    <phoneticPr fontId="8"/>
  </si>
  <si>
    <t>ウーロン</t>
    <phoneticPr fontId="8"/>
  </si>
  <si>
    <t>プレミアムフリー</t>
    <phoneticPr fontId="8"/>
  </si>
  <si>
    <t>コーン茶</t>
    <phoneticPr fontId="8"/>
  </si>
  <si>
    <t>オレンジセコマ</t>
    <phoneticPr fontId="8"/>
  </si>
  <si>
    <t>オレンジリボン</t>
    <phoneticPr fontId="8"/>
  </si>
  <si>
    <t>炭酸ガス</t>
    <rPh sb="0" eb="2">
      <t xml:space="preserve">タンサンガス 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</si>
</sst>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0_ "/>
  </numFmts>
  <fonts count="2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b/>
      <sz val="9"/>
      <color indexed="8"/>
      <name val="游ゴシック"/>
      <family val="3"/>
      <charset val="128"/>
      <scheme val="minor"/>
    </font>
    <font>
      <sz val="8"/>
      <color indexed="8"/>
      <name val="游ゴシック"/>
      <family val="3"/>
      <charset val="128"/>
      <scheme val="minor"/>
    </font>
    <font>
      <b/>
      <sz val="12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8"/>
      <color indexed="8"/>
      <name val="游ゴシック"/>
      <family val="3"/>
      <charset val="128"/>
      <scheme val="minor"/>
    </font>
    <font>
      <b/>
      <sz val="7"/>
      <color indexed="8"/>
      <name val="游ゴシック"/>
      <family val="3"/>
      <charset val="128"/>
      <scheme val="minor"/>
    </font>
    <font>
      <b/>
      <sz val="6"/>
      <color indexed="8"/>
      <name val="游ゴシック"/>
      <family val="3"/>
      <charset val="128"/>
      <scheme val="minor"/>
    </font>
    <font>
      <sz val="9"/>
      <color indexed="10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b/>
      <sz val="11"/>
      <color indexed="8"/>
      <name val="游ゴシック (本文)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  <scheme val="minor"/>
    </font>
    <font>
      <sz val="6"/>
      <name val="Tsukushi A Round Gothic Bold"/>
      <family val="3"/>
      <charset val="128"/>
    </font>
    <font>
      <b/>
      <sz val="16"/>
      <color indexed="8"/>
      <name val="游ゴシック"/>
      <family val="3"/>
      <charset val="128"/>
      <scheme val="minor"/>
    </font>
    <font>
      <b/>
      <sz val="11"/>
      <color indexed="8"/>
      <name val="Meiryo UI"/>
      <family val="2"/>
    </font>
  </fonts>
  <fills count="19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theme="9" tint="0.79998168889431442"/>
        <bgColor indexed="43"/>
      </patternFill>
    </fill>
    <fill>
      <patternFill patternType="solid">
        <fgColor theme="7" tint="0.59999389629810485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</fills>
  <borders count="3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38" fontId="3" fillId="0" borderId="0"/>
    <xf numFmtId="184" fontId="3" fillId="0" borderId="0"/>
  </cellStyleXfs>
  <cellXfs count="224">
    <xf numFmtId="0" fontId="0" fillId="0" borderId="0" xfId="0">
      <alignment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 wrapText="1"/>
    </xf>
    <xf numFmtId="0" fontId="4" fillId="0" borderId="0" xfId="3" applyFont="1" applyAlignment="1">
      <alignment horizontal="center" vertical="center" wrapText="1"/>
    </xf>
    <xf numFmtId="38" fontId="4" fillId="0" borderId="0" xfId="4" applyFont="1" applyAlignment="1">
      <alignment horizontal="center" vertical="center" wrapText="1"/>
    </xf>
    <xf numFmtId="176" fontId="6" fillId="0" borderId="0" xfId="3" applyNumberFormat="1" applyFont="1" applyAlignment="1">
      <alignment horizontal="center" vertical="center" wrapText="1"/>
    </xf>
    <xf numFmtId="177" fontId="5" fillId="0" borderId="0" xfId="3" applyNumberFormat="1" applyFont="1" applyAlignment="1">
      <alignment horizontal="left" vertical="center" wrapText="1"/>
    </xf>
    <xf numFmtId="177" fontId="5" fillId="0" borderId="0" xfId="3" applyNumberFormat="1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76" fontId="4" fillId="0" borderId="0" xfId="3" applyNumberFormat="1" applyFont="1" applyAlignment="1">
      <alignment horizontal="center" vertical="center" wrapText="1"/>
    </xf>
    <xf numFmtId="177" fontId="7" fillId="0" borderId="1" xfId="3" applyNumberFormat="1" applyFont="1" applyBorder="1" applyAlignment="1">
      <alignment horizontal="center" vertical="center" wrapText="1"/>
    </xf>
    <xf numFmtId="177" fontId="4" fillId="0" borderId="2" xfId="3" applyNumberFormat="1" applyFont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6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9" fillId="5" borderId="8" xfId="3" applyFont="1" applyFill="1" applyBorder="1" applyAlignment="1">
      <alignment horizontal="center" vertical="center" wrapText="1"/>
    </xf>
    <xf numFmtId="0" fontId="9" fillId="5" borderId="9" xfId="3" applyFont="1" applyFill="1" applyBorder="1" applyAlignment="1">
      <alignment horizontal="center" vertical="center" wrapText="1"/>
    </xf>
    <xf numFmtId="0" fontId="9" fillId="6" borderId="7" xfId="3" applyFont="1" applyFill="1" applyBorder="1" applyAlignment="1">
      <alignment horizontal="center" vertical="center" wrapText="1"/>
    </xf>
    <xf numFmtId="0" fontId="9" fillId="6" borderId="8" xfId="3" applyFont="1" applyFill="1" applyBorder="1" applyAlignment="1">
      <alignment horizontal="center" vertical="center" wrapText="1"/>
    </xf>
    <xf numFmtId="0" fontId="9" fillId="6" borderId="9" xfId="3" applyFont="1" applyFill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9" fillId="7" borderId="11" xfId="3" applyFont="1" applyFill="1" applyBorder="1" applyAlignment="1">
      <alignment horizontal="center" vertical="center" wrapText="1"/>
    </xf>
    <xf numFmtId="0" fontId="9" fillId="7" borderId="12" xfId="3" applyFont="1" applyFill="1" applyBorder="1" applyAlignment="1">
      <alignment horizontal="center" vertical="center" wrapText="1"/>
    </xf>
    <xf numFmtId="0" fontId="9" fillId="7" borderId="13" xfId="3" applyFont="1" applyFill="1" applyBorder="1" applyAlignment="1">
      <alignment horizontal="center" vertical="center" wrapText="1"/>
    </xf>
    <xf numFmtId="176" fontId="5" fillId="0" borderId="0" xfId="3" applyNumberFormat="1" applyFont="1" applyAlignment="1">
      <alignment horizontal="center" vertical="center" wrapText="1"/>
    </xf>
    <xf numFmtId="177" fontId="5" fillId="0" borderId="14" xfId="3" applyNumberFormat="1" applyFont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2" borderId="15" xfId="3" applyFont="1" applyFill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3" borderId="15" xfId="3" applyFont="1" applyFill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5" fillId="4" borderId="14" xfId="3" applyFont="1" applyFill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3" borderId="14" xfId="3" applyFont="1" applyFill="1" applyBorder="1" applyAlignment="1">
      <alignment horizontal="center" vertical="center" wrapText="1"/>
    </xf>
    <xf numFmtId="0" fontId="5" fillId="0" borderId="21" xfId="3" applyFont="1" applyBorder="1" applyAlignment="1">
      <alignment horizontal="center" vertical="center" wrapText="1"/>
    </xf>
    <xf numFmtId="0" fontId="5" fillId="5" borderId="15" xfId="3" applyFont="1" applyFill="1" applyBorder="1" applyAlignment="1">
      <alignment horizontal="center" vertical="center" wrapText="1"/>
    </xf>
    <xf numFmtId="0" fontId="5" fillId="6" borderId="15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22" xfId="3" applyFont="1" applyBorder="1" applyAlignment="1">
      <alignment horizontal="center" vertical="center" wrapText="1"/>
    </xf>
    <xf numFmtId="38" fontId="5" fillId="0" borderId="23" xfId="4" applyFont="1" applyBorder="1" applyAlignment="1">
      <alignment horizontal="center" vertical="center" wrapText="1"/>
    </xf>
    <xf numFmtId="38" fontId="5" fillId="0" borderId="0" xfId="4" applyFont="1" applyAlignment="1">
      <alignment horizontal="center" vertical="center" wrapText="1"/>
    </xf>
    <xf numFmtId="0" fontId="4" fillId="0" borderId="0" xfId="3" applyFont="1"/>
    <xf numFmtId="178" fontId="10" fillId="0" borderId="24" xfId="3" applyNumberFormat="1" applyFont="1" applyBorder="1" applyAlignment="1">
      <alignment horizontal="left"/>
    </xf>
    <xf numFmtId="38" fontId="4" fillId="0" borderId="24" xfId="3" applyNumberFormat="1" applyFont="1" applyBorder="1"/>
    <xf numFmtId="179" fontId="4" fillId="0" borderId="25" xfId="3" applyNumberFormat="1" applyFont="1" applyBorder="1"/>
    <xf numFmtId="180" fontId="4" fillId="2" borderId="25" xfId="4" applyNumberFormat="1" applyFont="1" applyFill="1" applyBorder="1"/>
    <xf numFmtId="38" fontId="4" fillId="8" borderId="25" xfId="4" applyFont="1" applyFill="1" applyBorder="1"/>
    <xf numFmtId="38" fontId="5" fillId="0" borderId="26" xfId="4" applyFont="1" applyBorder="1"/>
    <xf numFmtId="38" fontId="5" fillId="0" borderId="24" xfId="4" applyFont="1" applyBorder="1"/>
    <xf numFmtId="38" fontId="9" fillId="2" borderId="25" xfId="4" applyFont="1" applyFill="1" applyBorder="1"/>
    <xf numFmtId="40" fontId="4" fillId="0" borderId="27" xfId="3" applyNumberFormat="1" applyFont="1" applyBorder="1"/>
    <xf numFmtId="181" fontId="4" fillId="0" borderId="25" xfId="3" applyNumberFormat="1" applyFont="1" applyBorder="1"/>
    <xf numFmtId="180" fontId="4" fillId="3" borderId="25" xfId="4" applyNumberFormat="1" applyFont="1" applyFill="1" applyBorder="1"/>
    <xf numFmtId="38" fontId="4" fillId="0" borderId="25" xfId="4" applyFont="1" applyBorder="1"/>
    <xf numFmtId="38" fontId="9" fillId="0" borderId="22" xfId="4" applyFont="1" applyBorder="1"/>
    <xf numFmtId="180" fontId="4" fillId="0" borderId="28" xfId="4" applyNumberFormat="1" applyFont="1" applyBorder="1"/>
    <xf numFmtId="38" fontId="4" fillId="9" borderId="24" xfId="4" applyFont="1" applyFill="1" applyBorder="1"/>
    <xf numFmtId="179" fontId="4" fillId="4" borderId="25" xfId="3" applyNumberFormat="1" applyFont="1" applyFill="1" applyBorder="1"/>
    <xf numFmtId="180" fontId="4" fillId="10" borderId="25" xfId="4" applyNumberFormat="1" applyFont="1" applyFill="1" applyBorder="1"/>
    <xf numFmtId="38" fontId="4" fillId="3" borderId="22" xfId="4" applyFont="1" applyFill="1" applyBorder="1"/>
    <xf numFmtId="40" fontId="4" fillId="11" borderId="22" xfId="3" applyNumberFormat="1" applyFont="1" applyFill="1" applyBorder="1"/>
    <xf numFmtId="40" fontId="4" fillId="0" borderId="26" xfId="3" applyNumberFormat="1" applyFont="1" applyBorder="1"/>
    <xf numFmtId="38" fontId="4" fillId="12" borderId="22" xfId="3" applyNumberFormat="1" applyFont="1" applyFill="1" applyBorder="1"/>
    <xf numFmtId="38" fontId="5" fillId="3" borderId="22" xfId="4" applyFont="1" applyFill="1" applyBorder="1"/>
    <xf numFmtId="180" fontId="4" fillId="0" borderId="26" xfId="4" applyNumberFormat="1" applyFont="1" applyBorder="1"/>
    <xf numFmtId="38" fontId="9" fillId="0" borderId="24" xfId="4" applyFont="1" applyBorder="1"/>
    <xf numFmtId="38" fontId="4" fillId="0" borderId="24" xfId="4" applyFont="1" applyBorder="1"/>
    <xf numFmtId="38" fontId="4" fillId="13" borderId="4" xfId="4" applyFont="1" applyFill="1" applyBorder="1"/>
    <xf numFmtId="38" fontId="4" fillId="13" borderId="22" xfId="4" applyFont="1" applyFill="1" applyBorder="1"/>
    <xf numFmtId="38" fontId="5" fillId="13" borderId="22" xfId="4" applyFont="1" applyFill="1" applyBorder="1"/>
    <xf numFmtId="38" fontId="9" fillId="9" borderId="23" xfId="4" applyFont="1" applyFill="1" applyBorder="1"/>
    <xf numFmtId="38" fontId="4" fillId="0" borderId="0" xfId="4" applyFont="1"/>
    <xf numFmtId="178" fontId="10" fillId="0" borderId="7" xfId="3" applyNumberFormat="1" applyFont="1" applyBorder="1" applyAlignment="1">
      <alignment horizontal="left"/>
    </xf>
    <xf numFmtId="38" fontId="4" fillId="0" borderId="7" xfId="3" applyNumberFormat="1" applyFont="1" applyBorder="1"/>
    <xf numFmtId="180" fontId="4" fillId="0" borderId="4" xfId="4" applyNumberFormat="1" applyFont="1" applyBorder="1"/>
    <xf numFmtId="38" fontId="4" fillId="0" borderId="22" xfId="4" applyFont="1" applyBorder="1"/>
    <xf numFmtId="180" fontId="4" fillId="0" borderId="9" xfId="4" applyNumberFormat="1" applyFont="1" applyBorder="1"/>
    <xf numFmtId="38" fontId="4" fillId="0" borderId="0" xfId="3" applyNumberFormat="1" applyFont="1"/>
    <xf numFmtId="38" fontId="6" fillId="0" borderId="7" xfId="3" applyNumberFormat="1" applyFont="1" applyBorder="1"/>
    <xf numFmtId="38" fontId="5" fillId="14" borderId="24" xfId="4" applyFont="1" applyFill="1" applyBorder="1"/>
    <xf numFmtId="38" fontId="5" fillId="15" borderId="22" xfId="4" applyFont="1" applyFill="1" applyBorder="1"/>
    <xf numFmtId="179" fontId="4" fillId="4" borderId="22" xfId="3" applyNumberFormat="1" applyFont="1" applyFill="1" applyBorder="1"/>
    <xf numFmtId="180" fontId="4" fillId="10" borderId="22" xfId="4" applyNumberFormat="1" applyFont="1" applyFill="1" applyBorder="1"/>
    <xf numFmtId="38" fontId="4" fillId="8" borderId="22" xfId="4" applyFont="1" applyFill="1" applyBorder="1"/>
    <xf numFmtId="180" fontId="4" fillId="3" borderId="2" xfId="4" applyNumberFormat="1" applyFont="1" applyFill="1" applyBorder="1"/>
    <xf numFmtId="180" fontId="4" fillId="0" borderId="29" xfId="4" applyNumberFormat="1" applyFont="1" applyBorder="1"/>
    <xf numFmtId="38" fontId="4" fillId="0" borderId="2" xfId="4" applyFont="1" applyBorder="1"/>
    <xf numFmtId="38" fontId="4" fillId="9" borderId="3" xfId="4" applyFont="1" applyFill="1" applyBorder="1"/>
    <xf numFmtId="179" fontId="4" fillId="4" borderId="2" xfId="3" applyNumberFormat="1" applyFont="1" applyFill="1" applyBorder="1"/>
    <xf numFmtId="180" fontId="4" fillId="10" borderId="2" xfId="4" applyNumberFormat="1" applyFont="1" applyFill="1" applyBorder="1"/>
    <xf numFmtId="38" fontId="4" fillId="8" borderId="2" xfId="4" applyFont="1" applyFill="1" applyBorder="1"/>
    <xf numFmtId="38" fontId="5" fillId="0" borderId="30" xfId="4" applyFont="1" applyBorder="1"/>
    <xf numFmtId="38" fontId="5" fillId="0" borderId="31" xfId="4" applyFont="1" applyBorder="1"/>
    <xf numFmtId="38" fontId="4" fillId="3" borderId="2" xfId="4" applyFont="1" applyFill="1" applyBorder="1"/>
    <xf numFmtId="40" fontId="4" fillId="11" borderId="2" xfId="3" applyNumberFormat="1" applyFont="1" applyFill="1" applyBorder="1"/>
    <xf numFmtId="38" fontId="4" fillId="12" borderId="2" xfId="3" applyNumberFormat="1" applyFont="1" applyFill="1" applyBorder="1"/>
    <xf numFmtId="180" fontId="4" fillId="0" borderId="30" xfId="4" applyNumberFormat="1" applyFont="1" applyBorder="1"/>
    <xf numFmtId="38" fontId="4" fillId="13" borderId="32" xfId="4" applyFont="1" applyFill="1" applyBorder="1"/>
    <xf numFmtId="38" fontId="4" fillId="13" borderId="15" xfId="4" applyFont="1" applyFill="1" applyBorder="1"/>
    <xf numFmtId="38" fontId="5" fillId="13" borderId="15" xfId="4" applyFont="1" applyFill="1" applyBorder="1"/>
    <xf numFmtId="0" fontId="5" fillId="0" borderId="33" xfId="3" applyFont="1" applyBorder="1" applyAlignment="1">
      <alignment horizontal="left"/>
    </xf>
    <xf numFmtId="38" fontId="5" fillId="0" borderId="12" xfId="3" applyNumberFormat="1" applyFont="1" applyBorder="1"/>
    <xf numFmtId="179" fontId="5" fillId="0" borderId="34" xfId="3" applyNumberFormat="1" applyFont="1" applyBorder="1"/>
    <xf numFmtId="180" fontId="5" fillId="0" borderId="12" xfId="3" applyNumberFormat="1" applyFont="1" applyBorder="1"/>
    <xf numFmtId="38" fontId="12" fillId="0" borderId="34" xfId="3" applyNumberFormat="1" applyFont="1" applyBorder="1"/>
    <xf numFmtId="38" fontId="5" fillId="0" borderId="34" xfId="3" applyNumberFormat="1" applyFont="1" applyBorder="1"/>
    <xf numFmtId="38" fontId="5" fillId="0" borderId="33" xfId="3" applyNumberFormat="1" applyFont="1" applyBorder="1"/>
    <xf numFmtId="38" fontId="5" fillId="7" borderId="12" xfId="3" applyNumberFormat="1" applyFont="1" applyFill="1" applyBorder="1"/>
    <xf numFmtId="182" fontId="5" fillId="0" borderId="12" xfId="3" applyNumberFormat="1" applyFont="1" applyBorder="1" applyAlignment="1">
      <alignment shrinkToFit="1"/>
    </xf>
    <xf numFmtId="181" fontId="5" fillId="0" borderId="34" xfId="3" applyNumberFormat="1" applyFont="1" applyBorder="1"/>
    <xf numFmtId="38" fontId="12" fillId="0" borderId="12" xfId="3" applyNumberFormat="1" applyFont="1" applyBorder="1"/>
    <xf numFmtId="38" fontId="9" fillId="7" borderId="12" xfId="3" applyNumberFormat="1" applyFont="1" applyFill="1" applyBorder="1"/>
    <xf numFmtId="182" fontId="13" fillId="0" borderId="34" xfId="3" applyNumberFormat="1" applyFont="1" applyBorder="1" applyAlignment="1">
      <alignment shrinkToFit="1"/>
    </xf>
    <xf numFmtId="0" fontId="5" fillId="0" borderId="12" xfId="3" applyFont="1" applyBorder="1"/>
    <xf numFmtId="182" fontId="5" fillId="0" borderId="35" xfId="3" applyNumberFormat="1" applyFont="1" applyBorder="1"/>
    <xf numFmtId="179" fontId="5" fillId="11" borderId="34" xfId="3" applyNumberFormat="1" applyFont="1" applyFill="1" applyBorder="1"/>
    <xf numFmtId="182" fontId="5" fillId="0" borderId="34" xfId="3" applyNumberFormat="1" applyFont="1" applyBorder="1"/>
    <xf numFmtId="179" fontId="14" fillId="12" borderId="34" xfId="3" applyNumberFormat="1" applyFont="1" applyFill="1" applyBorder="1"/>
    <xf numFmtId="180" fontId="5" fillId="0" borderId="34" xfId="3" applyNumberFormat="1" applyFont="1" applyBorder="1"/>
    <xf numFmtId="38" fontId="5" fillId="0" borderId="12" xfId="4" applyFont="1" applyBorder="1"/>
    <xf numFmtId="38" fontId="5" fillId="7" borderId="25" xfId="4" applyFont="1" applyFill="1" applyBorder="1"/>
    <xf numFmtId="38" fontId="9" fillId="7" borderId="25" xfId="4" applyFont="1" applyFill="1" applyBorder="1"/>
    <xf numFmtId="0" fontId="5" fillId="0" borderId="0" xfId="3" applyFont="1"/>
    <xf numFmtId="38" fontId="5" fillId="14" borderId="22" xfId="4" applyFont="1" applyFill="1" applyBorder="1"/>
    <xf numFmtId="0" fontId="5" fillId="0" borderId="0" xfId="3" applyFont="1" applyAlignment="1">
      <alignment horizontal="left"/>
    </xf>
    <xf numFmtId="0" fontId="5" fillId="0" borderId="7" xfId="3" applyFont="1" applyBorder="1"/>
    <xf numFmtId="38" fontId="12" fillId="0" borderId="22" xfId="4" applyFont="1" applyBorder="1"/>
    <xf numFmtId="38" fontId="9" fillId="7" borderId="22" xfId="4" applyFont="1" applyFill="1" applyBorder="1"/>
    <xf numFmtId="38" fontId="5" fillId="0" borderId="22" xfId="4" applyFont="1" applyBorder="1"/>
    <xf numFmtId="38" fontId="5" fillId="7" borderId="22" xfId="4" applyFont="1" applyFill="1" applyBorder="1"/>
    <xf numFmtId="182" fontId="5" fillId="0" borderId="0" xfId="3" applyNumberFormat="1" applyFont="1" applyAlignment="1">
      <alignment shrinkToFit="1"/>
    </xf>
    <xf numFmtId="179" fontId="5" fillId="0" borderId="0" xfId="3" applyNumberFormat="1" applyFont="1"/>
    <xf numFmtId="182" fontId="12" fillId="0" borderId="0" xfId="3" applyNumberFormat="1" applyFont="1"/>
    <xf numFmtId="0" fontId="5" fillId="0" borderId="9" xfId="3" applyFont="1" applyBorder="1"/>
    <xf numFmtId="182" fontId="5" fillId="0" borderId="0" xfId="3" applyNumberFormat="1" applyFont="1"/>
    <xf numFmtId="182" fontId="5" fillId="0" borderId="36" xfId="3" applyNumberFormat="1" applyFont="1" applyBorder="1"/>
    <xf numFmtId="0" fontId="5" fillId="0" borderId="8" xfId="3" applyFont="1" applyBorder="1"/>
    <xf numFmtId="38" fontId="5" fillId="0" borderId="9" xfId="4" applyFont="1" applyBorder="1"/>
    <xf numFmtId="38" fontId="5" fillId="0" borderId="0" xfId="3" applyNumberFormat="1" applyFont="1"/>
    <xf numFmtId="38" fontId="5" fillId="0" borderId="0" xfId="4" applyFont="1"/>
    <xf numFmtId="0" fontId="4" fillId="0" borderId="0" xfId="3" applyFont="1" applyAlignment="1">
      <alignment horizontal="right"/>
    </xf>
    <xf numFmtId="183" fontId="5" fillId="0" borderId="0" xfId="3" applyNumberFormat="1" applyFont="1"/>
    <xf numFmtId="183" fontId="5" fillId="8" borderId="0" xfId="3" applyNumberFormat="1" applyFont="1" applyFill="1"/>
    <xf numFmtId="183" fontId="5" fillId="0" borderId="0" xfId="3" applyNumberFormat="1" applyFont="1" applyAlignment="1">
      <alignment horizontal="right"/>
    </xf>
    <xf numFmtId="184" fontId="5" fillId="0" borderId="0" xfId="5" applyFont="1"/>
    <xf numFmtId="184" fontId="5" fillId="0" borderId="0" xfId="5" applyFont="1" applyAlignment="1">
      <alignment shrinkToFit="1"/>
    </xf>
    <xf numFmtId="183" fontId="4" fillId="0" borderId="0" xfId="3" applyNumberFormat="1" applyFont="1"/>
    <xf numFmtId="183" fontId="5" fillId="4" borderId="0" xfId="3" applyNumberFormat="1" applyFont="1" applyFill="1"/>
    <xf numFmtId="180" fontId="4" fillId="0" borderId="0" xfId="3" applyNumberFormat="1" applyFont="1"/>
    <xf numFmtId="0" fontId="4" fillId="0" borderId="26" xfId="3" applyFont="1" applyBorder="1"/>
    <xf numFmtId="0" fontId="4" fillId="0" borderId="31" xfId="3" applyFont="1" applyBorder="1" applyAlignment="1">
      <alignment horizontal="right"/>
    </xf>
    <xf numFmtId="183" fontId="5" fillId="14" borderId="0" xfId="3" applyNumberFormat="1" applyFont="1" applyFill="1"/>
    <xf numFmtId="0" fontId="4" fillId="0" borderId="36" xfId="3" applyFont="1" applyBorder="1"/>
    <xf numFmtId="185" fontId="4" fillId="0" borderId="0" xfId="4" applyNumberFormat="1" applyFont="1"/>
    <xf numFmtId="0" fontId="15" fillId="0" borderId="22" xfId="3" applyFont="1" applyBorder="1" applyAlignment="1">
      <alignment horizontal="left" vertical="top" wrapText="1"/>
    </xf>
    <xf numFmtId="38" fontId="16" fillId="0" borderId="0" xfId="3" applyNumberFormat="1" applyFont="1" applyAlignment="1">
      <alignment vertical="center"/>
    </xf>
    <xf numFmtId="0" fontId="4" fillId="0" borderId="0" xfId="3" applyFont="1" applyAlignment="1">
      <alignment horizontal="center"/>
    </xf>
    <xf numFmtId="38" fontId="4" fillId="0" borderId="0" xfId="1" applyFont="1" applyAlignment="1"/>
    <xf numFmtId="10" fontId="1" fillId="0" borderId="0" xfId="2" applyNumberFormat="1" applyAlignment="1"/>
    <xf numFmtId="0" fontId="5" fillId="0" borderId="0" xfId="3" applyFont="1" applyAlignment="1">
      <alignment horizontal="center"/>
    </xf>
    <xf numFmtId="38" fontId="5" fillId="0" borderId="0" xfId="4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 shrinkToFit="1"/>
    </xf>
    <xf numFmtId="186" fontId="5" fillId="0" borderId="0" xfId="2" applyNumberFormat="1" applyFont="1" applyAlignment="1"/>
    <xf numFmtId="187" fontId="5" fillId="7" borderId="0" xfId="3" applyNumberFormat="1" applyFont="1" applyFill="1"/>
    <xf numFmtId="38" fontId="5" fillId="0" borderId="0" xfId="3" applyNumberFormat="1" applyFont="1" applyAlignment="1">
      <alignment horizontal="center" vertical="center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184" fontId="9" fillId="0" borderId="0" xfId="5" applyFont="1" applyAlignment="1">
      <alignment vertical="center"/>
    </xf>
    <xf numFmtId="10" fontId="9" fillId="0" borderId="0" xfId="2" applyNumberFormat="1" applyFont="1" applyAlignment="1">
      <alignment vertical="center"/>
    </xf>
    <xf numFmtId="0" fontId="17" fillId="0" borderId="0" xfId="3" applyFont="1" applyAlignment="1">
      <alignment vertical="center"/>
    </xf>
    <xf numFmtId="38" fontId="18" fillId="0" borderId="0" xfId="3" applyNumberFormat="1" applyFont="1"/>
    <xf numFmtId="38" fontId="18" fillId="0" borderId="0" xfId="1" applyFont="1" applyAlignment="1"/>
    <xf numFmtId="10" fontId="18" fillId="0" borderId="0" xfId="2" applyNumberFormat="1" applyFont="1" applyAlignment="1"/>
    <xf numFmtId="38" fontId="18" fillId="0" borderId="0" xfId="4" applyFont="1"/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184" fontId="19" fillId="0" borderId="0" xfId="5" applyFont="1" applyAlignment="1">
      <alignment vertical="center"/>
    </xf>
    <xf numFmtId="10" fontId="19" fillId="0" borderId="0" xfId="2" applyNumberFormat="1" applyFont="1" applyAlignment="1">
      <alignment vertical="center"/>
    </xf>
    <xf numFmtId="38" fontId="17" fillId="0" borderId="0" xfId="4" applyFont="1" applyAlignment="1">
      <alignment vertical="center"/>
    </xf>
    <xf numFmtId="0" fontId="4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38" fontId="4" fillId="0" borderId="0" xfId="3" applyNumberFormat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180" fontId="4" fillId="0" borderId="0" xfId="3" applyNumberFormat="1" applyFont="1" applyAlignment="1">
      <alignment horizontal="left" vertical="center"/>
    </xf>
    <xf numFmtId="38" fontId="4" fillId="0" borderId="0" xfId="3" applyNumberFormat="1" applyFont="1" applyAlignment="1">
      <alignment horizontal="left" vertical="center"/>
    </xf>
    <xf numFmtId="0" fontId="4" fillId="0" borderId="0" xfId="3" applyFont="1" applyAlignment="1">
      <alignment vertical="center"/>
    </xf>
    <xf numFmtId="38" fontId="4" fillId="0" borderId="0" xfId="4" applyFont="1" applyAlignment="1">
      <alignment horizontal="left" vertical="center"/>
    </xf>
    <xf numFmtId="0" fontId="20" fillId="0" borderId="0" xfId="3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188" fontId="4" fillId="0" borderId="0" xfId="3" applyNumberFormat="1" applyFont="1" applyAlignment="1">
      <alignment horizontal="center" vertical="center"/>
    </xf>
    <xf numFmtId="38" fontId="6" fillId="0" borderId="0" xfId="3" applyNumberFormat="1" applyFont="1" applyAlignment="1">
      <alignment horizontal="center" vertical="center"/>
    </xf>
    <xf numFmtId="38" fontId="4" fillId="0" borderId="0" xfId="1" applyFont="1" applyAlignment="1">
      <alignment horizontal="right" vertical="center"/>
    </xf>
    <xf numFmtId="38" fontId="0" fillId="0" borderId="0" xfId="1" applyFont="1" applyAlignment="1">
      <alignment horizontal="right" vertical="center"/>
    </xf>
    <xf numFmtId="38" fontId="4" fillId="0" borderId="0" xfId="4" applyFont="1" applyAlignment="1">
      <alignment vertical="center"/>
    </xf>
    <xf numFmtId="180" fontId="4" fillId="0" borderId="0" xfId="3" applyNumberFormat="1" applyFont="1" applyAlignment="1">
      <alignment horizontal="center" vertical="center"/>
    </xf>
    <xf numFmtId="38" fontId="7" fillId="0" borderId="0" xfId="4" applyFont="1" applyAlignment="1">
      <alignment vertical="center"/>
    </xf>
    <xf numFmtId="38" fontId="5" fillId="0" borderId="0" xfId="4" applyFont="1" applyAlignment="1">
      <alignment vertical="center"/>
    </xf>
    <xf numFmtId="38" fontId="20" fillId="0" borderId="0" xfId="4" applyFont="1" applyAlignment="1">
      <alignment vertical="center"/>
    </xf>
    <xf numFmtId="0" fontId="20" fillId="0" borderId="0" xfId="3" applyFont="1" applyAlignment="1">
      <alignment vertical="center"/>
    </xf>
    <xf numFmtId="38" fontId="5" fillId="16" borderId="37" xfId="4" applyFont="1" applyFill="1" applyBorder="1" applyAlignment="1">
      <alignment horizontal="center" vertical="center"/>
    </xf>
    <xf numFmtId="38" fontId="5" fillId="0" borderId="37" xfId="4" applyFont="1" applyBorder="1" applyAlignment="1">
      <alignment horizontal="center" vertical="center"/>
    </xf>
    <xf numFmtId="38" fontId="20" fillId="0" borderId="37" xfId="1" applyFont="1" applyBorder="1" applyAlignment="1">
      <alignment horizontal="right" vertical="center"/>
    </xf>
    <xf numFmtId="186" fontId="1" fillId="0" borderId="37" xfId="2" applyNumberFormat="1" applyBorder="1" applyAlignment="1">
      <alignment horizontal="right" vertical="center"/>
    </xf>
    <xf numFmtId="38" fontId="7" fillId="0" borderId="37" xfId="3" applyNumberFormat="1" applyFont="1" applyBorder="1" applyAlignment="1">
      <alignment horizontal="right" vertical="center"/>
    </xf>
    <xf numFmtId="0" fontId="7" fillId="0" borderId="37" xfId="3" applyFont="1" applyBorder="1" applyAlignment="1">
      <alignment horizontal="right" vertical="center"/>
    </xf>
    <xf numFmtId="38" fontId="5" fillId="17" borderId="37" xfId="4" applyFont="1" applyFill="1" applyBorder="1" applyAlignment="1">
      <alignment horizontal="center" vertical="center"/>
    </xf>
    <xf numFmtId="38" fontId="20" fillId="0" borderId="0" xfId="3" applyNumberFormat="1" applyFont="1" applyAlignment="1">
      <alignment vertical="center"/>
    </xf>
    <xf numFmtId="38" fontId="4" fillId="0" borderId="0" xfId="1" applyFont="1" applyAlignment="1">
      <alignment horizontal="right"/>
    </xf>
    <xf numFmtId="0" fontId="5" fillId="18" borderId="37" xfId="3" applyFont="1" applyFill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38" fontId="22" fillId="0" borderId="37" xfId="3" applyNumberFormat="1" applyFont="1" applyBorder="1" applyAlignment="1">
      <alignment horizontal="right" vertical="center"/>
    </xf>
    <xf numFmtId="0" fontId="22" fillId="0" borderId="37" xfId="3" applyFont="1" applyBorder="1" applyAlignment="1">
      <alignment horizontal="right" vertical="center"/>
    </xf>
    <xf numFmtId="38" fontId="9" fillId="0" borderId="0" xfId="3" applyNumberFormat="1" applyFont="1"/>
  </cellXfs>
  <cellStyles count="6">
    <cellStyle name="Excel Built-in Comma [0]" xfId="4" xr:uid="{A79451E9-8BCD-C643-BC5E-5C0B3F1F2D4E}"/>
    <cellStyle name="Excel Built-in Currency [0]" xfId="5" xr:uid="{0F091AF7-0035-5049-A59D-8C7BD0C15B7A}"/>
    <cellStyle name="Excel Built-in Normal 1" xfId="3" xr:uid="{8E365008-B026-D24A-BD2F-69E9E3C5DB6F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toshiiga/Desktop/GA&#22770;&#19978;&#26085;&#22577;.xlsx" TargetMode="External"/><Relationship Id="rId1" Type="http://schemas.openxmlformats.org/officeDocument/2006/relationships/externalLinkPath" Target="GA&#22770;&#19978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料飲部全体進捗（月終了時点）"/>
      <sheetName val="R7GA予算"/>
      <sheetName val="2026(2)"/>
      <sheetName val="2025(2)"/>
      <sheetName val="2026(1)"/>
      <sheetName val="2025(1)"/>
      <sheetName val="2025(12)"/>
      <sheetName val="2024(12)"/>
      <sheetName val="2025(11)"/>
      <sheetName val="2024(11)"/>
      <sheetName val="2025(10)"/>
      <sheetName val="2024(10)"/>
      <sheetName val="2023(10)"/>
      <sheetName val="2025(9)"/>
      <sheetName val="2024(9)"/>
      <sheetName val="2023(9)"/>
      <sheetName val="2025(8)"/>
      <sheetName val="2024(8)"/>
      <sheetName val="2023(8)"/>
      <sheetName val="2025(7)"/>
      <sheetName val="2024(7)"/>
      <sheetName val="2023(7)"/>
      <sheetName val="2025(6)"/>
      <sheetName val="2024(6)"/>
      <sheetName val="2023(6)"/>
      <sheetName val="2025(5)"/>
      <sheetName val="2024(5)"/>
      <sheetName val="2025(4)"/>
      <sheetName val="2024(4)"/>
      <sheetName val="2025(3)"/>
      <sheetName val="2024(3)"/>
      <sheetName val="2024(2)"/>
      <sheetName val="2024(1)"/>
      <sheetName val="2023(12)"/>
      <sheetName val="2023(11)"/>
      <sheetName val="1stQuarter"/>
      <sheetName val="2023(5)"/>
      <sheetName val="料飲部全体進捗（8月終了時点） (2)"/>
      <sheetName val="2023(4)"/>
      <sheetName val="FBテイクアウト売上比率（JW）"/>
      <sheetName val="顧客リスト（リピーター）流入（JW）"/>
      <sheetName val="R4_ R3対比（客数・客単価）"/>
      <sheetName val="R4施策"/>
      <sheetName val="2022 (1)"/>
      <sheetName val="2022 (12)"/>
      <sheetName val="2021 (12)"/>
      <sheetName val="2022 (11)"/>
      <sheetName val="2021 (11)"/>
      <sheetName val="2022 (10)"/>
      <sheetName val="2021 (10)"/>
      <sheetName val="2022 (9)"/>
      <sheetName val="2021 (9)"/>
      <sheetName val="2022 (8)"/>
      <sheetName val="2021 (8)"/>
      <sheetName val="2022 (7)"/>
      <sheetName val="2021 (7)"/>
      <sheetName val="2022 (6)"/>
      <sheetName val="2021 (6)"/>
      <sheetName val="2022 (5)"/>
      <sheetName val="2021 (5)"/>
      <sheetName val="2022 (4)"/>
      <sheetName val="2021 (4)"/>
      <sheetName val="下期ー年度累計数値報告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7">
          <cell r="AS37">
            <v>15843636.363636361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D052-0A07-8A46-AEF6-68A7A662DCCB}">
  <dimension ref="A1:BO224"/>
  <sheetViews>
    <sheetView workbookViewId="0">
      <selection sqref="A1:XFD1048576"/>
    </sheetView>
  </sheetViews>
  <sheetFormatPr baseColWidth="10" defaultColWidth="11.140625" defaultRowHeight="16"/>
  <cols>
    <col min="1" max="1" width="11.140625" style="49"/>
    <col min="2" max="2" width="10.42578125" style="132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30" width="7.5703125" style="49" customWidth="1"/>
    <col min="31" max="31" width="10" style="49" customWidth="1"/>
    <col min="32" max="32" width="7.5703125" style="49" customWidth="1"/>
    <col min="33" max="33" width="3.5703125" style="49" customWidth="1"/>
    <col min="34" max="38" width="7.5703125" style="49" customWidth="1"/>
    <col min="39" max="39" width="11.85546875" style="49" customWidth="1"/>
    <col min="40" max="40" width="10" style="49" customWidth="1"/>
    <col min="41" max="41" width="4.140625" style="49" customWidth="1"/>
    <col min="42" max="46" width="7.5703125" style="49" customWidth="1"/>
    <col min="47" max="48" width="9.140625" style="49" customWidth="1"/>
    <col min="49" max="49" width="11.28515625" style="49" customWidth="1"/>
    <col min="50" max="50" width="7.5703125" style="49" customWidth="1"/>
    <col min="51" max="51" width="5.7109375" style="49" customWidth="1"/>
    <col min="52" max="53" width="9.140625" style="49" customWidth="1"/>
    <col min="54" max="54" width="13.5703125" style="49" customWidth="1"/>
    <col min="55" max="55" width="11.140625" style="49"/>
    <col min="56" max="56" width="14.85546875" style="49" customWidth="1"/>
    <col min="57" max="62" width="11.140625" style="49"/>
    <col min="63" max="63" width="11.140625" style="79"/>
    <col min="64" max="64" width="11.140625" style="49"/>
    <col min="65" max="65" width="11.140625" style="79"/>
    <col min="66" max="16384" width="11.140625" style="49"/>
  </cols>
  <sheetData>
    <row r="1" spans="1:67" s="3" customFormat="1">
      <c r="A1" s="1" t="s">
        <v>0</v>
      </c>
      <c r="B1" s="2"/>
      <c r="BK1" s="4"/>
      <c r="BM1" s="4"/>
    </row>
    <row r="2" spans="1:67" s="3" customFormat="1" ht="35" thickBot="1">
      <c r="A2" s="5">
        <v>2024</v>
      </c>
      <c r="B2" s="6">
        <v>10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C2" s="3" t="s">
        <v>1</v>
      </c>
      <c r="BK2" s="4"/>
      <c r="BM2" s="4"/>
    </row>
    <row r="3" spans="1:67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6"/>
      <c r="AG3" s="17" t="s">
        <v>7</v>
      </c>
      <c r="AH3" s="18"/>
      <c r="AI3" s="18"/>
      <c r="AJ3" s="18"/>
      <c r="AK3" s="18"/>
      <c r="AL3" s="18"/>
      <c r="AM3" s="18"/>
      <c r="AN3" s="19"/>
      <c r="AO3" s="20" t="s">
        <v>8</v>
      </c>
      <c r="AP3" s="21"/>
      <c r="AQ3" s="21"/>
      <c r="AR3" s="21"/>
      <c r="AS3" s="21"/>
      <c r="AT3" s="21"/>
      <c r="AU3" s="21"/>
      <c r="AV3" s="21"/>
      <c r="AW3" s="21"/>
      <c r="AX3" s="22"/>
      <c r="AY3" s="23" t="s">
        <v>9</v>
      </c>
      <c r="AZ3" s="14"/>
      <c r="BA3" s="14"/>
      <c r="BB3" s="14"/>
      <c r="BC3" s="24"/>
      <c r="BD3" s="25" t="s">
        <v>10</v>
      </c>
      <c r="BE3" s="26"/>
      <c r="BF3" s="26"/>
      <c r="BG3" s="26"/>
      <c r="BH3" s="26"/>
      <c r="BI3" s="26"/>
      <c r="BJ3" s="26"/>
      <c r="BK3" s="27"/>
      <c r="BM3" s="4"/>
    </row>
    <row r="4" spans="1:67" s="8" customFormat="1" ht="53.25" customHeight="1" thickTop="1" thickBot="1">
      <c r="A4" s="28"/>
      <c r="B4" s="10"/>
      <c r="C4" s="29" t="s">
        <v>11</v>
      </c>
      <c r="D4" s="30" t="s">
        <v>12</v>
      </c>
      <c r="E4" s="31" t="s">
        <v>13</v>
      </c>
      <c r="F4" s="30" t="s">
        <v>14</v>
      </c>
      <c r="G4" s="32" t="s">
        <v>15</v>
      </c>
      <c r="H4" s="30" t="s">
        <v>16</v>
      </c>
      <c r="I4" s="33" t="s">
        <v>17</v>
      </c>
      <c r="J4" s="31" t="s">
        <v>18</v>
      </c>
      <c r="K4" s="30" t="s">
        <v>19</v>
      </c>
      <c r="L4" s="30" t="s">
        <v>20</v>
      </c>
      <c r="M4" s="34" t="s">
        <v>13</v>
      </c>
      <c r="N4" s="30" t="s">
        <v>14</v>
      </c>
      <c r="O4" s="32" t="s">
        <v>15</v>
      </c>
      <c r="P4" s="30" t="s">
        <v>16</v>
      </c>
      <c r="Q4" s="33" t="s">
        <v>17</v>
      </c>
      <c r="R4" s="31" t="s">
        <v>18</v>
      </c>
      <c r="S4" s="35" t="s">
        <v>19</v>
      </c>
      <c r="T4" s="36" t="s">
        <v>21</v>
      </c>
      <c r="U4" s="37" t="s">
        <v>22</v>
      </c>
      <c r="V4" s="37" t="s">
        <v>23</v>
      </c>
      <c r="W4" s="38" t="s">
        <v>24</v>
      </c>
      <c r="X4" s="37"/>
      <c r="Y4" s="39" t="s">
        <v>25</v>
      </c>
      <c r="Z4" s="37" t="s">
        <v>13</v>
      </c>
      <c r="AA4" s="37" t="s">
        <v>22</v>
      </c>
      <c r="AB4" s="40" t="s">
        <v>26</v>
      </c>
      <c r="AC4" s="37" t="s">
        <v>23</v>
      </c>
      <c r="AD4" s="38" t="s">
        <v>27</v>
      </c>
      <c r="AE4" s="41" t="s">
        <v>28</v>
      </c>
      <c r="AF4" s="42" t="s">
        <v>19</v>
      </c>
      <c r="AG4" s="43" t="s">
        <v>29</v>
      </c>
      <c r="AH4" s="30" t="s">
        <v>13</v>
      </c>
      <c r="AI4" s="30" t="s">
        <v>22</v>
      </c>
      <c r="AJ4" s="32" t="s">
        <v>26</v>
      </c>
      <c r="AK4" s="30" t="s">
        <v>23</v>
      </c>
      <c r="AL4" s="33" t="s">
        <v>27</v>
      </c>
      <c r="AM4" s="34" t="s">
        <v>28</v>
      </c>
      <c r="AN4" s="40" t="s">
        <v>19</v>
      </c>
      <c r="AO4" s="44" t="s">
        <v>29</v>
      </c>
      <c r="AP4" s="30" t="s">
        <v>13</v>
      </c>
      <c r="AQ4" s="30" t="s">
        <v>22</v>
      </c>
      <c r="AR4" s="32" t="s">
        <v>26</v>
      </c>
      <c r="AS4" s="30" t="s">
        <v>23</v>
      </c>
      <c r="AT4" s="33" t="s">
        <v>27</v>
      </c>
      <c r="AU4" s="33" t="s">
        <v>30</v>
      </c>
      <c r="AV4" s="33" t="s">
        <v>31</v>
      </c>
      <c r="AW4" s="34" t="s">
        <v>28</v>
      </c>
      <c r="AX4" s="40" t="s">
        <v>19</v>
      </c>
      <c r="AY4" s="40" t="s">
        <v>21</v>
      </c>
      <c r="AZ4" s="37" t="s">
        <v>22</v>
      </c>
      <c r="BA4" s="37" t="s">
        <v>23</v>
      </c>
      <c r="BB4" s="38" t="s">
        <v>24</v>
      </c>
      <c r="BC4" s="38" t="s">
        <v>32</v>
      </c>
      <c r="BD4" s="45" t="s">
        <v>33</v>
      </c>
      <c r="BE4" s="46" t="s">
        <v>34</v>
      </c>
      <c r="BF4" s="46" t="s">
        <v>35</v>
      </c>
      <c r="BG4" s="46" t="s">
        <v>36</v>
      </c>
      <c r="BH4" s="46" t="s">
        <v>37</v>
      </c>
      <c r="BI4" s="46" t="s">
        <v>38</v>
      </c>
      <c r="BJ4" s="46" t="s">
        <v>39</v>
      </c>
      <c r="BK4" s="47" t="s">
        <v>40</v>
      </c>
      <c r="BM4" s="48"/>
    </row>
    <row r="5" spans="1:67" ht="20" customHeight="1" thickTop="1">
      <c r="B5" s="50">
        <f>DATE($A$2,$B$2,1)</f>
        <v>45566</v>
      </c>
      <c r="C5" s="51"/>
      <c r="D5" s="52"/>
      <c r="E5" s="53">
        <v>23</v>
      </c>
      <c r="F5" s="54">
        <v>80960</v>
      </c>
      <c r="G5" s="55">
        <f t="shared" ref="G5:G35" si="0">ROUNDDOWN(F5/1.1,0)/E5</f>
        <v>3200</v>
      </c>
      <c r="H5" s="54">
        <v>8770</v>
      </c>
      <c r="I5" s="56">
        <f>ROUNDDOWN(H5/1.1,0)/E5</f>
        <v>346.60869565217394</v>
      </c>
      <c r="J5" s="57">
        <f t="shared" ref="J5:J35" si="1">F5+H5</f>
        <v>89730</v>
      </c>
      <c r="K5" s="58">
        <f t="shared" ref="K5:K35" si="2">IF(E5="","",J5/E5)</f>
        <v>3901.304347826087</v>
      </c>
      <c r="L5" s="59"/>
      <c r="M5" s="60">
        <f t="shared" ref="M5:N35" si="3">BD5-E5</f>
        <v>15</v>
      </c>
      <c r="N5" s="61">
        <f t="shared" si="3"/>
        <v>158070</v>
      </c>
      <c r="O5" s="55">
        <f t="shared" ref="O5:O35" si="4">ROUNDDOWN(N5/1.1,0)/M5</f>
        <v>9580</v>
      </c>
      <c r="P5" s="61">
        <f t="shared" ref="P5:P35" si="5">BF5-H5</f>
        <v>40820</v>
      </c>
      <c r="Q5" s="56">
        <f t="shared" ref="Q5:Q35" si="6">ROUNDDOWN(P5/1.1,0)/M5</f>
        <v>2473.9333333333334</v>
      </c>
      <c r="R5" s="62">
        <f t="shared" ref="R5:R35" si="7">N5+P5</f>
        <v>198890</v>
      </c>
      <c r="S5" s="58">
        <f t="shared" ref="S5:S35" si="8">IF(M5="","",R5/M5)</f>
        <v>13259.333333333334</v>
      </c>
      <c r="T5" s="63">
        <f t="shared" ref="T5:U35" si="9">E5+M5</f>
        <v>38</v>
      </c>
      <c r="U5" s="61">
        <f t="shared" si="9"/>
        <v>239030</v>
      </c>
      <c r="V5" s="61">
        <f t="shared" ref="V5:V35" si="10">H5+P5</f>
        <v>49590</v>
      </c>
      <c r="W5" s="64">
        <f t="shared" ref="W5:W35" si="11">J5+R5</f>
        <v>288620</v>
      </c>
      <c r="X5" s="61"/>
      <c r="Y5" s="65"/>
      <c r="Z5" s="66">
        <v>16</v>
      </c>
      <c r="AA5" s="54">
        <v>8100</v>
      </c>
      <c r="AB5" s="55">
        <f t="shared" ref="AB5:AB35" si="12">AA5/Z5</f>
        <v>506.25</v>
      </c>
      <c r="AC5" s="54">
        <v>3200</v>
      </c>
      <c r="AD5" s="56">
        <f t="shared" ref="AD5:AD35" si="13">AC5/Z5</f>
        <v>200</v>
      </c>
      <c r="AE5" s="67">
        <f t="shared" ref="AE5:AE35" si="14">AA5+AC5</f>
        <v>11300</v>
      </c>
      <c r="AF5" s="58">
        <f t="shared" ref="AF5:AF35" si="15">IF(Z5="","",AE5/Z5)</f>
        <v>706.25</v>
      </c>
      <c r="AG5" s="68"/>
      <c r="AH5" s="66"/>
      <c r="AI5" s="54"/>
      <c r="AJ5" s="55" t="e">
        <f t="shared" ref="AJ5:AJ35" si="16">AI5/AH5</f>
        <v>#DIV/0!</v>
      </c>
      <c r="AK5" s="54"/>
      <c r="AL5" s="56" t="e">
        <f t="shared" ref="AL5:AL35" si="17">AK5/AH5</f>
        <v>#DIV/0!</v>
      </c>
      <c r="AM5" s="67">
        <f>AI5+AK5</f>
        <v>0</v>
      </c>
      <c r="AN5" s="69" t="str">
        <f t="shared" ref="AN5:AN35" si="18">IF(AH5="","",AM5/AH5)</f>
        <v/>
      </c>
      <c r="AO5" s="70"/>
      <c r="AP5" s="66">
        <v>66</v>
      </c>
      <c r="AQ5" s="54">
        <v>125600</v>
      </c>
      <c r="AR5" s="55">
        <f t="shared" ref="AR5:AR35" si="19">AQ5/AP5</f>
        <v>1903.030303030303</v>
      </c>
      <c r="AS5" s="54">
        <v>67050</v>
      </c>
      <c r="AT5" s="56">
        <f t="shared" ref="AT5:AT35" si="20">AS5/AP5</f>
        <v>1015.9090909090909</v>
      </c>
      <c r="AU5" s="56"/>
      <c r="AV5" s="56"/>
      <c r="AW5" s="71">
        <f>AQ5+AS5+AU5+AV5</f>
        <v>192650</v>
      </c>
      <c r="AX5" s="69">
        <f t="shared" ref="AX5:AX35" si="21">IF(AP5="","",AW5/AP5)</f>
        <v>2918.939393939394</v>
      </c>
      <c r="AY5" s="72">
        <f t="shared" ref="AY5:AY35" si="22">SUM(E5,M5)</f>
        <v>38</v>
      </c>
      <c r="AZ5" s="61">
        <f t="shared" ref="AZ5:AZ35" si="23">U5+AA5+AI5+AQ5</f>
        <v>372730</v>
      </c>
      <c r="BA5" s="61">
        <f t="shared" ref="BA5:BA35" si="24">V5+AC5+AK5+AS5</f>
        <v>119840</v>
      </c>
      <c r="BB5" s="73">
        <f>W5+AE5+AM5+AW5</f>
        <v>492570</v>
      </c>
      <c r="BC5" s="74">
        <f>BG5+BH5</f>
        <v>0</v>
      </c>
      <c r="BD5" s="75">
        <v>38</v>
      </c>
      <c r="BE5" s="76">
        <v>239030</v>
      </c>
      <c r="BF5" s="76">
        <v>49590</v>
      </c>
      <c r="BG5" s="77"/>
      <c r="BH5" s="77"/>
      <c r="BI5" s="77"/>
      <c r="BJ5" s="77"/>
      <c r="BK5" s="78">
        <f>SUM(BE5:BH5)</f>
        <v>288620</v>
      </c>
      <c r="BL5" s="49">
        <v>1</v>
      </c>
      <c r="BM5" s="79">
        <f t="shared" ref="BM5:BM35" si="25">BJ5+BK5</f>
        <v>288620</v>
      </c>
    </row>
    <row r="6" spans="1:67" ht="20" customHeight="1">
      <c r="B6" s="80">
        <f t="shared" ref="B6:B35" si="26">B5+1</f>
        <v>45567</v>
      </c>
      <c r="C6" s="81"/>
      <c r="D6" s="52"/>
      <c r="E6" s="53">
        <v>18</v>
      </c>
      <c r="F6" s="54">
        <v>67540</v>
      </c>
      <c r="G6" s="55">
        <f t="shared" si="0"/>
        <v>3411.1111111111113</v>
      </c>
      <c r="H6" s="54">
        <v>6200</v>
      </c>
      <c r="I6" s="56">
        <f t="shared" ref="I6:I35" si="27">ROUNDDOWN(H6/1.1,0)/E6</f>
        <v>313.11111111111109</v>
      </c>
      <c r="J6" s="57">
        <f t="shared" si="1"/>
        <v>73740</v>
      </c>
      <c r="K6" s="58">
        <f t="shared" si="2"/>
        <v>4096.666666666667</v>
      </c>
      <c r="L6" s="59"/>
      <c r="M6" s="60">
        <f t="shared" si="3"/>
        <v>17</v>
      </c>
      <c r="N6" s="61">
        <f t="shared" si="3"/>
        <v>163130</v>
      </c>
      <c r="O6" s="55">
        <f t="shared" si="4"/>
        <v>8723.5294117647063</v>
      </c>
      <c r="P6" s="61">
        <f t="shared" si="5"/>
        <v>35290</v>
      </c>
      <c r="Q6" s="56">
        <f t="shared" si="6"/>
        <v>1887.1176470588234</v>
      </c>
      <c r="R6" s="62">
        <f t="shared" si="7"/>
        <v>198420</v>
      </c>
      <c r="S6" s="58">
        <f t="shared" si="8"/>
        <v>11671.764705882353</v>
      </c>
      <c r="T6" s="82">
        <f t="shared" si="9"/>
        <v>35</v>
      </c>
      <c r="U6" s="61">
        <f t="shared" si="9"/>
        <v>230670</v>
      </c>
      <c r="V6" s="61">
        <f t="shared" si="10"/>
        <v>41490</v>
      </c>
      <c r="W6" s="64">
        <f t="shared" si="11"/>
        <v>272160</v>
      </c>
      <c r="X6" s="83"/>
      <c r="Y6" s="65"/>
      <c r="Z6" s="66">
        <v>4</v>
      </c>
      <c r="AA6" s="54">
        <v>2200</v>
      </c>
      <c r="AB6" s="55">
        <f t="shared" si="12"/>
        <v>550</v>
      </c>
      <c r="AC6" s="54">
        <v>3200</v>
      </c>
      <c r="AD6" s="56">
        <f t="shared" si="13"/>
        <v>800</v>
      </c>
      <c r="AE6" s="67">
        <f>AA6+AC6</f>
        <v>5400</v>
      </c>
      <c r="AF6" s="58">
        <f t="shared" si="15"/>
        <v>1350</v>
      </c>
      <c r="AG6" s="68"/>
      <c r="AH6" s="66"/>
      <c r="AI6" s="54"/>
      <c r="AJ6" s="55" t="e">
        <f t="shared" si="16"/>
        <v>#DIV/0!</v>
      </c>
      <c r="AK6" s="54"/>
      <c r="AL6" s="56" t="e">
        <f t="shared" si="17"/>
        <v>#DIV/0!</v>
      </c>
      <c r="AM6" s="67">
        <f t="shared" ref="AM6:AM35" si="28">AI6+AK6</f>
        <v>0</v>
      </c>
      <c r="AN6" s="69" t="str">
        <f t="shared" si="18"/>
        <v/>
      </c>
      <c r="AO6" s="70"/>
      <c r="AP6" s="66">
        <v>30</v>
      </c>
      <c r="AQ6" s="54">
        <v>78300</v>
      </c>
      <c r="AR6" s="55">
        <f t="shared" si="19"/>
        <v>2610</v>
      </c>
      <c r="AS6" s="54">
        <v>42700</v>
      </c>
      <c r="AT6" s="56">
        <f t="shared" si="20"/>
        <v>1423.3333333333333</v>
      </c>
      <c r="AU6" s="56"/>
      <c r="AV6" s="56"/>
      <c r="AW6" s="71">
        <f>AQ6+AS6+AU6+AV6</f>
        <v>121000</v>
      </c>
      <c r="AX6" s="69">
        <f t="shared" si="21"/>
        <v>4033.3333333333335</v>
      </c>
      <c r="AY6" s="84">
        <f t="shared" si="22"/>
        <v>35</v>
      </c>
      <c r="AZ6" s="61">
        <f t="shared" si="23"/>
        <v>311170</v>
      </c>
      <c r="BA6" s="61">
        <f t="shared" si="24"/>
        <v>87390</v>
      </c>
      <c r="BB6" s="73">
        <f>W6+AE6+AM6+AW6</f>
        <v>398560</v>
      </c>
      <c r="BC6" s="74">
        <f>BG6+BH6</f>
        <v>2200</v>
      </c>
      <c r="BD6" s="75">
        <v>35</v>
      </c>
      <c r="BE6" s="76">
        <v>230670</v>
      </c>
      <c r="BF6" s="76">
        <v>41490</v>
      </c>
      <c r="BG6" s="77">
        <v>2200</v>
      </c>
      <c r="BH6" s="77"/>
      <c r="BI6" s="77"/>
      <c r="BJ6" s="77"/>
      <c r="BK6" s="78">
        <f t="shared" ref="BK6:BK35" si="29">SUM(BE6:BH6)</f>
        <v>274360</v>
      </c>
      <c r="BL6" s="49">
        <v>2</v>
      </c>
      <c r="BM6" s="79">
        <f t="shared" si="25"/>
        <v>274360</v>
      </c>
    </row>
    <row r="7" spans="1:67" ht="20" customHeight="1">
      <c r="B7" s="80">
        <f>B6+1</f>
        <v>45568</v>
      </c>
      <c r="C7" s="81"/>
      <c r="D7" s="52"/>
      <c r="E7" s="53">
        <v>40</v>
      </c>
      <c r="F7" s="54">
        <v>141900</v>
      </c>
      <c r="G7" s="55">
        <f t="shared" si="0"/>
        <v>3225</v>
      </c>
      <c r="H7" s="54">
        <v>26570</v>
      </c>
      <c r="I7" s="56">
        <f t="shared" si="27"/>
        <v>603.85</v>
      </c>
      <c r="J7" s="57">
        <f t="shared" si="1"/>
        <v>168470</v>
      </c>
      <c r="K7" s="58">
        <f t="shared" si="2"/>
        <v>4211.75</v>
      </c>
      <c r="L7" s="59"/>
      <c r="M7" s="60">
        <f t="shared" si="3"/>
        <v>21</v>
      </c>
      <c r="N7" s="61">
        <f t="shared" si="3"/>
        <v>190170</v>
      </c>
      <c r="O7" s="55">
        <f t="shared" si="4"/>
        <v>8232.4285714285706</v>
      </c>
      <c r="P7" s="61">
        <f t="shared" si="5"/>
        <v>34760</v>
      </c>
      <c r="Q7" s="56">
        <f t="shared" si="6"/>
        <v>1504.7619047619048</v>
      </c>
      <c r="R7" s="62">
        <f t="shared" si="7"/>
        <v>224930</v>
      </c>
      <c r="S7" s="58">
        <f t="shared" si="8"/>
        <v>10710.952380952382</v>
      </c>
      <c r="T7" s="82">
        <f t="shared" si="9"/>
        <v>61</v>
      </c>
      <c r="U7" s="61">
        <f t="shared" si="9"/>
        <v>332070</v>
      </c>
      <c r="V7" s="61">
        <f t="shared" si="10"/>
        <v>61330</v>
      </c>
      <c r="W7" s="64">
        <f t="shared" si="11"/>
        <v>393400</v>
      </c>
      <c r="X7" s="83"/>
      <c r="Y7" s="65"/>
      <c r="Z7" s="66">
        <v>15</v>
      </c>
      <c r="AA7" s="54">
        <v>8360</v>
      </c>
      <c r="AB7" s="55">
        <f t="shared" si="12"/>
        <v>557.33333333333337</v>
      </c>
      <c r="AC7" s="54">
        <v>800</v>
      </c>
      <c r="AD7" s="56">
        <f t="shared" si="13"/>
        <v>53.333333333333336</v>
      </c>
      <c r="AE7" s="67">
        <f t="shared" si="14"/>
        <v>9160</v>
      </c>
      <c r="AF7" s="58">
        <f t="shared" si="15"/>
        <v>610.66666666666663</v>
      </c>
      <c r="AG7" s="68"/>
      <c r="AH7" s="66">
        <v>11</v>
      </c>
      <c r="AI7" s="54">
        <v>43065</v>
      </c>
      <c r="AJ7" s="55">
        <f t="shared" si="16"/>
        <v>3915</v>
      </c>
      <c r="AK7" s="54">
        <v>14355</v>
      </c>
      <c r="AL7" s="56">
        <f t="shared" si="17"/>
        <v>1305</v>
      </c>
      <c r="AM7" s="67">
        <f t="shared" si="28"/>
        <v>57420</v>
      </c>
      <c r="AN7" s="69">
        <f t="shared" si="18"/>
        <v>5220</v>
      </c>
      <c r="AO7" s="70"/>
      <c r="AP7" s="66">
        <v>44</v>
      </c>
      <c r="AQ7" s="54">
        <v>72200</v>
      </c>
      <c r="AR7" s="55">
        <f t="shared" si="19"/>
        <v>1640.909090909091</v>
      </c>
      <c r="AS7" s="54">
        <v>44400</v>
      </c>
      <c r="AT7" s="56">
        <f t="shared" si="20"/>
        <v>1009.0909090909091</v>
      </c>
      <c r="AU7" s="56"/>
      <c r="AV7" s="56"/>
      <c r="AW7" s="71">
        <f>AQ7+AS7+AU7+AV7</f>
        <v>116600</v>
      </c>
      <c r="AX7" s="69">
        <f t="shared" si="21"/>
        <v>2650</v>
      </c>
      <c r="AY7" s="84">
        <f t="shared" si="22"/>
        <v>61</v>
      </c>
      <c r="AZ7" s="61">
        <f t="shared" si="23"/>
        <v>455695</v>
      </c>
      <c r="BA7" s="61">
        <f t="shared" si="24"/>
        <v>120885</v>
      </c>
      <c r="BB7" s="73">
        <f>W7+AE7+AM7+AW7-BN7</f>
        <v>576580</v>
      </c>
      <c r="BC7" s="74">
        <f t="shared" ref="BC7:BC35" si="30">BG7+BH7</f>
        <v>0</v>
      </c>
      <c r="BD7" s="75">
        <v>61</v>
      </c>
      <c r="BE7" s="76">
        <v>332070</v>
      </c>
      <c r="BF7" s="76">
        <v>61330</v>
      </c>
      <c r="BG7" s="77"/>
      <c r="BH7" s="77"/>
      <c r="BI7" s="77"/>
      <c r="BJ7" s="77"/>
      <c r="BK7" s="78">
        <f t="shared" si="29"/>
        <v>393400</v>
      </c>
      <c r="BL7" s="49">
        <v>3</v>
      </c>
      <c r="BM7" s="79">
        <f t="shared" si="25"/>
        <v>393400</v>
      </c>
    </row>
    <row r="8" spans="1:67" ht="20" customHeight="1">
      <c r="B8" s="80">
        <f t="shared" si="26"/>
        <v>45569</v>
      </c>
      <c r="C8" s="81"/>
      <c r="D8" s="52"/>
      <c r="E8" s="53">
        <v>27</v>
      </c>
      <c r="F8" s="54">
        <v>106040</v>
      </c>
      <c r="G8" s="55">
        <f t="shared" si="0"/>
        <v>3570.3703703703704</v>
      </c>
      <c r="H8" s="54">
        <v>10200</v>
      </c>
      <c r="I8" s="56">
        <f t="shared" si="27"/>
        <v>343.40740740740739</v>
      </c>
      <c r="J8" s="57">
        <f t="shared" si="1"/>
        <v>116240</v>
      </c>
      <c r="K8" s="58">
        <f t="shared" si="2"/>
        <v>4305.1851851851852</v>
      </c>
      <c r="L8" s="59"/>
      <c r="M8" s="60">
        <f t="shared" si="3"/>
        <v>16</v>
      </c>
      <c r="N8" s="61">
        <f t="shared" si="3"/>
        <v>138930</v>
      </c>
      <c r="O8" s="55">
        <f t="shared" si="4"/>
        <v>7893.75</v>
      </c>
      <c r="P8" s="61">
        <f t="shared" si="5"/>
        <v>30670</v>
      </c>
      <c r="Q8" s="56">
        <f t="shared" si="6"/>
        <v>1742.5625</v>
      </c>
      <c r="R8" s="62">
        <f t="shared" si="7"/>
        <v>169600</v>
      </c>
      <c r="S8" s="58">
        <f t="shared" si="8"/>
        <v>10600</v>
      </c>
      <c r="T8" s="82">
        <f t="shared" si="9"/>
        <v>43</v>
      </c>
      <c r="U8" s="61">
        <f t="shared" si="9"/>
        <v>244970</v>
      </c>
      <c r="V8" s="61">
        <f t="shared" si="10"/>
        <v>40870</v>
      </c>
      <c r="W8" s="64">
        <f t="shared" si="11"/>
        <v>285840</v>
      </c>
      <c r="X8" s="83"/>
      <c r="Y8" s="65"/>
      <c r="Z8" s="66">
        <v>9</v>
      </c>
      <c r="AA8" s="54">
        <v>3870</v>
      </c>
      <c r="AB8" s="55">
        <f t="shared" si="12"/>
        <v>430</v>
      </c>
      <c r="AC8" s="54">
        <v>0</v>
      </c>
      <c r="AD8" s="56">
        <f t="shared" si="13"/>
        <v>0</v>
      </c>
      <c r="AE8" s="67">
        <f t="shared" si="14"/>
        <v>3870</v>
      </c>
      <c r="AF8" s="58">
        <f t="shared" si="15"/>
        <v>430</v>
      </c>
      <c r="AG8" s="68"/>
      <c r="AH8" s="66"/>
      <c r="AI8" s="54"/>
      <c r="AJ8" s="55" t="e">
        <f t="shared" si="16"/>
        <v>#DIV/0!</v>
      </c>
      <c r="AK8" s="54"/>
      <c r="AL8" s="56" t="e">
        <f t="shared" si="17"/>
        <v>#DIV/0!</v>
      </c>
      <c r="AM8" s="67">
        <f t="shared" si="28"/>
        <v>0</v>
      </c>
      <c r="AN8" s="69" t="str">
        <f t="shared" si="18"/>
        <v/>
      </c>
      <c r="AO8" s="70"/>
      <c r="AP8" s="66">
        <v>25</v>
      </c>
      <c r="AQ8" s="54">
        <v>38750</v>
      </c>
      <c r="AR8" s="55">
        <f t="shared" si="19"/>
        <v>1550</v>
      </c>
      <c r="AS8" s="54">
        <v>31350</v>
      </c>
      <c r="AT8" s="56">
        <f t="shared" si="20"/>
        <v>1254</v>
      </c>
      <c r="AU8" s="56"/>
      <c r="AV8" s="56"/>
      <c r="AW8" s="71">
        <f t="shared" ref="AW8:AW16" si="31">AQ8+AS8+AU8+AV8</f>
        <v>70100</v>
      </c>
      <c r="AX8" s="69">
        <f t="shared" si="21"/>
        <v>2804</v>
      </c>
      <c r="AY8" s="84">
        <f t="shared" si="22"/>
        <v>43</v>
      </c>
      <c r="AZ8" s="61">
        <f t="shared" si="23"/>
        <v>287590</v>
      </c>
      <c r="BA8" s="61">
        <f t="shared" si="24"/>
        <v>72220</v>
      </c>
      <c r="BB8" s="73">
        <f>W8+AE8+AM8+AW8-BN8</f>
        <v>359810</v>
      </c>
      <c r="BC8" s="74">
        <f t="shared" si="30"/>
        <v>4400</v>
      </c>
      <c r="BD8" s="75">
        <v>43</v>
      </c>
      <c r="BE8" s="76">
        <v>244970</v>
      </c>
      <c r="BF8" s="76">
        <v>40870</v>
      </c>
      <c r="BG8" s="77">
        <v>3300</v>
      </c>
      <c r="BH8" s="77">
        <v>1100</v>
      </c>
      <c r="BI8" s="77">
        <v>19800</v>
      </c>
      <c r="BJ8" s="77"/>
      <c r="BK8" s="78">
        <f t="shared" si="29"/>
        <v>290240</v>
      </c>
      <c r="BL8" s="49">
        <v>4</v>
      </c>
      <c r="BM8" s="79">
        <f t="shared" si="25"/>
        <v>290240</v>
      </c>
      <c r="BN8" s="85"/>
      <c r="BO8" s="85"/>
    </row>
    <row r="9" spans="1:67" ht="20" customHeight="1">
      <c r="B9" s="80">
        <f t="shared" si="26"/>
        <v>45570</v>
      </c>
      <c r="C9" s="81"/>
      <c r="D9" s="52"/>
      <c r="E9" s="53">
        <v>23</v>
      </c>
      <c r="F9" s="54">
        <v>87560</v>
      </c>
      <c r="G9" s="55">
        <f t="shared" si="0"/>
        <v>3460.8695652173915</v>
      </c>
      <c r="H9" s="54">
        <v>20270</v>
      </c>
      <c r="I9" s="56">
        <f t="shared" si="27"/>
        <v>801.17391304347825</v>
      </c>
      <c r="J9" s="57">
        <f t="shared" si="1"/>
        <v>107830</v>
      </c>
      <c r="K9" s="58">
        <f t="shared" si="2"/>
        <v>4688.260869565217</v>
      </c>
      <c r="L9" s="59"/>
      <c r="M9" s="60">
        <f t="shared" si="3"/>
        <v>17</v>
      </c>
      <c r="N9" s="61">
        <f t="shared" si="3"/>
        <v>180690</v>
      </c>
      <c r="O9" s="55">
        <f t="shared" si="4"/>
        <v>9662.5294117647063</v>
      </c>
      <c r="P9" s="61">
        <f t="shared" si="5"/>
        <v>61280</v>
      </c>
      <c r="Q9" s="56">
        <f t="shared" si="6"/>
        <v>3277</v>
      </c>
      <c r="R9" s="62">
        <f t="shared" si="7"/>
        <v>241970</v>
      </c>
      <c r="S9" s="58">
        <f t="shared" si="8"/>
        <v>14233.529411764706</v>
      </c>
      <c r="T9" s="82">
        <f t="shared" si="9"/>
        <v>40</v>
      </c>
      <c r="U9" s="61">
        <f t="shared" si="9"/>
        <v>268250</v>
      </c>
      <c r="V9" s="61">
        <f t="shared" si="10"/>
        <v>81550</v>
      </c>
      <c r="W9" s="64">
        <f t="shared" si="11"/>
        <v>349800</v>
      </c>
      <c r="X9" s="83"/>
      <c r="Y9" s="65"/>
      <c r="Z9" s="66">
        <v>11</v>
      </c>
      <c r="AA9" s="54">
        <v>3950</v>
      </c>
      <c r="AB9" s="55">
        <f t="shared" si="12"/>
        <v>359.09090909090907</v>
      </c>
      <c r="AC9" s="54">
        <v>1400</v>
      </c>
      <c r="AD9" s="56">
        <f t="shared" si="13"/>
        <v>127.27272727272727</v>
      </c>
      <c r="AE9" s="67">
        <f t="shared" si="14"/>
        <v>5350</v>
      </c>
      <c r="AF9" s="58">
        <f t="shared" si="15"/>
        <v>486.36363636363637</v>
      </c>
      <c r="AG9" s="68"/>
      <c r="AH9" s="66"/>
      <c r="AI9" s="54"/>
      <c r="AJ9" s="55" t="e">
        <f t="shared" si="16"/>
        <v>#DIV/0!</v>
      </c>
      <c r="AK9" s="54"/>
      <c r="AL9" s="56" t="e">
        <f t="shared" si="17"/>
        <v>#DIV/0!</v>
      </c>
      <c r="AM9" s="67">
        <f t="shared" si="28"/>
        <v>0</v>
      </c>
      <c r="AN9" s="69" t="str">
        <f t="shared" si="18"/>
        <v/>
      </c>
      <c r="AO9" s="70"/>
      <c r="AP9" s="66">
        <v>146</v>
      </c>
      <c r="AQ9" s="54">
        <v>161100</v>
      </c>
      <c r="AR9" s="55">
        <f t="shared" si="19"/>
        <v>1103.4246575342465</v>
      </c>
      <c r="AS9" s="54">
        <v>287100</v>
      </c>
      <c r="AT9" s="56">
        <f t="shared" si="20"/>
        <v>1966.4383561643835</v>
      </c>
      <c r="AU9" s="56"/>
      <c r="AV9" s="56"/>
      <c r="AW9" s="71">
        <f t="shared" si="31"/>
        <v>448200</v>
      </c>
      <c r="AX9" s="69">
        <f>IF(AP9="","",AW9/AP9)</f>
        <v>3069.8630136986303</v>
      </c>
      <c r="AY9" s="84">
        <f t="shared" si="22"/>
        <v>40</v>
      </c>
      <c r="AZ9" s="61">
        <f t="shared" si="23"/>
        <v>433300</v>
      </c>
      <c r="BA9" s="61">
        <f t="shared" si="24"/>
        <v>370050</v>
      </c>
      <c r="BB9" s="73">
        <f>W9+AE9+AM9+AW9</f>
        <v>803350</v>
      </c>
      <c r="BC9" s="74">
        <f t="shared" si="30"/>
        <v>1100</v>
      </c>
      <c r="BD9" s="75">
        <v>40</v>
      </c>
      <c r="BE9" s="76">
        <v>268250</v>
      </c>
      <c r="BF9" s="76">
        <v>81550</v>
      </c>
      <c r="BG9" s="77">
        <v>1100</v>
      </c>
      <c r="BH9" s="77"/>
      <c r="BI9" s="77"/>
      <c r="BJ9" s="77"/>
      <c r="BK9" s="78">
        <f t="shared" si="29"/>
        <v>350900</v>
      </c>
      <c r="BL9" s="49">
        <v>5</v>
      </c>
      <c r="BM9" s="79">
        <f t="shared" si="25"/>
        <v>350900</v>
      </c>
    </row>
    <row r="10" spans="1:67" ht="20" customHeight="1">
      <c r="B10" s="80">
        <f t="shared" si="26"/>
        <v>45571</v>
      </c>
      <c r="C10" s="81"/>
      <c r="D10" s="52"/>
      <c r="E10" s="53">
        <v>37</v>
      </c>
      <c r="F10" s="54">
        <v>171600</v>
      </c>
      <c r="G10" s="55">
        <f t="shared" si="0"/>
        <v>4216.2162162162158</v>
      </c>
      <c r="H10" s="54">
        <v>40370</v>
      </c>
      <c r="I10" s="56">
        <f t="shared" si="27"/>
        <v>991.89189189189187</v>
      </c>
      <c r="J10" s="57">
        <f t="shared" si="1"/>
        <v>211970</v>
      </c>
      <c r="K10" s="58">
        <f t="shared" si="2"/>
        <v>5728.9189189189192</v>
      </c>
      <c r="L10" s="59"/>
      <c r="M10" s="60">
        <f t="shared" si="3"/>
        <v>28</v>
      </c>
      <c r="N10" s="61">
        <f t="shared" si="3"/>
        <v>270960</v>
      </c>
      <c r="O10" s="55">
        <f t="shared" si="4"/>
        <v>8797.3928571428569</v>
      </c>
      <c r="P10" s="61">
        <f t="shared" si="5"/>
        <v>37290</v>
      </c>
      <c r="Q10" s="56">
        <f t="shared" si="6"/>
        <v>1210.7142857142858</v>
      </c>
      <c r="R10" s="62">
        <f t="shared" si="7"/>
        <v>308250</v>
      </c>
      <c r="S10" s="58">
        <f t="shared" si="8"/>
        <v>11008.928571428571</v>
      </c>
      <c r="T10" s="82">
        <f t="shared" si="9"/>
        <v>65</v>
      </c>
      <c r="U10" s="61">
        <f t="shared" si="9"/>
        <v>442560</v>
      </c>
      <c r="V10" s="61">
        <f t="shared" si="10"/>
        <v>77660</v>
      </c>
      <c r="W10" s="64">
        <f t="shared" si="11"/>
        <v>520220</v>
      </c>
      <c r="X10" s="83"/>
      <c r="Y10" s="65"/>
      <c r="Z10" s="66">
        <v>5</v>
      </c>
      <c r="AA10" s="54">
        <v>2250</v>
      </c>
      <c r="AB10" s="55">
        <f t="shared" si="12"/>
        <v>450</v>
      </c>
      <c r="AC10" s="54">
        <v>4000</v>
      </c>
      <c r="AD10" s="56">
        <f t="shared" si="13"/>
        <v>800</v>
      </c>
      <c r="AE10" s="67">
        <f t="shared" si="14"/>
        <v>6250</v>
      </c>
      <c r="AF10" s="58">
        <f t="shared" si="15"/>
        <v>1250</v>
      </c>
      <c r="AG10" s="68"/>
      <c r="AH10" s="66"/>
      <c r="AI10" s="54"/>
      <c r="AJ10" s="55" t="e">
        <f t="shared" si="16"/>
        <v>#DIV/0!</v>
      </c>
      <c r="AK10" s="54"/>
      <c r="AL10" s="56" t="e">
        <f t="shared" si="17"/>
        <v>#DIV/0!</v>
      </c>
      <c r="AM10" s="67">
        <f t="shared" si="28"/>
        <v>0</v>
      </c>
      <c r="AN10" s="69" t="str">
        <f t="shared" si="18"/>
        <v/>
      </c>
      <c r="AO10" s="70"/>
      <c r="AP10" s="66">
        <v>197</v>
      </c>
      <c r="AQ10" s="54">
        <v>409700</v>
      </c>
      <c r="AR10" s="55">
        <f t="shared" si="19"/>
        <v>2079.6954314720811</v>
      </c>
      <c r="AS10" s="54">
        <v>241500</v>
      </c>
      <c r="AT10" s="56">
        <f t="shared" si="20"/>
        <v>1225.8883248730965</v>
      </c>
      <c r="AU10" s="56"/>
      <c r="AV10" s="56"/>
      <c r="AW10" s="71">
        <f t="shared" si="31"/>
        <v>651200</v>
      </c>
      <c r="AX10" s="69">
        <f t="shared" si="21"/>
        <v>3305.5837563451778</v>
      </c>
      <c r="AY10" s="84">
        <f t="shared" si="22"/>
        <v>65</v>
      </c>
      <c r="AZ10" s="61">
        <f t="shared" si="23"/>
        <v>854510</v>
      </c>
      <c r="BA10" s="61">
        <f t="shared" si="24"/>
        <v>323160</v>
      </c>
      <c r="BB10" s="73">
        <f t="shared" ref="BB10:BB30" si="32">W10+AE10+AM10+AW10</f>
        <v>1177670</v>
      </c>
      <c r="BC10" s="74">
        <f t="shared" si="30"/>
        <v>14850</v>
      </c>
      <c r="BD10" s="75">
        <v>65</v>
      </c>
      <c r="BE10" s="76">
        <v>442560</v>
      </c>
      <c r="BF10" s="76">
        <v>77660</v>
      </c>
      <c r="BG10" s="77">
        <v>14850</v>
      </c>
      <c r="BH10" s="77"/>
      <c r="BI10" s="77"/>
      <c r="BJ10" s="77"/>
      <c r="BK10" s="78">
        <f t="shared" si="29"/>
        <v>535070</v>
      </c>
      <c r="BL10" s="49">
        <v>6</v>
      </c>
      <c r="BM10" s="79">
        <f t="shared" si="25"/>
        <v>535070</v>
      </c>
    </row>
    <row r="11" spans="1:67" ht="20" customHeight="1">
      <c r="B11" s="80">
        <f t="shared" si="26"/>
        <v>45572</v>
      </c>
      <c r="C11" s="81"/>
      <c r="D11" s="52"/>
      <c r="E11" s="53">
        <v>22</v>
      </c>
      <c r="F11" s="54">
        <v>78870</v>
      </c>
      <c r="G11" s="55">
        <f t="shared" si="0"/>
        <v>3259.090909090909</v>
      </c>
      <c r="H11" s="54">
        <v>5040</v>
      </c>
      <c r="I11" s="56">
        <f t="shared" si="27"/>
        <v>208.22727272727272</v>
      </c>
      <c r="J11" s="57">
        <f t="shared" si="1"/>
        <v>83910</v>
      </c>
      <c r="K11" s="58">
        <f t="shared" si="2"/>
        <v>3814.090909090909</v>
      </c>
      <c r="L11" s="59"/>
      <c r="M11" s="60">
        <f t="shared" si="3"/>
        <v>9</v>
      </c>
      <c r="N11" s="61">
        <f t="shared" si="3"/>
        <v>85140</v>
      </c>
      <c r="O11" s="55">
        <f t="shared" si="4"/>
        <v>8600</v>
      </c>
      <c r="P11" s="61">
        <f t="shared" si="5"/>
        <v>21400</v>
      </c>
      <c r="Q11" s="56">
        <f t="shared" si="6"/>
        <v>2161.5555555555557</v>
      </c>
      <c r="R11" s="62">
        <f t="shared" si="7"/>
        <v>106540</v>
      </c>
      <c r="S11" s="58">
        <f t="shared" si="8"/>
        <v>11837.777777777777</v>
      </c>
      <c r="T11" s="82">
        <f t="shared" si="9"/>
        <v>31</v>
      </c>
      <c r="U11" s="61">
        <f t="shared" si="9"/>
        <v>164010</v>
      </c>
      <c r="V11" s="61">
        <f t="shared" si="10"/>
        <v>26440</v>
      </c>
      <c r="W11" s="64">
        <f t="shared" si="11"/>
        <v>190450</v>
      </c>
      <c r="X11" s="83"/>
      <c r="Y11" s="65"/>
      <c r="Z11" s="66">
        <v>15</v>
      </c>
      <c r="AA11" s="54">
        <v>8970</v>
      </c>
      <c r="AB11" s="55">
        <f t="shared" si="12"/>
        <v>598</v>
      </c>
      <c r="AC11" s="54">
        <v>7320</v>
      </c>
      <c r="AD11" s="56">
        <f t="shared" si="13"/>
        <v>488</v>
      </c>
      <c r="AE11" s="67">
        <f t="shared" si="14"/>
        <v>16290</v>
      </c>
      <c r="AF11" s="58">
        <f t="shared" si="15"/>
        <v>1086</v>
      </c>
      <c r="AG11" s="68"/>
      <c r="AH11" s="66"/>
      <c r="AI11" s="54"/>
      <c r="AJ11" s="55" t="e">
        <f t="shared" si="16"/>
        <v>#DIV/0!</v>
      </c>
      <c r="AK11" s="54"/>
      <c r="AL11" s="56" t="e">
        <f t="shared" si="17"/>
        <v>#DIV/0!</v>
      </c>
      <c r="AM11" s="67">
        <f t="shared" si="28"/>
        <v>0</v>
      </c>
      <c r="AN11" s="69" t="str">
        <f t="shared" si="18"/>
        <v/>
      </c>
      <c r="AO11" s="70"/>
      <c r="AP11" s="66"/>
      <c r="AQ11" s="54"/>
      <c r="AR11" s="55" t="e">
        <f t="shared" si="19"/>
        <v>#DIV/0!</v>
      </c>
      <c r="AS11" s="54"/>
      <c r="AT11" s="56" t="e">
        <f t="shared" si="20"/>
        <v>#DIV/0!</v>
      </c>
      <c r="AU11" s="56"/>
      <c r="AV11" s="56"/>
      <c r="AW11" s="71">
        <f t="shared" si="31"/>
        <v>0</v>
      </c>
      <c r="AX11" s="69" t="str">
        <f t="shared" si="21"/>
        <v/>
      </c>
      <c r="AY11" s="84">
        <f t="shared" si="22"/>
        <v>31</v>
      </c>
      <c r="AZ11" s="61">
        <f t="shared" si="23"/>
        <v>172980</v>
      </c>
      <c r="BA11" s="61">
        <f t="shared" si="24"/>
        <v>33760</v>
      </c>
      <c r="BB11" s="73">
        <f t="shared" si="32"/>
        <v>206740</v>
      </c>
      <c r="BC11" s="74">
        <f t="shared" si="30"/>
        <v>3300</v>
      </c>
      <c r="BD11" s="75">
        <v>31</v>
      </c>
      <c r="BE11" s="76">
        <v>164010</v>
      </c>
      <c r="BF11" s="76">
        <v>26440</v>
      </c>
      <c r="BG11" s="77">
        <v>3300</v>
      </c>
      <c r="BH11" s="77"/>
      <c r="BI11" s="77"/>
      <c r="BJ11" s="77"/>
      <c r="BK11" s="78">
        <f t="shared" si="29"/>
        <v>193750</v>
      </c>
      <c r="BL11" s="49">
        <v>7</v>
      </c>
      <c r="BM11" s="79">
        <f t="shared" si="25"/>
        <v>193750</v>
      </c>
    </row>
    <row r="12" spans="1:67" ht="20" customHeight="1">
      <c r="B12" s="80">
        <f t="shared" si="26"/>
        <v>45573</v>
      </c>
      <c r="C12" s="86"/>
      <c r="D12" s="52"/>
      <c r="E12" s="53">
        <v>29</v>
      </c>
      <c r="F12" s="54">
        <v>108240</v>
      </c>
      <c r="G12" s="55">
        <f t="shared" si="0"/>
        <v>3393.1034482758619</v>
      </c>
      <c r="H12" s="54">
        <v>42990</v>
      </c>
      <c r="I12" s="56">
        <f t="shared" si="27"/>
        <v>1347.6206896551723</v>
      </c>
      <c r="J12" s="57">
        <f t="shared" si="1"/>
        <v>151230</v>
      </c>
      <c r="K12" s="58">
        <f t="shared" si="2"/>
        <v>5214.8275862068967</v>
      </c>
      <c r="L12" s="59"/>
      <c r="M12" s="60">
        <f t="shared" si="3"/>
        <v>41</v>
      </c>
      <c r="N12" s="61">
        <f t="shared" si="3"/>
        <v>430080</v>
      </c>
      <c r="O12" s="55">
        <f t="shared" si="4"/>
        <v>9536.121951219513</v>
      </c>
      <c r="P12" s="61">
        <f t="shared" si="5"/>
        <v>140220</v>
      </c>
      <c r="Q12" s="87">
        <f t="shared" si="6"/>
        <v>3109.0731707317073</v>
      </c>
      <c r="R12" s="62">
        <f t="shared" si="7"/>
        <v>570300</v>
      </c>
      <c r="S12" s="58">
        <f t="shared" si="8"/>
        <v>13909.756097560976</v>
      </c>
      <c r="T12" s="82">
        <f t="shared" si="9"/>
        <v>70</v>
      </c>
      <c r="U12" s="61">
        <f t="shared" si="9"/>
        <v>538320</v>
      </c>
      <c r="V12" s="61">
        <f t="shared" si="10"/>
        <v>183210</v>
      </c>
      <c r="W12" s="64">
        <f t="shared" si="11"/>
        <v>721530</v>
      </c>
      <c r="X12" s="83"/>
      <c r="Y12" s="65"/>
      <c r="Z12" s="66">
        <v>7</v>
      </c>
      <c r="AA12" s="54">
        <v>3250</v>
      </c>
      <c r="AB12" s="55">
        <f t="shared" si="12"/>
        <v>464.28571428571428</v>
      </c>
      <c r="AC12" s="54">
        <v>900</v>
      </c>
      <c r="AD12" s="56">
        <f t="shared" si="13"/>
        <v>128.57142857142858</v>
      </c>
      <c r="AE12" s="67">
        <f t="shared" si="14"/>
        <v>4150</v>
      </c>
      <c r="AF12" s="58">
        <f t="shared" si="15"/>
        <v>592.85714285714289</v>
      </c>
      <c r="AG12" s="68"/>
      <c r="AH12" s="66">
        <v>37</v>
      </c>
      <c r="AI12" s="54">
        <v>96570</v>
      </c>
      <c r="AJ12" s="55">
        <f t="shared" si="16"/>
        <v>2610</v>
      </c>
      <c r="AK12" s="54">
        <v>48285</v>
      </c>
      <c r="AL12" s="56">
        <f t="shared" si="17"/>
        <v>1305</v>
      </c>
      <c r="AM12" s="67">
        <f t="shared" si="28"/>
        <v>144855</v>
      </c>
      <c r="AN12" s="69">
        <f t="shared" si="18"/>
        <v>3915</v>
      </c>
      <c r="AO12" s="70"/>
      <c r="AP12" s="66"/>
      <c r="AQ12" s="54"/>
      <c r="AR12" s="55" t="e">
        <f t="shared" si="19"/>
        <v>#DIV/0!</v>
      </c>
      <c r="AS12" s="54"/>
      <c r="AT12" s="56" t="e">
        <f t="shared" si="20"/>
        <v>#DIV/0!</v>
      </c>
      <c r="AU12" s="56"/>
      <c r="AV12" s="56"/>
      <c r="AW12" s="71">
        <f>AQ12+AS12+AU12+AV12-BN12</f>
        <v>0</v>
      </c>
      <c r="AX12" s="69" t="str">
        <f t="shared" si="21"/>
        <v/>
      </c>
      <c r="AY12" s="84">
        <f t="shared" si="22"/>
        <v>70</v>
      </c>
      <c r="AZ12" s="61">
        <f t="shared" si="23"/>
        <v>638140</v>
      </c>
      <c r="BA12" s="61">
        <f t="shared" si="24"/>
        <v>232395</v>
      </c>
      <c r="BB12" s="73">
        <f t="shared" si="32"/>
        <v>870535</v>
      </c>
      <c r="BC12" s="74">
        <f t="shared" si="30"/>
        <v>0</v>
      </c>
      <c r="BD12" s="75">
        <v>70</v>
      </c>
      <c r="BE12" s="76">
        <v>538320</v>
      </c>
      <c r="BF12" s="76">
        <v>183210</v>
      </c>
      <c r="BG12" s="77"/>
      <c r="BH12" s="77"/>
      <c r="BI12" s="77"/>
      <c r="BJ12" s="77"/>
      <c r="BK12" s="78">
        <f t="shared" si="29"/>
        <v>721530</v>
      </c>
      <c r="BL12" s="49">
        <v>8</v>
      </c>
      <c r="BM12" s="79">
        <f t="shared" si="25"/>
        <v>721530</v>
      </c>
    </row>
    <row r="13" spans="1:67" ht="20" customHeight="1">
      <c r="B13" s="80">
        <f t="shared" si="26"/>
        <v>45574</v>
      </c>
      <c r="C13" s="81"/>
      <c r="D13" s="52"/>
      <c r="E13" s="53">
        <v>31</v>
      </c>
      <c r="F13" s="54">
        <v>123970</v>
      </c>
      <c r="G13" s="55">
        <f t="shared" si="0"/>
        <v>3635.483870967742</v>
      </c>
      <c r="H13" s="54">
        <v>18660</v>
      </c>
      <c r="I13" s="56">
        <f t="shared" si="27"/>
        <v>547.19354838709683</v>
      </c>
      <c r="J13" s="57">
        <f t="shared" si="1"/>
        <v>142630</v>
      </c>
      <c r="K13" s="58">
        <f t="shared" si="2"/>
        <v>4600.9677419354839</v>
      </c>
      <c r="L13" s="59"/>
      <c r="M13" s="60">
        <f t="shared" si="3"/>
        <v>30</v>
      </c>
      <c r="N13" s="61">
        <f t="shared" si="3"/>
        <v>271370</v>
      </c>
      <c r="O13" s="55">
        <f t="shared" si="4"/>
        <v>8223.3333333333339</v>
      </c>
      <c r="P13" s="61">
        <f t="shared" si="5"/>
        <v>82860</v>
      </c>
      <c r="Q13" s="56">
        <f t="shared" si="6"/>
        <v>2510.9</v>
      </c>
      <c r="R13" s="62">
        <f t="shared" si="7"/>
        <v>354230</v>
      </c>
      <c r="S13" s="58">
        <f t="shared" si="8"/>
        <v>11807.666666666666</v>
      </c>
      <c r="T13" s="82">
        <f t="shared" si="9"/>
        <v>61</v>
      </c>
      <c r="U13" s="61">
        <f t="shared" si="9"/>
        <v>395340</v>
      </c>
      <c r="V13" s="61">
        <f t="shared" si="10"/>
        <v>101520</v>
      </c>
      <c r="W13" s="64">
        <f t="shared" si="11"/>
        <v>496860</v>
      </c>
      <c r="X13" s="83"/>
      <c r="Y13" s="65"/>
      <c r="Z13" s="66">
        <v>7</v>
      </c>
      <c r="AA13" s="54">
        <v>3390</v>
      </c>
      <c r="AB13" s="55">
        <f t="shared" si="12"/>
        <v>484.28571428571428</v>
      </c>
      <c r="AC13" s="54">
        <v>350</v>
      </c>
      <c r="AD13" s="56">
        <f t="shared" si="13"/>
        <v>50</v>
      </c>
      <c r="AE13" s="67">
        <f t="shared" si="14"/>
        <v>3740</v>
      </c>
      <c r="AF13" s="58">
        <f t="shared" si="15"/>
        <v>534.28571428571433</v>
      </c>
      <c r="AG13" s="68"/>
      <c r="AH13" s="66"/>
      <c r="AI13" s="54"/>
      <c r="AJ13" s="55" t="e">
        <f t="shared" si="16"/>
        <v>#DIV/0!</v>
      </c>
      <c r="AK13" s="54"/>
      <c r="AL13" s="56" t="e">
        <f t="shared" si="17"/>
        <v>#DIV/0!</v>
      </c>
      <c r="AM13" s="67">
        <f t="shared" si="28"/>
        <v>0</v>
      </c>
      <c r="AN13" s="69" t="str">
        <f t="shared" si="18"/>
        <v/>
      </c>
      <c r="AO13" s="70"/>
      <c r="AP13" s="66"/>
      <c r="AQ13" s="54"/>
      <c r="AR13" s="55" t="e">
        <f t="shared" si="19"/>
        <v>#DIV/0!</v>
      </c>
      <c r="AS13" s="54"/>
      <c r="AT13" s="56" t="e">
        <f t="shared" si="20"/>
        <v>#DIV/0!</v>
      </c>
      <c r="AU13" s="56"/>
      <c r="AV13" s="56"/>
      <c r="AW13" s="71">
        <f>AQ13+AS13+AU13+AV13-BN13</f>
        <v>0</v>
      </c>
      <c r="AX13" s="69" t="str">
        <f t="shared" si="21"/>
        <v/>
      </c>
      <c r="AY13" s="84">
        <f t="shared" si="22"/>
        <v>61</v>
      </c>
      <c r="AZ13" s="61">
        <f t="shared" si="23"/>
        <v>398730</v>
      </c>
      <c r="BA13" s="61">
        <f t="shared" si="24"/>
        <v>101870</v>
      </c>
      <c r="BB13" s="73">
        <f t="shared" si="32"/>
        <v>500600</v>
      </c>
      <c r="BC13" s="74">
        <f t="shared" si="30"/>
        <v>3300</v>
      </c>
      <c r="BD13" s="75">
        <v>61</v>
      </c>
      <c r="BE13" s="76">
        <v>395340</v>
      </c>
      <c r="BF13" s="76">
        <v>101520</v>
      </c>
      <c r="BG13" s="77">
        <v>3300</v>
      </c>
      <c r="BH13" s="77"/>
      <c r="BI13" s="77"/>
      <c r="BJ13" s="77"/>
      <c r="BK13" s="78">
        <f t="shared" si="29"/>
        <v>500160</v>
      </c>
      <c r="BL13" s="49">
        <v>9</v>
      </c>
      <c r="BM13" s="79">
        <f t="shared" si="25"/>
        <v>500160</v>
      </c>
    </row>
    <row r="14" spans="1:67" ht="20" customHeight="1">
      <c r="B14" s="80">
        <f t="shared" si="26"/>
        <v>45575</v>
      </c>
      <c r="C14" s="81"/>
      <c r="D14" s="52"/>
      <c r="E14" s="53">
        <v>34</v>
      </c>
      <c r="F14" s="54">
        <f>7040+111650</f>
        <v>118690</v>
      </c>
      <c r="G14" s="55">
        <f t="shared" si="0"/>
        <v>3173.5294117647059</v>
      </c>
      <c r="H14" s="54">
        <f>1320+18040</f>
        <v>19360</v>
      </c>
      <c r="I14" s="56">
        <f>ROUNDDOWN(H14/1.1,0)/E14</f>
        <v>517.64705882352939</v>
      </c>
      <c r="J14" s="57">
        <f t="shared" si="1"/>
        <v>138050</v>
      </c>
      <c r="K14" s="58">
        <f t="shared" si="2"/>
        <v>4060.294117647059</v>
      </c>
      <c r="L14" s="59"/>
      <c r="M14" s="60">
        <f t="shared" si="3"/>
        <v>21</v>
      </c>
      <c r="N14" s="61">
        <f t="shared" si="3"/>
        <v>199760</v>
      </c>
      <c r="O14" s="55">
        <f t="shared" si="4"/>
        <v>8647.6190476190477</v>
      </c>
      <c r="P14" s="61">
        <f t="shared" si="5"/>
        <v>48120</v>
      </c>
      <c r="Q14" s="56">
        <f t="shared" si="6"/>
        <v>2083.0952380952381</v>
      </c>
      <c r="R14" s="62">
        <f t="shared" si="7"/>
        <v>247880</v>
      </c>
      <c r="S14" s="58">
        <f t="shared" si="8"/>
        <v>11803.809523809523</v>
      </c>
      <c r="T14" s="82">
        <f t="shared" si="9"/>
        <v>55</v>
      </c>
      <c r="U14" s="61">
        <f t="shared" si="9"/>
        <v>318450</v>
      </c>
      <c r="V14" s="61">
        <f t="shared" si="10"/>
        <v>67480</v>
      </c>
      <c r="W14" s="64">
        <f t="shared" si="11"/>
        <v>385930</v>
      </c>
      <c r="X14" s="83"/>
      <c r="Y14" s="65"/>
      <c r="Z14" s="66">
        <v>10</v>
      </c>
      <c r="AA14" s="54">
        <v>5960</v>
      </c>
      <c r="AB14" s="55">
        <f t="shared" si="12"/>
        <v>596</v>
      </c>
      <c r="AC14" s="54">
        <v>3640</v>
      </c>
      <c r="AD14" s="56">
        <f t="shared" si="13"/>
        <v>364</v>
      </c>
      <c r="AE14" s="67">
        <f t="shared" si="14"/>
        <v>9600</v>
      </c>
      <c r="AF14" s="58">
        <f t="shared" si="15"/>
        <v>960</v>
      </c>
      <c r="AG14" s="68"/>
      <c r="AH14" s="66"/>
      <c r="AI14" s="54"/>
      <c r="AJ14" s="55" t="e">
        <f t="shared" si="16"/>
        <v>#DIV/0!</v>
      </c>
      <c r="AK14" s="54"/>
      <c r="AL14" s="56" t="e">
        <f t="shared" si="17"/>
        <v>#DIV/0!</v>
      </c>
      <c r="AM14" s="67">
        <f t="shared" si="28"/>
        <v>0</v>
      </c>
      <c r="AN14" s="69" t="str">
        <f t="shared" si="18"/>
        <v/>
      </c>
      <c r="AO14" s="70"/>
      <c r="AP14" s="66"/>
      <c r="AQ14" s="54"/>
      <c r="AR14" s="55" t="e">
        <f t="shared" si="19"/>
        <v>#DIV/0!</v>
      </c>
      <c r="AS14" s="54"/>
      <c r="AT14" s="56" t="e">
        <f t="shared" si="20"/>
        <v>#DIV/0!</v>
      </c>
      <c r="AU14" s="56"/>
      <c r="AV14" s="56"/>
      <c r="AW14" s="71">
        <f t="shared" si="31"/>
        <v>0</v>
      </c>
      <c r="AX14" s="69" t="str">
        <f t="shared" si="21"/>
        <v/>
      </c>
      <c r="AY14" s="84">
        <f t="shared" si="22"/>
        <v>55</v>
      </c>
      <c r="AZ14" s="61">
        <f t="shared" si="23"/>
        <v>324410</v>
      </c>
      <c r="BA14" s="61">
        <f t="shared" si="24"/>
        <v>71120</v>
      </c>
      <c r="BB14" s="73">
        <f>W14+AE14+AM14+AW14-BN14</f>
        <v>395530</v>
      </c>
      <c r="BC14" s="74">
        <f t="shared" si="30"/>
        <v>6050</v>
      </c>
      <c r="BD14" s="75">
        <v>55</v>
      </c>
      <c r="BE14" s="76">
        <v>318450</v>
      </c>
      <c r="BF14" s="76">
        <v>67480</v>
      </c>
      <c r="BG14" s="77">
        <v>6050</v>
      </c>
      <c r="BH14" s="77"/>
      <c r="BI14" s="77"/>
      <c r="BJ14" s="77"/>
      <c r="BK14" s="78">
        <f t="shared" si="29"/>
        <v>391980</v>
      </c>
      <c r="BL14" s="49">
        <v>10</v>
      </c>
      <c r="BM14" s="79">
        <f t="shared" si="25"/>
        <v>391980</v>
      </c>
    </row>
    <row r="15" spans="1:67" ht="20" customHeight="1">
      <c r="B15" s="80">
        <f t="shared" si="26"/>
        <v>45576</v>
      </c>
      <c r="C15" s="86"/>
      <c r="D15" s="52"/>
      <c r="E15" s="53">
        <v>31</v>
      </c>
      <c r="F15" s="54">
        <v>111760</v>
      </c>
      <c r="G15" s="55">
        <f t="shared" si="0"/>
        <v>3277.4193548387098</v>
      </c>
      <c r="H15" s="54">
        <v>19040</v>
      </c>
      <c r="I15" s="56">
        <f t="shared" si="27"/>
        <v>558.35483870967744</v>
      </c>
      <c r="J15" s="57">
        <f t="shared" si="1"/>
        <v>130800</v>
      </c>
      <c r="K15" s="58">
        <f t="shared" si="2"/>
        <v>4219.3548387096771</v>
      </c>
      <c r="L15" s="59"/>
      <c r="M15" s="60">
        <f t="shared" si="3"/>
        <v>31</v>
      </c>
      <c r="N15" s="61">
        <f t="shared" si="3"/>
        <v>269480</v>
      </c>
      <c r="O15" s="55">
        <f t="shared" si="4"/>
        <v>7902.6129032258068</v>
      </c>
      <c r="P15" s="61">
        <f t="shared" si="5"/>
        <v>45290</v>
      </c>
      <c r="Q15" s="56">
        <f t="shared" si="6"/>
        <v>1328.1290322580646</v>
      </c>
      <c r="R15" s="62">
        <f t="shared" si="7"/>
        <v>314770</v>
      </c>
      <c r="S15" s="58">
        <f t="shared" si="8"/>
        <v>10153.870967741936</v>
      </c>
      <c r="T15" s="82">
        <f t="shared" si="9"/>
        <v>62</v>
      </c>
      <c r="U15" s="61">
        <f t="shared" si="9"/>
        <v>381240</v>
      </c>
      <c r="V15" s="61">
        <f t="shared" si="10"/>
        <v>64330</v>
      </c>
      <c r="W15" s="64">
        <f t="shared" si="11"/>
        <v>445570</v>
      </c>
      <c r="X15" s="83"/>
      <c r="Y15" s="65"/>
      <c r="Z15" s="66">
        <v>6</v>
      </c>
      <c r="AA15" s="54">
        <v>3880</v>
      </c>
      <c r="AB15" s="55">
        <f t="shared" si="12"/>
        <v>646.66666666666663</v>
      </c>
      <c r="AC15" s="54">
        <v>2600</v>
      </c>
      <c r="AD15" s="56">
        <f t="shared" si="13"/>
        <v>433.33333333333331</v>
      </c>
      <c r="AE15" s="67">
        <f t="shared" si="14"/>
        <v>6480</v>
      </c>
      <c r="AF15" s="58">
        <f t="shared" si="15"/>
        <v>1080</v>
      </c>
      <c r="AG15" s="68"/>
      <c r="AH15" s="66"/>
      <c r="AI15" s="54"/>
      <c r="AJ15" s="55" t="e">
        <f t="shared" si="16"/>
        <v>#DIV/0!</v>
      </c>
      <c r="AK15" s="54"/>
      <c r="AL15" s="56" t="e">
        <f t="shared" si="17"/>
        <v>#DIV/0!</v>
      </c>
      <c r="AM15" s="67">
        <f t="shared" si="28"/>
        <v>0</v>
      </c>
      <c r="AN15" s="69" t="str">
        <f t="shared" si="18"/>
        <v/>
      </c>
      <c r="AO15" s="70"/>
      <c r="AP15" s="66"/>
      <c r="AQ15" s="54"/>
      <c r="AR15" s="55" t="e">
        <f t="shared" si="19"/>
        <v>#DIV/0!</v>
      </c>
      <c r="AS15" s="54"/>
      <c r="AT15" s="56" t="e">
        <f t="shared" si="20"/>
        <v>#DIV/0!</v>
      </c>
      <c r="AU15" s="56"/>
      <c r="AV15" s="56"/>
      <c r="AW15" s="71">
        <f t="shared" si="31"/>
        <v>0</v>
      </c>
      <c r="AX15" s="69" t="str">
        <f t="shared" si="21"/>
        <v/>
      </c>
      <c r="AY15" s="84">
        <f t="shared" si="22"/>
        <v>62</v>
      </c>
      <c r="AZ15" s="61">
        <f t="shared" si="23"/>
        <v>385120</v>
      </c>
      <c r="BA15" s="61">
        <f t="shared" si="24"/>
        <v>66930</v>
      </c>
      <c r="BB15" s="73">
        <f>W15+AE15+AM15+AW15-BN15</f>
        <v>452050</v>
      </c>
      <c r="BC15" s="74">
        <f t="shared" si="30"/>
        <v>1100</v>
      </c>
      <c r="BD15" s="75">
        <v>62</v>
      </c>
      <c r="BE15" s="76">
        <v>381240</v>
      </c>
      <c r="BF15" s="76">
        <v>64330</v>
      </c>
      <c r="BG15" s="77">
        <v>1100</v>
      </c>
      <c r="BH15" s="77"/>
      <c r="BI15" s="77"/>
      <c r="BJ15" s="77"/>
      <c r="BK15" s="78">
        <f t="shared" si="29"/>
        <v>446670</v>
      </c>
      <c r="BL15" s="49">
        <v>11</v>
      </c>
      <c r="BM15" s="79">
        <f t="shared" si="25"/>
        <v>446670</v>
      </c>
    </row>
    <row r="16" spans="1:67" ht="20" customHeight="1">
      <c r="B16" s="80">
        <f t="shared" si="26"/>
        <v>45577</v>
      </c>
      <c r="C16" s="81"/>
      <c r="D16" s="52"/>
      <c r="E16" s="53">
        <v>29</v>
      </c>
      <c r="F16" s="54">
        <v>144760</v>
      </c>
      <c r="G16" s="55">
        <f t="shared" si="0"/>
        <v>4537.9310344827591</v>
      </c>
      <c r="H16" s="54">
        <v>36350</v>
      </c>
      <c r="I16" s="56">
        <f t="shared" si="27"/>
        <v>1139.4827586206898</v>
      </c>
      <c r="J16" s="57">
        <f t="shared" si="1"/>
        <v>181110</v>
      </c>
      <c r="K16" s="58">
        <f t="shared" si="2"/>
        <v>6245.1724137931033</v>
      </c>
      <c r="L16" s="59"/>
      <c r="M16" s="60">
        <f t="shared" si="3"/>
        <v>29</v>
      </c>
      <c r="N16" s="61">
        <f t="shared" si="3"/>
        <v>258280</v>
      </c>
      <c r="O16" s="55">
        <f t="shared" si="4"/>
        <v>8096.5517241379312</v>
      </c>
      <c r="P16" s="61">
        <f t="shared" si="5"/>
        <v>61910</v>
      </c>
      <c r="Q16" s="56">
        <f t="shared" si="6"/>
        <v>1940.7241379310344</v>
      </c>
      <c r="R16" s="62">
        <f t="shared" si="7"/>
        <v>320190</v>
      </c>
      <c r="S16" s="58">
        <f t="shared" si="8"/>
        <v>11041.034482758621</v>
      </c>
      <c r="T16" s="82">
        <f t="shared" si="9"/>
        <v>58</v>
      </c>
      <c r="U16" s="61">
        <f t="shared" si="9"/>
        <v>403040</v>
      </c>
      <c r="V16" s="61">
        <f t="shared" si="10"/>
        <v>98260</v>
      </c>
      <c r="W16" s="64">
        <f t="shared" si="11"/>
        <v>501300</v>
      </c>
      <c r="X16" s="83"/>
      <c r="Y16" s="65"/>
      <c r="Z16" s="66">
        <v>21</v>
      </c>
      <c r="AA16" s="54">
        <v>11170</v>
      </c>
      <c r="AB16" s="55">
        <f t="shared" si="12"/>
        <v>531.90476190476193</v>
      </c>
      <c r="AC16" s="54">
        <v>1200</v>
      </c>
      <c r="AD16" s="56">
        <f t="shared" si="13"/>
        <v>57.142857142857146</v>
      </c>
      <c r="AE16" s="67">
        <f t="shared" si="14"/>
        <v>12370</v>
      </c>
      <c r="AF16" s="58">
        <f t="shared" si="15"/>
        <v>589.04761904761904</v>
      </c>
      <c r="AG16" s="68"/>
      <c r="AH16" s="66">
        <v>20</v>
      </c>
      <c r="AI16" s="54">
        <v>78300</v>
      </c>
      <c r="AJ16" s="55">
        <f t="shared" si="16"/>
        <v>3915</v>
      </c>
      <c r="AK16" s="54">
        <v>26100</v>
      </c>
      <c r="AL16" s="56">
        <f t="shared" si="17"/>
        <v>1305</v>
      </c>
      <c r="AM16" s="67">
        <f t="shared" si="28"/>
        <v>104400</v>
      </c>
      <c r="AN16" s="69">
        <f t="shared" si="18"/>
        <v>5220</v>
      </c>
      <c r="AO16" s="70"/>
      <c r="AP16" s="66"/>
      <c r="AQ16" s="54"/>
      <c r="AR16" s="55" t="e">
        <f t="shared" si="19"/>
        <v>#DIV/0!</v>
      </c>
      <c r="AS16" s="54"/>
      <c r="AT16" s="56" t="e">
        <f t="shared" si="20"/>
        <v>#DIV/0!</v>
      </c>
      <c r="AU16" s="56"/>
      <c r="AV16" s="56"/>
      <c r="AW16" s="71">
        <f t="shared" si="31"/>
        <v>0</v>
      </c>
      <c r="AX16" s="69" t="str">
        <f t="shared" si="21"/>
        <v/>
      </c>
      <c r="AY16" s="84">
        <f t="shared" si="22"/>
        <v>58</v>
      </c>
      <c r="AZ16" s="61">
        <f t="shared" si="23"/>
        <v>492510</v>
      </c>
      <c r="BA16" s="61">
        <f t="shared" si="24"/>
        <v>125560</v>
      </c>
      <c r="BB16" s="73">
        <f t="shared" si="32"/>
        <v>618070</v>
      </c>
      <c r="BC16" s="74">
        <f t="shared" si="30"/>
        <v>4400</v>
      </c>
      <c r="BD16" s="75">
        <v>58</v>
      </c>
      <c r="BE16" s="76">
        <v>403040</v>
      </c>
      <c r="BF16" s="76">
        <v>98260</v>
      </c>
      <c r="BG16" s="77">
        <v>4400</v>
      </c>
      <c r="BH16" s="77"/>
      <c r="BI16" s="77"/>
      <c r="BJ16" s="77"/>
      <c r="BK16" s="78">
        <f t="shared" si="29"/>
        <v>505700</v>
      </c>
      <c r="BL16" s="49">
        <v>12</v>
      </c>
      <c r="BM16" s="79">
        <f t="shared" si="25"/>
        <v>505700</v>
      </c>
    </row>
    <row r="17" spans="2:67" ht="20" customHeight="1">
      <c r="B17" s="80">
        <f t="shared" si="26"/>
        <v>45578</v>
      </c>
      <c r="C17" s="86"/>
      <c r="D17" s="52"/>
      <c r="E17" s="53">
        <v>46</v>
      </c>
      <c r="F17" s="54">
        <v>293480</v>
      </c>
      <c r="G17" s="55">
        <f t="shared" si="0"/>
        <v>5800</v>
      </c>
      <c r="H17" s="54">
        <v>120520</v>
      </c>
      <c r="I17" s="56">
        <f t="shared" si="27"/>
        <v>2381.804347826087</v>
      </c>
      <c r="J17" s="57">
        <f t="shared" si="1"/>
        <v>414000</v>
      </c>
      <c r="K17" s="58">
        <f t="shared" si="2"/>
        <v>9000</v>
      </c>
      <c r="L17" s="59"/>
      <c r="M17" s="60">
        <f t="shared" si="3"/>
        <v>27</v>
      </c>
      <c r="N17" s="61">
        <f t="shared" si="3"/>
        <v>195580</v>
      </c>
      <c r="O17" s="55">
        <f t="shared" si="4"/>
        <v>6585.1851851851852</v>
      </c>
      <c r="P17" s="61">
        <f t="shared" si="5"/>
        <v>39510</v>
      </c>
      <c r="Q17" s="56">
        <f t="shared" si="6"/>
        <v>1330.2962962962963</v>
      </c>
      <c r="R17" s="62">
        <f t="shared" si="7"/>
        <v>235090</v>
      </c>
      <c r="S17" s="58">
        <f t="shared" si="8"/>
        <v>8707.0370370370365</v>
      </c>
      <c r="T17" s="82">
        <f>E17+M17</f>
        <v>73</v>
      </c>
      <c r="U17" s="61">
        <f t="shared" si="9"/>
        <v>489060</v>
      </c>
      <c r="V17" s="61">
        <f t="shared" si="10"/>
        <v>160030</v>
      </c>
      <c r="W17" s="64">
        <f t="shared" si="11"/>
        <v>649090</v>
      </c>
      <c r="X17" s="83"/>
      <c r="Y17" s="65"/>
      <c r="Z17" s="66">
        <v>26</v>
      </c>
      <c r="AA17" s="54">
        <v>12760</v>
      </c>
      <c r="AB17" s="55">
        <f t="shared" si="12"/>
        <v>490.76923076923077</v>
      </c>
      <c r="AC17" s="54">
        <v>6750</v>
      </c>
      <c r="AD17" s="56">
        <f t="shared" si="13"/>
        <v>259.61538461538464</v>
      </c>
      <c r="AE17" s="67">
        <f t="shared" si="14"/>
        <v>19510</v>
      </c>
      <c r="AF17" s="58">
        <f t="shared" si="15"/>
        <v>750.38461538461536</v>
      </c>
      <c r="AG17" s="68"/>
      <c r="AH17" s="66"/>
      <c r="AI17" s="54"/>
      <c r="AJ17" s="55" t="e">
        <f t="shared" si="16"/>
        <v>#DIV/0!</v>
      </c>
      <c r="AK17" s="54"/>
      <c r="AL17" s="56" t="e">
        <f t="shared" si="17"/>
        <v>#DIV/0!</v>
      </c>
      <c r="AM17" s="67">
        <f t="shared" si="28"/>
        <v>0</v>
      </c>
      <c r="AN17" s="69" t="str">
        <f t="shared" si="18"/>
        <v/>
      </c>
      <c r="AO17" s="70"/>
      <c r="AP17" s="66"/>
      <c r="AQ17" s="54"/>
      <c r="AR17" s="55" t="e">
        <f t="shared" si="19"/>
        <v>#DIV/0!</v>
      </c>
      <c r="AS17" s="54"/>
      <c r="AT17" s="56" t="e">
        <f t="shared" si="20"/>
        <v>#DIV/0!</v>
      </c>
      <c r="AU17" s="56"/>
      <c r="AV17" s="56"/>
      <c r="AW17" s="71">
        <f>AQ17+AS17+AU17+AV17</f>
        <v>0</v>
      </c>
      <c r="AX17" s="69" t="str">
        <f t="shared" si="21"/>
        <v/>
      </c>
      <c r="AY17" s="84">
        <f t="shared" si="22"/>
        <v>73</v>
      </c>
      <c r="AZ17" s="61">
        <f t="shared" si="23"/>
        <v>501820</v>
      </c>
      <c r="BA17" s="61">
        <f t="shared" si="24"/>
        <v>166780</v>
      </c>
      <c r="BB17" s="73">
        <f t="shared" si="32"/>
        <v>668600</v>
      </c>
      <c r="BC17" s="74">
        <f t="shared" si="30"/>
        <v>0</v>
      </c>
      <c r="BD17" s="75">
        <v>73</v>
      </c>
      <c r="BE17" s="76">
        <v>489060</v>
      </c>
      <c r="BF17" s="76">
        <v>160030</v>
      </c>
      <c r="BG17" s="77"/>
      <c r="BH17" s="77"/>
      <c r="BI17" s="77">
        <v>6600</v>
      </c>
      <c r="BJ17" s="77">
        <v>9900</v>
      </c>
      <c r="BK17" s="78">
        <f t="shared" si="29"/>
        <v>649090</v>
      </c>
      <c r="BL17" s="49">
        <v>13</v>
      </c>
      <c r="BM17" s="79">
        <f t="shared" si="25"/>
        <v>658990</v>
      </c>
      <c r="BN17" s="49" t="s">
        <v>41</v>
      </c>
    </row>
    <row r="18" spans="2:67" ht="20" customHeight="1">
      <c r="B18" s="80">
        <f t="shared" si="26"/>
        <v>45579</v>
      </c>
      <c r="C18" s="81"/>
      <c r="D18" s="52"/>
      <c r="E18" s="53">
        <v>26</v>
      </c>
      <c r="F18" s="54">
        <v>115280</v>
      </c>
      <c r="G18" s="55">
        <f t="shared" si="0"/>
        <v>4030.7692307692309</v>
      </c>
      <c r="H18" s="54">
        <v>16030</v>
      </c>
      <c r="I18" s="56">
        <f t="shared" si="27"/>
        <v>560.46153846153845</v>
      </c>
      <c r="J18" s="57">
        <f t="shared" si="1"/>
        <v>131310</v>
      </c>
      <c r="K18" s="58">
        <f t="shared" si="2"/>
        <v>5050.3846153846152</v>
      </c>
      <c r="L18" s="59"/>
      <c r="M18" s="60">
        <f t="shared" si="3"/>
        <v>10</v>
      </c>
      <c r="N18" s="61">
        <f t="shared" si="3"/>
        <v>96360</v>
      </c>
      <c r="O18" s="55">
        <f t="shared" si="4"/>
        <v>8760</v>
      </c>
      <c r="P18" s="61">
        <f t="shared" si="5"/>
        <v>24970</v>
      </c>
      <c r="Q18" s="56">
        <f t="shared" si="6"/>
        <v>2270</v>
      </c>
      <c r="R18" s="62">
        <f t="shared" si="7"/>
        <v>121330</v>
      </c>
      <c r="S18" s="58">
        <f t="shared" si="8"/>
        <v>12133</v>
      </c>
      <c r="T18" s="82">
        <f t="shared" si="9"/>
        <v>36</v>
      </c>
      <c r="U18" s="61">
        <f t="shared" si="9"/>
        <v>211640</v>
      </c>
      <c r="V18" s="61">
        <f t="shared" si="10"/>
        <v>41000</v>
      </c>
      <c r="W18" s="64">
        <f t="shared" si="11"/>
        <v>252640</v>
      </c>
      <c r="X18" s="83"/>
      <c r="Y18" s="65"/>
      <c r="Z18" s="66">
        <v>12</v>
      </c>
      <c r="AA18" s="54">
        <v>5930</v>
      </c>
      <c r="AB18" s="55">
        <f t="shared" si="12"/>
        <v>494.16666666666669</v>
      </c>
      <c r="AC18" s="54">
        <v>800</v>
      </c>
      <c r="AD18" s="56">
        <f t="shared" si="13"/>
        <v>66.666666666666671</v>
      </c>
      <c r="AE18" s="67">
        <f t="shared" si="14"/>
        <v>6730</v>
      </c>
      <c r="AF18" s="58">
        <f t="shared" si="15"/>
        <v>560.83333333333337</v>
      </c>
      <c r="AG18" s="68"/>
      <c r="AH18" s="66"/>
      <c r="AI18" s="54"/>
      <c r="AJ18" s="55" t="e">
        <f t="shared" si="16"/>
        <v>#DIV/0!</v>
      </c>
      <c r="AK18" s="54"/>
      <c r="AL18" s="56" t="e">
        <f t="shared" si="17"/>
        <v>#DIV/0!</v>
      </c>
      <c r="AM18" s="67">
        <f t="shared" si="28"/>
        <v>0</v>
      </c>
      <c r="AN18" s="69" t="str">
        <f t="shared" si="18"/>
        <v/>
      </c>
      <c r="AO18" s="70"/>
      <c r="AP18" s="66"/>
      <c r="AQ18" s="54"/>
      <c r="AR18" s="55" t="e">
        <f t="shared" si="19"/>
        <v>#DIV/0!</v>
      </c>
      <c r="AS18" s="54"/>
      <c r="AT18" s="56" t="e">
        <f t="shared" si="20"/>
        <v>#DIV/0!</v>
      </c>
      <c r="AU18" s="56"/>
      <c r="AV18" s="56"/>
      <c r="AW18" s="71">
        <f t="shared" ref="AW18:AW35" si="33">AQ18+AS18+AU18+AV18</f>
        <v>0</v>
      </c>
      <c r="AX18" s="69" t="str">
        <f t="shared" si="21"/>
        <v/>
      </c>
      <c r="AY18" s="84">
        <f t="shared" si="22"/>
        <v>36</v>
      </c>
      <c r="AZ18" s="61">
        <f t="shared" si="23"/>
        <v>217570</v>
      </c>
      <c r="BA18" s="61">
        <f t="shared" si="24"/>
        <v>41800</v>
      </c>
      <c r="BB18" s="73">
        <f>W18+AE18+AM18+AW18-BN18</f>
        <v>259370</v>
      </c>
      <c r="BC18" s="74">
        <f t="shared" si="30"/>
        <v>0</v>
      </c>
      <c r="BD18" s="75">
        <v>36</v>
      </c>
      <c r="BE18" s="76">
        <v>211640</v>
      </c>
      <c r="BF18" s="76">
        <v>41000</v>
      </c>
      <c r="BG18" s="77"/>
      <c r="BH18" s="77"/>
      <c r="BI18" s="77"/>
      <c r="BJ18" s="77"/>
      <c r="BK18" s="78">
        <f t="shared" si="29"/>
        <v>252640</v>
      </c>
      <c r="BL18" s="49">
        <v>14</v>
      </c>
      <c r="BM18" s="79">
        <f t="shared" si="25"/>
        <v>252640</v>
      </c>
    </row>
    <row r="19" spans="2:67" ht="20" customHeight="1">
      <c r="B19" s="80">
        <f t="shared" si="26"/>
        <v>45580</v>
      </c>
      <c r="C19" s="81"/>
      <c r="D19" s="52"/>
      <c r="E19" s="53">
        <v>30</v>
      </c>
      <c r="F19" s="54">
        <v>132110</v>
      </c>
      <c r="G19" s="55">
        <f t="shared" si="0"/>
        <v>4003.3333333333335</v>
      </c>
      <c r="H19" s="54">
        <v>17250</v>
      </c>
      <c r="I19" s="56">
        <f t="shared" si="27"/>
        <v>522.70000000000005</v>
      </c>
      <c r="J19" s="57">
        <f t="shared" si="1"/>
        <v>149360</v>
      </c>
      <c r="K19" s="58">
        <f t="shared" si="2"/>
        <v>4978.666666666667</v>
      </c>
      <c r="L19" s="59"/>
      <c r="M19" s="60">
        <f t="shared" si="3"/>
        <v>6</v>
      </c>
      <c r="N19" s="61">
        <f t="shared" si="3"/>
        <v>48430</v>
      </c>
      <c r="O19" s="55">
        <f t="shared" si="4"/>
        <v>7337.833333333333</v>
      </c>
      <c r="P19" s="61">
        <f t="shared" si="5"/>
        <v>13470</v>
      </c>
      <c r="Q19" s="87">
        <f t="shared" si="6"/>
        <v>2040.8333333333333</v>
      </c>
      <c r="R19" s="62">
        <f t="shared" si="7"/>
        <v>61900</v>
      </c>
      <c r="S19" s="58">
        <f t="shared" si="8"/>
        <v>10316.666666666666</v>
      </c>
      <c r="T19" s="82">
        <f t="shared" si="9"/>
        <v>36</v>
      </c>
      <c r="U19" s="61">
        <f t="shared" si="9"/>
        <v>180540</v>
      </c>
      <c r="V19" s="61">
        <f t="shared" si="10"/>
        <v>30720</v>
      </c>
      <c r="W19" s="64">
        <f t="shared" si="11"/>
        <v>211260</v>
      </c>
      <c r="X19" s="83"/>
      <c r="Y19" s="65"/>
      <c r="Z19" s="66">
        <v>15</v>
      </c>
      <c r="AA19" s="54">
        <v>7500</v>
      </c>
      <c r="AB19" s="55">
        <f t="shared" si="12"/>
        <v>500</v>
      </c>
      <c r="AC19" s="54">
        <v>3850</v>
      </c>
      <c r="AD19" s="56">
        <v>1700</v>
      </c>
      <c r="AE19" s="67">
        <f t="shared" si="14"/>
        <v>11350</v>
      </c>
      <c r="AF19" s="58">
        <f t="shared" si="15"/>
        <v>756.66666666666663</v>
      </c>
      <c r="AG19" s="68"/>
      <c r="AH19" s="66"/>
      <c r="AI19" s="54"/>
      <c r="AJ19" s="55" t="e">
        <f t="shared" si="16"/>
        <v>#DIV/0!</v>
      </c>
      <c r="AK19" s="54"/>
      <c r="AL19" s="56" t="e">
        <f t="shared" si="17"/>
        <v>#DIV/0!</v>
      </c>
      <c r="AM19" s="67">
        <f t="shared" si="28"/>
        <v>0</v>
      </c>
      <c r="AN19" s="69" t="str">
        <f t="shared" si="18"/>
        <v/>
      </c>
      <c r="AO19" s="70"/>
      <c r="AP19" s="66"/>
      <c r="AQ19" s="54"/>
      <c r="AR19" s="55" t="e">
        <f t="shared" si="19"/>
        <v>#DIV/0!</v>
      </c>
      <c r="AS19" s="54"/>
      <c r="AT19" s="56" t="e">
        <f t="shared" si="20"/>
        <v>#DIV/0!</v>
      </c>
      <c r="AU19" s="56"/>
      <c r="AV19" s="56"/>
      <c r="AW19" s="71">
        <f>AQ19+AS19+AU19+AV19-BN19</f>
        <v>0</v>
      </c>
      <c r="AX19" s="69" t="str">
        <f t="shared" si="21"/>
        <v/>
      </c>
      <c r="AY19" s="84">
        <f t="shared" si="22"/>
        <v>36</v>
      </c>
      <c r="AZ19" s="61">
        <f t="shared" si="23"/>
        <v>188040</v>
      </c>
      <c r="BA19" s="61">
        <f t="shared" si="24"/>
        <v>34570</v>
      </c>
      <c r="BB19" s="73">
        <f>W19+AE19+AM19+AW19-BN19</f>
        <v>222610</v>
      </c>
      <c r="BC19" s="74">
        <f t="shared" si="30"/>
        <v>1650</v>
      </c>
      <c r="BD19" s="75">
        <v>36</v>
      </c>
      <c r="BE19" s="76">
        <v>180540</v>
      </c>
      <c r="BF19" s="76">
        <v>30720</v>
      </c>
      <c r="BG19" s="77">
        <v>1650</v>
      </c>
      <c r="BH19" s="77"/>
      <c r="BI19" s="77"/>
      <c r="BJ19" s="77"/>
      <c r="BK19" s="78">
        <f t="shared" si="29"/>
        <v>212910</v>
      </c>
      <c r="BL19" s="49">
        <v>15</v>
      </c>
      <c r="BM19" s="79">
        <f t="shared" si="25"/>
        <v>212910</v>
      </c>
    </row>
    <row r="20" spans="2:67" ht="20" customHeight="1">
      <c r="B20" s="80">
        <f t="shared" si="26"/>
        <v>45581</v>
      </c>
      <c r="C20" s="81"/>
      <c r="D20" s="52"/>
      <c r="E20" s="53">
        <v>28</v>
      </c>
      <c r="F20" s="54">
        <v>113080</v>
      </c>
      <c r="G20" s="55">
        <f t="shared" si="0"/>
        <v>3671.4285714285716</v>
      </c>
      <c r="H20" s="54">
        <v>34700</v>
      </c>
      <c r="I20" s="56">
        <f t="shared" si="27"/>
        <v>1126.6071428571429</v>
      </c>
      <c r="J20" s="57">
        <f t="shared" si="1"/>
        <v>147780</v>
      </c>
      <c r="K20" s="58">
        <f t="shared" si="2"/>
        <v>5277.8571428571431</v>
      </c>
      <c r="L20" s="59"/>
      <c r="M20" s="60">
        <f t="shared" si="3"/>
        <v>9</v>
      </c>
      <c r="N20" s="61">
        <f t="shared" si="3"/>
        <v>90860</v>
      </c>
      <c r="O20" s="55">
        <f t="shared" si="4"/>
        <v>9177.7777777777774</v>
      </c>
      <c r="P20" s="61">
        <f t="shared" si="5"/>
        <v>41850</v>
      </c>
      <c r="Q20" s="87">
        <f t="shared" si="6"/>
        <v>4227.2222222222226</v>
      </c>
      <c r="R20" s="62">
        <f t="shared" si="7"/>
        <v>132710</v>
      </c>
      <c r="S20" s="58">
        <f t="shared" si="8"/>
        <v>14745.555555555555</v>
      </c>
      <c r="T20" s="82">
        <f t="shared" si="9"/>
        <v>37</v>
      </c>
      <c r="U20" s="61">
        <f t="shared" si="9"/>
        <v>203940</v>
      </c>
      <c r="V20" s="61">
        <f t="shared" si="10"/>
        <v>76550</v>
      </c>
      <c r="W20" s="64">
        <f t="shared" si="11"/>
        <v>280490</v>
      </c>
      <c r="X20" s="83"/>
      <c r="Y20" s="65"/>
      <c r="Z20" s="66">
        <v>19</v>
      </c>
      <c r="AA20" s="54">
        <v>9530</v>
      </c>
      <c r="AB20" s="55">
        <f t="shared" si="12"/>
        <v>501.57894736842104</v>
      </c>
      <c r="AC20" s="54">
        <v>4870</v>
      </c>
      <c r="AD20" s="56">
        <f t="shared" si="13"/>
        <v>256.31578947368422</v>
      </c>
      <c r="AE20" s="67">
        <f t="shared" si="14"/>
        <v>14400</v>
      </c>
      <c r="AF20" s="58">
        <f t="shared" si="15"/>
        <v>757.89473684210532</v>
      </c>
      <c r="AG20" s="68"/>
      <c r="AH20" s="66">
        <v>23</v>
      </c>
      <c r="AI20" s="54">
        <v>90045</v>
      </c>
      <c r="AJ20" s="55">
        <f t="shared" si="16"/>
        <v>3915</v>
      </c>
      <c r="AK20" s="54">
        <v>30015</v>
      </c>
      <c r="AL20" s="56">
        <f t="shared" si="17"/>
        <v>1305</v>
      </c>
      <c r="AM20" s="67">
        <f t="shared" si="28"/>
        <v>120060</v>
      </c>
      <c r="AN20" s="69">
        <f t="shared" si="18"/>
        <v>5220</v>
      </c>
      <c r="AO20" s="70"/>
      <c r="AP20" s="66"/>
      <c r="AQ20" s="54"/>
      <c r="AR20" s="55" t="e">
        <f t="shared" si="19"/>
        <v>#DIV/0!</v>
      </c>
      <c r="AS20" s="54"/>
      <c r="AT20" s="56" t="e">
        <f t="shared" si="20"/>
        <v>#DIV/0!</v>
      </c>
      <c r="AU20" s="56"/>
      <c r="AV20" s="56"/>
      <c r="AW20" s="71">
        <f t="shared" si="33"/>
        <v>0</v>
      </c>
      <c r="AX20" s="69" t="str">
        <f t="shared" si="21"/>
        <v/>
      </c>
      <c r="AY20" s="84">
        <f t="shared" si="22"/>
        <v>37</v>
      </c>
      <c r="AZ20" s="61">
        <f t="shared" si="23"/>
        <v>303515</v>
      </c>
      <c r="BA20" s="61">
        <f t="shared" si="24"/>
        <v>111435</v>
      </c>
      <c r="BB20" s="73">
        <f>W20+AE20+AM20+AW20</f>
        <v>414950</v>
      </c>
      <c r="BC20" s="74">
        <f t="shared" si="30"/>
        <v>8800</v>
      </c>
      <c r="BD20" s="75">
        <v>37</v>
      </c>
      <c r="BE20" s="76">
        <v>203940</v>
      </c>
      <c r="BF20" s="76">
        <v>76550</v>
      </c>
      <c r="BG20" s="77">
        <v>8800</v>
      </c>
      <c r="BH20" s="77"/>
      <c r="BI20" s="77"/>
      <c r="BJ20" s="77"/>
      <c r="BK20" s="78">
        <f t="shared" si="29"/>
        <v>289290</v>
      </c>
      <c r="BL20" s="49">
        <v>16</v>
      </c>
      <c r="BM20" s="79">
        <f t="shared" si="25"/>
        <v>289290</v>
      </c>
    </row>
    <row r="21" spans="2:67" ht="20" customHeight="1">
      <c r="B21" s="80">
        <f t="shared" si="26"/>
        <v>45582</v>
      </c>
      <c r="C21" s="81"/>
      <c r="D21" s="52"/>
      <c r="E21" s="53">
        <v>44</v>
      </c>
      <c r="F21" s="54">
        <v>217800</v>
      </c>
      <c r="G21" s="55">
        <f>ROUNDDOWN(F21/1.1,0)/E21</f>
        <v>4500</v>
      </c>
      <c r="H21" s="54">
        <v>24200</v>
      </c>
      <c r="I21" s="56">
        <f t="shared" si="27"/>
        <v>500</v>
      </c>
      <c r="J21" s="57">
        <f t="shared" si="1"/>
        <v>242000</v>
      </c>
      <c r="K21" s="58">
        <f t="shared" si="2"/>
        <v>5500</v>
      </c>
      <c r="L21" s="59"/>
      <c r="M21" s="60">
        <f t="shared" si="3"/>
        <v>4</v>
      </c>
      <c r="N21" s="61">
        <f t="shared" si="3"/>
        <v>36960</v>
      </c>
      <c r="O21" s="55">
        <f t="shared" si="4"/>
        <v>8400</v>
      </c>
      <c r="P21" s="61">
        <f t="shared" si="5"/>
        <v>9290</v>
      </c>
      <c r="Q21" s="87">
        <f t="shared" si="6"/>
        <v>2111.25</v>
      </c>
      <c r="R21" s="62">
        <f>N21+P21</f>
        <v>46250</v>
      </c>
      <c r="S21" s="58">
        <f t="shared" si="8"/>
        <v>11562.5</v>
      </c>
      <c r="T21" s="82">
        <f t="shared" si="9"/>
        <v>48</v>
      </c>
      <c r="U21" s="61">
        <f t="shared" si="9"/>
        <v>254760</v>
      </c>
      <c r="V21" s="61">
        <f t="shared" si="10"/>
        <v>33490</v>
      </c>
      <c r="W21" s="64">
        <f t="shared" si="11"/>
        <v>288250</v>
      </c>
      <c r="X21" s="83"/>
      <c r="Y21" s="65"/>
      <c r="Z21" s="66">
        <v>26</v>
      </c>
      <c r="AA21" s="54">
        <v>12440</v>
      </c>
      <c r="AB21" s="55">
        <f t="shared" si="12"/>
        <v>478.46153846153845</v>
      </c>
      <c r="AC21" s="54">
        <v>5680</v>
      </c>
      <c r="AD21" s="56">
        <f t="shared" si="13"/>
        <v>218.46153846153845</v>
      </c>
      <c r="AE21" s="67">
        <f t="shared" si="14"/>
        <v>18120</v>
      </c>
      <c r="AF21" s="58">
        <f t="shared" si="15"/>
        <v>696.92307692307691</v>
      </c>
      <c r="AG21" s="68"/>
      <c r="AH21" s="66"/>
      <c r="AI21" s="54"/>
      <c r="AJ21" s="55" t="e">
        <f t="shared" si="16"/>
        <v>#DIV/0!</v>
      </c>
      <c r="AK21" s="54"/>
      <c r="AL21" s="56" t="e">
        <f t="shared" si="17"/>
        <v>#DIV/0!</v>
      </c>
      <c r="AM21" s="67">
        <f t="shared" si="28"/>
        <v>0</v>
      </c>
      <c r="AN21" s="69" t="str">
        <f t="shared" si="18"/>
        <v/>
      </c>
      <c r="AO21" s="70"/>
      <c r="AP21" s="66"/>
      <c r="AQ21" s="54"/>
      <c r="AR21" s="55" t="e">
        <f t="shared" si="19"/>
        <v>#DIV/0!</v>
      </c>
      <c r="AS21" s="54"/>
      <c r="AT21" s="56" t="e">
        <f t="shared" si="20"/>
        <v>#DIV/0!</v>
      </c>
      <c r="AU21" s="56"/>
      <c r="AV21" s="56"/>
      <c r="AW21" s="71">
        <f t="shared" si="33"/>
        <v>0</v>
      </c>
      <c r="AX21" s="69" t="str">
        <f t="shared" si="21"/>
        <v/>
      </c>
      <c r="AY21" s="84">
        <f t="shared" si="22"/>
        <v>48</v>
      </c>
      <c r="AZ21" s="61">
        <f t="shared" si="23"/>
        <v>267200</v>
      </c>
      <c r="BA21" s="61">
        <f t="shared" si="24"/>
        <v>39170</v>
      </c>
      <c r="BB21" s="73">
        <f>W21+AE21+AM21+AW21</f>
        <v>306370</v>
      </c>
      <c r="BC21" s="74">
        <f t="shared" si="30"/>
        <v>0</v>
      </c>
      <c r="BD21" s="75">
        <v>48</v>
      </c>
      <c r="BE21" s="76">
        <v>254760</v>
      </c>
      <c r="BF21" s="76">
        <v>33490</v>
      </c>
      <c r="BG21" s="77"/>
      <c r="BH21" s="77"/>
      <c r="BI21" s="77"/>
      <c r="BJ21" s="77"/>
      <c r="BK21" s="78">
        <f t="shared" si="29"/>
        <v>288250</v>
      </c>
      <c r="BL21" s="49">
        <v>17</v>
      </c>
      <c r="BM21" s="79">
        <f t="shared" si="25"/>
        <v>288250</v>
      </c>
    </row>
    <row r="22" spans="2:67" ht="20" customHeight="1">
      <c r="B22" s="80">
        <f t="shared" si="26"/>
        <v>45583</v>
      </c>
      <c r="C22" s="81"/>
      <c r="D22" s="52"/>
      <c r="E22" s="53">
        <v>35</v>
      </c>
      <c r="F22" s="54">
        <v>138160</v>
      </c>
      <c r="G22" s="55">
        <f t="shared" si="0"/>
        <v>3588.5714285714284</v>
      </c>
      <c r="H22" s="54">
        <v>25860</v>
      </c>
      <c r="I22" s="56">
        <f t="shared" si="27"/>
        <v>671.68571428571431</v>
      </c>
      <c r="J22" s="57">
        <f t="shared" si="1"/>
        <v>164020</v>
      </c>
      <c r="K22" s="58">
        <f t="shared" si="2"/>
        <v>4686.2857142857147</v>
      </c>
      <c r="L22" s="59"/>
      <c r="M22" s="60">
        <f t="shared" si="3"/>
        <v>31</v>
      </c>
      <c r="N22" s="61">
        <f t="shared" si="3"/>
        <v>277860</v>
      </c>
      <c r="O22" s="55">
        <f t="shared" si="4"/>
        <v>8148.3870967741932</v>
      </c>
      <c r="P22" s="61">
        <f t="shared" si="5"/>
        <v>55960</v>
      </c>
      <c r="Q22" s="87">
        <f t="shared" si="6"/>
        <v>1641.0322580645161</v>
      </c>
      <c r="R22" s="62">
        <f t="shared" si="7"/>
        <v>333820</v>
      </c>
      <c r="S22" s="58">
        <f t="shared" si="8"/>
        <v>10768.387096774193</v>
      </c>
      <c r="T22" s="82">
        <f t="shared" si="9"/>
        <v>66</v>
      </c>
      <c r="U22" s="61">
        <f t="shared" si="9"/>
        <v>416020</v>
      </c>
      <c r="V22" s="61">
        <f t="shared" si="10"/>
        <v>81820</v>
      </c>
      <c r="W22" s="64">
        <f t="shared" si="11"/>
        <v>497840</v>
      </c>
      <c r="X22" s="83"/>
      <c r="Y22" s="65"/>
      <c r="Z22" s="66">
        <v>18</v>
      </c>
      <c r="AA22" s="54">
        <v>7000</v>
      </c>
      <c r="AB22" s="55">
        <f t="shared" si="12"/>
        <v>388.88888888888891</v>
      </c>
      <c r="AC22" s="54">
        <v>1000</v>
      </c>
      <c r="AD22" s="56">
        <f t="shared" si="13"/>
        <v>55.555555555555557</v>
      </c>
      <c r="AE22" s="67">
        <f t="shared" si="14"/>
        <v>8000</v>
      </c>
      <c r="AF22" s="58">
        <f t="shared" si="15"/>
        <v>444.44444444444446</v>
      </c>
      <c r="AG22" s="68"/>
      <c r="AH22" s="66">
        <v>20</v>
      </c>
      <c r="AI22" s="54">
        <v>51765</v>
      </c>
      <c r="AJ22" s="55">
        <f t="shared" si="16"/>
        <v>2588.25</v>
      </c>
      <c r="AK22" s="54">
        <v>30225</v>
      </c>
      <c r="AL22" s="56">
        <f t="shared" si="17"/>
        <v>1511.25</v>
      </c>
      <c r="AM22" s="67">
        <f t="shared" si="28"/>
        <v>81990</v>
      </c>
      <c r="AN22" s="69">
        <f t="shared" si="18"/>
        <v>4099.5</v>
      </c>
      <c r="AO22" s="70"/>
      <c r="AP22" s="66"/>
      <c r="AQ22" s="54"/>
      <c r="AR22" s="55" t="e">
        <f t="shared" si="19"/>
        <v>#DIV/0!</v>
      </c>
      <c r="AS22" s="54"/>
      <c r="AT22" s="56" t="e">
        <f t="shared" si="20"/>
        <v>#DIV/0!</v>
      </c>
      <c r="AU22" s="56"/>
      <c r="AV22" s="56"/>
      <c r="AW22" s="71">
        <f t="shared" si="33"/>
        <v>0</v>
      </c>
      <c r="AX22" s="69" t="str">
        <f t="shared" si="21"/>
        <v/>
      </c>
      <c r="AY22" s="84">
        <f t="shared" si="22"/>
        <v>66</v>
      </c>
      <c r="AZ22" s="61">
        <f t="shared" si="23"/>
        <v>474785</v>
      </c>
      <c r="BA22" s="61">
        <f t="shared" si="24"/>
        <v>113045</v>
      </c>
      <c r="BB22" s="73">
        <f t="shared" si="32"/>
        <v>587830</v>
      </c>
      <c r="BC22" s="74">
        <f t="shared" si="30"/>
        <v>3300</v>
      </c>
      <c r="BD22" s="75">
        <v>66</v>
      </c>
      <c r="BE22" s="76">
        <v>416020</v>
      </c>
      <c r="BF22" s="76">
        <v>81820</v>
      </c>
      <c r="BG22" s="77">
        <v>3300</v>
      </c>
      <c r="BH22" s="77"/>
      <c r="BI22" s="77"/>
      <c r="BJ22" s="77"/>
      <c r="BK22" s="78">
        <f t="shared" si="29"/>
        <v>501140</v>
      </c>
      <c r="BL22" s="49">
        <v>18</v>
      </c>
      <c r="BM22" s="79">
        <f t="shared" si="25"/>
        <v>501140</v>
      </c>
      <c r="BO22" s="85"/>
    </row>
    <row r="23" spans="2:67" ht="20" customHeight="1">
      <c r="B23" s="80">
        <f t="shared" si="26"/>
        <v>45584</v>
      </c>
      <c r="C23" s="81"/>
      <c r="D23" s="52"/>
      <c r="E23" s="53">
        <v>25</v>
      </c>
      <c r="F23" s="54">
        <v>119240</v>
      </c>
      <c r="G23" s="55">
        <f t="shared" si="0"/>
        <v>4336</v>
      </c>
      <c r="H23" s="54">
        <v>21770</v>
      </c>
      <c r="I23" s="56">
        <f t="shared" si="27"/>
        <v>791.6</v>
      </c>
      <c r="J23" s="57">
        <f t="shared" si="1"/>
        <v>141010</v>
      </c>
      <c r="K23" s="58">
        <f t="shared" si="2"/>
        <v>5640.4</v>
      </c>
      <c r="L23" s="59"/>
      <c r="M23" s="60">
        <f t="shared" si="3"/>
        <v>24</v>
      </c>
      <c r="N23" s="61">
        <f t="shared" si="3"/>
        <v>212850</v>
      </c>
      <c r="O23" s="55">
        <f t="shared" si="4"/>
        <v>8062.5</v>
      </c>
      <c r="P23" s="61">
        <f t="shared" si="5"/>
        <v>44190</v>
      </c>
      <c r="Q23" s="87">
        <f t="shared" si="6"/>
        <v>1673.8333333333333</v>
      </c>
      <c r="R23" s="62">
        <f t="shared" si="7"/>
        <v>257040</v>
      </c>
      <c r="S23" s="58">
        <f t="shared" si="8"/>
        <v>10710</v>
      </c>
      <c r="T23" s="82">
        <f t="shared" si="9"/>
        <v>49</v>
      </c>
      <c r="U23" s="61">
        <f t="shared" si="9"/>
        <v>332090</v>
      </c>
      <c r="V23" s="61">
        <f t="shared" si="10"/>
        <v>65960</v>
      </c>
      <c r="W23" s="64">
        <f t="shared" si="11"/>
        <v>398050</v>
      </c>
      <c r="X23" s="83"/>
      <c r="Y23" s="65"/>
      <c r="Z23" s="66">
        <v>11</v>
      </c>
      <c r="AA23" s="54">
        <v>5350</v>
      </c>
      <c r="AB23" s="55">
        <f t="shared" si="12"/>
        <v>486.36363636363637</v>
      </c>
      <c r="AC23" s="54">
        <v>2000</v>
      </c>
      <c r="AD23" s="56">
        <f t="shared" si="13"/>
        <v>181.81818181818181</v>
      </c>
      <c r="AE23" s="67">
        <f t="shared" si="14"/>
        <v>7350</v>
      </c>
      <c r="AF23" s="58">
        <f t="shared" si="15"/>
        <v>668.18181818181813</v>
      </c>
      <c r="AG23" s="68"/>
      <c r="AH23" s="66">
        <v>39</v>
      </c>
      <c r="AI23" s="54">
        <v>152685</v>
      </c>
      <c r="AJ23" s="55">
        <f t="shared" si="16"/>
        <v>3915</v>
      </c>
      <c r="AK23" s="54">
        <v>50895</v>
      </c>
      <c r="AL23" s="56">
        <f t="shared" si="17"/>
        <v>1305</v>
      </c>
      <c r="AM23" s="67">
        <f t="shared" si="28"/>
        <v>203580</v>
      </c>
      <c r="AN23" s="69">
        <f t="shared" si="18"/>
        <v>5220</v>
      </c>
      <c r="AO23" s="70"/>
      <c r="AP23" s="66"/>
      <c r="AQ23" s="54"/>
      <c r="AR23" s="55" t="e">
        <f t="shared" si="19"/>
        <v>#DIV/0!</v>
      </c>
      <c r="AS23" s="54"/>
      <c r="AT23" s="56" t="e">
        <f t="shared" si="20"/>
        <v>#DIV/0!</v>
      </c>
      <c r="AU23" s="56"/>
      <c r="AV23" s="56"/>
      <c r="AW23" s="71">
        <f t="shared" si="33"/>
        <v>0</v>
      </c>
      <c r="AX23" s="69" t="str">
        <f>IF(AP23="","",AW23/AP23)</f>
        <v/>
      </c>
      <c r="AY23" s="84">
        <f t="shared" si="22"/>
        <v>49</v>
      </c>
      <c r="AZ23" s="61">
        <f t="shared" si="23"/>
        <v>490125</v>
      </c>
      <c r="BA23" s="61">
        <f t="shared" si="24"/>
        <v>118855</v>
      </c>
      <c r="BB23" s="73">
        <f>W23+AE23+AM23+AW23-BN22</f>
        <v>608980</v>
      </c>
      <c r="BC23" s="74">
        <f t="shared" si="30"/>
        <v>0</v>
      </c>
      <c r="BD23" s="75">
        <v>49</v>
      </c>
      <c r="BE23" s="76">
        <v>332090</v>
      </c>
      <c r="BF23" s="76">
        <v>65960</v>
      </c>
      <c r="BG23" s="77"/>
      <c r="BH23" s="77"/>
      <c r="BI23" s="77"/>
      <c r="BJ23" s="77"/>
      <c r="BK23" s="78">
        <f>SUM(BE23:BH23)</f>
        <v>398050</v>
      </c>
      <c r="BL23" s="49">
        <v>19</v>
      </c>
      <c r="BM23" s="79">
        <f t="shared" si="25"/>
        <v>398050</v>
      </c>
    </row>
    <row r="24" spans="2:67" ht="20" customHeight="1">
      <c r="B24" s="80">
        <f t="shared" si="26"/>
        <v>45585</v>
      </c>
      <c r="C24" s="81"/>
      <c r="D24" s="52"/>
      <c r="E24" s="53">
        <v>36</v>
      </c>
      <c r="F24" s="54">
        <v>158510</v>
      </c>
      <c r="G24" s="55">
        <f t="shared" si="0"/>
        <v>4002.7777777777778</v>
      </c>
      <c r="H24" s="54">
        <v>31350</v>
      </c>
      <c r="I24" s="56">
        <f t="shared" si="27"/>
        <v>791.66666666666663</v>
      </c>
      <c r="J24" s="57">
        <f t="shared" si="1"/>
        <v>189860</v>
      </c>
      <c r="K24" s="58">
        <f t="shared" si="2"/>
        <v>5273.8888888888887</v>
      </c>
      <c r="L24" s="59"/>
      <c r="M24" s="60">
        <f t="shared" si="3"/>
        <v>20</v>
      </c>
      <c r="N24" s="61">
        <f t="shared" si="3"/>
        <v>184340</v>
      </c>
      <c r="O24" s="55">
        <f t="shared" si="4"/>
        <v>8379.0499999999993</v>
      </c>
      <c r="P24" s="61">
        <f t="shared" si="5"/>
        <v>49230</v>
      </c>
      <c r="Q24" s="87">
        <f t="shared" si="6"/>
        <v>2237.6999999999998</v>
      </c>
      <c r="R24" s="62">
        <f t="shared" si="7"/>
        <v>233570</v>
      </c>
      <c r="S24" s="58">
        <f t="shared" si="8"/>
        <v>11678.5</v>
      </c>
      <c r="T24" s="82">
        <f t="shared" si="9"/>
        <v>56</v>
      </c>
      <c r="U24" s="61">
        <f t="shared" si="9"/>
        <v>342850</v>
      </c>
      <c r="V24" s="61">
        <f t="shared" si="10"/>
        <v>80580</v>
      </c>
      <c r="W24" s="64">
        <f t="shared" si="11"/>
        <v>423430</v>
      </c>
      <c r="X24" s="83"/>
      <c r="Y24" s="65"/>
      <c r="Z24" s="66">
        <v>19</v>
      </c>
      <c r="AA24" s="54">
        <v>9430</v>
      </c>
      <c r="AB24" s="55">
        <f t="shared" si="12"/>
        <v>496.31578947368422</v>
      </c>
      <c r="AC24" s="54">
        <v>7250</v>
      </c>
      <c r="AD24" s="56">
        <f t="shared" si="13"/>
        <v>381.57894736842104</v>
      </c>
      <c r="AE24" s="67">
        <f t="shared" si="14"/>
        <v>16680</v>
      </c>
      <c r="AF24" s="58">
        <f t="shared" si="15"/>
        <v>877.89473684210532</v>
      </c>
      <c r="AG24" s="68"/>
      <c r="AH24" s="66"/>
      <c r="AI24" s="54"/>
      <c r="AJ24" s="55" t="e">
        <f t="shared" si="16"/>
        <v>#DIV/0!</v>
      </c>
      <c r="AK24" s="54"/>
      <c r="AL24" s="56" t="e">
        <f t="shared" si="17"/>
        <v>#DIV/0!</v>
      </c>
      <c r="AM24" s="67">
        <f t="shared" si="28"/>
        <v>0</v>
      </c>
      <c r="AN24" s="69" t="str">
        <f t="shared" si="18"/>
        <v/>
      </c>
      <c r="AO24" s="70"/>
      <c r="AP24" s="66"/>
      <c r="AQ24" s="54"/>
      <c r="AR24" s="55" t="e">
        <f t="shared" si="19"/>
        <v>#DIV/0!</v>
      </c>
      <c r="AS24" s="54"/>
      <c r="AT24" s="56" t="e">
        <f t="shared" si="20"/>
        <v>#DIV/0!</v>
      </c>
      <c r="AU24" s="56"/>
      <c r="AV24" s="56"/>
      <c r="AW24" s="88">
        <f t="shared" si="33"/>
        <v>0</v>
      </c>
      <c r="AX24" s="69" t="str">
        <f t="shared" si="21"/>
        <v/>
      </c>
      <c r="AY24" s="84">
        <f t="shared" si="22"/>
        <v>56</v>
      </c>
      <c r="AZ24" s="61">
        <f t="shared" si="23"/>
        <v>352280</v>
      </c>
      <c r="BA24" s="61">
        <f t="shared" si="24"/>
        <v>87830</v>
      </c>
      <c r="BB24" s="73">
        <f>W24+AE24+AM24+AW24-BN24</f>
        <v>438130</v>
      </c>
      <c r="BC24" s="74">
        <f t="shared" si="30"/>
        <v>5500</v>
      </c>
      <c r="BD24" s="75">
        <v>56</v>
      </c>
      <c r="BE24" s="76">
        <v>342850</v>
      </c>
      <c r="BF24" s="76">
        <v>80580</v>
      </c>
      <c r="BG24" s="77">
        <v>5500</v>
      </c>
      <c r="BH24" s="77"/>
      <c r="BI24" s="77"/>
      <c r="BJ24" s="77"/>
      <c r="BK24" s="78">
        <f t="shared" si="29"/>
        <v>428930</v>
      </c>
      <c r="BL24" s="49">
        <v>20</v>
      </c>
      <c r="BM24" s="79">
        <f t="shared" si="25"/>
        <v>428930</v>
      </c>
      <c r="BN24" s="49">
        <v>1980</v>
      </c>
    </row>
    <row r="25" spans="2:67" ht="20" customHeight="1">
      <c r="B25" s="80">
        <f t="shared" si="26"/>
        <v>45586</v>
      </c>
      <c r="C25" s="81"/>
      <c r="D25" s="52"/>
      <c r="E25" s="53">
        <v>21</v>
      </c>
      <c r="F25" s="54">
        <v>71940</v>
      </c>
      <c r="G25" s="55">
        <f t="shared" si="0"/>
        <v>3114.2857142857142</v>
      </c>
      <c r="H25" s="54">
        <v>7700</v>
      </c>
      <c r="I25" s="56">
        <f t="shared" si="27"/>
        <v>333.33333333333331</v>
      </c>
      <c r="J25" s="57">
        <f t="shared" si="1"/>
        <v>79640</v>
      </c>
      <c r="K25" s="58">
        <f t="shared" si="2"/>
        <v>3792.3809523809523</v>
      </c>
      <c r="L25" s="59"/>
      <c r="M25" s="60">
        <f t="shared" si="3"/>
        <v>7</v>
      </c>
      <c r="N25" s="61">
        <f t="shared" si="3"/>
        <v>63360</v>
      </c>
      <c r="O25" s="55">
        <f t="shared" si="4"/>
        <v>8228.5714285714294</v>
      </c>
      <c r="P25" s="61">
        <f t="shared" si="5"/>
        <v>44180</v>
      </c>
      <c r="Q25" s="87">
        <f t="shared" si="6"/>
        <v>5737.5714285714284</v>
      </c>
      <c r="R25" s="62">
        <f t="shared" si="7"/>
        <v>107540</v>
      </c>
      <c r="S25" s="58">
        <f t="shared" si="8"/>
        <v>15362.857142857143</v>
      </c>
      <c r="T25" s="82">
        <f t="shared" si="9"/>
        <v>28</v>
      </c>
      <c r="U25" s="61">
        <f t="shared" si="9"/>
        <v>135300</v>
      </c>
      <c r="V25" s="61">
        <f t="shared" si="10"/>
        <v>51880</v>
      </c>
      <c r="W25" s="64">
        <f t="shared" si="11"/>
        <v>187180</v>
      </c>
      <c r="X25" s="83"/>
      <c r="Y25" s="65"/>
      <c r="Z25" s="66">
        <v>18</v>
      </c>
      <c r="AA25" s="54">
        <v>9790</v>
      </c>
      <c r="AB25" s="55">
        <f t="shared" si="12"/>
        <v>543.88888888888891</v>
      </c>
      <c r="AC25" s="54">
        <v>6500</v>
      </c>
      <c r="AD25" s="56">
        <f t="shared" si="13"/>
        <v>361.11111111111109</v>
      </c>
      <c r="AE25" s="67">
        <f t="shared" si="14"/>
        <v>16290</v>
      </c>
      <c r="AF25" s="58">
        <f t="shared" si="15"/>
        <v>905</v>
      </c>
      <c r="AG25" s="68"/>
      <c r="AH25" s="66"/>
      <c r="AI25" s="54"/>
      <c r="AJ25" s="55" t="e">
        <f t="shared" si="16"/>
        <v>#DIV/0!</v>
      </c>
      <c r="AK25" s="54"/>
      <c r="AL25" s="56" t="e">
        <f t="shared" si="17"/>
        <v>#DIV/0!</v>
      </c>
      <c r="AM25" s="67">
        <f t="shared" si="28"/>
        <v>0</v>
      </c>
      <c r="AN25" s="69" t="str">
        <f t="shared" si="18"/>
        <v/>
      </c>
      <c r="AO25" s="70"/>
      <c r="AP25" s="66"/>
      <c r="AQ25" s="54"/>
      <c r="AR25" s="55" t="e">
        <f t="shared" si="19"/>
        <v>#DIV/0!</v>
      </c>
      <c r="AS25" s="54"/>
      <c r="AT25" s="56" t="e">
        <f t="shared" si="20"/>
        <v>#DIV/0!</v>
      </c>
      <c r="AU25" s="56"/>
      <c r="AV25" s="56"/>
      <c r="AW25" s="71">
        <f t="shared" si="33"/>
        <v>0</v>
      </c>
      <c r="AX25" s="69" t="str">
        <f t="shared" si="21"/>
        <v/>
      </c>
      <c r="AY25" s="84">
        <f t="shared" si="22"/>
        <v>28</v>
      </c>
      <c r="AZ25" s="61">
        <f t="shared" si="23"/>
        <v>145090</v>
      </c>
      <c r="BA25" s="61">
        <f t="shared" si="24"/>
        <v>58380</v>
      </c>
      <c r="BB25" s="73">
        <f>W25+AE25+AM25+AW25-BN25</f>
        <v>203470</v>
      </c>
      <c r="BC25" s="74">
        <f t="shared" si="30"/>
        <v>0</v>
      </c>
      <c r="BD25" s="75">
        <v>28</v>
      </c>
      <c r="BE25" s="76">
        <v>135300</v>
      </c>
      <c r="BF25" s="76">
        <v>51880</v>
      </c>
      <c r="BG25" s="77"/>
      <c r="BH25" s="77"/>
      <c r="BI25" s="77"/>
      <c r="BJ25" s="77"/>
      <c r="BK25" s="78">
        <f t="shared" si="29"/>
        <v>187180</v>
      </c>
      <c r="BL25" s="49">
        <v>21</v>
      </c>
      <c r="BM25" s="79">
        <f t="shared" si="25"/>
        <v>187180</v>
      </c>
    </row>
    <row r="26" spans="2:67" ht="20" customHeight="1">
      <c r="B26" s="80">
        <f t="shared" si="26"/>
        <v>45587</v>
      </c>
      <c r="C26" s="81"/>
      <c r="D26" s="52"/>
      <c r="E26" s="53">
        <v>24</v>
      </c>
      <c r="F26" s="54">
        <v>100430</v>
      </c>
      <c r="G26" s="55">
        <f t="shared" si="0"/>
        <v>3804.1666666666665</v>
      </c>
      <c r="H26" s="54">
        <v>11200</v>
      </c>
      <c r="I26" s="56">
        <f t="shared" si="27"/>
        <v>424.20833333333331</v>
      </c>
      <c r="J26" s="57">
        <f t="shared" si="1"/>
        <v>111630</v>
      </c>
      <c r="K26" s="58">
        <f t="shared" si="2"/>
        <v>4651.25</v>
      </c>
      <c r="L26" s="59"/>
      <c r="M26" s="60">
        <f t="shared" si="3"/>
        <v>7</v>
      </c>
      <c r="N26" s="61">
        <f t="shared" si="3"/>
        <v>78100</v>
      </c>
      <c r="O26" s="55">
        <f t="shared" si="4"/>
        <v>10142.857142857143</v>
      </c>
      <c r="P26" s="61">
        <f t="shared" si="5"/>
        <v>15400</v>
      </c>
      <c r="Q26" s="87">
        <f t="shared" si="6"/>
        <v>2000</v>
      </c>
      <c r="R26" s="62">
        <f t="shared" si="7"/>
        <v>93500</v>
      </c>
      <c r="S26" s="58">
        <f t="shared" si="8"/>
        <v>13357.142857142857</v>
      </c>
      <c r="T26" s="82">
        <f t="shared" si="9"/>
        <v>31</v>
      </c>
      <c r="U26" s="61">
        <f t="shared" si="9"/>
        <v>178530</v>
      </c>
      <c r="V26" s="61">
        <f t="shared" si="10"/>
        <v>26600</v>
      </c>
      <c r="W26" s="64">
        <f t="shared" si="11"/>
        <v>205130</v>
      </c>
      <c r="X26" s="83"/>
      <c r="Y26" s="65"/>
      <c r="Z26" s="66">
        <v>7</v>
      </c>
      <c r="AA26" s="54">
        <v>4530</v>
      </c>
      <c r="AB26" s="55">
        <f t="shared" si="12"/>
        <v>647.14285714285711</v>
      </c>
      <c r="AC26" s="54">
        <v>1500</v>
      </c>
      <c r="AD26" s="56">
        <f t="shared" si="13"/>
        <v>214.28571428571428</v>
      </c>
      <c r="AE26" s="67">
        <f t="shared" si="14"/>
        <v>6030</v>
      </c>
      <c r="AF26" s="58">
        <f t="shared" si="15"/>
        <v>861.42857142857144</v>
      </c>
      <c r="AG26" s="68"/>
      <c r="AH26" s="66"/>
      <c r="AI26" s="54"/>
      <c r="AJ26" s="55" t="e">
        <f t="shared" si="16"/>
        <v>#DIV/0!</v>
      </c>
      <c r="AK26" s="54"/>
      <c r="AL26" s="56" t="e">
        <f t="shared" si="17"/>
        <v>#DIV/0!</v>
      </c>
      <c r="AM26" s="67">
        <f t="shared" si="28"/>
        <v>0</v>
      </c>
      <c r="AN26" s="69" t="str">
        <f t="shared" si="18"/>
        <v/>
      </c>
      <c r="AO26" s="70"/>
      <c r="AP26" s="66"/>
      <c r="AQ26" s="54"/>
      <c r="AR26" s="55" t="e">
        <f t="shared" si="19"/>
        <v>#DIV/0!</v>
      </c>
      <c r="AS26" s="54"/>
      <c r="AT26" s="56" t="e">
        <f t="shared" si="20"/>
        <v>#DIV/0!</v>
      </c>
      <c r="AU26" s="56"/>
      <c r="AV26" s="56"/>
      <c r="AW26" s="71">
        <f t="shared" si="33"/>
        <v>0</v>
      </c>
      <c r="AX26" s="69" t="str">
        <f t="shared" si="21"/>
        <v/>
      </c>
      <c r="AY26" s="84">
        <f t="shared" si="22"/>
        <v>31</v>
      </c>
      <c r="AZ26" s="61">
        <f t="shared" si="23"/>
        <v>183060</v>
      </c>
      <c r="BA26" s="61">
        <f t="shared" si="24"/>
        <v>28100</v>
      </c>
      <c r="BB26" s="73">
        <f>W26+AE26+AM26+AW26-BN26</f>
        <v>211160</v>
      </c>
      <c r="BC26" s="74">
        <f>BG26+BH26</f>
        <v>0</v>
      </c>
      <c r="BD26" s="75">
        <v>31</v>
      </c>
      <c r="BE26" s="76">
        <v>178530</v>
      </c>
      <c r="BF26" s="76">
        <v>26600</v>
      </c>
      <c r="BG26" s="77"/>
      <c r="BH26" s="77"/>
      <c r="BI26" s="77"/>
      <c r="BJ26" s="77"/>
      <c r="BK26" s="78">
        <f t="shared" si="29"/>
        <v>205130</v>
      </c>
      <c r="BL26" s="49">
        <v>22</v>
      </c>
      <c r="BM26" s="79">
        <f t="shared" si="25"/>
        <v>205130</v>
      </c>
    </row>
    <row r="27" spans="2:67" ht="20" customHeight="1">
      <c r="B27" s="80">
        <f t="shared" si="26"/>
        <v>45588</v>
      </c>
      <c r="C27" s="81"/>
      <c r="D27" s="52"/>
      <c r="E27" s="53">
        <v>12</v>
      </c>
      <c r="F27" s="54">
        <v>37620</v>
      </c>
      <c r="G27" s="55">
        <f t="shared" si="0"/>
        <v>2850</v>
      </c>
      <c r="H27" s="54">
        <v>4180</v>
      </c>
      <c r="I27" s="56">
        <f t="shared" si="27"/>
        <v>316.66666666666669</v>
      </c>
      <c r="J27" s="57">
        <f t="shared" si="1"/>
        <v>41800</v>
      </c>
      <c r="K27" s="58">
        <f t="shared" si="2"/>
        <v>3483.3333333333335</v>
      </c>
      <c r="L27" s="59"/>
      <c r="M27" s="60">
        <f t="shared" si="3"/>
        <v>18</v>
      </c>
      <c r="N27" s="61">
        <f t="shared" si="3"/>
        <v>146040</v>
      </c>
      <c r="O27" s="55">
        <f t="shared" si="4"/>
        <v>7375.7222222222226</v>
      </c>
      <c r="P27" s="61">
        <f t="shared" si="5"/>
        <v>30950</v>
      </c>
      <c r="Q27" s="56">
        <f t="shared" si="6"/>
        <v>1563.1111111111111</v>
      </c>
      <c r="R27" s="62">
        <f t="shared" si="7"/>
        <v>176990</v>
      </c>
      <c r="S27" s="58">
        <f t="shared" si="8"/>
        <v>9832.7777777777774</v>
      </c>
      <c r="T27" s="82">
        <f t="shared" si="9"/>
        <v>30</v>
      </c>
      <c r="U27" s="61">
        <f t="shared" si="9"/>
        <v>183660</v>
      </c>
      <c r="V27" s="61">
        <f t="shared" si="10"/>
        <v>35130</v>
      </c>
      <c r="W27" s="64">
        <f t="shared" si="11"/>
        <v>218790</v>
      </c>
      <c r="X27" s="83"/>
      <c r="Y27" s="65"/>
      <c r="Z27" s="66">
        <v>14</v>
      </c>
      <c r="AA27" s="54">
        <v>6720</v>
      </c>
      <c r="AB27" s="55">
        <f t="shared" si="12"/>
        <v>480</v>
      </c>
      <c r="AC27" s="54">
        <v>4800</v>
      </c>
      <c r="AD27" s="56">
        <f t="shared" si="13"/>
        <v>342.85714285714283</v>
      </c>
      <c r="AE27" s="67">
        <f t="shared" si="14"/>
        <v>11520</v>
      </c>
      <c r="AF27" s="58">
        <f t="shared" si="15"/>
        <v>822.85714285714289</v>
      </c>
      <c r="AG27" s="68"/>
      <c r="AH27" s="66"/>
      <c r="AI27" s="54"/>
      <c r="AJ27" s="55" t="e">
        <f t="shared" si="16"/>
        <v>#DIV/0!</v>
      </c>
      <c r="AK27" s="54"/>
      <c r="AL27" s="56" t="e">
        <f t="shared" si="17"/>
        <v>#DIV/0!</v>
      </c>
      <c r="AM27" s="67">
        <f t="shared" si="28"/>
        <v>0</v>
      </c>
      <c r="AN27" s="69" t="str">
        <f t="shared" si="18"/>
        <v/>
      </c>
      <c r="AO27" s="70"/>
      <c r="AP27" s="66"/>
      <c r="AQ27" s="54"/>
      <c r="AR27" s="55" t="e">
        <f t="shared" si="19"/>
        <v>#DIV/0!</v>
      </c>
      <c r="AS27" s="54"/>
      <c r="AT27" s="56" t="e">
        <f t="shared" si="20"/>
        <v>#DIV/0!</v>
      </c>
      <c r="AU27" s="56"/>
      <c r="AV27" s="56"/>
      <c r="AW27" s="71">
        <f>AQ27+AS27+AU27+AV27-BO26</f>
        <v>0</v>
      </c>
      <c r="AX27" s="69" t="str">
        <f t="shared" si="21"/>
        <v/>
      </c>
      <c r="AY27" s="84">
        <f t="shared" si="22"/>
        <v>30</v>
      </c>
      <c r="AZ27" s="61">
        <f t="shared" si="23"/>
        <v>190380</v>
      </c>
      <c r="BA27" s="61">
        <f t="shared" si="24"/>
        <v>39930</v>
      </c>
      <c r="BB27" s="73">
        <f>W27+AE27+AM27+AW27-BN27</f>
        <v>230310</v>
      </c>
      <c r="BC27" s="74">
        <f t="shared" si="30"/>
        <v>0</v>
      </c>
      <c r="BD27" s="75">
        <v>30</v>
      </c>
      <c r="BE27" s="76">
        <v>183660</v>
      </c>
      <c r="BF27" s="76">
        <v>35130</v>
      </c>
      <c r="BG27" s="77"/>
      <c r="BH27" s="77"/>
      <c r="BI27" s="77"/>
      <c r="BJ27" s="77"/>
      <c r="BK27" s="78">
        <f t="shared" si="29"/>
        <v>218790</v>
      </c>
      <c r="BL27" s="49">
        <v>23</v>
      </c>
      <c r="BM27" s="79">
        <f t="shared" si="25"/>
        <v>218790</v>
      </c>
    </row>
    <row r="28" spans="2:67" ht="20" customHeight="1">
      <c r="B28" s="80">
        <f>B27+1</f>
        <v>45589</v>
      </c>
      <c r="C28" s="81"/>
      <c r="D28" s="52"/>
      <c r="E28" s="53">
        <v>25</v>
      </c>
      <c r="F28" s="54">
        <v>104280</v>
      </c>
      <c r="G28" s="55">
        <f t="shared" si="0"/>
        <v>3792</v>
      </c>
      <c r="H28" s="54">
        <v>17210</v>
      </c>
      <c r="I28" s="56">
        <f t="shared" si="27"/>
        <v>625.79999999999995</v>
      </c>
      <c r="J28" s="57">
        <f t="shared" si="1"/>
        <v>121490</v>
      </c>
      <c r="K28" s="58">
        <f t="shared" si="2"/>
        <v>4859.6000000000004</v>
      </c>
      <c r="L28" s="59"/>
      <c r="M28" s="60">
        <f t="shared" si="3"/>
        <v>6</v>
      </c>
      <c r="N28" s="61">
        <f t="shared" si="3"/>
        <v>73570</v>
      </c>
      <c r="O28" s="55">
        <f t="shared" si="4"/>
        <v>11146.833333333334</v>
      </c>
      <c r="P28" s="61">
        <f t="shared" si="5"/>
        <v>11270</v>
      </c>
      <c r="Q28" s="56">
        <f>ROUNDDOWN(P28/1.1,0)/M28</f>
        <v>1707.5</v>
      </c>
      <c r="R28" s="62">
        <f t="shared" si="7"/>
        <v>84840</v>
      </c>
      <c r="S28" s="58">
        <f t="shared" si="8"/>
        <v>14140</v>
      </c>
      <c r="T28" s="82">
        <f t="shared" si="9"/>
        <v>31</v>
      </c>
      <c r="U28" s="61">
        <f t="shared" si="9"/>
        <v>177850</v>
      </c>
      <c r="V28" s="61">
        <f t="shared" si="10"/>
        <v>28480</v>
      </c>
      <c r="W28" s="64">
        <f t="shared" si="11"/>
        <v>206330</v>
      </c>
      <c r="X28" s="83"/>
      <c r="Y28" s="65"/>
      <c r="Z28" s="66">
        <v>2</v>
      </c>
      <c r="AA28" s="54">
        <v>700</v>
      </c>
      <c r="AB28" s="55">
        <f t="shared" si="12"/>
        <v>350</v>
      </c>
      <c r="AC28" s="54">
        <v>2000</v>
      </c>
      <c r="AD28" s="56">
        <f t="shared" si="13"/>
        <v>1000</v>
      </c>
      <c r="AE28" s="67">
        <f t="shared" si="14"/>
        <v>2700</v>
      </c>
      <c r="AF28" s="58">
        <f t="shared" si="15"/>
        <v>1350</v>
      </c>
      <c r="AG28" s="68"/>
      <c r="AH28" s="66"/>
      <c r="AI28" s="54"/>
      <c r="AJ28" s="55" t="e">
        <f t="shared" si="16"/>
        <v>#DIV/0!</v>
      </c>
      <c r="AK28" s="54"/>
      <c r="AL28" s="56" t="e">
        <f t="shared" si="17"/>
        <v>#DIV/0!</v>
      </c>
      <c r="AM28" s="67">
        <f t="shared" si="28"/>
        <v>0</v>
      </c>
      <c r="AN28" s="69" t="str">
        <f t="shared" si="18"/>
        <v/>
      </c>
      <c r="AO28" s="70"/>
      <c r="AP28" s="66"/>
      <c r="AQ28" s="54"/>
      <c r="AR28" s="55" t="e">
        <f t="shared" si="19"/>
        <v>#DIV/0!</v>
      </c>
      <c r="AS28" s="54"/>
      <c r="AT28" s="56" t="e">
        <f t="shared" si="20"/>
        <v>#DIV/0!</v>
      </c>
      <c r="AU28" s="56"/>
      <c r="AV28" s="56"/>
      <c r="AW28" s="71">
        <f>AQ28+AS28+AU28+AV28</f>
        <v>0</v>
      </c>
      <c r="AX28" s="69" t="str">
        <f t="shared" si="21"/>
        <v/>
      </c>
      <c r="AY28" s="84">
        <f t="shared" si="22"/>
        <v>31</v>
      </c>
      <c r="AZ28" s="61">
        <f t="shared" si="23"/>
        <v>178550</v>
      </c>
      <c r="BA28" s="61">
        <f t="shared" si="24"/>
        <v>30480</v>
      </c>
      <c r="BB28" s="73">
        <f t="shared" si="32"/>
        <v>209030</v>
      </c>
      <c r="BC28" s="74">
        <f t="shared" si="30"/>
        <v>2750</v>
      </c>
      <c r="BD28" s="75">
        <v>31</v>
      </c>
      <c r="BE28" s="76">
        <v>177850</v>
      </c>
      <c r="BF28" s="76">
        <v>28480</v>
      </c>
      <c r="BG28" s="77">
        <v>2750</v>
      </c>
      <c r="BH28" s="77"/>
      <c r="BI28" s="77">
        <v>8300</v>
      </c>
      <c r="BJ28" s="77"/>
      <c r="BK28" s="78">
        <f t="shared" si="29"/>
        <v>209080</v>
      </c>
      <c r="BL28" s="49">
        <v>24</v>
      </c>
      <c r="BM28" s="79">
        <f t="shared" si="25"/>
        <v>209080</v>
      </c>
    </row>
    <row r="29" spans="2:67" ht="20" customHeight="1">
      <c r="B29" s="80">
        <f t="shared" si="26"/>
        <v>45590</v>
      </c>
      <c r="C29" s="81"/>
      <c r="D29" s="52"/>
      <c r="E29" s="53">
        <v>27</v>
      </c>
      <c r="F29" s="54">
        <v>115720</v>
      </c>
      <c r="G29" s="55">
        <f t="shared" si="0"/>
        <v>3896.2962962962961</v>
      </c>
      <c r="H29" s="54">
        <v>8460</v>
      </c>
      <c r="I29" s="55">
        <f t="shared" si="27"/>
        <v>284.81481481481484</v>
      </c>
      <c r="J29" s="57">
        <f t="shared" si="1"/>
        <v>124180</v>
      </c>
      <c r="K29" s="58">
        <f t="shared" si="2"/>
        <v>4599.2592592592591</v>
      </c>
      <c r="L29" s="59"/>
      <c r="M29" s="60">
        <f t="shared" si="3"/>
        <v>32</v>
      </c>
      <c r="N29" s="61">
        <f t="shared" si="3"/>
        <v>284700</v>
      </c>
      <c r="O29" s="55">
        <f t="shared" si="4"/>
        <v>8088.0625</v>
      </c>
      <c r="P29" s="61">
        <f t="shared" si="5"/>
        <v>65210</v>
      </c>
      <c r="Q29" s="56">
        <f t="shared" si="6"/>
        <v>1852.53125</v>
      </c>
      <c r="R29" s="62">
        <f t="shared" si="7"/>
        <v>349910</v>
      </c>
      <c r="S29" s="58">
        <f t="shared" si="8"/>
        <v>10934.6875</v>
      </c>
      <c r="T29" s="82">
        <f t="shared" si="9"/>
        <v>59</v>
      </c>
      <c r="U29" s="61">
        <f t="shared" si="9"/>
        <v>400420</v>
      </c>
      <c r="V29" s="61">
        <f t="shared" si="10"/>
        <v>73670</v>
      </c>
      <c r="W29" s="64">
        <f t="shared" si="11"/>
        <v>474090</v>
      </c>
      <c r="X29" s="83"/>
      <c r="Y29" s="65"/>
      <c r="Z29" s="66">
        <v>21</v>
      </c>
      <c r="AA29" s="54">
        <v>9810</v>
      </c>
      <c r="AB29" s="55">
        <f t="shared" si="12"/>
        <v>467.14285714285717</v>
      </c>
      <c r="AC29" s="54">
        <v>5360</v>
      </c>
      <c r="AD29" s="56">
        <f t="shared" si="13"/>
        <v>255.23809523809524</v>
      </c>
      <c r="AE29" s="67">
        <f t="shared" si="14"/>
        <v>15170</v>
      </c>
      <c r="AF29" s="58">
        <f t="shared" si="15"/>
        <v>722.38095238095241</v>
      </c>
      <c r="AG29" s="68"/>
      <c r="AH29" s="66"/>
      <c r="AI29" s="54"/>
      <c r="AJ29" s="55" t="e">
        <f t="shared" si="16"/>
        <v>#DIV/0!</v>
      </c>
      <c r="AK29" s="54"/>
      <c r="AL29" s="56" t="e">
        <f t="shared" si="17"/>
        <v>#DIV/0!</v>
      </c>
      <c r="AM29" s="67">
        <f t="shared" si="28"/>
        <v>0</v>
      </c>
      <c r="AN29" s="69" t="str">
        <f t="shared" si="18"/>
        <v/>
      </c>
      <c r="AO29" s="70"/>
      <c r="AP29" s="66"/>
      <c r="AQ29" s="54"/>
      <c r="AR29" s="55" t="e">
        <f t="shared" si="19"/>
        <v>#DIV/0!</v>
      </c>
      <c r="AS29" s="54"/>
      <c r="AT29" s="56" t="e">
        <f t="shared" si="20"/>
        <v>#DIV/0!</v>
      </c>
      <c r="AU29" s="56"/>
      <c r="AV29" s="56"/>
      <c r="AW29" s="71">
        <f>AQ29+AS29+AU29+AV29-BO29</f>
        <v>0</v>
      </c>
      <c r="AX29" s="69" t="str">
        <f t="shared" si="21"/>
        <v/>
      </c>
      <c r="AY29" s="84">
        <f t="shared" si="22"/>
        <v>59</v>
      </c>
      <c r="AZ29" s="61">
        <f t="shared" si="23"/>
        <v>410230</v>
      </c>
      <c r="BA29" s="61">
        <f t="shared" si="24"/>
        <v>79030</v>
      </c>
      <c r="BB29" s="73">
        <f t="shared" si="32"/>
        <v>489260</v>
      </c>
      <c r="BC29" s="74">
        <f t="shared" si="30"/>
        <v>6600</v>
      </c>
      <c r="BD29" s="75">
        <v>59</v>
      </c>
      <c r="BE29" s="76">
        <v>400420</v>
      </c>
      <c r="BF29" s="76">
        <v>73670</v>
      </c>
      <c r="BG29" s="77">
        <v>6600</v>
      </c>
      <c r="BH29" s="77"/>
      <c r="BI29" s="77"/>
      <c r="BJ29" s="77"/>
      <c r="BK29" s="78">
        <f t="shared" si="29"/>
        <v>480690</v>
      </c>
      <c r="BL29" s="49">
        <v>25</v>
      </c>
      <c r="BM29" s="79">
        <f t="shared" si="25"/>
        <v>480690</v>
      </c>
    </row>
    <row r="30" spans="2:67" ht="20" customHeight="1">
      <c r="B30" s="80">
        <f t="shared" si="26"/>
        <v>45591</v>
      </c>
      <c r="C30" s="81"/>
      <c r="D30" s="52"/>
      <c r="E30" s="53">
        <v>35</v>
      </c>
      <c r="F30" s="54">
        <v>154660</v>
      </c>
      <c r="G30" s="55">
        <f t="shared" si="0"/>
        <v>4017.1428571428573</v>
      </c>
      <c r="H30" s="54">
        <v>21940</v>
      </c>
      <c r="I30" s="55">
        <f t="shared" si="27"/>
        <v>569.85714285714289</v>
      </c>
      <c r="J30" s="57">
        <f t="shared" si="1"/>
        <v>176600</v>
      </c>
      <c r="K30" s="58">
        <f t="shared" si="2"/>
        <v>5045.7142857142853</v>
      </c>
      <c r="L30" s="59"/>
      <c r="M30" s="60">
        <f t="shared" si="3"/>
        <v>31</v>
      </c>
      <c r="N30" s="61">
        <f t="shared" si="3"/>
        <v>253310</v>
      </c>
      <c r="O30" s="55">
        <f t="shared" si="4"/>
        <v>7428.4193548387093</v>
      </c>
      <c r="P30" s="61">
        <f t="shared" si="5"/>
        <v>55140</v>
      </c>
      <c r="Q30" s="55">
        <f t="shared" si="6"/>
        <v>1617</v>
      </c>
      <c r="R30" s="62">
        <f t="shared" si="7"/>
        <v>308450</v>
      </c>
      <c r="S30" s="58">
        <f t="shared" si="8"/>
        <v>9950</v>
      </c>
      <c r="T30" s="82">
        <f t="shared" si="9"/>
        <v>66</v>
      </c>
      <c r="U30" s="61">
        <f t="shared" si="9"/>
        <v>407970</v>
      </c>
      <c r="V30" s="61">
        <f t="shared" si="10"/>
        <v>77080</v>
      </c>
      <c r="W30" s="64">
        <f t="shared" si="11"/>
        <v>485050</v>
      </c>
      <c r="X30" s="83"/>
      <c r="Y30" s="65"/>
      <c r="Z30" s="66">
        <v>19</v>
      </c>
      <c r="AA30" s="54">
        <v>7150</v>
      </c>
      <c r="AB30" s="55">
        <f t="shared" si="12"/>
        <v>376.31578947368422</v>
      </c>
      <c r="AC30" s="54">
        <v>0</v>
      </c>
      <c r="AD30" s="56">
        <f t="shared" si="13"/>
        <v>0</v>
      </c>
      <c r="AE30" s="67">
        <f t="shared" si="14"/>
        <v>7150</v>
      </c>
      <c r="AF30" s="58">
        <f t="shared" si="15"/>
        <v>376.31578947368422</v>
      </c>
      <c r="AG30" s="68"/>
      <c r="AH30" s="66"/>
      <c r="AI30" s="54"/>
      <c r="AJ30" s="55" t="e">
        <f t="shared" si="16"/>
        <v>#DIV/0!</v>
      </c>
      <c r="AK30" s="54"/>
      <c r="AL30" s="56" t="e">
        <f t="shared" si="17"/>
        <v>#DIV/0!</v>
      </c>
      <c r="AM30" s="67">
        <f t="shared" si="28"/>
        <v>0</v>
      </c>
      <c r="AN30" s="69" t="str">
        <f t="shared" si="18"/>
        <v/>
      </c>
      <c r="AO30" s="70"/>
      <c r="AP30" s="66"/>
      <c r="AQ30" s="54"/>
      <c r="AR30" s="55" t="e">
        <f t="shared" si="19"/>
        <v>#DIV/0!</v>
      </c>
      <c r="AS30" s="54"/>
      <c r="AT30" s="56" t="e">
        <f t="shared" si="20"/>
        <v>#DIV/0!</v>
      </c>
      <c r="AU30" s="56"/>
      <c r="AV30" s="56"/>
      <c r="AW30" s="71">
        <f t="shared" si="33"/>
        <v>0</v>
      </c>
      <c r="AX30" s="69" t="str">
        <f t="shared" si="21"/>
        <v/>
      </c>
      <c r="AY30" s="84">
        <f t="shared" si="22"/>
        <v>66</v>
      </c>
      <c r="AZ30" s="61">
        <f t="shared" si="23"/>
        <v>415120</v>
      </c>
      <c r="BA30" s="61">
        <f t="shared" si="24"/>
        <v>77080</v>
      </c>
      <c r="BB30" s="73">
        <f t="shared" si="32"/>
        <v>492200</v>
      </c>
      <c r="BC30" s="74">
        <f>BG30+BH30</f>
        <v>5500</v>
      </c>
      <c r="BD30" s="75">
        <v>66</v>
      </c>
      <c r="BE30" s="76">
        <v>407970</v>
      </c>
      <c r="BF30" s="76">
        <v>77080</v>
      </c>
      <c r="BG30" s="77">
        <v>5500</v>
      </c>
      <c r="BH30" s="77"/>
      <c r="BI30" s="77">
        <v>8300</v>
      </c>
      <c r="BJ30" s="77"/>
      <c r="BK30" s="78">
        <f t="shared" si="29"/>
        <v>490550</v>
      </c>
      <c r="BL30" s="49">
        <v>26</v>
      </c>
      <c r="BM30" s="79">
        <f t="shared" si="25"/>
        <v>490550</v>
      </c>
    </row>
    <row r="31" spans="2:67" ht="20" customHeight="1">
      <c r="B31" s="80">
        <f t="shared" si="26"/>
        <v>45592</v>
      </c>
      <c r="C31" s="81"/>
      <c r="D31" s="52"/>
      <c r="E31" s="53">
        <v>36</v>
      </c>
      <c r="F31" s="54">
        <v>173360</v>
      </c>
      <c r="G31" s="55">
        <f t="shared" si="0"/>
        <v>4377.7777777777774</v>
      </c>
      <c r="H31" s="54">
        <v>33130</v>
      </c>
      <c r="I31" s="55">
        <f t="shared" si="27"/>
        <v>836.61111111111109</v>
      </c>
      <c r="J31" s="57">
        <f t="shared" si="1"/>
        <v>206490</v>
      </c>
      <c r="K31" s="58">
        <f t="shared" si="2"/>
        <v>5735.833333333333</v>
      </c>
      <c r="L31" s="59"/>
      <c r="M31" s="60">
        <f t="shared" si="3"/>
        <v>15</v>
      </c>
      <c r="N31" s="61">
        <f t="shared" si="3"/>
        <v>111870</v>
      </c>
      <c r="O31" s="55">
        <f t="shared" si="4"/>
        <v>6780</v>
      </c>
      <c r="P31" s="61">
        <f t="shared" si="5"/>
        <v>24010</v>
      </c>
      <c r="Q31" s="55">
        <f t="shared" si="6"/>
        <v>1455.1333333333334</v>
      </c>
      <c r="R31" s="62">
        <f t="shared" si="7"/>
        <v>135880</v>
      </c>
      <c r="S31" s="58">
        <f t="shared" si="8"/>
        <v>9058.6666666666661</v>
      </c>
      <c r="T31" s="82">
        <f t="shared" si="9"/>
        <v>51</v>
      </c>
      <c r="U31" s="61">
        <f t="shared" si="9"/>
        <v>285230</v>
      </c>
      <c r="V31" s="61">
        <f t="shared" si="10"/>
        <v>57140</v>
      </c>
      <c r="W31" s="64">
        <f t="shared" si="11"/>
        <v>342370</v>
      </c>
      <c r="X31" s="83"/>
      <c r="Y31" s="65"/>
      <c r="Z31" s="66">
        <v>16</v>
      </c>
      <c r="AA31" s="54">
        <v>6520</v>
      </c>
      <c r="AB31" s="55">
        <f t="shared" si="12"/>
        <v>407.5</v>
      </c>
      <c r="AC31" s="54">
        <v>2920</v>
      </c>
      <c r="AD31" s="56">
        <f t="shared" si="13"/>
        <v>182.5</v>
      </c>
      <c r="AE31" s="67">
        <f t="shared" si="14"/>
        <v>9440</v>
      </c>
      <c r="AF31" s="58">
        <f t="shared" si="15"/>
        <v>590</v>
      </c>
      <c r="AG31" s="68"/>
      <c r="AH31" s="66"/>
      <c r="AI31" s="54"/>
      <c r="AJ31" s="55" t="e">
        <f t="shared" si="16"/>
        <v>#DIV/0!</v>
      </c>
      <c r="AK31" s="54"/>
      <c r="AL31" s="56" t="e">
        <f t="shared" si="17"/>
        <v>#DIV/0!</v>
      </c>
      <c r="AM31" s="67">
        <f t="shared" si="28"/>
        <v>0</v>
      </c>
      <c r="AN31" s="69" t="str">
        <f t="shared" si="18"/>
        <v/>
      </c>
      <c r="AO31" s="70"/>
      <c r="AP31" s="66"/>
      <c r="AQ31" s="54"/>
      <c r="AR31" s="55" t="e">
        <f t="shared" si="19"/>
        <v>#DIV/0!</v>
      </c>
      <c r="AS31" s="54"/>
      <c r="AT31" s="56" t="e">
        <f t="shared" si="20"/>
        <v>#DIV/0!</v>
      </c>
      <c r="AU31" s="56"/>
      <c r="AV31" s="56"/>
      <c r="AW31" s="71">
        <f t="shared" si="33"/>
        <v>0</v>
      </c>
      <c r="AX31" s="69" t="str">
        <f t="shared" si="21"/>
        <v/>
      </c>
      <c r="AY31" s="84">
        <f t="shared" si="22"/>
        <v>51</v>
      </c>
      <c r="AZ31" s="61">
        <f t="shared" si="23"/>
        <v>291750</v>
      </c>
      <c r="BA31" s="61">
        <f t="shared" si="24"/>
        <v>60060</v>
      </c>
      <c r="BB31" s="73">
        <f>W31+AE31+AM31+AW31-BN31</f>
        <v>348840</v>
      </c>
      <c r="BC31" s="74">
        <f t="shared" si="30"/>
        <v>0</v>
      </c>
      <c r="BD31" s="75">
        <v>51</v>
      </c>
      <c r="BE31" s="76">
        <v>285230</v>
      </c>
      <c r="BF31" s="76">
        <v>57140</v>
      </c>
      <c r="BG31" s="77"/>
      <c r="BH31" s="77"/>
      <c r="BI31" s="77"/>
      <c r="BJ31" s="77"/>
      <c r="BK31" s="78">
        <f t="shared" si="29"/>
        <v>342370</v>
      </c>
      <c r="BL31" s="49">
        <v>27</v>
      </c>
      <c r="BM31" s="79">
        <f t="shared" si="25"/>
        <v>342370</v>
      </c>
      <c r="BN31" s="49">
        <v>2970</v>
      </c>
    </row>
    <row r="32" spans="2:67" ht="20" customHeight="1">
      <c r="B32" s="80">
        <f t="shared" si="26"/>
        <v>45593</v>
      </c>
      <c r="C32" s="81"/>
      <c r="D32" s="52"/>
      <c r="E32" s="53">
        <v>33</v>
      </c>
      <c r="F32" s="54">
        <v>153560</v>
      </c>
      <c r="G32" s="55">
        <f t="shared" si="0"/>
        <v>4230.30303030303</v>
      </c>
      <c r="H32" s="54">
        <v>25850</v>
      </c>
      <c r="I32" s="55">
        <f t="shared" si="27"/>
        <v>712.12121212121212</v>
      </c>
      <c r="J32" s="57">
        <f t="shared" si="1"/>
        <v>179410</v>
      </c>
      <c r="K32" s="58">
        <f t="shared" si="2"/>
        <v>5436.666666666667</v>
      </c>
      <c r="L32" s="59"/>
      <c r="M32" s="60">
        <f t="shared" si="3"/>
        <v>17</v>
      </c>
      <c r="N32" s="61">
        <f t="shared" si="3"/>
        <v>124500</v>
      </c>
      <c r="O32" s="55">
        <f t="shared" si="4"/>
        <v>6657.7058823529414</v>
      </c>
      <c r="P32" s="61">
        <f t="shared" si="5"/>
        <v>28960</v>
      </c>
      <c r="Q32" s="55">
        <f t="shared" si="6"/>
        <v>1548.6470588235295</v>
      </c>
      <c r="R32" s="62">
        <f t="shared" si="7"/>
        <v>153460</v>
      </c>
      <c r="S32" s="58">
        <f t="shared" si="8"/>
        <v>9027.0588235294126</v>
      </c>
      <c r="T32" s="82">
        <f t="shared" si="9"/>
        <v>50</v>
      </c>
      <c r="U32" s="61">
        <f t="shared" si="9"/>
        <v>278060</v>
      </c>
      <c r="V32" s="61">
        <f t="shared" si="10"/>
        <v>54810</v>
      </c>
      <c r="W32" s="64">
        <f t="shared" si="11"/>
        <v>332870</v>
      </c>
      <c r="X32" s="83"/>
      <c r="Y32" s="65"/>
      <c r="Z32" s="66">
        <v>3</v>
      </c>
      <c r="AA32" s="54">
        <v>1650</v>
      </c>
      <c r="AB32" s="55">
        <f t="shared" si="12"/>
        <v>550</v>
      </c>
      <c r="AC32" s="54">
        <v>1800</v>
      </c>
      <c r="AD32" s="56">
        <f t="shared" si="13"/>
        <v>600</v>
      </c>
      <c r="AE32" s="67">
        <f t="shared" si="14"/>
        <v>3450</v>
      </c>
      <c r="AF32" s="58">
        <f t="shared" si="15"/>
        <v>1150</v>
      </c>
      <c r="AG32" s="68"/>
      <c r="AH32" s="66">
        <v>14</v>
      </c>
      <c r="AI32" s="54">
        <v>54810</v>
      </c>
      <c r="AJ32" s="55">
        <f t="shared" si="16"/>
        <v>3915</v>
      </c>
      <c r="AK32" s="54">
        <v>18270</v>
      </c>
      <c r="AL32" s="56">
        <f t="shared" si="17"/>
        <v>1305</v>
      </c>
      <c r="AM32" s="67">
        <f t="shared" si="28"/>
        <v>73080</v>
      </c>
      <c r="AN32" s="69">
        <f t="shared" si="18"/>
        <v>5220</v>
      </c>
      <c r="AO32" s="70"/>
      <c r="AP32" s="66"/>
      <c r="AQ32" s="54"/>
      <c r="AR32" s="55" t="e">
        <f t="shared" si="19"/>
        <v>#DIV/0!</v>
      </c>
      <c r="AS32" s="54"/>
      <c r="AT32" s="56" t="e">
        <f t="shared" si="20"/>
        <v>#DIV/0!</v>
      </c>
      <c r="AU32" s="56"/>
      <c r="AV32" s="56"/>
      <c r="AW32" s="71">
        <f t="shared" si="33"/>
        <v>0</v>
      </c>
      <c r="AX32" s="69" t="str">
        <f t="shared" si="21"/>
        <v/>
      </c>
      <c r="AY32" s="84">
        <f t="shared" si="22"/>
        <v>50</v>
      </c>
      <c r="AZ32" s="61">
        <f>U32+AA32+AI32+AQ32</f>
        <v>334520</v>
      </c>
      <c r="BA32" s="61">
        <f t="shared" si="24"/>
        <v>74880</v>
      </c>
      <c r="BB32" s="73">
        <f>W32+AE32+AM32+AW32-BN32</f>
        <v>409400</v>
      </c>
      <c r="BC32" s="74">
        <f>BG32+BH32</f>
        <v>0</v>
      </c>
      <c r="BD32" s="75">
        <v>50</v>
      </c>
      <c r="BE32" s="76">
        <v>278060</v>
      </c>
      <c r="BF32" s="76">
        <v>54810</v>
      </c>
      <c r="BG32" s="77"/>
      <c r="BH32" s="77"/>
      <c r="BI32" s="77"/>
      <c r="BJ32" s="77"/>
      <c r="BK32" s="78">
        <f>SUM(BE32:BH32)</f>
        <v>332870</v>
      </c>
      <c r="BL32" s="49">
        <v>28</v>
      </c>
    </row>
    <row r="33" spans="2:65" ht="20" customHeight="1">
      <c r="B33" s="80">
        <f t="shared" si="26"/>
        <v>45594</v>
      </c>
      <c r="C33" s="81"/>
      <c r="D33" s="52"/>
      <c r="E33" s="53">
        <v>20</v>
      </c>
      <c r="F33" s="54">
        <v>77990</v>
      </c>
      <c r="G33" s="55">
        <f t="shared" si="0"/>
        <v>3545</v>
      </c>
      <c r="H33" s="54">
        <v>3570</v>
      </c>
      <c r="I33" s="55">
        <f t="shared" si="27"/>
        <v>162.25</v>
      </c>
      <c r="J33" s="57">
        <f t="shared" si="1"/>
        <v>81560</v>
      </c>
      <c r="K33" s="58">
        <f t="shared" si="2"/>
        <v>4078</v>
      </c>
      <c r="L33" s="59"/>
      <c r="M33" s="60">
        <f t="shared" si="3"/>
        <v>6</v>
      </c>
      <c r="N33" s="61">
        <f t="shared" si="3"/>
        <v>57200</v>
      </c>
      <c r="O33" s="55">
        <f t="shared" si="4"/>
        <v>8666.6666666666661</v>
      </c>
      <c r="P33" s="61">
        <f t="shared" si="5"/>
        <v>13010</v>
      </c>
      <c r="Q33" s="55">
        <f t="shared" si="6"/>
        <v>1971.1666666666667</v>
      </c>
      <c r="R33" s="62">
        <f t="shared" si="7"/>
        <v>70210</v>
      </c>
      <c r="S33" s="58">
        <f t="shared" si="8"/>
        <v>11701.666666666666</v>
      </c>
      <c r="T33" s="82">
        <f t="shared" si="9"/>
        <v>26</v>
      </c>
      <c r="U33" s="61">
        <f t="shared" si="9"/>
        <v>135190</v>
      </c>
      <c r="V33" s="61">
        <f t="shared" si="10"/>
        <v>16580</v>
      </c>
      <c r="W33" s="64">
        <f>J33+R33</f>
        <v>151770</v>
      </c>
      <c r="X33" s="83"/>
      <c r="Y33" s="65"/>
      <c r="Z33" s="66">
        <v>20</v>
      </c>
      <c r="AA33" s="54">
        <v>9710</v>
      </c>
      <c r="AB33" s="55">
        <f t="shared" si="12"/>
        <v>485.5</v>
      </c>
      <c r="AC33" s="54">
        <v>3600</v>
      </c>
      <c r="AD33" s="56">
        <f t="shared" si="13"/>
        <v>180</v>
      </c>
      <c r="AE33" s="67">
        <f t="shared" si="14"/>
        <v>13310</v>
      </c>
      <c r="AF33" s="58">
        <f t="shared" si="15"/>
        <v>665.5</v>
      </c>
      <c r="AG33" s="68"/>
      <c r="AH33" s="66"/>
      <c r="AI33" s="54"/>
      <c r="AJ33" s="55" t="e">
        <f t="shared" si="16"/>
        <v>#DIV/0!</v>
      </c>
      <c r="AK33" s="54"/>
      <c r="AL33" s="56" t="e">
        <f t="shared" si="17"/>
        <v>#DIV/0!</v>
      </c>
      <c r="AM33" s="67">
        <f t="shared" si="28"/>
        <v>0</v>
      </c>
      <c r="AN33" s="69" t="str">
        <f t="shared" si="18"/>
        <v/>
      </c>
      <c r="AO33" s="70"/>
      <c r="AP33" s="66"/>
      <c r="AQ33" s="54"/>
      <c r="AR33" s="55" t="e">
        <f t="shared" si="19"/>
        <v>#DIV/0!</v>
      </c>
      <c r="AS33" s="54"/>
      <c r="AT33" s="56" t="e">
        <f t="shared" si="20"/>
        <v>#DIV/0!</v>
      </c>
      <c r="AU33" s="56"/>
      <c r="AV33" s="56"/>
      <c r="AW33" s="71">
        <f t="shared" si="33"/>
        <v>0</v>
      </c>
      <c r="AX33" s="69" t="str">
        <f t="shared" si="21"/>
        <v/>
      </c>
      <c r="AY33" s="84">
        <f t="shared" si="22"/>
        <v>26</v>
      </c>
      <c r="AZ33" s="61">
        <f t="shared" si="23"/>
        <v>144900</v>
      </c>
      <c r="BA33" s="61">
        <f t="shared" si="24"/>
        <v>20180</v>
      </c>
      <c r="BB33" s="73">
        <f>W33+AE33+AM33+AW33-BN33</f>
        <v>165080</v>
      </c>
      <c r="BC33" s="74">
        <f t="shared" si="30"/>
        <v>0</v>
      </c>
      <c r="BD33" s="75">
        <v>26</v>
      </c>
      <c r="BE33" s="76">
        <v>135190</v>
      </c>
      <c r="BF33" s="76">
        <v>16580</v>
      </c>
      <c r="BG33" s="77"/>
      <c r="BH33" s="77"/>
      <c r="BI33" s="77"/>
      <c r="BJ33" s="77"/>
      <c r="BK33" s="78">
        <f t="shared" si="29"/>
        <v>151770</v>
      </c>
      <c r="BL33" s="49">
        <v>29</v>
      </c>
      <c r="BM33" s="79">
        <f t="shared" si="25"/>
        <v>151770</v>
      </c>
    </row>
    <row r="34" spans="2:65" ht="20" customHeight="1">
      <c r="B34" s="80">
        <f t="shared" si="26"/>
        <v>45595</v>
      </c>
      <c r="C34" s="81"/>
      <c r="D34" s="52"/>
      <c r="E34" s="53">
        <v>24</v>
      </c>
      <c r="F34" s="54">
        <v>98010</v>
      </c>
      <c r="G34" s="55">
        <f t="shared" si="0"/>
        <v>3712.5</v>
      </c>
      <c r="H34" s="54">
        <v>11580</v>
      </c>
      <c r="I34" s="55">
        <f t="shared" si="27"/>
        <v>438.625</v>
      </c>
      <c r="J34" s="57">
        <f t="shared" si="1"/>
        <v>109590</v>
      </c>
      <c r="K34" s="58">
        <f t="shared" si="2"/>
        <v>4566.25</v>
      </c>
      <c r="L34" s="59"/>
      <c r="M34" s="60">
        <f t="shared" si="3"/>
        <v>31</v>
      </c>
      <c r="N34" s="61">
        <f t="shared" si="3"/>
        <v>250580</v>
      </c>
      <c r="O34" s="55">
        <f t="shared" si="4"/>
        <v>7348.3870967741932</v>
      </c>
      <c r="P34" s="61">
        <f t="shared" si="5"/>
        <v>82160</v>
      </c>
      <c r="Q34" s="55">
        <f t="shared" si="6"/>
        <v>2409.3548387096776</v>
      </c>
      <c r="R34" s="62">
        <f t="shared" si="7"/>
        <v>332740</v>
      </c>
      <c r="S34" s="58">
        <f t="shared" si="8"/>
        <v>10733.548387096775</v>
      </c>
      <c r="T34" s="82">
        <f t="shared" si="9"/>
        <v>55</v>
      </c>
      <c r="U34" s="61">
        <f t="shared" si="9"/>
        <v>348590</v>
      </c>
      <c r="V34" s="61">
        <f t="shared" si="10"/>
        <v>93740</v>
      </c>
      <c r="W34" s="64">
        <f t="shared" si="11"/>
        <v>442330</v>
      </c>
      <c r="X34" s="83"/>
      <c r="Y34" s="89"/>
      <c r="Z34" s="90">
        <v>11</v>
      </c>
      <c r="AA34" s="91">
        <v>5710</v>
      </c>
      <c r="AB34" s="55">
        <f t="shared" si="12"/>
        <v>519.09090909090912</v>
      </c>
      <c r="AC34" s="91">
        <v>2100</v>
      </c>
      <c r="AD34" s="56">
        <f t="shared" si="13"/>
        <v>190.90909090909091</v>
      </c>
      <c r="AE34" s="67">
        <f t="shared" si="14"/>
        <v>7810</v>
      </c>
      <c r="AF34" s="58">
        <f t="shared" si="15"/>
        <v>710</v>
      </c>
      <c r="AG34" s="68"/>
      <c r="AH34" s="90"/>
      <c r="AI34" s="91"/>
      <c r="AJ34" s="55" t="e">
        <f t="shared" si="16"/>
        <v>#DIV/0!</v>
      </c>
      <c r="AK34" s="91"/>
      <c r="AL34" s="56" t="e">
        <f t="shared" si="17"/>
        <v>#DIV/0!</v>
      </c>
      <c r="AM34" s="67">
        <f t="shared" si="28"/>
        <v>0</v>
      </c>
      <c r="AN34" s="69" t="str">
        <f t="shared" si="18"/>
        <v/>
      </c>
      <c r="AO34" s="70"/>
      <c r="AP34" s="90"/>
      <c r="AQ34" s="91"/>
      <c r="AR34" s="55" t="e">
        <f t="shared" si="19"/>
        <v>#DIV/0!</v>
      </c>
      <c r="AS34" s="91"/>
      <c r="AT34" s="56" t="e">
        <f t="shared" si="20"/>
        <v>#DIV/0!</v>
      </c>
      <c r="AU34" s="56"/>
      <c r="AV34" s="56"/>
      <c r="AW34" s="71">
        <f>AQ34+AS34+AU34+AV34-BN34</f>
        <v>0</v>
      </c>
      <c r="AX34" s="69" t="str">
        <f t="shared" si="21"/>
        <v/>
      </c>
      <c r="AY34" s="84">
        <f t="shared" si="22"/>
        <v>55</v>
      </c>
      <c r="AZ34" s="61">
        <f t="shared" si="23"/>
        <v>354300</v>
      </c>
      <c r="BA34" s="61">
        <f t="shared" si="24"/>
        <v>95840</v>
      </c>
      <c r="BB34" s="73">
        <f>W34+AE34+AM34+AW34-BN34</f>
        <v>450140</v>
      </c>
      <c r="BC34" s="74">
        <f t="shared" si="30"/>
        <v>1100</v>
      </c>
      <c r="BD34" s="75">
        <v>55</v>
      </c>
      <c r="BE34" s="76">
        <v>348590</v>
      </c>
      <c r="BF34" s="76">
        <v>93740</v>
      </c>
      <c r="BG34" s="77">
        <v>1100</v>
      </c>
      <c r="BH34" s="77"/>
      <c r="BI34" s="77"/>
      <c r="BJ34" s="77"/>
      <c r="BK34" s="78">
        <f t="shared" si="29"/>
        <v>443430</v>
      </c>
      <c r="BL34" s="49">
        <v>30</v>
      </c>
      <c r="BM34" s="79">
        <f t="shared" si="25"/>
        <v>443430</v>
      </c>
    </row>
    <row r="35" spans="2:65" ht="20" customHeight="1" thickBot="1">
      <c r="B35" s="80">
        <f t="shared" si="26"/>
        <v>45596</v>
      </c>
      <c r="C35" s="81"/>
      <c r="D35" s="52"/>
      <c r="E35" s="53">
        <v>24</v>
      </c>
      <c r="F35" s="54">
        <v>108130</v>
      </c>
      <c r="G35" s="55">
        <f t="shared" si="0"/>
        <v>4095.8333333333335</v>
      </c>
      <c r="H35" s="54">
        <v>7300</v>
      </c>
      <c r="I35" s="55">
        <f t="shared" si="27"/>
        <v>276.5</v>
      </c>
      <c r="J35" s="57">
        <f t="shared" si="1"/>
        <v>115430</v>
      </c>
      <c r="K35" s="58">
        <f t="shared" si="2"/>
        <v>4809.583333333333</v>
      </c>
      <c r="L35" s="59"/>
      <c r="M35" s="92">
        <f t="shared" si="3"/>
        <v>8</v>
      </c>
      <c r="N35" s="61">
        <f t="shared" si="3"/>
        <v>60060</v>
      </c>
      <c r="O35" s="55">
        <f t="shared" si="4"/>
        <v>6825</v>
      </c>
      <c r="P35" s="61">
        <f t="shared" si="5"/>
        <v>11200</v>
      </c>
      <c r="Q35" s="55">
        <f t="shared" si="6"/>
        <v>1272.625</v>
      </c>
      <c r="R35" s="62">
        <f t="shared" si="7"/>
        <v>71260</v>
      </c>
      <c r="S35" s="58">
        <f t="shared" si="8"/>
        <v>8907.5</v>
      </c>
      <c r="T35" s="93">
        <f t="shared" si="9"/>
        <v>32</v>
      </c>
      <c r="U35" s="94">
        <f t="shared" si="9"/>
        <v>168190</v>
      </c>
      <c r="V35" s="94">
        <f t="shared" si="10"/>
        <v>18500</v>
      </c>
      <c r="W35" s="95">
        <f t="shared" si="11"/>
        <v>186690</v>
      </c>
      <c r="X35" s="94"/>
      <c r="Y35" s="96"/>
      <c r="Z35" s="97">
        <v>8</v>
      </c>
      <c r="AA35" s="98">
        <v>3420</v>
      </c>
      <c r="AB35" s="99">
        <f t="shared" si="12"/>
        <v>427.5</v>
      </c>
      <c r="AC35" s="98">
        <v>1970</v>
      </c>
      <c r="AD35" s="100">
        <f t="shared" si="13"/>
        <v>246.25</v>
      </c>
      <c r="AE35" s="101">
        <f t="shared" si="14"/>
        <v>5390</v>
      </c>
      <c r="AF35" s="58">
        <f t="shared" si="15"/>
        <v>673.75</v>
      </c>
      <c r="AG35" s="102"/>
      <c r="AH35" s="97"/>
      <c r="AI35" s="98"/>
      <c r="AJ35" s="99" t="e">
        <f t="shared" si="16"/>
        <v>#DIV/0!</v>
      </c>
      <c r="AK35" s="98"/>
      <c r="AL35" s="100" t="e">
        <f t="shared" si="17"/>
        <v>#DIV/0!</v>
      </c>
      <c r="AM35" s="67">
        <f t="shared" si="28"/>
        <v>0</v>
      </c>
      <c r="AN35" s="69" t="str">
        <f t="shared" si="18"/>
        <v/>
      </c>
      <c r="AO35" s="103"/>
      <c r="AP35" s="97"/>
      <c r="AQ35" s="98"/>
      <c r="AR35" s="99" t="e">
        <f t="shared" si="19"/>
        <v>#DIV/0!</v>
      </c>
      <c r="AS35" s="98"/>
      <c r="AT35" s="100" t="e">
        <f t="shared" si="20"/>
        <v>#DIV/0!</v>
      </c>
      <c r="AU35" s="100"/>
      <c r="AV35" s="56"/>
      <c r="AW35" s="71">
        <f t="shared" si="33"/>
        <v>0</v>
      </c>
      <c r="AX35" s="69" t="str">
        <f t="shared" si="21"/>
        <v/>
      </c>
      <c r="AY35" s="104">
        <f t="shared" si="22"/>
        <v>32</v>
      </c>
      <c r="AZ35" s="61">
        <f t="shared" si="23"/>
        <v>171610</v>
      </c>
      <c r="BA35" s="61">
        <f t="shared" si="24"/>
        <v>20470</v>
      </c>
      <c r="BB35" s="73">
        <f>W35+AE35+AM35+AW35-BN35</f>
        <v>192080</v>
      </c>
      <c r="BC35" s="74">
        <f t="shared" si="30"/>
        <v>0</v>
      </c>
      <c r="BD35" s="105">
        <v>32</v>
      </c>
      <c r="BE35" s="106">
        <v>168190</v>
      </c>
      <c r="BF35" s="106">
        <v>18500</v>
      </c>
      <c r="BG35" s="107"/>
      <c r="BH35" s="107"/>
      <c r="BI35" s="107">
        <v>3300</v>
      </c>
      <c r="BJ35" s="107"/>
      <c r="BK35" s="78">
        <f t="shared" si="29"/>
        <v>186690</v>
      </c>
      <c r="BL35" s="49">
        <v>31</v>
      </c>
      <c r="BM35" s="79">
        <f t="shared" si="25"/>
        <v>186690</v>
      </c>
    </row>
    <row r="36" spans="2:65" s="130" customFormat="1" ht="20" customHeight="1" thickTop="1">
      <c r="B36" s="108" t="s">
        <v>28</v>
      </c>
      <c r="C36" s="109">
        <f>SUM(C5:C35)</f>
        <v>0</v>
      </c>
      <c r="D36" s="110">
        <f>SUM(D5:D35)</f>
        <v>0</v>
      </c>
      <c r="E36" s="111">
        <f>SUM(E5:E35)</f>
        <v>895</v>
      </c>
      <c r="F36" s="112">
        <f>SUM(F5:F35)</f>
        <v>3825250</v>
      </c>
      <c r="G36" s="113">
        <f>F36/E36</f>
        <v>4274.0223463687153</v>
      </c>
      <c r="H36" s="109">
        <f>SUM(H5:H35)</f>
        <v>697620</v>
      </c>
      <c r="I36" s="114">
        <f>H36/E36</f>
        <v>779.46368715083804</v>
      </c>
      <c r="J36" s="115">
        <f>SUM(J5:J35)</f>
        <v>4522870</v>
      </c>
      <c r="K36" s="116">
        <f>J36/E36</f>
        <v>5053.4860335195526</v>
      </c>
      <c r="L36" s="117">
        <f>SUM(L5:L35)</f>
        <v>0</v>
      </c>
      <c r="M36" s="111">
        <f>SUM(M5:M35)</f>
        <v>584</v>
      </c>
      <c r="N36" s="112">
        <f>SUM(N5:N35)</f>
        <v>5262590</v>
      </c>
      <c r="O36" s="113">
        <f>N36/M36</f>
        <v>9011.284246575342</v>
      </c>
      <c r="P36" s="118">
        <f>SUM(P5:P35)</f>
        <v>1299870</v>
      </c>
      <c r="Q36" s="114">
        <f>P36/M36</f>
        <v>2225.8047945205481</v>
      </c>
      <c r="R36" s="119">
        <f>SUM(R5:R35)</f>
        <v>6562460</v>
      </c>
      <c r="S36" s="120">
        <f>R36/M36</f>
        <v>11237.089041095891</v>
      </c>
      <c r="T36" s="111">
        <f t="shared" ref="T36:AA36" si="34">SUM(T5:T35)</f>
        <v>1479</v>
      </c>
      <c r="U36" s="118">
        <f t="shared" si="34"/>
        <v>9087840</v>
      </c>
      <c r="V36" s="118">
        <f t="shared" si="34"/>
        <v>1997490</v>
      </c>
      <c r="W36" s="115">
        <f>SUM(W5:W35)</f>
        <v>11085330</v>
      </c>
      <c r="X36" s="121">
        <f t="shared" si="34"/>
        <v>0</v>
      </c>
      <c r="Y36" s="110">
        <f t="shared" si="34"/>
        <v>0</v>
      </c>
      <c r="Z36" s="111">
        <f t="shared" si="34"/>
        <v>411</v>
      </c>
      <c r="AA36" s="113">
        <f t="shared" si="34"/>
        <v>201000</v>
      </c>
      <c r="AB36" s="113">
        <f>AA36/Z36</f>
        <v>489.05109489051097</v>
      </c>
      <c r="AC36" s="109">
        <f>SUM(AC5:AC35)</f>
        <v>93360</v>
      </c>
      <c r="AD36" s="114">
        <f>AC36/Z36</f>
        <v>227.15328467153284</v>
      </c>
      <c r="AE36" s="119">
        <f>SUM(AE5:AE35)</f>
        <v>294360</v>
      </c>
      <c r="AF36" s="122">
        <f>AE36/Z36</f>
        <v>716.20437956204375</v>
      </c>
      <c r="AG36" s="123">
        <f t="shared" ref="AG36:AI36" si="35">SUM(AG5:AG35)</f>
        <v>0</v>
      </c>
      <c r="AH36" s="111">
        <f t="shared" si="35"/>
        <v>164</v>
      </c>
      <c r="AI36" s="113">
        <f t="shared" si="35"/>
        <v>567240</v>
      </c>
      <c r="AJ36" s="113"/>
      <c r="AK36" s="109">
        <f>SUM(AK5:AK35)</f>
        <v>218145</v>
      </c>
      <c r="AL36" s="114"/>
      <c r="AM36" s="119">
        <f>SUM(AM5:AM35)</f>
        <v>785385</v>
      </c>
      <c r="AN36" s="124">
        <f>AM36/AH36</f>
        <v>4788.9329268292686</v>
      </c>
      <c r="AO36" s="125">
        <f t="shared" ref="AO36:AQ36" si="36">SUM(AO5:AO35)</f>
        <v>0</v>
      </c>
      <c r="AP36" s="111">
        <f t="shared" si="36"/>
        <v>508</v>
      </c>
      <c r="AQ36" s="113">
        <f t="shared" si="36"/>
        <v>885650</v>
      </c>
      <c r="AR36" s="113"/>
      <c r="AS36" s="109">
        <f>SUM(AS5:AS35)</f>
        <v>714100</v>
      </c>
      <c r="AT36" s="114"/>
      <c r="AU36" s="109">
        <f>SUM(AU5:AU35)</f>
        <v>0</v>
      </c>
      <c r="AV36" s="109">
        <f>SUM(AV5:AV35)</f>
        <v>0</v>
      </c>
      <c r="AW36" s="119">
        <f>SUM(AW5:AW35)</f>
        <v>1599750</v>
      </c>
      <c r="AX36" s="124">
        <f>AW36/AP36</f>
        <v>3149.1141732283463</v>
      </c>
      <c r="AY36" s="126">
        <f t="shared" ref="AY36:BK36" si="37">SUM(AY5:AY35)</f>
        <v>1479</v>
      </c>
      <c r="AZ36" s="118">
        <f t="shared" si="37"/>
        <v>10741730</v>
      </c>
      <c r="BA36" s="118">
        <f t="shared" si="37"/>
        <v>3023095</v>
      </c>
      <c r="BB36" s="119">
        <f>SUM(BB5:BB35)</f>
        <v>13759875</v>
      </c>
      <c r="BC36" s="127">
        <f t="shared" si="37"/>
        <v>75900</v>
      </c>
      <c r="BD36" s="128">
        <f t="shared" si="37"/>
        <v>1479</v>
      </c>
      <c r="BE36" s="128">
        <f t="shared" si="37"/>
        <v>9087840</v>
      </c>
      <c r="BF36" s="128">
        <f t="shared" si="37"/>
        <v>1997490</v>
      </c>
      <c r="BG36" s="128">
        <f t="shared" si="37"/>
        <v>74800</v>
      </c>
      <c r="BH36" s="128">
        <f t="shared" si="37"/>
        <v>1100</v>
      </c>
      <c r="BI36" s="128">
        <f t="shared" si="37"/>
        <v>46300</v>
      </c>
      <c r="BJ36" s="128">
        <f t="shared" si="37"/>
        <v>9900</v>
      </c>
      <c r="BK36" s="129">
        <f t="shared" si="37"/>
        <v>11161230</v>
      </c>
      <c r="BM36" s="131">
        <f>SUM(BM5:BM35)</f>
        <v>10838260</v>
      </c>
    </row>
    <row r="37" spans="2:65" s="130" customFormat="1" ht="18">
      <c r="B37" s="132"/>
      <c r="E37" s="133" t="s">
        <v>42</v>
      </c>
      <c r="F37" s="134">
        <f>F36/1.1</f>
        <v>3477499.9999999995</v>
      </c>
      <c r="G37" s="135">
        <f>F37/E36</f>
        <v>3885.474860335195</v>
      </c>
      <c r="H37" s="136">
        <f>H36/1.1</f>
        <v>634200</v>
      </c>
      <c r="I37" s="135">
        <f>H37/E36</f>
        <v>708.60335195530729</v>
      </c>
      <c r="J37" s="137">
        <f>J36/1.1</f>
        <v>4111699.9999999995</v>
      </c>
      <c r="K37" s="138">
        <f>G37+I37</f>
        <v>4594.0782122905021</v>
      </c>
      <c r="L37" s="139"/>
      <c r="M37" s="133" t="s">
        <v>42</v>
      </c>
      <c r="N37" s="134">
        <f>N36/1.1</f>
        <v>4784172.7272727266</v>
      </c>
      <c r="O37" s="135">
        <f>N37/M36</f>
        <v>8192.0765877957656</v>
      </c>
      <c r="P37" s="136">
        <f>P36/1.1</f>
        <v>1181700</v>
      </c>
      <c r="Q37" s="135">
        <f>P37/M36</f>
        <v>2023.458904109589</v>
      </c>
      <c r="R37" s="135">
        <f>R36/1.1</f>
        <v>5965872.7272727266</v>
      </c>
      <c r="S37" s="140">
        <f>R37/M36</f>
        <v>10215.535491905353</v>
      </c>
      <c r="T37" s="133" t="s">
        <v>42</v>
      </c>
      <c r="U37" s="134">
        <f>U36/1.1</f>
        <v>8261672.7272727266</v>
      </c>
      <c r="V37" s="134">
        <f>V36/1.1</f>
        <v>1815899.9999999998</v>
      </c>
      <c r="W37" s="137">
        <f>W36/1.1</f>
        <v>10077572.727272727</v>
      </c>
      <c r="X37" s="141"/>
      <c r="Y37" s="139"/>
      <c r="Z37" s="133" t="s">
        <v>42</v>
      </c>
      <c r="AA37" s="134">
        <f>AA36/1.1</f>
        <v>182727.27272727271</v>
      </c>
      <c r="AB37" s="136">
        <f>AA37/Z36</f>
        <v>444.591904445919</v>
      </c>
      <c r="AC37" s="136">
        <f>AC36/1.1</f>
        <v>84872.727272727265</v>
      </c>
      <c r="AD37" s="136">
        <f>AC37/Z36</f>
        <v>206.50298606502983</v>
      </c>
      <c r="AE37" s="135">
        <f>AE36/1.1</f>
        <v>267600</v>
      </c>
      <c r="AF37" s="142">
        <f>AE37/Z36</f>
        <v>651.09489051094886</v>
      </c>
      <c r="AG37" s="139"/>
      <c r="AH37" s="133" t="s">
        <v>42</v>
      </c>
      <c r="AI37" s="134">
        <f>AI36/1.1</f>
        <v>515672.72727272724</v>
      </c>
      <c r="AJ37" s="136">
        <f>AI37/AH36</f>
        <v>3144.3458980044343</v>
      </c>
      <c r="AK37" s="136">
        <f>AK36/1.1</f>
        <v>198313.63636363635</v>
      </c>
      <c r="AL37" s="136">
        <f>AK37/AH36</f>
        <v>1209.229490022173</v>
      </c>
      <c r="AM37" s="135">
        <f>AM36/1.1</f>
        <v>713986.36363636353</v>
      </c>
      <c r="AN37" s="143" t="e">
        <f>AM37/AG36</f>
        <v>#DIV/0!</v>
      </c>
      <c r="AO37" s="139"/>
      <c r="AP37" s="133" t="s">
        <v>42</v>
      </c>
      <c r="AQ37" s="134">
        <f>AQ36/1.1</f>
        <v>805136.36363636353</v>
      </c>
      <c r="AR37" s="136">
        <f>AQ37/AP36</f>
        <v>1584.914101646385</v>
      </c>
      <c r="AS37" s="136">
        <f>AS36/1.1</f>
        <v>649181.81818181812</v>
      </c>
      <c r="AT37" s="136">
        <f>AS37/AP36</f>
        <v>1277.9169649248388</v>
      </c>
      <c r="AU37" s="136">
        <f>AU36/1.1</f>
        <v>0</v>
      </c>
      <c r="AV37" s="136">
        <f>AV36/1.1</f>
        <v>0</v>
      </c>
      <c r="AW37" s="135">
        <f>AW36/1.1</f>
        <v>1454318.1818181816</v>
      </c>
      <c r="AX37" s="143">
        <f>AW37/AP36</f>
        <v>2862.8310665712238</v>
      </c>
      <c r="AY37" s="144" t="s">
        <v>42</v>
      </c>
      <c r="AZ37" s="134">
        <f>AZ36/1.1</f>
        <v>9765209.0909090899</v>
      </c>
      <c r="BA37" s="134">
        <f>BA36/1.1</f>
        <v>2748268.1818181816</v>
      </c>
      <c r="BB37" s="135">
        <f>BB36/1.1</f>
        <v>12508977.272727272</v>
      </c>
      <c r="BC37" s="145">
        <f>BC36/1.1</f>
        <v>69000</v>
      </c>
      <c r="BH37" s="146"/>
      <c r="BK37" s="147">
        <f>BK36/1.1</f>
        <v>10146572.727272727</v>
      </c>
      <c r="BM37" s="147"/>
    </row>
    <row r="38" spans="2:65">
      <c r="C38" s="49">
        <v>31</v>
      </c>
      <c r="E38" s="148" t="s">
        <v>43</v>
      </c>
      <c r="F38" s="149">
        <f>E36/G38</f>
        <v>28.870967741935484</v>
      </c>
      <c r="G38" s="150">
        <v>31</v>
      </c>
      <c r="H38" s="149"/>
      <c r="I38" s="149"/>
      <c r="J38" s="151" t="s">
        <v>44</v>
      </c>
      <c r="K38" s="152">
        <f>J37/G38</f>
        <v>132635.48387096773</v>
      </c>
      <c r="M38" s="148" t="s">
        <v>43</v>
      </c>
      <c r="N38" s="149">
        <f>M36/O38</f>
        <v>18.838709677419356</v>
      </c>
      <c r="O38" s="150">
        <f>G38</f>
        <v>31</v>
      </c>
      <c r="P38" s="149"/>
      <c r="Q38" s="149"/>
      <c r="R38" s="151" t="s">
        <v>44</v>
      </c>
      <c r="S38" s="153">
        <f>R37/O38</f>
        <v>192447.50733137826</v>
      </c>
      <c r="U38" s="154">
        <f>O38</f>
        <v>31</v>
      </c>
      <c r="W38" s="85">
        <f>W37/U38</f>
        <v>325082.99120234599</v>
      </c>
      <c r="X38" s="79"/>
      <c r="AA38" s="155">
        <f>G38</f>
        <v>31</v>
      </c>
      <c r="AB38" s="149"/>
      <c r="AC38" s="149"/>
      <c r="AD38" s="149"/>
      <c r="AE38" s="149"/>
      <c r="AF38" s="152">
        <f>AE37/AA38</f>
        <v>8632.2580645161288</v>
      </c>
      <c r="AI38" s="155">
        <f>AA38</f>
        <v>31</v>
      </c>
      <c r="AJ38" s="149"/>
      <c r="AK38" s="149"/>
      <c r="AL38" s="149"/>
      <c r="AM38" s="149"/>
      <c r="AN38" s="152">
        <f>AM37/AI38</f>
        <v>23031.81818181818</v>
      </c>
      <c r="AQ38" s="155">
        <f>G38</f>
        <v>31</v>
      </c>
      <c r="AR38" s="149"/>
      <c r="AS38" s="149"/>
      <c r="AT38" s="149"/>
      <c r="AU38" s="149"/>
      <c r="AV38" s="149"/>
      <c r="AW38" s="149"/>
      <c r="AX38" s="152">
        <f>AW37/AQ38</f>
        <v>46913.489736070376</v>
      </c>
      <c r="BB38" s="85"/>
      <c r="BC38" s="79" t="e">
        <f>BB37/BD37</f>
        <v>#DIV/0!</v>
      </c>
      <c r="BD38" s="156">
        <f>AY36+T36</f>
        <v>2958</v>
      </c>
      <c r="BH38" s="85"/>
    </row>
    <row r="39" spans="2:65">
      <c r="D39" s="157" t="s">
        <v>45</v>
      </c>
      <c r="E39" s="158"/>
      <c r="F39" s="149"/>
      <c r="G39" s="159"/>
      <c r="H39" s="149"/>
      <c r="I39" s="149"/>
      <c r="J39" s="151"/>
      <c r="K39" s="152"/>
      <c r="L39" s="160" t="s">
        <v>46</v>
      </c>
      <c r="M39" s="148"/>
      <c r="N39" s="149"/>
      <c r="O39" s="149"/>
      <c r="P39" s="149"/>
      <c r="Q39" s="149"/>
      <c r="R39" s="151"/>
      <c r="S39" s="152"/>
      <c r="W39" s="85"/>
      <c r="X39" s="79"/>
      <c r="Y39" s="160" t="s">
        <v>47</v>
      </c>
      <c r="AA39" s="149"/>
      <c r="AB39" s="149"/>
      <c r="AC39" s="149"/>
      <c r="AD39" s="149"/>
      <c r="AE39" s="149"/>
      <c r="AF39" s="152"/>
      <c r="AG39" s="160" t="s">
        <v>48</v>
      </c>
      <c r="AI39" s="149"/>
      <c r="AJ39" s="149"/>
      <c r="AK39" s="149"/>
      <c r="AL39" s="149"/>
      <c r="AM39" s="149"/>
      <c r="AN39" s="152"/>
      <c r="AO39" s="160" t="s">
        <v>49</v>
      </c>
      <c r="AQ39" s="149"/>
      <c r="AR39" s="149"/>
      <c r="AS39" s="149"/>
      <c r="AT39" s="149"/>
      <c r="AU39" s="149"/>
      <c r="AV39" s="149"/>
      <c r="AW39" s="149"/>
      <c r="AX39" s="152"/>
      <c r="BB39" s="79">
        <f>BB36+BC36</f>
        <v>13835775</v>
      </c>
      <c r="BC39" s="161">
        <f>BB39/G38</f>
        <v>446315.32258064515</v>
      </c>
      <c r="BD39" s="49" t="s">
        <v>50</v>
      </c>
      <c r="BH39" s="85"/>
    </row>
    <row r="40" spans="2:65" ht="21.5" customHeight="1">
      <c r="C40" s="160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49">
        <v>25</v>
      </c>
      <c r="W40" s="79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BB40" s="163">
        <f>BB37+BC37</f>
        <v>12577977.272727272</v>
      </c>
    </row>
    <row r="41" spans="2:65" ht="21.5" customHeight="1">
      <c r="C41" s="160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49">
        <v>15</v>
      </c>
      <c r="V41" s="49">
        <f>17+10+14+5+7+8+9+6</f>
        <v>76</v>
      </c>
      <c r="W41" s="85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BB41" s="79"/>
      <c r="BC41" s="161">
        <f>BB40/G38</f>
        <v>405741.20234604104</v>
      </c>
      <c r="BD41" s="49" t="s">
        <v>51</v>
      </c>
      <c r="BE41" s="49">
        <v>9</v>
      </c>
    </row>
    <row r="42" spans="2:65" ht="21.5" customHeight="1">
      <c r="C42" s="160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49">
        <v>13</v>
      </c>
      <c r="W42" s="79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BE42" s="49">
        <v>8</v>
      </c>
      <c r="BF42" s="85">
        <f>AS37</f>
        <v>649181.81818181812</v>
      </c>
    </row>
    <row r="43" spans="2:65" ht="21.5" customHeight="1">
      <c r="C43" s="160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49">
        <v>10</v>
      </c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BB43" s="85">
        <f>BB37+BC37</f>
        <v>12577977.272727272</v>
      </c>
      <c r="BC43" s="164" t="s">
        <v>52</v>
      </c>
      <c r="BE43" s="49">
        <v>7</v>
      </c>
      <c r="BF43" s="165">
        <f>'[1]2023(7)'!AS37</f>
        <v>15843636.363636361</v>
      </c>
      <c r="BG43" s="165">
        <v>6266320</v>
      </c>
      <c r="BH43" s="166">
        <f>BG43/BF43</f>
        <v>0.39551021344962134</v>
      </c>
    </row>
    <row r="44" spans="2:65" ht="21.5" customHeight="1">
      <c r="C44" s="160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49">
        <v>40</v>
      </c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Z44" s="130"/>
      <c r="BA44" s="167" t="s">
        <v>53</v>
      </c>
      <c r="BB44" s="147">
        <f>J45+R45+AE45+BC44+AM45+AW45</f>
        <v>10881560</v>
      </c>
      <c r="BC44" s="168"/>
      <c r="BD44" s="130"/>
      <c r="BE44" s="49">
        <v>6</v>
      </c>
      <c r="BF44" s="165">
        <v>7119727</v>
      </c>
      <c r="BG44" s="165">
        <v>2680643</v>
      </c>
      <c r="BH44" s="166">
        <f t="shared" ref="BH44:BH45" si="38">BG44/BF44</f>
        <v>0.37650923975034434</v>
      </c>
      <c r="BI44" s="49" t="s">
        <v>54</v>
      </c>
    </row>
    <row r="45" spans="2:65" ht="21" customHeight="1">
      <c r="H45" s="169"/>
      <c r="I45" s="170" t="s">
        <v>55</v>
      </c>
      <c r="J45" s="147">
        <v>3958760</v>
      </c>
      <c r="K45" s="171" t="s">
        <v>56</v>
      </c>
      <c r="L45" s="130"/>
      <c r="M45" s="130"/>
      <c r="N45" s="130"/>
      <c r="O45" s="130"/>
      <c r="P45" s="130"/>
      <c r="Q45" s="170" t="s">
        <v>57</v>
      </c>
      <c r="R45" s="147">
        <v>5100400</v>
      </c>
      <c r="S45" s="171" t="s">
        <v>56</v>
      </c>
      <c r="T45" s="130">
        <v>10</v>
      </c>
      <c r="U45" s="130"/>
      <c r="V45" s="170" t="s">
        <v>58</v>
      </c>
      <c r="W45" s="147">
        <f>J45+R45</f>
        <v>9059160</v>
      </c>
      <c r="X45" s="171" t="s">
        <v>56</v>
      </c>
      <c r="Y45" s="130"/>
      <c r="Z45" s="130"/>
      <c r="AA45" s="130"/>
      <c r="AB45" s="130"/>
      <c r="AC45" s="130"/>
      <c r="AD45" s="169" t="s">
        <v>59</v>
      </c>
      <c r="AE45" s="147">
        <v>370200</v>
      </c>
      <c r="AF45" s="171" t="s">
        <v>56</v>
      </c>
      <c r="AG45" s="171"/>
      <c r="AH45" s="171"/>
      <c r="AI45" s="171"/>
      <c r="AJ45" s="171"/>
      <c r="AK45" s="130"/>
      <c r="AL45" s="170" t="s">
        <v>60</v>
      </c>
      <c r="AM45" s="147">
        <v>997200</v>
      </c>
      <c r="AN45" s="171" t="s">
        <v>56</v>
      </c>
      <c r="AO45" s="171"/>
      <c r="AP45" s="171"/>
      <c r="AQ45" s="171"/>
      <c r="AR45" s="171"/>
      <c r="AS45" s="130"/>
      <c r="AT45" s="170" t="s">
        <v>61</v>
      </c>
      <c r="AU45" s="170"/>
      <c r="AV45" s="170"/>
      <c r="AW45" s="147">
        <v>455000</v>
      </c>
      <c r="AX45" s="171" t="s">
        <v>56</v>
      </c>
      <c r="AY45" s="130"/>
      <c r="AZ45" s="130"/>
      <c r="BA45" s="167" t="s">
        <v>62</v>
      </c>
      <c r="BB45" s="146">
        <f>BB44-BB37-BC37</f>
        <v>-1696417.2727272715</v>
      </c>
      <c r="BC45" s="146">
        <f>BC44-BC37</f>
        <v>-69000</v>
      </c>
      <c r="BD45" s="172" t="e">
        <f>BC37/BC44</f>
        <v>#DIV/0!</v>
      </c>
      <c r="BE45" s="49">
        <v>5</v>
      </c>
      <c r="BF45" s="165">
        <v>637682</v>
      </c>
      <c r="BG45" s="165"/>
      <c r="BH45" s="166">
        <f t="shared" si="38"/>
        <v>0</v>
      </c>
      <c r="BI45" s="79" t="s">
        <v>63</v>
      </c>
      <c r="BM45" s="49"/>
    </row>
    <row r="46" spans="2:65" ht="21" customHeight="1">
      <c r="H46" s="169"/>
      <c r="I46" s="169" t="s">
        <v>62</v>
      </c>
      <c r="J46" s="146">
        <f>J45-J37</f>
        <v>-152939.99999999953</v>
      </c>
      <c r="K46" s="173">
        <f>C38-G38</f>
        <v>0</v>
      </c>
      <c r="L46" s="130"/>
      <c r="M46" s="130"/>
      <c r="N46" s="130"/>
      <c r="O46" s="130"/>
      <c r="P46" s="130"/>
      <c r="Q46" s="169" t="s">
        <v>62</v>
      </c>
      <c r="R46" s="146">
        <f>R45-R37</f>
        <v>-865472.7272727266</v>
      </c>
      <c r="S46" s="130">
        <f>K46</f>
        <v>0</v>
      </c>
      <c r="T46" s="130"/>
      <c r="U46" s="130"/>
      <c r="V46" s="169" t="s">
        <v>62</v>
      </c>
      <c r="W46" s="146">
        <f>W45-W37</f>
        <v>-1018412.7272727266</v>
      </c>
      <c r="X46" s="130">
        <f>S46</f>
        <v>0</v>
      </c>
      <c r="Y46" s="130"/>
      <c r="Z46" s="130"/>
      <c r="AA46" s="130"/>
      <c r="AB46" s="130"/>
      <c r="AC46" s="130"/>
      <c r="AD46" s="169" t="s">
        <v>62</v>
      </c>
      <c r="AE46" s="146">
        <f>AE45-AE37</f>
        <v>102600</v>
      </c>
      <c r="AF46" s="130">
        <f>K46</f>
        <v>0</v>
      </c>
      <c r="AG46" s="130"/>
      <c r="AH46" s="130"/>
      <c r="AI46" s="130"/>
      <c r="AJ46" s="130"/>
      <c r="AK46" s="130"/>
      <c r="AL46" s="169" t="s">
        <v>62</v>
      </c>
      <c r="AM46" s="146">
        <f>AM45-AM37</f>
        <v>283213.63636363647</v>
      </c>
      <c r="AN46" s="130">
        <f>AF46</f>
        <v>0</v>
      </c>
      <c r="AO46" s="130"/>
      <c r="AP46" s="130"/>
      <c r="AQ46" s="130"/>
      <c r="AR46" s="130"/>
      <c r="AS46" s="130"/>
      <c r="AT46" s="169" t="s">
        <v>62</v>
      </c>
      <c r="AU46" s="169"/>
      <c r="AV46" s="174"/>
      <c r="AW46" s="146">
        <f>AW45-AW37</f>
        <v>-999318.18181818165</v>
      </c>
      <c r="AX46" s="130">
        <f>AN46</f>
        <v>0</v>
      </c>
      <c r="AY46" s="130"/>
      <c r="AZ46" s="175"/>
      <c r="BA46" s="176" t="s">
        <v>64</v>
      </c>
      <c r="BB46" s="177" t="e">
        <f>BB45/K46</f>
        <v>#DIV/0!</v>
      </c>
      <c r="BC46" s="178">
        <f>(BB37+BC37)/BB44</f>
        <v>1.1558983521413539</v>
      </c>
      <c r="BD46" s="175"/>
      <c r="BE46" s="179"/>
      <c r="BF46" s="180">
        <f>SUM(BF41:BF45)</f>
        <v>24250227.18181818</v>
      </c>
      <c r="BG46" s="181">
        <f>BK71</f>
        <v>9138052</v>
      </c>
      <c r="BH46" s="182">
        <f>BG46/BF46</f>
        <v>0.37682335639524789</v>
      </c>
      <c r="BI46" s="183">
        <f>BF46-BG46</f>
        <v>15112175.18181818</v>
      </c>
      <c r="BM46" s="49"/>
    </row>
    <row r="47" spans="2:65" s="179" customFormat="1" ht="26" customHeight="1">
      <c r="B47" s="184"/>
      <c r="H47" s="185"/>
      <c r="I47" s="176" t="s">
        <v>64</v>
      </c>
      <c r="J47" s="186" t="e">
        <f>J46/K46</f>
        <v>#DIV/0!</v>
      </c>
      <c r="K47" s="187">
        <f>J37/J45</f>
        <v>1.0386333094201214</v>
      </c>
      <c r="L47" s="175"/>
      <c r="M47" s="175"/>
      <c r="N47" s="175"/>
      <c r="O47" s="175"/>
      <c r="P47" s="175"/>
      <c r="Q47" s="176" t="s">
        <v>64</v>
      </c>
      <c r="R47" s="177" t="e">
        <f>R46/S46</f>
        <v>#DIV/0!</v>
      </c>
      <c r="S47" s="187">
        <f>R37/R45</f>
        <v>1.1696872259573223</v>
      </c>
      <c r="T47" s="175"/>
      <c r="U47" s="175"/>
      <c r="V47" s="176" t="s">
        <v>64</v>
      </c>
      <c r="W47" s="177" t="e">
        <f>W46/X46</f>
        <v>#DIV/0!</v>
      </c>
      <c r="X47" s="187">
        <f>W37/W45</f>
        <v>1.1124180086534212</v>
      </c>
      <c r="Y47" s="175"/>
      <c r="Z47" s="175"/>
      <c r="AA47" s="175"/>
      <c r="AB47" s="175"/>
      <c r="AC47" s="175"/>
      <c r="AD47" s="176" t="s">
        <v>64</v>
      </c>
      <c r="AE47" s="186" t="e">
        <f>AE46/AF46</f>
        <v>#DIV/0!</v>
      </c>
      <c r="AF47" s="187">
        <f>AE37/AE45</f>
        <v>0.72285251215559154</v>
      </c>
      <c r="AG47" s="187"/>
      <c r="AH47" s="187"/>
      <c r="AI47" s="187"/>
      <c r="AJ47" s="187"/>
      <c r="AK47" s="175"/>
      <c r="AL47" s="176" t="s">
        <v>64</v>
      </c>
      <c r="AM47" s="177" t="e">
        <f>AM46/AN46</f>
        <v>#DIV/0!</v>
      </c>
      <c r="AN47" s="187">
        <f>AM37/AM45</f>
        <v>0.7159911388250737</v>
      </c>
      <c r="AO47" s="187"/>
      <c r="AP47" s="187"/>
      <c r="AQ47" s="187"/>
      <c r="AR47" s="187"/>
      <c r="AS47" s="175"/>
      <c r="AT47" s="176" t="s">
        <v>64</v>
      </c>
      <c r="AU47" s="176"/>
      <c r="AV47" s="176" t="e">
        <f>AV46/AX46</f>
        <v>#DIV/0!</v>
      </c>
      <c r="AW47" s="177" t="e">
        <f>AW46/AX46</f>
        <v>#DIV/0!</v>
      </c>
      <c r="AX47" s="187">
        <f>AW37/AW45</f>
        <v>3.1963036963036959</v>
      </c>
      <c r="AY47" s="175"/>
      <c r="AZ47" s="49"/>
      <c r="BA47" s="49"/>
      <c r="BB47" s="85"/>
      <c r="BC47" s="49"/>
      <c r="BD47" s="49"/>
      <c r="BE47" s="49"/>
      <c r="BI47" s="188"/>
      <c r="BK47" s="188"/>
    </row>
    <row r="48" spans="2:65">
      <c r="H48" s="49">
        <v>931</v>
      </c>
      <c r="I48" s="49">
        <f>H48/31</f>
        <v>30.032258064516128</v>
      </c>
      <c r="K48" s="49">
        <f>J45/31</f>
        <v>127701.93548387097</v>
      </c>
      <c r="P48" s="49">
        <v>557</v>
      </c>
      <c r="Q48" s="49">
        <f>P48/31</f>
        <v>17.967741935483872</v>
      </c>
      <c r="S48" s="49">
        <f>R45/31</f>
        <v>164529.03225806452</v>
      </c>
      <c r="AX48" s="49" t="e">
        <f>AW37/AV45</f>
        <v>#DIV/0!</v>
      </c>
      <c r="AZ48" s="189"/>
      <c r="BA48" s="189"/>
      <c r="BB48" s="189"/>
      <c r="BC48" s="189"/>
      <c r="BD48" s="189"/>
      <c r="BE48" s="189"/>
      <c r="BI48" s="79"/>
      <c r="BM48" s="49"/>
    </row>
    <row r="49" spans="2:63" s="189" customFormat="1" ht="24" customHeight="1">
      <c r="B49" s="190"/>
      <c r="I49" s="189" t="s">
        <v>65</v>
      </c>
      <c r="J49" s="191">
        <f>(I5+I8+I9+I10+I11+I12+I15+I16+I17+I18+I19+I22+I23+I24+I25+I26)/16</f>
        <v>763.38921260090228</v>
      </c>
      <c r="K49" s="189">
        <v>800000</v>
      </c>
      <c r="L49" s="192"/>
      <c r="M49" s="49"/>
      <c r="N49" s="49"/>
      <c r="O49" s="49"/>
      <c r="P49" s="49"/>
      <c r="Q49" s="49"/>
      <c r="R49" s="192">
        <v>400000</v>
      </c>
      <c r="AE49" s="189">
        <f>AE45/30</f>
        <v>12340</v>
      </c>
      <c r="AQ49" s="193">
        <f>AP14+AP21</f>
        <v>0</v>
      </c>
      <c r="AR49" s="194" t="e">
        <f>AR14+AR21</f>
        <v>#DIV/0!</v>
      </c>
      <c r="AS49" s="194" t="e">
        <f>AT14+AT21</f>
        <v>#DIV/0!</v>
      </c>
      <c r="AW49" s="189">
        <f>AW45/30</f>
        <v>15166.666666666666</v>
      </c>
      <c r="AZ49" s="1"/>
      <c r="BA49" s="1"/>
      <c r="BB49" s="1"/>
      <c r="BC49" s="1"/>
      <c r="BD49" s="195" t="s">
        <v>66</v>
      </c>
      <c r="BE49" s="1" t="s">
        <v>67</v>
      </c>
      <c r="BF49" s="1" t="s">
        <v>68</v>
      </c>
      <c r="BG49" s="1" t="s">
        <v>69</v>
      </c>
      <c r="BH49" s="1" t="s">
        <v>70</v>
      </c>
      <c r="BI49" s="196" t="s">
        <v>71</v>
      </c>
      <c r="BJ49" s="196" t="s">
        <v>72</v>
      </c>
      <c r="BK49" s="196" t="s">
        <v>73</v>
      </c>
    </row>
    <row r="50" spans="2:63" s="1" customFormat="1" ht="24" customHeight="1">
      <c r="B50" s="190"/>
      <c r="I50" s="1" t="s">
        <v>74</v>
      </c>
      <c r="J50" s="191">
        <f>(I6+I7+I13+I14+I20+I21+I27)/7</f>
        <v>560.72507540650668</v>
      </c>
      <c r="L50" s="197"/>
      <c r="M50" s="49"/>
      <c r="N50" s="49"/>
      <c r="O50" s="49"/>
      <c r="P50" s="49"/>
      <c r="Q50" s="49"/>
      <c r="R50" s="197"/>
      <c r="S50" s="197"/>
      <c r="Z50" s="198"/>
      <c r="AQ50" s="1">
        <f>AQ49/2</f>
        <v>0</v>
      </c>
      <c r="AR50" s="199" t="e">
        <f t="shared" ref="AR50:AS50" si="39">AR49/2</f>
        <v>#DIV/0!</v>
      </c>
      <c r="AS50" s="199" t="e">
        <f t="shared" si="39"/>
        <v>#DIV/0!</v>
      </c>
      <c r="AW50" s="1">
        <v>54000000</v>
      </c>
      <c r="AX50" s="200">
        <f>AW50-AW37</f>
        <v>52545681.81818182</v>
      </c>
      <c r="AZ50" s="189"/>
      <c r="BA50" s="189"/>
      <c r="BB50" s="189"/>
      <c r="BC50" s="189"/>
      <c r="BD50" s="195" t="s">
        <v>75</v>
      </c>
      <c r="BE50" s="201">
        <v>1800</v>
      </c>
      <c r="BF50" s="201">
        <v>21</v>
      </c>
      <c r="BG50" s="202">
        <v>0</v>
      </c>
      <c r="BH50" s="201"/>
      <c r="BI50" s="203">
        <f>BF50*BE50</f>
        <v>37800</v>
      </c>
      <c r="BJ50" s="203">
        <f>BE50*BG50</f>
        <v>0</v>
      </c>
      <c r="BK50" s="203">
        <f>BI50-BJ50</f>
        <v>37800</v>
      </c>
    </row>
    <row r="51" spans="2:63" s="189" customFormat="1" ht="24" customHeight="1">
      <c r="B51" s="190"/>
      <c r="D51" s="189" t="s">
        <v>76</v>
      </c>
      <c r="E51" s="204">
        <f>E8+E15+E29+E22</f>
        <v>120</v>
      </c>
      <c r="F51" s="1">
        <f>F8+F15+F29+F22</f>
        <v>471680</v>
      </c>
      <c r="G51" s="191">
        <f>H8+H15+H22+H29</f>
        <v>63560</v>
      </c>
      <c r="K51" s="1"/>
      <c r="L51" s="197"/>
      <c r="M51" s="49"/>
      <c r="N51" s="49"/>
      <c r="O51" s="49"/>
      <c r="P51" s="49"/>
      <c r="Q51" s="49"/>
      <c r="R51" s="205"/>
      <c r="S51" s="206"/>
      <c r="T51" s="206"/>
      <c r="U51" s="206" t="s">
        <v>77</v>
      </c>
      <c r="V51" s="206"/>
      <c r="W51" s="207"/>
      <c r="X51" s="208"/>
      <c r="Y51" s="195"/>
      <c r="Z51" s="203"/>
      <c r="AX51" s="189" t="e">
        <f>AX50/AX46</f>
        <v>#DIV/0!</v>
      </c>
      <c r="BD51" s="195" t="s">
        <v>78</v>
      </c>
      <c r="BE51" s="201">
        <v>10800</v>
      </c>
      <c r="BF51" s="201">
        <v>640</v>
      </c>
      <c r="BG51" s="201">
        <v>20</v>
      </c>
      <c r="BH51" s="201"/>
      <c r="BI51" s="203">
        <f t="shared" ref="BI51:BI70" si="40">BE51*BF51</f>
        <v>6912000</v>
      </c>
      <c r="BJ51" s="203">
        <f t="shared" ref="BJ51:BJ70" si="41">BE51*BG51</f>
        <v>216000</v>
      </c>
      <c r="BK51" s="203">
        <f t="shared" ref="BK51:BK70" si="42">BI51-BJ51</f>
        <v>6696000</v>
      </c>
    </row>
    <row r="52" spans="2:63" s="189" customFormat="1" ht="24" customHeight="1">
      <c r="B52" s="190"/>
      <c r="D52" s="189" t="s">
        <v>79</v>
      </c>
      <c r="E52" s="204">
        <f>E9+E16+E30+E23</f>
        <v>112</v>
      </c>
      <c r="F52" s="1">
        <f t="shared" ref="F52:F54" si="43">F9+F16+F30+F23</f>
        <v>506220</v>
      </c>
      <c r="G52" s="191">
        <f t="shared" ref="G52:G55" si="44">H9+H16+H23+H30</f>
        <v>100330</v>
      </c>
      <c r="K52" s="1"/>
      <c r="L52" s="197"/>
      <c r="M52" s="49"/>
      <c r="N52" s="49"/>
      <c r="O52" s="49"/>
      <c r="P52" s="49"/>
      <c r="Q52" s="49"/>
      <c r="R52" s="207"/>
      <c r="S52" s="206"/>
      <c r="T52" s="206"/>
      <c r="U52" s="209" t="s">
        <v>80</v>
      </c>
      <c r="V52" s="210" t="s">
        <v>81</v>
      </c>
      <c r="W52" s="211"/>
      <c r="X52" s="212" t="e">
        <f>W52/Y52</f>
        <v>#DIV/0!</v>
      </c>
      <c r="Y52" s="213">
        <f>W52+W53</f>
        <v>0</v>
      </c>
      <c r="Z52" s="214"/>
      <c r="AA52" s="214"/>
      <c r="BD52" s="195" t="s">
        <v>82</v>
      </c>
      <c r="BE52" s="201">
        <v>6120</v>
      </c>
      <c r="BF52" s="201">
        <v>40</v>
      </c>
      <c r="BG52" s="201">
        <v>4</v>
      </c>
      <c r="BH52" s="201"/>
      <c r="BI52" s="203">
        <f t="shared" si="40"/>
        <v>244800</v>
      </c>
      <c r="BJ52" s="203">
        <f t="shared" si="41"/>
        <v>24480</v>
      </c>
      <c r="BK52" s="203">
        <f t="shared" si="42"/>
        <v>220320</v>
      </c>
    </row>
    <row r="53" spans="2:63" s="189" customFormat="1" ht="24" customHeight="1">
      <c r="B53" s="190"/>
      <c r="D53" s="189" t="s">
        <v>83</v>
      </c>
      <c r="E53" s="204">
        <f>E10+E17+E31+E24</f>
        <v>155</v>
      </c>
      <c r="F53" s="1">
        <f t="shared" si="43"/>
        <v>796950</v>
      </c>
      <c r="G53" s="191">
        <f t="shared" si="44"/>
        <v>225370</v>
      </c>
      <c r="K53" s="1"/>
      <c r="L53" s="197"/>
      <c r="M53" s="49"/>
      <c r="N53" s="49"/>
      <c r="O53" s="49"/>
      <c r="P53" s="49"/>
      <c r="Q53" s="49"/>
      <c r="R53" s="207"/>
      <c r="S53" s="206"/>
      <c r="T53" s="206"/>
      <c r="U53" s="209"/>
      <c r="V53" s="210" t="s">
        <v>84</v>
      </c>
      <c r="W53" s="211"/>
      <c r="X53" s="212" t="e">
        <f>W53/Y52</f>
        <v>#DIV/0!</v>
      </c>
      <c r="Y53" s="214"/>
      <c r="Z53" s="214"/>
      <c r="AA53" s="214"/>
      <c r="AU53" s="189">
        <v>4670600</v>
      </c>
      <c r="AV53" s="189">
        <v>19016645.454545453</v>
      </c>
      <c r="AW53" s="189">
        <v>16482254.545454545</v>
      </c>
      <c r="AX53" s="189">
        <v>6958118.1818181816</v>
      </c>
      <c r="BB53" s="189" t="s">
        <v>85</v>
      </c>
      <c r="BD53" s="195" t="s">
        <v>86</v>
      </c>
      <c r="BE53" s="201">
        <v>1780</v>
      </c>
      <c r="BF53" s="201">
        <v>24</v>
      </c>
      <c r="BG53" s="201">
        <v>4</v>
      </c>
      <c r="BH53" s="201"/>
      <c r="BI53" s="203">
        <f t="shared" si="40"/>
        <v>42720</v>
      </c>
      <c r="BJ53" s="203">
        <f t="shared" si="41"/>
        <v>7120</v>
      </c>
      <c r="BK53" s="203">
        <f t="shared" si="42"/>
        <v>35600</v>
      </c>
    </row>
    <row r="54" spans="2:63" s="189" customFormat="1" ht="24" customHeight="1">
      <c r="B54" s="190"/>
      <c r="D54" s="189" t="s">
        <v>87</v>
      </c>
      <c r="E54" s="204">
        <f>E11+E18+E32+E25</f>
        <v>102</v>
      </c>
      <c r="F54" s="1">
        <f t="shared" si="43"/>
        <v>419650</v>
      </c>
      <c r="G54" s="191">
        <f t="shared" si="44"/>
        <v>54620</v>
      </c>
      <c r="K54" s="1"/>
      <c r="L54" s="197"/>
      <c r="M54" s="49"/>
      <c r="N54" s="49"/>
      <c r="O54" s="49"/>
      <c r="P54" s="49"/>
      <c r="Q54" s="49"/>
      <c r="R54" s="207"/>
      <c r="S54" s="206"/>
      <c r="T54" s="206"/>
      <c r="U54" s="215" t="s">
        <v>88</v>
      </c>
      <c r="V54" s="210" t="s">
        <v>81</v>
      </c>
      <c r="W54" s="211"/>
      <c r="X54" s="212" t="e">
        <f t="shared" ref="X54" si="45">W54/Y54</f>
        <v>#DIV/0!</v>
      </c>
      <c r="Y54" s="213">
        <f t="shared" ref="Y54" si="46">W54+W55</f>
        <v>0</v>
      </c>
      <c r="Z54" s="214"/>
      <c r="AA54" s="214"/>
      <c r="BD54" s="195" t="s">
        <v>89</v>
      </c>
      <c r="BE54" s="201">
        <v>1780</v>
      </c>
      <c r="BF54" s="201">
        <v>24</v>
      </c>
      <c r="BG54" s="201">
        <v>20</v>
      </c>
      <c r="BH54" s="201"/>
      <c r="BI54" s="203">
        <f t="shared" si="40"/>
        <v>42720</v>
      </c>
      <c r="BJ54" s="203">
        <f t="shared" si="41"/>
        <v>35600</v>
      </c>
      <c r="BK54" s="203">
        <f t="shared" si="42"/>
        <v>7120</v>
      </c>
    </row>
    <row r="55" spans="2:63" s="189" customFormat="1" ht="24" customHeight="1">
      <c r="B55" s="190"/>
      <c r="D55" s="189" t="s">
        <v>90</v>
      </c>
      <c r="E55" s="204">
        <f t="shared" ref="E55:F57" si="47">E12+E19+E33+E26+E5</f>
        <v>126</v>
      </c>
      <c r="F55" s="204">
        <f t="shared" si="47"/>
        <v>499730</v>
      </c>
      <c r="G55" s="191">
        <f t="shared" si="44"/>
        <v>75010</v>
      </c>
      <c r="L55" s="192"/>
      <c r="M55" s="49"/>
      <c r="N55" s="49"/>
      <c r="O55" s="49"/>
      <c r="P55" s="49"/>
      <c r="Q55" s="49"/>
      <c r="R55" s="216"/>
      <c r="S55" s="206"/>
      <c r="T55" s="206"/>
      <c r="U55" s="215"/>
      <c r="V55" s="210" t="s">
        <v>84</v>
      </c>
      <c r="W55" s="211"/>
      <c r="X55" s="212" t="e">
        <f t="shared" ref="X55" si="48">W55/Y54</f>
        <v>#DIV/0!</v>
      </c>
      <c r="Y55" s="214"/>
      <c r="Z55" s="214"/>
      <c r="AA55" s="214"/>
      <c r="AZ55" s="49"/>
      <c r="BA55" s="49"/>
      <c r="BB55" s="49"/>
      <c r="BC55" s="49"/>
      <c r="BD55" s="195" t="s">
        <v>91</v>
      </c>
      <c r="BE55" s="217">
        <v>8190</v>
      </c>
      <c r="BF55" s="201">
        <v>13</v>
      </c>
      <c r="BG55" s="201">
        <v>4</v>
      </c>
      <c r="BH55" s="201"/>
      <c r="BI55" s="203">
        <f t="shared" si="40"/>
        <v>106470</v>
      </c>
      <c r="BJ55" s="203">
        <f t="shared" si="41"/>
        <v>32760</v>
      </c>
      <c r="BK55" s="203">
        <f t="shared" si="42"/>
        <v>73710</v>
      </c>
    </row>
    <row r="56" spans="2:63" ht="24" customHeight="1">
      <c r="D56" s="189" t="s">
        <v>92</v>
      </c>
      <c r="E56" s="204">
        <f>E13+E20+E34+E27+E6</f>
        <v>113</v>
      </c>
      <c r="F56" s="204">
        <f t="shared" si="47"/>
        <v>440220</v>
      </c>
      <c r="G56" s="191">
        <f>H13+H20+H27+H34+H6</f>
        <v>75320</v>
      </c>
      <c r="U56" s="218" t="s">
        <v>2</v>
      </c>
      <c r="V56" s="219" t="s">
        <v>81</v>
      </c>
      <c r="W56" s="211"/>
      <c r="X56" s="212" t="e">
        <f t="shared" ref="X56:X58" si="49">W56/Y56</f>
        <v>#DIV/0!</v>
      </c>
      <c r="Y56" s="213">
        <f t="shared" ref="Y56" si="50">W56+W57</f>
        <v>0</v>
      </c>
      <c r="Z56" s="214"/>
      <c r="AA56" s="214"/>
      <c r="BD56" s="195" t="s">
        <v>93</v>
      </c>
      <c r="BE56" s="217">
        <v>5784</v>
      </c>
      <c r="BF56" s="217">
        <v>36</v>
      </c>
      <c r="BG56" s="217">
        <v>28</v>
      </c>
      <c r="BH56" s="217"/>
      <c r="BI56" s="203">
        <f t="shared" si="40"/>
        <v>208224</v>
      </c>
      <c r="BJ56" s="203">
        <f t="shared" si="41"/>
        <v>161952</v>
      </c>
      <c r="BK56" s="203">
        <f t="shared" si="42"/>
        <v>46272</v>
      </c>
    </row>
    <row r="57" spans="2:63" ht="24" customHeight="1">
      <c r="D57" s="189" t="s">
        <v>94</v>
      </c>
      <c r="E57" s="204">
        <f>E14+E21+E35+E28+E7</f>
        <v>167</v>
      </c>
      <c r="F57" s="204">
        <f t="shared" si="47"/>
        <v>690800</v>
      </c>
      <c r="G57" s="191">
        <f>H14+H21+H28+H35+H7</f>
        <v>94640</v>
      </c>
      <c r="U57" s="218"/>
      <c r="V57" s="219" t="s">
        <v>84</v>
      </c>
      <c r="W57" s="211"/>
      <c r="X57" s="212" t="e">
        <f t="shared" ref="X57:X59" si="51">W57/Y56</f>
        <v>#DIV/0!</v>
      </c>
      <c r="Y57" s="214"/>
      <c r="Z57" s="214"/>
      <c r="AA57" s="214"/>
      <c r="BD57" s="195" t="s">
        <v>95</v>
      </c>
      <c r="BE57" s="217">
        <v>6775</v>
      </c>
      <c r="BF57" s="217">
        <v>12</v>
      </c>
      <c r="BG57" s="217">
        <v>11</v>
      </c>
      <c r="BH57" s="217"/>
      <c r="BI57" s="203">
        <f t="shared" si="40"/>
        <v>81300</v>
      </c>
      <c r="BJ57" s="203">
        <f t="shared" si="41"/>
        <v>74525</v>
      </c>
      <c r="BK57" s="203">
        <f t="shared" si="42"/>
        <v>6775</v>
      </c>
    </row>
    <row r="58" spans="2:63" ht="24" customHeight="1">
      <c r="U58" s="220" t="s">
        <v>96</v>
      </c>
      <c r="V58" s="219" t="s">
        <v>81</v>
      </c>
      <c r="W58" s="211"/>
      <c r="X58" s="212" t="e">
        <f t="shared" si="49"/>
        <v>#DIV/0!</v>
      </c>
      <c r="Y58" s="221">
        <f>SUM(Y52:AA56)</f>
        <v>0</v>
      </c>
      <c r="Z58" s="222"/>
      <c r="AA58" s="222"/>
      <c r="BD58" s="195" t="s">
        <v>97</v>
      </c>
      <c r="BE58" s="217">
        <v>1755</v>
      </c>
      <c r="BF58" s="217">
        <v>14</v>
      </c>
      <c r="BG58" s="217">
        <v>2</v>
      </c>
      <c r="BH58" s="217"/>
      <c r="BI58" s="203">
        <f t="shared" si="40"/>
        <v>24570</v>
      </c>
      <c r="BJ58" s="203">
        <f t="shared" si="41"/>
        <v>3510</v>
      </c>
      <c r="BK58" s="203">
        <f t="shared" si="42"/>
        <v>21060</v>
      </c>
    </row>
    <row r="59" spans="2:63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20"/>
      <c r="V59" s="219" t="s">
        <v>84</v>
      </c>
      <c r="W59" s="211"/>
      <c r="X59" s="212" t="e">
        <f t="shared" si="51"/>
        <v>#DIV/0!</v>
      </c>
      <c r="Y59" s="222"/>
      <c r="Z59" s="222"/>
      <c r="AA59" s="222"/>
      <c r="BD59" s="195" t="s">
        <v>98</v>
      </c>
      <c r="BE59" s="217">
        <v>1755</v>
      </c>
      <c r="BF59" s="217">
        <v>10</v>
      </c>
      <c r="BG59" s="217">
        <v>0</v>
      </c>
      <c r="BH59" s="217"/>
      <c r="BI59" s="203">
        <f t="shared" si="40"/>
        <v>17550</v>
      </c>
      <c r="BJ59" s="203">
        <f t="shared" si="41"/>
        <v>0</v>
      </c>
      <c r="BK59" s="203">
        <f t="shared" si="42"/>
        <v>17550</v>
      </c>
    </row>
    <row r="60" spans="2:63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D60" s="195" t="s">
        <v>99</v>
      </c>
      <c r="BE60" s="217">
        <v>1075</v>
      </c>
      <c r="BF60" s="217">
        <v>96</v>
      </c>
      <c r="BG60" s="217">
        <v>38</v>
      </c>
      <c r="BH60" s="217"/>
      <c r="BI60" s="203">
        <f t="shared" si="40"/>
        <v>103200</v>
      </c>
      <c r="BJ60" s="203">
        <f t="shared" si="41"/>
        <v>40850</v>
      </c>
      <c r="BK60" s="203">
        <f t="shared" si="42"/>
        <v>62350</v>
      </c>
    </row>
    <row r="61" spans="2:63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D61" s="195" t="s">
        <v>100</v>
      </c>
      <c r="BE61" s="217">
        <v>3860</v>
      </c>
      <c r="BF61" s="217">
        <v>166</v>
      </c>
      <c r="BG61" s="217">
        <v>13</v>
      </c>
      <c r="BH61" s="217"/>
      <c r="BI61" s="203">
        <f t="shared" si="40"/>
        <v>640760</v>
      </c>
      <c r="BJ61" s="203">
        <f t="shared" si="41"/>
        <v>50180</v>
      </c>
      <c r="BK61" s="203">
        <f t="shared" si="42"/>
        <v>590580</v>
      </c>
    </row>
    <row r="62" spans="2:63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D62" s="195" t="s">
        <v>101</v>
      </c>
      <c r="BE62" s="217">
        <v>6450</v>
      </c>
      <c r="BF62" s="217">
        <v>137</v>
      </c>
      <c r="BG62" s="217">
        <v>12</v>
      </c>
      <c r="BH62" s="217"/>
      <c r="BI62" s="203">
        <f t="shared" si="40"/>
        <v>883650</v>
      </c>
      <c r="BJ62" s="203">
        <f t="shared" si="41"/>
        <v>77400</v>
      </c>
      <c r="BK62" s="203">
        <f t="shared" si="42"/>
        <v>806250</v>
      </c>
    </row>
    <row r="63" spans="2:63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D63" s="195" t="s">
        <v>102</v>
      </c>
      <c r="BE63" s="217">
        <v>1380</v>
      </c>
      <c r="BF63" s="217">
        <v>35</v>
      </c>
      <c r="BG63" s="217">
        <v>5</v>
      </c>
      <c r="BH63" s="217"/>
      <c r="BI63" s="203">
        <f t="shared" si="40"/>
        <v>48300</v>
      </c>
      <c r="BJ63" s="203">
        <f t="shared" si="41"/>
        <v>6900</v>
      </c>
      <c r="BK63" s="203">
        <f t="shared" si="42"/>
        <v>41400</v>
      </c>
    </row>
    <row r="64" spans="2:63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D64" s="195" t="s">
        <v>103</v>
      </c>
      <c r="BE64" s="217">
        <v>1380</v>
      </c>
      <c r="BF64" s="217">
        <v>39</v>
      </c>
      <c r="BG64" s="217">
        <v>6</v>
      </c>
      <c r="BH64" s="217"/>
      <c r="BI64" s="203">
        <f t="shared" si="40"/>
        <v>53820</v>
      </c>
      <c r="BJ64" s="203">
        <f t="shared" si="41"/>
        <v>8280</v>
      </c>
      <c r="BK64" s="203">
        <f t="shared" si="42"/>
        <v>45540</v>
      </c>
    </row>
    <row r="65" spans="6:63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D65" s="195" t="s">
        <v>104</v>
      </c>
      <c r="BE65" s="217">
        <v>160</v>
      </c>
      <c r="BF65" s="217">
        <v>594</v>
      </c>
      <c r="BG65" s="217">
        <v>53</v>
      </c>
      <c r="BH65" s="217"/>
      <c r="BI65" s="203">
        <f t="shared" si="40"/>
        <v>95040</v>
      </c>
      <c r="BJ65" s="203">
        <f t="shared" si="41"/>
        <v>8480</v>
      </c>
      <c r="BK65" s="203">
        <f t="shared" si="42"/>
        <v>86560</v>
      </c>
    </row>
    <row r="66" spans="6:63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D66" s="195" t="s">
        <v>105</v>
      </c>
      <c r="BE66" s="217">
        <v>160</v>
      </c>
      <c r="BF66" s="217">
        <v>300</v>
      </c>
      <c r="BG66" s="217">
        <v>47</v>
      </c>
      <c r="BH66" s="217"/>
      <c r="BI66" s="203">
        <f t="shared" si="40"/>
        <v>48000</v>
      </c>
      <c r="BJ66" s="203">
        <f t="shared" si="41"/>
        <v>7520</v>
      </c>
      <c r="BK66" s="203">
        <f t="shared" si="42"/>
        <v>40480</v>
      </c>
    </row>
    <row r="67" spans="6:63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D67" s="195" t="s">
        <v>106</v>
      </c>
      <c r="BE67" s="217">
        <v>205</v>
      </c>
      <c r="BF67" s="217">
        <v>366</v>
      </c>
      <c r="BG67" s="217">
        <v>49</v>
      </c>
      <c r="BH67" s="217"/>
      <c r="BI67" s="203">
        <f t="shared" si="40"/>
        <v>75030</v>
      </c>
      <c r="BJ67" s="203">
        <f t="shared" si="41"/>
        <v>10045</v>
      </c>
      <c r="BK67" s="203">
        <f t="shared" si="42"/>
        <v>64985</v>
      </c>
    </row>
    <row r="68" spans="6:63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D68" s="195" t="s">
        <v>107</v>
      </c>
      <c r="BE68" s="217">
        <v>295</v>
      </c>
      <c r="BF68" s="217">
        <v>612</v>
      </c>
      <c r="BG68" s="217">
        <v>86</v>
      </c>
      <c r="BH68" s="217"/>
      <c r="BI68" s="203">
        <f t="shared" si="40"/>
        <v>180540</v>
      </c>
      <c r="BJ68" s="203">
        <f t="shared" si="41"/>
        <v>25370</v>
      </c>
      <c r="BK68" s="203">
        <f t="shared" si="42"/>
        <v>155170</v>
      </c>
    </row>
    <row r="69" spans="6:63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D69" s="195" t="s">
        <v>108</v>
      </c>
      <c r="BE69" s="217">
        <v>70</v>
      </c>
      <c r="BF69" s="217">
        <v>480</v>
      </c>
      <c r="BG69" s="217">
        <v>71</v>
      </c>
      <c r="BH69" s="217"/>
      <c r="BI69" s="203">
        <f t="shared" si="40"/>
        <v>33600</v>
      </c>
      <c r="BJ69" s="203">
        <f t="shared" si="41"/>
        <v>4970</v>
      </c>
      <c r="BK69" s="203">
        <f t="shared" si="42"/>
        <v>28630</v>
      </c>
    </row>
    <row r="70" spans="6:63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D70" s="195" t="s">
        <v>109</v>
      </c>
      <c r="BE70" s="217">
        <v>2450</v>
      </c>
      <c r="BF70" s="217">
        <v>31</v>
      </c>
      <c r="BG70" s="217">
        <v>9</v>
      </c>
      <c r="BH70" s="217"/>
      <c r="BI70" s="203">
        <f t="shared" si="40"/>
        <v>75950</v>
      </c>
      <c r="BJ70" s="203">
        <f t="shared" si="41"/>
        <v>22050</v>
      </c>
      <c r="BK70" s="203">
        <f t="shared" si="42"/>
        <v>53900</v>
      </c>
    </row>
    <row r="71" spans="6:63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D71" s="195"/>
      <c r="BI71" s="223">
        <f>SUM(BI50:BI70)</f>
        <v>9956044</v>
      </c>
      <c r="BJ71" s="223">
        <f t="shared" ref="BJ71:BK71" si="52">SUM(BJ50:BJ70)</f>
        <v>817992</v>
      </c>
      <c r="BK71" s="223">
        <f t="shared" si="52"/>
        <v>9138052</v>
      </c>
    </row>
    <row r="72" spans="6:63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D72" s="195"/>
    </row>
    <row r="73" spans="6:63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D73" s="195"/>
    </row>
    <row r="74" spans="6:63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D74" s="195"/>
    </row>
    <row r="75" spans="6:63" ht="24" customHeight="1">
      <c r="F75" s="49">
        <v>625.79999999999995</v>
      </c>
      <c r="N75" s="49">
        <v>1707.5</v>
      </c>
      <c r="BD75" s="195"/>
    </row>
    <row r="76" spans="6:63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D76" s="195"/>
    </row>
    <row r="77" spans="6:63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D77" s="195"/>
    </row>
    <row r="78" spans="6:63" ht="24" customHeight="1">
      <c r="BD78" s="195"/>
    </row>
    <row r="79" spans="6:63" ht="24" customHeight="1">
      <c r="BD79" s="195"/>
    </row>
    <row r="80" spans="6:63" ht="24" customHeight="1">
      <c r="BD80" s="195"/>
    </row>
    <row r="81" spans="56:56" ht="24" customHeight="1">
      <c r="BD81" s="195"/>
    </row>
    <row r="82" spans="56:56" ht="24" customHeight="1">
      <c r="BD82" s="195"/>
    </row>
    <row r="83" spans="56:56" ht="24" customHeight="1">
      <c r="BD83" s="195"/>
    </row>
    <row r="84" spans="56:56" ht="24" customHeight="1">
      <c r="BD84" s="195"/>
    </row>
    <row r="85" spans="56:56" ht="24" customHeight="1">
      <c r="BD85" s="195"/>
    </row>
    <row r="86" spans="56:56" ht="24" customHeight="1">
      <c r="BD86" s="195"/>
    </row>
    <row r="87" spans="56:56" ht="24" customHeight="1">
      <c r="BD87" s="195"/>
    </row>
    <row r="88" spans="56:56" ht="24" customHeight="1">
      <c r="BD88" s="195"/>
    </row>
    <row r="89" spans="56:56" ht="24" customHeight="1">
      <c r="BD89" s="195"/>
    </row>
    <row r="90" spans="56:56" ht="24" customHeight="1">
      <c r="BD90" s="195"/>
    </row>
    <row r="91" spans="56:56" ht="24" customHeight="1">
      <c r="BD91" s="195"/>
    </row>
    <row r="92" spans="56:56" ht="24" customHeight="1">
      <c r="BD92" s="195"/>
    </row>
    <row r="93" spans="56:56" ht="24" customHeight="1">
      <c r="BD93" s="195"/>
    </row>
    <row r="94" spans="56:56" ht="24" customHeight="1">
      <c r="BD94" s="195"/>
    </row>
    <row r="95" spans="56:56" ht="24" customHeight="1">
      <c r="BD95" s="195"/>
    </row>
    <row r="96" spans="56:56" ht="24" customHeight="1">
      <c r="BD96" s="195"/>
    </row>
    <row r="97" spans="56:56" ht="24" customHeight="1">
      <c r="BD97" s="195"/>
    </row>
    <row r="98" spans="56:56" ht="24" customHeight="1">
      <c r="BD98" s="195"/>
    </row>
    <row r="99" spans="56:56" ht="24" customHeight="1">
      <c r="BD99" s="195"/>
    </row>
    <row r="100" spans="56:56" ht="24" customHeight="1">
      <c r="BD100" s="195"/>
    </row>
    <row r="101" spans="56:56" ht="24" customHeight="1">
      <c r="BD101" s="195"/>
    </row>
    <row r="102" spans="56:56" ht="24" customHeight="1">
      <c r="BD102" s="195"/>
    </row>
    <row r="103" spans="56:56" ht="24" customHeight="1">
      <c r="BD103" s="195"/>
    </row>
    <row r="104" spans="56:56" ht="24" customHeight="1">
      <c r="BD104" s="195"/>
    </row>
    <row r="105" spans="56:56" ht="24" customHeight="1">
      <c r="BD105" s="195"/>
    </row>
    <row r="106" spans="56:56" ht="24" customHeight="1">
      <c r="BD106" s="195"/>
    </row>
    <row r="107" spans="56:56" ht="24" customHeight="1">
      <c r="BD107" s="195"/>
    </row>
    <row r="108" spans="56:56" ht="24" customHeight="1">
      <c r="BD108" s="195"/>
    </row>
    <row r="109" spans="56:56" ht="24" customHeight="1">
      <c r="BD109" s="195"/>
    </row>
    <row r="110" spans="56:56" ht="24" customHeight="1">
      <c r="BD110" s="195"/>
    </row>
    <row r="111" spans="56:56" ht="24" customHeight="1">
      <c r="BD111" s="195"/>
    </row>
    <row r="112" spans="56:56" ht="24" customHeight="1">
      <c r="BD112" s="195"/>
    </row>
    <row r="113" spans="56:56" ht="24" customHeight="1">
      <c r="BD113" s="195"/>
    </row>
    <row r="114" spans="56:56" ht="24" customHeight="1">
      <c r="BD114" s="195"/>
    </row>
    <row r="115" spans="56:56" ht="24" customHeight="1">
      <c r="BD115" s="195"/>
    </row>
    <row r="116" spans="56:56" ht="24" customHeight="1">
      <c r="BD116" s="195"/>
    </row>
    <row r="117" spans="56:56" ht="24" customHeight="1">
      <c r="BD117" s="195"/>
    </row>
    <row r="118" spans="56:56" ht="24" customHeight="1">
      <c r="BD118" s="195"/>
    </row>
    <row r="119" spans="56:56" ht="24" customHeight="1">
      <c r="BD119" s="195"/>
    </row>
    <row r="120" spans="56:56" ht="24" customHeight="1">
      <c r="BD120" s="195"/>
    </row>
    <row r="121" spans="56:56" ht="24" customHeight="1">
      <c r="BD121" s="195"/>
    </row>
    <row r="122" spans="56:56" ht="24" customHeight="1">
      <c r="BD122" s="195"/>
    </row>
    <row r="123" spans="56:56" ht="24" customHeight="1">
      <c r="BD123" s="195"/>
    </row>
    <row r="124" spans="56:56" ht="24" customHeight="1">
      <c r="BD124" s="195"/>
    </row>
    <row r="125" spans="56:56" ht="24" customHeight="1">
      <c r="BD125" s="195"/>
    </row>
    <row r="126" spans="56:56" ht="24" customHeight="1">
      <c r="BD126" s="195"/>
    </row>
    <row r="127" spans="56:56" ht="24" customHeight="1">
      <c r="BD127" s="195"/>
    </row>
    <row r="128" spans="56:56" ht="24" customHeight="1">
      <c r="BD128" s="195"/>
    </row>
    <row r="129" spans="56:56" ht="24" customHeight="1">
      <c r="BD129" s="195"/>
    </row>
    <row r="130" spans="56:56" ht="24" customHeight="1">
      <c r="BD130" s="195"/>
    </row>
    <row r="131" spans="56:56" ht="24" customHeight="1">
      <c r="BD131" s="195"/>
    </row>
    <row r="132" spans="56:56" ht="24" customHeight="1">
      <c r="BD132" s="195"/>
    </row>
    <row r="133" spans="56:56" ht="24" customHeight="1">
      <c r="BD133" s="195"/>
    </row>
    <row r="134" spans="56:56" ht="24" customHeight="1">
      <c r="BD134" s="195"/>
    </row>
    <row r="135" spans="56:56" ht="24" customHeight="1">
      <c r="BD135" s="195"/>
    </row>
    <row r="136" spans="56:56" ht="24" customHeight="1">
      <c r="BD136" s="195"/>
    </row>
    <row r="137" spans="56:56" ht="24" customHeight="1">
      <c r="BD137" s="195"/>
    </row>
    <row r="138" spans="56:56" ht="24" customHeight="1">
      <c r="BD138" s="195"/>
    </row>
    <row r="139" spans="56:56" ht="24" customHeight="1">
      <c r="BD139" s="195"/>
    </row>
    <row r="140" spans="56:56" ht="24" customHeight="1">
      <c r="BD140" s="195"/>
    </row>
    <row r="141" spans="56:56" ht="24" customHeight="1">
      <c r="BD141" s="195"/>
    </row>
    <row r="142" spans="56:56" ht="24" customHeight="1">
      <c r="BD142" s="195"/>
    </row>
    <row r="143" spans="56:56" ht="24" customHeight="1">
      <c r="BD143" s="195"/>
    </row>
    <row r="144" spans="56:56" ht="24" customHeight="1">
      <c r="BD144" s="195"/>
    </row>
    <row r="145" spans="56:56" ht="24" customHeight="1">
      <c r="BD145" s="195"/>
    </row>
    <row r="146" spans="56:56" ht="24" customHeight="1">
      <c r="BD146" s="195"/>
    </row>
    <row r="147" spans="56:56" ht="24" customHeight="1">
      <c r="BD147" s="195"/>
    </row>
    <row r="148" spans="56:56" ht="24" customHeight="1">
      <c r="BD148" s="195"/>
    </row>
    <row r="149" spans="56:56" ht="24" customHeight="1">
      <c r="BD149" s="195"/>
    </row>
    <row r="150" spans="56:56" ht="24" customHeight="1">
      <c r="BD150" s="195"/>
    </row>
    <row r="151" spans="56:56" ht="24" customHeight="1">
      <c r="BD151" s="195"/>
    </row>
    <row r="152" spans="56:56" ht="24" customHeight="1">
      <c r="BD152" s="195"/>
    </row>
    <row r="153" spans="56:56" ht="24" customHeight="1">
      <c r="BD153" s="195"/>
    </row>
    <row r="154" spans="56:56" ht="24" customHeight="1">
      <c r="BD154" s="195"/>
    </row>
    <row r="155" spans="56:56" ht="24" customHeight="1">
      <c r="BD155" s="195"/>
    </row>
    <row r="156" spans="56:56" ht="24" customHeight="1">
      <c r="BD156" s="195"/>
    </row>
    <row r="157" spans="56:56" ht="24" customHeight="1">
      <c r="BD157" s="195"/>
    </row>
    <row r="158" spans="56:56" ht="24" customHeight="1">
      <c r="BD158" s="195"/>
    </row>
    <row r="159" spans="56:56" ht="24" customHeight="1">
      <c r="BD159" s="195"/>
    </row>
    <row r="160" spans="56:56" ht="24" customHeight="1">
      <c r="BD160" s="195"/>
    </row>
    <row r="161" spans="56:56" ht="24" customHeight="1">
      <c r="BD161" s="195"/>
    </row>
    <row r="162" spans="56:56" ht="24" customHeight="1">
      <c r="BD162" s="195"/>
    </row>
    <row r="163" spans="56:56" ht="24" customHeight="1">
      <c r="BD163" s="195"/>
    </row>
    <row r="164" spans="56:56" ht="24" customHeight="1">
      <c r="BD164" s="195"/>
    </row>
    <row r="165" spans="56:56" ht="24" customHeight="1">
      <c r="BD165" s="195"/>
    </row>
    <row r="166" spans="56:56" ht="24" customHeight="1">
      <c r="BD166" s="195"/>
    </row>
    <row r="167" spans="56:56" ht="24" customHeight="1">
      <c r="BD167" s="195"/>
    </row>
    <row r="168" spans="56:56" ht="24" customHeight="1">
      <c r="BD168" s="195"/>
    </row>
    <row r="169" spans="56:56" ht="24" customHeight="1">
      <c r="BD169" s="195"/>
    </row>
    <row r="170" spans="56:56" ht="24" customHeight="1">
      <c r="BD170" s="195"/>
    </row>
    <row r="171" spans="56:56" ht="24" customHeight="1">
      <c r="BD171" s="195"/>
    </row>
    <row r="172" spans="56:56" ht="24" customHeight="1">
      <c r="BD172" s="195"/>
    </row>
    <row r="173" spans="56:56" ht="24" customHeight="1">
      <c r="BD173" s="195"/>
    </row>
    <row r="174" spans="56:56" ht="24" customHeight="1">
      <c r="BD174" s="195"/>
    </row>
    <row r="175" spans="56:56" ht="24" customHeight="1">
      <c r="BD175" s="195"/>
    </row>
    <row r="176" spans="56:56" ht="24" customHeight="1">
      <c r="BD176" s="195"/>
    </row>
    <row r="177" spans="56:56" ht="24" customHeight="1">
      <c r="BD177" s="195"/>
    </row>
    <row r="178" spans="56:56" ht="24" customHeight="1">
      <c r="BD178" s="195"/>
    </row>
    <row r="179" spans="56:56" ht="24" customHeight="1">
      <c r="BD179" s="195"/>
    </row>
    <row r="180" spans="56:56" ht="24" customHeight="1">
      <c r="BD180" s="195"/>
    </row>
    <row r="181" spans="56:56" ht="24" customHeight="1">
      <c r="BD181" s="195"/>
    </row>
    <row r="182" spans="56:56" ht="24" customHeight="1">
      <c r="BD182" s="195"/>
    </row>
    <row r="183" spans="56:56" ht="24" customHeight="1">
      <c r="BD183" s="195"/>
    </row>
    <row r="184" spans="56:56">
      <c r="BD184" s="195"/>
    </row>
    <row r="185" spans="56:56">
      <c r="BD185" s="195"/>
    </row>
    <row r="186" spans="56:56">
      <c r="BD186" s="195"/>
    </row>
    <row r="187" spans="56:56">
      <c r="BD187" s="195"/>
    </row>
    <row r="188" spans="56:56">
      <c r="BD188" s="195"/>
    </row>
    <row r="189" spans="56:56">
      <c r="BD189" s="195"/>
    </row>
    <row r="190" spans="56:56">
      <c r="BD190" s="195"/>
    </row>
    <row r="191" spans="56:56">
      <c r="BD191" s="195"/>
    </row>
    <row r="192" spans="56:56">
      <c r="BD192" s="195"/>
    </row>
    <row r="193" spans="56:56">
      <c r="BD193" s="195"/>
    </row>
    <row r="194" spans="56:56">
      <c r="BD194" s="195"/>
    </row>
    <row r="195" spans="56:56">
      <c r="BD195" s="195"/>
    </row>
    <row r="196" spans="56:56">
      <c r="BD196" s="195"/>
    </row>
    <row r="197" spans="56:56">
      <c r="BD197" s="195"/>
    </row>
    <row r="198" spans="56:56">
      <c r="BD198" s="195"/>
    </row>
    <row r="199" spans="56:56">
      <c r="BD199" s="195"/>
    </row>
    <row r="200" spans="56:56">
      <c r="BD200" s="195"/>
    </row>
    <row r="201" spans="56:56">
      <c r="BD201" s="195"/>
    </row>
    <row r="202" spans="56:56">
      <c r="BD202" s="195"/>
    </row>
    <row r="203" spans="56:56">
      <c r="BD203" s="195"/>
    </row>
    <row r="204" spans="56:56">
      <c r="BD204" s="195"/>
    </row>
    <row r="205" spans="56:56">
      <c r="BD205" s="195"/>
    </row>
    <row r="206" spans="56:56">
      <c r="BD206" s="195"/>
    </row>
    <row r="207" spans="56:56">
      <c r="BD207" s="195"/>
    </row>
    <row r="208" spans="56:56">
      <c r="BD208" s="195"/>
    </row>
    <row r="209" spans="56:56">
      <c r="BD209" s="195"/>
    </row>
    <row r="210" spans="56:56">
      <c r="BD210" s="195"/>
    </row>
    <row r="211" spans="56:56">
      <c r="BD211" s="195"/>
    </row>
    <row r="212" spans="56:56">
      <c r="BD212" s="195"/>
    </row>
    <row r="213" spans="56:56">
      <c r="BD213" s="195"/>
    </row>
    <row r="214" spans="56:56">
      <c r="BD214" s="195"/>
    </row>
    <row r="215" spans="56:56">
      <c r="BD215" s="195"/>
    </row>
    <row r="216" spans="56:56">
      <c r="BD216" s="195"/>
    </row>
    <row r="217" spans="56:56">
      <c r="BD217" s="195"/>
    </row>
    <row r="218" spans="56:56">
      <c r="BD218" s="195"/>
    </row>
    <row r="219" spans="56:56">
      <c r="BD219" s="195"/>
    </row>
    <row r="220" spans="56:56">
      <c r="BD220" s="195"/>
    </row>
    <row r="221" spans="56:56">
      <c r="BD221" s="195"/>
    </row>
    <row r="222" spans="56:56">
      <c r="BD222" s="195"/>
    </row>
    <row r="223" spans="56:56">
      <c r="BD223" s="195"/>
    </row>
    <row r="224" spans="56:56">
      <c r="BD224" s="195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X3"/>
    <mergeCell ref="AY3:BC3"/>
    <mergeCell ref="BD3:BK3"/>
    <mergeCell ref="D40:K44"/>
    <mergeCell ref="L40:S44"/>
    <mergeCell ref="Y40:AF44"/>
    <mergeCell ref="AG40:AN44"/>
    <mergeCell ref="AO40:AX44"/>
    <mergeCell ref="B3:B4"/>
    <mergeCell ref="D3:K3"/>
    <mergeCell ref="L3:S3"/>
    <mergeCell ref="T3:X3"/>
    <mergeCell ref="Y3:AF3"/>
    <mergeCell ref="AG3:AN3"/>
  </mergeCells>
  <phoneticPr fontId="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9692-CE09-AC43-8F8E-5964830718EE}">
  <dimension ref="A1:BO224"/>
  <sheetViews>
    <sheetView workbookViewId="0">
      <selection sqref="A1:XFD1048576"/>
    </sheetView>
  </sheetViews>
  <sheetFormatPr baseColWidth="10" defaultColWidth="11.140625" defaultRowHeight="16"/>
  <cols>
    <col min="1" max="1" width="11.140625" style="49"/>
    <col min="2" max="2" width="10.42578125" style="132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30" width="7.5703125" style="49" customWidth="1"/>
    <col min="31" max="31" width="10" style="49" customWidth="1"/>
    <col min="32" max="32" width="7.5703125" style="49" customWidth="1"/>
    <col min="33" max="33" width="3.5703125" style="49" customWidth="1"/>
    <col min="34" max="38" width="7.5703125" style="49" customWidth="1"/>
    <col min="39" max="39" width="11.85546875" style="49" customWidth="1"/>
    <col min="40" max="40" width="10" style="49" customWidth="1"/>
    <col min="41" max="41" width="4.140625" style="49" customWidth="1"/>
    <col min="42" max="46" width="7.5703125" style="49" customWidth="1"/>
    <col min="47" max="48" width="9.140625" style="49" customWidth="1"/>
    <col min="49" max="49" width="11.28515625" style="49" customWidth="1"/>
    <col min="50" max="50" width="7.5703125" style="49" customWidth="1"/>
    <col min="51" max="51" width="5.7109375" style="49" customWidth="1"/>
    <col min="52" max="53" width="9.140625" style="49" customWidth="1"/>
    <col min="54" max="54" width="13.5703125" style="49" customWidth="1"/>
    <col min="55" max="55" width="11.140625" style="49"/>
    <col min="56" max="56" width="14.85546875" style="49" customWidth="1"/>
    <col min="57" max="62" width="11.140625" style="49"/>
    <col min="63" max="63" width="11.140625" style="79"/>
    <col min="64" max="64" width="11.140625" style="49"/>
    <col min="65" max="65" width="11.140625" style="79"/>
    <col min="66" max="16384" width="11.140625" style="49"/>
  </cols>
  <sheetData>
    <row r="1" spans="1:67" s="3" customFormat="1">
      <c r="A1" s="1" t="s">
        <v>0</v>
      </c>
      <c r="B1" s="2"/>
      <c r="BK1" s="4"/>
      <c r="BM1" s="4"/>
    </row>
    <row r="2" spans="1:67" s="3" customFormat="1" ht="35" thickBot="1">
      <c r="A2" s="5">
        <v>2024</v>
      </c>
      <c r="B2" s="6">
        <v>11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C2" s="3" t="s">
        <v>1</v>
      </c>
      <c r="BK2" s="4"/>
      <c r="BM2" s="4"/>
    </row>
    <row r="3" spans="1:67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6"/>
      <c r="AG3" s="17" t="s">
        <v>7</v>
      </c>
      <c r="AH3" s="18"/>
      <c r="AI3" s="18"/>
      <c r="AJ3" s="18"/>
      <c r="AK3" s="18"/>
      <c r="AL3" s="18"/>
      <c r="AM3" s="18"/>
      <c r="AN3" s="19"/>
      <c r="AO3" s="20" t="s">
        <v>8</v>
      </c>
      <c r="AP3" s="21"/>
      <c r="AQ3" s="21"/>
      <c r="AR3" s="21"/>
      <c r="AS3" s="21"/>
      <c r="AT3" s="21"/>
      <c r="AU3" s="21"/>
      <c r="AV3" s="21"/>
      <c r="AW3" s="21"/>
      <c r="AX3" s="22"/>
      <c r="AY3" s="23" t="s">
        <v>9</v>
      </c>
      <c r="AZ3" s="14"/>
      <c r="BA3" s="14"/>
      <c r="BB3" s="14"/>
      <c r="BC3" s="24"/>
      <c r="BD3" s="25" t="s">
        <v>10</v>
      </c>
      <c r="BE3" s="26"/>
      <c r="BF3" s="26"/>
      <c r="BG3" s="26"/>
      <c r="BH3" s="26"/>
      <c r="BI3" s="26"/>
      <c r="BJ3" s="26"/>
      <c r="BK3" s="27"/>
      <c r="BM3" s="4"/>
    </row>
    <row r="4" spans="1:67" s="8" customFormat="1" ht="53.25" customHeight="1" thickTop="1" thickBot="1">
      <c r="A4" s="28"/>
      <c r="B4" s="10"/>
      <c r="C4" s="29" t="s">
        <v>11</v>
      </c>
      <c r="D4" s="30" t="s">
        <v>12</v>
      </c>
      <c r="E4" s="31" t="s">
        <v>13</v>
      </c>
      <c r="F4" s="30" t="s">
        <v>14</v>
      </c>
      <c r="G4" s="32" t="s">
        <v>15</v>
      </c>
      <c r="H4" s="30" t="s">
        <v>16</v>
      </c>
      <c r="I4" s="33" t="s">
        <v>17</v>
      </c>
      <c r="J4" s="31" t="s">
        <v>18</v>
      </c>
      <c r="K4" s="30" t="s">
        <v>19</v>
      </c>
      <c r="L4" s="30" t="s">
        <v>20</v>
      </c>
      <c r="M4" s="34" t="s">
        <v>13</v>
      </c>
      <c r="N4" s="30" t="s">
        <v>14</v>
      </c>
      <c r="O4" s="32" t="s">
        <v>15</v>
      </c>
      <c r="P4" s="30" t="s">
        <v>16</v>
      </c>
      <c r="Q4" s="33" t="s">
        <v>17</v>
      </c>
      <c r="R4" s="31" t="s">
        <v>18</v>
      </c>
      <c r="S4" s="35" t="s">
        <v>19</v>
      </c>
      <c r="T4" s="36" t="s">
        <v>21</v>
      </c>
      <c r="U4" s="37" t="s">
        <v>22</v>
      </c>
      <c r="V4" s="37" t="s">
        <v>23</v>
      </c>
      <c r="W4" s="38" t="s">
        <v>24</v>
      </c>
      <c r="X4" s="37"/>
      <c r="Y4" s="39" t="s">
        <v>25</v>
      </c>
      <c r="Z4" s="37" t="s">
        <v>13</v>
      </c>
      <c r="AA4" s="37" t="s">
        <v>22</v>
      </c>
      <c r="AB4" s="40" t="s">
        <v>26</v>
      </c>
      <c r="AC4" s="37" t="s">
        <v>23</v>
      </c>
      <c r="AD4" s="38" t="s">
        <v>27</v>
      </c>
      <c r="AE4" s="41" t="s">
        <v>28</v>
      </c>
      <c r="AF4" s="42" t="s">
        <v>19</v>
      </c>
      <c r="AG4" s="43" t="s">
        <v>29</v>
      </c>
      <c r="AH4" s="30" t="s">
        <v>13</v>
      </c>
      <c r="AI4" s="30" t="s">
        <v>22</v>
      </c>
      <c r="AJ4" s="32" t="s">
        <v>26</v>
      </c>
      <c r="AK4" s="30" t="s">
        <v>23</v>
      </c>
      <c r="AL4" s="33" t="s">
        <v>27</v>
      </c>
      <c r="AM4" s="34" t="s">
        <v>28</v>
      </c>
      <c r="AN4" s="40" t="s">
        <v>19</v>
      </c>
      <c r="AO4" s="44" t="s">
        <v>29</v>
      </c>
      <c r="AP4" s="30" t="s">
        <v>13</v>
      </c>
      <c r="AQ4" s="30" t="s">
        <v>22</v>
      </c>
      <c r="AR4" s="32" t="s">
        <v>26</v>
      </c>
      <c r="AS4" s="30" t="s">
        <v>23</v>
      </c>
      <c r="AT4" s="33" t="s">
        <v>27</v>
      </c>
      <c r="AU4" s="33" t="s">
        <v>30</v>
      </c>
      <c r="AV4" s="33" t="s">
        <v>31</v>
      </c>
      <c r="AW4" s="34" t="s">
        <v>28</v>
      </c>
      <c r="AX4" s="40" t="s">
        <v>19</v>
      </c>
      <c r="AY4" s="40" t="s">
        <v>21</v>
      </c>
      <c r="AZ4" s="37" t="s">
        <v>22</v>
      </c>
      <c r="BA4" s="37" t="s">
        <v>23</v>
      </c>
      <c r="BB4" s="38" t="s">
        <v>24</v>
      </c>
      <c r="BC4" s="38" t="s">
        <v>32</v>
      </c>
      <c r="BD4" s="45" t="s">
        <v>33</v>
      </c>
      <c r="BE4" s="46" t="s">
        <v>34</v>
      </c>
      <c r="BF4" s="46" t="s">
        <v>35</v>
      </c>
      <c r="BG4" s="46" t="s">
        <v>36</v>
      </c>
      <c r="BH4" s="46" t="s">
        <v>37</v>
      </c>
      <c r="BI4" s="46" t="s">
        <v>38</v>
      </c>
      <c r="BJ4" s="46" t="s">
        <v>39</v>
      </c>
      <c r="BK4" s="47" t="s">
        <v>40</v>
      </c>
      <c r="BM4" s="48"/>
    </row>
    <row r="5" spans="1:67" ht="20" customHeight="1" thickTop="1">
      <c r="B5" s="50">
        <f>DATE($A$2,$B$2,1)</f>
        <v>45597</v>
      </c>
      <c r="C5" s="51"/>
      <c r="D5" s="52"/>
      <c r="E5" s="53">
        <v>19</v>
      </c>
      <c r="F5" s="54">
        <v>64570</v>
      </c>
      <c r="G5" s="55">
        <f t="shared" ref="G5:G35" si="0">ROUNDDOWN(F5/1.1,0)/E5</f>
        <v>3089.4736842105262</v>
      </c>
      <c r="H5" s="54">
        <v>7380</v>
      </c>
      <c r="I5" s="56">
        <f>ROUNDDOWN(H5/1.1,0)/E5</f>
        <v>353.10526315789474</v>
      </c>
      <c r="J5" s="57">
        <f t="shared" ref="J5:J35" si="1">F5+H5</f>
        <v>71950</v>
      </c>
      <c r="K5" s="58">
        <f t="shared" ref="K5:K35" si="2">IF(E5="","",J5/E5)</f>
        <v>3786.8421052631579</v>
      </c>
      <c r="L5" s="59"/>
      <c r="M5" s="60">
        <f t="shared" ref="M5:N35" si="3">BD5-E5</f>
        <v>14</v>
      </c>
      <c r="N5" s="61">
        <f t="shared" si="3"/>
        <v>92620</v>
      </c>
      <c r="O5" s="55">
        <f t="shared" ref="O5:O35" si="4">ROUNDDOWN(N5/1.1,0)/M5</f>
        <v>6014.2857142857147</v>
      </c>
      <c r="P5" s="61">
        <f t="shared" ref="P5:P35" si="5">BF5-H5</f>
        <v>28320</v>
      </c>
      <c r="Q5" s="56">
        <f t="shared" ref="Q5:Q35" si="6">ROUNDDOWN(P5/1.1,0)/M5</f>
        <v>1838.9285714285713</v>
      </c>
      <c r="R5" s="62">
        <f t="shared" ref="R5:R35" si="7">N5+P5</f>
        <v>120940</v>
      </c>
      <c r="S5" s="58">
        <f t="shared" ref="S5:S35" si="8">IF(M5="","",R5/M5)</f>
        <v>8638.5714285714294</v>
      </c>
      <c r="T5" s="63">
        <f t="shared" ref="T5:U35" si="9">E5+M5</f>
        <v>33</v>
      </c>
      <c r="U5" s="61">
        <f t="shared" si="9"/>
        <v>157190</v>
      </c>
      <c r="V5" s="61">
        <f t="shared" ref="V5:V35" si="10">H5+P5</f>
        <v>35700</v>
      </c>
      <c r="W5" s="64">
        <f t="shared" ref="W5:W35" si="11">J5+R5</f>
        <v>192890</v>
      </c>
      <c r="X5" s="61"/>
      <c r="Y5" s="65"/>
      <c r="Z5" s="66">
        <v>14</v>
      </c>
      <c r="AA5" s="54">
        <v>5800</v>
      </c>
      <c r="AB5" s="55">
        <f t="shared" ref="AB5:AB35" si="12">AA5/Z5</f>
        <v>414.28571428571428</v>
      </c>
      <c r="AC5" s="54">
        <v>1800</v>
      </c>
      <c r="AD5" s="56">
        <f t="shared" ref="AD5:AD35" si="13">AC5/Z5</f>
        <v>128.57142857142858</v>
      </c>
      <c r="AE5" s="67">
        <f t="shared" ref="AE5:AE35" si="14">AA5+AC5</f>
        <v>7600</v>
      </c>
      <c r="AF5" s="58">
        <f t="shared" ref="AF5:AF35" si="15">IF(Z5="","",AE5/Z5)</f>
        <v>542.85714285714289</v>
      </c>
      <c r="AG5" s="68"/>
      <c r="AH5" s="66"/>
      <c r="AI5" s="54"/>
      <c r="AJ5" s="55" t="e">
        <f t="shared" ref="AJ5:AJ35" si="16">AI5/AH5</f>
        <v>#DIV/0!</v>
      </c>
      <c r="AK5" s="54"/>
      <c r="AL5" s="56" t="e">
        <f t="shared" ref="AL5:AL35" si="17">AK5/AH5</f>
        <v>#DIV/0!</v>
      </c>
      <c r="AM5" s="67">
        <f>AI5+AK5</f>
        <v>0</v>
      </c>
      <c r="AN5" s="69" t="str">
        <f t="shared" ref="AN5:AN35" si="18">IF(AH5="","",AM5/AH5)</f>
        <v/>
      </c>
      <c r="AO5" s="70"/>
      <c r="AP5" s="66"/>
      <c r="AQ5" s="54"/>
      <c r="AR5" s="55" t="e">
        <f t="shared" ref="AR5:AR35" si="19">AQ5/AP5</f>
        <v>#DIV/0!</v>
      </c>
      <c r="AS5" s="54"/>
      <c r="AT5" s="56" t="e">
        <f t="shared" ref="AT5:AT35" si="20">AS5/AP5</f>
        <v>#DIV/0!</v>
      </c>
      <c r="AU5" s="56"/>
      <c r="AV5" s="56"/>
      <c r="AW5" s="71">
        <f>AQ5+AS5+AU5+AV5</f>
        <v>0</v>
      </c>
      <c r="AX5" s="69" t="str">
        <f t="shared" ref="AX5:AX35" si="21">IF(AP5="","",AW5/AP5)</f>
        <v/>
      </c>
      <c r="AY5" s="72">
        <f t="shared" ref="AY5:AY35" si="22">SUM(E5,M5)</f>
        <v>33</v>
      </c>
      <c r="AZ5" s="61">
        <f t="shared" ref="AZ5:AZ35" si="23">U5+AA5+AI5+AQ5</f>
        <v>162990</v>
      </c>
      <c r="BA5" s="61">
        <f t="shared" ref="BA5:BA35" si="24">V5+AC5+AK5+AS5</f>
        <v>37500</v>
      </c>
      <c r="BB5" s="73">
        <f>W5+AE5+AM5+AW5</f>
        <v>200490</v>
      </c>
      <c r="BC5" s="74">
        <f>BG5+BH5</f>
        <v>1650</v>
      </c>
      <c r="BD5" s="75">
        <v>33</v>
      </c>
      <c r="BE5" s="76">
        <v>157190</v>
      </c>
      <c r="BF5" s="76">
        <v>35700</v>
      </c>
      <c r="BG5" s="77">
        <v>1650</v>
      </c>
      <c r="BH5" s="77"/>
      <c r="BI5" s="77"/>
      <c r="BJ5" s="77"/>
      <c r="BK5" s="78">
        <f>SUM(BE5:BH5)</f>
        <v>194540</v>
      </c>
      <c r="BL5" s="49">
        <v>1</v>
      </c>
      <c r="BM5" s="79">
        <f t="shared" ref="BM5:BM35" si="25">BJ5+BK5</f>
        <v>194540</v>
      </c>
    </row>
    <row r="6" spans="1:67" ht="20" customHeight="1">
      <c r="B6" s="80">
        <f t="shared" ref="B6:B35" si="26">B5+1</f>
        <v>45598</v>
      </c>
      <c r="C6" s="81"/>
      <c r="D6" s="52"/>
      <c r="E6" s="53">
        <v>34</v>
      </c>
      <c r="F6" s="54">
        <v>181720</v>
      </c>
      <c r="G6" s="55">
        <f t="shared" si="0"/>
        <v>4858.8235294117649</v>
      </c>
      <c r="H6" s="54">
        <v>37170</v>
      </c>
      <c r="I6" s="56">
        <f t="shared" ref="I6:I35" si="27">ROUNDDOWN(H6/1.1,0)/E6</f>
        <v>993.82352941176475</v>
      </c>
      <c r="J6" s="57">
        <f t="shared" si="1"/>
        <v>218890</v>
      </c>
      <c r="K6" s="58">
        <f t="shared" si="2"/>
        <v>6437.9411764705883</v>
      </c>
      <c r="L6" s="59"/>
      <c r="M6" s="60">
        <f t="shared" si="3"/>
        <v>27</v>
      </c>
      <c r="N6" s="61">
        <f t="shared" si="3"/>
        <v>214790</v>
      </c>
      <c r="O6" s="55">
        <f t="shared" si="4"/>
        <v>7231.9629629629626</v>
      </c>
      <c r="P6" s="61">
        <f t="shared" si="5"/>
        <v>67760</v>
      </c>
      <c r="Q6" s="56">
        <f t="shared" si="6"/>
        <v>2281.4814814814813</v>
      </c>
      <c r="R6" s="62">
        <f t="shared" si="7"/>
        <v>282550</v>
      </c>
      <c r="S6" s="58">
        <f t="shared" si="8"/>
        <v>10464.814814814816</v>
      </c>
      <c r="T6" s="82">
        <f t="shared" si="9"/>
        <v>61</v>
      </c>
      <c r="U6" s="61">
        <f t="shared" si="9"/>
        <v>396510</v>
      </c>
      <c r="V6" s="61">
        <f t="shared" si="10"/>
        <v>104930</v>
      </c>
      <c r="W6" s="64">
        <f t="shared" si="11"/>
        <v>501440</v>
      </c>
      <c r="X6" s="83"/>
      <c r="Y6" s="65"/>
      <c r="Z6" s="66">
        <v>27</v>
      </c>
      <c r="AA6" s="54">
        <v>12110</v>
      </c>
      <c r="AB6" s="55">
        <f t="shared" si="12"/>
        <v>448.51851851851853</v>
      </c>
      <c r="AC6" s="54">
        <v>1750</v>
      </c>
      <c r="AD6" s="56">
        <f t="shared" si="13"/>
        <v>64.81481481481481</v>
      </c>
      <c r="AE6" s="67">
        <f>AA6+AC6</f>
        <v>13860</v>
      </c>
      <c r="AF6" s="58">
        <f t="shared" si="15"/>
        <v>513.33333333333337</v>
      </c>
      <c r="AG6" s="68"/>
      <c r="AH6" s="66"/>
      <c r="AI6" s="54"/>
      <c r="AJ6" s="55" t="e">
        <f t="shared" si="16"/>
        <v>#DIV/0!</v>
      </c>
      <c r="AK6" s="54"/>
      <c r="AL6" s="56" t="e">
        <f t="shared" si="17"/>
        <v>#DIV/0!</v>
      </c>
      <c r="AM6" s="67">
        <f t="shared" ref="AM6:AM35" si="28">AI6+AK6</f>
        <v>0</v>
      </c>
      <c r="AN6" s="69" t="str">
        <f t="shared" si="18"/>
        <v/>
      </c>
      <c r="AO6" s="70"/>
      <c r="AP6" s="66"/>
      <c r="AQ6" s="54"/>
      <c r="AR6" s="55" t="e">
        <f t="shared" si="19"/>
        <v>#DIV/0!</v>
      </c>
      <c r="AS6" s="54"/>
      <c r="AT6" s="56" t="e">
        <f t="shared" si="20"/>
        <v>#DIV/0!</v>
      </c>
      <c r="AU6" s="56"/>
      <c r="AV6" s="56"/>
      <c r="AW6" s="71">
        <f>AQ6+AS6+AU6+AV6</f>
        <v>0</v>
      </c>
      <c r="AX6" s="69" t="str">
        <f t="shared" si="21"/>
        <v/>
      </c>
      <c r="AY6" s="84">
        <f t="shared" si="22"/>
        <v>61</v>
      </c>
      <c r="AZ6" s="61">
        <f t="shared" si="23"/>
        <v>408620</v>
      </c>
      <c r="BA6" s="61">
        <f t="shared" si="24"/>
        <v>106680</v>
      </c>
      <c r="BB6" s="73">
        <f>W6+AE6+AM6+AW6</f>
        <v>515300</v>
      </c>
      <c r="BC6" s="74">
        <f>BG6+BH6</f>
        <v>0</v>
      </c>
      <c r="BD6" s="75">
        <v>61</v>
      </c>
      <c r="BE6" s="76">
        <v>396510</v>
      </c>
      <c r="BF6" s="76">
        <v>104930</v>
      </c>
      <c r="BG6" s="77"/>
      <c r="BH6" s="77"/>
      <c r="BI6" s="77"/>
      <c r="BJ6" s="77"/>
      <c r="BK6" s="78">
        <f t="shared" ref="BK6:BK35" si="29">SUM(BE6:BH6)</f>
        <v>501440</v>
      </c>
      <c r="BL6" s="49">
        <v>2</v>
      </c>
      <c r="BM6" s="79">
        <f t="shared" si="25"/>
        <v>501440</v>
      </c>
    </row>
    <row r="7" spans="1:67" ht="20" customHeight="1">
      <c r="B7" s="80">
        <f>B6+1</f>
        <v>45599</v>
      </c>
      <c r="C7" s="81"/>
      <c r="D7" s="52"/>
      <c r="E7" s="53">
        <v>30</v>
      </c>
      <c r="F7" s="54">
        <v>147180</v>
      </c>
      <c r="G7" s="55">
        <f t="shared" si="0"/>
        <v>4460</v>
      </c>
      <c r="H7" s="54">
        <f>38460+1540</f>
        <v>40000</v>
      </c>
      <c r="I7" s="56">
        <f t="shared" si="27"/>
        <v>1212.0999999999999</v>
      </c>
      <c r="J7" s="57">
        <f t="shared" si="1"/>
        <v>187180</v>
      </c>
      <c r="K7" s="58">
        <f t="shared" si="2"/>
        <v>6239.333333333333</v>
      </c>
      <c r="L7" s="59"/>
      <c r="M7" s="60">
        <f t="shared" si="3"/>
        <v>33</v>
      </c>
      <c r="N7" s="61">
        <f t="shared" si="3"/>
        <v>287100</v>
      </c>
      <c r="O7" s="55">
        <f t="shared" si="4"/>
        <v>7909.090909090909</v>
      </c>
      <c r="P7" s="61">
        <f t="shared" si="5"/>
        <v>84300</v>
      </c>
      <c r="Q7" s="56">
        <f t="shared" si="6"/>
        <v>2322.3030303030305</v>
      </c>
      <c r="R7" s="62">
        <f t="shared" si="7"/>
        <v>371400</v>
      </c>
      <c r="S7" s="58">
        <f t="shared" si="8"/>
        <v>11254.545454545454</v>
      </c>
      <c r="T7" s="82">
        <f t="shared" si="9"/>
        <v>63</v>
      </c>
      <c r="U7" s="61">
        <f t="shared" si="9"/>
        <v>434280</v>
      </c>
      <c r="V7" s="61">
        <f t="shared" si="10"/>
        <v>124300</v>
      </c>
      <c r="W7" s="64">
        <f t="shared" si="11"/>
        <v>558580</v>
      </c>
      <c r="X7" s="83"/>
      <c r="Y7" s="65"/>
      <c r="Z7" s="66">
        <v>14</v>
      </c>
      <c r="AA7" s="54">
        <v>5900</v>
      </c>
      <c r="AB7" s="55">
        <f t="shared" si="12"/>
        <v>421.42857142857144</v>
      </c>
      <c r="AC7" s="54">
        <v>6630</v>
      </c>
      <c r="AD7" s="56">
        <f t="shared" si="13"/>
        <v>473.57142857142856</v>
      </c>
      <c r="AE7" s="67">
        <f t="shared" si="14"/>
        <v>12530</v>
      </c>
      <c r="AF7" s="58">
        <f t="shared" si="15"/>
        <v>895</v>
      </c>
      <c r="AG7" s="68"/>
      <c r="AH7" s="66">
        <v>32</v>
      </c>
      <c r="AI7" s="54">
        <v>83520</v>
      </c>
      <c r="AJ7" s="55">
        <f t="shared" si="16"/>
        <v>2610</v>
      </c>
      <c r="AK7" s="54">
        <v>41760</v>
      </c>
      <c r="AL7" s="56">
        <f t="shared" si="17"/>
        <v>1305</v>
      </c>
      <c r="AM7" s="67">
        <f t="shared" si="28"/>
        <v>125280</v>
      </c>
      <c r="AN7" s="69">
        <f t="shared" si="18"/>
        <v>3915</v>
      </c>
      <c r="AO7" s="70"/>
      <c r="AP7" s="66"/>
      <c r="AQ7" s="54"/>
      <c r="AR7" s="55" t="e">
        <f t="shared" si="19"/>
        <v>#DIV/0!</v>
      </c>
      <c r="AS7" s="54"/>
      <c r="AT7" s="56" t="e">
        <f t="shared" si="20"/>
        <v>#DIV/0!</v>
      </c>
      <c r="AU7" s="56"/>
      <c r="AV7" s="56"/>
      <c r="AW7" s="71">
        <f>AQ7+AS7+AU7+AV7</f>
        <v>0</v>
      </c>
      <c r="AX7" s="69" t="str">
        <f t="shared" si="21"/>
        <v/>
      </c>
      <c r="AY7" s="84">
        <f t="shared" si="22"/>
        <v>63</v>
      </c>
      <c r="AZ7" s="61">
        <f t="shared" si="23"/>
        <v>523700</v>
      </c>
      <c r="BA7" s="61">
        <f t="shared" si="24"/>
        <v>172690</v>
      </c>
      <c r="BB7" s="73">
        <f>W7+AE7+AM7+AW7-BN7</f>
        <v>696390</v>
      </c>
      <c r="BC7" s="74">
        <f t="shared" ref="BC7:BC35" si="30">BG7+BH7</f>
        <v>2200</v>
      </c>
      <c r="BD7" s="75">
        <v>63</v>
      </c>
      <c r="BE7" s="76">
        <v>434280</v>
      </c>
      <c r="BF7" s="76">
        <v>124300</v>
      </c>
      <c r="BG7" s="77">
        <v>2200</v>
      </c>
      <c r="BH7" s="77"/>
      <c r="BI7" s="77"/>
      <c r="BJ7" s="77"/>
      <c r="BK7" s="78">
        <f t="shared" si="29"/>
        <v>560780</v>
      </c>
      <c r="BL7" s="49">
        <v>3</v>
      </c>
      <c r="BM7" s="79">
        <f t="shared" si="25"/>
        <v>560780</v>
      </c>
    </row>
    <row r="8" spans="1:67" ht="20" customHeight="1">
      <c r="B8" s="80">
        <f t="shared" si="26"/>
        <v>45600</v>
      </c>
      <c r="C8" s="81"/>
      <c r="D8" s="52"/>
      <c r="E8" s="53">
        <v>35</v>
      </c>
      <c r="F8" s="54">
        <v>156860</v>
      </c>
      <c r="G8" s="55">
        <f t="shared" si="0"/>
        <v>4074.2857142857142</v>
      </c>
      <c r="H8" s="54">
        <v>23540</v>
      </c>
      <c r="I8" s="56">
        <f t="shared" si="27"/>
        <v>611.42857142857144</v>
      </c>
      <c r="J8" s="57">
        <f t="shared" si="1"/>
        <v>180400</v>
      </c>
      <c r="K8" s="58">
        <f t="shared" si="2"/>
        <v>5154.2857142857147</v>
      </c>
      <c r="L8" s="59"/>
      <c r="M8" s="60">
        <f t="shared" si="3"/>
        <v>25</v>
      </c>
      <c r="N8" s="61">
        <f t="shared" si="3"/>
        <v>204100</v>
      </c>
      <c r="O8" s="55">
        <f t="shared" si="4"/>
        <v>7421.8</v>
      </c>
      <c r="P8" s="61">
        <f t="shared" si="5"/>
        <v>29730</v>
      </c>
      <c r="Q8" s="56">
        <f t="shared" si="6"/>
        <v>1081.08</v>
      </c>
      <c r="R8" s="62">
        <f t="shared" si="7"/>
        <v>233830</v>
      </c>
      <c r="S8" s="58">
        <f t="shared" si="8"/>
        <v>9353.2000000000007</v>
      </c>
      <c r="T8" s="82">
        <f t="shared" si="9"/>
        <v>60</v>
      </c>
      <c r="U8" s="61">
        <f t="shared" si="9"/>
        <v>360960</v>
      </c>
      <c r="V8" s="61">
        <f t="shared" si="10"/>
        <v>53270</v>
      </c>
      <c r="W8" s="64">
        <f t="shared" si="11"/>
        <v>414230</v>
      </c>
      <c r="X8" s="83"/>
      <c r="Y8" s="65"/>
      <c r="Z8" s="66">
        <v>9</v>
      </c>
      <c r="AA8" s="54">
        <v>3850</v>
      </c>
      <c r="AB8" s="55">
        <f t="shared" si="12"/>
        <v>427.77777777777777</v>
      </c>
      <c r="AC8" s="54">
        <v>1900</v>
      </c>
      <c r="AD8" s="56">
        <f t="shared" si="13"/>
        <v>211.11111111111111</v>
      </c>
      <c r="AE8" s="67">
        <f t="shared" si="14"/>
        <v>5750</v>
      </c>
      <c r="AF8" s="58">
        <f t="shared" si="15"/>
        <v>638.88888888888891</v>
      </c>
      <c r="AG8" s="68"/>
      <c r="AH8" s="66"/>
      <c r="AI8" s="54"/>
      <c r="AJ8" s="55" t="e">
        <f t="shared" si="16"/>
        <v>#DIV/0!</v>
      </c>
      <c r="AK8" s="54"/>
      <c r="AL8" s="56" t="e">
        <f t="shared" si="17"/>
        <v>#DIV/0!</v>
      </c>
      <c r="AM8" s="67">
        <f t="shared" si="28"/>
        <v>0</v>
      </c>
      <c r="AN8" s="69" t="str">
        <f t="shared" si="18"/>
        <v/>
      </c>
      <c r="AO8" s="70"/>
      <c r="AP8" s="66"/>
      <c r="AQ8" s="54"/>
      <c r="AR8" s="55" t="e">
        <f t="shared" si="19"/>
        <v>#DIV/0!</v>
      </c>
      <c r="AS8" s="54"/>
      <c r="AT8" s="56" t="e">
        <f t="shared" si="20"/>
        <v>#DIV/0!</v>
      </c>
      <c r="AU8" s="56"/>
      <c r="AV8" s="56"/>
      <c r="AW8" s="71">
        <f t="shared" ref="AW8:AW16" si="31">AQ8+AS8+AU8+AV8</f>
        <v>0</v>
      </c>
      <c r="AX8" s="69" t="str">
        <f t="shared" si="21"/>
        <v/>
      </c>
      <c r="AY8" s="84">
        <f t="shared" si="22"/>
        <v>60</v>
      </c>
      <c r="AZ8" s="61">
        <f t="shared" si="23"/>
        <v>364810</v>
      </c>
      <c r="BA8" s="61">
        <f t="shared" si="24"/>
        <v>55170</v>
      </c>
      <c r="BB8" s="73">
        <f>W8+AE8+AM8+AW8-BN8</f>
        <v>419980</v>
      </c>
      <c r="BC8" s="74">
        <f t="shared" si="30"/>
        <v>0</v>
      </c>
      <c r="BD8" s="75">
        <v>60</v>
      </c>
      <c r="BE8" s="76">
        <v>360960</v>
      </c>
      <c r="BF8" s="76">
        <v>53270</v>
      </c>
      <c r="BG8" s="77"/>
      <c r="BH8" s="77"/>
      <c r="BI8" s="77"/>
      <c r="BJ8" s="77"/>
      <c r="BK8" s="78">
        <f t="shared" si="29"/>
        <v>414230</v>
      </c>
      <c r="BL8" s="49">
        <v>4</v>
      </c>
      <c r="BM8" s="79">
        <f t="shared" si="25"/>
        <v>414230</v>
      </c>
      <c r="BN8" s="85"/>
      <c r="BO8" s="85"/>
    </row>
    <row r="9" spans="1:67" ht="20" customHeight="1">
      <c r="B9" s="80">
        <f t="shared" si="26"/>
        <v>45601</v>
      </c>
      <c r="C9" s="81"/>
      <c r="D9" s="52"/>
      <c r="E9" s="53">
        <v>24</v>
      </c>
      <c r="F9" s="54">
        <v>89320</v>
      </c>
      <c r="G9" s="55">
        <f t="shared" si="0"/>
        <v>3383.3333333333335</v>
      </c>
      <c r="H9" s="54">
        <v>13080</v>
      </c>
      <c r="I9" s="56">
        <f t="shared" si="27"/>
        <v>495.41666666666669</v>
      </c>
      <c r="J9" s="57">
        <f t="shared" si="1"/>
        <v>102400</v>
      </c>
      <c r="K9" s="58">
        <f t="shared" si="2"/>
        <v>4266.666666666667</v>
      </c>
      <c r="L9" s="59"/>
      <c r="M9" s="60">
        <f t="shared" si="3"/>
        <v>12</v>
      </c>
      <c r="N9" s="61">
        <f t="shared" si="3"/>
        <v>101200</v>
      </c>
      <c r="O9" s="55">
        <f t="shared" si="4"/>
        <v>7666.666666666667</v>
      </c>
      <c r="P9" s="61">
        <f t="shared" si="5"/>
        <v>18970</v>
      </c>
      <c r="Q9" s="56">
        <f t="shared" si="6"/>
        <v>1437.0833333333333</v>
      </c>
      <c r="R9" s="62">
        <f t="shared" si="7"/>
        <v>120170</v>
      </c>
      <c r="S9" s="58">
        <f t="shared" si="8"/>
        <v>10014.166666666666</v>
      </c>
      <c r="T9" s="82">
        <f t="shared" si="9"/>
        <v>36</v>
      </c>
      <c r="U9" s="61">
        <f t="shared" si="9"/>
        <v>190520</v>
      </c>
      <c r="V9" s="61">
        <f t="shared" si="10"/>
        <v>32050</v>
      </c>
      <c r="W9" s="64">
        <f t="shared" si="11"/>
        <v>222570</v>
      </c>
      <c r="X9" s="83"/>
      <c r="Y9" s="65"/>
      <c r="Z9" s="66">
        <v>10</v>
      </c>
      <c r="AA9" s="54">
        <v>5000</v>
      </c>
      <c r="AB9" s="55">
        <f t="shared" si="12"/>
        <v>500</v>
      </c>
      <c r="AC9" s="54">
        <v>4800</v>
      </c>
      <c r="AD9" s="56">
        <f t="shared" si="13"/>
        <v>480</v>
      </c>
      <c r="AE9" s="67">
        <f t="shared" si="14"/>
        <v>9800</v>
      </c>
      <c r="AF9" s="58">
        <f t="shared" si="15"/>
        <v>980</v>
      </c>
      <c r="AG9" s="68"/>
      <c r="AH9" s="66"/>
      <c r="AI9" s="54"/>
      <c r="AJ9" s="55" t="e">
        <f t="shared" si="16"/>
        <v>#DIV/0!</v>
      </c>
      <c r="AK9" s="54"/>
      <c r="AL9" s="56" t="e">
        <f t="shared" si="17"/>
        <v>#DIV/0!</v>
      </c>
      <c r="AM9" s="67">
        <f t="shared" si="28"/>
        <v>0</v>
      </c>
      <c r="AN9" s="69" t="str">
        <f t="shared" si="18"/>
        <v/>
      </c>
      <c r="AO9" s="70"/>
      <c r="AP9" s="66"/>
      <c r="AQ9" s="54"/>
      <c r="AR9" s="55" t="e">
        <f t="shared" si="19"/>
        <v>#DIV/0!</v>
      </c>
      <c r="AS9" s="54"/>
      <c r="AT9" s="56" t="e">
        <f t="shared" si="20"/>
        <v>#DIV/0!</v>
      </c>
      <c r="AU9" s="56"/>
      <c r="AV9" s="56"/>
      <c r="AW9" s="71">
        <f t="shared" si="31"/>
        <v>0</v>
      </c>
      <c r="AX9" s="69" t="str">
        <f>IF(AP9="","",AW9/AP9)</f>
        <v/>
      </c>
      <c r="AY9" s="84">
        <f t="shared" si="22"/>
        <v>36</v>
      </c>
      <c r="AZ9" s="61">
        <f t="shared" si="23"/>
        <v>195520</v>
      </c>
      <c r="BA9" s="61">
        <f t="shared" si="24"/>
        <v>36850</v>
      </c>
      <c r="BB9" s="73">
        <f>W9+AE9+AM9+AW9-BN9</f>
        <v>230390</v>
      </c>
      <c r="BC9" s="74">
        <f t="shared" si="30"/>
        <v>4400</v>
      </c>
      <c r="BD9" s="75">
        <v>36</v>
      </c>
      <c r="BE9" s="76">
        <v>190520</v>
      </c>
      <c r="BF9" s="76">
        <v>32050</v>
      </c>
      <c r="BG9" s="77">
        <v>4400</v>
      </c>
      <c r="BH9" s="77"/>
      <c r="BI9" s="77"/>
      <c r="BJ9" s="77"/>
      <c r="BK9" s="78">
        <f t="shared" si="29"/>
        <v>226970</v>
      </c>
      <c r="BL9" s="49">
        <v>5</v>
      </c>
      <c r="BM9" s="79">
        <f t="shared" si="25"/>
        <v>226970</v>
      </c>
      <c r="BN9" s="49">
        <v>1980</v>
      </c>
    </row>
    <row r="10" spans="1:67" ht="20" customHeight="1">
      <c r="B10" s="80">
        <f t="shared" si="26"/>
        <v>45602</v>
      </c>
      <c r="C10" s="81"/>
      <c r="D10" s="52"/>
      <c r="E10" s="53">
        <v>33</v>
      </c>
      <c r="F10" s="54">
        <v>125510</v>
      </c>
      <c r="G10" s="55">
        <f t="shared" si="0"/>
        <v>3457.5757575757575</v>
      </c>
      <c r="H10" s="54">
        <v>25180</v>
      </c>
      <c r="I10" s="56">
        <f t="shared" si="27"/>
        <v>693.63636363636363</v>
      </c>
      <c r="J10" s="57">
        <f t="shared" si="1"/>
        <v>150690</v>
      </c>
      <c r="K10" s="58">
        <f t="shared" si="2"/>
        <v>4566.363636363636</v>
      </c>
      <c r="L10" s="59"/>
      <c r="M10" s="60">
        <f t="shared" si="3"/>
        <v>14</v>
      </c>
      <c r="N10" s="61">
        <f t="shared" si="3"/>
        <v>138600</v>
      </c>
      <c r="O10" s="55">
        <f t="shared" si="4"/>
        <v>9000</v>
      </c>
      <c r="P10" s="61">
        <f t="shared" si="5"/>
        <v>26760</v>
      </c>
      <c r="Q10" s="56">
        <f t="shared" si="6"/>
        <v>1737.6428571428571</v>
      </c>
      <c r="R10" s="62">
        <f t="shared" si="7"/>
        <v>165360</v>
      </c>
      <c r="S10" s="58">
        <f t="shared" si="8"/>
        <v>11811.428571428571</v>
      </c>
      <c r="T10" s="82">
        <f t="shared" si="9"/>
        <v>47</v>
      </c>
      <c r="U10" s="61">
        <f t="shared" si="9"/>
        <v>264110</v>
      </c>
      <c r="V10" s="61">
        <f t="shared" si="10"/>
        <v>51940</v>
      </c>
      <c r="W10" s="64">
        <f t="shared" si="11"/>
        <v>316050</v>
      </c>
      <c r="X10" s="83"/>
      <c r="Y10" s="65"/>
      <c r="Z10" s="66">
        <v>19</v>
      </c>
      <c r="AA10" s="54">
        <v>7300</v>
      </c>
      <c r="AB10" s="55">
        <f t="shared" si="12"/>
        <v>384.21052631578948</v>
      </c>
      <c r="AC10" s="54">
        <v>2900</v>
      </c>
      <c r="AD10" s="56">
        <f t="shared" si="13"/>
        <v>152.63157894736841</v>
      </c>
      <c r="AE10" s="67">
        <f t="shared" si="14"/>
        <v>10200</v>
      </c>
      <c r="AF10" s="58">
        <f t="shared" si="15"/>
        <v>536.84210526315792</v>
      </c>
      <c r="AG10" s="68"/>
      <c r="AH10" s="66">
        <v>42</v>
      </c>
      <c r="AI10" s="54">
        <v>164430</v>
      </c>
      <c r="AJ10" s="55">
        <f t="shared" si="16"/>
        <v>3915</v>
      </c>
      <c r="AK10" s="54">
        <v>54810</v>
      </c>
      <c r="AL10" s="56">
        <f t="shared" si="17"/>
        <v>1305</v>
      </c>
      <c r="AM10" s="67">
        <f t="shared" si="28"/>
        <v>219240</v>
      </c>
      <c r="AN10" s="69">
        <f t="shared" si="18"/>
        <v>5220</v>
      </c>
      <c r="AO10" s="70"/>
      <c r="AP10" s="66"/>
      <c r="AQ10" s="54"/>
      <c r="AR10" s="55" t="e">
        <f t="shared" si="19"/>
        <v>#DIV/0!</v>
      </c>
      <c r="AS10" s="54"/>
      <c r="AT10" s="56" t="e">
        <f t="shared" si="20"/>
        <v>#DIV/0!</v>
      </c>
      <c r="AU10" s="56"/>
      <c r="AV10" s="56"/>
      <c r="AW10" s="71">
        <f t="shared" si="31"/>
        <v>0</v>
      </c>
      <c r="AX10" s="69" t="str">
        <f t="shared" si="21"/>
        <v/>
      </c>
      <c r="AY10" s="84">
        <f t="shared" si="22"/>
        <v>47</v>
      </c>
      <c r="AZ10" s="61">
        <f t="shared" si="23"/>
        <v>435840</v>
      </c>
      <c r="BA10" s="61">
        <f t="shared" si="24"/>
        <v>109650</v>
      </c>
      <c r="BB10" s="73">
        <f t="shared" ref="BB10:BB30" si="32">W10+AE10+AM10+AW10</f>
        <v>545490</v>
      </c>
      <c r="BC10" s="74">
        <f t="shared" si="30"/>
        <v>2200</v>
      </c>
      <c r="BD10" s="75">
        <v>47</v>
      </c>
      <c r="BE10" s="76">
        <v>264110</v>
      </c>
      <c r="BF10" s="76">
        <v>51940</v>
      </c>
      <c r="BG10" s="77">
        <v>2200</v>
      </c>
      <c r="BH10" s="77"/>
      <c r="BI10" s="77"/>
      <c r="BJ10" s="77"/>
      <c r="BK10" s="78">
        <f t="shared" si="29"/>
        <v>318250</v>
      </c>
      <c r="BL10" s="49">
        <v>6</v>
      </c>
      <c r="BM10" s="79">
        <f t="shared" si="25"/>
        <v>318250</v>
      </c>
    </row>
    <row r="11" spans="1:67" ht="20" customHeight="1">
      <c r="B11" s="80">
        <f t="shared" si="26"/>
        <v>45603</v>
      </c>
      <c r="C11" s="81"/>
      <c r="D11" s="52"/>
      <c r="E11" s="53">
        <v>22</v>
      </c>
      <c r="F11" s="54">
        <v>84150</v>
      </c>
      <c r="G11" s="55">
        <f t="shared" si="0"/>
        <v>3477.2727272727275</v>
      </c>
      <c r="H11" s="54">
        <v>2400</v>
      </c>
      <c r="I11" s="56">
        <f t="shared" si="27"/>
        <v>99.13636363636364</v>
      </c>
      <c r="J11" s="57">
        <f t="shared" si="1"/>
        <v>86550</v>
      </c>
      <c r="K11" s="58">
        <f t="shared" si="2"/>
        <v>3934.090909090909</v>
      </c>
      <c r="L11" s="59"/>
      <c r="M11" s="60">
        <f t="shared" si="3"/>
        <v>22</v>
      </c>
      <c r="N11" s="61">
        <f t="shared" si="3"/>
        <v>177760</v>
      </c>
      <c r="O11" s="55">
        <f t="shared" si="4"/>
        <v>7345.454545454545</v>
      </c>
      <c r="P11" s="61">
        <f t="shared" si="5"/>
        <v>51100</v>
      </c>
      <c r="Q11" s="56">
        <f t="shared" si="6"/>
        <v>2111.5454545454545</v>
      </c>
      <c r="R11" s="62">
        <f t="shared" si="7"/>
        <v>228860</v>
      </c>
      <c r="S11" s="58">
        <f t="shared" si="8"/>
        <v>10402.727272727272</v>
      </c>
      <c r="T11" s="82">
        <f t="shared" si="9"/>
        <v>44</v>
      </c>
      <c r="U11" s="61">
        <f t="shared" si="9"/>
        <v>261910</v>
      </c>
      <c r="V11" s="61">
        <f t="shared" si="10"/>
        <v>53500</v>
      </c>
      <c r="W11" s="64">
        <f t="shared" si="11"/>
        <v>315410</v>
      </c>
      <c r="X11" s="83"/>
      <c r="Y11" s="65"/>
      <c r="Z11" s="66">
        <v>22</v>
      </c>
      <c r="AA11" s="54">
        <v>10350</v>
      </c>
      <c r="AB11" s="55">
        <f t="shared" si="12"/>
        <v>470.45454545454544</v>
      </c>
      <c r="AC11" s="54">
        <v>3300</v>
      </c>
      <c r="AD11" s="56">
        <f t="shared" si="13"/>
        <v>150</v>
      </c>
      <c r="AE11" s="67">
        <f t="shared" si="14"/>
        <v>13650</v>
      </c>
      <c r="AF11" s="58">
        <f t="shared" si="15"/>
        <v>620.4545454545455</v>
      </c>
      <c r="AG11" s="68"/>
      <c r="AH11" s="66"/>
      <c r="AI11" s="54"/>
      <c r="AJ11" s="55" t="e">
        <f t="shared" si="16"/>
        <v>#DIV/0!</v>
      </c>
      <c r="AK11" s="54"/>
      <c r="AL11" s="56" t="e">
        <f t="shared" si="17"/>
        <v>#DIV/0!</v>
      </c>
      <c r="AM11" s="67">
        <f t="shared" si="28"/>
        <v>0</v>
      </c>
      <c r="AN11" s="69" t="str">
        <f t="shared" si="18"/>
        <v/>
      </c>
      <c r="AO11" s="70"/>
      <c r="AP11" s="66"/>
      <c r="AQ11" s="54"/>
      <c r="AR11" s="55" t="e">
        <f t="shared" si="19"/>
        <v>#DIV/0!</v>
      </c>
      <c r="AS11" s="54"/>
      <c r="AT11" s="56" t="e">
        <f t="shared" si="20"/>
        <v>#DIV/0!</v>
      </c>
      <c r="AU11" s="56"/>
      <c r="AV11" s="56"/>
      <c r="AW11" s="71">
        <f t="shared" si="31"/>
        <v>0</v>
      </c>
      <c r="AX11" s="69" t="str">
        <f t="shared" si="21"/>
        <v/>
      </c>
      <c r="AY11" s="84">
        <f t="shared" si="22"/>
        <v>44</v>
      </c>
      <c r="AZ11" s="61">
        <f t="shared" si="23"/>
        <v>272260</v>
      </c>
      <c r="BA11" s="61">
        <f t="shared" si="24"/>
        <v>56800</v>
      </c>
      <c r="BB11" s="73">
        <f t="shared" si="32"/>
        <v>329060</v>
      </c>
      <c r="BC11" s="74">
        <f t="shared" si="30"/>
        <v>4400</v>
      </c>
      <c r="BD11" s="75">
        <v>44</v>
      </c>
      <c r="BE11" s="76">
        <v>261910</v>
      </c>
      <c r="BF11" s="76">
        <v>53500</v>
      </c>
      <c r="BG11" s="77">
        <v>4400</v>
      </c>
      <c r="BH11" s="77"/>
      <c r="BI11" s="77">
        <v>5500</v>
      </c>
      <c r="BJ11" s="77"/>
      <c r="BK11" s="78">
        <f t="shared" si="29"/>
        <v>319810</v>
      </c>
      <c r="BL11" s="49">
        <v>7</v>
      </c>
      <c r="BM11" s="79">
        <f t="shared" si="25"/>
        <v>319810</v>
      </c>
    </row>
    <row r="12" spans="1:67" ht="20" customHeight="1">
      <c r="B12" s="80">
        <f t="shared" si="26"/>
        <v>45604</v>
      </c>
      <c r="C12" s="86"/>
      <c r="D12" s="52"/>
      <c r="E12" s="53">
        <v>30</v>
      </c>
      <c r="F12" s="54">
        <v>122320</v>
      </c>
      <c r="G12" s="55">
        <f t="shared" si="0"/>
        <v>3706.6666666666665</v>
      </c>
      <c r="H12" s="54">
        <v>23650</v>
      </c>
      <c r="I12" s="56">
        <f t="shared" si="27"/>
        <v>716.66666666666663</v>
      </c>
      <c r="J12" s="57">
        <f t="shared" si="1"/>
        <v>145970</v>
      </c>
      <c r="K12" s="58">
        <f t="shared" si="2"/>
        <v>4865.666666666667</v>
      </c>
      <c r="L12" s="59"/>
      <c r="M12" s="60">
        <f t="shared" si="3"/>
        <v>28</v>
      </c>
      <c r="N12" s="61">
        <f t="shared" si="3"/>
        <v>173360</v>
      </c>
      <c r="O12" s="55">
        <f t="shared" si="4"/>
        <v>5628.5714285714284</v>
      </c>
      <c r="P12" s="61">
        <f t="shared" si="5"/>
        <v>52820</v>
      </c>
      <c r="Q12" s="87">
        <f t="shared" si="6"/>
        <v>1714.9285714285713</v>
      </c>
      <c r="R12" s="62">
        <f t="shared" si="7"/>
        <v>226180</v>
      </c>
      <c r="S12" s="58">
        <f t="shared" si="8"/>
        <v>8077.8571428571431</v>
      </c>
      <c r="T12" s="82">
        <f t="shared" si="9"/>
        <v>58</v>
      </c>
      <c r="U12" s="61">
        <f t="shared" si="9"/>
        <v>295680</v>
      </c>
      <c r="V12" s="61">
        <f t="shared" si="10"/>
        <v>76470</v>
      </c>
      <c r="W12" s="64">
        <f t="shared" si="11"/>
        <v>372150</v>
      </c>
      <c r="X12" s="83"/>
      <c r="Y12" s="65"/>
      <c r="Z12" s="66">
        <v>20</v>
      </c>
      <c r="AA12" s="54">
        <v>8100</v>
      </c>
      <c r="AB12" s="55">
        <f t="shared" si="12"/>
        <v>405</v>
      </c>
      <c r="AC12" s="54">
        <v>1950</v>
      </c>
      <c r="AD12" s="56">
        <f t="shared" si="13"/>
        <v>97.5</v>
      </c>
      <c r="AE12" s="67">
        <f t="shared" si="14"/>
        <v>10050</v>
      </c>
      <c r="AF12" s="58">
        <f t="shared" si="15"/>
        <v>502.5</v>
      </c>
      <c r="AG12" s="68"/>
      <c r="AH12" s="66">
        <v>37</v>
      </c>
      <c r="AI12" s="54">
        <v>144855</v>
      </c>
      <c r="AJ12" s="55">
        <f t="shared" si="16"/>
        <v>3915</v>
      </c>
      <c r="AK12" s="54">
        <v>48285</v>
      </c>
      <c r="AL12" s="56">
        <f t="shared" si="17"/>
        <v>1305</v>
      </c>
      <c r="AM12" s="67">
        <f t="shared" si="28"/>
        <v>193140</v>
      </c>
      <c r="AN12" s="69">
        <f t="shared" si="18"/>
        <v>5220</v>
      </c>
      <c r="AO12" s="70"/>
      <c r="AP12" s="66"/>
      <c r="AQ12" s="54"/>
      <c r="AR12" s="55" t="e">
        <f t="shared" si="19"/>
        <v>#DIV/0!</v>
      </c>
      <c r="AS12" s="54"/>
      <c r="AT12" s="56" t="e">
        <f t="shared" si="20"/>
        <v>#DIV/0!</v>
      </c>
      <c r="AU12" s="56"/>
      <c r="AV12" s="56"/>
      <c r="AW12" s="71">
        <f>AQ12+AS12+AU12+AV12-BN12</f>
        <v>0</v>
      </c>
      <c r="AX12" s="69" t="str">
        <f t="shared" si="21"/>
        <v/>
      </c>
      <c r="AY12" s="84">
        <f t="shared" si="22"/>
        <v>58</v>
      </c>
      <c r="AZ12" s="61">
        <f t="shared" si="23"/>
        <v>448635</v>
      </c>
      <c r="BA12" s="61">
        <f t="shared" si="24"/>
        <v>126705</v>
      </c>
      <c r="BB12" s="73">
        <f t="shared" si="32"/>
        <v>575340</v>
      </c>
      <c r="BC12" s="74">
        <f t="shared" si="30"/>
        <v>3300</v>
      </c>
      <c r="BD12" s="75">
        <v>58</v>
      </c>
      <c r="BE12" s="76">
        <v>295680</v>
      </c>
      <c r="BF12" s="76">
        <v>76470</v>
      </c>
      <c r="BG12" s="77">
        <v>3300</v>
      </c>
      <c r="BH12" s="77"/>
      <c r="BI12" s="77"/>
      <c r="BJ12" s="77"/>
      <c r="BK12" s="78">
        <f t="shared" si="29"/>
        <v>375450</v>
      </c>
      <c r="BL12" s="49">
        <v>8</v>
      </c>
      <c r="BM12" s="79">
        <f t="shared" si="25"/>
        <v>375450</v>
      </c>
    </row>
    <row r="13" spans="1:67" ht="20" customHeight="1">
      <c r="B13" s="80">
        <f t="shared" si="26"/>
        <v>45605</v>
      </c>
      <c r="C13" s="81"/>
      <c r="D13" s="52"/>
      <c r="E13" s="53">
        <v>29</v>
      </c>
      <c r="F13" s="54">
        <v>135410</v>
      </c>
      <c r="G13" s="55">
        <f t="shared" si="0"/>
        <v>4244.8275862068967</v>
      </c>
      <c r="H13" s="54">
        <v>18130</v>
      </c>
      <c r="I13" s="56">
        <f t="shared" si="27"/>
        <v>568.31034482758616</v>
      </c>
      <c r="J13" s="57">
        <f t="shared" si="1"/>
        <v>153540</v>
      </c>
      <c r="K13" s="58">
        <f t="shared" si="2"/>
        <v>5294.4827586206893</v>
      </c>
      <c r="L13" s="59"/>
      <c r="M13" s="60">
        <f t="shared" si="3"/>
        <v>25</v>
      </c>
      <c r="N13" s="61">
        <f t="shared" si="3"/>
        <v>314160</v>
      </c>
      <c r="O13" s="55">
        <f t="shared" si="4"/>
        <v>11424</v>
      </c>
      <c r="P13" s="61">
        <f t="shared" si="5"/>
        <v>72500</v>
      </c>
      <c r="Q13" s="56">
        <f t="shared" si="6"/>
        <v>2636.36</v>
      </c>
      <c r="R13" s="62">
        <f t="shared" si="7"/>
        <v>386660</v>
      </c>
      <c r="S13" s="58">
        <f t="shared" si="8"/>
        <v>15466.4</v>
      </c>
      <c r="T13" s="82">
        <f t="shared" si="9"/>
        <v>54</v>
      </c>
      <c r="U13" s="61">
        <f t="shared" si="9"/>
        <v>449570</v>
      </c>
      <c r="V13" s="61">
        <f t="shared" si="10"/>
        <v>90630</v>
      </c>
      <c r="W13" s="64">
        <f t="shared" si="11"/>
        <v>540200</v>
      </c>
      <c r="X13" s="83"/>
      <c r="Y13" s="65"/>
      <c r="Z13" s="66">
        <v>22</v>
      </c>
      <c r="AA13" s="54">
        <v>10000</v>
      </c>
      <c r="AB13" s="55">
        <f t="shared" si="12"/>
        <v>454.54545454545456</v>
      </c>
      <c r="AC13" s="54">
        <v>3400</v>
      </c>
      <c r="AD13" s="56">
        <f t="shared" si="13"/>
        <v>154.54545454545453</v>
      </c>
      <c r="AE13" s="67">
        <f t="shared" si="14"/>
        <v>13400</v>
      </c>
      <c r="AF13" s="58">
        <f t="shared" si="15"/>
        <v>609.09090909090912</v>
      </c>
      <c r="AG13" s="68"/>
      <c r="AH13" s="66"/>
      <c r="AI13" s="54"/>
      <c r="AJ13" s="55" t="e">
        <f t="shared" si="16"/>
        <v>#DIV/0!</v>
      </c>
      <c r="AK13" s="54"/>
      <c r="AL13" s="56" t="e">
        <f t="shared" si="17"/>
        <v>#DIV/0!</v>
      </c>
      <c r="AM13" s="67">
        <f t="shared" si="28"/>
        <v>0</v>
      </c>
      <c r="AN13" s="69" t="str">
        <f t="shared" si="18"/>
        <v/>
      </c>
      <c r="AO13" s="70"/>
      <c r="AP13" s="66"/>
      <c r="AQ13" s="54"/>
      <c r="AR13" s="55" t="e">
        <f t="shared" si="19"/>
        <v>#DIV/0!</v>
      </c>
      <c r="AS13" s="54"/>
      <c r="AT13" s="56" t="e">
        <f t="shared" si="20"/>
        <v>#DIV/0!</v>
      </c>
      <c r="AU13" s="56"/>
      <c r="AV13" s="56"/>
      <c r="AW13" s="71">
        <f>AQ13+AS13+AU13+AV13-BN13</f>
        <v>0</v>
      </c>
      <c r="AX13" s="69" t="str">
        <f t="shared" si="21"/>
        <v/>
      </c>
      <c r="AY13" s="84">
        <f t="shared" si="22"/>
        <v>54</v>
      </c>
      <c r="AZ13" s="61">
        <f t="shared" si="23"/>
        <v>459570</v>
      </c>
      <c r="BA13" s="61">
        <f t="shared" si="24"/>
        <v>94030</v>
      </c>
      <c r="BB13" s="73">
        <f t="shared" si="32"/>
        <v>553600</v>
      </c>
      <c r="BC13" s="74">
        <f t="shared" si="30"/>
        <v>3300</v>
      </c>
      <c r="BD13" s="75">
        <v>54</v>
      </c>
      <c r="BE13" s="76">
        <v>449570</v>
      </c>
      <c r="BF13" s="76">
        <v>90630</v>
      </c>
      <c r="BG13" s="77">
        <v>3300</v>
      </c>
      <c r="BH13" s="77"/>
      <c r="BI13" s="77"/>
      <c r="BJ13" s="77"/>
      <c r="BK13" s="78">
        <f t="shared" si="29"/>
        <v>543500</v>
      </c>
      <c r="BL13" s="49">
        <v>9</v>
      </c>
      <c r="BM13" s="79">
        <f t="shared" si="25"/>
        <v>543500</v>
      </c>
    </row>
    <row r="14" spans="1:67" ht="20" customHeight="1">
      <c r="B14" s="80">
        <f t="shared" si="26"/>
        <v>45606</v>
      </c>
      <c r="C14" s="81"/>
      <c r="D14" s="52"/>
      <c r="E14" s="53">
        <v>39</v>
      </c>
      <c r="F14" s="54">
        <v>181500</v>
      </c>
      <c r="G14" s="55">
        <f t="shared" si="0"/>
        <v>4230.7692307692305</v>
      </c>
      <c r="H14" s="54">
        <v>32920</v>
      </c>
      <c r="I14" s="56">
        <f>ROUNDDOWN(H14/1.1,0)/E14</f>
        <v>767.35897435897436</v>
      </c>
      <c r="J14" s="57">
        <f t="shared" si="1"/>
        <v>214420</v>
      </c>
      <c r="K14" s="58">
        <f t="shared" si="2"/>
        <v>5497.9487179487178</v>
      </c>
      <c r="L14" s="59"/>
      <c r="M14" s="60">
        <f t="shared" si="3"/>
        <v>30</v>
      </c>
      <c r="N14" s="61">
        <f t="shared" si="3"/>
        <v>202730</v>
      </c>
      <c r="O14" s="55">
        <f t="shared" si="4"/>
        <v>6143.333333333333</v>
      </c>
      <c r="P14" s="61">
        <f t="shared" si="5"/>
        <v>53960</v>
      </c>
      <c r="Q14" s="56">
        <f t="shared" si="6"/>
        <v>1635.1333333333334</v>
      </c>
      <c r="R14" s="62">
        <f t="shared" si="7"/>
        <v>256690</v>
      </c>
      <c r="S14" s="58">
        <f t="shared" si="8"/>
        <v>8556.3333333333339</v>
      </c>
      <c r="T14" s="82">
        <f t="shared" si="9"/>
        <v>69</v>
      </c>
      <c r="U14" s="61">
        <f t="shared" si="9"/>
        <v>384230</v>
      </c>
      <c r="V14" s="61">
        <f t="shared" si="10"/>
        <v>86880</v>
      </c>
      <c r="W14" s="64">
        <f t="shared" si="11"/>
        <v>471110</v>
      </c>
      <c r="X14" s="83"/>
      <c r="Y14" s="65"/>
      <c r="Z14" s="66">
        <v>15</v>
      </c>
      <c r="AA14" s="54">
        <v>6450</v>
      </c>
      <c r="AB14" s="55">
        <f t="shared" si="12"/>
        <v>430</v>
      </c>
      <c r="AC14" s="54">
        <v>3100</v>
      </c>
      <c r="AD14" s="56">
        <f t="shared" si="13"/>
        <v>206.66666666666666</v>
      </c>
      <c r="AE14" s="67">
        <f t="shared" si="14"/>
        <v>9550</v>
      </c>
      <c r="AF14" s="58">
        <f t="shared" si="15"/>
        <v>636.66666666666663</v>
      </c>
      <c r="AG14" s="68"/>
      <c r="AH14" s="66"/>
      <c r="AI14" s="54"/>
      <c r="AJ14" s="55" t="e">
        <f t="shared" si="16"/>
        <v>#DIV/0!</v>
      </c>
      <c r="AK14" s="54"/>
      <c r="AL14" s="56" t="e">
        <f t="shared" si="17"/>
        <v>#DIV/0!</v>
      </c>
      <c r="AM14" s="67">
        <f t="shared" si="28"/>
        <v>0</v>
      </c>
      <c r="AN14" s="69" t="str">
        <f t="shared" si="18"/>
        <v/>
      </c>
      <c r="AO14" s="70"/>
      <c r="AP14" s="66"/>
      <c r="AQ14" s="54"/>
      <c r="AR14" s="55" t="e">
        <f t="shared" si="19"/>
        <v>#DIV/0!</v>
      </c>
      <c r="AS14" s="54"/>
      <c r="AT14" s="56" t="e">
        <f t="shared" si="20"/>
        <v>#DIV/0!</v>
      </c>
      <c r="AU14" s="56"/>
      <c r="AV14" s="56"/>
      <c r="AW14" s="71">
        <f t="shared" si="31"/>
        <v>0</v>
      </c>
      <c r="AX14" s="69" t="str">
        <f t="shared" si="21"/>
        <v/>
      </c>
      <c r="AY14" s="84">
        <f t="shared" si="22"/>
        <v>69</v>
      </c>
      <c r="AZ14" s="61">
        <f t="shared" si="23"/>
        <v>390680</v>
      </c>
      <c r="BA14" s="61">
        <f t="shared" si="24"/>
        <v>89980</v>
      </c>
      <c r="BB14" s="73">
        <f>W14+AE14+AM14+AW14-BN14</f>
        <v>480660</v>
      </c>
      <c r="BC14" s="74">
        <f t="shared" si="30"/>
        <v>5500</v>
      </c>
      <c r="BD14" s="75">
        <v>69</v>
      </c>
      <c r="BE14" s="76">
        <v>384230</v>
      </c>
      <c r="BF14" s="76">
        <v>86880</v>
      </c>
      <c r="BG14" s="77">
        <v>5500</v>
      </c>
      <c r="BH14" s="77"/>
      <c r="BI14" s="77"/>
      <c r="BJ14" s="77"/>
      <c r="BK14" s="78">
        <f t="shared" si="29"/>
        <v>476610</v>
      </c>
      <c r="BL14" s="49">
        <v>10</v>
      </c>
      <c r="BM14" s="79">
        <f t="shared" si="25"/>
        <v>476610</v>
      </c>
    </row>
    <row r="15" spans="1:67" ht="20" customHeight="1">
      <c r="B15" s="80">
        <f t="shared" si="26"/>
        <v>45607</v>
      </c>
      <c r="C15" s="86"/>
      <c r="D15" s="52"/>
      <c r="E15" s="53">
        <v>34</v>
      </c>
      <c r="F15" s="54">
        <v>125950</v>
      </c>
      <c r="G15" s="55">
        <f t="shared" si="0"/>
        <v>3367.6470588235293</v>
      </c>
      <c r="H15" s="54">
        <v>16140</v>
      </c>
      <c r="I15" s="56">
        <f t="shared" si="27"/>
        <v>431.52941176470586</v>
      </c>
      <c r="J15" s="57">
        <f t="shared" si="1"/>
        <v>142090</v>
      </c>
      <c r="K15" s="58">
        <f t="shared" si="2"/>
        <v>4179.1176470588234</v>
      </c>
      <c r="L15" s="59"/>
      <c r="M15" s="60">
        <f t="shared" si="3"/>
        <v>21</v>
      </c>
      <c r="N15" s="61">
        <f t="shared" si="3"/>
        <v>171050</v>
      </c>
      <c r="O15" s="55">
        <f t="shared" si="4"/>
        <v>7404.7619047619046</v>
      </c>
      <c r="P15" s="61">
        <f t="shared" si="5"/>
        <v>28140</v>
      </c>
      <c r="Q15" s="56">
        <f t="shared" si="6"/>
        <v>1218.1428571428571</v>
      </c>
      <c r="R15" s="62">
        <f t="shared" si="7"/>
        <v>199190</v>
      </c>
      <c r="S15" s="58">
        <f t="shared" si="8"/>
        <v>9485.2380952380954</v>
      </c>
      <c r="T15" s="82">
        <f t="shared" si="9"/>
        <v>55</v>
      </c>
      <c r="U15" s="61">
        <f t="shared" si="9"/>
        <v>297000</v>
      </c>
      <c r="V15" s="61">
        <f t="shared" si="10"/>
        <v>44280</v>
      </c>
      <c r="W15" s="64">
        <f t="shared" si="11"/>
        <v>341280</v>
      </c>
      <c r="X15" s="83"/>
      <c r="Y15" s="65"/>
      <c r="Z15" s="66">
        <v>10</v>
      </c>
      <c r="AA15" s="54">
        <v>4700</v>
      </c>
      <c r="AB15" s="55">
        <f t="shared" si="12"/>
        <v>470</v>
      </c>
      <c r="AC15" s="54">
        <v>3400</v>
      </c>
      <c r="AD15" s="56">
        <f t="shared" si="13"/>
        <v>340</v>
      </c>
      <c r="AE15" s="67">
        <f t="shared" si="14"/>
        <v>8100</v>
      </c>
      <c r="AF15" s="58">
        <f t="shared" si="15"/>
        <v>810</v>
      </c>
      <c r="AG15" s="68"/>
      <c r="AH15" s="66"/>
      <c r="AI15" s="54"/>
      <c r="AJ15" s="55" t="e">
        <f t="shared" si="16"/>
        <v>#DIV/0!</v>
      </c>
      <c r="AK15" s="54"/>
      <c r="AL15" s="56" t="e">
        <f t="shared" si="17"/>
        <v>#DIV/0!</v>
      </c>
      <c r="AM15" s="67">
        <f t="shared" si="28"/>
        <v>0</v>
      </c>
      <c r="AN15" s="69" t="str">
        <f t="shared" si="18"/>
        <v/>
      </c>
      <c r="AO15" s="70"/>
      <c r="AP15" s="66"/>
      <c r="AQ15" s="54"/>
      <c r="AR15" s="55" t="e">
        <f t="shared" si="19"/>
        <v>#DIV/0!</v>
      </c>
      <c r="AS15" s="54"/>
      <c r="AT15" s="56" t="e">
        <f t="shared" si="20"/>
        <v>#DIV/0!</v>
      </c>
      <c r="AU15" s="56"/>
      <c r="AV15" s="56"/>
      <c r="AW15" s="71">
        <f t="shared" si="31"/>
        <v>0</v>
      </c>
      <c r="AX15" s="69" t="str">
        <f t="shared" si="21"/>
        <v/>
      </c>
      <c r="AY15" s="84">
        <f t="shared" si="22"/>
        <v>55</v>
      </c>
      <c r="AZ15" s="61">
        <f t="shared" si="23"/>
        <v>301700</v>
      </c>
      <c r="BA15" s="61">
        <f t="shared" si="24"/>
        <v>47680</v>
      </c>
      <c r="BB15" s="73">
        <f>W15+AE15+AM15+AW15-BN15</f>
        <v>349380</v>
      </c>
      <c r="BC15" s="74">
        <f t="shared" si="30"/>
        <v>1100</v>
      </c>
      <c r="BD15" s="75">
        <v>55</v>
      </c>
      <c r="BE15" s="76">
        <v>297000</v>
      </c>
      <c r="BF15" s="76">
        <v>44280</v>
      </c>
      <c r="BG15" s="77">
        <v>1100</v>
      </c>
      <c r="BH15" s="77"/>
      <c r="BI15" s="77"/>
      <c r="BJ15" s="77"/>
      <c r="BK15" s="78">
        <f t="shared" si="29"/>
        <v>342380</v>
      </c>
      <c r="BL15" s="49">
        <v>11</v>
      </c>
      <c r="BM15" s="79">
        <f t="shared" si="25"/>
        <v>342380</v>
      </c>
    </row>
    <row r="16" spans="1:67" ht="20" customHeight="1">
      <c r="B16" s="80">
        <f t="shared" si="26"/>
        <v>45608</v>
      </c>
      <c r="C16" s="81"/>
      <c r="D16" s="52"/>
      <c r="E16" s="53">
        <v>42</v>
      </c>
      <c r="F16" s="54">
        <v>167860</v>
      </c>
      <c r="G16" s="55">
        <f t="shared" si="0"/>
        <v>3633.3333333333335</v>
      </c>
      <c r="H16" s="54">
        <v>35310</v>
      </c>
      <c r="I16" s="56">
        <f t="shared" si="27"/>
        <v>764.28571428571433</v>
      </c>
      <c r="J16" s="57">
        <f t="shared" si="1"/>
        <v>203170</v>
      </c>
      <c r="K16" s="58">
        <f t="shared" si="2"/>
        <v>4837.3809523809523</v>
      </c>
      <c r="L16" s="59"/>
      <c r="M16" s="60">
        <f t="shared" si="3"/>
        <v>15</v>
      </c>
      <c r="N16" s="61">
        <f t="shared" si="3"/>
        <v>111100</v>
      </c>
      <c r="O16" s="55">
        <f t="shared" si="4"/>
        <v>6733.333333333333</v>
      </c>
      <c r="P16" s="61">
        <f t="shared" si="5"/>
        <v>20320</v>
      </c>
      <c r="Q16" s="56">
        <f t="shared" si="6"/>
        <v>1231.4666666666667</v>
      </c>
      <c r="R16" s="62">
        <f t="shared" si="7"/>
        <v>131420</v>
      </c>
      <c r="S16" s="58">
        <f t="shared" si="8"/>
        <v>8761.3333333333339</v>
      </c>
      <c r="T16" s="82">
        <f t="shared" si="9"/>
        <v>57</v>
      </c>
      <c r="U16" s="61">
        <f t="shared" si="9"/>
        <v>278960</v>
      </c>
      <c r="V16" s="61">
        <f t="shared" si="10"/>
        <v>55630</v>
      </c>
      <c r="W16" s="64">
        <f t="shared" si="11"/>
        <v>334590</v>
      </c>
      <c r="X16" s="83"/>
      <c r="Y16" s="65"/>
      <c r="Z16" s="66">
        <v>6</v>
      </c>
      <c r="AA16" s="54">
        <v>2400</v>
      </c>
      <c r="AB16" s="55">
        <f t="shared" si="12"/>
        <v>400</v>
      </c>
      <c r="AC16" s="54">
        <v>1800</v>
      </c>
      <c r="AD16" s="56">
        <f t="shared" si="13"/>
        <v>300</v>
      </c>
      <c r="AE16" s="67">
        <f t="shared" si="14"/>
        <v>4200</v>
      </c>
      <c r="AF16" s="58">
        <f t="shared" si="15"/>
        <v>700</v>
      </c>
      <c r="AG16" s="68"/>
      <c r="AH16" s="66"/>
      <c r="AI16" s="54"/>
      <c r="AJ16" s="55" t="e">
        <f t="shared" si="16"/>
        <v>#DIV/0!</v>
      </c>
      <c r="AK16" s="54"/>
      <c r="AL16" s="56" t="e">
        <f t="shared" si="17"/>
        <v>#DIV/0!</v>
      </c>
      <c r="AM16" s="67">
        <f t="shared" si="28"/>
        <v>0</v>
      </c>
      <c r="AN16" s="69" t="str">
        <f t="shared" si="18"/>
        <v/>
      </c>
      <c r="AO16" s="70"/>
      <c r="AP16" s="66"/>
      <c r="AQ16" s="54"/>
      <c r="AR16" s="55" t="e">
        <f t="shared" si="19"/>
        <v>#DIV/0!</v>
      </c>
      <c r="AS16" s="54"/>
      <c r="AT16" s="56" t="e">
        <f t="shared" si="20"/>
        <v>#DIV/0!</v>
      </c>
      <c r="AU16" s="56"/>
      <c r="AV16" s="56"/>
      <c r="AW16" s="71">
        <f t="shared" si="31"/>
        <v>0</v>
      </c>
      <c r="AX16" s="69" t="str">
        <f t="shared" si="21"/>
        <v/>
      </c>
      <c r="AY16" s="84">
        <f t="shared" si="22"/>
        <v>57</v>
      </c>
      <c r="AZ16" s="61">
        <f t="shared" si="23"/>
        <v>281360</v>
      </c>
      <c r="BA16" s="61">
        <f t="shared" si="24"/>
        <v>57430</v>
      </c>
      <c r="BB16" s="73">
        <f t="shared" si="32"/>
        <v>338790</v>
      </c>
      <c r="BC16" s="74">
        <f t="shared" si="30"/>
        <v>0</v>
      </c>
      <c r="BD16" s="75">
        <v>57</v>
      </c>
      <c r="BE16" s="76">
        <v>278960</v>
      </c>
      <c r="BF16" s="76">
        <v>55630</v>
      </c>
      <c r="BG16" s="77"/>
      <c r="BH16" s="77"/>
      <c r="BI16" s="77"/>
      <c r="BJ16" s="77"/>
      <c r="BK16" s="78">
        <f t="shared" si="29"/>
        <v>334590</v>
      </c>
      <c r="BL16" s="49">
        <v>12</v>
      </c>
      <c r="BM16" s="79">
        <f t="shared" si="25"/>
        <v>334590</v>
      </c>
    </row>
    <row r="17" spans="2:67" ht="20" customHeight="1">
      <c r="B17" s="80">
        <f t="shared" si="26"/>
        <v>45609</v>
      </c>
      <c r="C17" s="86"/>
      <c r="D17" s="52"/>
      <c r="E17" s="53"/>
      <c r="F17" s="54"/>
      <c r="G17" s="55" t="e">
        <f t="shared" si="0"/>
        <v>#DIV/0!</v>
      </c>
      <c r="H17" s="54"/>
      <c r="I17" s="56" t="e">
        <f t="shared" si="27"/>
        <v>#DIV/0!</v>
      </c>
      <c r="J17" s="57">
        <f t="shared" si="1"/>
        <v>0</v>
      </c>
      <c r="K17" s="58" t="str">
        <f t="shared" si="2"/>
        <v/>
      </c>
      <c r="L17" s="59"/>
      <c r="M17" s="60">
        <f t="shared" si="3"/>
        <v>0</v>
      </c>
      <c r="N17" s="61">
        <f t="shared" si="3"/>
        <v>0</v>
      </c>
      <c r="O17" s="55" t="e">
        <f t="shared" si="4"/>
        <v>#DIV/0!</v>
      </c>
      <c r="P17" s="61">
        <f t="shared" si="5"/>
        <v>0</v>
      </c>
      <c r="Q17" s="56" t="e">
        <f t="shared" si="6"/>
        <v>#DIV/0!</v>
      </c>
      <c r="R17" s="62">
        <f t="shared" si="7"/>
        <v>0</v>
      </c>
      <c r="S17" s="58" t="e">
        <f t="shared" si="8"/>
        <v>#DIV/0!</v>
      </c>
      <c r="T17" s="82">
        <f>E17+M17</f>
        <v>0</v>
      </c>
      <c r="U17" s="61">
        <f t="shared" si="9"/>
        <v>0</v>
      </c>
      <c r="V17" s="61">
        <f t="shared" si="10"/>
        <v>0</v>
      </c>
      <c r="W17" s="64">
        <f t="shared" si="11"/>
        <v>0</v>
      </c>
      <c r="X17" s="83"/>
      <c r="Y17" s="65"/>
      <c r="Z17" s="66"/>
      <c r="AA17" s="54"/>
      <c r="AB17" s="55" t="e">
        <f t="shared" si="12"/>
        <v>#DIV/0!</v>
      </c>
      <c r="AC17" s="54"/>
      <c r="AD17" s="56" t="e">
        <f t="shared" si="13"/>
        <v>#DIV/0!</v>
      </c>
      <c r="AE17" s="67">
        <f t="shared" si="14"/>
        <v>0</v>
      </c>
      <c r="AF17" s="58" t="str">
        <f t="shared" si="15"/>
        <v/>
      </c>
      <c r="AG17" s="68"/>
      <c r="AH17" s="66"/>
      <c r="AI17" s="54"/>
      <c r="AJ17" s="55" t="e">
        <f t="shared" si="16"/>
        <v>#DIV/0!</v>
      </c>
      <c r="AK17" s="54"/>
      <c r="AL17" s="56" t="e">
        <f t="shared" si="17"/>
        <v>#DIV/0!</v>
      </c>
      <c r="AM17" s="67">
        <f t="shared" si="28"/>
        <v>0</v>
      </c>
      <c r="AN17" s="69" t="str">
        <f t="shared" si="18"/>
        <v/>
      </c>
      <c r="AO17" s="70"/>
      <c r="AP17" s="66"/>
      <c r="AQ17" s="54"/>
      <c r="AR17" s="55" t="e">
        <f t="shared" si="19"/>
        <v>#DIV/0!</v>
      </c>
      <c r="AS17" s="54"/>
      <c r="AT17" s="56" t="e">
        <f t="shared" si="20"/>
        <v>#DIV/0!</v>
      </c>
      <c r="AU17" s="56"/>
      <c r="AV17" s="56"/>
      <c r="AW17" s="71">
        <f>AQ17+AS17+AU17+AV17</f>
        <v>0</v>
      </c>
      <c r="AX17" s="69" t="str">
        <f t="shared" si="21"/>
        <v/>
      </c>
      <c r="AY17" s="84">
        <f t="shared" si="22"/>
        <v>0</v>
      </c>
      <c r="AZ17" s="61">
        <f t="shared" si="23"/>
        <v>0</v>
      </c>
      <c r="BA17" s="61">
        <f t="shared" si="24"/>
        <v>0</v>
      </c>
      <c r="BB17" s="73">
        <f t="shared" si="32"/>
        <v>0</v>
      </c>
      <c r="BC17" s="74">
        <f t="shared" si="30"/>
        <v>0</v>
      </c>
      <c r="BD17" s="75"/>
      <c r="BE17" s="76"/>
      <c r="BF17" s="76"/>
      <c r="BG17" s="77"/>
      <c r="BH17" s="77"/>
      <c r="BI17" s="77"/>
      <c r="BJ17" s="77"/>
      <c r="BK17" s="78">
        <f t="shared" si="29"/>
        <v>0</v>
      </c>
      <c r="BL17" s="49">
        <v>13</v>
      </c>
      <c r="BM17" s="79">
        <f t="shared" si="25"/>
        <v>0</v>
      </c>
    </row>
    <row r="18" spans="2:67" ht="20" customHeight="1">
      <c r="B18" s="80">
        <f t="shared" si="26"/>
        <v>45610</v>
      </c>
      <c r="C18" s="81"/>
      <c r="D18" s="52"/>
      <c r="E18" s="53">
        <v>27</v>
      </c>
      <c r="F18" s="54">
        <v>115390</v>
      </c>
      <c r="G18" s="55">
        <f t="shared" si="0"/>
        <v>3885.1851851851852</v>
      </c>
      <c r="H18" s="54">
        <v>11260</v>
      </c>
      <c r="I18" s="56">
        <f t="shared" si="27"/>
        <v>379.11111111111109</v>
      </c>
      <c r="J18" s="57">
        <f t="shared" si="1"/>
        <v>126650</v>
      </c>
      <c r="K18" s="58">
        <f t="shared" si="2"/>
        <v>4690.7407407407409</v>
      </c>
      <c r="L18" s="59"/>
      <c r="M18" s="60">
        <f t="shared" si="3"/>
        <v>24</v>
      </c>
      <c r="N18" s="61">
        <f t="shared" si="3"/>
        <v>145700</v>
      </c>
      <c r="O18" s="55">
        <f t="shared" si="4"/>
        <v>5518.916666666667</v>
      </c>
      <c r="P18" s="61">
        <f t="shared" si="5"/>
        <v>26750</v>
      </c>
      <c r="Q18" s="56">
        <f t="shared" si="6"/>
        <v>1013.25</v>
      </c>
      <c r="R18" s="62">
        <f t="shared" si="7"/>
        <v>172450</v>
      </c>
      <c r="S18" s="58">
        <f t="shared" si="8"/>
        <v>7185.416666666667</v>
      </c>
      <c r="T18" s="82">
        <f t="shared" si="9"/>
        <v>51</v>
      </c>
      <c r="U18" s="61">
        <f t="shared" si="9"/>
        <v>261090</v>
      </c>
      <c r="V18" s="61">
        <f t="shared" si="10"/>
        <v>38010</v>
      </c>
      <c r="W18" s="64">
        <f t="shared" si="11"/>
        <v>299100</v>
      </c>
      <c r="X18" s="83"/>
      <c r="Y18" s="65"/>
      <c r="Z18" s="66">
        <v>3</v>
      </c>
      <c r="AA18" s="54">
        <v>1650</v>
      </c>
      <c r="AB18" s="55">
        <f t="shared" si="12"/>
        <v>550</v>
      </c>
      <c r="AC18" s="54">
        <v>400</v>
      </c>
      <c r="AD18" s="56">
        <f t="shared" si="13"/>
        <v>133.33333333333334</v>
      </c>
      <c r="AE18" s="67">
        <f t="shared" si="14"/>
        <v>2050</v>
      </c>
      <c r="AF18" s="58">
        <f t="shared" si="15"/>
        <v>683.33333333333337</v>
      </c>
      <c r="AG18" s="68"/>
      <c r="AH18" s="66"/>
      <c r="AI18" s="54"/>
      <c r="AJ18" s="55" t="e">
        <f t="shared" si="16"/>
        <v>#DIV/0!</v>
      </c>
      <c r="AK18" s="54"/>
      <c r="AL18" s="56" t="e">
        <f t="shared" si="17"/>
        <v>#DIV/0!</v>
      </c>
      <c r="AM18" s="67">
        <f t="shared" si="28"/>
        <v>0</v>
      </c>
      <c r="AN18" s="69" t="str">
        <f t="shared" si="18"/>
        <v/>
      </c>
      <c r="AO18" s="70"/>
      <c r="AP18" s="66"/>
      <c r="AQ18" s="54"/>
      <c r="AR18" s="55" t="e">
        <f t="shared" si="19"/>
        <v>#DIV/0!</v>
      </c>
      <c r="AS18" s="54"/>
      <c r="AT18" s="56" t="e">
        <f t="shared" si="20"/>
        <v>#DIV/0!</v>
      </c>
      <c r="AU18" s="56"/>
      <c r="AV18" s="56"/>
      <c r="AW18" s="71">
        <f t="shared" ref="AW18:AW35" si="33">AQ18+AS18+AU18+AV18</f>
        <v>0</v>
      </c>
      <c r="AX18" s="69" t="str">
        <f t="shared" si="21"/>
        <v/>
      </c>
      <c r="AY18" s="84">
        <f t="shared" si="22"/>
        <v>51</v>
      </c>
      <c r="AZ18" s="61">
        <f t="shared" si="23"/>
        <v>262740</v>
      </c>
      <c r="BA18" s="61">
        <f t="shared" si="24"/>
        <v>38410</v>
      </c>
      <c r="BB18" s="73">
        <f>W18+AE18+AM18+AW18-BN18</f>
        <v>301150</v>
      </c>
      <c r="BC18" s="74">
        <f t="shared" si="30"/>
        <v>1100</v>
      </c>
      <c r="BD18" s="75">
        <v>51</v>
      </c>
      <c r="BE18" s="76">
        <v>261090</v>
      </c>
      <c r="BF18" s="76">
        <v>38010</v>
      </c>
      <c r="BG18" s="77">
        <v>1100</v>
      </c>
      <c r="BH18" s="77"/>
      <c r="BI18" s="77"/>
      <c r="BJ18" s="77"/>
      <c r="BK18" s="78">
        <f t="shared" si="29"/>
        <v>300200</v>
      </c>
      <c r="BL18" s="49">
        <v>14</v>
      </c>
      <c r="BM18" s="79">
        <f t="shared" si="25"/>
        <v>300200</v>
      </c>
    </row>
    <row r="19" spans="2:67" ht="20" customHeight="1">
      <c r="B19" s="80">
        <f t="shared" si="26"/>
        <v>45611</v>
      </c>
      <c r="C19" s="81"/>
      <c r="D19" s="52"/>
      <c r="E19" s="53">
        <v>25</v>
      </c>
      <c r="F19" s="54">
        <v>112530</v>
      </c>
      <c r="G19" s="55">
        <f t="shared" si="0"/>
        <v>4092</v>
      </c>
      <c r="H19" s="54">
        <v>17620</v>
      </c>
      <c r="I19" s="56">
        <f t="shared" si="27"/>
        <v>640.72</v>
      </c>
      <c r="J19" s="57">
        <f t="shared" si="1"/>
        <v>130150</v>
      </c>
      <c r="K19" s="58">
        <f t="shared" si="2"/>
        <v>5206</v>
      </c>
      <c r="L19" s="59"/>
      <c r="M19" s="60">
        <f t="shared" si="3"/>
        <v>24</v>
      </c>
      <c r="N19" s="61">
        <f t="shared" si="3"/>
        <v>183130</v>
      </c>
      <c r="O19" s="55">
        <f t="shared" si="4"/>
        <v>6936.708333333333</v>
      </c>
      <c r="P19" s="61">
        <f t="shared" si="5"/>
        <v>41440</v>
      </c>
      <c r="Q19" s="87">
        <f t="shared" si="6"/>
        <v>1569.6666666666667</v>
      </c>
      <c r="R19" s="62">
        <f t="shared" si="7"/>
        <v>224570</v>
      </c>
      <c r="S19" s="58">
        <f t="shared" si="8"/>
        <v>9357.0833333333339</v>
      </c>
      <c r="T19" s="82">
        <f t="shared" si="9"/>
        <v>49</v>
      </c>
      <c r="U19" s="61">
        <f t="shared" si="9"/>
        <v>295660</v>
      </c>
      <c r="V19" s="61">
        <f t="shared" si="10"/>
        <v>59060</v>
      </c>
      <c r="W19" s="64">
        <f t="shared" si="11"/>
        <v>354720</v>
      </c>
      <c r="X19" s="83"/>
      <c r="Y19" s="65"/>
      <c r="Z19" s="66">
        <v>15</v>
      </c>
      <c r="AA19" s="54">
        <v>6800</v>
      </c>
      <c r="AB19" s="55">
        <f t="shared" si="12"/>
        <v>453.33333333333331</v>
      </c>
      <c r="AC19" s="54">
        <v>13300</v>
      </c>
      <c r="AD19" s="56">
        <v>1700</v>
      </c>
      <c r="AE19" s="67">
        <f t="shared" si="14"/>
        <v>20100</v>
      </c>
      <c r="AF19" s="58">
        <f t="shared" si="15"/>
        <v>1340</v>
      </c>
      <c r="AG19" s="68"/>
      <c r="AH19" s="66">
        <v>78</v>
      </c>
      <c r="AI19" s="54">
        <v>277965</v>
      </c>
      <c r="AJ19" s="55">
        <f t="shared" si="16"/>
        <v>3563.6538461538462</v>
      </c>
      <c r="AK19" s="54">
        <v>150075</v>
      </c>
      <c r="AL19" s="56">
        <f t="shared" si="17"/>
        <v>1924.0384615384614</v>
      </c>
      <c r="AM19" s="67">
        <f t="shared" si="28"/>
        <v>428040</v>
      </c>
      <c r="AN19" s="69">
        <f t="shared" si="18"/>
        <v>5487.6923076923076</v>
      </c>
      <c r="AO19" s="70"/>
      <c r="AP19" s="66"/>
      <c r="AQ19" s="54"/>
      <c r="AR19" s="55" t="e">
        <f t="shared" si="19"/>
        <v>#DIV/0!</v>
      </c>
      <c r="AS19" s="54"/>
      <c r="AT19" s="56" t="e">
        <f t="shared" si="20"/>
        <v>#DIV/0!</v>
      </c>
      <c r="AU19" s="56"/>
      <c r="AV19" s="56"/>
      <c r="AW19" s="71">
        <f>AQ19+AS19+AU19+AV19-BN19</f>
        <v>0</v>
      </c>
      <c r="AX19" s="69" t="str">
        <f t="shared" si="21"/>
        <v/>
      </c>
      <c r="AY19" s="84">
        <f t="shared" si="22"/>
        <v>49</v>
      </c>
      <c r="AZ19" s="61">
        <f t="shared" si="23"/>
        <v>580425</v>
      </c>
      <c r="BA19" s="61">
        <f t="shared" si="24"/>
        <v>222435</v>
      </c>
      <c r="BB19" s="73">
        <f>W19+AE19+AM19+AW19-BN19</f>
        <v>802860</v>
      </c>
      <c r="BC19" s="74">
        <f t="shared" si="30"/>
        <v>2200</v>
      </c>
      <c r="BD19" s="75">
        <v>49</v>
      </c>
      <c r="BE19" s="76">
        <v>295660</v>
      </c>
      <c r="BF19" s="76">
        <v>59060</v>
      </c>
      <c r="BG19" s="77">
        <v>2200</v>
      </c>
      <c r="BH19" s="77"/>
      <c r="BI19" s="77"/>
      <c r="BJ19" s="77"/>
      <c r="BK19" s="78">
        <f t="shared" si="29"/>
        <v>356920</v>
      </c>
      <c r="BL19" s="49">
        <v>15</v>
      </c>
      <c r="BM19" s="79">
        <f t="shared" si="25"/>
        <v>356920</v>
      </c>
    </row>
    <row r="20" spans="2:67" ht="20" customHeight="1">
      <c r="B20" s="80">
        <f t="shared" si="26"/>
        <v>45612</v>
      </c>
      <c r="C20" s="81"/>
      <c r="D20" s="52"/>
      <c r="E20" s="53">
        <v>14</v>
      </c>
      <c r="F20" s="54">
        <v>75020</v>
      </c>
      <c r="G20" s="55">
        <f t="shared" si="0"/>
        <v>4871.4285714285716</v>
      </c>
      <c r="H20" s="54">
        <v>19850</v>
      </c>
      <c r="I20" s="56">
        <f t="shared" si="27"/>
        <v>1288.9285714285713</v>
      </c>
      <c r="J20" s="57">
        <f t="shared" si="1"/>
        <v>94870</v>
      </c>
      <c r="K20" s="58">
        <f t="shared" si="2"/>
        <v>6776.4285714285716</v>
      </c>
      <c r="L20" s="59"/>
      <c r="M20" s="60">
        <f t="shared" si="3"/>
        <v>20</v>
      </c>
      <c r="N20" s="61">
        <f t="shared" si="3"/>
        <v>174900</v>
      </c>
      <c r="O20" s="55">
        <f t="shared" si="4"/>
        <v>7950</v>
      </c>
      <c r="P20" s="61">
        <f t="shared" si="5"/>
        <v>36140</v>
      </c>
      <c r="Q20" s="87">
        <f t="shared" si="6"/>
        <v>1642.7</v>
      </c>
      <c r="R20" s="62">
        <f t="shared" si="7"/>
        <v>211040</v>
      </c>
      <c r="S20" s="58">
        <f t="shared" si="8"/>
        <v>10552</v>
      </c>
      <c r="T20" s="82">
        <f t="shared" si="9"/>
        <v>34</v>
      </c>
      <c r="U20" s="61">
        <f t="shared" si="9"/>
        <v>249920</v>
      </c>
      <c r="V20" s="61">
        <f t="shared" si="10"/>
        <v>55990</v>
      </c>
      <c r="W20" s="64">
        <f t="shared" si="11"/>
        <v>305910</v>
      </c>
      <c r="X20" s="83"/>
      <c r="Y20" s="65"/>
      <c r="Z20" s="66">
        <v>21</v>
      </c>
      <c r="AA20" s="54">
        <v>7850</v>
      </c>
      <c r="AB20" s="55">
        <f t="shared" si="12"/>
        <v>373.8095238095238</v>
      </c>
      <c r="AC20" s="54">
        <v>7250</v>
      </c>
      <c r="AD20" s="56">
        <f t="shared" si="13"/>
        <v>345.23809523809524</v>
      </c>
      <c r="AE20" s="67">
        <f t="shared" si="14"/>
        <v>15100</v>
      </c>
      <c r="AF20" s="58">
        <f t="shared" si="15"/>
        <v>719.04761904761904</v>
      </c>
      <c r="AG20" s="68"/>
      <c r="AH20" s="66"/>
      <c r="AI20" s="54"/>
      <c r="AJ20" s="55" t="e">
        <f t="shared" si="16"/>
        <v>#DIV/0!</v>
      </c>
      <c r="AK20" s="54"/>
      <c r="AL20" s="56" t="e">
        <f t="shared" si="17"/>
        <v>#DIV/0!</v>
      </c>
      <c r="AM20" s="67">
        <f t="shared" si="28"/>
        <v>0</v>
      </c>
      <c r="AN20" s="69" t="str">
        <f t="shared" si="18"/>
        <v/>
      </c>
      <c r="AO20" s="70"/>
      <c r="AP20" s="66"/>
      <c r="AQ20" s="54"/>
      <c r="AR20" s="55" t="e">
        <f t="shared" si="19"/>
        <v>#DIV/0!</v>
      </c>
      <c r="AS20" s="54"/>
      <c r="AT20" s="56" t="e">
        <f t="shared" si="20"/>
        <v>#DIV/0!</v>
      </c>
      <c r="AU20" s="56"/>
      <c r="AV20" s="56"/>
      <c r="AW20" s="71">
        <f t="shared" si="33"/>
        <v>0</v>
      </c>
      <c r="AX20" s="69" t="str">
        <f t="shared" si="21"/>
        <v/>
      </c>
      <c r="AY20" s="84">
        <f t="shared" si="22"/>
        <v>34</v>
      </c>
      <c r="AZ20" s="61">
        <f t="shared" si="23"/>
        <v>257770</v>
      </c>
      <c r="BA20" s="61">
        <f t="shared" si="24"/>
        <v>63240</v>
      </c>
      <c r="BB20" s="73">
        <f>W20+AE20+AM20+AW20</f>
        <v>321010</v>
      </c>
      <c r="BC20" s="74">
        <f t="shared" si="30"/>
        <v>6600</v>
      </c>
      <c r="BD20" s="75">
        <v>34</v>
      </c>
      <c r="BE20" s="76">
        <v>249920</v>
      </c>
      <c r="BF20" s="76">
        <v>55990</v>
      </c>
      <c r="BG20" s="77">
        <v>6600</v>
      </c>
      <c r="BH20" s="77"/>
      <c r="BI20" s="77">
        <v>3300</v>
      </c>
      <c r="BJ20" s="77"/>
      <c r="BK20" s="78">
        <f t="shared" si="29"/>
        <v>312510</v>
      </c>
      <c r="BL20" s="49">
        <v>16</v>
      </c>
      <c r="BM20" s="79">
        <f t="shared" si="25"/>
        <v>312510</v>
      </c>
    </row>
    <row r="21" spans="2:67" ht="20" customHeight="1">
      <c r="B21" s="80">
        <f t="shared" si="26"/>
        <v>45613</v>
      </c>
      <c r="C21" s="81"/>
      <c r="D21" s="52"/>
      <c r="E21" s="53">
        <v>14</v>
      </c>
      <c r="F21" s="54">
        <v>63580</v>
      </c>
      <c r="G21" s="55">
        <f>ROUNDDOWN(F21/1.1,0)/E21</f>
        <v>4128.5714285714284</v>
      </c>
      <c r="H21" s="54">
        <v>18920</v>
      </c>
      <c r="I21" s="56">
        <f t="shared" si="27"/>
        <v>1228.5714285714287</v>
      </c>
      <c r="J21" s="57">
        <f t="shared" si="1"/>
        <v>82500</v>
      </c>
      <c r="K21" s="58">
        <f t="shared" si="2"/>
        <v>5892.8571428571431</v>
      </c>
      <c r="L21" s="59"/>
      <c r="M21" s="60">
        <f t="shared" si="3"/>
        <v>19</v>
      </c>
      <c r="N21" s="61">
        <f t="shared" si="3"/>
        <v>120560</v>
      </c>
      <c r="O21" s="55">
        <f t="shared" si="4"/>
        <v>5768.4210526315792</v>
      </c>
      <c r="P21" s="61">
        <f t="shared" si="5"/>
        <v>40310</v>
      </c>
      <c r="Q21" s="87">
        <f t="shared" si="6"/>
        <v>1928.6842105263158</v>
      </c>
      <c r="R21" s="62">
        <f>N21+P21</f>
        <v>160870</v>
      </c>
      <c r="S21" s="58">
        <f t="shared" si="8"/>
        <v>8466.8421052631584</v>
      </c>
      <c r="T21" s="82">
        <f t="shared" si="9"/>
        <v>33</v>
      </c>
      <c r="U21" s="61">
        <f t="shared" si="9"/>
        <v>184140</v>
      </c>
      <c r="V21" s="61">
        <f t="shared" si="10"/>
        <v>59230</v>
      </c>
      <c r="W21" s="64">
        <f t="shared" si="11"/>
        <v>243370</v>
      </c>
      <c r="X21" s="83"/>
      <c r="Y21" s="65"/>
      <c r="Z21" s="66">
        <v>15</v>
      </c>
      <c r="AA21" s="54">
        <v>6750</v>
      </c>
      <c r="AB21" s="55">
        <f t="shared" si="12"/>
        <v>450</v>
      </c>
      <c r="AC21" s="54">
        <v>3500</v>
      </c>
      <c r="AD21" s="56">
        <f t="shared" si="13"/>
        <v>233.33333333333334</v>
      </c>
      <c r="AE21" s="67">
        <f t="shared" si="14"/>
        <v>10250</v>
      </c>
      <c r="AF21" s="58">
        <f t="shared" si="15"/>
        <v>683.33333333333337</v>
      </c>
      <c r="AG21" s="68"/>
      <c r="AH21" s="66"/>
      <c r="AI21" s="54"/>
      <c r="AJ21" s="55" t="e">
        <f t="shared" si="16"/>
        <v>#DIV/0!</v>
      </c>
      <c r="AK21" s="54"/>
      <c r="AL21" s="56" t="e">
        <f t="shared" si="17"/>
        <v>#DIV/0!</v>
      </c>
      <c r="AM21" s="67">
        <f t="shared" si="28"/>
        <v>0</v>
      </c>
      <c r="AN21" s="69" t="str">
        <f t="shared" si="18"/>
        <v/>
      </c>
      <c r="AO21" s="70"/>
      <c r="AP21" s="66"/>
      <c r="AQ21" s="54"/>
      <c r="AR21" s="55" t="e">
        <f t="shared" si="19"/>
        <v>#DIV/0!</v>
      </c>
      <c r="AS21" s="54"/>
      <c r="AT21" s="56" t="e">
        <f t="shared" si="20"/>
        <v>#DIV/0!</v>
      </c>
      <c r="AU21" s="56"/>
      <c r="AV21" s="56"/>
      <c r="AW21" s="71">
        <f t="shared" si="33"/>
        <v>0</v>
      </c>
      <c r="AX21" s="69" t="str">
        <f t="shared" si="21"/>
        <v/>
      </c>
      <c r="AY21" s="84">
        <f t="shared" si="22"/>
        <v>33</v>
      </c>
      <c r="AZ21" s="61">
        <f t="shared" si="23"/>
        <v>190890</v>
      </c>
      <c r="BA21" s="61">
        <f t="shared" si="24"/>
        <v>62730</v>
      </c>
      <c r="BB21" s="73">
        <f>W21+AE21+AM21+AW21</f>
        <v>253620</v>
      </c>
      <c r="BC21" s="74">
        <f t="shared" si="30"/>
        <v>0</v>
      </c>
      <c r="BD21" s="75">
        <v>33</v>
      </c>
      <c r="BE21" s="76">
        <v>184140</v>
      </c>
      <c r="BF21" s="76">
        <v>59230</v>
      </c>
      <c r="BG21" s="77"/>
      <c r="BH21" s="77"/>
      <c r="BI21" s="77"/>
      <c r="BJ21" s="77"/>
      <c r="BK21" s="78">
        <f t="shared" si="29"/>
        <v>243370</v>
      </c>
      <c r="BL21" s="49">
        <v>17</v>
      </c>
      <c r="BM21" s="79">
        <f t="shared" si="25"/>
        <v>243370</v>
      </c>
    </row>
    <row r="22" spans="2:67" ht="20" customHeight="1">
      <c r="B22" s="80">
        <f t="shared" si="26"/>
        <v>45614</v>
      </c>
      <c r="C22" s="81"/>
      <c r="D22" s="52"/>
      <c r="E22" s="53">
        <v>13</v>
      </c>
      <c r="F22" s="54">
        <v>45430</v>
      </c>
      <c r="G22" s="55">
        <f t="shared" si="0"/>
        <v>3176.9230769230771</v>
      </c>
      <c r="H22" s="54">
        <v>14070</v>
      </c>
      <c r="I22" s="56">
        <f t="shared" si="27"/>
        <v>983.84615384615381</v>
      </c>
      <c r="J22" s="57">
        <f t="shared" si="1"/>
        <v>59500</v>
      </c>
      <c r="K22" s="58">
        <f t="shared" si="2"/>
        <v>4576.9230769230771</v>
      </c>
      <c r="L22" s="59"/>
      <c r="M22" s="60">
        <f t="shared" si="3"/>
        <v>17</v>
      </c>
      <c r="N22" s="61">
        <f t="shared" si="3"/>
        <v>164230</v>
      </c>
      <c r="O22" s="55">
        <f t="shared" si="4"/>
        <v>8782.3529411764703</v>
      </c>
      <c r="P22" s="61">
        <f t="shared" si="5"/>
        <v>64100</v>
      </c>
      <c r="Q22" s="87">
        <f t="shared" si="6"/>
        <v>3427.7647058823532</v>
      </c>
      <c r="R22" s="62">
        <f t="shared" si="7"/>
        <v>228330</v>
      </c>
      <c r="S22" s="58">
        <f t="shared" si="8"/>
        <v>13431.176470588236</v>
      </c>
      <c r="T22" s="82">
        <f t="shared" si="9"/>
        <v>30</v>
      </c>
      <c r="U22" s="61">
        <f t="shared" si="9"/>
        <v>209660</v>
      </c>
      <c r="V22" s="61">
        <f t="shared" si="10"/>
        <v>78170</v>
      </c>
      <c r="W22" s="64">
        <f t="shared" si="11"/>
        <v>287830</v>
      </c>
      <c r="X22" s="83"/>
      <c r="Y22" s="65"/>
      <c r="Z22" s="66">
        <v>25</v>
      </c>
      <c r="AA22" s="54">
        <v>10600</v>
      </c>
      <c r="AB22" s="55">
        <f t="shared" si="12"/>
        <v>424</v>
      </c>
      <c r="AC22" s="54">
        <v>3550</v>
      </c>
      <c r="AD22" s="56">
        <f t="shared" si="13"/>
        <v>142</v>
      </c>
      <c r="AE22" s="67">
        <f t="shared" si="14"/>
        <v>14150</v>
      </c>
      <c r="AF22" s="58">
        <f t="shared" si="15"/>
        <v>566</v>
      </c>
      <c r="AG22" s="68"/>
      <c r="AH22" s="66"/>
      <c r="AI22" s="54"/>
      <c r="AJ22" s="55" t="e">
        <f t="shared" si="16"/>
        <v>#DIV/0!</v>
      </c>
      <c r="AK22" s="54"/>
      <c r="AL22" s="56" t="e">
        <f t="shared" si="17"/>
        <v>#DIV/0!</v>
      </c>
      <c r="AM22" s="67">
        <f t="shared" si="28"/>
        <v>0</v>
      </c>
      <c r="AN22" s="69" t="str">
        <f t="shared" si="18"/>
        <v/>
      </c>
      <c r="AO22" s="70"/>
      <c r="AP22" s="66"/>
      <c r="AQ22" s="54"/>
      <c r="AR22" s="55" t="e">
        <f t="shared" si="19"/>
        <v>#DIV/0!</v>
      </c>
      <c r="AS22" s="54"/>
      <c r="AT22" s="56" t="e">
        <f t="shared" si="20"/>
        <v>#DIV/0!</v>
      </c>
      <c r="AU22" s="56"/>
      <c r="AV22" s="56"/>
      <c r="AW22" s="71">
        <f t="shared" si="33"/>
        <v>0</v>
      </c>
      <c r="AX22" s="69" t="str">
        <f t="shared" si="21"/>
        <v/>
      </c>
      <c r="AY22" s="84">
        <f t="shared" si="22"/>
        <v>30</v>
      </c>
      <c r="AZ22" s="61">
        <f t="shared" si="23"/>
        <v>220260</v>
      </c>
      <c r="BA22" s="61">
        <f t="shared" si="24"/>
        <v>81720</v>
      </c>
      <c r="BB22" s="73">
        <f t="shared" si="32"/>
        <v>301980</v>
      </c>
      <c r="BC22" s="74">
        <f t="shared" si="30"/>
        <v>4400</v>
      </c>
      <c r="BD22" s="75">
        <v>30</v>
      </c>
      <c r="BE22" s="76">
        <v>209660</v>
      </c>
      <c r="BF22" s="76">
        <v>78170</v>
      </c>
      <c r="BG22" s="77">
        <v>4400</v>
      </c>
      <c r="BH22" s="77"/>
      <c r="BI22" s="77"/>
      <c r="BJ22" s="77"/>
      <c r="BK22" s="78">
        <f t="shared" si="29"/>
        <v>292230</v>
      </c>
      <c r="BL22" s="49">
        <v>18</v>
      </c>
      <c r="BM22" s="79">
        <f t="shared" si="25"/>
        <v>292230</v>
      </c>
      <c r="BO22" s="85"/>
    </row>
    <row r="23" spans="2:67" ht="20" customHeight="1">
      <c r="B23" s="80">
        <f t="shared" si="26"/>
        <v>45615</v>
      </c>
      <c r="C23" s="81"/>
      <c r="D23" s="52"/>
      <c r="E23" s="53">
        <v>26</v>
      </c>
      <c r="F23" s="54">
        <v>92840</v>
      </c>
      <c r="G23" s="55">
        <f t="shared" si="0"/>
        <v>3246.1538461538462</v>
      </c>
      <c r="H23" s="54">
        <v>8350</v>
      </c>
      <c r="I23" s="56">
        <f t="shared" si="27"/>
        <v>291.92307692307691</v>
      </c>
      <c r="J23" s="57">
        <f t="shared" si="1"/>
        <v>101190</v>
      </c>
      <c r="K23" s="58">
        <f t="shared" si="2"/>
        <v>3891.9230769230771</v>
      </c>
      <c r="L23" s="59"/>
      <c r="M23" s="60">
        <f t="shared" si="3"/>
        <v>9</v>
      </c>
      <c r="N23" s="61">
        <f t="shared" si="3"/>
        <v>100100</v>
      </c>
      <c r="O23" s="55">
        <f t="shared" si="4"/>
        <v>10111.111111111111</v>
      </c>
      <c r="P23" s="61">
        <f t="shared" si="5"/>
        <v>21430</v>
      </c>
      <c r="Q23" s="87">
        <f t="shared" si="6"/>
        <v>2164.5555555555557</v>
      </c>
      <c r="R23" s="62">
        <f t="shared" si="7"/>
        <v>121530</v>
      </c>
      <c r="S23" s="58">
        <f t="shared" si="8"/>
        <v>13503.333333333334</v>
      </c>
      <c r="T23" s="82">
        <f t="shared" si="9"/>
        <v>35</v>
      </c>
      <c r="U23" s="61">
        <f t="shared" si="9"/>
        <v>192940</v>
      </c>
      <c r="V23" s="61">
        <f t="shared" si="10"/>
        <v>29780</v>
      </c>
      <c r="W23" s="64">
        <f t="shared" si="11"/>
        <v>222720</v>
      </c>
      <c r="X23" s="83"/>
      <c r="Y23" s="65"/>
      <c r="Z23" s="66">
        <v>6</v>
      </c>
      <c r="AA23" s="54">
        <v>2700</v>
      </c>
      <c r="AB23" s="55">
        <f t="shared" si="12"/>
        <v>450</v>
      </c>
      <c r="AC23" s="54">
        <v>0</v>
      </c>
      <c r="AD23" s="56">
        <f t="shared" si="13"/>
        <v>0</v>
      </c>
      <c r="AE23" s="67">
        <f t="shared" si="14"/>
        <v>2700</v>
      </c>
      <c r="AF23" s="58">
        <f t="shared" si="15"/>
        <v>450</v>
      </c>
      <c r="AG23" s="68"/>
      <c r="AH23" s="66">
        <v>15</v>
      </c>
      <c r="AI23" s="54">
        <v>58725</v>
      </c>
      <c r="AJ23" s="55">
        <f t="shared" si="16"/>
        <v>3915</v>
      </c>
      <c r="AK23" s="54">
        <v>19575</v>
      </c>
      <c r="AL23" s="56">
        <f t="shared" si="17"/>
        <v>1305</v>
      </c>
      <c r="AM23" s="67">
        <f t="shared" si="28"/>
        <v>78300</v>
      </c>
      <c r="AN23" s="69">
        <f t="shared" si="18"/>
        <v>5220</v>
      </c>
      <c r="AO23" s="70"/>
      <c r="AP23" s="66"/>
      <c r="AQ23" s="54"/>
      <c r="AR23" s="55" t="e">
        <f t="shared" si="19"/>
        <v>#DIV/0!</v>
      </c>
      <c r="AS23" s="54"/>
      <c r="AT23" s="56" t="e">
        <f t="shared" si="20"/>
        <v>#DIV/0!</v>
      </c>
      <c r="AU23" s="56"/>
      <c r="AV23" s="56"/>
      <c r="AW23" s="71">
        <f t="shared" si="33"/>
        <v>0</v>
      </c>
      <c r="AX23" s="69" t="str">
        <f>IF(AP23="","",AW23/AP23)</f>
        <v/>
      </c>
      <c r="AY23" s="84">
        <f t="shared" si="22"/>
        <v>35</v>
      </c>
      <c r="AZ23" s="61">
        <f t="shared" si="23"/>
        <v>254365</v>
      </c>
      <c r="BA23" s="61">
        <f t="shared" si="24"/>
        <v>49355</v>
      </c>
      <c r="BB23" s="73">
        <f>W23+AE23+AM23+AW23-BN22</f>
        <v>303720</v>
      </c>
      <c r="BC23" s="74">
        <f t="shared" si="30"/>
        <v>0</v>
      </c>
      <c r="BD23" s="75">
        <v>35</v>
      </c>
      <c r="BE23" s="76">
        <v>192940</v>
      </c>
      <c r="BF23" s="76">
        <v>29780</v>
      </c>
      <c r="BG23" s="77"/>
      <c r="BH23" s="77"/>
      <c r="BI23" s="77"/>
      <c r="BJ23" s="77"/>
      <c r="BK23" s="78">
        <f>SUM(BE23:BH23)</f>
        <v>222720</v>
      </c>
      <c r="BL23" s="49">
        <v>19</v>
      </c>
      <c r="BM23" s="79">
        <f t="shared" si="25"/>
        <v>222720</v>
      </c>
    </row>
    <row r="24" spans="2:67" ht="20" customHeight="1">
      <c r="B24" s="80">
        <f t="shared" si="26"/>
        <v>45616</v>
      </c>
      <c r="C24" s="81"/>
      <c r="D24" s="52"/>
      <c r="E24" s="53">
        <v>25</v>
      </c>
      <c r="F24" s="54">
        <v>93940</v>
      </c>
      <c r="G24" s="55">
        <f t="shared" si="0"/>
        <v>3416</v>
      </c>
      <c r="H24" s="54">
        <v>13640</v>
      </c>
      <c r="I24" s="56">
        <f t="shared" si="27"/>
        <v>496</v>
      </c>
      <c r="J24" s="57">
        <f t="shared" si="1"/>
        <v>107580</v>
      </c>
      <c r="K24" s="58">
        <f t="shared" si="2"/>
        <v>4303.2</v>
      </c>
      <c r="L24" s="59"/>
      <c r="M24" s="60">
        <f t="shared" si="3"/>
        <v>3</v>
      </c>
      <c r="N24" s="61">
        <f t="shared" si="3"/>
        <v>26400</v>
      </c>
      <c r="O24" s="55">
        <f t="shared" si="4"/>
        <v>8000</v>
      </c>
      <c r="P24" s="61">
        <f t="shared" si="5"/>
        <v>7860</v>
      </c>
      <c r="Q24" s="87">
        <f t="shared" si="6"/>
        <v>2381.6666666666665</v>
      </c>
      <c r="R24" s="62">
        <f t="shared" si="7"/>
        <v>34260</v>
      </c>
      <c r="S24" s="58">
        <f t="shared" si="8"/>
        <v>11420</v>
      </c>
      <c r="T24" s="82">
        <f t="shared" si="9"/>
        <v>28</v>
      </c>
      <c r="U24" s="61">
        <f t="shared" si="9"/>
        <v>120340</v>
      </c>
      <c r="V24" s="61">
        <f t="shared" si="10"/>
        <v>21500</v>
      </c>
      <c r="W24" s="64">
        <f t="shared" si="11"/>
        <v>141840</v>
      </c>
      <c r="X24" s="83"/>
      <c r="Y24" s="65"/>
      <c r="Z24" s="66">
        <v>0</v>
      </c>
      <c r="AA24" s="54">
        <v>0</v>
      </c>
      <c r="AB24" s="55" t="e">
        <f t="shared" si="12"/>
        <v>#DIV/0!</v>
      </c>
      <c r="AC24" s="54">
        <v>0</v>
      </c>
      <c r="AD24" s="56" t="e">
        <f t="shared" si="13"/>
        <v>#DIV/0!</v>
      </c>
      <c r="AE24" s="67">
        <f t="shared" si="14"/>
        <v>0</v>
      </c>
      <c r="AF24" s="58" t="e">
        <f t="shared" si="15"/>
        <v>#DIV/0!</v>
      </c>
      <c r="AG24" s="68"/>
      <c r="AH24" s="66">
        <v>78</v>
      </c>
      <c r="AI24" s="54">
        <v>611610</v>
      </c>
      <c r="AJ24" s="55">
        <f t="shared" si="16"/>
        <v>7841.1538461538457</v>
      </c>
      <c r="AK24" s="54">
        <v>150510</v>
      </c>
      <c r="AL24" s="56">
        <f t="shared" si="17"/>
        <v>1929.6153846153845</v>
      </c>
      <c r="AM24" s="67">
        <f t="shared" si="28"/>
        <v>762120</v>
      </c>
      <c r="AN24" s="69">
        <f t="shared" si="18"/>
        <v>9770.7692307692305</v>
      </c>
      <c r="AO24" s="70"/>
      <c r="AP24" s="66"/>
      <c r="AQ24" s="54"/>
      <c r="AR24" s="55" t="e">
        <f t="shared" si="19"/>
        <v>#DIV/0!</v>
      </c>
      <c r="AS24" s="54"/>
      <c r="AT24" s="56" t="e">
        <f t="shared" si="20"/>
        <v>#DIV/0!</v>
      </c>
      <c r="AU24" s="56"/>
      <c r="AV24" s="56"/>
      <c r="AW24" s="88">
        <f t="shared" si="33"/>
        <v>0</v>
      </c>
      <c r="AX24" s="69" t="str">
        <f t="shared" si="21"/>
        <v/>
      </c>
      <c r="AY24" s="84">
        <f t="shared" si="22"/>
        <v>28</v>
      </c>
      <c r="AZ24" s="61">
        <f t="shared" si="23"/>
        <v>731950</v>
      </c>
      <c r="BA24" s="61">
        <f t="shared" si="24"/>
        <v>172010</v>
      </c>
      <c r="BB24" s="73">
        <f>W24+AE24+AM24+AW24-BN24</f>
        <v>903960</v>
      </c>
      <c r="BC24" s="74">
        <f t="shared" si="30"/>
        <v>0</v>
      </c>
      <c r="BD24" s="75">
        <v>28</v>
      </c>
      <c r="BE24" s="76">
        <v>120340</v>
      </c>
      <c r="BF24" s="76">
        <v>21500</v>
      </c>
      <c r="BG24" s="77"/>
      <c r="BH24" s="77"/>
      <c r="BI24" s="77"/>
      <c r="BJ24" s="77"/>
      <c r="BK24" s="78">
        <f t="shared" si="29"/>
        <v>141840</v>
      </c>
      <c r="BL24" s="49">
        <v>20</v>
      </c>
      <c r="BM24" s="79">
        <f t="shared" si="25"/>
        <v>141840</v>
      </c>
    </row>
    <row r="25" spans="2:67" ht="20" customHeight="1">
      <c r="B25" s="80">
        <f t="shared" si="26"/>
        <v>45617</v>
      </c>
      <c r="C25" s="81"/>
      <c r="D25" s="52"/>
      <c r="E25" s="53">
        <v>25</v>
      </c>
      <c r="F25" s="54">
        <v>81840</v>
      </c>
      <c r="G25" s="55">
        <f t="shared" si="0"/>
        <v>2976</v>
      </c>
      <c r="H25" s="54">
        <v>11640</v>
      </c>
      <c r="I25" s="56">
        <f t="shared" si="27"/>
        <v>423.24</v>
      </c>
      <c r="J25" s="57">
        <f t="shared" si="1"/>
        <v>93480</v>
      </c>
      <c r="K25" s="58">
        <f t="shared" si="2"/>
        <v>3739.2</v>
      </c>
      <c r="L25" s="59"/>
      <c r="M25" s="60">
        <f t="shared" si="3"/>
        <v>27</v>
      </c>
      <c r="N25" s="61">
        <f t="shared" si="3"/>
        <v>140000</v>
      </c>
      <c r="O25" s="55">
        <f t="shared" si="4"/>
        <v>4713.7777777777774</v>
      </c>
      <c r="P25" s="61">
        <f t="shared" si="5"/>
        <v>28000</v>
      </c>
      <c r="Q25" s="87">
        <f t="shared" si="6"/>
        <v>942.74074074074076</v>
      </c>
      <c r="R25" s="62">
        <f t="shared" si="7"/>
        <v>168000</v>
      </c>
      <c r="S25" s="58">
        <f t="shared" si="8"/>
        <v>6222.2222222222226</v>
      </c>
      <c r="T25" s="82">
        <f t="shared" si="9"/>
        <v>52</v>
      </c>
      <c r="U25" s="61">
        <f t="shared" si="9"/>
        <v>221840</v>
      </c>
      <c r="V25" s="61">
        <f t="shared" si="10"/>
        <v>39640</v>
      </c>
      <c r="W25" s="64">
        <f t="shared" si="11"/>
        <v>261480</v>
      </c>
      <c r="X25" s="83"/>
      <c r="Y25" s="65"/>
      <c r="Z25" s="66">
        <v>15</v>
      </c>
      <c r="AA25" s="54">
        <v>6050</v>
      </c>
      <c r="AB25" s="55">
        <f t="shared" si="12"/>
        <v>403.33333333333331</v>
      </c>
      <c r="AC25" s="54">
        <v>2300</v>
      </c>
      <c r="AD25" s="56">
        <f t="shared" si="13"/>
        <v>153.33333333333334</v>
      </c>
      <c r="AE25" s="67">
        <f t="shared" si="14"/>
        <v>8350</v>
      </c>
      <c r="AF25" s="58">
        <f t="shared" si="15"/>
        <v>556.66666666666663</v>
      </c>
      <c r="AG25" s="68"/>
      <c r="AH25" s="66"/>
      <c r="AI25" s="54"/>
      <c r="AJ25" s="55" t="e">
        <f t="shared" si="16"/>
        <v>#DIV/0!</v>
      </c>
      <c r="AK25" s="54"/>
      <c r="AL25" s="56" t="e">
        <f t="shared" si="17"/>
        <v>#DIV/0!</v>
      </c>
      <c r="AM25" s="67">
        <f t="shared" si="28"/>
        <v>0</v>
      </c>
      <c r="AN25" s="69" t="str">
        <f t="shared" si="18"/>
        <v/>
      </c>
      <c r="AO25" s="70"/>
      <c r="AP25" s="66"/>
      <c r="AQ25" s="54"/>
      <c r="AR25" s="55" t="e">
        <f t="shared" si="19"/>
        <v>#DIV/0!</v>
      </c>
      <c r="AS25" s="54"/>
      <c r="AT25" s="56" t="e">
        <f t="shared" si="20"/>
        <v>#DIV/0!</v>
      </c>
      <c r="AU25" s="56"/>
      <c r="AV25" s="56"/>
      <c r="AW25" s="71">
        <f t="shared" si="33"/>
        <v>0</v>
      </c>
      <c r="AX25" s="69" t="str">
        <f t="shared" si="21"/>
        <v/>
      </c>
      <c r="AY25" s="84">
        <f t="shared" si="22"/>
        <v>52</v>
      </c>
      <c r="AZ25" s="61">
        <f t="shared" si="23"/>
        <v>227890</v>
      </c>
      <c r="BA25" s="61">
        <f t="shared" si="24"/>
        <v>41940</v>
      </c>
      <c r="BB25" s="73">
        <f>W25+AE25+AM25+AW25-BN25</f>
        <v>269830</v>
      </c>
      <c r="BC25" s="74">
        <f t="shared" si="30"/>
        <v>0</v>
      </c>
      <c r="BD25" s="75">
        <v>52</v>
      </c>
      <c r="BE25" s="76">
        <v>221840</v>
      </c>
      <c r="BF25" s="76">
        <v>39640</v>
      </c>
      <c r="BG25" s="77"/>
      <c r="BH25" s="77"/>
      <c r="BI25" s="77"/>
      <c r="BJ25" s="77"/>
      <c r="BK25" s="78">
        <f t="shared" si="29"/>
        <v>261480</v>
      </c>
      <c r="BL25" s="49">
        <v>21</v>
      </c>
      <c r="BM25" s="79">
        <f t="shared" si="25"/>
        <v>261480</v>
      </c>
    </row>
    <row r="26" spans="2:67" ht="20" customHeight="1">
      <c r="B26" s="80">
        <f t="shared" si="26"/>
        <v>45618</v>
      </c>
      <c r="C26" s="81"/>
      <c r="D26" s="52"/>
      <c r="E26" s="53">
        <v>12</v>
      </c>
      <c r="F26" s="54">
        <v>42240</v>
      </c>
      <c r="G26" s="55">
        <f t="shared" si="0"/>
        <v>3200</v>
      </c>
      <c r="H26" s="54">
        <v>8730</v>
      </c>
      <c r="I26" s="56">
        <f t="shared" si="27"/>
        <v>661.33333333333337</v>
      </c>
      <c r="J26" s="57">
        <f t="shared" si="1"/>
        <v>50970</v>
      </c>
      <c r="K26" s="58">
        <f t="shared" si="2"/>
        <v>4247.5</v>
      </c>
      <c r="L26" s="59"/>
      <c r="M26" s="60">
        <f t="shared" si="3"/>
        <v>24</v>
      </c>
      <c r="N26" s="61">
        <f t="shared" si="3"/>
        <v>396000</v>
      </c>
      <c r="O26" s="55">
        <f t="shared" si="4"/>
        <v>15000</v>
      </c>
      <c r="P26" s="61">
        <f t="shared" si="5"/>
        <v>81450</v>
      </c>
      <c r="Q26" s="87">
        <f t="shared" si="6"/>
        <v>3085.2083333333335</v>
      </c>
      <c r="R26" s="62">
        <f t="shared" si="7"/>
        <v>477450</v>
      </c>
      <c r="S26" s="58">
        <f t="shared" si="8"/>
        <v>19893.75</v>
      </c>
      <c r="T26" s="82">
        <f t="shared" si="9"/>
        <v>36</v>
      </c>
      <c r="U26" s="61">
        <f t="shared" si="9"/>
        <v>438240</v>
      </c>
      <c r="V26" s="61">
        <f t="shared" si="10"/>
        <v>90180</v>
      </c>
      <c r="W26" s="64">
        <f t="shared" si="11"/>
        <v>528420</v>
      </c>
      <c r="X26" s="83"/>
      <c r="Y26" s="65"/>
      <c r="Z26" s="66">
        <v>4</v>
      </c>
      <c r="AA26" s="54">
        <v>2300</v>
      </c>
      <c r="AB26" s="55">
        <f t="shared" si="12"/>
        <v>575</v>
      </c>
      <c r="AC26" s="54"/>
      <c r="AD26" s="56">
        <f t="shared" si="13"/>
        <v>0</v>
      </c>
      <c r="AE26" s="67">
        <f t="shared" si="14"/>
        <v>2300</v>
      </c>
      <c r="AF26" s="58">
        <f t="shared" si="15"/>
        <v>575</v>
      </c>
      <c r="AG26" s="68"/>
      <c r="AH26" s="66"/>
      <c r="AI26" s="54"/>
      <c r="AJ26" s="55" t="e">
        <f t="shared" si="16"/>
        <v>#DIV/0!</v>
      </c>
      <c r="AK26" s="54"/>
      <c r="AL26" s="56" t="e">
        <f t="shared" si="17"/>
        <v>#DIV/0!</v>
      </c>
      <c r="AM26" s="67">
        <f t="shared" si="28"/>
        <v>0</v>
      </c>
      <c r="AN26" s="69" t="str">
        <f t="shared" si="18"/>
        <v/>
      </c>
      <c r="AO26" s="70"/>
      <c r="AP26" s="66"/>
      <c r="AQ26" s="54"/>
      <c r="AR26" s="55" t="e">
        <f t="shared" si="19"/>
        <v>#DIV/0!</v>
      </c>
      <c r="AS26" s="54"/>
      <c r="AT26" s="56" t="e">
        <f t="shared" si="20"/>
        <v>#DIV/0!</v>
      </c>
      <c r="AU26" s="56"/>
      <c r="AV26" s="56"/>
      <c r="AW26" s="71">
        <f t="shared" si="33"/>
        <v>0</v>
      </c>
      <c r="AX26" s="69" t="str">
        <f t="shared" si="21"/>
        <v/>
      </c>
      <c r="AY26" s="84">
        <f t="shared" si="22"/>
        <v>36</v>
      </c>
      <c r="AZ26" s="61">
        <f t="shared" si="23"/>
        <v>440540</v>
      </c>
      <c r="BA26" s="61">
        <f t="shared" si="24"/>
        <v>90180</v>
      </c>
      <c r="BB26" s="73">
        <f>W26+AE26+AM26+AW26-BN26</f>
        <v>522800</v>
      </c>
      <c r="BC26" s="74">
        <f>BG26+BH26</f>
        <v>0</v>
      </c>
      <c r="BD26" s="75">
        <v>36</v>
      </c>
      <c r="BE26" s="76">
        <v>438240</v>
      </c>
      <c r="BF26" s="76">
        <v>90180</v>
      </c>
      <c r="BG26" s="77"/>
      <c r="BH26" s="77"/>
      <c r="BI26" s="77">
        <v>3300</v>
      </c>
      <c r="BJ26" s="77"/>
      <c r="BK26" s="78">
        <f t="shared" si="29"/>
        <v>528420</v>
      </c>
      <c r="BL26" s="49">
        <v>22</v>
      </c>
      <c r="BM26" s="79">
        <f t="shared" si="25"/>
        <v>528420</v>
      </c>
      <c r="BN26" s="49">
        <v>7920</v>
      </c>
    </row>
    <row r="27" spans="2:67" ht="20" customHeight="1">
      <c r="B27" s="80">
        <f t="shared" si="26"/>
        <v>45619</v>
      </c>
      <c r="C27" s="81"/>
      <c r="D27" s="52"/>
      <c r="E27" s="53">
        <v>28</v>
      </c>
      <c r="F27" s="54">
        <v>139480</v>
      </c>
      <c r="G27" s="55">
        <f t="shared" si="0"/>
        <v>4528.5714285714284</v>
      </c>
      <c r="H27" s="54">
        <v>29080</v>
      </c>
      <c r="I27" s="56">
        <f t="shared" si="27"/>
        <v>944.14285714285711</v>
      </c>
      <c r="J27" s="57">
        <f t="shared" si="1"/>
        <v>168560</v>
      </c>
      <c r="K27" s="58">
        <f t="shared" si="2"/>
        <v>6020</v>
      </c>
      <c r="L27" s="59"/>
      <c r="M27" s="60">
        <f t="shared" si="3"/>
        <v>29</v>
      </c>
      <c r="N27" s="61">
        <f t="shared" si="3"/>
        <v>294690</v>
      </c>
      <c r="O27" s="55">
        <f t="shared" si="4"/>
        <v>9237.9310344827591</v>
      </c>
      <c r="P27" s="61">
        <f t="shared" si="5"/>
        <v>62210</v>
      </c>
      <c r="Q27" s="56">
        <f t="shared" si="6"/>
        <v>1950.1379310344828</v>
      </c>
      <c r="R27" s="62">
        <f t="shared" si="7"/>
        <v>356900</v>
      </c>
      <c r="S27" s="58">
        <f t="shared" si="8"/>
        <v>12306.896551724138</v>
      </c>
      <c r="T27" s="82">
        <f t="shared" si="9"/>
        <v>57</v>
      </c>
      <c r="U27" s="61">
        <f t="shared" si="9"/>
        <v>434170</v>
      </c>
      <c r="V27" s="61">
        <f t="shared" si="10"/>
        <v>91290</v>
      </c>
      <c r="W27" s="64">
        <f t="shared" si="11"/>
        <v>525460</v>
      </c>
      <c r="X27" s="83"/>
      <c r="Y27" s="65"/>
      <c r="Z27" s="66">
        <v>15</v>
      </c>
      <c r="AA27" s="54">
        <v>6750</v>
      </c>
      <c r="AB27" s="55">
        <f t="shared" si="12"/>
        <v>450</v>
      </c>
      <c r="AC27" s="54">
        <v>9200</v>
      </c>
      <c r="AD27" s="56">
        <f t="shared" si="13"/>
        <v>613.33333333333337</v>
      </c>
      <c r="AE27" s="67">
        <f t="shared" si="14"/>
        <v>15950</v>
      </c>
      <c r="AF27" s="58">
        <f t="shared" si="15"/>
        <v>1063.3333333333333</v>
      </c>
      <c r="AG27" s="68"/>
      <c r="AH27" s="66"/>
      <c r="AI27" s="54"/>
      <c r="AJ27" s="55" t="e">
        <f t="shared" si="16"/>
        <v>#DIV/0!</v>
      </c>
      <c r="AK27" s="54"/>
      <c r="AL27" s="56" t="e">
        <f t="shared" si="17"/>
        <v>#DIV/0!</v>
      </c>
      <c r="AM27" s="67">
        <f t="shared" si="28"/>
        <v>0</v>
      </c>
      <c r="AN27" s="69" t="str">
        <f t="shared" si="18"/>
        <v/>
      </c>
      <c r="AO27" s="70"/>
      <c r="AP27" s="66"/>
      <c r="AQ27" s="54"/>
      <c r="AR27" s="55" t="e">
        <f t="shared" si="19"/>
        <v>#DIV/0!</v>
      </c>
      <c r="AS27" s="54"/>
      <c r="AT27" s="56" t="e">
        <f t="shared" si="20"/>
        <v>#DIV/0!</v>
      </c>
      <c r="AU27" s="56"/>
      <c r="AV27" s="56"/>
      <c r="AW27" s="71">
        <f>AQ27+AS27+AU27+AV27-BO26</f>
        <v>0</v>
      </c>
      <c r="AX27" s="69" t="str">
        <f t="shared" si="21"/>
        <v/>
      </c>
      <c r="AY27" s="84">
        <f t="shared" si="22"/>
        <v>57</v>
      </c>
      <c r="AZ27" s="61">
        <f t="shared" si="23"/>
        <v>440920</v>
      </c>
      <c r="BA27" s="61">
        <f t="shared" si="24"/>
        <v>100490</v>
      </c>
      <c r="BB27" s="73">
        <f>W27+AE27+AM27+AW27-BN27</f>
        <v>541410</v>
      </c>
      <c r="BC27" s="74">
        <f t="shared" si="30"/>
        <v>12650</v>
      </c>
      <c r="BD27" s="75">
        <v>57</v>
      </c>
      <c r="BE27" s="76">
        <v>434170</v>
      </c>
      <c r="BF27" s="76">
        <v>91290</v>
      </c>
      <c r="BG27" s="77">
        <v>9900</v>
      </c>
      <c r="BH27" s="77">
        <v>2750</v>
      </c>
      <c r="BI27" s="77">
        <v>4400</v>
      </c>
      <c r="BJ27" s="77"/>
      <c r="BK27" s="78">
        <f t="shared" si="29"/>
        <v>538110</v>
      </c>
      <c r="BL27" s="49">
        <v>23</v>
      </c>
      <c r="BM27" s="79">
        <f t="shared" si="25"/>
        <v>538110</v>
      </c>
    </row>
    <row r="28" spans="2:67" ht="20" customHeight="1">
      <c r="B28" s="80">
        <f>B27+1</f>
        <v>45620</v>
      </c>
      <c r="C28" s="81"/>
      <c r="D28" s="52"/>
      <c r="E28" s="53">
        <v>36</v>
      </c>
      <c r="F28" s="54">
        <v>140910</v>
      </c>
      <c r="G28" s="55">
        <f t="shared" si="0"/>
        <v>3558.3333333333335</v>
      </c>
      <c r="H28" s="54">
        <v>37230</v>
      </c>
      <c r="I28" s="56">
        <f t="shared" si="27"/>
        <v>940.13888888888891</v>
      </c>
      <c r="J28" s="57">
        <f t="shared" si="1"/>
        <v>178140</v>
      </c>
      <c r="K28" s="58">
        <f t="shared" si="2"/>
        <v>4948.333333333333</v>
      </c>
      <c r="L28" s="59"/>
      <c r="M28" s="60">
        <f t="shared" si="3"/>
        <v>30</v>
      </c>
      <c r="N28" s="61">
        <f t="shared" si="3"/>
        <v>267630</v>
      </c>
      <c r="O28" s="55">
        <f t="shared" si="4"/>
        <v>8110</v>
      </c>
      <c r="P28" s="61">
        <f t="shared" si="5"/>
        <v>56730</v>
      </c>
      <c r="Q28" s="56">
        <f>ROUNDDOWN(P28/1.1,0)/M28</f>
        <v>1719.0666666666666</v>
      </c>
      <c r="R28" s="62">
        <f t="shared" si="7"/>
        <v>324360</v>
      </c>
      <c r="S28" s="58">
        <f t="shared" si="8"/>
        <v>10812</v>
      </c>
      <c r="T28" s="82">
        <f t="shared" si="9"/>
        <v>66</v>
      </c>
      <c r="U28" s="61">
        <f t="shared" si="9"/>
        <v>408540</v>
      </c>
      <c r="V28" s="61">
        <f t="shared" si="10"/>
        <v>93960</v>
      </c>
      <c r="W28" s="64">
        <f t="shared" si="11"/>
        <v>502500</v>
      </c>
      <c r="X28" s="83"/>
      <c r="Y28" s="65"/>
      <c r="Z28" s="66">
        <v>17</v>
      </c>
      <c r="AA28" s="54">
        <v>7250</v>
      </c>
      <c r="AB28" s="55">
        <f t="shared" si="12"/>
        <v>426.47058823529414</v>
      </c>
      <c r="AC28" s="54">
        <v>6500</v>
      </c>
      <c r="AD28" s="56">
        <f t="shared" si="13"/>
        <v>382.35294117647061</v>
      </c>
      <c r="AE28" s="67">
        <f t="shared" si="14"/>
        <v>13750</v>
      </c>
      <c r="AF28" s="58">
        <f t="shared" si="15"/>
        <v>808.82352941176475</v>
      </c>
      <c r="AG28" s="68"/>
      <c r="AH28" s="66"/>
      <c r="AI28" s="54"/>
      <c r="AJ28" s="55" t="e">
        <f t="shared" si="16"/>
        <v>#DIV/0!</v>
      </c>
      <c r="AK28" s="54"/>
      <c r="AL28" s="56" t="e">
        <f t="shared" si="17"/>
        <v>#DIV/0!</v>
      </c>
      <c r="AM28" s="67">
        <f t="shared" si="28"/>
        <v>0</v>
      </c>
      <c r="AN28" s="69" t="str">
        <f t="shared" si="18"/>
        <v/>
      </c>
      <c r="AO28" s="70"/>
      <c r="AP28" s="66"/>
      <c r="AQ28" s="54"/>
      <c r="AR28" s="55" t="e">
        <f t="shared" si="19"/>
        <v>#DIV/0!</v>
      </c>
      <c r="AS28" s="54"/>
      <c r="AT28" s="56" t="e">
        <f t="shared" si="20"/>
        <v>#DIV/0!</v>
      </c>
      <c r="AU28" s="56"/>
      <c r="AV28" s="56"/>
      <c r="AW28" s="71">
        <f>AQ28+AS28+AU28+AV28</f>
        <v>0</v>
      </c>
      <c r="AX28" s="69" t="str">
        <f t="shared" si="21"/>
        <v/>
      </c>
      <c r="AY28" s="84">
        <f t="shared" si="22"/>
        <v>66</v>
      </c>
      <c r="AZ28" s="61">
        <f t="shared" si="23"/>
        <v>415790</v>
      </c>
      <c r="BA28" s="61">
        <f t="shared" si="24"/>
        <v>100460</v>
      </c>
      <c r="BB28" s="73">
        <f t="shared" si="32"/>
        <v>516250</v>
      </c>
      <c r="BC28" s="74">
        <f t="shared" si="30"/>
        <v>11000</v>
      </c>
      <c r="BD28" s="75">
        <v>66</v>
      </c>
      <c r="BE28" s="76">
        <v>408540</v>
      </c>
      <c r="BF28" s="76">
        <v>93960</v>
      </c>
      <c r="BG28" s="77">
        <v>9900</v>
      </c>
      <c r="BH28" s="77">
        <v>1100</v>
      </c>
      <c r="BI28" s="77"/>
      <c r="BJ28" s="77"/>
      <c r="BK28" s="78">
        <f t="shared" si="29"/>
        <v>513500</v>
      </c>
      <c r="BL28" s="49">
        <v>24</v>
      </c>
      <c r="BM28" s="79">
        <f t="shared" si="25"/>
        <v>513500</v>
      </c>
    </row>
    <row r="29" spans="2:67" ht="20" customHeight="1">
      <c r="B29" s="80">
        <f t="shared" si="26"/>
        <v>45621</v>
      </c>
      <c r="C29" s="81"/>
      <c r="D29" s="52"/>
      <c r="E29" s="53">
        <v>29</v>
      </c>
      <c r="F29" s="54">
        <v>104610</v>
      </c>
      <c r="G29" s="55">
        <f t="shared" si="0"/>
        <v>3279.3103448275861</v>
      </c>
      <c r="H29" s="54">
        <v>4060</v>
      </c>
      <c r="I29" s="55">
        <f t="shared" si="27"/>
        <v>127.24137931034483</v>
      </c>
      <c r="J29" s="57">
        <f t="shared" si="1"/>
        <v>108670</v>
      </c>
      <c r="K29" s="58">
        <f t="shared" si="2"/>
        <v>3747.2413793103447</v>
      </c>
      <c r="L29" s="59"/>
      <c r="M29" s="60">
        <f t="shared" si="3"/>
        <v>7</v>
      </c>
      <c r="N29" s="61">
        <f t="shared" si="3"/>
        <v>79530</v>
      </c>
      <c r="O29" s="55">
        <f t="shared" si="4"/>
        <v>10328.571428571429</v>
      </c>
      <c r="P29" s="61">
        <f t="shared" si="5"/>
        <v>17710</v>
      </c>
      <c r="Q29" s="56">
        <f t="shared" si="6"/>
        <v>2300</v>
      </c>
      <c r="R29" s="62">
        <f t="shared" si="7"/>
        <v>97240</v>
      </c>
      <c r="S29" s="58">
        <f t="shared" si="8"/>
        <v>13891.428571428571</v>
      </c>
      <c r="T29" s="82">
        <f t="shared" si="9"/>
        <v>36</v>
      </c>
      <c r="U29" s="61">
        <f t="shared" si="9"/>
        <v>184140</v>
      </c>
      <c r="V29" s="61">
        <f t="shared" si="10"/>
        <v>21770</v>
      </c>
      <c r="W29" s="64">
        <f t="shared" si="11"/>
        <v>205910</v>
      </c>
      <c r="X29" s="83"/>
      <c r="Y29" s="65"/>
      <c r="Z29" s="66">
        <v>11</v>
      </c>
      <c r="AA29" s="54">
        <v>4850</v>
      </c>
      <c r="AB29" s="55">
        <f t="shared" si="12"/>
        <v>440.90909090909093</v>
      </c>
      <c r="AC29" s="54">
        <v>3500</v>
      </c>
      <c r="AD29" s="56">
        <f t="shared" si="13"/>
        <v>318.18181818181819</v>
      </c>
      <c r="AE29" s="67">
        <f t="shared" si="14"/>
        <v>8350</v>
      </c>
      <c r="AF29" s="58">
        <f t="shared" si="15"/>
        <v>759.09090909090912</v>
      </c>
      <c r="AG29" s="68"/>
      <c r="AH29" s="66"/>
      <c r="AI29" s="54"/>
      <c r="AJ29" s="55" t="e">
        <f t="shared" si="16"/>
        <v>#DIV/0!</v>
      </c>
      <c r="AK29" s="54"/>
      <c r="AL29" s="56" t="e">
        <f t="shared" si="17"/>
        <v>#DIV/0!</v>
      </c>
      <c r="AM29" s="67">
        <f t="shared" si="28"/>
        <v>0</v>
      </c>
      <c r="AN29" s="69" t="str">
        <f t="shared" si="18"/>
        <v/>
      </c>
      <c r="AO29" s="70"/>
      <c r="AP29" s="66"/>
      <c r="AQ29" s="54"/>
      <c r="AR29" s="55" t="e">
        <f t="shared" si="19"/>
        <v>#DIV/0!</v>
      </c>
      <c r="AS29" s="54"/>
      <c r="AT29" s="56" t="e">
        <f t="shared" si="20"/>
        <v>#DIV/0!</v>
      </c>
      <c r="AU29" s="56"/>
      <c r="AV29" s="56"/>
      <c r="AW29" s="71">
        <f>AQ29+AS29+AU29+AV29-BO29</f>
        <v>0</v>
      </c>
      <c r="AX29" s="69" t="str">
        <f t="shared" si="21"/>
        <v/>
      </c>
      <c r="AY29" s="84">
        <f t="shared" si="22"/>
        <v>36</v>
      </c>
      <c r="AZ29" s="61">
        <f t="shared" si="23"/>
        <v>188990</v>
      </c>
      <c r="BA29" s="61">
        <f t="shared" si="24"/>
        <v>25270</v>
      </c>
      <c r="BB29" s="73">
        <f t="shared" si="32"/>
        <v>214260</v>
      </c>
      <c r="BC29" s="74">
        <f t="shared" si="30"/>
        <v>3850</v>
      </c>
      <c r="BD29" s="75">
        <v>36</v>
      </c>
      <c r="BE29" s="76">
        <v>184140</v>
      </c>
      <c r="BF29" s="76">
        <v>21770</v>
      </c>
      <c r="BG29" s="77">
        <v>3850</v>
      </c>
      <c r="BH29" s="77"/>
      <c r="BI29" s="77"/>
      <c r="BJ29" s="77"/>
      <c r="BK29" s="78">
        <f t="shared" si="29"/>
        <v>209760</v>
      </c>
      <c r="BL29" s="49">
        <v>25</v>
      </c>
      <c r="BM29" s="79">
        <f t="shared" si="25"/>
        <v>209760</v>
      </c>
    </row>
    <row r="30" spans="2:67" ht="20" customHeight="1">
      <c r="B30" s="80">
        <f t="shared" si="26"/>
        <v>45622</v>
      </c>
      <c r="C30" s="81"/>
      <c r="D30" s="52"/>
      <c r="E30" s="53">
        <v>34</v>
      </c>
      <c r="F30" s="54">
        <v>121110</v>
      </c>
      <c r="G30" s="55">
        <f t="shared" si="0"/>
        <v>3238.2352941176468</v>
      </c>
      <c r="H30" s="54">
        <v>8870</v>
      </c>
      <c r="I30" s="55">
        <f t="shared" si="27"/>
        <v>237.14705882352942</v>
      </c>
      <c r="J30" s="57">
        <f t="shared" si="1"/>
        <v>129980</v>
      </c>
      <c r="K30" s="58">
        <f t="shared" si="2"/>
        <v>3822.9411764705883</v>
      </c>
      <c r="L30" s="59"/>
      <c r="M30" s="60">
        <f t="shared" si="3"/>
        <v>26</v>
      </c>
      <c r="N30" s="61">
        <f t="shared" si="3"/>
        <v>231110</v>
      </c>
      <c r="O30" s="55">
        <f t="shared" si="4"/>
        <v>8080.7692307692305</v>
      </c>
      <c r="P30" s="61">
        <f t="shared" si="5"/>
        <v>64450</v>
      </c>
      <c r="Q30" s="55">
        <f t="shared" si="6"/>
        <v>2253.4615384615386</v>
      </c>
      <c r="R30" s="62">
        <f t="shared" si="7"/>
        <v>295560</v>
      </c>
      <c r="S30" s="58">
        <f t="shared" si="8"/>
        <v>11367.692307692309</v>
      </c>
      <c r="T30" s="82">
        <f t="shared" si="9"/>
        <v>60</v>
      </c>
      <c r="U30" s="61">
        <f t="shared" si="9"/>
        <v>352220</v>
      </c>
      <c r="V30" s="61">
        <f t="shared" si="10"/>
        <v>73320</v>
      </c>
      <c r="W30" s="64">
        <f t="shared" si="11"/>
        <v>425540</v>
      </c>
      <c r="X30" s="83"/>
      <c r="Y30" s="65"/>
      <c r="Z30" s="66">
        <v>10</v>
      </c>
      <c r="AA30" s="54">
        <v>6300</v>
      </c>
      <c r="AB30" s="55">
        <f t="shared" si="12"/>
        <v>630</v>
      </c>
      <c r="AC30" s="54">
        <v>4400</v>
      </c>
      <c r="AD30" s="56">
        <f t="shared" si="13"/>
        <v>440</v>
      </c>
      <c r="AE30" s="67">
        <f t="shared" si="14"/>
        <v>10700</v>
      </c>
      <c r="AF30" s="58">
        <f t="shared" si="15"/>
        <v>1070</v>
      </c>
      <c r="AG30" s="68"/>
      <c r="AH30" s="66"/>
      <c r="AI30" s="54"/>
      <c r="AJ30" s="55" t="e">
        <f t="shared" si="16"/>
        <v>#DIV/0!</v>
      </c>
      <c r="AK30" s="54"/>
      <c r="AL30" s="56" t="e">
        <f t="shared" si="17"/>
        <v>#DIV/0!</v>
      </c>
      <c r="AM30" s="67">
        <f t="shared" si="28"/>
        <v>0</v>
      </c>
      <c r="AN30" s="69" t="str">
        <f t="shared" si="18"/>
        <v/>
      </c>
      <c r="AO30" s="70"/>
      <c r="AP30" s="66"/>
      <c r="AQ30" s="54"/>
      <c r="AR30" s="55" t="e">
        <f t="shared" si="19"/>
        <v>#DIV/0!</v>
      </c>
      <c r="AS30" s="54"/>
      <c r="AT30" s="56" t="e">
        <f t="shared" si="20"/>
        <v>#DIV/0!</v>
      </c>
      <c r="AU30" s="56"/>
      <c r="AV30" s="56"/>
      <c r="AW30" s="71">
        <f t="shared" ref="AW30:AW33" si="34">AQ30+AS30+AU30+AV30</f>
        <v>0</v>
      </c>
      <c r="AX30" s="69" t="str">
        <f t="shared" si="21"/>
        <v/>
      </c>
      <c r="AY30" s="84">
        <f t="shared" si="22"/>
        <v>60</v>
      </c>
      <c r="AZ30" s="61">
        <f t="shared" si="23"/>
        <v>358520</v>
      </c>
      <c r="BA30" s="61">
        <f t="shared" si="24"/>
        <v>77720</v>
      </c>
      <c r="BB30" s="73">
        <f t="shared" si="32"/>
        <v>436240</v>
      </c>
      <c r="BC30" s="74">
        <f>BG30+BH30</f>
        <v>4400</v>
      </c>
      <c r="BD30" s="75">
        <v>60</v>
      </c>
      <c r="BE30" s="76">
        <v>352220</v>
      </c>
      <c r="BF30" s="76">
        <v>73320</v>
      </c>
      <c r="BG30" s="77">
        <v>4400</v>
      </c>
      <c r="BH30" s="77"/>
      <c r="BI30" s="77">
        <v>6600</v>
      </c>
      <c r="BJ30" s="77"/>
      <c r="BK30" s="78">
        <f t="shared" si="29"/>
        <v>429940</v>
      </c>
      <c r="BL30" s="49">
        <v>26</v>
      </c>
      <c r="BM30" s="79">
        <f t="shared" si="25"/>
        <v>429940</v>
      </c>
    </row>
    <row r="31" spans="2:67" ht="20" customHeight="1">
      <c r="B31" s="80">
        <f t="shared" si="26"/>
        <v>45623</v>
      </c>
      <c r="C31" s="81"/>
      <c r="D31" s="52"/>
      <c r="E31" s="53">
        <v>32</v>
      </c>
      <c r="F31" s="54">
        <v>125730</v>
      </c>
      <c r="G31" s="55">
        <f t="shared" si="0"/>
        <v>3571.875</v>
      </c>
      <c r="H31" s="54">
        <v>9070</v>
      </c>
      <c r="I31" s="55">
        <f t="shared" si="27"/>
        <v>257.65625</v>
      </c>
      <c r="J31" s="57">
        <f t="shared" si="1"/>
        <v>134800</v>
      </c>
      <c r="K31" s="58">
        <f t="shared" si="2"/>
        <v>4212.5</v>
      </c>
      <c r="L31" s="59"/>
      <c r="M31" s="60">
        <f t="shared" si="3"/>
        <v>15</v>
      </c>
      <c r="N31" s="61">
        <f t="shared" si="3"/>
        <v>162540</v>
      </c>
      <c r="O31" s="55">
        <f t="shared" si="4"/>
        <v>9850.8666666666668</v>
      </c>
      <c r="P31" s="61">
        <f t="shared" si="5"/>
        <v>37450</v>
      </c>
      <c r="Q31" s="55">
        <f t="shared" si="6"/>
        <v>2269.6666666666665</v>
      </c>
      <c r="R31" s="62">
        <f t="shared" si="7"/>
        <v>199990</v>
      </c>
      <c r="S31" s="58">
        <f t="shared" si="8"/>
        <v>13332.666666666666</v>
      </c>
      <c r="T31" s="82">
        <f t="shared" si="9"/>
        <v>47</v>
      </c>
      <c r="U31" s="61">
        <f t="shared" si="9"/>
        <v>288270</v>
      </c>
      <c r="V31" s="61">
        <f t="shared" si="10"/>
        <v>46520</v>
      </c>
      <c r="W31" s="64">
        <f t="shared" si="11"/>
        <v>334790</v>
      </c>
      <c r="X31" s="83"/>
      <c r="Y31" s="65"/>
      <c r="Z31" s="66">
        <v>25</v>
      </c>
      <c r="AA31" s="54">
        <v>10500</v>
      </c>
      <c r="AB31" s="55">
        <f t="shared" si="12"/>
        <v>420</v>
      </c>
      <c r="AC31" s="54">
        <v>3750</v>
      </c>
      <c r="AD31" s="56">
        <f t="shared" si="13"/>
        <v>150</v>
      </c>
      <c r="AE31" s="67">
        <f t="shared" si="14"/>
        <v>14250</v>
      </c>
      <c r="AF31" s="58">
        <f t="shared" si="15"/>
        <v>570</v>
      </c>
      <c r="AG31" s="68"/>
      <c r="AH31" s="66"/>
      <c r="AI31" s="54"/>
      <c r="AJ31" s="55" t="e">
        <f t="shared" si="16"/>
        <v>#DIV/0!</v>
      </c>
      <c r="AK31" s="54"/>
      <c r="AL31" s="56" t="e">
        <f t="shared" si="17"/>
        <v>#DIV/0!</v>
      </c>
      <c r="AM31" s="67">
        <f t="shared" si="28"/>
        <v>0</v>
      </c>
      <c r="AN31" s="69" t="str">
        <f t="shared" si="18"/>
        <v/>
      </c>
      <c r="AO31" s="70"/>
      <c r="AP31" s="66"/>
      <c r="AQ31" s="54"/>
      <c r="AR31" s="55" t="e">
        <f t="shared" si="19"/>
        <v>#DIV/0!</v>
      </c>
      <c r="AS31" s="54"/>
      <c r="AT31" s="56" t="e">
        <f t="shared" si="20"/>
        <v>#DIV/0!</v>
      </c>
      <c r="AU31" s="56"/>
      <c r="AV31" s="56"/>
      <c r="AW31" s="71">
        <f t="shared" si="34"/>
        <v>0</v>
      </c>
      <c r="AX31" s="69" t="str">
        <f t="shared" si="21"/>
        <v/>
      </c>
      <c r="AY31" s="84">
        <f t="shared" si="22"/>
        <v>47</v>
      </c>
      <c r="AZ31" s="61">
        <f t="shared" si="23"/>
        <v>298770</v>
      </c>
      <c r="BA31" s="61">
        <f t="shared" si="24"/>
        <v>50270</v>
      </c>
      <c r="BB31" s="73">
        <f>W31+AE31+AM31+AW31-BN31</f>
        <v>349040</v>
      </c>
      <c r="BC31" s="74">
        <f t="shared" ref="BC31:BC34" si="35">BG31+BH31</f>
        <v>3300</v>
      </c>
      <c r="BD31" s="75">
        <v>47</v>
      </c>
      <c r="BE31" s="76">
        <v>288270</v>
      </c>
      <c r="BF31" s="76">
        <v>46520</v>
      </c>
      <c r="BG31" s="77">
        <v>3300</v>
      </c>
      <c r="BH31" s="77"/>
      <c r="BI31" s="77"/>
      <c r="BJ31" s="77"/>
      <c r="BK31" s="78">
        <f t="shared" si="29"/>
        <v>338090</v>
      </c>
      <c r="BL31" s="49">
        <v>27</v>
      </c>
      <c r="BM31" s="79">
        <f t="shared" si="25"/>
        <v>338090</v>
      </c>
    </row>
    <row r="32" spans="2:67" ht="20" customHeight="1">
      <c r="B32" s="80">
        <f t="shared" si="26"/>
        <v>45624</v>
      </c>
      <c r="C32" s="81"/>
      <c r="D32" s="52"/>
      <c r="E32" s="53">
        <v>35</v>
      </c>
      <c r="F32" s="54">
        <v>129690</v>
      </c>
      <c r="G32" s="55">
        <f t="shared" si="0"/>
        <v>3368.5714285714284</v>
      </c>
      <c r="H32" s="54">
        <v>20680</v>
      </c>
      <c r="I32" s="55">
        <f t="shared" si="27"/>
        <v>537.14285714285711</v>
      </c>
      <c r="J32" s="57">
        <f t="shared" si="1"/>
        <v>150370</v>
      </c>
      <c r="K32" s="58">
        <f t="shared" si="2"/>
        <v>4296.2857142857147</v>
      </c>
      <c r="L32" s="59"/>
      <c r="M32" s="60">
        <f t="shared" si="3"/>
        <v>31</v>
      </c>
      <c r="N32" s="61">
        <f t="shared" si="3"/>
        <v>197780</v>
      </c>
      <c r="O32" s="55">
        <f t="shared" si="4"/>
        <v>5800</v>
      </c>
      <c r="P32" s="61">
        <f t="shared" si="5"/>
        <v>81220</v>
      </c>
      <c r="Q32" s="55">
        <f t="shared" si="6"/>
        <v>2381.8064516129034</v>
      </c>
      <c r="R32" s="62">
        <f t="shared" si="7"/>
        <v>279000</v>
      </c>
      <c r="S32" s="58">
        <f t="shared" si="8"/>
        <v>9000</v>
      </c>
      <c r="T32" s="82">
        <f t="shared" si="9"/>
        <v>66</v>
      </c>
      <c r="U32" s="61">
        <f t="shared" si="9"/>
        <v>327470</v>
      </c>
      <c r="V32" s="61">
        <f t="shared" si="10"/>
        <v>101900</v>
      </c>
      <c r="W32" s="64">
        <f t="shared" si="11"/>
        <v>429370</v>
      </c>
      <c r="X32" s="83"/>
      <c r="Y32" s="65"/>
      <c r="Z32" s="66">
        <v>4</v>
      </c>
      <c r="AA32" s="54">
        <v>1800</v>
      </c>
      <c r="AB32" s="55">
        <f t="shared" si="12"/>
        <v>450</v>
      </c>
      <c r="AC32" s="54">
        <v>500</v>
      </c>
      <c r="AD32" s="56">
        <f t="shared" si="13"/>
        <v>125</v>
      </c>
      <c r="AE32" s="67">
        <f t="shared" si="14"/>
        <v>2300</v>
      </c>
      <c r="AF32" s="58">
        <f t="shared" si="15"/>
        <v>575</v>
      </c>
      <c r="AG32" s="68"/>
      <c r="AH32" s="66"/>
      <c r="AI32" s="54"/>
      <c r="AJ32" s="55" t="e">
        <f t="shared" si="16"/>
        <v>#DIV/0!</v>
      </c>
      <c r="AK32" s="54"/>
      <c r="AL32" s="56" t="e">
        <f t="shared" si="17"/>
        <v>#DIV/0!</v>
      </c>
      <c r="AM32" s="67">
        <f t="shared" si="28"/>
        <v>0</v>
      </c>
      <c r="AN32" s="69" t="str">
        <f t="shared" si="18"/>
        <v/>
      </c>
      <c r="AO32" s="70"/>
      <c r="AP32" s="66"/>
      <c r="AQ32" s="54"/>
      <c r="AR32" s="55" t="e">
        <f t="shared" si="19"/>
        <v>#DIV/0!</v>
      </c>
      <c r="AS32" s="54"/>
      <c r="AT32" s="56" t="e">
        <f t="shared" si="20"/>
        <v>#DIV/0!</v>
      </c>
      <c r="AU32" s="56"/>
      <c r="AV32" s="56"/>
      <c r="AW32" s="71">
        <f t="shared" si="34"/>
        <v>0</v>
      </c>
      <c r="AX32" s="69" t="str">
        <f t="shared" si="21"/>
        <v/>
      </c>
      <c r="AY32" s="84">
        <f t="shared" si="22"/>
        <v>66</v>
      </c>
      <c r="AZ32" s="61">
        <f>U32+AA32+AI32+AQ32</f>
        <v>329270</v>
      </c>
      <c r="BA32" s="61">
        <f t="shared" si="24"/>
        <v>102400</v>
      </c>
      <c r="BB32" s="73">
        <f>W32+AE32+AM32+AW32-BN32</f>
        <v>431670</v>
      </c>
      <c r="BC32" s="74">
        <f>BG32+BH32</f>
        <v>0</v>
      </c>
      <c r="BD32" s="75">
        <v>66</v>
      </c>
      <c r="BE32" s="76">
        <v>327470</v>
      </c>
      <c r="BF32" s="76">
        <v>101900</v>
      </c>
      <c r="BG32" s="77"/>
      <c r="BH32" s="77"/>
      <c r="BI32" s="77"/>
      <c r="BJ32" s="77"/>
      <c r="BK32" s="78">
        <f>SUM(BE32:BH32)</f>
        <v>429370</v>
      </c>
      <c r="BL32" s="49">
        <v>28</v>
      </c>
    </row>
    <row r="33" spans="2:65" ht="20" customHeight="1">
      <c r="B33" s="80">
        <f t="shared" si="26"/>
        <v>45625</v>
      </c>
      <c r="C33" s="81"/>
      <c r="D33" s="52"/>
      <c r="E33" s="53">
        <v>27</v>
      </c>
      <c r="F33" s="54">
        <v>107030</v>
      </c>
      <c r="G33" s="55">
        <f t="shared" si="0"/>
        <v>3603.7037037037039</v>
      </c>
      <c r="H33" s="54">
        <v>19880</v>
      </c>
      <c r="I33" s="55">
        <f t="shared" si="27"/>
        <v>669.33333333333337</v>
      </c>
      <c r="J33" s="57">
        <f t="shared" si="1"/>
        <v>126910</v>
      </c>
      <c r="K33" s="58">
        <f t="shared" si="2"/>
        <v>4700.3703703703704</v>
      </c>
      <c r="L33" s="59"/>
      <c r="M33" s="60">
        <f t="shared" si="3"/>
        <v>14</v>
      </c>
      <c r="N33" s="61">
        <f t="shared" si="3"/>
        <v>135300</v>
      </c>
      <c r="O33" s="55">
        <f t="shared" si="4"/>
        <v>8785.7142857142862</v>
      </c>
      <c r="P33" s="61">
        <f t="shared" si="5"/>
        <v>46810</v>
      </c>
      <c r="Q33" s="55">
        <f t="shared" si="6"/>
        <v>3039.5714285714284</v>
      </c>
      <c r="R33" s="62">
        <f t="shared" si="7"/>
        <v>182110</v>
      </c>
      <c r="S33" s="58">
        <f t="shared" si="8"/>
        <v>13007.857142857143</v>
      </c>
      <c r="T33" s="82">
        <f t="shared" si="9"/>
        <v>41</v>
      </c>
      <c r="U33" s="61">
        <f t="shared" si="9"/>
        <v>242330</v>
      </c>
      <c r="V33" s="61">
        <f t="shared" si="10"/>
        <v>66690</v>
      </c>
      <c r="W33" s="64">
        <f>J33+R33</f>
        <v>309020</v>
      </c>
      <c r="X33" s="83"/>
      <c r="Y33" s="65"/>
      <c r="Z33" s="66">
        <v>13</v>
      </c>
      <c r="AA33" s="54">
        <v>5600</v>
      </c>
      <c r="AB33" s="55">
        <f t="shared" si="12"/>
        <v>430.76923076923077</v>
      </c>
      <c r="AC33" s="54">
        <v>2400</v>
      </c>
      <c r="AD33" s="56">
        <f t="shared" si="13"/>
        <v>184.61538461538461</v>
      </c>
      <c r="AE33" s="67">
        <f t="shared" si="14"/>
        <v>8000</v>
      </c>
      <c r="AF33" s="58">
        <f t="shared" si="15"/>
        <v>615.38461538461536</v>
      </c>
      <c r="AG33" s="68"/>
      <c r="AH33" s="66"/>
      <c r="AI33" s="54"/>
      <c r="AJ33" s="55" t="e">
        <f t="shared" si="16"/>
        <v>#DIV/0!</v>
      </c>
      <c r="AK33" s="54"/>
      <c r="AL33" s="56" t="e">
        <f t="shared" si="17"/>
        <v>#DIV/0!</v>
      </c>
      <c r="AM33" s="67">
        <f t="shared" si="28"/>
        <v>0</v>
      </c>
      <c r="AN33" s="69" t="str">
        <f t="shared" si="18"/>
        <v/>
      </c>
      <c r="AO33" s="70"/>
      <c r="AP33" s="66"/>
      <c r="AQ33" s="54"/>
      <c r="AR33" s="55" t="e">
        <f t="shared" si="19"/>
        <v>#DIV/0!</v>
      </c>
      <c r="AS33" s="54"/>
      <c r="AT33" s="56" t="e">
        <f t="shared" si="20"/>
        <v>#DIV/0!</v>
      </c>
      <c r="AU33" s="56"/>
      <c r="AV33" s="56"/>
      <c r="AW33" s="71">
        <f t="shared" si="34"/>
        <v>0</v>
      </c>
      <c r="AX33" s="69" t="str">
        <f t="shared" si="21"/>
        <v/>
      </c>
      <c r="AY33" s="84">
        <f t="shared" si="22"/>
        <v>41</v>
      </c>
      <c r="AZ33" s="61">
        <f t="shared" si="23"/>
        <v>247930</v>
      </c>
      <c r="BA33" s="61">
        <f t="shared" si="24"/>
        <v>69090</v>
      </c>
      <c r="BB33" s="73">
        <f>W33+AE33+AM33+AW33-BN33</f>
        <v>317020</v>
      </c>
      <c r="BC33" s="74">
        <f t="shared" si="35"/>
        <v>3300</v>
      </c>
      <c r="BD33" s="75">
        <v>41</v>
      </c>
      <c r="BE33" s="76">
        <v>242330</v>
      </c>
      <c r="BF33" s="76">
        <v>66690</v>
      </c>
      <c r="BG33" s="77">
        <v>3300</v>
      </c>
      <c r="BH33" s="77"/>
      <c r="BI33" s="77"/>
      <c r="BJ33" s="77"/>
      <c r="BK33" s="78">
        <f t="shared" si="29"/>
        <v>312320</v>
      </c>
      <c r="BL33" s="49">
        <v>29</v>
      </c>
      <c r="BM33" s="79">
        <f t="shared" si="25"/>
        <v>312320</v>
      </c>
    </row>
    <row r="34" spans="2:65" ht="20" customHeight="1">
      <c r="B34" s="80">
        <f t="shared" si="26"/>
        <v>45626</v>
      </c>
      <c r="C34" s="81"/>
      <c r="D34" s="52"/>
      <c r="E34" s="53">
        <v>22</v>
      </c>
      <c r="F34" s="54">
        <v>88880</v>
      </c>
      <c r="G34" s="55">
        <f t="shared" si="0"/>
        <v>3672.7272727272725</v>
      </c>
      <c r="H34" s="54">
        <v>14390</v>
      </c>
      <c r="I34" s="55">
        <f t="shared" si="27"/>
        <v>594.59090909090912</v>
      </c>
      <c r="J34" s="57">
        <f t="shared" si="1"/>
        <v>103270</v>
      </c>
      <c r="K34" s="58">
        <f t="shared" si="2"/>
        <v>4694.090909090909</v>
      </c>
      <c r="L34" s="59"/>
      <c r="M34" s="60">
        <f t="shared" si="3"/>
        <v>33</v>
      </c>
      <c r="N34" s="61">
        <f t="shared" si="3"/>
        <v>282370</v>
      </c>
      <c r="O34" s="55">
        <f t="shared" si="4"/>
        <v>7778.787878787879</v>
      </c>
      <c r="P34" s="61">
        <f t="shared" si="5"/>
        <v>66570</v>
      </c>
      <c r="Q34" s="55">
        <f t="shared" si="6"/>
        <v>1833.878787878788</v>
      </c>
      <c r="R34" s="62">
        <f t="shared" si="7"/>
        <v>348940</v>
      </c>
      <c r="S34" s="58">
        <f t="shared" si="8"/>
        <v>10573.939393939394</v>
      </c>
      <c r="T34" s="82">
        <f t="shared" si="9"/>
        <v>55</v>
      </c>
      <c r="U34" s="61">
        <f t="shared" si="9"/>
        <v>371250</v>
      </c>
      <c r="V34" s="61">
        <f t="shared" si="10"/>
        <v>80960</v>
      </c>
      <c r="W34" s="64">
        <f t="shared" si="11"/>
        <v>452210</v>
      </c>
      <c r="X34" s="83"/>
      <c r="Y34" s="89"/>
      <c r="Z34" s="90">
        <v>34</v>
      </c>
      <c r="AA34" s="91">
        <v>14000</v>
      </c>
      <c r="AB34" s="55">
        <f t="shared" si="12"/>
        <v>411.76470588235293</v>
      </c>
      <c r="AC34" s="91">
        <v>2350</v>
      </c>
      <c r="AD34" s="56">
        <f t="shared" si="13"/>
        <v>69.117647058823536</v>
      </c>
      <c r="AE34" s="67">
        <f t="shared" si="14"/>
        <v>16350</v>
      </c>
      <c r="AF34" s="58">
        <f t="shared" si="15"/>
        <v>480.88235294117646</v>
      </c>
      <c r="AG34" s="68"/>
      <c r="AH34" s="90"/>
      <c r="AI34" s="91"/>
      <c r="AJ34" s="55" t="e">
        <f t="shared" si="16"/>
        <v>#DIV/0!</v>
      </c>
      <c r="AK34" s="91"/>
      <c r="AL34" s="56" t="e">
        <f t="shared" si="17"/>
        <v>#DIV/0!</v>
      </c>
      <c r="AM34" s="67">
        <f t="shared" si="28"/>
        <v>0</v>
      </c>
      <c r="AN34" s="69" t="str">
        <f t="shared" si="18"/>
        <v/>
      </c>
      <c r="AO34" s="70"/>
      <c r="AP34" s="90"/>
      <c r="AQ34" s="91"/>
      <c r="AR34" s="55" t="e">
        <f t="shared" si="19"/>
        <v>#DIV/0!</v>
      </c>
      <c r="AS34" s="91"/>
      <c r="AT34" s="56" t="e">
        <f t="shared" si="20"/>
        <v>#DIV/0!</v>
      </c>
      <c r="AU34" s="56"/>
      <c r="AV34" s="56"/>
      <c r="AW34" s="71">
        <f>AQ34+AS34+AU34+AV34-BN34</f>
        <v>0</v>
      </c>
      <c r="AX34" s="69" t="str">
        <f t="shared" si="21"/>
        <v/>
      </c>
      <c r="AY34" s="84">
        <f t="shared" si="22"/>
        <v>55</v>
      </c>
      <c r="AZ34" s="61">
        <f t="shared" si="23"/>
        <v>385250</v>
      </c>
      <c r="BA34" s="61">
        <f t="shared" si="24"/>
        <v>83310</v>
      </c>
      <c r="BB34" s="73">
        <f>W34+AE34+AM34+AW34-BN34</f>
        <v>468560</v>
      </c>
      <c r="BC34" s="74">
        <f t="shared" si="35"/>
        <v>14300</v>
      </c>
      <c r="BD34" s="75">
        <v>55</v>
      </c>
      <c r="BE34" s="76">
        <v>371250</v>
      </c>
      <c r="BF34" s="76">
        <v>80960</v>
      </c>
      <c r="BG34" s="77">
        <v>14300</v>
      </c>
      <c r="BH34" s="77"/>
      <c r="BI34" s="77"/>
      <c r="BJ34" s="77"/>
      <c r="BK34" s="78">
        <f t="shared" si="29"/>
        <v>466510</v>
      </c>
      <c r="BL34" s="49">
        <v>30</v>
      </c>
      <c r="BM34" s="79">
        <f t="shared" si="25"/>
        <v>466510</v>
      </c>
    </row>
    <row r="35" spans="2:65" ht="20" customHeight="1" thickBot="1">
      <c r="B35" s="80">
        <f t="shared" si="26"/>
        <v>45627</v>
      </c>
      <c r="C35" s="81"/>
      <c r="D35" s="52"/>
      <c r="E35" s="53"/>
      <c r="F35" s="54"/>
      <c r="G35" s="55" t="e">
        <f t="shared" si="0"/>
        <v>#DIV/0!</v>
      </c>
      <c r="H35" s="54"/>
      <c r="I35" s="55" t="e">
        <f t="shared" si="27"/>
        <v>#DIV/0!</v>
      </c>
      <c r="J35" s="57">
        <f t="shared" si="1"/>
        <v>0</v>
      </c>
      <c r="K35" s="58" t="str">
        <f t="shared" si="2"/>
        <v/>
      </c>
      <c r="L35" s="59"/>
      <c r="M35" s="92">
        <f t="shared" si="3"/>
        <v>0</v>
      </c>
      <c r="N35" s="61">
        <f t="shared" si="3"/>
        <v>0</v>
      </c>
      <c r="O35" s="55" t="e">
        <f t="shared" si="4"/>
        <v>#DIV/0!</v>
      </c>
      <c r="P35" s="61">
        <f t="shared" si="5"/>
        <v>0</v>
      </c>
      <c r="Q35" s="55" t="e">
        <f t="shared" si="6"/>
        <v>#DIV/0!</v>
      </c>
      <c r="R35" s="62">
        <f t="shared" si="7"/>
        <v>0</v>
      </c>
      <c r="S35" s="58" t="e">
        <f t="shared" si="8"/>
        <v>#DIV/0!</v>
      </c>
      <c r="T35" s="93">
        <f t="shared" si="9"/>
        <v>0</v>
      </c>
      <c r="U35" s="94">
        <f t="shared" si="9"/>
        <v>0</v>
      </c>
      <c r="V35" s="94">
        <f t="shared" si="10"/>
        <v>0</v>
      </c>
      <c r="W35" s="95">
        <f t="shared" si="11"/>
        <v>0</v>
      </c>
      <c r="X35" s="94"/>
      <c r="Y35" s="96"/>
      <c r="Z35" s="97"/>
      <c r="AA35" s="98"/>
      <c r="AB35" s="99" t="e">
        <f t="shared" si="12"/>
        <v>#DIV/0!</v>
      </c>
      <c r="AC35" s="98"/>
      <c r="AD35" s="100" t="e">
        <f t="shared" si="13"/>
        <v>#DIV/0!</v>
      </c>
      <c r="AE35" s="101">
        <f t="shared" si="14"/>
        <v>0</v>
      </c>
      <c r="AF35" s="58" t="str">
        <f t="shared" si="15"/>
        <v/>
      </c>
      <c r="AG35" s="102"/>
      <c r="AH35" s="97"/>
      <c r="AI35" s="98"/>
      <c r="AJ35" s="99" t="e">
        <f t="shared" si="16"/>
        <v>#DIV/0!</v>
      </c>
      <c r="AK35" s="98"/>
      <c r="AL35" s="100" t="e">
        <f t="shared" si="17"/>
        <v>#DIV/0!</v>
      </c>
      <c r="AM35" s="67">
        <f t="shared" si="28"/>
        <v>0</v>
      </c>
      <c r="AN35" s="69" t="str">
        <f t="shared" si="18"/>
        <v/>
      </c>
      <c r="AO35" s="103"/>
      <c r="AP35" s="97"/>
      <c r="AQ35" s="98"/>
      <c r="AR35" s="99" t="e">
        <f t="shared" si="19"/>
        <v>#DIV/0!</v>
      </c>
      <c r="AS35" s="98"/>
      <c r="AT35" s="100" t="e">
        <f t="shared" si="20"/>
        <v>#DIV/0!</v>
      </c>
      <c r="AU35" s="100"/>
      <c r="AV35" s="56"/>
      <c r="AW35" s="71">
        <f t="shared" si="33"/>
        <v>0</v>
      </c>
      <c r="AX35" s="69" t="str">
        <f t="shared" si="21"/>
        <v/>
      </c>
      <c r="AY35" s="104">
        <f t="shared" si="22"/>
        <v>0</v>
      </c>
      <c r="AZ35" s="61">
        <f t="shared" si="23"/>
        <v>0</v>
      </c>
      <c r="BA35" s="61">
        <f t="shared" si="24"/>
        <v>0</v>
      </c>
      <c r="BB35" s="73">
        <f>W35+AE35+AM35+AW35-BN35</f>
        <v>0</v>
      </c>
      <c r="BC35" s="74">
        <f t="shared" si="30"/>
        <v>0</v>
      </c>
      <c r="BD35" s="105"/>
      <c r="BE35" s="106"/>
      <c r="BF35" s="106"/>
      <c r="BG35" s="107"/>
      <c r="BH35" s="107"/>
      <c r="BI35" s="107"/>
      <c r="BJ35" s="107"/>
      <c r="BK35" s="78">
        <f t="shared" si="29"/>
        <v>0</v>
      </c>
      <c r="BL35" s="49">
        <v>31</v>
      </c>
      <c r="BM35" s="79">
        <f t="shared" si="25"/>
        <v>0</v>
      </c>
    </row>
    <row r="36" spans="2:65" s="130" customFormat="1" ht="20" customHeight="1" thickTop="1">
      <c r="B36" s="108" t="s">
        <v>28</v>
      </c>
      <c r="C36" s="109">
        <f>SUM(C5:C35)</f>
        <v>0</v>
      </c>
      <c r="D36" s="110">
        <f>SUM(D5:D35)</f>
        <v>0</v>
      </c>
      <c r="E36" s="111">
        <f>SUM(E5:E35)</f>
        <v>795</v>
      </c>
      <c r="F36" s="112">
        <f>SUM(F5:F35)</f>
        <v>3262600</v>
      </c>
      <c r="G36" s="113">
        <f>F36/E36</f>
        <v>4103.8993710691821</v>
      </c>
      <c r="H36" s="109">
        <f>SUM(H5:H35)</f>
        <v>542240</v>
      </c>
      <c r="I36" s="114">
        <f>H36/E36</f>
        <v>682.06289308176099</v>
      </c>
      <c r="J36" s="115">
        <f>SUM(J5:J35)</f>
        <v>3804840</v>
      </c>
      <c r="K36" s="116">
        <f>J36/E36</f>
        <v>4785.9622641509432</v>
      </c>
      <c r="L36" s="117">
        <f>SUM(L5:L35)</f>
        <v>0</v>
      </c>
      <c r="M36" s="111">
        <f>SUM(M5:M35)</f>
        <v>618</v>
      </c>
      <c r="N36" s="112">
        <f>SUM(N5:N35)</f>
        <v>5290540</v>
      </c>
      <c r="O36" s="113">
        <f>N36/M36</f>
        <v>8560.7443365695799</v>
      </c>
      <c r="P36" s="118">
        <f>SUM(P5:P35)</f>
        <v>1315310</v>
      </c>
      <c r="Q36" s="114">
        <f>P36/M36</f>
        <v>2128.3333333333335</v>
      </c>
      <c r="R36" s="119">
        <f>SUM(R5:R35)</f>
        <v>6605850</v>
      </c>
      <c r="S36" s="120">
        <f>R36/M36</f>
        <v>10689.077669902912</v>
      </c>
      <c r="T36" s="111">
        <f t="shared" ref="T36:AA36" si="36">SUM(T5:T35)</f>
        <v>1413</v>
      </c>
      <c r="U36" s="118">
        <f t="shared" si="36"/>
        <v>8553140</v>
      </c>
      <c r="V36" s="118">
        <f t="shared" si="36"/>
        <v>1857550</v>
      </c>
      <c r="W36" s="115">
        <f>SUM(W5:W35)</f>
        <v>10410690</v>
      </c>
      <c r="X36" s="121">
        <f t="shared" si="36"/>
        <v>0</v>
      </c>
      <c r="Y36" s="110">
        <f t="shared" si="36"/>
        <v>0</v>
      </c>
      <c r="Z36" s="111">
        <f t="shared" si="36"/>
        <v>421</v>
      </c>
      <c r="AA36" s="113">
        <f t="shared" si="36"/>
        <v>183710</v>
      </c>
      <c r="AB36" s="113">
        <f>AA36/Z36</f>
        <v>436.36579572446556</v>
      </c>
      <c r="AC36" s="109">
        <f>SUM(AC5:AC35)</f>
        <v>99630</v>
      </c>
      <c r="AD36" s="114">
        <f>AC36/Z36</f>
        <v>236.65083135391924</v>
      </c>
      <c r="AE36" s="119">
        <f>SUM(AE5:AE35)</f>
        <v>283340</v>
      </c>
      <c r="AF36" s="122">
        <f>AE36/Z36</f>
        <v>673.01662707838477</v>
      </c>
      <c r="AG36" s="123">
        <f t="shared" ref="AG36:AI36" si="37">SUM(AG5:AG35)</f>
        <v>0</v>
      </c>
      <c r="AH36" s="111">
        <f t="shared" si="37"/>
        <v>282</v>
      </c>
      <c r="AI36" s="113">
        <f t="shared" si="37"/>
        <v>1341105</v>
      </c>
      <c r="AJ36" s="113"/>
      <c r="AK36" s="109">
        <f>SUM(AK5:AK35)</f>
        <v>465015</v>
      </c>
      <c r="AL36" s="114"/>
      <c r="AM36" s="119">
        <f>SUM(AM5:AM35)</f>
        <v>1806120</v>
      </c>
      <c r="AN36" s="124">
        <f>AM36/AH36</f>
        <v>6404.6808510638302</v>
      </c>
      <c r="AO36" s="125">
        <f t="shared" ref="AO36:AQ36" si="38">SUM(AO5:AO35)</f>
        <v>0</v>
      </c>
      <c r="AP36" s="111">
        <f t="shared" si="38"/>
        <v>0</v>
      </c>
      <c r="AQ36" s="113">
        <f t="shared" si="38"/>
        <v>0</v>
      </c>
      <c r="AR36" s="113"/>
      <c r="AS36" s="109">
        <f>SUM(AS5:AS35)</f>
        <v>0</v>
      </c>
      <c r="AT36" s="114"/>
      <c r="AU36" s="109">
        <f>SUM(AU5:AU35)</f>
        <v>0</v>
      </c>
      <c r="AV36" s="109">
        <f>SUM(AV5:AV35)</f>
        <v>0</v>
      </c>
      <c r="AW36" s="119">
        <f>SUM(AW5:AW35)</f>
        <v>0</v>
      </c>
      <c r="AX36" s="124" t="e">
        <f>AW36/AP36</f>
        <v>#DIV/0!</v>
      </c>
      <c r="AY36" s="126">
        <f t="shared" ref="AY36:BK36" si="39">SUM(AY5:AY35)</f>
        <v>1413</v>
      </c>
      <c r="AZ36" s="118">
        <f t="shared" si="39"/>
        <v>10077955</v>
      </c>
      <c r="BA36" s="118">
        <f t="shared" si="39"/>
        <v>2422195</v>
      </c>
      <c r="BB36" s="119">
        <f>SUM(BB5:BB35)</f>
        <v>12490250</v>
      </c>
      <c r="BC36" s="127">
        <f t="shared" si="39"/>
        <v>95150</v>
      </c>
      <c r="BD36" s="128">
        <f t="shared" si="39"/>
        <v>1413</v>
      </c>
      <c r="BE36" s="128">
        <f t="shared" si="39"/>
        <v>8553140</v>
      </c>
      <c r="BF36" s="128">
        <f t="shared" si="39"/>
        <v>1857550</v>
      </c>
      <c r="BG36" s="128">
        <f t="shared" si="39"/>
        <v>91300</v>
      </c>
      <c r="BH36" s="128">
        <f t="shared" si="39"/>
        <v>3850</v>
      </c>
      <c r="BI36" s="128">
        <f t="shared" si="39"/>
        <v>23100</v>
      </c>
      <c r="BJ36" s="128">
        <f t="shared" si="39"/>
        <v>0</v>
      </c>
      <c r="BK36" s="129">
        <f t="shared" si="39"/>
        <v>10505840</v>
      </c>
      <c r="BM36" s="131">
        <f>SUM(BM5:BM35)</f>
        <v>10076470</v>
      </c>
    </row>
    <row r="37" spans="2:65" s="130" customFormat="1" ht="18">
      <c r="B37" s="132"/>
      <c r="E37" s="133" t="s">
        <v>42</v>
      </c>
      <c r="F37" s="134">
        <f>F36/1.1</f>
        <v>2965999.9999999995</v>
      </c>
      <c r="G37" s="135">
        <f>F37/E36</f>
        <v>3730.8176100628925</v>
      </c>
      <c r="H37" s="136">
        <f>H36/1.1</f>
        <v>492945.45454545453</v>
      </c>
      <c r="I37" s="135">
        <f>H37/E36</f>
        <v>620.05717552887359</v>
      </c>
      <c r="J37" s="137">
        <f>J36/1.1</f>
        <v>3458945.4545454541</v>
      </c>
      <c r="K37" s="138">
        <f>G37+I37</f>
        <v>4350.8747855917663</v>
      </c>
      <c r="L37" s="139"/>
      <c r="M37" s="133" t="s">
        <v>42</v>
      </c>
      <c r="N37" s="134">
        <f>N36/1.1</f>
        <v>4809581.8181818174</v>
      </c>
      <c r="O37" s="135">
        <f>N37/M36</f>
        <v>7782.494851426889</v>
      </c>
      <c r="P37" s="136">
        <f>P36/1.1</f>
        <v>1195736.3636363635</v>
      </c>
      <c r="Q37" s="135">
        <f>P37/M36</f>
        <v>1934.8484848484848</v>
      </c>
      <c r="R37" s="135">
        <f>R36/1.1</f>
        <v>6005318.1818181816</v>
      </c>
      <c r="S37" s="140">
        <f>R37/M36</f>
        <v>9717.3433362753749</v>
      </c>
      <c r="T37" s="133" t="s">
        <v>42</v>
      </c>
      <c r="U37" s="134">
        <f>U36/1.1</f>
        <v>7775581.8181818174</v>
      </c>
      <c r="V37" s="134">
        <f>V36/1.1</f>
        <v>1688681.8181818181</v>
      </c>
      <c r="W37" s="137">
        <f>W36/1.1</f>
        <v>9464263.6363636348</v>
      </c>
      <c r="X37" s="141"/>
      <c r="Y37" s="139"/>
      <c r="Z37" s="133" t="s">
        <v>42</v>
      </c>
      <c r="AA37" s="134">
        <f>AA36/1.1</f>
        <v>167009.09090909088</v>
      </c>
      <c r="AB37" s="136">
        <f>AA37/Z36</f>
        <v>396.69617793133227</v>
      </c>
      <c r="AC37" s="136">
        <f>AC36/1.1</f>
        <v>90572.727272727265</v>
      </c>
      <c r="AD37" s="136">
        <f>AC37/Z36</f>
        <v>215.13711941265385</v>
      </c>
      <c r="AE37" s="135">
        <f>AE36/1.1</f>
        <v>257581.81818181815</v>
      </c>
      <c r="AF37" s="142">
        <f>AE37/Z36</f>
        <v>611.83329734398615</v>
      </c>
      <c r="AG37" s="139"/>
      <c r="AH37" s="133" t="s">
        <v>42</v>
      </c>
      <c r="AI37" s="134">
        <f>AI36/1.1</f>
        <v>1219186.3636363635</v>
      </c>
      <c r="AJ37" s="136">
        <f>AI37/AH36</f>
        <v>4323.3558994197292</v>
      </c>
      <c r="AK37" s="136">
        <f>AK36/1.1</f>
        <v>422740.90909090906</v>
      </c>
      <c r="AL37" s="136">
        <f>AK37/AH36</f>
        <v>1499.081237911025</v>
      </c>
      <c r="AM37" s="135">
        <f>AM36/1.1</f>
        <v>1641927.2727272727</v>
      </c>
      <c r="AN37" s="143" t="e">
        <f>AM37/AG36</f>
        <v>#DIV/0!</v>
      </c>
      <c r="AO37" s="139"/>
      <c r="AP37" s="133" t="s">
        <v>42</v>
      </c>
      <c r="AQ37" s="134">
        <f>AQ36/1.1</f>
        <v>0</v>
      </c>
      <c r="AR37" s="136" t="e">
        <f>AQ37/AP36</f>
        <v>#DIV/0!</v>
      </c>
      <c r="AS37" s="136">
        <f>AS36/1.1</f>
        <v>0</v>
      </c>
      <c r="AT37" s="136" t="e">
        <f>AS37/AP36</f>
        <v>#DIV/0!</v>
      </c>
      <c r="AU37" s="136">
        <f>AU36/1.1</f>
        <v>0</v>
      </c>
      <c r="AV37" s="136">
        <f>AV36/1.1</f>
        <v>0</v>
      </c>
      <c r="AW37" s="135">
        <f>AW36/1.1</f>
        <v>0</v>
      </c>
      <c r="AX37" s="143" t="e">
        <f>AW37/AP36</f>
        <v>#DIV/0!</v>
      </c>
      <c r="AY37" s="144" t="s">
        <v>42</v>
      </c>
      <c r="AZ37" s="134">
        <f>AZ36/1.1</f>
        <v>9161777.2727272715</v>
      </c>
      <c r="BA37" s="134">
        <f>BA36/1.1</f>
        <v>2201995.4545454546</v>
      </c>
      <c r="BB37" s="135">
        <f>BB36/1.1</f>
        <v>11354772.727272727</v>
      </c>
      <c r="BC37" s="145">
        <f>BC36/1.1</f>
        <v>86500</v>
      </c>
      <c r="BH37" s="146"/>
      <c r="BK37" s="147">
        <f>BK36/1.1</f>
        <v>9550763.6363636348</v>
      </c>
      <c r="BM37" s="147"/>
    </row>
    <row r="38" spans="2:65">
      <c r="C38" s="49">
        <v>30</v>
      </c>
      <c r="E38" s="148" t="s">
        <v>43</v>
      </c>
      <c r="F38" s="149">
        <f>E36/G38</f>
        <v>26.5</v>
      </c>
      <c r="G38" s="150">
        <v>30</v>
      </c>
      <c r="H38" s="149"/>
      <c r="I38" s="149"/>
      <c r="J38" s="151" t="s">
        <v>44</v>
      </c>
      <c r="K38" s="152">
        <f>J37/G38</f>
        <v>115298.18181818181</v>
      </c>
      <c r="M38" s="148" t="s">
        <v>43</v>
      </c>
      <c r="N38" s="149">
        <f>M36/O38</f>
        <v>20.6</v>
      </c>
      <c r="O38" s="150">
        <f>G38</f>
        <v>30</v>
      </c>
      <c r="P38" s="149"/>
      <c r="Q38" s="149"/>
      <c r="R38" s="151" t="s">
        <v>44</v>
      </c>
      <c r="S38" s="153">
        <f>R37/O38</f>
        <v>200177.27272727274</v>
      </c>
      <c r="U38" s="154">
        <f>O38</f>
        <v>30</v>
      </c>
      <c r="W38" s="85">
        <f>W37/U38</f>
        <v>315475.45454545447</v>
      </c>
      <c r="X38" s="79"/>
      <c r="AA38" s="155">
        <f>G38</f>
        <v>30</v>
      </c>
      <c r="AB38" s="149"/>
      <c r="AC38" s="149"/>
      <c r="AD38" s="149"/>
      <c r="AE38" s="149"/>
      <c r="AF38" s="152">
        <f>AE37/AA38</f>
        <v>8586.0606060606042</v>
      </c>
      <c r="AI38" s="155">
        <f>AA38</f>
        <v>30</v>
      </c>
      <c r="AJ38" s="149"/>
      <c r="AK38" s="149"/>
      <c r="AL38" s="149"/>
      <c r="AM38" s="149"/>
      <c r="AN38" s="152">
        <f>AM37/AI38</f>
        <v>54730.909090909088</v>
      </c>
      <c r="AQ38" s="155">
        <f>G38</f>
        <v>30</v>
      </c>
      <c r="AR38" s="149"/>
      <c r="AS38" s="149"/>
      <c r="AT38" s="149"/>
      <c r="AU38" s="149"/>
      <c r="AV38" s="149"/>
      <c r="AW38" s="149"/>
      <c r="AX38" s="152">
        <f>AW37/AQ38</f>
        <v>0</v>
      </c>
      <c r="BB38" s="85"/>
      <c r="BC38" s="79" t="e">
        <f>BB37/BD37</f>
        <v>#DIV/0!</v>
      </c>
      <c r="BD38" s="156">
        <f>AY36+T36</f>
        <v>2826</v>
      </c>
      <c r="BH38" s="85"/>
    </row>
    <row r="39" spans="2:65">
      <c r="D39" s="157" t="s">
        <v>45</v>
      </c>
      <c r="E39" s="158"/>
      <c r="F39" s="149"/>
      <c r="G39" s="159"/>
      <c r="H39" s="149"/>
      <c r="I39" s="149"/>
      <c r="J39" s="151"/>
      <c r="K39" s="152"/>
      <c r="L39" s="160" t="s">
        <v>46</v>
      </c>
      <c r="M39" s="148"/>
      <c r="N39" s="149"/>
      <c r="O39" s="149"/>
      <c r="P39" s="149"/>
      <c r="Q39" s="149"/>
      <c r="R39" s="151"/>
      <c r="S39" s="152"/>
      <c r="W39" s="85"/>
      <c r="X39" s="79"/>
      <c r="Y39" s="160" t="s">
        <v>47</v>
      </c>
      <c r="AA39" s="149"/>
      <c r="AB39" s="149"/>
      <c r="AC39" s="149"/>
      <c r="AD39" s="149"/>
      <c r="AE39" s="149"/>
      <c r="AF39" s="152"/>
      <c r="AG39" s="160" t="s">
        <v>48</v>
      </c>
      <c r="AI39" s="149"/>
      <c r="AJ39" s="149"/>
      <c r="AK39" s="149"/>
      <c r="AL39" s="149"/>
      <c r="AM39" s="149"/>
      <c r="AN39" s="152"/>
      <c r="AO39" s="160" t="s">
        <v>49</v>
      </c>
      <c r="AQ39" s="149"/>
      <c r="AR39" s="149"/>
      <c r="AS39" s="149"/>
      <c r="AT39" s="149"/>
      <c r="AU39" s="149"/>
      <c r="AV39" s="149"/>
      <c r="AW39" s="149"/>
      <c r="AX39" s="152"/>
      <c r="BB39" s="79">
        <f>BB36+BC36</f>
        <v>12585400</v>
      </c>
      <c r="BC39" s="161">
        <f>BB39/G38</f>
        <v>419513.33333333331</v>
      </c>
      <c r="BD39" s="49" t="s">
        <v>50</v>
      </c>
      <c r="BH39" s="85"/>
    </row>
    <row r="40" spans="2:65" ht="21.5" customHeight="1">
      <c r="C40" s="160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49">
        <v>25</v>
      </c>
      <c r="W40" s="79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BB40" s="163">
        <f>BB37+BC37</f>
        <v>11441272.727272727</v>
      </c>
    </row>
    <row r="41" spans="2:65" ht="21.5" customHeight="1">
      <c r="C41" s="160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49">
        <v>15</v>
      </c>
      <c r="V41" s="49">
        <f>17+10+14+5+7+8+9+6</f>
        <v>76</v>
      </c>
      <c r="W41" s="85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BB41" s="79"/>
      <c r="BC41" s="161">
        <f>BB40/G38</f>
        <v>381375.75757575757</v>
      </c>
      <c r="BD41" s="49" t="s">
        <v>51</v>
      </c>
      <c r="BE41" s="49">
        <v>9</v>
      </c>
    </row>
    <row r="42" spans="2:65" ht="21.5" customHeight="1">
      <c r="C42" s="160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49">
        <v>13</v>
      </c>
      <c r="W42" s="79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BE42" s="49">
        <v>8</v>
      </c>
      <c r="BF42" s="85">
        <f>AS37</f>
        <v>0</v>
      </c>
    </row>
    <row r="43" spans="2:65" ht="21.5" customHeight="1">
      <c r="C43" s="160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49">
        <v>10</v>
      </c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BB43" s="85">
        <f>BB37+BC37</f>
        <v>11441272.727272727</v>
      </c>
      <c r="BC43" s="164" t="s">
        <v>52</v>
      </c>
      <c r="BE43" s="49">
        <v>7</v>
      </c>
      <c r="BF43" s="165">
        <f>'[1]2023(7)'!AS37</f>
        <v>15843636.363636361</v>
      </c>
      <c r="BG43" s="165">
        <v>6266320</v>
      </c>
      <c r="BH43" s="166">
        <f>BG43/BF43</f>
        <v>0.39551021344962134</v>
      </c>
    </row>
    <row r="44" spans="2:65" ht="21.5" customHeight="1">
      <c r="C44" s="160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49">
        <v>40</v>
      </c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Z44" s="130"/>
      <c r="BA44" s="167" t="s">
        <v>53</v>
      </c>
      <c r="BB44" s="147">
        <f>J45+R45+AE45+BC44+AM45+AW45</f>
        <v>10578162</v>
      </c>
      <c r="BC44" s="168"/>
      <c r="BD44" s="130"/>
      <c r="BE44" s="49">
        <v>6</v>
      </c>
      <c r="BF44" s="165">
        <v>7119727</v>
      </c>
      <c r="BG44" s="165">
        <v>2680643</v>
      </c>
      <c r="BH44" s="166">
        <f t="shared" ref="BH44:BH45" si="40">BG44/BF44</f>
        <v>0.37650923975034434</v>
      </c>
      <c r="BI44" s="49" t="s">
        <v>54</v>
      </c>
    </row>
    <row r="45" spans="2:65" ht="21" customHeight="1">
      <c r="H45" s="169"/>
      <c r="I45" s="170" t="s">
        <v>55</v>
      </c>
      <c r="J45" s="147">
        <v>3274362</v>
      </c>
      <c r="K45" s="171" t="s">
        <v>56</v>
      </c>
      <c r="L45" s="130"/>
      <c r="M45" s="130"/>
      <c r="N45" s="130"/>
      <c r="O45" s="130"/>
      <c r="P45" s="130"/>
      <c r="Q45" s="170" t="s">
        <v>57</v>
      </c>
      <c r="R45" s="147">
        <v>5517600</v>
      </c>
      <c r="S45" s="171" t="s">
        <v>56</v>
      </c>
      <c r="T45" s="130">
        <v>10</v>
      </c>
      <c r="U45" s="130"/>
      <c r="V45" s="170" t="s">
        <v>58</v>
      </c>
      <c r="W45" s="147">
        <f>J45+R45</f>
        <v>8791962</v>
      </c>
      <c r="X45" s="171" t="s">
        <v>56</v>
      </c>
      <c r="Y45" s="130"/>
      <c r="Z45" s="130"/>
      <c r="AA45" s="130"/>
      <c r="AB45" s="130"/>
      <c r="AC45" s="130"/>
      <c r="AD45" s="169" t="s">
        <v>59</v>
      </c>
      <c r="AE45" s="147">
        <v>290400</v>
      </c>
      <c r="AF45" s="171" t="s">
        <v>56</v>
      </c>
      <c r="AG45" s="171"/>
      <c r="AH45" s="171"/>
      <c r="AI45" s="171"/>
      <c r="AJ45" s="171"/>
      <c r="AK45" s="130"/>
      <c r="AL45" s="170" t="s">
        <v>60</v>
      </c>
      <c r="AM45" s="147">
        <v>1495800</v>
      </c>
      <c r="AN45" s="171" t="s">
        <v>56</v>
      </c>
      <c r="AO45" s="171"/>
      <c r="AP45" s="171"/>
      <c r="AQ45" s="171"/>
      <c r="AR45" s="171"/>
      <c r="AS45" s="130"/>
      <c r="AT45" s="170" t="s">
        <v>61</v>
      </c>
      <c r="AU45" s="170"/>
      <c r="AV45" s="170"/>
      <c r="AW45" s="147">
        <v>0</v>
      </c>
      <c r="AX45" s="171" t="s">
        <v>56</v>
      </c>
      <c r="AY45" s="130"/>
      <c r="AZ45" s="130"/>
      <c r="BA45" s="167" t="s">
        <v>62</v>
      </c>
      <c r="BB45" s="146">
        <f>BB44-BB37-BC37</f>
        <v>-863110.7272727266</v>
      </c>
      <c r="BC45" s="146">
        <f>BC44-BC37</f>
        <v>-86500</v>
      </c>
      <c r="BD45" s="172" t="e">
        <f>BC37/BC44</f>
        <v>#DIV/0!</v>
      </c>
      <c r="BE45" s="49">
        <v>5</v>
      </c>
      <c r="BF45" s="165">
        <v>637682</v>
      </c>
      <c r="BG45" s="165"/>
      <c r="BH45" s="166">
        <f t="shared" si="40"/>
        <v>0</v>
      </c>
      <c r="BI45" s="79" t="s">
        <v>63</v>
      </c>
      <c r="BM45" s="49"/>
    </row>
    <row r="46" spans="2:65" ht="21" customHeight="1">
      <c r="H46" s="169"/>
      <c r="I46" s="169" t="s">
        <v>62</v>
      </c>
      <c r="J46" s="146">
        <f>J45-J37</f>
        <v>-184583.45454545412</v>
      </c>
      <c r="K46" s="173">
        <f>C38-G38</f>
        <v>0</v>
      </c>
      <c r="L46" s="130"/>
      <c r="M46" s="130"/>
      <c r="N46" s="130"/>
      <c r="O46" s="130"/>
      <c r="P46" s="130"/>
      <c r="Q46" s="169" t="s">
        <v>62</v>
      </c>
      <c r="R46" s="146">
        <f>R45-R37</f>
        <v>-487718.18181818165</v>
      </c>
      <c r="S46" s="130">
        <f>K46</f>
        <v>0</v>
      </c>
      <c r="T46" s="130"/>
      <c r="U46" s="130"/>
      <c r="V46" s="169" t="s">
        <v>62</v>
      </c>
      <c r="W46" s="146">
        <f>W45-W37</f>
        <v>-672301.63636363484</v>
      </c>
      <c r="X46" s="130">
        <f>S46</f>
        <v>0</v>
      </c>
      <c r="Y46" s="130"/>
      <c r="Z46" s="130"/>
      <c r="AA46" s="130"/>
      <c r="AB46" s="130"/>
      <c r="AC46" s="130"/>
      <c r="AD46" s="169" t="s">
        <v>62</v>
      </c>
      <c r="AE46" s="146">
        <f>AE45-AE37</f>
        <v>32818.181818181853</v>
      </c>
      <c r="AF46" s="130">
        <f>K46</f>
        <v>0</v>
      </c>
      <c r="AG46" s="130"/>
      <c r="AH46" s="130"/>
      <c r="AI46" s="130"/>
      <c r="AJ46" s="130"/>
      <c r="AK46" s="130"/>
      <c r="AL46" s="169" t="s">
        <v>62</v>
      </c>
      <c r="AM46" s="146">
        <f>AM45-AM37</f>
        <v>-146127.27272727271</v>
      </c>
      <c r="AN46" s="130">
        <f>AF46</f>
        <v>0</v>
      </c>
      <c r="AO46" s="130"/>
      <c r="AP46" s="130"/>
      <c r="AQ46" s="130"/>
      <c r="AR46" s="130"/>
      <c r="AS46" s="130"/>
      <c r="AT46" s="169" t="s">
        <v>62</v>
      </c>
      <c r="AU46" s="169"/>
      <c r="AV46" s="174"/>
      <c r="AW46" s="146">
        <f>AW45-AW37</f>
        <v>0</v>
      </c>
      <c r="AX46" s="130">
        <f>AN46</f>
        <v>0</v>
      </c>
      <c r="AY46" s="130"/>
      <c r="AZ46" s="175"/>
      <c r="BA46" s="176" t="s">
        <v>64</v>
      </c>
      <c r="BB46" s="177" t="e">
        <f>BB45/K46</f>
        <v>#DIV/0!</v>
      </c>
      <c r="BC46" s="178">
        <f>(BB37+BC37)/BB44</f>
        <v>1.0815936385992886</v>
      </c>
      <c r="BD46" s="175"/>
      <c r="BE46" s="179"/>
      <c r="BF46" s="180">
        <f>SUM(BF41:BF45)</f>
        <v>23601045.36363636</v>
      </c>
      <c r="BG46" s="181">
        <f>BK71</f>
        <v>9138052</v>
      </c>
      <c r="BH46" s="182">
        <f>BG46/BF46</f>
        <v>0.38718844268142383</v>
      </c>
      <c r="BI46" s="183">
        <f>BF46-BG46</f>
        <v>14462993.36363636</v>
      </c>
      <c r="BM46" s="49"/>
    </row>
    <row r="47" spans="2:65" s="179" customFormat="1" ht="26" customHeight="1">
      <c r="B47" s="184"/>
      <c r="H47" s="185"/>
      <c r="I47" s="176" t="s">
        <v>64</v>
      </c>
      <c r="J47" s="186" t="e">
        <f>J46/K46</f>
        <v>#DIV/0!</v>
      </c>
      <c r="K47" s="187">
        <f>J37/J45</f>
        <v>1.0563723420151634</v>
      </c>
      <c r="L47" s="175"/>
      <c r="M47" s="175"/>
      <c r="N47" s="175"/>
      <c r="O47" s="175"/>
      <c r="P47" s="175"/>
      <c r="Q47" s="176" t="s">
        <v>64</v>
      </c>
      <c r="R47" s="177" t="e">
        <f>R46/S46</f>
        <v>#DIV/0!</v>
      </c>
      <c r="S47" s="187">
        <f>R37/R45</f>
        <v>1.088393174898177</v>
      </c>
      <c r="T47" s="175"/>
      <c r="U47" s="175"/>
      <c r="V47" s="176" t="s">
        <v>64</v>
      </c>
      <c r="W47" s="177" t="e">
        <f>W46/X46</f>
        <v>#DIV/0!</v>
      </c>
      <c r="X47" s="187">
        <f>W37/W45</f>
        <v>1.0764677595698928</v>
      </c>
      <c r="Y47" s="175"/>
      <c r="Z47" s="175"/>
      <c r="AA47" s="175"/>
      <c r="AB47" s="175"/>
      <c r="AC47" s="175"/>
      <c r="AD47" s="176" t="s">
        <v>64</v>
      </c>
      <c r="AE47" s="186" t="e">
        <f>AE46/AF46</f>
        <v>#DIV/0!</v>
      </c>
      <c r="AF47" s="187">
        <f>AE37/AE45</f>
        <v>0.88698973203105425</v>
      </c>
      <c r="AG47" s="187"/>
      <c r="AH47" s="187"/>
      <c r="AI47" s="187"/>
      <c r="AJ47" s="187"/>
      <c r="AK47" s="175"/>
      <c r="AL47" s="176" t="s">
        <v>64</v>
      </c>
      <c r="AM47" s="177" t="e">
        <f>AM46/AN46</f>
        <v>#DIV/0!</v>
      </c>
      <c r="AN47" s="187">
        <f>AM37/AM45</f>
        <v>1.0976917186303468</v>
      </c>
      <c r="AO47" s="187"/>
      <c r="AP47" s="187"/>
      <c r="AQ47" s="187"/>
      <c r="AR47" s="187"/>
      <c r="AS47" s="175"/>
      <c r="AT47" s="176" t="s">
        <v>64</v>
      </c>
      <c r="AU47" s="176"/>
      <c r="AV47" s="176" t="e">
        <f>AV46/AX46</f>
        <v>#DIV/0!</v>
      </c>
      <c r="AW47" s="177" t="e">
        <f>AW46/AX46</f>
        <v>#DIV/0!</v>
      </c>
      <c r="AX47" s="187" t="e">
        <f>AW37/AW45</f>
        <v>#DIV/0!</v>
      </c>
      <c r="AY47" s="175"/>
      <c r="AZ47" s="49"/>
      <c r="BA47" s="49"/>
      <c r="BB47" s="85"/>
      <c r="BC47" s="49"/>
      <c r="BD47" s="49"/>
      <c r="BE47" s="49"/>
      <c r="BI47" s="188"/>
      <c r="BK47" s="188"/>
    </row>
    <row r="48" spans="2:65">
      <c r="H48" s="49">
        <v>931</v>
      </c>
      <c r="I48" s="49">
        <f>H48/31</f>
        <v>30.032258064516128</v>
      </c>
      <c r="K48" s="49">
        <f>J45/31</f>
        <v>105624.58064516129</v>
      </c>
      <c r="P48" s="49">
        <v>557</v>
      </c>
      <c r="Q48" s="49">
        <f>P48/31</f>
        <v>17.967741935483872</v>
      </c>
      <c r="S48" s="49">
        <f>R45/31</f>
        <v>177987.09677419355</v>
      </c>
      <c r="AX48" s="49" t="e">
        <f>AW37/AV45</f>
        <v>#DIV/0!</v>
      </c>
      <c r="AZ48" s="189"/>
      <c r="BA48" s="189"/>
      <c r="BB48" s="189"/>
      <c r="BC48" s="189"/>
      <c r="BD48" s="189"/>
      <c r="BE48" s="189"/>
      <c r="BI48" s="79"/>
      <c r="BM48" s="49"/>
    </row>
    <row r="49" spans="2:63" s="189" customFormat="1" ht="24" customHeight="1">
      <c r="B49" s="190"/>
      <c r="I49" s="189" t="s">
        <v>65</v>
      </c>
      <c r="J49" s="191" t="e">
        <f>(I5+I8+I9+I10+I11+I12+I15+I16+I17+I18+I19+I22+I23+I24+I25+I26)/16</f>
        <v>#DIV/0!</v>
      </c>
      <c r="K49" s="189">
        <v>800000</v>
      </c>
      <c r="L49" s="192"/>
      <c r="M49" s="49"/>
      <c r="N49" s="49"/>
      <c r="O49" s="49"/>
      <c r="P49" s="49"/>
      <c r="Q49" s="49"/>
      <c r="R49" s="192">
        <v>400000</v>
      </c>
      <c r="AE49" s="189">
        <f>AE45/30</f>
        <v>9680</v>
      </c>
      <c r="AQ49" s="193">
        <f>AP14+AP21</f>
        <v>0</v>
      </c>
      <c r="AR49" s="194" t="e">
        <f>AR14+AR21</f>
        <v>#DIV/0!</v>
      </c>
      <c r="AS49" s="194" t="e">
        <f>AT14+AT21</f>
        <v>#DIV/0!</v>
      </c>
      <c r="AW49" s="189">
        <f>AW45/30</f>
        <v>0</v>
      </c>
      <c r="AZ49" s="1"/>
      <c r="BA49" s="1"/>
      <c r="BB49" s="1"/>
      <c r="BC49" s="1"/>
      <c r="BD49" s="195" t="s">
        <v>66</v>
      </c>
      <c r="BE49" s="1" t="s">
        <v>67</v>
      </c>
      <c r="BF49" s="1" t="s">
        <v>68</v>
      </c>
      <c r="BG49" s="1" t="s">
        <v>69</v>
      </c>
      <c r="BH49" s="1" t="s">
        <v>70</v>
      </c>
      <c r="BI49" s="196" t="s">
        <v>71</v>
      </c>
      <c r="BJ49" s="196" t="s">
        <v>72</v>
      </c>
      <c r="BK49" s="196" t="s">
        <v>73</v>
      </c>
    </row>
    <row r="50" spans="2:63" s="1" customFormat="1" ht="24" customHeight="1">
      <c r="B50" s="190"/>
      <c r="I50" s="1" t="s">
        <v>74</v>
      </c>
      <c r="J50" s="191">
        <f>(I6+I7+I13+I14+I20+I21+I27)/7</f>
        <v>1000.4622436773117</v>
      </c>
      <c r="L50" s="197"/>
      <c r="M50" s="49"/>
      <c r="N50" s="49"/>
      <c r="O50" s="49"/>
      <c r="P50" s="49"/>
      <c r="Q50" s="49"/>
      <c r="R50" s="197"/>
      <c r="S50" s="197"/>
      <c r="Z50" s="198"/>
      <c r="AQ50" s="1">
        <f>AQ49/2</f>
        <v>0</v>
      </c>
      <c r="AR50" s="199" t="e">
        <f t="shared" ref="AR50:AS50" si="41">AR49/2</f>
        <v>#DIV/0!</v>
      </c>
      <c r="AS50" s="199" t="e">
        <f t="shared" si="41"/>
        <v>#DIV/0!</v>
      </c>
      <c r="AW50" s="1">
        <v>54000000</v>
      </c>
      <c r="AX50" s="200">
        <f>AW50-AW37</f>
        <v>54000000</v>
      </c>
      <c r="AZ50" s="189"/>
      <c r="BA50" s="189"/>
      <c r="BB50" s="189"/>
      <c r="BC50" s="189"/>
      <c r="BD50" s="195" t="s">
        <v>75</v>
      </c>
      <c r="BE50" s="201">
        <v>1800</v>
      </c>
      <c r="BF50" s="201">
        <v>21</v>
      </c>
      <c r="BG50" s="202">
        <v>0</v>
      </c>
      <c r="BH50" s="201"/>
      <c r="BI50" s="203">
        <f>BF50*BE50</f>
        <v>37800</v>
      </c>
      <c r="BJ50" s="203">
        <f>BE50*BG50</f>
        <v>0</v>
      </c>
      <c r="BK50" s="203">
        <f>BI50-BJ50</f>
        <v>37800</v>
      </c>
    </row>
    <row r="51" spans="2:63" s="189" customFormat="1" ht="24" customHeight="1">
      <c r="B51" s="190"/>
      <c r="K51" s="1"/>
      <c r="L51" s="197"/>
      <c r="M51" s="49"/>
      <c r="N51" s="49"/>
      <c r="O51" s="49"/>
      <c r="P51" s="49"/>
      <c r="Q51" s="49"/>
      <c r="R51" s="205"/>
      <c r="S51" s="206"/>
      <c r="T51" s="206"/>
      <c r="U51" s="206" t="s">
        <v>77</v>
      </c>
      <c r="V51" s="206"/>
      <c r="W51" s="207"/>
      <c r="X51" s="208"/>
      <c r="Y51" s="195"/>
      <c r="Z51" s="203"/>
      <c r="AX51" s="189" t="e">
        <f>AX50/AX46</f>
        <v>#DIV/0!</v>
      </c>
      <c r="BD51" s="195" t="s">
        <v>78</v>
      </c>
      <c r="BE51" s="201">
        <v>10800</v>
      </c>
      <c r="BF51" s="201">
        <v>640</v>
      </c>
      <c r="BG51" s="201">
        <v>20</v>
      </c>
      <c r="BH51" s="201"/>
      <c r="BI51" s="203">
        <f t="shared" ref="BI51:BI70" si="42">BE51*BF51</f>
        <v>6912000</v>
      </c>
      <c r="BJ51" s="203">
        <f t="shared" ref="BJ51:BJ70" si="43">BE51*BG51</f>
        <v>216000</v>
      </c>
      <c r="BK51" s="203">
        <f t="shared" ref="BK51:BK70" si="44">BI51-BJ51</f>
        <v>6696000</v>
      </c>
    </row>
    <row r="52" spans="2:63" s="189" customFormat="1" ht="24" customHeight="1">
      <c r="B52" s="190"/>
      <c r="K52" s="1"/>
      <c r="L52" s="197"/>
      <c r="M52" s="49"/>
      <c r="N52" s="49"/>
      <c r="O52" s="49"/>
      <c r="P52" s="49"/>
      <c r="Q52" s="49"/>
      <c r="R52" s="207"/>
      <c r="S52" s="206"/>
      <c r="T52" s="206"/>
      <c r="U52" s="209" t="s">
        <v>80</v>
      </c>
      <c r="V52" s="210" t="s">
        <v>81</v>
      </c>
      <c r="W52" s="211"/>
      <c r="X52" s="212" t="e">
        <f>W52/Y52</f>
        <v>#DIV/0!</v>
      </c>
      <c r="Y52" s="213">
        <f>W52+W53</f>
        <v>0</v>
      </c>
      <c r="Z52" s="214"/>
      <c r="AA52" s="214"/>
      <c r="BD52" s="195" t="s">
        <v>82</v>
      </c>
      <c r="BE52" s="201">
        <v>6120</v>
      </c>
      <c r="BF52" s="201">
        <v>40</v>
      </c>
      <c r="BG52" s="201">
        <v>4</v>
      </c>
      <c r="BH52" s="201"/>
      <c r="BI52" s="203">
        <f t="shared" si="42"/>
        <v>244800</v>
      </c>
      <c r="BJ52" s="203">
        <f t="shared" si="43"/>
        <v>24480</v>
      </c>
      <c r="BK52" s="203">
        <f t="shared" si="44"/>
        <v>220320</v>
      </c>
    </row>
    <row r="53" spans="2:63" s="189" customFormat="1" ht="24" customHeight="1">
      <c r="B53" s="190"/>
      <c r="K53" s="1"/>
      <c r="L53" s="197"/>
      <c r="M53" s="49"/>
      <c r="N53" s="49"/>
      <c r="O53" s="49"/>
      <c r="P53" s="49"/>
      <c r="Q53" s="49"/>
      <c r="R53" s="207"/>
      <c r="S53" s="206"/>
      <c r="T53" s="206"/>
      <c r="U53" s="209"/>
      <c r="V53" s="210" t="s">
        <v>84</v>
      </c>
      <c r="W53" s="211"/>
      <c r="X53" s="212" t="e">
        <f>W53/Y52</f>
        <v>#DIV/0!</v>
      </c>
      <c r="Y53" s="214"/>
      <c r="Z53" s="214"/>
      <c r="AA53" s="214"/>
      <c r="AU53" s="189">
        <v>4670600</v>
      </c>
      <c r="AV53" s="189">
        <v>19016645.454545453</v>
      </c>
      <c r="AW53" s="189">
        <v>16482254.545454545</v>
      </c>
      <c r="AX53" s="189">
        <v>6958118.1818181816</v>
      </c>
      <c r="BB53" s="189" t="s">
        <v>85</v>
      </c>
      <c r="BD53" s="195" t="s">
        <v>86</v>
      </c>
      <c r="BE53" s="201">
        <v>1780</v>
      </c>
      <c r="BF53" s="201">
        <v>24</v>
      </c>
      <c r="BG53" s="201">
        <v>4</v>
      </c>
      <c r="BH53" s="201"/>
      <c r="BI53" s="203">
        <f t="shared" si="42"/>
        <v>42720</v>
      </c>
      <c r="BJ53" s="203">
        <f t="shared" si="43"/>
        <v>7120</v>
      </c>
      <c r="BK53" s="203">
        <f t="shared" si="44"/>
        <v>35600</v>
      </c>
    </row>
    <row r="54" spans="2:63" s="189" customFormat="1" ht="24" customHeight="1">
      <c r="B54" s="190"/>
      <c r="K54" s="1"/>
      <c r="L54" s="197"/>
      <c r="M54" s="49"/>
      <c r="N54" s="49"/>
      <c r="O54" s="49"/>
      <c r="P54" s="49"/>
      <c r="Q54" s="49"/>
      <c r="R54" s="207"/>
      <c r="S54" s="206"/>
      <c r="T54" s="206"/>
      <c r="U54" s="215" t="s">
        <v>88</v>
      </c>
      <c r="V54" s="210" t="s">
        <v>81</v>
      </c>
      <c r="W54" s="211"/>
      <c r="X54" s="212" t="e">
        <f t="shared" ref="X54" si="45">W54/Y54</f>
        <v>#DIV/0!</v>
      </c>
      <c r="Y54" s="213">
        <f t="shared" ref="Y54" si="46">W54+W55</f>
        <v>0</v>
      </c>
      <c r="Z54" s="214"/>
      <c r="AA54" s="214"/>
      <c r="BD54" s="195" t="s">
        <v>89</v>
      </c>
      <c r="BE54" s="201">
        <v>1780</v>
      </c>
      <c r="BF54" s="201">
        <v>24</v>
      </c>
      <c r="BG54" s="201">
        <v>20</v>
      </c>
      <c r="BH54" s="201"/>
      <c r="BI54" s="203">
        <f t="shared" si="42"/>
        <v>42720</v>
      </c>
      <c r="BJ54" s="203">
        <f t="shared" si="43"/>
        <v>35600</v>
      </c>
      <c r="BK54" s="203">
        <f t="shared" si="44"/>
        <v>7120</v>
      </c>
    </row>
    <row r="55" spans="2:63" s="189" customFormat="1" ht="24" customHeight="1">
      <c r="B55" s="190"/>
      <c r="L55" s="192"/>
      <c r="M55" s="49"/>
      <c r="N55" s="49"/>
      <c r="O55" s="49"/>
      <c r="P55" s="49"/>
      <c r="Q55" s="49"/>
      <c r="R55" s="216"/>
      <c r="S55" s="206"/>
      <c r="T55" s="206"/>
      <c r="U55" s="215"/>
      <c r="V55" s="210" t="s">
        <v>84</v>
      </c>
      <c r="W55" s="211"/>
      <c r="X55" s="212" t="e">
        <f t="shared" ref="X55" si="47">W55/Y54</f>
        <v>#DIV/0!</v>
      </c>
      <c r="Y55" s="214"/>
      <c r="Z55" s="214"/>
      <c r="AA55" s="214"/>
      <c r="AZ55" s="49"/>
      <c r="BA55" s="49"/>
      <c r="BB55" s="49"/>
      <c r="BC55" s="49"/>
      <c r="BD55" s="195" t="s">
        <v>91</v>
      </c>
      <c r="BE55" s="217">
        <v>8190</v>
      </c>
      <c r="BF55" s="201">
        <v>13</v>
      </c>
      <c r="BG55" s="201">
        <v>4</v>
      </c>
      <c r="BH55" s="201"/>
      <c r="BI55" s="203">
        <f t="shared" si="42"/>
        <v>106470</v>
      </c>
      <c r="BJ55" s="203">
        <f t="shared" si="43"/>
        <v>32760</v>
      </c>
      <c r="BK55" s="203">
        <f t="shared" si="44"/>
        <v>73710</v>
      </c>
    </row>
    <row r="56" spans="2:63" ht="24" customHeight="1">
      <c r="U56" s="218" t="s">
        <v>2</v>
      </c>
      <c r="V56" s="219" t="s">
        <v>81</v>
      </c>
      <c r="W56" s="211"/>
      <c r="X56" s="212" t="e">
        <f t="shared" ref="X56:X58" si="48">W56/Y56</f>
        <v>#DIV/0!</v>
      </c>
      <c r="Y56" s="213">
        <f t="shared" ref="Y56" si="49">W56+W57</f>
        <v>0</v>
      </c>
      <c r="Z56" s="214"/>
      <c r="AA56" s="214"/>
      <c r="BD56" s="195" t="s">
        <v>93</v>
      </c>
      <c r="BE56" s="217">
        <v>5784</v>
      </c>
      <c r="BF56" s="217">
        <v>36</v>
      </c>
      <c r="BG56" s="217">
        <v>28</v>
      </c>
      <c r="BH56" s="217"/>
      <c r="BI56" s="203">
        <f t="shared" si="42"/>
        <v>208224</v>
      </c>
      <c r="BJ56" s="203">
        <f t="shared" si="43"/>
        <v>161952</v>
      </c>
      <c r="BK56" s="203">
        <f t="shared" si="44"/>
        <v>46272</v>
      </c>
    </row>
    <row r="57" spans="2:63" ht="24" customHeight="1">
      <c r="U57" s="218"/>
      <c r="V57" s="219" t="s">
        <v>84</v>
      </c>
      <c r="W57" s="211"/>
      <c r="X57" s="212" t="e">
        <f t="shared" ref="X57:X59" si="50">W57/Y56</f>
        <v>#DIV/0!</v>
      </c>
      <c r="Y57" s="214"/>
      <c r="Z57" s="214"/>
      <c r="AA57" s="214"/>
      <c r="BD57" s="195" t="s">
        <v>95</v>
      </c>
      <c r="BE57" s="217">
        <v>6775</v>
      </c>
      <c r="BF57" s="217">
        <v>12</v>
      </c>
      <c r="BG57" s="217">
        <v>11</v>
      </c>
      <c r="BH57" s="217"/>
      <c r="BI57" s="203">
        <f t="shared" si="42"/>
        <v>81300</v>
      </c>
      <c r="BJ57" s="203">
        <f t="shared" si="43"/>
        <v>74525</v>
      </c>
      <c r="BK57" s="203">
        <f t="shared" si="44"/>
        <v>6775</v>
      </c>
    </row>
    <row r="58" spans="2:63" ht="24" customHeight="1">
      <c r="U58" s="220" t="s">
        <v>96</v>
      </c>
      <c r="V58" s="219" t="s">
        <v>81</v>
      </c>
      <c r="W58" s="211"/>
      <c r="X58" s="212" t="e">
        <f t="shared" si="48"/>
        <v>#DIV/0!</v>
      </c>
      <c r="Y58" s="221">
        <f>SUM(Y52:AA56)</f>
        <v>0</v>
      </c>
      <c r="Z58" s="222"/>
      <c r="AA58" s="222"/>
      <c r="BD58" s="195" t="s">
        <v>97</v>
      </c>
      <c r="BE58" s="217">
        <v>1755</v>
      </c>
      <c r="BF58" s="217">
        <v>14</v>
      </c>
      <c r="BG58" s="217">
        <v>2</v>
      </c>
      <c r="BH58" s="217"/>
      <c r="BI58" s="203">
        <f t="shared" si="42"/>
        <v>24570</v>
      </c>
      <c r="BJ58" s="203">
        <f t="shared" si="43"/>
        <v>3510</v>
      </c>
      <c r="BK58" s="203">
        <f t="shared" si="44"/>
        <v>21060</v>
      </c>
    </row>
    <row r="59" spans="2:63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20"/>
      <c r="V59" s="219" t="s">
        <v>84</v>
      </c>
      <c r="W59" s="211"/>
      <c r="X59" s="212" t="e">
        <f t="shared" si="50"/>
        <v>#DIV/0!</v>
      </c>
      <c r="Y59" s="222"/>
      <c r="Z59" s="222"/>
      <c r="AA59" s="222"/>
      <c r="BD59" s="195" t="s">
        <v>98</v>
      </c>
      <c r="BE59" s="217">
        <v>1755</v>
      </c>
      <c r="BF59" s="217">
        <v>10</v>
      </c>
      <c r="BG59" s="217">
        <v>0</v>
      </c>
      <c r="BH59" s="217"/>
      <c r="BI59" s="203">
        <f t="shared" si="42"/>
        <v>17550</v>
      </c>
      <c r="BJ59" s="203">
        <f t="shared" si="43"/>
        <v>0</v>
      </c>
      <c r="BK59" s="203">
        <f t="shared" si="44"/>
        <v>17550</v>
      </c>
    </row>
    <row r="60" spans="2:63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D60" s="195" t="s">
        <v>99</v>
      </c>
      <c r="BE60" s="217">
        <v>1075</v>
      </c>
      <c r="BF60" s="217">
        <v>96</v>
      </c>
      <c r="BG60" s="217">
        <v>38</v>
      </c>
      <c r="BH60" s="217"/>
      <c r="BI60" s="203">
        <f t="shared" si="42"/>
        <v>103200</v>
      </c>
      <c r="BJ60" s="203">
        <f t="shared" si="43"/>
        <v>40850</v>
      </c>
      <c r="BK60" s="203">
        <f t="shared" si="44"/>
        <v>62350</v>
      </c>
    </row>
    <row r="61" spans="2:63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D61" s="195" t="s">
        <v>100</v>
      </c>
      <c r="BE61" s="217">
        <v>3860</v>
      </c>
      <c r="BF61" s="217">
        <v>166</v>
      </c>
      <c r="BG61" s="217">
        <v>13</v>
      </c>
      <c r="BH61" s="217"/>
      <c r="BI61" s="203">
        <f t="shared" si="42"/>
        <v>640760</v>
      </c>
      <c r="BJ61" s="203">
        <f t="shared" si="43"/>
        <v>50180</v>
      </c>
      <c r="BK61" s="203">
        <f t="shared" si="44"/>
        <v>590580</v>
      </c>
    </row>
    <row r="62" spans="2:63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D62" s="195" t="s">
        <v>101</v>
      </c>
      <c r="BE62" s="217">
        <v>6450</v>
      </c>
      <c r="BF62" s="217">
        <v>137</v>
      </c>
      <c r="BG62" s="217">
        <v>12</v>
      </c>
      <c r="BH62" s="217"/>
      <c r="BI62" s="203">
        <f t="shared" si="42"/>
        <v>883650</v>
      </c>
      <c r="BJ62" s="203">
        <f t="shared" si="43"/>
        <v>77400</v>
      </c>
      <c r="BK62" s="203">
        <f t="shared" si="44"/>
        <v>806250</v>
      </c>
    </row>
    <row r="63" spans="2:63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D63" s="195" t="s">
        <v>102</v>
      </c>
      <c r="BE63" s="217">
        <v>1380</v>
      </c>
      <c r="BF63" s="217">
        <v>35</v>
      </c>
      <c r="BG63" s="217">
        <v>5</v>
      </c>
      <c r="BH63" s="217"/>
      <c r="BI63" s="203">
        <f t="shared" si="42"/>
        <v>48300</v>
      </c>
      <c r="BJ63" s="203">
        <f t="shared" si="43"/>
        <v>6900</v>
      </c>
      <c r="BK63" s="203">
        <f t="shared" si="44"/>
        <v>41400</v>
      </c>
    </row>
    <row r="64" spans="2:63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D64" s="195" t="s">
        <v>103</v>
      </c>
      <c r="BE64" s="217">
        <v>1380</v>
      </c>
      <c r="BF64" s="217">
        <v>39</v>
      </c>
      <c r="BG64" s="217">
        <v>6</v>
      </c>
      <c r="BH64" s="217"/>
      <c r="BI64" s="203">
        <f t="shared" si="42"/>
        <v>53820</v>
      </c>
      <c r="BJ64" s="203">
        <f t="shared" si="43"/>
        <v>8280</v>
      </c>
      <c r="BK64" s="203">
        <f t="shared" si="44"/>
        <v>45540</v>
      </c>
    </row>
    <row r="65" spans="6:63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D65" s="195" t="s">
        <v>104</v>
      </c>
      <c r="BE65" s="217">
        <v>160</v>
      </c>
      <c r="BF65" s="217">
        <v>594</v>
      </c>
      <c r="BG65" s="217">
        <v>53</v>
      </c>
      <c r="BH65" s="217"/>
      <c r="BI65" s="203">
        <f t="shared" si="42"/>
        <v>95040</v>
      </c>
      <c r="BJ65" s="203">
        <f t="shared" si="43"/>
        <v>8480</v>
      </c>
      <c r="BK65" s="203">
        <f t="shared" si="44"/>
        <v>86560</v>
      </c>
    </row>
    <row r="66" spans="6:63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D66" s="195" t="s">
        <v>105</v>
      </c>
      <c r="BE66" s="217">
        <v>160</v>
      </c>
      <c r="BF66" s="217">
        <v>300</v>
      </c>
      <c r="BG66" s="217">
        <v>47</v>
      </c>
      <c r="BH66" s="217"/>
      <c r="BI66" s="203">
        <f t="shared" si="42"/>
        <v>48000</v>
      </c>
      <c r="BJ66" s="203">
        <f t="shared" si="43"/>
        <v>7520</v>
      </c>
      <c r="BK66" s="203">
        <f t="shared" si="44"/>
        <v>40480</v>
      </c>
    </row>
    <row r="67" spans="6:63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D67" s="195" t="s">
        <v>106</v>
      </c>
      <c r="BE67" s="217">
        <v>205</v>
      </c>
      <c r="BF67" s="217">
        <v>366</v>
      </c>
      <c r="BG67" s="217">
        <v>49</v>
      </c>
      <c r="BH67" s="217"/>
      <c r="BI67" s="203">
        <f t="shared" si="42"/>
        <v>75030</v>
      </c>
      <c r="BJ67" s="203">
        <f t="shared" si="43"/>
        <v>10045</v>
      </c>
      <c r="BK67" s="203">
        <f t="shared" si="44"/>
        <v>64985</v>
      </c>
    </row>
    <row r="68" spans="6:63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D68" s="195" t="s">
        <v>107</v>
      </c>
      <c r="BE68" s="217">
        <v>295</v>
      </c>
      <c r="BF68" s="217">
        <v>612</v>
      </c>
      <c r="BG68" s="217">
        <v>86</v>
      </c>
      <c r="BH68" s="217"/>
      <c r="BI68" s="203">
        <f t="shared" si="42"/>
        <v>180540</v>
      </c>
      <c r="BJ68" s="203">
        <f t="shared" si="43"/>
        <v>25370</v>
      </c>
      <c r="BK68" s="203">
        <f t="shared" si="44"/>
        <v>155170</v>
      </c>
    </row>
    <row r="69" spans="6:63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D69" s="195" t="s">
        <v>108</v>
      </c>
      <c r="BE69" s="217">
        <v>70</v>
      </c>
      <c r="BF69" s="217">
        <v>480</v>
      </c>
      <c r="BG69" s="217">
        <v>71</v>
      </c>
      <c r="BH69" s="217"/>
      <c r="BI69" s="203">
        <f t="shared" si="42"/>
        <v>33600</v>
      </c>
      <c r="BJ69" s="203">
        <f t="shared" si="43"/>
        <v>4970</v>
      </c>
      <c r="BK69" s="203">
        <f t="shared" si="44"/>
        <v>28630</v>
      </c>
    </row>
    <row r="70" spans="6:63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D70" s="195" t="s">
        <v>109</v>
      </c>
      <c r="BE70" s="217">
        <v>2450</v>
      </c>
      <c r="BF70" s="217">
        <v>31</v>
      </c>
      <c r="BG70" s="217">
        <v>9</v>
      </c>
      <c r="BH70" s="217"/>
      <c r="BI70" s="203">
        <f t="shared" si="42"/>
        <v>75950</v>
      </c>
      <c r="BJ70" s="203">
        <f t="shared" si="43"/>
        <v>22050</v>
      </c>
      <c r="BK70" s="203">
        <f t="shared" si="44"/>
        <v>53900</v>
      </c>
    </row>
    <row r="71" spans="6:63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D71" s="195"/>
      <c r="BI71" s="223">
        <f>SUM(BI50:BI70)</f>
        <v>9956044</v>
      </c>
      <c r="BJ71" s="223">
        <f t="shared" ref="BJ71:BK71" si="51">SUM(BJ50:BJ70)</f>
        <v>817992</v>
      </c>
      <c r="BK71" s="223">
        <f t="shared" si="51"/>
        <v>9138052</v>
      </c>
    </row>
    <row r="72" spans="6:63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D72" s="195"/>
    </row>
    <row r="73" spans="6:63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D73" s="195"/>
    </row>
    <row r="74" spans="6:63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D74" s="195"/>
    </row>
    <row r="75" spans="6:63" ht="24" customHeight="1">
      <c r="F75" s="49">
        <v>625.79999999999995</v>
      </c>
      <c r="N75" s="49">
        <v>1707.5</v>
      </c>
      <c r="BD75" s="195"/>
    </row>
    <row r="76" spans="6:63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D76" s="195"/>
    </row>
    <row r="77" spans="6:63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D77" s="195"/>
    </row>
    <row r="78" spans="6:63" ht="24" customHeight="1">
      <c r="BD78" s="195"/>
    </row>
    <row r="79" spans="6:63" ht="24" customHeight="1">
      <c r="BD79" s="195"/>
    </row>
    <row r="80" spans="6:63" ht="24" customHeight="1">
      <c r="BD80" s="195"/>
    </row>
    <row r="81" spans="56:56" ht="24" customHeight="1">
      <c r="BD81" s="195"/>
    </row>
    <row r="82" spans="56:56" ht="24" customHeight="1">
      <c r="BD82" s="195"/>
    </row>
    <row r="83" spans="56:56" ht="24" customHeight="1">
      <c r="BD83" s="195"/>
    </row>
    <row r="84" spans="56:56" ht="24" customHeight="1">
      <c r="BD84" s="195"/>
    </row>
    <row r="85" spans="56:56" ht="24" customHeight="1">
      <c r="BD85" s="195"/>
    </row>
    <row r="86" spans="56:56" ht="24" customHeight="1">
      <c r="BD86" s="195"/>
    </row>
    <row r="87" spans="56:56" ht="24" customHeight="1">
      <c r="BD87" s="195"/>
    </row>
    <row r="88" spans="56:56" ht="24" customHeight="1">
      <c r="BD88" s="195"/>
    </row>
    <row r="89" spans="56:56" ht="24" customHeight="1">
      <c r="BD89" s="195"/>
    </row>
    <row r="90" spans="56:56" ht="24" customHeight="1">
      <c r="BD90" s="195"/>
    </row>
    <row r="91" spans="56:56" ht="24" customHeight="1">
      <c r="BD91" s="195"/>
    </row>
    <row r="92" spans="56:56" ht="24" customHeight="1">
      <c r="BD92" s="195"/>
    </row>
    <row r="93" spans="56:56" ht="24" customHeight="1">
      <c r="BD93" s="195"/>
    </row>
    <row r="94" spans="56:56" ht="24" customHeight="1">
      <c r="BD94" s="195"/>
    </row>
    <row r="95" spans="56:56" ht="24" customHeight="1">
      <c r="BD95" s="195"/>
    </row>
    <row r="96" spans="56:56" ht="24" customHeight="1">
      <c r="BD96" s="195"/>
    </row>
    <row r="97" spans="56:56" ht="24" customHeight="1">
      <c r="BD97" s="195"/>
    </row>
    <row r="98" spans="56:56" ht="24" customHeight="1">
      <c r="BD98" s="195"/>
    </row>
    <row r="99" spans="56:56" ht="24" customHeight="1">
      <c r="BD99" s="195"/>
    </row>
    <row r="100" spans="56:56" ht="24" customHeight="1">
      <c r="BD100" s="195"/>
    </row>
    <row r="101" spans="56:56" ht="24" customHeight="1">
      <c r="BD101" s="195"/>
    </row>
    <row r="102" spans="56:56" ht="24" customHeight="1">
      <c r="BD102" s="195"/>
    </row>
    <row r="103" spans="56:56" ht="24" customHeight="1">
      <c r="BD103" s="195"/>
    </row>
    <row r="104" spans="56:56" ht="24" customHeight="1">
      <c r="BD104" s="195"/>
    </row>
    <row r="105" spans="56:56" ht="24" customHeight="1">
      <c r="BD105" s="195"/>
    </row>
    <row r="106" spans="56:56" ht="24" customHeight="1">
      <c r="BD106" s="195"/>
    </row>
    <row r="107" spans="56:56" ht="24" customHeight="1">
      <c r="BD107" s="195"/>
    </row>
    <row r="108" spans="56:56" ht="24" customHeight="1">
      <c r="BD108" s="195"/>
    </row>
    <row r="109" spans="56:56" ht="24" customHeight="1">
      <c r="BD109" s="195"/>
    </row>
    <row r="110" spans="56:56" ht="24" customHeight="1">
      <c r="BD110" s="195"/>
    </row>
    <row r="111" spans="56:56" ht="24" customHeight="1">
      <c r="BD111" s="195"/>
    </row>
    <row r="112" spans="56:56" ht="24" customHeight="1">
      <c r="BD112" s="195"/>
    </row>
    <row r="113" spans="56:56" ht="24" customHeight="1">
      <c r="BD113" s="195"/>
    </row>
    <row r="114" spans="56:56" ht="24" customHeight="1">
      <c r="BD114" s="195"/>
    </row>
    <row r="115" spans="56:56" ht="24" customHeight="1">
      <c r="BD115" s="195"/>
    </row>
    <row r="116" spans="56:56" ht="24" customHeight="1">
      <c r="BD116" s="195"/>
    </row>
    <row r="117" spans="56:56" ht="24" customHeight="1">
      <c r="BD117" s="195"/>
    </row>
    <row r="118" spans="56:56" ht="24" customHeight="1">
      <c r="BD118" s="195"/>
    </row>
    <row r="119" spans="56:56" ht="24" customHeight="1">
      <c r="BD119" s="195"/>
    </row>
    <row r="120" spans="56:56" ht="24" customHeight="1">
      <c r="BD120" s="195"/>
    </row>
    <row r="121" spans="56:56" ht="24" customHeight="1">
      <c r="BD121" s="195"/>
    </row>
    <row r="122" spans="56:56" ht="24" customHeight="1">
      <c r="BD122" s="195"/>
    </row>
    <row r="123" spans="56:56" ht="24" customHeight="1">
      <c r="BD123" s="195"/>
    </row>
    <row r="124" spans="56:56" ht="24" customHeight="1">
      <c r="BD124" s="195"/>
    </row>
    <row r="125" spans="56:56" ht="24" customHeight="1">
      <c r="BD125" s="195"/>
    </row>
    <row r="126" spans="56:56" ht="24" customHeight="1">
      <c r="BD126" s="195"/>
    </row>
    <row r="127" spans="56:56" ht="24" customHeight="1">
      <c r="BD127" s="195"/>
    </row>
    <row r="128" spans="56:56" ht="24" customHeight="1">
      <c r="BD128" s="195"/>
    </row>
    <row r="129" spans="56:56" ht="24" customHeight="1">
      <c r="BD129" s="195"/>
    </row>
    <row r="130" spans="56:56" ht="24" customHeight="1">
      <c r="BD130" s="195"/>
    </row>
    <row r="131" spans="56:56" ht="24" customHeight="1">
      <c r="BD131" s="195"/>
    </row>
    <row r="132" spans="56:56" ht="24" customHeight="1">
      <c r="BD132" s="195"/>
    </row>
    <row r="133" spans="56:56" ht="24" customHeight="1">
      <c r="BD133" s="195"/>
    </row>
    <row r="134" spans="56:56" ht="24" customHeight="1">
      <c r="BD134" s="195"/>
    </row>
    <row r="135" spans="56:56" ht="24" customHeight="1">
      <c r="BD135" s="195"/>
    </row>
    <row r="136" spans="56:56" ht="24" customHeight="1">
      <c r="BD136" s="195"/>
    </row>
    <row r="137" spans="56:56" ht="24" customHeight="1">
      <c r="BD137" s="195"/>
    </row>
    <row r="138" spans="56:56" ht="24" customHeight="1">
      <c r="BD138" s="195"/>
    </row>
    <row r="139" spans="56:56" ht="24" customHeight="1">
      <c r="BD139" s="195"/>
    </row>
    <row r="140" spans="56:56" ht="24" customHeight="1">
      <c r="BD140" s="195"/>
    </row>
    <row r="141" spans="56:56" ht="24" customHeight="1">
      <c r="BD141" s="195"/>
    </row>
    <row r="142" spans="56:56" ht="24" customHeight="1">
      <c r="BD142" s="195"/>
    </row>
    <row r="143" spans="56:56" ht="24" customHeight="1">
      <c r="BD143" s="195"/>
    </row>
    <row r="144" spans="56:56" ht="24" customHeight="1">
      <c r="BD144" s="195"/>
    </row>
    <row r="145" spans="56:56" ht="24" customHeight="1">
      <c r="BD145" s="195"/>
    </row>
    <row r="146" spans="56:56" ht="24" customHeight="1">
      <c r="BD146" s="195"/>
    </row>
    <row r="147" spans="56:56" ht="24" customHeight="1">
      <c r="BD147" s="195"/>
    </row>
    <row r="148" spans="56:56" ht="24" customHeight="1">
      <c r="BD148" s="195"/>
    </row>
    <row r="149" spans="56:56" ht="24" customHeight="1">
      <c r="BD149" s="195"/>
    </row>
    <row r="150" spans="56:56" ht="24" customHeight="1">
      <c r="BD150" s="195"/>
    </row>
    <row r="151" spans="56:56" ht="24" customHeight="1">
      <c r="BD151" s="195"/>
    </row>
    <row r="152" spans="56:56" ht="24" customHeight="1">
      <c r="BD152" s="195"/>
    </row>
    <row r="153" spans="56:56" ht="24" customHeight="1">
      <c r="BD153" s="195"/>
    </row>
    <row r="154" spans="56:56" ht="24" customHeight="1">
      <c r="BD154" s="195"/>
    </row>
    <row r="155" spans="56:56" ht="24" customHeight="1">
      <c r="BD155" s="195"/>
    </row>
    <row r="156" spans="56:56" ht="24" customHeight="1">
      <c r="BD156" s="195"/>
    </row>
    <row r="157" spans="56:56" ht="24" customHeight="1">
      <c r="BD157" s="195"/>
    </row>
    <row r="158" spans="56:56" ht="24" customHeight="1">
      <c r="BD158" s="195"/>
    </row>
    <row r="159" spans="56:56" ht="24" customHeight="1">
      <c r="BD159" s="195"/>
    </row>
    <row r="160" spans="56:56" ht="24" customHeight="1">
      <c r="BD160" s="195"/>
    </row>
    <row r="161" spans="56:56" ht="24" customHeight="1">
      <c r="BD161" s="195"/>
    </row>
    <row r="162" spans="56:56" ht="24" customHeight="1">
      <c r="BD162" s="195"/>
    </row>
    <row r="163" spans="56:56" ht="24" customHeight="1">
      <c r="BD163" s="195"/>
    </row>
    <row r="164" spans="56:56" ht="24" customHeight="1">
      <c r="BD164" s="195"/>
    </row>
    <row r="165" spans="56:56" ht="24" customHeight="1">
      <c r="BD165" s="195"/>
    </row>
    <row r="166" spans="56:56" ht="24" customHeight="1">
      <c r="BD166" s="195"/>
    </row>
    <row r="167" spans="56:56" ht="24" customHeight="1">
      <c r="BD167" s="195"/>
    </row>
    <row r="168" spans="56:56" ht="24" customHeight="1">
      <c r="BD168" s="195"/>
    </row>
    <row r="169" spans="56:56" ht="24" customHeight="1">
      <c r="BD169" s="195"/>
    </row>
    <row r="170" spans="56:56" ht="24" customHeight="1">
      <c r="BD170" s="195"/>
    </row>
    <row r="171" spans="56:56" ht="24" customHeight="1">
      <c r="BD171" s="195"/>
    </row>
    <row r="172" spans="56:56" ht="24" customHeight="1">
      <c r="BD172" s="195"/>
    </row>
    <row r="173" spans="56:56" ht="24" customHeight="1">
      <c r="BD173" s="195"/>
    </row>
    <row r="174" spans="56:56" ht="24" customHeight="1">
      <c r="BD174" s="195"/>
    </row>
    <row r="175" spans="56:56" ht="24" customHeight="1">
      <c r="BD175" s="195"/>
    </row>
    <row r="176" spans="56:56" ht="24" customHeight="1">
      <c r="BD176" s="195"/>
    </row>
    <row r="177" spans="56:56" ht="24" customHeight="1">
      <c r="BD177" s="195"/>
    </row>
    <row r="178" spans="56:56" ht="24" customHeight="1">
      <c r="BD178" s="195"/>
    </row>
    <row r="179" spans="56:56" ht="24" customHeight="1">
      <c r="BD179" s="195"/>
    </row>
    <row r="180" spans="56:56" ht="24" customHeight="1">
      <c r="BD180" s="195"/>
    </row>
    <row r="181" spans="56:56" ht="24" customHeight="1">
      <c r="BD181" s="195"/>
    </row>
    <row r="182" spans="56:56" ht="24" customHeight="1">
      <c r="BD182" s="195"/>
    </row>
    <row r="183" spans="56:56" ht="24" customHeight="1">
      <c r="BD183" s="195"/>
    </row>
    <row r="184" spans="56:56">
      <c r="BD184" s="195"/>
    </row>
    <row r="185" spans="56:56">
      <c r="BD185" s="195"/>
    </row>
    <row r="186" spans="56:56">
      <c r="BD186" s="195"/>
    </row>
    <row r="187" spans="56:56">
      <c r="BD187" s="195"/>
    </row>
    <row r="188" spans="56:56">
      <c r="BD188" s="195"/>
    </row>
    <row r="189" spans="56:56">
      <c r="BD189" s="195"/>
    </row>
    <row r="190" spans="56:56">
      <c r="BD190" s="195"/>
    </row>
    <row r="191" spans="56:56">
      <c r="BD191" s="195"/>
    </row>
    <row r="192" spans="56:56">
      <c r="BD192" s="195"/>
    </row>
    <row r="193" spans="56:56">
      <c r="BD193" s="195"/>
    </row>
    <row r="194" spans="56:56">
      <c r="BD194" s="195"/>
    </row>
    <row r="195" spans="56:56">
      <c r="BD195" s="195"/>
    </row>
    <row r="196" spans="56:56">
      <c r="BD196" s="195"/>
    </row>
    <row r="197" spans="56:56">
      <c r="BD197" s="195"/>
    </row>
    <row r="198" spans="56:56">
      <c r="BD198" s="195"/>
    </row>
    <row r="199" spans="56:56">
      <c r="BD199" s="195"/>
    </row>
    <row r="200" spans="56:56">
      <c r="BD200" s="195"/>
    </row>
    <row r="201" spans="56:56">
      <c r="BD201" s="195"/>
    </row>
    <row r="202" spans="56:56">
      <c r="BD202" s="195"/>
    </row>
    <row r="203" spans="56:56">
      <c r="BD203" s="195"/>
    </row>
    <row r="204" spans="56:56">
      <c r="BD204" s="195"/>
    </row>
    <row r="205" spans="56:56">
      <c r="BD205" s="195"/>
    </row>
    <row r="206" spans="56:56">
      <c r="BD206" s="195"/>
    </row>
    <row r="207" spans="56:56">
      <c r="BD207" s="195"/>
    </row>
    <row r="208" spans="56:56">
      <c r="BD208" s="195"/>
    </row>
    <row r="209" spans="56:56">
      <c r="BD209" s="195"/>
    </row>
    <row r="210" spans="56:56">
      <c r="BD210" s="195"/>
    </row>
    <row r="211" spans="56:56">
      <c r="BD211" s="195"/>
    </row>
    <row r="212" spans="56:56">
      <c r="BD212" s="195"/>
    </row>
    <row r="213" spans="56:56">
      <c r="BD213" s="195"/>
    </row>
    <row r="214" spans="56:56">
      <c r="BD214" s="195"/>
    </row>
    <row r="215" spans="56:56">
      <c r="BD215" s="195"/>
    </row>
    <row r="216" spans="56:56">
      <c r="BD216" s="195"/>
    </row>
    <row r="217" spans="56:56">
      <c r="BD217" s="195"/>
    </row>
    <row r="218" spans="56:56">
      <c r="BD218" s="195"/>
    </row>
    <row r="219" spans="56:56">
      <c r="BD219" s="195"/>
    </row>
    <row r="220" spans="56:56">
      <c r="BD220" s="195"/>
    </row>
    <row r="221" spans="56:56">
      <c r="BD221" s="195"/>
    </row>
    <row r="222" spans="56:56">
      <c r="BD222" s="195"/>
    </row>
    <row r="223" spans="56:56">
      <c r="BD223" s="195"/>
    </row>
    <row r="224" spans="56:56">
      <c r="BD224" s="195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X3"/>
    <mergeCell ref="AY3:BC3"/>
    <mergeCell ref="BD3:BK3"/>
    <mergeCell ref="D40:K44"/>
    <mergeCell ref="L40:S44"/>
    <mergeCell ref="Y40:AF44"/>
    <mergeCell ref="AG40:AN44"/>
    <mergeCell ref="AO40:AX44"/>
    <mergeCell ref="B3:B4"/>
    <mergeCell ref="D3:K3"/>
    <mergeCell ref="L3:S3"/>
    <mergeCell ref="T3:X3"/>
    <mergeCell ref="Y3:AF3"/>
    <mergeCell ref="AG3:AN3"/>
  </mergeCells>
  <phoneticPr fontId="2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BD28-181F-B54F-A9A7-5A0ABA7222E6}">
  <dimension ref="A1:BO224"/>
  <sheetViews>
    <sheetView tabSelected="1" workbookViewId="0">
      <selection sqref="A1:XFD1048576"/>
    </sheetView>
  </sheetViews>
  <sheetFormatPr baseColWidth="10" defaultColWidth="11.140625" defaultRowHeight="16"/>
  <cols>
    <col min="1" max="1" width="11.140625" style="49"/>
    <col min="2" max="2" width="10.42578125" style="132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30" width="7.5703125" style="49" customWidth="1"/>
    <col min="31" max="31" width="10" style="49" customWidth="1"/>
    <col min="32" max="32" width="7.5703125" style="49" customWidth="1"/>
    <col min="33" max="33" width="3.5703125" style="49" customWidth="1"/>
    <col min="34" max="38" width="7.5703125" style="49" customWidth="1"/>
    <col min="39" max="39" width="11.85546875" style="49" customWidth="1"/>
    <col min="40" max="40" width="10" style="49" customWidth="1"/>
    <col min="41" max="41" width="4.140625" style="49" customWidth="1"/>
    <col min="42" max="46" width="7.5703125" style="49" customWidth="1"/>
    <col min="47" max="48" width="9.140625" style="49" customWidth="1"/>
    <col min="49" max="49" width="11.28515625" style="49" customWidth="1"/>
    <col min="50" max="50" width="7.5703125" style="49" customWidth="1"/>
    <col min="51" max="51" width="5.7109375" style="49" customWidth="1"/>
    <col min="52" max="53" width="9.140625" style="49" customWidth="1"/>
    <col min="54" max="54" width="13.5703125" style="49" customWidth="1"/>
    <col min="55" max="55" width="11.140625" style="49"/>
    <col min="56" max="56" width="14.85546875" style="49" customWidth="1"/>
    <col min="57" max="62" width="11.140625" style="49"/>
    <col min="63" max="63" width="11.140625" style="79"/>
    <col min="64" max="64" width="11.140625" style="49"/>
    <col min="65" max="65" width="11.140625" style="79"/>
    <col min="66" max="16384" width="11.140625" style="49"/>
  </cols>
  <sheetData>
    <row r="1" spans="1:67" s="3" customFormat="1">
      <c r="A1" s="1" t="s">
        <v>0</v>
      </c>
      <c r="B1" s="2"/>
      <c r="BK1" s="4"/>
      <c r="BM1" s="4"/>
    </row>
    <row r="2" spans="1:67" s="3" customFormat="1" ht="35" thickBot="1">
      <c r="A2" s="5">
        <v>2024</v>
      </c>
      <c r="B2" s="6">
        <v>12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C2" s="3" t="s">
        <v>1</v>
      </c>
      <c r="BK2" s="4"/>
      <c r="BM2" s="4"/>
    </row>
    <row r="3" spans="1:67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6"/>
      <c r="AG3" s="17" t="s">
        <v>7</v>
      </c>
      <c r="AH3" s="18"/>
      <c r="AI3" s="18"/>
      <c r="AJ3" s="18"/>
      <c r="AK3" s="18"/>
      <c r="AL3" s="18"/>
      <c r="AM3" s="18"/>
      <c r="AN3" s="19"/>
      <c r="AO3" s="20" t="s">
        <v>8</v>
      </c>
      <c r="AP3" s="21"/>
      <c r="AQ3" s="21"/>
      <c r="AR3" s="21"/>
      <c r="AS3" s="21"/>
      <c r="AT3" s="21"/>
      <c r="AU3" s="21"/>
      <c r="AV3" s="21"/>
      <c r="AW3" s="21"/>
      <c r="AX3" s="22"/>
      <c r="AY3" s="23" t="s">
        <v>9</v>
      </c>
      <c r="AZ3" s="14"/>
      <c r="BA3" s="14"/>
      <c r="BB3" s="14"/>
      <c r="BC3" s="24"/>
      <c r="BD3" s="25" t="s">
        <v>10</v>
      </c>
      <c r="BE3" s="26"/>
      <c r="BF3" s="26"/>
      <c r="BG3" s="26"/>
      <c r="BH3" s="26"/>
      <c r="BI3" s="26"/>
      <c r="BJ3" s="26"/>
      <c r="BK3" s="27"/>
      <c r="BM3" s="4"/>
    </row>
    <row r="4" spans="1:67" s="8" customFormat="1" ht="53.25" customHeight="1" thickTop="1" thickBot="1">
      <c r="A4" s="28"/>
      <c r="B4" s="10"/>
      <c r="C4" s="29" t="s">
        <v>11</v>
      </c>
      <c r="D4" s="30" t="s">
        <v>12</v>
      </c>
      <c r="E4" s="31" t="s">
        <v>13</v>
      </c>
      <c r="F4" s="30" t="s">
        <v>14</v>
      </c>
      <c r="G4" s="32" t="s">
        <v>15</v>
      </c>
      <c r="H4" s="30" t="s">
        <v>16</v>
      </c>
      <c r="I4" s="33" t="s">
        <v>17</v>
      </c>
      <c r="J4" s="31" t="s">
        <v>18</v>
      </c>
      <c r="K4" s="30" t="s">
        <v>19</v>
      </c>
      <c r="L4" s="30" t="s">
        <v>20</v>
      </c>
      <c r="M4" s="34" t="s">
        <v>13</v>
      </c>
      <c r="N4" s="30" t="s">
        <v>14</v>
      </c>
      <c r="O4" s="32" t="s">
        <v>15</v>
      </c>
      <c r="P4" s="30" t="s">
        <v>16</v>
      </c>
      <c r="Q4" s="33" t="s">
        <v>17</v>
      </c>
      <c r="R4" s="31" t="s">
        <v>18</v>
      </c>
      <c r="S4" s="35" t="s">
        <v>19</v>
      </c>
      <c r="T4" s="36" t="s">
        <v>21</v>
      </c>
      <c r="U4" s="37" t="s">
        <v>22</v>
      </c>
      <c r="V4" s="37" t="s">
        <v>23</v>
      </c>
      <c r="W4" s="38" t="s">
        <v>24</v>
      </c>
      <c r="X4" s="37"/>
      <c r="Y4" s="39" t="s">
        <v>25</v>
      </c>
      <c r="Z4" s="37" t="s">
        <v>13</v>
      </c>
      <c r="AA4" s="37" t="s">
        <v>22</v>
      </c>
      <c r="AB4" s="40" t="s">
        <v>26</v>
      </c>
      <c r="AC4" s="37" t="s">
        <v>23</v>
      </c>
      <c r="AD4" s="38" t="s">
        <v>27</v>
      </c>
      <c r="AE4" s="41" t="s">
        <v>28</v>
      </c>
      <c r="AF4" s="42" t="s">
        <v>19</v>
      </c>
      <c r="AG4" s="43" t="s">
        <v>29</v>
      </c>
      <c r="AH4" s="30" t="s">
        <v>13</v>
      </c>
      <c r="AI4" s="30" t="s">
        <v>22</v>
      </c>
      <c r="AJ4" s="32" t="s">
        <v>26</v>
      </c>
      <c r="AK4" s="30" t="s">
        <v>23</v>
      </c>
      <c r="AL4" s="33" t="s">
        <v>27</v>
      </c>
      <c r="AM4" s="34" t="s">
        <v>28</v>
      </c>
      <c r="AN4" s="40" t="s">
        <v>19</v>
      </c>
      <c r="AO4" s="44" t="s">
        <v>29</v>
      </c>
      <c r="AP4" s="30" t="s">
        <v>13</v>
      </c>
      <c r="AQ4" s="30" t="s">
        <v>22</v>
      </c>
      <c r="AR4" s="32" t="s">
        <v>26</v>
      </c>
      <c r="AS4" s="30" t="s">
        <v>23</v>
      </c>
      <c r="AT4" s="33" t="s">
        <v>27</v>
      </c>
      <c r="AU4" s="33" t="s">
        <v>30</v>
      </c>
      <c r="AV4" s="33" t="s">
        <v>31</v>
      </c>
      <c r="AW4" s="34" t="s">
        <v>28</v>
      </c>
      <c r="AX4" s="40" t="s">
        <v>19</v>
      </c>
      <c r="AY4" s="40" t="s">
        <v>21</v>
      </c>
      <c r="AZ4" s="37" t="s">
        <v>22</v>
      </c>
      <c r="BA4" s="37" t="s">
        <v>23</v>
      </c>
      <c r="BB4" s="38" t="s">
        <v>24</v>
      </c>
      <c r="BC4" s="38" t="s">
        <v>32</v>
      </c>
      <c r="BD4" s="45" t="s">
        <v>33</v>
      </c>
      <c r="BE4" s="46" t="s">
        <v>34</v>
      </c>
      <c r="BF4" s="46" t="s">
        <v>35</v>
      </c>
      <c r="BG4" s="46" t="s">
        <v>36</v>
      </c>
      <c r="BH4" s="46" t="s">
        <v>37</v>
      </c>
      <c r="BI4" s="46" t="s">
        <v>38</v>
      </c>
      <c r="BJ4" s="46" t="s">
        <v>39</v>
      </c>
      <c r="BK4" s="47" t="s">
        <v>40</v>
      </c>
      <c r="BM4" s="48"/>
    </row>
    <row r="5" spans="1:67" ht="20" customHeight="1" thickTop="1">
      <c r="B5" s="50">
        <f>DATE($A$2,$B$2,1)</f>
        <v>45627</v>
      </c>
      <c r="C5" s="51"/>
      <c r="D5" s="52"/>
      <c r="E5" s="53">
        <v>19</v>
      </c>
      <c r="F5" s="54">
        <v>87450</v>
      </c>
      <c r="G5" s="55">
        <f t="shared" ref="G5:G35" si="0">ROUNDDOWN(F5/1.1,0)/E5</f>
        <v>4184.2105263157891</v>
      </c>
      <c r="H5" s="54">
        <v>19460</v>
      </c>
      <c r="I5" s="56">
        <f>ROUNDDOWN(H5/1.1,0)/E5</f>
        <v>931.0526315789474</v>
      </c>
      <c r="J5" s="57">
        <f t="shared" ref="J5:J35" si="1">F5+H5</f>
        <v>106910</v>
      </c>
      <c r="K5" s="58">
        <f t="shared" ref="K5:K35" si="2">IF(E5="","",J5/E5)</f>
        <v>5626.8421052631575</v>
      </c>
      <c r="L5" s="59"/>
      <c r="M5" s="60">
        <f t="shared" ref="M5:N35" si="3">BD5-E5</f>
        <v>31</v>
      </c>
      <c r="N5" s="61">
        <f t="shared" si="3"/>
        <v>341660</v>
      </c>
      <c r="O5" s="55">
        <f t="shared" ref="O5:O35" si="4">ROUNDDOWN(N5/1.1,0)/M5</f>
        <v>10019.354838709678</v>
      </c>
      <c r="P5" s="61">
        <f t="shared" ref="P5:P35" si="5">BF5-H5</f>
        <v>91580</v>
      </c>
      <c r="Q5" s="56">
        <f t="shared" ref="Q5:Q35" si="6">ROUNDDOWN(P5/1.1,0)/M5</f>
        <v>2685.6129032258063</v>
      </c>
      <c r="R5" s="62">
        <f t="shared" ref="R5:R35" si="7">N5+P5</f>
        <v>433240</v>
      </c>
      <c r="S5" s="58">
        <f t="shared" ref="S5:S35" si="8">IF(M5="","",R5/M5)</f>
        <v>13975.483870967742</v>
      </c>
      <c r="T5" s="63">
        <f t="shared" ref="T5:U35" si="9">E5+M5</f>
        <v>50</v>
      </c>
      <c r="U5" s="61">
        <f t="shared" si="9"/>
        <v>429110</v>
      </c>
      <c r="V5" s="61">
        <f t="shared" ref="V5:V35" si="10">H5+P5</f>
        <v>111040</v>
      </c>
      <c r="W5" s="64">
        <f t="shared" ref="W5:W35" si="11">J5+R5</f>
        <v>540150</v>
      </c>
      <c r="X5" s="61"/>
      <c r="Y5" s="65"/>
      <c r="Z5" s="66">
        <v>18</v>
      </c>
      <c r="AA5" s="54">
        <v>7900</v>
      </c>
      <c r="AB5" s="55">
        <f t="shared" ref="AB5:AB35" si="12">AA5/Z5</f>
        <v>438.88888888888891</v>
      </c>
      <c r="AC5" s="54">
        <v>4300</v>
      </c>
      <c r="AD5" s="56">
        <f t="shared" ref="AD5:AD35" si="13">AC5/Z5</f>
        <v>238.88888888888889</v>
      </c>
      <c r="AE5" s="67">
        <f t="shared" ref="AE5:AE35" si="14">AA5+AC5</f>
        <v>12200</v>
      </c>
      <c r="AF5" s="58">
        <f t="shared" ref="AF5:AF35" si="15">IF(Z5="","",AE5/Z5)</f>
        <v>677.77777777777783</v>
      </c>
      <c r="AG5" s="68"/>
      <c r="AH5" s="66">
        <v>12</v>
      </c>
      <c r="AI5" s="54">
        <v>46980</v>
      </c>
      <c r="AJ5" s="55">
        <f t="shared" ref="AJ5:AJ35" si="16">AI5/AH5</f>
        <v>3915</v>
      </c>
      <c r="AK5" s="54">
        <v>15660</v>
      </c>
      <c r="AL5" s="56">
        <f t="shared" ref="AL5:AL35" si="17">AK5/AH5</f>
        <v>1305</v>
      </c>
      <c r="AM5" s="67">
        <f>AI5+AK5</f>
        <v>62640</v>
      </c>
      <c r="AN5" s="69">
        <f t="shared" ref="AN5:AN35" si="18">IF(AH5="","",AM5/AH5)</f>
        <v>5220</v>
      </c>
      <c r="AO5" s="70"/>
      <c r="AP5" s="66"/>
      <c r="AQ5" s="54"/>
      <c r="AR5" s="55" t="e">
        <f t="shared" ref="AR5:AR35" si="19">AQ5/AP5</f>
        <v>#DIV/0!</v>
      </c>
      <c r="AS5" s="54"/>
      <c r="AT5" s="56" t="e">
        <f t="shared" ref="AT5:AT35" si="20">AS5/AP5</f>
        <v>#DIV/0!</v>
      </c>
      <c r="AU5" s="56"/>
      <c r="AV5" s="56"/>
      <c r="AW5" s="71">
        <f>AQ5+AS5+AU5+AV5</f>
        <v>0</v>
      </c>
      <c r="AX5" s="69" t="str">
        <f t="shared" ref="AX5:AX35" si="21">IF(AP5="","",AW5/AP5)</f>
        <v/>
      </c>
      <c r="AY5" s="72">
        <f t="shared" ref="AY5:AY35" si="22">SUM(E5,M5)</f>
        <v>50</v>
      </c>
      <c r="AZ5" s="61">
        <f t="shared" ref="AZ5:AZ35" si="23">U5+AA5+AI5+AQ5</f>
        <v>483990</v>
      </c>
      <c r="BA5" s="61">
        <f t="shared" ref="BA5:BA35" si="24">V5+AC5+AK5+AS5</f>
        <v>131000</v>
      </c>
      <c r="BB5" s="73">
        <f>W5+AE5+AM5+AW5</f>
        <v>614990</v>
      </c>
      <c r="BC5" s="74">
        <f>BG5+BH5</f>
        <v>16500</v>
      </c>
      <c r="BD5" s="75">
        <v>50</v>
      </c>
      <c r="BE5" s="76">
        <v>429110</v>
      </c>
      <c r="BF5" s="76">
        <v>111040</v>
      </c>
      <c r="BG5" s="77">
        <v>11000</v>
      </c>
      <c r="BH5" s="77">
        <v>5500</v>
      </c>
      <c r="BI5" s="77">
        <v>3300</v>
      </c>
      <c r="BJ5" s="77"/>
      <c r="BK5" s="78">
        <f>SUM(BE5:BH5)</f>
        <v>556650</v>
      </c>
      <c r="BL5" s="49">
        <v>1</v>
      </c>
      <c r="BM5" s="79">
        <f t="shared" ref="BM5:BM35" si="25">BJ5+BK5</f>
        <v>556650</v>
      </c>
    </row>
    <row r="6" spans="1:67" ht="20" customHeight="1">
      <c r="B6" s="80">
        <f t="shared" ref="B6:B35" si="26">B5+1</f>
        <v>45628</v>
      </c>
      <c r="C6" s="81"/>
      <c r="D6" s="52"/>
      <c r="E6" s="53">
        <v>23</v>
      </c>
      <c r="F6" s="54">
        <v>84700</v>
      </c>
      <c r="G6" s="55">
        <f t="shared" si="0"/>
        <v>3347.8260869565215</v>
      </c>
      <c r="H6" s="54">
        <v>11110</v>
      </c>
      <c r="I6" s="56">
        <f t="shared" ref="I6:I35" si="27">ROUNDDOWN(H6/1.1,0)/E6</f>
        <v>439.13043478260869</v>
      </c>
      <c r="J6" s="57">
        <f t="shared" si="1"/>
        <v>95810</v>
      </c>
      <c r="K6" s="58">
        <f t="shared" si="2"/>
        <v>4165.652173913043</v>
      </c>
      <c r="L6" s="59"/>
      <c r="M6" s="60">
        <f t="shared" si="3"/>
        <v>22</v>
      </c>
      <c r="N6" s="61">
        <f t="shared" si="3"/>
        <v>191180</v>
      </c>
      <c r="O6" s="55">
        <f t="shared" si="4"/>
        <v>7900</v>
      </c>
      <c r="P6" s="61">
        <f t="shared" si="5"/>
        <v>63470</v>
      </c>
      <c r="Q6" s="56">
        <f t="shared" si="6"/>
        <v>2622.7272727272725</v>
      </c>
      <c r="R6" s="62">
        <f t="shared" si="7"/>
        <v>254650</v>
      </c>
      <c r="S6" s="58">
        <f t="shared" si="8"/>
        <v>11575</v>
      </c>
      <c r="T6" s="82">
        <f t="shared" si="9"/>
        <v>45</v>
      </c>
      <c r="U6" s="61">
        <f t="shared" si="9"/>
        <v>275880</v>
      </c>
      <c r="V6" s="61">
        <f t="shared" si="10"/>
        <v>74580</v>
      </c>
      <c r="W6" s="64">
        <f t="shared" si="11"/>
        <v>350460</v>
      </c>
      <c r="X6" s="83"/>
      <c r="Y6" s="65"/>
      <c r="Z6" s="66">
        <v>21</v>
      </c>
      <c r="AA6" s="54">
        <v>9850</v>
      </c>
      <c r="AB6" s="55">
        <f t="shared" si="12"/>
        <v>469.04761904761904</v>
      </c>
      <c r="AC6" s="54">
        <v>2000</v>
      </c>
      <c r="AD6" s="56">
        <f t="shared" si="13"/>
        <v>95.238095238095241</v>
      </c>
      <c r="AE6" s="67">
        <f>AA6+AC6</f>
        <v>11850</v>
      </c>
      <c r="AF6" s="58">
        <f t="shared" si="15"/>
        <v>564.28571428571433</v>
      </c>
      <c r="AG6" s="68"/>
      <c r="AH6" s="66"/>
      <c r="AI6" s="54"/>
      <c r="AJ6" s="55" t="e">
        <f t="shared" si="16"/>
        <v>#DIV/0!</v>
      </c>
      <c r="AK6" s="54"/>
      <c r="AL6" s="56" t="e">
        <f t="shared" si="17"/>
        <v>#DIV/0!</v>
      </c>
      <c r="AM6" s="67">
        <f t="shared" ref="AM6:AM35" si="28">AI6+AK6</f>
        <v>0</v>
      </c>
      <c r="AN6" s="69" t="str">
        <f t="shared" si="18"/>
        <v/>
      </c>
      <c r="AO6" s="70"/>
      <c r="AP6" s="66"/>
      <c r="AQ6" s="54"/>
      <c r="AR6" s="55" t="e">
        <f t="shared" si="19"/>
        <v>#DIV/0!</v>
      </c>
      <c r="AS6" s="54"/>
      <c r="AT6" s="56" t="e">
        <f t="shared" si="20"/>
        <v>#DIV/0!</v>
      </c>
      <c r="AU6" s="56"/>
      <c r="AV6" s="56"/>
      <c r="AW6" s="71">
        <f>AQ6+AS6+AU6+AV6</f>
        <v>0</v>
      </c>
      <c r="AX6" s="69" t="str">
        <f t="shared" si="21"/>
        <v/>
      </c>
      <c r="AY6" s="84">
        <f t="shared" si="22"/>
        <v>45</v>
      </c>
      <c r="AZ6" s="61">
        <f t="shared" si="23"/>
        <v>285730</v>
      </c>
      <c r="BA6" s="61">
        <f t="shared" si="24"/>
        <v>76580</v>
      </c>
      <c r="BB6" s="73">
        <f>W6+AE6+AM6+AW6</f>
        <v>362310</v>
      </c>
      <c r="BC6" s="74">
        <f>BG6+BH6</f>
        <v>7150</v>
      </c>
      <c r="BD6" s="75">
        <v>45</v>
      </c>
      <c r="BE6" s="76">
        <v>275880</v>
      </c>
      <c r="BF6" s="76">
        <v>74580</v>
      </c>
      <c r="BG6" s="77">
        <v>4400</v>
      </c>
      <c r="BH6" s="77">
        <v>2750</v>
      </c>
      <c r="BI6" s="77"/>
      <c r="BJ6" s="77"/>
      <c r="BK6" s="78">
        <f t="shared" ref="BK6:BK35" si="29">SUM(BE6:BH6)</f>
        <v>357610</v>
      </c>
      <c r="BL6" s="49">
        <v>2</v>
      </c>
      <c r="BM6" s="79">
        <f t="shared" si="25"/>
        <v>357610</v>
      </c>
    </row>
    <row r="7" spans="1:67" ht="20" customHeight="1">
      <c r="B7" s="80">
        <f>B6+1</f>
        <v>45629</v>
      </c>
      <c r="C7" s="81"/>
      <c r="D7" s="52"/>
      <c r="E7" s="53">
        <v>30</v>
      </c>
      <c r="F7" s="54">
        <v>105820</v>
      </c>
      <c r="G7" s="55">
        <f t="shared" si="0"/>
        <v>3206.6666666666665</v>
      </c>
      <c r="H7" s="54">
        <v>14440</v>
      </c>
      <c r="I7" s="56">
        <f t="shared" si="27"/>
        <v>437.56666666666666</v>
      </c>
      <c r="J7" s="57">
        <f t="shared" si="1"/>
        <v>120260</v>
      </c>
      <c r="K7" s="58">
        <f t="shared" si="2"/>
        <v>4008.6666666666665</v>
      </c>
      <c r="L7" s="59"/>
      <c r="M7" s="60">
        <f t="shared" si="3"/>
        <v>29</v>
      </c>
      <c r="N7" s="61">
        <f t="shared" si="3"/>
        <v>289190</v>
      </c>
      <c r="O7" s="55">
        <f t="shared" si="4"/>
        <v>9065.5172413793098</v>
      </c>
      <c r="P7" s="61">
        <f t="shared" si="5"/>
        <v>74160</v>
      </c>
      <c r="Q7" s="56">
        <f t="shared" si="6"/>
        <v>2324.7586206896553</v>
      </c>
      <c r="R7" s="62">
        <f t="shared" si="7"/>
        <v>363350</v>
      </c>
      <c r="S7" s="58">
        <f t="shared" si="8"/>
        <v>12529.310344827587</v>
      </c>
      <c r="T7" s="82">
        <f t="shared" si="9"/>
        <v>59</v>
      </c>
      <c r="U7" s="61">
        <f t="shared" si="9"/>
        <v>395010</v>
      </c>
      <c r="V7" s="61">
        <f t="shared" si="10"/>
        <v>88600</v>
      </c>
      <c r="W7" s="64">
        <f t="shared" si="11"/>
        <v>483610</v>
      </c>
      <c r="X7" s="83"/>
      <c r="Y7" s="65"/>
      <c r="Z7" s="66">
        <v>10</v>
      </c>
      <c r="AA7" s="54">
        <v>4500</v>
      </c>
      <c r="AB7" s="55">
        <f t="shared" si="12"/>
        <v>450</v>
      </c>
      <c r="AC7" s="54">
        <v>1000</v>
      </c>
      <c r="AD7" s="56">
        <f t="shared" si="13"/>
        <v>100</v>
      </c>
      <c r="AE7" s="67">
        <f t="shared" si="14"/>
        <v>5500</v>
      </c>
      <c r="AF7" s="58">
        <f t="shared" si="15"/>
        <v>550</v>
      </c>
      <c r="AG7" s="68"/>
      <c r="AH7" s="66">
        <v>11</v>
      </c>
      <c r="AI7" s="54">
        <v>43065</v>
      </c>
      <c r="AJ7" s="55">
        <f t="shared" si="16"/>
        <v>3915</v>
      </c>
      <c r="AK7" s="54">
        <v>14355</v>
      </c>
      <c r="AL7" s="56">
        <f t="shared" si="17"/>
        <v>1305</v>
      </c>
      <c r="AM7" s="67">
        <f t="shared" si="28"/>
        <v>57420</v>
      </c>
      <c r="AN7" s="69">
        <f t="shared" si="18"/>
        <v>5220</v>
      </c>
      <c r="AO7" s="70"/>
      <c r="AP7" s="66"/>
      <c r="AQ7" s="54"/>
      <c r="AR7" s="55" t="e">
        <f t="shared" si="19"/>
        <v>#DIV/0!</v>
      </c>
      <c r="AS7" s="54"/>
      <c r="AT7" s="56" t="e">
        <f t="shared" si="20"/>
        <v>#DIV/0!</v>
      </c>
      <c r="AU7" s="56"/>
      <c r="AV7" s="56"/>
      <c r="AW7" s="71">
        <f>AQ7+AS7+AU7+AV7</f>
        <v>0</v>
      </c>
      <c r="AX7" s="69" t="str">
        <f t="shared" si="21"/>
        <v/>
      </c>
      <c r="AY7" s="84">
        <f t="shared" si="22"/>
        <v>59</v>
      </c>
      <c r="AZ7" s="61">
        <f t="shared" si="23"/>
        <v>442575</v>
      </c>
      <c r="BA7" s="61">
        <f t="shared" si="24"/>
        <v>103955</v>
      </c>
      <c r="BB7" s="73">
        <f>W7+AE7+AM7+AW7-BN7</f>
        <v>546530</v>
      </c>
      <c r="BC7" s="74">
        <f t="shared" ref="BC7:BC35" si="30">BG7+BH7</f>
        <v>18700</v>
      </c>
      <c r="BD7" s="75">
        <v>59</v>
      </c>
      <c r="BE7" s="76">
        <v>395010</v>
      </c>
      <c r="BF7" s="76">
        <v>88600</v>
      </c>
      <c r="BG7" s="77">
        <v>18700</v>
      </c>
      <c r="BH7" s="77"/>
      <c r="BI7" s="77"/>
      <c r="BJ7" s="77"/>
      <c r="BK7" s="78">
        <f t="shared" si="29"/>
        <v>502310</v>
      </c>
      <c r="BL7" s="49">
        <v>3</v>
      </c>
      <c r="BM7" s="79">
        <f t="shared" si="25"/>
        <v>502310</v>
      </c>
    </row>
    <row r="8" spans="1:67" ht="20" customHeight="1">
      <c r="B8" s="80">
        <f t="shared" si="26"/>
        <v>45630</v>
      </c>
      <c r="C8" s="81"/>
      <c r="D8" s="52"/>
      <c r="E8" s="53">
        <v>24</v>
      </c>
      <c r="F8" s="54">
        <v>78100</v>
      </c>
      <c r="G8" s="55">
        <f t="shared" si="0"/>
        <v>2958.3333333333335</v>
      </c>
      <c r="H8" s="54">
        <v>12810</v>
      </c>
      <c r="I8" s="56">
        <f t="shared" si="27"/>
        <v>485.20833333333331</v>
      </c>
      <c r="J8" s="57">
        <f t="shared" si="1"/>
        <v>90910</v>
      </c>
      <c r="K8" s="58">
        <f t="shared" si="2"/>
        <v>3787.9166666666665</v>
      </c>
      <c r="L8" s="59"/>
      <c r="M8" s="60">
        <f t="shared" si="3"/>
        <v>7</v>
      </c>
      <c r="N8" s="61">
        <f t="shared" si="3"/>
        <v>53570</v>
      </c>
      <c r="O8" s="55">
        <f t="shared" si="4"/>
        <v>6957.1428571428569</v>
      </c>
      <c r="P8" s="61">
        <f t="shared" si="5"/>
        <v>7920</v>
      </c>
      <c r="Q8" s="56">
        <f t="shared" si="6"/>
        <v>1028.5714285714287</v>
      </c>
      <c r="R8" s="62">
        <f t="shared" si="7"/>
        <v>61490</v>
      </c>
      <c r="S8" s="58">
        <f t="shared" si="8"/>
        <v>8784.2857142857138</v>
      </c>
      <c r="T8" s="82">
        <f t="shared" si="9"/>
        <v>31</v>
      </c>
      <c r="U8" s="61">
        <f t="shared" si="9"/>
        <v>131670</v>
      </c>
      <c r="V8" s="61">
        <f t="shared" si="10"/>
        <v>20730</v>
      </c>
      <c r="W8" s="64">
        <f t="shared" si="11"/>
        <v>152400</v>
      </c>
      <c r="X8" s="83"/>
      <c r="Y8" s="65"/>
      <c r="Z8" s="66">
        <v>9</v>
      </c>
      <c r="AA8" s="54">
        <v>4250</v>
      </c>
      <c r="AB8" s="55">
        <f t="shared" si="12"/>
        <v>472.22222222222223</v>
      </c>
      <c r="AC8" s="54">
        <v>3150</v>
      </c>
      <c r="AD8" s="56">
        <f t="shared" si="13"/>
        <v>350</v>
      </c>
      <c r="AE8" s="67">
        <f t="shared" si="14"/>
        <v>7400</v>
      </c>
      <c r="AF8" s="58">
        <f t="shared" si="15"/>
        <v>822.22222222222217</v>
      </c>
      <c r="AG8" s="68"/>
      <c r="AH8" s="66"/>
      <c r="AI8" s="54"/>
      <c r="AJ8" s="55" t="e">
        <f t="shared" si="16"/>
        <v>#DIV/0!</v>
      </c>
      <c r="AK8" s="54"/>
      <c r="AL8" s="56" t="e">
        <f t="shared" si="17"/>
        <v>#DIV/0!</v>
      </c>
      <c r="AM8" s="67">
        <f t="shared" si="28"/>
        <v>0</v>
      </c>
      <c r="AN8" s="69" t="str">
        <f t="shared" si="18"/>
        <v/>
      </c>
      <c r="AO8" s="70"/>
      <c r="AP8" s="66"/>
      <c r="AQ8" s="54"/>
      <c r="AR8" s="55" t="e">
        <f t="shared" si="19"/>
        <v>#DIV/0!</v>
      </c>
      <c r="AS8" s="54"/>
      <c r="AT8" s="56" t="e">
        <f t="shared" si="20"/>
        <v>#DIV/0!</v>
      </c>
      <c r="AU8" s="56"/>
      <c r="AV8" s="56"/>
      <c r="AW8" s="71">
        <f t="shared" ref="AW8:AW16" si="31">AQ8+AS8+AU8+AV8</f>
        <v>0</v>
      </c>
      <c r="AX8" s="69" t="str">
        <f t="shared" si="21"/>
        <v/>
      </c>
      <c r="AY8" s="84">
        <f t="shared" si="22"/>
        <v>31</v>
      </c>
      <c r="AZ8" s="61">
        <f t="shared" si="23"/>
        <v>135920</v>
      </c>
      <c r="BA8" s="61">
        <f t="shared" si="24"/>
        <v>23880</v>
      </c>
      <c r="BB8" s="73">
        <f>W8+AE8+AM8+AW8-BN8</f>
        <v>159800</v>
      </c>
      <c r="BC8" s="74">
        <f t="shared" si="30"/>
        <v>4400</v>
      </c>
      <c r="BD8" s="75">
        <v>31</v>
      </c>
      <c r="BE8" s="76">
        <v>131670</v>
      </c>
      <c r="BF8" s="76">
        <v>20730</v>
      </c>
      <c r="BG8" s="77">
        <v>4400</v>
      </c>
      <c r="BH8" s="77"/>
      <c r="BI8" s="77">
        <v>3300</v>
      </c>
      <c r="BJ8" s="77"/>
      <c r="BK8" s="78">
        <f t="shared" si="29"/>
        <v>156800</v>
      </c>
      <c r="BL8" s="49">
        <v>4</v>
      </c>
      <c r="BM8" s="79">
        <f t="shared" si="25"/>
        <v>156800</v>
      </c>
      <c r="BN8" s="85"/>
      <c r="BO8" s="85"/>
    </row>
    <row r="9" spans="1:67" ht="20" customHeight="1">
      <c r="B9" s="80">
        <f t="shared" si="26"/>
        <v>45631</v>
      </c>
      <c r="C9" s="81"/>
      <c r="D9" s="52"/>
      <c r="E9" s="53">
        <v>29</v>
      </c>
      <c r="F9" s="54">
        <v>114400</v>
      </c>
      <c r="G9" s="55">
        <f t="shared" si="0"/>
        <v>3586.2068965517242</v>
      </c>
      <c r="H9" s="54">
        <v>16280</v>
      </c>
      <c r="I9" s="56">
        <f t="shared" si="27"/>
        <v>510.34482758620692</v>
      </c>
      <c r="J9" s="57">
        <f t="shared" si="1"/>
        <v>130680</v>
      </c>
      <c r="K9" s="58">
        <f t="shared" si="2"/>
        <v>4506.2068965517237</v>
      </c>
      <c r="L9" s="59"/>
      <c r="M9" s="60">
        <f t="shared" si="3"/>
        <v>19</v>
      </c>
      <c r="N9" s="61">
        <f t="shared" si="3"/>
        <v>176220</v>
      </c>
      <c r="O9" s="55">
        <f t="shared" si="4"/>
        <v>8431.5789473684217</v>
      </c>
      <c r="P9" s="61">
        <f t="shared" si="5"/>
        <v>45110</v>
      </c>
      <c r="Q9" s="56">
        <f t="shared" si="6"/>
        <v>2158.3684210526317</v>
      </c>
      <c r="R9" s="62">
        <f t="shared" si="7"/>
        <v>221330</v>
      </c>
      <c r="S9" s="58">
        <f t="shared" si="8"/>
        <v>11648.947368421053</v>
      </c>
      <c r="T9" s="82">
        <f t="shared" si="9"/>
        <v>48</v>
      </c>
      <c r="U9" s="61">
        <f t="shared" si="9"/>
        <v>290620</v>
      </c>
      <c r="V9" s="61">
        <f t="shared" si="10"/>
        <v>61390</v>
      </c>
      <c r="W9" s="64">
        <f t="shared" si="11"/>
        <v>352010</v>
      </c>
      <c r="X9" s="83"/>
      <c r="Y9" s="65"/>
      <c r="Z9" s="66">
        <v>11</v>
      </c>
      <c r="AA9" s="54">
        <v>4650</v>
      </c>
      <c r="AB9" s="55">
        <f t="shared" si="12"/>
        <v>422.72727272727275</v>
      </c>
      <c r="AC9" s="54">
        <v>0</v>
      </c>
      <c r="AD9" s="56">
        <f t="shared" si="13"/>
        <v>0</v>
      </c>
      <c r="AE9" s="67">
        <f t="shared" si="14"/>
        <v>4650</v>
      </c>
      <c r="AF9" s="58">
        <f t="shared" si="15"/>
        <v>422.72727272727275</v>
      </c>
      <c r="AG9" s="68"/>
      <c r="AH9" s="66"/>
      <c r="AI9" s="54"/>
      <c r="AJ9" s="55" t="e">
        <f t="shared" si="16"/>
        <v>#DIV/0!</v>
      </c>
      <c r="AK9" s="54"/>
      <c r="AL9" s="56" t="e">
        <f t="shared" si="17"/>
        <v>#DIV/0!</v>
      </c>
      <c r="AM9" s="67">
        <f t="shared" si="28"/>
        <v>0</v>
      </c>
      <c r="AN9" s="69" t="str">
        <f t="shared" si="18"/>
        <v/>
      </c>
      <c r="AO9" s="70"/>
      <c r="AP9" s="66"/>
      <c r="AQ9" s="54"/>
      <c r="AR9" s="55" t="e">
        <f t="shared" si="19"/>
        <v>#DIV/0!</v>
      </c>
      <c r="AS9" s="54"/>
      <c r="AT9" s="56" t="e">
        <f t="shared" si="20"/>
        <v>#DIV/0!</v>
      </c>
      <c r="AU9" s="56"/>
      <c r="AV9" s="56"/>
      <c r="AW9" s="71">
        <f t="shared" si="31"/>
        <v>0</v>
      </c>
      <c r="AX9" s="69" t="str">
        <f>IF(AP9="","",AW9/AP9)</f>
        <v/>
      </c>
      <c r="AY9" s="84">
        <f t="shared" si="22"/>
        <v>48</v>
      </c>
      <c r="AZ9" s="61">
        <f t="shared" si="23"/>
        <v>295270</v>
      </c>
      <c r="BA9" s="61">
        <f t="shared" si="24"/>
        <v>61390</v>
      </c>
      <c r="BB9" s="73">
        <f>W9+AE9+AM9+AW9-BN9</f>
        <v>356660</v>
      </c>
      <c r="BC9" s="74">
        <f t="shared" si="30"/>
        <v>4400</v>
      </c>
      <c r="BD9" s="75">
        <v>48</v>
      </c>
      <c r="BE9" s="76">
        <v>290620</v>
      </c>
      <c r="BF9" s="76">
        <v>61390</v>
      </c>
      <c r="BG9" s="77">
        <v>3300</v>
      </c>
      <c r="BH9" s="77">
        <v>1100</v>
      </c>
      <c r="BI9" s="77"/>
      <c r="BJ9" s="77">
        <v>15400</v>
      </c>
      <c r="BK9" s="78">
        <f t="shared" si="29"/>
        <v>356410</v>
      </c>
      <c r="BL9" s="49">
        <v>5</v>
      </c>
      <c r="BM9" s="79">
        <f t="shared" si="25"/>
        <v>371810</v>
      </c>
    </row>
    <row r="10" spans="1:67" ht="20" customHeight="1">
      <c r="B10" s="80">
        <f t="shared" si="26"/>
        <v>45632</v>
      </c>
      <c r="C10" s="81"/>
      <c r="D10" s="52"/>
      <c r="E10" s="53">
        <v>26</v>
      </c>
      <c r="F10" s="54">
        <v>101750</v>
      </c>
      <c r="G10" s="55">
        <f t="shared" si="0"/>
        <v>3557.6923076923076</v>
      </c>
      <c r="H10" s="54">
        <v>26290</v>
      </c>
      <c r="I10" s="56">
        <f t="shared" si="27"/>
        <v>919.23076923076928</v>
      </c>
      <c r="J10" s="57">
        <f t="shared" si="1"/>
        <v>128040</v>
      </c>
      <c r="K10" s="58">
        <f t="shared" si="2"/>
        <v>4924.6153846153848</v>
      </c>
      <c r="L10" s="59"/>
      <c r="M10" s="60">
        <f t="shared" si="3"/>
        <v>39</v>
      </c>
      <c r="N10" s="61">
        <f t="shared" si="3"/>
        <v>264770</v>
      </c>
      <c r="O10" s="55">
        <f t="shared" si="4"/>
        <v>6171.7948717948721</v>
      </c>
      <c r="P10" s="61">
        <f t="shared" si="5"/>
        <v>51250</v>
      </c>
      <c r="Q10" s="56">
        <f t="shared" si="6"/>
        <v>1194.6153846153845</v>
      </c>
      <c r="R10" s="62">
        <f t="shared" si="7"/>
        <v>316020</v>
      </c>
      <c r="S10" s="58">
        <f t="shared" si="8"/>
        <v>8103.0769230769229</v>
      </c>
      <c r="T10" s="82">
        <f t="shared" si="9"/>
        <v>65</v>
      </c>
      <c r="U10" s="61">
        <f t="shared" si="9"/>
        <v>366520</v>
      </c>
      <c r="V10" s="61">
        <f t="shared" si="10"/>
        <v>77540</v>
      </c>
      <c r="W10" s="64">
        <f t="shared" si="11"/>
        <v>444060</v>
      </c>
      <c r="X10" s="83"/>
      <c r="Y10" s="65"/>
      <c r="Z10" s="66">
        <v>17</v>
      </c>
      <c r="AA10" s="54">
        <v>7950</v>
      </c>
      <c r="AB10" s="55">
        <f t="shared" si="12"/>
        <v>467.64705882352939</v>
      </c>
      <c r="AC10" s="54">
        <v>6850</v>
      </c>
      <c r="AD10" s="56">
        <f t="shared" si="13"/>
        <v>402.94117647058823</v>
      </c>
      <c r="AE10" s="67">
        <f t="shared" si="14"/>
        <v>14800</v>
      </c>
      <c r="AF10" s="58">
        <f t="shared" si="15"/>
        <v>870.58823529411768</v>
      </c>
      <c r="AG10" s="68"/>
      <c r="AH10" s="66">
        <v>41</v>
      </c>
      <c r="AI10" s="54">
        <v>160515</v>
      </c>
      <c r="AJ10" s="55">
        <f t="shared" si="16"/>
        <v>3915</v>
      </c>
      <c r="AK10" s="54">
        <v>53505</v>
      </c>
      <c r="AL10" s="56">
        <f t="shared" si="17"/>
        <v>1305</v>
      </c>
      <c r="AM10" s="67">
        <f t="shared" si="28"/>
        <v>214020</v>
      </c>
      <c r="AN10" s="69">
        <f t="shared" si="18"/>
        <v>5220</v>
      </c>
      <c r="AO10" s="70"/>
      <c r="AP10" s="66"/>
      <c r="AQ10" s="54"/>
      <c r="AR10" s="55" t="e">
        <f t="shared" si="19"/>
        <v>#DIV/0!</v>
      </c>
      <c r="AS10" s="54"/>
      <c r="AT10" s="56" t="e">
        <f t="shared" si="20"/>
        <v>#DIV/0!</v>
      </c>
      <c r="AU10" s="56"/>
      <c r="AV10" s="56"/>
      <c r="AW10" s="71">
        <f t="shared" si="31"/>
        <v>0</v>
      </c>
      <c r="AX10" s="69" t="str">
        <f t="shared" si="21"/>
        <v/>
      </c>
      <c r="AY10" s="84">
        <f t="shared" si="22"/>
        <v>65</v>
      </c>
      <c r="AZ10" s="61">
        <f t="shared" si="23"/>
        <v>534985</v>
      </c>
      <c r="BA10" s="61">
        <f t="shared" si="24"/>
        <v>137895</v>
      </c>
      <c r="BB10" s="73">
        <f>W10+AE10+AM10+AW10</f>
        <v>672880</v>
      </c>
      <c r="BC10" s="74">
        <f t="shared" si="30"/>
        <v>15400</v>
      </c>
      <c r="BD10" s="75">
        <v>65</v>
      </c>
      <c r="BE10" s="76">
        <v>366520</v>
      </c>
      <c r="BF10" s="76">
        <v>77540</v>
      </c>
      <c r="BG10" s="77">
        <v>14300</v>
      </c>
      <c r="BH10" s="77">
        <v>1100</v>
      </c>
      <c r="BI10" s="77">
        <v>3300</v>
      </c>
      <c r="BJ10" s="77"/>
      <c r="BK10" s="78">
        <f t="shared" si="29"/>
        <v>459460</v>
      </c>
      <c r="BL10" s="49">
        <v>6</v>
      </c>
      <c r="BM10" s="79">
        <f t="shared" si="25"/>
        <v>459460</v>
      </c>
    </row>
    <row r="11" spans="1:67" ht="20" customHeight="1">
      <c r="B11" s="80">
        <f t="shared" si="26"/>
        <v>45633</v>
      </c>
      <c r="C11" s="81"/>
      <c r="D11" s="52"/>
      <c r="E11" s="53">
        <v>35</v>
      </c>
      <c r="F11" s="54">
        <v>171820</v>
      </c>
      <c r="G11" s="55">
        <f t="shared" si="0"/>
        <v>4462.8571428571431</v>
      </c>
      <c r="H11" s="54">
        <v>63490</v>
      </c>
      <c r="I11" s="56">
        <f t="shared" si="27"/>
        <v>1649.0857142857142</v>
      </c>
      <c r="J11" s="57">
        <f t="shared" si="1"/>
        <v>235310</v>
      </c>
      <c r="K11" s="58">
        <f t="shared" si="2"/>
        <v>6723.1428571428569</v>
      </c>
      <c r="L11" s="59"/>
      <c r="M11" s="60">
        <f t="shared" si="3"/>
        <v>33</v>
      </c>
      <c r="N11" s="61">
        <f t="shared" si="3"/>
        <v>385640</v>
      </c>
      <c r="O11" s="55">
        <f t="shared" si="4"/>
        <v>10623.666666666666</v>
      </c>
      <c r="P11" s="61">
        <f t="shared" si="5"/>
        <v>96630</v>
      </c>
      <c r="Q11" s="56">
        <f t="shared" si="6"/>
        <v>2661.969696969697</v>
      </c>
      <c r="R11" s="62">
        <f t="shared" si="7"/>
        <v>482270</v>
      </c>
      <c r="S11" s="58">
        <f t="shared" si="8"/>
        <v>14614.242424242424</v>
      </c>
      <c r="T11" s="82">
        <f t="shared" si="9"/>
        <v>68</v>
      </c>
      <c r="U11" s="61">
        <f t="shared" si="9"/>
        <v>557460</v>
      </c>
      <c r="V11" s="61">
        <f t="shared" si="10"/>
        <v>160120</v>
      </c>
      <c r="W11" s="64">
        <f t="shared" si="11"/>
        <v>717580</v>
      </c>
      <c r="X11" s="83"/>
      <c r="Y11" s="65"/>
      <c r="Z11" s="66">
        <v>16</v>
      </c>
      <c r="AA11" s="54">
        <v>6600</v>
      </c>
      <c r="AB11" s="55">
        <f t="shared" si="12"/>
        <v>412.5</v>
      </c>
      <c r="AC11" s="54">
        <v>1900</v>
      </c>
      <c r="AD11" s="56">
        <f t="shared" si="13"/>
        <v>118.75</v>
      </c>
      <c r="AE11" s="67">
        <f t="shared" si="14"/>
        <v>8500</v>
      </c>
      <c r="AF11" s="58">
        <f t="shared" si="15"/>
        <v>531.25</v>
      </c>
      <c r="AG11" s="68"/>
      <c r="AH11" s="66"/>
      <c r="AI11" s="54"/>
      <c r="AJ11" s="55" t="e">
        <f t="shared" si="16"/>
        <v>#DIV/0!</v>
      </c>
      <c r="AK11" s="54"/>
      <c r="AL11" s="56" t="e">
        <f t="shared" si="17"/>
        <v>#DIV/0!</v>
      </c>
      <c r="AM11" s="67">
        <f t="shared" si="28"/>
        <v>0</v>
      </c>
      <c r="AN11" s="69" t="str">
        <f t="shared" si="18"/>
        <v/>
      </c>
      <c r="AO11" s="70"/>
      <c r="AP11" s="66"/>
      <c r="AQ11" s="54"/>
      <c r="AR11" s="55" t="e">
        <f t="shared" si="19"/>
        <v>#DIV/0!</v>
      </c>
      <c r="AS11" s="54"/>
      <c r="AT11" s="56" t="e">
        <f t="shared" si="20"/>
        <v>#DIV/0!</v>
      </c>
      <c r="AU11" s="56"/>
      <c r="AV11" s="56"/>
      <c r="AW11" s="71">
        <f t="shared" si="31"/>
        <v>0</v>
      </c>
      <c r="AX11" s="69" t="str">
        <f t="shared" si="21"/>
        <v/>
      </c>
      <c r="AY11" s="84">
        <f t="shared" si="22"/>
        <v>68</v>
      </c>
      <c r="AZ11" s="61">
        <f t="shared" si="23"/>
        <v>564060</v>
      </c>
      <c r="BA11" s="61">
        <f t="shared" si="24"/>
        <v>162020</v>
      </c>
      <c r="BB11" s="73">
        <f t="shared" ref="BB11:BB30" si="32">W11+AE11+AM11+AW11</f>
        <v>726080</v>
      </c>
      <c r="BC11" s="74">
        <f t="shared" si="30"/>
        <v>18700</v>
      </c>
      <c r="BD11" s="75">
        <v>68</v>
      </c>
      <c r="BE11" s="76">
        <v>557460</v>
      </c>
      <c r="BF11" s="76">
        <v>160120</v>
      </c>
      <c r="BG11" s="77">
        <v>11000</v>
      </c>
      <c r="BH11" s="77">
        <v>7700</v>
      </c>
      <c r="BI11" s="77"/>
      <c r="BJ11" s="77"/>
      <c r="BK11" s="78">
        <f t="shared" si="29"/>
        <v>736280</v>
      </c>
      <c r="BL11" s="49">
        <v>7</v>
      </c>
      <c r="BM11" s="79">
        <f t="shared" si="25"/>
        <v>736280</v>
      </c>
    </row>
    <row r="12" spans="1:67" ht="20" customHeight="1">
      <c r="B12" s="80">
        <f t="shared" si="26"/>
        <v>45634</v>
      </c>
      <c r="C12" s="86"/>
      <c r="D12" s="52"/>
      <c r="E12" s="53">
        <v>23</v>
      </c>
      <c r="F12" s="54">
        <v>109560</v>
      </c>
      <c r="G12" s="55">
        <f t="shared" si="0"/>
        <v>4330.434782608696</v>
      </c>
      <c r="H12" s="54">
        <v>30500</v>
      </c>
      <c r="I12" s="56">
        <f t="shared" si="27"/>
        <v>1205.5217391304348</v>
      </c>
      <c r="J12" s="57">
        <f t="shared" si="1"/>
        <v>140060</v>
      </c>
      <c r="K12" s="58">
        <f t="shared" si="2"/>
        <v>6089.565217391304</v>
      </c>
      <c r="L12" s="59"/>
      <c r="M12" s="60">
        <f t="shared" si="3"/>
        <v>28</v>
      </c>
      <c r="N12" s="61">
        <f t="shared" si="3"/>
        <v>300850</v>
      </c>
      <c r="O12" s="55">
        <f t="shared" si="4"/>
        <v>9767.8571428571431</v>
      </c>
      <c r="P12" s="61">
        <f t="shared" si="5"/>
        <v>81870</v>
      </c>
      <c r="Q12" s="87">
        <f t="shared" si="6"/>
        <v>2658.1071428571427</v>
      </c>
      <c r="R12" s="62">
        <f t="shared" si="7"/>
        <v>382720</v>
      </c>
      <c r="S12" s="58">
        <f t="shared" si="8"/>
        <v>13668.571428571429</v>
      </c>
      <c r="T12" s="82">
        <f t="shared" si="9"/>
        <v>51</v>
      </c>
      <c r="U12" s="61">
        <f t="shared" si="9"/>
        <v>410410</v>
      </c>
      <c r="V12" s="61">
        <f t="shared" si="10"/>
        <v>112370</v>
      </c>
      <c r="W12" s="64">
        <f t="shared" si="11"/>
        <v>522780</v>
      </c>
      <c r="X12" s="83"/>
      <c r="Y12" s="65"/>
      <c r="Z12" s="66">
        <v>17</v>
      </c>
      <c r="AA12" s="54">
        <v>7750</v>
      </c>
      <c r="AB12" s="55">
        <f t="shared" si="12"/>
        <v>455.88235294117646</v>
      </c>
      <c r="AC12" s="54">
        <v>6300</v>
      </c>
      <c r="AD12" s="56">
        <f t="shared" si="13"/>
        <v>370.58823529411762</v>
      </c>
      <c r="AE12" s="67">
        <f t="shared" si="14"/>
        <v>14050</v>
      </c>
      <c r="AF12" s="58">
        <f t="shared" si="15"/>
        <v>826.47058823529414</v>
      </c>
      <c r="AG12" s="68"/>
      <c r="AH12" s="66"/>
      <c r="AI12" s="54"/>
      <c r="AJ12" s="55" t="e">
        <f t="shared" si="16"/>
        <v>#DIV/0!</v>
      </c>
      <c r="AK12" s="54"/>
      <c r="AL12" s="56" t="e">
        <f t="shared" si="17"/>
        <v>#DIV/0!</v>
      </c>
      <c r="AM12" s="67">
        <f t="shared" si="28"/>
        <v>0</v>
      </c>
      <c r="AN12" s="69" t="str">
        <f t="shared" si="18"/>
        <v/>
      </c>
      <c r="AO12" s="70"/>
      <c r="AP12" s="66"/>
      <c r="AQ12" s="54"/>
      <c r="AR12" s="55" t="e">
        <f t="shared" si="19"/>
        <v>#DIV/0!</v>
      </c>
      <c r="AS12" s="54"/>
      <c r="AT12" s="56" t="e">
        <f t="shared" si="20"/>
        <v>#DIV/0!</v>
      </c>
      <c r="AU12" s="56"/>
      <c r="AV12" s="56"/>
      <c r="AW12" s="71">
        <f>AQ12+AS12+AU12+AV12-BN12</f>
        <v>0</v>
      </c>
      <c r="AX12" s="69" t="str">
        <f t="shared" si="21"/>
        <v/>
      </c>
      <c r="AY12" s="84">
        <f t="shared" si="22"/>
        <v>51</v>
      </c>
      <c r="AZ12" s="61">
        <f t="shared" si="23"/>
        <v>418160</v>
      </c>
      <c r="BA12" s="61">
        <f t="shared" si="24"/>
        <v>118670</v>
      </c>
      <c r="BB12" s="73">
        <f t="shared" si="32"/>
        <v>536830</v>
      </c>
      <c r="BC12" s="74">
        <f t="shared" si="30"/>
        <v>13200</v>
      </c>
      <c r="BD12" s="75">
        <v>51</v>
      </c>
      <c r="BE12" s="76">
        <v>410410</v>
      </c>
      <c r="BF12" s="76">
        <v>112370</v>
      </c>
      <c r="BG12" s="77">
        <v>11550</v>
      </c>
      <c r="BH12" s="77">
        <v>1650</v>
      </c>
      <c r="BI12" s="77">
        <v>3300</v>
      </c>
      <c r="BJ12" s="77"/>
      <c r="BK12" s="78">
        <f t="shared" si="29"/>
        <v>535980</v>
      </c>
      <c r="BL12" s="49">
        <v>8</v>
      </c>
      <c r="BM12" s="79">
        <f t="shared" si="25"/>
        <v>535980</v>
      </c>
    </row>
    <row r="13" spans="1:67" ht="20" customHeight="1">
      <c r="B13" s="80">
        <f t="shared" si="26"/>
        <v>45635</v>
      </c>
      <c r="C13" s="81"/>
      <c r="D13" s="52"/>
      <c r="E13" s="53">
        <v>25</v>
      </c>
      <c r="F13" s="54">
        <v>77990</v>
      </c>
      <c r="G13" s="55">
        <f t="shared" si="0"/>
        <v>2836</v>
      </c>
      <c r="H13" s="54">
        <v>8190</v>
      </c>
      <c r="I13" s="56">
        <f t="shared" si="27"/>
        <v>297.8</v>
      </c>
      <c r="J13" s="57">
        <f t="shared" si="1"/>
        <v>86180</v>
      </c>
      <c r="K13" s="58">
        <f t="shared" si="2"/>
        <v>3447.2</v>
      </c>
      <c r="L13" s="59"/>
      <c r="M13" s="60">
        <f t="shared" si="3"/>
        <v>37</v>
      </c>
      <c r="N13" s="61">
        <f t="shared" si="3"/>
        <v>290730</v>
      </c>
      <c r="O13" s="55">
        <f t="shared" si="4"/>
        <v>7143.2432432432433</v>
      </c>
      <c r="P13" s="61">
        <f t="shared" si="5"/>
        <v>81430</v>
      </c>
      <c r="Q13" s="56">
        <f t="shared" si="6"/>
        <v>2000.7297297297298</v>
      </c>
      <c r="R13" s="62">
        <f t="shared" si="7"/>
        <v>372160</v>
      </c>
      <c r="S13" s="58">
        <f t="shared" si="8"/>
        <v>10058.378378378378</v>
      </c>
      <c r="T13" s="82">
        <f t="shared" si="9"/>
        <v>62</v>
      </c>
      <c r="U13" s="61">
        <f t="shared" si="9"/>
        <v>368720</v>
      </c>
      <c r="V13" s="61">
        <f t="shared" si="10"/>
        <v>89620</v>
      </c>
      <c r="W13" s="64">
        <f t="shared" si="11"/>
        <v>458340</v>
      </c>
      <c r="X13" s="83"/>
      <c r="Y13" s="65"/>
      <c r="Z13" s="66">
        <v>2</v>
      </c>
      <c r="AA13" s="54">
        <v>900</v>
      </c>
      <c r="AB13" s="55">
        <f t="shared" si="12"/>
        <v>450</v>
      </c>
      <c r="AC13" s="54"/>
      <c r="AD13" s="56">
        <f t="shared" si="13"/>
        <v>0</v>
      </c>
      <c r="AE13" s="67">
        <f t="shared" si="14"/>
        <v>900</v>
      </c>
      <c r="AF13" s="58">
        <f t="shared" si="15"/>
        <v>450</v>
      </c>
      <c r="AG13" s="68"/>
      <c r="AH13" s="66"/>
      <c r="AI13" s="54"/>
      <c r="AJ13" s="55" t="e">
        <f t="shared" si="16"/>
        <v>#DIV/0!</v>
      </c>
      <c r="AK13" s="54"/>
      <c r="AL13" s="56" t="e">
        <f t="shared" si="17"/>
        <v>#DIV/0!</v>
      </c>
      <c r="AM13" s="67">
        <f t="shared" si="28"/>
        <v>0</v>
      </c>
      <c r="AN13" s="69" t="str">
        <f t="shared" si="18"/>
        <v/>
      </c>
      <c r="AO13" s="70"/>
      <c r="AP13" s="66"/>
      <c r="AQ13" s="54"/>
      <c r="AR13" s="55" t="e">
        <f t="shared" si="19"/>
        <v>#DIV/0!</v>
      </c>
      <c r="AS13" s="54"/>
      <c r="AT13" s="56" t="e">
        <f t="shared" si="20"/>
        <v>#DIV/0!</v>
      </c>
      <c r="AU13" s="56"/>
      <c r="AV13" s="56"/>
      <c r="AW13" s="71">
        <f>AQ13+AS13+AU13+AV13-BN13</f>
        <v>0</v>
      </c>
      <c r="AX13" s="69" t="str">
        <f t="shared" si="21"/>
        <v/>
      </c>
      <c r="AY13" s="84">
        <f t="shared" si="22"/>
        <v>62</v>
      </c>
      <c r="AZ13" s="61">
        <f t="shared" si="23"/>
        <v>369620</v>
      </c>
      <c r="BA13" s="61">
        <f t="shared" si="24"/>
        <v>89620</v>
      </c>
      <c r="BB13" s="73">
        <f t="shared" si="32"/>
        <v>459240</v>
      </c>
      <c r="BC13" s="74">
        <f t="shared" si="30"/>
        <v>7150</v>
      </c>
      <c r="BD13" s="75">
        <v>62</v>
      </c>
      <c r="BE13" s="76">
        <v>368720</v>
      </c>
      <c r="BF13" s="76">
        <v>89620</v>
      </c>
      <c r="BG13" s="77">
        <v>6050</v>
      </c>
      <c r="BH13" s="77">
        <v>1100</v>
      </c>
      <c r="BI13" s="77"/>
      <c r="BJ13" s="77"/>
      <c r="BK13" s="78">
        <f t="shared" si="29"/>
        <v>465490</v>
      </c>
      <c r="BL13" s="49">
        <v>9</v>
      </c>
      <c r="BM13" s="79">
        <f t="shared" si="25"/>
        <v>465490</v>
      </c>
    </row>
    <row r="14" spans="1:67" ht="20" customHeight="1">
      <c r="B14" s="80">
        <f t="shared" si="26"/>
        <v>45636</v>
      </c>
      <c r="C14" s="81"/>
      <c r="D14" s="52"/>
      <c r="E14" s="53">
        <v>25</v>
      </c>
      <c r="F14" s="54">
        <v>85470</v>
      </c>
      <c r="G14" s="55">
        <f t="shared" si="0"/>
        <v>3108</v>
      </c>
      <c r="H14" s="54">
        <v>9780</v>
      </c>
      <c r="I14" s="56">
        <f>ROUNDDOWN(H14/1.1,0)/E14</f>
        <v>355.6</v>
      </c>
      <c r="J14" s="57">
        <f t="shared" si="1"/>
        <v>95250</v>
      </c>
      <c r="K14" s="58">
        <f t="shared" si="2"/>
        <v>3810</v>
      </c>
      <c r="L14" s="59"/>
      <c r="M14" s="60">
        <f t="shared" si="3"/>
        <v>23</v>
      </c>
      <c r="N14" s="61">
        <f t="shared" si="3"/>
        <v>207790</v>
      </c>
      <c r="O14" s="55">
        <f t="shared" si="4"/>
        <v>8213.04347826087</v>
      </c>
      <c r="P14" s="61">
        <f t="shared" si="5"/>
        <v>57490</v>
      </c>
      <c r="Q14" s="56">
        <f t="shared" si="6"/>
        <v>2272.304347826087</v>
      </c>
      <c r="R14" s="62">
        <f t="shared" si="7"/>
        <v>265280</v>
      </c>
      <c r="S14" s="58">
        <f t="shared" si="8"/>
        <v>11533.91304347826</v>
      </c>
      <c r="T14" s="82">
        <f t="shared" si="9"/>
        <v>48</v>
      </c>
      <c r="U14" s="61">
        <f t="shared" si="9"/>
        <v>293260</v>
      </c>
      <c r="V14" s="61">
        <f t="shared" si="10"/>
        <v>67270</v>
      </c>
      <c r="W14" s="64">
        <f t="shared" si="11"/>
        <v>360530</v>
      </c>
      <c r="X14" s="83"/>
      <c r="Y14" s="65"/>
      <c r="Z14" s="66">
        <v>11</v>
      </c>
      <c r="AA14" s="54">
        <v>4750</v>
      </c>
      <c r="AB14" s="55">
        <f t="shared" si="12"/>
        <v>431.81818181818181</v>
      </c>
      <c r="AC14" s="54">
        <v>3800</v>
      </c>
      <c r="AD14" s="56">
        <f t="shared" si="13"/>
        <v>345.45454545454544</v>
      </c>
      <c r="AE14" s="67">
        <f t="shared" si="14"/>
        <v>8550</v>
      </c>
      <c r="AF14" s="58">
        <f t="shared" si="15"/>
        <v>777.27272727272725</v>
      </c>
      <c r="AG14" s="68"/>
      <c r="AH14" s="66"/>
      <c r="AI14" s="54"/>
      <c r="AJ14" s="55" t="e">
        <f t="shared" si="16"/>
        <v>#DIV/0!</v>
      </c>
      <c r="AK14" s="54"/>
      <c r="AL14" s="56" t="e">
        <f t="shared" si="17"/>
        <v>#DIV/0!</v>
      </c>
      <c r="AM14" s="67">
        <f t="shared" si="28"/>
        <v>0</v>
      </c>
      <c r="AN14" s="69" t="str">
        <f t="shared" si="18"/>
        <v/>
      </c>
      <c r="AO14" s="70"/>
      <c r="AP14" s="66"/>
      <c r="AQ14" s="54"/>
      <c r="AR14" s="55" t="e">
        <f t="shared" si="19"/>
        <v>#DIV/0!</v>
      </c>
      <c r="AS14" s="54"/>
      <c r="AT14" s="56" t="e">
        <f t="shared" si="20"/>
        <v>#DIV/0!</v>
      </c>
      <c r="AU14" s="56"/>
      <c r="AV14" s="56"/>
      <c r="AW14" s="71">
        <f t="shared" si="31"/>
        <v>0</v>
      </c>
      <c r="AX14" s="69" t="str">
        <f t="shared" si="21"/>
        <v/>
      </c>
      <c r="AY14" s="84">
        <f t="shared" si="22"/>
        <v>48</v>
      </c>
      <c r="AZ14" s="61">
        <f t="shared" si="23"/>
        <v>298010</v>
      </c>
      <c r="BA14" s="61">
        <f t="shared" si="24"/>
        <v>71070</v>
      </c>
      <c r="BB14" s="73">
        <f>W14+AE14+AM14+AW14-BN14</f>
        <v>364680</v>
      </c>
      <c r="BC14" s="74">
        <f t="shared" si="30"/>
        <v>7700</v>
      </c>
      <c r="BD14" s="75">
        <v>48</v>
      </c>
      <c r="BE14" s="76">
        <v>293260</v>
      </c>
      <c r="BF14" s="76">
        <v>67270</v>
      </c>
      <c r="BG14" s="77">
        <v>7700</v>
      </c>
      <c r="BH14" s="77"/>
      <c r="BI14" s="77"/>
      <c r="BJ14" s="77"/>
      <c r="BK14" s="78">
        <f t="shared" si="29"/>
        <v>368230</v>
      </c>
      <c r="BL14" s="49">
        <v>10</v>
      </c>
      <c r="BM14" s="79">
        <f t="shared" si="25"/>
        <v>368230</v>
      </c>
      <c r="BN14" s="49">
        <v>4400</v>
      </c>
    </row>
    <row r="15" spans="1:67" ht="20" customHeight="1">
      <c r="B15" s="80">
        <f t="shared" si="26"/>
        <v>45637</v>
      </c>
      <c r="C15" s="86"/>
      <c r="D15" s="52"/>
      <c r="E15" s="53">
        <v>27</v>
      </c>
      <c r="F15" s="54">
        <v>101310</v>
      </c>
      <c r="G15" s="55">
        <f t="shared" si="0"/>
        <v>3411.1111111111113</v>
      </c>
      <c r="H15" s="54">
        <v>13960</v>
      </c>
      <c r="I15" s="56">
        <f t="shared" si="27"/>
        <v>470</v>
      </c>
      <c r="J15" s="57">
        <f t="shared" si="1"/>
        <v>115270</v>
      </c>
      <c r="K15" s="58">
        <f t="shared" si="2"/>
        <v>4269.2592592592591</v>
      </c>
      <c r="L15" s="59"/>
      <c r="M15" s="60">
        <f t="shared" si="3"/>
        <v>16</v>
      </c>
      <c r="N15" s="61">
        <f t="shared" si="3"/>
        <v>149860</v>
      </c>
      <c r="O15" s="55">
        <f t="shared" si="4"/>
        <v>8514.75</v>
      </c>
      <c r="P15" s="61">
        <f t="shared" si="5"/>
        <v>54810</v>
      </c>
      <c r="Q15" s="56">
        <f t="shared" si="6"/>
        <v>3114.1875</v>
      </c>
      <c r="R15" s="62">
        <f t="shared" si="7"/>
        <v>204670</v>
      </c>
      <c r="S15" s="58">
        <f t="shared" si="8"/>
        <v>12791.875</v>
      </c>
      <c r="T15" s="82">
        <f t="shared" si="9"/>
        <v>43</v>
      </c>
      <c r="U15" s="61">
        <f t="shared" si="9"/>
        <v>251170</v>
      </c>
      <c r="V15" s="61">
        <f t="shared" si="10"/>
        <v>68770</v>
      </c>
      <c r="W15" s="64">
        <f t="shared" si="11"/>
        <v>319940</v>
      </c>
      <c r="X15" s="83"/>
      <c r="Y15" s="65"/>
      <c r="Z15" s="66">
        <v>5</v>
      </c>
      <c r="AA15" s="54">
        <v>2150</v>
      </c>
      <c r="AB15" s="55">
        <f t="shared" si="12"/>
        <v>430</v>
      </c>
      <c r="AC15" s="54">
        <v>2000</v>
      </c>
      <c r="AD15" s="56">
        <f t="shared" si="13"/>
        <v>400</v>
      </c>
      <c r="AE15" s="67">
        <f t="shared" si="14"/>
        <v>4150</v>
      </c>
      <c r="AF15" s="58">
        <f t="shared" si="15"/>
        <v>830</v>
      </c>
      <c r="AG15" s="68"/>
      <c r="AH15" s="66">
        <v>69</v>
      </c>
      <c r="AI15" s="54">
        <v>270135</v>
      </c>
      <c r="AJ15" s="55">
        <f t="shared" si="16"/>
        <v>3915</v>
      </c>
      <c r="AK15" s="54">
        <v>90045</v>
      </c>
      <c r="AL15" s="56">
        <f t="shared" si="17"/>
        <v>1305</v>
      </c>
      <c r="AM15" s="67">
        <f t="shared" si="28"/>
        <v>360180</v>
      </c>
      <c r="AN15" s="69">
        <f t="shared" si="18"/>
        <v>5220</v>
      </c>
      <c r="AO15" s="70"/>
      <c r="AP15" s="66"/>
      <c r="AQ15" s="54"/>
      <c r="AR15" s="55" t="e">
        <f t="shared" si="19"/>
        <v>#DIV/0!</v>
      </c>
      <c r="AS15" s="54"/>
      <c r="AT15" s="56" t="e">
        <f t="shared" si="20"/>
        <v>#DIV/0!</v>
      </c>
      <c r="AU15" s="56"/>
      <c r="AV15" s="56"/>
      <c r="AW15" s="71">
        <f t="shared" si="31"/>
        <v>0</v>
      </c>
      <c r="AX15" s="69" t="str">
        <f t="shared" si="21"/>
        <v/>
      </c>
      <c r="AY15" s="84">
        <f t="shared" si="22"/>
        <v>43</v>
      </c>
      <c r="AZ15" s="61">
        <f t="shared" si="23"/>
        <v>523455</v>
      </c>
      <c r="BA15" s="61">
        <f t="shared" si="24"/>
        <v>160815</v>
      </c>
      <c r="BB15" s="73">
        <f>W15+AE15+AM15+AW15-BN15</f>
        <v>684270</v>
      </c>
      <c r="BC15" s="74">
        <f t="shared" si="30"/>
        <v>12100</v>
      </c>
      <c r="BD15" s="75">
        <v>43</v>
      </c>
      <c r="BE15" s="76">
        <v>251170</v>
      </c>
      <c r="BF15" s="76">
        <v>68770</v>
      </c>
      <c r="BG15" s="77">
        <v>7700</v>
      </c>
      <c r="BH15" s="77">
        <v>4400</v>
      </c>
      <c r="BI15" s="77"/>
      <c r="BJ15" s="77"/>
      <c r="BK15" s="78">
        <f t="shared" si="29"/>
        <v>332040</v>
      </c>
      <c r="BL15" s="49">
        <v>11</v>
      </c>
      <c r="BM15" s="79">
        <f t="shared" si="25"/>
        <v>332040</v>
      </c>
    </row>
    <row r="16" spans="1:67" ht="20" customHeight="1">
      <c r="B16" s="80">
        <f t="shared" si="26"/>
        <v>45638</v>
      </c>
      <c r="C16" s="81"/>
      <c r="D16" s="52"/>
      <c r="E16" s="53">
        <v>28</v>
      </c>
      <c r="F16" s="54">
        <v>103950</v>
      </c>
      <c r="G16" s="55">
        <f t="shared" si="0"/>
        <v>3375</v>
      </c>
      <c r="H16" s="54">
        <v>15290</v>
      </c>
      <c r="I16" s="56">
        <f t="shared" si="27"/>
        <v>496.42857142857144</v>
      </c>
      <c r="J16" s="57">
        <f t="shared" si="1"/>
        <v>119240</v>
      </c>
      <c r="K16" s="58">
        <f t="shared" si="2"/>
        <v>4258.5714285714284</v>
      </c>
      <c r="L16" s="59"/>
      <c r="M16" s="60">
        <f t="shared" si="3"/>
        <v>34</v>
      </c>
      <c r="N16" s="61">
        <f t="shared" si="3"/>
        <v>292800</v>
      </c>
      <c r="O16" s="55">
        <f t="shared" si="4"/>
        <v>7828.8529411764703</v>
      </c>
      <c r="P16" s="61">
        <f t="shared" si="5"/>
        <v>68140</v>
      </c>
      <c r="Q16" s="56">
        <f t="shared" si="6"/>
        <v>1821.9117647058824</v>
      </c>
      <c r="R16" s="62">
        <f t="shared" si="7"/>
        <v>360940</v>
      </c>
      <c r="S16" s="58">
        <f t="shared" si="8"/>
        <v>10615.882352941177</v>
      </c>
      <c r="T16" s="82">
        <f t="shared" si="9"/>
        <v>62</v>
      </c>
      <c r="U16" s="61">
        <f t="shared" si="9"/>
        <v>396750</v>
      </c>
      <c r="V16" s="61">
        <f t="shared" si="10"/>
        <v>83430</v>
      </c>
      <c r="W16" s="64">
        <f t="shared" si="11"/>
        <v>480180</v>
      </c>
      <c r="X16" s="83"/>
      <c r="Y16" s="65"/>
      <c r="Z16" s="66">
        <v>2</v>
      </c>
      <c r="AA16" s="54">
        <v>800</v>
      </c>
      <c r="AB16" s="55">
        <f t="shared" si="12"/>
        <v>400</v>
      </c>
      <c r="AC16" s="54">
        <v>500</v>
      </c>
      <c r="AD16" s="56">
        <f t="shared" si="13"/>
        <v>250</v>
      </c>
      <c r="AE16" s="67">
        <f t="shared" si="14"/>
        <v>1300</v>
      </c>
      <c r="AF16" s="58">
        <f t="shared" si="15"/>
        <v>650</v>
      </c>
      <c r="AG16" s="68"/>
      <c r="AH16" s="66">
        <v>63</v>
      </c>
      <c r="AI16" s="54">
        <v>191835</v>
      </c>
      <c r="AJ16" s="55">
        <f t="shared" si="16"/>
        <v>3045</v>
      </c>
      <c r="AK16" s="54">
        <v>82215</v>
      </c>
      <c r="AL16" s="56">
        <f t="shared" si="17"/>
        <v>1305</v>
      </c>
      <c r="AM16" s="67">
        <f t="shared" si="28"/>
        <v>274050</v>
      </c>
      <c r="AN16" s="69">
        <f t="shared" si="18"/>
        <v>4350</v>
      </c>
      <c r="AO16" s="70"/>
      <c r="AP16" s="66"/>
      <c r="AQ16" s="54"/>
      <c r="AR16" s="55" t="e">
        <f t="shared" si="19"/>
        <v>#DIV/0!</v>
      </c>
      <c r="AS16" s="54"/>
      <c r="AT16" s="56" t="e">
        <f t="shared" si="20"/>
        <v>#DIV/0!</v>
      </c>
      <c r="AU16" s="56"/>
      <c r="AV16" s="56"/>
      <c r="AW16" s="71">
        <f t="shared" si="31"/>
        <v>0</v>
      </c>
      <c r="AX16" s="69" t="str">
        <f t="shared" si="21"/>
        <v/>
      </c>
      <c r="AY16" s="84">
        <f t="shared" si="22"/>
        <v>62</v>
      </c>
      <c r="AZ16" s="61">
        <f t="shared" si="23"/>
        <v>589385</v>
      </c>
      <c r="BA16" s="61">
        <f t="shared" si="24"/>
        <v>166145</v>
      </c>
      <c r="BB16" s="73">
        <f t="shared" si="32"/>
        <v>755530</v>
      </c>
      <c r="BC16" s="74">
        <f t="shared" si="30"/>
        <v>15400</v>
      </c>
      <c r="BD16" s="75">
        <v>62</v>
      </c>
      <c r="BE16" s="76">
        <v>396750</v>
      </c>
      <c r="BF16" s="76">
        <v>83430</v>
      </c>
      <c r="BG16" s="77">
        <v>11000</v>
      </c>
      <c r="BH16" s="77">
        <v>4400</v>
      </c>
      <c r="BI16" s="77"/>
      <c r="BJ16" s="77"/>
      <c r="BK16" s="78">
        <f t="shared" si="29"/>
        <v>495580</v>
      </c>
      <c r="BL16" s="49">
        <v>12</v>
      </c>
      <c r="BM16" s="79">
        <f t="shared" si="25"/>
        <v>495580</v>
      </c>
    </row>
    <row r="17" spans="2:67" ht="20" customHeight="1">
      <c r="B17" s="80">
        <f t="shared" si="26"/>
        <v>45639</v>
      </c>
      <c r="C17" s="86"/>
      <c r="D17" s="52"/>
      <c r="E17" s="53">
        <v>32</v>
      </c>
      <c r="F17" s="54">
        <v>129140</v>
      </c>
      <c r="G17" s="55">
        <f t="shared" si="0"/>
        <v>3668.75</v>
      </c>
      <c r="H17" s="54">
        <v>17580</v>
      </c>
      <c r="I17" s="56">
        <f t="shared" si="27"/>
        <v>499.40625</v>
      </c>
      <c r="J17" s="57">
        <f t="shared" si="1"/>
        <v>146720</v>
      </c>
      <c r="K17" s="58">
        <f t="shared" si="2"/>
        <v>4585</v>
      </c>
      <c r="L17" s="59"/>
      <c r="M17" s="60">
        <f t="shared" si="3"/>
        <v>31</v>
      </c>
      <c r="N17" s="61">
        <f t="shared" si="3"/>
        <v>310820</v>
      </c>
      <c r="O17" s="55">
        <f t="shared" si="4"/>
        <v>9114.9354838709678</v>
      </c>
      <c r="P17" s="61">
        <f t="shared" si="5"/>
        <v>83270</v>
      </c>
      <c r="Q17" s="56">
        <f t="shared" si="6"/>
        <v>2441.9354838709678</v>
      </c>
      <c r="R17" s="62">
        <f t="shared" si="7"/>
        <v>394090</v>
      </c>
      <c r="S17" s="58">
        <f t="shared" si="8"/>
        <v>12712.58064516129</v>
      </c>
      <c r="T17" s="82">
        <f>E17+M17</f>
        <v>63</v>
      </c>
      <c r="U17" s="61">
        <f t="shared" si="9"/>
        <v>439960</v>
      </c>
      <c r="V17" s="61">
        <f t="shared" si="10"/>
        <v>100850</v>
      </c>
      <c r="W17" s="64">
        <f t="shared" si="11"/>
        <v>540810</v>
      </c>
      <c r="X17" s="83"/>
      <c r="Y17" s="65"/>
      <c r="Z17" s="66">
        <v>6</v>
      </c>
      <c r="AA17" s="54">
        <v>2900</v>
      </c>
      <c r="AB17" s="55">
        <f t="shared" si="12"/>
        <v>483.33333333333331</v>
      </c>
      <c r="AC17" s="54">
        <v>2900</v>
      </c>
      <c r="AD17" s="56">
        <f t="shared" si="13"/>
        <v>483.33333333333331</v>
      </c>
      <c r="AE17" s="67">
        <f t="shared" si="14"/>
        <v>5800</v>
      </c>
      <c r="AF17" s="58">
        <f t="shared" si="15"/>
        <v>966.66666666666663</v>
      </c>
      <c r="AG17" s="68"/>
      <c r="AH17" s="66"/>
      <c r="AI17" s="54"/>
      <c r="AJ17" s="55" t="e">
        <f t="shared" si="16"/>
        <v>#DIV/0!</v>
      </c>
      <c r="AK17" s="54"/>
      <c r="AL17" s="56" t="e">
        <f t="shared" si="17"/>
        <v>#DIV/0!</v>
      </c>
      <c r="AM17" s="67">
        <f t="shared" si="28"/>
        <v>0</v>
      </c>
      <c r="AN17" s="69" t="str">
        <f t="shared" si="18"/>
        <v/>
      </c>
      <c r="AO17" s="70"/>
      <c r="AP17" s="66"/>
      <c r="AQ17" s="54"/>
      <c r="AR17" s="55" t="e">
        <f t="shared" si="19"/>
        <v>#DIV/0!</v>
      </c>
      <c r="AS17" s="54"/>
      <c r="AT17" s="56" t="e">
        <f t="shared" si="20"/>
        <v>#DIV/0!</v>
      </c>
      <c r="AU17" s="56"/>
      <c r="AV17" s="56"/>
      <c r="AW17" s="71">
        <f>AQ17+AS17+AU17+AV17</f>
        <v>0</v>
      </c>
      <c r="AX17" s="69" t="str">
        <f t="shared" si="21"/>
        <v/>
      </c>
      <c r="AY17" s="84">
        <f t="shared" si="22"/>
        <v>63</v>
      </c>
      <c r="AZ17" s="61">
        <f t="shared" si="23"/>
        <v>442860</v>
      </c>
      <c r="BA17" s="61">
        <f t="shared" si="24"/>
        <v>103750</v>
      </c>
      <c r="BB17" s="73">
        <f>W17+AE17+AM17+AW17-BN17</f>
        <v>546016</v>
      </c>
      <c r="BC17" s="74">
        <f t="shared" si="30"/>
        <v>7700</v>
      </c>
      <c r="BD17" s="75">
        <v>63</v>
      </c>
      <c r="BE17" s="76">
        <v>439960</v>
      </c>
      <c r="BF17" s="76">
        <v>100850</v>
      </c>
      <c r="BG17" s="77">
        <v>6600</v>
      </c>
      <c r="BH17" s="77">
        <v>1100</v>
      </c>
      <c r="BI17" s="77">
        <v>3300</v>
      </c>
      <c r="BJ17" s="77"/>
      <c r="BK17" s="78">
        <f t="shared" si="29"/>
        <v>548510</v>
      </c>
      <c r="BL17" s="49">
        <v>13</v>
      </c>
      <c r="BM17" s="79">
        <f t="shared" si="25"/>
        <v>548510</v>
      </c>
      <c r="BN17" s="49">
        <v>594</v>
      </c>
    </row>
    <row r="18" spans="2:67" ht="20" customHeight="1">
      <c r="B18" s="80">
        <f t="shared" si="26"/>
        <v>45640</v>
      </c>
      <c r="C18" s="81"/>
      <c r="D18" s="52"/>
      <c r="E18" s="53">
        <v>25</v>
      </c>
      <c r="F18" s="54">
        <v>123750</v>
      </c>
      <c r="G18" s="55">
        <f t="shared" si="0"/>
        <v>4500</v>
      </c>
      <c r="H18" s="54">
        <v>19140</v>
      </c>
      <c r="I18" s="56">
        <f t="shared" si="27"/>
        <v>696</v>
      </c>
      <c r="J18" s="57">
        <f t="shared" si="1"/>
        <v>142890</v>
      </c>
      <c r="K18" s="58">
        <f t="shared" si="2"/>
        <v>5715.6</v>
      </c>
      <c r="L18" s="59"/>
      <c r="M18" s="60">
        <f t="shared" si="3"/>
        <v>30</v>
      </c>
      <c r="N18" s="61">
        <f t="shared" si="3"/>
        <v>316030</v>
      </c>
      <c r="O18" s="55">
        <f t="shared" si="4"/>
        <v>9576.6666666666661</v>
      </c>
      <c r="P18" s="61">
        <f t="shared" si="5"/>
        <v>78100</v>
      </c>
      <c r="Q18" s="56">
        <f t="shared" si="6"/>
        <v>2366.6666666666665</v>
      </c>
      <c r="R18" s="62">
        <f t="shared" si="7"/>
        <v>394130</v>
      </c>
      <c r="S18" s="58">
        <f t="shared" si="8"/>
        <v>13137.666666666666</v>
      </c>
      <c r="T18" s="82">
        <f t="shared" si="9"/>
        <v>55</v>
      </c>
      <c r="U18" s="61">
        <f t="shared" si="9"/>
        <v>439780</v>
      </c>
      <c r="V18" s="61">
        <f t="shared" si="10"/>
        <v>97240</v>
      </c>
      <c r="W18" s="64">
        <f t="shared" si="11"/>
        <v>537020</v>
      </c>
      <c r="X18" s="83"/>
      <c r="Y18" s="65"/>
      <c r="Z18" s="66">
        <v>12</v>
      </c>
      <c r="AA18" s="54">
        <v>5800</v>
      </c>
      <c r="AB18" s="55">
        <f t="shared" si="12"/>
        <v>483.33333333333331</v>
      </c>
      <c r="AC18" s="54">
        <v>5350</v>
      </c>
      <c r="AD18" s="56">
        <f t="shared" si="13"/>
        <v>445.83333333333331</v>
      </c>
      <c r="AE18" s="67">
        <f t="shared" si="14"/>
        <v>11150</v>
      </c>
      <c r="AF18" s="58">
        <f t="shared" si="15"/>
        <v>929.16666666666663</v>
      </c>
      <c r="AG18" s="68"/>
      <c r="AH18" s="66">
        <v>32</v>
      </c>
      <c r="AI18" s="54">
        <v>125280</v>
      </c>
      <c r="AJ18" s="55">
        <f t="shared" si="16"/>
        <v>3915</v>
      </c>
      <c r="AK18" s="54">
        <v>41760</v>
      </c>
      <c r="AL18" s="56">
        <f t="shared" si="17"/>
        <v>1305</v>
      </c>
      <c r="AM18" s="67">
        <f t="shared" si="28"/>
        <v>167040</v>
      </c>
      <c r="AN18" s="69">
        <f t="shared" si="18"/>
        <v>5220</v>
      </c>
      <c r="AO18" s="70"/>
      <c r="AP18" s="66"/>
      <c r="AQ18" s="54"/>
      <c r="AR18" s="55" t="e">
        <f t="shared" si="19"/>
        <v>#DIV/0!</v>
      </c>
      <c r="AS18" s="54"/>
      <c r="AT18" s="56" t="e">
        <f t="shared" si="20"/>
        <v>#DIV/0!</v>
      </c>
      <c r="AU18" s="56"/>
      <c r="AV18" s="56"/>
      <c r="AW18" s="71">
        <f t="shared" ref="AW18:AW35" si="33">AQ18+AS18+AU18+AV18</f>
        <v>0</v>
      </c>
      <c r="AX18" s="69" t="str">
        <f t="shared" si="21"/>
        <v/>
      </c>
      <c r="AY18" s="84">
        <f t="shared" si="22"/>
        <v>55</v>
      </c>
      <c r="AZ18" s="61">
        <f t="shared" si="23"/>
        <v>570860</v>
      </c>
      <c r="BA18" s="61">
        <f t="shared" si="24"/>
        <v>144350</v>
      </c>
      <c r="BB18" s="73">
        <f>W18+AE18+AM18+AW18-BN18</f>
        <v>715210</v>
      </c>
      <c r="BC18" s="74">
        <f t="shared" si="30"/>
        <v>18700</v>
      </c>
      <c r="BD18" s="75">
        <v>55</v>
      </c>
      <c r="BE18" s="76">
        <v>439780</v>
      </c>
      <c r="BF18" s="76">
        <v>97240</v>
      </c>
      <c r="BG18" s="77">
        <v>12100</v>
      </c>
      <c r="BH18" s="77">
        <v>6600</v>
      </c>
      <c r="BI18" s="77"/>
      <c r="BJ18" s="77"/>
      <c r="BK18" s="78">
        <f t="shared" si="29"/>
        <v>555720</v>
      </c>
      <c r="BL18" s="49">
        <v>14</v>
      </c>
      <c r="BM18" s="79">
        <f t="shared" si="25"/>
        <v>555720</v>
      </c>
    </row>
    <row r="19" spans="2:67" ht="20" customHeight="1">
      <c r="B19" s="80">
        <f t="shared" si="26"/>
        <v>45641</v>
      </c>
      <c r="C19" s="81"/>
      <c r="D19" s="52"/>
      <c r="E19" s="53">
        <v>33</v>
      </c>
      <c r="F19" s="54">
        <v>146190</v>
      </c>
      <c r="G19" s="55">
        <f t="shared" si="0"/>
        <v>4027.2727272727275</v>
      </c>
      <c r="H19" s="54">
        <v>27820</v>
      </c>
      <c r="I19" s="56">
        <f t="shared" si="27"/>
        <v>766.36363636363637</v>
      </c>
      <c r="J19" s="57">
        <f t="shared" si="1"/>
        <v>174010</v>
      </c>
      <c r="K19" s="58">
        <f t="shared" si="2"/>
        <v>5273.030303030303</v>
      </c>
      <c r="L19" s="59"/>
      <c r="M19" s="60">
        <f t="shared" si="3"/>
        <v>26</v>
      </c>
      <c r="N19" s="61">
        <f t="shared" si="3"/>
        <v>283360</v>
      </c>
      <c r="O19" s="55">
        <f t="shared" si="4"/>
        <v>9907.6923076923085</v>
      </c>
      <c r="P19" s="61">
        <f t="shared" si="5"/>
        <v>42380</v>
      </c>
      <c r="Q19" s="87">
        <f t="shared" si="6"/>
        <v>1481.8076923076924</v>
      </c>
      <c r="R19" s="62">
        <f t="shared" si="7"/>
        <v>325740</v>
      </c>
      <c r="S19" s="58">
        <f t="shared" si="8"/>
        <v>12528.461538461539</v>
      </c>
      <c r="T19" s="82">
        <f t="shared" si="9"/>
        <v>59</v>
      </c>
      <c r="U19" s="61">
        <f t="shared" si="9"/>
        <v>429550</v>
      </c>
      <c r="V19" s="61">
        <f t="shared" si="10"/>
        <v>70200</v>
      </c>
      <c r="W19" s="64">
        <f t="shared" si="11"/>
        <v>499750</v>
      </c>
      <c r="X19" s="83"/>
      <c r="Y19" s="65"/>
      <c r="Z19" s="66">
        <v>1</v>
      </c>
      <c r="AA19" s="54">
        <v>450</v>
      </c>
      <c r="AB19" s="55">
        <f t="shared" si="12"/>
        <v>450</v>
      </c>
      <c r="AC19" s="54">
        <v>2400</v>
      </c>
      <c r="AD19" s="56">
        <v>1700</v>
      </c>
      <c r="AE19" s="67">
        <f t="shared" si="14"/>
        <v>2850</v>
      </c>
      <c r="AF19" s="58">
        <f t="shared" si="15"/>
        <v>2850</v>
      </c>
      <c r="AG19" s="68"/>
      <c r="AH19" s="66"/>
      <c r="AI19" s="54"/>
      <c r="AJ19" s="55" t="e">
        <f t="shared" si="16"/>
        <v>#DIV/0!</v>
      </c>
      <c r="AK19" s="54"/>
      <c r="AL19" s="56" t="e">
        <f t="shared" si="17"/>
        <v>#DIV/0!</v>
      </c>
      <c r="AM19" s="67">
        <f t="shared" si="28"/>
        <v>0</v>
      </c>
      <c r="AN19" s="69" t="str">
        <f t="shared" si="18"/>
        <v/>
      </c>
      <c r="AO19" s="70"/>
      <c r="AP19" s="66"/>
      <c r="AQ19" s="54"/>
      <c r="AR19" s="55" t="e">
        <f t="shared" si="19"/>
        <v>#DIV/0!</v>
      </c>
      <c r="AS19" s="54"/>
      <c r="AT19" s="56" t="e">
        <f t="shared" si="20"/>
        <v>#DIV/0!</v>
      </c>
      <c r="AU19" s="56"/>
      <c r="AV19" s="56"/>
      <c r="AW19" s="71">
        <f>AQ19+AS19+AU19+AV19-BN19</f>
        <v>0</v>
      </c>
      <c r="AX19" s="69" t="str">
        <f t="shared" si="21"/>
        <v/>
      </c>
      <c r="AY19" s="84">
        <f t="shared" si="22"/>
        <v>59</v>
      </c>
      <c r="AZ19" s="61">
        <f t="shared" si="23"/>
        <v>430000</v>
      </c>
      <c r="BA19" s="61">
        <f t="shared" si="24"/>
        <v>72600</v>
      </c>
      <c r="BB19" s="73">
        <f>W19+AE19+AM19+AW19-BN19</f>
        <v>502600</v>
      </c>
      <c r="BC19" s="74">
        <f t="shared" si="30"/>
        <v>12100</v>
      </c>
      <c r="BD19" s="75">
        <v>59</v>
      </c>
      <c r="BE19" s="76">
        <v>429550</v>
      </c>
      <c r="BF19" s="76">
        <v>70200</v>
      </c>
      <c r="BG19" s="77">
        <v>9900</v>
      </c>
      <c r="BH19" s="77">
        <v>2200</v>
      </c>
      <c r="BI19" s="77"/>
      <c r="BJ19" s="77"/>
      <c r="BK19" s="78">
        <f t="shared" si="29"/>
        <v>511850</v>
      </c>
      <c r="BL19" s="49">
        <v>15</v>
      </c>
      <c r="BM19" s="79">
        <f t="shared" si="25"/>
        <v>511850</v>
      </c>
    </row>
    <row r="20" spans="2:67" ht="20" customHeight="1">
      <c r="B20" s="80">
        <f t="shared" si="26"/>
        <v>45642</v>
      </c>
      <c r="C20" s="81"/>
      <c r="D20" s="52"/>
      <c r="E20" s="53">
        <v>30</v>
      </c>
      <c r="F20" s="54">
        <v>128920</v>
      </c>
      <c r="G20" s="55">
        <f t="shared" si="0"/>
        <v>3906.6666666666665</v>
      </c>
      <c r="H20" s="54">
        <v>22550</v>
      </c>
      <c r="I20" s="56">
        <f t="shared" si="27"/>
        <v>683.33333333333337</v>
      </c>
      <c r="J20" s="57">
        <f t="shared" si="1"/>
        <v>151470</v>
      </c>
      <c r="K20" s="58">
        <f t="shared" si="2"/>
        <v>5049</v>
      </c>
      <c r="L20" s="59"/>
      <c r="M20" s="60">
        <f t="shared" si="3"/>
        <v>33</v>
      </c>
      <c r="N20" s="61">
        <f t="shared" si="3"/>
        <v>310420</v>
      </c>
      <c r="O20" s="55">
        <f t="shared" si="4"/>
        <v>8551.515151515152</v>
      </c>
      <c r="P20" s="61">
        <f t="shared" si="5"/>
        <v>68360</v>
      </c>
      <c r="Q20" s="87">
        <f t="shared" si="6"/>
        <v>1883.1818181818182</v>
      </c>
      <c r="R20" s="62">
        <f t="shared" si="7"/>
        <v>378780</v>
      </c>
      <c r="S20" s="58">
        <f t="shared" si="8"/>
        <v>11478.181818181818</v>
      </c>
      <c r="T20" s="82">
        <f t="shared" si="9"/>
        <v>63</v>
      </c>
      <c r="U20" s="61">
        <f t="shared" si="9"/>
        <v>439340</v>
      </c>
      <c r="V20" s="61">
        <f t="shared" si="10"/>
        <v>90910</v>
      </c>
      <c r="W20" s="64">
        <f t="shared" si="11"/>
        <v>530250</v>
      </c>
      <c r="X20" s="83"/>
      <c r="Y20" s="65"/>
      <c r="Z20" s="66">
        <v>6</v>
      </c>
      <c r="AA20" s="54">
        <v>2900</v>
      </c>
      <c r="AB20" s="55">
        <f t="shared" si="12"/>
        <v>483.33333333333331</v>
      </c>
      <c r="AC20" s="54">
        <v>1800</v>
      </c>
      <c r="AD20" s="56">
        <f t="shared" si="13"/>
        <v>300</v>
      </c>
      <c r="AE20" s="67">
        <f t="shared" si="14"/>
        <v>4700</v>
      </c>
      <c r="AF20" s="58">
        <f t="shared" si="15"/>
        <v>783.33333333333337</v>
      </c>
      <c r="AG20" s="68"/>
      <c r="AH20" s="66"/>
      <c r="AI20" s="54"/>
      <c r="AJ20" s="55" t="e">
        <f t="shared" si="16"/>
        <v>#DIV/0!</v>
      </c>
      <c r="AK20" s="54"/>
      <c r="AL20" s="56" t="e">
        <f t="shared" si="17"/>
        <v>#DIV/0!</v>
      </c>
      <c r="AM20" s="67">
        <f t="shared" si="28"/>
        <v>0</v>
      </c>
      <c r="AN20" s="69" t="str">
        <f t="shared" si="18"/>
        <v/>
      </c>
      <c r="AO20" s="70"/>
      <c r="AP20" s="66"/>
      <c r="AQ20" s="54"/>
      <c r="AR20" s="55" t="e">
        <f t="shared" si="19"/>
        <v>#DIV/0!</v>
      </c>
      <c r="AS20" s="54"/>
      <c r="AT20" s="56" t="e">
        <f t="shared" si="20"/>
        <v>#DIV/0!</v>
      </c>
      <c r="AU20" s="56"/>
      <c r="AV20" s="56"/>
      <c r="AW20" s="71">
        <f t="shared" si="33"/>
        <v>0</v>
      </c>
      <c r="AX20" s="69" t="str">
        <f t="shared" si="21"/>
        <v/>
      </c>
      <c r="AY20" s="84">
        <f t="shared" si="22"/>
        <v>63</v>
      </c>
      <c r="AZ20" s="61">
        <f t="shared" si="23"/>
        <v>442240</v>
      </c>
      <c r="BA20" s="61">
        <f t="shared" si="24"/>
        <v>92710</v>
      </c>
      <c r="BB20" s="73">
        <f>W20+AE20+AM20+AW20</f>
        <v>534950</v>
      </c>
      <c r="BC20" s="74">
        <f t="shared" si="30"/>
        <v>4400</v>
      </c>
      <c r="BD20" s="75">
        <v>63</v>
      </c>
      <c r="BE20" s="76">
        <v>439340</v>
      </c>
      <c r="BF20" s="76">
        <v>90910</v>
      </c>
      <c r="BG20" s="77">
        <v>3300</v>
      </c>
      <c r="BH20" s="77">
        <v>1100</v>
      </c>
      <c r="BI20" s="77"/>
      <c r="BJ20" s="77"/>
      <c r="BK20" s="78">
        <f t="shared" si="29"/>
        <v>534650</v>
      </c>
      <c r="BL20" s="49">
        <v>16</v>
      </c>
      <c r="BM20" s="79">
        <f t="shared" si="25"/>
        <v>534650</v>
      </c>
    </row>
    <row r="21" spans="2:67" ht="20" customHeight="1">
      <c r="B21" s="80">
        <f t="shared" si="26"/>
        <v>45643</v>
      </c>
      <c r="C21" s="81"/>
      <c r="D21" s="52"/>
      <c r="E21" s="53">
        <v>29</v>
      </c>
      <c r="F21" s="54">
        <v>123970</v>
      </c>
      <c r="G21" s="55">
        <f>ROUNDDOWN(F21/1.1,0)/E21</f>
        <v>3886.2068965517242</v>
      </c>
      <c r="H21" s="54">
        <v>18700</v>
      </c>
      <c r="I21" s="56">
        <f t="shared" si="27"/>
        <v>586.20689655172418</v>
      </c>
      <c r="J21" s="57">
        <f t="shared" si="1"/>
        <v>142670</v>
      </c>
      <c r="K21" s="58">
        <f t="shared" si="2"/>
        <v>4919.6551724137935</v>
      </c>
      <c r="L21" s="59"/>
      <c r="M21" s="60">
        <f t="shared" si="3"/>
        <v>22</v>
      </c>
      <c r="N21" s="61">
        <f t="shared" si="3"/>
        <v>230430</v>
      </c>
      <c r="O21" s="55">
        <f t="shared" si="4"/>
        <v>9521.863636363636</v>
      </c>
      <c r="P21" s="61">
        <f t="shared" si="5"/>
        <v>35830</v>
      </c>
      <c r="Q21" s="87">
        <f t="shared" si="6"/>
        <v>1480.5454545454545</v>
      </c>
      <c r="R21" s="62">
        <f>N21+P21</f>
        <v>266260</v>
      </c>
      <c r="S21" s="58">
        <f t="shared" si="8"/>
        <v>12102.727272727272</v>
      </c>
      <c r="T21" s="82">
        <f t="shared" si="9"/>
        <v>51</v>
      </c>
      <c r="U21" s="61">
        <f t="shared" si="9"/>
        <v>354400</v>
      </c>
      <c r="V21" s="61">
        <f t="shared" si="10"/>
        <v>54530</v>
      </c>
      <c r="W21" s="64">
        <f t="shared" si="11"/>
        <v>408930</v>
      </c>
      <c r="X21" s="83"/>
      <c r="Y21" s="65"/>
      <c r="Z21" s="66">
        <v>14</v>
      </c>
      <c r="AA21" s="54">
        <v>6200</v>
      </c>
      <c r="AB21" s="55">
        <f t="shared" si="12"/>
        <v>442.85714285714283</v>
      </c>
      <c r="AC21" s="54">
        <v>900</v>
      </c>
      <c r="AD21" s="56">
        <f t="shared" si="13"/>
        <v>64.285714285714292</v>
      </c>
      <c r="AE21" s="67">
        <f t="shared" si="14"/>
        <v>7100</v>
      </c>
      <c r="AF21" s="58">
        <f t="shared" si="15"/>
        <v>507.14285714285717</v>
      </c>
      <c r="AG21" s="68"/>
      <c r="AH21" s="66">
        <v>81</v>
      </c>
      <c r="AI21" s="54">
        <v>317115</v>
      </c>
      <c r="AJ21" s="55">
        <f t="shared" si="16"/>
        <v>3915</v>
      </c>
      <c r="AK21" s="54">
        <v>105705</v>
      </c>
      <c r="AL21" s="56">
        <f t="shared" si="17"/>
        <v>1305</v>
      </c>
      <c r="AM21" s="67">
        <f t="shared" si="28"/>
        <v>422820</v>
      </c>
      <c r="AN21" s="69">
        <f t="shared" si="18"/>
        <v>5220</v>
      </c>
      <c r="AO21" s="70"/>
      <c r="AP21" s="66"/>
      <c r="AQ21" s="54"/>
      <c r="AR21" s="55" t="e">
        <f t="shared" si="19"/>
        <v>#DIV/0!</v>
      </c>
      <c r="AS21" s="54"/>
      <c r="AT21" s="56" t="e">
        <f t="shared" si="20"/>
        <v>#DIV/0!</v>
      </c>
      <c r="AU21" s="56"/>
      <c r="AV21" s="56"/>
      <c r="AW21" s="71">
        <f t="shared" si="33"/>
        <v>0</v>
      </c>
      <c r="AX21" s="69" t="str">
        <f t="shared" si="21"/>
        <v/>
      </c>
      <c r="AY21" s="84">
        <f t="shared" si="22"/>
        <v>51</v>
      </c>
      <c r="AZ21" s="61">
        <f t="shared" si="23"/>
        <v>677715</v>
      </c>
      <c r="BA21" s="61">
        <f t="shared" si="24"/>
        <v>161135</v>
      </c>
      <c r="BB21" s="73">
        <f>W21+AE21+AM21+AW21</f>
        <v>838850</v>
      </c>
      <c r="BC21" s="74">
        <f t="shared" si="30"/>
        <v>16500</v>
      </c>
      <c r="BD21" s="75">
        <v>51</v>
      </c>
      <c r="BE21" s="76">
        <v>354400</v>
      </c>
      <c r="BF21" s="76">
        <v>54530</v>
      </c>
      <c r="BG21" s="77">
        <v>16500</v>
      </c>
      <c r="BH21" s="77"/>
      <c r="BI21" s="77"/>
      <c r="BJ21" s="77"/>
      <c r="BK21" s="78">
        <f t="shared" si="29"/>
        <v>425430</v>
      </c>
      <c r="BL21" s="49">
        <v>17</v>
      </c>
      <c r="BM21" s="79">
        <f t="shared" si="25"/>
        <v>425430</v>
      </c>
    </row>
    <row r="22" spans="2:67" ht="20" customHeight="1">
      <c r="B22" s="80">
        <f t="shared" si="26"/>
        <v>45644</v>
      </c>
      <c r="C22" s="81"/>
      <c r="D22" s="52"/>
      <c r="E22" s="53">
        <v>32</v>
      </c>
      <c r="F22" s="54">
        <v>124960</v>
      </c>
      <c r="G22" s="55">
        <f t="shared" si="0"/>
        <v>3550</v>
      </c>
      <c r="H22" s="54">
        <v>11650</v>
      </c>
      <c r="I22" s="56">
        <f t="shared" si="27"/>
        <v>330.9375</v>
      </c>
      <c r="J22" s="57">
        <f t="shared" si="1"/>
        <v>136610</v>
      </c>
      <c r="K22" s="58">
        <f t="shared" si="2"/>
        <v>4269.0625</v>
      </c>
      <c r="L22" s="59"/>
      <c r="M22" s="60">
        <f t="shared" si="3"/>
        <v>40</v>
      </c>
      <c r="N22" s="61">
        <f t="shared" si="3"/>
        <v>343200</v>
      </c>
      <c r="O22" s="55">
        <f t="shared" si="4"/>
        <v>7800</v>
      </c>
      <c r="P22" s="61">
        <f t="shared" si="5"/>
        <v>136800</v>
      </c>
      <c r="Q22" s="87">
        <f t="shared" si="6"/>
        <v>3109.0749999999998</v>
      </c>
      <c r="R22" s="62">
        <f t="shared" si="7"/>
        <v>480000</v>
      </c>
      <c r="S22" s="58">
        <f t="shared" si="8"/>
        <v>12000</v>
      </c>
      <c r="T22" s="82">
        <f t="shared" si="9"/>
        <v>72</v>
      </c>
      <c r="U22" s="61">
        <f t="shared" si="9"/>
        <v>468160</v>
      </c>
      <c r="V22" s="61">
        <f t="shared" si="10"/>
        <v>148450</v>
      </c>
      <c r="W22" s="64">
        <f t="shared" si="11"/>
        <v>616610</v>
      </c>
      <c r="X22" s="83"/>
      <c r="Y22" s="65"/>
      <c r="Z22" s="66">
        <v>2</v>
      </c>
      <c r="AA22" s="54">
        <v>800</v>
      </c>
      <c r="AB22" s="55">
        <f t="shared" si="12"/>
        <v>400</v>
      </c>
      <c r="AC22" s="54">
        <v>500</v>
      </c>
      <c r="AD22" s="56">
        <f t="shared" si="13"/>
        <v>250</v>
      </c>
      <c r="AE22" s="67">
        <f t="shared" si="14"/>
        <v>1300</v>
      </c>
      <c r="AF22" s="58">
        <f t="shared" si="15"/>
        <v>650</v>
      </c>
      <c r="AG22" s="68"/>
      <c r="AH22" s="66"/>
      <c r="AI22" s="54"/>
      <c r="AJ22" s="55" t="e">
        <f t="shared" si="16"/>
        <v>#DIV/0!</v>
      </c>
      <c r="AK22" s="54"/>
      <c r="AL22" s="56" t="e">
        <f t="shared" si="17"/>
        <v>#DIV/0!</v>
      </c>
      <c r="AM22" s="67">
        <f t="shared" si="28"/>
        <v>0</v>
      </c>
      <c r="AN22" s="69" t="str">
        <f t="shared" si="18"/>
        <v/>
      </c>
      <c r="AO22" s="70"/>
      <c r="AP22" s="66"/>
      <c r="AQ22" s="54"/>
      <c r="AR22" s="55" t="e">
        <f t="shared" si="19"/>
        <v>#DIV/0!</v>
      </c>
      <c r="AS22" s="54"/>
      <c r="AT22" s="56" t="e">
        <f t="shared" si="20"/>
        <v>#DIV/0!</v>
      </c>
      <c r="AU22" s="56"/>
      <c r="AV22" s="56"/>
      <c r="AW22" s="71">
        <f t="shared" si="33"/>
        <v>0</v>
      </c>
      <c r="AX22" s="69" t="str">
        <f t="shared" si="21"/>
        <v/>
      </c>
      <c r="AY22" s="84">
        <f t="shared" si="22"/>
        <v>72</v>
      </c>
      <c r="AZ22" s="61">
        <f t="shared" si="23"/>
        <v>468960</v>
      </c>
      <c r="BA22" s="61">
        <f t="shared" si="24"/>
        <v>148950</v>
      </c>
      <c r="BB22" s="73">
        <f t="shared" si="32"/>
        <v>617910</v>
      </c>
      <c r="BC22" s="74">
        <f t="shared" si="30"/>
        <v>2200</v>
      </c>
      <c r="BD22" s="75">
        <v>72</v>
      </c>
      <c r="BE22" s="76">
        <v>468160</v>
      </c>
      <c r="BF22" s="76">
        <v>148450</v>
      </c>
      <c r="BG22" s="77">
        <v>2200</v>
      </c>
      <c r="BH22" s="77"/>
      <c r="BI22" s="77"/>
      <c r="BJ22" s="77"/>
      <c r="BK22" s="78">
        <f t="shared" si="29"/>
        <v>618810</v>
      </c>
      <c r="BL22" s="49">
        <v>18</v>
      </c>
      <c r="BM22" s="79">
        <f t="shared" si="25"/>
        <v>618810</v>
      </c>
      <c r="BO22" s="85"/>
    </row>
    <row r="23" spans="2:67" ht="20" customHeight="1">
      <c r="B23" s="80">
        <f t="shared" si="26"/>
        <v>45645</v>
      </c>
      <c r="C23" s="81"/>
      <c r="D23" s="52"/>
      <c r="E23" s="53">
        <v>32</v>
      </c>
      <c r="F23" s="54">
        <v>123420</v>
      </c>
      <c r="G23" s="55">
        <f t="shared" si="0"/>
        <v>3506.25</v>
      </c>
      <c r="H23" s="54">
        <v>13890</v>
      </c>
      <c r="I23" s="56">
        <f t="shared" si="27"/>
        <v>394.59375</v>
      </c>
      <c r="J23" s="57">
        <f t="shared" si="1"/>
        <v>137310</v>
      </c>
      <c r="K23" s="58">
        <f t="shared" si="2"/>
        <v>4290.9375</v>
      </c>
      <c r="L23" s="59"/>
      <c r="M23" s="60">
        <f t="shared" si="3"/>
        <v>31</v>
      </c>
      <c r="N23" s="61">
        <f t="shared" si="3"/>
        <v>344300</v>
      </c>
      <c r="O23" s="55">
        <f t="shared" si="4"/>
        <v>10096.774193548386</v>
      </c>
      <c r="P23" s="61">
        <f t="shared" si="5"/>
        <v>64630</v>
      </c>
      <c r="Q23" s="87">
        <f t="shared" si="6"/>
        <v>1895.2903225806451</v>
      </c>
      <c r="R23" s="62">
        <f t="shared" si="7"/>
        <v>408930</v>
      </c>
      <c r="S23" s="58">
        <f t="shared" si="8"/>
        <v>13191.290322580646</v>
      </c>
      <c r="T23" s="82">
        <f t="shared" si="9"/>
        <v>63</v>
      </c>
      <c r="U23" s="61">
        <f t="shared" si="9"/>
        <v>467720</v>
      </c>
      <c r="V23" s="61">
        <f t="shared" si="10"/>
        <v>78520</v>
      </c>
      <c r="W23" s="64">
        <f t="shared" si="11"/>
        <v>546240</v>
      </c>
      <c r="X23" s="83"/>
      <c r="Y23" s="65"/>
      <c r="Z23" s="66">
        <v>2</v>
      </c>
      <c r="AA23" s="54">
        <v>900</v>
      </c>
      <c r="AB23" s="55">
        <f t="shared" si="12"/>
        <v>450</v>
      </c>
      <c r="AC23" s="54">
        <v>900</v>
      </c>
      <c r="AD23" s="56">
        <f t="shared" si="13"/>
        <v>450</v>
      </c>
      <c r="AE23" s="67">
        <f t="shared" si="14"/>
        <v>1800</v>
      </c>
      <c r="AF23" s="58">
        <f t="shared" si="15"/>
        <v>900</v>
      </c>
      <c r="AG23" s="68"/>
      <c r="AH23" s="66">
        <v>8</v>
      </c>
      <c r="AI23" s="54">
        <v>59160</v>
      </c>
      <c r="AJ23" s="55">
        <f t="shared" si="16"/>
        <v>7395</v>
      </c>
      <c r="AK23" s="54">
        <v>10440</v>
      </c>
      <c r="AL23" s="56">
        <f t="shared" si="17"/>
        <v>1305</v>
      </c>
      <c r="AM23" s="67">
        <f t="shared" si="28"/>
        <v>69600</v>
      </c>
      <c r="AN23" s="69">
        <f t="shared" si="18"/>
        <v>8700</v>
      </c>
      <c r="AO23" s="70"/>
      <c r="AP23" s="66"/>
      <c r="AQ23" s="54"/>
      <c r="AR23" s="55" t="e">
        <f t="shared" si="19"/>
        <v>#DIV/0!</v>
      </c>
      <c r="AS23" s="54"/>
      <c r="AT23" s="56" t="e">
        <f t="shared" si="20"/>
        <v>#DIV/0!</v>
      </c>
      <c r="AU23" s="56"/>
      <c r="AV23" s="56"/>
      <c r="AW23" s="71">
        <f t="shared" si="33"/>
        <v>0</v>
      </c>
      <c r="AX23" s="69" t="str">
        <f>IF(AP23="","",AW23/AP23)</f>
        <v/>
      </c>
      <c r="AY23" s="84">
        <f t="shared" si="22"/>
        <v>63</v>
      </c>
      <c r="AZ23" s="61">
        <f t="shared" si="23"/>
        <v>527780</v>
      </c>
      <c r="BA23" s="61">
        <f t="shared" si="24"/>
        <v>89860</v>
      </c>
      <c r="BB23" s="73">
        <f>W23+AE23+AM23+AW23-BN22</f>
        <v>617640</v>
      </c>
      <c r="BC23" s="74">
        <f t="shared" si="30"/>
        <v>20900</v>
      </c>
      <c r="BD23" s="75">
        <v>63</v>
      </c>
      <c r="BE23" s="76">
        <v>467720</v>
      </c>
      <c r="BF23" s="76">
        <v>78520</v>
      </c>
      <c r="BG23" s="77">
        <v>17600</v>
      </c>
      <c r="BH23" s="77">
        <v>3300</v>
      </c>
      <c r="BI23" s="77">
        <v>3300</v>
      </c>
      <c r="BJ23" s="77"/>
      <c r="BK23" s="78">
        <f>SUM(BE23:BH23)</f>
        <v>567140</v>
      </c>
      <c r="BL23" s="49">
        <v>19</v>
      </c>
      <c r="BM23" s="79">
        <f t="shared" si="25"/>
        <v>567140</v>
      </c>
    </row>
    <row r="24" spans="2:67" ht="20" customHeight="1">
      <c r="B24" s="80">
        <f t="shared" si="26"/>
        <v>45646</v>
      </c>
      <c r="C24" s="81"/>
      <c r="D24" s="52"/>
      <c r="E24" s="53">
        <v>37</v>
      </c>
      <c r="F24" s="54">
        <v>166540</v>
      </c>
      <c r="G24" s="55">
        <f t="shared" si="0"/>
        <v>4091.8918918918921</v>
      </c>
      <c r="H24" s="54">
        <v>22180</v>
      </c>
      <c r="I24" s="56">
        <f t="shared" si="27"/>
        <v>544.94594594594594</v>
      </c>
      <c r="J24" s="57">
        <f t="shared" si="1"/>
        <v>188720</v>
      </c>
      <c r="K24" s="58">
        <f t="shared" si="2"/>
        <v>5100.5405405405409</v>
      </c>
      <c r="L24" s="59"/>
      <c r="M24" s="60">
        <f t="shared" si="3"/>
        <v>28</v>
      </c>
      <c r="N24" s="61">
        <f t="shared" si="3"/>
        <v>262460</v>
      </c>
      <c r="O24" s="55">
        <f t="shared" si="4"/>
        <v>8521.4285714285706</v>
      </c>
      <c r="P24" s="61">
        <f t="shared" si="5"/>
        <v>81860</v>
      </c>
      <c r="Q24" s="87">
        <f t="shared" si="6"/>
        <v>2657.7857142857142</v>
      </c>
      <c r="R24" s="62">
        <f t="shared" si="7"/>
        <v>344320</v>
      </c>
      <c r="S24" s="58">
        <f t="shared" si="8"/>
        <v>12297.142857142857</v>
      </c>
      <c r="T24" s="82">
        <f t="shared" si="9"/>
        <v>65</v>
      </c>
      <c r="U24" s="61">
        <f t="shared" si="9"/>
        <v>429000</v>
      </c>
      <c r="V24" s="61">
        <f t="shared" si="10"/>
        <v>104040</v>
      </c>
      <c r="W24" s="64">
        <f t="shared" si="11"/>
        <v>533040</v>
      </c>
      <c r="X24" s="83"/>
      <c r="Y24" s="65"/>
      <c r="Z24" s="66">
        <v>15</v>
      </c>
      <c r="AA24" s="54">
        <v>7350</v>
      </c>
      <c r="AB24" s="55">
        <f t="shared" si="12"/>
        <v>490</v>
      </c>
      <c r="AC24" s="54">
        <v>2550</v>
      </c>
      <c r="AD24" s="56">
        <f t="shared" si="13"/>
        <v>170</v>
      </c>
      <c r="AE24" s="67">
        <f t="shared" si="14"/>
        <v>9900</v>
      </c>
      <c r="AF24" s="58">
        <f t="shared" si="15"/>
        <v>660</v>
      </c>
      <c r="AG24" s="68"/>
      <c r="AH24" s="66">
        <v>86</v>
      </c>
      <c r="AI24" s="54">
        <v>388890</v>
      </c>
      <c r="AJ24" s="55">
        <f t="shared" si="16"/>
        <v>4521.9767441860467</v>
      </c>
      <c r="AK24" s="54">
        <v>112230</v>
      </c>
      <c r="AL24" s="56">
        <f t="shared" si="17"/>
        <v>1305</v>
      </c>
      <c r="AM24" s="67">
        <f t="shared" si="28"/>
        <v>501120</v>
      </c>
      <c r="AN24" s="69">
        <f t="shared" si="18"/>
        <v>5826.9767441860467</v>
      </c>
      <c r="AO24" s="70"/>
      <c r="AP24" s="66"/>
      <c r="AQ24" s="54"/>
      <c r="AR24" s="55" t="e">
        <f t="shared" si="19"/>
        <v>#DIV/0!</v>
      </c>
      <c r="AS24" s="54"/>
      <c r="AT24" s="56" t="e">
        <f t="shared" si="20"/>
        <v>#DIV/0!</v>
      </c>
      <c r="AU24" s="56"/>
      <c r="AV24" s="56"/>
      <c r="AW24" s="88">
        <f t="shared" si="33"/>
        <v>0</v>
      </c>
      <c r="AX24" s="69" t="str">
        <f t="shared" si="21"/>
        <v/>
      </c>
      <c r="AY24" s="84">
        <f t="shared" si="22"/>
        <v>65</v>
      </c>
      <c r="AZ24" s="61">
        <f t="shared" si="23"/>
        <v>825240</v>
      </c>
      <c r="BA24" s="61">
        <f t="shared" si="24"/>
        <v>218820</v>
      </c>
      <c r="BB24" s="73">
        <f>W24+AE24+AM24+AW24-BN24</f>
        <v>1044060</v>
      </c>
      <c r="BC24" s="74">
        <f>BG24+BH24</f>
        <v>6600</v>
      </c>
      <c r="BD24" s="75">
        <v>65</v>
      </c>
      <c r="BE24" s="76">
        <v>429000</v>
      </c>
      <c r="BF24" s="76">
        <v>104040</v>
      </c>
      <c r="BG24" s="77">
        <v>4400</v>
      </c>
      <c r="BH24" s="77">
        <v>2200</v>
      </c>
      <c r="BI24" s="77"/>
      <c r="BJ24" s="77"/>
      <c r="BK24" s="78">
        <f t="shared" si="29"/>
        <v>539640</v>
      </c>
      <c r="BL24" s="49">
        <v>20</v>
      </c>
      <c r="BM24" s="79">
        <f t="shared" si="25"/>
        <v>539640</v>
      </c>
    </row>
    <row r="25" spans="2:67" ht="20" customHeight="1">
      <c r="B25" s="80">
        <f t="shared" si="26"/>
        <v>45647</v>
      </c>
      <c r="C25" s="81"/>
      <c r="D25" s="52"/>
      <c r="E25" s="53">
        <v>35</v>
      </c>
      <c r="F25" s="54">
        <v>142560</v>
      </c>
      <c r="G25" s="55">
        <f t="shared" si="0"/>
        <v>3702.8571428571427</v>
      </c>
      <c r="H25" s="54">
        <v>35340</v>
      </c>
      <c r="I25" s="56">
        <f t="shared" si="27"/>
        <v>917.91428571428571</v>
      </c>
      <c r="J25" s="57">
        <f t="shared" si="1"/>
        <v>177900</v>
      </c>
      <c r="K25" s="58">
        <f t="shared" si="2"/>
        <v>5082.8571428571431</v>
      </c>
      <c r="L25" s="59"/>
      <c r="M25" s="60">
        <f t="shared" si="3"/>
        <v>32</v>
      </c>
      <c r="N25" s="61">
        <f t="shared" si="3"/>
        <v>517110</v>
      </c>
      <c r="O25" s="55">
        <f t="shared" si="4"/>
        <v>14690.625</v>
      </c>
      <c r="P25" s="61">
        <f t="shared" si="5"/>
        <v>105020</v>
      </c>
      <c r="Q25" s="87">
        <f t="shared" si="6"/>
        <v>2983.5</v>
      </c>
      <c r="R25" s="62">
        <f t="shared" si="7"/>
        <v>622130</v>
      </c>
      <c r="S25" s="58">
        <f t="shared" si="8"/>
        <v>19441.5625</v>
      </c>
      <c r="T25" s="82">
        <f t="shared" si="9"/>
        <v>67</v>
      </c>
      <c r="U25" s="61">
        <f t="shared" si="9"/>
        <v>659670</v>
      </c>
      <c r="V25" s="61">
        <f t="shared" si="10"/>
        <v>140360</v>
      </c>
      <c r="W25" s="64">
        <f t="shared" si="11"/>
        <v>800030</v>
      </c>
      <c r="X25" s="83"/>
      <c r="Y25" s="65"/>
      <c r="Z25" s="66">
        <v>7</v>
      </c>
      <c r="AA25" s="54">
        <v>3050</v>
      </c>
      <c r="AB25" s="55">
        <f t="shared" si="12"/>
        <v>435.71428571428572</v>
      </c>
      <c r="AC25" s="54">
        <v>3000</v>
      </c>
      <c r="AD25" s="56">
        <f t="shared" si="13"/>
        <v>428.57142857142856</v>
      </c>
      <c r="AE25" s="67">
        <f t="shared" si="14"/>
        <v>6050</v>
      </c>
      <c r="AF25" s="58">
        <f t="shared" si="15"/>
        <v>864.28571428571433</v>
      </c>
      <c r="AG25" s="68"/>
      <c r="AH25" s="66"/>
      <c r="AI25" s="54"/>
      <c r="AJ25" s="55" t="e">
        <f t="shared" si="16"/>
        <v>#DIV/0!</v>
      </c>
      <c r="AK25" s="54"/>
      <c r="AL25" s="56" t="e">
        <f t="shared" si="17"/>
        <v>#DIV/0!</v>
      </c>
      <c r="AM25" s="67">
        <f t="shared" si="28"/>
        <v>0</v>
      </c>
      <c r="AN25" s="69" t="str">
        <f t="shared" si="18"/>
        <v/>
      </c>
      <c r="AO25" s="70"/>
      <c r="AP25" s="66"/>
      <c r="AQ25" s="54"/>
      <c r="AR25" s="55" t="e">
        <f t="shared" si="19"/>
        <v>#DIV/0!</v>
      </c>
      <c r="AS25" s="54"/>
      <c r="AT25" s="56" t="e">
        <f t="shared" si="20"/>
        <v>#DIV/0!</v>
      </c>
      <c r="AU25" s="56"/>
      <c r="AV25" s="56"/>
      <c r="AW25" s="88">
        <f t="shared" si="33"/>
        <v>0</v>
      </c>
      <c r="AX25" s="69" t="str">
        <f t="shared" si="21"/>
        <v/>
      </c>
      <c r="AY25" s="84">
        <f t="shared" si="22"/>
        <v>67</v>
      </c>
      <c r="AZ25" s="61">
        <f t="shared" si="23"/>
        <v>662720</v>
      </c>
      <c r="BA25" s="61">
        <f t="shared" si="24"/>
        <v>143360</v>
      </c>
      <c r="BB25" s="73">
        <f>W25+AE25+AM25+AW25-BN25</f>
        <v>794732</v>
      </c>
      <c r="BC25" s="74">
        <f t="shared" si="30"/>
        <v>26400</v>
      </c>
      <c r="BD25" s="75">
        <v>67</v>
      </c>
      <c r="BE25" s="76">
        <v>659670</v>
      </c>
      <c r="BF25" s="76">
        <v>140360</v>
      </c>
      <c r="BG25" s="77">
        <v>26400</v>
      </c>
      <c r="BH25" s="77"/>
      <c r="BI25" s="77">
        <v>3300</v>
      </c>
      <c r="BJ25" s="77"/>
      <c r="BK25" s="78">
        <f t="shared" si="29"/>
        <v>826430</v>
      </c>
      <c r="BL25" s="49">
        <v>21</v>
      </c>
      <c r="BM25" s="79">
        <f t="shared" si="25"/>
        <v>826430</v>
      </c>
      <c r="BN25" s="49">
        <v>11348</v>
      </c>
    </row>
    <row r="26" spans="2:67" ht="20" customHeight="1">
      <c r="B26" s="80">
        <f t="shared" si="26"/>
        <v>45648</v>
      </c>
      <c r="C26" s="81"/>
      <c r="D26" s="52"/>
      <c r="E26" s="53">
        <v>35</v>
      </c>
      <c r="F26" s="54">
        <v>178640</v>
      </c>
      <c r="G26" s="55">
        <f t="shared" si="0"/>
        <v>4640</v>
      </c>
      <c r="H26" s="54">
        <v>58430</v>
      </c>
      <c r="I26" s="56">
        <f t="shared" si="27"/>
        <v>1517.6571428571428</v>
      </c>
      <c r="J26" s="57">
        <f t="shared" si="1"/>
        <v>237070</v>
      </c>
      <c r="K26" s="58">
        <f t="shared" si="2"/>
        <v>6773.4285714285716</v>
      </c>
      <c r="L26" s="59"/>
      <c r="M26" s="60">
        <f t="shared" si="3"/>
        <v>25</v>
      </c>
      <c r="N26" s="61">
        <f t="shared" si="3"/>
        <v>415800</v>
      </c>
      <c r="O26" s="55">
        <f t="shared" si="4"/>
        <v>15120</v>
      </c>
      <c r="P26" s="61">
        <f t="shared" si="5"/>
        <v>91950</v>
      </c>
      <c r="Q26" s="87">
        <f t="shared" si="6"/>
        <v>3343.6</v>
      </c>
      <c r="R26" s="62">
        <f t="shared" si="7"/>
        <v>507750</v>
      </c>
      <c r="S26" s="58">
        <f t="shared" si="8"/>
        <v>20310</v>
      </c>
      <c r="T26" s="82">
        <f t="shared" si="9"/>
        <v>60</v>
      </c>
      <c r="U26" s="61">
        <f t="shared" si="9"/>
        <v>594440</v>
      </c>
      <c r="V26" s="61">
        <f t="shared" si="10"/>
        <v>150380</v>
      </c>
      <c r="W26" s="64">
        <f t="shared" si="11"/>
        <v>744820</v>
      </c>
      <c r="X26" s="83"/>
      <c r="Y26" s="65"/>
      <c r="Z26" s="66">
        <v>19</v>
      </c>
      <c r="AA26" s="54">
        <v>8450</v>
      </c>
      <c r="AB26" s="55">
        <f t="shared" si="12"/>
        <v>444.73684210526318</v>
      </c>
      <c r="AC26" s="54">
        <v>4850</v>
      </c>
      <c r="AD26" s="56">
        <f t="shared" si="13"/>
        <v>255.26315789473685</v>
      </c>
      <c r="AE26" s="67">
        <f t="shared" si="14"/>
        <v>13300</v>
      </c>
      <c r="AF26" s="58">
        <f t="shared" si="15"/>
        <v>700</v>
      </c>
      <c r="AG26" s="68"/>
      <c r="AH26" s="66"/>
      <c r="AI26" s="54"/>
      <c r="AJ26" s="55" t="e">
        <f t="shared" si="16"/>
        <v>#DIV/0!</v>
      </c>
      <c r="AK26" s="54"/>
      <c r="AL26" s="56" t="e">
        <f t="shared" si="17"/>
        <v>#DIV/0!</v>
      </c>
      <c r="AM26" s="67">
        <f t="shared" si="28"/>
        <v>0</v>
      </c>
      <c r="AN26" s="69" t="str">
        <f t="shared" si="18"/>
        <v/>
      </c>
      <c r="AO26" s="70"/>
      <c r="AP26" s="66"/>
      <c r="AQ26" s="54"/>
      <c r="AR26" s="55" t="e">
        <f t="shared" si="19"/>
        <v>#DIV/0!</v>
      </c>
      <c r="AS26" s="54"/>
      <c r="AT26" s="56" t="e">
        <f t="shared" si="20"/>
        <v>#DIV/0!</v>
      </c>
      <c r="AU26" s="56"/>
      <c r="AV26" s="56"/>
      <c r="AW26" s="71">
        <f t="shared" si="33"/>
        <v>0</v>
      </c>
      <c r="AX26" s="69" t="str">
        <f t="shared" si="21"/>
        <v/>
      </c>
      <c r="AY26" s="84">
        <f t="shared" si="22"/>
        <v>60</v>
      </c>
      <c r="AZ26" s="61">
        <f t="shared" si="23"/>
        <v>602890</v>
      </c>
      <c r="BA26" s="61">
        <f t="shared" si="24"/>
        <v>155230</v>
      </c>
      <c r="BB26" s="73">
        <f>W26+AE26+AM26+AW26-BN26</f>
        <v>758120</v>
      </c>
      <c r="BC26" s="74">
        <f>BG26+BH26</f>
        <v>27500</v>
      </c>
      <c r="BD26" s="75">
        <v>60</v>
      </c>
      <c r="BE26" s="76">
        <v>594440</v>
      </c>
      <c r="BF26" s="76">
        <v>150380</v>
      </c>
      <c r="BG26" s="77">
        <v>27500</v>
      </c>
      <c r="BH26" s="77"/>
      <c r="BI26" s="77"/>
      <c r="BJ26" s="77"/>
      <c r="BK26" s="78">
        <f t="shared" si="29"/>
        <v>772320</v>
      </c>
      <c r="BL26" s="49">
        <v>22</v>
      </c>
      <c r="BM26" s="79">
        <f t="shared" si="25"/>
        <v>772320</v>
      </c>
    </row>
    <row r="27" spans="2:67" ht="20" customHeight="1">
      <c r="B27" s="80">
        <f t="shared" si="26"/>
        <v>45649</v>
      </c>
      <c r="C27" s="81"/>
      <c r="D27" s="52"/>
      <c r="E27" s="53">
        <v>40</v>
      </c>
      <c r="F27" s="54">
        <v>172260</v>
      </c>
      <c r="G27" s="55">
        <f t="shared" si="0"/>
        <v>3915</v>
      </c>
      <c r="H27" s="54">
        <v>48850</v>
      </c>
      <c r="I27" s="56">
        <f t="shared" si="27"/>
        <v>1110.2249999999999</v>
      </c>
      <c r="J27" s="57">
        <f t="shared" si="1"/>
        <v>221110</v>
      </c>
      <c r="K27" s="58">
        <f t="shared" si="2"/>
        <v>5527.75</v>
      </c>
      <c r="L27" s="59"/>
      <c r="M27" s="60">
        <f t="shared" si="3"/>
        <v>26</v>
      </c>
      <c r="N27" s="61">
        <f t="shared" si="3"/>
        <v>429000</v>
      </c>
      <c r="O27" s="55">
        <f t="shared" si="4"/>
        <v>15000</v>
      </c>
      <c r="P27" s="61">
        <f t="shared" si="5"/>
        <v>114590</v>
      </c>
      <c r="Q27" s="56">
        <f t="shared" si="6"/>
        <v>4006.6153846153848</v>
      </c>
      <c r="R27" s="62">
        <f t="shared" si="7"/>
        <v>543590</v>
      </c>
      <c r="S27" s="58">
        <f t="shared" si="8"/>
        <v>20907.307692307691</v>
      </c>
      <c r="T27" s="82">
        <f t="shared" si="9"/>
        <v>66</v>
      </c>
      <c r="U27" s="61">
        <f t="shared" si="9"/>
        <v>601260</v>
      </c>
      <c r="V27" s="61">
        <f t="shared" si="10"/>
        <v>163440</v>
      </c>
      <c r="W27" s="64">
        <f t="shared" si="11"/>
        <v>764700</v>
      </c>
      <c r="X27" s="83"/>
      <c r="Y27" s="65"/>
      <c r="Z27" s="66">
        <v>4</v>
      </c>
      <c r="AA27" s="54">
        <v>1600</v>
      </c>
      <c r="AB27" s="55">
        <f t="shared" si="12"/>
        <v>400</v>
      </c>
      <c r="AC27" s="54">
        <v>1400</v>
      </c>
      <c r="AD27" s="56">
        <f t="shared" si="13"/>
        <v>350</v>
      </c>
      <c r="AE27" s="67">
        <f t="shared" si="14"/>
        <v>3000</v>
      </c>
      <c r="AF27" s="58">
        <f t="shared" si="15"/>
        <v>750</v>
      </c>
      <c r="AG27" s="68"/>
      <c r="AH27" s="66">
        <v>67</v>
      </c>
      <c r="AI27" s="54">
        <v>307545</v>
      </c>
      <c r="AJ27" s="55">
        <f t="shared" si="16"/>
        <v>4590.2238805970146</v>
      </c>
      <c r="AK27" s="54">
        <v>87435</v>
      </c>
      <c r="AL27" s="56">
        <f t="shared" si="17"/>
        <v>1305</v>
      </c>
      <c r="AM27" s="67">
        <f t="shared" si="28"/>
        <v>394980</v>
      </c>
      <c r="AN27" s="69">
        <f t="shared" si="18"/>
        <v>5895.2238805970146</v>
      </c>
      <c r="AO27" s="70"/>
      <c r="AP27" s="66"/>
      <c r="AQ27" s="54"/>
      <c r="AR27" s="55" t="e">
        <f t="shared" si="19"/>
        <v>#DIV/0!</v>
      </c>
      <c r="AS27" s="54"/>
      <c r="AT27" s="56" t="e">
        <f t="shared" si="20"/>
        <v>#DIV/0!</v>
      </c>
      <c r="AU27" s="56"/>
      <c r="AV27" s="56"/>
      <c r="AW27" s="71">
        <f>AQ27+AS27+AU27+AV27-BO26</f>
        <v>0</v>
      </c>
      <c r="AX27" s="69" t="str">
        <f t="shared" si="21"/>
        <v/>
      </c>
      <c r="AY27" s="84">
        <f t="shared" si="22"/>
        <v>66</v>
      </c>
      <c r="AZ27" s="61">
        <f t="shared" si="23"/>
        <v>910405</v>
      </c>
      <c r="BA27" s="61">
        <f t="shared" si="24"/>
        <v>252275</v>
      </c>
      <c r="BB27" s="73">
        <f>W27+AE27+AM27+AW27-BN27</f>
        <v>1162680</v>
      </c>
      <c r="BC27" s="74">
        <f t="shared" si="30"/>
        <v>33000</v>
      </c>
      <c r="BD27" s="75">
        <v>66</v>
      </c>
      <c r="BE27" s="76">
        <v>601260</v>
      </c>
      <c r="BF27" s="76">
        <v>163440</v>
      </c>
      <c r="BG27" s="77">
        <v>33000</v>
      </c>
      <c r="BH27" s="77"/>
      <c r="BI27" s="77">
        <v>5000</v>
      </c>
      <c r="BJ27" s="77"/>
      <c r="BK27" s="78">
        <f t="shared" si="29"/>
        <v>797700</v>
      </c>
      <c r="BL27" s="49">
        <v>23</v>
      </c>
      <c r="BM27" s="79">
        <f t="shared" si="25"/>
        <v>797700</v>
      </c>
    </row>
    <row r="28" spans="2:67" ht="20" customHeight="1">
      <c r="B28" s="80">
        <f>B27+1</f>
        <v>45650</v>
      </c>
      <c r="C28" s="81"/>
      <c r="D28" s="52"/>
      <c r="E28" s="53">
        <v>30</v>
      </c>
      <c r="F28" s="54">
        <v>123860</v>
      </c>
      <c r="G28" s="55">
        <f t="shared" si="0"/>
        <v>3753.3333333333335</v>
      </c>
      <c r="H28" s="54">
        <v>18750</v>
      </c>
      <c r="I28" s="56">
        <f t="shared" si="27"/>
        <v>568.16666666666663</v>
      </c>
      <c r="J28" s="57">
        <f t="shared" si="1"/>
        <v>142610</v>
      </c>
      <c r="K28" s="58">
        <f t="shared" si="2"/>
        <v>4753.666666666667</v>
      </c>
      <c r="L28" s="59"/>
      <c r="M28" s="60">
        <f t="shared" si="3"/>
        <v>42</v>
      </c>
      <c r="N28" s="61">
        <f t="shared" si="3"/>
        <v>681010</v>
      </c>
      <c r="O28" s="55">
        <f t="shared" si="4"/>
        <v>14740.476190476191</v>
      </c>
      <c r="P28" s="61">
        <f t="shared" si="5"/>
        <v>142860</v>
      </c>
      <c r="Q28" s="56">
        <f>ROUNDDOWN(P28/1.1,0)/M28</f>
        <v>3092.1904761904761</v>
      </c>
      <c r="R28" s="62">
        <f t="shared" si="7"/>
        <v>823870</v>
      </c>
      <c r="S28" s="58">
        <f t="shared" si="8"/>
        <v>19615.952380952382</v>
      </c>
      <c r="T28" s="82">
        <f t="shared" si="9"/>
        <v>72</v>
      </c>
      <c r="U28" s="61">
        <f t="shared" si="9"/>
        <v>804870</v>
      </c>
      <c r="V28" s="61">
        <f t="shared" si="10"/>
        <v>161610</v>
      </c>
      <c r="W28" s="64">
        <f t="shared" si="11"/>
        <v>966480</v>
      </c>
      <c r="X28" s="83"/>
      <c r="Y28" s="65"/>
      <c r="Z28" s="66">
        <v>16</v>
      </c>
      <c r="AA28" s="54">
        <v>6650</v>
      </c>
      <c r="AB28" s="55">
        <f t="shared" si="12"/>
        <v>415.625</v>
      </c>
      <c r="AC28" s="54">
        <v>5400</v>
      </c>
      <c r="AD28" s="56">
        <f t="shared" si="13"/>
        <v>337.5</v>
      </c>
      <c r="AE28" s="67">
        <f t="shared" si="14"/>
        <v>12050</v>
      </c>
      <c r="AF28" s="58">
        <f t="shared" si="15"/>
        <v>753.125</v>
      </c>
      <c r="AG28" s="68"/>
      <c r="AH28" s="66"/>
      <c r="AI28" s="54"/>
      <c r="AJ28" s="55" t="e">
        <f t="shared" si="16"/>
        <v>#DIV/0!</v>
      </c>
      <c r="AK28" s="54"/>
      <c r="AL28" s="56" t="e">
        <f t="shared" si="17"/>
        <v>#DIV/0!</v>
      </c>
      <c r="AM28" s="67">
        <f t="shared" si="28"/>
        <v>0</v>
      </c>
      <c r="AN28" s="69" t="str">
        <f t="shared" si="18"/>
        <v/>
      </c>
      <c r="AO28" s="70"/>
      <c r="AP28" s="66"/>
      <c r="AQ28" s="54"/>
      <c r="AR28" s="55" t="e">
        <f t="shared" si="19"/>
        <v>#DIV/0!</v>
      </c>
      <c r="AS28" s="54"/>
      <c r="AT28" s="56" t="e">
        <f t="shared" si="20"/>
        <v>#DIV/0!</v>
      </c>
      <c r="AU28" s="56"/>
      <c r="AV28" s="56"/>
      <c r="AW28" s="71">
        <f>AQ28+AS28+AU28+AV28</f>
        <v>0</v>
      </c>
      <c r="AX28" s="69" t="str">
        <f t="shared" si="21"/>
        <v/>
      </c>
      <c r="AY28" s="84">
        <f t="shared" si="22"/>
        <v>72</v>
      </c>
      <c r="AZ28" s="61">
        <f t="shared" si="23"/>
        <v>811520</v>
      </c>
      <c r="BA28" s="61">
        <f t="shared" si="24"/>
        <v>167010</v>
      </c>
      <c r="BB28" s="73">
        <f t="shared" si="32"/>
        <v>978530</v>
      </c>
      <c r="BC28" s="74">
        <f t="shared" si="30"/>
        <v>34100</v>
      </c>
      <c r="BD28" s="75">
        <v>72</v>
      </c>
      <c r="BE28" s="76">
        <v>804870</v>
      </c>
      <c r="BF28" s="76">
        <v>161610</v>
      </c>
      <c r="BG28" s="77">
        <v>34100</v>
      </c>
      <c r="BH28" s="77"/>
      <c r="BI28" s="77"/>
      <c r="BJ28" s="77"/>
      <c r="BK28" s="78">
        <f t="shared" si="29"/>
        <v>1000580</v>
      </c>
      <c r="BL28" s="49">
        <v>24</v>
      </c>
      <c r="BM28" s="79">
        <f t="shared" si="25"/>
        <v>1000580</v>
      </c>
    </row>
    <row r="29" spans="2:67" ht="20" customHeight="1">
      <c r="B29" s="80">
        <f t="shared" si="26"/>
        <v>45651</v>
      </c>
      <c r="C29" s="81"/>
      <c r="D29" s="52"/>
      <c r="E29" s="53">
        <v>28</v>
      </c>
      <c r="F29" s="54">
        <v>154560</v>
      </c>
      <c r="G29" s="55">
        <f t="shared" si="0"/>
        <v>5018.1785714285716</v>
      </c>
      <c r="H29" s="54">
        <v>25760</v>
      </c>
      <c r="I29" s="55">
        <f t="shared" si="27"/>
        <v>836.35714285714289</v>
      </c>
      <c r="J29" s="57">
        <f t="shared" si="1"/>
        <v>180320</v>
      </c>
      <c r="K29" s="58">
        <f t="shared" si="2"/>
        <v>6440</v>
      </c>
      <c r="L29" s="59"/>
      <c r="M29" s="60">
        <f t="shared" si="3"/>
        <v>35</v>
      </c>
      <c r="N29" s="61">
        <f t="shared" si="3"/>
        <v>549780</v>
      </c>
      <c r="O29" s="55">
        <f t="shared" si="4"/>
        <v>14280</v>
      </c>
      <c r="P29" s="61">
        <f t="shared" si="5"/>
        <v>110510</v>
      </c>
      <c r="Q29" s="56">
        <f t="shared" si="6"/>
        <v>2870.3714285714286</v>
      </c>
      <c r="R29" s="62">
        <f t="shared" si="7"/>
        <v>660290</v>
      </c>
      <c r="S29" s="58">
        <f t="shared" si="8"/>
        <v>18865.428571428572</v>
      </c>
      <c r="T29" s="82">
        <f t="shared" si="9"/>
        <v>63</v>
      </c>
      <c r="U29" s="61">
        <f t="shared" si="9"/>
        <v>704340</v>
      </c>
      <c r="V29" s="61">
        <f t="shared" si="10"/>
        <v>136270</v>
      </c>
      <c r="W29" s="64">
        <f t="shared" si="11"/>
        <v>840610</v>
      </c>
      <c r="X29" s="83"/>
      <c r="Y29" s="65"/>
      <c r="Z29" s="66">
        <v>10</v>
      </c>
      <c r="AA29" s="54">
        <v>4350</v>
      </c>
      <c r="AB29" s="55">
        <f t="shared" si="12"/>
        <v>435</v>
      </c>
      <c r="AC29" s="54">
        <v>2400</v>
      </c>
      <c r="AD29" s="56">
        <f t="shared" si="13"/>
        <v>240</v>
      </c>
      <c r="AE29" s="67">
        <f t="shared" si="14"/>
        <v>6750</v>
      </c>
      <c r="AF29" s="58">
        <f t="shared" si="15"/>
        <v>675</v>
      </c>
      <c r="AG29" s="68"/>
      <c r="AH29" s="66"/>
      <c r="AI29" s="54"/>
      <c r="AJ29" s="55" t="e">
        <f t="shared" si="16"/>
        <v>#DIV/0!</v>
      </c>
      <c r="AK29" s="54"/>
      <c r="AL29" s="56" t="e">
        <f t="shared" si="17"/>
        <v>#DIV/0!</v>
      </c>
      <c r="AM29" s="67">
        <f t="shared" si="28"/>
        <v>0</v>
      </c>
      <c r="AN29" s="69" t="str">
        <f t="shared" si="18"/>
        <v/>
      </c>
      <c r="AO29" s="70"/>
      <c r="AP29" s="66"/>
      <c r="AQ29" s="54"/>
      <c r="AR29" s="55" t="e">
        <f t="shared" si="19"/>
        <v>#DIV/0!</v>
      </c>
      <c r="AS29" s="54"/>
      <c r="AT29" s="56" t="e">
        <f t="shared" si="20"/>
        <v>#DIV/0!</v>
      </c>
      <c r="AU29" s="56"/>
      <c r="AV29" s="56"/>
      <c r="AW29" s="71">
        <f>AQ29+AS29+AU29+AV29-BO29</f>
        <v>0</v>
      </c>
      <c r="AX29" s="69" t="str">
        <f t="shared" si="21"/>
        <v/>
      </c>
      <c r="AY29" s="84">
        <f t="shared" si="22"/>
        <v>63</v>
      </c>
      <c r="AZ29" s="61">
        <f t="shared" si="23"/>
        <v>708690</v>
      </c>
      <c r="BA29" s="61">
        <f t="shared" si="24"/>
        <v>138670</v>
      </c>
      <c r="BB29" s="73">
        <f t="shared" si="32"/>
        <v>847360</v>
      </c>
      <c r="BC29" s="74">
        <f t="shared" si="30"/>
        <v>17600</v>
      </c>
      <c r="BD29" s="75">
        <v>63</v>
      </c>
      <c r="BE29" s="76">
        <v>704340</v>
      </c>
      <c r="BF29" s="76">
        <v>136270</v>
      </c>
      <c r="BG29" s="77">
        <v>17600</v>
      </c>
      <c r="BH29" s="77"/>
      <c r="BI29" s="77"/>
      <c r="BJ29" s="77"/>
      <c r="BK29" s="78">
        <f t="shared" si="29"/>
        <v>858210</v>
      </c>
      <c r="BL29" s="49">
        <v>25</v>
      </c>
      <c r="BM29" s="79">
        <f t="shared" si="25"/>
        <v>858210</v>
      </c>
    </row>
    <row r="30" spans="2:67" ht="20" customHeight="1">
      <c r="B30" s="80">
        <f t="shared" si="26"/>
        <v>45652</v>
      </c>
      <c r="C30" s="81"/>
      <c r="D30" s="52"/>
      <c r="E30" s="53">
        <v>23</v>
      </c>
      <c r="F30" s="54">
        <v>134820</v>
      </c>
      <c r="G30" s="55">
        <f t="shared" si="0"/>
        <v>5328.826086956522</v>
      </c>
      <c r="H30" s="54">
        <v>22070</v>
      </c>
      <c r="I30" s="55">
        <f t="shared" si="27"/>
        <v>872.304347826087</v>
      </c>
      <c r="J30" s="57">
        <f t="shared" si="1"/>
        <v>156890</v>
      </c>
      <c r="K30" s="58">
        <f t="shared" si="2"/>
        <v>6821.304347826087</v>
      </c>
      <c r="L30" s="59"/>
      <c r="M30" s="60">
        <f t="shared" si="3"/>
        <v>28</v>
      </c>
      <c r="N30" s="61">
        <f t="shared" si="3"/>
        <v>265460</v>
      </c>
      <c r="O30" s="55">
        <f t="shared" si="4"/>
        <v>8618.8214285714294</v>
      </c>
      <c r="P30" s="61">
        <f t="shared" si="5"/>
        <v>108840</v>
      </c>
      <c r="Q30" s="55">
        <f t="shared" si="6"/>
        <v>3533.75</v>
      </c>
      <c r="R30" s="62">
        <f t="shared" si="7"/>
        <v>374300</v>
      </c>
      <c r="S30" s="58">
        <f t="shared" si="8"/>
        <v>13367.857142857143</v>
      </c>
      <c r="T30" s="82">
        <f t="shared" si="9"/>
        <v>51</v>
      </c>
      <c r="U30" s="61">
        <f t="shared" si="9"/>
        <v>400280</v>
      </c>
      <c r="V30" s="61">
        <f t="shared" si="10"/>
        <v>130910</v>
      </c>
      <c r="W30" s="64">
        <f t="shared" si="11"/>
        <v>531190</v>
      </c>
      <c r="X30" s="83"/>
      <c r="Y30" s="65"/>
      <c r="Z30" s="66">
        <v>16</v>
      </c>
      <c r="AA30" s="54">
        <v>6900</v>
      </c>
      <c r="AB30" s="55">
        <f t="shared" si="12"/>
        <v>431.25</v>
      </c>
      <c r="AC30" s="54">
        <v>1800</v>
      </c>
      <c r="AD30" s="56">
        <f t="shared" si="13"/>
        <v>112.5</v>
      </c>
      <c r="AE30" s="67">
        <f t="shared" si="14"/>
        <v>8700</v>
      </c>
      <c r="AF30" s="58">
        <f t="shared" si="15"/>
        <v>543.75</v>
      </c>
      <c r="AG30" s="68"/>
      <c r="AH30" s="66"/>
      <c r="AI30" s="54"/>
      <c r="AJ30" s="55" t="e">
        <f t="shared" si="16"/>
        <v>#DIV/0!</v>
      </c>
      <c r="AK30" s="54"/>
      <c r="AL30" s="56" t="e">
        <f t="shared" si="17"/>
        <v>#DIV/0!</v>
      </c>
      <c r="AM30" s="67">
        <f t="shared" si="28"/>
        <v>0</v>
      </c>
      <c r="AN30" s="69" t="str">
        <f t="shared" si="18"/>
        <v/>
      </c>
      <c r="AO30" s="70"/>
      <c r="AP30" s="66"/>
      <c r="AQ30" s="54"/>
      <c r="AR30" s="55" t="e">
        <f t="shared" si="19"/>
        <v>#DIV/0!</v>
      </c>
      <c r="AS30" s="54"/>
      <c r="AT30" s="56" t="e">
        <f t="shared" si="20"/>
        <v>#DIV/0!</v>
      </c>
      <c r="AU30" s="56"/>
      <c r="AV30" s="56"/>
      <c r="AW30" s="71">
        <f t="shared" ref="AW30:AW33" si="34">AQ30+AS30+AU30+AV30</f>
        <v>0</v>
      </c>
      <c r="AX30" s="69" t="str">
        <f t="shared" si="21"/>
        <v/>
      </c>
      <c r="AY30" s="84">
        <f t="shared" si="22"/>
        <v>51</v>
      </c>
      <c r="AZ30" s="61">
        <f t="shared" si="23"/>
        <v>407180</v>
      </c>
      <c r="BA30" s="61">
        <f t="shared" si="24"/>
        <v>132710</v>
      </c>
      <c r="BB30" s="73">
        <f t="shared" si="32"/>
        <v>539890</v>
      </c>
      <c r="BC30" s="74">
        <f>BG30+BH30</f>
        <v>2200</v>
      </c>
      <c r="BD30" s="75">
        <v>51</v>
      </c>
      <c r="BE30" s="76">
        <v>400280</v>
      </c>
      <c r="BF30" s="76">
        <v>130910</v>
      </c>
      <c r="BG30" s="77">
        <v>2200</v>
      </c>
      <c r="BH30" s="77"/>
      <c r="BI30" s="77"/>
      <c r="BJ30" s="77"/>
      <c r="BK30" s="78">
        <f t="shared" si="29"/>
        <v>533390</v>
      </c>
      <c r="BL30" s="49">
        <v>26</v>
      </c>
      <c r="BM30" s="79">
        <f t="shared" si="25"/>
        <v>533390</v>
      </c>
    </row>
    <row r="31" spans="2:67" ht="20" customHeight="1">
      <c r="B31" s="80">
        <f t="shared" si="26"/>
        <v>45653</v>
      </c>
      <c r="C31" s="81"/>
      <c r="D31" s="52"/>
      <c r="E31" s="53">
        <v>37</v>
      </c>
      <c r="F31" s="54">
        <v>170830</v>
      </c>
      <c r="G31" s="55">
        <f t="shared" si="0"/>
        <v>4197.2972972972975</v>
      </c>
      <c r="H31" s="54">
        <v>27960</v>
      </c>
      <c r="I31" s="55">
        <f t="shared" si="27"/>
        <v>686.97297297297303</v>
      </c>
      <c r="J31" s="57">
        <f t="shared" si="1"/>
        <v>198790</v>
      </c>
      <c r="K31" s="58">
        <f t="shared" si="2"/>
        <v>5372.7027027027025</v>
      </c>
      <c r="L31" s="59"/>
      <c r="M31" s="60">
        <f t="shared" si="3"/>
        <v>25</v>
      </c>
      <c r="N31" s="61">
        <f t="shared" si="3"/>
        <v>260040</v>
      </c>
      <c r="O31" s="55">
        <f t="shared" si="4"/>
        <v>9456</v>
      </c>
      <c r="P31" s="61">
        <f t="shared" si="5"/>
        <v>42860</v>
      </c>
      <c r="Q31" s="55">
        <f t="shared" si="6"/>
        <v>1558.52</v>
      </c>
      <c r="R31" s="62">
        <f t="shared" si="7"/>
        <v>302900</v>
      </c>
      <c r="S31" s="58">
        <f t="shared" si="8"/>
        <v>12116</v>
      </c>
      <c r="T31" s="82">
        <f t="shared" si="9"/>
        <v>62</v>
      </c>
      <c r="U31" s="61">
        <f t="shared" si="9"/>
        <v>430870</v>
      </c>
      <c r="V31" s="61">
        <f t="shared" si="10"/>
        <v>70820</v>
      </c>
      <c r="W31" s="64">
        <f t="shared" si="11"/>
        <v>501690</v>
      </c>
      <c r="X31" s="83"/>
      <c r="Y31" s="65"/>
      <c r="Z31" s="66">
        <v>13</v>
      </c>
      <c r="AA31" s="54">
        <v>6200</v>
      </c>
      <c r="AB31" s="55">
        <f t="shared" si="12"/>
        <v>476.92307692307691</v>
      </c>
      <c r="AC31" s="54">
        <v>1300</v>
      </c>
      <c r="AD31" s="56">
        <f t="shared" si="13"/>
        <v>100</v>
      </c>
      <c r="AE31" s="67">
        <f t="shared" si="14"/>
        <v>7500</v>
      </c>
      <c r="AF31" s="58">
        <f t="shared" si="15"/>
        <v>576.92307692307691</v>
      </c>
      <c r="AG31" s="68"/>
      <c r="AH31" s="66"/>
      <c r="AI31" s="54"/>
      <c r="AJ31" s="55" t="e">
        <f t="shared" si="16"/>
        <v>#DIV/0!</v>
      </c>
      <c r="AK31" s="54"/>
      <c r="AL31" s="56" t="e">
        <f t="shared" si="17"/>
        <v>#DIV/0!</v>
      </c>
      <c r="AM31" s="67">
        <f t="shared" si="28"/>
        <v>0</v>
      </c>
      <c r="AN31" s="69" t="str">
        <f t="shared" si="18"/>
        <v/>
      </c>
      <c r="AO31" s="70"/>
      <c r="AP31" s="66"/>
      <c r="AQ31" s="54"/>
      <c r="AR31" s="55" t="e">
        <f t="shared" si="19"/>
        <v>#DIV/0!</v>
      </c>
      <c r="AS31" s="54"/>
      <c r="AT31" s="56" t="e">
        <f t="shared" si="20"/>
        <v>#DIV/0!</v>
      </c>
      <c r="AU31" s="56"/>
      <c r="AV31" s="56"/>
      <c r="AW31" s="71">
        <f t="shared" si="34"/>
        <v>0</v>
      </c>
      <c r="AX31" s="69" t="str">
        <f t="shared" si="21"/>
        <v/>
      </c>
      <c r="AY31" s="84">
        <f t="shared" si="22"/>
        <v>62</v>
      </c>
      <c r="AZ31" s="61">
        <f t="shared" si="23"/>
        <v>437070</v>
      </c>
      <c r="BA31" s="61">
        <f t="shared" si="24"/>
        <v>72120</v>
      </c>
      <c r="BB31" s="73">
        <f>W31+AE31+AM31+AW31-BN31</f>
        <v>509190</v>
      </c>
      <c r="BC31" s="74">
        <f t="shared" ref="BC31:BC34" si="35">BG31+BH31</f>
        <v>10450</v>
      </c>
      <c r="BD31" s="75">
        <v>62</v>
      </c>
      <c r="BE31" s="76">
        <v>430870</v>
      </c>
      <c r="BF31" s="76">
        <v>70820</v>
      </c>
      <c r="BG31" s="77">
        <v>10450</v>
      </c>
      <c r="BH31" s="77"/>
      <c r="BI31" s="77"/>
      <c r="BJ31" s="77"/>
      <c r="BK31" s="78">
        <f t="shared" si="29"/>
        <v>512140</v>
      </c>
      <c r="BL31" s="49">
        <v>27</v>
      </c>
      <c r="BM31" s="79">
        <f t="shared" si="25"/>
        <v>512140</v>
      </c>
    </row>
    <row r="32" spans="2:67" ht="20" customHeight="1">
      <c r="B32" s="80">
        <f t="shared" si="26"/>
        <v>45654</v>
      </c>
      <c r="C32" s="81"/>
      <c r="D32" s="52"/>
      <c r="E32" s="53">
        <v>32</v>
      </c>
      <c r="F32" s="54">
        <v>129800</v>
      </c>
      <c r="G32" s="55">
        <f t="shared" si="0"/>
        <v>3687.5</v>
      </c>
      <c r="H32" s="54">
        <v>28890</v>
      </c>
      <c r="I32" s="55">
        <f t="shared" si="27"/>
        <v>820.71875</v>
      </c>
      <c r="J32" s="57">
        <f t="shared" si="1"/>
        <v>158690</v>
      </c>
      <c r="K32" s="58">
        <f t="shared" si="2"/>
        <v>4959.0625</v>
      </c>
      <c r="L32" s="59"/>
      <c r="M32" s="60">
        <f t="shared" si="3"/>
        <v>32</v>
      </c>
      <c r="N32" s="61">
        <f t="shared" si="3"/>
        <v>299970</v>
      </c>
      <c r="O32" s="55">
        <f t="shared" si="4"/>
        <v>8521.875</v>
      </c>
      <c r="P32" s="61">
        <f t="shared" si="5"/>
        <v>55270</v>
      </c>
      <c r="Q32" s="55">
        <f t="shared" si="6"/>
        <v>1570.15625</v>
      </c>
      <c r="R32" s="62">
        <f t="shared" si="7"/>
        <v>355240</v>
      </c>
      <c r="S32" s="58">
        <f t="shared" si="8"/>
        <v>11101.25</v>
      </c>
      <c r="T32" s="82">
        <f t="shared" si="9"/>
        <v>64</v>
      </c>
      <c r="U32" s="61">
        <f t="shared" si="9"/>
        <v>429770</v>
      </c>
      <c r="V32" s="61">
        <f t="shared" si="10"/>
        <v>84160</v>
      </c>
      <c r="W32" s="64">
        <f t="shared" si="11"/>
        <v>513930</v>
      </c>
      <c r="X32" s="83"/>
      <c r="Y32" s="65"/>
      <c r="Z32" s="66">
        <v>19</v>
      </c>
      <c r="AA32" s="54">
        <v>8600</v>
      </c>
      <c r="AB32" s="55">
        <f t="shared" si="12"/>
        <v>452.63157894736844</v>
      </c>
      <c r="AC32" s="54">
        <v>5900</v>
      </c>
      <c r="AD32" s="56">
        <f t="shared" si="13"/>
        <v>310.5263157894737</v>
      </c>
      <c r="AE32" s="67">
        <f t="shared" si="14"/>
        <v>14500</v>
      </c>
      <c r="AF32" s="58">
        <f t="shared" si="15"/>
        <v>763.15789473684208</v>
      </c>
      <c r="AG32" s="68"/>
      <c r="AH32" s="66"/>
      <c r="AI32" s="54"/>
      <c r="AJ32" s="55" t="e">
        <f t="shared" si="16"/>
        <v>#DIV/0!</v>
      </c>
      <c r="AK32" s="54"/>
      <c r="AL32" s="56" t="e">
        <f t="shared" si="17"/>
        <v>#DIV/0!</v>
      </c>
      <c r="AM32" s="67">
        <f t="shared" si="28"/>
        <v>0</v>
      </c>
      <c r="AN32" s="69" t="str">
        <f t="shared" si="18"/>
        <v/>
      </c>
      <c r="AO32" s="70"/>
      <c r="AP32" s="66"/>
      <c r="AQ32" s="54"/>
      <c r="AR32" s="55" t="e">
        <f t="shared" si="19"/>
        <v>#DIV/0!</v>
      </c>
      <c r="AS32" s="54"/>
      <c r="AT32" s="56" t="e">
        <f t="shared" si="20"/>
        <v>#DIV/0!</v>
      </c>
      <c r="AU32" s="56"/>
      <c r="AV32" s="56"/>
      <c r="AW32" s="71">
        <f t="shared" si="34"/>
        <v>0</v>
      </c>
      <c r="AX32" s="69" t="str">
        <f t="shared" si="21"/>
        <v/>
      </c>
      <c r="AY32" s="84">
        <f t="shared" si="22"/>
        <v>64</v>
      </c>
      <c r="AZ32" s="61">
        <f>U32+AA32+AI32+AQ32</f>
        <v>438370</v>
      </c>
      <c r="BA32" s="61">
        <f t="shared" si="24"/>
        <v>90060</v>
      </c>
      <c r="BB32" s="73">
        <f>W32+AE32+AM32+AW32-BN32</f>
        <v>528430</v>
      </c>
      <c r="BC32" s="74">
        <f>BG32+BH32</f>
        <v>7700</v>
      </c>
      <c r="BD32" s="75">
        <v>64</v>
      </c>
      <c r="BE32" s="76">
        <v>429770</v>
      </c>
      <c r="BF32" s="76">
        <v>84160</v>
      </c>
      <c r="BG32" s="77">
        <v>7700</v>
      </c>
      <c r="BH32" s="77"/>
      <c r="BI32" s="77">
        <v>5000</v>
      </c>
      <c r="BJ32" s="77"/>
      <c r="BK32" s="78">
        <f>SUM(BE32:BH32)</f>
        <v>521630</v>
      </c>
      <c r="BL32" s="49">
        <v>28</v>
      </c>
    </row>
    <row r="33" spans="2:65" ht="20" customHeight="1">
      <c r="B33" s="80">
        <f t="shared" si="26"/>
        <v>45655</v>
      </c>
      <c r="C33" s="81"/>
      <c r="D33" s="52"/>
      <c r="E33" s="53">
        <v>35</v>
      </c>
      <c r="F33" s="54">
        <v>142010</v>
      </c>
      <c r="G33" s="55">
        <f t="shared" si="0"/>
        <v>3688.5714285714284</v>
      </c>
      <c r="H33" s="54">
        <v>36130</v>
      </c>
      <c r="I33" s="55">
        <f t="shared" si="27"/>
        <v>938.42857142857144</v>
      </c>
      <c r="J33" s="57">
        <f t="shared" si="1"/>
        <v>178140</v>
      </c>
      <c r="K33" s="58">
        <f t="shared" si="2"/>
        <v>5089.7142857142853</v>
      </c>
      <c r="L33" s="59"/>
      <c r="M33" s="60">
        <f t="shared" si="3"/>
        <v>40</v>
      </c>
      <c r="N33" s="61">
        <f t="shared" si="3"/>
        <v>334360</v>
      </c>
      <c r="O33" s="55">
        <f t="shared" si="4"/>
        <v>7599.0749999999998</v>
      </c>
      <c r="P33" s="61">
        <f t="shared" si="5"/>
        <v>77580</v>
      </c>
      <c r="Q33" s="55">
        <f t="shared" si="6"/>
        <v>1763.175</v>
      </c>
      <c r="R33" s="62">
        <f t="shared" si="7"/>
        <v>411940</v>
      </c>
      <c r="S33" s="58">
        <f t="shared" si="8"/>
        <v>10298.5</v>
      </c>
      <c r="T33" s="82">
        <f t="shared" si="9"/>
        <v>75</v>
      </c>
      <c r="U33" s="61">
        <f t="shared" si="9"/>
        <v>476370</v>
      </c>
      <c r="V33" s="61">
        <f t="shared" si="10"/>
        <v>113710</v>
      </c>
      <c r="W33" s="64">
        <f>J33+R33</f>
        <v>590080</v>
      </c>
      <c r="X33" s="83"/>
      <c r="Y33" s="65"/>
      <c r="Z33" s="66">
        <v>2</v>
      </c>
      <c r="AA33" s="54">
        <v>900</v>
      </c>
      <c r="AB33" s="55">
        <f t="shared" si="12"/>
        <v>450</v>
      </c>
      <c r="AC33" s="54">
        <v>0</v>
      </c>
      <c r="AD33" s="56">
        <f t="shared" si="13"/>
        <v>0</v>
      </c>
      <c r="AE33" s="67">
        <f t="shared" si="14"/>
        <v>900</v>
      </c>
      <c r="AF33" s="58">
        <f t="shared" si="15"/>
        <v>450</v>
      </c>
      <c r="AG33" s="68"/>
      <c r="AH33" s="66"/>
      <c r="AI33" s="54"/>
      <c r="AJ33" s="55" t="e">
        <f t="shared" si="16"/>
        <v>#DIV/0!</v>
      </c>
      <c r="AK33" s="54"/>
      <c r="AL33" s="56" t="e">
        <f t="shared" si="17"/>
        <v>#DIV/0!</v>
      </c>
      <c r="AM33" s="67">
        <f t="shared" si="28"/>
        <v>0</v>
      </c>
      <c r="AN33" s="69" t="str">
        <f t="shared" si="18"/>
        <v/>
      </c>
      <c r="AO33" s="70"/>
      <c r="AP33" s="66"/>
      <c r="AQ33" s="54"/>
      <c r="AR33" s="55" t="e">
        <f t="shared" si="19"/>
        <v>#DIV/0!</v>
      </c>
      <c r="AS33" s="54"/>
      <c r="AT33" s="56" t="e">
        <f t="shared" si="20"/>
        <v>#DIV/0!</v>
      </c>
      <c r="AU33" s="56"/>
      <c r="AV33" s="56"/>
      <c r="AW33" s="71">
        <f t="shared" si="34"/>
        <v>0</v>
      </c>
      <c r="AX33" s="69" t="str">
        <f t="shared" si="21"/>
        <v/>
      </c>
      <c r="AY33" s="84">
        <f t="shared" si="22"/>
        <v>75</v>
      </c>
      <c r="AZ33" s="61">
        <f t="shared" si="23"/>
        <v>477270</v>
      </c>
      <c r="BA33" s="61">
        <f t="shared" si="24"/>
        <v>113710</v>
      </c>
      <c r="BB33" s="73">
        <f>W33+AE33+AM33+AW33-BN33</f>
        <v>590980</v>
      </c>
      <c r="BC33" s="74">
        <f t="shared" si="35"/>
        <v>6050</v>
      </c>
      <c r="BD33" s="75">
        <v>75</v>
      </c>
      <c r="BE33" s="76">
        <v>476370</v>
      </c>
      <c r="BF33" s="76">
        <v>113710</v>
      </c>
      <c r="BG33" s="77">
        <v>6050</v>
      </c>
      <c r="BH33" s="77"/>
      <c r="BI33" s="77">
        <v>3300</v>
      </c>
      <c r="BJ33" s="77"/>
      <c r="BK33" s="78">
        <f t="shared" si="29"/>
        <v>596130</v>
      </c>
      <c r="BL33" s="49">
        <v>29</v>
      </c>
      <c r="BM33" s="79">
        <f t="shared" si="25"/>
        <v>596130</v>
      </c>
    </row>
    <row r="34" spans="2:65" ht="20" customHeight="1">
      <c r="B34" s="80">
        <f t="shared" si="26"/>
        <v>45656</v>
      </c>
      <c r="C34" s="81"/>
      <c r="D34" s="52"/>
      <c r="E34" s="53">
        <v>41</v>
      </c>
      <c r="F34" s="54">
        <v>148170</v>
      </c>
      <c r="G34" s="55">
        <f t="shared" si="0"/>
        <v>3285.3658536585367</v>
      </c>
      <c r="H34" s="54">
        <v>23470</v>
      </c>
      <c r="I34" s="55">
        <f t="shared" si="27"/>
        <v>520.39024390243901</v>
      </c>
      <c r="J34" s="57">
        <f t="shared" si="1"/>
        <v>171640</v>
      </c>
      <c r="K34" s="58">
        <f t="shared" si="2"/>
        <v>4186.3414634146338</v>
      </c>
      <c r="L34" s="59"/>
      <c r="M34" s="60">
        <f t="shared" si="3"/>
        <v>35</v>
      </c>
      <c r="N34" s="61">
        <f t="shared" si="3"/>
        <v>333190</v>
      </c>
      <c r="O34" s="55">
        <f t="shared" si="4"/>
        <v>8654.2857142857138</v>
      </c>
      <c r="P34" s="61">
        <f t="shared" si="5"/>
        <v>90660</v>
      </c>
      <c r="Q34" s="55">
        <f t="shared" si="6"/>
        <v>2354.8000000000002</v>
      </c>
      <c r="R34" s="62">
        <f t="shared" si="7"/>
        <v>423850</v>
      </c>
      <c r="S34" s="58">
        <f t="shared" si="8"/>
        <v>12110</v>
      </c>
      <c r="T34" s="82">
        <f t="shared" si="9"/>
        <v>76</v>
      </c>
      <c r="U34" s="61">
        <f t="shared" si="9"/>
        <v>481360</v>
      </c>
      <c r="V34" s="61">
        <f t="shared" si="10"/>
        <v>114130</v>
      </c>
      <c r="W34" s="64">
        <f t="shared" si="11"/>
        <v>595490</v>
      </c>
      <c r="X34" s="83"/>
      <c r="Y34" s="89"/>
      <c r="Z34" s="90">
        <v>24</v>
      </c>
      <c r="AA34" s="91">
        <v>9700</v>
      </c>
      <c r="AB34" s="55">
        <f t="shared" si="12"/>
        <v>404.16666666666669</v>
      </c>
      <c r="AC34" s="91">
        <v>3400</v>
      </c>
      <c r="AD34" s="56">
        <f t="shared" si="13"/>
        <v>141.66666666666666</v>
      </c>
      <c r="AE34" s="67">
        <f t="shared" si="14"/>
        <v>13100</v>
      </c>
      <c r="AF34" s="58">
        <f t="shared" si="15"/>
        <v>545.83333333333337</v>
      </c>
      <c r="AG34" s="68"/>
      <c r="AH34" s="90"/>
      <c r="AI34" s="91"/>
      <c r="AJ34" s="55" t="e">
        <f t="shared" si="16"/>
        <v>#DIV/0!</v>
      </c>
      <c r="AK34" s="91"/>
      <c r="AL34" s="56" t="e">
        <f t="shared" si="17"/>
        <v>#DIV/0!</v>
      </c>
      <c r="AM34" s="67">
        <f t="shared" si="28"/>
        <v>0</v>
      </c>
      <c r="AN34" s="69" t="str">
        <f t="shared" si="18"/>
        <v/>
      </c>
      <c r="AO34" s="70"/>
      <c r="AP34" s="90"/>
      <c r="AQ34" s="91"/>
      <c r="AR34" s="55" t="e">
        <f t="shared" si="19"/>
        <v>#DIV/0!</v>
      </c>
      <c r="AS34" s="91"/>
      <c r="AT34" s="56" t="e">
        <f t="shared" si="20"/>
        <v>#DIV/0!</v>
      </c>
      <c r="AU34" s="56"/>
      <c r="AV34" s="56"/>
      <c r="AW34" s="71">
        <f>AQ34+AS34+AU34+AV34-BN34</f>
        <v>0</v>
      </c>
      <c r="AX34" s="69" t="str">
        <f t="shared" si="21"/>
        <v/>
      </c>
      <c r="AY34" s="84">
        <f t="shared" si="22"/>
        <v>76</v>
      </c>
      <c r="AZ34" s="61">
        <f t="shared" si="23"/>
        <v>491060</v>
      </c>
      <c r="BA34" s="61">
        <f t="shared" si="24"/>
        <v>117530</v>
      </c>
      <c r="BB34" s="73">
        <f>W34+AE34+AM34+AW34-BN34</f>
        <v>608590</v>
      </c>
      <c r="BC34" s="74">
        <f t="shared" si="35"/>
        <v>5500</v>
      </c>
      <c r="BD34" s="75">
        <v>76</v>
      </c>
      <c r="BE34" s="76">
        <v>481360</v>
      </c>
      <c r="BF34" s="76">
        <v>114130</v>
      </c>
      <c r="BG34" s="77">
        <v>5500</v>
      </c>
      <c r="BH34" s="77"/>
      <c r="BI34" s="77">
        <v>18300</v>
      </c>
      <c r="BJ34" s="77"/>
      <c r="BK34" s="78">
        <f t="shared" si="29"/>
        <v>600990</v>
      </c>
      <c r="BL34" s="49">
        <v>30</v>
      </c>
      <c r="BM34" s="79">
        <f t="shared" si="25"/>
        <v>600990</v>
      </c>
    </row>
    <row r="35" spans="2:65" ht="20" customHeight="1" thickBot="1">
      <c r="B35" s="80">
        <f t="shared" si="26"/>
        <v>45657</v>
      </c>
      <c r="C35" s="81"/>
      <c r="D35" s="52"/>
      <c r="E35" s="53">
        <v>31</v>
      </c>
      <c r="F35" s="54">
        <v>133990</v>
      </c>
      <c r="G35" s="55">
        <f t="shared" si="0"/>
        <v>3929.3225806451615</v>
      </c>
      <c r="H35" s="54">
        <v>25230</v>
      </c>
      <c r="I35" s="55">
        <f t="shared" si="27"/>
        <v>739.87096774193549</v>
      </c>
      <c r="J35" s="57">
        <f t="shared" si="1"/>
        <v>159220</v>
      </c>
      <c r="K35" s="58">
        <f t="shared" si="2"/>
        <v>5136.1290322580644</v>
      </c>
      <c r="L35" s="59"/>
      <c r="M35" s="92">
        <f t="shared" si="3"/>
        <v>36</v>
      </c>
      <c r="N35" s="61">
        <f t="shared" si="3"/>
        <v>323400</v>
      </c>
      <c r="O35" s="55">
        <f t="shared" si="4"/>
        <v>8166.666666666667</v>
      </c>
      <c r="P35" s="61">
        <f t="shared" si="5"/>
        <v>69520</v>
      </c>
      <c r="Q35" s="55">
        <f t="shared" si="6"/>
        <v>1755.5555555555557</v>
      </c>
      <c r="R35" s="62">
        <f t="shared" si="7"/>
        <v>392920</v>
      </c>
      <c r="S35" s="58">
        <f t="shared" si="8"/>
        <v>10914.444444444445</v>
      </c>
      <c r="T35" s="93">
        <f t="shared" si="9"/>
        <v>67</v>
      </c>
      <c r="U35" s="94">
        <f t="shared" si="9"/>
        <v>457390</v>
      </c>
      <c r="V35" s="94">
        <f t="shared" si="10"/>
        <v>94750</v>
      </c>
      <c r="W35" s="95">
        <f t="shared" si="11"/>
        <v>552140</v>
      </c>
      <c r="X35" s="94"/>
      <c r="Y35" s="96"/>
      <c r="Z35" s="97">
        <v>22</v>
      </c>
      <c r="AA35" s="98">
        <v>9350</v>
      </c>
      <c r="AB35" s="99">
        <f t="shared" si="12"/>
        <v>425</v>
      </c>
      <c r="AC35" s="98">
        <v>4400</v>
      </c>
      <c r="AD35" s="100">
        <f t="shared" si="13"/>
        <v>200</v>
      </c>
      <c r="AE35" s="101">
        <f t="shared" si="14"/>
        <v>13750</v>
      </c>
      <c r="AF35" s="58">
        <f t="shared" si="15"/>
        <v>625</v>
      </c>
      <c r="AG35" s="102"/>
      <c r="AH35" s="97"/>
      <c r="AI35" s="98"/>
      <c r="AJ35" s="99" t="e">
        <f t="shared" si="16"/>
        <v>#DIV/0!</v>
      </c>
      <c r="AK35" s="98"/>
      <c r="AL35" s="100" t="e">
        <f t="shared" si="17"/>
        <v>#DIV/0!</v>
      </c>
      <c r="AM35" s="67">
        <f t="shared" si="28"/>
        <v>0</v>
      </c>
      <c r="AN35" s="69" t="str">
        <f t="shared" si="18"/>
        <v/>
      </c>
      <c r="AO35" s="103"/>
      <c r="AP35" s="97"/>
      <c r="AQ35" s="98"/>
      <c r="AR35" s="99" t="e">
        <f t="shared" si="19"/>
        <v>#DIV/0!</v>
      </c>
      <c r="AS35" s="98"/>
      <c r="AT35" s="100" t="e">
        <f t="shared" si="20"/>
        <v>#DIV/0!</v>
      </c>
      <c r="AU35" s="100"/>
      <c r="AV35" s="56"/>
      <c r="AW35" s="71">
        <f t="shared" si="33"/>
        <v>0</v>
      </c>
      <c r="AX35" s="69" t="str">
        <f t="shared" si="21"/>
        <v/>
      </c>
      <c r="AY35" s="104">
        <f t="shared" si="22"/>
        <v>67</v>
      </c>
      <c r="AZ35" s="61">
        <f t="shared" si="23"/>
        <v>466740</v>
      </c>
      <c r="BA35" s="61">
        <f t="shared" si="24"/>
        <v>99150</v>
      </c>
      <c r="BB35" s="73">
        <f>W35+AE35+AM35+AW35-BN35</f>
        <v>565890</v>
      </c>
      <c r="BC35" s="74">
        <f t="shared" si="30"/>
        <v>13200</v>
      </c>
      <c r="BD35" s="105">
        <v>67</v>
      </c>
      <c r="BE35" s="106">
        <v>457390</v>
      </c>
      <c r="BF35" s="106">
        <v>94750</v>
      </c>
      <c r="BG35" s="107">
        <v>13200</v>
      </c>
      <c r="BH35" s="107"/>
      <c r="BI35" s="107"/>
      <c r="BJ35" s="107"/>
      <c r="BK35" s="78">
        <f t="shared" si="29"/>
        <v>565340</v>
      </c>
      <c r="BL35" s="49">
        <v>31</v>
      </c>
      <c r="BM35" s="79">
        <f t="shared" si="25"/>
        <v>565340</v>
      </c>
    </row>
    <row r="36" spans="2:65" s="130" customFormat="1" ht="20" customHeight="1" thickTop="1">
      <c r="B36" s="108" t="s">
        <v>28</v>
      </c>
      <c r="C36" s="109">
        <f>SUM(C5:C35)</f>
        <v>0</v>
      </c>
      <c r="D36" s="110">
        <f>SUM(D5:D35)</f>
        <v>0</v>
      </c>
      <c r="E36" s="111">
        <f>SUM(E5:E35)</f>
        <v>931</v>
      </c>
      <c r="F36" s="112">
        <f>SUM(F5:F35)</f>
        <v>3920710</v>
      </c>
      <c r="G36" s="113">
        <f>F36/E36</f>
        <v>4211.2889366272821</v>
      </c>
      <c r="H36" s="109">
        <f>SUM(H5:H35)</f>
        <v>745990</v>
      </c>
      <c r="I36" s="114">
        <f>H36/E36</f>
        <v>801.27819548872185</v>
      </c>
      <c r="J36" s="115">
        <f>SUM(J5:J35)</f>
        <v>4666700</v>
      </c>
      <c r="K36" s="116">
        <f>J36/E36</f>
        <v>5012.5671321160044</v>
      </c>
      <c r="L36" s="117">
        <f>SUM(L5:L35)</f>
        <v>0</v>
      </c>
      <c r="M36" s="111">
        <f>SUM(M5:M35)</f>
        <v>915</v>
      </c>
      <c r="N36" s="112">
        <f>SUM(N5:N35)</f>
        <v>9754400</v>
      </c>
      <c r="O36" s="113">
        <f>N36/M36</f>
        <v>10660.546448087433</v>
      </c>
      <c r="P36" s="118">
        <f>SUM(P5:P35)</f>
        <v>2374750</v>
      </c>
      <c r="Q36" s="114">
        <f>P36/M36</f>
        <v>2595.3551912568305</v>
      </c>
      <c r="R36" s="119">
        <f>SUM(R5:R35)</f>
        <v>12129150</v>
      </c>
      <c r="S36" s="120">
        <f>R36/M36</f>
        <v>13255.901639344262</v>
      </c>
      <c r="T36" s="111">
        <f t="shared" ref="T36:AA36" si="36">SUM(T5:T35)</f>
        <v>1846</v>
      </c>
      <c r="U36" s="118">
        <f t="shared" si="36"/>
        <v>13675110</v>
      </c>
      <c r="V36" s="118">
        <f t="shared" si="36"/>
        <v>3120740</v>
      </c>
      <c r="W36" s="115">
        <f>SUM(W5:W35)</f>
        <v>16795850</v>
      </c>
      <c r="X36" s="121">
        <f t="shared" si="36"/>
        <v>0</v>
      </c>
      <c r="Y36" s="110">
        <f t="shared" si="36"/>
        <v>0</v>
      </c>
      <c r="Z36" s="111">
        <f t="shared" si="36"/>
        <v>349</v>
      </c>
      <c r="AA36" s="113">
        <f t="shared" si="36"/>
        <v>155100</v>
      </c>
      <c r="AB36" s="113">
        <f>AA36/Z36</f>
        <v>444.41260744985675</v>
      </c>
      <c r="AC36" s="109">
        <f>SUM(AC5:AC35)</f>
        <v>82950</v>
      </c>
      <c r="AD36" s="114">
        <f>AC36/Z36</f>
        <v>237.67908309455586</v>
      </c>
      <c r="AE36" s="119">
        <f>SUM(AE5:AE35)</f>
        <v>238050</v>
      </c>
      <c r="AF36" s="122">
        <f>AE36/Z36</f>
        <v>682.09169054441259</v>
      </c>
      <c r="AG36" s="123">
        <f t="shared" ref="AG36:AI36" si="37">SUM(AG5:AG35)</f>
        <v>0</v>
      </c>
      <c r="AH36" s="111">
        <f t="shared" si="37"/>
        <v>470</v>
      </c>
      <c r="AI36" s="113">
        <f t="shared" si="37"/>
        <v>1910520</v>
      </c>
      <c r="AJ36" s="113"/>
      <c r="AK36" s="109">
        <f>SUM(AK5:AK35)</f>
        <v>613350</v>
      </c>
      <c r="AL36" s="114"/>
      <c r="AM36" s="119">
        <f>SUM(AM5:AM35)</f>
        <v>2523870</v>
      </c>
      <c r="AN36" s="124">
        <f>AM36/AH36</f>
        <v>5369.9361702127662</v>
      </c>
      <c r="AO36" s="125">
        <f t="shared" ref="AO36:AQ36" si="38">SUM(AO5:AO35)</f>
        <v>0</v>
      </c>
      <c r="AP36" s="111">
        <f t="shared" si="38"/>
        <v>0</v>
      </c>
      <c r="AQ36" s="113">
        <f t="shared" si="38"/>
        <v>0</v>
      </c>
      <c r="AR36" s="113"/>
      <c r="AS36" s="109">
        <f>SUM(AS5:AS35)</f>
        <v>0</v>
      </c>
      <c r="AT36" s="114"/>
      <c r="AU36" s="109">
        <f>SUM(AU5:AU35)</f>
        <v>0</v>
      </c>
      <c r="AV36" s="109">
        <f>SUM(AV5:AV35)</f>
        <v>0</v>
      </c>
      <c r="AW36" s="119">
        <f>SUM(AW5:AW35)</f>
        <v>0</v>
      </c>
      <c r="AX36" s="124" t="e">
        <f>AW36/AP36</f>
        <v>#DIV/0!</v>
      </c>
      <c r="AY36" s="126">
        <f t="shared" ref="AY36:BK36" si="39">SUM(AY5:AY35)</f>
        <v>1846</v>
      </c>
      <c r="AZ36" s="118">
        <f t="shared" si="39"/>
        <v>15740730</v>
      </c>
      <c r="BA36" s="118">
        <f t="shared" si="39"/>
        <v>3817040</v>
      </c>
      <c r="BB36" s="119">
        <f>SUM(BB5:BB35)</f>
        <v>19541428</v>
      </c>
      <c r="BC36" s="127">
        <f t="shared" si="39"/>
        <v>413600</v>
      </c>
      <c r="BD36" s="128">
        <f t="shared" si="39"/>
        <v>1846</v>
      </c>
      <c r="BE36" s="128">
        <f t="shared" si="39"/>
        <v>13675110</v>
      </c>
      <c r="BF36" s="128">
        <f t="shared" si="39"/>
        <v>3120740</v>
      </c>
      <c r="BG36" s="128">
        <f t="shared" si="39"/>
        <v>367400</v>
      </c>
      <c r="BH36" s="128">
        <f t="shared" si="39"/>
        <v>46200</v>
      </c>
      <c r="BI36" s="128">
        <f t="shared" si="39"/>
        <v>54700</v>
      </c>
      <c r="BJ36" s="128">
        <f t="shared" si="39"/>
        <v>15400</v>
      </c>
      <c r="BK36" s="129">
        <f t="shared" si="39"/>
        <v>17209450</v>
      </c>
      <c r="BM36" s="131">
        <f>SUM(BM5:BM35)</f>
        <v>16703220</v>
      </c>
    </row>
    <row r="37" spans="2:65" s="130" customFormat="1" ht="18">
      <c r="B37" s="132"/>
      <c r="E37" s="133" t="s">
        <v>42</v>
      </c>
      <c r="F37" s="134">
        <f>F36/1.1</f>
        <v>3564281.8181818179</v>
      </c>
      <c r="G37" s="135">
        <f>F37/E36</f>
        <v>3828.4444878429836</v>
      </c>
      <c r="H37" s="136">
        <f>H36/1.1</f>
        <v>678172.72727272718</v>
      </c>
      <c r="I37" s="135">
        <f>H37/E36</f>
        <v>728.43472317156522</v>
      </c>
      <c r="J37" s="137">
        <f>J36/1.1</f>
        <v>4242454.5454545449</v>
      </c>
      <c r="K37" s="138">
        <f>G37+I37</f>
        <v>4556.8792110145487</v>
      </c>
      <c r="L37" s="139"/>
      <c r="M37" s="133" t="s">
        <v>42</v>
      </c>
      <c r="N37" s="134">
        <f>N36/1.1</f>
        <v>8867636.3636363633</v>
      </c>
      <c r="O37" s="135">
        <f>N37/M36</f>
        <v>9691.4058618976651</v>
      </c>
      <c r="P37" s="136">
        <f>P36/1.1</f>
        <v>2158863.6363636362</v>
      </c>
      <c r="Q37" s="135">
        <f>P37/M36</f>
        <v>2359.4138102334823</v>
      </c>
      <c r="R37" s="135">
        <f>R36/1.1</f>
        <v>11026500</v>
      </c>
      <c r="S37" s="140">
        <f>R37/M36</f>
        <v>12050.819672131147</v>
      </c>
      <c r="T37" s="133" t="s">
        <v>42</v>
      </c>
      <c r="U37" s="134">
        <f>U36/1.1</f>
        <v>12431918.181818182</v>
      </c>
      <c r="V37" s="134">
        <f>V36/1.1</f>
        <v>2837036.3636363633</v>
      </c>
      <c r="W37" s="137">
        <f>W36/1.1</f>
        <v>15268954.545454545</v>
      </c>
      <c r="X37" s="141"/>
      <c r="Y37" s="139"/>
      <c r="Z37" s="133" t="s">
        <v>42</v>
      </c>
      <c r="AA37" s="134">
        <f>AA36/1.1</f>
        <v>141000</v>
      </c>
      <c r="AB37" s="136">
        <f>AA37/Z36</f>
        <v>404.0114613180516</v>
      </c>
      <c r="AC37" s="136">
        <f>AC36/1.1</f>
        <v>75409.090909090897</v>
      </c>
      <c r="AD37" s="136">
        <f>AC37/Z36</f>
        <v>216.07189372232349</v>
      </c>
      <c r="AE37" s="135">
        <f>AE36/1.1</f>
        <v>216409.09090909088</v>
      </c>
      <c r="AF37" s="142">
        <f>AE37/Z36</f>
        <v>620.08335504037507</v>
      </c>
      <c r="AG37" s="139"/>
      <c r="AH37" s="133" t="s">
        <v>42</v>
      </c>
      <c r="AI37" s="134">
        <f>AI36/1.1</f>
        <v>1736836.3636363635</v>
      </c>
      <c r="AJ37" s="136">
        <f>AI37/AH36</f>
        <v>3695.3965183752416</v>
      </c>
      <c r="AK37" s="136">
        <f>AK36/1.1</f>
        <v>557590.90909090906</v>
      </c>
      <c r="AL37" s="136">
        <f>AK37/AH36</f>
        <v>1186.3636363636363</v>
      </c>
      <c r="AM37" s="135">
        <f>AM36/1.1</f>
        <v>2294427.2727272725</v>
      </c>
      <c r="AN37" s="143" t="e">
        <f>AM37/AG36</f>
        <v>#DIV/0!</v>
      </c>
      <c r="AO37" s="139"/>
      <c r="AP37" s="133" t="s">
        <v>42</v>
      </c>
      <c r="AQ37" s="134">
        <f>AQ36/1.1</f>
        <v>0</v>
      </c>
      <c r="AR37" s="136" t="e">
        <f>AQ37/AP36</f>
        <v>#DIV/0!</v>
      </c>
      <c r="AS37" s="136">
        <f>AS36/1.1</f>
        <v>0</v>
      </c>
      <c r="AT37" s="136" t="e">
        <f>AS37/AP36</f>
        <v>#DIV/0!</v>
      </c>
      <c r="AU37" s="136">
        <f>AU36/1.1</f>
        <v>0</v>
      </c>
      <c r="AV37" s="136">
        <f>AV36/1.1</f>
        <v>0</v>
      </c>
      <c r="AW37" s="135">
        <f>AW36/1.1</f>
        <v>0</v>
      </c>
      <c r="AX37" s="143" t="e">
        <f>AW37/AP36</f>
        <v>#DIV/0!</v>
      </c>
      <c r="AY37" s="144" t="s">
        <v>42</v>
      </c>
      <c r="AZ37" s="134">
        <f>AZ36/1.1</f>
        <v>14309754.545454545</v>
      </c>
      <c r="BA37" s="134">
        <f>BA36/1.1</f>
        <v>3470036.3636363633</v>
      </c>
      <c r="BB37" s="135">
        <f>BB36/1.1</f>
        <v>17764934.545454543</v>
      </c>
      <c r="BC37" s="145">
        <f>BC36/1.1</f>
        <v>375999.99999999994</v>
      </c>
      <c r="BH37" s="146"/>
      <c r="BK37" s="147">
        <f>BK36/1.1</f>
        <v>15644954.545454545</v>
      </c>
      <c r="BM37" s="147"/>
    </row>
    <row r="38" spans="2:65">
      <c r="C38" s="49">
        <v>31</v>
      </c>
      <c r="E38" s="148" t="s">
        <v>43</v>
      </c>
      <c r="F38" s="149">
        <f>E36/G38</f>
        <v>30.032258064516128</v>
      </c>
      <c r="G38" s="150">
        <v>31</v>
      </c>
      <c r="H38" s="149"/>
      <c r="I38" s="149"/>
      <c r="J38" s="151" t="s">
        <v>44</v>
      </c>
      <c r="K38" s="152">
        <f>J37/G38</f>
        <v>136853.37243401757</v>
      </c>
      <c r="M38" s="148" t="s">
        <v>43</v>
      </c>
      <c r="N38" s="149">
        <f>M36/O38</f>
        <v>29.516129032258064</v>
      </c>
      <c r="O38" s="150">
        <f>G38</f>
        <v>31</v>
      </c>
      <c r="P38" s="149"/>
      <c r="Q38" s="149"/>
      <c r="R38" s="151" t="s">
        <v>44</v>
      </c>
      <c r="S38" s="153">
        <f>R37/O38</f>
        <v>355693.54838709679</v>
      </c>
      <c r="U38" s="154">
        <f>O38</f>
        <v>31</v>
      </c>
      <c r="W38" s="85">
        <f>W37/U38</f>
        <v>492546.92082111433</v>
      </c>
      <c r="X38" s="79"/>
      <c r="AA38" s="155">
        <f>G38</f>
        <v>31</v>
      </c>
      <c r="AB38" s="149"/>
      <c r="AC38" s="149"/>
      <c r="AD38" s="149"/>
      <c r="AE38" s="149"/>
      <c r="AF38" s="152">
        <f>AE37/AA38</f>
        <v>6980.9384164222865</v>
      </c>
      <c r="AI38" s="155">
        <f>AA38</f>
        <v>31</v>
      </c>
      <c r="AJ38" s="149"/>
      <c r="AK38" s="149"/>
      <c r="AL38" s="149"/>
      <c r="AM38" s="149"/>
      <c r="AN38" s="152">
        <f>AM37/AI38</f>
        <v>74013.782991202344</v>
      </c>
      <c r="AQ38" s="155">
        <f>G38</f>
        <v>31</v>
      </c>
      <c r="AR38" s="149"/>
      <c r="AS38" s="149"/>
      <c r="AT38" s="149"/>
      <c r="AU38" s="149"/>
      <c r="AV38" s="149"/>
      <c r="AW38" s="149"/>
      <c r="AX38" s="152">
        <f>AW37/AQ38</f>
        <v>0</v>
      </c>
      <c r="BB38" s="85"/>
      <c r="BC38" s="79" t="e">
        <f>BB37/BD37</f>
        <v>#DIV/0!</v>
      </c>
      <c r="BD38" s="156">
        <f>AY36+T36</f>
        <v>3692</v>
      </c>
      <c r="BH38" s="85"/>
    </row>
    <row r="39" spans="2:65">
      <c r="D39" s="157" t="s">
        <v>45</v>
      </c>
      <c r="E39" s="158"/>
      <c r="F39" s="149"/>
      <c r="G39" s="159"/>
      <c r="H39" s="149"/>
      <c r="I39" s="149"/>
      <c r="J39" s="151"/>
      <c r="K39" s="152"/>
      <c r="L39" s="160" t="s">
        <v>46</v>
      </c>
      <c r="M39" s="148"/>
      <c r="N39" s="149"/>
      <c r="O39" s="149"/>
      <c r="P39" s="149"/>
      <c r="Q39" s="149"/>
      <c r="R39" s="151"/>
      <c r="S39" s="152"/>
      <c r="W39" s="85"/>
      <c r="X39" s="79"/>
      <c r="Y39" s="160" t="s">
        <v>47</v>
      </c>
      <c r="AA39" s="149"/>
      <c r="AB39" s="149"/>
      <c r="AC39" s="149"/>
      <c r="AD39" s="149"/>
      <c r="AE39" s="149"/>
      <c r="AF39" s="152"/>
      <c r="AG39" s="160" t="s">
        <v>48</v>
      </c>
      <c r="AI39" s="149"/>
      <c r="AJ39" s="149"/>
      <c r="AK39" s="149"/>
      <c r="AL39" s="149"/>
      <c r="AM39" s="149"/>
      <c r="AN39" s="152"/>
      <c r="AO39" s="160" t="s">
        <v>49</v>
      </c>
      <c r="AQ39" s="149"/>
      <c r="AR39" s="149"/>
      <c r="AS39" s="149"/>
      <c r="AT39" s="149"/>
      <c r="AU39" s="149"/>
      <c r="AV39" s="149"/>
      <c r="AW39" s="149"/>
      <c r="AX39" s="152"/>
      <c r="BB39" s="79">
        <f>BB36+BC36</f>
        <v>19955028</v>
      </c>
      <c r="BC39" s="161">
        <f>BB39/G38</f>
        <v>643710.58064516133</v>
      </c>
      <c r="BD39" s="49" t="s">
        <v>50</v>
      </c>
      <c r="BF39" s="49">
        <f>BC37/2</f>
        <v>187999.99999999997</v>
      </c>
      <c r="BH39" s="85"/>
    </row>
    <row r="40" spans="2:65" ht="21.5" customHeight="1">
      <c r="C40" s="160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49">
        <v>25</v>
      </c>
      <c r="U40" s="85">
        <f>J37+BF39</f>
        <v>4430454.5454545449</v>
      </c>
      <c r="W40" s="79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BA40" s="85">
        <f>J37+R37+AE37+BC37</f>
        <v>15861363.636363637</v>
      </c>
      <c r="BB40" s="163">
        <f>BB39/1.1</f>
        <v>18140934.545454543</v>
      </c>
    </row>
    <row r="41" spans="2:65" ht="21.5" customHeight="1">
      <c r="C41" s="160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49">
        <v>15</v>
      </c>
      <c r="V41" s="49">
        <f>17+10+14+5+7+8+9+6</f>
        <v>76</v>
      </c>
      <c r="W41" s="85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BA41" s="85">
        <f>BA40+AM37</f>
        <v>18155790.90909091</v>
      </c>
      <c r="BB41" s="79"/>
      <c r="BC41" s="161">
        <f>BB40/G38</f>
        <v>585191.43695014657</v>
      </c>
      <c r="BD41" s="49" t="s">
        <v>51</v>
      </c>
      <c r="BE41" s="49">
        <v>9</v>
      </c>
    </row>
    <row r="42" spans="2:65" ht="21.5" customHeight="1">
      <c r="C42" s="160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49">
        <v>13</v>
      </c>
      <c r="W42" s="79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BE42" s="49">
        <v>8</v>
      </c>
      <c r="BF42" s="85">
        <f>AS37</f>
        <v>0</v>
      </c>
    </row>
    <row r="43" spans="2:65" ht="21.5" customHeight="1">
      <c r="C43" s="160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49">
        <v>10</v>
      </c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BB43" s="85">
        <f>BB37+BC37</f>
        <v>18140934.545454543</v>
      </c>
      <c r="BC43" s="164" t="s">
        <v>52</v>
      </c>
      <c r="BE43" s="49">
        <v>7</v>
      </c>
      <c r="BF43" s="165">
        <f>'[1]2023(7)'!AS37</f>
        <v>15843636.363636361</v>
      </c>
      <c r="BG43" s="165">
        <v>6266320</v>
      </c>
      <c r="BH43" s="166">
        <f>BG43/BF43</f>
        <v>0.39551021344962134</v>
      </c>
    </row>
    <row r="44" spans="2:65" ht="21.5" customHeight="1">
      <c r="C44" s="160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49">
        <v>40</v>
      </c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Z44" s="130"/>
      <c r="BA44" s="167" t="s">
        <v>53</v>
      </c>
      <c r="BB44" s="147">
        <f>J45+R45+AE45+BC44+AM45+AW45</f>
        <v>17940950</v>
      </c>
      <c r="BC44" s="168"/>
      <c r="BD44" s="130"/>
      <c r="BE44" s="49">
        <v>6</v>
      </c>
      <c r="BF44" s="165">
        <v>7119727</v>
      </c>
      <c r="BG44" s="165">
        <v>2680643</v>
      </c>
      <c r="BH44" s="166">
        <f t="shared" ref="BH44:BH45" si="40">BG44/BF44</f>
        <v>0.37650923975034434</v>
      </c>
      <c r="BI44" s="49" t="s">
        <v>54</v>
      </c>
    </row>
    <row r="45" spans="2:65" ht="21" customHeight="1">
      <c r="H45" s="169"/>
      <c r="I45" s="170" t="s">
        <v>55</v>
      </c>
      <c r="J45" s="147">
        <v>4513500</v>
      </c>
      <c r="K45" s="171" t="s">
        <v>56</v>
      </c>
      <c r="L45" s="130"/>
      <c r="M45" s="130"/>
      <c r="N45" s="130"/>
      <c r="O45" s="130"/>
      <c r="P45" s="130"/>
      <c r="Q45" s="170" t="s">
        <v>57</v>
      </c>
      <c r="R45" s="147">
        <v>10516250</v>
      </c>
      <c r="S45" s="171" t="s">
        <v>56</v>
      </c>
      <c r="T45" s="130">
        <v>10</v>
      </c>
      <c r="U45" s="130"/>
      <c r="V45" s="170" t="s">
        <v>58</v>
      </c>
      <c r="W45" s="147">
        <f>J45+R45</f>
        <v>15029750</v>
      </c>
      <c r="X45" s="171" t="s">
        <v>56</v>
      </c>
      <c r="Y45" s="130"/>
      <c r="Z45" s="130"/>
      <c r="AA45" s="130"/>
      <c r="AB45" s="130"/>
      <c r="AC45" s="130"/>
      <c r="AD45" s="169" t="s">
        <v>59</v>
      </c>
      <c r="AE45" s="147">
        <v>418200</v>
      </c>
      <c r="AF45" s="171" t="s">
        <v>56</v>
      </c>
      <c r="AG45" s="171"/>
      <c r="AH45" s="171"/>
      <c r="AI45" s="171"/>
      <c r="AJ45" s="171"/>
      <c r="AK45" s="130"/>
      <c r="AL45" s="170" t="s">
        <v>60</v>
      </c>
      <c r="AM45" s="147">
        <v>2493000</v>
      </c>
      <c r="AN45" s="171" t="s">
        <v>56</v>
      </c>
      <c r="AO45" s="171"/>
      <c r="AP45" s="171"/>
      <c r="AQ45" s="171"/>
      <c r="AR45" s="171"/>
      <c r="AS45" s="130"/>
      <c r="AT45" s="170" t="s">
        <v>61</v>
      </c>
      <c r="AU45" s="170"/>
      <c r="AV45" s="170"/>
      <c r="AW45" s="147">
        <v>0</v>
      </c>
      <c r="AX45" s="171" t="s">
        <v>56</v>
      </c>
      <c r="AY45" s="130"/>
      <c r="AZ45" s="130"/>
      <c r="BA45" s="167" t="s">
        <v>62</v>
      </c>
      <c r="BB45" s="146">
        <f>BB44-BB37-BC37</f>
        <v>-199984.54545454303</v>
      </c>
      <c r="BC45" s="146">
        <f>BC44-BC37</f>
        <v>-375999.99999999994</v>
      </c>
      <c r="BD45" s="172" t="e">
        <f>BC37/BC44</f>
        <v>#DIV/0!</v>
      </c>
      <c r="BE45" s="49">
        <v>5</v>
      </c>
      <c r="BF45" s="165">
        <v>637682</v>
      </c>
      <c r="BG45" s="165"/>
      <c r="BH45" s="166">
        <f t="shared" si="40"/>
        <v>0</v>
      </c>
      <c r="BI45" s="79" t="s">
        <v>63</v>
      </c>
      <c r="BM45" s="49"/>
    </row>
    <row r="46" spans="2:65" ht="21" customHeight="1">
      <c r="H46" s="169"/>
      <c r="I46" s="169" t="s">
        <v>62</v>
      </c>
      <c r="J46" s="146">
        <f>J45-J37</f>
        <v>271045.45454545505</v>
      </c>
      <c r="K46" s="173">
        <f>C38-G38</f>
        <v>0</v>
      </c>
      <c r="L46" s="130"/>
      <c r="M46" s="130"/>
      <c r="N46" s="130"/>
      <c r="O46" s="130"/>
      <c r="P46" s="130"/>
      <c r="Q46" s="169" t="s">
        <v>62</v>
      </c>
      <c r="R46" s="146">
        <f>R45-R37</f>
        <v>-510250</v>
      </c>
      <c r="S46" s="130">
        <f>K46</f>
        <v>0</v>
      </c>
      <c r="T46" s="130"/>
      <c r="U46" s="130"/>
      <c r="V46" s="169" t="s">
        <v>62</v>
      </c>
      <c r="W46" s="146">
        <f>W45-W37</f>
        <v>-239204.54545454495</v>
      </c>
      <c r="X46" s="130">
        <f>S46</f>
        <v>0</v>
      </c>
      <c r="Y46" s="130"/>
      <c r="Z46" s="130"/>
      <c r="AA46" s="130"/>
      <c r="AB46" s="130"/>
      <c r="AC46" s="130"/>
      <c r="AD46" s="169" t="s">
        <v>62</v>
      </c>
      <c r="AE46" s="146">
        <f>AE45-AE37</f>
        <v>201790.90909090912</v>
      </c>
      <c r="AF46" s="130">
        <f>K46</f>
        <v>0</v>
      </c>
      <c r="AG46" s="130"/>
      <c r="AH46" s="130"/>
      <c r="AI46" s="130"/>
      <c r="AJ46" s="130"/>
      <c r="AK46" s="130"/>
      <c r="AL46" s="169" t="s">
        <v>62</v>
      </c>
      <c r="AM46" s="146">
        <f>AM45-AM37</f>
        <v>198572.72727272753</v>
      </c>
      <c r="AN46" s="130">
        <f>AF46</f>
        <v>0</v>
      </c>
      <c r="AO46" s="130"/>
      <c r="AP46" s="130"/>
      <c r="AQ46" s="130"/>
      <c r="AR46" s="130"/>
      <c r="AS46" s="130"/>
      <c r="AT46" s="169" t="s">
        <v>62</v>
      </c>
      <c r="AU46" s="169"/>
      <c r="AV46" s="174"/>
      <c r="AW46" s="146">
        <f>AW45-AW37</f>
        <v>0</v>
      </c>
      <c r="AX46" s="130">
        <f>AN46</f>
        <v>0</v>
      </c>
      <c r="AY46" s="130"/>
      <c r="AZ46" s="175"/>
      <c r="BA46" s="176" t="s">
        <v>64</v>
      </c>
      <c r="BB46" s="177" t="e">
        <f>BB45/K46</f>
        <v>#DIV/0!</v>
      </c>
      <c r="BC46" s="178">
        <f>(BB37+BC37)/BB44</f>
        <v>1.0111468202884766</v>
      </c>
      <c r="BD46" s="175"/>
      <c r="BE46" s="179"/>
      <c r="BF46" s="180">
        <f>SUM(BF41:BF45)</f>
        <v>23601045.36363636</v>
      </c>
      <c r="BG46" s="181">
        <f>BK71</f>
        <v>9138052</v>
      </c>
      <c r="BH46" s="182">
        <f>BG46/BF46</f>
        <v>0.38718844268142383</v>
      </c>
      <c r="BI46" s="183">
        <f>BF46-BG46</f>
        <v>14462993.36363636</v>
      </c>
      <c r="BM46" s="49"/>
    </row>
    <row r="47" spans="2:65" s="179" customFormat="1" ht="26" customHeight="1">
      <c r="B47" s="184"/>
      <c r="H47" s="185"/>
      <c r="I47" s="176" t="s">
        <v>64</v>
      </c>
      <c r="J47" s="186" t="e">
        <f>J46/K46</f>
        <v>#DIV/0!</v>
      </c>
      <c r="K47" s="187">
        <f>J37/J45</f>
        <v>0.93994783326787301</v>
      </c>
      <c r="L47" s="175"/>
      <c r="M47" s="175"/>
      <c r="N47" s="175"/>
      <c r="O47" s="175"/>
      <c r="P47" s="175"/>
      <c r="Q47" s="176" t="s">
        <v>64</v>
      </c>
      <c r="R47" s="177" t="e">
        <f>R46/S46</f>
        <v>#DIV/0!</v>
      </c>
      <c r="S47" s="187">
        <f>R37/R45</f>
        <v>1.0485201473909427</v>
      </c>
      <c r="T47" s="175"/>
      <c r="U47" s="175"/>
      <c r="V47" s="176" t="s">
        <v>64</v>
      </c>
      <c r="W47" s="177" t="e">
        <f>W46/X46</f>
        <v>#DIV/0!</v>
      </c>
      <c r="X47" s="187">
        <f>W37/W45</f>
        <v>1.0159154041454146</v>
      </c>
      <c r="Y47" s="175"/>
      <c r="Z47" s="175"/>
      <c r="AA47" s="175"/>
      <c r="AB47" s="175"/>
      <c r="AC47" s="175"/>
      <c r="AD47" s="176" t="s">
        <v>64</v>
      </c>
      <c r="AE47" s="186" t="e">
        <f>AE46/AF46</f>
        <v>#DIV/0!</v>
      </c>
      <c r="AF47" s="187">
        <f>AE37/AE45</f>
        <v>0.51747750097821832</v>
      </c>
      <c r="AG47" s="187"/>
      <c r="AH47" s="187"/>
      <c r="AI47" s="187"/>
      <c r="AJ47" s="187"/>
      <c r="AK47" s="175"/>
      <c r="AL47" s="176" t="s">
        <v>64</v>
      </c>
      <c r="AM47" s="177" t="e">
        <f>AM46/AN46</f>
        <v>#DIV/0!</v>
      </c>
      <c r="AN47" s="187">
        <f>AM37/AM45</f>
        <v>0.92034788316376759</v>
      </c>
      <c r="AO47" s="187"/>
      <c r="AP47" s="187"/>
      <c r="AQ47" s="187"/>
      <c r="AR47" s="187"/>
      <c r="AS47" s="175"/>
      <c r="AT47" s="176" t="s">
        <v>64</v>
      </c>
      <c r="AU47" s="176"/>
      <c r="AV47" s="176" t="e">
        <f>AV46/AX46</f>
        <v>#DIV/0!</v>
      </c>
      <c r="AW47" s="177" t="e">
        <f>AW46/AX46</f>
        <v>#DIV/0!</v>
      </c>
      <c r="AX47" s="187" t="e">
        <f>AW37/AW45</f>
        <v>#DIV/0!</v>
      </c>
      <c r="AY47" s="175"/>
      <c r="AZ47" s="49"/>
      <c r="BA47" s="49"/>
      <c r="BB47" s="85"/>
      <c r="BC47" s="49"/>
      <c r="BD47" s="49"/>
      <c r="BE47" s="49"/>
      <c r="BI47" s="188"/>
      <c r="BK47" s="188"/>
    </row>
    <row r="48" spans="2:65">
      <c r="H48" s="49">
        <v>931</v>
      </c>
      <c r="I48" s="49">
        <f>H48/31</f>
        <v>30.032258064516128</v>
      </c>
      <c r="K48" s="49">
        <f>J45/31</f>
        <v>145596.77419354839</v>
      </c>
      <c r="P48" s="49">
        <v>557</v>
      </c>
      <c r="Q48" s="49">
        <f>P48/31</f>
        <v>17.967741935483872</v>
      </c>
      <c r="S48" s="49">
        <f>R45/31</f>
        <v>339233.87096774194</v>
      </c>
      <c r="AX48" s="49" t="e">
        <f>AW37/AV45</f>
        <v>#DIV/0!</v>
      </c>
      <c r="AZ48" s="189"/>
      <c r="BA48" s="189"/>
      <c r="BB48" s="189"/>
      <c r="BC48" s="189"/>
      <c r="BD48" s="189"/>
      <c r="BE48" s="189"/>
      <c r="BI48" s="79"/>
      <c r="BM48" s="49"/>
    </row>
    <row r="49" spans="2:63" s="189" customFormat="1" ht="24" customHeight="1">
      <c r="B49" s="190"/>
      <c r="I49" s="189" t="s">
        <v>65</v>
      </c>
      <c r="J49" s="191">
        <f>(I5+I8+I9+I10+I11+I12+I15+I16+I17+I18+I19+I22+I23+I24+I25+I26)/16</f>
        <v>770.91819359093677</v>
      </c>
      <c r="K49" s="189">
        <v>800000</v>
      </c>
      <c r="L49" s="192"/>
      <c r="M49" s="49"/>
      <c r="N49" s="49"/>
      <c r="O49" s="49"/>
      <c r="P49" s="49"/>
      <c r="Q49" s="49"/>
      <c r="R49" s="192">
        <v>400000</v>
      </c>
      <c r="AE49" s="189">
        <f>AE45/30</f>
        <v>13940</v>
      </c>
      <c r="AQ49" s="193">
        <f>AP14+AP21</f>
        <v>0</v>
      </c>
      <c r="AR49" s="194" t="e">
        <f>AR14+AR21</f>
        <v>#DIV/0!</v>
      </c>
      <c r="AS49" s="194" t="e">
        <f>AT14+AT21</f>
        <v>#DIV/0!</v>
      </c>
      <c r="AW49" s="189">
        <f>AW45/30</f>
        <v>0</v>
      </c>
      <c r="AZ49" s="1"/>
      <c r="BA49" s="1"/>
      <c r="BB49" s="1"/>
      <c r="BC49" s="1"/>
      <c r="BD49" s="195" t="s">
        <v>66</v>
      </c>
      <c r="BE49" s="1" t="s">
        <v>67</v>
      </c>
      <c r="BF49" s="1" t="s">
        <v>68</v>
      </c>
      <c r="BG49" s="1" t="s">
        <v>69</v>
      </c>
      <c r="BH49" s="1" t="s">
        <v>70</v>
      </c>
      <c r="BI49" s="196" t="s">
        <v>71</v>
      </c>
      <c r="BJ49" s="196" t="s">
        <v>72</v>
      </c>
      <c r="BK49" s="196" t="s">
        <v>73</v>
      </c>
    </row>
    <row r="50" spans="2:63" s="1" customFormat="1" ht="24" customHeight="1">
      <c r="B50" s="190"/>
      <c r="I50" s="1" t="s">
        <v>74</v>
      </c>
      <c r="J50" s="191">
        <f>(I6+I7+I13+I14+I20+I21+I27)/7</f>
        <v>558.55176161919042</v>
      </c>
      <c r="L50" s="197"/>
      <c r="M50" s="49"/>
      <c r="N50" s="49"/>
      <c r="O50" s="49"/>
      <c r="P50" s="49"/>
      <c r="Q50" s="49"/>
      <c r="R50" s="197"/>
      <c r="S50" s="197"/>
      <c r="Z50" s="198"/>
      <c r="AQ50" s="1">
        <f>AQ49/2</f>
        <v>0</v>
      </c>
      <c r="AR50" s="199" t="e">
        <f t="shared" ref="AR50:AS50" si="41">AR49/2</f>
        <v>#DIV/0!</v>
      </c>
      <c r="AS50" s="199" t="e">
        <f t="shared" si="41"/>
        <v>#DIV/0!</v>
      </c>
      <c r="AW50" s="1">
        <v>54000000</v>
      </c>
      <c r="AX50" s="200">
        <f>AW50-AW37</f>
        <v>54000000</v>
      </c>
      <c r="AZ50" s="189"/>
      <c r="BA50" s="189"/>
      <c r="BB50" s="189"/>
      <c r="BC50" s="189"/>
      <c r="BD50" s="195" t="s">
        <v>75</v>
      </c>
      <c r="BE50" s="201">
        <v>1800</v>
      </c>
      <c r="BF50" s="201">
        <v>21</v>
      </c>
      <c r="BG50" s="202">
        <v>0</v>
      </c>
      <c r="BH50" s="201"/>
      <c r="BI50" s="203">
        <f>BF50*BE50</f>
        <v>37800</v>
      </c>
      <c r="BJ50" s="203">
        <f>BE50*BG50</f>
        <v>0</v>
      </c>
      <c r="BK50" s="203">
        <f>BI50-BJ50</f>
        <v>37800</v>
      </c>
    </row>
    <row r="51" spans="2:63" s="189" customFormat="1" ht="24" customHeight="1">
      <c r="B51" s="190"/>
      <c r="K51" s="1"/>
      <c r="L51" s="197"/>
      <c r="M51" s="49"/>
      <c r="N51" s="49"/>
      <c r="O51" s="49"/>
      <c r="P51" s="49"/>
      <c r="Q51" s="49"/>
      <c r="R51" s="205"/>
      <c r="S51" s="206"/>
      <c r="T51" s="206"/>
      <c r="U51" s="206" t="s">
        <v>77</v>
      </c>
      <c r="V51" s="206"/>
      <c r="W51" s="207"/>
      <c r="X51" s="208"/>
      <c r="Y51" s="195"/>
      <c r="Z51" s="203"/>
      <c r="AX51" s="189" t="e">
        <f>AX50/AX46</f>
        <v>#DIV/0!</v>
      </c>
      <c r="BD51" s="195" t="s">
        <v>78</v>
      </c>
      <c r="BE51" s="201">
        <v>10800</v>
      </c>
      <c r="BF51" s="201">
        <v>640</v>
      </c>
      <c r="BG51" s="201">
        <v>20</v>
      </c>
      <c r="BH51" s="201"/>
      <c r="BI51" s="203">
        <f t="shared" ref="BI51:BI70" si="42">BE51*BF51</f>
        <v>6912000</v>
      </c>
      <c r="BJ51" s="203">
        <f t="shared" ref="BJ51:BJ70" si="43">BE51*BG51</f>
        <v>216000</v>
      </c>
      <c r="BK51" s="203">
        <f t="shared" ref="BK51:BK70" si="44">BI51-BJ51</f>
        <v>6696000</v>
      </c>
    </row>
    <row r="52" spans="2:63" s="189" customFormat="1" ht="24" customHeight="1">
      <c r="B52" s="190"/>
      <c r="K52" s="1"/>
      <c r="L52" s="197"/>
      <c r="M52" s="49"/>
      <c r="N52" s="49"/>
      <c r="O52" s="49"/>
      <c r="P52" s="49"/>
      <c r="Q52" s="49"/>
      <c r="R52" s="207"/>
      <c r="S52" s="206"/>
      <c r="T52" s="206"/>
      <c r="U52" s="209" t="s">
        <v>80</v>
      </c>
      <c r="V52" s="210" t="s">
        <v>81</v>
      </c>
      <c r="W52" s="211"/>
      <c r="X52" s="212" t="e">
        <f>W52/Y52</f>
        <v>#DIV/0!</v>
      </c>
      <c r="Y52" s="213">
        <f>W52+W53</f>
        <v>0</v>
      </c>
      <c r="Z52" s="214"/>
      <c r="AA52" s="214"/>
      <c r="BD52" s="195" t="s">
        <v>82</v>
      </c>
      <c r="BE52" s="201">
        <v>6120</v>
      </c>
      <c r="BF52" s="201">
        <v>40</v>
      </c>
      <c r="BG52" s="201">
        <v>4</v>
      </c>
      <c r="BH52" s="201"/>
      <c r="BI52" s="203">
        <f t="shared" si="42"/>
        <v>244800</v>
      </c>
      <c r="BJ52" s="203">
        <f t="shared" si="43"/>
        <v>24480</v>
      </c>
      <c r="BK52" s="203">
        <f t="shared" si="44"/>
        <v>220320</v>
      </c>
    </row>
    <row r="53" spans="2:63" s="189" customFormat="1" ht="24" customHeight="1">
      <c r="B53" s="190"/>
      <c r="K53" s="1"/>
      <c r="L53" s="197"/>
      <c r="M53" s="49"/>
      <c r="N53" s="49"/>
      <c r="O53" s="49"/>
      <c r="P53" s="49"/>
      <c r="Q53" s="49"/>
      <c r="R53" s="207"/>
      <c r="S53" s="206"/>
      <c r="T53" s="206"/>
      <c r="U53" s="209"/>
      <c r="V53" s="210" t="s">
        <v>84</v>
      </c>
      <c r="W53" s="211"/>
      <c r="X53" s="212" t="e">
        <f>W53/Y52</f>
        <v>#DIV/0!</v>
      </c>
      <c r="Y53" s="214"/>
      <c r="Z53" s="214"/>
      <c r="AA53" s="214"/>
      <c r="AU53" s="189">
        <v>4670600</v>
      </c>
      <c r="AV53" s="189">
        <v>19016645.454545453</v>
      </c>
      <c r="AW53" s="189">
        <v>16482254.545454545</v>
      </c>
      <c r="AX53" s="189">
        <v>6958118.1818181816</v>
      </c>
      <c r="BB53" s="189" t="s">
        <v>85</v>
      </c>
      <c r="BD53" s="195" t="s">
        <v>86</v>
      </c>
      <c r="BE53" s="201">
        <v>1780</v>
      </c>
      <c r="BF53" s="201">
        <v>24</v>
      </c>
      <c r="BG53" s="201">
        <v>4</v>
      </c>
      <c r="BH53" s="201"/>
      <c r="BI53" s="203">
        <f t="shared" si="42"/>
        <v>42720</v>
      </c>
      <c r="BJ53" s="203">
        <f t="shared" si="43"/>
        <v>7120</v>
      </c>
      <c r="BK53" s="203">
        <f t="shared" si="44"/>
        <v>35600</v>
      </c>
    </row>
    <row r="54" spans="2:63" s="189" customFormat="1" ht="24" customHeight="1">
      <c r="B54" s="190"/>
      <c r="K54" s="1"/>
      <c r="L54" s="197"/>
      <c r="M54" s="49"/>
      <c r="N54" s="49"/>
      <c r="O54" s="49"/>
      <c r="P54" s="49"/>
      <c r="Q54" s="49"/>
      <c r="R54" s="207"/>
      <c r="S54" s="206"/>
      <c r="T54" s="206"/>
      <c r="U54" s="215" t="s">
        <v>88</v>
      </c>
      <c r="V54" s="210" t="s">
        <v>81</v>
      </c>
      <c r="W54" s="211"/>
      <c r="X54" s="212" t="e">
        <f t="shared" ref="X54" si="45">W54/Y54</f>
        <v>#DIV/0!</v>
      </c>
      <c r="Y54" s="213">
        <f t="shared" ref="Y54" si="46">W54+W55</f>
        <v>0</v>
      </c>
      <c r="Z54" s="214"/>
      <c r="AA54" s="214"/>
      <c r="BD54" s="195" t="s">
        <v>89</v>
      </c>
      <c r="BE54" s="201">
        <v>1780</v>
      </c>
      <c r="BF54" s="201">
        <v>24</v>
      </c>
      <c r="BG54" s="201">
        <v>20</v>
      </c>
      <c r="BH54" s="201"/>
      <c r="BI54" s="203">
        <f t="shared" si="42"/>
        <v>42720</v>
      </c>
      <c r="BJ54" s="203">
        <f t="shared" si="43"/>
        <v>35600</v>
      </c>
      <c r="BK54" s="203">
        <f t="shared" si="44"/>
        <v>7120</v>
      </c>
    </row>
    <row r="55" spans="2:63" s="189" customFormat="1" ht="24" customHeight="1">
      <c r="B55" s="190"/>
      <c r="L55" s="192"/>
      <c r="M55" s="49"/>
      <c r="N55" s="49"/>
      <c r="O55" s="49"/>
      <c r="P55" s="49"/>
      <c r="Q55" s="49"/>
      <c r="R55" s="216"/>
      <c r="S55" s="206"/>
      <c r="T55" s="206"/>
      <c r="U55" s="215"/>
      <c r="V55" s="210" t="s">
        <v>84</v>
      </c>
      <c r="W55" s="211"/>
      <c r="X55" s="212" t="e">
        <f t="shared" ref="X55" si="47">W55/Y54</f>
        <v>#DIV/0!</v>
      </c>
      <c r="Y55" s="214"/>
      <c r="Z55" s="214"/>
      <c r="AA55" s="214"/>
      <c r="AZ55" s="49"/>
      <c r="BA55" s="49"/>
      <c r="BB55" s="49"/>
      <c r="BC55" s="49"/>
      <c r="BD55" s="195" t="s">
        <v>91</v>
      </c>
      <c r="BE55" s="217">
        <v>8190</v>
      </c>
      <c r="BF55" s="201">
        <v>13</v>
      </c>
      <c r="BG55" s="201">
        <v>4</v>
      </c>
      <c r="BH55" s="201"/>
      <c r="BI55" s="203">
        <f t="shared" si="42"/>
        <v>106470</v>
      </c>
      <c r="BJ55" s="203">
        <f t="shared" si="43"/>
        <v>32760</v>
      </c>
      <c r="BK55" s="203">
        <f t="shared" si="44"/>
        <v>73710</v>
      </c>
    </row>
    <row r="56" spans="2:63" ht="24" customHeight="1">
      <c r="U56" s="218" t="s">
        <v>2</v>
      </c>
      <c r="V56" s="219" t="s">
        <v>81</v>
      </c>
      <c r="W56" s="211"/>
      <c r="X56" s="212" t="e">
        <f t="shared" ref="X56:X58" si="48">W56/Y56</f>
        <v>#DIV/0!</v>
      </c>
      <c r="Y56" s="213">
        <f t="shared" ref="Y56" si="49">W56+W57</f>
        <v>0</v>
      </c>
      <c r="Z56" s="214"/>
      <c r="AA56" s="214"/>
      <c r="BD56" s="195" t="s">
        <v>93</v>
      </c>
      <c r="BE56" s="217">
        <v>5784</v>
      </c>
      <c r="BF56" s="217">
        <v>36</v>
      </c>
      <c r="BG56" s="217">
        <v>28</v>
      </c>
      <c r="BH56" s="217"/>
      <c r="BI56" s="203">
        <f t="shared" si="42"/>
        <v>208224</v>
      </c>
      <c r="BJ56" s="203">
        <f t="shared" si="43"/>
        <v>161952</v>
      </c>
      <c r="BK56" s="203">
        <f t="shared" si="44"/>
        <v>46272</v>
      </c>
    </row>
    <row r="57" spans="2:63" ht="24" customHeight="1">
      <c r="U57" s="218"/>
      <c r="V57" s="219" t="s">
        <v>84</v>
      </c>
      <c r="W57" s="211"/>
      <c r="X57" s="212" t="e">
        <f t="shared" ref="X57:X59" si="50">W57/Y56</f>
        <v>#DIV/0!</v>
      </c>
      <c r="Y57" s="214"/>
      <c r="Z57" s="214"/>
      <c r="AA57" s="214"/>
      <c r="BD57" s="195" t="s">
        <v>95</v>
      </c>
      <c r="BE57" s="217">
        <v>6775</v>
      </c>
      <c r="BF57" s="217">
        <v>12</v>
      </c>
      <c r="BG57" s="217">
        <v>11</v>
      </c>
      <c r="BH57" s="217"/>
      <c r="BI57" s="203">
        <f t="shared" si="42"/>
        <v>81300</v>
      </c>
      <c r="BJ57" s="203">
        <f t="shared" si="43"/>
        <v>74525</v>
      </c>
      <c r="BK57" s="203">
        <f t="shared" si="44"/>
        <v>6775</v>
      </c>
    </row>
    <row r="58" spans="2:63" ht="24" customHeight="1">
      <c r="U58" s="220" t="s">
        <v>96</v>
      </c>
      <c r="V58" s="219" t="s">
        <v>81</v>
      </c>
      <c r="W58" s="211"/>
      <c r="X58" s="212" t="e">
        <f t="shared" si="48"/>
        <v>#DIV/0!</v>
      </c>
      <c r="Y58" s="221">
        <f>SUM(Y52:AA56)</f>
        <v>0</v>
      </c>
      <c r="Z58" s="222"/>
      <c r="AA58" s="222"/>
      <c r="BD58" s="195" t="s">
        <v>97</v>
      </c>
      <c r="BE58" s="217">
        <v>1755</v>
      </c>
      <c r="BF58" s="217">
        <v>14</v>
      </c>
      <c r="BG58" s="217">
        <v>2</v>
      </c>
      <c r="BH58" s="217"/>
      <c r="BI58" s="203">
        <f t="shared" si="42"/>
        <v>24570</v>
      </c>
      <c r="BJ58" s="203">
        <f t="shared" si="43"/>
        <v>3510</v>
      </c>
      <c r="BK58" s="203">
        <f t="shared" si="44"/>
        <v>21060</v>
      </c>
    </row>
    <row r="59" spans="2:63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20"/>
      <c r="V59" s="219" t="s">
        <v>84</v>
      </c>
      <c r="W59" s="211"/>
      <c r="X59" s="212" t="e">
        <f t="shared" si="50"/>
        <v>#DIV/0!</v>
      </c>
      <c r="Y59" s="222"/>
      <c r="Z59" s="222"/>
      <c r="AA59" s="222"/>
      <c r="BD59" s="195" t="s">
        <v>98</v>
      </c>
      <c r="BE59" s="217">
        <v>1755</v>
      </c>
      <c r="BF59" s="217">
        <v>10</v>
      </c>
      <c r="BG59" s="217">
        <v>0</v>
      </c>
      <c r="BH59" s="217"/>
      <c r="BI59" s="203">
        <f t="shared" si="42"/>
        <v>17550</v>
      </c>
      <c r="BJ59" s="203">
        <f t="shared" si="43"/>
        <v>0</v>
      </c>
      <c r="BK59" s="203">
        <f t="shared" si="44"/>
        <v>17550</v>
      </c>
    </row>
    <row r="60" spans="2:63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D60" s="195" t="s">
        <v>99</v>
      </c>
      <c r="BE60" s="217">
        <v>1075</v>
      </c>
      <c r="BF60" s="217">
        <v>96</v>
      </c>
      <c r="BG60" s="217">
        <v>38</v>
      </c>
      <c r="BH60" s="217"/>
      <c r="BI60" s="203">
        <f t="shared" si="42"/>
        <v>103200</v>
      </c>
      <c r="BJ60" s="203">
        <f t="shared" si="43"/>
        <v>40850</v>
      </c>
      <c r="BK60" s="203">
        <f t="shared" si="44"/>
        <v>62350</v>
      </c>
    </row>
    <row r="61" spans="2:63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D61" s="195" t="s">
        <v>100</v>
      </c>
      <c r="BE61" s="217">
        <v>3860</v>
      </c>
      <c r="BF61" s="217">
        <v>166</v>
      </c>
      <c r="BG61" s="217">
        <v>13</v>
      </c>
      <c r="BH61" s="217"/>
      <c r="BI61" s="203">
        <f t="shared" si="42"/>
        <v>640760</v>
      </c>
      <c r="BJ61" s="203">
        <f t="shared" si="43"/>
        <v>50180</v>
      </c>
      <c r="BK61" s="203">
        <f t="shared" si="44"/>
        <v>590580</v>
      </c>
    </row>
    <row r="62" spans="2:63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D62" s="195" t="s">
        <v>101</v>
      </c>
      <c r="BE62" s="217">
        <v>6450</v>
      </c>
      <c r="BF62" s="217">
        <v>137</v>
      </c>
      <c r="BG62" s="217">
        <v>12</v>
      </c>
      <c r="BH62" s="217"/>
      <c r="BI62" s="203">
        <f t="shared" si="42"/>
        <v>883650</v>
      </c>
      <c r="BJ62" s="203">
        <f t="shared" si="43"/>
        <v>77400</v>
      </c>
      <c r="BK62" s="203">
        <f t="shared" si="44"/>
        <v>806250</v>
      </c>
    </row>
    <row r="63" spans="2:63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D63" s="195" t="s">
        <v>102</v>
      </c>
      <c r="BE63" s="217">
        <v>1380</v>
      </c>
      <c r="BF63" s="217">
        <v>35</v>
      </c>
      <c r="BG63" s="217">
        <v>5</v>
      </c>
      <c r="BH63" s="217"/>
      <c r="BI63" s="203">
        <f t="shared" si="42"/>
        <v>48300</v>
      </c>
      <c r="BJ63" s="203">
        <f t="shared" si="43"/>
        <v>6900</v>
      </c>
      <c r="BK63" s="203">
        <f t="shared" si="44"/>
        <v>41400</v>
      </c>
    </row>
    <row r="64" spans="2:63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D64" s="195" t="s">
        <v>103</v>
      </c>
      <c r="BE64" s="217">
        <v>1380</v>
      </c>
      <c r="BF64" s="217">
        <v>39</v>
      </c>
      <c r="BG64" s="217">
        <v>6</v>
      </c>
      <c r="BH64" s="217"/>
      <c r="BI64" s="203">
        <f t="shared" si="42"/>
        <v>53820</v>
      </c>
      <c r="BJ64" s="203">
        <f t="shared" si="43"/>
        <v>8280</v>
      </c>
      <c r="BK64" s="203">
        <f t="shared" si="44"/>
        <v>45540</v>
      </c>
    </row>
    <row r="65" spans="6:63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D65" s="195" t="s">
        <v>104</v>
      </c>
      <c r="BE65" s="217">
        <v>160</v>
      </c>
      <c r="BF65" s="217">
        <v>594</v>
      </c>
      <c r="BG65" s="217">
        <v>53</v>
      </c>
      <c r="BH65" s="217"/>
      <c r="BI65" s="203">
        <f t="shared" si="42"/>
        <v>95040</v>
      </c>
      <c r="BJ65" s="203">
        <f t="shared" si="43"/>
        <v>8480</v>
      </c>
      <c r="BK65" s="203">
        <f t="shared" si="44"/>
        <v>86560</v>
      </c>
    </row>
    <row r="66" spans="6:63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D66" s="195" t="s">
        <v>105</v>
      </c>
      <c r="BE66" s="217">
        <v>160</v>
      </c>
      <c r="BF66" s="217">
        <v>300</v>
      </c>
      <c r="BG66" s="217">
        <v>47</v>
      </c>
      <c r="BH66" s="217"/>
      <c r="BI66" s="203">
        <f t="shared" si="42"/>
        <v>48000</v>
      </c>
      <c r="BJ66" s="203">
        <f t="shared" si="43"/>
        <v>7520</v>
      </c>
      <c r="BK66" s="203">
        <f t="shared" si="44"/>
        <v>40480</v>
      </c>
    </row>
    <row r="67" spans="6:63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D67" s="195" t="s">
        <v>106</v>
      </c>
      <c r="BE67" s="217">
        <v>205</v>
      </c>
      <c r="BF67" s="217">
        <v>366</v>
      </c>
      <c r="BG67" s="217">
        <v>49</v>
      </c>
      <c r="BH67" s="217"/>
      <c r="BI67" s="203">
        <f t="shared" si="42"/>
        <v>75030</v>
      </c>
      <c r="BJ67" s="203">
        <f t="shared" si="43"/>
        <v>10045</v>
      </c>
      <c r="BK67" s="203">
        <f t="shared" si="44"/>
        <v>64985</v>
      </c>
    </row>
    <row r="68" spans="6:63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D68" s="195" t="s">
        <v>107</v>
      </c>
      <c r="BE68" s="217">
        <v>295</v>
      </c>
      <c r="BF68" s="217">
        <v>612</v>
      </c>
      <c r="BG68" s="217">
        <v>86</v>
      </c>
      <c r="BH68" s="217"/>
      <c r="BI68" s="203">
        <f t="shared" si="42"/>
        <v>180540</v>
      </c>
      <c r="BJ68" s="203">
        <f t="shared" si="43"/>
        <v>25370</v>
      </c>
      <c r="BK68" s="203">
        <f t="shared" si="44"/>
        <v>155170</v>
      </c>
    </row>
    <row r="69" spans="6:63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D69" s="195" t="s">
        <v>108</v>
      </c>
      <c r="BE69" s="217">
        <v>70</v>
      </c>
      <c r="BF69" s="217">
        <v>480</v>
      </c>
      <c r="BG69" s="217">
        <v>71</v>
      </c>
      <c r="BH69" s="217"/>
      <c r="BI69" s="203">
        <f t="shared" si="42"/>
        <v>33600</v>
      </c>
      <c r="BJ69" s="203">
        <f t="shared" si="43"/>
        <v>4970</v>
      </c>
      <c r="BK69" s="203">
        <f t="shared" si="44"/>
        <v>28630</v>
      </c>
    </row>
    <row r="70" spans="6:63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D70" s="195" t="s">
        <v>109</v>
      </c>
      <c r="BE70" s="217">
        <v>2450</v>
      </c>
      <c r="BF70" s="217">
        <v>31</v>
      </c>
      <c r="BG70" s="217">
        <v>9</v>
      </c>
      <c r="BH70" s="217"/>
      <c r="BI70" s="203">
        <f t="shared" si="42"/>
        <v>75950</v>
      </c>
      <c r="BJ70" s="203">
        <f t="shared" si="43"/>
        <v>22050</v>
      </c>
      <c r="BK70" s="203">
        <f t="shared" si="44"/>
        <v>53900</v>
      </c>
    </row>
    <row r="71" spans="6:63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D71" s="195"/>
      <c r="BI71" s="223">
        <f>SUM(BI50:BI70)</f>
        <v>9956044</v>
      </c>
      <c r="BJ71" s="223">
        <f t="shared" ref="BJ71:BK71" si="51">SUM(BJ50:BJ70)</f>
        <v>817992</v>
      </c>
      <c r="BK71" s="223">
        <f t="shared" si="51"/>
        <v>9138052</v>
      </c>
    </row>
    <row r="72" spans="6:63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D72" s="195"/>
    </row>
    <row r="73" spans="6:63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D73" s="195"/>
    </row>
    <row r="74" spans="6:63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D74" s="195"/>
    </row>
    <row r="75" spans="6:63" ht="24" customHeight="1">
      <c r="F75" s="49">
        <v>625.79999999999995</v>
      </c>
      <c r="N75" s="49">
        <v>1707.5</v>
      </c>
      <c r="BD75" s="195"/>
    </row>
    <row r="76" spans="6:63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D76" s="195"/>
    </row>
    <row r="77" spans="6:63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D77" s="195"/>
    </row>
    <row r="78" spans="6:63" ht="24" customHeight="1">
      <c r="BD78" s="195"/>
    </row>
    <row r="79" spans="6:63" ht="24" customHeight="1">
      <c r="BD79" s="195"/>
    </row>
    <row r="80" spans="6:63" ht="24" customHeight="1">
      <c r="BD80" s="195"/>
    </row>
    <row r="81" spans="56:56" ht="24" customHeight="1">
      <c r="BD81" s="195"/>
    </row>
    <row r="82" spans="56:56" ht="24" customHeight="1">
      <c r="BD82" s="195"/>
    </row>
    <row r="83" spans="56:56" ht="24" customHeight="1">
      <c r="BD83" s="195"/>
    </row>
    <row r="84" spans="56:56" ht="24" customHeight="1">
      <c r="BD84" s="195"/>
    </row>
    <row r="85" spans="56:56" ht="24" customHeight="1">
      <c r="BD85" s="195"/>
    </row>
    <row r="86" spans="56:56" ht="24" customHeight="1">
      <c r="BD86" s="195"/>
    </row>
    <row r="87" spans="56:56" ht="24" customHeight="1">
      <c r="BD87" s="195"/>
    </row>
    <row r="88" spans="56:56" ht="24" customHeight="1">
      <c r="BD88" s="195"/>
    </row>
    <row r="89" spans="56:56" ht="24" customHeight="1">
      <c r="BD89" s="195"/>
    </row>
    <row r="90" spans="56:56" ht="24" customHeight="1">
      <c r="BD90" s="195"/>
    </row>
    <row r="91" spans="56:56" ht="24" customHeight="1">
      <c r="BD91" s="195"/>
    </row>
    <row r="92" spans="56:56" ht="24" customHeight="1">
      <c r="BD92" s="195"/>
    </row>
    <row r="93" spans="56:56" ht="24" customHeight="1">
      <c r="BD93" s="195"/>
    </row>
    <row r="94" spans="56:56" ht="24" customHeight="1">
      <c r="BD94" s="195"/>
    </row>
    <row r="95" spans="56:56" ht="24" customHeight="1">
      <c r="BD95" s="195"/>
    </row>
    <row r="96" spans="56:56" ht="24" customHeight="1">
      <c r="BD96" s="195"/>
    </row>
    <row r="97" spans="56:56" ht="24" customHeight="1">
      <c r="BD97" s="195"/>
    </row>
    <row r="98" spans="56:56" ht="24" customHeight="1">
      <c r="BD98" s="195"/>
    </row>
    <row r="99" spans="56:56" ht="24" customHeight="1">
      <c r="BD99" s="195"/>
    </row>
    <row r="100" spans="56:56" ht="24" customHeight="1">
      <c r="BD100" s="195"/>
    </row>
    <row r="101" spans="56:56" ht="24" customHeight="1">
      <c r="BD101" s="195"/>
    </row>
    <row r="102" spans="56:56" ht="24" customHeight="1">
      <c r="BD102" s="195"/>
    </row>
    <row r="103" spans="56:56" ht="24" customHeight="1">
      <c r="BD103" s="195"/>
    </row>
    <row r="104" spans="56:56" ht="24" customHeight="1">
      <c r="BD104" s="195"/>
    </row>
    <row r="105" spans="56:56" ht="24" customHeight="1">
      <c r="BD105" s="195"/>
    </row>
    <row r="106" spans="56:56" ht="24" customHeight="1">
      <c r="BD106" s="195"/>
    </row>
    <row r="107" spans="56:56" ht="24" customHeight="1">
      <c r="BD107" s="195"/>
    </row>
    <row r="108" spans="56:56" ht="24" customHeight="1">
      <c r="BD108" s="195"/>
    </row>
    <row r="109" spans="56:56" ht="24" customHeight="1">
      <c r="BD109" s="195"/>
    </row>
    <row r="110" spans="56:56" ht="24" customHeight="1">
      <c r="BD110" s="195"/>
    </row>
    <row r="111" spans="56:56" ht="24" customHeight="1">
      <c r="BD111" s="195"/>
    </row>
    <row r="112" spans="56:56" ht="24" customHeight="1">
      <c r="BD112" s="195"/>
    </row>
    <row r="113" spans="56:56" ht="24" customHeight="1">
      <c r="BD113" s="195"/>
    </row>
    <row r="114" spans="56:56" ht="24" customHeight="1">
      <c r="BD114" s="195"/>
    </row>
    <row r="115" spans="56:56" ht="24" customHeight="1">
      <c r="BD115" s="195"/>
    </row>
    <row r="116" spans="56:56" ht="24" customHeight="1">
      <c r="BD116" s="195"/>
    </row>
    <row r="117" spans="56:56" ht="24" customHeight="1">
      <c r="BD117" s="195"/>
    </row>
    <row r="118" spans="56:56" ht="24" customHeight="1">
      <c r="BD118" s="195"/>
    </row>
    <row r="119" spans="56:56" ht="24" customHeight="1">
      <c r="BD119" s="195"/>
    </row>
    <row r="120" spans="56:56" ht="24" customHeight="1">
      <c r="BD120" s="195"/>
    </row>
    <row r="121" spans="56:56" ht="24" customHeight="1">
      <c r="BD121" s="195"/>
    </row>
    <row r="122" spans="56:56" ht="24" customHeight="1">
      <c r="BD122" s="195"/>
    </row>
    <row r="123" spans="56:56" ht="24" customHeight="1">
      <c r="BD123" s="195"/>
    </row>
    <row r="124" spans="56:56" ht="24" customHeight="1">
      <c r="BD124" s="195"/>
    </row>
    <row r="125" spans="56:56" ht="24" customHeight="1">
      <c r="BD125" s="195"/>
    </row>
    <row r="126" spans="56:56" ht="24" customHeight="1">
      <c r="BD126" s="195"/>
    </row>
    <row r="127" spans="56:56" ht="24" customHeight="1">
      <c r="BD127" s="195"/>
    </row>
    <row r="128" spans="56:56" ht="24" customHeight="1">
      <c r="BD128" s="195"/>
    </row>
    <row r="129" spans="56:56" ht="24" customHeight="1">
      <c r="BD129" s="195"/>
    </row>
    <row r="130" spans="56:56" ht="24" customHeight="1">
      <c r="BD130" s="195"/>
    </row>
    <row r="131" spans="56:56" ht="24" customHeight="1">
      <c r="BD131" s="195"/>
    </row>
    <row r="132" spans="56:56" ht="24" customHeight="1">
      <c r="BD132" s="195"/>
    </row>
    <row r="133" spans="56:56" ht="24" customHeight="1">
      <c r="BD133" s="195"/>
    </row>
    <row r="134" spans="56:56" ht="24" customHeight="1">
      <c r="BD134" s="195"/>
    </row>
    <row r="135" spans="56:56" ht="24" customHeight="1">
      <c r="BD135" s="195"/>
    </row>
    <row r="136" spans="56:56" ht="24" customHeight="1">
      <c r="BD136" s="195"/>
    </row>
    <row r="137" spans="56:56" ht="24" customHeight="1">
      <c r="BD137" s="195"/>
    </row>
    <row r="138" spans="56:56" ht="24" customHeight="1">
      <c r="BD138" s="195"/>
    </row>
    <row r="139" spans="56:56" ht="24" customHeight="1">
      <c r="BD139" s="195"/>
    </row>
    <row r="140" spans="56:56" ht="24" customHeight="1">
      <c r="BD140" s="195"/>
    </row>
    <row r="141" spans="56:56" ht="24" customHeight="1">
      <c r="BD141" s="195"/>
    </row>
    <row r="142" spans="56:56" ht="24" customHeight="1">
      <c r="BD142" s="195"/>
    </row>
    <row r="143" spans="56:56" ht="24" customHeight="1">
      <c r="BD143" s="195"/>
    </row>
    <row r="144" spans="56:56" ht="24" customHeight="1">
      <c r="BD144" s="195"/>
    </row>
    <row r="145" spans="56:56" ht="24" customHeight="1">
      <c r="BD145" s="195"/>
    </row>
    <row r="146" spans="56:56" ht="24" customHeight="1">
      <c r="BD146" s="195"/>
    </row>
    <row r="147" spans="56:56" ht="24" customHeight="1">
      <c r="BD147" s="195"/>
    </row>
    <row r="148" spans="56:56" ht="24" customHeight="1">
      <c r="BD148" s="195"/>
    </row>
    <row r="149" spans="56:56" ht="24" customHeight="1">
      <c r="BD149" s="195"/>
    </row>
    <row r="150" spans="56:56" ht="24" customHeight="1">
      <c r="BD150" s="195"/>
    </row>
    <row r="151" spans="56:56" ht="24" customHeight="1">
      <c r="BD151" s="195"/>
    </row>
    <row r="152" spans="56:56" ht="24" customHeight="1">
      <c r="BD152" s="195"/>
    </row>
    <row r="153" spans="56:56" ht="24" customHeight="1">
      <c r="BD153" s="195"/>
    </row>
    <row r="154" spans="56:56" ht="24" customHeight="1">
      <c r="BD154" s="195"/>
    </row>
    <row r="155" spans="56:56" ht="24" customHeight="1">
      <c r="BD155" s="195"/>
    </row>
    <row r="156" spans="56:56" ht="24" customHeight="1">
      <c r="BD156" s="195"/>
    </row>
    <row r="157" spans="56:56" ht="24" customHeight="1">
      <c r="BD157" s="195"/>
    </row>
    <row r="158" spans="56:56" ht="24" customHeight="1">
      <c r="BD158" s="195"/>
    </row>
    <row r="159" spans="56:56" ht="24" customHeight="1">
      <c r="BD159" s="195"/>
    </row>
    <row r="160" spans="56:56" ht="24" customHeight="1">
      <c r="BD160" s="195"/>
    </row>
    <row r="161" spans="56:56" ht="24" customHeight="1">
      <c r="BD161" s="195"/>
    </row>
    <row r="162" spans="56:56" ht="24" customHeight="1">
      <c r="BD162" s="195"/>
    </row>
    <row r="163" spans="56:56" ht="24" customHeight="1">
      <c r="BD163" s="195"/>
    </row>
    <row r="164" spans="56:56" ht="24" customHeight="1">
      <c r="BD164" s="195"/>
    </row>
    <row r="165" spans="56:56" ht="24" customHeight="1">
      <c r="BD165" s="195"/>
    </row>
    <row r="166" spans="56:56" ht="24" customHeight="1">
      <c r="BD166" s="195"/>
    </row>
    <row r="167" spans="56:56" ht="24" customHeight="1">
      <c r="BD167" s="195"/>
    </row>
    <row r="168" spans="56:56" ht="24" customHeight="1">
      <c r="BD168" s="195"/>
    </row>
    <row r="169" spans="56:56" ht="24" customHeight="1">
      <c r="BD169" s="195"/>
    </row>
    <row r="170" spans="56:56" ht="24" customHeight="1">
      <c r="BD170" s="195"/>
    </row>
    <row r="171" spans="56:56" ht="24" customHeight="1">
      <c r="BD171" s="195"/>
    </row>
    <row r="172" spans="56:56" ht="24" customHeight="1">
      <c r="BD172" s="195"/>
    </row>
    <row r="173" spans="56:56" ht="24" customHeight="1">
      <c r="BD173" s="195"/>
    </row>
    <row r="174" spans="56:56" ht="24" customHeight="1">
      <c r="BD174" s="195"/>
    </row>
    <row r="175" spans="56:56" ht="24" customHeight="1">
      <c r="BD175" s="195"/>
    </row>
    <row r="176" spans="56:56" ht="24" customHeight="1">
      <c r="BD176" s="195"/>
    </row>
    <row r="177" spans="56:56" ht="24" customHeight="1">
      <c r="BD177" s="195"/>
    </row>
    <row r="178" spans="56:56" ht="24" customHeight="1">
      <c r="BD178" s="195"/>
    </row>
    <row r="179" spans="56:56" ht="24" customHeight="1">
      <c r="BD179" s="195"/>
    </row>
    <row r="180" spans="56:56" ht="24" customHeight="1">
      <c r="BD180" s="195"/>
    </row>
    <row r="181" spans="56:56" ht="24" customHeight="1">
      <c r="BD181" s="195"/>
    </row>
    <row r="182" spans="56:56" ht="24" customHeight="1">
      <c r="BD182" s="195"/>
    </row>
    <row r="183" spans="56:56" ht="24" customHeight="1">
      <c r="BD183" s="195"/>
    </row>
    <row r="184" spans="56:56">
      <c r="BD184" s="195"/>
    </row>
    <row r="185" spans="56:56">
      <c r="BD185" s="195"/>
    </row>
    <row r="186" spans="56:56">
      <c r="BD186" s="195"/>
    </row>
    <row r="187" spans="56:56">
      <c r="BD187" s="195"/>
    </row>
    <row r="188" spans="56:56">
      <c r="BD188" s="195"/>
    </row>
    <row r="189" spans="56:56">
      <c r="BD189" s="195"/>
    </row>
    <row r="190" spans="56:56">
      <c r="BD190" s="195"/>
    </row>
    <row r="191" spans="56:56">
      <c r="BD191" s="195"/>
    </row>
    <row r="192" spans="56:56">
      <c r="BD192" s="195"/>
    </row>
    <row r="193" spans="56:56">
      <c r="BD193" s="195"/>
    </row>
    <row r="194" spans="56:56">
      <c r="BD194" s="195"/>
    </row>
    <row r="195" spans="56:56">
      <c r="BD195" s="195"/>
    </row>
    <row r="196" spans="56:56">
      <c r="BD196" s="195"/>
    </row>
    <row r="197" spans="56:56">
      <c r="BD197" s="195"/>
    </row>
    <row r="198" spans="56:56">
      <c r="BD198" s="195"/>
    </row>
    <row r="199" spans="56:56">
      <c r="BD199" s="195"/>
    </row>
    <row r="200" spans="56:56">
      <c r="BD200" s="195"/>
    </row>
    <row r="201" spans="56:56">
      <c r="BD201" s="195"/>
    </row>
    <row r="202" spans="56:56">
      <c r="BD202" s="195"/>
    </row>
    <row r="203" spans="56:56">
      <c r="BD203" s="195"/>
    </row>
    <row r="204" spans="56:56">
      <c r="BD204" s="195"/>
    </row>
    <row r="205" spans="56:56">
      <c r="BD205" s="195"/>
    </row>
    <row r="206" spans="56:56">
      <c r="BD206" s="195"/>
    </row>
    <row r="207" spans="56:56">
      <c r="BD207" s="195"/>
    </row>
    <row r="208" spans="56:56">
      <c r="BD208" s="195"/>
    </row>
    <row r="209" spans="56:56">
      <c r="BD209" s="195"/>
    </row>
    <row r="210" spans="56:56">
      <c r="BD210" s="195"/>
    </row>
    <row r="211" spans="56:56">
      <c r="BD211" s="195"/>
    </row>
    <row r="212" spans="56:56">
      <c r="BD212" s="195"/>
    </row>
    <row r="213" spans="56:56">
      <c r="BD213" s="195"/>
    </row>
    <row r="214" spans="56:56">
      <c r="BD214" s="195"/>
    </row>
    <row r="215" spans="56:56">
      <c r="BD215" s="195"/>
    </row>
    <row r="216" spans="56:56">
      <c r="BD216" s="195"/>
    </row>
    <row r="217" spans="56:56">
      <c r="BD217" s="195"/>
    </row>
    <row r="218" spans="56:56">
      <c r="BD218" s="195"/>
    </row>
    <row r="219" spans="56:56">
      <c r="BD219" s="195"/>
    </row>
    <row r="220" spans="56:56">
      <c r="BD220" s="195"/>
    </row>
    <row r="221" spans="56:56">
      <c r="BD221" s="195"/>
    </row>
    <row r="222" spans="56:56">
      <c r="BD222" s="195"/>
    </row>
    <row r="223" spans="56:56">
      <c r="BD223" s="195"/>
    </row>
    <row r="224" spans="56:56">
      <c r="BD224" s="195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X3"/>
    <mergeCell ref="AY3:BC3"/>
    <mergeCell ref="BD3:BK3"/>
    <mergeCell ref="D40:K44"/>
    <mergeCell ref="L40:S44"/>
    <mergeCell ref="Y40:AF44"/>
    <mergeCell ref="AG40:AN44"/>
    <mergeCell ref="AO40:AX44"/>
    <mergeCell ref="B3:B4"/>
    <mergeCell ref="D3:K3"/>
    <mergeCell ref="L3:S3"/>
    <mergeCell ref="T3:X3"/>
    <mergeCell ref="Y3:AF3"/>
    <mergeCell ref="AG3:AN3"/>
  </mergeCells>
  <phoneticPr fontId="2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2024.10</vt:lpstr>
      <vt:lpstr>2024.11</vt:lpstr>
      <vt:lpstr>2024.12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IGA</dc:creator>
  <cp:lastModifiedBy>SATOSHI IGA</cp:lastModifiedBy>
  <dcterms:created xsi:type="dcterms:W3CDTF">2026-02-11T11:27:24Z</dcterms:created>
  <dcterms:modified xsi:type="dcterms:W3CDTF">2026-02-11T11:28:42Z</dcterms:modified>
</cp:coreProperties>
</file>