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6E6EF5B9-9D7E-B145-BD79-CCA4AE20A35B}" xr6:coauthVersionLast="47" xr6:coauthVersionMax="47" xr10:uidLastSave="{00000000-0000-0000-0000-000000000000}"/>
  <bookViews>
    <workbookView xWindow="10860" yWindow="900" windowWidth="28300" windowHeight="17360" activeTab="2" xr2:uid="{4E47D481-AED6-1240-AC1D-64FE4477725A}"/>
  </bookViews>
  <sheets>
    <sheet name="2024.07" sheetId="1" r:id="rId1"/>
    <sheet name="2024.08" sheetId="2" r:id="rId2"/>
    <sheet name="2024.09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70" i="3" l="1"/>
  <c r="BJ70" i="3"/>
  <c r="BI70" i="3"/>
  <c r="BJ69" i="3"/>
  <c r="BI69" i="3"/>
  <c r="BK69" i="3" s="1"/>
  <c r="BJ68" i="3"/>
  <c r="BI68" i="3"/>
  <c r="BK68" i="3" s="1"/>
  <c r="BJ67" i="3"/>
  <c r="BI67" i="3"/>
  <c r="BK67" i="3" s="1"/>
  <c r="BK66" i="3"/>
  <c r="BJ66" i="3"/>
  <c r="BI66" i="3"/>
  <c r="BJ65" i="3"/>
  <c r="BI65" i="3"/>
  <c r="BK65" i="3" s="1"/>
  <c r="BJ64" i="3"/>
  <c r="BI64" i="3"/>
  <c r="BK64" i="3" s="1"/>
  <c r="BJ63" i="3"/>
  <c r="BI63" i="3"/>
  <c r="BK63" i="3" s="1"/>
  <c r="BK62" i="3"/>
  <c r="BJ62" i="3"/>
  <c r="BI62" i="3"/>
  <c r="BJ61" i="3"/>
  <c r="BI61" i="3"/>
  <c r="BK61" i="3" s="1"/>
  <c r="BJ60" i="3"/>
  <c r="BI60" i="3"/>
  <c r="BK60" i="3" s="1"/>
  <c r="BJ59" i="3"/>
  <c r="BI59" i="3"/>
  <c r="BK59" i="3" s="1"/>
  <c r="BJ58" i="3"/>
  <c r="BK58" i="3" s="1"/>
  <c r="BI58" i="3"/>
  <c r="BJ57" i="3"/>
  <c r="BI57" i="3"/>
  <c r="BK57" i="3" s="1"/>
  <c r="BJ56" i="3"/>
  <c r="BI56" i="3"/>
  <c r="BK56" i="3" s="1"/>
  <c r="Y56" i="3"/>
  <c r="X57" i="3" s="1"/>
  <c r="BJ55" i="3"/>
  <c r="BI55" i="3"/>
  <c r="BK55" i="3" s="1"/>
  <c r="X55" i="3"/>
  <c r="BJ54" i="3"/>
  <c r="BK54" i="3" s="1"/>
  <c r="BI54" i="3"/>
  <c r="Y54" i="3"/>
  <c r="X54" i="3" s="1"/>
  <c r="BK53" i="3"/>
  <c r="BJ53" i="3"/>
  <c r="BI53" i="3"/>
  <c r="BJ52" i="3"/>
  <c r="BI52" i="3"/>
  <c r="BK52" i="3" s="1"/>
  <c r="Y52" i="3"/>
  <c r="X52" i="3" s="1"/>
  <c r="BJ51" i="3"/>
  <c r="BI51" i="3"/>
  <c r="BK51" i="3" s="1"/>
  <c r="BK50" i="3"/>
  <c r="BJ50" i="3"/>
  <c r="BI50" i="3"/>
  <c r="AQ50" i="3"/>
  <c r="AW49" i="3"/>
  <c r="AQ49" i="3"/>
  <c r="AE49" i="3"/>
  <c r="S48" i="3"/>
  <c r="Q48" i="3"/>
  <c r="K48" i="3"/>
  <c r="I48" i="3"/>
  <c r="AF46" i="3"/>
  <c r="AN46" i="3" s="1"/>
  <c r="AX46" i="3" s="1"/>
  <c r="AV47" i="3" s="1"/>
  <c r="K46" i="3"/>
  <c r="S46" i="3" s="1"/>
  <c r="X46" i="3" s="1"/>
  <c r="BH45" i="3"/>
  <c r="W45" i="3"/>
  <c r="BH44" i="3"/>
  <c r="BB44" i="3"/>
  <c r="BF43" i="3"/>
  <c r="BH43" i="3" s="1"/>
  <c r="V41" i="3"/>
  <c r="AQ38" i="3"/>
  <c r="AI38" i="3"/>
  <c r="AA38" i="3"/>
  <c r="O38" i="3"/>
  <c r="U38" i="3" s="1"/>
  <c r="AU37" i="3"/>
  <c r="AS37" i="3"/>
  <c r="BF42" i="3" s="1"/>
  <c r="BF46" i="3" s="1"/>
  <c r="AI37" i="3"/>
  <c r="AJ37" i="3" s="1"/>
  <c r="AC37" i="3"/>
  <c r="AD37" i="3" s="1"/>
  <c r="BJ36" i="3"/>
  <c r="BI36" i="3"/>
  <c r="BH36" i="3"/>
  <c r="BG36" i="3"/>
  <c r="BF36" i="3"/>
  <c r="BE36" i="3"/>
  <c r="BD36" i="3"/>
  <c r="AV36" i="3"/>
  <c r="AV37" i="3" s="1"/>
  <c r="AU36" i="3"/>
  <c r="AS36" i="3"/>
  <c r="AQ36" i="3"/>
  <c r="AQ37" i="3" s="1"/>
  <c r="AR37" i="3" s="1"/>
  <c r="AP36" i="3"/>
  <c r="AO36" i="3"/>
  <c r="AK36" i="3"/>
  <c r="AK37" i="3" s="1"/>
  <c r="AL37" i="3" s="1"/>
  <c r="AI36" i="3"/>
  <c r="AH36" i="3"/>
  <c r="AG36" i="3"/>
  <c r="AD36" i="3"/>
  <c r="AC36" i="3"/>
  <c r="AA36" i="3"/>
  <c r="AA37" i="3" s="1"/>
  <c r="AB37" i="3" s="1"/>
  <c r="Z36" i="3"/>
  <c r="Y36" i="3"/>
  <c r="X36" i="3"/>
  <c r="L36" i="3"/>
  <c r="H36" i="3"/>
  <c r="H37" i="3" s="1"/>
  <c r="I37" i="3" s="1"/>
  <c r="K37" i="3" s="1"/>
  <c r="F36" i="3"/>
  <c r="F37" i="3" s="1"/>
  <c r="G37" i="3" s="1"/>
  <c r="E36" i="3"/>
  <c r="F38" i="3" s="1"/>
  <c r="D36" i="3"/>
  <c r="C36" i="3"/>
  <c r="BM35" i="3"/>
  <c r="BK35" i="3"/>
  <c r="BC35" i="3"/>
  <c r="AZ35" i="3"/>
  <c r="AY35" i="3"/>
  <c r="AX35" i="3"/>
  <c r="AW35" i="3"/>
  <c r="AT35" i="3"/>
  <c r="AR35" i="3"/>
  <c r="AN35" i="3"/>
  <c r="AM35" i="3"/>
  <c r="AL35" i="3"/>
  <c r="AJ35" i="3"/>
  <c r="AF35" i="3"/>
  <c r="AE35" i="3"/>
  <c r="AD35" i="3"/>
  <c r="AB35" i="3"/>
  <c r="V35" i="3"/>
  <c r="BA35" i="3" s="1"/>
  <c r="P35" i="3"/>
  <c r="N35" i="3"/>
  <c r="U35" i="3" s="1"/>
  <c r="M35" i="3"/>
  <c r="K35" i="3"/>
  <c r="J35" i="3"/>
  <c r="I35" i="3"/>
  <c r="G35" i="3"/>
  <c r="BK34" i="3"/>
  <c r="BM34" i="3" s="1"/>
  <c r="BC34" i="3"/>
  <c r="AY34" i="3"/>
  <c r="AW34" i="3"/>
  <c r="AX34" i="3" s="1"/>
  <c r="AT34" i="3"/>
  <c r="AR34" i="3"/>
  <c r="AN34" i="3"/>
  <c r="AM34" i="3"/>
  <c r="AL34" i="3"/>
  <c r="AJ34" i="3"/>
  <c r="AF34" i="3"/>
  <c r="AE34" i="3"/>
  <c r="AD34" i="3"/>
  <c r="AB34" i="3"/>
  <c r="W34" i="3"/>
  <c r="V34" i="3"/>
  <c r="BA34" i="3" s="1"/>
  <c r="U34" i="3"/>
  <c r="AZ34" i="3" s="1"/>
  <c r="T34" i="3"/>
  <c r="P34" i="3"/>
  <c r="Q34" i="3" s="1"/>
  <c r="O34" i="3"/>
  <c r="N34" i="3"/>
  <c r="R34" i="3" s="1"/>
  <c r="M34" i="3"/>
  <c r="S34" i="3" s="1"/>
  <c r="J34" i="3"/>
  <c r="K34" i="3" s="1"/>
  <c r="I34" i="3"/>
  <c r="G34" i="3"/>
  <c r="BM33" i="3"/>
  <c r="BK33" i="3"/>
  <c r="BC33" i="3"/>
  <c r="AW33" i="3"/>
  <c r="AX33" i="3" s="1"/>
  <c r="AT33" i="3"/>
  <c r="AR33" i="3"/>
  <c r="AN33" i="3"/>
  <c r="AM33" i="3"/>
  <c r="AL33" i="3"/>
  <c r="AJ33" i="3"/>
  <c r="AF33" i="3"/>
  <c r="AE33" i="3"/>
  <c r="AD33" i="3"/>
  <c r="AB33" i="3"/>
  <c r="V33" i="3"/>
  <c r="BA33" i="3" s="1"/>
  <c r="U33" i="3"/>
  <c r="AZ33" i="3" s="1"/>
  <c r="T33" i="3"/>
  <c r="P33" i="3"/>
  <c r="Q33" i="3" s="1"/>
  <c r="O33" i="3"/>
  <c r="N33" i="3"/>
  <c r="R33" i="3" s="1"/>
  <c r="S33" i="3" s="1"/>
  <c r="M33" i="3"/>
  <c r="AY33" i="3" s="1"/>
  <c r="J33" i="3"/>
  <c r="K33" i="3" s="1"/>
  <c r="I33" i="3"/>
  <c r="G33" i="3"/>
  <c r="BK32" i="3"/>
  <c r="BC32" i="3"/>
  <c r="AY32" i="3"/>
  <c r="AX32" i="3"/>
  <c r="AW32" i="3"/>
  <c r="AT32" i="3"/>
  <c r="AR32" i="3"/>
  <c r="AM32" i="3"/>
  <c r="AN32" i="3" s="1"/>
  <c r="AL32" i="3"/>
  <c r="AJ32" i="3"/>
  <c r="AE32" i="3"/>
  <c r="AF32" i="3" s="1"/>
  <c r="AD32" i="3"/>
  <c r="AB32" i="3"/>
  <c r="V32" i="3"/>
  <c r="BA32" i="3" s="1"/>
  <c r="U32" i="3"/>
  <c r="AZ32" i="3" s="1"/>
  <c r="T32" i="3"/>
  <c r="R32" i="3"/>
  <c r="S32" i="3" s="1"/>
  <c r="Q32" i="3"/>
  <c r="P32" i="3"/>
  <c r="N32" i="3"/>
  <c r="M32" i="3"/>
  <c r="O32" i="3" s="1"/>
  <c r="K32" i="3"/>
  <c r="J32" i="3"/>
  <c r="I32" i="3"/>
  <c r="G32" i="3"/>
  <c r="BK31" i="3"/>
  <c r="BM31" i="3" s="1"/>
  <c r="BC31" i="3"/>
  <c r="AY31" i="3"/>
  <c r="AX31" i="3"/>
  <c r="AW31" i="3"/>
  <c r="AT31" i="3"/>
  <c r="AR31" i="3"/>
  <c r="AN31" i="3"/>
  <c r="AM31" i="3"/>
  <c r="AL31" i="3"/>
  <c r="AJ31" i="3"/>
  <c r="AF31" i="3"/>
  <c r="AE31" i="3"/>
  <c r="AD31" i="3"/>
  <c r="AB31" i="3"/>
  <c r="U31" i="3"/>
  <c r="AZ31" i="3" s="1"/>
  <c r="T31" i="3"/>
  <c r="R31" i="3"/>
  <c r="S31" i="3" s="1"/>
  <c r="P31" i="3"/>
  <c r="V31" i="3" s="1"/>
  <c r="BA31" i="3" s="1"/>
  <c r="O31" i="3"/>
  <c r="N31" i="3"/>
  <c r="M31" i="3"/>
  <c r="J31" i="3"/>
  <c r="K31" i="3" s="1"/>
  <c r="I31" i="3"/>
  <c r="G31" i="3"/>
  <c r="BK30" i="3"/>
  <c r="BM30" i="3" s="1"/>
  <c r="BC30" i="3"/>
  <c r="AY30" i="3"/>
  <c r="AW30" i="3"/>
  <c r="AX30" i="3" s="1"/>
  <c r="AT30" i="3"/>
  <c r="AR30" i="3"/>
  <c r="AN30" i="3"/>
  <c r="AM30" i="3"/>
  <c r="AL30" i="3"/>
  <c r="AJ30" i="3"/>
  <c r="AF30" i="3"/>
  <c r="AE30" i="3"/>
  <c r="AD30" i="3"/>
  <c r="AB30" i="3"/>
  <c r="U30" i="3"/>
  <c r="AZ30" i="3" s="1"/>
  <c r="T30" i="3"/>
  <c r="Q30" i="3"/>
  <c r="P30" i="3"/>
  <c r="V30" i="3" s="1"/>
  <c r="BA30" i="3" s="1"/>
  <c r="O30" i="3"/>
  <c r="N30" i="3"/>
  <c r="M30" i="3"/>
  <c r="J30" i="3"/>
  <c r="K30" i="3" s="1"/>
  <c r="I30" i="3"/>
  <c r="G30" i="3"/>
  <c r="BK29" i="3"/>
  <c r="BM29" i="3" s="1"/>
  <c r="BC29" i="3"/>
  <c r="AW29" i="3"/>
  <c r="AX29" i="3" s="1"/>
  <c r="AT29" i="3"/>
  <c r="AR29" i="3"/>
  <c r="AM29" i="3"/>
  <c r="AN29" i="3" s="1"/>
  <c r="AL29" i="3"/>
  <c r="AJ29" i="3"/>
  <c r="AE29" i="3"/>
  <c r="AF29" i="3" s="1"/>
  <c r="AD29" i="3"/>
  <c r="AB29" i="3"/>
  <c r="T29" i="3"/>
  <c r="P29" i="3"/>
  <c r="V29" i="3" s="1"/>
  <c r="BA29" i="3" s="1"/>
  <c r="N29" i="3"/>
  <c r="M29" i="3"/>
  <c r="AY29" i="3" s="1"/>
  <c r="J29" i="3"/>
  <c r="K29" i="3" s="1"/>
  <c r="I29" i="3"/>
  <c r="G29" i="3"/>
  <c r="BK28" i="3"/>
  <c r="BM28" i="3" s="1"/>
  <c r="BC28" i="3"/>
  <c r="AW28" i="3"/>
  <c r="AX28" i="3" s="1"/>
  <c r="AT28" i="3"/>
  <c r="AR28" i="3"/>
  <c r="AN28" i="3"/>
  <c r="AM28" i="3"/>
  <c r="AL28" i="3"/>
  <c r="AJ28" i="3"/>
  <c r="AE28" i="3"/>
  <c r="AF28" i="3" s="1"/>
  <c r="AD28" i="3"/>
  <c r="AB28" i="3"/>
  <c r="P28" i="3"/>
  <c r="O28" i="3"/>
  <c r="N28" i="3"/>
  <c r="M28" i="3"/>
  <c r="K28" i="3"/>
  <c r="J28" i="3"/>
  <c r="I28" i="3"/>
  <c r="G28" i="3"/>
  <c r="BM27" i="3"/>
  <c r="BK27" i="3"/>
  <c r="BC27" i="3"/>
  <c r="AW27" i="3"/>
  <c r="AX27" i="3" s="1"/>
  <c r="AT27" i="3"/>
  <c r="AR27" i="3"/>
  <c r="AN27" i="3"/>
  <c r="AM27" i="3"/>
  <c r="AL27" i="3"/>
  <c r="AJ27" i="3"/>
  <c r="AE27" i="3"/>
  <c r="AF27" i="3" s="1"/>
  <c r="AD27" i="3"/>
  <c r="AB27" i="3"/>
  <c r="P27" i="3"/>
  <c r="V27" i="3" s="1"/>
  <c r="BA27" i="3" s="1"/>
  <c r="N27" i="3"/>
  <c r="M27" i="3"/>
  <c r="AY27" i="3" s="1"/>
  <c r="K27" i="3"/>
  <c r="J27" i="3"/>
  <c r="I27" i="3"/>
  <c r="G27" i="3"/>
  <c r="BK26" i="3"/>
  <c r="BM26" i="3" s="1"/>
  <c r="BC26" i="3"/>
  <c r="AX26" i="3"/>
  <c r="AW26" i="3"/>
  <c r="AT26" i="3"/>
  <c r="AR26" i="3"/>
  <c r="AN26" i="3"/>
  <c r="AM26" i="3"/>
  <c r="AL26" i="3"/>
  <c r="AJ26" i="3"/>
  <c r="AE26" i="3"/>
  <c r="AF26" i="3" s="1"/>
  <c r="AD26" i="3"/>
  <c r="AB26" i="3"/>
  <c r="P26" i="3"/>
  <c r="V26" i="3" s="1"/>
  <c r="BA26" i="3" s="1"/>
  <c r="N26" i="3"/>
  <c r="M26" i="3"/>
  <c r="J26" i="3"/>
  <c r="K26" i="3" s="1"/>
  <c r="I26" i="3"/>
  <c r="G26" i="3"/>
  <c r="BK25" i="3"/>
  <c r="BM25" i="3" s="1"/>
  <c r="BC25" i="3"/>
  <c r="AW25" i="3"/>
  <c r="AX25" i="3" s="1"/>
  <c r="AT25" i="3"/>
  <c r="AR25" i="3"/>
  <c r="AM25" i="3"/>
  <c r="AN25" i="3" s="1"/>
  <c r="AL25" i="3"/>
  <c r="AJ25" i="3"/>
  <c r="AE25" i="3"/>
  <c r="AF25" i="3" s="1"/>
  <c r="AD25" i="3"/>
  <c r="AB25" i="3"/>
  <c r="P25" i="3"/>
  <c r="V25" i="3" s="1"/>
  <c r="BA25" i="3" s="1"/>
  <c r="N25" i="3"/>
  <c r="U25" i="3" s="1"/>
  <c r="AZ25" i="3" s="1"/>
  <c r="M25" i="3"/>
  <c r="J25" i="3"/>
  <c r="K25" i="3" s="1"/>
  <c r="I25" i="3"/>
  <c r="G25" i="3"/>
  <c r="BK24" i="3"/>
  <c r="BM24" i="3" s="1"/>
  <c r="BC24" i="3"/>
  <c r="AY24" i="3"/>
  <c r="AW24" i="3"/>
  <c r="AX24" i="3" s="1"/>
  <c r="AT24" i="3"/>
  <c r="AR24" i="3"/>
  <c r="AN24" i="3"/>
  <c r="AM24" i="3"/>
  <c r="AL24" i="3"/>
  <c r="AJ24" i="3"/>
  <c r="AF24" i="3"/>
  <c r="AE24" i="3"/>
  <c r="AD24" i="3"/>
  <c r="AB24" i="3"/>
  <c r="U24" i="3"/>
  <c r="AZ24" i="3" s="1"/>
  <c r="P24" i="3"/>
  <c r="Q24" i="3" s="1"/>
  <c r="O24" i="3"/>
  <c r="N24" i="3"/>
  <c r="R24" i="3" s="1"/>
  <c r="W24" i="3" s="1"/>
  <c r="BB24" i="3" s="1"/>
  <c r="M24" i="3"/>
  <c r="T24" i="3" s="1"/>
  <c r="J24" i="3"/>
  <c r="K24" i="3" s="1"/>
  <c r="I24" i="3"/>
  <c r="G24" i="3"/>
  <c r="BM23" i="3"/>
  <c r="BK23" i="3"/>
  <c r="BC23" i="3"/>
  <c r="AY23" i="3"/>
  <c r="AW23" i="3"/>
  <c r="AW36" i="3" s="1"/>
  <c r="AT23" i="3"/>
  <c r="AR23" i="3"/>
  <c r="AN23" i="3"/>
  <c r="AM23" i="3"/>
  <c r="AL23" i="3"/>
  <c r="AJ23" i="3"/>
  <c r="AE23" i="3"/>
  <c r="AF23" i="3" s="1"/>
  <c r="AD23" i="3"/>
  <c r="AB23" i="3"/>
  <c r="W23" i="3"/>
  <c r="BB23" i="3" s="1"/>
  <c r="V23" i="3"/>
  <c r="BA23" i="3" s="1"/>
  <c r="T23" i="3"/>
  <c r="P23" i="3"/>
  <c r="Q23" i="3" s="1"/>
  <c r="O23" i="3"/>
  <c r="N23" i="3"/>
  <c r="R23" i="3" s="1"/>
  <c r="M23" i="3"/>
  <c r="S23" i="3" s="1"/>
  <c r="J23" i="3"/>
  <c r="K23" i="3" s="1"/>
  <c r="I23" i="3"/>
  <c r="G23" i="3"/>
  <c r="BK22" i="3"/>
  <c r="BM22" i="3" s="1"/>
  <c r="BC22" i="3"/>
  <c r="AW22" i="3"/>
  <c r="AX22" i="3" s="1"/>
  <c r="AT22" i="3"/>
  <c r="AR22" i="3"/>
  <c r="AN22" i="3"/>
  <c r="AM22" i="3"/>
  <c r="AL22" i="3"/>
  <c r="AJ22" i="3"/>
  <c r="AE22" i="3"/>
  <c r="AF22" i="3" s="1"/>
  <c r="AD22" i="3"/>
  <c r="AB22" i="3"/>
  <c r="V22" i="3"/>
  <c r="BA22" i="3" s="1"/>
  <c r="P22" i="3"/>
  <c r="N22" i="3"/>
  <c r="U22" i="3" s="1"/>
  <c r="AZ22" i="3" s="1"/>
  <c r="M22" i="3"/>
  <c r="J22" i="3"/>
  <c r="K22" i="3" s="1"/>
  <c r="I22" i="3"/>
  <c r="G22" i="3"/>
  <c r="BM21" i="3"/>
  <c r="BK21" i="3"/>
  <c r="BC21" i="3"/>
  <c r="AW21" i="3"/>
  <c r="AX21" i="3" s="1"/>
  <c r="AT21" i="3"/>
  <c r="AR21" i="3"/>
  <c r="AM21" i="3"/>
  <c r="AN21" i="3" s="1"/>
  <c r="AL21" i="3"/>
  <c r="AJ21" i="3"/>
  <c r="AE21" i="3"/>
  <c r="AF21" i="3" s="1"/>
  <c r="AD21" i="3"/>
  <c r="AB21" i="3"/>
  <c r="V21" i="3"/>
  <c r="BA21" i="3" s="1"/>
  <c r="U21" i="3"/>
  <c r="AZ21" i="3" s="1"/>
  <c r="R21" i="3"/>
  <c r="P21" i="3"/>
  <c r="N21" i="3"/>
  <c r="M21" i="3"/>
  <c r="Q21" i="3" s="1"/>
  <c r="K21" i="3"/>
  <c r="J21" i="3"/>
  <c r="I21" i="3"/>
  <c r="G21" i="3"/>
  <c r="BK20" i="3"/>
  <c r="BM20" i="3" s="1"/>
  <c r="BC20" i="3"/>
  <c r="AY20" i="3"/>
  <c r="AX20" i="3"/>
  <c r="AW20" i="3"/>
  <c r="AT20" i="3"/>
  <c r="AR20" i="3"/>
  <c r="AN20" i="3"/>
  <c r="AM20" i="3"/>
  <c r="AL20" i="3"/>
  <c r="AJ20" i="3"/>
  <c r="AE20" i="3"/>
  <c r="AF20" i="3" s="1"/>
  <c r="AD20" i="3"/>
  <c r="AB20" i="3"/>
  <c r="W20" i="3"/>
  <c r="BB20" i="3" s="1"/>
  <c r="V20" i="3"/>
  <c r="BA20" i="3" s="1"/>
  <c r="U20" i="3"/>
  <c r="AZ20" i="3" s="1"/>
  <c r="T20" i="3"/>
  <c r="R20" i="3"/>
  <c r="S20" i="3" s="1"/>
  <c r="Q20" i="3"/>
  <c r="P20" i="3"/>
  <c r="N20" i="3"/>
  <c r="M20" i="3"/>
  <c r="O20" i="3" s="1"/>
  <c r="J20" i="3"/>
  <c r="K20" i="3" s="1"/>
  <c r="I20" i="3"/>
  <c r="G20" i="3"/>
  <c r="BM19" i="3"/>
  <c r="BK19" i="3"/>
  <c r="BC19" i="3"/>
  <c r="AY19" i="3"/>
  <c r="AX19" i="3"/>
  <c r="AW19" i="3"/>
  <c r="AT19" i="3"/>
  <c r="AR19" i="3"/>
  <c r="AN19" i="3"/>
  <c r="AM19" i="3"/>
  <c r="AL19" i="3"/>
  <c r="AJ19" i="3"/>
  <c r="AE19" i="3"/>
  <c r="AF19" i="3" s="1"/>
  <c r="AB19" i="3"/>
  <c r="U19" i="3"/>
  <c r="AZ19" i="3" s="1"/>
  <c r="P19" i="3"/>
  <c r="V19" i="3" s="1"/>
  <c r="BA19" i="3" s="1"/>
  <c r="O19" i="3"/>
  <c r="N19" i="3"/>
  <c r="M19" i="3"/>
  <c r="T19" i="3" s="1"/>
  <c r="J19" i="3"/>
  <c r="K19" i="3" s="1"/>
  <c r="I19" i="3"/>
  <c r="G19" i="3"/>
  <c r="BK18" i="3"/>
  <c r="BM18" i="3" s="1"/>
  <c r="BC18" i="3"/>
  <c r="AW18" i="3"/>
  <c r="AX18" i="3" s="1"/>
  <c r="AT18" i="3"/>
  <c r="AR18" i="3"/>
  <c r="AN18" i="3"/>
  <c r="AM18" i="3"/>
  <c r="AL18" i="3"/>
  <c r="AJ18" i="3"/>
  <c r="AE18" i="3"/>
  <c r="AF18" i="3" s="1"/>
  <c r="AD18" i="3"/>
  <c r="AB18" i="3"/>
  <c r="T18" i="3"/>
  <c r="P18" i="3"/>
  <c r="V18" i="3" s="1"/>
  <c r="BA18" i="3" s="1"/>
  <c r="N18" i="3"/>
  <c r="R18" i="3" s="1"/>
  <c r="M18" i="3"/>
  <c r="AY18" i="3" s="1"/>
  <c r="K18" i="3"/>
  <c r="J18" i="3"/>
  <c r="I18" i="3"/>
  <c r="G18" i="3"/>
  <c r="BK17" i="3"/>
  <c r="BM17" i="3" s="1"/>
  <c r="BC17" i="3"/>
  <c r="BA17" i="3"/>
  <c r="AX17" i="3"/>
  <c r="AW17" i="3"/>
  <c r="AT17" i="3"/>
  <c r="AR17" i="3"/>
  <c r="AN17" i="3"/>
  <c r="AM17" i="3"/>
  <c r="AL17" i="3"/>
  <c r="AJ17" i="3"/>
  <c r="AE17" i="3"/>
  <c r="AF17" i="3" s="1"/>
  <c r="AD17" i="3"/>
  <c r="AB17" i="3"/>
  <c r="T17" i="3"/>
  <c r="P17" i="3"/>
  <c r="V17" i="3" s="1"/>
  <c r="O17" i="3"/>
  <c r="N17" i="3"/>
  <c r="M17" i="3"/>
  <c r="AY17" i="3" s="1"/>
  <c r="J17" i="3"/>
  <c r="K17" i="3" s="1"/>
  <c r="I17" i="3"/>
  <c r="G17" i="3"/>
  <c r="BM16" i="3"/>
  <c r="BK16" i="3"/>
  <c r="BC16" i="3"/>
  <c r="AX16" i="3"/>
  <c r="AW16" i="3"/>
  <c r="AT16" i="3"/>
  <c r="AR16" i="3"/>
  <c r="AN16" i="3"/>
  <c r="AM16" i="3"/>
  <c r="AL16" i="3"/>
  <c r="AJ16" i="3"/>
  <c r="AE16" i="3"/>
  <c r="AF16" i="3" s="1"/>
  <c r="AD16" i="3"/>
  <c r="AB16" i="3"/>
  <c r="P16" i="3"/>
  <c r="N16" i="3"/>
  <c r="U16" i="3" s="1"/>
  <c r="AZ16" i="3" s="1"/>
  <c r="M16" i="3"/>
  <c r="T16" i="3" s="1"/>
  <c r="K16" i="3"/>
  <c r="J16" i="3"/>
  <c r="I16" i="3"/>
  <c r="G16" i="3"/>
  <c r="BM15" i="3"/>
  <c r="BK15" i="3"/>
  <c r="BC15" i="3"/>
  <c r="BA15" i="3"/>
  <c r="AZ15" i="3"/>
  <c r="AY15" i="3"/>
  <c r="AX15" i="3"/>
  <c r="AW15" i="3"/>
  <c r="AT15" i="3"/>
  <c r="AR15" i="3"/>
  <c r="AM15" i="3"/>
  <c r="AN15" i="3" s="1"/>
  <c r="AL15" i="3"/>
  <c r="AJ15" i="3"/>
  <c r="AE15" i="3"/>
  <c r="AF15" i="3" s="1"/>
  <c r="AD15" i="3"/>
  <c r="AB15" i="3"/>
  <c r="R15" i="3"/>
  <c r="W15" i="3" s="1"/>
  <c r="BB15" i="3" s="1"/>
  <c r="Q15" i="3"/>
  <c r="P15" i="3"/>
  <c r="V15" i="3" s="1"/>
  <c r="N15" i="3"/>
  <c r="U15" i="3" s="1"/>
  <c r="M15" i="3"/>
  <c r="J15" i="3"/>
  <c r="K15" i="3" s="1"/>
  <c r="I15" i="3"/>
  <c r="G15" i="3"/>
  <c r="BK14" i="3"/>
  <c r="BM14" i="3" s="1"/>
  <c r="BC14" i="3"/>
  <c r="AX14" i="3"/>
  <c r="AW14" i="3"/>
  <c r="AT14" i="3"/>
  <c r="AR14" i="3"/>
  <c r="AM14" i="3"/>
  <c r="AN14" i="3" s="1"/>
  <c r="AL14" i="3"/>
  <c r="AJ14" i="3"/>
  <c r="AE14" i="3"/>
  <c r="AF14" i="3" s="1"/>
  <c r="AD14" i="3"/>
  <c r="AB14" i="3"/>
  <c r="P14" i="3"/>
  <c r="V14" i="3" s="1"/>
  <c r="BA14" i="3" s="1"/>
  <c r="N14" i="3"/>
  <c r="M14" i="3"/>
  <c r="J14" i="3"/>
  <c r="K14" i="3" s="1"/>
  <c r="I14" i="3"/>
  <c r="G14" i="3"/>
  <c r="BK13" i="3"/>
  <c r="BM13" i="3" s="1"/>
  <c r="BC13" i="3"/>
  <c r="AX13" i="3"/>
  <c r="AW13" i="3"/>
  <c r="AT13" i="3"/>
  <c r="AR13" i="3"/>
  <c r="AN13" i="3"/>
  <c r="AM13" i="3"/>
  <c r="AL13" i="3"/>
  <c r="AJ13" i="3"/>
  <c r="AF13" i="3"/>
  <c r="AE13" i="3"/>
  <c r="AD13" i="3"/>
  <c r="AB13" i="3"/>
  <c r="V13" i="3"/>
  <c r="BA13" i="3" s="1"/>
  <c r="U13" i="3"/>
  <c r="AZ13" i="3" s="1"/>
  <c r="P13" i="3"/>
  <c r="N13" i="3"/>
  <c r="R13" i="3" s="1"/>
  <c r="M13" i="3"/>
  <c r="J13" i="3"/>
  <c r="W13" i="3" s="1"/>
  <c r="BB13" i="3" s="1"/>
  <c r="I13" i="3"/>
  <c r="G13" i="3"/>
  <c r="BM12" i="3"/>
  <c r="BK12" i="3"/>
  <c r="BC12" i="3"/>
  <c r="AY12" i="3"/>
  <c r="AW12" i="3"/>
  <c r="AX12" i="3" s="1"/>
  <c r="AT12" i="3"/>
  <c r="AR12" i="3"/>
  <c r="AN12" i="3"/>
  <c r="AM12" i="3"/>
  <c r="AL12" i="3"/>
  <c r="AJ12" i="3"/>
  <c r="AF12" i="3"/>
  <c r="AE12" i="3"/>
  <c r="AD12" i="3"/>
  <c r="AB12" i="3"/>
  <c r="W12" i="3"/>
  <c r="BB12" i="3" s="1"/>
  <c r="V12" i="3"/>
  <c r="BA12" i="3" s="1"/>
  <c r="U12" i="3"/>
  <c r="AZ12" i="3" s="1"/>
  <c r="T12" i="3"/>
  <c r="P12" i="3"/>
  <c r="Q12" i="3" s="1"/>
  <c r="N12" i="3"/>
  <c r="R12" i="3" s="1"/>
  <c r="M12" i="3"/>
  <c r="S12" i="3" s="1"/>
  <c r="K12" i="3"/>
  <c r="J12" i="3"/>
  <c r="I12" i="3"/>
  <c r="G12" i="3"/>
  <c r="BK11" i="3"/>
  <c r="BM11" i="3" s="1"/>
  <c r="BC11" i="3"/>
  <c r="BA11" i="3"/>
  <c r="AW11" i="3"/>
  <c r="AX11" i="3" s="1"/>
  <c r="AT11" i="3"/>
  <c r="AR11" i="3"/>
  <c r="AN11" i="3"/>
  <c r="AM11" i="3"/>
  <c r="AL11" i="3"/>
  <c r="AJ11" i="3"/>
  <c r="AE11" i="3"/>
  <c r="AF11" i="3" s="1"/>
  <c r="AD11" i="3"/>
  <c r="AB11" i="3"/>
  <c r="V11" i="3"/>
  <c r="P11" i="3"/>
  <c r="N11" i="3"/>
  <c r="M11" i="3"/>
  <c r="J11" i="3"/>
  <c r="K11" i="3" s="1"/>
  <c r="I11" i="3"/>
  <c r="G11" i="3"/>
  <c r="BM10" i="3"/>
  <c r="BK10" i="3"/>
  <c r="BC10" i="3"/>
  <c r="AW10" i="3"/>
  <c r="AX10" i="3" s="1"/>
  <c r="AT10" i="3"/>
  <c r="AR10" i="3"/>
  <c r="AN10" i="3"/>
  <c r="AM10" i="3"/>
  <c r="AL10" i="3"/>
  <c r="AJ10" i="3"/>
  <c r="AE10" i="3"/>
  <c r="AF10" i="3" s="1"/>
  <c r="AD10" i="3"/>
  <c r="AB10" i="3"/>
  <c r="V10" i="3"/>
  <c r="BA10" i="3" s="1"/>
  <c r="U10" i="3"/>
  <c r="AZ10" i="3" s="1"/>
  <c r="R10" i="3"/>
  <c r="P10" i="3"/>
  <c r="N10" i="3"/>
  <c r="M10" i="3"/>
  <c r="AY10" i="3" s="1"/>
  <c r="K10" i="3"/>
  <c r="J10" i="3"/>
  <c r="W10" i="3" s="1"/>
  <c r="BB10" i="3" s="1"/>
  <c r="I10" i="3"/>
  <c r="G10" i="3"/>
  <c r="BM9" i="3"/>
  <c r="BK9" i="3"/>
  <c r="BC9" i="3"/>
  <c r="AY9" i="3"/>
  <c r="AX9" i="3"/>
  <c r="AW9" i="3"/>
  <c r="AT9" i="3"/>
  <c r="AR9" i="3"/>
  <c r="AN9" i="3"/>
  <c r="AM9" i="3"/>
  <c r="AL9" i="3"/>
  <c r="AJ9" i="3"/>
  <c r="AF9" i="3"/>
  <c r="AE9" i="3"/>
  <c r="AD9" i="3"/>
  <c r="AB9" i="3"/>
  <c r="U9" i="3"/>
  <c r="AZ9" i="3" s="1"/>
  <c r="T9" i="3"/>
  <c r="R9" i="3"/>
  <c r="W9" i="3" s="1"/>
  <c r="BB9" i="3" s="1"/>
  <c r="Q9" i="3"/>
  <c r="P9" i="3"/>
  <c r="V9" i="3" s="1"/>
  <c r="BA9" i="3" s="1"/>
  <c r="N9" i="3"/>
  <c r="M9" i="3"/>
  <c r="O9" i="3" s="1"/>
  <c r="J9" i="3"/>
  <c r="K9" i="3" s="1"/>
  <c r="I9" i="3"/>
  <c r="G9" i="3"/>
  <c r="BK8" i="3"/>
  <c r="BM8" i="3" s="1"/>
  <c r="BC8" i="3"/>
  <c r="AY8" i="3"/>
  <c r="AW8" i="3"/>
  <c r="AX8" i="3" s="1"/>
  <c r="AT8" i="3"/>
  <c r="AR8" i="3"/>
  <c r="AN8" i="3"/>
  <c r="AM8" i="3"/>
  <c r="AL8" i="3"/>
  <c r="AJ8" i="3"/>
  <c r="AE8" i="3"/>
  <c r="AF8" i="3" s="1"/>
  <c r="AD8" i="3"/>
  <c r="AB8" i="3"/>
  <c r="T8" i="3"/>
  <c r="P8" i="3"/>
  <c r="V8" i="3" s="1"/>
  <c r="BA8" i="3" s="1"/>
  <c r="N8" i="3"/>
  <c r="O8" i="3" s="1"/>
  <c r="M8" i="3"/>
  <c r="J8" i="3"/>
  <c r="K8" i="3" s="1"/>
  <c r="I8" i="3"/>
  <c r="G8" i="3"/>
  <c r="BK7" i="3"/>
  <c r="BM7" i="3" s="1"/>
  <c r="BC7" i="3"/>
  <c r="AW7" i="3"/>
  <c r="AX7" i="3" s="1"/>
  <c r="AT7" i="3"/>
  <c r="AR7" i="3"/>
  <c r="AN7" i="3"/>
  <c r="AM7" i="3"/>
  <c r="AL7" i="3"/>
  <c r="AJ7" i="3"/>
  <c r="AF7" i="3"/>
  <c r="AE7" i="3"/>
  <c r="AD7" i="3"/>
  <c r="AB7" i="3"/>
  <c r="U7" i="3"/>
  <c r="AZ7" i="3" s="1"/>
  <c r="T7" i="3"/>
  <c r="P7" i="3"/>
  <c r="V7" i="3" s="1"/>
  <c r="BA7" i="3" s="1"/>
  <c r="O7" i="3"/>
  <c r="N7" i="3"/>
  <c r="M7" i="3"/>
  <c r="AY7" i="3" s="1"/>
  <c r="J7" i="3"/>
  <c r="K7" i="3" s="1"/>
  <c r="I7" i="3"/>
  <c r="G7" i="3"/>
  <c r="BK6" i="3"/>
  <c r="BM6" i="3" s="1"/>
  <c r="BC6" i="3"/>
  <c r="AW6" i="3"/>
  <c r="AX6" i="3" s="1"/>
  <c r="AT6" i="3"/>
  <c r="AR6" i="3"/>
  <c r="AN6" i="3"/>
  <c r="AM6" i="3"/>
  <c r="AL6" i="3"/>
  <c r="AJ6" i="3"/>
  <c r="AE6" i="3"/>
  <c r="AF6" i="3" s="1"/>
  <c r="AD6" i="3"/>
  <c r="AB6" i="3"/>
  <c r="U6" i="3"/>
  <c r="AZ6" i="3" s="1"/>
  <c r="T6" i="3"/>
  <c r="O6" i="3"/>
  <c r="N6" i="3"/>
  <c r="M6" i="3"/>
  <c r="AY6" i="3" s="1"/>
  <c r="H6" i="3"/>
  <c r="J6" i="3" s="1"/>
  <c r="G6" i="3"/>
  <c r="BK5" i="3"/>
  <c r="BC5" i="3"/>
  <c r="BC36" i="3" s="1"/>
  <c r="BC37" i="3" s="1"/>
  <c r="BD45" i="3" s="1"/>
  <c r="AW5" i="3"/>
  <c r="AX5" i="3" s="1"/>
  <c r="AT5" i="3"/>
  <c r="AR5" i="3"/>
  <c r="AN5" i="3"/>
  <c r="AM5" i="3"/>
  <c r="AL5" i="3"/>
  <c r="AJ5" i="3"/>
  <c r="AE5" i="3"/>
  <c r="AF5" i="3" s="1"/>
  <c r="AD5" i="3"/>
  <c r="AB5" i="3"/>
  <c r="T5" i="3"/>
  <c r="P5" i="3"/>
  <c r="Q5" i="3" s="1"/>
  <c r="N5" i="3"/>
  <c r="M5" i="3"/>
  <c r="AY5" i="3" s="1"/>
  <c r="K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K70" i="2"/>
  <c r="BJ70" i="2"/>
  <c r="BI70" i="2"/>
  <c r="BK69" i="2"/>
  <c r="BJ69" i="2"/>
  <c r="BI69" i="2"/>
  <c r="BJ68" i="2"/>
  <c r="BI68" i="2"/>
  <c r="BK68" i="2" s="1"/>
  <c r="BJ67" i="2"/>
  <c r="BI67" i="2"/>
  <c r="BK67" i="2" s="1"/>
  <c r="BJ66" i="2"/>
  <c r="BI66" i="2"/>
  <c r="BK66" i="2" s="1"/>
  <c r="BJ65" i="2"/>
  <c r="BI65" i="2"/>
  <c r="BK65" i="2" s="1"/>
  <c r="BJ64" i="2"/>
  <c r="BI64" i="2"/>
  <c r="BK64" i="2" s="1"/>
  <c r="BJ63" i="2"/>
  <c r="BI63" i="2"/>
  <c r="BK63" i="2" s="1"/>
  <c r="BJ62" i="2"/>
  <c r="BI62" i="2"/>
  <c r="BK62" i="2" s="1"/>
  <c r="BJ61" i="2"/>
  <c r="BI61" i="2"/>
  <c r="BK61" i="2" s="1"/>
  <c r="BJ60" i="2"/>
  <c r="BI60" i="2"/>
  <c r="BK60" i="2" s="1"/>
  <c r="BJ59" i="2"/>
  <c r="BI59" i="2"/>
  <c r="BK59" i="2" s="1"/>
  <c r="BJ58" i="2"/>
  <c r="BI58" i="2"/>
  <c r="BK58" i="2" s="1"/>
  <c r="BJ57" i="2"/>
  <c r="BI57" i="2"/>
  <c r="BK57" i="2" s="1"/>
  <c r="BJ56" i="2"/>
  <c r="BI56" i="2"/>
  <c r="BK56" i="2" s="1"/>
  <c r="Y56" i="2"/>
  <c r="X56" i="2"/>
  <c r="BJ55" i="2"/>
  <c r="BI55" i="2"/>
  <c r="BK55" i="2" s="1"/>
  <c r="X55" i="2"/>
  <c r="BJ54" i="2"/>
  <c r="BK54" i="2" s="1"/>
  <c r="BI54" i="2"/>
  <c r="Y54" i="2"/>
  <c r="X54" i="2" s="1"/>
  <c r="BJ53" i="2"/>
  <c r="BI53" i="2"/>
  <c r="BK53" i="2" s="1"/>
  <c r="X53" i="2"/>
  <c r="BJ52" i="2"/>
  <c r="BK52" i="2" s="1"/>
  <c r="BI52" i="2"/>
  <c r="Y52" i="2"/>
  <c r="X52" i="2"/>
  <c r="BJ51" i="2"/>
  <c r="BI51" i="2"/>
  <c r="BK51" i="2" s="1"/>
  <c r="BJ50" i="2"/>
  <c r="BI50" i="2"/>
  <c r="BK50" i="2" s="1"/>
  <c r="AS50" i="2"/>
  <c r="AQ50" i="2"/>
  <c r="AW49" i="2"/>
  <c r="AQ49" i="2"/>
  <c r="AE49" i="2"/>
  <c r="S48" i="2"/>
  <c r="Q48" i="2"/>
  <c r="K48" i="2"/>
  <c r="I48" i="2"/>
  <c r="AF46" i="2"/>
  <c r="AN46" i="2" s="1"/>
  <c r="AX46" i="2" s="1"/>
  <c r="K46" i="2"/>
  <c r="S46" i="2" s="1"/>
  <c r="X46" i="2" s="1"/>
  <c r="BH45" i="2"/>
  <c r="W45" i="2"/>
  <c r="BH44" i="2"/>
  <c r="BB44" i="2"/>
  <c r="BF43" i="2"/>
  <c r="BH43" i="2" s="1"/>
  <c r="V41" i="2"/>
  <c r="AQ38" i="2"/>
  <c r="AI38" i="2"/>
  <c r="AA38" i="2"/>
  <c r="U38" i="2"/>
  <c r="O38" i="2"/>
  <c r="AI37" i="2"/>
  <c r="AJ37" i="2" s="1"/>
  <c r="BJ36" i="2"/>
  <c r="BI36" i="2"/>
  <c r="BH36" i="2"/>
  <c r="BG36" i="2"/>
  <c r="BF36" i="2"/>
  <c r="BE36" i="2"/>
  <c r="BD36" i="2"/>
  <c r="AV36" i="2"/>
  <c r="AV37" i="2" s="1"/>
  <c r="AU36" i="2"/>
  <c r="AU37" i="2" s="1"/>
  <c r="AS36" i="2"/>
  <c r="AS37" i="2" s="1"/>
  <c r="BF42" i="2" s="1"/>
  <c r="BF46" i="2" s="1"/>
  <c r="AQ36" i="2"/>
  <c r="AQ37" i="2" s="1"/>
  <c r="AR37" i="2" s="1"/>
  <c r="AP36" i="2"/>
  <c r="AO36" i="2"/>
  <c r="AK36" i="2"/>
  <c r="AK37" i="2" s="1"/>
  <c r="AL37" i="2" s="1"/>
  <c r="AI36" i="2"/>
  <c r="AH36" i="2"/>
  <c r="AG36" i="2"/>
  <c r="AC36" i="2"/>
  <c r="AC37" i="2" s="1"/>
  <c r="AD37" i="2" s="1"/>
  <c r="AA36" i="2"/>
  <c r="AA37" i="2" s="1"/>
  <c r="Z36" i="2"/>
  <c r="Y36" i="2"/>
  <c r="X36" i="2"/>
  <c r="L36" i="2"/>
  <c r="E36" i="2"/>
  <c r="F38" i="2" s="1"/>
  <c r="D36" i="2"/>
  <c r="C36" i="2"/>
  <c r="BK35" i="2"/>
  <c r="BM35" i="2" s="1"/>
  <c r="BC35" i="2"/>
  <c r="AY35" i="2"/>
  <c r="AX35" i="2"/>
  <c r="AW35" i="2"/>
  <c r="AT35" i="2"/>
  <c r="AR35" i="2"/>
  <c r="AN35" i="2"/>
  <c r="AM35" i="2"/>
  <c r="AL35" i="2"/>
  <c r="AJ35" i="2"/>
  <c r="AF35" i="2"/>
  <c r="AE35" i="2"/>
  <c r="AD35" i="2"/>
  <c r="AB35" i="2"/>
  <c r="P35" i="2"/>
  <c r="V35" i="2" s="1"/>
  <c r="BA35" i="2" s="1"/>
  <c r="N35" i="2"/>
  <c r="U35" i="2" s="1"/>
  <c r="AZ35" i="2" s="1"/>
  <c r="M35" i="2"/>
  <c r="T35" i="2" s="1"/>
  <c r="J35" i="2"/>
  <c r="K35" i="2" s="1"/>
  <c r="I35" i="2"/>
  <c r="G35" i="2"/>
  <c r="BK34" i="2"/>
  <c r="BM34" i="2" s="1"/>
  <c r="BC34" i="2"/>
  <c r="AW34" i="2"/>
  <c r="AX34" i="2" s="1"/>
  <c r="AT34" i="2"/>
  <c r="AR34" i="2"/>
  <c r="AN34" i="2"/>
  <c r="AM34" i="2"/>
  <c r="AL34" i="2"/>
  <c r="AJ34" i="2"/>
  <c r="AE34" i="2"/>
  <c r="AF34" i="2" s="1"/>
  <c r="AD34" i="2"/>
  <c r="AB34" i="2"/>
  <c r="V34" i="2"/>
  <c r="BA34" i="2" s="1"/>
  <c r="Q34" i="2"/>
  <c r="P34" i="2"/>
  <c r="N34" i="2"/>
  <c r="M34" i="2"/>
  <c r="J34" i="2"/>
  <c r="K34" i="2" s="1"/>
  <c r="I34" i="2"/>
  <c r="G34" i="2"/>
  <c r="BK33" i="2"/>
  <c r="BM33" i="2" s="1"/>
  <c r="BC33" i="2"/>
  <c r="AW33" i="2"/>
  <c r="AX33" i="2" s="1"/>
  <c r="AT33" i="2"/>
  <c r="AR33" i="2"/>
  <c r="AN33" i="2"/>
  <c r="AM33" i="2"/>
  <c r="AL33" i="2"/>
  <c r="AJ33" i="2"/>
  <c r="AE33" i="2"/>
  <c r="AF33" i="2" s="1"/>
  <c r="AD33" i="2"/>
  <c r="AB33" i="2"/>
  <c r="P33" i="2"/>
  <c r="N33" i="2"/>
  <c r="R33" i="2" s="1"/>
  <c r="M33" i="2"/>
  <c r="K33" i="2"/>
  <c r="J33" i="2"/>
  <c r="I33" i="2"/>
  <c r="G33" i="2"/>
  <c r="BK32" i="2"/>
  <c r="BC32" i="2"/>
  <c r="BA32" i="2"/>
  <c r="AW32" i="2"/>
  <c r="AX32" i="2" s="1"/>
  <c r="AT32" i="2"/>
  <c r="AR32" i="2"/>
  <c r="AN32" i="2"/>
  <c r="AM32" i="2"/>
  <c r="AL32" i="2"/>
  <c r="AJ32" i="2"/>
  <c r="AE32" i="2"/>
  <c r="AF32" i="2" s="1"/>
  <c r="AD32" i="2"/>
  <c r="AB32" i="2"/>
  <c r="V32" i="2"/>
  <c r="P32" i="2"/>
  <c r="N32" i="2"/>
  <c r="M32" i="2"/>
  <c r="J32" i="2"/>
  <c r="I32" i="2"/>
  <c r="G32" i="2"/>
  <c r="BM31" i="2"/>
  <c r="BK31" i="2"/>
  <c r="BC31" i="2"/>
  <c r="AX31" i="2"/>
  <c r="AW31" i="2"/>
  <c r="AT31" i="2"/>
  <c r="AR31" i="2"/>
  <c r="AN31" i="2"/>
  <c r="AM31" i="2"/>
  <c r="AL31" i="2"/>
  <c r="AJ31" i="2"/>
  <c r="AE31" i="2"/>
  <c r="AF31" i="2" s="1"/>
  <c r="AD31" i="2"/>
  <c r="AB31" i="2"/>
  <c r="V31" i="2"/>
  <c r="BA31" i="2" s="1"/>
  <c r="U31" i="2"/>
  <c r="AZ31" i="2" s="1"/>
  <c r="R31" i="2"/>
  <c r="P31" i="2"/>
  <c r="N31" i="2"/>
  <c r="M31" i="2"/>
  <c r="AY31" i="2" s="1"/>
  <c r="J31" i="2"/>
  <c r="K31" i="2" s="1"/>
  <c r="I31" i="2"/>
  <c r="G31" i="2"/>
  <c r="BK30" i="2"/>
  <c r="BM30" i="2" s="1"/>
  <c r="BC30" i="2"/>
  <c r="AY30" i="2"/>
  <c r="AW30" i="2"/>
  <c r="AX30" i="2" s="1"/>
  <c r="AT30" i="2"/>
  <c r="AR30" i="2"/>
  <c r="AN30" i="2"/>
  <c r="AM30" i="2"/>
  <c r="AL30" i="2"/>
  <c r="AJ30" i="2"/>
  <c r="AF30" i="2"/>
  <c r="AE30" i="2"/>
  <c r="AD30" i="2"/>
  <c r="AB30" i="2"/>
  <c r="V30" i="2"/>
  <c r="BA30" i="2" s="1"/>
  <c r="U30" i="2"/>
  <c r="AZ30" i="2" s="1"/>
  <c r="T30" i="2"/>
  <c r="R30" i="2"/>
  <c r="Q30" i="2"/>
  <c r="P30" i="2"/>
  <c r="N30" i="2"/>
  <c r="M30" i="2"/>
  <c r="O30" i="2" s="1"/>
  <c r="J30" i="2"/>
  <c r="K30" i="2" s="1"/>
  <c r="I30" i="2"/>
  <c r="G30" i="2"/>
  <c r="BK29" i="2"/>
  <c r="BM29" i="2" s="1"/>
  <c r="BC29" i="2"/>
  <c r="AY29" i="2"/>
  <c r="AW29" i="2"/>
  <c r="AX29" i="2" s="1"/>
  <c r="AT29" i="2"/>
  <c r="AR29" i="2"/>
  <c r="AN29" i="2"/>
  <c r="AM29" i="2"/>
  <c r="AL29" i="2"/>
  <c r="AJ29" i="2"/>
  <c r="AF29" i="2"/>
  <c r="AE29" i="2"/>
  <c r="AD29" i="2"/>
  <c r="AB29" i="2"/>
  <c r="V29" i="2"/>
  <c r="BA29" i="2" s="1"/>
  <c r="U29" i="2"/>
  <c r="AZ29" i="2" s="1"/>
  <c r="T29" i="2"/>
  <c r="P29" i="2"/>
  <c r="O29" i="2"/>
  <c r="N29" i="2"/>
  <c r="M29" i="2"/>
  <c r="J29" i="2"/>
  <c r="K29" i="2" s="1"/>
  <c r="I29" i="2"/>
  <c r="G29" i="2"/>
  <c r="BM28" i="2"/>
  <c r="BK28" i="2"/>
  <c r="BC28" i="2"/>
  <c r="AY28" i="2"/>
  <c r="AW28" i="2"/>
  <c r="AX28" i="2" s="1"/>
  <c r="AT28" i="2"/>
  <c r="AR28" i="2"/>
  <c r="AN28" i="2"/>
  <c r="AM28" i="2"/>
  <c r="AL28" i="2"/>
  <c r="AJ28" i="2"/>
  <c r="AF28" i="2"/>
  <c r="AE28" i="2"/>
  <c r="AD28" i="2"/>
  <c r="AB28" i="2"/>
  <c r="T28" i="2"/>
  <c r="M28" i="2"/>
  <c r="H28" i="2"/>
  <c r="F28" i="2"/>
  <c r="BK27" i="2"/>
  <c r="BM27" i="2" s="1"/>
  <c r="BC27" i="2"/>
  <c r="AY27" i="2"/>
  <c r="AX27" i="2"/>
  <c r="AW27" i="2"/>
  <c r="AT27" i="2"/>
  <c r="AR27" i="2"/>
  <c r="AN27" i="2"/>
  <c r="AM27" i="2"/>
  <c r="AL27" i="2"/>
  <c r="AJ27" i="2"/>
  <c r="AF27" i="2"/>
  <c r="AE27" i="2"/>
  <c r="AD27" i="2"/>
  <c r="AB27" i="2"/>
  <c r="U27" i="2"/>
  <c r="AZ27" i="2" s="1"/>
  <c r="T27" i="2"/>
  <c r="P27" i="2"/>
  <c r="V27" i="2" s="1"/>
  <c r="BA27" i="2" s="1"/>
  <c r="N27" i="2"/>
  <c r="M27" i="2"/>
  <c r="O27" i="2" s="1"/>
  <c r="J27" i="2"/>
  <c r="K27" i="2" s="1"/>
  <c r="I27" i="2"/>
  <c r="G27" i="2"/>
  <c r="BM26" i="2"/>
  <c r="BK26" i="2"/>
  <c r="BC26" i="2"/>
  <c r="AY26" i="2"/>
  <c r="AW26" i="2"/>
  <c r="AX26" i="2" s="1"/>
  <c r="AT26" i="2"/>
  <c r="AR26" i="2"/>
  <c r="AN26" i="2"/>
  <c r="AM26" i="2"/>
  <c r="AL26" i="2"/>
  <c r="AJ26" i="2"/>
  <c r="AF26" i="2"/>
  <c r="AE26" i="2"/>
  <c r="AD26" i="2"/>
  <c r="AB26" i="2"/>
  <c r="V26" i="2"/>
  <c r="BA26" i="2" s="1"/>
  <c r="U26" i="2"/>
  <c r="AZ26" i="2" s="1"/>
  <c r="T26" i="2"/>
  <c r="R26" i="2"/>
  <c r="S26" i="2" s="1"/>
  <c r="P26" i="2"/>
  <c r="Q26" i="2" s="1"/>
  <c r="O26" i="2"/>
  <c r="N26" i="2"/>
  <c r="M26" i="2"/>
  <c r="J26" i="2"/>
  <c r="K26" i="2" s="1"/>
  <c r="I26" i="2"/>
  <c r="G26" i="2"/>
  <c r="BM25" i="2"/>
  <c r="BK25" i="2"/>
  <c r="BC25" i="2"/>
  <c r="BA25" i="2"/>
  <c r="AW25" i="2"/>
  <c r="AX25" i="2" s="1"/>
  <c r="AT25" i="2"/>
  <c r="AR25" i="2"/>
  <c r="AN25" i="2"/>
  <c r="AM25" i="2"/>
  <c r="AL25" i="2"/>
  <c r="AJ25" i="2"/>
  <c r="AE25" i="2"/>
  <c r="AF25" i="2" s="1"/>
  <c r="AD25" i="2"/>
  <c r="AB25" i="2"/>
  <c r="V25" i="2"/>
  <c r="T25" i="2"/>
  <c r="Q25" i="2"/>
  <c r="P25" i="2"/>
  <c r="N25" i="2"/>
  <c r="O25" i="2" s="1"/>
  <c r="M25" i="2"/>
  <c r="AY25" i="2" s="1"/>
  <c r="J25" i="2"/>
  <c r="K25" i="2" s="1"/>
  <c r="I25" i="2"/>
  <c r="G25" i="2"/>
  <c r="BK24" i="2"/>
  <c r="BM24" i="2" s="1"/>
  <c r="BC24" i="2"/>
  <c r="AW24" i="2"/>
  <c r="AX24" i="2" s="1"/>
  <c r="AT24" i="2"/>
  <c r="AR24" i="2"/>
  <c r="AM24" i="2"/>
  <c r="AN24" i="2" s="1"/>
  <c r="AL24" i="2"/>
  <c r="AJ24" i="2"/>
  <c r="AE24" i="2"/>
  <c r="AF24" i="2" s="1"/>
  <c r="AD24" i="2"/>
  <c r="AB24" i="2"/>
  <c r="P24" i="2"/>
  <c r="V24" i="2" s="1"/>
  <c r="BA24" i="2" s="1"/>
  <c r="N24" i="2"/>
  <c r="R24" i="2" s="1"/>
  <c r="M24" i="2"/>
  <c r="AY24" i="2" s="1"/>
  <c r="K24" i="2"/>
  <c r="J24" i="2"/>
  <c r="I24" i="2"/>
  <c r="G24" i="2"/>
  <c r="BK23" i="2"/>
  <c r="BM23" i="2" s="1"/>
  <c r="BC23" i="2"/>
  <c r="AZ23" i="2"/>
  <c r="AY23" i="2"/>
  <c r="AX23" i="2"/>
  <c r="AW23" i="2"/>
  <c r="AT23" i="2"/>
  <c r="AR23" i="2"/>
  <c r="AN23" i="2"/>
  <c r="AM23" i="2"/>
  <c r="AL23" i="2"/>
  <c r="AJ23" i="2"/>
  <c r="AF23" i="2"/>
  <c r="AE23" i="2"/>
  <c r="AD23" i="2"/>
  <c r="AB23" i="2"/>
  <c r="P23" i="2"/>
  <c r="V23" i="2" s="1"/>
  <c r="BA23" i="2" s="1"/>
  <c r="O23" i="2"/>
  <c r="N23" i="2"/>
  <c r="U23" i="2" s="1"/>
  <c r="M23" i="2"/>
  <c r="T23" i="2" s="1"/>
  <c r="K23" i="2"/>
  <c r="J23" i="2"/>
  <c r="I23" i="2"/>
  <c r="G23" i="2"/>
  <c r="BK22" i="2"/>
  <c r="BM22" i="2" s="1"/>
  <c r="BC22" i="2"/>
  <c r="AY22" i="2"/>
  <c r="AX22" i="2"/>
  <c r="AW22" i="2"/>
  <c r="AT22" i="2"/>
  <c r="AR22" i="2"/>
  <c r="AN22" i="2"/>
  <c r="AM22" i="2"/>
  <c r="AL22" i="2"/>
  <c r="AJ22" i="2"/>
  <c r="AE22" i="2"/>
  <c r="AF22" i="2" s="1"/>
  <c r="AD22" i="2"/>
  <c r="AB22" i="2"/>
  <c r="Q22" i="2"/>
  <c r="P22" i="2"/>
  <c r="V22" i="2" s="1"/>
  <c r="BA22" i="2" s="1"/>
  <c r="N22" i="2"/>
  <c r="U22" i="2" s="1"/>
  <c r="AZ22" i="2" s="1"/>
  <c r="M22" i="2"/>
  <c r="T22" i="2" s="1"/>
  <c r="K22" i="2"/>
  <c r="J22" i="2"/>
  <c r="I22" i="2"/>
  <c r="G22" i="2"/>
  <c r="BK21" i="2"/>
  <c r="BM21" i="2" s="1"/>
  <c r="BC21" i="2"/>
  <c r="AW21" i="2"/>
  <c r="AX21" i="2" s="1"/>
  <c r="AT21" i="2"/>
  <c r="AR21" i="2"/>
  <c r="AN21" i="2"/>
  <c r="AM21" i="2"/>
  <c r="AL21" i="2"/>
  <c r="AJ21" i="2"/>
  <c r="AF21" i="2"/>
  <c r="AE21" i="2"/>
  <c r="AD21" i="2"/>
  <c r="AB21" i="2"/>
  <c r="P21" i="2"/>
  <c r="V21" i="2" s="1"/>
  <c r="BA21" i="2" s="1"/>
  <c r="N21" i="2"/>
  <c r="M21" i="2"/>
  <c r="J21" i="2"/>
  <c r="K21" i="2" s="1"/>
  <c r="I21" i="2"/>
  <c r="G21" i="2"/>
  <c r="BK20" i="2"/>
  <c r="BM20" i="2" s="1"/>
  <c r="BC20" i="2"/>
  <c r="AY20" i="2"/>
  <c r="AW20" i="2"/>
  <c r="AX20" i="2" s="1"/>
  <c r="AT20" i="2"/>
  <c r="AR20" i="2"/>
  <c r="AN20" i="2"/>
  <c r="AM20" i="2"/>
  <c r="AL20" i="2"/>
  <c r="AJ20" i="2"/>
  <c r="AE20" i="2"/>
  <c r="BB20" i="2" s="1"/>
  <c r="AD20" i="2"/>
  <c r="AB20" i="2"/>
  <c r="V20" i="2"/>
  <c r="BA20" i="2" s="1"/>
  <c r="P20" i="2"/>
  <c r="N20" i="2"/>
  <c r="R20" i="2" s="1"/>
  <c r="M20" i="2"/>
  <c r="K20" i="2"/>
  <c r="J20" i="2"/>
  <c r="W20" i="2" s="1"/>
  <c r="I20" i="2"/>
  <c r="G20" i="2"/>
  <c r="BK19" i="2"/>
  <c r="BM19" i="2" s="1"/>
  <c r="BC19" i="2"/>
  <c r="AX19" i="2"/>
  <c r="AW19" i="2"/>
  <c r="AT19" i="2"/>
  <c r="AR19" i="2"/>
  <c r="AN19" i="2"/>
  <c r="AM19" i="2"/>
  <c r="AL19" i="2"/>
  <c r="AJ19" i="2"/>
  <c r="AF19" i="2"/>
  <c r="AE19" i="2"/>
  <c r="AD19" i="2"/>
  <c r="AB19" i="2"/>
  <c r="P19" i="2"/>
  <c r="N19" i="2"/>
  <c r="R19" i="2" s="1"/>
  <c r="M19" i="2"/>
  <c r="S19" i="2" s="1"/>
  <c r="J19" i="2"/>
  <c r="W19" i="2" s="1"/>
  <c r="BB19" i="2" s="1"/>
  <c r="I19" i="2"/>
  <c r="G19" i="2"/>
  <c r="BM18" i="2"/>
  <c r="BK18" i="2"/>
  <c r="BC18" i="2"/>
  <c r="AY18" i="2"/>
  <c r="AW18" i="2"/>
  <c r="AX18" i="2" s="1"/>
  <c r="AT18" i="2"/>
  <c r="AR18" i="2"/>
  <c r="AN18" i="2"/>
  <c r="AM18" i="2"/>
  <c r="AL18" i="2"/>
  <c r="AJ18" i="2"/>
  <c r="AE18" i="2"/>
  <c r="AF18" i="2" s="1"/>
  <c r="AD18" i="2"/>
  <c r="AB18" i="2"/>
  <c r="V18" i="2"/>
  <c r="BA18" i="2" s="1"/>
  <c r="T18" i="2"/>
  <c r="P18" i="2"/>
  <c r="N18" i="2"/>
  <c r="M18" i="2"/>
  <c r="J18" i="2"/>
  <c r="K18" i="2" s="1"/>
  <c r="I18" i="2"/>
  <c r="G18" i="2"/>
  <c r="BM17" i="2"/>
  <c r="BK17" i="2"/>
  <c r="BC17" i="2"/>
  <c r="AZ17" i="2"/>
  <c r="AW17" i="2"/>
  <c r="AX17" i="2" s="1"/>
  <c r="AT17" i="2"/>
  <c r="AR17" i="2"/>
  <c r="AM17" i="2"/>
  <c r="AN17" i="2" s="1"/>
  <c r="AL17" i="2"/>
  <c r="AJ17" i="2"/>
  <c r="AE17" i="2"/>
  <c r="AF17" i="2" s="1"/>
  <c r="AD17" i="2"/>
  <c r="AB17" i="2"/>
  <c r="V17" i="2"/>
  <c r="BA17" i="2" s="1"/>
  <c r="U17" i="2"/>
  <c r="S17" i="2"/>
  <c r="R17" i="2"/>
  <c r="P17" i="2"/>
  <c r="N17" i="2"/>
  <c r="M17" i="2"/>
  <c r="J17" i="2"/>
  <c r="W17" i="2" s="1"/>
  <c r="BB17" i="2" s="1"/>
  <c r="I17" i="2"/>
  <c r="G17" i="2"/>
  <c r="BK16" i="2"/>
  <c r="BM16" i="2" s="1"/>
  <c r="BC16" i="2"/>
  <c r="AY16" i="2"/>
  <c r="AX16" i="2"/>
  <c r="AW16" i="2"/>
  <c r="AT16" i="2"/>
  <c r="AR16" i="2"/>
  <c r="AN16" i="2"/>
  <c r="AM16" i="2"/>
  <c r="AL16" i="2"/>
  <c r="AJ16" i="2"/>
  <c r="AE16" i="2"/>
  <c r="AF16" i="2" s="1"/>
  <c r="AD16" i="2"/>
  <c r="AB16" i="2"/>
  <c r="V16" i="2"/>
  <c r="BA16" i="2" s="1"/>
  <c r="U16" i="2"/>
  <c r="AZ16" i="2" s="1"/>
  <c r="T16" i="2"/>
  <c r="R16" i="2"/>
  <c r="W16" i="2" s="1"/>
  <c r="BB16" i="2" s="1"/>
  <c r="Q16" i="2"/>
  <c r="P16" i="2"/>
  <c r="N16" i="2"/>
  <c r="O16" i="2" s="1"/>
  <c r="M16" i="2"/>
  <c r="S16" i="2" s="1"/>
  <c r="J16" i="2"/>
  <c r="K16" i="2" s="1"/>
  <c r="I16" i="2"/>
  <c r="G16" i="2"/>
  <c r="BK15" i="2"/>
  <c r="BM15" i="2" s="1"/>
  <c r="BC15" i="2"/>
  <c r="AY15" i="2"/>
  <c r="AW15" i="2"/>
  <c r="AX15" i="2" s="1"/>
  <c r="AT15" i="2"/>
  <c r="AR15" i="2"/>
  <c r="AN15" i="2"/>
  <c r="AM15" i="2"/>
  <c r="AL15" i="2"/>
  <c r="AJ15" i="2"/>
  <c r="AF15" i="2"/>
  <c r="AE15" i="2"/>
  <c r="AD15" i="2"/>
  <c r="AB15" i="2"/>
  <c r="W15" i="2"/>
  <c r="V15" i="2"/>
  <c r="BA15" i="2" s="1"/>
  <c r="U15" i="2"/>
  <c r="AZ15" i="2" s="1"/>
  <c r="T15" i="2"/>
  <c r="P15" i="2"/>
  <c r="R15" i="2" s="1"/>
  <c r="S15" i="2" s="1"/>
  <c r="O15" i="2"/>
  <c r="N15" i="2"/>
  <c r="M15" i="2"/>
  <c r="J15" i="2"/>
  <c r="K15" i="2" s="1"/>
  <c r="I15" i="2"/>
  <c r="G15" i="2"/>
  <c r="BM14" i="2"/>
  <c r="BK14" i="2"/>
  <c r="BC14" i="2"/>
  <c r="AY14" i="2"/>
  <c r="AW14" i="2"/>
  <c r="AX14" i="2" s="1"/>
  <c r="AT14" i="2"/>
  <c r="AS49" i="2" s="1"/>
  <c r="AR14" i="2"/>
  <c r="AR49" i="2" s="1"/>
  <c r="AR50" i="2" s="1"/>
  <c r="AN14" i="2"/>
  <c r="AM14" i="2"/>
  <c r="AL14" i="2"/>
  <c r="AJ14" i="2"/>
  <c r="AF14" i="2"/>
  <c r="AE14" i="2"/>
  <c r="AD14" i="2"/>
  <c r="AB14" i="2"/>
  <c r="U14" i="2"/>
  <c r="AZ14" i="2" s="1"/>
  <c r="T14" i="2"/>
  <c r="P14" i="2"/>
  <c r="Q14" i="2" s="1"/>
  <c r="O14" i="2"/>
  <c r="N14" i="2"/>
  <c r="M14" i="2"/>
  <c r="J14" i="2"/>
  <c r="K14" i="2" s="1"/>
  <c r="I14" i="2"/>
  <c r="G14" i="2"/>
  <c r="BK13" i="2"/>
  <c r="BM13" i="2" s="1"/>
  <c r="BC13" i="2"/>
  <c r="AW13" i="2"/>
  <c r="AX13" i="2" s="1"/>
  <c r="AT13" i="2"/>
  <c r="AR13" i="2"/>
  <c r="AN13" i="2"/>
  <c r="AM13" i="2"/>
  <c r="AL13" i="2"/>
  <c r="AJ13" i="2"/>
  <c r="AE13" i="2"/>
  <c r="AF13" i="2" s="1"/>
  <c r="AD13" i="2"/>
  <c r="AB13" i="2"/>
  <c r="V13" i="2"/>
  <c r="BA13" i="2" s="1"/>
  <c r="U13" i="2"/>
  <c r="AZ13" i="2" s="1"/>
  <c r="T13" i="2"/>
  <c r="Q13" i="2"/>
  <c r="P13" i="2"/>
  <c r="O13" i="2"/>
  <c r="N13" i="2"/>
  <c r="R13" i="2" s="1"/>
  <c r="S13" i="2" s="1"/>
  <c r="M13" i="2"/>
  <c r="AY13" i="2" s="1"/>
  <c r="J13" i="2"/>
  <c r="K13" i="2" s="1"/>
  <c r="I13" i="2"/>
  <c r="G13" i="2"/>
  <c r="BM12" i="2"/>
  <c r="BK12" i="2"/>
  <c r="BC12" i="2"/>
  <c r="AW12" i="2"/>
  <c r="AX12" i="2" s="1"/>
  <c r="AT12" i="2"/>
  <c r="AR12" i="2"/>
  <c r="AN12" i="2"/>
  <c r="AM12" i="2"/>
  <c r="AL12" i="2"/>
  <c r="AJ12" i="2"/>
  <c r="AE12" i="2"/>
  <c r="AF12" i="2" s="1"/>
  <c r="AD12" i="2"/>
  <c r="AB12" i="2"/>
  <c r="P12" i="2"/>
  <c r="V12" i="2" s="1"/>
  <c r="BA12" i="2" s="1"/>
  <c r="N12" i="2"/>
  <c r="M12" i="2"/>
  <c r="AY12" i="2" s="1"/>
  <c r="K12" i="2"/>
  <c r="J12" i="2"/>
  <c r="I12" i="2"/>
  <c r="G12" i="2"/>
  <c r="BK11" i="2"/>
  <c r="BM11" i="2" s="1"/>
  <c r="BC11" i="2"/>
  <c r="AZ11" i="2"/>
  <c r="AY11" i="2"/>
  <c r="AX11" i="2"/>
  <c r="AW11" i="2"/>
  <c r="AT11" i="2"/>
  <c r="AR11" i="2"/>
  <c r="AN11" i="2"/>
  <c r="AM11" i="2"/>
  <c r="AL11" i="2"/>
  <c r="AJ11" i="2"/>
  <c r="AF11" i="2"/>
  <c r="AE11" i="2"/>
  <c r="AD11" i="2"/>
  <c r="AB11" i="2"/>
  <c r="T11" i="2"/>
  <c r="R11" i="2"/>
  <c r="S11" i="2" s="1"/>
  <c r="P11" i="2"/>
  <c r="V11" i="2" s="1"/>
  <c r="BA11" i="2" s="1"/>
  <c r="N11" i="2"/>
  <c r="U11" i="2" s="1"/>
  <c r="M11" i="2"/>
  <c r="O11" i="2" s="1"/>
  <c r="K11" i="2"/>
  <c r="J11" i="2"/>
  <c r="I11" i="2"/>
  <c r="G11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K10" i="2"/>
  <c r="BM10" i="2" s="1"/>
  <c r="BC10" i="2"/>
  <c r="AY10" i="2"/>
  <c r="AX10" i="2"/>
  <c r="AW10" i="2"/>
  <c r="AT10" i="2"/>
  <c r="AR10" i="2"/>
  <c r="AM10" i="2"/>
  <c r="AN10" i="2" s="1"/>
  <c r="AL10" i="2"/>
  <c r="AJ10" i="2"/>
  <c r="AE10" i="2"/>
  <c r="AF10" i="2" s="1"/>
  <c r="AD10" i="2"/>
  <c r="AB10" i="2"/>
  <c r="P10" i="2"/>
  <c r="V10" i="2" s="1"/>
  <c r="BA10" i="2" s="1"/>
  <c r="N10" i="2"/>
  <c r="U10" i="2" s="1"/>
  <c r="AZ10" i="2" s="1"/>
  <c r="M10" i="2"/>
  <c r="T10" i="2" s="1"/>
  <c r="J10" i="2"/>
  <c r="K10" i="2" s="1"/>
  <c r="I10" i="2"/>
  <c r="G10" i="2"/>
  <c r="BM9" i="2"/>
  <c r="BK9" i="2"/>
  <c r="BC9" i="2"/>
  <c r="AZ9" i="2"/>
  <c r="AW9" i="2"/>
  <c r="AX9" i="2" s="1"/>
  <c r="AT9" i="2"/>
  <c r="AR9" i="2"/>
  <c r="AN9" i="2"/>
  <c r="AM9" i="2"/>
  <c r="AM36" i="2" s="1"/>
  <c r="AL9" i="2"/>
  <c r="AJ9" i="2"/>
  <c r="AE9" i="2"/>
  <c r="AF9" i="2" s="1"/>
  <c r="AD9" i="2"/>
  <c r="AB9" i="2"/>
  <c r="V9" i="2"/>
  <c r="BA9" i="2" s="1"/>
  <c r="P9" i="2"/>
  <c r="Q9" i="2" s="1"/>
  <c r="N9" i="2"/>
  <c r="U9" i="2" s="1"/>
  <c r="M9" i="2"/>
  <c r="J9" i="2"/>
  <c r="K9" i="2" s="1"/>
  <c r="I9" i="2"/>
  <c r="G9" i="2"/>
  <c r="BK8" i="2"/>
  <c r="BM8" i="2" s="1"/>
  <c r="BC8" i="2"/>
  <c r="AW8" i="2"/>
  <c r="AX8" i="2" s="1"/>
  <c r="AT8" i="2"/>
  <c r="AR8" i="2"/>
  <c r="AN8" i="2"/>
  <c r="AM8" i="2"/>
  <c r="AL8" i="2"/>
  <c r="AJ8" i="2"/>
  <c r="AE8" i="2"/>
  <c r="AF8" i="2" s="1"/>
  <c r="AD8" i="2"/>
  <c r="AB8" i="2"/>
  <c r="P8" i="2"/>
  <c r="V8" i="2" s="1"/>
  <c r="BA8" i="2" s="1"/>
  <c r="N8" i="2"/>
  <c r="R8" i="2" s="1"/>
  <c r="M8" i="2"/>
  <c r="K8" i="2"/>
  <c r="J8" i="2"/>
  <c r="W8" i="2" s="1"/>
  <c r="I8" i="2"/>
  <c r="G8" i="2"/>
  <c r="BK7" i="2"/>
  <c r="BM7" i="2" s="1"/>
  <c r="BC7" i="2"/>
  <c r="AY7" i="2"/>
  <c r="AX7" i="2"/>
  <c r="AW7" i="2"/>
  <c r="AT7" i="2"/>
  <c r="AR7" i="2"/>
  <c r="AN7" i="2"/>
  <c r="AM7" i="2"/>
  <c r="AL7" i="2"/>
  <c r="AJ7" i="2"/>
  <c r="AE7" i="2"/>
  <c r="AF7" i="2" s="1"/>
  <c r="AD7" i="2"/>
  <c r="AB7" i="2"/>
  <c r="U7" i="2"/>
  <c r="AZ7" i="2" s="1"/>
  <c r="T7" i="2"/>
  <c r="P7" i="2"/>
  <c r="O7" i="2"/>
  <c r="N7" i="2"/>
  <c r="M7" i="2"/>
  <c r="J7" i="2"/>
  <c r="K7" i="2" s="1"/>
  <c r="I7" i="2"/>
  <c r="G7" i="2"/>
  <c r="B7" i="2"/>
  <c r="B8" i="2" s="1"/>
  <c r="B9" i="2" s="1"/>
  <c r="B10" i="2" s="1"/>
  <c r="BM6" i="2"/>
  <c r="BK6" i="2"/>
  <c r="BC6" i="2"/>
  <c r="BA6" i="2"/>
  <c r="AW6" i="2"/>
  <c r="AX6" i="2" s="1"/>
  <c r="AT6" i="2"/>
  <c r="AR6" i="2"/>
  <c r="AN6" i="2"/>
  <c r="AM6" i="2"/>
  <c r="AL6" i="2"/>
  <c r="AJ6" i="2"/>
  <c r="AE6" i="2"/>
  <c r="AF6" i="2" s="1"/>
  <c r="AD6" i="2"/>
  <c r="AB6" i="2"/>
  <c r="V6" i="2"/>
  <c r="P6" i="2"/>
  <c r="N6" i="2"/>
  <c r="O6" i="2" s="1"/>
  <c r="M6" i="2"/>
  <c r="AY6" i="2" s="1"/>
  <c r="J6" i="2"/>
  <c r="I6" i="2"/>
  <c r="J50" i="2" s="1"/>
  <c r="G6" i="2"/>
  <c r="B6" i="2"/>
  <c r="BM5" i="2"/>
  <c r="BK5" i="2"/>
  <c r="BC5" i="2"/>
  <c r="AY5" i="2"/>
  <c r="AW5" i="2"/>
  <c r="AT5" i="2"/>
  <c r="AR5" i="2"/>
  <c r="AN5" i="2"/>
  <c r="AM5" i="2"/>
  <c r="AL5" i="2"/>
  <c r="AJ5" i="2"/>
  <c r="AE5" i="2"/>
  <c r="AF5" i="2" s="1"/>
  <c r="AD5" i="2"/>
  <c r="AB5" i="2"/>
  <c r="V5" i="2"/>
  <c r="U5" i="2"/>
  <c r="AZ5" i="2" s="1"/>
  <c r="P5" i="2"/>
  <c r="N5" i="2"/>
  <c r="M5" i="2"/>
  <c r="M36" i="2" s="1"/>
  <c r="N38" i="2" s="1"/>
  <c r="K5" i="2"/>
  <c r="J5" i="2"/>
  <c r="I5" i="2"/>
  <c r="J49" i="2" s="1"/>
  <c r="G5" i="2"/>
  <c r="B5" i="2"/>
  <c r="BJ70" i="1"/>
  <c r="BI70" i="1"/>
  <c r="BK70" i="1" s="1"/>
  <c r="BK69" i="1"/>
  <c r="BJ69" i="1"/>
  <c r="BI69" i="1"/>
  <c r="BJ68" i="1"/>
  <c r="BI68" i="1"/>
  <c r="BK68" i="1" s="1"/>
  <c r="BJ67" i="1"/>
  <c r="BI67" i="1"/>
  <c r="BK67" i="1" s="1"/>
  <c r="BJ66" i="1"/>
  <c r="BI66" i="1"/>
  <c r="BK66" i="1" s="1"/>
  <c r="BK65" i="1"/>
  <c r="BJ65" i="1"/>
  <c r="BI65" i="1"/>
  <c r="BK64" i="1"/>
  <c r="BJ64" i="1"/>
  <c r="BI64" i="1"/>
  <c r="BJ63" i="1"/>
  <c r="BI63" i="1"/>
  <c r="BK63" i="1" s="1"/>
  <c r="BJ62" i="1"/>
  <c r="BI62" i="1"/>
  <c r="BK62" i="1" s="1"/>
  <c r="BK61" i="1"/>
  <c r="BJ61" i="1"/>
  <c r="BI61" i="1"/>
  <c r="BJ60" i="1"/>
  <c r="BI60" i="1"/>
  <c r="BK60" i="1" s="1"/>
  <c r="BJ59" i="1"/>
  <c r="BI59" i="1"/>
  <c r="BK59" i="1" s="1"/>
  <c r="BJ58" i="1"/>
  <c r="BI58" i="1"/>
  <c r="BK58" i="1" s="1"/>
  <c r="BJ57" i="1"/>
  <c r="BI57" i="1"/>
  <c r="BK57" i="1" s="1"/>
  <c r="BJ56" i="1"/>
  <c r="BI56" i="1"/>
  <c r="BK56" i="1" s="1"/>
  <c r="Y56" i="1"/>
  <c r="X57" i="1" s="1"/>
  <c r="X56" i="1"/>
  <c r="BK55" i="1"/>
  <c r="BJ55" i="1"/>
  <c r="BI55" i="1"/>
  <c r="X55" i="1"/>
  <c r="BJ54" i="1"/>
  <c r="BK54" i="1" s="1"/>
  <c r="BI54" i="1"/>
  <c r="Y54" i="1"/>
  <c r="X54" i="1" s="1"/>
  <c r="BJ53" i="1"/>
  <c r="BI53" i="1"/>
  <c r="BK53" i="1" s="1"/>
  <c r="BJ52" i="1"/>
  <c r="BI52" i="1"/>
  <c r="BK52" i="1" s="1"/>
  <c r="Y52" i="1"/>
  <c r="Y58" i="1" s="1"/>
  <c r="X52" i="1"/>
  <c r="BJ51" i="1"/>
  <c r="BI51" i="1"/>
  <c r="BK51" i="1" s="1"/>
  <c r="BJ50" i="1"/>
  <c r="BI50" i="1"/>
  <c r="AS50" i="1"/>
  <c r="AQ50" i="1"/>
  <c r="AW49" i="1"/>
  <c r="AS49" i="1"/>
  <c r="AQ49" i="1"/>
  <c r="AE49" i="1"/>
  <c r="S48" i="1"/>
  <c r="Q48" i="1"/>
  <c r="K48" i="1"/>
  <c r="I48" i="1"/>
  <c r="AN46" i="1"/>
  <c r="AX46" i="1" s="1"/>
  <c r="AF46" i="1"/>
  <c r="K46" i="1"/>
  <c r="S46" i="1" s="1"/>
  <c r="X46" i="1" s="1"/>
  <c r="BH45" i="1"/>
  <c r="W45" i="1"/>
  <c r="BH44" i="1"/>
  <c r="BB44" i="1"/>
  <c r="BH43" i="1"/>
  <c r="BF43" i="1"/>
  <c r="V41" i="1"/>
  <c r="AQ38" i="1"/>
  <c r="AA38" i="1"/>
  <c r="AI38" i="1" s="1"/>
  <c r="U38" i="1"/>
  <c r="O38" i="1"/>
  <c r="F38" i="1"/>
  <c r="AV37" i="1"/>
  <c r="AI37" i="1"/>
  <c r="AJ37" i="1" s="1"/>
  <c r="AC37" i="1"/>
  <c r="AD37" i="1" s="1"/>
  <c r="AB37" i="1"/>
  <c r="AA37" i="1"/>
  <c r="BJ36" i="1"/>
  <c r="BI36" i="1"/>
  <c r="BH36" i="1"/>
  <c r="BG36" i="1"/>
  <c r="BF36" i="1"/>
  <c r="BE36" i="1"/>
  <c r="BD36" i="1"/>
  <c r="AV36" i="1"/>
  <c r="AU36" i="1"/>
  <c r="AU37" i="1" s="1"/>
  <c r="AS36" i="1"/>
  <c r="AS37" i="1" s="1"/>
  <c r="AQ36" i="1"/>
  <c r="AQ37" i="1" s="1"/>
  <c r="AR37" i="1" s="1"/>
  <c r="AP36" i="1"/>
  <c r="AO36" i="1"/>
  <c r="AK36" i="1"/>
  <c r="AK37" i="1" s="1"/>
  <c r="AI36" i="1"/>
  <c r="AH36" i="1"/>
  <c r="AG36" i="1"/>
  <c r="AD36" i="1"/>
  <c r="AC36" i="1"/>
  <c r="AB36" i="1"/>
  <c r="AA36" i="1"/>
  <c r="Z36" i="1"/>
  <c r="Y36" i="1"/>
  <c r="X36" i="1"/>
  <c r="L36" i="1"/>
  <c r="F36" i="1"/>
  <c r="E36" i="1"/>
  <c r="I36" i="1" s="1"/>
  <c r="D36" i="1"/>
  <c r="C36" i="1"/>
  <c r="BK35" i="1"/>
  <c r="BM35" i="1" s="1"/>
  <c r="BC35" i="1"/>
  <c r="BA35" i="1"/>
  <c r="AW35" i="1"/>
  <c r="AX35" i="1" s="1"/>
  <c r="AT35" i="1"/>
  <c r="AR35" i="1"/>
  <c r="AN35" i="1"/>
  <c r="AM35" i="1"/>
  <c r="AL35" i="1"/>
  <c r="AJ35" i="1"/>
  <c r="AE35" i="1"/>
  <c r="AF35" i="1" s="1"/>
  <c r="AD35" i="1"/>
  <c r="AB35" i="1"/>
  <c r="V35" i="1"/>
  <c r="P35" i="1"/>
  <c r="N35" i="1"/>
  <c r="R35" i="1" s="1"/>
  <c r="M35" i="1"/>
  <c r="J35" i="1"/>
  <c r="K35" i="1" s="1"/>
  <c r="I35" i="1"/>
  <c r="G35" i="1"/>
  <c r="BM34" i="1"/>
  <c r="BK34" i="1"/>
  <c r="BC34" i="1"/>
  <c r="BA34" i="1"/>
  <c r="AY34" i="1"/>
  <c r="AW34" i="1"/>
  <c r="AX34" i="1" s="1"/>
  <c r="AT34" i="1"/>
  <c r="AR34" i="1"/>
  <c r="AN34" i="1"/>
  <c r="AM34" i="1"/>
  <c r="AL34" i="1"/>
  <c r="AJ34" i="1"/>
  <c r="AE34" i="1"/>
  <c r="AF34" i="1" s="1"/>
  <c r="AD34" i="1"/>
  <c r="AB34" i="1"/>
  <c r="V34" i="1"/>
  <c r="U34" i="1"/>
  <c r="AZ34" i="1" s="1"/>
  <c r="T34" i="1"/>
  <c r="P34" i="1"/>
  <c r="N34" i="1"/>
  <c r="M34" i="1"/>
  <c r="K34" i="1"/>
  <c r="J34" i="1"/>
  <c r="I34" i="1"/>
  <c r="G34" i="1"/>
  <c r="BM33" i="1"/>
  <c r="BK33" i="1"/>
  <c r="BC33" i="1"/>
  <c r="BA33" i="1"/>
  <c r="AZ33" i="1"/>
  <c r="AX33" i="1"/>
  <c r="AW33" i="1"/>
  <c r="AT33" i="1"/>
  <c r="AR33" i="1"/>
  <c r="AM33" i="1"/>
  <c r="AN33" i="1" s="1"/>
  <c r="AL33" i="1"/>
  <c r="AJ33" i="1"/>
  <c r="AE33" i="1"/>
  <c r="AF33" i="1" s="1"/>
  <c r="AD33" i="1"/>
  <c r="AB33" i="1"/>
  <c r="V33" i="1"/>
  <c r="U33" i="1"/>
  <c r="R33" i="1"/>
  <c r="P33" i="1"/>
  <c r="N33" i="1"/>
  <c r="M33" i="1"/>
  <c r="Q33" i="1" s="1"/>
  <c r="J33" i="1"/>
  <c r="W33" i="1" s="1"/>
  <c r="BB33" i="1" s="1"/>
  <c r="I33" i="1"/>
  <c r="G33" i="1"/>
  <c r="BK32" i="1"/>
  <c r="BC32" i="1"/>
  <c r="AY32" i="1"/>
  <c r="AW32" i="1"/>
  <c r="AX32" i="1" s="1"/>
  <c r="AT32" i="1"/>
  <c r="AR32" i="1"/>
  <c r="AN32" i="1"/>
  <c r="AM32" i="1"/>
  <c r="AL32" i="1"/>
  <c r="AJ32" i="1"/>
  <c r="AF32" i="1"/>
  <c r="AE32" i="1"/>
  <c r="AD32" i="1"/>
  <c r="AB32" i="1"/>
  <c r="V32" i="1"/>
  <c r="BA32" i="1" s="1"/>
  <c r="U32" i="1"/>
  <c r="AZ32" i="1" s="1"/>
  <c r="T32" i="1"/>
  <c r="R32" i="1"/>
  <c r="S32" i="1" s="1"/>
  <c r="Q32" i="1"/>
  <c r="P32" i="1"/>
  <c r="O32" i="1"/>
  <c r="N32" i="1"/>
  <c r="M32" i="1"/>
  <c r="J32" i="1"/>
  <c r="K32" i="1" s="1"/>
  <c r="I32" i="1"/>
  <c r="G32" i="1"/>
  <c r="BK31" i="1"/>
  <c r="BM31" i="1" s="1"/>
  <c r="BC31" i="1"/>
  <c r="AY31" i="1"/>
  <c r="AW31" i="1"/>
  <c r="AX31" i="1" s="1"/>
  <c r="AT31" i="1"/>
  <c r="AR31" i="1"/>
  <c r="AN31" i="1"/>
  <c r="AM31" i="1"/>
  <c r="AL31" i="1"/>
  <c r="AJ31" i="1"/>
  <c r="AF31" i="1"/>
  <c r="AE31" i="1"/>
  <c r="AD31" i="1"/>
  <c r="AB31" i="1"/>
  <c r="V31" i="1"/>
  <c r="BA31" i="1" s="1"/>
  <c r="U31" i="1"/>
  <c r="AZ31" i="1" s="1"/>
  <c r="T31" i="1"/>
  <c r="P31" i="1"/>
  <c r="R31" i="1" s="1"/>
  <c r="S31" i="1" s="1"/>
  <c r="O31" i="1"/>
  <c r="N31" i="1"/>
  <c r="M31" i="1"/>
  <c r="J31" i="1"/>
  <c r="W31" i="1" s="1"/>
  <c r="I31" i="1"/>
  <c r="G31" i="1"/>
  <c r="BK30" i="1"/>
  <c r="BM30" i="1" s="1"/>
  <c r="BC30" i="1"/>
  <c r="AW30" i="1"/>
  <c r="AX30" i="1" s="1"/>
  <c r="AT30" i="1"/>
  <c r="AR30" i="1"/>
  <c r="AN30" i="1"/>
  <c r="AM30" i="1"/>
  <c r="AL30" i="1"/>
  <c r="AJ30" i="1"/>
  <c r="AE30" i="1"/>
  <c r="AF30" i="1" s="1"/>
  <c r="AD30" i="1"/>
  <c r="AB30" i="1"/>
  <c r="T30" i="1"/>
  <c r="P30" i="1"/>
  <c r="N30" i="1"/>
  <c r="R30" i="1" s="1"/>
  <c r="S30" i="1" s="1"/>
  <c r="M30" i="1"/>
  <c r="AY30" i="1" s="1"/>
  <c r="J30" i="1"/>
  <c r="K30" i="1" s="1"/>
  <c r="I30" i="1"/>
  <c r="G30" i="1"/>
  <c r="BM29" i="1"/>
  <c r="BK29" i="1"/>
  <c r="BC29" i="1"/>
  <c r="AW29" i="1"/>
  <c r="AX29" i="1" s="1"/>
  <c r="AT29" i="1"/>
  <c r="AR29" i="1"/>
  <c r="AN29" i="1"/>
  <c r="AM29" i="1"/>
  <c r="AL29" i="1"/>
  <c r="AJ29" i="1"/>
  <c r="AE29" i="1"/>
  <c r="AF29" i="1" s="1"/>
  <c r="AD29" i="1"/>
  <c r="AB29" i="1"/>
  <c r="P29" i="1"/>
  <c r="V29" i="1" s="1"/>
  <c r="BA29" i="1" s="1"/>
  <c r="N29" i="1"/>
  <c r="U29" i="1" s="1"/>
  <c r="AZ29" i="1" s="1"/>
  <c r="M29" i="1"/>
  <c r="AY29" i="1" s="1"/>
  <c r="K29" i="1"/>
  <c r="J29" i="1"/>
  <c r="I29" i="1"/>
  <c r="G29" i="1"/>
  <c r="BK28" i="1"/>
  <c r="BM28" i="1" s="1"/>
  <c r="BC28" i="1"/>
  <c r="BA28" i="1"/>
  <c r="AZ28" i="1"/>
  <c r="AY28" i="1"/>
  <c r="AT28" i="1"/>
  <c r="AQ28" i="1"/>
  <c r="AM28" i="1"/>
  <c r="AN28" i="1" s="1"/>
  <c r="AL28" i="1"/>
  <c r="AJ28" i="1"/>
  <c r="AE28" i="1"/>
  <c r="AF28" i="1" s="1"/>
  <c r="AD28" i="1"/>
  <c r="AB28" i="1"/>
  <c r="T28" i="1"/>
  <c r="R28" i="1"/>
  <c r="S28" i="1" s="1"/>
  <c r="P28" i="1"/>
  <c r="V28" i="1" s="1"/>
  <c r="N28" i="1"/>
  <c r="U28" i="1" s="1"/>
  <c r="M28" i="1"/>
  <c r="K28" i="1"/>
  <c r="J28" i="1"/>
  <c r="I28" i="1"/>
  <c r="G28" i="1"/>
  <c r="BK27" i="1"/>
  <c r="BM27" i="1" s="1"/>
  <c r="BC27" i="1"/>
  <c r="AX27" i="1"/>
  <c r="AW27" i="1"/>
  <c r="AT27" i="1"/>
  <c r="AR27" i="1"/>
  <c r="AN27" i="1"/>
  <c r="AM27" i="1"/>
  <c r="AL27" i="1"/>
  <c r="AJ27" i="1"/>
  <c r="AE27" i="1"/>
  <c r="AF27" i="1" s="1"/>
  <c r="AD27" i="1"/>
  <c r="AB27" i="1"/>
  <c r="P27" i="1"/>
  <c r="V27" i="1" s="1"/>
  <c r="BA27" i="1" s="1"/>
  <c r="N27" i="1"/>
  <c r="M27" i="1"/>
  <c r="T27" i="1" s="1"/>
  <c r="K27" i="1"/>
  <c r="J27" i="1"/>
  <c r="I27" i="1"/>
  <c r="G27" i="1"/>
  <c r="BK26" i="1"/>
  <c r="BM26" i="1" s="1"/>
  <c r="BC26" i="1"/>
  <c r="AX26" i="1"/>
  <c r="AW26" i="1"/>
  <c r="AT26" i="1"/>
  <c r="AR26" i="1"/>
  <c r="AN26" i="1"/>
  <c r="AM26" i="1"/>
  <c r="AL26" i="1"/>
  <c r="AJ26" i="1"/>
  <c r="AE26" i="1"/>
  <c r="AF26" i="1" s="1"/>
  <c r="AD26" i="1"/>
  <c r="AB26" i="1"/>
  <c r="P26" i="1"/>
  <c r="V26" i="1" s="1"/>
  <c r="BA26" i="1" s="1"/>
  <c r="N26" i="1"/>
  <c r="U26" i="1" s="1"/>
  <c r="AZ26" i="1" s="1"/>
  <c r="M26" i="1"/>
  <c r="AY26" i="1" s="1"/>
  <c r="J26" i="1"/>
  <c r="K26" i="1" s="1"/>
  <c r="I26" i="1"/>
  <c r="G26" i="1"/>
  <c r="BK25" i="1"/>
  <c r="BM25" i="1" s="1"/>
  <c r="BC25" i="1"/>
  <c r="AY25" i="1"/>
  <c r="AW25" i="1"/>
  <c r="AX25" i="1" s="1"/>
  <c r="AT25" i="1"/>
  <c r="AR25" i="1"/>
  <c r="AN25" i="1"/>
  <c r="AM25" i="1"/>
  <c r="AL25" i="1"/>
  <c r="AJ25" i="1"/>
  <c r="AF25" i="1"/>
  <c r="AE25" i="1"/>
  <c r="AD25" i="1"/>
  <c r="AB25" i="1"/>
  <c r="P25" i="1"/>
  <c r="R25" i="1" s="1"/>
  <c r="W25" i="1" s="1"/>
  <c r="BB25" i="1" s="1"/>
  <c r="O25" i="1"/>
  <c r="N25" i="1"/>
  <c r="U25" i="1" s="1"/>
  <c r="AZ25" i="1" s="1"/>
  <c r="M25" i="1"/>
  <c r="J25" i="1"/>
  <c r="K25" i="1" s="1"/>
  <c r="I25" i="1"/>
  <c r="H25" i="1"/>
  <c r="H36" i="1" s="1"/>
  <c r="H37" i="1" s="1"/>
  <c r="G25" i="1"/>
  <c r="BK24" i="1"/>
  <c r="BM24" i="1" s="1"/>
  <c r="BC24" i="1"/>
  <c r="AZ24" i="1"/>
  <c r="AY24" i="1"/>
  <c r="AW24" i="1"/>
  <c r="AX24" i="1" s="1"/>
  <c r="AT24" i="1"/>
  <c r="AR24" i="1"/>
  <c r="AN24" i="1"/>
  <c r="AM24" i="1"/>
  <c r="AL24" i="1"/>
  <c r="AJ24" i="1"/>
  <c r="AF24" i="1"/>
  <c r="AE24" i="1"/>
  <c r="AD24" i="1"/>
  <c r="AB24" i="1"/>
  <c r="P24" i="1"/>
  <c r="R24" i="1" s="1"/>
  <c r="O24" i="1"/>
  <c r="N24" i="1"/>
  <c r="U24" i="1" s="1"/>
  <c r="M24" i="1"/>
  <c r="J24" i="1"/>
  <c r="W24" i="1" s="1"/>
  <c r="BB24" i="1" s="1"/>
  <c r="I24" i="1"/>
  <c r="G24" i="1"/>
  <c r="BK23" i="1"/>
  <c r="BM23" i="1" s="1"/>
  <c r="BC23" i="1"/>
  <c r="AY23" i="1"/>
  <c r="AX23" i="1"/>
  <c r="AW23" i="1"/>
  <c r="AT23" i="1"/>
  <c r="AR23" i="1"/>
  <c r="AM23" i="1"/>
  <c r="AN23" i="1" s="1"/>
  <c r="AL23" i="1"/>
  <c r="AJ23" i="1"/>
  <c r="AF23" i="1"/>
  <c r="AE23" i="1"/>
  <c r="AD23" i="1"/>
  <c r="AB23" i="1"/>
  <c r="V23" i="1"/>
  <c r="BA23" i="1" s="1"/>
  <c r="P23" i="1"/>
  <c r="Q23" i="1" s="1"/>
  <c r="N23" i="1"/>
  <c r="R23" i="1" s="1"/>
  <c r="M23" i="1"/>
  <c r="T23" i="1" s="1"/>
  <c r="J23" i="1"/>
  <c r="W23" i="1" s="1"/>
  <c r="BB23" i="1" s="1"/>
  <c r="I23" i="1"/>
  <c r="G23" i="1"/>
  <c r="BK22" i="1"/>
  <c r="BM22" i="1" s="1"/>
  <c r="BC22" i="1"/>
  <c r="AW22" i="1"/>
  <c r="AX22" i="1" s="1"/>
  <c r="AT22" i="1"/>
  <c r="AR22" i="1"/>
  <c r="AN22" i="1"/>
  <c r="AM22" i="1"/>
  <c r="AL22" i="1"/>
  <c r="AJ22" i="1"/>
  <c r="AE22" i="1"/>
  <c r="AF22" i="1" s="1"/>
  <c r="AD22" i="1"/>
  <c r="AB22" i="1"/>
  <c r="W22" i="1"/>
  <c r="BB22" i="1" s="1"/>
  <c r="V22" i="1"/>
  <c r="BA22" i="1" s="1"/>
  <c r="U22" i="1"/>
  <c r="AZ22" i="1" s="1"/>
  <c r="T22" i="1"/>
  <c r="P22" i="1"/>
  <c r="Q22" i="1" s="1"/>
  <c r="N22" i="1"/>
  <c r="R22" i="1" s="1"/>
  <c r="M22" i="1"/>
  <c r="J22" i="1"/>
  <c r="K22" i="1" s="1"/>
  <c r="I22" i="1"/>
  <c r="G22" i="1"/>
  <c r="BM21" i="1"/>
  <c r="BK21" i="1"/>
  <c r="BC21" i="1"/>
  <c r="AW21" i="1"/>
  <c r="AX21" i="1" s="1"/>
  <c r="AT21" i="1"/>
  <c r="AR21" i="1"/>
  <c r="AN21" i="1"/>
  <c r="AM21" i="1"/>
  <c r="AL21" i="1"/>
  <c r="AJ21" i="1"/>
  <c r="AE21" i="1"/>
  <c r="AF21" i="1" s="1"/>
  <c r="AD21" i="1"/>
  <c r="AB21" i="1"/>
  <c r="V21" i="1"/>
  <c r="BA21" i="1" s="1"/>
  <c r="P21" i="1"/>
  <c r="Q21" i="1" s="1"/>
  <c r="N21" i="1"/>
  <c r="M21" i="1"/>
  <c r="AY21" i="1" s="1"/>
  <c r="K21" i="1"/>
  <c r="J21" i="1"/>
  <c r="I21" i="1"/>
  <c r="G21" i="1"/>
  <c r="BM20" i="1"/>
  <c r="BK20" i="1"/>
  <c r="BC20" i="1"/>
  <c r="BA20" i="1"/>
  <c r="AY20" i="1"/>
  <c r="AX20" i="1"/>
  <c r="AW20" i="1"/>
  <c r="AT20" i="1"/>
  <c r="AR20" i="1"/>
  <c r="AN20" i="1"/>
  <c r="AM20" i="1"/>
  <c r="AL20" i="1"/>
  <c r="AJ20" i="1"/>
  <c r="AE20" i="1"/>
  <c r="AF20" i="1" s="1"/>
  <c r="AD20" i="1"/>
  <c r="AB20" i="1"/>
  <c r="V20" i="1"/>
  <c r="U20" i="1"/>
  <c r="AZ20" i="1" s="1"/>
  <c r="T20" i="1"/>
  <c r="R20" i="1"/>
  <c r="W20" i="1" s="1"/>
  <c r="BB20" i="1" s="1"/>
  <c r="P20" i="1"/>
  <c r="Q20" i="1" s="1"/>
  <c r="N20" i="1"/>
  <c r="O20" i="1" s="1"/>
  <c r="M20" i="1"/>
  <c r="J20" i="1"/>
  <c r="K20" i="1" s="1"/>
  <c r="I20" i="1"/>
  <c r="G20" i="1"/>
  <c r="BK19" i="1"/>
  <c r="BM19" i="1" s="1"/>
  <c r="BC19" i="1"/>
  <c r="AZ19" i="1"/>
  <c r="AY19" i="1"/>
  <c r="AX19" i="1"/>
  <c r="AW19" i="1"/>
  <c r="AT19" i="1"/>
  <c r="AR19" i="1"/>
  <c r="AN19" i="1"/>
  <c r="AM19" i="1"/>
  <c r="AL19" i="1"/>
  <c r="AJ19" i="1"/>
  <c r="AF19" i="1"/>
  <c r="AE19" i="1"/>
  <c r="AD19" i="1"/>
  <c r="AB19" i="1"/>
  <c r="W19" i="1"/>
  <c r="BB19" i="1" s="1"/>
  <c r="V19" i="1"/>
  <c r="BA19" i="1" s="1"/>
  <c r="U19" i="1"/>
  <c r="T19" i="1"/>
  <c r="R19" i="1"/>
  <c r="S19" i="1" s="1"/>
  <c r="Q19" i="1"/>
  <c r="P19" i="1"/>
  <c r="N19" i="1"/>
  <c r="M19" i="1"/>
  <c r="O19" i="1" s="1"/>
  <c r="J19" i="1"/>
  <c r="K19" i="1" s="1"/>
  <c r="I19" i="1"/>
  <c r="G19" i="1"/>
  <c r="BK18" i="1"/>
  <c r="BM18" i="1" s="1"/>
  <c r="BC18" i="1"/>
  <c r="AY18" i="1"/>
  <c r="AW18" i="1"/>
  <c r="AX18" i="1" s="1"/>
  <c r="AT18" i="1"/>
  <c r="AR18" i="1"/>
  <c r="AM18" i="1"/>
  <c r="AN18" i="1" s="1"/>
  <c r="AL18" i="1"/>
  <c r="AJ18" i="1"/>
  <c r="AE18" i="1"/>
  <c r="AF18" i="1" s="1"/>
  <c r="AD18" i="1"/>
  <c r="AB18" i="1"/>
  <c r="V18" i="1"/>
  <c r="BA18" i="1" s="1"/>
  <c r="U18" i="1"/>
  <c r="AZ18" i="1" s="1"/>
  <c r="T18" i="1"/>
  <c r="R18" i="1"/>
  <c r="S18" i="1" s="1"/>
  <c r="Q18" i="1"/>
  <c r="P18" i="1"/>
  <c r="N18" i="1"/>
  <c r="O18" i="1" s="1"/>
  <c r="M18" i="1"/>
  <c r="J18" i="1"/>
  <c r="K18" i="1" s="1"/>
  <c r="I18" i="1"/>
  <c r="G18" i="1"/>
  <c r="BK17" i="1"/>
  <c r="BM17" i="1" s="1"/>
  <c r="BC17" i="1"/>
  <c r="AW17" i="1"/>
  <c r="AX17" i="1" s="1"/>
  <c r="AT17" i="1"/>
  <c r="AR17" i="1"/>
  <c r="AM17" i="1"/>
  <c r="AN17" i="1" s="1"/>
  <c r="AL17" i="1"/>
  <c r="AJ17" i="1"/>
  <c r="AF17" i="1"/>
  <c r="AE17" i="1"/>
  <c r="AD17" i="1"/>
  <c r="AB17" i="1"/>
  <c r="V17" i="1"/>
  <c r="BA17" i="1" s="1"/>
  <c r="U17" i="1"/>
  <c r="AZ17" i="1" s="1"/>
  <c r="T17" i="1"/>
  <c r="R17" i="1"/>
  <c r="S17" i="1" s="1"/>
  <c r="P17" i="1"/>
  <c r="Q17" i="1" s="1"/>
  <c r="O17" i="1"/>
  <c r="N17" i="1"/>
  <c r="M17" i="1"/>
  <c r="AY17" i="1" s="1"/>
  <c r="J17" i="1"/>
  <c r="I17" i="1"/>
  <c r="G17" i="1"/>
  <c r="BK16" i="1"/>
  <c r="BM16" i="1" s="1"/>
  <c r="BC16" i="1"/>
  <c r="AW16" i="1"/>
  <c r="AX16" i="1" s="1"/>
  <c r="AT16" i="1"/>
  <c r="AR16" i="1"/>
  <c r="AN16" i="1"/>
  <c r="AM16" i="1"/>
  <c r="AL16" i="1"/>
  <c r="AJ16" i="1"/>
  <c r="AE16" i="1"/>
  <c r="AF16" i="1" s="1"/>
  <c r="AD16" i="1"/>
  <c r="AB16" i="1"/>
  <c r="T16" i="1"/>
  <c r="P16" i="1"/>
  <c r="V16" i="1" s="1"/>
  <c r="BA16" i="1" s="1"/>
  <c r="N16" i="1"/>
  <c r="M16" i="1"/>
  <c r="AY16" i="1" s="1"/>
  <c r="K16" i="1"/>
  <c r="J16" i="1"/>
  <c r="I16" i="1"/>
  <c r="G16" i="1"/>
  <c r="BM15" i="1"/>
  <c r="BK15" i="1"/>
  <c r="BC15" i="1"/>
  <c r="AZ15" i="1"/>
  <c r="AX15" i="1"/>
  <c r="AW15" i="1"/>
  <c r="AT15" i="1"/>
  <c r="AR15" i="1"/>
  <c r="AN15" i="1"/>
  <c r="AM15" i="1"/>
  <c r="AL15" i="1"/>
  <c r="AJ15" i="1"/>
  <c r="AE15" i="1"/>
  <c r="AF15" i="1" s="1"/>
  <c r="AD15" i="1"/>
  <c r="AB15" i="1"/>
  <c r="T15" i="1"/>
  <c r="P15" i="1"/>
  <c r="R15" i="1" s="1"/>
  <c r="S15" i="1" s="1"/>
  <c r="O15" i="1"/>
  <c r="N15" i="1"/>
  <c r="U15" i="1" s="1"/>
  <c r="M15" i="1"/>
  <c r="AY15" i="1" s="1"/>
  <c r="K15" i="1"/>
  <c r="J15" i="1"/>
  <c r="I15" i="1"/>
  <c r="G15" i="1"/>
  <c r="BK14" i="1"/>
  <c r="BM14" i="1" s="1"/>
  <c r="BC14" i="1"/>
  <c r="BA14" i="1"/>
  <c r="AX14" i="1"/>
  <c r="AW14" i="1"/>
  <c r="AT14" i="1"/>
  <c r="AR14" i="1"/>
  <c r="AN14" i="1"/>
  <c r="AM14" i="1"/>
  <c r="AL14" i="1"/>
  <c r="AJ14" i="1"/>
  <c r="AE14" i="1"/>
  <c r="AF14" i="1" s="1"/>
  <c r="AD14" i="1"/>
  <c r="AB14" i="1"/>
  <c r="P14" i="1"/>
  <c r="V14" i="1" s="1"/>
  <c r="N14" i="1"/>
  <c r="U14" i="1" s="1"/>
  <c r="AZ14" i="1" s="1"/>
  <c r="M14" i="1"/>
  <c r="T14" i="1" s="1"/>
  <c r="K14" i="1"/>
  <c r="J14" i="1"/>
  <c r="I14" i="1"/>
  <c r="G14" i="1"/>
  <c r="BK13" i="1"/>
  <c r="BM13" i="1" s="1"/>
  <c r="BC13" i="1"/>
  <c r="AY13" i="1"/>
  <c r="AX13" i="1"/>
  <c r="AW13" i="1"/>
  <c r="AT13" i="1"/>
  <c r="AR13" i="1"/>
  <c r="AN13" i="1"/>
  <c r="AM13" i="1"/>
  <c r="AL13" i="1"/>
  <c r="AJ13" i="1"/>
  <c r="AE13" i="1"/>
  <c r="AF13" i="1" s="1"/>
  <c r="AD13" i="1"/>
  <c r="AB13" i="1"/>
  <c r="P13" i="1"/>
  <c r="V13" i="1" s="1"/>
  <c r="BA13" i="1" s="1"/>
  <c r="N13" i="1"/>
  <c r="M13" i="1"/>
  <c r="T13" i="1" s="1"/>
  <c r="J13" i="1"/>
  <c r="K13" i="1" s="1"/>
  <c r="I13" i="1"/>
  <c r="G13" i="1"/>
  <c r="BK12" i="1"/>
  <c r="BM12" i="1" s="1"/>
  <c r="BC12" i="1"/>
  <c r="AZ12" i="1"/>
  <c r="AY12" i="1"/>
  <c r="AW12" i="1"/>
  <c r="AX12" i="1" s="1"/>
  <c r="AT12" i="1"/>
  <c r="AR12" i="1"/>
  <c r="AM12" i="1"/>
  <c r="AN12" i="1" s="1"/>
  <c r="AL12" i="1"/>
  <c r="AJ12" i="1"/>
  <c r="AF12" i="1"/>
  <c r="AE12" i="1"/>
  <c r="AD12" i="1"/>
  <c r="AB12" i="1"/>
  <c r="U12" i="1"/>
  <c r="P12" i="1"/>
  <c r="V12" i="1" s="1"/>
  <c r="BA12" i="1" s="1"/>
  <c r="N12" i="1"/>
  <c r="M12" i="1"/>
  <c r="O12" i="1" s="1"/>
  <c r="J12" i="1"/>
  <c r="K12" i="1" s="1"/>
  <c r="I12" i="1"/>
  <c r="G12" i="1"/>
  <c r="BK11" i="1"/>
  <c r="BM11" i="1" s="1"/>
  <c r="BC11" i="1"/>
  <c r="AY11" i="1"/>
  <c r="AW11" i="1"/>
  <c r="AX11" i="1" s="1"/>
  <c r="AT11" i="1"/>
  <c r="AR11" i="1"/>
  <c r="AN11" i="1"/>
  <c r="AM11" i="1"/>
  <c r="AL11" i="1"/>
  <c r="AJ11" i="1"/>
  <c r="AE11" i="1"/>
  <c r="AF11" i="1" s="1"/>
  <c r="AD11" i="1"/>
  <c r="AB11" i="1"/>
  <c r="U11" i="1"/>
  <c r="AZ11" i="1" s="1"/>
  <c r="T11" i="1"/>
  <c r="P11" i="1"/>
  <c r="Q11" i="1" s="1"/>
  <c r="O11" i="1"/>
  <c r="N11" i="1"/>
  <c r="M11" i="1"/>
  <c r="J11" i="1"/>
  <c r="K11" i="1" s="1"/>
  <c r="I11" i="1"/>
  <c r="G11" i="1"/>
  <c r="BM10" i="1"/>
  <c r="BK10" i="1"/>
  <c r="BC10" i="1"/>
  <c r="AW10" i="1"/>
  <c r="AX10" i="1" s="1"/>
  <c r="AT10" i="1"/>
  <c r="AR10" i="1"/>
  <c r="AN10" i="1"/>
  <c r="AM10" i="1"/>
  <c r="AL10" i="1"/>
  <c r="AJ10" i="1"/>
  <c r="AE10" i="1"/>
  <c r="AF10" i="1" s="1"/>
  <c r="AD10" i="1"/>
  <c r="AB10" i="1"/>
  <c r="P10" i="1"/>
  <c r="N10" i="1"/>
  <c r="M10" i="1"/>
  <c r="J10" i="1"/>
  <c r="K10" i="1" s="1"/>
  <c r="I10" i="1"/>
  <c r="G10" i="1"/>
  <c r="BK9" i="1"/>
  <c r="BM9" i="1" s="1"/>
  <c r="BC9" i="1"/>
  <c r="BA9" i="1"/>
  <c r="AY9" i="1"/>
  <c r="AW9" i="1"/>
  <c r="AX9" i="1" s="1"/>
  <c r="AT9" i="1"/>
  <c r="AR9" i="1"/>
  <c r="AN9" i="1"/>
  <c r="AM9" i="1"/>
  <c r="AL9" i="1"/>
  <c r="AJ9" i="1"/>
  <c r="AE9" i="1"/>
  <c r="AF9" i="1" s="1"/>
  <c r="AD9" i="1"/>
  <c r="AB9" i="1"/>
  <c r="V9" i="1"/>
  <c r="T9" i="1"/>
  <c r="P9" i="1"/>
  <c r="N9" i="1"/>
  <c r="R9" i="1" s="1"/>
  <c r="S9" i="1" s="1"/>
  <c r="M9" i="1"/>
  <c r="Q9" i="1" s="1"/>
  <c r="K9" i="1"/>
  <c r="J9" i="1"/>
  <c r="I9" i="1"/>
  <c r="G9" i="1"/>
  <c r="BM8" i="1"/>
  <c r="BK8" i="1"/>
  <c r="BC8" i="1"/>
  <c r="AY8" i="1"/>
  <c r="AX8" i="1"/>
  <c r="AW8" i="1"/>
  <c r="AT8" i="1"/>
  <c r="AR8" i="1"/>
  <c r="AN8" i="1"/>
  <c r="AM8" i="1"/>
  <c r="AL8" i="1"/>
  <c r="AJ8" i="1"/>
  <c r="AE8" i="1"/>
  <c r="AD8" i="1"/>
  <c r="AB8" i="1"/>
  <c r="W8" i="1"/>
  <c r="BB8" i="1" s="1"/>
  <c r="R8" i="1"/>
  <c r="P8" i="1"/>
  <c r="Q8" i="1" s="1"/>
  <c r="N8" i="1"/>
  <c r="M8" i="1"/>
  <c r="T8" i="1" s="1"/>
  <c r="J8" i="1"/>
  <c r="K8" i="1" s="1"/>
  <c r="I8" i="1"/>
  <c r="G8" i="1"/>
  <c r="BK7" i="1"/>
  <c r="BM7" i="1" s="1"/>
  <c r="BC7" i="1"/>
  <c r="AZ7" i="1"/>
  <c r="AY7" i="1"/>
  <c r="AW7" i="1"/>
  <c r="AX7" i="1" s="1"/>
  <c r="AT7" i="1"/>
  <c r="AR7" i="1"/>
  <c r="AN7" i="1"/>
  <c r="AM7" i="1"/>
  <c r="AL7" i="1"/>
  <c r="AJ7" i="1"/>
  <c r="AF7" i="1"/>
  <c r="AE7" i="1"/>
  <c r="AD7" i="1"/>
  <c r="AB7" i="1"/>
  <c r="V7" i="1"/>
  <c r="BA7" i="1" s="1"/>
  <c r="T7" i="1"/>
  <c r="R7" i="1"/>
  <c r="S7" i="1" s="1"/>
  <c r="Q7" i="1"/>
  <c r="P7" i="1"/>
  <c r="N7" i="1"/>
  <c r="U7" i="1" s="1"/>
  <c r="M7" i="1"/>
  <c r="O7" i="1" s="1"/>
  <c r="J7" i="1"/>
  <c r="K7" i="1" s="1"/>
  <c r="I7" i="1"/>
  <c r="G7" i="1"/>
  <c r="BK6" i="1"/>
  <c r="BK36" i="1" s="1"/>
  <c r="BK37" i="1" s="1"/>
  <c r="BC6" i="1"/>
  <c r="AY6" i="1"/>
  <c r="AX6" i="1"/>
  <c r="AW6" i="1"/>
  <c r="AT6" i="1"/>
  <c r="AR6" i="1"/>
  <c r="AN6" i="1"/>
  <c r="AM6" i="1"/>
  <c r="AL6" i="1"/>
  <c r="AJ6" i="1"/>
  <c r="AE6" i="1"/>
  <c r="AF6" i="1" s="1"/>
  <c r="AD6" i="1"/>
  <c r="AB6" i="1"/>
  <c r="V6" i="1"/>
  <c r="BA6" i="1" s="1"/>
  <c r="U6" i="1"/>
  <c r="AZ6" i="1" s="1"/>
  <c r="P6" i="1"/>
  <c r="Q6" i="1" s="1"/>
  <c r="N6" i="1"/>
  <c r="O6" i="1" s="1"/>
  <c r="M6" i="1"/>
  <c r="T6" i="1" s="1"/>
  <c r="J6" i="1"/>
  <c r="K6" i="1" s="1"/>
  <c r="I6" i="1"/>
  <c r="J50" i="1" s="1"/>
  <c r="G6" i="1"/>
  <c r="BM5" i="1"/>
  <c r="BK5" i="1"/>
  <c r="BC5" i="1"/>
  <c r="AW5" i="1"/>
  <c r="AX5" i="1" s="1"/>
  <c r="AT5" i="1"/>
  <c r="AR5" i="1"/>
  <c r="AN5" i="1"/>
  <c r="AM5" i="1"/>
  <c r="AL5" i="1"/>
  <c r="AJ5" i="1"/>
  <c r="AF5" i="1"/>
  <c r="AE5" i="1"/>
  <c r="AD5" i="1"/>
  <c r="AB5" i="1"/>
  <c r="U5" i="1"/>
  <c r="AZ5" i="1" s="1"/>
  <c r="T5" i="1"/>
  <c r="P5" i="1"/>
  <c r="R5" i="1" s="1"/>
  <c r="O5" i="1"/>
  <c r="N5" i="1"/>
  <c r="N36" i="1" s="1"/>
  <c r="M5" i="1"/>
  <c r="J5" i="1"/>
  <c r="K5" i="1" s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W37" i="3" l="1"/>
  <c r="AX36" i="3"/>
  <c r="BK36" i="3"/>
  <c r="BK37" i="3" s="1"/>
  <c r="S9" i="3"/>
  <c r="O18" i="3"/>
  <c r="O21" i="3"/>
  <c r="AX23" i="3"/>
  <c r="BB34" i="3"/>
  <c r="I36" i="3"/>
  <c r="AE36" i="3"/>
  <c r="Q7" i="3"/>
  <c r="N36" i="3"/>
  <c r="R7" i="3"/>
  <c r="S7" i="3" s="1"/>
  <c r="T13" i="3"/>
  <c r="S13" i="3"/>
  <c r="O16" i="3"/>
  <c r="Q18" i="3"/>
  <c r="Q22" i="3"/>
  <c r="AY22" i="3"/>
  <c r="T25" i="3"/>
  <c r="T26" i="3"/>
  <c r="BC45" i="3"/>
  <c r="BK71" i="3"/>
  <c r="BG46" i="3" s="1"/>
  <c r="BH46" i="3" s="1"/>
  <c r="AM36" i="3"/>
  <c r="Q11" i="3"/>
  <c r="AY11" i="3"/>
  <c r="AY36" i="3" s="1"/>
  <c r="O13" i="3"/>
  <c r="R16" i="3"/>
  <c r="W16" i="3" s="1"/>
  <c r="BB16" i="3" s="1"/>
  <c r="T21" i="3"/>
  <c r="V24" i="3"/>
  <c r="BA24" i="3" s="1"/>
  <c r="U27" i="3"/>
  <c r="AZ27" i="3" s="1"/>
  <c r="R27" i="3"/>
  <c r="Q8" i="3"/>
  <c r="S10" i="3"/>
  <c r="R11" i="3"/>
  <c r="W11" i="3" s="1"/>
  <c r="BB11" i="3" s="1"/>
  <c r="O11" i="3"/>
  <c r="Q13" i="3"/>
  <c r="U18" i="3"/>
  <c r="AZ18" i="3" s="1"/>
  <c r="Q19" i="3"/>
  <c r="AY21" i="3"/>
  <c r="S22" i="3"/>
  <c r="Q25" i="3"/>
  <c r="Q26" i="3"/>
  <c r="O27" i="3"/>
  <c r="AY28" i="3"/>
  <c r="T28" i="3"/>
  <c r="U29" i="3"/>
  <c r="AZ29" i="3" s="1"/>
  <c r="R29" i="3"/>
  <c r="S29" i="3" s="1"/>
  <c r="BI46" i="3"/>
  <c r="W5" i="3"/>
  <c r="W27" i="3"/>
  <c r="BB27" i="3" s="1"/>
  <c r="O10" i="3"/>
  <c r="I6" i="3"/>
  <c r="J50" i="3" s="1"/>
  <c r="R5" i="3"/>
  <c r="R8" i="3"/>
  <c r="S8" i="3" s="1"/>
  <c r="T10" i="3"/>
  <c r="T36" i="3" s="1"/>
  <c r="T14" i="3"/>
  <c r="S14" i="3"/>
  <c r="AR49" i="3"/>
  <c r="AR50" i="3" s="1"/>
  <c r="AY16" i="3"/>
  <c r="U17" i="3"/>
  <c r="AZ17" i="3" s="1"/>
  <c r="R17" i="3"/>
  <c r="S17" i="3" s="1"/>
  <c r="R19" i="3"/>
  <c r="S19" i="3" s="1"/>
  <c r="T22" i="3"/>
  <c r="AY25" i="3"/>
  <c r="AY26" i="3"/>
  <c r="U28" i="3"/>
  <c r="AZ28" i="3" s="1"/>
  <c r="R28" i="3"/>
  <c r="S28" i="3" s="1"/>
  <c r="O29" i="3"/>
  <c r="AT37" i="3"/>
  <c r="BI71" i="3"/>
  <c r="BJ71" i="3"/>
  <c r="S11" i="3"/>
  <c r="U14" i="3"/>
  <c r="AZ14" i="3" s="1"/>
  <c r="R14" i="3"/>
  <c r="W14" i="3" s="1"/>
  <c r="BB14" i="3" s="1"/>
  <c r="O14" i="3"/>
  <c r="AS49" i="3"/>
  <c r="AS50" i="3" s="1"/>
  <c r="T15" i="3"/>
  <c r="S15" i="3"/>
  <c r="X53" i="3"/>
  <c r="Y58" i="3"/>
  <c r="U5" i="3"/>
  <c r="W18" i="3"/>
  <c r="BB18" i="3" s="1"/>
  <c r="V28" i="3"/>
  <c r="BA28" i="3" s="1"/>
  <c r="Q28" i="3"/>
  <c r="Q29" i="3"/>
  <c r="R30" i="3"/>
  <c r="S30" i="3" s="1"/>
  <c r="T35" i="3"/>
  <c r="Q35" i="3"/>
  <c r="K13" i="3"/>
  <c r="O5" i="3"/>
  <c r="Q10" i="3"/>
  <c r="V16" i="3"/>
  <c r="BA16" i="3" s="1"/>
  <c r="Q16" i="3"/>
  <c r="U26" i="3"/>
  <c r="AZ26" i="3" s="1"/>
  <c r="R26" i="3"/>
  <c r="S26" i="3" s="1"/>
  <c r="O26" i="3"/>
  <c r="V5" i="3"/>
  <c r="U11" i="3"/>
  <c r="AZ11" i="3" s="1"/>
  <c r="AY13" i="3"/>
  <c r="Q14" i="3"/>
  <c r="O15" i="3"/>
  <c r="Q17" i="3"/>
  <c r="W21" i="3"/>
  <c r="BB21" i="3" s="1"/>
  <c r="W22" i="3"/>
  <c r="BB22" i="3" s="1"/>
  <c r="BM5" i="3"/>
  <c r="BM36" i="3" s="1"/>
  <c r="K6" i="3"/>
  <c r="J36" i="3"/>
  <c r="S21" i="3"/>
  <c r="R22" i="3"/>
  <c r="O22" i="3"/>
  <c r="T27" i="3"/>
  <c r="S27" i="3"/>
  <c r="P6" i="3"/>
  <c r="T11" i="3"/>
  <c r="J49" i="3"/>
  <c r="W8" i="3"/>
  <c r="BB8" i="3" s="1"/>
  <c r="O12" i="3"/>
  <c r="AY14" i="3"/>
  <c r="U23" i="3"/>
  <c r="AZ23" i="3" s="1"/>
  <c r="Q31" i="3"/>
  <c r="W32" i="3"/>
  <c r="BB32" i="3" s="1"/>
  <c r="G36" i="3"/>
  <c r="W33" i="3"/>
  <c r="BB33" i="3" s="1"/>
  <c r="U8" i="3"/>
  <c r="AZ8" i="3" s="1"/>
  <c r="S18" i="3"/>
  <c r="O25" i="3"/>
  <c r="Q27" i="3"/>
  <c r="O35" i="3"/>
  <c r="X56" i="3"/>
  <c r="W31" i="3"/>
  <c r="BB31" i="3" s="1"/>
  <c r="M36" i="3"/>
  <c r="N38" i="3" s="1"/>
  <c r="W7" i="3"/>
  <c r="BB7" i="3" s="1"/>
  <c r="W30" i="3"/>
  <c r="BB30" i="3" s="1"/>
  <c r="R35" i="3"/>
  <c r="W35" i="3" s="1"/>
  <c r="BB35" i="3" s="1"/>
  <c r="W29" i="3"/>
  <c r="BB29" i="3" s="1"/>
  <c r="R25" i="3"/>
  <c r="S25" i="3" s="1"/>
  <c r="W17" i="3"/>
  <c r="BB17" i="3" s="1"/>
  <c r="S24" i="3"/>
  <c r="AB36" i="3"/>
  <c r="AN36" i="2"/>
  <c r="AM37" i="2"/>
  <c r="BM36" i="2"/>
  <c r="BI46" i="2"/>
  <c r="BK71" i="2"/>
  <c r="BG46" i="2" s="1"/>
  <c r="BH46" i="2" s="1"/>
  <c r="J36" i="2"/>
  <c r="W12" i="2"/>
  <c r="BB12" i="2" s="1"/>
  <c r="BB8" i="2"/>
  <c r="Q10" i="2"/>
  <c r="Q17" i="2"/>
  <c r="T17" i="2"/>
  <c r="O19" i="2"/>
  <c r="AF20" i="2"/>
  <c r="Q31" i="2"/>
  <c r="K32" i="2"/>
  <c r="BK36" i="2"/>
  <c r="BK37" i="2" s="1"/>
  <c r="BJ71" i="2"/>
  <c r="R14" i="2"/>
  <c r="O31" i="2"/>
  <c r="BA5" i="2"/>
  <c r="Q6" i="2"/>
  <c r="O8" i="2"/>
  <c r="R10" i="2"/>
  <c r="W11" i="2"/>
  <c r="BB11" i="2" s="1"/>
  <c r="Q12" i="2"/>
  <c r="O17" i="2"/>
  <c r="Q19" i="2"/>
  <c r="S24" i="2"/>
  <c r="Q32" i="2"/>
  <c r="T32" i="2"/>
  <c r="W33" i="2"/>
  <c r="BB33" i="2" s="1"/>
  <c r="R6" i="2"/>
  <c r="U6" i="2"/>
  <c r="AZ6" i="2" s="1"/>
  <c r="T8" i="2"/>
  <c r="S8" i="2"/>
  <c r="O12" i="2"/>
  <c r="BB15" i="2"/>
  <c r="K17" i="2"/>
  <c r="O22" i="2"/>
  <c r="Q24" i="2"/>
  <c r="S6" i="2"/>
  <c r="T9" i="2"/>
  <c r="S9" i="2"/>
  <c r="AY9" i="2"/>
  <c r="R12" i="2"/>
  <c r="T19" i="2"/>
  <c r="R22" i="2"/>
  <c r="T24" i="2"/>
  <c r="R25" i="2"/>
  <c r="S25" i="2" s="1"/>
  <c r="W30" i="2"/>
  <c r="BB30" i="2" s="1"/>
  <c r="R32" i="2"/>
  <c r="W32" i="2" s="1"/>
  <c r="BB32" i="2" s="1"/>
  <c r="O32" i="2"/>
  <c r="U32" i="2"/>
  <c r="AZ32" i="2" s="1"/>
  <c r="N36" i="2"/>
  <c r="AE36" i="2"/>
  <c r="BI71" i="2"/>
  <c r="T6" i="2"/>
  <c r="Q8" i="2"/>
  <c r="S12" i="2"/>
  <c r="V14" i="2"/>
  <c r="BA14" i="2" s="1"/>
  <c r="U19" i="2"/>
  <c r="AZ19" i="2" s="1"/>
  <c r="T20" i="2"/>
  <c r="S20" i="2"/>
  <c r="T33" i="2"/>
  <c r="S33" i="2"/>
  <c r="R27" i="2"/>
  <c r="Q27" i="2"/>
  <c r="H36" i="2"/>
  <c r="P28" i="2"/>
  <c r="Q28" i="2" s="1"/>
  <c r="AW36" i="2"/>
  <c r="K6" i="2"/>
  <c r="Q7" i="2"/>
  <c r="V7" i="2"/>
  <c r="BA7" i="2" s="1"/>
  <c r="K19" i="2"/>
  <c r="Q21" i="2"/>
  <c r="I28" i="2"/>
  <c r="Q35" i="2"/>
  <c r="AB37" i="2"/>
  <c r="Q5" i="2"/>
  <c r="T5" i="2"/>
  <c r="R29" i="2"/>
  <c r="Q29" i="2"/>
  <c r="T34" i="2"/>
  <c r="S34" i="2"/>
  <c r="AY34" i="2"/>
  <c r="AT37" i="2"/>
  <c r="O9" i="2"/>
  <c r="V28" i="2"/>
  <c r="BA28" i="2" s="1"/>
  <c r="W31" i="2"/>
  <c r="BB31" i="2" s="1"/>
  <c r="O5" i="2"/>
  <c r="W6" i="2"/>
  <c r="BB6" i="2" s="1"/>
  <c r="BC36" i="2"/>
  <c r="BC37" i="2" s="1"/>
  <c r="AY8" i="2"/>
  <c r="U12" i="2"/>
  <c r="AZ12" i="2" s="1"/>
  <c r="AY19" i="2"/>
  <c r="O20" i="2"/>
  <c r="T21" i="2"/>
  <c r="S21" i="2"/>
  <c r="AY21" i="2"/>
  <c r="U25" i="2"/>
  <c r="AZ25" i="2" s="1"/>
  <c r="O33" i="2"/>
  <c r="U34" i="2"/>
  <c r="AZ34" i="2" s="1"/>
  <c r="R34" i="2"/>
  <c r="U24" i="2"/>
  <c r="AZ24" i="2" s="1"/>
  <c r="O24" i="2"/>
  <c r="U8" i="2"/>
  <c r="AZ8" i="2" s="1"/>
  <c r="P36" i="2"/>
  <c r="Q15" i="2"/>
  <c r="R18" i="2"/>
  <c r="O18" i="2"/>
  <c r="U18" i="2"/>
  <c r="AZ18" i="2" s="1"/>
  <c r="Q20" i="2"/>
  <c r="U21" i="2"/>
  <c r="AZ21" i="2" s="1"/>
  <c r="R21" i="2"/>
  <c r="W21" i="2" s="1"/>
  <c r="BB21" i="2" s="1"/>
  <c r="Q23" i="2"/>
  <c r="W24" i="2"/>
  <c r="BB24" i="2" s="1"/>
  <c r="F36" i="2"/>
  <c r="N28" i="2"/>
  <c r="J28" i="2"/>
  <c r="AY32" i="2"/>
  <c r="Q33" i="2"/>
  <c r="V33" i="2"/>
  <c r="BA33" i="2" s="1"/>
  <c r="O34" i="2"/>
  <c r="AX5" i="2"/>
  <c r="O10" i="2"/>
  <c r="T31" i="2"/>
  <c r="S31" i="2"/>
  <c r="R35" i="2"/>
  <c r="T12" i="2"/>
  <c r="R5" i="2"/>
  <c r="R7" i="2"/>
  <c r="W7" i="2" s="1"/>
  <c r="BB7" i="2" s="1"/>
  <c r="R9" i="2"/>
  <c r="W9" i="2" s="1"/>
  <c r="BB9" i="2" s="1"/>
  <c r="Q11" i="2"/>
  <c r="AY17" i="2"/>
  <c r="AY36" i="2" s="1"/>
  <c r="Q18" i="2"/>
  <c r="U20" i="2"/>
  <c r="AZ20" i="2" s="1"/>
  <c r="O21" i="2"/>
  <c r="R23" i="2"/>
  <c r="S23" i="2" s="1"/>
  <c r="G28" i="2"/>
  <c r="U33" i="2"/>
  <c r="AZ33" i="2" s="1"/>
  <c r="AY33" i="2"/>
  <c r="O35" i="2"/>
  <c r="X57" i="2"/>
  <c r="Y58" i="2"/>
  <c r="W34" i="2"/>
  <c r="BB34" i="2" s="1"/>
  <c r="V19" i="2"/>
  <c r="BA19" i="2" s="1"/>
  <c r="S30" i="2"/>
  <c r="W26" i="2"/>
  <c r="BB26" i="2" s="1"/>
  <c r="W13" i="2"/>
  <c r="BB13" i="2" s="1"/>
  <c r="W25" i="2"/>
  <c r="BB25" i="2" s="1"/>
  <c r="AB36" i="2"/>
  <c r="AD36" i="2"/>
  <c r="BF42" i="1"/>
  <c r="BF46" i="1" s="1"/>
  <c r="AT37" i="1"/>
  <c r="W5" i="1"/>
  <c r="BM36" i="1"/>
  <c r="BB31" i="1"/>
  <c r="F37" i="1"/>
  <c r="G37" i="1" s="1"/>
  <c r="G36" i="1"/>
  <c r="Q35" i="1"/>
  <c r="W21" i="1"/>
  <c r="BB21" i="1" s="1"/>
  <c r="K24" i="1"/>
  <c r="J36" i="1"/>
  <c r="U9" i="1"/>
  <c r="AZ9" i="1" s="1"/>
  <c r="R10" i="1"/>
  <c r="W10" i="1" s="1"/>
  <c r="BB10" i="1" s="1"/>
  <c r="V11" i="1"/>
  <c r="BA11" i="1" s="1"/>
  <c r="O14" i="1"/>
  <c r="R16" i="1"/>
  <c r="S16" i="1" s="1"/>
  <c r="T24" i="1"/>
  <c r="S24" i="1"/>
  <c r="Q26" i="1"/>
  <c r="U27" i="1"/>
  <c r="AZ27" i="1" s="1"/>
  <c r="O27" i="1"/>
  <c r="W32" i="1"/>
  <c r="BB32" i="1" s="1"/>
  <c r="U35" i="1"/>
  <c r="AZ35" i="1" s="1"/>
  <c r="I37" i="1"/>
  <c r="W7" i="1"/>
  <c r="BB7" i="1" s="1"/>
  <c r="O8" i="1"/>
  <c r="O10" i="1"/>
  <c r="W11" i="1"/>
  <c r="BB11" i="1" s="1"/>
  <c r="AR49" i="1"/>
  <c r="AR50" i="1" s="1"/>
  <c r="O16" i="1"/>
  <c r="W17" i="1"/>
  <c r="BB17" i="1" s="1"/>
  <c r="W18" i="1"/>
  <c r="BB18" i="1" s="1"/>
  <c r="U23" i="1"/>
  <c r="AZ23" i="1" s="1"/>
  <c r="R26" i="1"/>
  <c r="W28" i="1"/>
  <c r="T29" i="1"/>
  <c r="O30" i="1"/>
  <c r="S33" i="1"/>
  <c r="X59" i="1"/>
  <c r="X58" i="1"/>
  <c r="N37" i="1"/>
  <c r="O37" i="1" s="1"/>
  <c r="BK50" i="1"/>
  <c r="BK71" i="1" s="1"/>
  <c r="BG46" i="1" s="1"/>
  <c r="BH46" i="1" s="1"/>
  <c r="BI71" i="1"/>
  <c r="Q5" i="1"/>
  <c r="S10" i="1"/>
  <c r="AY10" i="1"/>
  <c r="Q10" i="1"/>
  <c r="Q14" i="1"/>
  <c r="W26" i="1"/>
  <c r="BB26" i="1" s="1"/>
  <c r="Q27" i="1"/>
  <c r="V30" i="1"/>
  <c r="BA30" i="1" s="1"/>
  <c r="Q30" i="1"/>
  <c r="T33" i="1"/>
  <c r="P36" i="1"/>
  <c r="V5" i="1"/>
  <c r="K23" i="1"/>
  <c r="O35" i="1"/>
  <c r="V25" i="1"/>
  <c r="BA25" i="1" s="1"/>
  <c r="R14" i="1"/>
  <c r="W15" i="1"/>
  <c r="BB15" i="1" s="1"/>
  <c r="Q16" i="1"/>
  <c r="J49" i="1"/>
  <c r="R6" i="1"/>
  <c r="R36" i="1" s="1"/>
  <c r="S8" i="1"/>
  <c r="W9" i="1"/>
  <c r="BB9" i="1" s="1"/>
  <c r="U10" i="1"/>
  <c r="AZ10" i="1" s="1"/>
  <c r="R12" i="1"/>
  <c r="W12" i="1" s="1"/>
  <c r="BB12" i="1" s="1"/>
  <c r="S22" i="1"/>
  <c r="AY22" i="1"/>
  <c r="Q24" i="1"/>
  <c r="S27" i="1"/>
  <c r="AY27" i="1"/>
  <c r="X53" i="1"/>
  <c r="O9" i="1"/>
  <c r="K33" i="1"/>
  <c r="R13" i="1"/>
  <c r="W16" i="1"/>
  <c r="BB16" i="1" s="1"/>
  <c r="Q25" i="1"/>
  <c r="S26" i="1"/>
  <c r="T26" i="1"/>
  <c r="W27" i="1"/>
  <c r="BB27" i="1" s="1"/>
  <c r="O29" i="1"/>
  <c r="AM36" i="1"/>
  <c r="AF8" i="1"/>
  <c r="AE36" i="1"/>
  <c r="S20" i="1"/>
  <c r="O33" i="1"/>
  <c r="BM6" i="1"/>
  <c r="T12" i="1"/>
  <c r="S12" i="1"/>
  <c r="O23" i="1"/>
  <c r="R27" i="1"/>
  <c r="S14" i="1"/>
  <c r="BC36" i="1"/>
  <c r="BC37" i="1" s="1"/>
  <c r="AY14" i="1"/>
  <c r="T21" i="1"/>
  <c r="V24" i="1"/>
  <c r="BA24" i="1" s="1"/>
  <c r="T25" i="1"/>
  <c r="S25" i="1"/>
  <c r="O28" i="1"/>
  <c r="U30" i="1"/>
  <c r="AZ30" i="1" s="1"/>
  <c r="Q31" i="1"/>
  <c r="AY33" i="1"/>
  <c r="R34" i="1"/>
  <c r="S34" i="1" s="1"/>
  <c r="O34" i="1"/>
  <c r="S35" i="1"/>
  <c r="AY35" i="1"/>
  <c r="Q13" i="1"/>
  <c r="W14" i="1"/>
  <c r="BB14" i="1" s="1"/>
  <c r="V15" i="1"/>
  <c r="BA15" i="1" s="1"/>
  <c r="Q15" i="1"/>
  <c r="BJ71" i="1"/>
  <c r="R29" i="1"/>
  <c r="S29" i="1" s="1"/>
  <c r="T35" i="1"/>
  <c r="R21" i="1"/>
  <c r="S21" i="1" s="1"/>
  <c r="O21" i="1"/>
  <c r="T10" i="1"/>
  <c r="T36" i="1" s="1"/>
  <c r="Q12" i="1"/>
  <c r="V10" i="1"/>
  <c r="BA10" i="1" s="1"/>
  <c r="M36" i="1"/>
  <c r="N38" i="1" s="1"/>
  <c r="U8" i="1"/>
  <c r="AZ8" i="1" s="1"/>
  <c r="AZ36" i="1" s="1"/>
  <c r="AZ37" i="1" s="1"/>
  <c r="R11" i="1"/>
  <c r="S11" i="1" s="1"/>
  <c r="U13" i="1"/>
  <c r="AZ13" i="1" s="1"/>
  <c r="O13" i="1"/>
  <c r="U16" i="1"/>
  <c r="AZ16" i="1" s="1"/>
  <c r="U21" i="1"/>
  <c r="AZ21" i="1" s="1"/>
  <c r="O22" i="1"/>
  <c r="AW28" i="1"/>
  <c r="AX28" i="1" s="1"/>
  <c r="AR28" i="1"/>
  <c r="Q34" i="1"/>
  <c r="AL37" i="1"/>
  <c r="W35" i="1"/>
  <c r="BB35" i="1" s="1"/>
  <c r="S5" i="1"/>
  <c r="V8" i="1"/>
  <c r="BA8" i="1" s="1"/>
  <c r="O26" i="1"/>
  <c r="Q28" i="1"/>
  <c r="Q29" i="1"/>
  <c r="AY5" i="1"/>
  <c r="K17" i="1"/>
  <c r="W30" i="1"/>
  <c r="BB30" i="1" s="1"/>
  <c r="K31" i="1"/>
  <c r="S23" i="1"/>
  <c r="BD38" i="3" l="1"/>
  <c r="AF36" i="3"/>
  <c r="AE37" i="3"/>
  <c r="BB5" i="3"/>
  <c r="X59" i="3"/>
  <c r="X58" i="3"/>
  <c r="S16" i="3"/>
  <c r="W19" i="3"/>
  <c r="BB19" i="3" s="1"/>
  <c r="W28" i="3"/>
  <c r="BB28" i="3" s="1"/>
  <c r="Q6" i="3"/>
  <c r="V6" i="3"/>
  <c r="BA6" i="3" s="1"/>
  <c r="W25" i="3"/>
  <c r="BB25" i="3" s="1"/>
  <c r="W26" i="3"/>
  <c r="BB26" i="3" s="1"/>
  <c r="S5" i="3"/>
  <c r="AX38" i="3"/>
  <c r="AX48" i="3"/>
  <c r="AX37" i="3"/>
  <c r="AX50" i="3"/>
  <c r="AX51" i="3" s="1"/>
  <c r="AW46" i="3"/>
  <c r="AW47" i="3" s="1"/>
  <c r="AX47" i="3"/>
  <c r="AZ5" i="3"/>
  <c r="AZ36" i="3" s="1"/>
  <c r="AZ37" i="3" s="1"/>
  <c r="U36" i="3"/>
  <c r="U37" i="3" s="1"/>
  <c r="AM37" i="3"/>
  <c r="AN36" i="3"/>
  <c r="BA5" i="3"/>
  <c r="R6" i="3"/>
  <c r="S35" i="3"/>
  <c r="O36" i="3"/>
  <c r="N37" i="3"/>
  <c r="O37" i="3" s="1"/>
  <c r="J37" i="3"/>
  <c r="K36" i="3"/>
  <c r="P36" i="3"/>
  <c r="O36" i="2"/>
  <c r="N37" i="2"/>
  <c r="O37" i="2" s="1"/>
  <c r="K28" i="2"/>
  <c r="S7" i="2"/>
  <c r="Q36" i="2"/>
  <c r="P37" i="2"/>
  <c r="Q37" i="2" s="1"/>
  <c r="F37" i="2"/>
  <c r="G37" i="2" s="1"/>
  <c r="K37" i="2" s="1"/>
  <c r="G36" i="2"/>
  <c r="S32" i="2"/>
  <c r="W23" i="2"/>
  <c r="BB23" i="2" s="1"/>
  <c r="X59" i="2"/>
  <c r="X58" i="2"/>
  <c r="U28" i="2"/>
  <c r="AZ28" i="2" s="1"/>
  <c r="AZ36" i="2" s="1"/>
  <c r="AZ37" i="2" s="1"/>
  <c r="O28" i="2"/>
  <c r="R28" i="2"/>
  <c r="S28" i="2" s="1"/>
  <c r="S35" i="2"/>
  <c r="W35" i="2"/>
  <c r="BB35" i="2" s="1"/>
  <c r="AW37" i="2"/>
  <c r="AX36" i="2"/>
  <c r="V36" i="2"/>
  <c r="V37" i="2" s="1"/>
  <c r="BC45" i="2"/>
  <c r="BD45" i="2"/>
  <c r="S29" i="2"/>
  <c r="W29" i="2"/>
  <c r="BB29" i="2" s="1"/>
  <c r="S22" i="2"/>
  <c r="W22" i="2"/>
  <c r="BB22" i="2" s="1"/>
  <c r="W10" i="2"/>
  <c r="BB10" i="2" s="1"/>
  <c r="S10" i="2"/>
  <c r="AN38" i="2"/>
  <c r="AN37" i="2"/>
  <c r="AN47" i="2"/>
  <c r="AM46" i="2"/>
  <c r="AM47" i="2" s="1"/>
  <c r="W18" i="2"/>
  <c r="BB18" i="2" s="1"/>
  <c r="S18" i="2"/>
  <c r="J37" i="2"/>
  <c r="K36" i="2"/>
  <c r="T36" i="2"/>
  <c r="BD38" i="2" s="1"/>
  <c r="H37" i="2"/>
  <c r="I37" i="2" s="1"/>
  <c r="I36" i="2"/>
  <c r="U36" i="2"/>
  <c r="U37" i="2" s="1"/>
  <c r="W14" i="2"/>
  <c r="BB14" i="2" s="1"/>
  <c r="S14" i="2"/>
  <c r="R36" i="2"/>
  <c r="W5" i="2"/>
  <c r="S5" i="2"/>
  <c r="S27" i="2"/>
  <c r="W27" i="2"/>
  <c r="BB27" i="2" s="1"/>
  <c r="AE37" i="2"/>
  <c r="AF36" i="2"/>
  <c r="BA36" i="2"/>
  <c r="BA37" i="2" s="1"/>
  <c r="S36" i="1"/>
  <c r="R37" i="1"/>
  <c r="U36" i="1"/>
  <c r="U37" i="1" s="1"/>
  <c r="AM37" i="1"/>
  <c r="AN36" i="1"/>
  <c r="AW36" i="1"/>
  <c r="BD45" i="1"/>
  <c r="BC45" i="1"/>
  <c r="K37" i="1"/>
  <c r="S6" i="1"/>
  <c r="W6" i="1"/>
  <c r="BB6" i="1" s="1"/>
  <c r="AE37" i="1"/>
  <c r="AF36" i="1"/>
  <c r="BA5" i="1"/>
  <c r="BA36" i="1" s="1"/>
  <c r="BA37" i="1" s="1"/>
  <c r="V36" i="1"/>
  <c r="V37" i="1" s="1"/>
  <c r="BB5" i="1"/>
  <c r="AY36" i="1"/>
  <c r="BD38" i="1" s="1"/>
  <c r="BB28" i="1"/>
  <c r="Q36" i="1"/>
  <c r="P37" i="1"/>
  <c r="Q37" i="1" s="1"/>
  <c r="O36" i="1"/>
  <c r="W29" i="1"/>
  <c r="BB29" i="1" s="1"/>
  <c r="W13" i="1"/>
  <c r="BB13" i="1" s="1"/>
  <c r="S13" i="1"/>
  <c r="W34" i="1"/>
  <c r="BB34" i="1" s="1"/>
  <c r="J37" i="1"/>
  <c r="K36" i="1"/>
  <c r="BI46" i="1"/>
  <c r="Q36" i="3" l="1"/>
  <c r="P37" i="3"/>
  <c r="Q37" i="3" s="1"/>
  <c r="J46" i="3"/>
  <c r="J47" i="3" s="1"/>
  <c r="K47" i="3"/>
  <c r="K38" i="3"/>
  <c r="V36" i="3"/>
  <c r="V37" i="3" s="1"/>
  <c r="AF47" i="3"/>
  <c r="AF38" i="3"/>
  <c r="AF37" i="3"/>
  <c r="AE46" i="3"/>
  <c r="AE47" i="3" s="1"/>
  <c r="S6" i="3"/>
  <c r="W6" i="3"/>
  <c r="R36" i="3"/>
  <c r="BA36" i="3"/>
  <c r="BA37" i="3" s="1"/>
  <c r="AN47" i="3"/>
  <c r="AN38" i="3"/>
  <c r="AN37" i="3"/>
  <c r="AM46" i="3"/>
  <c r="AM47" i="3" s="1"/>
  <c r="BB5" i="2"/>
  <c r="R37" i="2"/>
  <c r="S36" i="2"/>
  <c r="AX38" i="2"/>
  <c r="AX50" i="2"/>
  <c r="AX51" i="2" s="1"/>
  <c r="AV46" i="2"/>
  <c r="AV47" i="2" s="1"/>
  <c r="AX37" i="2"/>
  <c r="AW46" i="2"/>
  <c r="AW47" i="2" s="1"/>
  <c r="AX48" i="2"/>
  <c r="AX47" i="2"/>
  <c r="W28" i="2"/>
  <c r="BB28" i="2" s="1"/>
  <c r="AE46" i="2"/>
  <c r="AE47" i="2" s="1"/>
  <c r="AF37" i="2"/>
  <c r="AF38" i="2"/>
  <c r="AF47" i="2"/>
  <c r="K38" i="2"/>
  <c r="K47" i="2"/>
  <c r="J46" i="2"/>
  <c r="J47" i="2" s="1"/>
  <c r="AF47" i="1"/>
  <c r="AF38" i="1"/>
  <c r="AE46" i="1"/>
  <c r="AE47" i="1" s="1"/>
  <c r="AF37" i="1"/>
  <c r="W36" i="1"/>
  <c r="W37" i="1" s="1"/>
  <c r="AN38" i="1"/>
  <c r="AN37" i="1"/>
  <c r="AM46" i="1"/>
  <c r="AM47" i="1" s="1"/>
  <c r="AN47" i="1"/>
  <c r="J46" i="1"/>
  <c r="J47" i="1" s="1"/>
  <c r="K47" i="1"/>
  <c r="K38" i="1"/>
  <c r="AW37" i="1"/>
  <c r="AX36" i="1"/>
  <c r="BB36" i="1"/>
  <c r="R46" i="1"/>
  <c r="R47" i="1" s="1"/>
  <c r="S37" i="1"/>
  <c r="S47" i="1"/>
  <c r="S38" i="1"/>
  <c r="R37" i="3" l="1"/>
  <c r="S36" i="3"/>
  <c r="BB6" i="3"/>
  <c r="BB36" i="3" s="1"/>
  <c r="W36" i="3"/>
  <c r="W37" i="3" s="1"/>
  <c r="S38" i="2"/>
  <c r="S37" i="2"/>
  <c r="S47" i="2"/>
  <c r="R46" i="2"/>
  <c r="R47" i="2" s="1"/>
  <c r="W36" i="2"/>
  <c r="W37" i="2" s="1"/>
  <c r="BB36" i="2"/>
  <c r="BB37" i="1"/>
  <c r="BB39" i="1"/>
  <c r="BC39" i="1" s="1"/>
  <c r="X47" i="1"/>
  <c r="W46" i="1"/>
  <c r="W47" i="1" s="1"/>
  <c r="W38" i="1"/>
  <c r="AX47" i="1"/>
  <c r="AX37" i="1"/>
  <c r="AX38" i="1"/>
  <c r="AV46" i="1"/>
  <c r="AV47" i="1" s="1"/>
  <c r="AW46" i="1"/>
  <c r="AW47" i="1" s="1"/>
  <c r="BB37" i="3" l="1"/>
  <c r="BB39" i="3"/>
  <c r="BC39" i="3" s="1"/>
  <c r="X47" i="3"/>
  <c r="W38" i="3"/>
  <c r="W46" i="3"/>
  <c r="W47" i="3" s="1"/>
  <c r="R46" i="3"/>
  <c r="R47" i="3" s="1"/>
  <c r="S37" i="3"/>
  <c r="S47" i="3"/>
  <c r="S38" i="3"/>
  <c r="BB39" i="2"/>
  <c r="BC39" i="2" s="1"/>
  <c r="BB37" i="2"/>
  <c r="X47" i="2"/>
  <c r="W38" i="2"/>
  <c r="W46" i="2"/>
  <c r="W47" i="2" s="1"/>
  <c r="BC46" i="1"/>
  <c r="BB43" i="1"/>
  <c r="BB40" i="1"/>
  <c r="BC41" i="1" s="1"/>
  <c r="BC38" i="1"/>
  <c r="BB45" i="1"/>
  <c r="BB46" i="1" s="1"/>
  <c r="BB43" i="3" l="1"/>
  <c r="BC46" i="3"/>
  <c r="BB40" i="3"/>
  <c r="BC41" i="3" s="1"/>
  <c r="BB45" i="3"/>
  <c r="BB46" i="3" s="1"/>
  <c r="BC38" i="3"/>
  <c r="BC38" i="2"/>
  <c r="BB45" i="2"/>
  <c r="BB46" i="2" s="1"/>
  <c r="BB40" i="2"/>
  <c r="BC41" i="2" s="1"/>
  <c r="BB43" i="2"/>
  <c r="BC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B849752-3871-7547-B1C1-A931DE43FFD2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3496E29-9385-9A46-ACA5-8BBA38179D2C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5135B421-7765-CA4E-BD29-E1AA069992D5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<sst xmlns="http://schemas.openxmlformats.org/spreadsheetml/2006/main" count="508" uniqueCount="104">
  <si>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</si>
  <si>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</si>
  <si>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</si>
  <si>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</si>
  <si>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</si>
  <si>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</si>
  <si>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</si>
  <si>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</si>
  <si>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9/8まで　ピコレコラボ9/14~10/6まで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</si>
  <si>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</si>
  <si>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</si>
  <si>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</si>
  <si>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</si>
  <si>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</si>
  <si>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</si>
  <si>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</si>
  <si>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</si>
  <si>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</si>
  <si>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</si>
  <si>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</si>
  <si>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</si>
  <si>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</si>
  <si>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</si>
  <si>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</si>
  <si>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</si>
  <si>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</si>
  <si>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</si>
  <si>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</si>
  <si>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</si>
  <si>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</si>
  <si>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</si>
  <si>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</si>
  <si>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</si>
  <si>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</si>
  <si>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</si>
  <si>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</si>
  <si>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</si>
  <si>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</si>
  <si>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</si>
  <si>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</si>
  <si>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</si>
  <si>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割引</t>
    <rPh sb="0" eb="2">
      <t>ワリビキ</t>
    </rPh>
    <phoneticPr fontId="11"/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</si>
  <si>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</si>
  <si>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</si>
  <si>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</si>
  <si>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</si>
  <si>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</si>
  <si>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</si>
  <si>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</si>
  <si>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</si>
  <si>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</si>
  <si>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</si>
  <si>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</si>
  <si>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</si>
  <si>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</si>
  <si>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</si>
  <si>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</si>
  <si>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</si>
  <si>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</si>
  <si>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</si>
  <si>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</si>
  <si>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</si>
  <si>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</si>
  <si>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</si>
  <si>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</si>
  <si>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</si>
  <si>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</si>
  <si>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</si>
  <si>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</si>
  <si>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</si>
  <si>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</si>
  <si>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</si>
  <si>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</si>
  <si>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</si>
  <si>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</si>
  <si>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</si>
  <si>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</si>
  <si>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</si>
  <si>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</si>
  <si>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</si>
  <si>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</si>
  <si>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</si>
  <si>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</si>
  <si>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</si>
  <si>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</si>
  <si>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</si>
  <si>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</si>
  <si>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</si>
  <si>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</si>
  <si>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</si>
  <si>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</si>
  <si>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</si>
  <si>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</si>
  <si>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</si>
  <si>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</si>
  <si>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</si>
  <si>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</si>
  <si>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</si>
  <si>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</si>
  <si>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</si>
  <si>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</si>
  <si>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</si>
  <si>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</si>
  <si>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宴会コーヒーケーキ6個イートイン売上</t>
    <rPh sb="0" eb="2">
      <t>エンカイ</t>
    </rPh>
    <rPh sb="10" eb="11">
      <t>コ</t>
    </rPh>
    <rPh sb="16" eb="18">
      <t>ウリアゲ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</si>
</sst>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sz val="11"/>
      <color indexed="10"/>
      <name val="游ゴシック"/>
      <family val="3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5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 wrapText="1"/>
    </xf>
    <xf numFmtId="0" fontId="9" fillId="6" borderId="6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2" xfId="3" applyNumberFormat="1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5" borderId="13" xfId="3" applyFont="1" applyFill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6" borderId="13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38" fontId="5" fillId="0" borderId="21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0" fillId="0" borderId="22" xfId="3" applyNumberFormat="1" applyFont="1" applyBorder="1" applyAlignment="1">
      <alignment horizontal="left"/>
    </xf>
    <xf numFmtId="38" fontId="3" fillId="0" borderId="22" xfId="3" applyNumberFormat="1" applyFont="1" applyBorder="1"/>
    <xf numFmtId="179" fontId="3" fillId="0" borderId="23" xfId="3" applyNumberFormat="1" applyFont="1" applyBorder="1"/>
    <xf numFmtId="180" fontId="3" fillId="2" borderId="23" xfId="4" applyNumberFormat="1" applyFont="1" applyFill="1" applyBorder="1"/>
    <xf numFmtId="38" fontId="3" fillId="8" borderId="23" xfId="4" applyFont="1" applyFill="1" applyBorder="1"/>
    <xf numFmtId="38" fontId="5" fillId="0" borderId="24" xfId="4" applyFont="1" applyBorder="1"/>
    <xf numFmtId="38" fontId="5" fillId="0" borderId="22" xfId="4" applyFont="1" applyBorder="1"/>
    <xf numFmtId="38" fontId="9" fillId="2" borderId="23" xfId="4" applyFont="1" applyFill="1" applyBorder="1"/>
    <xf numFmtId="40" fontId="3" fillId="0" borderId="25" xfId="3" applyNumberFormat="1" applyFont="1" applyBorder="1"/>
    <xf numFmtId="181" fontId="3" fillId="0" borderId="23" xfId="3" applyNumberFormat="1" applyFont="1" applyBorder="1"/>
    <xf numFmtId="180" fontId="3" fillId="3" borderId="23" xfId="4" applyNumberFormat="1" applyFont="1" applyFill="1" applyBorder="1"/>
    <xf numFmtId="38" fontId="3" fillId="0" borderId="23" xfId="4" applyFont="1" applyBorder="1"/>
    <xf numFmtId="38" fontId="9" fillId="0" borderId="20" xfId="4" applyFont="1" applyBorder="1"/>
    <xf numFmtId="180" fontId="3" fillId="0" borderId="26" xfId="4" applyNumberFormat="1" applyFont="1" applyBorder="1"/>
    <xf numFmtId="38" fontId="3" fillId="9" borderId="22" xfId="4" applyFont="1" applyFill="1" applyBorder="1"/>
    <xf numFmtId="179" fontId="3" fillId="4" borderId="23" xfId="3" applyNumberFormat="1" applyFont="1" applyFill="1" applyBorder="1"/>
    <xf numFmtId="180" fontId="3" fillId="10" borderId="23" xfId="4" applyNumberFormat="1" applyFont="1" applyFill="1" applyBorder="1"/>
    <xf numFmtId="38" fontId="3" fillId="3" borderId="20" xfId="4" applyFont="1" applyFill="1" applyBorder="1"/>
    <xf numFmtId="40" fontId="3" fillId="11" borderId="20" xfId="3" applyNumberFormat="1" applyFont="1" applyFill="1" applyBorder="1"/>
    <xf numFmtId="40" fontId="3" fillId="0" borderId="24" xfId="3" applyNumberFormat="1" applyFont="1" applyBorder="1"/>
    <xf numFmtId="38" fontId="3" fillId="12" borderId="20" xfId="3" applyNumberFormat="1" applyFont="1" applyFill="1" applyBorder="1"/>
    <xf numFmtId="38" fontId="5" fillId="3" borderId="20" xfId="4" applyFont="1" applyFill="1" applyBorder="1"/>
    <xf numFmtId="180" fontId="3" fillId="0" borderId="24" xfId="4" applyNumberFormat="1" applyFont="1" applyBorder="1"/>
    <xf numFmtId="38" fontId="9" fillId="0" borderId="22" xfId="4" applyFont="1" applyBorder="1"/>
    <xf numFmtId="38" fontId="3" fillId="0" borderId="22" xfId="4" applyFont="1" applyBorder="1"/>
    <xf numFmtId="38" fontId="3" fillId="13" borderId="4" xfId="4" applyFont="1" applyFill="1" applyBorder="1"/>
    <xf numFmtId="38" fontId="3" fillId="13" borderId="20" xfId="4" applyFont="1" applyFill="1" applyBorder="1"/>
    <xf numFmtId="38" fontId="5" fillId="13" borderId="20" xfId="4" applyFont="1" applyFill="1" applyBorder="1"/>
    <xf numFmtId="38" fontId="9" fillId="9" borderId="21" xfId="4" applyFont="1" applyFill="1" applyBorder="1"/>
    <xf numFmtId="38" fontId="3" fillId="0" borderId="0" xfId="4" applyFont="1"/>
    <xf numFmtId="178" fontId="10" fillId="0" borderId="5" xfId="3" applyNumberFormat="1" applyFont="1" applyBorder="1" applyAlignment="1">
      <alignment horizontal="left"/>
    </xf>
    <xf numFmtId="38" fontId="3" fillId="0" borderId="5" xfId="3" applyNumberFormat="1" applyFont="1" applyBorder="1"/>
    <xf numFmtId="180" fontId="3" fillId="0" borderId="4" xfId="4" applyNumberFormat="1" applyFont="1" applyBorder="1"/>
    <xf numFmtId="38" fontId="3" fillId="0" borderId="20" xfId="4" applyFont="1" applyBorder="1"/>
    <xf numFmtId="180" fontId="3" fillId="0" borderId="7" xfId="4" applyNumberFormat="1" applyFont="1" applyBorder="1"/>
    <xf numFmtId="38" fontId="6" fillId="0" borderId="5" xfId="3" applyNumberFormat="1" applyFont="1" applyBorder="1"/>
    <xf numFmtId="38" fontId="5" fillId="14" borderId="22" xfId="4" applyFont="1" applyFill="1" applyBorder="1"/>
    <xf numFmtId="38" fontId="3" fillId="0" borderId="0" xfId="3" applyNumberFormat="1" applyFont="1"/>
    <xf numFmtId="38" fontId="5" fillId="15" borderId="20" xfId="4" applyFont="1" applyFill="1" applyBorder="1"/>
    <xf numFmtId="179" fontId="3" fillId="4" borderId="20" xfId="3" applyNumberFormat="1" applyFont="1" applyFill="1" applyBorder="1"/>
    <xf numFmtId="180" fontId="3" fillId="10" borderId="20" xfId="4" applyNumberFormat="1" applyFont="1" applyFill="1" applyBorder="1"/>
    <xf numFmtId="38" fontId="3" fillId="8" borderId="20" xfId="4" applyFont="1" applyFill="1" applyBorder="1"/>
    <xf numFmtId="180" fontId="3" fillId="3" borderId="2" xfId="4" applyNumberFormat="1" applyFont="1" applyFill="1" applyBorder="1"/>
    <xf numFmtId="180" fontId="3" fillId="0" borderId="27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28" xfId="4" applyFont="1" applyBorder="1"/>
    <xf numFmtId="38" fontId="5" fillId="0" borderId="29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28" xfId="4" applyNumberFormat="1" applyFont="1" applyBorder="1"/>
    <xf numFmtId="38" fontId="3" fillId="13" borderId="30" xfId="4" applyFont="1" applyFill="1" applyBorder="1"/>
    <xf numFmtId="38" fontId="3" fillId="13" borderId="13" xfId="4" applyFont="1" applyFill="1" applyBorder="1"/>
    <xf numFmtId="38" fontId="5" fillId="13" borderId="13" xfId="4" applyFont="1" applyFill="1" applyBorder="1"/>
    <xf numFmtId="0" fontId="5" fillId="0" borderId="31" xfId="3" applyFont="1" applyBorder="1" applyAlignment="1">
      <alignment horizontal="left"/>
    </xf>
    <xf numFmtId="38" fontId="5" fillId="0" borderId="10" xfId="3" applyNumberFormat="1" applyFont="1" applyBorder="1"/>
    <xf numFmtId="179" fontId="5" fillId="0" borderId="32" xfId="3" applyNumberFormat="1" applyFont="1" applyBorder="1"/>
    <xf numFmtId="180" fontId="5" fillId="0" borderId="10" xfId="3" applyNumberFormat="1" applyFont="1" applyBorder="1"/>
    <xf numFmtId="38" fontId="12" fillId="0" borderId="32" xfId="3" applyNumberFormat="1" applyFont="1" applyBorder="1"/>
    <xf numFmtId="38" fontId="5" fillId="0" borderId="32" xfId="3" applyNumberFormat="1" applyFont="1" applyBorder="1"/>
    <xf numFmtId="38" fontId="5" fillId="0" borderId="31" xfId="3" applyNumberFormat="1" applyFont="1" applyBorder="1"/>
    <xf numFmtId="38" fontId="5" fillId="7" borderId="10" xfId="3" applyNumberFormat="1" applyFont="1" applyFill="1" applyBorder="1"/>
    <xf numFmtId="182" fontId="5" fillId="0" borderId="10" xfId="3" applyNumberFormat="1" applyFont="1" applyBorder="1" applyAlignment="1">
      <alignment shrinkToFit="1"/>
    </xf>
    <xf numFmtId="181" fontId="5" fillId="0" borderId="32" xfId="3" applyNumberFormat="1" applyFont="1" applyBorder="1"/>
    <xf numFmtId="38" fontId="12" fillId="0" borderId="10" xfId="3" applyNumberFormat="1" applyFont="1" applyBorder="1"/>
    <xf numFmtId="38" fontId="9" fillId="7" borderId="10" xfId="3" applyNumberFormat="1" applyFont="1" applyFill="1" applyBorder="1"/>
    <xf numFmtId="182" fontId="13" fillId="0" borderId="32" xfId="3" applyNumberFormat="1" applyFont="1" applyBorder="1" applyAlignment="1">
      <alignment shrinkToFit="1"/>
    </xf>
    <xf numFmtId="0" fontId="5" fillId="0" borderId="10" xfId="3" applyFont="1" applyBorder="1"/>
    <xf numFmtId="182" fontId="5" fillId="0" borderId="33" xfId="3" applyNumberFormat="1" applyFont="1" applyBorder="1"/>
    <xf numFmtId="179" fontId="5" fillId="11" borderId="32" xfId="3" applyNumberFormat="1" applyFont="1" applyFill="1" applyBorder="1"/>
    <xf numFmtId="182" fontId="5" fillId="0" borderId="32" xfId="3" applyNumberFormat="1" applyFont="1" applyBorder="1"/>
    <xf numFmtId="179" fontId="14" fillId="12" borderId="32" xfId="3" applyNumberFormat="1" applyFont="1" applyFill="1" applyBorder="1"/>
    <xf numFmtId="180" fontId="5" fillId="0" borderId="32" xfId="3" applyNumberFormat="1" applyFont="1" applyBorder="1"/>
    <xf numFmtId="38" fontId="5" fillId="0" borderId="10" xfId="4" applyFont="1" applyBorder="1"/>
    <xf numFmtId="38" fontId="5" fillId="7" borderId="23" xfId="4" applyFont="1" applyFill="1" applyBorder="1"/>
    <xf numFmtId="38" fontId="9" fillId="7" borderId="23" xfId="4" applyFont="1" applyFill="1" applyBorder="1"/>
    <xf numFmtId="0" fontId="5" fillId="0" borderId="0" xfId="3" applyFont="1"/>
    <xf numFmtId="38" fontId="5" fillId="14" borderId="20" xfId="4" applyFont="1" applyFill="1" applyBorder="1"/>
    <xf numFmtId="0" fontId="5" fillId="0" borderId="0" xfId="3" applyFont="1" applyAlignment="1">
      <alignment horizontal="left"/>
    </xf>
    <xf numFmtId="0" fontId="5" fillId="0" borderId="5" xfId="3" applyFont="1" applyBorder="1"/>
    <xf numFmtId="38" fontId="12" fillId="0" borderId="20" xfId="4" applyFont="1" applyBorder="1"/>
    <xf numFmtId="38" fontId="9" fillId="7" borderId="20" xfId="4" applyFont="1" applyFill="1" applyBorder="1"/>
    <xf numFmtId="38" fontId="5" fillId="0" borderId="20" xfId="4" applyFont="1" applyBorder="1"/>
    <xf numFmtId="38" fontId="5" fillId="7" borderId="20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2" fillId="0" borderId="0" xfId="3" applyNumberFormat="1" applyFont="1"/>
    <xf numFmtId="0" fontId="5" fillId="0" borderId="7" xfId="3" applyFont="1" applyBorder="1"/>
    <xf numFmtId="182" fontId="5" fillId="0" borderId="0" xfId="3" applyNumberFormat="1" applyFont="1"/>
    <xf numFmtId="182" fontId="5" fillId="0" borderId="34" xfId="3" applyNumberFormat="1" applyFont="1" applyBorder="1"/>
    <xf numFmtId="0" fontId="5" fillId="0" borderId="6" xfId="3" applyFont="1" applyBorder="1"/>
    <xf numFmtId="38" fontId="5" fillId="0" borderId="7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4" xfId="3" applyFont="1" applyBorder="1"/>
    <xf numFmtId="0" fontId="3" fillId="0" borderId="29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4" xfId="3" applyFont="1" applyBorder="1"/>
    <xf numFmtId="185" fontId="3" fillId="0" borderId="0" xfId="4" applyNumberFormat="1" applyFont="1"/>
    <xf numFmtId="0" fontId="15" fillId="0" borderId="20" xfId="3" applyFont="1" applyBorder="1" applyAlignment="1">
      <alignment horizontal="left" vertical="top" wrapText="1"/>
    </xf>
    <xf numFmtId="38" fontId="16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7" fillId="0" borderId="0" xfId="3" applyFont="1" applyAlignment="1">
      <alignment vertical="center"/>
    </xf>
    <xf numFmtId="38" fontId="18" fillId="0" borderId="0" xfId="3" applyNumberFormat="1" applyFont="1"/>
    <xf numFmtId="38" fontId="18" fillId="0" borderId="0" xfId="1" applyFont="1" applyAlignment="1"/>
    <xf numFmtId="10" fontId="18" fillId="0" borderId="0" xfId="2" applyNumberFormat="1" applyFont="1" applyAlignment="1"/>
    <xf numFmtId="38" fontId="18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9" fillId="0" borderId="0" xfId="5" applyFont="1" applyAlignment="1">
      <alignment vertical="center"/>
    </xf>
    <xf numFmtId="10" fontId="19" fillId="0" borderId="0" xfId="2" applyNumberFormat="1" applyFont="1" applyAlignment="1">
      <alignment vertical="center"/>
    </xf>
    <xf numFmtId="38" fontId="17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38" fontId="5" fillId="16" borderId="35" xfId="4" applyFont="1" applyFill="1" applyBorder="1" applyAlignment="1">
      <alignment horizontal="center" vertical="center"/>
    </xf>
    <xf numFmtId="38" fontId="5" fillId="0" borderId="35" xfId="4" applyFont="1" applyBorder="1" applyAlignment="1">
      <alignment horizontal="center" vertical="center"/>
    </xf>
    <xf numFmtId="38" fontId="20" fillId="0" borderId="35" xfId="1" applyFont="1" applyBorder="1" applyAlignment="1">
      <alignment horizontal="right" vertical="center"/>
    </xf>
    <xf numFmtId="186" fontId="1" fillId="0" borderId="35" xfId="2" applyNumberFormat="1" applyBorder="1" applyAlignment="1">
      <alignment horizontal="right" vertical="center"/>
    </xf>
    <xf numFmtId="38" fontId="7" fillId="0" borderId="35" xfId="3" applyNumberFormat="1" applyFont="1" applyBorder="1" applyAlignment="1">
      <alignment horizontal="right" vertical="center"/>
    </xf>
    <xf numFmtId="0" fontId="7" fillId="0" borderId="35" xfId="3" applyFont="1" applyBorder="1" applyAlignment="1">
      <alignment horizontal="right" vertical="center"/>
    </xf>
    <xf numFmtId="38" fontId="5" fillId="17" borderId="35" xfId="4" applyFont="1" applyFill="1" applyBorder="1" applyAlignment="1">
      <alignment horizontal="center" vertical="center"/>
    </xf>
    <xf numFmtId="38" fontId="20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8" borderId="35" xfId="3" applyFont="1" applyFill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38" fontId="21" fillId="0" borderId="35" xfId="3" applyNumberFormat="1" applyFont="1" applyBorder="1" applyAlignment="1">
      <alignment horizontal="right" vertical="center"/>
    </xf>
    <xf numFmtId="0" fontId="21" fillId="0" borderId="35" xfId="3" applyFont="1" applyBorder="1" applyAlignment="1">
      <alignment horizontal="right" vertical="center"/>
    </xf>
    <xf numFmtId="38" fontId="9" fillId="0" borderId="0" xfId="3" applyNumberFormat="1" applyFont="1"/>
    <xf numFmtId="0" fontId="9" fillId="4" borderId="36" xfId="3" applyFont="1" applyFill="1" applyBorder="1" applyAlignment="1">
      <alignment horizontal="center" vertical="center" wrapText="1"/>
    </xf>
    <xf numFmtId="0" fontId="9" fillId="4" borderId="37" xfId="3" applyFont="1" applyFill="1" applyBorder="1" applyAlignment="1">
      <alignment horizontal="center" vertical="center" wrapText="1"/>
    </xf>
    <xf numFmtId="0" fontId="5" fillId="4" borderId="12" xfId="3" applyFont="1" applyFill="1" applyBorder="1" applyAlignment="1">
      <alignment horizontal="center" vertical="center" wrapText="1"/>
    </xf>
    <xf numFmtId="0" fontId="5" fillId="3" borderId="12" xfId="3" applyFont="1" applyFill="1" applyBorder="1" applyAlignment="1">
      <alignment horizontal="center" vertical="center" wrapText="1"/>
    </xf>
    <xf numFmtId="38" fontId="6" fillId="0" borderId="0" xfId="3" applyNumberFormat="1" applyFont="1" applyAlignment="1">
      <alignment horizontal="center" vertical="center"/>
    </xf>
  </cellXfs>
  <cellStyles count="6">
    <cellStyle name="Excel Built-in Comma [0]" xfId="4" xr:uid="{E3D17511-D25C-4046-9742-783DA6E9BB72}"/>
    <cellStyle name="Excel Built-in Currency [0]" xfId="5" xr:uid="{3AD781A1-F83A-9549-9489-B768D28F5648}"/>
    <cellStyle name="Excel Built-in Normal 1" xfId="3" xr:uid="{857756C0-1DD7-2547-8696-6A8F5A527E4E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58B8-4A56-B141-804E-B303E0EA1907}">
  <dimension ref="A1:BO224"/>
  <sheetViews>
    <sheetView workbookViewId="0">
      <selection activeCell="C26" sqref="C2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8" width="9.140625" style="47" customWidth="1"/>
    <col min="49" max="49" width="11.28515625" style="47" customWidth="1"/>
    <col min="50" max="50" width="7.5703125" style="47" customWidth="1"/>
    <col min="51" max="51" width="5.7109375" style="47" customWidth="1"/>
    <col min="52" max="53" width="9.140625" style="47" customWidth="1"/>
    <col min="54" max="54" width="13.5703125" style="47" customWidth="1"/>
    <col min="55" max="55" width="11.140625" style="47"/>
    <col min="56" max="56" width="14.85546875" style="47" customWidth="1"/>
    <col min="57" max="62" width="11.140625" style="47"/>
    <col min="63" max="63" width="11.140625" style="77"/>
    <col min="64" max="64" width="11.140625" style="47"/>
    <col min="65" max="65" width="11.140625" style="77"/>
    <col min="66" max="16384" width="11.140625" style="47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0"/>
      <c r="AX3" s="21"/>
      <c r="AY3" s="22" t="s">
        <v>9</v>
      </c>
      <c r="AZ3" s="14"/>
      <c r="BA3" s="14"/>
      <c r="BB3" s="14"/>
      <c r="BC3" s="23"/>
      <c r="BD3" s="24" t="s">
        <v>10</v>
      </c>
      <c r="BE3" s="25"/>
      <c r="BF3" s="25"/>
      <c r="BG3" s="25"/>
      <c r="BH3" s="25"/>
      <c r="BI3" s="25"/>
      <c r="BJ3" s="25"/>
      <c r="BK3" s="26"/>
      <c r="BM3" s="4"/>
    </row>
    <row r="4" spans="1:67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2" t="s">
        <v>31</v>
      </c>
      <c r="AW4" s="33" t="s">
        <v>28</v>
      </c>
      <c r="AX4" s="41" t="s">
        <v>19</v>
      </c>
      <c r="AY4" s="41" t="s">
        <v>21</v>
      </c>
      <c r="AZ4" s="36" t="s">
        <v>22</v>
      </c>
      <c r="BA4" s="36" t="s">
        <v>23</v>
      </c>
      <c r="BB4" s="37" t="s">
        <v>24</v>
      </c>
      <c r="BC4" s="37" t="s">
        <v>32</v>
      </c>
      <c r="BD4" s="43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4" t="s">
        <v>39</v>
      </c>
      <c r="BK4" s="45" t="s">
        <v>40</v>
      </c>
      <c r="BM4" s="46"/>
    </row>
    <row r="5" spans="1:67" ht="20" customHeight="1" thickTop="1">
      <c r="B5" s="48">
        <f>DATE($A$2,$B$2,1)</f>
        <v>45474</v>
      </c>
      <c r="C5" s="49"/>
      <c r="D5" s="50"/>
      <c r="E5" s="51">
        <v>27</v>
      </c>
      <c r="F5" s="52">
        <v>100210</v>
      </c>
      <c r="G5" s="53">
        <f t="shared" ref="G5:G35" si="0">ROUNDDOWN(F5/1.1,0)/E5</f>
        <v>3374.0740740740739</v>
      </c>
      <c r="H5" s="52">
        <v>18970</v>
      </c>
      <c r="I5" s="54">
        <f t="shared" ref="I5:I35" si="1">ROUNDDOWN(H5/1.1,0)/E5</f>
        <v>638.7037037037037</v>
      </c>
      <c r="J5" s="55">
        <f t="shared" ref="J5:J35" si="2">F5+H5</f>
        <v>119180</v>
      </c>
      <c r="K5" s="56">
        <f t="shared" ref="K5:K35" si="3">IF(E5="","",J5/E5)</f>
        <v>4414.0740740740739</v>
      </c>
      <c r="L5" s="57"/>
      <c r="M5" s="58">
        <f t="shared" ref="M5:N35" si="4">BD5-E5</f>
        <v>23</v>
      </c>
      <c r="N5" s="59">
        <f t="shared" si="4"/>
        <v>246430</v>
      </c>
      <c r="O5" s="53">
        <f t="shared" ref="O5:O35" si="5">ROUNDDOWN(N5/1.1,0)/M5</f>
        <v>9740.3043478260861</v>
      </c>
      <c r="P5" s="59">
        <f t="shared" ref="P5:P35" si="6">BF5-H5</f>
        <v>85680</v>
      </c>
      <c r="Q5" s="54">
        <f t="shared" ref="Q5:Q35" si="7">ROUNDDOWN(P5/1.1,0)/M5</f>
        <v>3386.521739130435</v>
      </c>
      <c r="R5" s="60">
        <f t="shared" ref="R5:R35" si="8">N5+P5</f>
        <v>332110</v>
      </c>
      <c r="S5" s="56">
        <f t="shared" ref="S5:S35" si="9">IF(M5="","",R5/M5)</f>
        <v>14439.565217391304</v>
      </c>
      <c r="T5" s="61">
        <f t="shared" ref="T5:U35" si="10">E5+M5</f>
        <v>50</v>
      </c>
      <c r="U5" s="59">
        <f t="shared" si="10"/>
        <v>346640</v>
      </c>
      <c r="V5" s="59">
        <f t="shared" ref="V5:V35" si="11">H5+P5</f>
        <v>104650</v>
      </c>
      <c r="W5" s="62">
        <f t="shared" ref="W5:W35" si="12">J5+R5</f>
        <v>451290</v>
      </c>
      <c r="X5" s="59"/>
      <c r="Y5" s="63"/>
      <c r="Z5" s="64">
        <v>6</v>
      </c>
      <c r="AA5" s="52">
        <v>2900</v>
      </c>
      <c r="AB5" s="53">
        <f t="shared" ref="AB5:AB35" si="13">AA5/Z5</f>
        <v>483.33333333333331</v>
      </c>
      <c r="AC5" s="52">
        <v>4350</v>
      </c>
      <c r="AD5" s="54">
        <f t="shared" ref="AD5:AD35" si="14">AC5/Z5</f>
        <v>725</v>
      </c>
      <c r="AE5" s="65">
        <f t="shared" ref="AE5:AE35" si="15">AA5+AC5</f>
        <v>7250</v>
      </c>
      <c r="AF5" s="56">
        <f t="shared" ref="AF5:AF35" si="16">IF(Z5="","",AE5/Z5)</f>
        <v>1208.3333333333333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52</v>
      </c>
      <c r="AQ5" s="52">
        <v>165300</v>
      </c>
      <c r="AR5" s="53">
        <f t="shared" ref="AR5:AR35" si="20">AQ5/AP5</f>
        <v>3178.8461538461538</v>
      </c>
      <c r="AS5" s="52">
        <v>88400</v>
      </c>
      <c r="AT5" s="54">
        <f t="shared" ref="AT5:AT35" si="21">AS5/AP5</f>
        <v>1700</v>
      </c>
      <c r="AU5" s="54"/>
      <c r="AV5" s="54"/>
      <c r="AW5" s="69">
        <f>AQ5+AS5+AU5+AV5</f>
        <v>253700</v>
      </c>
      <c r="AX5" s="67">
        <f t="shared" ref="AX5:AX35" si="22">IF(AP5="","",AW5/AP5)</f>
        <v>4878.8461538461543</v>
      </c>
      <c r="AY5" s="70">
        <f t="shared" ref="AY5:AY35" si="23">SUM(E5,M5)</f>
        <v>50</v>
      </c>
      <c r="AZ5" s="59">
        <f t="shared" ref="AZ5:AZ35" si="24">U5+AA5+AI5+AQ5</f>
        <v>514840</v>
      </c>
      <c r="BA5" s="59">
        <f t="shared" ref="BA5:BA35" si="25">V5+AC5+AK5+AS5</f>
        <v>197400</v>
      </c>
      <c r="BB5" s="71">
        <f>W5+AE5+AM5+AW5</f>
        <v>712240</v>
      </c>
      <c r="BC5" s="72">
        <f>BG5+BH5</f>
        <v>4950</v>
      </c>
      <c r="BD5" s="73">
        <v>50</v>
      </c>
      <c r="BE5" s="74">
        <v>346640</v>
      </c>
      <c r="BF5" s="74">
        <v>104650</v>
      </c>
      <c r="BG5" s="75">
        <v>3300</v>
      </c>
      <c r="BH5" s="75">
        <v>1650</v>
      </c>
      <c r="BI5" s="75"/>
      <c r="BJ5" s="75"/>
      <c r="BK5" s="76">
        <f>SUM(BE5:BH5)</f>
        <v>456240</v>
      </c>
      <c r="BL5" s="47">
        <v>1</v>
      </c>
      <c r="BM5" s="77">
        <f t="shared" ref="BM5:BM35" si="26">BJ5+BK5</f>
        <v>456240</v>
      </c>
    </row>
    <row r="6" spans="1:67" ht="20" customHeight="1">
      <c r="B6" s="78">
        <f t="shared" ref="B6:B35" si="27">B5+1</f>
        <v>45475</v>
      </c>
      <c r="C6" s="79"/>
      <c r="D6" s="50"/>
      <c r="E6" s="51">
        <v>20</v>
      </c>
      <c r="F6" s="52">
        <v>77710</v>
      </c>
      <c r="G6" s="53">
        <f t="shared" si="0"/>
        <v>3532.25</v>
      </c>
      <c r="H6" s="52">
        <v>8190</v>
      </c>
      <c r="I6" s="54">
        <f t="shared" si="1"/>
        <v>372.25</v>
      </c>
      <c r="J6" s="55">
        <f t="shared" si="2"/>
        <v>85900</v>
      </c>
      <c r="K6" s="56">
        <f t="shared" si="3"/>
        <v>4295</v>
      </c>
      <c r="L6" s="57"/>
      <c r="M6" s="58">
        <f t="shared" si="4"/>
        <v>4</v>
      </c>
      <c r="N6" s="59">
        <f t="shared" si="4"/>
        <v>50600</v>
      </c>
      <c r="O6" s="53">
        <f t="shared" si="5"/>
        <v>11500</v>
      </c>
      <c r="P6" s="59">
        <f t="shared" si="6"/>
        <v>1200</v>
      </c>
      <c r="Q6" s="54">
        <f t="shared" si="7"/>
        <v>272.5</v>
      </c>
      <c r="R6" s="60">
        <f t="shared" si="8"/>
        <v>51800</v>
      </c>
      <c r="S6" s="56">
        <f t="shared" si="9"/>
        <v>12950</v>
      </c>
      <c r="T6" s="80">
        <f t="shared" si="10"/>
        <v>24</v>
      </c>
      <c r="U6" s="59">
        <f t="shared" si="10"/>
        <v>128310</v>
      </c>
      <c r="V6" s="59">
        <f t="shared" si="11"/>
        <v>9390</v>
      </c>
      <c r="W6" s="62">
        <f t="shared" si="12"/>
        <v>137700</v>
      </c>
      <c r="X6" s="81"/>
      <c r="Y6" s="63"/>
      <c r="Z6" s="64">
        <v>17</v>
      </c>
      <c r="AA6" s="52">
        <v>6970</v>
      </c>
      <c r="AB6" s="53">
        <f t="shared" si="13"/>
        <v>410</v>
      </c>
      <c r="AC6" s="52">
        <v>1000</v>
      </c>
      <c r="AD6" s="54">
        <f t="shared" si="14"/>
        <v>58.823529411764703</v>
      </c>
      <c r="AE6" s="65">
        <f>AA6+AC6</f>
        <v>7970</v>
      </c>
      <c r="AF6" s="56">
        <f t="shared" si="16"/>
        <v>468.8235294117647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8">AI6+AK6</f>
        <v>0</v>
      </c>
      <c r="AN6" s="67" t="str">
        <f t="shared" si="19"/>
        <v/>
      </c>
      <c r="AO6" s="68"/>
      <c r="AP6" s="64">
        <v>198</v>
      </c>
      <c r="AQ6" s="52">
        <v>482100</v>
      </c>
      <c r="AR6" s="53">
        <f t="shared" si="20"/>
        <v>2434.848484848485</v>
      </c>
      <c r="AS6" s="52">
        <v>297350</v>
      </c>
      <c r="AT6" s="54">
        <f t="shared" si="21"/>
        <v>1501.7676767676767</v>
      </c>
      <c r="AU6" s="54">
        <v>8250</v>
      </c>
      <c r="AV6" s="54"/>
      <c r="AW6" s="69">
        <f>AQ6+AS6+AU6+AV6</f>
        <v>787700</v>
      </c>
      <c r="AX6" s="67">
        <f t="shared" si="22"/>
        <v>3978.2828282828282</v>
      </c>
      <c r="AY6" s="82">
        <f t="shared" si="23"/>
        <v>24</v>
      </c>
      <c r="AZ6" s="59">
        <f t="shared" si="24"/>
        <v>617380</v>
      </c>
      <c r="BA6" s="59">
        <f t="shared" si="25"/>
        <v>307740</v>
      </c>
      <c r="BB6" s="71">
        <f>W6+AE6+AM6+AW6</f>
        <v>933370</v>
      </c>
      <c r="BC6" s="72">
        <f>BG6+BH6</f>
        <v>0</v>
      </c>
      <c r="BD6" s="73">
        <v>24</v>
      </c>
      <c r="BE6" s="74">
        <v>128310</v>
      </c>
      <c r="BF6" s="74">
        <v>9390</v>
      </c>
      <c r="BG6" s="75"/>
      <c r="BH6" s="75"/>
      <c r="BI6" s="75"/>
      <c r="BJ6" s="75"/>
      <c r="BK6" s="76">
        <f t="shared" ref="BK6:BK35" si="29">SUM(BE6:BH6)</f>
        <v>137700</v>
      </c>
      <c r="BL6" s="47">
        <v>2</v>
      </c>
      <c r="BM6" s="77">
        <f t="shared" si="26"/>
        <v>137700</v>
      </c>
      <c r="BN6" s="47">
        <v>1440</v>
      </c>
      <c r="BO6" s="47" t="s">
        <v>41</v>
      </c>
    </row>
    <row r="7" spans="1:67" ht="20" customHeight="1">
      <c r="B7" s="78">
        <f>B6+1</f>
        <v>45476</v>
      </c>
      <c r="C7" s="79"/>
      <c r="D7" s="50"/>
      <c r="E7" s="51">
        <v>34</v>
      </c>
      <c r="F7" s="52">
        <v>144880</v>
      </c>
      <c r="G7" s="53">
        <f t="shared" si="0"/>
        <v>3873.794117647059</v>
      </c>
      <c r="H7" s="52">
        <v>57900</v>
      </c>
      <c r="I7" s="54">
        <f t="shared" si="1"/>
        <v>1548.1176470588234</v>
      </c>
      <c r="J7" s="55">
        <f t="shared" si="2"/>
        <v>202780</v>
      </c>
      <c r="K7" s="56">
        <f t="shared" si="3"/>
        <v>5964.1176470588234</v>
      </c>
      <c r="L7" s="57"/>
      <c r="M7" s="58">
        <f t="shared" si="4"/>
        <v>17</v>
      </c>
      <c r="N7" s="59">
        <f t="shared" si="4"/>
        <v>182600</v>
      </c>
      <c r="O7" s="53">
        <f t="shared" si="5"/>
        <v>9764.7058823529405</v>
      </c>
      <c r="P7" s="59">
        <f t="shared" si="6"/>
        <v>20830</v>
      </c>
      <c r="Q7" s="54">
        <f t="shared" si="7"/>
        <v>1113.8823529411766</v>
      </c>
      <c r="R7" s="60">
        <f t="shared" si="8"/>
        <v>203430</v>
      </c>
      <c r="S7" s="56">
        <f t="shared" si="9"/>
        <v>11966.470588235294</v>
      </c>
      <c r="T7" s="80">
        <f t="shared" si="10"/>
        <v>51</v>
      </c>
      <c r="U7" s="59">
        <f t="shared" si="10"/>
        <v>327480</v>
      </c>
      <c r="V7" s="59">
        <f t="shared" si="11"/>
        <v>78730</v>
      </c>
      <c r="W7" s="62">
        <f t="shared" si="12"/>
        <v>406210</v>
      </c>
      <c r="X7" s="81"/>
      <c r="Y7" s="63"/>
      <c r="Z7" s="64">
        <v>16</v>
      </c>
      <c r="AA7" s="52">
        <v>7050</v>
      </c>
      <c r="AB7" s="53">
        <f t="shared" si="13"/>
        <v>440.625</v>
      </c>
      <c r="AC7" s="52">
        <v>2450</v>
      </c>
      <c r="AD7" s="54">
        <f t="shared" si="14"/>
        <v>153.125</v>
      </c>
      <c r="AE7" s="65">
        <f t="shared" si="15"/>
        <v>9500</v>
      </c>
      <c r="AF7" s="56">
        <f t="shared" si="16"/>
        <v>593.75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8"/>
        <v>0</v>
      </c>
      <c r="AN7" s="67" t="str">
        <f t="shared" si="19"/>
        <v/>
      </c>
      <c r="AO7" s="68"/>
      <c r="AP7" s="64">
        <v>275</v>
      </c>
      <c r="AQ7" s="52">
        <v>670500</v>
      </c>
      <c r="AR7" s="53">
        <f t="shared" si="20"/>
        <v>2438.181818181818</v>
      </c>
      <c r="AS7" s="52">
        <v>390650</v>
      </c>
      <c r="AT7" s="54">
        <f t="shared" si="21"/>
        <v>1420.5454545454545</v>
      </c>
      <c r="AU7" s="54">
        <v>4950</v>
      </c>
      <c r="AV7" s="54"/>
      <c r="AW7" s="69">
        <f>AQ7+AS7+AU7+AV7</f>
        <v>1066100</v>
      </c>
      <c r="AX7" s="67">
        <f t="shared" si="22"/>
        <v>3876.7272727272725</v>
      </c>
      <c r="AY7" s="82">
        <f t="shared" si="23"/>
        <v>51</v>
      </c>
      <c r="AZ7" s="59">
        <f t="shared" si="24"/>
        <v>1005030</v>
      </c>
      <c r="BA7" s="59">
        <f t="shared" si="25"/>
        <v>471830</v>
      </c>
      <c r="BB7" s="71">
        <f>W7+AE7+AM7+AW7-BN7</f>
        <v>1475210</v>
      </c>
      <c r="BC7" s="72">
        <f t="shared" ref="BC7:BC35" si="30">BG7+BH7</f>
        <v>8800</v>
      </c>
      <c r="BD7" s="73">
        <v>51</v>
      </c>
      <c r="BE7" s="74">
        <v>327480</v>
      </c>
      <c r="BF7" s="74">
        <v>78730</v>
      </c>
      <c r="BG7" s="75">
        <v>8800</v>
      </c>
      <c r="BH7" s="75"/>
      <c r="BI7" s="75"/>
      <c r="BJ7" s="75"/>
      <c r="BK7" s="76">
        <f t="shared" si="29"/>
        <v>415010</v>
      </c>
      <c r="BL7" s="47">
        <v>3</v>
      </c>
      <c r="BM7" s="77">
        <f t="shared" si="26"/>
        <v>415010</v>
      </c>
      <c r="BN7" s="47">
        <v>6600</v>
      </c>
      <c r="BO7" s="47" t="s">
        <v>41</v>
      </c>
    </row>
    <row r="8" spans="1:67" ht="20" customHeight="1">
      <c r="B8" s="78">
        <f t="shared" si="27"/>
        <v>45477</v>
      </c>
      <c r="C8" s="79"/>
      <c r="D8" s="50"/>
      <c r="E8" s="51">
        <v>23</v>
      </c>
      <c r="F8" s="52">
        <v>94930</v>
      </c>
      <c r="G8" s="53">
        <f t="shared" si="0"/>
        <v>3752.1739130434785</v>
      </c>
      <c r="H8" s="52">
        <v>15400</v>
      </c>
      <c r="I8" s="54">
        <f t="shared" si="1"/>
        <v>608.695652173913</v>
      </c>
      <c r="J8" s="55">
        <f t="shared" si="2"/>
        <v>110330</v>
      </c>
      <c r="K8" s="56">
        <f t="shared" si="3"/>
        <v>4796.95652173913</v>
      </c>
      <c r="L8" s="57"/>
      <c r="M8" s="58">
        <f t="shared" si="4"/>
        <v>33</v>
      </c>
      <c r="N8" s="59">
        <f t="shared" si="4"/>
        <v>389950</v>
      </c>
      <c r="O8" s="53">
        <f t="shared" si="5"/>
        <v>10742.424242424242</v>
      </c>
      <c r="P8" s="59">
        <f t="shared" si="6"/>
        <v>92800</v>
      </c>
      <c r="Q8" s="54">
        <f t="shared" si="7"/>
        <v>2556.4545454545455</v>
      </c>
      <c r="R8" s="60">
        <f t="shared" si="8"/>
        <v>482750</v>
      </c>
      <c r="S8" s="56">
        <f t="shared" si="9"/>
        <v>14628.787878787878</v>
      </c>
      <c r="T8" s="80">
        <f t="shared" si="10"/>
        <v>56</v>
      </c>
      <c r="U8" s="59">
        <f t="shared" si="10"/>
        <v>484880</v>
      </c>
      <c r="V8" s="59">
        <f t="shared" si="11"/>
        <v>108200</v>
      </c>
      <c r="W8" s="62">
        <f t="shared" si="12"/>
        <v>593080</v>
      </c>
      <c r="X8" s="81"/>
      <c r="Y8" s="63"/>
      <c r="Z8" s="64">
        <v>11</v>
      </c>
      <c r="AA8" s="52">
        <v>3850</v>
      </c>
      <c r="AB8" s="53">
        <f t="shared" si="13"/>
        <v>350</v>
      </c>
      <c r="AC8" s="52">
        <v>0</v>
      </c>
      <c r="AD8" s="54">
        <f t="shared" si="14"/>
        <v>0</v>
      </c>
      <c r="AE8" s="65">
        <f t="shared" si="15"/>
        <v>3850</v>
      </c>
      <c r="AF8" s="56">
        <f t="shared" si="16"/>
        <v>350</v>
      </c>
      <c r="AG8" s="66"/>
      <c r="AH8" s="64">
        <v>27</v>
      </c>
      <c r="AI8" s="52"/>
      <c r="AJ8" s="53">
        <f t="shared" si="17"/>
        <v>0</v>
      </c>
      <c r="AK8" s="52">
        <v>12919</v>
      </c>
      <c r="AL8" s="54">
        <f t="shared" si="18"/>
        <v>478.48148148148147</v>
      </c>
      <c r="AM8" s="65">
        <f t="shared" si="28"/>
        <v>12919</v>
      </c>
      <c r="AN8" s="67">
        <f t="shared" si="19"/>
        <v>478.48148148148147</v>
      </c>
      <c r="AO8" s="68"/>
      <c r="AP8" s="64">
        <v>193</v>
      </c>
      <c r="AQ8" s="52">
        <v>435200</v>
      </c>
      <c r="AR8" s="53">
        <f t="shared" si="20"/>
        <v>2254.9222797927459</v>
      </c>
      <c r="AS8" s="52">
        <v>266750</v>
      </c>
      <c r="AT8" s="54">
        <f t="shared" si="21"/>
        <v>1382.1243523316061</v>
      </c>
      <c r="AU8" s="54">
        <v>5500</v>
      </c>
      <c r="AV8" s="54"/>
      <c r="AW8" s="69">
        <f t="shared" ref="AW8:AW16" si="31">AQ8+AS8+AU8+AV8</f>
        <v>707450</v>
      </c>
      <c r="AX8" s="67">
        <f t="shared" si="22"/>
        <v>3665.5440414507771</v>
      </c>
      <c r="AY8" s="82">
        <f t="shared" si="23"/>
        <v>56</v>
      </c>
      <c r="AZ8" s="59">
        <f t="shared" si="24"/>
        <v>923930</v>
      </c>
      <c r="BA8" s="59">
        <f t="shared" si="25"/>
        <v>387869</v>
      </c>
      <c r="BB8" s="71">
        <f t="shared" ref="BB8:BB30" si="32">W8+AE8+AM8+AW8</f>
        <v>1317299</v>
      </c>
      <c r="BC8" s="72">
        <f t="shared" si="30"/>
        <v>0</v>
      </c>
      <c r="BD8" s="73">
        <v>56</v>
      </c>
      <c r="BE8" s="74">
        <v>484880</v>
      </c>
      <c r="BF8" s="74">
        <v>108200</v>
      </c>
      <c r="BG8" s="75"/>
      <c r="BH8" s="75"/>
      <c r="BI8" s="75"/>
      <c r="BJ8" s="75"/>
      <c r="BK8" s="76">
        <f t="shared" si="29"/>
        <v>593080</v>
      </c>
      <c r="BL8" s="47">
        <v>4</v>
      </c>
      <c r="BM8" s="77">
        <f t="shared" si="26"/>
        <v>593080</v>
      </c>
    </row>
    <row r="9" spans="1:67" ht="20" customHeight="1">
      <c r="B9" s="78">
        <f t="shared" si="27"/>
        <v>45478</v>
      </c>
      <c r="C9" s="79"/>
      <c r="D9" s="50"/>
      <c r="E9" s="51">
        <v>24</v>
      </c>
      <c r="F9" s="52">
        <v>78540</v>
      </c>
      <c r="G9" s="53">
        <f t="shared" si="0"/>
        <v>2975</v>
      </c>
      <c r="H9" s="52">
        <v>6960</v>
      </c>
      <c r="I9" s="54">
        <f t="shared" si="1"/>
        <v>263.625</v>
      </c>
      <c r="J9" s="55">
        <f t="shared" si="2"/>
        <v>85500</v>
      </c>
      <c r="K9" s="56">
        <f t="shared" si="3"/>
        <v>3562.5</v>
      </c>
      <c r="L9" s="57"/>
      <c r="M9" s="58">
        <f t="shared" si="4"/>
        <v>26</v>
      </c>
      <c r="N9" s="59">
        <f t="shared" si="4"/>
        <v>224290</v>
      </c>
      <c r="O9" s="53">
        <f t="shared" si="5"/>
        <v>7842.3076923076924</v>
      </c>
      <c r="P9" s="59">
        <f t="shared" si="6"/>
        <v>58120</v>
      </c>
      <c r="Q9" s="54">
        <f t="shared" si="7"/>
        <v>2032.1538461538462</v>
      </c>
      <c r="R9" s="60">
        <f t="shared" si="8"/>
        <v>282410</v>
      </c>
      <c r="S9" s="56">
        <f t="shared" si="9"/>
        <v>10861.923076923076</v>
      </c>
      <c r="T9" s="80">
        <f t="shared" si="10"/>
        <v>50</v>
      </c>
      <c r="U9" s="59">
        <f t="shared" si="10"/>
        <v>302830</v>
      </c>
      <c r="V9" s="59">
        <f t="shared" si="11"/>
        <v>65080</v>
      </c>
      <c r="W9" s="62">
        <f t="shared" si="12"/>
        <v>367910</v>
      </c>
      <c r="X9" s="81"/>
      <c r="Y9" s="63"/>
      <c r="Z9" s="64">
        <v>19</v>
      </c>
      <c r="AA9" s="52">
        <v>10200</v>
      </c>
      <c r="AB9" s="53">
        <f t="shared" si="13"/>
        <v>536.84210526315792</v>
      </c>
      <c r="AC9" s="52">
        <v>3100</v>
      </c>
      <c r="AD9" s="54">
        <f t="shared" si="14"/>
        <v>163.15789473684211</v>
      </c>
      <c r="AE9" s="65">
        <f t="shared" si="15"/>
        <v>13300</v>
      </c>
      <c r="AF9" s="56">
        <f t="shared" si="16"/>
        <v>700</v>
      </c>
      <c r="AG9" s="66"/>
      <c r="AH9" s="64">
        <v>33</v>
      </c>
      <c r="AI9" s="52">
        <v>129195</v>
      </c>
      <c r="AJ9" s="53">
        <f t="shared" si="17"/>
        <v>3915</v>
      </c>
      <c r="AK9" s="52">
        <v>43065</v>
      </c>
      <c r="AL9" s="54">
        <f t="shared" si="18"/>
        <v>1305</v>
      </c>
      <c r="AM9" s="65">
        <f t="shared" si="28"/>
        <v>172260</v>
      </c>
      <c r="AN9" s="67">
        <f t="shared" si="19"/>
        <v>5220</v>
      </c>
      <c r="AO9" s="68"/>
      <c r="AP9" s="64">
        <v>264</v>
      </c>
      <c r="AQ9" s="52">
        <v>768450</v>
      </c>
      <c r="AR9" s="53">
        <f t="shared" si="20"/>
        <v>2910.7954545454545</v>
      </c>
      <c r="AS9" s="52">
        <v>439150</v>
      </c>
      <c r="AT9" s="54">
        <f t="shared" si="21"/>
        <v>1663.4469696969697</v>
      </c>
      <c r="AU9" s="54">
        <v>22550</v>
      </c>
      <c r="AV9" s="54"/>
      <c r="AW9" s="69">
        <f t="shared" si="31"/>
        <v>1230150</v>
      </c>
      <c r="AX9" s="67">
        <f>IF(AP9="","",AW9/AP9)</f>
        <v>4659.659090909091</v>
      </c>
      <c r="AY9" s="82">
        <f t="shared" si="23"/>
        <v>50</v>
      </c>
      <c r="AZ9" s="59">
        <f t="shared" si="24"/>
        <v>1210675</v>
      </c>
      <c r="BA9" s="59">
        <f t="shared" si="25"/>
        <v>550395</v>
      </c>
      <c r="BB9" s="71">
        <f>W9+AE9+AM9+AW9</f>
        <v>1783620</v>
      </c>
      <c r="BC9" s="72">
        <f t="shared" si="30"/>
        <v>0</v>
      </c>
      <c r="BD9" s="73">
        <v>50</v>
      </c>
      <c r="BE9" s="74">
        <v>302830</v>
      </c>
      <c r="BF9" s="74">
        <v>65080</v>
      </c>
      <c r="BG9" s="75"/>
      <c r="BH9" s="75"/>
      <c r="BI9" s="75">
        <v>3300</v>
      </c>
      <c r="BJ9" s="75"/>
      <c r="BK9" s="76">
        <f t="shared" si="29"/>
        <v>367910</v>
      </c>
      <c r="BL9" s="47">
        <v>5</v>
      </c>
      <c r="BM9" s="77">
        <f t="shared" si="26"/>
        <v>367910</v>
      </c>
    </row>
    <row r="10" spans="1:67" ht="20" customHeight="1">
      <c r="B10" s="78">
        <f t="shared" si="27"/>
        <v>45479</v>
      </c>
      <c r="C10" s="79"/>
      <c r="D10" s="50"/>
      <c r="E10" s="51">
        <v>23</v>
      </c>
      <c r="F10" s="52">
        <v>108130</v>
      </c>
      <c r="G10" s="53">
        <f t="shared" si="0"/>
        <v>4273.913043478261</v>
      </c>
      <c r="H10" s="52">
        <v>27800</v>
      </c>
      <c r="I10" s="54">
        <f t="shared" si="1"/>
        <v>1098.7826086956522</v>
      </c>
      <c r="J10" s="55">
        <f t="shared" si="2"/>
        <v>135930</v>
      </c>
      <c r="K10" s="56">
        <f t="shared" si="3"/>
        <v>5910</v>
      </c>
      <c r="L10" s="57"/>
      <c r="M10" s="58">
        <f t="shared" si="4"/>
        <v>30</v>
      </c>
      <c r="N10" s="59">
        <f t="shared" si="4"/>
        <v>296120</v>
      </c>
      <c r="O10" s="53">
        <f t="shared" si="5"/>
        <v>8973.3333333333339</v>
      </c>
      <c r="P10" s="59">
        <f t="shared" si="6"/>
        <v>39180</v>
      </c>
      <c r="Q10" s="54">
        <f t="shared" si="7"/>
        <v>1187.2666666666667</v>
      </c>
      <c r="R10" s="60">
        <f t="shared" si="8"/>
        <v>335300</v>
      </c>
      <c r="S10" s="56">
        <f t="shared" si="9"/>
        <v>11176.666666666666</v>
      </c>
      <c r="T10" s="80">
        <f t="shared" si="10"/>
        <v>53</v>
      </c>
      <c r="U10" s="59">
        <f t="shared" si="10"/>
        <v>404250</v>
      </c>
      <c r="V10" s="59">
        <f t="shared" si="11"/>
        <v>66980</v>
      </c>
      <c r="W10" s="62">
        <f t="shared" si="12"/>
        <v>471230</v>
      </c>
      <c r="X10" s="81"/>
      <c r="Y10" s="63"/>
      <c r="Z10" s="64">
        <v>18</v>
      </c>
      <c r="AA10" s="52">
        <v>9310</v>
      </c>
      <c r="AB10" s="53">
        <f t="shared" si="13"/>
        <v>517.22222222222217</v>
      </c>
      <c r="AC10" s="52">
        <v>800</v>
      </c>
      <c r="AD10" s="54">
        <f t="shared" si="14"/>
        <v>44.444444444444443</v>
      </c>
      <c r="AE10" s="65">
        <f t="shared" si="15"/>
        <v>10110</v>
      </c>
      <c r="AF10" s="56">
        <f t="shared" si="16"/>
        <v>561.66666666666663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8"/>
        <v>0</v>
      </c>
      <c r="AN10" s="67" t="str">
        <f t="shared" si="19"/>
        <v/>
      </c>
      <c r="AO10" s="68"/>
      <c r="AP10" s="64">
        <v>353</v>
      </c>
      <c r="AQ10" s="52">
        <v>1020450</v>
      </c>
      <c r="AR10" s="53">
        <f t="shared" si="20"/>
        <v>2890.7932011331445</v>
      </c>
      <c r="AS10" s="52">
        <v>521050</v>
      </c>
      <c r="AT10" s="54">
        <f t="shared" si="21"/>
        <v>1476.0623229461755</v>
      </c>
      <c r="AU10" s="54">
        <v>55000</v>
      </c>
      <c r="AV10" s="54"/>
      <c r="AW10" s="69">
        <f t="shared" si="31"/>
        <v>1596500</v>
      </c>
      <c r="AX10" s="67">
        <f t="shared" si="22"/>
        <v>4522.662889518414</v>
      </c>
      <c r="AY10" s="82">
        <f t="shared" si="23"/>
        <v>53</v>
      </c>
      <c r="AZ10" s="59">
        <f t="shared" si="24"/>
        <v>1434010</v>
      </c>
      <c r="BA10" s="59">
        <f t="shared" si="25"/>
        <v>588830</v>
      </c>
      <c r="BB10" s="71">
        <f t="shared" si="32"/>
        <v>2077840</v>
      </c>
      <c r="BC10" s="72">
        <f t="shared" si="30"/>
        <v>14300</v>
      </c>
      <c r="BD10" s="73">
        <v>53</v>
      </c>
      <c r="BE10" s="74">
        <v>404250</v>
      </c>
      <c r="BF10" s="74">
        <v>66980</v>
      </c>
      <c r="BG10" s="75">
        <v>9900</v>
      </c>
      <c r="BH10" s="75">
        <v>4400</v>
      </c>
      <c r="BI10" s="75"/>
      <c r="BJ10" s="75"/>
      <c r="BK10" s="76">
        <f t="shared" si="29"/>
        <v>485530</v>
      </c>
      <c r="BL10" s="47">
        <v>6</v>
      </c>
      <c r="BM10" s="77">
        <f t="shared" si="26"/>
        <v>485530</v>
      </c>
      <c r="BO10" s="47" t="s">
        <v>41</v>
      </c>
    </row>
    <row r="11" spans="1:67" ht="20" customHeight="1">
      <c r="B11" s="78">
        <f t="shared" si="27"/>
        <v>45480</v>
      </c>
      <c r="C11" s="79"/>
      <c r="D11" s="50"/>
      <c r="E11" s="51">
        <v>42</v>
      </c>
      <c r="F11" s="52">
        <v>213290</v>
      </c>
      <c r="G11" s="53">
        <f t="shared" si="0"/>
        <v>4616.666666666667</v>
      </c>
      <c r="H11" s="52">
        <v>40820</v>
      </c>
      <c r="I11" s="54">
        <f t="shared" si="1"/>
        <v>883.54761904761904</v>
      </c>
      <c r="J11" s="55">
        <f t="shared" si="2"/>
        <v>254110</v>
      </c>
      <c r="K11" s="56">
        <f t="shared" si="3"/>
        <v>6050.2380952380954</v>
      </c>
      <c r="L11" s="57"/>
      <c r="M11" s="58">
        <f t="shared" si="4"/>
        <v>26</v>
      </c>
      <c r="N11" s="59">
        <f t="shared" si="4"/>
        <v>235510</v>
      </c>
      <c r="O11" s="53">
        <f t="shared" si="5"/>
        <v>8234.6153846153848</v>
      </c>
      <c r="P11" s="59">
        <f t="shared" si="6"/>
        <v>52070</v>
      </c>
      <c r="Q11" s="54">
        <f t="shared" si="7"/>
        <v>1820.6153846153845</v>
      </c>
      <c r="R11" s="60">
        <f t="shared" si="8"/>
        <v>287580</v>
      </c>
      <c r="S11" s="56">
        <f t="shared" si="9"/>
        <v>11060.76923076923</v>
      </c>
      <c r="T11" s="80">
        <f t="shared" si="10"/>
        <v>68</v>
      </c>
      <c r="U11" s="59">
        <f t="shared" si="10"/>
        <v>448800</v>
      </c>
      <c r="V11" s="59">
        <f t="shared" si="11"/>
        <v>92890</v>
      </c>
      <c r="W11" s="62">
        <f t="shared" si="12"/>
        <v>541690</v>
      </c>
      <c r="X11" s="81"/>
      <c r="Y11" s="63"/>
      <c r="Z11" s="64">
        <v>22</v>
      </c>
      <c r="AA11" s="52">
        <v>9340</v>
      </c>
      <c r="AB11" s="53">
        <f t="shared" si="13"/>
        <v>424.54545454545456</v>
      </c>
      <c r="AC11" s="52">
        <v>3350</v>
      </c>
      <c r="AD11" s="54">
        <f t="shared" si="14"/>
        <v>152.27272727272728</v>
      </c>
      <c r="AE11" s="65">
        <f t="shared" si="15"/>
        <v>12690</v>
      </c>
      <c r="AF11" s="56">
        <f t="shared" si="16"/>
        <v>576.81818181818187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8"/>
        <v>0</v>
      </c>
      <c r="AN11" s="67" t="str">
        <f t="shared" si="19"/>
        <v/>
      </c>
      <c r="AO11" s="68"/>
      <c r="AP11" s="64">
        <v>246</v>
      </c>
      <c r="AQ11" s="52">
        <v>749750</v>
      </c>
      <c r="AR11" s="53">
        <f t="shared" si="20"/>
        <v>3047.7642276422766</v>
      </c>
      <c r="AS11" s="52">
        <v>382450</v>
      </c>
      <c r="AT11" s="54">
        <f t="shared" si="21"/>
        <v>1554.6747967479675</v>
      </c>
      <c r="AU11" s="54">
        <v>13750</v>
      </c>
      <c r="AV11" s="54"/>
      <c r="AW11" s="69">
        <f t="shared" si="31"/>
        <v>1145950</v>
      </c>
      <c r="AX11" s="67">
        <f t="shared" si="22"/>
        <v>4658.333333333333</v>
      </c>
      <c r="AY11" s="82">
        <f t="shared" si="23"/>
        <v>68</v>
      </c>
      <c r="AZ11" s="59">
        <f t="shared" si="24"/>
        <v>1207890</v>
      </c>
      <c r="BA11" s="59">
        <f t="shared" si="25"/>
        <v>478690</v>
      </c>
      <c r="BB11" s="71">
        <f t="shared" si="32"/>
        <v>1700330</v>
      </c>
      <c r="BC11" s="72">
        <f t="shared" si="30"/>
        <v>2200</v>
      </c>
      <c r="BD11" s="73">
        <v>68</v>
      </c>
      <c r="BE11" s="74">
        <v>448800</v>
      </c>
      <c r="BF11" s="74">
        <v>92890</v>
      </c>
      <c r="BG11" s="75">
        <v>1100</v>
      </c>
      <c r="BH11" s="75">
        <v>1100</v>
      </c>
      <c r="BI11" s="75">
        <v>3300</v>
      </c>
      <c r="BJ11" s="75"/>
      <c r="BK11" s="76">
        <f t="shared" si="29"/>
        <v>543890</v>
      </c>
      <c r="BL11" s="47">
        <v>7</v>
      </c>
      <c r="BM11" s="77">
        <f t="shared" si="26"/>
        <v>543890</v>
      </c>
    </row>
    <row r="12" spans="1:67" ht="20" customHeight="1">
      <c r="B12" s="78">
        <f t="shared" si="27"/>
        <v>45481</v>
      </c>
      <c r="C12" s="83"/>
      <c r="D12" s="50"/>
      <c r="E12" s="51">
        <v>36</v>
      </c>
      <c r="F12" s="52">
        <v>178200</v>
      </c>
      <c r="G12" s="53">
        <f t="shared" si="0"/>
        <v>4500</v>
      </c>
      <c r="H12" s="52">
        <v>118800</v>
      </c>
      <c r="I12" s="54">
        <f t="shared" si="1"/>
        <v>3000</v>
      </c>
      <c r="J12" s="55">
        <f t="shared" si="2"/>
        <v>297000</v>
      </c>
      <c r="K12" s="56">
        <f t="shared" si="3"/>
        <v>8250</v>
      </c>
      <c r="L12" s="57"/>
      <c r="M12" s="58">
        <f t="shared" si="4"/>
        <v>5</v>
      </c>
      <c r="N12" s="59">
        <f t="shared" si="4"/>
        <v>44440</v>
      </c>
      <c r="O12" s="53">
        <f t="shared" si="5"/>
        <v>8080</v>
      </c>
      <c r="P12" s="59">
        <f t="shared" si="6"/>
        <v>15390</v>
      </c>
      <c r="Q12" s="84">
        <f t="shared" si="7"/>
        <v>2798</v>
      </c>
      <c r="R12" s="60">
        <f t="shared" si="8"/>
        <v>59830</v>
      </c>
      <c r="S12" s="56">
        <f t="shared" si="9"/>
        <v>11966</v>
      </c>
      <c r="T12" s="80">
        <f t="shared" si="10"/>
        <v>41</v>
      </c>
      <c r="U12" s="59">
        <f t="shared" si="10"/>
        <v>222640</v>
      </c>
      <c r="V12" s="59">
        <f t="shared" si="11"/>
        <v>134190</v>
      </c>
      <c r="W12" s="62">
        <f t="shared" si="12"/>
        <v>356830</v>
      </c>
      <c r="X12" s="81"/>
      <c r="Y12" s="63"/>
      <c r="Z12" s="64">
        <v>15</v>
      </c>
      <c r="AA12" s="52">
        <v>6710</v>
      </c>
      <c r="AB12" s="53">
        <f t="shared" si="13"/>
        <v>447.33333333333331</v>
      </c>
      <c r="AC12" s="52">
        <v>6000</v>
      </c>
      <c r="AD12" s="54">
        <f t="shared" si="14"/>
        <v>400</v>
      </c>
      <c r="AE12" s="65">
        <f t="shared" si="15"/>
        <v>12710</v>
      </c>
      <c r="AF12" s="56">
        <f t="shared" si="16"/>
        <v>847.33333333333337</v>
      </c>
      <c r="AG12" s="66"/>
      <c r="AH12" s="64">
        <v>48</v>
      </c>
      <c r="AI12" s="52">
        <v>187920</v>
      </c>
      <c r="AJ12" s="53">
        <f t="shared" si="17"/>
        <v>3915</v>
      </c>
      <c r="AK12" s="52">
        <v>62640</v>
      </c>
      <c r="AL12" s="54">
        <f t="shared" si="18"/>
        <v>1305</v>
      </c>
      <c r="AM12" s="65">
        <f t="shared" si="28"/>
        <v>250560</v>
      </c>
      <c r="AN12" s="67">
        <f t="shared" si="19"/>
        <v>5220</v>
      </c>
      <c r="AO12" s="68"/>
      <c r="AP12" s="64">
        <v>161</v>
      </c>
      <c r="AQ12" s="52">
        <v>484800</v>
      </c>
      <c r="AR12" s="53">
        <f t="shared" si="20"/>
        <v>3011.1801242236024</v>
      </c>
      <c r="AS12" s="52">
        <v>249550</v>
      </c>
      <c r="AT12" s="54">
        <f t="shared" si="21"/>
        <v>1550</v>
      </c>
      <c r="AU12" s="54">
        <v>13200</v>
      </c>
      <c r="AV12" s="54"/>
      <c r="AW12" s="69">
        <f t="shared" si="31"/>
        <v>747550</v>
      </c>
      <c r="AX12" s="67">
        <f t="shared" si="22"/>
        <v>4643.1677018633536</v>
      </c>
      <c r="AY12" s="82">
        <f t="shared" si="23"/>
        <v>41</v>
      </c>
      <c r="AZ12" s="59">
        <f t="shared" si="24"/>
        <v>902070</v>
      </c>
      <c r="BA12" s="59">
        <f t="shared" si="25"/>
        <v>452380</v>
      </c>
      <c r="BB12" s="71">
        <f t="shared" si="32"/>
        <v>1367650</v>
      </c>
      <c r="BC12" s="72">
        <f t="shared" si="30"/>
        <v>1100</v>
      </c>
      <c r="BD12" s="73">
        <v>41</v>
      </c>
      <c r="BE12" s="74">
        <v>222640</v>
      </c>
      <c r="BF12" s="74">
        <v>134190</v>
      </c>
      <c r="BG12" s="75"/>
      <c r="BH12" s="75">
        <v>1100</v>
      </c>
      <c r="BI12" s="75"/>
      <c r="BJ12" s="75"/>
      <c r="BK12" s="76">
        <f t="shared" si="29"/>
        <v>357930</v>
      </c>
      <c r="BL12" s="47">
        <v>8</v>
      </c>
      <c r="BM12" s="77">
        <f t="shared" si="26"/>
        <v>357930</v>
      </c>
    </row>
    <row r="13" spans="1:67" ht="20" customHeight="1">
      <c r="B13" s="78">
        <f t="shared" si="27"/>
        <v>45482</v>
      </c>
      <c r="C13" s="79"/>
      <c r="D13" s="50"/>
      <c r="E13" s="51">
        <v>36</v>
      </c>
      <c r="F13" s="52">
        <v>176220</v>
      </c>
      <c r="G13" s="53">
        <f t="shared" si="0"/>
        <v>4450</v>
      </c>
      <c r="H13" s="52">
        <v>26450</v>
      </c>
      <c r="I13" s="54">
        <f t="shared" si="1"/>
        <v>667.91666666666663</v>
      </c>
      <c r="J13" s="55">
        <f t="shared" si="2"/>
        <v>202670</v>
      </c>
      <c r="K13" s="56">
        <f t="shared" si="3"/>
        <v>5629.7222222222226</v>
      </c>
      <c r="L13" s="57"/>
      <c r="M13" s="58">
        <f t="shared" si="4"/>
        <v>11</v>
      </c>
      <c r="N13" s="59">
        <f t="shared" si="4"/>
        <v>82280</v>
      </c>
      <c r="O13" s="53">
        <f t="shared" si="5"/>
        <v>6800</v>
      </c>
      <c r="P13" s="59">
        <f t="shared" si="6"/>
        <v>20350</v>
      </c>
      <c r="Q13" s="54">
        <f t="shared" si="7"/>
        <v>1681.8181818181818</v>
      </c>
      <c r="R13" s="60">
        <f t="shared" si="8"/>
        <v>102630</v>
      </c>
      <c r="S13" s="56">
        <f t="shared" si="9"/>
        <v>9330</v>
      </c>
      <c r="T13" s="80">
        <f t="shared" si="10"/>
        <v>47</v>
      </c>
      <c r="U13" s="59">
        <f t="shared" si="10"/>
        <v>258500</v>
      </c>
      <c r="V13" s="59">
        <f t="shared" si="11"/>
        <v>46800</v>
      </c>
      <c r="W13" s="62">
        <f t="shared" si="12"/>
        <v>305300</v>
      </c>
      <c r="X13" s="81"/>
      <c r="Y13" s="63"/>
      <c r="Z13" s="64">
        <v>27</v>
      </c>
      <c r="AA13" s="52">
        <v>13330</v>
      </c>
      <c r="AB13" s="53">
        <f t="shared" si="13"/>
        <v>493.7037037037037</v>
      </c>
      <c r="AC13" s="52">
        <v>1950</v>
      </c>
      <c r="AD13" s="54">
        <f t="shared" si="14"/>
        <v>72.222222222222229</v>
      </c>
      <c r="AE13" s="65">
        <f t="shared" si="15"/>
        <v>15280</v>
      </c>
      <c r="AF13" s="56">
        <f t="shared" si="16"/>
        <v>565.92592592592598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8"/>
        <v>0</v>
      </c>
      <c r="AN13" s="67" t="str">
        <f t="shared" si="19"/>
        <v/>
      </c>
      <c r="AO13" s="68"/>
      <c r="AP13" s="64">
        <v>233</v>
      </c>
      <c r="AQ13" s="52">
        <v>694450</v>
      </c>
      <c r="AR13" s="53">
        <f t="shared" si="20"/>
        <v>2980.472103004292</v>
      </c>
      <c r="AS13" s="52">
        <v>379450</v>
      </c>
      <c r="AT13" s="54">
        <f t="shared" si="21"/>
        <v>1628.5407725321888</v>
      </c>
      <c r="AU13" s="54">
        <v>28050</v>
      </c>
      <c r="AV13" s="54"/>
      <c r="AW13" s="69">
        <f t="shared" si="31"/>
        <v>1101950</v>
      </c>
      <c r="AX13" s="67">
        <f t="shared" si="22"/>
        <v>4729.3991416309009</v>
      </c>
      <c r="AY13" s="82">
        <f t="shared" si="23"/>
        <v>47</v>
      </c>
      <c r="AZ13" s="59">
        <f t="shared" si="24"/>
        <v>966280</v>
      </c>
      <c r="BA13" s="59">
        <f t="shared" si="25"/>
        <v>428200</v>
      </c>
      <c r="BB13" s="71">
        <f t="shared" si="32"/>
        <v>1422530</v>
      </c>
      <c r="BC13" s="72">
        <f t="shared" si="30"/>
        <v>6600</v>
      </c>
      <c r="BD13" s="73">
        <v>47</v>
      </c>
      <c r="BE13" s="74">
        <v>258500</v>
      </c>
      <c r="BF13" s="74">
        <v>46800</v>
      </c>
      <c r="BG13" s="75">
        <v>6600</v>
      </c>
      <c r="BH13" s="75"/>
      <c r="BI13" s="75"/>
      <c r="BJ13" s="75"/>
      <c r="BK13" s="76">
        <f t="shared" si="29"/>
        <v>311900</v>
      </c>
      <c r="BL13" s="47">
        <v>9</v>
      </c>
      <c r="BM13" s="77">
        <f t="shared" si="26"/>
        <v>311900</v>
      </c>
    </row>
    <row r="14" spans="1:67" ht="20" customHeight="1">
      <c r="B14" s="78">
        <f t="shared" si="27"/>
        <v>45483</v>
      </c>
      <c r="C14" s="79"/>
      <c r="D14" s="50"/>
      <c r="E14" s="51">
        <v>34</v>
      </c>
      <c r="F14" s="52">
        <v>100540</v>
      </c>
      <c r="G14" s="53">
        <f t="shared" si="0"/>
        <v>2688.2352941176468</v>
      </c>
      <c r="H14" s="52">
        <v>6650</v>
      </c>
      <c r="I14" s="54">
        <f t="shared" si="1"/>
        <v>177.79411764705881</v>
      </c>
      <c r="J14" s="55">
        <f t="shared" si="2"/>
        <v>107190</v>
      </c>
      <c r="K14" s="56">
        <f t="shared" si="3"/>
        <v>3152.6470588235293</v>
      </c>
      <c r="L14" s="57"/>
      <c r="M14" s="58">
        <f t="shared" si="4"/>
        <v>10</v>
      </c>
      <c r="N14" s="59">
        <f t="shared" si="4"/>
        <v>113960</v>
      </c>
      <c r="O14" s="53">
        <f t="shared" si="5"/>
        <v>10360</v>
      </c>
      <c r="P14" s="59">
        <f t="shared" si="6"/>
        <v>36640</v>
      </c>
      <c r="Q14" s="54">
        <f t="shared" si="7"/>
        <v>3330.9</v>
      </c>
      <c r="R14" s="60">
        <f t="shared" si="8"/>
        <v>150600</v>
      </c>
      <c r="S14" s="56">
        <f t="shared" si="9"/>
        <v>15060</v>
      </c>
      <c r="T14" s="80">
        <f t="shared" si="10"/>
        <v>44</v>
      </c>
      <c r="U14" s="59">
        <f t="shared" si="10"/>
        <v>214500</v>
      </c>
      <c r="V14" s="59">
        <f t="shared" si="11"/>
        <v>43290</v>
      </c>
      <c r="W14" s="62">
        <f t="shared" si="12"/>
        <v>257790</v>
      </c>
      <c r="X14" s="81"/>
      <c r="Y14" s="63"/>
      <c r="Z14" s="64">
        <v>31</v>
      </c>
      <c r="AA14" s="52">
        <v>18450</v>
      </c>
      <c r="AB14" s="53">
        <f t="shared" si="13"/>
        <v>595.16129032258061</v>
      </c>
      <c r="AC14" s="52">
        <v>9270</v>
      </c>
      <c r="AD14" s="54">
        <f t="shared" si="14"/>
        <v>299.03225806451616</v>
      </c>
      <c r="AE14" s="65">
        <f t="shared" si="15"/>
        <v>27720</v>
      </c>
      <c r="AF14" s="56">
        <f t="shared" si="16"/>
        <v>894.19354838709683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8"/>
        <v>0</v>
      </c>
      <c r="AN14" s="67" t="str">
        <f t="shared" si="19"/>
        <v/>
      </c>
      <c r="AO14" s="68"/>
      <c r="AP14" s="64">
        <v>292</v>
      </c>
      <c r="AQ14" s="52">
        <v>817300</v>
      </c>
      <c r="AR14" s="53">
        <f t="shared" si="20"/>
        <v>2798.972602739726</v>
      </c>
      <c r="AS14" s="52">
        <v>472500</v>
      </c>
      <c r="AT14" s="54">
        <f t="shared" si="21"/>
        <v>1618.1506849315069</v>
      </c>
      <c r="AU14" s="54">
        <v>5500</v>
      </c>
      <c r="AV14" s="54"/>
      <c r="AW14" s="69">
        <f t="shared" si="31"/>
        <v>1295300</v>
      </c>
      <c r="AX14" s="67">
        <f t="shared" si="22"/>
        <v>4435.9589041095887</v>
      </c>
      <c r="AY14" s="82">
        <f t="shared" si="23"/>
        <v>44</v>
      </c>
      <c r="AZ14" s="59">
        <f t="shared" si="24"/>
        <v>1050250</v>
      </c>
      <c r="BA14" s="59">
        <f t="shared" si="25"/>
        <v>525060</v>
      </c>
      <c r="BB14" s="71">
        <f>W14+AE14+AM14+AW14-BN14</f>
        <v>1575860</v>
      </c>
      <c r="BC14" s="72">
        <f t="shared" si="30"/>
        <v>5500</v>
      </c>
      <c r="BD14" s="73">
        <v>44</v>
      </c>
      <c r="BE14" s="74">
        <v>214500</v>
      </c>
      <c r="BF14" s="74">
        <v>43290</v>
      </c>
      <c r="BG14" s="75">
        <v>5500</v>
      </c>
      <c r="BH14" s="75"/>
      <c r="BI14" s="75"/>
      <c r="BJ14" s="75"/>
      <c r="BK14" s="76">
        <f t="shared" si="29"/>
        <v>263290</v>
      </c>
      <c r="BL14" s="47">
        <v>10</v>
      </c>
      <c r="BM14" s="77">
        <f t="shared" si="26"/>
        <v>263290</v>
      </c>
      <c r="BN14" s="47">
        <v>4950</v>
      </c>
    </row>
    <row r="15" spans="1:67" ht="20" customHeight="1">
      <c r="B15" s="78">
        <f t="shared" si="27"/>
        <v>45484</v>
      </c>
      <c r="C15" s="83"/>
      <c r="D15" s="50"/>
      <c r="E15" s="51">
        <v>30</v>
      </c>
      <c r="F15" s="52">
        <v>112970</v>
      </c>
      <c r="G15" s="53">
        <f t="shared" si="0"/>
        <v>3423.3333333333335</v>
      </c>
      <c r="H15" s="52">
        <v>8950</v>
      </c>
      <c r="I15" s="54">
        <f t="shared" si="1"/>
        <v>271.2</v>
      </c>
      <c r="J15" s="55">
        <f t="shared" si="2"/>
        <v>121920</v>
      </c>
      <c r="K15" s="56">
        <f t="shared" si="3"/>
        <v>4064</v>
      </c>
      <c r="L15" s="57"/>
      <c r="M15" s="58">
        <f t="shared" si="4"/>
        <v>12</v>
      </c>
      <c r="N15" s="59">
        <f t="shared" si="4"/>
        <v>83270</v>
      </c>
      <c r="O15" s="53">
        <f t="shared" si="5"/>
        <v>6308.333333333333</v>
      </c>
      <c r="P15" s="59">
        <f t="shared" si="6"/>
        <v>12960</v>
      </c>
      <c r="Q15" s="54">
        <f t="shared" si="7"/>
        <v>981.75</v>
      </c>
      <c r="R15" s="60">
        <f t="shared" si="8"/>
        <v>96230</v>
      </c>
      <c r="S15" s="56">
        <f t="shared" si="9"/>
        <v>8019.166666666667</v>
      </c>
      <c r="T15" s="80">
        <f t="shared" si="10"/>
        <v>42</v>
      </c>
      <c r="U15" s="59">
        <f t="shared" si="10"/>
        <v>196240</v>
      </c>
      <c r="V15" s="59">
        <f t="shared" si="11"/>
        <v>21910</v>
      </c>
      <c r="W15" s="62">
        <f t="shared" si="12"/>
        <v>218150</v>
      </c>
      <c r="X15" s="81"/>
      <c r="Y15" s="63"/>
      <c r="Z15" s="64">
        <v>15</v>
      </c>
      <c r="AA15" s="52">
        <v>6920</v>
      </c>
      <c r="AB15" s="53">
        <f t="shared" si="13"/>
        <v>461.33333333333331</v>
      </c>
      <c r="AC15" s="52">
        <v>2200</v>
      </c>
      <c r="AD15" s="54">
        <f t="shared" si="14"/>
        <v>146.66666666666666</v>
      </c>
      <c r="AE15" s="65">
        <f t="shared" si="15"/>
        <v>9120</v>
      </c>
      <c r="AF15" s="56">
        <f t="shared" si="16"/>
        <v>608</v>
      </c>
      <c r="AG15" s="66"/>
      <c r="AH15" s="64">
        <v>19</v>
      </c>
      <c r="AI15" s="52">
        <v>74385</v>
      </c>
      <c r="AJ15" s="53">
        <f t="shared" si="17"/>
        <v>3915</v>
      </c>
      <c r="AK15" s="52">
        <v>24795</v>
      </c>
      <c r="AL15" s="54">
        <f t="shared" si="18"/>
        <v>1305</v>
      </c>
      <c r="AM15" s="65">
        <f t="shared" si="28"/>
        <v>99180</v>
      </c>
      <c r="AN15" s="67">
        <f t="shared" si="19"/>
        <v>5220</v>
      </c>
      <c r="AO15" s="68"/>
      <c r="AP15" s="64">
        <v>303</v>
      </c>
      <c r="AQ15" s="52">
        <v>893900</v>
      </c>
      <c r="AR15" s="53">
        <f t="shared" si="20"/>
        <v>2950.1650165016504</v>
      </c>
      <c r="AS15" s="52">
        <v>509800</v>
      </c>
      <c r="AT15" s="54">
        <f t="shared" si="21"/>
        <v>1682.5082508250825</v>
      </c>
      <c r="AU15" s="54">
        <v>15400</v>
      </c>
      <c r="AV15" s="54"/>
      <c r="AW15" s="69">
        <f t="shared" si="31"/>
        <v>1419100</v>
      </c>
      <c r="AX15" s="67">
        <f t="shared" si="22"/>
        <v>4683.4983498349839</v>
      </c>
      <c r="AY15" s="82">
        <f t="shared" si="23"/>
        <v>42</v>
      </c>
      <c r="AZ15" s="59">
        <f t="shared" si="24"/>
        <v>1171445</v>
      </c>
      <c r="BA15" s="59">
        <f t="shared" si="25"/>
        <v>558705</v>
      </c>
      <c r="BB15" s="71">
        <f>W15+AE15+AM15+AW15-BN15</f>
        <v>1745550</v>
      </c>
      <c r="BC15" s="72">
        <f t="shared" si="30"/>
        <v>3300</v>
      </c>
      <c r="BD15" s="73">
        <v>42</v>
      </c>
      <c r="BE15" s="74">
        <v>196240</v>
      </c>
      <c r="BF15" s="74">
        <v>21910</v>
      </c>
      <c r="BG15" s="75">
        <v>2200</v>
      </c>
      <c r="BH15" s="75">
        <v>1100</v>
      </c>
      <c r="BI15" s="75"/>
      <c r="BJ15" s="75"/>
      <c r="BK15" s="76">
        <f t="shared" si="29"/>
        <v>221450</v>
      </c>
      <c r="BL15" s="47">
        <v>11</v>
      </c>
      <c r="BM15" s="77">
        <f t="shared" si="26"/>
        <v>221450</v>
      </c>
    </row>
    <row r="16" spans="1:67" ht="20" customHeight="1">
      <c r="B16" s="78">
        <f t="shared" si="27"/>
        <v>45485</v>
      </c>
      <c r="C16" s="79"/>
      <c r="D16" s="50"/>
      <c r="E16" s="51">
        <v>40</v>
      </c>
      <c r="F16" s="52">
        <v>152460</v>
      </c>
      <c r="G16" s="53">
        <f t="shared" si="0"/>
        <v>3465</v>
      </c>
      <c r="H16" s="52">
        <v>12300</v>
      </c>
      <c r="I16" s="54">
        <f t="shared" si="1"/>
        <v>279.52499999999998</v>
      </c>
      <c r="J16" s="55">
        <f t="shared" si="2"/>
        <v>164760</v>
      </c>
      <c r="K16" s="56">
        <f t="shared" si="3"/>
        <v>4119</v>
      </c>
      <c r="L16" s="57"/>
      <c r="M16" s="58">
        <f t="shared" si="4"/>
        <v>21</v>
      </c>
      <c r="N16" s="59">
        <f t="shared" si="4"/>
        <v>199190</v>
      </c>
      <c r="O16" s="53">
        <f t="shared" si="5"/>
        <v>8622.9047619047615</v>
      </c>
      <c r="P16" s="59">
        <f t="shared" si="6"/>
        <v>58140</v>
      </c>
      <c r="Q16" s="54">
        <f t="shared" si="7"/>
        <v>2516.8571428571427</v>
      </c>
      <c r="R16" s="60">
        <f t="shared" si="8"/>
        <v>257330</v>
      </c>
      <c r="S16" s="56">
        <f t="shared" si="9"/>
        <v>12253.809523809523</v>
      </c>
      <c r="T16" s="80">
        <f t="shared" si="10"/>
        <v>61</v>
      </c>
      <c r="U16" s="59">
        <f t="shared" si="10"/>
        <v>351650</v>
      </c>
      <c r="V16" s="59">
        <f t="shared" si="11"/>
        <v>70440</v>
      </c>
      <c r="W16" s="62">
        <f t="shared" si="12"/>
        <v>422090</v>
      </c>
      <c r="X16" s="81"/>
      <c r="Y16" s="63"/>
      <c r="Z16" s="64">
        <v>7</v>
      </c>
      <c r="AA16" s="52">
        <v>2960</v>
      </c>
      <c r="AB16" s="53">
        <f t="shared" si="13"/>
        <v>422.85714285714283</v>
      </c>
      <c r="AC16" s="52">
        <v>1400</v>
      </c>
      <c r="AD16" s="54">
        <f t="shared" si="14"/>
        <v>200</v>
      </c>
      <c r="AE16" s="65">
        <f t="shared" si="15"/>
        <v>4360</v>
      </c>
      <c r="AF16" s="56">
        <f t="shared" si="16"/>
        <v>622.85714285714289</v>
      </c>
      <c r="AG16" s="66"/>
      <c r="AH16" s="64">
        <v>80</v>
      </c>
      <c r="AI16" s="52">
        <v>313200</v>
      </c>
      <c r="AJ16" s="53">
        <f t="shared" si="17"/>
        <v>3915</v>
      </c>
      <c r="AK16" s="52">
        <v>174717</v>
      </c>
      <c r="AL16" s="54">
        <f t="shared" si="18"/>
        <v>2183.9625000000001</v>
      </c>
      <c r="AM16" s="65">
        <f t="shared" si="28"/>
        <v>487917</v>
      </c>
      <c r="AN16" s="67">
        <f t="shared" si="19"/>
        <v>6098.9624999999996</v>
      </c>
      <c r="AO16" s="68"/>
      <c r="AP16" s="64">
        <v>402</v>
      </c>
      <c r="AQ16" s="52">
        <v>1206750</v>
      </c>
      <c r="AR16" s="53">
        <f t="shared" si="20"/>
        <v>3001.8656716417909</v>
      </c>
      <c r="AS16" s="52">
        <v>648800</v>
      </c>
      <c r="AT16" s="54">
        <f t="shared" si="21"/>
        <v>1613.9303482587065</v>
      </c>
      <c r="AU16" s="54">
        <v>33000</v>
      </c>
      <c r="AV16" s="54"/>
      <c r="AW16" s="69">
        <f t="shared" si="31"/>
        <v>1888550</v>
      </c>
      <c r="AX16" s="67">
        <f t="shared" si="22"/>
        <v>4697.8855721393038</v>
      </c>
      <c r="AY16" s="82">
        <f t="shared" si="23"/>
        <v>61</v>
      </c>
      <c r="AZ16" s="59">
        <f t="shared" si="24"/>
        <v>1874560</v>
      </c>
      <c r="BA16" s="59">
        <f t="shared" si="25"/>
        <v>895357</v>
      </c>
      <c r="BB16" s="71">
        <f t="shared" si="32"/>
        <v>2802917</v>
      </c>
      <c r="BC16" s="72">
        <f t="shared" si="30"/>
        <v>9350</v>
      </c>
      <c r="BD16" s="73">
        <v>61</v>
      </c>
      <c r="BE16" s="74">
        <v>351650</v>
      </c>
      <c r="BF16" s="74">
        <v>70440</v>
      </c>
      <c r="BG16" s="75">
        <v>9350</v>
      </c>
      <c r="BH16" s="75"/>
      <c r="BI16" s="75"/>
      <c r="BJ16" s="75"/>
      <c r="BK16" s="76">
        <f t="shared" si="29"/>
        <v>431440</v>
      </c>
      <c r="BL16" s="47">
        <v>12</v>
      </c>
      <c r="BM16" s="77">
        <f t="shared" si="26"/>
        <v>431440</v>
      </c>
    </row>
    <row r="17" spans="2:67" ht="20" customHeight="1">
      <c r="B17" s="78">
        <f t="shared" si="27"/>
        <v>45486</v>
      </c>
      <c r="C17" s="83"/>
      <c r="D17" s="50"/>
      <c r="E17" s="51">
        <v>27</v>
      </c>
      <c r="F17" s="52">
        <v>129360</v>
      </c>
      <c r="G17" s="53">
        <f t="shared" si="0"/>
        <v>4355.5555555555557</v>
      </c>
      <c r="H17" s="52">
        <v>23280</v>
      </c>
      <c r="I17" s="54">
        <f t="shared" si="1"/>
        <v>783.81481481481478</v>
      </c>
      <c r="J17" s="55">
        <f t="shared" si="2"/>
        <v>152640</v>
      </c>
      <c r="K17" s="56">
        <f t="shared" si="3"/>
        <v>5653.333333333333</v>
      </c>
      <c r="L17" s="57"/>
      <c r="M17" s="58">
        <f t="shared" si="4"/>
        <v>27</v>
      </c>
      <c r="N17" s="59">
        <f t="shared" si="4"/>
        <v>279400</v>
      </c>
      <c r="O17" s="53">
        <f t="shared" si="5"/>
        <v>9407.4074074074069</v>
      </c>
      <c r="P17" s="59">
        <f t="shared" si="6"/>
        <v>50430</v>
      </c>
      <c r="Q17" s="54">
        <f t="shared" si="7"/>
        <v>1697.962962962963</v>
      </c>
      <c r="R17" s="60">
        <f t="shared" si="8"/>
        <v>329830</v>
      </c>
      <c r="S17" s="56">
        <f t="shared" si="9"/>
        <v>12215.925925925925</v>
      </c>
      <c r="T17" s="80">
        <f>E17+M17</f>
        <v>54</v>
      </c>
      <c r="U17" s="59">
        <f t="shared" si="10"/>
        <v>408760</v>
      </c>
      <c r="V17" s="59">
        <f t="shared" si="11"/>
        <v>73710</v>
      </c>
      <c r="W17" s="62">
        <f t="shared" si="12"/>
        <v>482470</v>
      </c>
      <c r="X17" s="81"/>
      <c r="Y17" s="63"/>
      <c r="Z17" s="64">
        <v>18</v>
      </c>
      <c r="AA17" s="52">
        <v>8090</v>
      </c>
      <c r="AB17" s="53">
        <f t="shared" si="13"/>
        <v>449.44444444444446</v>
      </c>
      <c r="AC17" s="52">
        <v>0</v>
      </c>
      <c r="AD17" s="54">
        <f t="shared" si="14"/>
        <v>0</v>
      </c>
      <c r="AE17" s="65">
        <f t="shared" si="15"/>
        <v>8090</v>
      </c>
      <c r="AF17" s="56">
        <f t="shared" si="16"/>
        <v>449.44444444444446</v>
      </c>
      <c r="AG17" s="66"/>
      <c r="AH17" s="64">
        <v>27</v>
      </c>
      <c r="AI17" s="52">
        <v>105705</v>
      </c>
      <c r="AJ17" s="53">
        <f t="shared" si="17"/>
        <v>3915</v>
      </c>
      <c r="AK17" s="52">
        <v>35235</v>
      </c>
      <c r="AL17" s="54">
        <f t="shared" si="18"/>
        <v>1305</v>
      </c>
      <c r="AM17" s="65">
        <f t="shared" si="28"/>
        <v>140940</v>
      </c>
      <c r="AN17" s="67">
        <f t="shared" si="19"/>
        <v>5220</v>
      </c>
      <c r="AO17" s="68"/>
      <c r="AP17" s="64">
        <v>506</v>
      </c>
      <c r="AQ17" s="52">
        <v>1704150</v>
      </c>
      <c r="AR17" s="53">
        <f t="shared" si="20"/>
        <v>3367.885375494071</v>
      </c>
      <c r="AS17" s="52">
        <v>946300</v>
      </c>
      <c r="AT17" s="54">
        <f t="shared" si="21"/>
        <v>1870.1581027667985</v>
      </c>
      <c r="AU17" s="54">
        <v>15400</v>
      </c>
      <c r="AV17" s="54">
        <v>11880</v>
      </c>
      <c r="AW17" s="69">
        <f>AQ17+AS17+AU17+AV17</f>
        <v>2677730</v>
      </c>
      <c r="AX17" s="67">
        <f t="shared" si="22"/>
        <v>5291.95652173913</v>
      </c>
      <c r="AY17" s="82">
        <f t="shared" si="23"/>
        <v>54</v>
      </c>
      <c r="AZ17" s="59">
        <f t="shared" si="24"/>
        <v>2226705</v>
      </c>
      <c r="BA17" s="59">
        <f t="shared" si="25"/>
        <v>1055245</v>
      </c>
      <c r="BB17" s="71">
        <f t="shared" si="32"/>
        <v>3309230</v>
      </c>
      <c r="BC17" s="72">
        <f t="shared" si="30"/>
        <v>10450</v>
      </c>
      <c r="BD17" s="73">
        <v>54</v>
      </c>
      <c r="BE17" s="74">
        <v>408760</v>
      </c>
      <c r="BF17" s="74">
        <v>73710</v>
      </c>
      <c r="BG17" s="75">
        <v>5500</v>
      </c>
      <c r="BH17" s="75">
        <v>4950</v>
      </c>
      <c r="BI17" s="75"/>
      <c r="BJ17" s="75"/>
      <c r="BK17" s="76">
        <f t="shared" si="29"/>
        <v>492920</v>
      </c>
      <c r="BL17" s="47">
        <v>13</v>
      </c>
      <c r="BM17" s="77">
        <f t="shared" si="26"/>
        <v>492920</v>
      </c>
    </row>
    <row r="18" spans="2:67" ht="20" customHeight="1">
      <c r="B18" s="78">
        <f t="shared" si="27"/>
        <v>45487</v>
      </c>
      <c r="C18" s="79"/>
      <c r="D18" s="50"/>
      <c r="E18" s="51">
        <v>33</v>
      </c>
      <c r="F18" s="52">
        <v>148060</v>
      </c>
      <c r="G18" s="53">
        <f t="shared" si="0"/>
        <v>4078.787878787879</v>
      </c>
      <c r="H18" s="52">
        <v>39650</v>
      </c>
      <c r="I18" s="54">
        <f t="shared" si="1"/>
        <v>1092.2727272727273</v>
      </c>
      <c r="J18" s="55">
        <f t="shared" si="2"/>
        <v>187710</v>
      </c>
      <c r="K18" s="56">
        <f t="shared" si="3"/>
        <v>5688.181818181818</v>
      </c>
      <c r="L18" s="57"/>
      <c r="M18" s="58">
        <f t="shared" si="4"/>
        <v>25</v>
      </c>
      <c r="N18" s="59">
        <f t="shared" si="4"/>
        <v>257050</v>
      </c>
      <c r="O18" s="53">
        <f t="shared" si="5"/>
        <v>9347.24</v>
      </c>
      <c r="P18" s="59">
        <f t="shared" si="6"/>
        <v>73900</v>
      </c>
      <c r="Q18" s="54">
        <f t="shared" si="7"/>
        <v>2687.24</v>
      </c>
      <c r="R18" s="60">
        <f t="shared" si="8"/>
        <v>330950</v>
      </c>
      <c r="S18" s="56">
        <f t="shared" si="9"/>
        <v>13238</v>
      </c>
      <c r="T18" s="80">
        <f t="shared" si="10"/>
        <v>58</v>
      </c>
      <c r="U18" s="59">
        <f t="shared" si="10"/>
        <v>405110</v>
      </c>
      <c r="V18" s="59">
        <f t="shared" si="11"/>
        <v>113550</v>
      </c>
      <c r="W18" s="62">
        <f t="shared" si="12"/>
        <v>518660</v>
      </c>
      <c r="X18" s="81"/>
      <c r="Y18" s="63"/>
      <c r="Z18" s="64">
        <v>29</v>
      </c>
      <c r="AA18" s="52">
        <v>14850</v>
      </c>
      <c r="AB18" s="53">
        <f t="shared" si="13"/>
        <v>512.06896551724139</v>
      </c>
      <c r="AC18" s="52">
        <v>3000</v>
      </c>
      <c r="AD18" s="54">
        <f t="shared" si="14"/>
        <v>103.44827586206897</v>
      </c>
      <c r="AE18" s="65">
        <f t="shared" si="15"/>
        <v>17850</v>
      </c>
      <c r="AF18" s="56">
        <f t="shared" si="16"/>
        <v>615.51724137931035</v>
      </c>
      <c r="AG18" s="66"/>
      <c r="AH18" s="64">
        <v>52</v>
      </c>
      <c r="AI18" s="52">
        <v>203580</v>
      </c>
      <c r="AJ18" s="53">
        <f t="shared" si="17"/>
        <v>3915</v>
      </c>
      <c r="AK18" s="52">
        <v>73515</v>
      </c>
      <c r="AL18" s="54">
        <f t="shared" si="18"/>
        <v>1413.75</v>
      </c>
      <c r="AM18" s="65">
        <f t="shared" si="28"/>
        <v>277095</v>
      </c>
      <c r="AN18" s="67">
        <f t="shared" si="19"/>
        <v>5328.75</v>
      </c>
      <c r="AO18" s="68"/>
      <c r="AP18" s="64">
        <v>639</v>
      </c>
      <c r="AQ18" s="52">
        <v>2019300</v>
      </c>
      <c r="AR18" s="53">
        <f t="shared" si="20"/>
        <v>3160.0938967136149</v>
      </c>
      <c r="AS18" s="52">
        <v>1031800</v>
      </c>
      <c r="AT18" s="54">
        <f t="shared" si="21"/>
        <v>1614.7104851330203</v>
      </c>
      <c r="AU18" s="54">
        <v>25300</v>
      </c>
      <c r="AV18" s="54">
        <v>5940</v>
      </c>
      <c r="AW18" s="69">
        <f t="shared" ref="AW18:AW35" si="33">AQ18+AS18+AU18+AV18</f>
        <v>3082340</v>
      </c>
      <c r="AX18" s="67">
        <f t="shared" si="22"/>
        <v>4823.6932707355245</v>
      </c>
      <c r="AY18" s="82">
        <f t="shared" si="23"/>
        <v>58</v>
      </c>
      <c r="AZ18" s="59">
        <f t="shared" si="24"/>
        <v>2642840</v>
      </c>
      <c r="BA18" s="59">
        <f t="shared" si="25"/>
        <v>1221865</v>
      </c>
      <c r="BB18" s="71">
        <f>W18+AE18+AM18+AW18-BN18</f>
        <v>3895945</v>
      </c>
      <c r="BC18" s="72">
        <f t="shared" si="30"/>
        <v>7150</v>
      </c>
      <c r="BD18" s="73">
        <v>58</v>
      </c>
      <c r="BE18" s="74">
        <v>405110</v>
      </c>
      <c r="BF18" s="74">
        <v>113550</v>
      </c>
      <c r="BG18" s="75">
        <v>6050</v>
      </c>
      <c r="BH18" s="75">
        <v>1100</v>
      </c>
      <c r="BI18" s="75"/>
      <c r="BJ18" s="75"/>
      <c r="BK18" s="76">
        <f t="shared" si="29"/>
        <v>525810</v>
      </c>
      <c r="BL18" s="47">
        <v>14</v>
      </c>
      <c r="BM18" s="77">
        <f t="shared" si="26"/>
        <v>525810</v>
      </c>
    </row>
    <row r="19" spans="2:67" ht="20" customHeight="1">
      <c r="B19" s="78">
        <f t="shared" si="27"/>
        <v>45488</v>
      </c>
      <c r="C19" s="79"/>
      <c r="D19" s="50"/>
      <c r="E19" s="51">
        <v>20</v>
      </c>
      <c r="F19" s="52">
        <v>93280</v>
      </c>
      <c r="G19" s="53">
        <f t="shared" si="0"/>
        <v>4240</v>
      </c>
      <c r="H19" s="52">
        <v>19230</v>
      </c>
      <c r="I19" s="54">
        <f t="shared" si="1"/>
        <v>874.05</v>
      </c>
      <c r="J19" s="55">
        <f t="shared" si="2"/>
        <v>112510</v>
      </c>
      <c r="K19" s="56">
        <f t="shared" si="3"/>
        <v>5625.5</v>
      </c>
      <c r="L19" s="57"/>
      <c r="M19" s="58">
        <f t="shared" si="4"/>
        <v>10</v>
      </c>
      <c r="N19" s="59">
        <f t="shared" si="4"/>
        <v>89760</v>
      </c>
      <c r="O19" s="53">
        <f t="shared" si="5"/>
        <v>8160</v>
      </c>
      <c r="P19" s="59">
        <f t="shared" si="6"/>
        <v>21830</v>
      </c>
      <c r="Q19" s="84">
        <f t="shared" si="7"/>
        <v>1984.5</v>
      </c>
      <c r="R19" s="60">
        <f t="shared" si="8"/>
        <v>111590</v>
      </c>
      <c r="S19" s="56">
        <f t="shared" si="9"/>
        <v>11159</v>
      </c>
      <c r="T19" s="80">
        <f t="shared" si="10"/>
        <v>30</v>
      </c>
      <c r="U19" s="59">
        <f t="shared" si="10"/>
        <v>183040</v>
      </c>
      <c r="V19" s="59">
        <f t="shared" si="11"/>
        <v>41060</v>
      </c>
      <c r="W19" s="62">
        <f t="shared" si="12"/>
        <v>224100</v>
      </c>
      <c r="X19" s="81"/>
      <c r="Y19" s="63"/>
      <c r="Z19" s="64">
        <v>19</v>
      </c>
      <c r="AA19" s="52">
        <v>10870</v>
      </c>
      <c r="AB19" s="53">
        <f t="shared" si="13"/>
        <v>572.10526315789468</v>
      </c>
      <c r="AC19" s="52">
        <v>1600</v>
      </c>
      <c r="AD19" s="54">
        <f t="shared" si="14"/>
        <v>84.21052631578948</v>
      </c>
      <c r="AE19" s="65">
        <f t="shared" si="15"/>
        <v>12470</v>
      </c>
      <c r="AF19" s="56">
        <f t="shared" si="16"/>
        <v>656.31578947368416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8"/>
        <v>0</v>
      </c>
      <c r="AN19" s="67" t="str">
        <f t="shared" si="19"/>
        <v/>
      </c>
      <c r="AO19" s="68"/>
      <c r="AP19" s="64">
        <v>473</v>
      </c>
      <c r="AQ19" s="52">
        <v>1423750</v>
      </c>
      <c r="AR19" s="53">
        <f t="shared" si="20"/>
        <v>3010.0422832980971</v>
      </c>
      <c r="AS19" s="52">
        <v>754950</v>
      </c>
      <c r="AT19" s="54">
        <f t="shared" si="21"/>
        <v>1596.0887949260043</v>
      </c>
      <c r="AU19" s="54">
        <v>23650</v>
      </c>
      <c r="AV19" s="54">
        <v>5940</v>
      </c>
      <c r="AW19" s="69">
        <f t="shared" si="33"/>
        <v>2208290</v>
      </c>
      <c r="AX19" s="67">
        <f t="shared" si="22"/>
        <v>4668.6892177589853</v>
      </c>
      <c r="AY19" s="82">
        <f t="shared" si="23"/>
        <v>30</v>
      </c>
      <c r="AZ19" s="59">
        <f t="shared" si="24"/>
        <v>1617660</v>
      </c>
      <c r="BA19" s="59">
        <f t="shared" si="25"/>
        <v>797610</v>
      </c>
      <c r="BB19" s="71">
        <f>W19+AE19+AM19+AW19-BN19</f>
        <v>2444860</v>
      </c>
      <c r="BC19" s="72">
        <f t="shared" si="30"/>
        <v>3300</v>
      </c>
      <c r="BD19" s="73">
        <v>30</v>
      </c>
      <c r="BE19" s="74">
        <v>183040</v>
      </c>
      <c r="BF19" s="74">
        <v>41060</v>
      </c>
      <c r="BG19" s="75">
        <v>2200</v>
      </c>
      <c r="BH19" s="75">
        <v>1100</v>
      </c>
      <c r="BI19" s="75"/>
      <c r="BJ19" s="75"/>
      <c r="BK19" s="76">
        <f t="shared" si="29"/>
        <v>227400</v>
      </c>
      <c r="BL19" s="47">
        <v>15</v>
      </c>
      <c r="BM19" s="77">
        <f t="shared" si="26"/>
        <v>227400</v>
      </c>
    </row>
    <row r="20" spans="2:67" ht="20" customHeight="1">
      <c r="B20" s="78">
        <f t="shared" si="27"/>
        <v>45489</v>
      </c>
      <c r="C20" s="79"/>
      <c r="D20" s="50"/>
      <c r="E20" s="51">
        <v>7</v>
      </c>
      <c r="F20" s="52">
        <v>30140</v>
      </c>
      <c r="G20" s="53">
        <f t="shared" si="0"/>
        <v>3914.2857142857142</v>
      </c>
      <c r="H20" s="52">
        <v>6600</v>
      </c>
      <c r="I20" s="53">
        <f t="shared" si="1"/>
        <v>857.14285714285711</v>
      </c>
      <c r="J20" s="55">
        <f t="shared" si="2"/>
        <v>36740</v>
      </c>
      <c r="K20" s="56">
        <f t="shared" si="3"/>
        <v>5248.5714285714284</v>
      </c>
      <c r="L20" s="57"/>
      <c r="M20" s="58">
        <f t="shared" si="4"/>
        <v>19</v>
      </c>
      <c r="N20" s="59">
        <f t="shared" si="4"/>
        <v>201500</v>
      </c>
      <c r="O20" s="53">
        <f t="shared" si="5"/>
        <v>9641.105263157895</v>
      </c>
      <c r="P20" s="59">
        <f t="shared" si="6"/>
        <v>52500</v>
      </c>
      <c r="Q20" s="84">
        <f t="shared" si="7"/>
        <v>2511.9473684210525</v>
      </c>
      <c r="R20" s="60">
        <f t="shared" si="8"/>
        <v>254000</v>
      </c>
      <c r="S20" s="56">
        <f t="shared" si="9"/>
        <v>13368.421052631578</v>
      </c>
      <c r="T20" s="80">
        <f t="shared" si="10"/>
        <v>26</v>
      </c>
      <c r="U20" s="59">
        <f t="shared" si="10"/>
        <v>231640</v>
      </c>
      <c r="V20" s="59">
        <f t="shared" si="11"/>
        <v>59100</v>
      </c>
      <c r="W20" s="62">
        <f t="shared" si="12"/>
        <v>290740</v>
      </c>
      <c r="X20" s="81"/>
      <c r="Y20" s="63"/>
      <c r="Z20" s="64">
        <v>24</v>
      </c>
      <c r="AA20" s="52">
        <v>13710</v>
      </c>
      <c r="AB20" s="53">
        <f t="shared" si="13"/>
        <v>571.25</v>
      </c>
      <c r="AC20" s="52">
        <v>4870</v>
      </c>
      <c r="AD20" s="54">
        <f t="shared" si="14"/>
        <v>202.91666666666666</v>
      </c>
      <c r="AE20" s="65">
        <f t="shared" si="15"/>
        <v>18580</v>
      </c>
      <c r="AF20" s="56">
        <f t="shared" si="16"/>
        <v>774.16666666666663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8"/>
        <v>0</v>
      </c>
      <c r="AN20" s="67" t="str">
        <f t="shared" si="19"/>
        <v/>
      </c>
      <c r="AO20" s="68"/>
      <c r="AP20" s="64">
        <v>272</v>
      </c>
      <c r="AQ20" s="52">
        <v>731800</v>
      </c>
      <c r="AR20" s="53">
        <f t="shared" si="20"/>
        <v>2690.4411764705883</v>
      </c>
      <c r="AS20" s="52">
        <v>407700</v>
      </c>
      <c r="AT20" s="54">
        <f t="shared" si="21"/>
        <v>1498.8970588235295</v>
      </c>
      <c r="AU20" s="54">
        <v>3850</v>
      </c>
      <c r="AV20" s="54">
        <v>2970</v>
      </c>
      <c r="AW20" s="69">
        <f t="shared" si="33"/>
        <v>1146320</v>
      </c>
      <c r="AX20" s="67">
        <f t="shared" si="22"/>
        <v>4214.411764705882</v>
      </c>
      <c r="AY20" s="82">
        <f t="shared" si="23"/>
        <v>26</v>
      </c>
      <c r="AZ20" s="59">
        <f t="shared" si="24"/>
        <v>977150</v>
      </c>
      <c r="BA20" s="59">
        <f t="shared" si="25"/>
        <v>471670</v>
      </c>
      <c r="BB20" s="71">
        <f>W20+AE20+AM20+AW20-BN20</f>
        <v>1455640</v>
      </c>
      <c r="BC20" s="72">
        <f t="shared" si="30"/>
        <v>6600</v>
      </c>
      <c r="BD20" s="73">
        <v>26</v>
      </c>
      <c r="BE20" s="74">
        <v>231640</v>
      </c>
      <c r="BF20" s="74">
        <v>59100</v>
      </c>
      <c r="BG20" s="75">
        <v>6600</v>
      </c>
      <c r="BH20" s="75"/>
      <c r="BI20" s="75"/>
      <c r="BJ20" s="75"/>
      <c r="BK20" s="76">
        <f t="shared" si="29"/>
        <v>297340</v>
      </c>
      <c r="BL20" s="47">
        <v>16</v>
      </c>
      <c r="BM20" s="77">
        <f t="shared" si="26"/>
        <v>297340</v>
      </c>
    </row>
    <row r="21" spans="2:67" ht="20" customHeight="1">
      <c r="B21" s="78">
        <f t="shared" si="27"/>
        <v>45490</v>
      </c>
      <c r="C21" s="79"/>
      <c r="D21" s="50"/>
      <c r="E21" s="51">
        <v>24</v>
      </c>
      <c r="F21" s="52">
        <v>90530</v>
      </c>
      <c r="G21" s="53">
        <f t="shared" si="0"/>
        <v>3429.1666666666665</v>
      </c>
      <c r="H21" s="52">
        <v>8460</v>
      </c>
      <c r="I21" s="53">
        <f t="shared" si="1"/>
        <v>320.41666666666669</v>
      </c>
      <c r="J21" s="55">
        <f t="shared" si="2"/>
        <v>98990</v>
      </c>
      <c r="K21" s="56">
        <f t="shared" si="3"/>
        <v>4124.583333333333</v>
      </c>
      <c r="L21" s="57"/>
      <c r="M21" s="58">
        <f t="shared" si="4"/>
        <v>18</v>
      </c>
      <c r="N21" s="59">
        <f t="shared" si="4"/>
        <v>179630</v>
      </c>
      <c r="O21" s="53">
        <f t="shared" si="5"/>
        <v>9072.2222222222226</v>
      </c>
      <c r="P21" s="59">
        <f t="shared" si="6"/>
        <v>19340</v>
      </c>
      <c r="Q21" s="84">
        <f t="shared" si="7"/>
        <v>976.72222222222217</v>
      </c>
      <c r="R21" s="60">
        <f>N21+P21</f>
        <v>198970</v>
      </c>
      <c r="S21" s="56">
        <f t="shared" si="9"/>
        <v>11053.888888888889</v>
      </c>
      <c r="T21" s="80">
        <f t="shared" si="10"/>
        <v>42</v>
      </c>
      <c r="U21" s="59">
        <f t="shared" si="10"/>
        <v>270160</v>
      </c>
      <c r="V21" s="59">
        <f t="shared" si="11"/>
        <v>27800</v>
      </c>
      <c r="W21" s="62">
        <f t="shared" si="12"/>
        <v>297960</v>
      </c>
      <c r="X21" s="81"/>
      <c r="Y21" s="63"/>
      <c r="Z21" s="64">
        <v>13</v>
      </c>
      <c r="AA21" s="52">
        <v>8950</v>
      </c>
      <c r="AB21" s="53">
        <f t="shared" si="13"/>
        <v>688.46153846153845</v>
      </c>
      <c r="AC21" s="52">
        <v>1000</v>
      </c>
      <c r="AD21" s="54">
        <f t="shared" si="14"/>
        <v>76.92307692307692</v>
      </c>
      <c r="AE21" s="65">
        <f t="shared" si="15"/>
        <v>9950</v>
      </c>
      <c r="AF21" s="56">
        <f t="shared" si="16"/>
        <v>765.38461538461536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8"/>
        <v>0</v>
      </c>
      <c r="AN21" s="67" t="str">
        <f t="shared" si="19"/>
        <v/>
      </c>
      <c r="AO21" s="68"/>
      <c r="AP21" s="64">
        <v>548</v>
      </c>
      <c r="AQ21" s="52">
        <v>1607800</v>
      </c>
      <c r="AR21" s="53">
        <f t="shared" si="20"/>
        <v>2933.9416058394158</v>
      </c>
      <c r="AS21" s="52">
        <v>896100</v>
      </c>
      <c r="AT21" s="54">
        <f t="shared" si="21"/>
        <v>1635.2189781021898</v>
      </c>
      <c r="AU21" s="54">
        <v>6600</v>
      </c>
      <c r="AV21" s="54">
        <v>5940</v>
      </c>
      <c r="AW21" s="69">
        <f t="shared" si="33"/>
        <v>2516440</v>
      </c>
      <c r="AX21" s="67">
        <f t="shared" si="22"/>
        <v>4592.0437956204378</v>
      </c>
      <c r="AY21" s="82">
        <f t="shared" si="23"/>
        <v>42</v>
      </c>
      <c r="AZ21" s="59">
        <f t="shared" si="24"/>
        <v>1886910</v>
      </c>
      <c r="BA21" s="59">
        <f t="shared" si="25"/>
        <v>924900</v>
      </c>
      <c r="BB21" s="71">
        <f>W21+AE21+AM21+AW21</f>
        <v>2824350</v>
      </c>
      <c r="BC21" s="72">
        <f t="shared" si="30"/>
        <v>3850</v>
      </c>
      <c r="BD21" s="73">
        <v>42</v>
      </c>
      <c r="BE21" s="74">
        <v>270160</v>
      </c>
      <c r="BF21" s="74">
        <v>27800</v>
      </c>
      <c r="BG21" s="75">
        <v>2200</v>
      </c>
      <c r="BH21" s="75">
        <v>1650</v>
      </c>
      <c r="BI21" s="75"/>
      <c r="BJ21" s="75"/>
      <c r="BK21" s="76">
        <f t="shared" si="29"/>
        <v>301810</v>
      </c>
      <c r="BL21" s="47">
        <v>17</v>
      </c>
      <c r="BM21" s="77">
        <f t="shared" si="26"/>
        <v>301810</v>
      </c>
    </row>
    <row r="22" spans="2:67" ht="20" customHeight="1">
      <c r="B22" s="78">
        <f t="shared" si="27"/>
        <v>45491</v>
      </c>
      <c r="C22" s="79"/>
      <c r="D22" s="50"/>
      <c r="E22" s="51">
        <v>21</v>
      </c>
      <c r="F22" s="52">
        <v>95040</v>
      </c>
      <c r="G22" s="53">
        <f t="shared" si="0"/>
        <v>4114.2857142857147</v>
      </c>
      <c r="H22" s="52">
        <v>15710</v>
      </c>
      <c r="I22" s="53">
        <f t="shared" si="1"/>
        <v>680.04761904761904</v>
      </c>
      <c r="J22" s="55">
        <f t="shared" si="2"/>
        <v>110750</v>
      </c>
      <c r="K22" s="56">
        <f t="shared" si="3"/>
        <v>5273.8095238095239</v>
      </c>
      <c r="L22" s="57"/>
      <c r="M22" s="58">
        <f t="shared" si="4"/>
        <v>12</v>
      </c>
      <c r="N22" s="59">
        <f t="shared" si="4"/>
        <v>114510</v>
      </c>
      <c r="O22" s="53">
        <f t="shared" si="5"/>
        <v>8675</v>
      </c>
      <c r="P22" s="59">
        <f t="shared" si="6"/>
        <v>22590</v>
      </c>
      <c r="Q22" s="84">
        <f t="shared" si="7"/>
        <v>1711.3333333333333</v>
      </c>
      <c r="R22" s="60">
        <f t="shared" si="8"/>
        <v>137100</v>
      </c>
      <c r="S22" s="56">
        <f t="shared" si="9"/>
        <v>11425</v>
      </c>
      <c r="T22" s="80">
        <f t="shared" si="10"/>
        <v>33</v>
      </c>
      <c r="U22" s="59">
        <f t="shared" si="10"/>
        <v>209550</v>
      </c>
      <c r="V22" s="59">
        <f t="shared" si="11"/>
        <v>38300</v>
      </c>
      <c r="W22" s="62">
        <f t="shared" si="12"/>
        <v>247850</v>
      </c>
      <c r="X22" s="81"/>
      <c r="Y22" s="63"/>
      <c r="Z22" s="64">
        <v>10</v>
      </c>
      <c r="AA22" s="52">
        <v>4780</v>
      </c>
      <c r="AB22" s="53">
        <f t="shared" si="13"/>
        <v>478</v>
      </c>
      <c r="AC22" s="52">
        <v>1550</v>
      </c>
      <c r="AD22" s="54">
        <f t="shared" si="14"/>
        <v>155</v>
      </c>
      <c r="AE22" s="65">
        <f t="shared" si="15"/>
        <v>6330</v>
      </c>
      <c r="AF22" s="56">
        <f t="shared" si="16"/>
        <v>633</v>
      </c>
      <c r="AG22" s="66"/>
      <c r="AH22" s="64">
        <v>19</v>
      </c>
      <c r="AI22" s="52">
        <v>74385</v>
      </c>
      <c r="AJ22" s="53">
        <f t="shared" si="17"/>
        <v>3915</v>
      </c>
      <c r="AK22" s="52">
        <v>39135</v>
      </c>
      <c r="AL22" s="54">
        <f t="shared" si="18"/>
        <v>2059.7368421052633</v>
      </c>
      <c r="AM22" s="65">
        <f t="shared" si="28"/>
        <v>113520</v>
      </c>
      <c r="AN22" s="67">
        <f t="shared" si="19"/>
        <v>5974.7368421052633</v>
      </c>
      <c r="AO22" s="68"/>
      <c r="AP22" s="64">
        <v>699</v>
      </c>
      <c r="AQ22" s="52">
        <v>1469550</v>
      </c>
      <c r="AR22" s="53">
        <f t="shared" si="20"/>
        <v>2102.3605150214594</v>
      </c>
      <c r="AS22" s="52">
        <v>806100</v>
      </c>
      <c r="AT22" s="54">
        <f t="shared" si="21"/>
        <v>1153.2188841201717</v>
      </c>
      <c r="AU22" s="54">
        <v>1100</v>
      </c>
      <c r="AV22" s="54"/>
      <c r="AW22" s="69">
        <f t="shared" si="33"/>
        <v>2276750</v>
      </c>
      <c r="AX22" s="67">
        <f t="shared" si="22"/>
        <v>3257.1530758226036</v>
      </c>
      <c r="AY22" s="82">
        <f t="shared" si="23"/>
        <v>33</v>
      </c>
      <c r="AZ22" s="59">
        <f t="shared" si="24"/>
        <v>1758265</v>
      </c>
      <c r="BA22" s="59">
        <f t="shared" si="25"/>
        <v>885085</v>
      </c>
      <c r="BB22" s="71">
        <f t="shared" si="32"/>
        <v>2644450</v>
      </c>
      <c r="BC22" s="72">
        <f t="shared" si="30"/>
        <v>4950</v>
      </c>
      <c r="BD22" s="73">
        <v>33</v>
      </c>
      <c r="BE22" s="74">
        <v>209550</v>
      </c>
      <c r="BF22" s="74">
        <v>38300</v>
      </c>
      <c r="BG22" s="75">
        <v>2200</v>
      </c>
      <c r="BH22" s="75">
        <v>2750</v>
      </c>
      <c r="BI22" s="75">
        <v>6600</v>
      </c>
      <c r="BJ22" s="75"/>
      <c r="BK22" s="76">
        <f t="shared" si="29"/>
        <v>252800</v>
      </c>
      <c r="BL22" s="47">
        <v>18</v>
      </c>
      <c r="BM22" s="77">
        <f t="shared" si="26"/>
        <v>252800</v>
      </c>
      <c r="BN22" s="47">
        <v>5808</v>
      </c>
      <c r="BO22" s="85"/>
    </row>
    <row r="23" spans="2:67" ht="20" customHeight="1">
      <c r="B23" s="78">
        <f t="shared" si="27"/>
        <v>45492</v>
      </c>
      <c r="C23" s="79"/>
      <c r="D23" s="50"/>
      <c r="E23" s="51">
        <v>35</v>
      </c>
      <c r="F23" s="52">
        <v>142340</v>
      </c>
      <c r="G23" s="53">
        <f t="shared" si="0"/>
        <v>3697.1428571428573</v>
      </c>
      <c r="H23" s="52">
        <v>14720</v>
      </c>
      <c r="I23" s="53">
        <f t="shared" si="1"/>
        <v>382.31428571428569</v>
      </c>
      <c r="J23" s="55">
        <f t="shared" si="2"/>
        <v>157060</v>
      </c>
      <c r="K23" s="56">
        <f t="shared" si="3"/>
        <v>4487.4285714285716</v>
      </c>
      <c r="L23" s="57"/>
      <c r="M23" s="58">
        <f t="shared" si="4"/>
        <v>17</v>
      </c>
      <c r="N23" s="59">
        <f t="shared" si="4"/>
        <v>166210</v>
      </c>
      <c r="O23" s="53">
        <f t="shared" si="5"/>
        <v>8888.2352941176468</v>
      </c>
      <c r="P23" s="59">
        <f t="shared" si="6"/>
        <v>35480</v>
      </c>
      <c r="Q23" s="84">
        <f t="shared" si="7"/>
        <v>1897.2941176470588</v>
      </c>
      <c r="R23" s="60">
        <f t="shared" si="8"/>
        <v>201690</v>
      </c>
      <c r="S23" s="56">
        <f t="shared" si="9"/>
        <v>11864.117647058823</v>
      </c>
      <c r="T23" s="80">
        <f t="shared" si="10"/>
        <v>52</v>
      </c>
      <c r="U23" s="59">
        <f t="shared" si="10"/>
        <v>308550</v>
      </c>
      <c r="V23" s="59">
        <f t="shared" si="11"/>
        <v>50200</v>
      </c>
      <c r="W23" s="62">
        <f t="shared" si="12"/>
        <v>358750</v>
      </c>
      <c r="X23" s="81"/>
      <c r="Y23" s="63"/>
      <c r="Z23" s="64">
        <v>9</v>
      </c>
      <c r="AA23" s="52">
        <v>5900</v>
      </c>
      <c r="AB23" s="53">
        <f t="shared" si="13"/>
        <v>655.55555555555554</v>
      </c>
      <c r="AC23" s="52">
        <v>720</v>
      </c>
      <c r="AD23" s="54">
        <f t="shared" si="14"/>
        <v>80</v>
      </c>
      <c r="AE23" s="65">
        <f t="shared" si="15"/>
        <v>6620</v>
      </c>
      <c r="AF23" s="56">
        <f t="shared" si="16"/>
        <v>735.55555555555554</v>
      </c>
      <c r="AG23" s="66"/>
      <c r="AH23" s="64">
        <v>36</v>
      </c>
      <c r="AI23" s="52">
        <v>140940</v>
      </c>
      <c r="AJ23" s="53">
        <f t="shared" si="17"/>
        <v>3915</v>
      </c>
      <c r="AK23" s="52">
        <v>46980</v>
      </c>
      <c r="AL23" s="54">
        <f t="shared" si="18"/>
        <v>1305</v>
      </c>
      <c r="AM23" s="65">
        <f t="shared" si="28"/>
        <v>187920</v>
      </c>
      <c r="AN23" s="67">
        <f t="shared" si="19"/>
        <v>5220</v>
      </c>
      <c r="AO23" s="68"/>
      <c r="AP23" s="64">
        <v>438</v>
      </c>
      <c r="AQ23" s="52">
        <v>1426400</v>
      </c>
      <c r="AR23" s="53">
        <f t="shared" si="20"/>
        <v>3256.6210045662101</v>
      </c>
      <c r="AS23" s="52">
        <v>758750</v>
      </c>
      <c r="AT23" s="54">
        <f t="shared" si="21"/>
        <v>1732.3059360730595</v>
      </c>
      <c r="AU23" s="54">
        <v>54450</v>
      </c>
      <c r="AV23" s="54">
        <v>2970</v>
      </c>
      <c r="AW23" s="69">
        <f t="shared" si="33"/>
        <v>2242570</v>
      </c>
      <c r="AX23" s="67">
        <f>IF(AP23="","",AW23/AP23)</f>
        <v>5120.022831050228</v>
      </c>
      <c r="AY23" s="82">
        <f t="shared" si="23"/>
        <v>52</v>
      </c>
      <c r="AZ23" s="59">
        <f t="shared" si="24"/>
        <v>1881790</v>
      </c>
      <c r="BA23" s="59">
        <f t="shared" si="25"/>
        <v>856650</v>
      </c>
      <c r="BB23" s="71">
        <f>W23+AE23+AM23+AW23-BN22</f>
        <v>2790052</v>
      </c>
      <c r="BC23" s="72">
        <f t="shared" si="30"/>
        <v>2200</v>
      </c>
      <c r="BD23" s="73">
        <v>52</v>
      </c>
      <c r="BE23" s="74">
        <v>308550</v>
      </c>
      <c r="BF23" s="74">
        <v>50200</v>
      </c>
      <c r="BG23" s="75">
        <v>2200</v>
      </c>
      <c r="BH23" s="75"/>
      <c r="BI23" s="75"/>
      <c r="BJ23" s="75"/>
      <c r="BK23" s="76">
        <f>SUM(BE23:BH23)</f>
        <v>360950</v>
      </c>
      <c r="BL23" s="47">
        <v>19</v>
      </c>
      <c r="BM23" s="77">
        <f t="shared" si="26"/>
        <v>360950</v>
      </c>
    </row>
    <row r="24" spans="2:67" ht="20" customHeight="1">
      <c r="B24" s="78">
        <f t="shared" si="27"/>
        <v>45493</v>
      </c>
      <c r="C24" s="79"/>
      <c r="D24" s="50"/>
      <c r="E24" s="51">
        <v>36</v>
      </c>
      <c r="F24" s="52">
        <v>137500</v>
      </c>
      <c r="G24" s="53">
        <f t="shared" si="0"/>
        <v>3472.2222222222222</v>
      </c>
      <c r="H24" s="52">
        <v>24990</v>
      </c>
      <c r="I24" s="53">
        <f t="shared" si="1"/>
        <v>631.05555555555554</v>
      </c>
      <c r="J24" s="55">
        <f t="shared" si="2"/>
        <v>162490</v>
      </c>
      <c r="K24" s="56">
        <f t="shared" si="3"/>
        <v>4513.6111111111113</v>
      </c>
      <c r="L24" s="57"/>
      <c r="M24" s="58">
        <f t="shared" si="4"/>
        <v>28</v>
      </c>
      <c r="N24" s="59">
        <f t="shared" si="4"/>
        <v>246600</v>
      </c>
      <c r="O24" s="53">
        <f t="shared" si="5"/>
        <v>8006.4642857142853</v>
      </c>
      <c r="P24" s="59">
        <f t="shared" si="6"/>
        <v>65430</v>
      </c>
      <c r="Q24" s="84">
        <f t="shared" si="7"/>
        <v>2124.3214285714284</v>
      </c>
      <c r="R24" s="60">
        <f t="shared" si="8"/>
        <v>312030</v>
      </c>
      <c r="S24" s="56">
        <f t="shared" si="9"/>
        <v>11143.928571428571</v>
      </c>
      <c r="T24" s="80">
        <f t="shared" si="10"/>
        <v>64</v>
      </c>
      <c r="U24" s="59">
        <f t="shared" si="10"/>
        <v>384100</v>
      </c>
      <c r="V24" s="59">
        <f t="shared" si="11"/>
        <v>90420</v>
      </c>
      <c r="W24" s="62">
        <f t="shared" si="12"/>
        <v>474520</v>
      </c>
      <c r="X24" s="81"/>
      <c r="Y24" s="63"/>
      <c r="Z24" s="64">
        <v>54</v>
      </c>
      <c r="AA24" s="52">
        <v>22960</v>
      </c>
      <c r="AB24" s="53">
        <f t="shared" si="13"/>
        <v>425.18518518518516</v>
      </c>
      <c r="AC24" s="52">
        <v>0</v>
      </c>
      <c r="AD24" s="54">
        <f t="shared" si="14"/>
        <v>0</v>
      </c>
      <c r="AE24" s="65">
        <f t="shared" si="15"/>
        <v>22960</v>
      </c>
      <c r="AF24" s="56">
        <f t="shared" si="16"/>
        <v>425.18518518518516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8"/>
        <v>0</v>
      </c>
      <c r="AN24" s="67" t="str">
        <f t="shared" si="19"/>
        <v/>
      </c>
      <c r="AO24" s="68"/>
      <c r="AP24" s="64">
        <v>595</v>
      </c>
      <c r="AQ24" s="52">
        <v>1901650</v>
      </c>
      <c r="AR24" s="53">
        <f t="shared" si="20"/>
        <v>3196.0504201680674</v>
      </c>
      <c r="AS24" s="52">
        <v>1005300</v>
      </c>
      <c r="AT24" s="54">
        <f t="shared" si="21"/>
        <v>1689.579831932773</v>
      </c>
      <c r="AU24" s="54">
        <v>48950</v>
      </c>
      <c r="AV24" s="54"/>
      <c r="AW24" s="86">
        <f>AQ24+AS24+AU24+AV24-BN24</f>
        <v>2951700</v>
      </c>
      <c r="AX24" s="67">
        <f t="shared" si="22"/>
        <v>4960.8403361344535</v>
      </c>
      <c r="AY24" s="82">
        <f t="shared" si="23"/>
        <v>64</v>
      </c>
      <c r="AZ24" s="59">
        <f t="shared" si="24"/>
        <v>2308710</v>
      </c>
      <c r="BA24" s="59">
        <f t="shared" si="25"/>
        <v>1095720</v>
      </c>
      <c r="BB24" s="71">
        <f t="shared" si="32"/>
        <v>3449180</v>
      </c>
      <c r="BC24" s="72">
        <f t="shared" si="30"/>
        <v>8250</v>
      </c>
      <c r="BD24" s="73">
        <v>64</v>
      </c>
      <c r="BE24" s="74">
        <v>384100</v>
      </c>
      <c r="BF24" s="74">
        <v>90420</v>
      </c>
      <c r="BG24" s="75">
        <v>8250</v>
      </c>
      <c r="BH24" s="75"/>
      <c r="BI24" s="75"/>
      <c r="BJ24" s="75"/>
      <c r="BK24" s="76">
        <f t="shared" si="29"/>
        <v>482770</v>
      </c>
      <c r="BL24" s="47">
        <v>20</v>
      </c>
      <c r="BM24" s="77">
        <f t="shared" si="26"/>
        <v>482770</v>
      </c>
      <c r="BN24" s="47">
        <v>4200</v>
      </c>
    </row>
    <row r="25" spans="2:67" ht="20" customHeight="1">
      <c r="B25" s="78">
        <f t="shared" si="27"/>
        <v>45494</v>
      </c>
      <c r="C25" s="79"/>
      <c r="D25" s="50"/>
      <c r="E25" s="51">
        <v>19</v>
      </c>
      <c r="F25" s="52">
        <v>82500</v>
      </c>
      <c r="G25" s="53">
        <f t="shared" si="0"/>
        <v>3947.3684210526317</v>
      </c>
      <c r="H25" s="52">
        <f>13880+4620</f>
        <v>18500</v>
      </c>
      <c r="I25" s="53">
        <f t="shared" si="1"/>
        <v>885.15789473684208</v>
      </c>
      <c r="J25" s="55">
        <f t="shared" si="2"/>
        <v>101000</v>
      </c>
      <c r="K25" s="56">
        <f t="shared" si="3"/>
        <v>5315.7894736842109</v>
      </c>
      <c r="L25" s="57"/>
      <c r="M25" s="58">
        <f t="shared" si="4"/>
        <v>19</v>
      </c>
      <c r="N25" s="59">
        <f t="shared" si="4"/>
        <v>160270</v>
      </c>
      <c r="O25" s="53">
        <f t="shared" si="5"/>
        <v>7668.4210526315792</v>
      </c>
      <c r="P25" s="59">
        <f t="shared" si="6"/>
        <v>196840</v>
      </c>
      <c r="Q25" s="84">
        <f t="shared" si="7"/>
        <v>9418.1578947368416</v>
      </c>
      <c r="R25" s="60">
        <f t="shared" si="8"/>
        <v>357110</v>
      </c>
      <c r="S25" s="56">
        <f t="shared" si="9"/>
        <v>18795.263157894737</v>
      </c>
      <c r="T25" s="80">
        <f t="shared" si="10"/>
        <v>38</v>
      </c>
      <c r="U25" s="59">
        <f t="shared" si="10"/>
        <v>242770</v>
      </c>
      <c r="V25" s="59">
        <f t="shared" si="11"/>
        <v>215340</v>
      </c>
      <c r="W25" s="62">
        <f t="shared" si="12"/>
        <v>458110</v>
      </c>
      <c r="X25" s="81"/>
      <c r="Y25" s="63"/>
      <c r="Z25" s="64">
        <v>33</v>
      </c>
      <c r="AA25" s="52">
        <v>19560</v>
      </c>
      <c r="AB25" s="53">
        <f t="shared" si="13"/>
        <v>592.72727272727275</v>
      </c>
      <c r="AC25" s="52">
        <v>2570</v>
      </c>
      <c r="AD25" s="54">
        <f t="shared" si="14"/>
        <v>77.878787878787875</v>
      </c>
      <c r="AE25" s="65">
        <f t="shared" si="15"/>
        <v>22130</v>
      </c>
      <c r="AF25" s="56">
        <f t="shared" si="16"/>
        <v>670.60606060606062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8"/>
        <v>0</v>
      </c>
      <c r="AN25" s="67" t="str">
        <f t="shared" si="19"/>
        <v/>
      </c>
      <c r="AO25" s="68"/>
      <c r="AP25" s="64">
        <v>468</v>
      </c>
      <c r="AQ25" s="52">
        <v>1234050</v>
      </c>
      <c r="AR25" s="53">
        <f t="shared" si="20"/>
        <v>2636.8589743589741</v>
      </c>
      <c r="AS25" s="52">
        <v>693850</v>
      </c>
      <c r="AT25" s="54">
        <f t="shared" si="21"/>
        <v>1482.58547008547</v>
      </c>
      <c r="AU25" s="54">
        <v>37400</v>
      </c>
      <c r="AV25" s="54">
        <v>2970</v>
      </c>
      <c r="AW25" s="69">
        <f t="shared" si="33"/>
        <v>1968270</v>
      </c>
      <c r="AX25" s="67">
        <f t="shared" si="22"/>
        <v>4205.7051282051279</v>
      </c>
      <c r="AY25" s="82">
        <f t="shared" si="23"/>
        <v>38</v>
      </c>
      <c r="AZ25" s="59">
        <f t="shared" si="24"/>
        <v>1496380</v>
      </c>
      <c r="BA25" s="59">
        <f t="shared" si="25"/>
        <v>911760</v>
      </c>
      <c r="BB25" s="71">
        <f>W25+AE25+AM25+AW25-BN25</f>
        <v>2448510</v>
      </c>
      <c r="BC25" s="72">
        <f t="shared" si="30"/>
        <v>11000</v>
      </c>
      <c r="BD25" s="73">
        <v>38</v>
      </c>
      <c r="BE25" s="74">
        <v>242770</v>
      </c>
      <c r="BF25" s="74">
        <v>215340</v>
      </c>
      <c r="BG25" s="75">
        <v>9900</v>
      </c>
      <c r="BH25" s="75">
        <v>1100</v>
      </c>
      <c r="BI25" s="75"/>
      <c r="BJ25" s="75"/>
      <c r="BK25" s="76">
        <f t="shared" si="29"/>
        <v>469110</v>
      </c>
      <c r="BL25" s="47">
        <v>21</v>
      </c>
      <c r="BM25" s="77">
        <f t="shared" si="26"/>
        <v>469110</v>
      </c>
    </row>
    <row r="26" spans="2:67" ht="20" customHeight="1">
      <c r="B26" s="78">
        <f t="shared" si="27"/>
        <v>45495</v>
      </c>
      <c r="C26" s="79"/>
      <c r="D26" s="50"/>
      <c r="E26" s="51">
        <v>25</v>
      </c>
      <c r="F26" s="52">
        <v>103730</v>
      </c>
      <c r="G26" s="53">
        <f t="shared" si="0"/>
        <v>3772</v>
      </c>
      <c r="H26" s="52">
        <v>9260</v>
      </c>
      <c r="I26" s="53">
        <f t="shared" si="1"/>
        <v>336.72</v>
      </c>
      <c r="J26" s="55">
        <f t="shared" si="2"/>
        <v>112990</v>
      </c>
      <c r="K26" s="56">
        <f t="shared" si="3"/>
        <v>4519.6000000000004</v>
      </c>
      <c r="L26" s="57"/>
      <c r="M26" s="58">
        <f t="shared" si="4"/>
        <v>8</v>
      </c>
      <c r="N26" s="59">
        <f t="shared" si="4"/>
        <v>75130</v>
      </c>
      <c r="O26" s="53">
        <f t="shared" si="5"/>
        <v>8537.5</v>
      </c>
      <c r="P26" s="59">
        <f t="shared" si="6"/>
        <v>19570</v>
      </c>
      <c r="Q26" s="84">
        <f t="shared" si="7"/>
        <v>2223.75</v>
      </c>
      <c r="R26" s="60">
        <f t="shared" si="8"/>
        <v>94700</v>
      </c>
      <c r="S26" s="56">
        <f t="shared" si="9"/>
        <v>11837.5</v>
      </c>
      <c r="T26" s="80">
        <f t="shared" si="10"/>
        <v>33</v>
      </c>
      <c r="U26" s="59">
        <f t="shared" si="10"/>
        <v>178860</v>
      </c>
      <c r="V26" s="59">
        <f t="shared" si="11"/>
        <v>28830</v>
      </c>
      <c r="W26" s="62">
        <f t="shared" si="12"/>
        <v>207690</v>
      </c>
      <c r="X26" s="81"/>
      <c r="Y26" s="63"/>
      <c r="Z26" s="64">
        <v>31</v>
      </c>
      <c r="AA26" s="52">
        <v>16710</v>
      </c>
      <c r="AB26" s="53">
        <f t="shared" si="13"/>
        <v>539.0322580645161</v>
      </c>
      <c r="AC26" s="52">
        <v>6800</v>
      </c>
      <c r="AD26" s="54">
        <f t="shared" si="14"/>
        <v>219.35483870967741</v>
      </c>
      <c r="AE26" s="65">
        <f t="shared" si="15"/>
        <v>23510</v>
      </c>
      <c r="AF26" s="56">
        <f t="shared" si="16"/>
        <v>758.38709677419354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8"/>
        <v>0</v>
      </c>
      <c r="AN26" s="67" t="str">
        <f t="shared" si="19"/>
        <v/>
      </c>
      <c r="AO26" s="68"/>
      <c r="AP26" s="64">
        <v>396</v>
      </c>
      <c r="AQ26" s="52">
        <v>1279800</v>
      </c>
      <c r="AR26" s="53">
        <f t="shared" si="20"/>
        <v>3231.818181818182</v>
      </c>
      <c r="AS26" s="52">
        <v>634000</v>
      </c>
      <c r="AT26" s="54">
        <f t="shared" si="21"/>
        <v>1601.0101010101009</v>
      </c>
      <c r="AU26" s="54">
        <v>27500</v>
      </c>
      <c r="AV26" s="54"/>
      <c r="AW26" s="69">
        <f t="shared" si="33"/>
        <v>1941300</v>
      </c>
      <c r="AX26" s="67">
        <f t="shared" si="22"/>
        <v>4902.272727272727</v>
      </c>
      <c r="AY26" s="82">
        <f t="shared" si="23"/>
        <v>33</v>
      </c>
      <c r="AZ26" s="59">
        <f t="shared" si="24"/>
        <v>1475370</v>
      </c>
      <c r="BA26" s="59">
        <f t="shared" si="25"/>
        <v>669630</v>
      </c>
      <c r="BB26" s="71">
        <f>W26+AE26+AM26+AW26-BN26</f>
        <v>2172500</v>
      </c>
      <c r="BC26" s="72">
        <f>BG26+BH26</f>
        <v>5500</v>
      </c>
      <c r="BD26" s="73">
        <v>33</v>
      </c>
      <c r="BE26" s="74">
        <v>178860</v>
      </c>
      <c r="BF26" s="74">
        <v>28830</v>
      </c>
      <c r="BG26" s="75">
        <v>3300</v>
      </c>
      <c r="BH26" s="75">
        <v>2200</v>
      </c>
      <c r="BI26" s="75"/>
      <c r="BJ26" s="75"/>
      <c r="BK26" s="76">
        <f t="shared" si="29"/>
        <v>213190</v>
      </c>
      <c r="BL26" s="47">
        <v>22</v>
      </c>
      <c r="BM26" s="77">
        <f t="shared" si="26"/>
        <v>213190</v>
      </c>
      <c r="BO26" s="47">
        <v>2200</v>
      </c>
    </row>
    <row r="27" spans="2:67" ht="20" customHeight="1">
      <c r="B27" s="78">
        <f t="shared" si="27"/>
        <v>45496</v>
      </c>
      <c r="C27" s="79"/>
      <c r="D27" s="50"/>
      <c r="E27" s="51">
        <v>31</v>
      </c>
      <c r="F27" s="52">
        <v>135190</v>
      </c>
      <c r="G27" s="53">
        <f t="shared" si="0"/>
        <v>3964.516129032258</v>
      </c>
      <c r="H27" s="52">
        <v>23410</v>
      </c>
      <c r="I27" s="53">
        <f t="shared" si="1"/>
        <v>686.48387096774195</v>
      </c>
      <c r="J27" s="55">
        <f t="shared" si="2"/>
        <v>158600</v>
      </c>
      <c r="K27" s="56">
        <f t="shared" si="3"/>
        <v>5116.1290322580644</v>
      </c>
      <c r="L27" s="57"/>
      <c r="M27" s="58">
        <f t="shared" si="4"/>
        <v>6</v>
      </c>
      <c r="N27" s="59">
        <f t="shared" si="4"/>
        <v>61160</v>
      </c>
      <c r="O27" s="53">
        <f t="shared" si="5"/>
        <v>9266.6666666666661</v>
      </c>
      <c r="P27" s="59">
        <f t="shared" si="6"/>
        <v>7700</v>
      </c>
      <c r="Q27" s="54">
        <f t="shared" si="7"/>
        <v>1166.6666666666667</v>
      </c>
      <c r="R27" s="60">
        <f t="shared" si="8"/>
        <v>68860</v>
      </c>
      <c r="S27" s="56">
        <f t="shared" si="9"/>
        <v>11476.666666666666</v>
      </c>
      <c r="T27" s="80">
        <f t="shared" si="10"/>
        <v>37</v>
      </c>
      <c r="U27" s="59">
        <f t="shared" si="10"/>
        <v>196350</v>
      </c>
      <c r="V27" s="59">
        <f t="shared" si="11"/>
        <v>31110</v>
      </c>
      <c r="W27" s="62">
        <f t="shared" si="12"/>
        <v>227460</v>
      </c>
      <c r="X27" s="81"/>
      <c r="Y27" s="63"/>
      <c r="Z27" s="64">
        <v>19</v>
      </c>
      <c r="AA27" s="52">
        <v>9870</v>
      </c>
      <c r="AB27" s="53">
        <f t="shared" si="13"/>
        <v>519.47368421052636</v>
      </c>
      <c r="AC27" s="52">
        <v>2900</v>
      </c>
      <c r="AD27" s="54">
        <f t="shared" si="14"/>
        <v>152.63157894736841</v>
      </c>
      <c r="AE27" s="65">
        <f t="shared" si="15"/>
        <v>12770</v>
      </c>
      <c r="AF27" s="56">
        <f t="shared" si="16"/>
        <v>672.10526315789468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8"/>
        <v>0</v>
      </c>
      <c r="AN27" s="67" t="str">
        <f t="shared" si="19"/>
        <v/>
      </c>
      <c r="AO27" s="68"/>
      <c r="AP27" s="64">
        <v>322</v>
      </c>
      <c r="AQ27" s="52">
        <v>862150</v>
      </c>
      <c r="AR27" s="53">
        <f t="shared" si="20"/>
        <v>2677.4844720496894</v>
      </c>
      <c r="AS27" s="52">
        <v>452400</v>
      </c>
      <c r="AT27" s="54">
        <f t="shared" si="21"/>
        <v>1404.9689440993789</v>
      </c>
      <c r="AU27" s="54">
        <v>56100</v>
      </c>
      <c r="AV27" s="54"/>
      <c r="AW27" s="69">
        <f>AQ27+AS27+AU27+AV27-BO26</f>
        <v>1368450</v>
      </c>
      <c r="AX27" s="67">
        <f t="shared" si="22"/>
        <v>4249.8447204968943</v>
      </c>
      <c r="AY27" s="82">
        <f t="shared" si="23"/>
        <v>37</v>
      </c>
      <c r="AZ27" s="59">
        <f t="shared" si="24"/>
        <v>1068370</v>
      </c>
      <c r="BA27" s="59">
        <f t="shared" si="25"/>
        <v>486410</v>
      </c>
      <c r="BB27" s="71">
        <f>W27+AE27+AM27+AW27-BN27</f>
        <v>1608680</v>
      </c>
      <c r="BC27" s="72">
        <f t="shared" si="30"/>
        <v>6600</v>
      </c>
      <c r="BD27" s="73">
        <v>37</v>
      </c>
      <c r="BE27" s="74">
        <v>196350</v>
      </c>
      <c r="BF27" s="74">
        <v>31110</v>
      </c>
      <c r="BG27" s="75">
        <v>5500</v>
      </c>
      <c r="BH27" s="75">
        <v>1100</v>
      </c>
      <c r="BI27" s="75">
        <v>3300</v>
      </c>
      <c r="BJ27" s="75"/>
      <c r="BK27" s="76">
        <f t="shared" si="29"/>
        <v>234060</v>
      </c>
      <c r="BL27" s="47">
        <v>23</v>
      </c>
      <c r="BM27" s="77">
        <f t="shared" si="26"/>
        <v>234060</v>
      </c>
    </row>
    <row r="28" spans="2:67" ht="20" customHeight="1">
      <c r="B28" s="78">
        <f>B27+1</f>
        <v>45497</v>
      </c>
      <c r="C28" s="79"/>
      <c r="D28" s="50"/>
      <c r="E28" s="51">
        <v>28</v>
      </c>
      <c r="F28" s="52">
        <v>98120</v>
      </c>
      <c r="G28" s="53">
        <f t="shared" si="0"/>
        <v>3185.7142857142858</v>
      </c>
      <c r="H28" s="52">
        <v>20560</v>
      </c>
      <c r="I28" s="53">
        <f t="shared" si="1"/>
        <v>667.5</v>
      </c>
      <c r="J28" s="55">
        <f t="shared" si="2"/>
        <v>118680</v>
      </c>
      <c r="K28" s="56">
        <f t="shared" si="3"/>
        <v>4238.5714285714284</v>
      </c>
      <c r="L28" s="57"/>
      <c r="M28" s="58">
        <f t="shared" si="4"/>
        <v>20</v>
      </c>
      <c r="N28" s="59">
        <f t="shared" si="4"/>
        <v>181940</v>
      </c>
      <c r="O28" s="53">
        <f t="shared" si="5"/>
        <v>8270</v>
      </c>
      <c r="P28" s="59">
        <f t="shared" si="6"/>
        <v>60110</v>
      </c>
      <c r="Q28" s="54">
        <f>ROUNDDOWN(P28/1.1,0)/M28</f>
        <v>2732.25</v>
      </c>
      <c r="R28" s="60">
        <f t="shared" si="8"/>
        <v>242050</v>
      </c>
      <c r="S28" s="56">
        <f t="shared" si="9"/>
        <v>12102.5</v>
      </c>
      <c r="T28" s="80">
        <f t="shared" si="10"/>
        <v>48</v>
      </c>
      <c r="U28" s="59">
        <f t="shared" si="10"/>
        <v>280060</v>
      </c>
      <c r="V28" s="59">
        <f t="shared" si="11"/>
        <v>80670</v>
      </c>
      <c r="W28" s="62">
        <f t="shared" si="12"/>
        <v>360730</v>
      </c>
      <c r="X28" s="81"/>
      <c r="Y28" s="63"/>
      <c r="Z28" s="64">
        <v>10</v>
      </c>
      <c r="AA28" s="52">
        <v>4550</v>
      </c>
      <c r="AB28" s="53">
        <f t="shared" si="13"/>
        <v>455</v>
      </c>
      <c r="AC28" s="52">
        <v>750</v>
      </c>
      <c r="AD28" s="54">
        <f t="shared" si="14"/>
        <v>75</v>
      </c>
      <c r="AE28" s="65">
        <f t="shared" si="15"/>
        <v>5300</v>
      </c>
      <c r="AF28" s="56">
        <f t="shared" si="16"/>
        <v>530</v>
      </c>
      <c r="AG28" s="66"/>
      <c r="AH28" s="64">
        <v>93</v>
      </c>
      <c r="AI28" s="52">
        <v>364095</v>
      </c>
      <c r="AJ28" s="53">
        <f t="shared" si="17"/>
        <v>3915</v>
      </c>
      <c r="AK28" s="52">
        <v>121365</v>
      </c>
      <c r="AL28" s="54">
        <f t="shared" si="18"/>
        <v>1305</v>
      </c>
      <c r="AM28" s="65">
        <f t="shared" si="28"/>
        <v>485460</v>
      </c>
      <c r="AN28" s="67">
        <f t="shared" si="19"/>
        <v>5220</v>
      </c>
      <c r="AO28" s="68"/>
      <c r="AP28" s="64">
        <v>272</v>
      </c>
      <c r="AQ28" s="52">
        <f>721000+1600</f>
        <v>722600</v>
      </c>
      <c r="AR28" s="53">
        <f t="shared" si="20"/>
        <v>2656.6176470588234</v>
      </c>
      <c r="AS28" s="52">
        <v>385000</v>
      </c>
      <c r="AT28" s="54">
        <f t="shared" si="21"/>
        <v>1415.4411764705883</v>
      </c>
      <c r="AU28" s="54">
        <v>13200</v>
      </c>
      <c r="AV28" s="54">
        <v>2970</v>
      </c>
      <c r="AW28" s="69">
        <f>AQ28+AS28+AU28+AV28</f>
        <v>1123770</v>
      </c>
      <c r="AX28" s="67">
        <f t="shared" si="22"/>
        <v>4131.5073529411766</v>
      </c>
      <c r="AY28" s="82">
        <f t="shared" si="23"/>
        <v>48</v>
      </c>
      <c r="AZ28" s="59">
        <f t="shared" si="24"/>
        <v>1371305</v>
      </c>
      <c r="BA28" s="59">
        <f t="shared" si="25"/>
        <v>587785</v>
      </c>
      <c r="BB28" s="71">
        <f t="shared" si="32"/>
        <v>1975260</v>
      </c>
      <c r="BC28" s="72">
        <f t="shared" si="30"/>
        <v>1100</v>
      </c>
      <c r="BD28" s="73">
        <v>48</v>
      </c>
      <c r="BE28" s="74">
        <v>280060</v>
      </c>
      <c r="BF28" s="74">
        <v>80670</v>
      </c>
      <c r="BG28" s="75">
        <v>1100</v>
      </c>
      <c r="BH28" s="75"/>
      <c r="BI28" s="75"/>
      <c r="BJ28" s="75"/>
      <c r="BK28" s="76">
        <f t="shared" si="29"/>
        <v>361830</v>
      </c>
      <c r="BL28" s="47">
        <v>24</v>
      </c>
      <c r="BM28" s="77">
        <f t="shared" si="26"/>
        <v>361830</v>
      </c>
    </row>
    <row r="29" spans="2:67" ht="20" customHeight="1">
      <c r="B29" s="78">
        <f t="shared" si="27"/>
        <v>45498</v>
      </c>
      <c r="C29" s="79"/>
      <c r="D29" s="50"/>
      <c r="E29" s="51">
        <v>16</v>
      </c>
      <c r="F29" s="52">
        <v>54670</v>
      </c>
      <c r="G29" s="53">
        <f t="shared" si="0"/>
        <v>3106.25</v>
      </c>
      <c r="H29" s="52">
        <v>8400</v>
      </c>
      <c r="I29" s="53">
        <f t="shared" si="1"/>
        <v>477.25</v>
      </c>
      <c r="J29" s="55">
        <f t="shared" si="2"/>
        <v>63070</v>
      </c>
      <c r="K29" s="56">
        <f t="shared" si="3"/>
        <v>3941.875</v>
      </c>
      <c r="L29" s="57"/>
      <c r="M29" s="58">
        <f t="shared" si="4"/>
        <v>12</v>
      </c>
      <c r="N29" s="59">
        <f t="shared" si="4"/>
        <v>141900</v>
      </c>
      <c r="O29" s="53">
        <f t="shared" si="5"/>
        <v>10750</v>
      </c>
      <c r="P29" s="59">
        <f t="shared" si="6"/>
        <v>64790</v>
      </c>
      <c r="Q29" s="54">
        <f t="shared" si="7"/>
        <v>4908.333333333333</v>
      </c>
      <c r="R29" s="60">
        <f t="shared" si="8"/>
        <v>206690</v>
      </c>
      <c r="S29" s="56">
        <f t="shared" si="9"/>
        <v>17224.166666666668</v>
      </c>
      <c r="T29" s="80">
        <f t="shared" si="10"/>
        <v>28</v>
      </c>
      <c r="U29" s="59">
        <f t="shared" si="10"/>
        <v>196570</v>
      </c>
      <c r="V29" s="59">
        <f t="shared" si="11"/>
        <v>73190</v>
      </c>
      <c r="W29" s="62">
        <f t="shared" si="12"/>
        <v>269760</v>
      </c>
      <c r="X29" s="81"/>
      <c r="Y29" s="63"/>
      <c r="Z29" s="64">
        <v>24</v>
      </c>
      <c r="AA29" s="52">
        <v>13090</v>
      </c>
      <c r="AB29" s="53">
        <f t="shared" si="13"/>
        <v>545.41666666666663</v>
      </c>
      <c r="AC29" s="52">
        <v>3060</v>
      </c>
      <c r="AD29" s="54">
        <f t="shared" si="14"/>
        <v>127.5</v>
      </c>
      <c r="AE29" s="65">
        <f t="shared" si="15"/>
        <v>16150</v>
      </c>
      <c r="AF29" s="56">
        <f t="shared" si="16"/>
        <v>672.91666666666663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8"/>
        <v>0</v>
      </c>
      <c r="AN29" s="67" t="str">
        <f t="shared" si="19"/>
        <v/>
      </c>
      <c r="AO29" s="68"/>
      <c r="AP29" s="64">
        <v>443</v>
      </c>
      <c r="AQ29" s="52">
        <v>1222450</v>
      </c>
      <c r="AR29" s="53">
        <f t="shared" si="20"/>
        <v>2759.4808126410835</v>
      </c>
      <c r="AS29" s="52">
        <v>653150</v>
      </c>
      <c r="AT29" s="54">
        <f t="shared" si="21"/>
        <v>1474.3792325056434</v>
      </c>
      <c r="AU29" s="54">
        <v>26950</v>
      </c>
      <c r="AV29" s="54">
        <v>2970</v>
      </c>
      <c r="AW29" s="69">
        <f>AQ29+AS29+AU29+AV29-BO29</f>
        <v>1903920</v>
      </c>
      <c r="AX29" s="67">
        <f t="shared" si="22"/>
        <v>4297.7878103837475</v>
      </c>
      <c r="AY29" s="82">
        <f t="shared" si="23"/>
        <v>28</v>
      </c>
      <c r="AZ29" s="59">
        <f t="shared" si="24"/>
        <v>1432110</v>
      </c>
      <c r="BA29" s="59">
        <f t="shared" si="25"/>
        <v>729400</v>
      </c>
      <c r="BB29" s="71">
        <f t="shared" si="32"/>
        <v>2189830</v>
      </c>
      <c r="BC29" s="72">
        <f t="shared" si="30"/>
        <v>1100</v>
      </c>
      <c r="BD29" s="73">
        <v>28</v>
      </c>
      <c r="BE29" s="74">
        <v>196570</v>
      </c>
      <c r="BF29" s="74">
        <v>73190</v>
      </c>
      <c r="BG29" s="75"/>
      <c r="BH29" s="75">
        <v>1100</v>
      </c>
      <c r="BI29" s="75"/>
      <c r="BJ29" s="75"/>
      <c r="BK29" s="76">
        <f t="shared" si="29"/>
        <v>270860</v>
      </c>
      <c r="BL29" s="47">
        <v>25</v>
      </c>
      <c r="BM29" s="77">
        <f t="shared" si="26"/>
        <v>270860</v>
      </c>
      <c r="BO29" s="47">
        <v>1600</v>
      </c>
    </row>
    <row r="30" spans="2:67" ht="20" customHeight="1">
      <c r="B30" s="78">
        <f t="shared" si="27"/>
        <v>45499</v>
      </c>
      <c r="C30" s="79"/>
      <c r="D30" s="50"/>
      <c r="E30" s="51">
        <v>26</v>
      </c>
      <c r="F30" s="52">
        <v>100650</v>
      </c>
      <c r="G30" s="53">
        <f t="shared" si="0"/>
        <v>3519.2307692307691</v>
      </c>
      <c r="H30" s="52">
        <v>17910</v>
      </c>
      <c r="I30" s="53">
        <f t="shared" si="1"/>
        <v>626.19230769230774</v>
      </c>
      <c r="J30" s="55">
        <f t="shared" si="2"/>
        <v>118560</v>
      </c>
      <c r="K30" s="56">
        <f t="shared" si="3"/>
        <v>4560</v>
      </c>
      <c r="L30" s="57"/>
      <c r="M30" s="58">
        <f t="shared" si="4"/>
        <v>27</v>
      </c>
      <c r="N30" s="59">
        <f t="shared" si="4"/>
        <v>222510</v>
      </c>
      <c r="O30" s="53">
        <f t="shared" si="5"/>
        <v>7491.8888888888887</v>
      </c>
      <c r="P30" s="59">
        <f t="shared" si="6"/>
        <v>50250</v>
      </c>
      <c r="Q30" s="53">
        <f t="shared" si="7"/>
        <v>1691.8888888888889</v>
      </c>
      <c r="R30" s="60">
        <f t="shared" si="8"/>
        <v>272760</v>
      </c>
      <c r="S30" s="56">
        <f t="shared" si="9"/>
        <v>10102.222222222223</v>
      </c>
      <c r="T30" s="80">
        <f t="shared" si="10"/>
        <v>53</v>
      </c>
      <c r="U30" s="59">
        <f t="shared" si="10"/>
        <v>323160</v>
      </c>
      <c r="V30" s="59">
        <f t="shared" si="11"/>
        <v>68160</v>
      </c>
      <c r="W30" s="62">
        <f t="shared" si="12"/>
        <v>391320</v>
      </c>
      <c r="X30" s="81"/>
      <c r="Y30" s="63"/>
      <c r="Z30" s="64">
        <v>15</v>
      </c>
      <c r="AA30" s="52">
        <v>9930</v>
      </c>
      <c r="AB30" s="53">
        <f t="shared" si="13"/>
        <v>662</v>
      </c>
      <c r="AC30" s="52">
        <v>2500</v>
      </c>
      <c r="AD30" s="54">
        <f t="shared" si="14"/>
        <v>166.66666666666666</v>
      </c>
      <c r="AE30" s="65">
        <f t="shared" si="15"/>
        <v>12430</v>
      </c>
      <c r="AF30" s="56">
        <f t="shared" si="16"/>
        <v>828.66666666666663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8"/>
        <v>0</v>
      </c>
      <c r="AN30" s="67" t="str">
        <f t="shared" si="19"/>
        <v/>
      </c>
      <c r="AO30" s="68"/>
      <c r="AP30" s="64">
        <v>460</v>
      </c>
      <c r="AQ30" s="52">
        <v>1526050</v>
      </c>
      <c r="AR30" s="53">
        <f t="shared" si="20"/>
        <v>3317.5</v>
      </c>
      <c r="AS30" s="52">
        <v>877300</v>
      </c>
      <c r="AT30" s="54">
        <f t="shared" si="21"/>
        <v>1907.1739130434783</v>
      </c>
      <c r="AU30" s="54">
        <v>41250</v>
      </c>
      <c r="AV30" s="54">
        <v>2970</v>
      </c>
      <c r="AW30" s="69">
        <f t="shared" si="33"/>
        <v>2447570</v>
      </c>
      <c r="AX30" s="67">
        <f t="shared" si="22"/>
        <v>5320.804347826087</v>
      </c>
      <c r="AY30" s="82">
        <f t="shared" si="23"/>
        <v>53</v>
      </c>
      <c r="AZ30" s="59">
        <f t="shared" si="24"/>
        <v>1859140</v>
      </c>
      <c r="BA30" s="59">
        <f t="shared" si="25"/>
        <v>947960</v>
      </c>
      <c r="BB30" s="71">
        <f t="shared" si="32"/>
        <v>2851320</v>
      </c>
      <c r="BC30" s="72">
        <f>BG30+BH30</f>
        <v>7700</v>
      </c>
      <c r="BD30" s="73">
        <v>53</v>
      </c>
      <c r="BE30" s="74">
        <v>323160</v>
      </c>
      <c r="BF30" s="74">
        <v>68160</v>
      </c>
      <c r="BG30" s="75">
        <v>6600</v>
      </c>
      <c r="BH30" s="75">
        <v>1100</v>
      </c>
      <c r="BI30" s="75">
        <v>3300</v>
      </c>
      <c r="BJ30" s="75"/>
      <c r="BK30" s="76">
        <f t="shared" si="29"/>
        <v>399020</v>
      </c>
      <c r="BL30" s="47">
        <v>26</v>
      </c>
      <c r="BM30" s="77">
        <f t="shared" si="26"/>
        <v>399020</v>
      </c>
    </row>
    <row r="31" spans="2:67" ht="20" customHeight="1">
      <c r="B31" s="78">
        <f t="shared" si="27"/>
        <v>45500</v>
      </c>
      <c r="C31" s="79"/>
      <c r="D31" s="50"/>
      <c r="E31" s="51">
        <v>38</v>
      </c>
      <c r="F31" s="52">
        <v>171160</v>
      </c>
      <c r="G31" s="53">
        <f t="shared" si="0"/>
        <v>4094.7368421052633</v>
      </c>
      <c r="H31" s="52">
        <v>31480</v>
      </c>
      <c r="I31" s="53">
        <f t="shared" si="1"/>
        <v>753.10526315789468</v>
      </c>
      <c r="J31" s="55">
        <f t="shared" si="2"/>
        <v>202640</v>
      </c>
      <c r="K31" s="56">
        <f t="shared" si="3"/>
        <v>5332.6315789473683</v>
      </c>
      <c r="L31" s="57"/>
      <c r="M31" s="58">
        <f t="shared" si="4"/>
        <v>25</v>
      </c>
      <c r="N31" s="59">
        <f t="shared" si="4"/>
        <v>283470</v>
      </c>
      <c r="O31" s="53">
        <f t="shared" si="5"/>
        <v>10308</v>
      </c>
      <c r="P31" s="59">
        <f t="shared" si="6"/>
        <v>51350</v>
      </c>
      <c r="Q31" s="53">
        <f t="shared" si="7"/>
        <v>1867.24</v>
      </c>
      <c r="R31" s="60">
        <f t="shared" si="8"/>
        <v>334820</v>
      </c>
      <c r="S31" s="56">
        <f t="shared" si="9"/>
        <v>13392.8</v>
      </c>
      <c r="T31" s="80">
        <f t="shared" si="10"/>
        <v>63</v>
      </c>
      <c r="U31" s="59">
        <f t="shared" si="10"/>
        <v>454630</v>
      </c>
      <c r="V31" s="59">
        <f t="shared" si="11"/>
        <v>82830</v>
      </c>
      <c r="W31" s="62">
        <f t="shared" si="12"/>
        <v>537460</v>
      </c>
      <c r="X31" s="81"/>
      <c r="Y31" s="63"/>
      <c r="Z31" s="64">
        <v>19</v>
      </c>
      <c r="AA31" s="52">
        <v>12930</v>
      </c>
      <c r="AB31" s="53">
        <f t="shared" si="13"/>
        <v>680.52631578947364</v>
      </c>
      <c r="AC31" s="52">
        <v>1200</v>
      </c>
      <c r="AD31" s="54">
        <f t="shared" si="14"/>
        <v>63.157894736842103</v>
      </c>
      <c r="AE31" s="65">
        <f t="shared" si="15"/>
        <v>14130</v>
      </c>
      <c r="AF31" s="56">
        <f t="shared" si="16"/>
        <v>743.68421052631584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8"/>
        <v>0</v>
      </c>
      <c r="AN31" s="67" t="str">
        <f t="shared" si="19"/>
        <v/>
      </c>
      <c r="AO31" s="68"/>
      <c r="AP31" s="64">
        <v>643</v>
      </c>
      <c r="AQ31" s="52">
        <v>2078300</v>
      </c>
      <c r="AR31" s="53">
        <f t="shared" si="20"/>
        <v>3232.1928460342147</v>
      </c>
      <c r="AS31" s="52">
        <v>1068150</v>
      </c>
      <c r="AT31" s="54">
        <f t="shared" si="21"/>
        <v>1661.1975116640747</v>
      </c>
      <c r="AU31" s="54">
        <v>67320</v>
      </c>
      <c r="AV31" s="54"/>
      <c r="AW31" s="69">
        <f t="shared" si="33"/>
        <v>3213770</v>
      </c>
      <c r="AX31" s="67">
        <f t="shared" si="22"/>
        <v>4998.0870917573875</v>
      </c>
      <c r="AY31" s="82">
        <f t="shared" si="23"/>
        <v>63</v>
      </c>
      <c r="AZ31" s="59">
        <f t="shared" si="24"/>
        <v>2545860</v>
      </c>
      <c r="BA31" s="59">
        <f t="shared" si="25"/>
        <v>1152180</v>
      </c>
      <c r="BB31" s="71">
        <f>W31+AE31+AM31+AW31-BN31</f>
        <v>3765360</v>
      </c>
      <c r="BC31" s="72">
        <f t="shared" si="30"/>
        <v>9900</v>
      </c>
      <c r="BD31" s="73">
        <v>63</v>
      </c>
      <c r="BE31" s="74">
        <v>454630</v>
      </c>
      <c r="BF31" s="74">
        <v>82830</v>
      </c>
      <c r="BG31" s="75">
        <v>6600</v>
      </c>
      <c r="BH31" s="75">
        <v>3300</v>
      </c>
      <c r="BI31" s="75"/>
      <c r="BJ31" s="75"/>
      <c r="BK31" s="76">
        <f t="shared" si="29"/>
        <v>547360</v>
      </c>
      <c r="BL31" s="47">
        <v>27</v>
      </c>
      <c r="BM31" s="77">
        <f t="shared" si="26"/>
        <v>547360</v>
      </c>
    </row>
    <row r="32" spans="2:67" ht="20" customHeight="1">
      <c r="B32" s="78">
        <f t="shared" si="27"/>
        <v>45501</v>
      </c>
      <c r="C32" s="79"/>
      <c r="D32" s="50"/>
      <c r="E32" s="51">
        <v>18</v>
      </c>
      <c r="F32" s="52">
        <v>74800</v>
      </c>
      <c r="G32" s="53">
        <f t="shared" si="0"/>
        <v>3777.7777777777778</v>
      </c>
      <c r="H32" s="52">
        <v>8670</v>
      </c>
      <c r="I32" s="53">
        <f t="shared" si="1"/>
        <v>437.83333333333331</v>
      </c>
      <c r="J32" s="55">
        <f t="shared" si="2"/>
        <v>83470</v>
      </c>
      <c r="K32" s="56">
        <f t="shared" si="3"/>
        <v>4637.2222222222226</v>
      </c>
      <c r="L32" s="57"/>
      <c r="M32" s="58">
        <f t="shared" si="4"/>
        <v>30</v>
      </c>
      <c r="N32" s="59">
        <f t="shared" si="4"/>
        <v>319440</v>
      </c>
      <c r="O32" s="53">
        <f t="shared" si="5"/>
        <v>9680</v>
      </c>
      <c r="P32" s="59">
        <f t="shared" si="6"/>
        <v>52600</v>
      </c>
      <c r="Q32" s="53">
        <f t="shared" si="7"/>
        <v>1593.9333333333334</v>
      </c>
      <c r="R32" s="60">
        <f t="shared" si="8"/>
        <v>372040</v>
      </c>
      <c r="S32" s="56">
        <f t="shared" si="9"/>
        <v>12401.333333333334</v>
      </c>
      <c r="T32" s="80">
        <f t="shared" si="10"/>
        <v>48</v>
      </c>
      <c r="U32" s="59">
        <f t="shared" si="10"/>
        <v>394240</v>
      </c>
      <c r="V32" s="59">
        <f t="shared" si="11"/>
        <v>61270</v>
      </c>
      <c r="W32" s="62">
        <f t="shared" si="12"/>
        <v>455510</v>
      </c>
      <c r="X32" s="81"/>
      <c r="Y32" s="63"/>
      <c r="Z32" s="64">
        <v>25</v>
      </c>
      <c r="AA32" s="52">
        <v>14480</v>
      </c>
      <c r="AB32" s="53">
        <f t="shared" si="13"/>
        <v>579.20000000000005</v>
      </c>
      <c r="AC32" s="52">
        <v>1300</v>
      </c>
      <c r="AD32" s="54">
        <f t="shared" si="14"/>
        <v>52</v>
      </c>
      <c r="AE32" s="65">
        <f t="shared" si="15"/>
        <v>15780</v>
      </c>
      <c r="AF32" s="56">
        <f t="shared" si="16"/>
        <v>631.20000000000005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8"/>
        <v>0</v>
      </c>
      <c r="AN32" s="67" t="str">
        <f t="shared" si="19"/>
        <v/>
      </c>
      <c r="AO32" s="68"/>
      <c r="AP32" s="64">
        <v>394</v>
      </c>
      <c r="AQ32" s="52">
        <v>1136250</v>
      </c>
      <c r="AR32" s="53">
        <f t="shared" si="20"/>
        <v>2883.8832487309646</v>
      </c>
      <c r="AS32" s="52">
        <v>582820</v>
      </c>
      <c r="AT32" s="54">
        <f t="shared" si="21"/>
        <v>1479.2385786802031</v>
      </c>
      <c r="AU32" s="54">
        <v>26400</v>
      </c>
      <c r="AV32" s="54"/>
      <c r="AW32" s="69">
        <f t="shared" si="33"/>
        <v>1745470</v>
      </c>
      <c r="AX32" s="67">
        <f t="shared" si="22"/>
        <v>4430.1269035532996</v>
      </c>
      <c r="AY32" s="82">
        <f t="shared" si="23"/>
        <v>48</v>
      </c>
      <c r="AZ32" s="59">
        <f>U32+AA32+AI32+AQ32</f>
        <v>1544970</v>
      </c>
      <c r="BA32" s="59">
        <f t="shared" si="25"/>
        <v>645390</v>
      </c>
      <c r="BB32" s="71">
        <f>W32+AE32+AM32+AW32-BN32</f>
        <v>2216760</v>
      </c>
      <c r="BC32" s="72">
        <f>BG32+BH32</f>
        <v>14300</v>
      </c>
      <c r="BD32" s="73">
        <v>48</v>
      </c>
      <c r="BE32" s="74">
        <v>394240</v>
      </c>
      <c r="BF32" s="74">
        <v>61270</v>
      </c>
      <c r="BG32" s="75">
        <v>14300</v>
      </c>
      <c r="BH32" s="75"/>
      <c r="BI32" s="75"/>
      <c r="BJ32" s="75"/>
      <c r="BK32" s="76">
        <f>SUM(BE32:BH32)</f>
        <v>469810</v>
      </c>
      <c r="BL32" s="47">
        <v>28</v>
      </c>
    </row>
    <row r="33" spans="2:66" ht="20" customHeight="1">
      <c r="B33" s="78">
        <f t="shared" si="27"/>
        <v>45502</v>
      </c>
      <c r="C33" s="79"/>
      <c r="D33" s="50"/>
      <c r="E33" s="51">
        <v>19</v>
      </c>
      <c r="F33" s="52">
        <v>75570</v>
      </c>
      <c r="G33" s="53">
        <f t="shared" si="0"/>
        <v>3615.7894736842104</v>
      </c>
      <c r="H33" s="52">
        <v>6030</v>
      </c>
      <c r="I33" s="53">
        <f t="shared" si="1"/>
        <v>288.4736842105263</v>
      </c>
      <c r="J33" s="55">
        <f t="shared" si="2"/>
        <v>81600</v>
      </c>
      <c r="K33" s="56">
        <f t="shared" si="3"/>
        <v>4294.7368421052633</v>
      </c>
      <c r="L33" s="57"/>
      <c r="M33" s="58">
        <f t="shared" si="4"/>
        <v>23</v>
      </c>
      <c r="N33" s="59">
        <f t="shared" si="4"/>
        <v>232870</v>
      </c>
      <c r="O33" s="53">
        <f t="shared" si="5"/>
        <v>9204.347826086956</v>
      </c>
      <c r="P33" s="59">
        <f t="shared" si="6"/>
        <v>42780</v>
      </c>
      <c r="Q33" s="53">
        <f t="shared" si="7"/>
        <v>1690.8695652173913</v>
      </c>
      <c r="R33" s="60">
        <f t="shared" si="8"/>
        <v>275650</v>
      </c>
      <c r="S33" s="56">
        <f t="shared" si="9"/>
        <v>11984.782608695652</v>
      </c>
      <c r="T33" s="80">
        <f t="shared" si="10"/>
        <v>42</v>
      </c>
      <c r="U33" s="59">
        <f t="shared" si="10"/>
        <v>308440</v>
      </c>
      <c r="V33" s="59">
        <f t="shared" si="11"/>
        <v>48810</v>
      </c>
      <c r="W33" s="62">
        <f>J33+R33</f>
        <v>357250</v>
      </c>
      <c r="X33" s="81"/>
      <c r="Y33" s="63"/>
      <c r="Z33" s="64">
        <v>5</v>
      </c>
      <c r="AA33" s="52">
        <v>3970</v>
      </c>
      <c r="AB33" s="53">
        <f t="shared" si="13"/>
        <v>794</v>
      </c>
      <c r="AC33" s="52">
        <v>1000</v>
      </c>
      <c r="AD33" s="54">
        <f t="shared" si="14"/>
        <v>200</v>
      </c>
      <c r="AE33" s="65">
        <f t="shared" si="15"/>
        <v>4970</v>
      </c>
      <c r="AF33" s="56">
        <f t="shared" si="16"/>
        <v>994</v>
      </c>
      <c r="AG33" s="66"/>
      <c r="AH33" s="64">
        <v>10</v>
      </c>
      <c r="AI33" s="52">
        <v>39150</v>
      </c>
      <c r="AJ33" s="53">
        <f t="shared" si="17"/>
        <v>3915</v>
      </c>
      <c r="AK33" s="52">
        <v>13050</v>
      </c>
      <c r="AL33" s="54">
        <f t="shared" si="18"/>
        <v>1305</v>
      </c>
      <c r="AM33" s="65">
        <f t="shared" si="28"/>
        <v>52200</v>
      </c>
      <c r="AN33" s="67">
        <f t="shared" si="19"/>
        <v>5220</v>
      </c>
      <c r="AO33" s="68"/>
      <c r="AP33" s="64">
        <v>228</v>
      </c>
      <c r="AQ33" s="52">
        <v>565750</v>
      </c>
      <c r="AR33" s="53">
        <f t="shared" si="20"/>
        <v>2481.3596491228072</v>
      </c>
      <c r="AS33" s="52">
        <v>359800</v>
      </c>
      <c r="AT33" s="54">
        <f t="shared" si="21"/>
        <v>1578.0701754385964</v>
      </c>
      <c r="AU33" s="54">
        <v>9900</v>
      </c>
      <c r="AV33" s="54"/>
      <c r="AW33" s="69">
        <f t="shared" si="33"/>
        <v>935450</v>
      </c>
      <c r="AX33" s="67">
        <f t="shared" si="22"/>
        <v>4102.8508771929828</v>
      </c>
      <c r="AY33" s="82">
        <f t="shared" si="23"/>
        <v>42</v>
      </c>
      <c r="AZ33" s="59">
        <f t="shared" si="24"/>
        <v>917310</v>
      </c>
      <c r="BA33" s="59">
        <f t="shared" si="25"/>
        <v>422660</v>
      </c>
      <c r="BB33" s="71">
        <f>W33+AE33+AM33+AW33-BN33</f>
        <v>1349870</v>
      </c>
      <c r="BC33" s="72">
        <f t="shared" si="30"/>
        <v>3850</v>
      </c>
      <c r="BD33" s="73">
        <v>42</v>
      </c>
      <c r="BE33" s="74">
        <v>308440</v>
      </c>
      <c r="BF33" s="74">
        <v>48810</v>
      </c>
      <c r="BG33" s="75">
        <v>2750</v>
      </c>
      <c r="BH33" s="75">
        <v>1100</v>
      </c>
      <c r="BI33" s="75"/>
      <c r="BJ33" s="75"/>
      <c r="BK33" s="76">
        <f t="shared" si="29"/>
        <v>361100</v>
      </c>
      <c r="BL33" s="47">
        <v>29</v>
      </c>
      <c r="BM33" s="77">
        <f t="shared" si="26"/>
        <v>361100</v>
      </c>
    </row>
    <row r="34" spans="2:66" ht="20" customHeight="1">
      <c r="B34" s="78">
        <f t="shared" si="27"/>
        <v>45503</v>
      </c>
      <c r="C34" s="79"/>
      <c r="D34" s="50"/>
      <c r="E34" s="51">
        <v>20</v>
      </c>
      <c r="F34" s="52">
        <v>75460</v>
      </c>
      <c r="G34" s="53">
        <f t="shared" si="0"/>
        <v>3430</v>
      </c>
      <c r="H34" s="52">
        <v>16880</v>
      </c>
      <c r="I34" s="53">
        <f t="shared" si="1"/>
        <v>767.25</v>
      </c>
      <c r="J34" s="55">
        <f t="shared" si="2"/>
        <v>92340</v>
      </c>
      <c r="K34" s="56">
        <f t="shared" si="3"/>
        <v>4617</v>
      </c>
      <c r="L34" s="57"/>
      <c r="M34" s="58">
        <f t="shared" si="4"/>
        <v>3</v>
      </c>
      <c r="N34" s="59">
        <f t="shared" si="4"/>
        <v>26400</v>
      </c>
      <c r="O34" s="53">
        <f t="shared" si="5"/>
        <v>8000</v>
      </c>
      <c r="P34" s="59">
        <f t="shared" si="6"/>
        <v>10450</v>
      </c>
      <c r="Q34" s="53">
        <f t="shared" si="7"/>
        <v>3166.6666666666665</v>
      </c>
      <c r="R34" s="60">
        <f t="shared" si="8"/>
        <v>36850</v>
      </c>
      <c r="S34" s="56">
        <f t="shared" si="9"/>
        <v>12283.333333333334</v>
      </c>
      <c r="T34" s="80">
        <f t="shared" si="10"/>
        <v>23</v>
      </c>
      <c r="U34" s="59">
        <f t="shared" si="10"/>
        <v>101860</v>
      </c>
      <c r="V34" s="59">
        <f t="shared" si="11"/>
        <v>27330</v>
      </c>
      <c r="W34" s="62">
        <f t="shared" si="12"/>
        <v>129190</v>
      </c>
      <c r="X34" s="81"/>
      <c r="Y34" s="87"/>
      <c r="Z34" s="88">
        <v>34</v>
      </c>
      <c r="AA34" s="89">
        <v>18610</v>
      </c>
      <c r="AB34" s="53">
        <f t="shared" si="13"/>
        <v>547.35294117647061</v>
      </c>
      <c r="AC34" s="89">
        <v>4500</v>
      </c>
      <c r="AD34" s="54">
        <f t="shared" si="14"/>
        <v>132.35294117647058</v>
      </c>
      <c r="AE34" s="65">
        <f t="shared" si="15"/>
        <v>23110</v>
      </c>
      <c r="AF34" s="56">
        <f t="shared" si="16"/>
        <v>679.70588235294122</v>
      </c>
      <c r="AG34" s="66"/>
      <c r="AH34" s="88">
        <v>26</v>
      </c>
      <c r="AI34" s="89">
        <v>101790</v>
      </c>
      <c r="AJ34" s="53">
        <f t="shared" si="17"/>
        <v>3915</v>
      </c>
      <c r="AK34" s="89">
        <v>33930</v>
      </c>
      <c r="AL34" s="54">
        <f t="shared" si="18"/>
        <v>1305</v>
      </c>
      <c r="AM34" s="65">
        <f t="shared" si="28"/>
        <v>135720</v>
      </c>
      <c r="AN34" s="67">
        <f t="shared" si="19"/>
        <v>5220</v>
      </c>
      <c r="AO34" s="68"/>
      <c r="AP34" s="88">
        <v>423</v>
      </c>
      <c r="AQ34" s="89">
        <v>1120100</v>
      </c>
      <c r="AR34" s="53">
        <f t="shared" si="20"/>
        <v>2647.9905437352245</v>
      </c>
      <c r="AS34" s="89">
        <v>620580</v>
      </c>
      <c r="AT34" s="54">
        <f t="shared" si="21"/>
        <v>1467.0921985815603</v>
      </c>
      <c r="AU34" s="54">
        <v>22660</v>
      </c>
      <c r="AV34" s="54">
        <v>5940</v>
      </c>
      <c r="AW34" s="69">
        <f t="shared" si="33"/>
        <v>1769280</v>
      </c>
      <c r="AX34" s="67">
        <f t="shared" si="22"/>
        <v>4182.6950354609926</v>
      </c>
      <c r="AY34" s="82">
        <f t="shared" si="23"/>
        <v>23</v>
      </c>
      <c r="AZ34" s="59">
        <f t="shared" si="24"/>
        <v>1342360</v>
      </c>
      <c r="BA34" s="59">
        <f t="shared" si="25"/>
        <v>686340</v>
      </c>
      <c r="BB34" s="71">
        <f>W34+AE34+AM34+AW34-BN34</f>
        <v>2057300</v>
      </c>
      <c r="BC34" s="72">
        <f t="shared" si="30"/>
        <v>1650</v>
      </c>
      <c r="BD34" s="73">
        <v>23</v>
      </c>
      <c r="BE34" s="74">
        <v>101860</v>
      </c>
      <c r="BF34" s="74">
        <v>27330</v>
      </c>
      <c r="BG34" s="75"/>
      <c r="BH34" s="75">
        <v>1650</v>
      </c>
      <c r="BI34" s="75"/>
      <c r="BJ34" s="75"/>
      <c r="BK34" s="76">
        <f t="shared" si="29"/>
        <v>130840</v>
      </c>
      <c r="BL34" s="47">
        <v>30</v>
      </c>
      <c r="BM34" s="77">
        <f t="shared" si="26"/>
        <v>130840</v>
      </c>
    </row>
    <row r="35" spans="2:66" ht="20" customHeight="1" thickBot="1">
      <c r="B35" s="78">
        <f t="shared" si="27"/>
        <v>45504</v>
      </c>
      <c r="C35" s="79"/>
      <c r="D35" s="50"/>
      <c r="E35" s="51">
        <v>27</v>
      </c>
      <c r="F35" s="52">
        <v>107470</v>
      </c>
      <c r="G35" s="53">
        <f t="shared" si="0"/>
        <v>3618.5185185185187</v>
      </c>
      <c r="H35" s="52">
        <v>16600</v>
      </c>
      <c r="I35" s="53">
        <f t="shared" si="1"/>
        <v>558.88888888888891</v>
      </c>
      <c r="J35" s="55">
        <f t="shared" si="2"/>
        <v>124070</v>
      </c>
      <c r="K35" s="56">
        <f t="shared" si="3"/>
        <v>4595.1851851851852</v>
      </c>
      <c r="L35" s="57"/>
      <c r="M35" s="90">
        <f t="shared" si="4"/>
        <v>14</v>
      </c>
      <c r="N35" s="59">
        <f t="shared" si="4"/>
        <v>140830</v>
      </c>
      <c r="O35" s="53">
        <f t="shared" si="5"/>
        <v>9144.7857142857138</v>
      </c>
      <c r="P35" s="59">
        <f t="shared" si="6"/>
        <v>43280</v>
      </c>
      <c r="Q35" s="53">
        <f t="shared" si="7"/>
        <v>2810.3571428571427</v>
      </c>
      <c r="R35" s="60">
        <f t="shared" si="8"/>
        <v>184110</v>
      </c>
      <c r="S35" s="56">
        <f t="shared" si="9"/>
        <v>13150.714285714286</v>
      </c>
      <c r="T35" s="91">
        <f t="shared" si="10"/>
        <v>41</v>
      </c>
      <c r="U35" s="92">
        <f t="shared" si="10"/>
        <v>248300</v>
      </c>
      <c r="V35" s="92">
        <f t="shared" si="11"/>
        <v>59880</v>
      </c>
      <c r="W35" s="93">
        <f t="shared" si="12"/>
        <v>308180</v>
      </c>
      <c r="X35" s="92"/>
      <c r="Y35" s="94"/>
      <c r="Z35" s="95">
        <v>9</v>
      </c>
      <c r="AA35" s="96">
        <v>4610</v>
      </c>
      <c r="AB35" s="97">
        <f t="shared" si="13"/>
        <v>512.22222222222217</v>
      </c>
      <c r="AC35" s="96">
        <v>1800</v>
      </c>
      <c r="AD35" s="98">
        <f t="shared" si="14"/>
        <v>200</v>
      </c>
      <c r="AE35" s="99">
        <f t="shared" si="15"/>
        <v>6410</v>
      </c>
      <c r="AF35" s="56">
        <f t="shared" si="16"/>
        <v>712.22222222222217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8"/>
        <v>0</v>
      </c>
      <c r="AN35" s="67" t="str">
        <f t="shared" si="19"/>
        <v/>
      </c>
      <c r="AO35" s="101"/>
      <c r="AP35" s="95">
        <v>367</v>
      </c>
      <c r="AQ35" s="96">
        <v>1037950</v>
      </c>
      <c r="AR35" s="97">
        <f t="shared" si="20"/>
        <v>2828.2016348773841</v>
      </c>
      <c r="AS35" s="96">
        <v>550530</v>
      </c>
      <c r="AT35" s="98">
        <f t="shared" si="21"/>
        <v>1500.0817438692097</v>
      </c>
      <c r="AU35" s="98">
        <v>12870</v>
      </c>
      <c r="AV35" s="54">
        <v>5940</v>
      </c>
      <c r="AW35" s="69">
        <f t="shared" si="33"/>
        <v>1607290</v>
      </c>
      <c r="AX35" s="67">
        <f t="shared" si="22"/>
        <v>4379.5367847411444</v>
      </c>
      <c r="AY35" s="102">
        <f t="shared" si="23"/>
        <v>41</v>
      </c>
      <c r="AZ35" s="59">
        <f t="shared" si="24"/>
        <v>1290860</v>
      </c>
      <c r="BA35" s="59">
        <f t="shared" si="25"/>
        <v>612210</v>
      </c>
      <c r="BB35" s="71">
        <f>W35+AE35+AM35+AW35-BN35</f>
        <v>1919064</v>
      </c>
      <c r="BC35" s="72">
        <f t="shared" si="30"/>
        <v>1650</v>
      </c>
      <c r="BD35" s="103">
        <v>41</v>
      </c>
      <c r="BE35" s="104">
        <v>248300</v>
      </c>
      <c r="BF35" s="104">
        <v>59880</v>
      </c>
      <c r="BG35" s="105">
        <v>1650</v>
      </c>
      <c r="BH35" s="105"/>
      <c r="BI35" s="105">
        <v>5500</v>
      </c>
      <c r="BJ35" s="105"/>
      <c r="BK35" s="76">
        <f t="shared" si="29"/>
        <v>309830</v>
      </c>
      <c r="BL35" s="47">
        <v>31</v>
      </c>
      <c r="BM35" s="77">
        <f t="shared" si="26"/>
        <v>309830</v>
      </c>
      <c r="BN35" s="47">
        <v>2816</v>
      </c>
    </row>
    <row r="36" spans="2:66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839</v>
      </c>
      <c r="F36" s="110">
        <f>SUM(F5:F35)</f>
        <v>3483650</v>
      </c>
      <c r="G36" s="111">
        <f>F36/E36</f>
        <v>4152.1454112038136</v>
      </c>
      <c r="H36" s="107">
        <f>SUM(H5:H35)</f>
        <v>679530</v>
      </c>
      <c r="I36" s="112">
        <f>H36/E36</f>
        <v>809.92848629320622</v>
      </c>
      <c r="J36" s="113">
        <f>SUM(J5:J35)</f>
        <v>4163180</v>
      </c>
      <c r="K36" s="114">
        <f>J36/E36</f>
        <v>4962.07389749702</v>
      </c>
      <c r="L36" s="115">
        <f>SUM(L5:L35)</f>
        <v>0</v>
      </c>
      <c r="M36" s="109">
        <f>SUM(M5:M35)</f>
        <v>561</v>
      </c>
      <c r="N36" s="110">
        <f>SUM(N5:N35)</f>
        <v>5529220</v>
      </c>
      <c r="O36" s="111">
        <f>N36/M36</f>
        <v>9856.0071301247772</v>
      </c>
      <c r="P36" s="116">
        <f>SUM(P5:P35)</f>
        <v>1434580</v>
      </c>
      <c r="Q36" s="112">
        <f>P36/M36</f>
        <v>2557.1836007130123</v>
      </c>
      <c r="R36" s="117">
        <f>SUM(R5:R35)</f>
        <v>6963800</v>
      </c>
      <c r="S36" s="118">
        <f>R36/M36</f>
        <v>12413.19073083779</v>
      </c>
      <c r="T36" s="109">
        <f t="shared" ref="T36:AA36" si="34">SUM(T5:T35)</f>
        <v>1400</v>
      </c>
      <c r="U36" s="116">
        <f t="shared" si="34"/>
        <v>9012870</v>
      </c>
      <c r="V36" s="116">
        <f t="shared" si="34"/>
        <v>2114110</v>
      </c>
      <c r="W36" s="113">
        <f>SUM(W5:W35)</f>
        <v>11126980</v>
      </c>
      <c r="X36" s="119">
        <f t="shared" si="34"/>
        <v>0</v>
      </c>
      <c r="Y36" s="108">
        <f t="shared" si="34"/>
        <v>0</v>
      </c>
      <c r="Z36" s="109">
        <f t="shared" si="34"/>
        <v>604</v>
      </c>
      <c r="AA36" s="111">
        <f t="shared" si="34"/>
        <v>316410</v>
      </c>
      <c r="AB36" s="111">
        <f>AA36/Z36</f>
        <v>523.85761589403978</v>
      </c>
      <c r="AC36" s="107">
        <f>SUM(AC5:AC35)</f>
        <v>76990</v>
      </c>
      <c r="AD36" s="112">
        <f>AC36/Z36</f>
        <v>127.46688741721854</v>
      </c>
      <c r="AE36" s="117">
        <f>SUM(AE5:AE35)</f>
        <v>393400</v>
      </c>
      <c r="AF36" s="120">
        <f>AE36/Z36</f>
        <v>651.32450331125824</v>
      </c>
      <c r="AG36" s="121">
        <f t="shared" ref="AG36:AI36" si="35">SUM(AG5:AG35)</f>
        <v>0</v>
      </c>
      <c r="AH36" s="109">
        <f t="shared" si="35"/>
        <v>470</v>
      </c>
      <c r="AI36" s="111">
        <f t="shared" si="35"/>
        <v>1734345</v>
      </c>
      <c r="AJ36" s="111"/>
      <c r="AK36" s="107">
        <f>SUM(AK5:AK35)</f>
        <v>681346</v>
      </c>
      <c r="AL36" s="112"/>
      <c r="AM36" s="117">
        <f>SUM(AM5:AM35)</f>
        <v>2415691</v>
      </c>
      <c r="AN36" s="122">
        <f>AM36/AH36</f>
        <v>5139.7680851063833</v>
      </c>
      <c r="AO36" s="123">
        <f t="shared" ref="AO36:AQ36" si="36">SUM(AO5:AO35)</f>
        <v>0</v>
      </c>
      <c r="AP36" s="109">
        <f t="shared" si="36"/>
        <v>11558</v>
      </c>
      <c r="AQ36" s="111">
        <f t="shared" si="36"/>
        <v>33458800</v>
      </c>
      <c r="AR36" s="111"/>
      <c r="AS36" s="107">
        <f>SUM(AS5:AS35)</f>
        <v>18130480</v>
      </c>
      <c r="AT36" s="112"/>
      <c r="AU36" s="107">
        <f>SUM(AU5:AU35)</f>
        <v>726000</v>
      </c>
      <c r="AV36" s="107">
        <f>SUM(AV5:AV35)</f>
        <v>59400</v>
      </c>
      <c r="AW36" s="117">
        <f>SUM(AW5:AW35)</f>
        <v>52366680</v>
      </c>
      <c r="AX36" s="122">
        <f>AW36/AP36</f>
        <v>4530.7734902232223</v>
      </c>
      <c r="AY36" s="124">
        <f t="shared" ref="AY36:BK36" si="37">SUM(AY5:AY35)</f>
        <v>1400</v>
      </c>
      <c r="AZ36" s="116">
        <f t="shared" si="37"/>
        <v>44522425</v>
      </c>
      <c r="BA36" s="116">
        <f t="shared" si="37"/>
        <v>21002926</v>
      </c>
      <c r="BB36" s="117">
        <f>SUM(BB5:BB35)</f>
        <v>66282577</v>
      </c>
      <c r="BC36" s="125">
        <f t="shared" si="37"/>
        <v>167200</v>
      </c>
      <c r="BD36" s="126">
        <f t="shared" si="37"/>
        <v>1400</v>
      </c>
      <c r="BE36" s="126">
        <f t="shared" si="37"/>
        <v>9012870</v>
      </c>
      <c r="BF36" s="126">
        <f t="shared" si="37"/>
        <v>2114110</v>
      </c>
      <c r="BG36" s="126">
        <f t="shared" si="37"/>
        <v>133650</v>
      </c>
      <c r="BH36" s="126">
        <f t="shared" si="37"/>
        <v>33550</v>
      </c>
      <c r="BI36" s="126">
        <f t="shared" si="37"/>
        <v>25300</v>
      </c>
      <c r="BJ36" s="126">
        <f t="shared" si="37"/>
        <v>0</v>
      </c>
      <c r="BK36" s="127">
        <f t="shared" si="37"/>
        <v>11294180</v>
      </c>
      <c r="BM36" s="129">
        <f>SUM(BM5:BM35)</f>
        <v>10824370</v>
      </c>
    </row>
    <row r="37" spans="2:66" s="128" customFormat="1" ht="18">
      <c r="B37" s="130"/>
      <c r="E37" s="131" t="s">
        <v>42</v>
      </c>
      <c r="F37" s="132">
        <f>F36/1.1</f>
        <v>3166954.5454545454</v>
      </c>
      <c r="G37" s="133">
        <f>F37/E36</f>
        <v>3774.677646548922</v>
      </c>
      <c r="H37" s="134">
        <f>H36/1.1</f>
        <v>617754.54545454541</v>
      </c>
      <c r="I37" s="133">
        <f>H37/E36</f>
        <v>736.29862390291464</v>
      </c>
      <c r="J37" s="135">
        <f>J36/1.1</f>
        <v>3784709.0909090908</v>
      </c>
      <c r="K37" s="136">
        <f>G37+I37</f>
        <v>4510.9762704518362</v>
      </c>
      <c r="L37" s="137"/>
      <c r="M37" s="131" t="s">
        <v>42</v>
      </c>
      <c r="N37" s="132">
        <f>N36/1.1</f>
        <v>5026563.6363636358</v>
      </c>
      <c r="O37" s="133">
        <f>N37/M36</f>
        <v>8960.006481931614</v>
      </c>
      <c r="P37" s="134">
        <f>P36/1.1</f>
        <v>1304163.6363636362</v>
      </c>
      <c r="Q37" s="133">
        <f>P37/M36</f>
        <v>2324.7123642845568</v>
      </c>
      <c r="R37" s="133">
        <f>R36/1.1</f>
        <v>6330727.2727272725</v>
      </c>
      <c r="S37" s="138">
        <f>R37/M36</f>
        <v>11284.718846216172</v>
      </c>
      <c r="T37" s="131" t="s">
        <v>42</v>
      </c>
      <c r="U37" s="132">
        <f>U36/1.1</f>
        <v>8193518.1818181807</v>
      </c>
      <c r="V37" s="132">
        <f>V36/1.1</f>
        <v>1921918.1818181816</v>
      </c>
      <c r="W37" s="135">
        <f>W36/1.1</f>
        <v>10115436.363636363</v>
      </c>
      <c r="X37" s="139"/>
      <c r="Y37" s="137"/>
      <c r="Z37" s="131" t="s">
        <v>42</v>
      </c>
      <c r="AA37" s="132">
        <f>AA36/1.1</f>
        <v>287645.45454545453</v>
      </c>
      <c r="AB37" s="134">
        <f>AA37/Z36</f>
        <v>476.23419626730885</v>
      </c>
      <c r="AC37" s="134">
        <f>AC36/1.1</f>
        <v>69990.909090909088</v>
      </c>
      <c r="AD37" s="134">
        <f>AC37/Z36</f>
        <v>115.87898856110776</v>
      </c>
      <c r="AE37" s="133">
        <f>AE36/1.1</f>
        <v>357636.36363636359</v>
      </c>
      <c r="AF37" s="140">
        <f>AE37/Z36</f>
        <v>592.11318482841659</v>
      </c>
      <c r="AG37" s="137"/>
      <c r="AH37" s="131" t="s">
        <v>42</v>
      </c>
      <c r="AI37" s="132">
        <f>AI36/1.1</f>
        <v>1576677.2727272727</v>
      </c>
      <c r="AJ37" s="134">
        <f>AI37/AH36</f>
        <v>3354.6324951644101</v>
      </c>
      <c r="AK37" s="134">
        <f>AK36/1.1</f>
        <v>619405.45454545447</v>
      </c>
      <c r="AL37" s="134">
        <f>AK37/AH36</f>
        <v>1317.8839458413925</v>
      </c>
      <c r="AM37" s="133">
        <f>AM36/1.1</f>
        <v>2196082.7272727271</v>
      </c>
      <c r="AN37" s="141" t="e">
        <f>AM37/AG36</f>
        <v>#DIV/0!</v>
      </c>
      <c r="AO37" s="137"/>
      <c r="AP37" s="131" t="s">
        <v>42</v>
      </c>
      <c r="AQ37" s="132">
        <f>AQ36/1.1</f>
        <v>30417090.909090906</v>
      </c>
      <c r="AR37" s="134">
        <f>AQ37/AP36</f>
        <v>2631.6915477669932</v>
      </c>
      <c r="AS37" s="134">
        <f>AS36/1.1</f>
        <v>16482254.545454545</v>
      </c>
      <c r="AT37" s="134">
        <f>AS37/AP36</f>
        <v>1426.0472871997356</v>
      </c>
      <c r="AU37" s="134">
        <f>AU36/1.1</f>
        <v>660000</v>
      </c>
      <c r="AV37" s="134">
        <f>AV36/1.1</f>
        <v>53999.999999999993</v>
      </c>
      <c r="AW37" s="133">
        <f>AW36/1.1</f>
        <v>47606072.727272727</v>
      </c>
      <c r="AX37" s="141">
        <f>AW37/AP36</f>
        <v>4118.8849911120196</v>
      </c>
      <c r="AY37" s="142" t="s">
        <v>42</v>
      </c>
      <c r="AZ37" s="132">
        <f>AZ36/1.1</f>
        <v>40474931.818181813</v>
      </c>
      <c r="BA37" s="132">
        <f>BA36/1.1</f>
        <v>19093569.09090909</v>
      </c>
      <c r="BB37" s="133">
        <f>BB36/1.1</f>
        <v>60256888.18181818</v>
      </c>
      <c r="BC37" s="143">
        <f>BC36/1.1</f>
        <v>152000</v>
      </c>
      <c r="BH37" s="144"/>
      <c r="BK37" s="145">
        <f>BK36/1.1</f>
        <v>10267436.363636363</v>
      </c>
      <c r="BM37" s="145"/>
    </row>
    <row r="38" spans="2:66">
      <c r="C38" s="47">
        <v>31</v>
      </c>
      <c r="E38" s="146" t="s">
        <v>43</v>
      </c>
      <c r="F38" s="147">
        <f>E36/G38</f>
        <v>27.06451612903226</v>
      </c>
      <c r="G38" s="148">
        <v>31</v>
      </c>
      <c r="H38" s="147"/>
      <c r="I38" s="147"/>
      <c r="J38" s="149" t="s">
        <v>44</v>
      </c>
      <c r="K38" s="150">
        <f>J37/G38</f>
        <v>122087.39002932551</v>
      </c>
      <c r="M38" s="146" t="s">
        <v>43</v>
      </c>
      <c r="N38" s="147">
        <f>M36/O38</f>
        <v>18.096774193548388</v>
      </c>
      <c r="O38" s="148">
        <f>G38</f>
        <v>31</v>
      </c>
      <c r="P38" s="147"/>
      <c r="Q38" s="147"/>
      <c r="R38" s="149" t="s">
        <v>44</v>
      </c>
      <c r="S38" s="151">
        <f>R37/O38</f>
        <v>204217.00879765395</v>
      </c>
      <c r="U38" s="152">
        <f>O38</f>
        <v>31</v>
      </c>
      <c r="W38" s="85">
        <f>W37/U38</f>
        <v>326304.39882697945</v>
      </c>
      <c r="X38" s="77"/>
      <c r="AA38" s="153">
        <f>G38</f>
        <v>31</v>
      </c>
      <c r="AB38" s="147"/>
      <c r="AC38" s="147"/>
      <c r="AD38" s="147"/>
      <c r="AE38" s="147"/>
      <c r="AF38" s="150">
        <f>AE37/AA38</f>
        <v>11536.656891495599</v>
      </c>
      <c r="AI38" s="153">
        <f>AA38</f>
        <v>31</v>
      </c>
      <c r="AJ38" s="147"/>
      <c r="AK38" s="147"/>
      <c r="AL38" s="147"/>
      <c r="AM38" s="147"/>
      <c r="AN38" s="150">
        <f>AM37/AI38</f>
        <v>70841.378299120232</v>
      </c>
      <c r="AQ38" s="153">
        <f>G38</f>
        <v>31</v>
      </c>
      <c r="AR38" s="147"/>
      <c r="AS38" s="147"/>
      <c r="AT38" s="147"/>
      <c r="AU38" s="147"/>
      <c r="AV38" s="147"/>
      <c r="AW38" s="147"/>
      <c r="AX38" s="150">
        <f>AW37/AQ38</f>
        <v>1535679.7653958944</v>
      </c>
      <c r="BB38" s="85"/>
      <c r="BC38" s="77" t="e">
        <f>BB37/BD37</f>
        <v>#DIV/0!</v>
      </c>
      <c r="BD38" s="154">
        <f>AY36+T36</f>
        <v>2800</v>
      </c>
      <c r="BH38" s="85"/>
    </row>
    <row r="39" spans="2:66">
      <c r="D39" s="155" t="s">
        <v>45</v>
      </c>
      <c r="E39" s="156"/>
      <c r="F39" s="147"/>
      <c r="G39" s="157"/>
      <c r="H39" s="147"/>
      <c r="I39" s="147"/>
      <c r="J39" s="149"/>
      <c r="K39" s="150"/>
      <c r="L39" s="158" t="s">
        <v>46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47</v>
      </c>
      <c r="AA39" s="147"/>
      <c r="AB39" s="147"/>
      <c r="AC39" s="147"/>
      <c r="AD39" s="147"/>
      <c r="AE39" s="147"/>
      <c r="AF39" s="150"/>
      <c r="AG39" s="158" t="s">
        <v>48</v>
      </c>
      <c r="AI39" s="147"/>
      <c r="AJ39" s="147"/>
      <c r="AK39" s="147"/>
      <c r="AL39" s="147"/>
      <c r="AM39" s="147"/>
      <c r="AN39" s="150"/>
      <c r="AO39" s="158" t="s">
        <v>49</v>
      </c>
      <c r="AQ39" s="147"/>
      <c r="AR39" s="147"/>
      <c r="AS39" s="147"/>
      <c r="AT39" s="147"/>
      <c r="AU39" s="147"/>
      <c r="AV39" s="147"/>
      <c r="AW39" s="147"/>
      <c r="AX39" s="150"/>
      <c r="BB39" s="77">
        <f>BB36+BC36</f>
        <v>66449777</v>
      </c>
      <c r="BC39" s="159">
        <f>BB39/G38</f>
        <v>2143541.1935483869</v>
      </c>
      <c r="BD39" s="47" t="s">
        <v>50</v>
      </c>
      <c r="BH39" s="85"/>
    </row>
    <row r="40" spans="2:66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BB40" s="161">
        <f>BB37+BC37</f>
        <v>60408888.18181818</v>
      </c>
    </row>
    <row r="41" spans="2:66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BB41" s="77"/>
      <c r="BC41" s="159">
        <f>BB40/G38</f>
        <v>1948673.8123167155</v>
      </c>
      <c r="BD41" s="47" t="s">
        <v>51</v>
      </c>
      <c r="BE41" s="47">
        <v>9</v>
      </c>
    </row>
    <row r="42" spans="2:66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BE42" s="47">
        <v>8</v>
      </c>
      <c r="BF42" s="85">
        <f>AS37</f>
        <v>16482254.545454545</v>
      </c>
    </row>
    <row r="43" spans="2:66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BB43" s="85">
        <f>BB37+BC37</f>
        <v>60408888.18181818</v>
      </c>
      <c r="BC43" s="162" t="s">
        <v>52</v>
      </c>
      <c r="BE43" s="47">
        <v>7</v>
      </c>
      <c r="BF43" s="163">
        <f>'[1]2023(7)'!AS37</f>
        <v>15843636.363636361</v>
      </c>
      <c r="BG43" s="163">
        <v>6266320</v>
      </c>
      <c r="BH43" s="164">
        <f>BG43/BF43</f>
        <v>0.39551021344962134</v>
      </c>
    </row>
    <row r="44" spans="2:66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Z44" s="128"/>
      <c r="BA44" s="165" t="s">
        <v>53</v>
      </c>
      <c r="BB44" s="145">
        <f>J45+R45+AE45+BC44+AM45+AW45</f>
        <v>63184771</v>
      </c>
      <c r="BC44" s="166"/>
      <c r="BD44" s="128"/>
      <c r="BE44" s="47">
        <v>6</v>
      </c>
      <c r="BF44" s="163">
        <v>7119727</v>
      </c>
      <c r="BG44" s="163">
        <v>2680643</v>
      </c>
      <c r="BH44" s="164">
        <f t="shared" ref="BH44:BH45" si="38">BG44/BF44</f>
        <v>0.37650923975034434</v>
      </c>
      <c r="BI44" s="47" t="s">
        <v>54</v>
      </c>
    </row>
    <row r="45" spans="2:66" ht="21" customHeight="1">
      <c r="H45" s="167"/>
      <c r="I45" s="168" t="s">
        <v>55</v>
      </c>
      <c r="J45" s="145">
        <v>3978951</v>
      </c>
      <c r="K45" s="169" t="s">
        <v>56</v>
      </c>
      <c r="L45" s="128"/>
      <c r="M45" s="128"/>
      <c r="N45" s="128"/>
      <c r="O45" s="128"/>
      <c r="P45" s="128"/>
      <c r="Q45" s="168" t="s">
        <v>57</v>
      </c>
      <c r="R45" s="145">
        <v>6016500</v>
      </c>
      <c r="S45" s="169" t="s">
        <v>56</v>
      </c>
      <c r="T45" s="128">
        <v>10</v>
      </c>
      <c r="U45" s="128"/>
      <c r="V45" s="168" t="s">
        <v>58</v>
      </c>
      <c r="W45" s="145">
        <f>J45+R45</f>
        <v>9995451</v>
      </c>
      <c r="X45" s="169" t="s">
        <v>56</v>
      </c>
      <c r="Y45" s="128"/>
      <c r="Z45" s="128"/>
      <c r="AA45" s="128"/>
      <c r="AB45" s="128"/>
      <c r="AC45" s="128"/>
      <c r="AD45" s="167" t="s">
        <v>59</v>
      </c>
      <c r="AE45" s="145">
        <v>482400</v>
      </c>
      <c r="AF45" s="169" t="s">
        <v>56</v>
      </c>
      <c r="AG45" s="169"/>
      <c r="AH45" s="169"/>
      <c r="AI45" s="169"/>
      <c r="AJ45" s="169"/>
      <c r="AK45" s="128"/>
      <c r="AL45" s="168" t="s">
        <v>60</v>
      </c>
      <c r="AM45" s="145">
        <v>1096920</v>
      </c>
      <c r="AN45" s="169" t="s">
        <v>56</v>
      </c>
      <c r="AO45" s="169"/>
      <c r="AP45" s="169"/>
      <c r="AQ45" s="169"/>
      <c r="AR45" s="169"/>
      <c r="AS45" s="128"/>
      <c r="AT45" s="168" t="s">
        <v>61</v>
      </c>
      <c r="AU45" s="168"/>
      <c r="AV45" s="168">
        <v>44856909.090909086</v>
      </c>
      <c r="AW45" s="145">
        <v>51610000</v>
      </c>
      <c r="AX45" s="169" t="s">
        <v>56</v>
      </c>
      <c r="AY45" s="128"/>
      <c r="AZ45" s="128"/>
      <c r="BA45" s="165" t="s">
        <v>62</v>
      </c>
      <c r="BB45" s="144">
        <f>BB44-BB37-BC37</f>
        <v>2775882.8181818202</v>
      </c>
      <c r="BC45" s="144">
        <f>BC44-BC37</f>
        <v>-152000</v>
      </c>
      <c r="BD45" s="170" t="e">
        <f>BC37/BC44</f>
        <v>#DIV/0!</v>
      </c>
      <c r="BE45" s="47">
        <v>5</v>
      </c>
      <c r="BF45" s="163">
        <v>637682</v>
      </c>
      <c r="BG45" s="163"/>
      <c r="BH45" s="164">
        <f t="shared" si="38"/>
        <v>0</v>
      </c>
      <c r="BI45" s="77" t="s">
        <v>63</v>
      </c>
      <c r="BM45" s="47"/>
    </row>
    <row r="46" spans="2:66" ht="21" customHeight="1">
      <c r="H46" s="167"/>
      <c r="I46" s="167" t="s">
        <v>62</v>
      </c>
      <c r="J46" s="144">
        <f>J45-J37</f>
        <v>194241.90909090918</v>
      </c>
      <c r="K46" s="171">
        <f>C38-G38</f>
        <v>0</v>
      </c>
      <c r="L46" s="128"/>
      <c r="M46" s="128"/>
      <c r="N46" s="128"/>
      <c r="O46" s="128"/>
      <c r="P46" s="128"/>
      <c r="Q46" s="167" t="s">
        <v>62</v>
      </c>
      <c r="R46" s="144">
        <f>R45-R37</f>
        <v>-314227.27272727247</v>
      </c>
      <c r="S46" s="128">
        <f>K46</f>
        <v>0</v>
      </c>
      <c r="T46" s="128"/>
      <c r="U46" s="128"/>
      <c r="V46" s="167" t="s">
        <v>62</v>
      </c>
      <c r="W46" s="144">
        <f>W45-W37</f>
        <v>-119985.3636363633</v>
      </c>
      <c r="X46" s="128">
        <f>S46</f>
        <v>0</v>
      </c>
      <c r="Y46" s="128"/>
      <c r="Z46" s="128"/>
      <c r="AA46" s="128"/>
      <c r="AB46" s="128"/>
      <c r="AC46" s="128"/>
      <c r="AD46" s="167" t="s">
        <v>62</v>
      </c>
      <c r="AE46" s="144">
        <f>AE45-AE37</f>
        <v>124763.63636363641</v>
      </c>
      <c r="AF46" s="128">
        <f>K46</f>
        <v>0</v>
      </c>
      <c r="AG46" s="128"/>
      <c r="AH46" s="128"/>
      <c r="AI46" s="128"/>
      <c r="AJ46" s="128"/>
      <c r="AK46" s="128"/>
      <c r="AL46" s="167" t="s">
        <v>62</v>
      </c>
      <c r="AM46" s="144">
        <f>AM45-AM37</f>
        <v>-1099162.7272727271</v>
      </c>
      <c r="AN46" s="128">
        <f>AF46</f>
        <v>0</v>
      </c>
      <c r="AO46" s="128"/>
      <c r="AP46" s="128"/>
      <c r="AQ46" s="128"/>
      <c r="AR46" s="128"/>
      <c r="AS46" s="128"/>
      <c r="AT46" s="167" t="s">
        <v>62</v>
      </c>
      <c r="AU46" s="167"/>
      <c r="AV46" s="172">
        <f>AV45-AW37</f>
        <v>-2749163.6363636404</v>
      </c>
      <c r="AW46" s="144">
        <f>AW45-AW37</f>
        <v>4003927.2727272734</v>
      </c>
      <c r="AX46" s="128">
        <f>AN46</f>
        <v>0</v>
      </c>
      <c r="AY46" s="128"/>
      <c r="AZ46" s="173"/>
      <c r="BA46" s="174" t="s">
        <v>64</v>
      </c>
      <c r="BB46" s="175" t="e">
        <f>BB45/K46</f>
        <v>#DIV/0!</v>
      </c>
      <c r="BC46" s="176">
        <f>(BB37+BC37)/BB44</f>
        <v>0.95606721723844157</v>
      </c>
      <c r="BD46" s="173"/>
      <c r="BE46" s="177"/>
      <c r="BF46" s="178">
        <f>SUM(BF41:BF45)</f>
        <v>40083299.909090906</v>
      </c>
      <c r="BG46" s="179">
        <f>BK71</f>
        <v>9138052</v>
      </c>
      <c r="BH46" s="180">
        <f>BG46/BF46</f>
        <v>0.22797653937488033</v>
      </c>
      <c r="BI46" s="181">
        <f>BF46-BG46</f>
        <v>30945247.909090906</v>
      </c>
      <c r="BM46" s="47"/>
    </row>
    <row r="47" spans="2:66" s="177" customFormat="1" ht="26" customHeight="1">
      <c r="B47" s="182"/>
      <c r="H47" s="183"/>
      <c r="I47" s="174" t="s">
        <v>64</v>
      </c>
      <c r="J47" s="184" t="e">
        <f>J46/K46</f>
        <v>#DIV/0!</v>
      </c>
      <c r="K47" s="185">
        <f>J37/J45</f>
        <v>0.95118263354062182</v>
      </c>
      <c r="L47" s="173"/>
      <c r="M47" s="173"/>
      <c r="N47" s="173"/>
      <c r="O47" s="173"/>
      <c r="P47" s="173"/>
      <c r="Q47" s="174" t="s">
        <v>64</v>
      </c>
      <c r="R47" s="175" t="e">
        <f>R46/S46</f>
        <v>#DIV/0!</v>
      </c>
      <c r="S47" s="185">
        <f>R37/R45</f>
        <v>1.0522275862589998</v>
      </c>
      <c r="T47" s="173"/>
      <c r="U47" s="173"/>
      <c r="V47" s="174" t="s">
        <v>64</v>
      </c>
      <c r="W47" s="175" t="e">
        <f>W46/X46</f>
        <v>#DIV/0!</v>
      </c>
      <c r="X47" s="185">
        <f>W37/W45</f>
        <v>1.0120039969818633</v>
      </c>
      <c r="Y47" s="173"/>
      <c r="Z47" s="173"/>
      <c r="AA47" s="173"/>
      <c r="AB47" s="173"/>
      <c r="AC47" s="173"/>
      <c r="AD47" s="174" t="s">
        <v>64</v>
      </c>
      <c r="AE47" s="184" t="e">
        <f>AE46/AF46</f>
        <v>#DIV/0!</v>
      </c>
      <c r="AF47" s="185">
        <f>AE37/AE45</f>
        <v>0.74136891301070396</v>
      </c>
      <c r="AG47" s="185"/>
      <c r="AH47" s="185"/>
      <c r="AI47" s="185"/>
      <c r="AJ47" s="185"/>
      <c r="AK47" s="173"/>
      <c r="AL47" s="174" t="s">
        <v>64</v>
      </c>
      <c r="AM47" s="175" t="e">
        <f>AM46/AN46</f>
        <v>#DIV/0!</v>
      </c>
      <c r="AN47" s="185">
        <f>AM37/AM45</f>
        <v>2.0020445677649481</v>
      </c>
      <c r="AO47" s="185"/>
      <c r="AP47" s="185"/>
      <c r="AQ47" s="185"/>
      <c r="AR47" s="185"/>
      <c r="AS47" s="173"/>
      <c r="AT47" s="174" t="s">
        <v>64</v>
      </c>
      <c r="AU47" s="174"/>
      <c r="AV47" s="174" t="e">
        <f>AV46/AX46</f>
        <v>#DIV/0!</v>
      </c>
      <c r="AW47" s="175" t="e">
        <f>AW46/AX46</f>
        <v>#DIV/0!</v>
      </c>
      <c r="AX47" s="185">
        <f>AW37/AW45</f>
        <v>0.92241954519032598</v>
      </c>
      <c r="AY47" s="173"/>
      <c r="AZ47" s="47"/>
      <c r="BA47" s="47"/>
      <c r="BB47" s="85"/>
      <c r="BC47" s="47"/>
      <c r="BD47" s="47"/>
      <c r="BE47" s="47"/>
      <c r="BI47" s="186"/>
      <c r="BK47" s="186"/>
    </row>
    <row r="48" spans="2:66">
      <c r="H48" s="47">
        <v>931</v>
      </c>
      <c r="I48" s="47">
        <f>H48/31</f>
        <v>30.032258064516128</v>
      </c>
      <c r="K48" s="47">
        <f>J45/31</f>
        <v>128353.25806451614</v>
      </c>
      <c r="P48" s="47">
        <v>557</v>
      </c>
      <c r="Q48" s="47">
        <f>P48/31</f>
        <v>17.967741935483872</v>
      </c>
      <c r="S48" s="47">
        <f>R45/31</f>
        <v>194080.64516129033</v>
      </c>
      <c r="AZ48" s="187"/>
      <c r="BA48" s="187"/>
      <c r="BB48" s="187"/>
      <c r="BC48" s="187"/>
      <c r="BD48" s="187"/>
      <c r="BE48" s="187"/>
      <c r="BI48" s="77"/>
      <c r="BM48" s="47"/>
    </row>
    <row r="49" spans="2:63" s="187" customFormat="1" ht="24" customHeight="1">
      <c r="B49" s="188"/>
      <c r="I49" s="187" t="s">
        <v>65</v>
      </c>
      <c r="J49" s="189">
        <f>(I5+I8+I9+I10+I11+I12+I15+I16+I17+I18+I19+I22+I23+I24+I25+I26)/16</f>
        <v>794.34453004767056</v>
      </c>
      <c r="K49" s="187">
        <v>800000</v>
      </c>
      <c r="L49" s="190"/>
      <c r="M49" s="47"/>
      <c r="N49" s="47"/>
      <c r="O49" s="47"/>
      <c r="P49" s="47"/>
      <c r="Q49" s="47"/>
      <c r="R49" s="190">
        <v>400000</v>
      </c>
      <c r="AE49" s="187">
        <f>AE45/30</f>
        <v>16080</v>
      </c>
      <c r="AQ49" s="191">
        <f>AP14+AP21</f>
        <v>840</v>
      </c>
      <c r="AR49" s="192">
        <f>AR14+AR21</f>
        <v>5732.9142085791418</v>
      </c>
      <c r="AS49" s="192">
        <f>AT14+AT21</f>
        <v>3253.3696630336967</v>
      </c>
      <c r="AW49" s="187">
        <f>AW45/30</f>
        <v>1720333.3333333333</v>
      </c>
      <c r="AZ49" s="1"/>
      <c r="BA49" s="1"/>
      <c r="BB49" s="1"/>
      <c r="BC49" s="1"/>
      <c r="BD49" s="193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4" t="s">
        <v>71</v>
      </c>
      <c r="BJ49" s="194" t="s">
        <v>72</v>
      </c>
      <c r="BK49" s="194" t="s">
        <v>73</v>
      </c>
    </row>
    <row r="50" spans="2:63" s="1" customFormat="1" ht="24" customHeight="1">
      <c r="B50" s="188"/>
      <c r="I50" s="1" t="s">
        <v>74</v>
      </c>
      <c r="J50" s="189">
        <f>(I6+I7+I13+I14+I20+I21+I27)/7</f>
        <v>661.44597516425915</v>
      </c>
      <c r="L50" s="195"/>
      <c r="M50" s="47"/>
      <c r="N50" s="47"/>
      <c r="O50" s="47"/>
      <c r="P50" s="47"/>
      <c r="Q50" s="47"/>
      <c r="R50" s="195"/>
      <c r="S50" s="195"/>
      <c r="Z50" s="196"/>
      <c r="AQ50" s="1">
        <f>AQ49/2</f>
        <v>420</v>
      </c>
      <c r="AR50" s="197">
        <f t="shared" ref="AR50:AS50" si="39">AR49/2</f>
        <v>2866.4571042895709</v>
      </c>
      <c r="AS50" s="197">
        <f t="shared" si="39"/>
        <v>1626.6848315168484</v>
      </c>
      <c r="AZ50" s="187"/>
      <c r="BA50" s="187"/>
      <c r="BB50" s="187"/>
      <c r="BC50" s="187"/>
      <c r="BD50" s="193" t="s">
        <v>75</v>
      </c>
      <c r="BE50" s="198">
        <v>1800</v>
      </c>
      <c r="BF50" s="198">
        <v>21</v>
      </c>
      <c r="BG50" s="199">
        <v>0</v>
      </c>
      <c r="BH50" s="198"/>
      <c r="BI50" s="200">
        <f>BF50*BE50</f>
        <v>37800</v>
      </c>
      <c r="BJ50" s="200">
        <f>BE50*BG50</f>
        <v>0</v>
      </c>
      <c r="BK50" s="200">
        <f>BI50-BJ50</f>
        <v>37800</v>
      </c>
    </row>
    <row r="51" spans="2:63" s="187" customFormat="1" ht="24" customHeight="1">
      <c r="B51" s="188"/>
      <c r="K51" s="1"/>
      <c r="L51" s="195"/>
      <c r="M51" s="47"/>
      <c r="N51" s="47"/>
      <c r="O51" s="47"/>
      <c r="P51" s="47"/>
      <c r="Q51" s="47"/>
      <c r="R51" s="201"/>
      <c r="S51" s="202"/>
      <c r="T51" s="202"/>
      <c r="U51" s="202" t="s">
        <v>76</v>
      </c>
      <c r="V51" s="202"/>
      <c r="W51" s="203"/>
      <c r="X51" s="204"/>
      <c r="Y51" s="193"/>
      <c r="Z51" s="200"/>
      <c r="BD51" s="193" t="s">
        <v>77</v>
      </c>
      <c r="BE51" s="198">
        <v>10800</v>
      </c>
      <c r="BF51" s="198">
        <v>640</v>
      </c>
      <c r="BG51" s="198">
        <v>20</v>
      </c>
      <c r="BH51" s="198"/>
      <c r="BI51" s="200">
        <f t="shared" ref="BI51:BI70" si="40">BE51*BF51</f>
        <v>6912000</v>
      </c>
      <c r="BJ51" s="200">
        <f t="shared" ref="BJ51:BJ70" si="41">BE51*BG51</f>
        <v>216000</v>
      </c>
      <c r="BK51" s="200">
        <f t="shared" ref="BK51:BK70" si="42">BI51-BJ51</f>
        <v>6696000</v>
      </c>
    </row>
    <row r="52" spans="2:63" s="187" customFormat="1" ht="24" customHeight="1">
      <c r="B52" s="188"/>
      <c r="K52" s="1"/>
      <c r="L52" s="195"/>
      <c r="M52" s="47"/>
      <c r="N52" s="47"/>
      <c r="O52" s="47"/>
      <c r="P52" s="47"/>
      <c r="Q52" s="47"/>
      <c r="R52" s="203"/>
      <c r="S52" s="202"/>
      <c r="T52" s="202"/>
      <c r="U52" s="205" t="s">
        <v>78</v>
      </c>
      <c r="V52" s="206" t="s">
        <v>79</v>
      </c>
      <c r="W52" s="207"/>
      <c r="X52" s="208" t="e">
        <f>W52/Y52</f>
        <v>#DIV/0!</v>
      </c>
      <c r="Y52" s="209">
        <f>W52+W53</f>
        <v>0</v>
      </c>
      <c r="Z52" s="210"/>
      <c r="AA52" s="210"/>
      <c r="BD52" s="193" t="s">
        <v>80</v>
      </c>
      <c r="BE52" s="198">
        <v>6120</v>
      </c>
      <c r="BF52" s="198">
        <v>40</v>
      </c>
      <c r="BG52" s="198">
        <v>4</v>
      </c>
      <c r="BH52" s="198"/>
      <c r="BI52" s="200">
        <f t="shared" si="40"/>
        <v>244800</v>
      </c>
      <c r="BJ52" s="200">
        <f t="shared" si="41"/>
        <v>24480</v>
      </c>
      <c r="BK52" s="200">
        <f t="shared" si="42"/>
        <v>220320</v>
      </c>
    </row>
    <row r="53" spans="2:63" s="187" customFormat="1" ht="24" customHeight="1">
      <c r="B53" s="188"/>
      <c r="K53" s="1"/>
      <c r="L53" s="195"/>
      <c r="M53" s="47"/>
      <c r="N53" s="47"/>
      <c r="O53" s="47"/>
      <c r="P53" s="47"/>
      <c r="Q53" s="47"/>
      <c r="R53" s="203"/>
      <c r="S53" s="202"/>
      <c r="T53" s="202"/>
      <c r="U53" s="205"/>
      <c r="V53" s="206" t="s">
        <v>81</v>
      </c>
      <c r="W53" s="207"/>
      <c r="X53" s="208" t="e">
        <f>W53/Y52</f>
        <v>#DIV/0!</v>
      </c>
      <c r="Y53" s="210"/>
      <c r="Z53" s="210"/>
      <c r="AA53" s="210"/>
      <c r="BB53" s="187" t="s">
        <v>82</v>
      </c>
      <c r="BD53" s="193" t="s">
        <v>83</v>
      </c>
      <c r="BE53" s="198">
        <v>1780</v>
      </c>
      <c r="BF53" s="198">
        <v>24</v>
      </c>
      <c r="BG53" s="198">
        <v>4</v>
      </c>
      <c r="BH53" s="198"/>
      <c r="BI53" s="200">
        <f t="shared" si="40"/>
        <v>42720</v>
      </c>
      <c r="BJ53" s="200">
        <f t="shared" si="41"/>
        <v>7120</v>
      </c>
      <c r="BK53" s="200">
        <f t="shared" si="42"/>
        <v>35600</v>
      </c>
    </row>
    <row r="54" spans="2:63" s="187" customFormat="1" ht="24" customHeight="1">
      <c r="B54" s="188"/>
      <c r="K54" s="1"/>
      <c r="L54" s="195"/>
      <c r="M54" s="47"/>
      <c r="N54" s="47"/>
      <c r="O54" s="47"/>
      <c r="P54" s="47"/>
      <c r="Q54" s="47"/>
      <c r="R54" s="203"/>
      <c r="S54" s="202"/>
      <c r="T54" s="202"/>
      <c r="U54" s="211" t="s">
        <v>84</v>
      </c>
      <c r="V54" s="206" t="s">
        <v>79</v>
      </c>
      <c r="W54" s="207"/>
      <c r="X54" s="208" t="e">
        <f t="shared" ref="X54" si="43">W54/Y54</f>
        <v>#DIV/0!</v>
      </c>
      <c r="Y54" s="209">
        <f t="shared" ref="Y54" si="44">W54+W55</f>
        <v>0</v>
      </c>
      <c r="Z54" s="210"/>
      <c r="AA54" s="210"/>
      <c r="BD54" s="193" t="s">
        <v>85</v>
      </c>
      <c r="BE54" s="198">
        <v>1780</v>
      </c>
      <c r="BF54" s="198">
        <v>24</v>
      </c>
      <c r="BG54" s="198">
        <v>20</v>
      </c>
      <c r="BH54" s="198"/>
      <c r="BI54" s="200">
        <f t="shared" si="40"/>
        <v>42720</v>
      </c>
      <c r="BJ54" s="200">
        <f t="shared" si="41"/>
        <v>35600</v>
      </c>
      <c r="BK54" s="200">
        <f t="shared" si="42"/>
        <v>7120</v>
      </c>
    </row>
    <row r="55" spans="2:63" s="187" customFormat="1" ht="24" customHeight="1">
      <c r="B55" s="188"/>
      <c r="L55" s="190"/>
      <c r="M55" s="47"/>
      <c r="N55" s="47"/>
      <c r="O55" s="47"/>
      <c r="P55" s="47"/>
      <c r="Q55" s="47"/>
      <c r="R55" s="212"/>
      <c r="S55" s="202"/>
      <c r="T55" s="202"/>
      <c r="U55" s="211"/>
      <c r="V55" s="206" t="s">
        <v>81</v>
      </c>
      <c r="W55" s="207"/>
      <c r="X55" s="208" t="e">
        <f t="shared" ref="X55" si="45">W55/Y54</f>
        <v>#DIV/0!</v>
      </c>
      <c r="Y55" s="210"/>
      <c r="Z55" s="210"/>
      <c r="AA55" s="210"/>
      <c r="AZ55" s="47"/>
      <c r="BA55" s="47"/>
      <c r="BB55" s="47"/>
      <c r="BC55" s="47"/>
      <c r="BD55" s="193" t="s">
        <v>86</v>
      </c>
      <c r="BE55" s="213">
        <v>8190</v>
      </c>
      <c r="BF55" s="198">
        <v>13</v>
      </c>
      <c r="BG55" s="198">
        <v>4</v>
      </c>
      <c r="BH55" s="198"/>
      <c r="BI55" s="200">
        <f t="shared" si="40"/>
        <v>106470</v>
      </c>
      <c r="BJ55" s="200">
        <f t="shared" si="41"/>
        <v>32760</v>
      </c>
      <c r="BK55" s="200">
        <f t="shared" si="42"/>
        <v>73710</v>
      </c>
    </row>
    <row r="56" spans="2:63" ht="24" customHeight="1">
      <c r="U56" s="214" t="s">
        <v>2</v>
      </c>
      <c r="V56" s="215" t="s">
        <v>79</v>
      </c>
      <c r="W56" s="207"/>
      <c r="X56" s="208" t="e">
        <f t="shared" ref="X56:X58" si="46">W56/Y56</f>
        <v>#DIV/0!</v>
      </c>
      <c r="Y56" s="209">
        <f t="shared" ref="Y56" si="47">W56+W57</f>
        <v>0</v>
      </c>
      <c r="Z56" s="210"/>
      <c r="AA56" s="210"/>
      <c r="BD56" s="193" t="s">
        <v>87</v>
      </c>
      <c r="BE56" s="213">
        <v>5784</v>
      </c>
      <c r="BF56" s="213">
        <v>36</v>
      </c>
      <c r="BG56" s="213">
        <v>28</v>
      </c>
      <c r="BH56" s="213"/>
      <c r="BI56" s="200">
        <f t="shared" si="40"/>
        <v>208224</v>
      </c>
      <c r="BJ56" s="200">
        <f t="shared" si="41"/>
        <v>161952</v>
      </c>
      <c r="BK56" s="200">
        <f t="shared" si="42"/>
        <v>46272</v>
      </c>
    </row>
    <row r="57" spans="2:63" ht="24" customHeight="1">
      <c r="U57" s="214"/>
      <c r="V57" s="215" t="s">
        <v>81</v>
      </c>
      <c r="W57" s="207"/>
      <c r="X57" s="208" t="e">
        <f t="shared" ref="X57:X59" si="48">W57/Y56</f>
        <v>#DIV/0!</v>
      </c>
      <c r="Y57" s="210"/>
      <c r="Z57" s="210"/>
      <c r="AA57" s="210"/>
      <c r="BD57" s="193" t="s">
        <v>88</v>
      </c>
      <c r="BE57" s="213">
        <v>6775</v>
      </c>
      <c r="BF57" s="213">
        <v>12</v>
      </c>
      <c r="BG57" s="213">
        <v>11</v>
      </c>
      <c r="BH57" s="213"/>
      <c r="BI57" s="200">
        <f t="shared" si="40"/>
        <v>81300</v>
      </c>
      <c r="BJ57" s="200">
        <f t="shared" si="41"/>
        <v>74525</v>
      </c>
      <c r="BK57" s="200">
        <f t="shared" si="42"/>
        <v>6775</v>
      </c>
    </row>
    <row r="58" spans="2:63" ht="24" customHeight="1">
      <c r="U58" s="216" t="s">
        <v>89</v>
      </c>
      <c r="V58" s="215" t="s">
        <v>79</v>
      </c>
      <c r="W58" s="207"/>
      <c r="X58" s="208" t="e">
        <f t="shared" si="46"/>
        <v>#DIV/0!</v>
      </c>
      <c r="Y58" s="217">
        <f>SUM(Y52:AA56)</f>
        <v>0</v>
      </c>
      <c r="Z58" s="218"/>
      <c r="AA58" s="218"/>
      <c r="BD58" s="193" t="s">
        <v>90</v>
      </c>
      <c r="BE58" s="213">
        <v>1755</v>
      </c>
      <c r="BF58" s="213">
        <v>14</v>
      </c>
      <c r="BG58" s="213">
        <v>2</v>
      </c>
      <c r="BH58" s="213"/>
      <c r="BI58" s="200">
        <f t="shared" si="40"/>
        <v>24570</v>
      </c>
      <c r="BJ58" s="200">
        <f t="shared" si="41"/>
        <v>3510</v>
      </c>
      <c r="BK58" s="200">
        <f t="shared" si="42"/>
        <v>21060</v>
      </c>
    </row>
    <row r="59" spans="2:63" ht="24" customHeight="1">
      <c r="U59" s="216"/>
      <c r="V59" s="215" t="s">
        <v>81</v>
      </c>
      <c r="W59" s="207"/>
      <c r="X59" s="208" t="e">
        <f t="shared" si="48"/>
        <v>#DIV/0!</v>
      </c>
      <c r="Y59" s="218"/>
      <c r="Z59" s="218"/>
      <c r="AA59" s="218"/>
      <c r="BD59" s="193" t="s">
        <v>91</v>
      </c>
      <c r="BE59" s="213">
        <v>1755</v>
      </c>
      <c r="BF59" s="213">
        <v>10</v>
      </c>
      <c r="BG59" s="213">
        <v>0</v>
      </c>
      <c r="BH59" s="213"/>
      <c r="BI59" s="200">
        <f t="shared" si="40"/>
        <v>17550</v>
      </c>
      <c r="BJ59" s="200">
        <f t="shared" si="41"/>
        <v>0</v>
      </c>
      <c r="BK59" s="200">
        <f t="shared" si="42"/>
        <v>17550</v>
      </c>
    </row>
    <row r="60" spans="2:63" ht="24" customHeight="1">
      <c r="BD60" s="193" t="s">
        <v>92</v>
      </c>
      <c r="BE60" s="213">
        <v>1075</v>
      </c>
      <c r="BF60" s="213">
        <v>96</v>
      </c>
      <c r="BG60" s="213">
        <v>38</v>
      </c>
      <c r="BH60" s="213"/>
      <c r="BI60" s="200">
        <f t="shared" si="40"/>
        <v>103200</v>
      </c>
      <c r="BJ60" s="200">
        <f t="shared" si="41"/>
        <v>40850</v>
      </c>
      <c r="BK60" s="200">
        <f t="shared" si="42"/>
        <v>62350</v>
      </c>
    </row>
    <row r="61" spans="2:63" ht="24" customHeight="1">
      <c r="BD61" s="193" t="s">
        <v>93</v>
      </c>
      <c r="BE61" s="213">
        <v>3860</v>
      </c>
      <c r="BF61" s="213">
        <v>166</v>
      </c>
      <c r="BG61" s="213">
        <v>13</v>
      </c>
      <c r="BH61" s="213"/>
      <c r="BI61" s="200">
        <f t="shared" si="40"/>
        <v>640760</v>
      </c>
      <c r="BJ61" s="200">
        <f t="shared" si="41"/>
        <v>50180</v>
      </c>
      <c r="BK61" s="200">
        <f t="shared" si="42"/>
        <v>590580</v>
      </c>
    </row>
    <row r="62" spans="2:63" ht="24" customHeight="1">
      <c r="BD62" s="193" t="s">
        <v>94</v>
      </c>
      <c r="BE62" s="213">
        <v>6450</v>
      </c>
      <c r="BF62" s="213">
        <v>137</v>
      </c>
      <c r="BG62" s="213">
        <v>12</v>
      </c>
      <c r="BH62" s="213"/>
      <c r="BI62" s="200">
        <f t="shared" si="40"/>
        <v>883650</v>
      </c>
      <c r="BJ62" s="200">
        <f t="shared" si="41"/>
        <v>77400</v>
      </c>
      <c r="BK62" s="200">
        <f t="shared" si="42"/>
        <v>806250</v>
      </c>
    </row>
    <row r="63" spans="2:63" ht="24" customHeight="1">
      <c r="BD63" s="193" t="s">
        <v>95</v>
      </c>
      <c r="BE63" s="213">
        <v>1380</v>
      </c>
      <c r="BF63" s="213">
        <v>35</v>
      </c>
      <c r="BG63" s="213">
        <v>5</v>
      </c>
      <c r="BH63" s="213"/>
      <c r="BI63" s="200">
        <f t="shared" si="40"/>
        <v>48300</v>
      </c>
      <c r="BJ63" s="200">
        <f t="shared" si="41"/>
        <v>6900</v>
      </c>
      <c r="BK63" s="200">
        <f t="shared" si="42"/>
        <v>41400</v>
      </c>
    </row>
    <row r="64" spans="2:63" ht="24" customHeight="1">
      <c r="BD64" s="193" t="s">
        <v>96</v>
      </c>
      <c r="BE64" s="213">
        <v>1380</v>
      </c>
      <c r="BF64" s="213">
        <v>39</v>
      </c>
      <c r="BG64" s="213">
        <v>6</v>
      </c>
      <c r="BH64" s="213"/>
      <c r="BI64" s="200">
        <f t="shared" si="40"/>
        <v>53820</v>
      </c>
      <c r="BJ64" s="200">
        <f t="shared" si="41"/>
        <v>8280</v>
      </c>
      <c r="BK64" s="200">
        <f t="shared" si="42"/>
        <v>45540</v>
      </c>
    </row>
    <row r="65" spans="56:63" ht="24" customHeight="1">
      <c r="BD65" s="193" t="s">
        <v>97</v>
      </c>
      <c r="BE65" s="213">
        <v>160</v>
      </c>
      <c r="BF65" s="213">
        <v>594</v>
      </c>
      <c r="BG65" s="213">
        <v>53</v>
      </c>
      <c r="BH65" s="213"/>
      <c r="BI65" s="200">
        <f t="shared" si="40"/>
        <v>95040</v>
      </c>
      <c r="BJ65" s="200">
        <f t="shared" si="41"/>
        <v>8480</v>
      </c>
      <c r="BK65" s="200">
        <f t="shared" si="42"/>
        <v>86560</v>
      </c>
    </row>
    <row r="66" spans="56:63" ht="24" customHeight="1">
      <c r="BD66" s="193" t="s">
        <v>98</v>
      </c>
      <c r="BE66" s="213">
        <v>160</v>
      </c>
      <c r="BF66" s="213">
        <v>300</v>
      </c>
      <c r="BG66" s="213">
        <v>47</v>
      </c>
      <c r="BH66" s="213"/>
      <c r="BI66" s="200">
        <f t="shared" si="40"/>
        <v>48000</v>
      </c>
      <c r="BJ66" s="200">
        <f t="shared" si="41"/>
        <v>7520</v>
      </c>
      <c r="BK66" s="200">
        <f t="shared" si="42"/>
        <v>40480</v>
      </c>
    </row>
    <row r="67" spans="56:63" ht="24" customHeight="1">
      <c r="BD67" s="193" t="s">
        <v>99</v>
      </c>
      <c r="BE67" s="213">
        <v>205</v>
      </c>
      <c r="BF67" s="213">
        <v>366</v>
      </c>
      <c r="BG67" s="213">
        <v>49</v>
      </c>
      <c r="BH67" s="213"/>
      <c r="BI67" s="200">
        <f t="shared" si="40"/>
        <v>75030</v>
      </c>
      <c r="BJ67" s="200">
        <f t="shared" si="41"/>
        <v>10045</v>
      </c>
      <c r="BK67" s="200">
        <f t="shared" si="42"/>
        <v>64985</v>
      </c>
    </row>
    <row r="68" spans="56:63" ht="24" customHeight="1">
      <c r="BD68" s="193" t="s">
        <v>100</v>
      </c>
      <c r="BE68" s="213">
        <v>295</v>
      </c>
      <c r="BF68" s="213">
        <v>612</v>
      </c>
      <c r="BG68" s="213">
        <v>86</v>
      </c>
      <c r="BH68" s="213"/>
      <c r="BI68" s="200">
        <f t="shared" si="40"/>
        <v>180540</v>
      </c>
      <c r="BJ68" s="200">
        <f t="shared" si="41"/>
        <v>25370</v>
      </c>
      <c r="BK68" s="200">
        <f t="shared" si="42"/>
        <v>155170</v>
      </c>
    </row>
    <row r="69" spans="56:63" ht="24" customHeight="1">
      <c r="BD69" s="193" t="s">
        <v>101</v>
      </c>
      <c r="BE69" s="213">
        <v>70</v>
      </c>
      <c r="BF69" s="213">
        <v>480</v>
      </c>
      <c r="BG69" s="213">
        <v>71</v>
      </c>
      <c r="BH69" s="213"/>
      <c r="BI69" s="200">
        <f t="shared" si="40"/>
        <v>33600</v>
      </c>
      <c r="BJ69" s="200">
        <f t="shared" si="41"/>
        <v>4970</v>
      </c>
      <c r="BK69" s="200">
        <f t="shared" si="42"/>
        <v>28630</v>
      </c>
    </row>
    <row r="70" spans="56:63" ht="24" customHeight="1">
      <c r="BD70" s="193" t="s">
        <v>102</v>
      </c>
      <c r="BE70" s="213">
        <v>2450</v>
      </c>
      <c r="BF70" s="213">
        <v>31</v>
      </c>
      <c r="BG70" s="213">
        <v>9</v>
      </c>
      <c r="BH70" s="213"/>
      <c r="BI70" s="200">
        <f t="shared" si="40"/>
        <v>75950</v>
      </c>
      <c r="BJ70" s="200">
        <f t="shared" si="41"/>
        <v>22050</v>
      </c>
      <c r="BK70" s="200">
        <f t="shared" si="42"/>
        <v>53900</v>
      </c>
    </row>
    <row r="71" spans="56:63" ht="24" customHeight="1">
      <c r="BD71" s="193"/>
      <c r="BI71" s="219">
        <f>SUM(BI50:BI70)</f>
        <v>9956044</v>
      </c>
      <c r="BJ71" s="219">
        <f t="shared" ref="BJ71:BK71" si="49">SUM(BJ50:BJ70)</f>
        <v>817992</v>
      </c>
      <c r="BK71" s="219">
        <f t="shared" si="49"/>
        <v>9138052</v>
      </c>
    </row>
    <row r="72" spans="56:63" ht="24" customHeight="1">
      <c r="BD72" s="193"/>
    </row>
    <row r="73" spans="56:63" ht="24" customHeight="1">
      <c r="BD73" s="193"/>
    </row>
    <row r="74" spans="56:63" ht="24" customHeight="1">
      <c r="BD74" s="193"/>
    </row>
    <row r="75" spans="56:63" ht="24" customHeight="1">
      <c r="BD75" s="193"/>
    </row>
    <row r="76" spans="56:63" ht="24" customHeight="1">
      <c r="BD76" s="193"/>
    </row>
    <row r="77" spans="56:63" ht="24" customHeight="1">
      <c r="BD77" s="193"/>
    </row>
    <row r="78" spans="56:63" ht="24" customHeight="1">
      <c r="BD78" s="193"/>
    </row>
    <row r="79" spans="56:63" ht="24" customHeight="1">
      <c r="BD79" s="193"/>
    </row>
    <row r="80" spans="56:63" ht="24" customHeight="1">
      <c r="BD80" s="193"/>
    </row>
    <row r="81" spans="56:56" ht="24" customHeight="1">
      <c r="BD81" s="193"/>
    </row>
    <row r="82" spans="56:56" ht="24" customHeight="1">
      <c r="BD82" s="193"/>
    </row>
    <row r="83" spans="56:56" ht="24" customHeight="1">
      <c r="BD83" s="193"/>
    </row>
    <row r="84" spans="56:56" ht="24" customHeight="1">
      <c r="BD84" s="193"/>
    </row>
    <row r="85" spans="56:56" ht="24" customHeight="1">
      <c r="BD85" s="193"/>
    </row>
    <row r="86" spans="56:56" ht="24" customHeight="1">
      <c r="BD86" s="193"/>
    </row>
    <row r="87" spans="56:56" ht="24" customHeight="1">
      <c r="BD87" s="193"/>
    </row>
    <row r="88" spans="56:56" ht="24" customHeight="1">
      <c r="BD88" s="193"/>
    </row>
    <row r="89" spans="56:56" ht="24" customHeight="1">
      <c r="BD89" s="193"/>
    </row>
    <row r="90" spans="56:56" ht="24" customHeight="1">
      <c r="BD90" s="193"/>
    </row>
    <row r="91" spans="56:56" ht="24" customHeight="1">
      <c r="BD91" s="193"/>
    </row>
    <row r="92" spans="56:56" ht="24" customHeight="1">
      <c r="BD92" s="193"/>
    </row>
    <row r="93" spans="56:56" ht="24" customHeight="1">
      <c r="BD93" s="193"/>
    </row>
    <row r="94" spans="56:56" ht="24" customHeight="1">
      <c r="BD94" s="193"/>
    </row>
    <row r="95" spans="56:56" ht="24" customHeight="1">
      <c r="BD95" s="193"/>
    </row>
    <row r="96" spans="56:56" ht="24" customHeight="1">
      <c r="BD96" s="193"/>
    </row>
    <row r="97" spans="56:56" ht="24" customHeight="1">
      <c r="BD97" s="193"/>
    </row>
    <row r="98" spans="56:56" ht="24" customHeight="1">
      <c r="BD98" s="193"/>
    </row>
    <row r="99" spans="56:56" ht="24" customHeight="1">
      <c r="BD99" s="193"/>
    </row>
    <row r="100" spans="56:56" ht="24" customHeight="1">
      <c r="BD100" s="193"/>
    </row>
    <row r="101" spans="56:56" ht="24" customHeight="1">
      <c r="BD101" s="193"/>
    </row>
    <row r="102" spans="56:56" ht="24" customHeight="1">
      <c r="BD102" s="193"/>
    </row>
    <row r="103" spans="56:56" ht="24" customHeight="1">
      <c r="BD103" s="193"/>
    </row>
    <row r="104" spans="56:56" ht="24" customHeight="1">
      <c r="BD104" s="193"/>
    </row>
    <row r="105" spans="56:56" ht="24" customHeight="1">
      <c r="BD105" s="193"/>
    </row>
    <row r="106" spans="56:56" ht="24" customHeight="1">
      <c r="BD106" s="193"/>
    </row>
    <row r="107" spans="56:56" ht="24" customHeight="1">
      <c r="BD107" s="193"/>
    </row>
    <row r="108" spans="56:56" ht="24" customHeight="1">
      <c r="BD108" s="193"/>
    </row>
    <row r="109" spans="56:56" ht="24" customHeight="1">
      <c r="BD109" s="193"/>
    </row>
    <row r="110" spans="56:56" ht="24" customHeight="1">
      <c r="BD110" s="193"/>
    </row>
    <row r="111" spans="56:56" ht="24" customHeight="1">
      <c r="BD111" s="193"/>
    </row>
    <row r="112" spans="56:56" ht="24" customHeight="1">
      <c r="BD112" s="193"/>
    </row>
    <row r="113" spans="56:56" ht="24" customHeight="1">
      <c r="BD113" s="193"/>
    </row>
    <row r="114" spans="56:56" ht="24" customHeight="1">
      <c r="BD114" s="193"/>
    </row>
    <row r="115" spans="56:56" ht="24" customHeight="1">
      <c r="BD115" s="193"/>
    </row>
    <row r="116" spans="56:56" ht="24" customHeight="1">
      <c r="BD116" s="193"/>
    </row>
    <row r="117" spans="56:56" ht="24" customHeight="1">
      <c r="BD117" s="193"/>
    </row>
    <row r="118" spans="56:56" ht="24" customHeight="1">
      <c r="BD118" s="193"/>
    </row>
    <row r="119" spans="56:56" ht="24" customHeight="1">
      <c r="BD119" s="193"/>
    </row>
    <row r="120" spans="56:56" ht="24" customHeight="1">
      <c r="BD120" s="193"/>
    </row>
    <row r="121" spans="56:56" ht="24" customHeight="1">
      <c r="BD121" s="193"/>
    </row>
    <row r="122" spans="56:56" ht="24" customHeight="1">
      <c r="BD122" s="193"/>
    </row>
    <row r="123" spans="56:56" ht="24" customHeight="1">
      <c r="BD123" s="193"/>
    </row>
    <row r="124" spans="56:56" ht="24" customHeight="1">
      <c r="BD124" s="193"/>
    </row>
    <row r="125" spans="56:56" ht="24" customHeight="1">
      <c r="BD125" s="193"/>
    </row>
    <row r="126" spans="56:56" ht="24" customHeight="1">
      <c r="BD126" s="193"/>
    </row>
    <row r="127" spans="56:56" ht="24" customHeight="1">
      <c r="BD127" s="193"/>
    </row>
    <row r="128" spans="56:56" ht="24" customHeight="1">
      <c r="BD128" s="193"/>
    </row>
    <row r="129" spans="56:56" ht="24" customHeight="1">
      <c r="BD129" s="193"/>
    </row>
    <row r="130" spans="56:56" ht="24" customHeight="1">
      <c r="BD130" s="193"/>
    </row>
    <row r="131" spans="56:56" ht="24" customHeight="1">
      <c r="BD131" s="193"/>
    </row>
    <row r="132" spans="56:56" ht="24" customHeight="1">
      <c r="BD132" s="193"/>
    </row>
    <row r="133" spans="56:56" ht="24" customHeight="1">
      <c r="BD133" s="193"/>
    </row>
    <row r="134" spans="56:56" ht="24" customHeight="1">
      <c r="BD134" s="193"/>
    </row>
    <row r="135" spans="56:56" ht="24" customHeight="1">
      <c r="BD135" s="193"/>
    </row>
    <row r="136" spans="56:56" ht="24" customHeight="1">
      <c r="BD136" s="193"/>
    </row>
    <row r="137" spans="56:56" ht="24" customHeight="1">
      <c r="BD137" s="193"/>
    </row>
    <row r="138" spans="56:56" ht="24" customHeight="1">
      <c r="BD138" s="193"/>
    </row>
    <row r="139" spans="56:56" ht="24" customHeight="1">
      <c r="BD139" s="193"/>
    </row>
    <row r="140" spans="56:56" ht="24" customHeight="1">
      <c r="BD140" s="193"/>
    </row>
    <row r="141" spans="56:56" ht="24" customHeight="1">
      <c r="BD141" s="193"/>
    </row>
    <row r="142" spans="56:56" ht="24" customHeight="1">
      <c r="BD142" s="193"/>
    </row>
    <row r="143" spans="56:56" ht="24" customHeight="1">
      <c r="BD143" s="193"/>
    </row>
    <row r="144" spans="56:56" ht="24" customHeight="1">
      <c r="BD144" s="193"/>
    </row>
    <row r="145" spans="56:56" ht="24" customHeight="1">
      <c r="BD145" s="193"/>
    </row>
    <row r="146" spans="56:56" ht="24" customHeight="1">
      <c r="BD146" s="193"/>
    </row>
    <row r="147" spans="56:56" ht="24" customHeight="1">
      <c r="BD147" s="193"/>
    </row>
    <row r="148" spans="56:56" ht="24" customHeight="1">
      <c r="BD148" s="193"/>
    </row>
    <row r="149" spans="56:56" ht="24" customHeight="1">
      <c r="BD149" s="193"/>
    </row>
    <row r="150" spans="56:56" ht="24" customHeight="1">
      <c r="BD150" s="193"/>
    </row>
    <row r="151" spans="56:56" ht="24" customHeight="1">
      <c r="BD151" s="193"/>
    </row>
    <row r="152" spans="56:56" ht="24" customHeight="1">
      <c r="BD152" s="193"/>
    </row>
    <row r="153" spans="56:56" ht="24" customHeight="1">
      <c r="BD153" s="193"/>
    </row>
    <row r="154" spans="56:56" ht="24" customHeight="1">
      <c r="BD154" s="193"/>
    </row>
    <row r="155" spans="56:56" ht="24" customHeight="1">
      <c r="BD155" s="193"/>
    </row>
    <row r="156" spans="56:56" ht="24" customHeight="1">
      <c r="BD156" s="193"/>
    </row>
    <row r="157" spans="56:56" ht="24" customHeight="1">
      <c r="BD157" s="193"/>
    </row>
    <row r="158" spans="56:56" ht="24" customHeight="1">
      <c r="BD158" s="193"/>
    </row>
    <row r="159" spans="56:56" ht="24" customHeight="1">
      <c r="BD159" s="193"/>
    </row>
    <row r="160" spans="56:56" ht="24" customHeight="1">
      <c r="BD160" s="193"/>
    </row>
    <row r="161" spans="56:56" ht="24" customHeight="1">
      <c r="BD161" s="193"/>
    </row>
    <row r="162" spans="56:56" ht="24" customHeight="1">
      <c r="BD162" s="193"/>
    </row>
    <row r="163" spans="56:56" ht="24" customHeight="1">
      <c r="BD163" s="193"/>
    </row>
    <row r="164" spans="56:56" ht="24" customHeight="1">
      <c r="BD164" s="193"/>
    </row>
    <row r="165" spans="56:56" ht="24" customHeight="1">
      <c r="BD165" s="193"/>
    </row>
    <row r="166" spans="56:56" ht="24" customHeight="1">
      <c r="BD166" s="193"/>
    </row>
    <row r="167" spans="56:56" ht="24" customHeight="1">
      <c r="BD167" s="193"/>
    </row>
    <row r="168" spans="56:56" ht="24" customHeight="1">
      <c r="BD168" s="193"/>
    </row>
    <row r="169" spans="56:56" ht="24" customHeight="1">
      <c r="BD169" s="193"/>
    </row>
    <row r="170" spans="56:56" ht="24" customHeight="1">
      <c r="BD170" s="193"/>
    </row>
    <row r="171" spans="56:56" ht="24" customHeight="1">
      <c r="BD171" s="193"/>
    </row>
    <row r="172" spans="56:56" ht="24" customHeight="1">
      <c r="BD172" s="193"/>
    </row>
    <row r="173" spans="56:56" ht="24" customHeight="1">
      <c r="BD173" s="193"/>
    </row>
    <row r="174" spans="56:56" ht="24" customHeight="1">
      <c r="BD174" s="193"/>
    </row>
    <row r="175" spans="56:56" ht="24" customHeight="1">
      <c r="BD175" s="193"/>
    </row>
    <row r="176" spans="56:56" ht="24" customHeight="1">
      <c r="BD176" s="193"/>
    </row>
    <row r="177" spans="56:56" ht="24" customHeight="1">
      <c r="BD177" s="193"/>
    </row>
    <row r="178" spans="56:56" ht="24" customHeight="1">
      <c r="BD178" s="193"/>
    </row>
    <row r="179" spans="56:56" ht="24" customHeight="1">
      <c r="BD179" s="193"/>
    </row>
    <row r="180" spans="56:56" ht="24" customHeight="1">
      <c r="BD180" s="193"/>
    </row>
    <row r="181" spans="56:56" ht="24" customHeight="1">
      <c r="BD181" s="193"/>
    </row>
    <row r="182" spans="56:56" ht="24" customHeight="1">
      <c r="BD182" s="193"/>
    </row>
    <row r="183" spans="56:56" ht="24" customHeight="1">
      <c r="BD183" s="193"/>
    </row>
    <row r="184" spans="56:56">
      <c r="BD184" s="193"/>
    </row>
    <row r="185" spans="56:56">
      <c r="BD185" s="193"/>
    </row>
    <row r="186" spans="56:56">
      <c r="BD186" s="193"/>
    </row>
    <row r="187" spans="56:56">
      <c r="BD187" s="193"/>
    </row>
    <row r="188" spans="56:56">
      <c r="BD188" s="193"/>
    </row>
    <row r="189" spans="56:56">
      <c r="BD189" s="193"/>
    </row>
    <row r="190" spans="56:56">
      <c r="BD190" s="193"/>
    </row>
    <row r="191" spans="56:56">
      <c r="BD191" s="193"/>
    </row>
    <row r="192" spans="56:56">
      <c r="BD192" s="193"/>
    </row>
    <row r="193" spans="56:56">
      <c r="BD193" s="193"/>
    </row>
    <row r="194" spans="56:56">
      <c r="BD194" s="193"/>
    </row>
    <row r="195" spans="56:56">
      <c r="BD195" s="193"/>
    </row>
    <row r="196" spans="56:56">
      <c r="BD196" s="193"/>
    </row>
    <row r="197" spans="56:56">
      <c r="BD197" s="193"/>
    </row>
    <row r="198" spans="56:56">
      <c r="BD198" s="193"/>
    </row>
    <row r="199" spans="56:56">
      <c r="BD199" s="193"/>
    </row>
    <row r="200" spans="56:56">
      <c r="BD200" s="193"/>
    </row>
    <row r="201" spans="56:56">
      <c r="BD201" s="193"/>
    </row>
    <row r="202" spans="56:56">
      <c r="BD202" s="193"/>
    </row>
    <row r="203" spans="56:56">
      <c r="BD203" s="193"/>
    </row>
    <row r="204" spans="56:56">
      <c r="BD204" s="193"/>
    </row>
    <row r="205" spans="56:56">
      <c r="BD205" s="193"/>
    </row>
    <row r="206" spans="56:56">
      <c r="BD206" s="193"/>
    </row>
    <row r="207" spans="56:56">
      <c r="BD207" s="193"/>
    </row>
    <row r="208" spans="56:56">
      <c r="BD208" s="193"/>
    </row>
    <row r="209" spans="56:56">
      <c r="BD209" s="193"/>
    </row>
    <row r="210" spans="56:56">
      <c r="BD210" s="193"/>
    </row>
    <row r="211" spans="56:56">
      <c r="BD211" s="193"/>
    </row>
    <row r="212" spans="56:56">
      <c r="BD212" s="193"/>
    </row>
    <row r="213" spans="56:56">
      <c r="BD213" s="193"/>
    </row>
    <row r="214" spans="56:56">
      <c r="BD214" s="193"/>
    </row>
    <row r="215" spans="56:56">
      <c r="BD215" s="193"/>
    </row>
    <row r="216" spans="56:56">
      <c r="BD216" s="193"/>
    </row>
    <row r="217" spans="56:56">
      <c r="BD217" s="193"/>
    </row>
    <row r="218" spans="56:56">
      <c r="BD218" s="193"/>
    </row>
    <row r="219" spans="56:56">
      <c r="BD219" s="193"/>
    </row>
    <row r="220" spans="56:56">
      <c r="BD220" s="193"/>
    </row>
    <row r="221" spans="56:56">
      <c r="BD221" s="193"/>
    </row>
    <row r="222" spans="56:56">
      <c r="BD222" s="193"/>
    </row>
    <row r="223" spans="56:56">
      <c r="BD223" s="193"/>
    </row>
    <row r="224" spans="56:56">
      <c r="BD224" s="193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A7FC-515F-134C-B0B1-FD9AA0708EE0}">
  <dimension ref="A1:BO224"/>
  <sheetViews>
    <sheetView workbookViewId="0">
      <selection activeCell="A4" sqref="A4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8" width="9.140625" style="47" customWidth="1"/>
    <col min="49" max="49" width="11.28515625" style="47" customWidth="1"/>
    <col min="50" max="50" width="7.5703125" style="47" customWidth="1"/>
    <col min="51" max="51" width="5.7109375" style="47" customWidth="1"/>
    <col min="52" max="53" width="9.140625" style="47" customWidth="1"/>
    <col min="54" max="54" width="13.5703125" style="47" customWidth="1"/>
    <col min="55" max="55" width="11.140625" style="47"/>
    <col min="56" max="56" width="14.85546875" style="47" customWidth="1"/>
    <col min="57" max="62" width="11.140625" style="47"/>
    <col min="63" max="63" width="11.140625" style="77"/>
    <col min="64" max="64" width="11.140625" style="47"/>
    <col min="65" max="65" width="11.140625" style="77"/>
    <col min="66" max="16384" width="11.140625" style="47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220" t="s">
        <v>6</v>
      </c>
      <c r="Z3" s="220"/>
      <c r="AA3" s="220"/>
      <c r="AB3" s="220"/>
      <c r="AC3" s="220"/>
      <c r="AD3" s="220"/>
      <c r="AE3" s="220"/>
      <c r="AF3" s="221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0"/>
      <c r="AX3" s="21"/>
      <c r="AY3" s="22" t="s">
        <v>9</v>
      </c>
      <c r="AZ3" s="14"/>
      <c r="BA3" s="14"/>
      <c r="BB3" s="14"/>
      <c r="BC3" s="23"/>
      <c r="BD3" s="24" t="s">
        <v>10</v>
      </c>
      <c r="BE3" s="25"/>
      <c r="BF3" s="25"/>
      <c r="BG3" s="25"/>
      <c r="BH3" s="25"/>
      <c r="BI3" s="25"/>
      <c r="BJ3" s="25"/>
      <c r="BK3" s="26"/>
      <c r="BM3" s="4"/>
    </row>
    <row r="4" spans="1:67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222" t="s">
        <v>25</v>
      </c>
      <c r="Z4" s="36" t="s">
        <v>13</v>
      </c>
      <c r="AA4" s="36" t="s">
        <v>22</v>
      </c>
      <c r="AB4" s="41" t="s">
        <v>26</v>
      </c>
      <c r="AC4" s="36" t="s">
        <v>23</v>
      </c>
      <c r="AD4" s="37" t="s">
        <v>27</v>
      </c>
      <c r="AE4" s="22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2" t="s">
        <v>31</v>
      </c>
      <c r="AW4" s="33" t="s">
        <v>28</v>
      </c>
      <c r="AX4" s="41" t="s">
        <v>19</v>
      </c>
      <c r="AY4" s="41" t="s">
        <v>21</v>
      </c>
      <c r="AZ4" s="36" t="s">
        <v>22</v>
      </c>
      <c r="BA4" s="36" t="s">
        <v>23</v>
      </c>
      <c r="BB4" s="37" t="s">
        <v>24</v>
      </c>
      <c r="BC4" s="37" t="s">
        <v>32</v>
      </c>
      <c r="BD4" s="43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4" t="s">
        <v>39</v>
      </c>
      <c r="BK4" s="45" t="s">
        <v>40</v>
      </c>
      <c r="BM4" s="46"/>
    </row>
    <row r="5" spans="1:67" ht="20" customHeight="1" thickTop="1">
      <c r="B5" s="48">
        <f>DATE($A$2,$B$2,1)</f>
        <v>45505</v>
      </c>
      <c r="C5" s="49"/>
      <c r="D5" s="50"/>
      <c r="E5" s="51">
        <v>11</v>
      </c>
      <c r="F5" s="52">
        <v>54450</v>
      </c>
      <c r="G5" s="53">
        <f t="shared" ref="G5:G35" si="0">ROUNDDOWN(F5/1.1,0)/E5</f>
        <v>4500</v>
      </c>
      <c r="H5" s="52">
        <v>5910</v>
      </c>
      <c r="I5" s="54">
        <f t="shared" ref="I5:I35" si="1">ROUNDDOWN(H5/1.1,0)/E5</f>
        <v>488.36363636363637</v>
      </c>
      <c r="J5" s="55">
        <f t="shared" ref="J5:J35" si="2">F5+H5</f>
        <v>60360</v>
      </c>
      <c r="K5" s="56">
        <f t="shared" ref="K5:K35" si="3">IF(E5="","",J5/E5)</f>
        <v>5487.272727272727</v>
      </c>
      <c r="L5" s="57"/>
      <c r="M5" s="58">
        <f t="shared" ref="M5:N35" si="4">BD5-E5</f>
        <v>0</v>
      </c>
      <c r="N5" s="59">
        <f t="shared" si="4"/>
        <v>0</v>
      </c>
      <c r="O5" s="53" t="e">
        <f t="shared" ref="O5:O35" si="5">ROUNDDOWN(N5/1.1,0)/M5</f>
        <v>#DIV/0!</v>
      </c>
      <c r="P5" s="59">
        <f t="shared" ref="P5:P35" si="6">BF5-H5</f>
        <v>0</v>
      </c>
      <c r="Q5" s="54" t="e">
        <f t="shared" ref="Q5:Q35" si="7">ROUNDDOWN(P5/1.1,0)/M5</f>
        <v>#DIV/0!</v>
      </c>
      <c r="R5" s="60">
        <f t="shared" ref="R5:R35" si="8">N5+P5</f>
        <v>0</v>
      </c>
      <c r="S5" s="56" t="e">
        <f t="shared" ref="S5:S35" si="9">IF(M5="","",R5/M5)</f>
        <v>#DIV/0!</v>
      </c>
      <c r="T5" s="61">
        <f t="shared" ref="T5:U35" si="10">E5+M5</f>
        <v>11</v>
      </c>
      <c r="U5" s="59">
        <f t="shared" si="10"/>
        <v>54450</v>
      </c>
      <c r="V5" s="59">
        <f t="shared" ref="V5:V35" si="11">H5+P5</f>
        <v>5910</v>
      </c>
      <c r="W5" s="62">
        <f t="shared" ref="W5:W35" si="12">J5+R5</f>
        <v>60360</v>
      </c>
      <c r="X5" s="59"/>
      <c r="Y5" s="63"/>
      <c r="Z5" s="64">
        <v>20</v>
      </c>
      <c r="AA5" s="52">
        <v>10020</v>
      </c>
      <c r="AB5" s="53">
        <f t="shared" ref="AB5:AB35" si="13">AA5/Z5</f>
        <v>501</v>
      </c>
      <c r="AC5" s="52">
        <v>3490</v>
      </c>
      <c r="AD5" s="54">
        <f t="shared" ref="AD5:AD35" si="14">AC5/Z5</f>
        <v>174.5</v>
      </c>
      <c r="AE5" s="65">
        <f t="shared" ref="AE5:AE35" si="15">AA5+AC5</f>
        <v>13510</v>
      </c>
      <c r="AF5" s="56">
        <f t="shared" ref="AF5:AF35" si="16">IF(Z5="","",AE5/Z5)</f>
        <v>675.5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350</v>
      </c>
      <c r="AQ5" s="52">
        <v>1126050</v>
      </c>
      <c r="AR5" s="53">
        <f t="shared" ref="AR5:AR35" si="20">AQ5/AP5</f>
        <v>3217.2857142857142</v>
      </c>
      <c r="AS5" s="52">
        <v>575550</v>
      </c>
      <c r="AT5" s="54">
        <f t="shared" ref="AT5:AT35" si="21">AS5/AP5</f>
        <v>1644.4285714285713</v>
      </c>
      <c r="AU5" s="54">
        <v>46530</v>
      </c>
      <c r="AV5" s="54"/>
      <c r="AW5" s="69">
        <f>AQ5+AS5+AU5+AV5</f>
        <v>1748130</v>
      </c>
      <c r="AX5" s="67">
        <f t="shared" ref="AX5:AX35" si="22">IF(AP5="","",AW5/AP5)</f>
        <v>4994.6571428571433</v>
      </c>
      <c r="AY5" s="70">
        <f t="shared" ref="AY5:AY35" si="23">SUM(E5,M5)</f>
        <v>11</v>
      </c>
      <c r="AZ5" s="59">
        <f t="shared" ref="AZ5:AZ35" si="24">U5+AA5+AI5+AQ5</f>
        <v>1190520</v>
      </c>
      <c r="BA5" s="59">
        <f t="shared" ref="BA5:BA35" si="25">V5+AC5+AK5+AS5</f>
        <v>584950</v>
      </c>
      <c r="BB5" s="71">
        <f>W5+AE5+AM5+AW5</f>
        <v>1822000</v>
      </c>
      <c r="BC5" s="72">
        <f>BG5+BH5</f>
        <v>1100</v>
      </c>
      <c r="BD5" s="73">
        <v>11</v>
      </c>
      <c r="BE5" s="74">
        <v>54450</v>
      </c>
      <c r="BF5" s="74">
        <v>5910</v>
      </c>
      <c r="BG5" s="75">
        <v>1100</v>
      </c>
      <c r="BH5" s="75"/>
      <c r="BI5" s="75"/>
      <c r="BJ5" s="75"/>
      <c r="BK5" s="76">
        <f>SUM(BE5:BH5)</f>
        <v>61460</v>
      </c>
      <c r="BL5" s="47">
        <v>1</v>
      </c>
      <c r="BM5" s="77">
        <f t="shared" ref="BM5:BM35" si="26">BJ5+BK5</f>
        <v>61460</v>
      </c>
    </row>
    <row r="6" spans="1:67" ht="20" customHeight="1">
      <c r="B6" s="78">
        <f t="shared" ref="B6:B35" si="27">B5+1</f>
        <v>45506</v>
      </c>
      <c r="C6" s="79"/>
      <c r="D6" s="50"/>
      <c r="E6" s="51">
        <v>20</v>
      </c>
      <c r="F6" s="52">
        <v>76450</v>
      </c>
      <c r="G6" s="53">
        <f t="shared" si="0"/>
        <v>3475</v>
      </c>
      <c r="H6" s="52">
        <v>23030</v>
      </c>
      <c r="I6" s="54">
        <f t="shared" si="1"/>
        <v>1046.8</v>
      </c>
      <c r="J6" s="55">
        <f t="shared" si="2"/>
        <v>99480</v>
      </c>
      <c r="K6" s="56">
        <f t="shared" si="3"/>
        <v>4974</v>
      </c>
      <c r="L6" s="57"/>
      <c r="M6" s="58">
        <f t="shared" si="4"/>
        <v>6</v>
      </c>
      <c r="N6" s="59">
        <f t="shared" si="4"/>
        <v>82940</v>
      </c>
      <c r="O6" s="53">
        <f t="shared" si="5"/>
        <v>12566.666666666666</v>
      </c>
      <c r="P6" s="59">
        <f t="shared" si="6"/>
        <v>26380</v>
      </c>
      <c r="Q6" s="54">
        <f t="shared" si="7"/>
        <v>3996.8333333333335</v>
      </c>
      <c r="R6" s="60">
        <f t="shared" si="8"/>
        <v>109320</v>
      </c>
      <c r="S6" s="56">
        <f t="shared" si="9"/>
        <v>18220</v>
      </c>
      <c r="T6" s="80">
        <f t="shared" si="10"/>
        <v>26</v>
      </c>
      <c r="U6" s="59">
        <f t="shared" si="10"/>
        <v>159390</v>
      </c>
      <c r="V6" s="59">
        <f t="shared" si="11"/>
        <v>49410</v>
      </c>
      <c r="W6" s="62">
        <f t="shared" si="12"/>
        <v>208800</v>
      </c>
      <c r="X6" s="81"/>
      <c r="Y6" s="63"/>
      <c r="Z6" s="64">
        <v>23</v>
      </c>
      <c r="AA6" s="52">
        <v>14500</v>
      </c>
      <c r="AB6" s="53">
        <f t="shared" si="13"/>
        <v>630.43478260869563</v>
      </c>
      <c r="AC6" s="52">
        <v>2850</v>
      </c>
      <c r="AD6" s="54">
        <f t="shared" si="14"/>
        <v>123.91304347826087</v>
      </c>
      <c r="AE6" s="65">
        <f>AA6+AC6</f>
        <v>17350</v>
      </c>
      <c r="AF6" s="56">
        <f t="shared" si="16"/>
        <v>754.3478260869565</v>
      </c>
      <c r="AG6" s="66"/>
      <c r="AH6" s="64">
        <v>30</v>
      </c>
      <c r="AI6" s="52">
        <v>117450</v>
      </c>
      <c r="AJ6" s="53">
        <f t="shared" si="17"/>
        <v>3915</v>
      </c>
      <c r="AK6" s="52">
        <v>39150</v>
      </c>
      <c r="AL6" s="54">
        <f t="shared" si="18"/>
        <v>1305</v>
      </c>
      <c r="AM6" s="65">
        <f t="shared" ref="AM6:AM35" si="28">AI6+AK6</f>
        <v>156600</v>
      </c>
      <c r="AN6" s="67">
        <f t="shared" si="19"/>
        <v>5220</v>
      </c>
      <c r="AO6" s="68"/>
      <c r="AP6" s="64">
        <v>634</v>
      </c>
      <c r="AQ6" s="52">
        <v>2073900</v>
      </c>
      <c r="AR6" s="53">
        <f t="shared" si="20"/>
        <v>3271.1356466876973</v>
      </c>
      <c r="AS6" s="52">
        <v>1102350</v>
      </c>
      <c r="AT6" s="54">
        <f t="shared" si="21"/>
        <v>1738.7223974763408</v>
      </c>
      <c r="AU6" s="54">
        <v>17050</v>
      </c>
      <c r="AV6" s="54">
        <v>20790</v>
      </c>
      <c r="AW6" s="69">
        <f>AQ6+AS6+AU6+AV6</f>
        <v>3214090</v>
      </c>
      <c r="AX6" s="67">
        <f t="shared" si="22"/>
        <v>5069.5425867507884</v>
      </c>
      <c r="AY6" s="82">
        <f t="shared" si="23"/>
        <v>26</v>
      </c>
      <c r="AZ6" s="59">
        <f t="shared" si="24"/>
        <v>2365240</v>
      </c>
      <c r="BA6" s="59">
        <f t="shared" si="25"/>
        <v>1193760</v>
      </c>
      <c r="BB6" s="71">
        <f>W6+AE6+AM6+AW6</f>
        <v>3596840</v>
      </c>
      <c r="BC6" s="72">
        <f>BG6+BH6</f>
        <v>2200</v>
      </c>
      <c r="BD6" s="73">
        <v>26</v>
      </c>
      <c r="BE6" s="74">
        <v>159390</v>
      </c>
      <c r="BF6" s="74">
        <v>49410</v>
      </c>
      <c r="BG6" s="75"/>
      <c r="BH6" s="75">
        <v>2200</v>
      </c>
      <c r="BI6" s="75"/>
      <c r="BJ6" s="75"/>
      <c r="BK6" s="76">
        <f t="shared" ref="BK6:BK35" si="29">SUM(BE6:BH6)</f>
        <v>211000</v>
      </c>
      <c r="BL6" s="47">
        <v>2</v>
      </c>
      <c r="BM6" s="77">
        <f t="shared" si="26"/>
        <v>211000</v>
      </c>
      <c r="BO6" s="47" t="s">
        <v>41</v>
      </c>
    </row>
    <row r="7" spans="1:67" ht="20" customHeight="1">
      <c r="B7" s="78">
        <f>B6+1</f>
        <v>45507</v>
      </c>
      <c r="C7" s="79"/>
      <c r="D7" s="50"/>
      <c r="E7" s="51">
        <v>21</v>
      </c>
      <c r="F7" s="52">
        <v>91190</v>
      </c>
      <c r="G7" s="53">
        <f t="shared" si="0"/>
        <v>3947.6190476190477</v>
      </c>
      <c r="H7" s="52">
        <v>24450</v>
      </c>
      <c r="I7" s="54">
        <f t="shared" si="1"/>
        <v>1058.4285714285713</v>
      </c>
      <c r="J7" s="55">
        <f t="shared" si="2"/>
        <v>115640</v>
      </c>
      <c r="K7" s="56">
        <f t="shared" si="3"/>
        <v>5506.666666666667</v>
      </c>
      <c r="L7" s="57"/>
      <c r="M7" s="58">
        <f t="shared" si="4"/>
        <v>16</v>
      </c>
      <c r="N7" s="59">
        <f t="shared" si="4"/>
        <v>184140</v>
      </c>
      <c r="O7" s="53">
        <f t="shared" si="5"/>
        <v>10462.5</v>
      </c>
      <c r="P7" s="59">
        <f t="shared" si="6"/>
        <v>55650</v>
      </c>
      <c r="Q7" s="54">
        <f t="shared" si="7"/>
        <v>3161.875</v>
      </c>
      <c r="R7" s="60">
        <f t="shared" si="8"/>
        <v>239790</v>
      </c>
      <c r="S7" s="56">
        <f t="shared" si="9"/>
        <v>14986.875</v>
      </c>
      <c r="T7" s="80">
        <f t="shared" si="10"/>
        <v>37</v>
      </c>
      <c r="U7" s="59">
        <f t="shared" si="10"/>
        <v>275330</v>
      </c>
      <c r="V7" s="59">
        <f t="shared" si="11"/>
        <v>80100</v>
      </c>
      <c r="W7" s="62">
        <f t="shared" si="12"/>
        <v>355430</v>
      </c>
      <c r="X7" s="81"/>
      <c r="Y7" s="63"/>
      <c r="Z7" s="64">
        <v>36</v>
      </c>
      <c r="AA7" s="52">
        <v>17430</v>
      </c>
      <c r="AB7" s="53">
        <f t="shared" si="13"/>
        <v>484.16666666666669</v>
      </c>
      <c r="AC7" s="52">
        <v>2800</v>
      </c>
      <c r="AD7" s="54">
        <f t="shared" si="14"/>
        <v>77.777777777777771</v>
      </c>
      <c r="AE7" s="65">
        <f t="shared" si="15"/>
        <v>20230</v>
      </c>
      <c r="AF7" s="56">
        <f t="shared" si="16"/>
        <v>561.94444444444446</v>
      </c>
      <c r="AG7" s="66"/>
      <c r="AH7" s="64">
        <v>168</v>
      </c>
      <c r="AI7" s="52">
        <v>587250</v>
      </c>
      <c r="AJ7" s="53">
        <f t="shared" si="17"/>
        <v>3495.5357142857142</v>
      </c>
      <c r="AK7" s="52">
        <v>243972</v>
      </c>
      <c r="AL7" s="54">
        <f t="shared" si="18"/>
        <v>1452.2142857142858</v>
      </c>
      <c r="AM7" s="65">
        <f t="shared" si="28"/>
        <v>831222</v>
      </c>
      <c r="AN7" s="67">
        <f t="shared" si="19"/>
        <v>4947.75</v>
      </c>
      <c r="AO7" s="68"/>
      <c r="AP7" s="64">
        <v>689</v>
      </c>
      <c r="AQ7" s="52">
        <v>2070400</v>
      </c>
      <c r="AR7" s="53">
        <f t="shared" si="20"/>
        <v>3004.934687953556</v>
      </c>
      <c r="AS7" s="52">
        <v>1133850</v>
      </c>
      <c r="AT7" s="54">
        <f t="shared" si="21"/>
        <v>1645.6458635703918</v>
      </c>
      <c r="AU7" s="54">
        <v>96690</v>
      </c>
      <c r="AV7" s="54">
        <v>5940</v>
      </c>
      <c r="AW7" s="69">
        <f>AQ7+AS7+AU7+AV7</f>
        <v>3306880</v>
      </c>
      <c r="AX7" s="67">
        <f t="shared" si="22"/>
        <v>4799.5355587808417</v>
      </c>
      <c r="AY7" s="82">
        <f t="shared" si="23"/>
        <v>37</v>
      </c>
      <c r="AZ7" s="59">
        <f t="shared" si="24"/>
        <v>2950410</v>
      </c>
      <c r="BA7" s="59">
        <f t="shared" si="25"/>
        <v>1460722</v>
      </c>
      <c r="BB7" s="71">
        <f>W7+AE7+AM7+AW7-BN7</f>
        <v>4513762</v>
      </c>
      <c r="BC7" s="72">
        <f t="shared" ref="BC7:BC35" si="30">BG7+BH7</f>
        <v>6600</v>
      </c>
      <c r="BD7" s="73">
        <v>37</v>
      </c>
      <c r="BE7" s="74">
        <v>275330</v>
      </c>
      <c r="BF7" s="74">
        <v>80100</v>
      </c>
      <c r="BG7" s="75">
        <v>2200</v>
      </c>
      <c r="BH7" s="75">
        <v>4400</v>
      </c>
      <c r="BI7" s="75">
        <v>8300</v>
      </c>
      <c r="BJ7" s="75"/>
      <c r="BK7" s="76">
        <f t="shared" si="29"/>
        <v>362030</v>
      </c>
      <c r="BL7" s="47">
        <v>3</v>
      </c>
      <c r="BM7" s="77">
        <f t="shared" si="26"/>
        <v>362030</v>
      </c>
      <c r="BO7" s="47" t="s">
        <v>41</v>
      </c>
    </row>
    <row r="8" spans="1:67" ht="20" customHeight="1">
      <c r="B8" s="78">
        <f t="shared" si="27"/>
        <v>45508</v>
      </c>
      <c r="C8" s="79"/>
      <c r="D8" s="50"/>
      <c r="E8" s="51">
        <v>36</v>
      </c>
      <c r="F8" s="52">
        <v>159720</v>
      </c>
      <c r="G8" s="53">
        <f t="shared" si="0"/>
        <v>4033.3333333333335</v>
      </c>
      <c r="H8" s="52">
        <v>37650</v>
      </c>
      <c r="I8" s="54">
        <f t="shared" si="1"/>
        <v>950.75</v>
      </c>
      <c r="J8" s="55">
        <f t="shared" si="2"/>
        <v>197370</v>
      </c>
      <c r="K8" s="56">
        <f t="shared" si="3"/>
        <v>5482.5</v>
      </c>
      <c r="L8" s="57"/>
      <c r="M8" s="58">
        <f t="shared" si="4"/>
        <v>22</v>
      </c>
      <c r="N8" s="59">
        <f t="shared" si="4"/>
        <v>220660</v>
      </c>
      <c r="O8" s="53">
        <f t="shared" si="5"/>
        <v>9118.181818181818</v>
      </c>
      <c r="P8" s="59">
        <f t="shared" si="6"/>
        <v>51720</v>
      </c>
      <c r="Q8" s="54">
        <f t="shared" si="7"/>
        <v>2137.181818181818</v>
      </c>
      <c r="R8" s="60">
        <f t="shared" si="8"/>
        <v>272380</v>
      </c>
      <c r="S8" s="56">
        <f t="shared" si="9"/>
        <v>12380.90909090909</v>
      </c>
      <c r="T8" s="80">
        <f t="shared" si="10"/>
        <v>58</v>
      </c>
      <c r="U8" s="59">
        <f t="shared" si="10"/>
        <v>380380</v>
      </c>
      <c r="V8" s="59">
        <f t="shared" si="11"/>
        <v>89370</v>
      </c>
      <c r="W8" s="62">
        <f t="shared" si="12"/>
        <v>469750</v>
      </c>
      <c r="X8" s="81"/>
      <c r="Y8" s="63"/>
      <c r="Z8" s="64">
        <v>32</v>
      </c>
      <c r="AA8" s="52">
        <v>16550</v>
      </c>
      <c r="AB8" s="53">
        <f t="shared" si="13"/>
        <v>517.1875</v>
      </c>
      <c r="AC8" s="52">
        <v>3720</v>
      </c>
      <c r="AD8" s="54">
        <f t="shared" si="14"/>
        <v>116.25</v>
      </c>
      <c r="AE8" s="65">
        <f t="shared" si="15"/>
        <v>20270</v>
      </c>
      <c r="AF8" s="56">
        <f t="shared" si="16"/>
        <v>633.4375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8"/>
        <v>0</v>
      </c>
      <c r="AN8" s="67" t="str">
        <f t="shared" si="19"/>
        <v/>
      </c>
      <c r="AO8" s="68"/>
      <c r="AP8" s="64">
        <v>445</v>
      </c>
      <c r="AQ8" s="52">
        <v>1310550</v>
      </c>
      <c r="AR8" s="53">
        <f t="shared" si="20"/>
        <v>2945.0561797752807</v>
      </c>
      <c r="AS8" s="52">
        <v>665150</v>
      </c>
      <c r="AT8" s="54">
        <f t="shared" si="21"/>
        <v>1494.7191011235955</v>
      </c>
      <c r="AU8" s="54">
        <v>29590</v>
      </c>
      <c r="AV8" s="54"/>
      <c r="AW8" s="69">
        <f t="shared" ref="AW8:AW16" si="31">AQ8+AS8+AU8+AV8</f>
        <v>2005290</v>
      </c>
      <c r="AX8" s="67">
        <f t="shared" si="22"/>
        <v>4506.2696629213488</v>
      </c>
      <c r="AY8" s="82">
        <f t="shared" si="23"/>
        <v>58</v>
      </c>
      <c r="AZ8" s="59">
        <f t="shared" si="24"/>
        <v>1707480</v>
      </c>
      <c r="BA8" s="59">
        <f t="shared" si="25"/>
        <v>758240</v>
      </c>
      <c r="BB8" s="71">
        <f>W8+AE8+AM8+AW8-BN8</f>
        <v>2493198</v>
      </c>
      <c r="BC8" s="72">
        <f t="shared" si="30"/>
        <v>7150</v>
      </c>
      <c r="BD8" s="73">
        <v>58</v>
      </c>
      <c r="BE8" s="74">
        <v>380380</v>
      </c>
      <c r="BF8" s="74">
        <v>89370</v>
      </c>
      <c r="BG8" s="75">
        <v>6050</v>
      </c>
      <c r="BH8" s="75">
        <v>1100</v>
      </c>
      <c r="BI8" s="75">
        <v>5000</v>
      </c>
      <c r="BJ8" s="75"/>
      <c r="BK8" s="76">
        <f t="shared" si="29"/>
        <v>476900</v>
      </c>
      <c r="BL8" s="47">
        <v>4</v>
      </c>
      <c r="BM8" s="77">
        <f t="shared" si="26"/>
        <v>476900</v>
      </c>
      <c r="BN8" s="47">
        <v>2112</v>
      </c>
    </row>
    <row r="9" spans="1:67" ht="20" customHeight="1">
      <c r="B9" s="78">
        <f t="shared" si="27"/>
        <v>45509</v>
      </c>
      <c r="C9" s="79"/>
      <c r="D9" s="50"/>
      <c r="E9" s="51">
        <v>8</v>
      </c>
      <c r="F9" s="52">
        <v>27170</v>
      </c>
      <c r="G9" s="53">
        <f t="shared" si="0"/>
        <v>3087.5</v>
      </c>
      <c r="H9" s="52">
        <v>1760</v>
      </c>
      <c r="I9" s="54">
        <f t="shared" si="1"/>
        <v>200</v>
      </c>
      <c r="J9" s="55">
        <f t="shared" si="2"/>
        <v>28930</v>
      </c>
      <c r="K9" s="56">
        <f t="shared" si="3"/>
        <v>3616.25</v>
      </c>
      <c r="L9" s="57"/>
      <c r="M9" s="58">
        <f t="shared" si="4"/>
        <v>15</v>
      </c>
      <c r="N9" s="59">
        <f t="shared" si="4"/>
        <v>171930</v>
      </c>
      <c r="O9" s="53">
        <f t="shared" si="5"/>
        <v>10420</v>
      </c>
      <c r="P9" s="59">
        <f t="shared" si="6"/>
        <v>73650</v>
      </c>
      <c r="Q9" s="54">
        <f t="shared" si="7"/>
        <v>4463.6000000000004</v>
      </c>
      <c r="R9" s="60">
        <f t="shared" si="8"/>
        <v>245580</v>
      </c>
      <c r="S9" s="56">
        <f t="shared" si="9"/>
        <v>16372</v>
      </c>
      <c r="T9" s="80">
        <f t="shared" si="10"/>
        <v>23</v>
      </c>
      <c r="U9" s="59">
        <f t="shared" si="10"/>
        <v>199100</v>
      </c>
      <c r="V9" s="59">
        <f t="shared" si="11"/>
        <v>75410</v>
      </c>
      <c r="W9" s="62">
        <f t="shared" si="12"/>
        <v>274510</v>
      </c>
      <c r="X9" s="81"/>
      <c r="Y9" s="63"/>
      <c r="Z9" s="64">
        <v>12</v>
      </c>
      <c r="AA9" s="52">
        <v>9160</v>
      </c>
      <c r="AB9" s="53">
        <f t="shared" si="13"/>
        <v>763.33333333333337</v>
      </c>
      <c r="AC9" s="52">
        <v>3200</v>
      </c>
      <c r="AD9" s="54">
        <f t="shared" si="14"/>
        <v>266.66666666666669</v>
      </c>
      <c r="AE9" s="65">
        <f t="shared" si="15"/>
        <v>12360</v>
      </c>
      <c r="AF9" s="56">
        <f t="shared" si="16"/>
        <v>1030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8"/>
        <v>0</v>
      </c>
      <c r="AN9" s="67" t="str">
        <f t="shared" si="19"/>
        <v/>
      </c>
      <c r="AO9" s="68"/>
      <c r="AP9" s="64">
        <v>389</v>
      </c>
      <c r="AQ9" s="52">
        <v>1000400</v>
      </c>
      <c r="AR9" s="53">
        <f t="shared" si="20"/>
        <v>2571.7223650385604</v>
      </c>
      <c r="AS9" s="52">
        <v>495400</v>
      </c>
      <c r="AT9" s="54">
        <f t="shared" si="21"/>
        <v>1273.521850899743</v>
      </c>
      <c r="AU9" s="54">
        <v>23210</v>
      </c>
      <c r="AV9" s="54">
        <v>2970</v>
      </c>
      <c r="AW9" s="69">
        <f t="shared" si="31"/>
        <v>1521980</v>
      </c>
      <c r="AX9" s="67">
        <f>IF(AP9="","",AW9/AP9)</f>
        <v>3912.5449871465294</v>
      </c>
      <c r="AY9" s="82">
        <f t="shared" si="23"/>
        <v>23</v>
      </c>
      <c r="AZ9" s="59">
        <f t="shared" si="24"/>
        <v>1208660</v>
      </c>
      <c r="BA9" s="59">
        <f t="shared" si="25"/>
        <v>574010</v>
      </c>
      <c r="BB9" s="71">
        <f>W9+AE9+AM9+AW9</f>
        <v>1808850</v>
      </c>
      <c r="BC9" s="72">
        <f t="shared" si="30"/>
        <v>4400</v>
      </c>
      <c r="BD9" s="73">
        <v>23</v>
      </c>
      <c r="BE9" s="74">
        <v>199100</v>
      </c>
      <c r="BF9" s="74">
        <v>75410</v>
      </c>
      <c r="BG9" s="75">
        <v>4400</v>
      </c>
      <c r="BH9" s="75"/>
      <c r="BI9" s="75"/>
      <c r="BJ9" s="75"/>
      <c r="BK9" s="76">
        <f t="shared" si="29"/>
        <v>278910</v>
      </c>
      <c r="BL9" s="47">
        <v>5</v>
      </c>
      <c r="BM9" s="77">
        <f t="shared" si="26"/>
        <v>278910</v>
      </c>
    </row>
    <row r="10" spans="1:67" ht="20" customHeight="1">
      <c r="B10" s="78">
        <f t="shared" si="27"/>
        <v>45510</v>
      </c>
      <c r="C10" s="79"/>
      <c r="D10" s="50"/>
      <c r="E10" s="51">
        <v>21</v>
      </c>
      <c r="F10" s="52">
        <v>70510</v>
      </c>
      <c r="G10" s="53">
        <f t="shared" si="0"/>
        <v>3052.3809523809523</v>
      </c>
      <c r="H10" s="52">
        <v>9110</v>
      </c>
      <c r="I10" s="54">
        <f t="shared" si="1"/>
        <v>394.33333333333331</v>
      </c>
      <c r="J10" s="55">
        <f t="shared" si="2"/>
        <v>79620</v>
      </c>
      <c r="K10" s="56">
        <f t="shared" si="3"/>
        <v>3791.4285714285716</v>
      </c>
      <c r="L10" s="57"/>
      <c r="M10" s="58">
        <f t="shared" si="4"/>
        <v>5</v>
      </c>
      <c r="N10" s="59">
        <f t="shared" si="4"/>
        <v>43340</v>
      </c>
      <c r="O10" s="53">
        <f t="shared" si="5"/>
        <v>7880</v>
      </c>
      <c r="P10" s="59">
        <f t="shared" si="6"/>
        <v>9900</v>
      </c>
      <c r="Q10" s="54">
        <f t="shared" si="7"/>
        <v>1800</v>
      </c>
      <c r="R10" s="60">
        <f t="shared" si="8"/>
        <v>53240</v>
      </c>
      <c r="S10" s="56">
        <f t="shared" si="9"/>
        <v>10648</v>
      </c>
      <c r="T10" s="80">
        <f t="shared" si="10"/>
        <v>26</v>
      </c>
      <c r="U10" s="59">
        <f t="shared" si="10"/>
        <v>113850</v>
      </c>
      <c r="V10" s="59">
        <f t="shared" si="11"/>
        <v>19010</v>
      </c>
      <c r="W10" s="62">
        <f t="shared" si="12"/>
        <v>132860</v>
      </c>
      <c r="X10" s="81"/>
      <c r="Y10" s="63"/>
      <c r="Z10" s="64">
        <v>8</v>
      </c>
      <c r="AA10" s="52">
        <v>5740</v>
      </c>
      <c r="AB10" s="53">
        <f t="shared" si="13"/>
        <v>717.5</v>
      </c>
      <c r="AC10" s="52">
        <v>2400</v>
      </c>
      <c r="AD10" s="54">
        <f t="shared" si="14"/>
        <v>300</v>
      </c>
      <c r="AE10" s="65">
        <f t="shared" si="15"/>
        <v>8140</v>
      </c>
      <c r="AF10" s="56">
        <f t="shared" si="16"/>
        <v>1017.5</v>
      </c>
      <c r="AG10" s="66"/>
      <c r="AH10" s="64">
        <v>12</v>
      </c>
      <c r="AI10" s="52">
        <v>46980</v>
      </c>
      <c r="AJ10" s="53">
        <f t="shared" si="17"/>
        <v>3915</v>
      </c>
      <c r="AK10" s="52">
        <v>15660</v>
      </c>
      <c r="AL10" s="54">
        <f t="shared" si="18"/>
        <v>1305</v>
      </c>
      <c r="AM10" s="65">
        <f t="shared" si="28"/>
        <v>62640</v>
      </c>
      <c r="AN10" s="67">
        <f t="shared" si="19"/>
        <v>5220</v>
      </c>
      <c r="AO10" s="68"/>
      <c r="AP10" s="64">
        <v>565</v>
      </c>
      <c r="AQ10" s="52">
        <v>1517600</v>
      </c>
      <c r="AR10" s="53">
        <f t="shared" si="20"/>
        <v>2686.0176991150443</v>
      </c>
      <c r="AS10" s="52">
        <v>803450</v>
      </c>
      <c r="AT10" s="54">
        <f t="shared" si="21"/>
        <v>1422.0353982300885</v>
      </c>
      <c r="AU10" s="54">
        <v>33220</v>
      </c>
      <c r="AV10" s="54"/>
      <c r="AW10" s="69">
        <f t="shared" si="31"/>
        <v>2354270</v>
      </c>
      <c r="AX10" s="67">
        <f t="shared" si="22"/>
        <v>4166.8495575221241</v>
      </c>
      <c r="AY10" s="82">
        <f t="shared" si="23"/>
        <v>26</v>
      </c>
      <c r="AZ10" s="59">
        <f t="shared" si="24"/>
        <v>1684170</v>
      </c>
      <c r="BA10" s="59">
        <f t="shared" si="25"/>
        <v>840520</v>
      </c>
      <c r="BB10" s="71">
        <f t="shared" ref="BB10:BB30" si="32">W10+AE10+AM10+AW10</f>
        <v>2557910</v>
      </c>
      <c r="BC10" s="72">
        <f t="shared" si="30"/>
        <v>1650</v>
      </c>
      <c r="BD10" s="73">
        <v>26</v>
      </c>
      <c r="BE10" s="74">
        <v>113850</v>
      </c>
      <c r="BF10" s="74">
        <v>19010</v>
      </c>
      <c r="BG10" s="75">
        <v>1650</v>
      </c>
      <c r="BH10" s="75"/>
      <c r="BI10" s="75"/>
      <c r="BJ10" s="75"/>
      <c r="BK10" s="76">
        <f t="shared" si="29"/>
        <v>134510</v>
      </c>
      <c r="BL10" s="47">
        <v>6</v>
      </c>
      <c r="BM10" s="77">
        <f t="shared" si="26"/>
        <v>134510</v>
      </c>
      <c r="BO10" s="47" t="s">
        <v>41</v>
      </c>
    </row>
    <row r="11" spans="1:67" ht="20" customHeight="1">
      <c r="B11" s="78">
        <f t="shared" si="27"/>
        <v>45511</v>
      </c>
      <c r="C11" s="79"/>
      <c r="D11" s="50"/>
      <c r="E11" s="51">
        <v>31</v>
      </c>
      <c r="F11" s="52">
        <v>115940</v>
      </c>
      <c r="G11" s="53">
        <f t="shared" si="0"/>
        <v>3400</v>
      </c>
      <c r="H11" s="52">
        <v>15550</v>
      </c>
      <c r="I11" s="54">
        <f t="shared" si="1"/>
        <v>456</v>
      </c>
      <c r="J11" s="55">
        <f t="shared" si="2"/>
        <v>131490</v>
      </c>
      <c r="K11" s="56">
        <f t="shared" si="3"/>
        <v>4241.6129032258068</v>
      </c>
      <c r="L11" s="57"/>
      <c r="M11" s="58">
        <f t="shared" si="4"/>
        <v>10</v>
      </c>
      <c r="N11" s="59">
        <f t="shared" si="4"/>
        <v>116160</v>
      </c>
      <c r="O11" s="53">
        <f t="shared" si="5"/>
        <v>10560</v>
      </c>
      <c r="P11" s="59">
        <f t="shared" si="6"/>
        <v>45590</v>
      </c>
      <c r="Q11" s="54">
        <f t="shared" si="7"/>
        <v>4144.5</v>
      </c>
      <c r="R11" s="60">
        <f t="shared" si="8"/>
        <v>161750</v>
      </c>
      <c r="S11" s="56">
        <f t="shared" si="9"/>
        <v>16175</v>
      </c>
      <c r="T11" s="80">
        <f t="shared" si="10"/>
        <v>41</v>
      </c>
      <c r="U11" s="59">
        <f t="shared" si="10"/>
        <v>232100</v>
      </c>
      <c r="V11" s="59">
        <f t="shared" si="11"/>
        <v>61140</v>
      </c>
      <c r="W11" s="62">
        <f t="shared" si="12"/>
        <v>293240</v>
      </c>
      <c r="X11" s="81"/>
      <c r="Y11" s="63"/>
      <c r="Z11" s="64">
        <v>20</v>
      </c>
      <c r="AA11" s="52">
        <v>9720</v>
      </c>
      <c r="AB11" s="53">
        <f t="shared" si="13"/>
        <v>486</v>
      </c>
      <c r="AC11" s="52">
        <v>0</v>
      </c>
      <c r="AD11" s="54">
        <f t="shared" si="14"/>
        <v>0</v>
      </c>
      <c r="AE11" s="65">
        <f t="shared" si="15"/>
        <v>9720</v>
      </c>
      <c r="AF11" s="56">
        <f t="shared" si="16"/>
        <v>486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8"/>
        <v>0</v>
      </c>
      <c r="AN11" s="67" t="str">
        <f t="shared" si="19"/>
        <v/>
      </c>
      <c r="AO11" s="68"/>
      <c r="AP11" s="64">
        <v>573</v>
      </c>
      <c r="AQ11" s="52">
        <v>1792600</v>
      </c>
      <c r="AR11" s="53">
        <f t="shared" si="20"/>
        <v>3128.4467713787085</v>
      </c>
      <c r="AS11" s="52">
        <v>926200</v>
      </c>
      <c r="AT11" s="54">
        <f t="shared" si="21"/>
        <v>1616.4048865619545</v>
      </c>
      <c r="AU11" s="54">
        <v>49390</v>
      </c>
      <c r="AV11" s="54">
        <v>8910</v>
      </c>
      <c r="AW11" s="69">
        <f t="shared" si="31"/>
        <v>2777100</v>
      </c>
      <c r="AX11" s="67">
        <f t="shared" si="22"/>
        <v>4846.5968586387435</v>
      </c>
      <c r="AY11" s="82">
        <f t="shared" si="23"/>
        <v>41</v>
      </c>
      <c r="AZ11" s="59">
        <f t="shared" si="24"/>
        <v>2034420</v>
      </c>
      <c r="BA11" s="59">
        <f t="shared" si="25"/>
        <v>987340</v>
      </c>
      <c r="BB11" s="71">
        <f t="shared" si="32"/>
        <v>3080060</v>
      </c>
      <c r="BC11" s="72">
        <f t="shared" si="30"/>
        <v>0</v>
      </c>
      <c r="BD11" s="73">
        <v>41</v>
      </c>
      <c r="BE11" s="74">
        <v>232100</v>
      </c>
      <c r="BF11" s="74">
        <v>61140</v>
      </c>
      <c r="BG11" s="75"/>
      <c r="BH11" s="75"/>
      <c r="BI11" s="75"/>
      <c r="BJ11" s="75"/>
      <c r="BK11" s="76">
        <f t="shared" si="29"/>
        <v>293240</v>
      </c>
      <c r="BL11" s="47">
        <v>7</v>
      </c>
      <c r="BM11" s="77">
        <f t="shared" si="26"/>
        <v>293240</v>
      </c>
    </row>
    <row r="12" spans="1:67" ht="20" customHeight="1">
      <c r="B12" s="78">
        <f t="shared" si="27"/>
        <v>45512</v>
      </c>
      <c r="C12" s="83"/>
      <c r="D12" s="50"/>
      <c r="E12" s="51">
        <v>22</v>
      </c>
      <c r="F12" s="52">
        <v>116050</v>
      </c>
      <c r="G12" s="53">
        <f t="shared" si="0"/>
        <v>4795.454545454545</v>
      </c>
      <c r="H12" s="52">
        <v>17450</v>
      </c>
      <c r="I12" s="54">
        <f t="shared" si="1"/>
        <v>721.0454545454545</v>
      </c>
      <c r="J12" s="55">
        <f t="shared" si="2"/>
        <v>133500</v>
      </c>
      <c r="K12" s="56">
        <f t="shared" si="3"/>
        <v>6068.181818181818</v>
      </c>
      <c r="L12" s="57"/>
      <c r="M12" s="58">
        <f t="shared" si="4"/>
        <v>22</v>
      </c>
      <c r="N12" s="59">
        <f t="shared" si="4"/>
        <v>227370</v>
      </c>
      <c r="O12" s="53">
        <f t="shared" si="5"/>
        <v>9395.454545454546</v>
      </c>
      <c r="P12" s="59">
        <f t="shared" si="6"/>
        <v>32970</v>
      </c>
      <c r="Q12" s="84">
        <f t="shared" si="7"/>
        <v>1362.3636363636363</v>
      </c>
      <c r="R12" s="60">
        <f t="shared" si="8"/>
        <v>260340</v>
      </c>
      <c r="S12" s="56">
        <f t="shared" si="9"/>
        <v>11833.636363636364</v>
      </c>
      <c r="T12" s="80">
        <f t="shared" si="10"/>
        <v>44</v>
      </c>
      <c r="U12" s="59">
        <f t="shared" si="10"/>
        <v>343420</v>
      </c>
      <c r="V12" s="59">
        <f t="shared" si="11"/>
        <v>50420</v>
      </c>
      <c r="W12" s="62">
        <f t="shared" si="12"/>
        <v>393840</v>
      </c>
      <c r="X12" s="81"/>
      <c r="Y12" s="63"/>
      <c r="Z12" s="64">
        <v>38</v>
      </c>
      <c r="AA12" s="52">
        <v>18900</v>
      </c>
      <c r="AB12" s="53">
        <f t="shared" si="13"/>
        <v>497.36842105263156</v>
      </c>
      <c r="AC12" s="52">
        <v>3200</v>
      </c>
      <c r="AD12" s="54">
        <f t="shared" si="14"/>
        <v>84.21052631578948</v>
      </c>
      <c r="AE12" s="65">
        <f t="shared" si="15"/>
        <v>22100</v>
      </c>
      <c r="AF12" s="56">
        <f t="shared" si="16"/>
        <v>581.57894736842104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8"/>
        <v>0</v>
      </c>
      <c r="AN12" s="67" t="str">
        <f t="shared" si="19"/>
        <v/>
      </c>
      <c r="AO12" s="68"/>
      <c r="AP12" s="64">
        <v>548</v>
      </c>
      <c r="AQ12" s="52">
        <v>1461350</v>
      </c>
      <c r="AR12" s="53">
        <f t="shared" si="20"/>
        <v>2666.6970802919709</v>
      </c>
      <c r="AS12" s="52">
        <v>755400</v>
      </c>
      <c r="AT12" s="54">
        <f t="shared" si="21"/>
        <v>1378.4671532846714</v>
      </c>
      <c r="AU12" s="54">
        <v>26400</v>
      </c>
      <c r="AV12" s="54"/>
      <c r="AW12" s="69">
        <f t="shared" si="31"/>
        <v>2243150</v>
      </c>
      <c r="AX12" s="67">
        <f t="shared" si="22"/>
        <v>4093.3394160583944</v>
      </c>
      <c r="AY12" s="82">
        <f t="shared" si="23"/>
        <v>44</v>
      </c>
      <c r="AZ12" s="59">
        <f t="shared" si="24"/>
        <v>1823670</v>
      </c>
      <c r="BA12" s="59">
        <f t="shared" si="25"/>
        <v>809020</v>
      </c>
      <c r="BB12" s="71">
        <f t="shared" si="32"/>
        <v>2659090</v>
      </c>
      <c r="BC12" s="72">
        <f t="shared" si="30"/>
        <v>9900</v>
      </c>
      <c r="BD12" s="73">
        <v>44</v>
      </c>
      <c r="BE12" s="74">
        <v>343420</v>
      </c>
      <c r="BF12" s="74">
        <v>50420</v>
      </c>
      <c r="BG12" s="75">
        <v>7150</v>
      </c>
      <c r="BH12" s="75">
        <v>2750</v>
      </c>
      <c r="BI12" s="75"/>
      <c r="BJ12" s="75"/>
      <c r="BK12" s="76">
        <f t="shared" si="29"/>
        <v>403740</v>
      </c>
      <c r="BL12" s="47">
        <v>8</v>
      </c>
      <c r="BM12" s="77">
        <f t="shared" si="26"/>
        <v>403740</v>
      </c>
    </row>
    <row r="13" spans="1:67" ht="20" customHeight="1">
      <c r="B13" s="78">
        <f t="shared" si="27"/>
        <v>45513</v>
      </c>
      <c r="C13" s="79"/>
      <c r="D13" s="50"/>
      <c r="E13" s="51">
        <v>29</v>
      </c>
      <c r="F13" s="52">
        <v>111880</v>
      </c>
      <c r="G13" s="53">
        <f t="shared" si="0"/>
        <v>3507.2068965517242</v>
      </c>
      <c r="H13" s="52">
        <v>16320</v>
      </c>
      <c r="I13" s="54">
        <f t="shared" si="1"/>
        <v>511.58620689655174</v>
      </c>
      <c r="J13" s="55">
        <f t="shared" si="2"/>
        <v>128200</v>
      </c>
      <c r="K13" s="56">
        <f t="shared" si="3"/>
        <v>4420.6896551724139</v>
      </c>
      <c r="L13" s="57"/>
      <c r="M13" s="58">
        <f t="shared" si="4"/>
        <v>12</v>
      </c>
      <c r="N13" s="59">
        <f t="shared" si="4"/>
        <v>90970</v>
      </c>
      <c r="O13" s="53">
        <f t="shared" si="5"/>
        <v>6891.666666666667</v>
      </c>
      <c r="P13" s="59">
        <f t="shared" si="6"/>
        <v>14080</v>
      </c>
      <c r="Q13" s="54">
        <f t="shared" si="7"/>
        <v>1066.6666666666667</v>
      </c>
      <c r="R13" s="60">
        <f t="shared" si="8"/>
        <v>105050</v>
      </c>
      <c r="S13" s="56">
        <f t="shared" si="9"/>
        <v>8754.1666666666661</v>
      </c>
      <c r="T13" s="80">
        <f t="shared" si="10"/>
        <v>41</v>
      </c>
      <c r="U13" s="59">
        <f t="shared" si="10"/>
        <v>202850</v>
      </c>
      <c r="V13" s="59">
        <f t="shared" si="11"/>
        <v>30400</v>
      </c>
      <c r="W13" s="62">
        <f t="shared" si="12"/>
        <v>233250</v>
      </c>
      <c r="X13" s="81"/>
      <c r="Y13" s="63"/>
      <c r="Z13" s="64">
        <v>11</v>
      </c>
      <c r="AA13" s="52">
        <v>7460</v>
      </c>
      <c r="AB13" s="53">
        <f t="shared" si="13"/>
        <v>678.18181818181813</v>
      </c>
      <c r="AC13" s="52">
        <v>2200</v>
      </c>
      <c r="AD13" s="54">
        <f t="shared" si="14"/>
        <v>200</v>
      </c>
      <c r="AE13" s="65">
        <f t="shared" si="15"/>
        <v>9660</v>
      </c>
      <c r="AF13" s="56">
        <f t="shared" si="16"/>
        <v>878.18181818181813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8"/>
        <v>0</v>
      </c>
      <c r="AN13" s="67" t="str">
        <f t="shared" si="19"/>
        <v/>
      </c>
      <c r="AO13" s="68"/>
      <c r="AP13" s="64">
        <v>538</v>
      </c>
      <c r="AQ13" s="52">
        <v>1659800</v>
      </c>
      <c r="AR13" s="53">
        <f t="shared" si="20"/>
        <v>3085.1301115241636</v>
      </c>
      <c r="AS13" s="52">
        <v>891950</v>
      </c>
      <c r="AT13" s="54">
        <f t="shared" si="21"/>
        <v>1657.899628252788</v>
      </c>
      <c r="AU13" s="54">
        <v>52140</v>
      </c>
      <c r="AV13" s="54">
        <v>8910</v>
      </c>
      <c r="AW13" s="69">
        <f>AQ13+AS13+AU13+AV13-BN13</f>
        <v>2608360</v>
      </c>
      <c r="AX13" s="67">
        <f t="shared" si="22"/>
        <v>4848.2527881040896</v>
      </c>
      <c r="AY13" s="82">
        <f t="shared" si="23"/>
        <v>41</v>
      </c>
      <c r="AZ13" s="59">
        <f t="shared" si="24"/>
        <v>1870110</v>
      </c>
      <c r="BA13" s="59">
        <f t="shared" si="25"/>
        <v>924550</v>
      </c>
      <c r="BB13" s="71">
        <f t="shared" si="32"/>
        <v>2851270</v>
      </c>
      <c r="BC13" s="72">
        <f t="shared" si="30"/>
        <v>1650</v>
      </c>
      <c r="BD13" s="73">
        <v>41</v>
      </c>
      <c r="BE13" s="74">
        <v>202850</v>
      </c>
      <c r="BF13" s="74">
        <v>30400</v>
      </c>
      <c r="BG13" s="75">
        <v>1650</v>
      </c>
      <c r="BH13" s="75"/>
      <c r="BI13" s="75">
        <v>3300</v>
      </c>
      <c r="BJ13" s="75"/>
      <c r="BK13" s="76">
        <f t="shared" si="29"/>
        <v>234900</v>
      </c>
      <c r="BL13" s="47">
        <v>9</v>
      </c>
      <c r="BM13" s="77">
        <f t="shared" si="26"/>
        <v>234900</v>
      </c>
      <c r="BN13" s="47">
        <v>4440</v>
      </c>
    </row>
    <row r="14" spans="1:67" ht="20" customHeight="1">
      <c r="B14" s="78">
        <f t="shared" si="27"/>
        <v>45514</v>
      </c>
      <c r="C14" s="79"/>
      <c r="D14" s="50"/>
      <c r="E14" s="51">
        <v>15</v>
      </c>
      <c r="F14" s="52">
        <v>71280</v>
      </c>
      <c r="G14" s="53">
        <f t="shared" si="0"/>
        <v>4320</v>
      </c>
      <c r="H14" s="52">
        <v>20280</v>
      </c>
      <c r="I14" s="54">
        <f t="shared" si="1"/>
        <v>1229.0666666666666</v>
      </c>
      <c r="J14" s="55">
        <f t="shared" si="2"/>
        <v>91560</v>
      </c>
      <c r="K14" s="56">
        <f t="shared" si="3"/>
        <v>6104</v>
      </c>
      <c r="L14" s="57"/>
      <c r="M14" s="58">
        <f t="shared" si="4"/>
        <v>23</v>
      </c>
      <c r="N14" s="59">
        <f t="shared" si="4"/>
        <v>232960</v>
      </c>
      <c r="O14" s="53">
        <f t="shared" si="5"/>
        <v>9207.8695652173919</v>
      </c>
      <c r="P14" s="59">
        <f t="shared" si="6"/>
        <v>56560</v>
      </c>
      <c r="Q14" s="54">
        <f t="shared" si="7"/>
        <v>2235.5652173913045</v>
      </c>
      <c r="R14" s="60">
        <f t="shared" si="8"/>
        <v>289520</v>
      </c>
      <c r="S14" s="56">
        <f t="shared" si="9"/>
        <v>12587.826086956522</v>
      </c>
      <c r="T14" s="80">
        <f t="shared" si="10"/>
        <v>38</v>
      </c>
      <c r="U14" s="59">
        <f t="shared" si="10"/>
        <v>304240</v>
      </c>
      <c r="V14" s="59">
        <f t="shared" si="11"/>
        <v>76840</v>
      </c>
      <c r="W14" s="62">
        <f t="shared" si="12"/>
        <v>381080</v>
      </c>
      <c r="X14" s="81"/>
      <c r="Y14" s="63"/>
      <c r="Z14" s="64">
        <v>12</v>
      </c>
      <c r="AA14" s="52">
        <v>7570</v>
      </c>
      <c r="AB14" s="53">
        <f t="shared" si="13"/>
        <v>630.83333333333337</v>
      </c>
      <c r="AC14" s="52">
        <v>2270</v>
      </c>
      <c r="AD14" s="54">
        <f t="shared" si="14"/>
        <v>189.16666666666666</v>
      </c>
      <c r="AE14" s="65">
        <f t="shared" si="15"/>
        <v>9840</v>
      </c>
      <c r="AF14" s="56">
        <f t="shared" si="16"/>
        <v>820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8"/>
        <v>0</v>
      </c>
      <c r="AN14" s="67" t="str">
        <f t="shared" si="19"/>
        <v/>
      </c>
      <c r="AO14" s="68"/>
      <c r="AP14" s="64">
        <v>557</v>
      </c>
      <c r="AQ14" s="52">
        <v>1645950</v>
      </c>
      <c r="AR14" s="53">
        <f t="shared" si="20"/>
        <v>2955.0269299820466</v>
      </c>
      <c r="AS14" s="52">
        <v>885510</v>
      </c>
      <c r="AT14" s="54">
        <f t="shared" si="21"/>
        <v>1589.7845601436265</v>
      </c>
      <c r="AU14" s="54">
        <v>62920</v>
      </c>
      <c r="AV14" s="54"/>
      <c r="AW14" s="69">
        <f t="shared" si="31"/>
        <v>2594380</v>
      </c>
      <c r="AX14" s="67">
        <f t="shared" si="22"/>
        <v>4657.7737881508083</v>
      </c>
      <c r="AY14" s="82">
        <f t="shared" si="23"/>
        <v>38</v>
      </c>
      <c r="AZ14" s="59">
        <f t="shared" si="24"/>
        <v>1957760</v>
      </c>
      <c r="BA14" s="59">
        <f t="shared" si="25"/>
        <v>964620</v>
      </c>
      <c r="BB14" s="71">
        <f>W14+AE14+AM14+AW14-BN14</f>
        <v>2985300</v>
      </c>
      <c r="BC14" s="72">
        <f t="shared" si="30"/>
        <v>3300</v>
      </c>
      <c r="BD14" s="73">
        <v>38</v>
      </c>
      <c r="BE14" s="74">
        <v>304240</v>
      </c>
      <c r="BF14" s="74">
        <v>76840</v>
      </c>
      <c r="BG14" s="75">
        <v>3300</v>
      </c>
      <c r="BH14" s="75"/>
      <c r="BI14" s="75">
        <v>5000</v>
      </c>
      <c r="BJ14" s="75"/>
      <c r="BK14" s="76">
        <f t="shared" si="29"/>
        <v>384380</v>
      </c>
      <c r="BL14" s="47">
        <v>10</v>
      </c>
      <c r="BM14" s="77">
        <f t="shared" si="26"/>
        <v>384380</v>
      </c>
    </row>
    <row r="15" spans="1:67" ht="20" customHeight="1">
      <c r="B15" s="78">
        <f t="shared" si="27"/>
        <v>45515</v>
      </c>
      <c r="C15" s="83"/>
      <c r="D15" s="50"/>
      <c r="E15" s="51">
        <v>21</v>
      </c>
      <c r="F15" s="52">
        <v>81950</v>
      </c>
      <c r="G15" s="53">
        <f t="shared" si="0"/>
        <v>3547.6190476190477</v>
      </c>
      <c r="H15" s="52">
        <v>12140</v>
      </c>
      <c r="I15" s="54">
        <f t="shared" si="1"/>
        <v>525.52380952380952</v>
      </c>
      <c r="J15" s="55">
        <f t="shared" si="2"/>
        <v>94090</v>
      </c>
      <c r="K15" s="56">
        <f t="shared" si="3"/>
        <v>4480.4761904761908</v>
      </c>
      <c r="L15" s="57"/>
      <c r="M15" s="58">
        <f t="shared" si="4"/>
        <v>22</v>
      </c>
      <c r="N15" s="59">
        <f t="shared" si="4"/>
        <v>223080</v>
      </c>
      <c r="O15" s="53">
        <f t="shared" si="5"/>
        <v>9218.181818181818</v>
      </c>
      <c r="P15" s="59">
        <f t="shared" si="6"/>
        <v>53750</v>
      </c>
      <c r="Q15" s="54">
        <f t="shared" si="7"/>
        <v>2221.0454545454545</v>
      </c>
      <c r="R15" s="60">
        <f t="shared" si="8"/>
        <v>276830</v>
      </c>
      <c r="S15" s="56">
        <f t="shared" si="9"/>
        <v>12583.181818181818</v>
      </c>
      <c r="T15" s="80">
        <f t="shared" si="10"/>
        <v>43</v>
      </c>
      <c r="U15" s="59">
        <f t="shared" si="10"/>
        <v>305030</v>
      </c>
      <c r="V15" s="59">
        <f t="shared" si="11"/>
        <v>65890</v>
      </c>
      <c r="W15" s="62">
        <f t="shared" si="12"/>
        <v>370920</v>
      </c>
      <c r="X15" s="81"/>
      <c r="Y15" s="63"/>
      <c r="Z15" s="64">
        <v>27</v>
      </c>
      <c r="AA15" s="52">
        <v>14760</v>
      </c>
      <c r="AB15" s="53">
        <f t="shared" si="13"/>
        <v>546.66666666666663</v>
      </c>
      <c r="AC15" s="52">
        <v>2630</v>
      </c>
      <c r="AD15" s="54">
        <f t="shared" si="14"/>
        <v>97.407407407407405</v>
      </c>
      <c r="AE15" s="65">
        <f t="shared" si="15"/>
        <v>17390</v>
      </c>
      <c r="AF15" s="56">
        <f t="shared" si="16"/>
        <v>644.07407407407402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8"/>
        <v>0</v>
      </c>
      <c r="AN15" s="67" t="str">
        <f t="shared" si="19"/>
        <v/>
      </c>
      <c r="AO15" s="68"/>
      <c r="AP15" s="64">
        <v>612</v>
      </c>
      <c r="AQ15" s="52">
        <v>1751350</v>
      </c>
      <c r="AR15" s="53">
        <f t="shared" si="20"/>
        <v>2861.6830065359477</v>
      </c>
      <c r="AS15" s="52">
        <v>895610</v>
      </c>
      <c r="AT15" s="54">
        <f t="shared" si="21"/>
        <v>1463.4150326797385</v>
      </c>
      <c r="AU15" s="54">
        <v>37950</v>
      </c>
      <c r="AV15" s="54">
        <v>8910</v>
      </c>
      <c r="AW15" s="69">
        <f t="shared" si="31"/>
        <v>2693820</v>
      </c>
      <c r="AX15" s="67">
        <f t="shared" si="22"/>
        <v>4401.666666666667</v>
      </c>
      <c r="AY15" s="82">
        <f t="shared" si="23"/>
        <v>43</v>
      </c>
      <c r="AZ15" s="59">
        <f t="shared" si="24"/>
        <v>2071140</v>
      </c>
      <c r="BA15" s="59">
        <f t="shared" si="25"/>
        <v>964130</v>
      </c>
      <c r="BB15" s="71">
        <f>W15+AE15+AM15+AW15-BN15</f>
        <v>3082130</v>
      </c>
      <c r="BC15" s="72">
        <f t="shared" si="30"/>
        <v>2200</v>
      </c>
      <c r="BD15" s="73">
        <v>43</v>
      </c>
      <c r="BE15" s="74">
        <v>305030</v>
      </c>
      <c r="BF15" s="74">
        <v>65890</v>
      </c>
      <c r="BG15" s="75">
        <v>2200</v>
      </c>
      <c r="BH15" s="75"/>
      <c r="BI15" s="75"/>
      <c r="BJ15" s="75"/>
      <c r="BK15" s="76">
        <f t="shared" si="29"/>
        <v>373120</v>
      </c>
      <c r="BL15" s="47">
        <v>11</v>
      </c>
      <c r="BM15" s="77">
        <f t="shared" si="26"/>
        <v>373120</v>
      </c>
    </row>
    <row r="16" spans="1:67" ht="20" customHeight="1">
      <c r="B16" s="78">
        <f t="shared" si="27"/>
        <v>45516</v>
      </c>
      <c r="C16" s="79"/>
      <c r="D16" s="50"/>
      <c r="E16" s="51">
        <v>6</v>
      </c>
      <c r="F16" s="52">
        <v>23980</v>
      </c>
      <c r="G16" s="53">
        <f t="shared" si="0"/>
        <v>3633.3333333333335</v>
      </c>
      <c r="H16" s="52">
        <v>5700</v>
      </c>
      <c r="I16" s="54">
        <f t="shared" si="1"/>
        <v>863.5</v>
      </c>
      <c r="J16" s="55">
        <f t="shared" si="2"/>
        <v>29680</v>
      </c>
      <c r="K16" s="56">
        <f t="shared" si="3"/>
        <v>4946.666666666667</v>
      </c>
      <c r="L16" s="57"/>
      <c r="M16" s="58">
        <f t="shared" si="4"/>
        <v>31</v>
      </c>
      <c r="N16" s="59">
        <f t="shared" si="4"/>
        <v>242990</v>
      </c>
      <c r="O16" s="53">
        <f t="shared" si="5"/>
        <v>7125.8064516129034</v>
      </c>
      <c r="P16" s="59">
        <f t="shared" si="6"/>
        <v>70060</v>
      </c>
      <c r="Q16" s="54">
        <f t="shared" si="7"/>
        <v>2054.516129032258</v>
      </c>
      <c r="R16" s="60">
        <f t="shared" si="8"/>
        <v>313050</v>
      </c>
      <c r="S16" s="56">
        <f t="shared" si="9"/>
        <v>10098.387096774193</v>
      </c>
      <c r="T16" s="80">
        <f t="shared" si="10"/>
        <v>37</v>
      </c>
      <c r="U16" s="59">
        <f t="shared" si="10"/>
        <v>266970</v>
      </c>
      <c r="V16" s="59">
        <f t="shared" si="11"/>
        <v>75760</v>
      </c>
      <c r="W16" s="62">
        <f t="shared" si="12"/>
        <v>342730</v>
      </c>
      <c r="X16" s="81"/>
      <c r="Y16" s="63"/>
      <c r="Z16" s="64">
        <v>42</v>
      </c>
      <c r="AA16" s="52">
        <v>21460</v>
      </c>
      <c r="AB16" s="53">
        <f t="shared" si="13"/>
        <v>510.95238095238096</v>
      </c>
      <c r="AC16" s="52">
        <v>1600</v>
      </c>
      <c r="AD16" s="54">
        <f t="shared" si="14"/>
        <v>38.095238095238095</v>
      </c>
      <c r="AE16" s="65">
        <f t="shared" si="15"/>
        <v>23060</v>
      </c>
      <c r="AF16" s="56">
        <f t="shared" si="16"/>
        <v>549.04761904761904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8"/>
        <v>0</v>
      </c>
      <c r="AN16" s="67" t="str">
        <f t="shared" si="19"/>
        <v/>
      </c>
      <c r="AO16" s="68"/>
      <c r="AP16" s="64">
        <v>576</v>
      </c>
      <c r="AQ16" s="52">
        <v>1597650</v>
      </c>
      <c r="AR16" s="53">
        <f t="shared" si="20"/>
        <v>2773.6979166666665</v>
      </c>
      <c r="AS16" s="52">
        <v>833920</v>
      </c>
      <c r="AT16" s="54">
        <f t="shared" si="21"/>
        <v>1447.7777777777778</v>
      </c>
      <c r="AU16" s="54">
        <v>42570</v>
      </c>
      <c r="AV16" s="54"/>
      <c r="AW16" s="69">
        <f t="shared" si="31"/>
        <v>2474140</v>
      </c>
      <c r="AX16" s="67">
        <f t="shared" si="22"/>
        <v>4295.3819444444443</v>
      </c>
      <c r="AY16" s="82">
        <f t="shared" si="23"/>
        <v>37</v>
      </c>
      <c r="AZ16" s="59">
        <f t="shared" si="24"/>
        <v>1886080</v>
      </c>
      <c r="BA16" s="59">
        <f t="shared" si="25"/>
        <v>911280</v>
      </c>
      <c r="BB16" s="71">
        <f t="shared" si="32"/>
        <v>2839930</v>
      </c>
      <c r="BC16" s="72">
        <f t="shared" si="30"/>
        <v>5500</v>
      </c>
      <c r="BD16" s="73">
        <v>37</v>
      </c>
      <c r="BE16" s="74">
        <v>266970</v>
      </c>
      <c r="BF16" s="74">
        <v>75760</v>
      </c>
      <c r="BG16" s="75">
        <v>2200</v>
      </c>
      <c r="BH16" s="75">
        <v>3300</v>
      </c>
      <c r="BI16" s="75">
        <v>3300</v>
      </c>
      <c r="BJ16" s="75"/>
      <c r="BK16" s="76">
        <f t="shared" si="29"/>
        <v>348230</v>
      </c>
      <c r="BL16" s="47">
        <v>12</v>
      </c>
      <c r="BM16" s="77">
        <f t="shared" si="26"/>
        <v>348230</v>
      </c>
    </row>
    <row r="17" spans="2:67" ht="20" customHeight="1">
      <c r="B17" s="78">
        <f t="shared" si="27"/>
        <v>45517</v>
      </c>
      <c r="C17" s="83"/>
      <c r="D17" s="50"/>
      <c r="E17" s="51">
        <v>25</v>
      </c>
      <c r="F17" s="52">
        <v>100540</v>
      </c>
      <c r="G17" s="53">
        <f t="shared" si="0"/>
        <v>3656</v>
      </c>
      <c r="H17" s="52">
        <v>14500</v>
      </c>
      <c r="I17" s="54">
        <f t="shared" si="1"/>
        <v>527.24</v>
      </c>
      <c r="J17" s="55">
        <f t="shared" si="2"/>
        <v>115040</v>
      </c>
      <c r="K17" s="56">
        <f t="shared" si="3"/>
        <v>4601.6000000000004</v>
      </c>
      <c r="L17" s="57"/>
      <c r="M17" s="58">
        <f t="shared" si="4"/>
        <v>8</v>
      </c>
      <c r="N17" s="59">
        <f t="shared" si="4"/>
        <v>90530</v>
      </c>
      <c r="O17" s="53">
        <f t="shared" si="5"/>
        <v>10287.5</v>
      </c>
      <c r="P17" s="59">
        <f t="shared" si="6"/>
        <v>9840</v>
      </c>
      <c r="Q17" s="54">
        <f t="shared" si="7"/>
        <v>1118.125</v>
      </c>
      <c r="R17" s="60">
        <f t="shared" si="8"/>
        <v>100370</v>
      </c>
      <c r="S17" s="56">
        <f t="shared" si="9"/>
        <v>12546.25</v>
      </c>
      <c r="T17" s="80">
        <f>E17+M17</f>
        <v>33</v>
      </c>
      <c r="U17" s="59">
        <f t="shared" si="10"/>
        <v>191070</v>
      </c>
      <c r="V17" s="59">
        <f t="shared" si="11"/>
        <v>24340</v>
      </c>
      <c r="W17" s="62">
        <f t="shared" si="12"/>
        <v>215410</v>
      </c>
      <c r="X17" s="81"/>
      <c r="Y17" s="63"/>
      <c r="Z17" s="64">
        <v>20</v>
      </c>
      <c r="AA17" s="52">
        <v>12900</v>
      </c>
      <c r="AB17" s="53">
        <f t="shared" si="13"/>
        <v>645</v>
      </c>
      <c r="AC17" s="52">
        <v>2300</v>
      </c>
      <c r="AD17" s="54">
        <f t="shared" si="14"/>
        <v>115</v>
      </c>
      <c r="AE17" s="65">
        <f t="shared" si="15"/>
        <v>15200</v>
      </c>
      <c r="AF17" s="56">
        <f t="shared" si="16"/>
        <v>760</v>
      </c>
      <c r="AG17" s="66"/>
      <c r="AH17" s="64">
        <v>14</v>
      </c>
      <c r="AI17" s="52">
        <v>79170</v>
      </c>
      <c r="AJ17" s="53">
        <f t="shared" si="17"/>
        <v>5655</v>
      </c>
      <c r="AK17" s="52">
        <v>26655</v>
      </c>
      <c r="AL17" s="54">
        <f t="shared" si="18"/>
        <v>1903.9285714285713</v>
      </c>
      <c r="AM17" s="65">
        <f t="shared" si="28"/>
        <v>105825</v>
      </c>
      <c r="AN17" s="67">
        <f t="shared" si="19"/>
        <v>7558.9285714285716</v>
      </c>
      <c r="AO17" s="68"/>
      <c r="AP17" s="64">
        <v>289</v>
      </c>
      <c r="AQ17" s="52">
        <v>821850</v>
      </c>
      <c r="AR17" s="53">
        <f t="shared" si="20"/>
        <v>2843.7716262975778</v>
      </c>
      <c r="AS17" s="52">
        <v>436550</v>
      </c>
      <c r="AT17" s="54">
        <f t="shared" si="21"/>
        <v>1510.5536332179931</v>
      </c>
      <c r="AU17" s="54">
        <v>20570</v>
      </c>
      <c r="AV17" s="54"/>
      <c r="AW17" s="69">
        <f>AQ17+AS17+AU17+AV17</f>
        <v>1278970</v>
      </c>
      <c r="AX17" s="67">
        <f t="shared" si="22"/>
        <v>4425.501730103806</v>
      </c>
      <c r="AY17" s="82">
        <f t="shared" si="23"/>
        <v>33</v>
      </c>
      <c r="AZ17" s="59">
        <f t="shared" si="24"/>
        <v>1104990</v>
      </c>
      <c r="BA17" s="59">
        <f t="shared" si="25"/>
        <v>489845</v>
      </c>
      <c r="BB17" s="71">
        <f t="shared" si="32"/>
        <v>1615405</v>
      </c>
      <c r="BC17" s="72">
        <f t="shared" si="30"/>
        <v>3850</v>
      </c>
      <c r="BD17" s="73">
        <v>33</v>
      </c>
      <c r="BE17" s="74">
        <v>191070</v>
      </c>
      <c r="BF17" s="74">
        <v>24340</v>
      </c>
      <c r="BG17" s="75">
        <v>3850</v>
      </c>
      <c r="BH17" s="75"/>
      <c r="BI17" s="75"/>
      <c r="BJ17" s="75"/>
      <c r="BK17" s="76">
        <f t="shared" si="29"/>
        <v>219260</v>
      </c>
      <c r="BL17" s="47">
        <v>13</v>
      </c>
      <c r="BM17" s="77">
        <f t="shared" si="26"/>
        <v>219260</v>
      </c>
    </row>
    <row r="18" spans="2:67" ht="20" customHeight="1">
      <c r="B18" s="78">
        <f t="shared" si="27"/>
        <v>45518</v>
      </c>
      <c r="C18" s="79"/>
      <c r="D18" s="50"/>
      <c r="E18" s="51">
        <v>18</v>
      </c>
      <c r="F18" s="52">
        <v>72490</v>
      </c>
      <c r="G18" s="53">
        <f t="shared" si="0"/>
        <v>3661.1111111111113</v>
      </c>
      <c r="H18" s="52">
        <v>18750</v>
      </c>
      <c r="I18" s="54">
        <f t="shared" si="1"/>
        <v>946.94444444444446</v>
      </c>
      <c r="J18" s="55">
        <f t="shared" si="2"/>
        <v>91240</v>
      </c>
      <c r="K18" s="56">
        <f t="shared" si="3"/>
        <v>5068.8888888888887</v>
      </c>
      <c r="L18" s="57"/>
      <c r="M18" s="58">
        <f t="shared" si="4"/>
        <v>19</v>
      </c>
      <c r="N18" s="59">
        <f t="shared" si="4"/>
        <v>216480</v>
      </c>
      <c r="O18" s="53">
        <f t="shared" si="5"/>
        <v>10357.894736842105</v>
      </c>
      <c r="P18" s="59">
        <f t="shared" si="6"/>
        <v>45900</v>
      </c>
      <c r="Q18" s="54">
        <f t="shared" si="7"/>
        <v>2196.1578947368421</v>
      </c>
      <c r="R18" s="60">
        <f t="shared" si="8"/>
        <v>262380</v>
      </c>
      <c r="S18" s="56">
        <f t="shared" si="9"/>
        <v>13809.473684210527</v>
      </c>
      <c r="T18" s="80">
        <f t="shared" si="10"/>
        <v>37</v>
      </c>
      <c r="U18" s="59">
        <f t="shared" si="10"/>
        <v>288970</v>
      </c>
      <c r="V18" s="59">
        <f t="shared" si="11"/>
        <v>64650</v>
      </c>
      <c r="W18" s="62">
        <f t="shared" si="12"/>
        <v>353620</v>
      </c>
      <c r="X18" s="81"/>
      <c r="Y18" s="63"/>
      <c r="Z18" s="64">
        <v>18</v>
      </c>
      <c r="AA18" s="52">
        <v>9320</v>
      </c>
      <c r="AB18" s="53">
        <f t="shared" si="13"/>
        <v>517.77777777777783</v>
      </c>
      <c r="AC18" s="52">
        <v>1600</v>
      </c>
      <c r="AD18" s="54">
        <f t="shared" si="14"/>
        <v>88.888888888888886</v>
      </c>
      <c r="AE18" s="65">
        <f t="shared" si="15"/>
        <v>10920</v>
      </c>
      <c r="AF18" s="56">
        <f t="shared" si="16"/>
        <v>606.66666666666663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8"/>
        <v>0</v>
      </c>
      <c r="AN18" s="67" t="str">
        <f t="shared" si="19"/>
        <v/>
      </c>
      <c r="AO18" s="68"/>
      <c r="AP18" s="64">
        <v>283</v>
      </c>
      <c r="AQ18" s="52">
        <v>713750</v>
      </c>
      <c r="AR18" s="53">
        <f t="shared" si="20"/>
        <v>2522.0848056537102</v>
      </c>
      <c r="AS18" s="52">
        <v>416750</v>
      </c>
      <c r="AT18" s="54">
        <f t="shared" si="21"/>
        <v>1472.6148409893992</v>
      </c>
      <c r="AU18" s="54">
        <v>26950</v>
      </c>
      <c r="AV18" s="54"/>
      <c r="AW18" s="69">
        <f t="shared" ref="AW18:AW35" si="33">AQ18+AS18+AU18+AV18</f>
        <v>1157450</v>
      </c>
      <c r="AX18" s="67">
        <f t="shared" si="22"/>
        <v>4089.9293286219081</v>
      </c>
      <c r="AY18" s="82">
        <f t="shared" si="23"/>
        <v>37</v>
      </c>
      <c r="AZ18" s="59">
        <f t="shared" si="24"/>
        <v>1012040</v>
      </c>
      <c r="BA18" s="59">
        <f t="shared" si="25"/>
        <v>483000</v>
      </c>
      <c r="BB18" s="71">
        <f>W18+AE18+AM18+AW18-BN18</f>
        <v>1521990</v>
      </c>
      <c r="BC18" s="72">
        <f t="shared" si="30"/>
        <v>4400</v>
      </c>
      <c r="BD18" s="73">
        <v>37</v>
      </c>
      <c r="BE18" s="74">
        <v>288970</v>
      </c>
      <c r="BF18" s="74">
        <v>64650</v>
      </c>
      <c r="BG18" s="75">
        <v>2200</v>
      </c>
      <c r="BH18" s="75">
        <v>2200</v>
      </c>
      <c r="BI18" s="75"/>
      <c r="BJ18" s="75"/>
      <c r="BK18" s="76">
        <f t="shared" si="29"/>
        <v>358020</v>
      </c>
      <c r="BL18" s="47">
        <v>14</v>
      </c>
      <c r="BM18" s="77">
        <f t="shared" si="26"/>
        <v>358020</v>
      </c>
    </row>
    <row r="19" spans="2:67" ht="20" customHeight="1">
      <c r="B19" s="78">
        <f t="shared" si="27"/>
        <v>45519</v>
      </c>
      <c r="C19" s="79"/>
      <c r="D19" s="50"/>
      <c r="E19" s="51">
        <v>18</v>
      </c>
      <c r="F19" s="52">
        <v>65890</v>
      </c>
      <c r="G19" s="53">
        <f t="shared" si="0"/>
        <v>3327.7777777777778</v>
      </c>
      <c r="H19" s="52">
        <v>5280</v>
      </c>
      <c r="I19" s="54">
        <f t="shared" si="1"/>
        <v>266.66666666666669</v>
      </c>
      <c r="J19" s="55">
        <f t="shared" si="2"/>
        <v>71170</v>
      </c>
      <c r="K19" s="56">
        <f t="shared" si="3"/>
        <v>3953.8888888888887</v>
      </c>
      <c r="L19" s="57"/>
      <c r="M19" s="58">
        <f t="shared" si="4"/>
        <v>9</v>
      </c>
      <c r="N19" s="59">
        <f t="shared" si="4"/>
        <v>73700</v>
      </c>
      <c r="O19" s="53">
        <f t="shared" si="5"/>
        <v>7444.4444444444443</v>
      </c>
      <c r="P19" s="59">
        <f t="shared" si="6"/>
        <v>16550</v>
      </c>
      <c r="Q19" s="84">
        <f t="shared" si="7"/>
        <v>1671.6666666666667</v>
      </c>
      <c r="R19" s="60">
        <f t="shared" si="8"/>
        <v>90250</v>
      </c>
      <c r="S19" s="56">
        <f t="shared" si="9"/>
        <v>10027.777777777777</v>
      </c>
      <c r="T19" s="80">
        <f t="shared" si="10"/>
        <v>27</v>
      </c>
      <c r="U19" s="59">
        <f t="shared" si="10"/>
        <v>139590</v>
      </c>
      <c r="V19" s="59">
        <f t="shared" si="11"/>
        <v>21830</v>
      </c>
      <c r="W19" s="62">
        <f t="shared" si="12"/>
        <v>161420</v>
      </c>
      <c r="X19" s="81"/>
      <c r="Y19" s="63"/>
      <c r="Z19" s="64">
        <v>32</v>
      </c>
      <c r="AA19" s="52">
        <v>15450</v>
      </c>
      <c r="AB19" s="53">
        <f t="shared" si="13"/>
        <v>482.8125</v>
      </c>
      <c r="AC19" s="52">
        <v>1400</v>
      </c>
      <c r="AD19" s="54">
        <f t="shared" si="14"/>
        <v>43.75</v>
      </c>
      <c r="AE19" s="65">
        <f t="shared" si="15"/>
        <v>16850</v>
      </c>
      <c r="AF19" s="56">
        <f t="shared" si="16"/>
        <v>526.5625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8"/>
        <v>0</v>
      </c>
      <c r="AN19" s="67" t="str">
        <f t="shared" si="19"/>
        <v/>
      </c>
      <c r="AO19" s="68"/>
      <c r="AP19" s="64">
        <v>610</v>
      </c>
      <c r="AQ19" s="52">
        <v>1585650</v>
      </c>
      <c r="AR19" s="53">
        <f t="shared" si="20"/>
        <v>2599.4262295081967</v>
      </c>
      <c r="AS19" s="52">
        <v>920950</v>
      </c>
      <c r="AT19" s="54">
        <f t="shared" si="21"/>
        <v>1509.7540983606557</v>
      </c>
      <c r="AU19" s="54">
        <v>43340</v>
      </c>
      <c r="AV19" s="54"/>
      <c r="AW19" s="69">
        <f t="shared" si="33"/>
        <v>2549940</v>
      </c>
      <c r="AX19" s="67">
        <f t="shared" si="22"/>
        <v>4180.2295081967213</v>
      </c>
      <c r="AY19" s="82">
        <f t="shared" si="23"/>
        <v>27</v>
      </c>
      <c r="AZ19" s="59">
        <f t="shared" si="24"/>
        <v>1740690</v>
      </c>
      <c r="BA19" s="59">
        <f t="shared" si="25"/>
        <v>944180</v>
      </c>
      <c r="BB19" s="71">
        <f>W19+AE19+AM19+AW19-BN19</f>
        <v>2728210</v>
      </c>
      <c r="BC19" s="72">
        <f t="shared" si="30"/>
        <v>2200</v>
      </c>
      <c r="BD19" s="73">
        <v>27</v>
      </c>
      <c r="BE19" s="74">
        <v>139590</v>
      </c>
      <c r="BF19" s="74">
        <v>21830</v>
      </c>
      <c r="BG19" s="75">
        <v>2200</v>
      </c>
      <c r="BH19" s="75"/>
      <c r="BI19" s="75"/>
      <c r="BJ19" s="75"/>
      <c r="BK19" s="76">
        <f t="shared" si="29"/>
        <v>163620</v>
      </c>
      <c r="BL19" s="47">
        <v>15</v>
      </c>
      <c r="BM19" s="77">
        <f t="shared" si="26"/>
        <v>163620</v>
      </c>
    </row>
    <row r="20" spans="2:67" ht="20" customHeight="1">
      <c r="B20" s="78">
        <f t="shared" si="27"/>
        <v>45520</v>
      </c>
      <c r="C20" s="79"/>
      <c r="D20" s="50"/>
      <c r="E20" s="51">
        <v>20</v>
      </c>
      <c r="F20" s="52">
        <v>77220</v>
      </c>
      <c r="G20" s="53">
        <f t="shared" si="0"/>
        <v>3510</v>
      </c>
      <c r="H20" s="52">
        <v>7570</v>
      </c>
      <c r="I20" s="53">
        <f t="shared" si="1"/>
        <v>344.05</v>
      </c>
      <c r="J20" s="55">
        <f t="shared" si="2"/>
        <v>84790</v>
      </c>
      <c r="K20" s="56">
        <f t="shared" si="3"/>
        <v>4239.5</v>
      </c>
      <c r="L20" s="57"/>
      <c r="M20" s="58">
        <f t="shared" si="4"/>
        <v>19</v>
      </c>
      <c r="N20" s="59">
        <f t="shared" si="4"/>
        <v>213510</v>
      </c>
      <c r="O20" s="53">
        <f t="shared" si="5"/>
        <v>10215.78947368421</v>
      </c>
      <c r="P20" s="59">
        <f t="shared" si="6"/>
        <v>42610</v>
      </c>
      <c r="Q20" s="84">
        <f t="shared" si="7"/>
        <v>2038.7368421052631</v>
      </c>
      <c r="R20" s="60">
        <f t="shared" si="8"/>
        <v>256120</v>
      </c>
      <c r="S20" s="56">
        <f t="shared" si="9"/>
        <v>13480</v>
      </c>
      <c r="T20" s="80">
        <f t="shared" si="10"/>
        <v>39</v>
      </c>
      <c r="U20" s="59">
        <f t="shared" si="10"/>
        <v>290730</v>
      </c>
      <c r="V20" s="59">
        <f t="shared" si="11"/>
        <v>50180</v>
      </c>
      <c r="W20" s="62">
        <f t="shared" si="12"/>
        <v>340910</v>
      </c>
      <c r="X20" s="81"/>
      <c r="Y20" s="63"/>
      <c r="Z20" s="64">
        <v>34</v>
      </c>
      <c r="AA20" s="52">
        <v>16520</v>
      </c>
      <c r="AB20" s="53">
        <f t="shared" si="13"/>
        <v>485.88235294117646</v>
      </c>
      <c r="AC20" s="52">
        <v>4000</v>
      </c>
      <c r="AD20" s="54">
        <f t="shared" si="14"/>
        <v>117.64705882352941</v>
      </c>
      <c r="AE20" s="65">
        <f t="shared" si="15"/>
        <v>20520</v>
      </c>
      <c r="AF20" s="56">
        <f t="shared" si="16"/>
        <v>603.52941176470586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8"/>
        <v>0</v>
      </c>
      <c r="AN20" s="67" t="str">
        <f t="shared" si="19"/>
        <v/>
      </c>
      <c r="AO20" s="68"/>
      <c r="AP20" s="64">
        <v>628</v>
      </c>
      <c r="AQ20" s="52">
        <v>1747950</v>
      </c>
      <c r="AR20" s="53">
        <f t="shared" si="20"/>
        <v>2783.3598726114651</v>
      </c>
      <c r="AS20" s="52">
        <v>997050</v>
      </c>
      <c r="AT20" s="54">
        <f t="shared" si="21"/>
        <v>1587.6592356687897</v>
      </c>
      <c r="AU20" s="54">
        <v>34430</v>
      </c>
      <c r="AV20" s="54">
        <v>2970</v>
      </c>
      <c r="AW20" s="69">
        <f t="shared" si="33"/>
        <v>2782400</v>
      </c>
      <c r="AX20" s="67">
        <f t="shared" si="22"/>
        <v>4430.5732484076434</v>
      </c>
      <c r="AY20" s="82">
        <f t="shared" si="23"/>
        <v>39</v>
      </c>
      <c r="AZ20" s="59">
        <f t="shared" si="24"/>
        <v>2055200</v>
      </c>
      <c r="BA20" s="59">
        <f t="shared" si="25"/>
        <v>1051230</v>
      </c>
      <c r="BB20" s="71">
        <f>W20+AE20+AM20+AW20-BN20</f>
        <v>3139870</v>
      </c>
      <c r="BC20" s="72">
        <f t="shared" si="30"/>
        <v>4400</v>
      </c>
      <c r="BD20" s="73">
        <v>39</v>
      </c>
      <c r="BE20" s="74">
        <v>290730</v>
      </c>
      <c r="BF20" s="74">
        <v>50180</v>
      </c>
      <c r="BG20" s="75">
        <v>1100</v>
      </c>
      <c r="BH20" s="75">
        <v>3300</v>
      </c>
      <c r="BI20" s="75"/>
      <c r="BJ20" s="75">
        <v>19800</v>
      </c>
      <c r="BK20" s="76">
        <f t="shared" si="29"/>
        <v>345310</v>
      </c>
      <c r="BL20" s="47">
        <v>16</v>
      </c>
      <c r="BM20" s="77">
        <f t="shared" si="26"/>
        <v>365110</v>
      </c>
      <c r="BN20" s="47">
        <v>3960</v>
      </c>
    </row>
    <row r="21" spans="2:67" ht="20" customHeight="1">
      <c r="B21" s="78">
        <f t="shared" si="27"/>
        <v>45521</v>
      </c>
      <c r="C21" s="79"/>
      <c r="D21" s="50"/>
      <c r="E21" s="51">
        <v>22</v>
      </c>
      <c r="F21" s="52">
        <v>96030</v>
      </c>
      <c r="G21" s="53">
        <f t="shared" si="0"/>
        <v>3968.181818181818</v>
      </c>
      <c r="H21" s="52">
        <v>18250</v>
      </c>
      <c r="I21" s="53">
        <f t="shared" si="1"/>
        <v>754.09090909090912</v>
      </c>
      <c r="J21" s="55">
        <f t="shared" si="2"/>
        <v>114280</v>
      </c>
      <c r="K21" s="56">
        <f t="shared" si="3"/>
        <v>5194.545454545455</v>
      </c>
      <c r="L21" s="57"/>
      <c r="M21" s="58">
        <f t="shared" si="4"/>
        <v>26</v>
      </c>
      <c r="N21" s="59">
        <f t="shared" si="4"/>
        <v>249810</v>
      </c>
      <c r="O21" s="53">
        <f t="shared" si="5"/>
        <v>8734.6153846153848</v>
      </c>
      <c r="P21" s="59">
        <f t="shared" si="6"/>
        <v>55910</v>
      </c>
      <c r="Q21" s="84">
        <f t="shared" si="7"/>
        <v>1954.8846153846155</v>
      </c>
      <c r="R21" s="60">
        <f>N21+P21</f>
        <v>305720</v>
      </c>
      <c r="S21" s="56">
        <f t="shared" si="9"/>
        <v>11758.461538461539</v>
      </c>
      <c r="T21" s="80">
        <f t="shared" si="10"/>
        <v>48</v>
      </c>
      <c r="U21" s="59">
        <f t="shared" si="10"/>
        <v>345840</v>
      </c>
      <c r="V21" s="59">
        <f t="shared" si="11"/>
        <v>74160</v>
      </c>
      <c r="W21" s="62">
        <f t="shared" si="12"/>
        <v>420000</v>
      </c>
      <c r="X21" s="81"/>
      <c r="Y21" s="63"/>
      <c r="Z21" s="64">
        <v>16</v>
      </c>
      <c r="AA21" s="52">
        <v>6370</v>
      </c>
      <c r="AB21" s="53">
        <f t="shared" si="13"/>
        <v>398.125</v>
      </c>
      <c r="AC21" s="52">
        <v>1900</v>
      </c>
      <c r="AD21" s="54">
        <f t="shared" si="14"/>
        <v>118.75</v>
      </c>
      <c r="AE21" s="65">
        <f t="shared" si="15"/>
        <v>8270</v>
      </c>
      <c r="AF21" s="56">
        <f t="shared" si="16"/>
        <v>516.875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8"/>
        <v>0</v>
      </c>
      <c r="AN21" s="67" t="str">
        <f t="shared" si="19"/>
        <v/>
      </c>
      <c r="AO21" s="68"/>
      <c r="AP21" s="64">
        <v>479</v>
      </c>
      <c r="AQ21" s="52">
        <v>1393000</v>
      </c>
      <c r="AR21" s="53">
        <f t="shared" si="20"/>
        <v>2908.1419624217119</v>
      </c>
      <c r="AS21" s="52">
        <v>745750</v>
      </c>
      <c r="AT21" s="54">
        <f t="shared" si="21"/>
        <v>1556.8893528183717</v>
      </c>
      <c r="AU21" s="54">
        <v>28050</v>
      </c>
      <c r="AV21" s="54">
        <v>5940</v>
      </c>
      <c r="AW21" s="69">
        <f t="shared" si="33"/>
        <v>2172740</v>
      </c>
      <c r="AX21" s="67">
        <f t="shared" si="22"/>
        <v>4535.991649269311</v>
      </c>
      <c r="AY21" s="82">
        <f t="shared" si="23"/>
        <v>48</v>
      </c>
      <c r="AZ21" s="59">
        <f t="shared" si="24"/>
        <v>1745210</v>
      </c>
      <c r="BA21" s="59">
        <f t="shared" si="25"/>
        <v>821810</v>
      </c>
      <c r="BB21" s="71">
        <f>W21+AE21+AM21+AW21</f>
        <v>2601010</v>
      </c>
      <c r="BC21" s="72">
        <f t="shared" si="30"/>
        <v>13200</v>
      </c>
      <c r="BD21" s="73">
        <v>48</v>
      </c>
      <c r="BE21" s="74">
        <v>345840</v>
      </c>
      <c r="BF21" s="74">
        <v>74160</v>
      </c>
      <c r="BG21" s="75">
        <v>9900</v>
      </c>
      <c r="BH21" s="75">
        <v>3300</v>
      </c>
      <c r="BI21" s="75"/>
      <c r="BJ21" s="75"/>
      <c r="BK21" s="76">
        <f t="shared" si="29"/>
        <v>433200</v>
      </c>
      <c r="BL21" s="47">
        <v>17</v>
      </c>
      <c r="BM21" s="77">
        <f t="shared" si="26"/>
        <v>433200</v>
      </c>
    </row>
    <row r="22" spans="2:67" ht="20" customHeight="1">
      <c r="B22" s="78">
        <f t="shared" si="27"/>
        <v>45522</v>
      </c>
      <c r="C22" s="79"/>
      <c r="D22" s="50"/>
      <c r="E22" s="51">
        <v>31</v>
      </c>
      <c r="F22" s="52">
        <v>123420</v>
      </c>
      <c r="G22" s="53">
        <f t="shared" si="0"/>
        <v>3619.3548387096776</v>
      </c>
      <c r="H22" s="52">
        <v>12350</v>
      </c>
      <c r="I22" s="53">
        <f t="shared" si="1"/>
        <v>362.16129032258067</v>
      </c>
      <c r="J22" s="55">
        <f t="shared" si="2"/>
        <v>135770</v>
      </c>
      <c r="K22" s="56">
        <f t="shared" si="3"/>
        <v>4379.677419354839</v>
      </c>
      <c r="L22" s="57"/>
      <c r="M22" s="58">
        <f t="shared" si="4"/>
        <v>19</v>
      </c>
      <c r="N22" s="59">
        <f t="shared" si="4"/>
        <v>161040</v>
      </c>
      <c r="O22" s="53">
        <f t="shared" si="5"/>
        <v>7705.2631578947367</v>
      </c>
      <c r="P22" s="59">
        <f t="shared" si="6"/>
        <v>36820</v>
      </c>
      <c r="Q22" s="84">
        <f t="shared" si="7"/>
        <v>1761.6842105263158</v>
      </c>
      <c r="R22" s="60">
        <f t="shared" si="8"/>
        <v>197860</v>
      </c>
      <c r="S22" s="56">
        <f t="shared" si="9"/>
        <v>10413.684210526315</v>
      </c>
      <c r="T22" s="80">
        <f t="shared" si="10"/>
        <v>50</v>
      </c>
      <c r="U22" s="59">
        <f t="shared" si="10"/>
        <v>284460</v>
      </c>
      <c r="V22" s="59">
        <f t="shared" si="11"/>
        <v>49170</v>
      </c>
      <c r="W22" s="62">
        <f t="shared" si="12"/>
        <v>333630</v>
      </c>
      <c r="X22" s="81"/>
      <c r="Y22" s="63"/>
      <c r="Z22" s="64">
        <v>37</v>
      </c>
      <c r="AA22" s="52">
        <v>18360</v>
      </c>
      <c r="AB22" s="53">
        <f t="shared" si="13"/>
        <v>496.2162162162162</v>
      </c>
      <c r="AC22" s="52">
        <v>3640</v>
      </c>
      <c r="AD22" s="54">
        <f t="shared" si="14"/>
        <v>98.378378378378372</v>
      </c>
      <c r="AE22" s="65">
        <f t="shared" si="15"/>
        <v>22000</v>
      </c>
      <c r="AF22" s="56">
        <f t="shared" si="16"/>
        <v>594.59459459459458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8"/>
        <v>0</v>
      </c>
      <c r="AN22" s="67" t="str">
        <f t="shared" si="19"/>
        <v/>
      </c>
      <c r="AO22" s="68"/>
      <c r="AP22" s="64">
        <v>478</v>
      </c>
      <c r="AQ22" s="52">
        <v>1149200</v>
      </c>
      <c r="AR22" s="53">
        <f t="shared" si="20"/>
        <v>2404.1841004184103</v>
      </c>
      <c r="AS22" s="52">
        <v>648950</v>
      </c>
      <c r="AT22" s="54">
        <f t="shared" si="21"/>
        <v>1357.6359832635983</v>
      </c>
      <c r="AU22" s="54">
        <v>15400</v>
      </c>
      <c r="AV22" s="54">
        <v>5940</v>
      </c>
      <c r="AW22" s="69">
        <f t="shared" si="33"/>
        <v>1819490</v>
      </c>
      <c r="AX22" s="67">
        <f t="shared" si="22"/>
        <v>3806.4644351464435</v>
      </c>
      <c r="AY22" s="82">
        <f t="shared" si="23"/>
        <v>50</v>
      </c>
      <c r="AZ22" s="59">
        <f t="shared" si="24"/>
        <v>1452020</v>
      </c>
      <c r="BA22" s="59">
        <f t="shared" si="25"/>
        <v>701760</v>
      </c>
      <c r="BB22" s="71">
        <f t="shared" si="32"/>
        <v>2175120</v>
      </c>
      <c r="BC22" s="72">
        <f t="shared" si="30"/>
        <v>3850</v>
      </c>
      <c r="BD22" s="73">
        <v>50</v>
      </c>
      <c r="BE22" s="74">
        <v>284460</v>
      </c>
      <c r="BF22" s="74">
        <v>49170</v>
      </c>
      <c r="BG22" s="75">
        <v>2200</v>
      </c>
      <c r="BH22" s="75">
        <v>1650</v>
      </c>
      <c r="BI22" s="75"/>
      <c r="BJ22" s="75"/>
      <c r="BK22" s="76">
        <f t="shared" si="29"/>
        <v>337480</v>
      </c>
      <c r="BL22" s="47">
        <v>18</v>
      </c>
      <c r="BM22" s="77">
        <f t="shared" si="26"/>
        <v>337480</v>
      </c>
      <c r="BO22" s="85"/>
    </row>
    <row r="23" spans="2:67" ht="20" customHeight="1">
      <c r="B23" s="78">
        <f t="shared" si="27"/>
        <v>45523</v>
      </c>
      <c r="C23" s="79"/>
      <c r="D23" s="50"/>
      <c r="E23" s="51">
        <v>14</v>
      </c>
      <c r="F23" s="52">
        <v>64460</v>
      </c>
      <c r="G23" s="53">
        <f t="shared" si="0"/>
        <v>4185.7142857142853</v>
      </c>
      <c r="H23" s="52">
        <v>10500</v>
      </c>
      <c r="I23" s="53">
        <f t="shared" si="1"/>
        <v>681.78571428571433</v>
      </c>
      <c r="J23" s="55">
        <f t="shared" si="2"/>
        <v>74960</v>
      </c>
      <c r="K23" s="56">
        <f t="shared" si="3"/>
        <v>5354.2857142857147</v>
      </c>
      <c r="L23" s="57"/>
      <c r="M23" s="58">
        <f t="shared" si="4"/>
        <v>10</v>
      </c>
      <c r="N23" s="59">
        <f t="shared" si="4"/>
        <v>110400</v>
      </c>
      <c r="O23" s="53">
        <f t="shared" si="5"/>
        <v>10036.299999999999</v>
      </c>
      <c r="P23" s="59">
        <f t="shared" si="6"/>
        <v>30480</v>
      </c>
      <c r="Q23" s="84">
        <f t="shared" si="7"/>
        <v>2770.9</v>
      </c>
      <c r="R23" s="60">
        <f t="shared" si="8"/>
        <v>140880</v>
      </c>
      <c r="S23" s="56">
        <f t="shared" si="9"/>
        <v>14088</v>
      </c>
      <c r="T23" s="80">
        <f t="shared" si="10"/>
        <v>24</v>
      </c>
      <c r="U23" s="59">
        <f t="shared" si="10"/>
        <v>174860</v>
      </c>
      <c r="V23" s="59">
        <f t="shared" si="11"/>
        <v>40980</v>
      </c>
      <c r="W23" s="62">
        <f t="shared" si="12"/>
        <v>215840</v>
      </c>
      <c r="X23" s="81"/>
      <c r="Y23" s="63"/>
      <c r="Z23" s="64">
        <v>24</v>
      </c>
      <c r="AA23" s="52">
        <v>11160</v>
      </c>
      <c r="AB23" s="53">
        <f t="shared" si="13"/>
        <v>465</v>
      </c>
      <c r="AC23" s="52">
        <v>1620</v>
      </c>
      <c r="AD23" s="54">
        <f t="shared" si="14"/>
        <v>67.5</v>
      </c>
      <c r="AE23" s="65">
        <f t="shared" si="15"/>
        <v>12780</v>
      </c>
      <c r="AF23" s="56">
        <f t="shared" si="16"/>
        <v>532.5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8"/>
        <v>0</v>
      </c>
      <c r="AN23" s="67" t="str">
        <f t="shared" si="19"/>
        <v/>
      </c>
      <c r="AO23" s="68"/>
      <c r="AP23" s="64">
        <v>279</v>
      </c>
      <c r="AQ23" s="52">
        <v>618650</v>
      </c>
      <c r="AR23" s="53">
        <f t="shared" si="20"/>
        <v>2217.3835125448027</v>
      </c>
      <c r="AS23" s="52">
        <v>344400</v>
      </c>
      <c r="AT23" s="54">
        <f t="shared" si="21"/>
        <v>1234.4086021505377</v>
      </c>
      <c r="AU23" s="54">
        <v>4400</v>
      </c>
      <c r="AV23" s="54"/>
      <c r="AW23" s="69">
        <f t="shared" si="33"/>
        <v>967450</v>
      </c>
      <c r="AX23" s="67">
        <f>IF(AP23="","",AW23/AP23)</f>
        <v>3467.5627240143367</v>
      </c>
      <c r="AY23" s="82">
        <f t="shared" si="23"/>
        <v>24</v>
      </c>
      <c r="AZ23" s="59">
        <f t="shared" si="24"/>
        <v>804670</v>
      </c>
      <c r="BA23" s="59">
        <f t="shared" si="25"/>
        <v>387000</v>
      </c>
      <c r="BB23" s="71">
        <f>W23+AE23+AM23+AW23-BN22</f>
        <v>1196070</v>
      </c>
      <c r="BC23" s="72">
        <f t="shared" si="30"/>
        <v>4400</v>
      </c>
      <c r="BD23" s="73">
        <v>24</v>
      </c>
      <c r="BE23" s="74">
        <v>174860</v>
      </c>
      <c r="BF23" s="74">
        <v>40980</v>
      </c>
      <c r="BG23" s="75">
        <v>2200</v>
      </c>
      <c r="BH23" s="75">
        <v>2200</v>
      </c>
      <c r="BI23" s="75"/>
      <c r="BJ23" s="75"/>
      <c r="BK23" s="76">
        <f>SUM(BE23:BH23)</f>
        <v>220240</v>
      </c>
      <c r="BL23" s="47">
        <v>19</v>
      </c>
      <c r="BM23" s="77">
        <f t="shared" si="26"/>
        <v>220240</v>
      </c>
    </row>
    <row r="24" spans="2:67" ht="20" customHeight="1">
      <c r="B24" s="78">
        <f t="shared" si="27"/>
        <v>45524</v>
      </c>
      <c r="C24" s="79"/>
      <c r="D24" s="50"/>
      <c r="E24" s="51">
        <v>18</v>
      </c>
      <c r="F24" s="52">
        <v>68640</v>
      </c>
      <c r="G24" s="53">
        <f t="shared" si="0"/>
        <v>3466.6666666666665</v>
      </c>
      <c r="H24" s="52">
        <v>10660</v>
      </c>
      <c r="I24" s="53">
        <f t="shared" si="1"/>
        <v>538.33333333333337</v>
      </c>
      <c r="J24" s="55">
        <f t="shared" si="2"/>
        <v>79300</v>
      </c>
      <c r="K24" s="56">
        <f t="shared" si="3"/>
        <v>4405.5555555555557</v>
      </c>
      <c r="L24" s="57"/>
      <c r="M24" s="58">
        <f t="shared" si="4"/>
        <v>17</v>
      </c>
      <c r="N24" s="59">
        <f t="shared" si="4"/>
        <v>194540</v>
      </c>
      <c r="O24" s="53">
        <f t="shared" si="5"/>
        <v>10403.176470588236</v>
      </c>
      <c r="P24" s="59">
        <f t="shared" si="6"/>
        <v>39900</v>
      </c>
      <c r="Q24" s="84">
        <f t="shared" si="7"/>
        <v>2133.6470588235293</v>
      </c>
      <c r="R24" s="60">
        <f t="shared" si="8"/>
        <v>234440</v>
      </c>
      <c r="S24" s="56">
        <f t="shared" si="9"/>
        <v>13790.588235294117</v>
      </c>
      <c r="T24" s="80">
        <f t="shared" si="10"/>
        <v>35</v>
      </c>
      <c r="U24" s="59">
        <f t="shared" si="10"/>
        <v>263180</v>
      </c>
      <c r="V24" s="59">
        <f t="shared" si="11"/>
        <v>50560</v>
      </c>
      <c r="W24" s="62">
        <f t="shared" si="12"/>
        <v>313740</v>
      </c>
      <c r="X24" s="81"/>
      <c r="Y24" s="63"/>
      <c r="Z24" s="64">
        <v>21</v>
      </c>
      <c r="AA24" s="52">
        <v>9830</v>
      </c>
      <c r="AB24" s="53">
        <f t="shared" si="13"/>
        <v>468.09523809523807</v>
      </c>
      <c r="AC24" s="52">
        <v>900</v>
      </c>
      <c r="AD24" s="54">
        <f t="shared" si="14"/>
        <v>42.857142857142854</v>
      </c>
      <c r="AE24" s="65">
        <f t="shared" si="15"/>
        <v>10730</v>
      </c>
      <c r="AF24" s="56">
        <f t="shared" si="16"/>
        <v>510.95238095238096</v>
      </c>
      <c r="AG24" s="66"/>
      <c r="AH24" s="64">
        <v>9</v>
      </c>
      <c r="AI24" s="52">
        <v>35235</v>
      </c>
      <c r="AJ24" s="53">
        <f t="shared" si="17"/>
        <v>3915</v>
      </c>
      <c r="AK24" s="52">
        <v>11745</v>
      </c>
      <c r="AL24" s="54">
        <f t="shared" si="18"/>
        <v>1305</v>
      </c>
      <c r="AM24" s="65">
        <f t="shared" si="28"/>
        <v>46980</v>
      </c>
      <c r="AN24" s="67">
        <f t="shared" si="19"/>
        <v>5220</v>
      </c>
      <c r="AO24" s="68"/>
      <c r="AP24" s="64">
        <v>333</v>
      </c>
      <c r="AQ24" s="52">
        <v>984150</v>
      </c>
      <c r="AR24" s="53">
        <f t="shared" si="20"/>
        <v>2955.4054054054054</v>
      </c>
      <c r="AS24" s="52">
        <v>489750</v>
      </c>
      <c r="AT24" s="54">
        <f t="shared" si="21"/>
        <v>1470.7207207207207</v>
      </c>
      <c r="AU24" s="54">
        <v>37400</v>
      </c>
      <c r="AV24" s="54"/>
      <c r="AW24" s="86">
        <f t="shared" si="33"/>
        <v>1511300</v>
      </c>
      <c r="AX24" s="67">
        <f t="shared" si="22"/>
        <v>4538.4384384384384</v>
      </c>
      <c r="AY24" s="82">
        <f t="shared" si="23"/>
        <v>35</v>
      </c>
      <c r="AZ24" s="59">
        <f t="shared" si="24"/>
        <v>1292395</v>
      </c>
      <c r="BA24" s="59">
        <f t="shared" si="25"/>
        <v>552955</v>
      </c>
      <c r="BB24" s="71">
        <f t="shared" si="32"/>
        <v>1882750</v>
      </c>
      <c r="BC24" s="72">
        <f t="shared" si="30"/>
        <v>7700</v>
      </c>
      <c r="BD24" s="73">
        <v>35</v>
      </c>
      <c r="BE24" s="74">
        <v>263180</v>
      </c>
      <c r="BF24" s="74">
        <v>50560</v>
      </c>
      <c r="BG24" s="75">
        <v>7700</v>
      </c>
      <c r="BH24" s="75"/>
      <c r="BI24" s="75"/>
      <c r="BJ24" s="75"/>
      <c r="BK24" s="76">
        <f t="shared" si="29"/>
        <v>321440</v>
      </c>
      <c r="BL24" s="47">
        <v>20</v>
      </c>
      <c r="BM24" s="77">
        <f t="shared" si="26"/>
        <v>321440</v>
      </c>
    </row>
    <row r="25" spans="2:67" ht="20" customHeight="1">
      <c r="B25" s="78">
        <f t="shared" si="27"/>
        <v>45525</v>
      </c>
      <c r="C25" s="79"/>
      <c r="D25" s="50"/>
      <c r="E25" s="51">
        <v>34</v>
      </c>
      <c r="F25" s="52">
        <v>129800</v>
      </c>
      <c r="G25" s="53">
        <f t="shared" si="0"/>
        <v>3470.5882352941176</v>
      </c>
      <c r="H25" s="52">
        <v>16630</v>
      </c>
      <c r="I25" s="53">
        <f t="shared" si="1"/>
        <v>444.64705882352939</v>
      </c>
      <c r="J25" s="55">
        <f t="shared" si="2"/>
        <v>146430</v>
      </c>
      <c r="K25" s="56">
        <f t="shared" si="3"/>
        <v>4306.7647058823532</v>
      </c>
      <c r="L25" s="57"/>
      <c r="M25" s="58">
        <f t="shared" si="4"/>
        <v>18</v>
      </c>
      <c r="N25" s="59">
        <f t="shared" si="4"/>
        <v>169950</v>
      </c>
      <c r="O25" s="53">
        <f t="shared" si="5"/>
        <v>8583.3333333333339</v>
      </c>
      <c r="P25" s="59">
        <f t="shared" si="6"/>
        <v>41610</v>
      </c>
      <c r="Q25" s="84">
        <f t="shared" si="7"/>
        <v>2101.5</v>
      </c>
      <c r="R25" s="60">
        <f t="shared" si="8"/>
        <v>211560</v>
      </c>
      <c r="S25" s="56">
        <f t="shared" si="9"/>
        <v>11753.333333333334</v>
      </c>
      <c r="T25" s="80">
        <f t="shared" si="10"/>
        <v>52</v>
      </c>
      <c r="U25" s="59">
        <f t="shared" si="10"/>
        <v>299750</v>
      </c>
      <c r="V25" s="59">
        <f t="shared" si="11"/>
        <v>58240</v>
      </c>
      <c r="W25" s="62">
        <f t="shared" si="12"/>
        <v>357990</v>
      </c>
      <c r="X25" s="81"/>
      <c r="Y25" s="63"/>
      <c r="Z25" s="64">
        <v>15</v>
      </c>
      <c r="AA25" s="52">
        <v>7480</v>
      </c>
      <c r="AB25" s="53">
        <f t="shared" si="13"/>
        <v>498.66666666666669</v>
      </c>
      <c r="AC25" s="52">
        <v>400</v>
      </c>
      <c r="AD25" s="54">
        <f t="shared" si="14"/>
        <v>26.666666666666668</v>
      </c>
      <c r="AE25" s="65">
        <f t="shared" si="15"/>
        <v>7880</v>
      </c>
      <c r="AF25" s="56">
        <f t="shared" si="16"/>
        <v>525.33333333333337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8"/>
        <v>0</v>
      </c>
      <c r="AN25" s="67" t="str">
        <f t="shared" si="19"/>
        <v/>
      </c>
      <c r="AO25" s="68"/>
      <c r="AP25" s="64">
        <v>506</v>
      </c>
      <c r="AQ25" s="52">
        <v>1302600</v>
      </c>
      <c r="AR25" s="53">
        <f t="shared" si="20"/>
        <v>2574.308300395257</v>
      </c>
      <c r="AS25" s="52">
        <v>664850</v>
      </c>
      <c r="AT25" s="54">
        <f t="shared" si="21"/>
        <v>1313.9328063241107</v>
      </c>
      <c r="AU25" s="54">
        <v>20350</v>
      </c>
      <c r="AV25" s="54"/>
      <c r="AW25" s="69">
        <f t="shared" si="33"/>
        <v>1987800</v>
      </c>
      <c r="AX25" s="67">
        <f t="shared" si="22"/>
        <v>3928.4584980237155</v>
      </c>
      <c r="AY25" s="82">
        <f t="shared" si="23"/>
        <v>52</v>
      </c>
      <c r="AZ25" s="59">
        <f t="shared" si="24"/>
        <v>1609830</v>
      </c>
      <c r="BA25" s="59">
        <f t="shared" si="25"/>
        <v>723490</v>
      </c>
      <c r="BB25" s="71">
        <f>W25+AE25+AM25+AW25-BN25</f>
        <v>2353670</v>
      </c>
      <c r="BC25" s="72">
        <f t="shared" si="30"/>
        <v>1100</v>
      </c>
      <c r="BD25" s="73">
        <v>52</v>
      </c>
      <c r="BE25" s="74">
        <v>299750</v>
      </c>
      <c r="BF25" s="74">
        <v>58240</v>
      </c>
      <c r="BG25" s="75">
        <v>1100</v>
      </c>
      <c r="BH25" s="75"/>
      <c r="BI25" s="75"/>
      <c r="BJ25" s="75"/>
      <c r="BK25" s="76">
        <f t="shared" si="29"/>
        <v>359090</v>
      </c>
      <c r="BL25" s="47">
        <v>21</v>
      </c>
      <c r="BM25" s="77">
        <f t="shared" si="26"/>
        <v>359090</v>
      </c>
    </row>
    <row r="26" spans="2:67" ht="20" customHeight="1">
      <c r="B26" s="78">
        <f t="shared" si="27"/>
        <v>45526</v>
      </c>
      <c r="C26" s="79"/>
      <c r="D26" s="50"/>
      <c r="E26" s="51">
        <v>31</v>
      </c>
      <c r="F26" s="52">
        <v>137500</v>
      </c>
      <c r="G26" s="53">
        <f t="shared" si="0"/>
        <v>4032.2580645161293</v>
      </c>
      <c r="H26" s="52">
        <v>15990</v>
      </c>
      <c r="I26" s="53">
        <f t="shared" si="1"/>
        <v>468.90322580645159</v>
      </c>
      <c r="J26" s="55">
        <f t="shared" si="2"/>
        <v>153490</v>
      </c>
      <c r="K26" s="56">
        <f t="shared" si="3"/>
        <v>4951.2903225806449</v>
      </c>
      <c r="L26" s="57"/>
      <c r="M26" s="58">
        <f t="shared" si="4"/>
        <v>14</v>
      </c>
      <c r="N26" s="59">
        <f t="shared" si="4"/>
        <v>123310</v>
      </c>
      <c r="O26" s="53">
        <f t="shared" si="5"/>
        <v>8007.1428571428569</v>
      </c>
      <c r="P26" s="59">
        <f t="shared" si="6"/>
        <v>18910</v>
      </c>
      <c r="Q26" s="84">
        <f t="shared" si="7"/>
        <v>1227.8571428571429</v>
      </c>
      <c r="R26" s="60">
        <f t="shared" si="8"/>
        <v>142220</v>
      </c>
      <c r="S26" s="56">
        <f t="shared" si="9"/>
        <v>10158.571428571429</v>
      </c>
      <c r="T26" s="80">
        <f t="shared" si="10"/>
        <v>45</v>
      </c>
      <c r="U26" s="59">
        <f t="shared" si="10"/>
        <v>260810</v>
      </c>
      <c r="V26" s="59">
        <f t="shared" si="11"/>
        <v>34900</v>
      </c>
      <c r="W26" s="62">
        <f t="shared" si="12"/>
        <v>295710</v>
      </c>
      <c r="X26" s="81"/>
      <c r="Y26" s="63"/>
      <c r="Z26" s="64">
        <v>17</v>
      </c>
      <c r="AA26" s="52">
        <v>8940</v>
      </c>
      <c r="AB26" s="53">
        <f t="shared" si="13"/>
        <v>525.88235294117646</v>
      </c>
      <c r="AC26" s="52">
        <v>2320</v>
      </c>
      <c r="AD26" s="54">
        <f t="shared" si="14"/>
        <v>136.47058823529412</v>
      </c>
      <c r="AE26" s="65">
        <f t="shared" si="15"/>
        <v>11260</v>
      </c>
      <c r="AF26" s="56">
        <f t="shared" si="16"/>
        <v>662.35294117647061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8"/>
        <v>0</v>
      </c>
      <c r="AN26" s="67" t="str">
        <f t="shared" si="19"/>
        <v/>
      </c>
      <c r="AO26" s="68"/>
      <c r="AP26" s="64">
        <v>244</v>
      </c>
      <c r="AQ26" s="52">
        <v>721350</v>
      </c>
      <c r="AR26" s="53">
        <f t="shared" si="20"/>
        <v>2956.3524590163934</v>
      </c>
      <c r="AS26" s="52">
        <v>388750</v>
      </c>
      <c r="AT26" s="54">
        <f t="shared" si="21"/>
        <v>1593.2377049180327</v>
      </c>
      <c r="AU26" s="54">
        <v>41250</v>
      </c>
      <c r="AV26" s="54"/>
      <c r="AW26" s="69">
        <f t="shared" si="33"/>
        <v>1151350</v>
      </c>
      <c r="AX26" s="67">
        <f t="shared" si="22"/>
        <v>4718.6475409836066</v>
      </c>
      <c r="AY26" s="82">
        <f t="shared" si="23"/>
        <v>45</v>
      </c>
      <c r="AZ26" s="59">
        <f t="shared" si="24"/>
        <v>991100</v>
      </c>
      <c r="BA26" s="59">
        <f t="shared" si="25"/>
        <v>425970</v>
      </c>
      <c r="BB26" s="71">
        <f>W26+AE26+AM26+AW26-BN26</f>
        <v>1458320</v>
      </c>
      <c r="BC26" s="72">
        <f>BG26+BH26</f>
        <v>3300</v>
      </c>
      <c r="BD26" s="73">
        <v>45</v>
      </c>
      <c r="BE26" s="74">
        <v>260810</v>
      </c>
      <c r="BF26" s="74">
        <v>34900</v>
      </c>
      <c r="BG26" s="75">
        <v>3300</v>
      </c>
      <c r="BH26" s="75"/>
      <c r="BI26" s="75"/>
      <c r="BJ26" s="75"/>
      <c r="BK26" s="76">
        <f t="shared" si="29"/>
        <v>299010</v>
      </c>
      <c r="BL26" s="47">
        <v>22</v>
      </c>
      <c r="BM26" s="77">
        <f t="shared" si="26"/>
        <v>299010</v>
      </c>
    </row>
    <row r="27" spans="2:67" ht="20" customHeight="1">
      <c r="B27" s="78">
        <f t="shared" si="27"/>
        <v>45527</v>
      </c>
      <c r="C27" s="79"/>
      <c r="D27" s="50"/>
      <c r="E27" s="51">
        <v>17</v>
      </c>
      <c r="F27" s="52">
        <v>72380</v>
      </c>
      <c r="G27" s="53">
        <f t="shared" si="0"/>
        <v>3870.5882352941176</v>
      </c>
      <c r="H27" s="52">
        <v>11020</v>
      </c>
      <c r="I27" s="53">
        <f t="shared" si="1"/>
        <v>589.29411764705878</v>
      </c>
      <c r="J27" s="55">
        <f t="shared" si="2"/>
        <v>83400</v>
      </c>
      <c r="K27" s="56">
        <f t="shared" si="3"/>
        <v>4905.8823529411766</v>
      </c>
      <c r="L27" s="57"/>
      <c r="M27" s="58">
        <f t="shared" si="4"/>
        <v>16</v>
      </c>
      <c r="N27" s="59">
        <f t="shared" si="4"/>
        <v>154220</v>
      </c>
      <c r="O27" s="53">
        <f t="shared" si="5"/>
        <v>8762.5</v>
      </c>
      <c r="P27" s="59">
        <f t="shared" si="6"/>
        <v>33820</v>
      </c>
      <c r="Q27" s="54">
        <f t="shared" si="7"/>
        <v>1921.5625</v>
      </c>
      <c r="R27" s="60">
        <f t="shared" si="8"/>
        <v>188040</v>
      </c>
      <c r="S27" s="56">
        <f t="shared" si="9"/>
        <v>11752.5</v>
      </c>
      <c r="T27" s="80">
        <f t="shared" si="10"/>
        <v>33</v>
      </c>
      <c r="U27" s="59">
        <f t="shared" si="10"/>
        <v>226600</v>
      </c>
      <c r="V27" s="59">
        <f t="shared" si="11"/>
        <v>44840</v>
      </c>
      <c r="W27" s="62">
        <f t="shared" si="12"/>
        <v>271440</v>
      </c>
      <c r="X27" s="81"/>
      <c r="Y27" s="63"/>
      <c r="Z27" s="64">
        <v>39</v>
      </c>
      <c r="AA27" s="52">
        <v>19070</v>
      </c>
      <c r="AB27" s="53">
        <f t="shared" si="13"/>
        <v>488.97435897435895</v>
      </c>
      <c r="AC27" s="52">
        <v>2400</v>
      </c>
      <c r="AD27" s="54">
        <f t="shared" si="14"/>
        <v>61.53846153846154</v>
      </c>
      <c r="AE27" s="65">
        <f t="shared" si="15"/>
        <v>21470</v>
      </c>
      <c r="AF27" s="56">
        <f t="shared" si="16"/>
        <v>550.51282051282055</v>
      </c>
      <c r="AG27" s="66"/>
      <c r="AH27" s="64">
        <v>16</v>
      </c>
      <c r="AI27" s="52">
        <v>54810</v>
      </c>
      <c r="AJ27" s="53">
        <f t="shared" si="17"/>
        <v>3425.625</v>
      </c>
      <c r="AK27" s="52">
        <v>23628</v>
      </c>
      <c r="AL27" s="54">
        <f t="shared" si="18"/>
        <v>1476.75</v>
      </c>
      <c r="AM27" s="65">
        <f t="shared" si="28"/>
        <v>78438</v>
      </c>
      <c r="AN27" s="67">
        <f t="shared" si="19"/>
        <v>4902.375</v>
      </c>
      <c r="AO27" s="68"/>
      <c r="AP27" s="64">
        <v>383</v>
      </c>
      <c r="AQ27" s="52">
        <v>1116150</v>
      </c>
      <c r="AR27" s="53">
        <f t="shared" si="20"/>
        <v>2914.2297650130549</v>
      </c>
      <c r="AS27" s="52">
        <v>576300</v>
      </c>
      <c r="AT27" s="54">
        <f t="shared" si="21"/>
        <v>1504.6997389033943</v>
      </c>
      <c r="AU27" s="54">
        <v>36960</v>
      </c>
      <c r="AV27" s="54"/>
      <c r="AW27" s="69">
        <f>AQ27+AS27+AU27+AV27-BO26</f>
        <v>1729410</v>
      </c>
      <c r="AX27" s="67">
        <f t="shared" si="22"/>
        <v>4515.4308093994778</v>
      </c>
      <c r="AY27" s="82">
        <f t="shared" si="23"/>
        <v>33</v>
      </c>
      <c r="AZ27" s="59">
        <f t="shared" si="24"/>
        <v>1416630</v>
      </c>
      <c r="BA27" s="59">
        <f t="shared" si="25"/>
        <v>647168</v>
      </c>
      <c r="BB27" s="71">
        <f>W27+AE27+AM27+AW27-BN27</f>
        <v>2100758</v>
      </c>
      <c r="BC27" s="72">
        <f t="shared" si="30"/>
        <v>3300</v>
      </c>
      <c r="BD27" s="73">
        <v>33</v>
      </c>
      <c r="BE27" s="74">
        <v>226600</v>
      </c>
      <c r="BF27" s="74">
        <v>44840</v>
      </c>
      <c r="BG27" s="75">
        <v>2200</v>
      </c>
      <c r="BH27" s="75">
        <v>1100</v>
      </c>
      <c r="BI27" s="75"/>
      <c r="BJ27" s="75"/>
      <c r="BK27" s="76">
        <f t="shared" si="29"/>
        <v>274740</v>
      </c>
      <c r="BL27" s="47">
        <v>23</v>
      </c>
      <c r="BM27" s="77">
        <f t="shared" si="26"/>
        <v>274740</v>
      </c>
    </row>
    <row r="28" spans="2:67" ht="20" customHeight="1">
      <c r="B28" s="78">
        <f>B27+1</f>
        <v>45528</v>
      </c>
      <c r="C28" s="79"/>
      <c r="D28" s="50"/>
      <c r="E28" s="51">
        <v>40</v>
      </c>
      <c r="F28" s="52">
        <f>82940+110220</f>
        <v>193160</v>
      </c>
      <c r="G28" s="53">
        <f t="shared" si="0"/>
        <v>4390</v>
      </c>
      <c r="H28" s="52">
        <f>111890+21250</f>
        <v>133140</v>
      </c>
      <c r="I28" s="53">
        <f t="shared" si="1"/>
        <v>3025.9</v>
      </c>
      <c r="J28" s="55">
        <f t="shared" si="2"/>
        <v>326300</v>
      </c>
      <c r="K28" s="56">
        <f t="shared" si="3"/>
        <v>8157.5</v>
      </c>
      <c r="L28" s="57"/>
      <c r="M28" s="58">
        <f t="shared" si="4"/>
        <v>24</v>
      </c>
      <c r="N28" s="59">
        <f t="shared" si="4"/>
        <v>277360</v>
      </c>
      <c r="O28" s="53">
        <f t="shared" si="5"/>
        <v>10506.041666666666</v>
      </c>
      <c r="P28" s="59">
        <f t="shared" si="6"/>
        <v>51120</v>
      </c>
      <c r="Q28" s="54">
        <f>ROUNDDOWN(P28/1.1,0)/M28</f>
        <v>1936.3333333333333</v>
      </c>
      <c r="R28" s="60">
        <f t="shared" si="8"/>
        <v>328480</v>
      </c>
      <c r="S28" s="56">
        <f t="shared" si="9"/>
        <v>13686.666666666666</v>
      </c>
      <c r="T28" s="80">
        <f t="shared" si="10"/>
        <v>64</v>
      </c>
      <c r="U28" s="59">
        <f t="shared" si="10"/>
        <v>470520</v>
      </c>
      <c r="V28" s="59">
        <f t="shared" si="11"/>
        <v>184260</v>
      </c>
      <c r="W28" s="62">
        <f t="shared" si="12"/>
        <v>654780</v>
      </c>
      <c r="X28" s="81"/>
      <c r="Y28" s="63"/>
      <c r="Z28" s="64">
        <v>42</v>
      </c>
      <c r="AA28" s="52">
        <v>20180</v>
      </c>
      <c r="AB28" s="53">
        <f t="shared" si="13"/>
        <v>480.47619047619048</v>
      </c>
      <c r="AC28" s="52">
        <v>1450</v>
      </c>
      <c r="AD28" s="54">
        <f t="shared" si="14"/>
        <v>34.523809523809526</v>
      </c>
      <c r="AE28" s="65">
        <f t="shared" si="15"/>
        <v>21630</v>
      </c>
      <c r="AF28" s="56">
        <f t="shared" si="16"/>
        <v>515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8"/>
        <v>0</v>
      </c>
      <c r="AN28" s="67" t="str">
        <f t="shared" si="19"/>
        <v/>
      </c>
      <c r="AO28" s="68"/>
      <c r="AP28" s="64">
        <v>572</v>
      </c>
      <c r="AQ28" s="52">
        <v>1595750</v>
      </c>
      <c r="AR28" s="53">
        <f t="shared" si="20"/>
        <v>2789.7727272727275</v>
      </c>
      <c r="AS28" s="52">
        <v>884020</v>
      </c>
      <c r="AT28" s="54">
        <f t="shared" si="21"/>
        <v>1545.4895104895104</v>
      </c>
      <c r="AU28" s="54">
        <v>63030</v>
      </c>
      <c r="AV28" s="54">
        <v>5940</v>
      </c>
      <c r="AW28" s="69">
        <f>AQ28+AS28+AU28+AV28</f>
        <v>2548740</v>
      </c>
      <c r="AX28" s="67">
        <f t="shared" si="22"/>
        <v>4455.8391608391612</v>
      </c>
      <c r="AY28" s="82">
        <f t="shared" si="23"/>
        <v>64</v>
      </c>
      <c r="AZ28" s="59">
        <f t="shared" si="24"/>
        <v>2086450</v>
      </c>
      <c r="BA28" s="59">
        <f t="shared" si="25"/>
        <v>1069730</v>
      </c>
      <c r="BB28" s="71">
        <f t="shared" si="32"/>
        <v>3225150</v>
      </c>
      <c r="BC28" s="72">
        <f t="shared" si="30"/>
        <v>15950</v>
      </c>
      <c r="BD28" s="73">
        <v>64</v>
      </c>
      <c r="BE28" s="74">
        <v>470520</v>
      </c>
      <c r="BF28" s="74">
        <v>184260</v>
      </c>
      <c r="BG28" s="75">
        <v>15950</v>
      </c>
      <c r="BH28" s="75"/>
      <c r="BI28" s="75"/>
      <c r="BJ28" s="75"/>
      <c r="BK28" s="76">
        <f t="shared" si="29"/>
        <v>670730</v>
      </c>
      <c r="BL28" s="47">
        <v>24</v>
      </c>
      <c r="BM28" s="77">
        <f t="shared" si="26"/>
        <v>670730</v>
      </c>
    </row>
    <row r="29" spans="2:67" ht="20" customHeight="1">
      <c r="B29" s="78">
        <f t="shared" si="27"/>
        <v>45529</v>
      </c>
      <c r="C29" s="79"/>
      <c r="D29" s="50"/>
      <c r="E29" s="51">
        <v>25</v>
      </c>
      <c r="F29" s="52">
        <v>131230</v>
      </c>
      <c r="G29" s="53">
        <f t="shared" si="0"/>
        <v>4772</v>
      </c>
      <c r="H29" s="52">
        <v>18270</v>
      </c>
      <c r="I29" s="53">
        <f t="shared" si="1"/>
        <v>664.36</v>
      </c>
      <c r="J29" s="55">
        <f t="shared" si="2"/>
        <v>149500</v>
      </c>
      <c r="K29" s="56">
        <f t="shared" si="3"/>
        <v>5980</v>
      </c>
      <c r="L29" s="57"/>
      <c r="M29" s="58">
        <f t="shared" si="4"/>
        <v>20</v>
      </c>
      <c r="N29" s="59">
        <f t="shared" si="4"/>
        <v>210210</v>
      </c>
      <c r="O29" s="53">
        <f t="shared" si="5"/>
        <v>9555</v>
      </c>
      <c r="P29" s="59">
        <f t="shared" si="6"/>
        <v>26480</v>
      </c>
      <c r="Q29" s="54">
        <f t="shared" si="7"/>
        <v>1203.5999999999999</v>
      </c>
      <c r="R29" s="60">
        <f t="shared" si="8"/>
        <v>236690</v>
      </c>
      <c r="S29" s="56">
        <f t="shared" si="9"/>
        <v>11834.5</v>
      </c>
      <c r="T29" s="80">
        <f t="shared" si="10"/>
        <v>45</v>
      </c>
      <c r="U29" s="59">
        <f t="shared" si="10"/>
        <v>341440</v>
      </c>
      <c r="V29" s="59">
        <f t="shared" si="11"/>
        <v>44750</v>
      </c>
      <c r="W29" s="62">
        <f t="shared" si="12"/>
        <v>386190</v>
      </c>
      <c r="X29" s="81"/>
      <c r="Y29" s="63"/>
      <c r="Z29" s="64">
        <v>24</v>
      </c>
      <c r="AA29" s="52">
        <v>13390</v>
      </c>
      <c r="AB29" s="53">
        <f t="shared" si="13"/>
        <v>557.91666666666663</v>
      </c>
      <c r="AC29" s="52">
        <v>3810</v>
      </c>
      <c r="AD29" s="54">
        <f t="shared" si="14"/>
        <v>158.75</v>
      </c>
      <c r="AE29" s="65">
        <f t="shared" si="15"/>
        <v>17200</v>
      </c>
      <c r="AF29" s="56">
        <f t="shared" si="16"/>
        <v>716.66666666666663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8"/>
        <v>0</v>
      </c>
      <c r="AN29" s="67" t="str">
        <f t="shared" si="19"/>
        <v/>
      </c>
      <c r="AO29" s="68"/>
      <c r="AP29" s="64">
        <v>659</v>
      </c>
      <c r="AQ29" s="52">
        <v>1393200</v>
      </c>
      <c r="AR29" s="53">
        <f t="shared" si="20"/>
        <v>2114.112291350531</v>
      </c>
      <c r="AS29" s="52">
        <v>794950</v>
      </c>
      <c r="AT29" s="54">
        <f t="shared" si="21"/>
        <v>1206.2974203338392</v>
      </c>
      <c r="AU29" s="54">
        <v>44660</v>
      </c>
      <c r="AV29" s="54">
        <v>5940</v>
      </c>
      <c r="AW29" s="69">
        <f>AQ29+AS29+AU29+AV29-BO29</f>
        <v>2238750</v>
      </c>
      <c r="AX29" s="67">
        <f t="shared" si="22"/>
        <v>3397.1927162367224</v>
      </c>
      <c r="AY29" s="82">
        <f t="shared" si="23"/>
        <v>45</v>
      </c>
      <c r="AZ29" s="59">
        <f t="shared" si="24"/>
        <v>1748030</v>
      </c>
      <c r="BA29" s="59">
        <f t="shared" si="25"/>
        <v>843510</v>
      </c>
      <c r="BB29" s="71">
        <f t="shared" si="32"/>
        <v>2642140</v>
      </c>
      <c r="BC29" s="72">
        <f t="shared" si="30"/>
        <v>7700</v>
      </c>
      <c r="BD29" s="73">
        <v>45</v>
      </c>
      <c r="BE29" s="74">
        <v>341440</v>
      </c>
      <c r="BF29" s="74">
        <v>44750</v>
      </c>
      <c r="BG29" s="75">
        <v>7700</v>
      </c>
      <c r="BH29" s="75"/>
      <c r="BI29" s="75"/>
      <c r="BJ29" s="75"/>
      <c r="BK29" s="76">
        <f t="shared" si="29"/>
        <v>393890</v>
      </c>
      <c r="BL29" s="47">
        <v>25</v>
      </c>
      <c r="BM29" s="77">
        <f t="shared" si="26"/>
        <v>393890</v>
      </c>
    </row>
    <row r="30" spans="2:67" ht="20" customHeight="1">
      <c r="B30" s="78">
        <f t="shared" si="27"/>
        <v>45530</v>
      </c>
      <c r="C30" s="79"/>
      <c r="D30" s="50"/>
      <c r="E30" s="51">
        <v>32</v>
      </c>
      <c r="F30" s="52">
        <v>106040</v>
      </c>
      <c r="G30" s="53">
        <f t="shared" si="0"/>
        <v>3012.5</v>
      </c>
      <c r="H30" s="52">
        <v>8740</v>
      </c>
      <c r="I30" s="53">
        <f t="shared" si="1"/>
        <v>248.28125</v>
      </c>
      <c r="J30" s="55">
        <f t="shared" si="2"/>
        <v>114780</v>
      </c>
      <c r="K30" s="56">
        <f t="shared" si="3"/>
        <v>3586.875</v>
      </c>
      <c r="L30" s="57"/>
      <c r="M30" s="58">
        <f t="shared" si="4"/>
        <v>15</v>
      </c>
      <c r="N30" s="59">
        <f t="shared" si="4"/>
        <v>159500</v>
      </c>
      <c r="O30" s="53">
        <f t="shared" si="5"/>
        <v>9666.6666666666661</v>
      </c>
      <c r="P30" s="59">
        <f t="shared" si="6"/>
        <v>47790</v>
      </c>
      <c r="Q30" s="53">
        <f t="shared" si="7"/>
        <v>2896.3333333333335</v>
      </c>
      <c r="R30" s="60">
        <f t="shared" si="8"/>
        <v>207290</v>
      </c>
      <c r="S30" s="56">
        <f t="shared" si="9"/>
        <v>13819.333333333334</v>
      </c>
      <c r="T30" s="80">
        <f t="shared" si="10"/>
        <v>47</v>
      </c>
      <c r="U30" s="59">
        <f t="shared" si="10"/>
        <v>265540</v>
      </c>
      <c r="V30" s="59">
        <f t="shared" si="11"/>
        <v>56530</v>
      </c>
      <c r="W30" s="62">
        <f t="shared" si="12"/>
        <v>322070</v>
      </c>
      <c r="X30" s="81"/>
      <c r="Y30" s="63"/>
      <c r="Z30" s="64">
        <v>23</v>
      </c>
      <c r="AA30" s="52">
        <v>9090</v>
      </c>
      <c r="AB30" s="53">
        <f t="shared" si="13"/>
        <v>395.21739130434781</v>
      </c>
      <c r="AC30" s="52">
        <v>3000</v>
      </c>
      <c r="AD30" s="54">
        <f t="shared" si="14"/>
        <v>130.43478260869566</v>
      </c>
      <c r="AE30" s="65">
        <f t="shared" si="15"/>
        <v>12090</v>
      </c>
      <c r="AF30" s="56">
        <f t="shared" si="16"/>
        <v>525.6521739130435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8"/>
        <v>0</v>
      </c>
      <c r="AN30" s="67" t="str">
        <f t="shared" si="19"/>
        <v/>
      </c>
      <c r="AO30" s="68"/>
      <c r="AP30" s="64">
        <v>202</v>
      </c>
      <c r="AQ30" s="52">
        <v>560400</v>
      </c>
      <c r="AR30" s="53">
        <f t="shared" si="20"/>
        <v>2774.2574257425745</v>
      </c>
      <c r="AS30" s="52">
        <v>302700</v>
      </c>
      <c r="AT30" s="54">
        <f t="shared" si="21"/>
        <v>1498.5148514851485</v>
      </c>
      <c r="AU30" s="54">
        <v>4950</v>
      </c>
      <c r="AV30" s="54"/>
      <c r="AW30" s="69">
        <f t="shared" si="33"/>
        <v>868050</v>
      </c>
      <c r="AX30" s="67">
        <f t="shared" si="22"/>
        <v>4297.2772277227723</v>
      </c>
      <c r="AY30" s="82">
        <f t="shared" si="23"/>
        <v>47</v>
      </c>
      <c r="AZ30" s="59">
        <f t="shared" si="24"/>
        <v>835030</v>
      </c>
      <c r="BA30" s="59">
        <f t="shared" si="25"/>
        <v>362230</v>
      </c>
      <c r="BB30" s="71">
        <f t="shared" si="32"/>
        <v>1202210</v>
      </c>
      <c r="BC30" s="72">
        <f>BG30+BH30</f>
        <v>0</v>
      </c>
      <c r="BD30" s="73">
        <v>47</v>
      </c>
      <c r="BE30" s="74">
        <v>265540</v>
      </c>
      <c r="BF30" s="74">
        <v>56530</v>
      </c>
      <c r="BG30" s="75"/>
      <c r="BH30" s="75"/>
      <c r="BI30" s="75"/>
      <c r="BJ30" s="75"/>
      <c r="BK30" s="76">
        <f t="shared" si="29"/>
        <v>322070</v>
      </c>
      <c r="BL30" s="47">
        <v>26</v>
      </c>
      <c r="BM30" s="77">
        <f t="shared" si="26"/>
        <v>322070</v>
      </c>
    </row>
    <row r="31" spans="2:67" ht="20" customHeight="1">
      <c r="B31" s="78">
        <f t="shared" si="27"/>
        <v>45531</v>
      </c>
      <c r="C31" s="79"/>
      <c r="D31" s="50"/>
      <c r="E31" s="51">
        <v>26</v>
      </c>
      <c r="F31" s="52">
        <v>94600</v>
      </c>
      <c r="G31" s="53">
        <f t="shared" si="0"/>
        <v>3307.6923076923076</v>
      </c>
      <c r="H31" s="52">
        <v>8240</v>
      </c>
      <c r="I31" s="53">
        <f t="shared" si="1"/>
        <v>288.07692307692309</v>
      </c>
      <c r="J31" s="55">
        <f t="shared" si="2"/>
        <v>102840</v>
      </c>
      <c r="K31" s="56">
        <f t="shared" si="3"/>
        <v>3955.3846153846152</v>
      </c>
      <c r="L31" s="57"/>
      <c r="M31" s="58">
        <f t="shared" si="4"/>
        <v>17</v>
      </c>
      <c r="N31" s="59">
        <f t="shared" si="4"/>
        <v>167400</v>
      </c>
      <c r="O31" s="53">
        <f t="shared" si="5"/>
        <v>8951.823529411764</v>
      </c>
      <c r="P31" s="59">
        <f t="shared" si="6"/>
        <v>10280</v>
      </c>
      <c r="Q31" s="53">
        <f t="shared" si="7"/>
        <v>549.70588235294122</v>
      </c>
      <c r="R31" s="60">
        <f t="shared" si="8"/>
        <v>177680</v>
      </c>
      <c r="S31" s="56">
        <f t="shared" si="9"/>
        <v>10451.764705882353</v>
      </c>
      <c r="T31" s="80">
        <f t="shared" si="10"/>
        <v>43</v>
      </c>
      <c r="U31" s="59">
        <f t="shared" si="10"/>
        <v>262000</v>
      </c>
      <c r="V31" s="59">
        <f t="shared" si="11"/>
        <v>18520</v>
      </c>
      <c r="W31" s="62">
        <f t="shared" si="12"/>
        <v>280520</v>
      </c>
      <c r="X31" s="81"/>
      <c r="Y31" s="63"/>
      <c r="Z31" s="64">
        <v>3</v>
      </c>
      <c r="AA31" s="52">
        <v>1660</v>
      </c>
      <c r="AB31" s="53">
        <f t="shared" si="13"/>
        <v>553.33333333333337</v>
      </c>
      <c r="AC31" s="52">
        <v>1700</v>
      </c>
      <c r="AD31" s="54">
        <f t="shared" si="14"/>
        <v>566.66666666666663</v>
      </c>
      <c r="AE31" s="65">
        <f t="shared" si="15"/>
        <v>3360</v>
      </c>
      <c r="AF31" s="56">
        <f t="shared" si="16"/>
        <v>1120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8"/>
        <v>0</v>
      </c>
      <c r="AN31" s="67" t="str">
        <f t="shared" si="19"/>
        <v/>
      </c>
      <c r="AO31" s="68"/>
      <c r="AP31" s="64">
        <v>100</v>
      </c>
      <c r="AQ31" s="52">
        <v>297950</v>
      </c>
      <c r="AR31" s="53">
        <f t="shared" si="20"/>
        <v>2979.5</v>
      </c>
      <c r="AS31" s="52">
        <v>164800</v>
      </c>
      <c r="AT31" s="54">
        <f t="shared" si="21"/>
        <v>1648</v>
      </c>
      <c r="AU31" s="54">
        <v>234596</v>
      </c>
      <c r="AV31" s="54"/>
      <c r="AW31" s="69">
        <f t="shared" si="33"/>
        <v>697346</v>
      </c>
      <c r="AX31" s="67">
        <f t="shared" si="22"/>
        <v>6973.46</v>
      </c>
      <c r="AY31" s="82">
        <f t="shared" si="23"/>
        <v>43</v>
      </c>
      <c r="AZ31" s="59">
        <f t="shared" si="24"/>
        <v>561610</v>
      </c>
      <c r="BA31" s="59">
        <f t="shared" si="25"/>
        <v>185020</v>
      </c>
      <c r="BB31" s="71">
        <f>W31+AE31+AM31+AW31-BN31</f>
        <v>981226</v>
      </c>
      <c r="BC31" s="72">
        <f t="shared" si="30"/>
        <v>1100</v>
      </c>
      <c r="BD31" s="73">
        <v>43</v>
      </c>
      <c r="BE31" s="74">
        <v>262000</v>
      </c>
      <c r="BF31" s="74">
        <v>18520</v>
      </c>
      <c r="BG31" s="75">
        <v>1100</v>
      </c>
      <c r="BH31" s="75"/>
      <c r="BI31" s="75"/>
      <c r="BJ31" s="75"/>
      <c r="BK31" s="76">
        <f t="shared" si="29"/>
        <v>281620</v>
      </c>
      <c r="BL31" s="47">
        <v>27</v>
      </c>
      <c r="BM31" s="77">
        <f t="shared" si="26"/>
        <v>281620</v>
      </c>
    </row>
    <row r="32" spans="2:67" ht="20" customHeight="1">
      <c r="B32" s="78">
        <f t="shared" si="27"/>
        <v>45532</v>
      </c>
      <c r="C32" s="79"/>
      <c r="D32" s="50"/>
      <c r="E32" s="51">
        <v>34</v>
      </c>
      <c r="F32" s="52">
        <v>125730</v>
      </c>
      <c r="G32" s="53">
        <f t="shared" si="0"/>
        <v>3361.7647058823532</v>
      </c>
      <c r="H32" s="52">
        <v>16980</v>
      </c>
      <c r="I32" s="53">
        <f t="shared" si="1"/>
        <v>454</v>
      </c>
      <c r="J32" s="55">
        <f t="shared" si="2"/>
        <v>142710</v>
      </c>
      <c r="K32" s="56">
        <f t="shared" si="3"/>
        <v>4197.3529411764703</v>
      </c>
      <c r="L32" s="57"/>
      <c r="M32" s="58">
        <f t="shared" si="4"/>
        <v>14</v>
      </c>
      <c r="N32" s="59">
        <f t="shared" si="4"/>
        <v>124960</v>
      </c>
      <c r="O32" s="53">
        <f t="shared" si="5"/>
        <v>8114.2857142857147</v>
      </c>
      <c r="P32" s="59">
        <f t="shared" si="6"/>
        <v>42910</v>
      </c>
      <c r="Q32" s="53">
        <f t="shared" si="7"/>
        <v>2786.3571428571427</v>
      </c>
      <c r="R32" s="60">
        <f t="shared" si="8"/>
        <v>167870</v>
      </c>
      <c r="S32" s="56">
        <f t="shared" si="9"/>
        <v>11990.714285714286</v>
      </c>
      <c r="T32" s="80">
        <f t="shared" si="10"/>
        <v>48</v>
      </c>
      <c r="U32" s="59">
        <f t="shared" si="10"/>
        <v>250690</v>
      </c>
      <c r="V32" s="59">
        <f t="shared" si="11"/>
        <v>59890</v>
      </c>
      <c r="W32" s="62">
        <f t="shared" si="12"/>
        <v>310580</v>
      </c>
      <c r="X32" s="81"/>
      <c r="Y32" s="63"/>
      <c r="Z32" s="64">
        <v>11</v>
      </c>
      <c r="AA32" s="52">
        <v>5700</v>
      </c>
      <c r="AB32" s="53">
        <f t="shared" si="13"/>
        <v>518.18181818181813</v>
      </c>
      <c r="AC32" s="52">
        <v>2450</v>
      </c>
      <c r="AD32" s="54">
        <f t="shared" si="14"/>
        <v>222.72727272727272</v>
      </c>
      <c r="AE32" s="65">
        <f t="shared" si="15"/>
        <v>8150</v>
      </c>
      <c r="AF32" s="56">
        <f t="shared" si="16"/>
        <v>740.90909090909088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8"/>
        <v>0</v>
      </c>
      <c r="AN32" s="67" t="str">
        <f t="shared" si="19"/>
        <v/>
      </c>
      <c r="AO32" s="68"/>
      <c r="AP32" s="64">
        <v>229</v>
      </c>
      <c r="AQ32" s="52">
        <v>602900</v>
      </c>
      <c r="AR32" s="53">
        <f t="shared" si="20"/>
        <v>2632.7510917030568</v>
      </c>
      <c r="AS32" s="52">
        <v>359350</v>
      </c>
      <c r="AT32" s="54">
        <f t="shared" si="21"/>
        <v>1569.2139737991267</v>
      </c>
      <c r="AU32" s="54">
        <v>28270</v>
      </c>
      <c r="AV32" s="54"/>
      <c r="AW32" s="69">
        <f t="shared" si="33"/>
        <v>990520</v>
      </c>
      <c r="AX32" s="67">
        <f t="shared" si="22"/>
        <v>4325.4148471615717</v>
      </c>
      <c r="AY32" s="82">
        <f t="shared" si="23"/>
        <v>48</v>
      </c>
      <c r="AZ32" s="59">
        <f>U32+AA32+AI32+AQ32</f>
        <v>859290</v>
      </c>
      <c r="BA32" s="59">
        <f t="shared" si="25"/>
        <v>421690</v>
      </c>
      <c r="BB32" s="71">
        <f>W32+AE32+AM32+AW32-BN32</f>
        <v>1309250</v>
      </c>
      <c r="BC32" s="72">
        <f>BG32+BH32</f>
        <v>2200</v>
      </c>
      <c r="BD32" s="73">
        <v>48</v>
      </c>
      <c r="BE32" s="74">
        <v>250690</v>
      </c>
      <c r="BF32" s="74">
        <v>59890</v>
      </c>
      <c r="BG32" s="75"/>
      <c r="BH32" s="75">
        <v>2200</v>
      </c>
      <c r="BI32" s="75"/>
      <c r="BJ32" s="75"/>
      <c r="BK32" s="76">
        <f>SUM(BE32:BH32)</f>
        <v>312780</v>
      </c>
      <c r="BL32" s="47">
        <v>28</v>
      </c>
    </row>
    <row r="33" spans="2:66" ht="20" customHeight="1">
      <c r="B33" s="78">
        <f t="shared" si="27"/>
        <v>45533</v>
      </c>
      <c r="C33" s="79"/>
      <c r="D33" s="50"/>
      <c r="E33" s="51">
        <v>44</v>
      </c>
      <c r="F33" s="52">
        <v>182930</v>
      </c>
      <c r="G33" s="53">
        <f t="shared" si="0"/>
        <v>3779.5454545454545</v>
      </c>
      <c r="H33" s="52">
        <v>23140</v>
      </c>
      <c r="I33" s="53">
        <f t="shared" si="1"/>
        <v>478.09090909090907</v>
      </c>
      <c r="J33" s="55">
        <f t="shared" si="2"/>
        <v>206070</v>
      </c>
      <c r="K33" s="56">
        <f t="shared" si="3"/>
        <v>4683.409090909091</v>
      </c>
      <c r="L33" s="57"/>
      <c r="M33" s="58">
        <f t="shared" si="4"/>
        <v>21</v>
      </c>
      <c r="N33" s="59">
        <f t="shared" si="4"/>
        <v>185570</v>
      </c>
      <c r="O33" s="53">
        <f t="shared" si="5"/>
        <v>8033.333333333333</v>
      </c>
      <c r="P33" s="59">
        <f t="shared" si="6"/>
        <v>46080</v>
      </c>
      <c r="Q33" s="53">
        <f t="shared" si="7"/>
        <v>1994.7619047619048</v>
      </c>
      <c r="R33" s="60">
        <f t="shared" si="8"/>
        <v>231650</v>
      </c>
      <c r="S33" s="56">
        <f t="shared" si="9"/>
        <v>11030.952380952382</v>
      </c>
      <c r="T33" s="80">
        <f t="shared" si="10"/>
        <v>65</v>
      </c>
      <c r="U33" s="59">
        <f t="shared" si="10"/>
        <v>368500</v>
      </c>
      <c r="V33" s="59">
        <f t="shared" si="11"/>
        <v>69220</v>
      </c>
      <c r="W33" s="62">
        <f>J33+R33</f>
        <v>437720</v>
      </c>
      <c r="X33" s="81"/>
      <c r="Y33" s="63"/>
      <c r="Z33" s="64">
        <v>11</v>
      </c>
      <c r="AA33" s="52">
        <v>7010</v>
      </c>
      <c r="AB33" s="53">
        <f t="shared" si="13"/>
        <v>637.27272727272725</v>
      </c>
      <c r="AC33" s="52">
        <v>5200</v>
      </c>
      <c r="AD33" s="54">
        <f t="shared" si="14"/>
        <v>472.72727272727275</v>
      </c>
      <c r="AE33" s="65">
        <f t="shared" si="15"/>
        <v>12210</v>
      </c>
      <c r="AF33" s="56">
        <f t="shared" si="16"/>
        <v>1110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8"/>
        <v>0</v>
      </c>
      <c r="AN33" s="67" t="str">
        <f t="shared" si="19"/>
        <v/>
      </c>
      <c r="AO33" s="68"/>
      <c r="AP33" s="64">
        <v>249</v>
      </c>
      <c r="AQ33" s="52">
        <v>729600</v>
      </c>
      <c r="AR33" s="53">
        <f t="shared" si="20"/>
        <v>2930.1204819277109</v>
      </c>
      <c r="AS33" s="52">
        <v>399500</v>
      </c>
      <c r="AT33" s="54">
        <f t="shared" si="21"/>
        <v>1604.4176706827309</v>
      </c>
      <c r="AU33" s="54">
        <v>18040</v>
      </c>
      <c r="AV33" s="54">
        <v>2970</v>
      </c>
      <c r="AW33" s="69">
        <f t="shared" si="33"/>
        <v>1150110</v>
      </c>
      <c r="AX33" s="67">
        <f t="shared" si="22"/>
        <v>4618.9156626506028</v>
      </c>
      <c r="AY33" s="82">
        <f t="shared" si="23"/>
        <v>65</v>
      </c>
      <c r="AZ33" s="59">
        <f t="shared" si="24"/>
        <v>1105110</v>
      </c>
      <c r="BA33" s="59">
        <f t="shared" si="25"/>
        <v>473920</v>
      </c>
      <c r="BB33" s="71">
        <f>W33+AE33+AM33+AW33-BN33</f>
        <v>1600040</v>
      </c>
      <c r="BC33" s="72">
        <f t="shared" si="30"/>
        <v>1100</v>
      </c>
      <c r="BD33" s="73">
        <v>65</v>
      </c>
      <c r="BE33" s="74">
        <v>368500</v>
      </c>
      <c r="BF33" s="74">
        <v>69220</v>
      </c>
      <c r="BG33" s="75">
        <v>1100</v>
      </c>
      <c r="BH33" s="75"/>
      <c r="BI33" s="75"/>
      <c r="BJ33" s="75"/>
      <c r="BK33" s="76">
        <f t="shared" si="29"/>
        <v>438820</v>
      </c>
      <c r="BL33" s="47">
        <v>29</v>
      </c>
      <c r="BM33" s="77">
        <f t="shared" si="26"/>
        <v>438820</v>
      </c>
    </row>
    <row r="34" spans="2:66" ht="20" customHeight="1">
      <c r="B34" s="78">
        <f t="shared" si="27"/>
        <v>45534</v>
      </c>
      <c r="C34" s="79"/>
      <c r="D34" s="50"/>
      <c r="E34" s="51">
        <v>25</v>
      </c>
      <c r="F34" s="52">
        <v>143660</v>
      </c>
      <c r="G34" s="53">
        <f t="shared" si="0"/>
        <v>5224</v>
      </c>
      <c r="H34" s="52">
        <v>58880</v>
      </c>
      <c r="I34" s="53">
        <f t="shared" si="1"/>
        <v>2141.08</v>
      </c>
      <c r="J34" s="55">
        <f t="shared" si="2"/>
        <v>202540</v>
      </c>
      <c r="K34" s="56">
        <f t="shared" si="3"/>
        <v>8101.6</v>
      </c>
      <c r="L34" s="57"/>
      <c r="M34" s="58">
        <f t="shared" si="4"/>
        <v>16</v>
      </c>
      <c r="N34" s="59">
        <f t="shared" si="4"/>
        <v>187330</v>
      </c>
      <c r="O34" s="53">
        <f t="shared" si="5"/>
        <v>10643.75</v>
      </c>
      <c r="P34" s="59">
        <f t="shared" si="6"/>
        <v>62290</v>
      </c>
      <c r="Q34" s="53">
        <f t="shared" si="7"/>
        <v>3539.1875</v>
      </c>
      <c r="R34" s="60">
        <f t="shared" si="8"/>
        <v>249620</v>
      </c>
      <c r="S34" s="56">
        <f t="shared" si="9"/>
        <v>15601.25</v>
      </c>
      <c r="T34" s="80">
        <f t="shared" si="10"/>
        <v>41</v>
      </c>
      <c r="U34" s="59">
        <f t="shared" si="10"/>
        <v>330990</v>
      </c>
      <c r="V34" s="59">
        <f t="shared" si="11"/>
        <v>121170</v>
      </c>
      <c r="W34" s="62">
        <f t="shared" si="12"/>
        <v>452160</v>
      </c>
      <c r="X34" s="81"/>
      <c r="Y34" s="87"/>
      <c r="Z34" s="88">
        <v>20</v>
      </c>
      <c r="AA34" s="89">
        <v>10110</v>
      </c>
      <c r="AB34" s="53">
        <f t="shared" si="13"/>
        <v>505.5</v>
      </c>
      <c r="AC34" s="89">
        <v>5650</v>
      </c>
      <c r="AD34" s="54">
        <f t="shared" si="14"/>
        <v>282.5</v>
      </c>
      <c r="AE34" s="65">
        <f t="shared" si="15"/>
        <v>15760</v>
      </c>
      <c r="AF34" s="56">
        <f t="shared" si="16"/>
        <v>788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8"/>
        <v>0</v>
      </c>
      <c r="AN34" s="67" t="str">
        <f t="shared" si="19"/>
        <v/>
      </c>
      <c r="AO34" s="68"/>
      <c r="AP34" s="88">
        <v>371</v>
      </c>
      <c r="AQ34" s="89">
        <v>1347850</v>
      </c>
      <c r="AR34" s="53">
        <f t="shared" si="20"/>
        <v>3633.0188679245284</v>
      </c>
      <c r="AS34" s="89">
        <v>653450</v>
      </c>
      <c r="AT34" s="54">
        <f t="shared" si="21"/>
        <v>1761.3207547169811</v>
      </c>
      <c r="AU34" s="54">
        <v>25850</v>
      </c>
      <c r="AV34" s="54"/>
      <c r="AW34" s="69">
        <f>AQ34+AS34+AU34+AV34-BN34</f>
        <v>2025610</v>
      </c>
      <c r="AX34" s="67">
        <f t="shared" si="22"/>
        <v>5459.8652291105118</v>
      </c>
      <c r="AY34" s="82">
        <f t="shared" si="23"/>
        <v>41</v>
      </c>
      <c r="AZ34" s="59">
        <f t="shared" si="24"/>
        <v>1688950</v>
      </c>
      <c r="BA34" s="59">
        <f t="shared" si="25"/>
        <v>780270</v>
      </c>
      <c r="BB34" s="71">
        <f>W34+AE34+AM34+AW34-BN34</f>
        <v>2491990</v>
      </c>
      <c r="BC34" s="72">
        <f t="shared" si="30"/>
        <v>1100</v>
      </c>
      <c r="BD34" s="73">
        <v>41</v>
      </c>
      <c r="BE34" s="74">
        <v>330990</v>
      </c>
      <c r="BF34" s="74">
        <v>121170</v>
      </c>
      <c r="BG34" s="75">
        <v>1100</v>
      </c>
      <c r="BH34" s="75"/>
      <c r="BI34" s="75"/>
      <c r="BJ34" s="75"/>
      <c r="BK34" s="76">
        <f t="shared" si="29"/>
        <v>453260</v>
      </c>
      <c r="BL34" s="47">
        <v>30</v>
      </c>
      <c r="BM34" s="77">
        <f t="shared" si="26"/>
        <v>453260</v>
      </c>
      <c r="BN34" s="47">
        <v>1540</v>
      </c>
    </row>
    <row r="35" spans="2:66" ht="20" customHeight="1" thickBot="1">
      <c r="B35" s="78">
        <f t="shared" si="27"/>
        <v>45535</v>
      </c>
      <c r="C35" s="79"/>
      <c r="D35" s="50"/>
      <c r="E35" s="51">
        <v>29</v>
      </c>
      <c r="F35" s="52">
        <v>153560</v>
      </c>
      <c r="G35" s="53">
        <f t="shared" si="0"/>
        <v>4813.7931034482763</v>
      </c>
      <c r="H35" s="52">
        <v>25440</v>
      </c>
      <c r="I35" s="53">
        <f t="shared" si="1"/>
        <v>797.48275862068965</v>
      </c>
      <c r="J35" s="55">
        <f t="shared" si="2"/>
        <v>179000</v>
      </c>
      <c r="K35" s="56">
        <f t="shared" si="3"/>
        <v>6172.4137931034484</v>
      </c>
      <c r="L35" s="57"/>
      <c r="M35" s="90">
        <f t="shared" si="4"/>
        <v>21</v>
      </c>
      <c r="N35" s="59">
        <f t="shared" si="4"/>
        <v>216200</v>
      </c>
      <c r="O35" s="53">
        <f t="shared" si="5"/>
        <v>9359.2857142857138</v>
      </c>
      <c r="P35" s="59">
        <f t="shared" si="6"/>
        <v>59550</v>
      </c>
      <c r="Q35" s="53">
        <f t="shared" si="7"/>
        <v>2577.9047619047619</v>
      </c>
      <c r="R35" s="60">
        <f t="shared" si="8"/>
        <v>275750</v>
      </c>
      <c r="S35" s="56">
        <f t="shared" si="9"/>
        <v>13130.952380952382</v>
      </c>
      <c r="T35" s="91">
        <f t="shared" si="10"/>
        <v>50</v>
      </c>
      <c r="U35" s="92">
        <f t="shared" si="10"/>
        <v>369760</v>
      </c>
      <c r="V35" s="92">
        <f t="shared" si="11"/>
        <v>84990</v>
      </c>
      <c r="W35" s="93">
        <f t="shared" si="12"/>
        <v>454750</v>
      </c>
      <c r="X35" s="92"/>
      <c r="Y35" s="94"/>
      <c r="Z35" s="95">
        <v>29</v>
      </c>
      <c r="AA35" s="96">
        <v>11370</v>
      </c>
      <c r="AB35" s="97">
        <f t="shared" si="13"/>
        <v>392.06896551724139</v>
      </c>
      <c r="AC35" s="96">
        <v>0</v>
      </c>
      <c r="AD35" s="98">
        <f t="shared" si="14"/>
        <v>0</v>
      </c>
      <c r="AE35" s="99">
        <f t="shared" si="15"/>
        <v>11370</v>
      </c>
      <c r="AF35" s="56">
        <f t="shared" si="16"/>
        <v>392.06896551724139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8"/>
        <v>0</v>
      </c>
      <c r="AN35" s="67" t="str">
        <f t="shared" si="19"/>
        <v/>
      </c>
      <c r="AO35" s="101"/>
      <c r="AP35" s="95">
        <v>521</v>
      </c>
      <c r="AQ35" s="96">
        <v>1455450</v>
      </c>
      <c r="AR35" s="97">
        <f t="shared" si="20"/>
        <v>2793.570057581574</v>
      </c>
      <c r="AS35" s="96">
        <v>765150</v>
      </c>
      <c r="AT35" s="98">
        <f t="shared" si="21"/>
        <v>1468.6180422264874</v>
      </c>
      <c r="AU35" s="98">
        <v>66880</v>
      </c>
      <c r="AV35" s="54"/>
      <c r="AW35" s="69">
        <f t="shared" si="33"/>
        <v>2287480</v>
      </c>
      <c r="AX35" s="67">
        <f t="shared" si="22"/>
        <v>4390.5566218809981</v>
      </c>
      <c r="AY35" s="102">
        <f t="shared" si="23"/>
        <v>50</v>
      </c>
      <c r="AZ35" s="59">
        <f t="shared" si="24"/>
        <v>1836580</v>
      </c>
      <c r="BA35" s="59">
        <f t="shared" si="25"/>
        <v>850140</v>
      </c>
      <c r="BB35" s="71">
        <f>W35+AE35+AM35+AW35-BN35</f>
        <v>2751620</v>
      </c>
      <c r="BC35" s="72">
        <f t="shared" si="30"/>
        <v>4400</v>
      </c>
      <c r="BD35" s="103">
        <v>50</v>
      </c>
      <c r="BE35" s="104">
        <v>369760</v>
      </c>
      <c r="BF35" s="104">
        <v>84990</v>
      </c>
      <c r="BG35" s="105">
        <v>3300</v>
      </c>
      <c r="BH35" s="105">
        <v>1100</v>
      </c>
      <c r="BI35" s="105"/>
      <c r="BJ35" s="105"/>
      <c r="BK35" s="76">
        <f t="shared" si="29"/>
        <v>459150</v>
      </c>
      <c r="BL35" s="47">
        <v>31</v>
      </c>
      <c r="BM35" s="77">
        <f t="shared" si="26"/>
        <v>459150</v>
      </c>
      <c r="BN35" s="47">
        <v>1980</v>
      </c>
    </row>
    <row r="36" spans="2:66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744</v>
      </c>
      <c r="F36" s="110">
        <f>SUM(F5:F35)</f>
        <v>3139850</v>
      </c>
      <c r="G36" s="111">
        <f>F36/E36</f>
        <v>4220.2284946236559</v>
      </c>
      <c r="H36" s="107">
        <f>SUM(H5:H35)</f>
        <v>623680</v>
      </c>
      <c r="I36" s="112">
        <f>H36/E36</f>
        <v>838.27956989247309</v>
      </c>
      <c r="J36" s="113">
        <f>SUM(J5:J35)</f>
        <v>3763530</v>
      </c>
      <c r="K36" s="114">
        <f>J36/E36</f>
        <v>5058.5080645161288</v>
      </c>
      <c r="L36" s="115">
        <f>SUM(L5:L35)</f>
        <v>0</v>
      </c>
      <c r="M36" s="109">
        <f>SUM(M5:M35)</f>
        <v>507</v>
      </c>
      <c r="N36" s="110">
        <f>SUM(N5:N35)</f>
        <v>5122560</v>
      </c>
      <c r="O36" s="111">
        <f>N36/M36</f>
        <v>10103.668639053254</v>
      </c>
      <c r="P36" s="116">
        <f>SUM(P5:P35)</f>
        <v>1209160</v>
      </c>
      <c r="Q36" s="112">
        <f>P36/M36</f>
        <v>2384.9309664694279</v>
      </c>
      <c r="R36" s="117">
        <f>SUM(R5:R35)</f>
        <v>6331720</v>
      </c>
      <c r="S36" s="118">
        <f>R36/M36</f>
        <v>12488.599605522682</v>
      </c>
      <c r="T36" s="109">
        <f t="shared" ref="T36:AA36" si="34">SUM(T5:T35)</f>
        <v>1251</v>
      </c>
      <c r="U36" s="116">
        <f t="shared" si="34"/>
        <v>8262410</v>
      </c>
      <c r="V36" s="116">
        <f t="shared" si="34"/>
        <v>1832840</v>
      </c>
      <c r="W36" s="113">
        <f>SUM(W5:W35)</f>
        <v>10095250</v>
      </c>
      <c r="X36" s="119">
        <f t="shared" si="34"/>
        <v>0</v>
      </c>
      <c r="Y36" s="108">
        <f t="shared" si="34"/>
        <v>0</v>
      </c>
      <c r="Z36" s="109">
        <f t="shared" si="34"/>
        <v>717</v>
      </c>
      <c r="AA36" s="111">
        <f t="shared" si="34"/>
        <v>367180</v>
      </c>
      <c r="AB36" s="111">
        <f>AA36/Z36</f>
        <v>512.10599721059975</v>
      </c>
      <c r="AC36" s="107">
        <f>SUM(AC5:AC35)</f>
        <v>76100</v>
      </c>
      <c r="AD36" s="112">
        <f>AC36/Z36</f>
        <v>106.13668061366806</v>
      </c>
      <c r="AE36" s="117">
        <f>SUM(AE5:AE35)</f>
        <v>443280</v>
      </c>
      <c r="AF36" s="120">
        <f>AE36/Z36</f>
        <v>618.24267782426773</v>
      </c>
      <c r="AG36" s="121">
        <f t="shared" ref="AG36:AI36" si="35">SUM(AG5:AG35)</f>
        <v>0</v>
      </c>
      <c r="AH36" s="109">
        <f t="shared" si="35"/>
        <v>249</v>
      </c>
      <c r="AI36" s="111">
        <f t="shared" si="35"/>
        <v>920895</v>
      </c>
      <c r="AJ36" s="111"/>
      <c r="AK36" s="107">
        <f>SUM(AK5:AK35)</f>
        <v>360810</v>
      </c>
      <c r="AL36" s="112"/>
      <c r="AM36" s="117">
        <f>SUM(AM5:AM35)</f>
        <v>1281705</v>
      </c>
      <c r="AN36" s="122">
        <f>AM36/AH36</f>
        <v>5147.4096385542171</v>
      </c>
      <c r="AO36" s="123">
        <f t="shared" ref="AO36:AQ36" si="36">SUM(AO5:AO35)</f>
        <v>0</v>
      </c>
      <c r="AP36" s="109">
        <f t="shared" si="36"/>
        <v>13891</v>
      </c>
      <c r="AQ36" s="111">
        <f t="shared" si="36"/>
        <v>39145000</v>
      </c>
      <c r="AR36" s="111"/>
      <c r="AS36" s="107">
        <f>SUM(AS5:AS35)</f>
        <v>20918310</v>
      </c>
      <c r="AT36" s="112"/>
      <c r="AU36" s="107">
        <f>SUM(AU5:AU35)</f>
        <v>1313036</v>
      </c>
      <c r="AV36" s="107">
        <f>SUM(AV5:AV35)</f>
        <v>86130</v>
      </c>
      <c r="AW36" s="117">
        <f>SUM(AW5:AW35)</f>
        <v>61456496</v>
      </c>
      <c r="AX36" s="122">
        <f>AW36/AP36</f>
        <v>4424.1952343243829</v>
      </c>
      <c r="AY36" s="124">
        <f t="shared" ref="AY36:BK36" si="37">SUM(AY5:AY35)</f>
        <v>1251</v>
      </c>
      <c r="AZ36" s="116">
        <f t="shared" si="37"/>
        <v>48695485</v>
      </c>
      <c r="BA36" s="116">
        <f t="shared" si="37"/>
        <v>23188060</v>
      </c>
      <c r="BB36" s="117">
        <f>SUM(BB5:BB35)</f>
        <v>73267139</v>
      </c>
      <c r="BC36" s="125">
        <f t="shared" si="37"/>
        <v>130900</v>
      </c>
      <c r="BD36" s="126">
        <f t="shared" si="37"/>
        <v>1251</v>
      </c>
      <c r="BE36" s="126">
        <f t="shared" si="37"/>
        <v>8262410</v>
      </c>
      <c r="BF36" s="126">
        <f t="shared" si="37"/>
        <v>1832840</v>
      </c>
      <c r="BG36" s="126">
        <f t="shared" si="37"/>
        <v>100100</v>
      </c>
      <c r="BH36" s="126">
        <f t="shared" si="37"/>
        <v>30800</v>
      </c>
      <c r="BI36" s="126">
        <f t="shared" si="37"/>
        <v>24900</v>
      </c>
      <c r="BJ36" s="126">
        <f t="shared" si="37"/>
        <v>19800</v>
      </c>
      <c r="BK36" s="127">
        <f t="shared" si="37"/>
        <v>10226150</v>
      </c>
      <c r="BM36" s="129">
        <f>SUM(BM5:BM35)</f>
        <v>9933170</v>
      </c>
    </row>
    <row r="37" spans="2:66" s="128" customFormat="1" ht="18">
      <c r="B37" s="130"/>
      <c r="E37" s="131" t="s">
        <v>42</v>
      </c>
      <c r="F37" s="132">
        <f>F36/1.1</f>
        <v>2854409.0909090908</v>
      </c>
      <c r="G37" s="133">
        <f>F37/E36</f>
        <v>3836.571358748778</v>
      </c>
      <c r="H37" s="134">
        <f>H36/1.1</f>
        <v>566981.81818181812</v>
      </c>
      <c r="I37" s="133">
        <f>H37/E36</f>
        <v>762.07233626588459</v>
      </c>
      <c r="J37" s="135">
        <f>J36/1.1</f>
        <v>3421390.9090909087</v>
      </c>
      <c r="K37" s="136">
        <f>G37+I37</f>
        <v>4598.6436950146626</v>
      </c>
      <c r="L37" s="137"/>
      <c r="M37" s="131" t="s">
        <v>42</v>
      </c>
      <c r="N37" s="132">
        <f>N36/1.1</f>
        <v>4656872.7272727266</v>
      </c>
      <c r="O37" s="133">
        <f>N37/M36</f>
        <v>9185.1533082302303</v>
      </c>
      <c r="P37" s="134">
        <f>P36/1.1</f>
        <v>1099236.3636363635</v>
      </c>
      <c r="Q37" s="133">
        <f>P37/M36</f>
        <v>2168.1190604267526</v>
      </c>
      <c r="R37" s="133">
        <f>R36/1.1</f>
        <v>5756109.0909090908</v>
      </c>
      <c r="S37" s="138">
        <f>R37/M36</f>
        <v>11353.272368656984</v>
      </c>
      <c r="T37" s="131" t="s">
        <v>42</v>
      </c>
      <c r="U37" s="132">
        <f>U36/1.1</f>
        <v>7511281.8181818174</v>
      </c>
      <c r="V37" s="132">
        <f>V36/1.1</f>
        <v>1666218.1818181816</v>
      </c>
      <c r="W37" s="135">
        <f>W36/1.1</f>
        <v>9177500</v>
      </c>
      <c r="X37" s="139"/>
      <c r="Y37" s="137"/>
      <c r="Z37" s="131" t="s">
        <v>42</v>
      </c>
      <c r="AA37" s="132">
        <f>AA36/1.1</f>
        <v>333800</v>
      </c>
      <c r="AB37" s="134">
        <f>AA37/Z36</f>
        <v>465.55090655509065</v>
      </c>
      <c r="AC37" s="134">
        <f>AC36/1.1</f>
        <v>69181.818181818177</v>
      </c>
      <c r="AD37" s="134">
        <f>AC37/Z36</f>
        <v>96.487891466970964</v>
      </c>
      <c r="AE37" s="133">
        <f>AE36/1.1</f>
        <v>402981.81818181818</v>
      </c>
      <c r="AF37" s="140">
        <f>AE37/Z36</f>
        <v>562.03879802206166</v>
      </c>
      <c r="AG37" s="137"/>
      <c r="AH37" s="131" t="s">
        <v>42</v>
      </c>
      <c r="AI37" s="132">
        <f>AI36/1.1</f>
        <v>837177.27272727271</v>
      </c>
      <c r="AJ37" s="134">
        <f>AI37/AH36</f>
        <v>3362.1577217962758</v>
      </c>
      <c r="AK37" s="134">
        <f>AK36/1.1</f>
        <v>328009.09090909088</v>
      </c>
      <c r="AL37" s="134">
        <f>AK37/AH36</f>
        <v>1317.3055859802846</v>
      </c>
      <c r="AM37" s="133">
        <f>AM36/1.1</f>
        <v>1165186.3636363635</v>
      </c>
      <c r="AN37" s="141" t="e">
        <f>AM37/AG36</f>
        <v>#DIV/0!</v>
      </c>
      <c r="AO37" s="137"/>
      <c r="AP37" s="131" t="s">
        <v>42</v>
      </c>
      <c r="AQ37" s="132">
        <f>AQ36/1.1</f>
        <v>35586363.636363633</v>
      </c>
      <c r="AR37" s="134">
        <f>AQ37/AP36</f>
        <v>2561.8287838430374</v>
      </c>
      <c r="AS37" s="134">
        <f>AS36/1.1</f>
        <v>19016645.454545453</v>
      </c>
      <c r="AT37" s="134">
        <f>AS37/AP36</f>
        <v>1368.9903861885721</v>
      </c>
      <c r="AU37" s="134">
        <f>AU36/1.1</f>
        <v>1193669.0909090908</v>
      </c>
      <c r="AV37" s="134">
        <f>AV36/1.1</f>
        <v>78300</v>
      </c>
      <c r="AW37" s="133">
        <f>AW36/1.1</f>
        <v>55869541.818181813</v>
      </c>
      <c r="AX37" s="141">
        <f>AW37/AP36</f>
        <v>4021.9956675676203</v>
      </c>
      <c r="AY37" s="142" t="s">
        <v>42</v>
      </c>
      <c r="AZ37" s="132">
        <f>AZ36/1.1</f>
        <v>44268622.727272727</v>
      </c>
      <c r="BA37" s="132">
        <f>BA36/1.1</f>
        <v>21080054.545454543</v>
      </c>
      <c r="BB37" s="133">
        <f>BB36/1.1</f>
        <v>66606489.999999993</v>
      </c>
      <c r="BC37" s="143">
        <f>BC36/1.1</f>
        <v>118999.99999999999</v>
      </c>
      <c r="BH37" s="144"/>
      <c r="BK37" s="145">
        <f>BK36/1.1</f>
        <v>9296500</v>
      </c>
      <c r="BM37" s="145"/>
    </row>
    <row r="38" spans="2:66">
      <c r="C38" s="47">
        <v>31</v>
      </c>
      <c r="E38" s="146" t="s">
        <v>43</v>
      </c>
      <c r="F38" s="147">
        <f>E36/G38</f>
        <v>24</v>
      </c>
      <c r="G38" s="148">
        <v>31</v>
      </c>
      <c r="H38" s="147"/>
      <c r="I38" s="147"/>
      <c r="J38" s="149" t="s">
        <v>44</v>
      </c>
      <c r="K38" s="150">
        <f>J37/G38</f>
        <v>110367.4486803519</v>
      </c>
      <c r="M38" s="146" t="s">
        <v>43</v>
      </c>
      <c r="N38" s="147">
        <f>M36/O38</f>
        <v>16.35483870967742</v>
      </c>
      <c r="O38" s="148">
        <f>G38</f>
        <v>31</v>
      </c>
      <c r="P38" s="147"/>
      <c r="Q38" s="147"/>
      <c r="R38" s="149" t="s">
        <v>44</v>
      </c>
      <c r="S38" s="151">
        <f>R37/O38</f>
        <v>185680.93841642229</v>
      </c>
      <c r="U38" s="152">
        <f>O38</f>
        <v>31</v>
      </c>
      <c r="W38" s="85">
        <f>W37/U38</f>
        <v>296048.38709677418</v>
      </c>
      <c r="X38" s="77"/>
      <c r="AA38" s="153">
        <f>G38</f>
        <v>31</v>
      </c>
      <c r="AB38" s="147"/>
      <c r="AC38" s="147"/>
      <c r="AD38" s="147"/>
      <c r="AE38" s="147"/>
      <c r="AF38" s="150">
        <f>AE37/AA38</f>
        <v>12999.413489736071</v>
      </c>
      <c r="AI38" s="153">
        <f>AA38</f>
        <v>31</v>
      </c>
      <c r="AJ38" s="147"/>
      <c r="AK38" s="147"/>
      <c r="AL38" s="147"/>
      <c r="AM38" s="147"/>
      <c r="AN38" s="150">
        <f>AM37/AI38</f>
        <v>37586.656891495601</v>
      </c>
      <c r="AQ38" s="153">
        <f>G38</f>
        <v>31</v>
      </c>
      <c r="AR38" s="147"/>
      <c r="AS38" s="147"/>
      <c r="AT38" s="147"/>
      <c r="AU38" s="147"/>
      <c r="AV38" s="147"/>
      <c r="AW38" s="147"/>
      <c r="AX38" s="150">
        <f>AW37/AQ38</f>
        <v>1802243.2844574777</v>
      </c>
      <c r="BB38" s="85"/>
      <c r="BC38" s="77" t="e">
        <f>BB37/BD37</f>
        <v>#DIV/0!</v>
      </c>
      <c r="BD38" s="154">
        <f>AY36+T36</f>
        <v>2502</v>
      </c>
      <c r="BH38" s="85"/>
    </row>
    <row r="39" spans="2:66">
      <c r="D39" s="155" t="s">
        <v>45</v>
      </c>
      <c r="E39" s="156"/>
      <c r="F39" s="147"/>
      <c r="G39" s="157"/>
      <c r="H39" s="147"/>
      <c r="I39" s="147"/>
      <c r="J39" s="149"/>
      <c r="K39" s="150"/>
      <c r="L39" s="158" t="s">
        <v>46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47</v>
      </c>
      <c r="AA39" s="147"/>
      <c r="AB39" s="147"/>
      <c r="AC39" s="147"/>
      <c r="AD39" s="147"/>
      <c r="AE39" s="147"/>
      <c r="AF39" s="150"/>
      <c r="AG39" s="158" t="s">
        <v>48</v>
      </c>
      <c r="AI39" s="147"/>
      <c r="AJ39" s="147"/>
      <c r="AK39" s="147"/>
      <c r="AL39" s="147"/>
      <c r="AM39" s="147"/>
      <c r="AN39" s="150"/>
      <c r="AO39" s="158" t="s">
        <v>49</v>
      </c>
      <c r="AQ39" s="147"/>
      <c r="AR39" s="147"/>
      <c r="AS39" s="147"/>
      <c r="AT39" s="147"/>
      <c r="AU39" s="147"/>
      <c r="AV39" s="147"/>
      <c r="AW39" s="147"/>
      <c r="AX39" s="150"/>
      <c r="BB39" s="77">
        <f>BB36+BC36</f>
        <v>73398039</v>
      </c>
      <c r="BC39" s="159">
        <f>BB39/G38</f>
        <v>2367678.6774193547</v>
      </c>
      <c r="BD39" s="47" t="s">
        <v>50</v>
      </c>
      <c r="BH39" s="85"/>
    </row>
    <row r="40" spans="2:66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BB40" s="161">
        <f>BB37+BC37</f>
        <v>66725489.999999993</v>
      </c>
    </row>
    <row r="41" spans="2:66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BB41" s="77"/>
      <c r="BC41" s="159">
        <f>BB40/G38</f>
        <v>2152435.1612903224</v>
      </c>
      <c r="BD41" s="47" t="s">
        <v>51</v>
      </c>
      <c r="BE41" s="47">
        <v>9</v>
      </c>
    </row>
    <row r="42" spans="2:66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BE42" s="47">
        <v>8</v>
      </c>
      <c r="BF42" s="85">
        <f>AS37</f>
        <v>19016645.454545453</v>
      </c>
    </row>
    <row r="43" spans="2:66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BB43" s="85">
        <f>BB37+BC37</f>
        <v>66725489.999999993</v>
      </c>
      <c r="BC43" s="162" t="s">
        <v>52</v>
      </c>
      <c r="BE43" s="47">
        <v>7</v>
      </c>
      <c r="BF43" s="163">
        <f>'[1]2023(7)'!AS37</f>
        <v>15843636.363636361</v>
      </c>
      <c r="BG43" s="163">
        <v>6266320</v>
      </c>
      <c r="BH43" s="164">
        <f>BG43/BF43</f>
        <v>0.39551021344962134</v>
      </c>
    </row>
    <row r="44" spans="2:66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Z44" s="128"/>
      <c r="BA44" s="165" t="s">
        <v>53</v>
      </c>
      <c r="BB44" s="145">
        <f>J45+R45+AE45+BC44+AM45+AW45</f>
        <v>60851142</v>
      </c>
      <c r="BC44" s="166"/>
      <c r="BD44" s="128"/>
      <c r="BE44" s="47">
        <v>6</v>
      </c>
      <c r="BF44" s="163">
        <v>7119727</v>
      </c>
      <c r="BG44" s="163">
        <v>2680643</v>
      </c>
      <c r="BH44" s="164">
        <f t="shared" ref="BH44:BH45" si="38">BG44/BF44</f>
        <v>0.37650923975034434</v>
      </c>
      <c r="BI44" s="47" t="s">
        <v>54</v>
      </c>
    </row>
    <row r="45" spans="2:66" ht="21" customHeight="1">
      <c r="H45" s="167"/>
      <c r="I45" s="168" t="s">
        <v>55</v>
      </c>
      <c r="J45" s="145">
        <v>3703842</v>
      </c>
      <c r="K45" s="169" t="s">
        <v>56</v>
      </c>
      <c r="L45" s="128"/>
      <c r="M45" s="128"/>
      <c r="N45" s="128"/>
      <c r="O45" s="128"/>
      <c r="P45" s="128"/>
      <c r="Q45" s="168" t="s">
        <v>57</v>
      </c>
      <c r="R45" s="145">
        <v>6016500</v>
      </c>
      <c r="S45" s="169" t="s">
        <v>56</v>
      </c>
      <c r="T45" s="128">
        <v>10</v>
      </c>
      <c r="U45" s="128"/>
      <c r="V45" s="168" t="s">
        <v>58</v>
      </c>
      <c r="W45" s="145">
        <f>J45+R45</f>
        <v>9720342</v>
      </c>
      <c r="X45" s="169" t="s">
        <v>56</v>
      </c>
      <c r="Y45" s="128"/>
      <c r="Z45" s="128"/>
      <c r="AA45" s="128"/>
      <c r="AB45" s="128"/>
      <c r="AC45" s="128"/>
      <c r="AD45" s="167" t="s">
        <v>59</v>
      </c>
      <c r="AE45" s="145">
        <v>633600</v>
      </c>
      <c r="AF45" s="169" t="s">
        <v>56</v>
      </c>
      <c r="AG45" s="169"/>
      <c r="AH45" s="169"/>
      <c r="AI45" s="169"/>
      <c r="AJ45" s="169"/>
      <c r="AK45" s="128"/>
      <c r="AL45" s="168" t="s">
        <v>60</v>
      </c>
      <c r="AM45" s="145">
        <v>997200</v>
      </c>
      <c r="AN45" s="169" t="s">
        <v>56</v>
      </c>
      <c r="AO45" s="169"/>
      <c r="AP45" s="169"/>
      <c r="AQ45" s="169"/>
      <c r="AR45" s="169"/>
      <c r="AS45" s="128"/>
      <c r="AT45" s="168" t="s">
        <v>61</v>
      </c>
      <c r="AU45" s="168"/>
      <c r="AV45" s="168">
        <v>49346690</v>
      </c>
      <c r="AW45" s="145">
        <v>49500000</v>
      </c>
      <c r="AX45" s="169" t="s">
        <v>56</v>
      </c>
      <c r="AY45" s="128"/>
      <c r="AZ45" s="128"/>
      <c r="BA45" s="165" t="s">
        <v>62</v>
      </c>
      <c r="BB45" s="144">
        <f>BB44-BB37-BC37</f>
        <v>-5874347.9999999925</v>
      </c>
      <c r="BC45" s="144">
        <f>BC44-BC37</f>
        <v>-118999.99999999999</v>
      </c>
      <c r="BD45" s="170" t="e">
        <f>BC37/BC44</f>
        <v>#DIV/0!</v>
      </c>
      <c r="BE45" s="47">
        <v>5</v>
      </c>
      <c r="BF45" s="163">
        <v>637682</v>
      </c>
      <c r="BG45" s="163"/>
      <c r="BH45" s="164">
        <f t="shared" si="38"/>
        <v>0</v>
      </c>
      <c r="BI45" s="77" t="s">
        <v>63</v>
      </c>
      <c r="BM45" s="47"/>
    </row>
    <row r="46" spans="2:66" ht="21" customHeight="1">
      <c r="H46" s="167"/>
      <c r="I46" s="167" t="s">
        <v>62</v>
      </c>
      <c r="J46" s="144">
        <f>J45-J37</f>
        <v>282451.09090909129</v>
      </c>
      <c r="K46" s="171">
        <f>C38-G38</f>
        <v>0</v>
      </c>
      <c r="L46" s="128"/>
      <c r="M46" s="128"/>
      <c r="N46" s="128"/>
      <c r="O46" s="128"/>
      <c r="P46" s="128"/>
      <c r="Q46" s="167" t="s">
        <v>62</v>
      </c>
      <c r="R46" s="144">
        <f>R45-R37</f>
        <v>260390.90909090918</v>
      </c>
      <c r="S46" s="128">
        <f>K46</f>
        <v>0</v>
      </c>
      <c r="T46" s="128"/>
      <c r="U46" s="128"/>
      <c r="V46" s="167" t="s">
        <v>62</v>
      </c>
      <c r="W46" s="144">
        <f>W45-W37</f>
        <v>542842</v>
      </c>
      <c r="X46" s="128">
        <f>S46</f>
        <v>0</v>
      </c>
      <c r="Y46" s="128"/>
      <c r="Z46" s="128"/>
      <c r="AA46" s="128"/>
      <c r="AB46" s="128"/>
      <c r="AC46" s="128"/>
      <c r="AD46" s="167" t="s">
        <v>62</v>
      </c>
      <c r="AE46" s="144">
        <f>AE45-AE37</f>
        <v>230618.18181818182</v>
      </c>
      <c r="AF46" s="128">
        <f>K46</f>
        <v>0</v>
      </c>
      <c r="AG46" s="128"/>
      <c r="AH46" s="128"/>
      <c r="AI46" s="128"/>
      <c r="AJ46" s="128"/>
      <c r="AK46" s="128"/>
      <c r="AL46" s="167" t="s">
        <v>62</v>
      </c>
      <c r="AM46" s="144">
        <f>AM45-AM37</f>
        <v>-167986.36363636353</v>
      </c>
      <c r="AN46" s="128">
        <f>AF46</f>
        <v>0</v>
      </c>
      <c r="AO46" s="128"/>
      <c r="AP46" s="128"/>
      <c r="AQ46" s="128"/>
      <c r="AR46" s="128"/>
      <c r="AS46" s="128"/>
      <c r="AT46" s="167" t="s">
        <v>62</v>
      </c>
      <c r="AU46" s="167"/>
      <c r="AV46" s="172">
        <f>AV45-AW37</f>
        <v>-6522851.8181818128</v>
      </c>
      <c r="AW46" s="144">
        <f>AW45-AW37</f>
        <v>-6369541.8181818128</v>
      </c>
      <c r="AX46" s="128">
        <f>AN46</f>
        <v>0</v>
      </c>
      <c r="AY46" s="128"/>
      <c r="AZ46" s="173"/>
      <c r="BA46" s="174" t="s">
        <v>64</v>
      </c>
      <c r="BB46" s="175" t="e">
        <f>BB45/K46</f>
        <v>#DIV/0!</v>
      </c>
      <c r="BC46" s="176">
        <f>(BB37+BC37)/BB44</f>
        <v>1.0965363640997894</v>
      </c>
      <c r="BD46" s="173"/>
      <c r="BE46" s="177"/>
      <c r="BF46" s="178">
        <f>SUM(BF41:BF45)</f>
        <v>42617690.818181813</v>
      </c>
      <c r="BG46" s="179">
        <f>BK71</f>
        <v>9138052</v>
      </c>
      <c r="BH46" s="180">
        <f>BG46/BF46</f>
        <v>0.21441921945009443</v>
      </c>
      <c r="BI46" s="181">
        <f>BF46-BG46</f>
        <v>33479638.818181813</v>
      </c>
      <c r="BM46" s="47"/>
    </row>
    <row r="47" spans="2:66" s="177" customFormat="1" ht="26" customHeight="1">
      <c r="B47" s="182"/>
      <c r="H47" s="183"/>
      <c r="I47" s="174" t="s">
        <v>64</v>
      </c>
      <c r="J47" s="184" t="e">
        <f>J46/K46</f>
        <v>#DIV/0!</v>
      </c>
      <c r="K47" s="185">
        <f>J37/J45</f>
        <v>0.92374105296362774</v>
      </c>
      <c r="L47" s="173"/>
      <c r="M47" s="173"/>
      <c r="N47" s="173"/>
      <c r="O47" s="173"/>
      <c r="P47" s="173"/>
      <c r="Q47" s="174" t="s">
        <v>64</v>
      </c>
      <c r="R47" s="175" t="e">
        <f>R46/S46</f>
        <v>#DIV/0!</v>
      </c>
      <c r="S47" s="185">
        <f>R37/R45</f>
        <v>0.95672053368388443</v>
      </c>
      <c r="T47" s="173"/>
      <c r="U47" s="173"/>
      <c r="V47" s="174" t="s">
        <v>64</v>
      </c>
      <c r="W47" s="175" t="e">
        <f>W46/X46</f>
        <v>#DIV/0!</v>
      </c>
      <c r="X47" s="185">
        <f>W37/W45</f>
        <v>0.94415402256422665</v>
      </c>
      <c r="Y47" s="173"/>
      <c r="Z47" s="173"/>
      <c r="AA47" s="173"/>
      <c r="AB47" s="173"/>
      <c r="AC47" s="173"/>
      <c r="AD47" s="174" t="s">
        <v>64</v>
      </c>
      <c r="AE47" s="184" t="e">
        <f>AE46/AF46</f>
        <v>#DIV/0!</v>
      </c>
      <c r="AF47" s="185">
        <f>AE37/AE45</f>
        <v>0.63601928374655647</v>
      </c>
      <c r="AG47" s="185"/>
      <c r="AH47" s="185"/>
      <c r="AI47" s="185"/>
      <c r="AJ47" s="185"/>
      <c r="AK47" s="173"/>
      <c r="AL47" s="174" t="s">
        <v>64</v>
      </c>
      <c r="AM47" s="175" t="e">
        <f>AM46/AN46</f>
        <v>#DIV/0!</v>
      </c>
      <c r="AN47" s="185">
        <f>AM37/AM45</f>
        <v>1.1684580461656273</v>
      </c>
      <c r="AO47" s="185"/>
      <c r="AP47" s="185"/>
      <c r="AQ47" s="185"/>
      <c r="AR47" s="185"/>
      <c r="AS47" s="173"/>
      <c r="AT47" s="174" t="s">
        <v>64</v>
      </c>
      <c r="AU47" s="174"/>
      <c r="AV47" s="174" t="e">
        <f>AV46/AX46</f>
        <v>#DIV/0!</v>
      </c>
      <c r="AW47" s="175" t="e">
        <f>AW46/AX46</f>
        <v>#DIV/0!</v>
      </c>
      <c r="AX47" s="185">
        <f>AW37/AW45</f>
        <v>1.1286776124885214</v>
      </c>
      <c r="AY47" s="173"/>
      <c r="AZ47" s="47"/>
      <c r="BA47" s="47"/>
      <c r="BB47" s="85"/>
      <c r="BC47" s="47"/>
      <c r="BD47" s="47"/>
      <c r="BE47" s="47"/>
      <c r="BI47" s="186"/>
      <c r="BK47" s="186"/>
    </row>
    <row r="48" spans="2:66">
      <c r="H48" s="47">
        <v>931</v>
      </c>
      <c r="I48" s="47">
        <f>H48/31</f>
        <v>30.032258064516128</v>
      </c>
      <c r="K48" s="47">
        <f>J45/31</f>
        <v>119478.77419354839</v>
      </c>
      <c r="P48" s="47">
        <v>557</v>
      </c>
      <c r="Q48" s="47">
        <f>P48/31</f>
        <v>17.967741935483872</v>
      </c>
      <c r="S48" s="47">
        <f>R45/31</f>
        <v>194080.64516129033</v>
      </c>
      <c r="AX48" s="47">
        <f>AW37/AV45</f>
        <v>1.1321841813135149</v>
      </c>
      <c r="AZ48" s="187"/>
      <c r="BA48" s="187"/>
      <c r="BB48" s="187"/>
      <c r="BC48" s="187"/>
      <c r="BD48" s="187"/>
      <c r="BE48" s="187"/>
      <c r="BI48" s="77"/>
      <c r="BM48" s="47"/>
    </row>
    <row r="49" spans="2:63" s="187" customFormat="1" ht="24" customHeight="1">
      <c r="B49" s="188"/>
      <c r="I49" s="187" t="s">
        <v>65</v>
      </c>
      <c r="J49" s="189">
        <f>(I5+I8+I9+I10+I11+I12+I15+I16+I17+I18+I19+I22+I23+I24+I25+I26)/16</f>
        <v>552.26237296555962</v>
      </c>
      <c r="K49" s="187">
        <v>800000</v>
      </c>
      <c r="L49" s="190"/>
      <c r="M49" s="47"/>
      <c r="N49" s="47"/>
      <c r="O49" s="47"/>
      <c r="P49" s="47"/>
      <c r="Q49" s="47"/>
      <c r="R49" s="190">
        <v>400000</v>
      </c>
      <c r="AE49" s="187">
        <f>AE45/30</f>
        <v>21120</v>
      </c>
      <c r="AQ49" s="191">
        <f>AP14+AP21</f>
        <v>1036</v>
      </c>
      <c r="AR49" s="192">
        <f>AR14+AR21</f>
        <v>5863.1688924037589</v>
      </c>
      <c r="AS49" s="192">
        <f>AT14+AT21</f>
        <v>3146.6739129619982</v>
      </c>
      <c r="AW49" s="187">
        <f>AW45/30</f>
        <v>1650000</v>
      </c>
      <c r="AZ49" s="1"/>
      <c r="BA49" s="1"/>
      <c r="BB49" s="1"/>
      <c r="BC49" s="1"/>
      <c r="BD49" s="193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4" t="s">
        <v>71</v>
      </c>
      <c r="BJ49" s="194" t="s">
        <v>72</v>
      </c>
      <c r="BK49" s="194" t="s">
        <v>73</v>
      </c>
    </row>
    <row r="50" spans="2:63" s="1" customFormat="1" ht="24" customHeight="1">
      <c r="B50" s="188"/>
      <c r="I50" s="1" t="s">
        <v>74</v>
      </c>
      <c r="J50" s="189">
        <f>(I6+I7+I13+I14+I20+I21+I27)/7</f>
        <v>790.47378167567956</v>
      </c>
      <c r="L50" s="195"/>
      <c r="M50" s="47"/>
      <c r="N50" s="47"/>
      <c r="O50" s="47"/>
      <c r="P50" s="47"/>
      <c r="Q50" s="47"/>
      <c r="R50" s="195"/>
      <c r="S50" s="195"/>
      <c r="Z50" s="196"/>
      <c r="AQ50" s="1">
        <f>AQ49/2</f>
        <v>518</v>
      </c>
      <c r="AR50" s="197">
        <f t="shared" ref="AR50:AS50" si="39">AR49/2</f>
        <v>2931.5844462018795</v>
      </c>
      <c r="AS50" s="197">
        <f t="shared" si="39"/>
        <v>1573.3369564809991</v>
      </c>
      <c r="AW50" s="1">
        <v>54000000</v>
      </c>
      <c r="AX50" s="224">
        <f>AW50-AW37</f>
        <v>-1869541.8181818128</v>
      </c>
      <c r="AZ50" s="187"/>
      <c r="BA50" s="187"/>
      <c r="BB50" s="187"/>
      <c r="BC50" s="187"/>
      <c r="BD50" s="193" t="s">
        <v>75</v>
      </c>
      <c r="BE50" s="198">
        <v>1800</v>
      </c>
      <c r="BF50" s="198">
        <v>21</v>
      </c>
      <c r="BG50" s="199">
        <v>0</v>
      </c>
      <c r="BH50" s="198"/>
      <c r="BI50" s="200">
        <f>BF50*BE50</f>
        <v>37800</v>
      </c>
      <c r="BJ50" s="200">
        <f>BE50*BG50</f>
        <v>0</v>
      </c>
      <c r="BK50" s="200">
        <f>BI50-BJ50</f>
        <v>37800</v>
      </c>
    </row>
    <row r="51" spans="2:63" s="187" customFormat="1" ht="24" customHeight="1">
      <c r="B51" s="188"/>
      <c r="K51" s="1"/>
      <c r="L51" s="195"/>
      <c r="M51" s="47"/>
      <c r="N51" s="47"/>
      <c r="O51" s="47"/>
      <c r="P51" s="47"/>
      <c r="Q51" s="47"/>
      <c r="R51" s="201"/>
      <c r="S51" s="202"/>
      <c r="T51" s="202"/>
      <c r="U51" s="202" t="s">
        <v>76</v>
      </c>
      <c r="V51" s="202"/>
      <c r="W51" s="203"/>
      <c r="X51" s="204"/>
      <c r="Y51" s="193"/>
      <c r="Z51" s="200"/>
      <c r="AX51" s="187" t="e">
        <f>AX50/AX46</f>
        <v>#DIV/0!</v>
      </c>
      <c r="BD51" s="193" t="s">
        <v>77</v>
      </c>
      <c r="BE51" s="198">
        <v>10800</v>
      </c>
      <c r="BF51" s="198">
        <v>640</v>
      </c>
      <c r="BG51" s="198">
        <v>20</v>
      </c>
      <c r="BH51" s="198"/>
      <c r="BI51" s="200">
        <f t="shared" ref="BI51:BI70" si="40">BE51*BF51</f>
        <v>6912000</v>
      </c>
      <c r="BJ51" s="200">
        <f t="shared" ref="BJ51:BJ70" si="41">BE51*BG51</f>
        <v>216000</v>
      </c>
      <c r="BK51" s="200">
        <f t="shared" ref="BK51:BK70" si="42">BI51-BJ51</f>
        <v>6696000</v>
      </c>
    </row>
    <row r="52" spans="2:63" s="187" customFormat="1" ht="24" customHeight="1">
      <c r="B52" s="188"/>
      <c r="K52" s="1"/>
      <c r="L52" s="195"/>
      <c r="M52" s="47"/>
      <c r="N52" s="47"/>
      <c r="O52" s="47"/>
      <c r="P52" s="47"/>
      <c r="Q52" s="47"/>
      <c r="R52" s="203"/>
      <c r="S52" s="202"/>
      <c r="T52" s="202"/>
      <c r="U52" s="205" t="s">
        <v>78</v>
      </c>
      <c r="V52" s="206" t="s">
        <v>79</v>
      </c>
      <c r="W52" s="207"/>
      <c r="X52" s="208" t="e">
        <f>W52/Y52</f>
        <v>#DIV/0!</v>
      </c>
      <c r="Y52" s="209">
        <f>W52+W53</f>
        <v>0</v>
      </c>
      <c r="Z52" s="210"/>
      <c r="AA52" s="210"/>
      <c r="BD52" s="193" t="s">
        <v>80</v>
      </c>
      <c r="BE52" s="198">
        <v>6120</v>
      </c>
      <c r="BF52" s="198">
        <v>40</v>
      </c>
      <c r="BG52" s="198">
        <v>4</v>
      </c>
      <c r="BH52" s="198"/>
      <c r="BI52" s="200">
        <f t="shared" si="40"/>
        <v>244800</v>
      </c>
      <c r="BJ52" s="200">
        <f t="shared" si="41"/>
        <v>24480</v>
      </c>
      <c r="BK52" s="200">
        <f t="shared" si="42"/>
        <v>220320</v>
      </c>
    </row>
    <row r="53" spans="2:63" s="187" customFormat="1" ht="24" customHeight="1">
      <c r="B53" s="188"/>
      <c r="K53" s="1"/>
      <c r="L53" s="195"/>
      <c r="M53" s="47"/>
      <c r="N53" s="47"/>
      <c r="O53" s="47"/>
      <c r="P53" s="47"/>
      <c r="Q53" s="47"/>
      <c r="R53" s="203"/>
      <c r="S53" s="202"/>
      <c r="T53" s="202"/>
      <c r="U53" s="205"/>
      <c r="V53" s="206" t="s">
        <v>81</v>
      </c>
      <c r="W53" s="207"/>
      <c r="X53" s="208" t="e">
        <f>W53/Y52</f>
        <v>#DIV/0!</v>
      </c>
      <c r="Y53" s="210"/>
      <c r="Z53" s="210"/>
      <c r="AA53" s="210"/>
      <c r="BB53" s="187" t="s">
        <v>82</v>
      </c>
      <c r="BD53" s="193" t="s">
        <v>83</v>
      </c>
      <c r="BE53" s="198">
        <v>1780</v>
      </c>
      <c r="BF53" s="198">
        <v>24</v>
      </c>
      <c r="BG53" s="198">
        <v>4</v>
      </c>
      <c r="BH53" s="198"/>
      <c r="BI53" s="200">
        <f t="shared" si="40"/>
        <v>42720</v>
      </c>
      <c r="BJ53" s="200">
        <f t="shared" si="41"/>
        <v>7120</v>
      </c>
      <c r="BK53" s="200">
        <f t="shared" si="42"/>
        <v>35600</v>
      </c>
    </row>
    <row r="54" spans="2:63" s="187" customFormat="1" ht="24" customHeight="1">
      <c r="B54" s="188"/>
      <c r="K54" s="1"/>
      <c r="L54" s="195"/>
      <c r="M54" s="47"/>
      <c r="N54" s="47"/>
      <c r="O54" s="47"/>
      <c r="P54" s="47"/>
      <c r="Q54" s="47"/>
      <c r="R54" s="203"/>
      <c r="S54" s="202"/>
      <c r="T54" s="202"/>
      <c r="U54" s="211" t="s">
        <v>84</v>
      </c>
      <c r="V54" s="206" t="s">
        <v>79</v>
      </c>
      <c r="W54" s="207"/>
      <c r="X54" s="208" t="e">
        <f t="shared" ref="X54" si="43">W54/Y54</f>
        <v>#DIV/0!</v>
      </c>
      <c r="Y54" s="209">
        <f t="shared" ref="Y54" si="44">W54+W55</f>
        <v>0</v>
      </c>
      <c r="Z54" s="210"/>
      <c r="AA54" s="210"/>
      <c r="BD54" s="193" t="s">
        <v>85</v>
      </c>
      <c r="BE54" s="198">
        <v>1780</v>
      </c>
      <c r="BF54" s="198">
        <v>24</v>
      </c>
      <c r="BG54" s="198">
        <v>20</v>
      </c>
      <c r="BH54" s="198"/>
      <c r="BI54" s="200">
        <f t="shared" si="40"/>
        <v>42720</v>
      </c>
      <c r="BJ54" s="200">
        <f t="shared" si="41"/>
        <v>35600</v>
      </c>
      <c r="BK54" s="200">
        <f t="shared" si="42"/>
        <v>7120</v>
      </c>
    </row>
    <row r="55" spans="2:63" s="187" customFormat="1" ht="24" customHeight="1">
      <c r="B55" s="188"/>
      <c r="L55" s="190"/>
      <c r="M55" s="47"/>
      <c r="N55" s="47"/>
      <c r="O55" s="47"/>
      <c r="P55" s="47"/>
      <c r="Q55" s="47"/>
      <c r="R55" s="212"/>
      <c r="S55" s="202"/>
      <c r="T55" s="202"/>
      <c r="U55" s="211"/>
      <c r="V55" s="206" t="s">
        <v>81</v>
      </c>
      <c r="W55" s="207"/>
      <c r="X55" s="208" t="e">
        <f t="shared" ref="X55" si="45">W55/Y54</f>
        <v>#DIV/0!</v>
      </c>
      <c r="Y55" s="210"/>
      <c r="Z55" s="210"/>
      <c r="AA55" s="210"/>
      <c r="AZ55" s="47"/>
      <c r="BA55" s="47"/>
      <c r="BB55" s="47"/>
      <c r="BC55" s="47"/>
      <c r="BD55" s="193" t="s">
        <v>86</v>
      </c>
      <c r="BE55" s="213">
        <v>8190</v>
      </c>
      <c r="BF55" s="198">
        <v>13</v>
      </c>
      <c r="BG55" s="198">
        <v>4</v>
      </c>
      <c r="BH55" s="198"/>
      <c r="BI55" s="200">
        <f t="shared" si="40"/>
        <v>106470</v>
      </c>
      <c r="BJ55" s="200">
        <f t="shared" si="41"/>
        <v>32760</v>
      </c>
      <c r="BK55" s="200">
        <f t="shared" si="42"/>
        <v>73710</v>
      </c>
    </row>
    <row r="56" spans="2:63" ht="24" customHeight="1">
      <c r="U56" s="214" t="s">
        <v>2</v>
      </c>
      <c r="V56" s="215" t="s">
        <v>79</v>
      </c>
      <c r="W56" s="207"/>
      <c r="X56" s="208" t="e">
        <f t="shared" ref="X56:X58" si="46">W56/Y56</f>
        <v>#DIV/0!</v>
      </c>
      <c r="Y56" s="209">
        <f t="shared" ref="Y56" si="47">W56+W57</f>
        <v>0</v>
      </c>
      <c r="Z56" s="210"/>
      <c r="AA56" s="210"/>
      <c r="BD56" s="193" t="s">
        <v>87</v>
      </c>
      <c r="BE56" s="213">
        <v>5784</v>
      </c>
      <c r="BF56" s="213">
        <v>36</v>
      </c>
      <c r="BG56" s="213">
        <v>28</v>
      </c>
      <c r="BH56" s="213"/>
      <c r="BI56" s="200">
        <f t="shared" si="40"/>
        <v>208224</v>
      </c>
      <c r="BJ56" s="200">
        <f t="shared" si="41"/>
        <v>161952</v>
      </c>
      <c r="BK56" s="200">
        <f t="shared" si="42"/>
        <v>46272</v>
      </c>
    </row>
    <row r="57" spans="2:63" ht="24" customHeight="1">
      <c r="U57" s="214"/>
      <c r="V57" s="215" t="s">
        <v>81</v>
      </c>
      <c r="W57" s="207"/>
      <c r="X57" s="208" t="e">
        <f t="shared" ref="X57:X59" si="48">W57/Y56</f>
        <v>#DIV/0!</v>
      </c>
      <c r="Y57" s="210"/>
      <c r="Z57" s="210"/>
      <c r="AA57" s="210"/>
      <c r="BD57" s="193" t="s">
        <v>88</v>
      </c>
      <c r="BE57" s="213">
        <v>6775</v>
      </c>
      <c r="BF57" s="213">
        <v>12</v>
      </c>
      <c r="BG57" s="213">
        <v>11</v>
      </c>
      <c r="BH57" s="213"/>
      <c r="BI57" s="200">
        <f t="shared" si="40"/>
        <v>81300</v>
      </c>
      <c r="BJ57" s="200">
        <f t="shared" si="41"/>
        <v>74525</v>
      </c>
      <c r="BK57" s="200">
        <f t="shared" si="42"/>
        <v>6775</v>
      </c>
    </row>
    <row r="58" spans="2:63" ht="24" customHeight="1">
      <c r="U58" s="216" t="s">
        <v>89</v>
      </c>
      <c r="V58" s="215" t="s">
        <v>79</v>
      </c>
      <c r="W58" s="207"/>
      <c r="X58" s="208" t="e">
        <f t="shared" si="46"/>
        <v>#DIV/0!</v>
      </c>
      <c r="Y58" s="217">
        <f>SUM(Y52:AA56)</f>
        <v>0</v>
      </c>
      <c r="Z58" s="218"/>
      <c r="AA58" s="218"/>
      <c r="BD58" s="193" t="s">
        <v>90</v>
      </c>
      <c r="BE58" s="213">
        <v>1755</v>
      </c>
      <c r="BF58" s="213">
        <v>14</v>
      </c>
      <c r="BG58" s="213">
        <v>2</v>
      </c>
      <c r="BH58" s="213"/>
      <c r="BI58" s="200">
        <f t="shared" si="40"/>
        <v>24570</v>
      </c>
      <c r="BJ58" s="200">
        <f t="shared" si="41"/>
        <v>3510</v>
      </c>
      <c r="BK58" s="200">
        <f t="shared" si="42"/>
        <v>21060</v>
      </c>
    </row>
    <row r="59" spans="2:63" ht="24" customHeight="1">
      <c r="U59" s="216"/>
      <c r="V59" s="215" t="s">
        <v>81</v>
      </c>
      <c r="W59" s="207"/>
      <c r="X59" s="208" t="e">
        <f t="shared" si="48"/>
        <v>#DIV/0!</v>
      </c>
      <c r="Y59" s="218"/>
      <c r="Z59" s="218"/>
      <c r="AA59" s="218"/>
      <c r="BD59" s="193" t="s">
        <v>91</v>
      </c>
      <c r="BE59" s="213">
        <v>1755</v>
      </c>
      <c r="BF59" s="213">
        <v>10</v>
      </c>
      <c r="BG59" s="213">
        <v>0</v>
      </c>
      <c r="BH59" s="213"/>
      <c r="BI59" s="200">
        <f t="shared" si="40"/>
        <v>17550</v>
      </c>
      <c r="BJ59" s="200">
        <f t="shared" si="41"/>
        <v>0</v>
      </c>
      <c r="BK59" s="200">
        <f t="shared" si="42"/>
        <v>17550</v>
      </c>
    </row>
    <row r="60" spans="2:63" ht="24" customHeight="1">
      <c r="BD60" s="193" t="s">
        <v>92</v>
      </c>
      <c r="BE60" s="213">
        <v>1075</v>
      </c>
      <c r="BF60" s="213">
        <v>96</v>
      </c>
      <c r="BG60" s="213">
        <v>38</v>
      </c>
      <c r="BH60" s="213"/>
      <c r="BI60" s="200">
        <f t="shared" si="40"/>
        <v>103200</v>
      </c>
      <c r="BJ60" s="200">
        <f t="shared" si="41"/>
        <v>40850</v>
      </c>
      <c r="BK60" s="200">
        <f t="shared" si="42"/>
        <v>62350</v>
      </c>
    </row>
    <row r="61" spans="2:63" ht="24" customHeight="1">
      <c r="BD61" s="193" t="s">
        <v>93</v>
      </c>
      <c r="BE61" s="213">
        <v>3860</v>
      </c>
      <c r="BF61" s="213">
        <v>166</v>
      </c>
      <c r="BG61" s="213">
        <v>13</v>
      </c>
      <c r="BH61" s="213"/>
      <c r="BI61" s="200">
        <f t="shared" si="40"/>
        <v>640760</v>
      </c>
      <c r="BJ61" s="200">
        <f t="shared" si="41"/>
        <v>50180</v>
      </c>
      <c r="BK61" s="200">
        <f t="shared" si="42"/>
        <v>590580</v>
      </c>
    </row>
    <row r="62" spans="2:63" ht="24" customHeight="1">
      <c r="BD62" s="193" t="s">
        <v>94</v>
      </c>
      <c r="BE62" s="213">
        <v>6450</v>
      </c>
      <c r="BF62" s="213">
        <v>137</v>
      </c>
      <c r="BG62" s="213">
        <v>12</v>
      </c>
      <c r="BH62" s="213"/>
      <c r="BI62" s="200">
        <f t="shared" si="40"/>
        <v>883650</v>
      </c>
      <c r="BJ62" s="200">
        <f t="shared" si="41"/>
        <v>77400</v>
      </c>
      <c r="BK62" s="200">
        <f t="shared" si="42"/>
        <v>806250</v>
      </c>
    </row>
    <row r="63" spans="2:63" ht="24" customHeight="1">
      <c r="BD63" s="193" t="s">
        <v>95</v>
      </c>
      <c r="BE63" s="213">
        <v>1380</v>
      </c>
      <c r="BF63" s="213">
        <v>35</v>
      </c>
      <c r="BG63" s="213">
        <v>5</v>
      </c>
      <c r="BH63" s="213"/>
      <c r="BI63" s="200">
        <f t="shared" si="40"/>
        <v>48300</v>
      </c>
      <c r="BJ63" s="200">
        <f t="shared" si="41"/>
        <v>6900</v>
      </c>
      <c r="BK63" s="200">
        <f t="shared" si="42"/>
        <v>41400</v>
      </c>
    </row>
    <row r="64" spans="2:63" ht="24" customHeight="1">
      <c r="BD64" s="193" t="s">
        <v>96</v>
      </c>
      <c r="BE64" s="213">
        <v>1380</v>
      </c>
      <c r="BF64" s="213">
        <v>39</v>
      </c>
      <c r="BG64" s="213">
        <v>6</v>
      </c>
      <c r="BH64" s="213"/>
      <c r="BI64" s="200">
        <f t="shared" si="40"/>
        <v>53820</v>
      </c>
      <c r="BJ64" s="200">
        <f t="shared" si="41"/>
        <v>8280</v>
      </c>
      <c r="BK64" s="200">
        <f t="shared" si="42"/>
        <v>45540</v>
      </c>
    </row>
    <row r="65" spans="56:63" ht="24" customHeight="1">
      <c r="BD65" s="193" t="s">
        <v>97</v>
      </c>
      <c r="BE65" s="213">
        <v>160</v>
      </c>
      <c r="BF65" s="213">
        <v>594</v>
      </c>
      <c r="BG65" s="213">
        <v>53</v>
      </c>
      <c r="BH65" s="213"/>
      <c r="BI65" s="200">
        <f t="shared" si="40"/>
        <v>95040</v>
      </c>
      <c r="BJ65" s="200">
        <f t="shared" si="41"/>
        <v>8480</v>
      </c>
      <c r="BK65" s="200">
        <f t="shared" si="42"/>
        <v>86560</v>
      </c>
    </row>
    <row r="66" spans="56:63" ht="24" customHeight="1">
      <c r="BD66" s="193" t="s">
        <v>98</v>
      </c>
      <c r="BE66" s="213">
        <v>160</v>
      </c>
      <c r="BF66" s="213">
        <v>300</v>
      </c>
      <c r="BG66" s="213">
        <v>47</v>
      </c>
      <c r="BH66" s="213"/>
      <c r="BI66" s="200">
        <f t="shared" si="40"/>
        <v>48000</v>
      </c>
      <c r="BJ66" s="200">
        <f t="shared" si="41"/>
        <v>7520</v>
      </c>
      <c r="BK66" s="200">
        <f t="shared" si="42"/>
        <v>40480</v>
      </c>
    </row>
    <row r="67" spans="56:63" ht="24" customHeight="1">
      <c r="BD67" s="193" t="s">
        <v>99</v>
      </c>
      <c r="BE67" s="213">
        <v>205</v>
      </c>
      <c r="BF67" s="213">
        <v>366</v>
      </c>
      <c r="BG67" s="213">
        <v>49</v>
      </c>
      <c r="BH67" s="213"/>
      <c r="BI67" s="200">
        <f t="shared" si="40"/>
        <v>75030</v>
      </c>
      <c r="BJ67" s="200">
        <f t="shared" si="41"/>
        <v>10045</v>
      </c>
      <c r="BK67" s="200">
        <f t="shared" si="42"/>
        <v>64985</v>
      </c>
    </row>
    <row r="68" spans="56:63" ht="24" customHeight="1">
      <c r="BD68" s="193" t="s">
        <v>100</v>
      </c>
      <c r="BE68" s="213">
        <v>295</v>
      </c>
      <c r="BF68" s="213">
        <v>612</v>
      </c>
      <c r="BG68" s="213">
        <v>86</v>
      </c>
      <c r="BH68" s="213"/>
      <c r="BI68" s="200">
        <f t="shared" si="40"/>
        <v>180540</v>
      </c>
      <c r="BJ68" s="200">
        <f t="shared" si="41"/>
        <v>25370</v>
      </c>
      <c r="BK68" s="200">
        <f t="shared" si="42"/>
        <v>155170</v>
      </c>
    </row>
    <row r="69" spans="56:63" ht="24" customHeight="1">
      <c r="BD69" s="193" t="s">
        <v>101</v>
      </c>
      <c r="BE69" s="213">
        <v>70</v>
      </c>
      <c r="BF69" s="213">
        <v>480</v>
      </c>
      <c r="BG69" s="213">
        <v>71</v>
      </c>
      <c r="BH69" s="213"/>
      <c r="BI69" s="200">
        <f t="shared" si="40"/>
        <v>33600</v>
      </c>
      <c r="BJ69" s="200">
        <f t="shared" si="41"/>
        <v>4970</v>
      </c>
      <c r="BK69" s="200">
        <f t="shared" si="42"/>
        <v>28630</v>
      </c>
    </row>
    <row r="70" spans="56:63" ht="24" customHeight="1">
      <c r="BD70" s="193" t="s">
        <v>102</v>
      </c>
      <c r="BE70" s="213">
        <v>2450</v>
      </c>
      <c r="BF70" s="213">
        <v>31</v>
      </c>
      <c r="BG70" s="213">
        <v>9</v>
      </c>
      <c r="BH70" s="213"/>
      <c r="BI70" s="200">
        <f t="shared" si="40"/>
        <v>75950</v>
      </c>
      <c r="BJ70" s="200">
        <f t="shared" si="41"/>
        <v>22050</v>
      </c>
      <c r="BK70" s="200">
        <f t="shared" si="42"/>
        <v>53900</v>
      </c>
    </row>
    <row r="71" spans="56:63" ht="24" customHeight="1">
      <c r="BD71" s="193"/>
      <c r="BI71" s="219">
        <f>SUM(BI50:BI70)</f>
        <v>9956044</v>
      </c>
      <c r="BJ71" s="219">
        <f t="shared" ref="BJ71:BK71" si="49">SUM(BJ50:BJ70)</f>
        <v>817992</v>
      </c>
      <c r="BK71" s="219">
        <f t="shared" si="49"/>
        <v>9138052</v>
      </c>
    </row>
    <row r="72" spans="56:63" ht="24" customHeight="1">
      <c r="BD72" s="193"/>
    </row>
    <row r="73" spans="56:63" ht="24" customHeight="1">
      <c r="BD73" s="193"/>
    </row>
    <row r="74" spans="56:63" ht="24" customHeight="1">
      <c r="BD74" s="193"/>
    </row>
    <row r="75" spans="56:63" ht="24" customHeight="1">
      <c r="BD75" s="193"/>
    </row>
    <row r="76" spans="56:63" ht="24" customHeight="1">
      <c r="BD76" s="193"/>
    </row>
    <row r="77" spans="56:63" ht="24" customHeight="1">
      <c r="BD77" s="193"/>
    </row>
    <row r="78" spans="56:63" ht="24" customHeight="1">
      <c r="BD78" s="193"/>
    </row>
    <row r="79" spans="56:63" ht="24" customHeight="1">
      <c r="BD79" s="193"/>
    </row>
    <row r="80" spans="56:63" ht="24" customHeight="1">
      <c r="BD80" s="193"/>
    </row>
    <row r="81" spans="56:56" ht="24" customHeight="1">
      <c r="BD81" s="193"/>
    </row>
    <row r="82" spans="56:56" ht="24" customHeight="1">
      <c r="BD82" s="193"/>
    </row>
    <row r="83" spans="56:56" ht="24" customHeight="1">
      <c r="BD83" s="193"/>
    </row>
    <row r="84" spans="56:56" ht="24" customHeight="1">
      <c r="BD84" s="193"/>
    </row>
    <row r="85" spans="56:56" ht="24" customHeight="1">
      <c r="BD85" s="193"/>
    </row>
    <row r="86" spans="56:56" ht="24" customHeight="1">
      <c r="BD86" s="193"/>
    </row>
    <row r="87" spans="56:56" ht="24" customHeight="1">
      <c r="BD87" s="193"/>
    </row>
    <row r="88" spans="56:56" ht="24" customHeight="1">
      <c r="BD88" s="193"/>
    </row>
    <row r="89" spans="56:56" ht="24" customHeight="1">
      <c r="BD89" s="193"/>
    </row>
    <row r="90" spans="56:56" ht="24" customHeight="1">
      <c r="BD90" s="193"/>
    </row>
    <row r="91" spans="56:56" ht="24" customHeight="1">
      <c r="BD91" s="193"/>
    </row>
    <row r="92" spans="56:56" ht="24" customHeight="1">
      <c r="BD92" s="193"/>
    </row>
    <row r="93" spans="56:56" ht="24" customHeight="1">
      <c r="BD93" s="193"/>
    </row>
    <row r="94" spans="56:56" ht="24" customHeight="1">
      <c r="BD94" s="193"/>
    </row>
    <row r="95" spans="56:56" ht="24" customHeight="1">
      <c r="BD95" s="193"/>
    </row>
    <row r="96" spans="56:56" ht="24" customHeight="1">
      <c r="BD96" s="193"/>
    </row>
    <row r="97" spans="56:56" ht="24" customHeight="1">
      <c r="BD97" s="193"/>
    </row>
    <row r="98" spans="56:56" ht="24" customHeight="1">
      <c r="BD98" s="193"/>
    </row>
    <row r="99" spans="56:56" ht="24" customHeight="1">
      <c r="BD99" s="193"/>
    </row>
    <row r="100" spans="56:56" ht="24" customHeight="1">
      <c r="BD100" s="193"/>
    </row>
    <row r="101" spans="56:56" ht="24" customHeight="1">
      <c r="BD101" s="193"/>
    </row>
    <row r="102" spans="56:56" ht="24" customHeight="1">
      <c r="BD102" s="193"/>
    </row>
    <row r="103" spans="56:56" ht="24" customHeight="1">
      <c r="BD103" s="193"/>
    </row>
    <row r="104" spans="56:56" ht="24" customHeight="1">
      <c r="BD104" s="193"/>
    </row>
    <row r="105" spans="56:56" ht="24" customHeight="1">
      <c r="BD105" s="193"/>
    </row>
    <row r="106" spans="56:56" ht="24" customHeight="1">
      <c r="BD106" s="193"/>
    </row>
    <row r="107" spans="56:56" ht="24" customHeight="1">
      <c r="BD107" s="193"/>
    </row>
    <row r="108" spans="56:56" ht="24" customHeight="1">
      <c r="BD108" s="193"/>
    </row>
    <row r="109" spans="56:56" ht="24" customHeight="1">
      <c r="BD109" s="193"/>
    </row>
    <row r="110" spans="56:56" ht="24" customHeight="1">
      <c r="BD110" s="193"/>
    </row>
    <row r="111" spans="56:56" ht="24" customHeight="1">
      <c r="BD111" s="193"/>
    </row>
    <row r="112" spans="56:56" ht="24" customHeight="1">
      <c r="BD112" s="193"/>
    </row>
    <row r="113" spans="56:56" ht="24" customHeight="1">
      <c r="BD113" s="193"/>
    </row>
    <row r="114" spans="56:56" ht="24" customHeight="1">
      <c r="BD114" s="193"/>
    </row>
    <row r="115" spans="56:56" ht="24" customHeight="1">
      <c r="BD115" s="193"/>
    </row>
    <row r="116" spans="56:56" ht="24" customHeight="1">
      <c r="BD116" s="193"/>
    </row>
    <row r="117" spans="56:56" ht="24" customHeight="1">
      <c r="BD117" s="193"/>
    </row>
    <row r="118" spans="56:56" ht="24" customHeight="1">
      <c r="BD118" s="193"/>
    </row>
    <row r="119" spans="56:56" ht="24" customHeight="1">
      <c r="BD119" s="193"/>
    </row>
    <row r="120" spans="56:56" ht="24" customHeight="1">
      <c r="BD120" s="193"/>
    </row>
    <row r="121" spans="56:56" ht="24" customHeight="1">
      <c r="BD121" s="193"/>
    </row>
    <row r="122" spans="56:56" ht="24" customHeight="1">
      <c r="BD122" s="193"/>
    </row>
    <row r="123" spans="56:56" ht="24" customHeight="1">
      <c r="BD123" s="193"/>
    </row>
    <row r="124" spans="56:56" ht="24" customHeight="1">
      <c r="BD124" s="193"/>
    </row>
    <row r="125" spans="56:56" ht="24" customHeight="1">
      <c r="BD125" s="193"/>
    </row>
    <row r="126" spans="56:56" ht="24" customHeight="1">
      <c r="BD126" s="193"/>
    </row>
    <row r="127" spans="56:56" ht="24" customHeight="1">
      <c r="BD127" s="193"/>
    </row>
    <row r="128" spans="56:56" ht="24" customHeight="1">
      <c r="BD128" s="193"/>
    </row>
    <row r="129" spans="56:56" ht="24" customHeight="1">
      <c r="BD129" s="193"/>
    </row>
    <row r="130" spans="56:56" ht="24" customHeight="1">
      <c r="BD130" s="193"/>
    </row>
    <row r="131" spans="56:56" ht="24" customHeight="1">
      <c r="BD131" s="193"/>
    </row>
    <row r="132" spans="56:56" ht="24" customHeight="1">
      <c r="BD132" s="193"/>
    </row>
    <row r="133" spans="56:56" ht="24" customHeight="1">
      <c r="BD133" s="193"/>
    </row>
    <row r="134" spans="56:56" ht="24" customHeight="1">
      <c r="BD134" s="193"/>
    </row>
    <row r="135" spans="56:56" ht="24" customHeight="1">
      <c r="BD135" s="193"/>
    </row>
    <row r="136" spans="56:56" ht="24" customHeight="1">
      <c r="BD136" s="193"/>
    </row>
    <row r="137" spans="56:56" ht="24" customHeight="1">
      <c r="BD137" s="193"/>
    </row>
    <row r="138" spans="56:56" ht="24" customHeight="1">
      <c r="BD138" s="193"/>
    </row>
    <row r="139" spans="56:56" ht="24" customHeight="1">
      <c r="BD139" s="193"/>
    </row>
    <row r="140" spans="56:56" ht="24" customHeight="1">
      <c r="BD140" s="193"/>
    </row>
    <row r="141" spans="56:56" ht="24" customHeight="1">
      <c r="BD141" s="193"/>
    </row>
    <row r="142" spans="56:56" ht="24" customHeight="1">
      <c r="BD142" s="193"/>
    </row>
    <row r="143" spans="56:56" ht="24" customHeight="1">
      <c r="BD143" s="193"/>
    </row>
    <row r="144" spans="56:56" ht="24" customHeight="1">
      <c r="BD144" s="193"/>
    </row>
    <row r="145" spans="56:56" ht="24" customHeight="1">
      <c r="BD145" s="193"/>
    </row>
    <row r="146" spans="56:56" ht="24" customHeight="1">
      <c r="BD146" s="193"/>
    </row>
    <row r="147" spans="56:56" ht="24" customHeight="1">
      <c r="BD147" s="193"/>
    </row>
    <row r="148" spans="56:56" ht="24" customHeight="1">
      <c r="BD148" s="193"/>
    </row>
    <row r="149" spans="56:56" ht="24" customHeight="1">
      <c r="BD149" s="193"/>
    </row>
    <row r="150" spans="56:56" ht="24" customHeight="1">
      <c r="BD150" s="193"/>
    </row>
    <row r="151" spans="56:56" ht="24" customHeight="1">
      <c r="BD151" s="193"/>
    </row>
    <row r="152" spans="56:56" ht="24" customHeight="1">
      <c r="BD152" s="193"/>
    </row>
    <row r="153" spans="56:56" ht="24" customHeight="1">
      <c r="BD153" s="193"/>
    </row>
    <row r="154" spans="56:56" ht="24" customHeight="1">
      <c r="BD154" s="193"/>
    </row>
    <row r="155" spans="56:56" ht="24" customHeight="1">
      <c r="BD155" s="193"/>
    </row>
    <row r="156" spans="56:56" ht="24" customHeight="1">
      <c r="BD156" s="193"/>
    </row>
    <row r="157" spans="56:56" ht="24" customHeight="1">
      <c r="BD157" s="193"/>
    </row>
    <row r="158" spans="56:56" ht="24" customHeight="1">
      <c r="BD158" s="193"/>
    </row>
    <row r="159" spans="56:56" ht="24" customHeight="1">
      <c r="BD159" s="193"/>
    </row>
    <row r="160" spans="56:56" ht="24" customHeight="1">
      <c r="BD160" s="193"/>
    </row>
    <row r="161" spans="56:56" ht="24" customHeight="1">
      <c r="BD161" s="193"/>
    </row>
    <row r="162" spans="56:56" ht="24" customHeight="1">
      <c r="BD162" s="193"/>
    </row>
    <row r="163" spans="56:56" ht="24" customHeight="1">
      <c r="BD163" s="193"/>
    </row>
    <row r="164" spans="56:56" ht="24" customHeight="1">
      <c r="BD164" s="193"/>
    </row>
    <row r="165" spans="56:56" ht="24" customHeight="1">
      <c r="BD165" s="193"/>
    </row>
    <row r="166" spans="56:56" ht="24" customHeight="1">
      <c r="BD166" s="193"/>
    </row>
    <row r="167" spans="56:56" ht="24" customHeight="1">
      <c r="BD167" s="193"/>
    </row>
    <row r="168" spans="56:56" ht="24" customHeight="1">
      <c r="BD168" s="193"/>
    </row>
    <row r="169" spans="56:56" ht="24" customHeight="1">
      <c r="BD169" s="193"/>
    </row>
    <row r="170" spans="56:56" ht="24" customHeight="1">
      <c r="BD170" s="193"/>
    </row>
    <row r="171" spans="56:56" ht="24" customHeight="1">
      <c r="BD171" s="193"/>
    </row>
    <row r="172" spans="56:56" ht="24" customHeight="1">
      <c r="BD172" s="193"/>
    </row>
    <row r="173" spans="56:56" ht="24" customHeight="1">
      <c r="BD173" s="193"/>
    </row>
    <row r="174" spans="56:56" ht="24" customHeight="1">
      <c r="BD174" s="193"/>
    </row>
    <row r="175" spans="56:56" ht="24" customHeight="1">
      <c r="BD175" s="193"/>
    </row>
    <row r="176" spans="56:56" ht="24" customHeight="1">
      <c r="BD176" s="193"/>
    </row>
    <row r="177" spans="56:56" ht="24" customHeight="1">
      <c r="BD177" s="193"/>
    </row>
    <row r="178" spans="56:56" ht="24" customHeight="1">
      <c r="BD178" s="193"/>
    </row>
    <row r="179" spans="56:56" ht="24" customHeight="1">
      <c r="BD179" s="193"/>
    </row>
    <row r="180" spans="56:56" ht="24" customHeight="1">
      <c r="BD180" s="193"/>
    </row>
    <row r="181" spans="56:56" ht="24" customHeight="1">
      <c r="BD181" s="193"/>
    </row>
    <row r="182" spans="56:56" ht="24" customHeight="1">
      <c r="BD182" s="193"/>
    </row>
    <row r="183" spans="56:56" ht="24" customHeight="1">
      <c r="BD183" s="193"/>
    </row>
    <row r="184" spans="56:56">
      <c r="BD184" s="193"/>
    </row>
    <row r="185" spans="56:56">
      <c r="BD185" s="193"/>
    </row>
    <row r="186" spans="56:56">
      <c r="BD186" s="193"/>
    </row>
    <row r="187" spans="56:56">
      <c r="BD187" s="193"/>
    </row>
    <row r="188" spans="56:56">
      <c r="BD188" s="193"/>
    </row>
    <row r="189" spans="56:56">
      <c r="BD189" s="193"/>
    </row>
    <row r="190" spans="56:56">
      <c r="BD190" s="193"/>
    </row>
    <row r="191" spans="56:56">
      <c r="BD191" s="193"/>
    </row>
    <row r="192" spans="56:56">
      <c r="BD192" s="193"/>
    </row>
    <row r="193" spans="56:56">
      <c r="BD193" s="193"/>
    </row>
    <row r="194" spans="56:56">
      <c r="BD194" s="193"/>
    </row>
    <row r="195" spans="56:56">
      <c r="BD195" s="193"/>
    </row>
    <row r="196" spans="56:56">
      <c r="BD196" s="193"/>
    </row>
    <row r="197" spans="56:56">
      <c r="BD197" s="193"/>
    </row>
    <row r="198" spans="56:56">
      <c r="BD198" s="193"/>
    </row>
    <row r="199" spans="56:56">
      <c r="BD199" s="193"/>
    </row>
    <row r="200" spans="56:56">
      <c r="BD200" s="193"/>
    </row>
    <row r="201" spans="56:56">
      <c r="BD201" s="193"/>
    </row>
    <row r="202" spans="56:56">
      <c r="BD202" s="193"/>
    </row>
    <row r="203" spans="56:56">
      <c r="BD203" s="193"/>
    </row>
    <row r="204" spans="56:56">
      <c r="BD204" s="193"/>
    </row>
    <row r="205" spans="56:56">
      <c r="BD205" s="193"/>
    </row>
    <row r="206" spans="56:56">
      <c r="BD206" s="193"/>
    </row>
    <row r="207" spans="56:56">
      <c r="BD207" s="193"/>
    </row>
    <row r="208" spans="56:56">
      <c r="BD208" s="193"/>
    </row>
    <row r="209" spans="56:56">
      <c r="BD209" s="193"/>
    </row>
    <row r="210" spans="56:56">
      <c r="BD210" s="193"/>
    </row>
    <row r="211" spans="56:56">
      <c r="BD211" s="193"/>
    </row>
    <row r="212" spans="56:56">
      <c r="BD212" s="193"/>
    </row>
    <row r="213" spans="56:56">
      <c r="BD213" s="193"/>
    </row>
    <row r="214" spans="56:56">
      <c r="BD214" s="193"/>
    </row>
    <row r="215" spans="56:56">
      <c r="BD215" s="193"/>
    </row>
    <row r="216" spans="56:56">
      <c r="BD216" s="193"/>
    </row>
    <row r="217" spans="56:56">
      <c r="BD217" s="193"/>
    </row>
    <row r="218" spans="56:56">
      <c r="BD218" s="193"/>
    </row>
    <row r="219" spans="56:56">
      <c r="BD219" s="193"/>
    </row>
    <row r="220" spans="56:56">
      <c r="BD220" s="193"/>
    </row>
    <row r="221" spans="56:56">
      <c r="BD221" s="193"/>
    </row>
    <row r="222" spans="56:56">
      <c r="BD222" s="193"/>
    </row>
    <row r="223" spans="56:56">
      <c r="BD223" s="193"/>
    </row>
    <row r="224" spans="56:56">
      <c r="BD224" s="193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C066-D8D3-4C41-9D41-0B05E575616A}">
  <dimension ref="A1:BO224"/>
  <sheetViews>
    <sheetView tabSelected="1" workbookViewId="0">
      <selection activeCell="B11" sqref="B11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8" width="9.140625" style="47" customWidth="1"/>
    <col min="49" max="49" width="11.28515625" style="47" customWidth="1"/>
    <col min="50" max="50" width="7.5703125" style="47" customWidth="1"/>
    <col min="51" max="51" width="5.7109375" style="47" customWidth="1"/>
    <col min="52" max="53" width="9.140625" style="47" customWidth="1"/>
    <col min="54" max="54" width="13.5703125" style="47" customWidth="1"/>
    <col min="55" max="55" width="11.140625" style="47"/>
    <col min="56" max="56" width="14.85546875" style="47" customWidth="1"/>
    <col min="57" max="62" width="11.140625" style="47"/>
    <col min="63" max="63" width="11.140625" style="77"/>
    <col min="64" max="64" width="11.140625" style="47"/>
    <col min="65" max="65" width="11.140625" style="77"/>
    <col min="66" max="16384" width="11.140625" style="47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220" t="s">
        <v>6</v>
      </c>
      <c r="Z3" s="220"/>
      <c r="AA3" s="220"/>
      <c r="AB3" s="220"/>
      <c r="AC3" s="220"/>
      <c r="AD3" s="220"/>
      <c r="AE3" s="220"/>
      <c r="AF3" s="221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0"/>
      <c r="AX3" s="21"/>
      <c r="AY3" s="22" t="s">
        <v>9</v>
      </c>
      <c r="AZ3" s="14"/>
      <c r="BA3" s="14"/>
      <c r="BB3" s="14"/>
      <c r="BC3" s="23"/>
      <c r="BD3" s="24" t="s">
        <v>10</v>
      </c>
      <c r="BE3" s="25"/>
      <c r="BF3" s="25"/>
      <c r="BG3" s="25"/>
      <c r="BH3" s="25"/>
      <c r="BI3" s="25"/>
      <c r="BJ3" s="25"/>
      <c r="BK3" s="26"/>
      <c r="BM3" s="4"/>
    </row>
    <row r="4" spans="1:67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222" t="s">
        <v>25</v>
      </c>
      <c r="Z4" s="36" t="s">
        <v>13</v>
      </c>
      <c r="AA4" s="36" t="s">
        <v>22</v>
      </c>
      <c r="AB4" s="41" t="s">
        <v>26</v>
      </c>
      <c r="AC4" s="36" t="s">
        <v>23</v>
      </c>
      <c r="AD4" s="37" t="s">
        <v>27</v>
      </c>
      <c r="AE4" s="22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2" t="s">
        <v>31</v>
      </c>
      <c r="AW4" s="33" t="s">
        <v>28</v>
      </c>
      <c r="AX4" s="41" t="s">
        <v>19</v>
      </c>
      <c r="AY4" s="41" t="s">
        <v>21</v>
      </c>
      <c r="AZ4" s="36" t="s">
        <v>22</v>
      </c>
      <c r="BA4" s="36" t="s">
        <v>23</v>
      </c>
      <c r="BB4" s="37" t="s">
        <v>24</v>
      </c>
      <c r="BC4" s="37" t="s">
        <v>32</v>
      </c>
      <c r="BD4" s="43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4" t="s">
        <v>39</v>
      </c>
      <c r="BK4" s="45" t="s">
        <v>40</v>
      </c>
      <c r="BM4" s="46"/>
    </row>
    <row r="5" spans="1:67" ht="20" customHeight="1" thickTop="1">
      <c r="B5" s="48">
        <f>DATE($A$2,$B$2,1)</f>
        <v>45536</v>
      </c>
      <c r="C5" s="49"/>
      <c r="D5" s="50"/>
      <c r="E5" s="51">
        <v>28</v>
      </c>
      <c r="F5" s="52">
        <v>124300</v>
      </c>
      <c r="G5" s="53">
        <f t="shared" ref="G5:G35" si="0">ROUNDDOWN(F5/1.1,0)/E5</f>
        <v>4035.7142857142858</v>
      </c>
      <c r="H5" s="52">
        <v>22870</v>
      </c>
      <c r="I5" s="54">
        <f t="shared" ref="I5:I35" si="1">ROUNDDOWN(H5/1.1,0)/E5</f>
        <v>742.5</v>
      </c>
      <c r="J5" s="55">
        <f t="shared" ref="J5:J35" si="2">F5+H5</f>
        <v>147170</v>
      </c>
      <c r="K5" s="56">
        <f t="shared" ref="K5:K35" si="3">IF(E5="","",J5/E5)</f>
        <v>5256.0714285714284</v>
      </c>
      <c r="L5" s="57"/>
      <c r="M5" s="58">
        <f t="shared" ref="M5:N35" si="4">BD5-E5</f>
        <v>21</v>
      </c>
      <c r="N5" s="59">
        <f t="shared" si="4"/>
        <v>216260</v>
      </c>
      <c r="O5" s="53">
        <f t="shared" ref="O5:O35" si="5">ROUNDDOWN(N5/1.1,0)/M5</f>
        <v>9361.9047619047615</v>
      </c>
      <c r="P5" s="59">
        <f t="shared" ref="P5:P35" si="6">BF5-H5</f>
        <v>53220</v>
      </c>
      <c r="Q5" s="54">
        <f t="shared" ref="Q5:Q35" si="7">ROUNDDOWN(P5/1.1,0)/M5</f>
        <v>2303.8571428571427</v>
      </c>
      <c r="R5" s="60">
        <f t="shared" ref="R5:R35" si="8">N5+P5</f>
        <v>269480</v>
      </c>
      <c r="S5" s="56">
        <f t="shared" ref="S5:S35" si="9">IF(M5="","",R5/M5)</f>
        <v>12832.380952380952</v>
      </c>
      <c r="T5" s="61">
        <f t="shared" ref="T5:U35" si="10">E5+M5</f>
        <v>49</v>
      </c>
      <c r="U5" s="59">
        <f t="shared" si="10"/>
        <v>340560</v>
      </c>
      <c r="V5" s="59">
        <f t="shared" ref="V5:V35" si="11">H5+P5</f>
        <v>76090</v>
      </c>
      <c r="W5" s="62">
        <f t="shared" ref="W5:W35" si="12">J5+R5</f>
        <v>416650</v>
      </c>
      <c r="X5" s="59"/>
      <c r="Y5" s="63"/>
      <c r="Z5" s="64">
        <v>23</v>
      </c>
      <c r="AA5" s="52">
        <v>10100</v>
      </c>
      <c r="AB5" s="53">
        <f t="shared" ref="AB5:AB35" si="13">AA5/Z5</f>
        <v>439.13043478260869</v>
      </c>
      <c r="AC5" s="52">
        <v>3100</v>
      </c>
      <c r="AD5" s="54">
        <f t="shared" ref="AD5:AD35" si="14">AC5/Z5</f>
        <v>134.78260869565219</v>
      </c>
      <c r="AE5" s="65">
        <f t="shared" ref="AE5:AE35" si="15">AA5+AC5</f>
        <v>13200</v>
      </c>
      <c r="AF5" s="56">
        <f t="shared" ref="AF5:AF35" si="16">IF(Z5="","",AE5/Z5)</f>
        <v>573.91304347826087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468</v>
      </c>
      <c r="AQ5" s="52">
        <v>1213450</v>
      </c>
      <c r="AR5" s="53">
        <f t="shared" ref="AR5:AR35" si="20">AQ5/AP5</f>
        <v>2592.8418803418804</v>
      </c>
      <c r="AS5" s="52">
        <v>629350</v>
      </c>
      <c r="AT5" s="54">
        <f t="shared" ref="AT5:AT35" si="21">AS5/AP5</f>
        <v>1344.7649572649573</v>
      </c>
      <c r="AU5" s="54">
        <v>10010</v>
      </c>
      <c r="AV5" s="54"/>
      <c r="AW5" s="69">
        <f>AQ5+AS5+AU5+AV5</f>
        <v>1852810</v>
      </c>
      <c r="AX5" s="67">
        <f t="shared" ref="AX5:AX35" si="22">IF(AP5="","",AW5/AP5)</f>
        <v>3958.9957264957266</v>
      </c>
      <c r="AY5" s="70">
        <f t="shared" ref="AY5:AY35" si="23">SUM(E5,M5)</f>
        <v>49</v>
      </c>
      <c r="AZ5" s="59">
        <f t="shared" ref="AZ5:AZ35" si="24">U5+AA5+AI5+AQ5</f>
        <v>1564110</v>
      </c>
      <c r="BA5" s="59">
        <f t="shared" ref="BA5:BA35" si="25">V5+AC5+AK5+AS5</f>
        <v>708540</v>
      </c>
      <c r="BB5" s="71">
        <f>W5+AE5+AM5+AW5</f>
        <v>2282660</v>
      </c>
      <c r="BC5" s="72">
        <f>BG5+BH5</f>
        <v>2200</v>
      </c>
      <c r="BD5" s="73">
        <v>49</v>
      </c>
      <c r="BE5" s="74">
        <v>340560</v>
      </c>
      <c r="BF5" s="74">
        <v>76090</v>
      </c>
      <c r="BG5" s="75">
        <v>2200</v>
      </c>
      <c r="BH5" s="75"/>
      <c r="BI5" s="75">
        <v>3300</v>
      </c>
      <c r="BJ5" s="75"/>
      <c r="BK5" s="76">
        <f>SUM(BE5:BH5)</f>
        <v>418850</v>
      </c>
      <c r="BL5" s="47">
        <v>1</v>
      </c>
      <c r="BM5" s="77">
        <f t="shared" ref="BM5:BM35" si="26">BJ5+BK5</f>
        <v>418850</v>
      </c>
    </row>
    <row r="6" spans="1:67" ht="20" customHeight="1">
      <c r="B6" s="78">
        <f t="shared" ref="B6:B34" si="27">B5+1</f>
        <v>45537</v>
      </c>
      <c r="C6" s="79"/>
      <c r="D6" s="50"/>
      <c r="E6" s="51">
        <v>26</v>
      </c>
      <c r="F6" s="52">
        <v>98230</v>
      </c>
      <c r="G6" s="53">
        <f t="shared" si="0"/>
        <v>3434.6153846153848</v>
      </c>
      <c r="H6" s="52">
        <f>6350+2400</f>
        <v>8750</v>
      </c>
      <c r="I6" s="54">
        <f t="shared" si="1"/>
        <v>305.92307692307691</v>
      </c>
      <c r="J6" s="55">
        <f t="shared" si="2"/>
        <v>106980</v>
      </c>
      <c r="K6" s="56">
        <f t="shared" si="3"/>
        <v>4114.6153846153848</v>
      </c>
      <c r="L6" s="57"/>
      <c r="M6" s="58">
        <f t="shared" si="4"/>
        <v>8</v>
      </c>
      <c r="N6" s="59">
        <f t="shared" si="4"/>
        <v>87450</v>
      </c>
      <c r="O6" s="53">
        <f t="shared" si="5"/>
        <v>9937.5</v>
      </c>
      <c r="P6" s="59">
        <f t="shared" si="6"/>
        <v>23200</v>
      </c>
      <c r="Q6" s="54">
        <f t="shared" si="7"/>
        <v>2636.25</v>
      </c>
      <c r="R6" s="60">
        <f t="shared" si="8"/>
        <v>110650</v>
      </c>
      <c r="S6" s="56">
        <f t="shared" si="9"/>
        <v>13831.25</v>
      </c>
      <c r="T6" s="80">
        <f t="shared" si="10"/>
        <v>34</v>
      </c>
      <c r="U6" s="59">
        <f t="shared" si="10"/>
        <v>185680</v>
      </c>
      <c r="V6" s="59">
        <f t="shared" si="11"/>
        <v>31950</v>
      </c>
      <c r="W6" s="62">
        <f t="shared" si="12"/>
        <v>217630</v>
      </c>
      <c r="X6" s="81"/>
      <c r="Y6" s="63"/>
      <c r="Z6" s="64">
        <v>10</v>
      </c>
      <c r="AA6" s="52">
        <v>4860</v>
      </c>
      <c r="AB6" s="53">
        <f t="shared" si="13"/>
        <v>486</v>
      </c>
      <c r="AC6" s="52">
        <v>750</v>
      </c>
      <c r="AD6" s="54">
        <f t="shared" si="14"/>
        <v>75</v>
      </c>
      <c r="AE6" s="65">
        <f>AA6+AC6</f>
        <v>5610</v>
      </c>
      <c r="AF6" s="56">
        <f t="shared" si="16"/>
        <v>561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8">AI6+AK6</f>
        <v>0</v>
      </c>
      <c r="AN6" s="67" t="str">
        <f t="shared" si="19"/>
        <v/>
      </c>
      <c r="AO6" s="68"/>
      <c r="AP6" s="64">
        <v>92</v>
      </c>
      <c r="AQ6" s="52">
        <v>253250</v>
      </c>
      <c r="AR6" s="53">
        <f t="shared" si="20"/>
        <v>2752.717391304348</v>
      </c>
      <c r="AS6" s="52">
        <v>134900</v>
      </c>
      <c r="AT6" s="54">
        <f t="shared" si="21"/>
        <v>1466.304347826087</v>
      </c>
      <c r="AU6" s="54">
        <v>4400</v>
      </c>
      <c r="AV6" s="54"/>
      <c r="AW6" s="69">
        <f>AQ6+AS6+AU6+AV6</f>
        <v>392550</v>
      </c>
      <c r="AX6" s="67">
        <f t="shared" si="22"/>
        <v>4266.847826086957</v>
      </c>
      <c r="AY6" s="82">
        <f t="shared" si="23"/>
        <v>34</v>
      </c>
      <c r="AZ6" s="59">
        <f t="shared" si="24"/>
        <v>443790</v>
      </c>
      <c r="BA6" s="59">
        <f t="shared" si="25"/>
        <v>167600</v>
      </c>
      <c r="BB6" s="71">
        <f>W6+AE6+AM6+AW6</f>
        <v>615790</v>
      </c>
      <c r="BC6" s="72">
        <f>BG6+BH6</f>
        <v>2200</v>
      </c>
      <c r="BD6" s="73">
        <v>34</v>
      </c>
      <c r="BE6" s="74">
        <v>185680</v>
      </c>
      <c r="BF6" s="74">
        <v>31950</v>
      </c>
      <c r="BG6" s="75">
        <v>2200</v>
      </c>
      <c r="BH6" s="75"/>
      <c r="BI6" s="75"/>
      <c r="BJ6" s="75"/>
      <c r="BK6" s="76">
        <f t="shared" ref="BK6:BK35" si="29">SUM(BE6:BH6)</f>
        <v>219830</v>
      </c>
      <c r="BL6" s="47">
        <v>2</v>
      </c>
      <c r="BM6" s="77">
        <f t="shared" si="26"/>
        <v>219830</v>
      </c>
      <c r="BO6" s="47" t="s">
        <v>41</v>
      </c>
    </row>
    <row r="7" spans="1:67" ht="20" customHeight="1">
      <c r="B7" s="78">
        <f>B6+1</f>
        <v>45538</v>
      </c>
      <c r="C7" s="79"/>
      <c r="D7" s="50"/>
      <c r="E7" s="51">
        <v>28</v>
      </c>
      <c r="F7" s="52">
        <v>97900</v>
      </c>
      <c r="G7" s="53">
        <f t="shared" si="0"/>
        <v>3178.5714285714284</v>
      </c>
      <c r="H7" s="52">
        <v>7520</v>
      </c>
      <c r="I7" s="54">
        <f t="shared" si="1"/>
        <v>244.14285714285714</v>
      </c>
      <c r="J7" s="55">
        <f t="shared" si="2"/>
        <v>105420</v>
      </c>
      <c r="K7" s="56">
        <f t="shared" si="3"/>
        <v>3765</v>
      </c>
      <c r="L7" s="57"/>
      <c r="M7" s="58">
        <f t="shared" si="4"/>
        <v>10</v>
      </c>
      <c r="N7" s="59">
        <f t="shared" si="4"/>
        <v>76340</v>
      </c>
      <c r="O7" s="53">
        <f t="shared" si="5"/>
        <v>6940</v>
      </c>
      <c r="P7" s="59">
        <f t="shared" si="6"/>
        <v>17680</v>
      </c>
      <c r="Q7" s="54">
        <f t="shared" si="7"/>
        <v>1607.2</v>
      </c>
      <c r="R7" s="60">
        <f t="shared" si="8"/>
        <v>94020</v>
      </c>
      <c r="S7" s="56">
        <f t="shared" si="9"/>
        <v>9402</v>
      </c>
      <c r="T7" s="80">
        <f t="shared" si="10"/>
        <v>38</v>
      </c>
      <c r="U7" s="59">
        <f t="shared" si="10"/>
        <v>174240</v>
      </c>
      <c r="V7" s="59">
        <f t="shared" si="11"/>
        <v>25200</v>
      </c>
      <c r="W7" s="62">
        <f t="shared" si="12"/>
        <v>199440</v>
      </c>
      <c r="X7" s="81"/>
      <c r="Y7" s="63"/>
      <c r="Z7" s="64">
        <v>36</v>
      </c>
      <c r="AA7" s="52">
        <v>17950</v>
      </c>
      <c r="AB7" s="53">
        <f t="shared" si="13"/>
        <v>498.61111111111109</v>
      </c>
      <c r="AC7" s="52">
        <v>6700</v>
      </c>
      <c r="AD7" s="54">
        <f t="shared" si="14"/>
        <v>186.11111111111111</v>
      </c>
      <c r="AE7" s="65">
        <f t="shared" si="15"/>
        <v>24650</v>
      </c>
      <c r="AF7" s="56">
        <f t="shared" si="16"/>
        <v>684.72222222222217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8"/>
        <v>0</v>
      </c>
      <c r="AN7" s="67" t="str">
        <f t="shared" si="19"/>
        <v/>
      </c>
      <c r="AO7" s="68"/>
      <c r="AP7" s="64">
        <v>194</v>
      </c>
      <c r="AQ7" s="52">
        <v>576050</v>
      </c>
      <c r="AR7" s="53">
        <f t="shared" si="20"/>
        <v>2969.3298969072166</v>
      </c>
      <c r="AS7" s="52">
        <v>326000</v>
      </c>
      <c r="AT7" s="54">
        <f t="shared" si="21"/>
        <v>1680.4123711340205</v>
      </c>
      <c r="AU7" s="54">
        <v>2310</v>
      </c>
      <c r="AV7" s="54"/>
      <c r="AW7" s="69">
        <f>AQ7+AS7+AU7+AV7</f>
        <v>904360</v>
      </c>
      <c r="AX7" s="67">
        <f t="shared" si="22"/>
        <v>4661.6494845360821</v>
      </c>
      <c r="AY7" s="82">
        <f t="shared" si="23"/>
        <v>38</v>
      </c>
      <c r="AZ7" s="59">
        <f t="shared" si="24"/>
        <v>768240</v>
      </c>
      <c r="BA7" s="59">
        <f t="shared" si="25"/>
        <v>357900</v>
      </c>
      <c r="BB7" s="71">
        <f>W7+AE7+AM7+AW7-BN7</f>
        <v>1125942</v>
      </c>
      <c r="BC7" s="72">
        <f t="shared" ref="BC7:BC35" si="30">BG7+BH7</f>
        <v>8800</v>
      </c>
      <c r="BD7" s="73">
        <v>38</v>
      </c>
      <c r="BE7" s="74">
        <v>174240</v>
      </c>
      <c r="BF7" s="74">
        <v>25200</v>
      </c>
      <c r="BG7" s="75">
        <v>8800</v>
      </c>
      <c r="BH7" s="75"/>
      <c r="BI7" s="75"/>
      <c r="BJ7" s="75"/>
      <c r="BK7" s="76">
        <f t="shared" si="29"/>
        <v>208240</v>
      </c>
      <c r="BL7" s="47">
        <v>3</v>
      </c>
      <c r="BM7" s="77">
        <f t="shared" si="26"/>
        <v>208240</v>
      </c>
      <c r="BN7" s="47">
        <v>2508</v>
      </c>
      <c r="BO7" s="47" t="s">
        <v>41</v>
      </c>
    </row>
    <row r="8" spans="1:67" ht="20" customHeight="1">
      <c r="B8" s="78">
        <f t="shared" si="27"/>
        <v>45539</v>
      </c>
      <c r="C8" s="79"/>
      <c r="D8" s="50"/>
      <c r="E8" s="51">
        <v>18</v>
      </c>
      <c r="F8" s="52">
        <v>60060</v>
      </c>
      <c r="G8" s="53">
        <f t="shared" si="0"/>
        <v>3033.3333333333335</v>
      </c>
      <c r="H8" s="52">
        <v>6870</v>
      </c>
      <c r="I8" s="54">
        <f t="shared" si="1"/>
        <v>346.94444444444446</v>
      </c>
      <c r="J8" s="55">
        <f t="shared" si="2"/>
        <v>66930</v>
      </c>
      <c r="K8" s="56">
        <f t="shared" si="3"/>
        <v>3718.3333333333335</v>
      </c>
      <c r="L8" s="57"/>
      <c r="M8" s="58">
        <f t="shared" si="4"/>
        <v>6</v>
      </c>
      <c r="N8" s="59">
        <f t="shared" si="4"/>
        <v>63360</v>
      </c>
      <c r="O8" s="53">
        <f t="shared" si="5"/>
        <v>9600</v>
      </c>
      <c r="P8" s="59">
        <f t="shared" si="6"/>
        <v>12100</v>
      </c>
      <c r="Q8" s="54">
        <f t="shared" si="7"/>
        <v>1833.3333333333333</v>
      </c>
      <c r="R8" s="60">
        <f t="shared" si="8"/>
        <v>75460</v>
      </c>
      <c r="S8" s="56">
        <f t="shared" si="9"/>
        <v>12576.666666666666</v>
      </c>
      <c r="T8" s="80">
        <f t="shared" si="10"/>
        <v>24</v>
      </c>
      <c r="U8" s="59">
        <f t="shared" si="10"/>
        <v>123420</v>
      </c>
      <c r="V8" s="59">
        <f t="shared" si="11"/>
        <v>18970</v>
      </c>
      <c r="W8" s="62">
        <f t="shared" si="12"/>
        <v>142390</v>
      </c>
      <c r="X8" s="81"/>
      <c r="Y8" s="63"/>
      <c r="Z8" s="64">
        <v>21</v>
      </c>
      <c r="AA8" s="52">
        <v>9590</v>
      </c>
      <c r="AB8" s="53">
        <f t="shared" si="13"/>
        <v>456.66666666666669</v>
      </c>
      <c r="AC8" s="52">
        <v>1800</v>
      </c>
      <c r="AD8" s="54">
        <f t="shared" si="14"/>
        <v>85.714285714285708</v>
      </c>
      <c r="AE8" s="65">
        <f t="shared" si="15"/>
        <v>11390</v>
      </c>
      <c r="AF8" s="56">
        <f t="shared" si="16"/>
        <v>542.38095238095241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8"/>
        <v>0</v>
      </c>
      <c r="AN8" s="67" t="str">
        <f t="shared" si="19"/>
        <v/>
      </c>
      <c r="AO8" s="68"/>
      <c r="AP8" s="64">
        <v>269</v>
      </c>
      <c r="AQ8" s="52">
        <v>441600</v>
      </c>
      <c r="AR8" s="53">
        <f t="shared" si="20"/>
        <v>1641.6356877323419</v>
      </c>
      <c r="AS8" s="52">
        <v>809510</v>
      </c>
      <c r="AT8" s="54">
        <f t="shared" si="21"/>
        <v>3009.3308550185875</v>
      </c>
      <c r="AU8" s="54">
        <v>19250</v>
      </c>
      <c r="AV8" s="54">
        <v>2970</v>
      </c>
      <c r="AW8" s="69">
        <f t="shared" ref="AW8:AW16" si="31">AQ8+AS8+AU8+AV8</f>
        <v>1273330</v>
      </c>
      <c r="AX8" s="67">
        <f t="shared" si="22"/>
        <v>4733.5687732342003</v>
      </c>
      <c r="AY8" s="82">
        <f t="shared" si="23"/>
        <v>24</v>
      </c>
      <c r="AZ8" s="59">
        <f t="shared" si="24"/>
        <v>574610</v>
      </c>
      <c r="BA8" s="59">
        <f t="shared" si="25"/>
        <v>830280</v>
      </c>
      <c r="BB8" s="71">
        <f>W8+AE8+AM8+AW8-BN8</f>
        <v>1427110</v>
      </c>
      <c r="BC8" s="72">
        <f t="shared" si="30"/>
        <v>3300</v>
      </c>
      <c r="BD8" s="73">
        <v>24</v>
      </c>
      <c r="BE8" s="74">
        <v>123420</v>
      </c>
      <c r="BF8" s="74">
        <v>18970</v>
      </c>
      <c r="BG8" s="75">
        <v>3300</v>
      </c>
      <c r="BH8" s="75"/>
      <c r="BI8" s="75"/>
      <c r="BJ8" s="75"/>
      <c r="BK8" s="76">
        <f t="shared" si="29"/>
        <v>145690</v>
      </c>
      <c r="BL8" s="47">
        <v>4</v>
      </c>
      <c r="BM8" s="77">
        <f t="shared" si="26"/>
        <v>145690</v>
      </c>
    </row>
    <row r="9" spans="1:67" ht="20" customHeight="1">
      <c r="B9" s="78">
        <f t="shared" si="27"/>
        <v>45540</v>
      </c>
      <c r="C9" s="79"/>
      <c r="D9" s="50"/>
      <c r="E9" s="51">
        <v>36</v>
      </c>
      <c r="F9" s="52">
        <v>150590</v>
      </c>
      <c r="G9" s="53">
        <f t="shared" si="0"/>
        <v>3802.7777777777778</v>
      </c>
      <c r="H9" s="52">
        <v>13060</v>
      </c>
      <c r="I9" s="54">
        <f t="shared" si="1"/>
        <v>329.77777777777777</v>
      </c>
      <c r="J9" s="55">
        <f t="shared" si="2"/>
        <v>163650</v>
      </c>
      <c r="K9" s="56">
        <f t="shared" si="3"/>
        <v>4545.833333333333</v>
      </c>
      <c r="L9" s="57"/>
      <c r="M9" s="58">
        <f t="shared" si="4"/>
        <v>11</v>
      </c>
      <c r="N9" s="59">
        <f t="shared" si="4"/>
        <v>107470</v>
      </c>
      <c r="O9" s="53">
        <f t="shared" si="5"/>
        <v>8881.818181818182</v>
      </c>
      <c r="P9" s="59">
        <f t="shared" si="6"/>
        <v>31460</v>
      </c>
      <c r="Q9" s="54">
        <f t="shared" si="7"/>
        <v>2600</v>
      </c>
      <c r="R9" s="60">
        <f t="shared" si="8"/>
        <v>138930</v>
      </c>
      <c r="S9" s="56">
        <f t="shared" si="9"/>
        <v>12630</v>
      </c>
      <c r="T9" s="80">
        <f t="shared" si="10"/>
        <v>47</v>
      </c>
      <c r="U9" s="59">
        <f t="shared" si="10"/>
        <v>258060</v>
      </c>
      <c r="V9" s="59">
        <f t="shared" si="11"/>
        <v>44520</v>
      </c>
      <c r="W9" s="62">
        <f t="shared" si="12"/>
        <v>302580</v>
      </c>
      <c r="X9" s="81"/>
      <c r="Y9" s="63"/>
      <c r="Z9" s="64">
        <v>3</v>
      </c>
      <c r="AA9" s="52">
        <v>1240</v>
      </c>
      <c r="AB9" s="53">
        <f t="shared" si="13"/>
        <v>413.33333333333331</v>
      </c>
      <c r="AC9" s="52">
        <v>400</v>
      </c>
      <c r="AD9" s="54">
        <f t="shared" si="14"/>
        <v>133.33333333333334</v>
      </c>
      <c r="AE9" s="65">
        <f t="shared" si="15"/>
        <v>1640</v>
      </c>
      <c r="AF9" s="56">
        <f t="shared" si="16"/>
        <v>546.66666666666663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8"/>
        <v>0</v>
      </c>
      <c r="AN9" s="67" t="str">
        <f t="shared" si="19"/>
        <v/>
      </c>
      <c r="AO9" s="68"/>
      <c r="AP9" s="64">
        <v>186</v>
      </c>
      <c r="AQ9" s="52">
        <v>488650</v>
      </c>
      <c r="AR9" s="53">
        <f t="shared" si="20"/>
        <v>2627.1505376344085</v>
      </c>
      <c r="AS9" s="52">
        <v>291050</v>
      </c>
      <c r="AT9" s="54">
        <f t="shared" si="21"/>
        <v>1564.7849462365591</v>
      </c>
      <c r="AU9" s="54">
        <v>10450</v>
      </c>
      <c r="AV9" s="54"/>
      <c r="AW9" s="69">
        <f t="shared" si="31"/>
        <v>790150</v>
      </c>
      <c r="AX9" s="67">
        <f>IF(AP9="","",AW9/AP9)</f>
        <v>4248.1182795698924</v>
      </c>
      <c r="AY9" s="82">
        <f t="shared" si="23"/>
        <v>47</v>
      </c>
      <c r="AZ9" s="59">
        <f t="shared" si="24"/>
        <v>747950</v>
      </c>
      <c r="BA9" s="59">
        <f t="shared" si="25"/>
        <v>335970</v>
      </c>
      <c r="BB9" s="71">
        <f>W9+AE9+AM9+AW9</f>
        <v>1094370</v>
      </c>
      <c r="BC9" s="72">
        <f t="shared" si="30"/>
        <v>2200</v>
      </c>
      <c r="BD9" s="73">
        <v>47</v>
      </c>
      <c r="BE9" s="74">
        <v>258060</v>
      </c>
      <c r="BF9" s="74">
        <v>44520</v>
      </c>
      <c r="BG9" s="75">
        <v>2200</v>
      </c>
      <c r="BH9" s="75"/>
      <c r="BI9" s="75"/>
      <c r="BJ9" s="75"/>
      <c r="BK9" s="76">
        <f t="shared" si="29"/>
        <v>304780</v>
      </c>
      <c r="BL9" s="47">
        <v>5</v>
      </c>
      <c r="BM9" s="77">
        <f t="shared" si="26"/>
        <v>304780</v>
      </c>
    </row>
    <row r="10" spans="1:67" ht="20" customHeight="1">
      <c r="B10" s="78">
        <f t="shared" si="27"/>
        <v>45541</v>
      </c>
      <c r="C10" s="79"/>
      <c r="D10" s="50"/>
      <c r="E10" s="51">
        <v>18</v>
      </c>
      <c r="F10" s="52">
        <v>65890</v>
      </c>
      <c r="G10" s="53">
        <f t="shared" si="0"/>
        <v>3327.7777777777778</v>
      </c>
      <c r="H10" s="52">
        <v>5370</v>
      </c>
      <c r="I10" s="54">
        <f t="shared" si="1"/>
        <v>271.16666666666669</v>
      </c>
      <c r="J10" s="55">
        <f t="shared" si="2"/>
        <v>71260</v>
      </c>
      <c r="K10" s="56">
        <f t="shared" si="3"/>
        <v>3958.8888888888887</v>
      </c>
      <c r="L10" s="57"/>
      <c r="M10" s="58">
        <f t="shared" si="4"/>
        <v>16</v>
      </c>
      <c r="N10" s="59">
        <f t="shared" si="4"/>
        <v>122760</v>
      </c>
      <c r="O10" s="53">
        <f t="shared" si="5"/>
        <v>6975</v>
      </c>
      <c r="P10" s="59">
        <f t="shared" si="6"/>
        <v>34640</v>
      </c>
      <c r="Q10" s="54">
        <f t="shared" si="7"/>
        <v>1968.125</v>
      </c>
      <c r="R10" s="60">
        <f t="shared" si="8"/>
        <v>157400</v>
      </c>
      <c r="S10" s="56">
        <f t="shared" si="9"/>
        <v>9837.5</v>
      </c>
      <c r="T10" s="80">
        <f t="shared" si="10"/>
        <v>34</v>
      </c>
      <c r="U10" s="59">
        <f t="shared" si="10"/>
        <v>188650</v>
      </c>
      <c r="V10" s="59">
        <f t="shared" si="11"/>
        <v>40010</v>
      </c>
      <c r="W10" s="62">
        <f t="shared" si="12"/>
        <v>228660</v>
      </c>
      <c r="X10" s="81"/>
      <c r="Y10" s="63"/>
      <c r="Z10" s="64">
        <v>7</v>
      </c>
      <c r="AA10" s="52">
        <v>3250</v>
      </c>
      <c r="AB10" s="53">
        <f t="shared" si="13"/>
        <v>464.28571428571428</v>
      </c>
      <c r="AC10" s="52">
        <v>0</v>
      </c>
      <c r="AD10" s="54">
        <f t="shared" si="14"/>
        <v>0</v>
      </c>
      <c r="AE10" s="65">
        <f t="shared" si="15"/>
        <v>3250</v>
      </c>
      <c r="AF10" s="56">
        <f t="shared" si="16"/>
        <v>464.28571428571428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8"/>
        <v>0</v>
      </c>
      <c r="AN10" s="67" t="str">
        <f t="shared" si="19"/>
        <v/>
      </c>
      <c r="AO10" s="68"/>
      <c r="AP10" s="64">
        <v>470</v>
      </c>
      <c r="AQ10" s="52">
        <v>781000</v>
      </c>
      <c r="AR10" s="53">
        <f t="shared" si="20"/>
        <v>1661.7021276595744</v>
      </c>
      <c r="AS10" s="52">
        <v>432250</v>
      </c>
      <c r="AT10" s="54">
        <f t="shared" si="21"/>
        <v>919.68085106382978</v>
      </c>
      <c r="AU10" s="54">
        <v>6380</v>
      </c>
      <c r="AV10" s="54"/>
      <c r="AW10" s="69">
        <f t="shared" si="31"/>
        <v>1219630</v>
      </c>
      <c r="AX10" s="67">
        <f t="shared" si="22"/>
        <v>2594.9574468085107</v>
      </c>
      <c r="AY10" s="82">
        <f t="shared" si="23"/>
        <v>34</v>
      </c>
      <c r="AZ10" s="59">
        <f t="shared" si="24"/>
        <v>972900</v>
      </c>
      <c r="BA10" s="59">
        <f t="shared" si="25"/>
        <v>472260</v>
      </c>
      <c r="BB10" s="71">
        <f t="shared" ref="BB10:BB30" si="32">W10+AE10+AM10+AW10</f>
        <v>1451540</v>
      </c>
      <c r="BC10" s="72">
        <f t="shared" si="30"/>
        <v>1650</v>
      </c>
      <c r="BD10" s="73">
        <v>34</v>
      </c>
      <c r="BE10" s="74">
        <v>188650</v>
      </c>
      <c r="BF10" s="74">
        <v>40010</v>
      </c>
      <c r="BG10" s="75">
        <v>1650</v>
      </c>
      <c r="BH10" s="75"/>
      <c r="BI10" s="75"/>
      <c r="BJ10" s="75"/>
      <c r="BK10" s="76">
        <f t="shared" si="29"/>
        <v>230310</v>
      </c>
      <c r="BL10" s="47">
        <v>6</v>
      </c>
      <c r="BM10" s="77">
        <f t="shared" si="26"/>
        <v>230310</v>
      </c>
      <c r="BO10" s="47" t="s">
        <v>41</v>
      </c>
    </row>
    <row r="11" spans="1:67" ht="20" customHeight="1">
      <c r="B11" s="78">
        <f t="shared" si="27"/>
        <v>45542</v>
      </c>
      <c r="C11" s="79"/>
      <c r="D11" s="50"/>
      <c r="E11" s="51">
        <v>29</v>
      </c>
      <c r="F11" s="52">
        <v>132110</v>
      </c>
      <c r="G11" s="53">
        <f t="shared" si="0"/>
        <v>4141.3793103448279</v>
      </c>
      <c r="H11" s="52">
        <v>30100</v>
      </c>
      <c r="I11" s="54">
        <f t="shared" si="1"/>
        <v>943.55172413793105</v>
      </c>
      <c r="J11" s="55">
        <f t="shared" si="2"/>
        <v>162210</v>
      </c>
      <c r="K11" s="56">
        <f t="shared" si="3"/>
        <v>5593.4482758620688</v>
      </c>
      <c r="L11" s="57"/>
      <c r="M11" s="58">
        <f t="shared" si="4"/>
        <v>28</v>
      </c>
      <c r="N11" s="59">
        <f t="shared" si="4"/>
        <v>274430</v>
      </c>
      <c r="O11" s="53">
        <f t="shared" si="5"/>
        <v>8910.0357142857138</v>
      </c>
      <c r="P11" s="59">
        <f t="shared" si="6"/>
        <v>58270</v>
      </c>
      <c r="Q11" s="54">
        <f t="shared" si="7"/>
        <v>1891.8571428571429</v>
      </c>
      <c r="R11" s="60">
        <f t="shared" si="8"/>
        <v>332700</v>
      </c>
      <c r="S11" s="56">
        <f t="shared" si="9"/>
        <v>11882.142857142857</v>
      </c>
      <c r="T11" s="80">
        <f t="shared" si="10"/>
        <v>57</v>
      </c>
      <c r="U11" s="59">
        <f t="shared" si="10"/>
        <v>406540</v>
      </c>
      <c r="V11" s="59">
        <f t="shared" si="11"/>
        <v>88370</v>
      </c>
      <c r="W11" s="62">
        <f t="shared" si="12"/>
        <v>494910</v>
      </c>
      <c r="X11" s="81"/>
      <c r="Y11" s="63"/>
      <c r="Z11" s="64">
        <v>5</v>
      </c>
      <c r="AA11" s="52">
        <v>1950</v>
      </c>
      <c r="AB11" s="53">
        <f t="shared" si="13"/>
        <v>390</v>
      </c>
      <c r="AC11" s="52">
        <v>0</v>
      </c>
      <c r="AD11" s="54">
        <f t="shared" si="14"/>
        <v>0</v>
      </c>
      <c r="AE11" s="65">
        <f t="shared" si="15"/>
        <v>1950</v>
      </c>
      <c r="AF11" s="56">
        <f t="shared" si="16"/>
        <v>390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8"/>
        <v>0</v>
      </c>
      <c r="AN11" s="67" t="str">
        <f t="shared" si="19"/>
        <v/>
      </c>
      <c r="AO11" s="68"/>
      <c r="AP11" s="64">
        <v>452</v>
      </c>
      <c r="AQ11" s="52">
        <v>1366800</v>
      </c>
      <c r="AR11" s="53">
        <f t="shared" si="20"/>
        <v>3023.8938053097345</v>
      </c>
      <c r="AS11" s="52">
        <v>704550</v>
      </c>
      <c r="AT11" s="54">
        <f t="shared" si="21"/>
        <v>1558.7389380530974</v>
      </c>
      <c r="AU11" s="54">
        <v>40920</v>
      </c>
      <c r="AV11" s="54"/>
      <c r="AW11" s="69">
        <f t="shared" si="31"/>
        <v>2112270</v>
      </c>
      <c r="AX11" s="67">
        <f t="shared" si="22"/>
        <v>4673.1637168141597</v>
      </c>
      <c r="AY11" s="82">
        <f t="shared" si="23"/>
        <v>57</v>
      </c>
      <c r="AZ11" s="59">
        <f t="shared" si="24"/>
        <v>1775290</v>
      </c>
      <c r="BA11" s="59">
        <f t="shared" si="25"/>
        <v>792920</v>
      </c>
      <c r="BB11" s="71">
        <f t="shared" si="32"/>
        <v>2609130</v>
      </c>
      <c r="BC11" s="72">
        <f t="shared" si="30"/>
        <v>8800</v>
      </c>
      <c r="BD11" s="73">
        <v>57</v>
      </c>
      <c r="BE11" s="74">
        <v>406540</v>
      </c>
      <c r="BF11" s="74">
        <v>88370</v>
      </c>
      <c r="BG11" s="75">
        <v>8800</v>
      </c>
      <c r="BH11" s="75"/>
      <c r="BI11" s="75"/>
      <c r="BJ11" s="75"/>
      <c r="BK11" s="76">
        <f t="shared" si="29"/>
        <v>503710</v>
      </c>
      <c r="BL11" s="47">
        <v>7</v>
      </c>
      <c r="BM11" s="77">
        <f t="shared" si="26"/>
        <v>503710</v>
      </c>
    </row>
    <row r="12" spans="1:67" ht="20" customHeight="1">
      <c r="B12" s="78">
        <f t="shared" si="27"/>
        <v>45543</v>
      </c>
      <c r="C12" s="83"/>
      <c r="D12" s="50"/>
      <c r="E12" s="51">
        <v>21</v>
      </c>
      <c r="F12" s="52">
        <v>85580</v>
      </c>
      <c r="G12" s="53">
        <f t="shared" si="0"/>
        <v>3704.7619047619046</v>
      </c>
      <c r="H12" s="52">
        <v>14220</v>
      </c>
      <c r="I12" s="54">
        <f t="shared" si="1"/>
        <v>615.57142857142856</v>
      </c>
      <c r="J12" s="55">
        <f t="shared" si="2"/>
        <v>99800</v>
      </c>
      <c r="K12" s="56">
        <f t="shared" si="3"/>
        <v>4752.3809523809523</v>
      </c>
      <c r="L12" s="57"/>
      <c r="M12" s="58">
        <f t="shared" si="4"/>
        <v>18</v>
      </c>
      <c r="N12" s="59">
        <f t="shared" si="4"/>
        <v>211860</v>
      </c>
      <c r="O12" s="53">
        <f t="shared" si="5"/>
        <v>10700</v>
      </c>
      <c r="P12" s="59">
        <f t="shared" si="6"/>
        <v>55250</v>
      </c>
      <c r="Q12" s="84">
        <f t="shared" si="7"/>
        <v>2790.3888888888887</v>
      </c>
      <c r="R12" s="60">
        <f t="shared" si="8"/>
        <v>267110</v>
      </c>
      <c r="S12" s="56">
        <f t="shared" si="9"/>
        <v>14839.444444444445</v>
      </c>
      <c r="T12" s="80">
        <f t="shared" si="10"/>
        <v>39</v>
      </c>
      <c r="U12" s="59">
        <f t="shared" si="10"/>
        <v>297440</v>
      </c>
      <c r="V12" s="59">
        <f t="shared" si="11"/>
        <v>69470</v>
      </c>
      <c r="W12" s="62">
        <f t="shared" si="12"/>
        <v>366910</v>
      </c>
      <c r="X12" s="81"/>
      <c r="Y12" s="63"/>
      <c r="Z12" s="64">
        <v>26</v>
      </c>
      <c r="AA12" s="52">
        <v>13840</v>
      </c>
      <c r="AB12" s="53">
        <f t="shared" si="13"/>
        <v>532.30769230769226</v>
      </c>
      <c r="AC12" s="52">
        <v>6600</v>
      </c>
      <c r="AD12" s="54">
        <f t="shared" si="14"/>
        <v>253.84615384615384</v>
      </c>
      <c r="AE12" s="65">
        <f t="shared" si="15"/>
        <v>20440</v>
      </c>
      <c r="AF12" s="56">
        <f t="shared" si="16"/>
        <v>786.15384615384619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8"/>
        <v>0</v>
      </c>
      <c r="AN12" s="67" t="str">
        <f t="shared" si="19"/>
        <v/>
      </c>
      <c r="AO12" s="68"/>
      <c r="AP12" s="64">
        <v>279</v>
      </c>
      <c r="AQ12" s="52">
        <v>722650</v>
      </c>
      <c r="AR12" s="53">
        <f t="shared" si="20"/>
        <v>2590.1433691756274</v>
      </c>
      <c r="AS12" s="52">
        <v>419000</v>
      </c>
      <c r="AT12" s="54">
        <f t="shared" si="21"/>
        <v>1501.7921146953406</v>
      </c>
      <c r="AU12" s="54">
        <v>17050</v>
      </c>
      <c r="AV12" s="54"/>
      <c r="AW12" s="69">
        <f>AQ12+AS12+AU12+AV12-BN12</f>
        <v>1153000</v>
      </c>
      <c r="AX12" s="67">
        <f t="shared" si="22"/>
        <v>4132.6164874551969</v>
      </c>
      <c r="AY12" s="82">
        <f t="shared" si="23"/>
        <v>39</v>
      </c>
      <c r="AZ12" s="59">
        <f t="shared" si="24"/>
        <v>1033930</v>
      </c>
      <c r="BA12" s="59">
        <f t="shared" si="25"/>
        <v>495070</v>
      </c>
      <c r="BB12" s="71">
        <f t="shared" si="32"/>
        <v>1540350</v>
      </c>
      <c r="BC12" s="72">
        <f t="shared" si="30"/>
        <v>2200</v>
      </c>
      <c r="BD12" s="73">
        <v>39</v>
      </c>
      <c r="BE12" s="74">
        <v>297440</v>
      </c>
      <c r="BF12" s="74">
        <v>69470</v>
      </c>
      <c r="BG12" s="75">
        <v>2200</v>
      </c>
      <c r="BH12" s="75"/>
      <c r="BI12" s="75"/>
      <c r="BJ12" s="75"/>
      <c r="BK12" s="76">
        <f t="shared" si="29"/>
        <v>369110</v>
      </c>
      <c r="BL12" s="47">
        <v>8</v>
      </c>
      <c r="BM12" s="77">
        <f t="shared" si="26"/>
        <v>369110</v>
      </c>
      <c r="BN12" s="47">
        <v>5700</v>
      </c>
    </row>
    <row r="13" spans="1:67" ht="20" customHeight="1">
      <c r="B13" s="78">
        <f t="shared" si="27"/>
        <v>45544</v>
      </c>
      <c r="C13" s="79"/>
      <c r="D13" s="50"/>
      <c r="E13" s="51">
        <v>30</v>
      </c>
      <c r="F13" s="52">
        <v>107800</v>
      </c>
      <c r="G13" s="53">
        <f t="shared" si="0"/>
        <v>3266.6666666666665</v>
      </c>
      <c r="H13" s="52">
        <v>12230</v>
      </c>
      <c r="I13" s="54">
        <f t="shared" si="1"/>
        <v>370.6</v>
      </c>
      <c r="J13" s="55">
        <f t="shared" si="2"/>
        <v>120030</v>
      </c>
      <c r="K13" s="56">
        <f t="shared" si="3"/>
        <v>4001</v>
      </c>
      <c r="L13" s="57"/>
      <c r="M13" s="58">
        <f t="shared" si="4"/>
        <v>4</v>
      </c>
      <c r="N13" s="59">
        <f t="shared" si="4"/>
        <v>25520</v>
      </c>
      <c r="O13" s="53">
        <f t="shared" si="5"/>
        <v>5800</v>
      </c>
      <c r="P13" s="59">
        <f t="shared" si="6"/>
        <v>11660</v>
      </c>
      <c r="Q13" s="54">
        <f t="shared" si="7"/>
        <v>2650</v>
      </c>
      <c r="R13" s="60">
        <f t="shared" si="8"/>
        <v>37180</v>
      </c>
      <c r="S13" s="56">
        <f t="shared" si="9"/>
        <v>9295</v>
      </c>
      <c r="T13" s="80">
        <f t="shared" si="10"/>
        <v>34</v>
      </c>
      <c r="U13" s="59">
        <f t="shared" si="10"/>
        <v>133320</v>
      </c>
      <c r="V13" s="59">
        <f t="shared" si="11"/>
        <v>23890</v>
      </c>
      <c r="W13" s="62">
        <f t="shared" si="12"/>
        <v>157210</v>
      </c>
      <c r="X13" s="81"/>
      <c r="Y13" s="63"/>
      <c r="Z13" s="64">
        <v>16</v>
      </c>
      <c r="AA13" s="52">
        <v>6720</v>
      </c>
      <c r="AB13" s="53">
        <f t="shared" si="13"/>
        <v>420</v>
      </c>
      <c r="AC13" s="52">
        <v>400</v>
      </c>
      <c r="AD13" s="54">
        <f t="shared" si="14"/>
        <v>25</v>
      </c>
      <c r="AE13" s="65">
        <f t="shared" si="15"/>
        <v>7120</v>
      </c>
      <c r="AF13" s="56">
        <f t="shared" si="16"/>
        <v>445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8"/>
        <v>0</v>
      </c>
      <c r="AN13" s="67" t="str">
        <f t="shared" si="19"/>
        <v/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54"/>
      <c r="AW13" s="69">
        <f>AQ13+AS13+AU13+AV13-BN13</f>
        <v>0</v>
      </c>
      <c r="AX13" s="67" t="str">
        <f t="shared" si="22"/>
        <v/>
      </c>
      <c r="AY13" s="82">
        <f t="shared" si="23"/>
        <v>34</v>
      </c>
      <c r="AZ13" s="59">
        <f t="shared" si="24"/>
        <v>140040</v>
      </c>
      <c r="BA13" s="59">
        <f t="shared" si="25"/>
        <v>24290</v>
      </c>
      <c r="BB13" s="71">
        <f t="shared" si="32"/>
        <v>164330</v>
      </c>
      <c r="BC13" s="72">
        <f t="shared" si="30"/>
        <v>5500</v>
      </c>
      <c r="BD13" s="73">
        <v>34</v>
      </c>
      <c r="BE13" s="74">
        <v>133320</v>
      </c>
      <c r="BF13" s="74">
        <v>23890</v>
      </c>
      <c r="BG13" s="75">
        <v>5500</v>
      </c>
      <c r="BH13" s="75"/>
      <c r="BI13" s="75"/>
      <c r="BJ13" s="75"/>
      <c r="BK13" s="76">
        <f t="shared" si="29"/>
        <v>162710</v>
      </c>
      <c r="BL13" s="47">
        <v>9</v>
      </c>
      <c r="BM13" s="77">
        <f t="shared" si="26"/>
        <v>162710</v>
      </c>
    </row>
    <row r="14" spans="1:67" ht="20" customHeight="1">
      <c r="B14" s="78">
        <f t="shared" si="27"/>
        <v>45545</v>
      </c>
      <c r="C14" s="79"/>
      <c r="D14" s="50"/>
      <c r="E14" s="51">
        <v>34</v>
      </c>
      <c r="F14" s="52">
        <v>157300</v>
      </c>
      <c r="G14" s="53">
        <f t="shared" si="0"/>
        <v>4205.8823529411766</v>
      </c>
      <c r="H14" s="52">
        <v>19930</v>
      </c>
      <c r="I14" s="54">
        <f t="shared" si="1"/>
        <v>532.88235294117646</v>
      </c>
      <c r="J14" s="55">
        <f t="shared" si="2"/>
        <v>177230</v>
      </c>
      <c r="K14" s="56">
        <f t="shared" si="3"/>
        <v>5212.6470588235297</v>
      </c>
      <c r="L14" s="57"/>
      <c r="M14" s="58">
        <f t="shared" si="4"/>
        <v>10</v>
      </c>
      <c r="N14" s="59">
        <f t="shared" si="4"/>
        <v>116160</v>
      </c>
      <c r="O14" s="53">
        <f t="shared" si="5"/>
        <v>10560</v>
      </c>
      <c r="P14" s="59">
        <f t="shared" si="6"/>
        <v>47460</v>
      </c>
      <c r="Q14" s="54">
        <f t="shared" si="7"/>
        <v>4314.5</v>
      </c>
      <c r="R14" s="60">
        <f t="shared" si="8"/>
        <v>163620</v>
      </c>
      <c r="S14" s="56">
        <f t="shared" si="9"/>
        <v>16362</v>
      </c>
      <c r="T14" s="80">
        <f t="shared" si="10"/>
        <v>44</v>
      </c>
      <c r="U14" s="59">
        <f t="shared" si="10"/>
        <v>273460</v>
      </c>
      <c r="V14" s="59">
        <f t="shared" si="11"/>
        <v>67390</v>
      </c>
      <c r="W14" s="62">
        <f t="shared" si="12"/>
        <v>340850</v>
      </c>
      <c r="X14" s="81"/>
      <c r="Y14" s="63"/>
      <c r="Z14" s="64">
        <v>16</v>
      </c>
      <c r="AA14" s="52">
        <v>7330</v>
      </c>
      <c r="AB14" s="53">
        <f t="shared" si="13"/>
        <v>458.125</v>
      </c>
      <c r="AC14" s="52">
        <v>3450</v>
      </c>
      <c r="AD14" s="54">
        <f t="shared" si="14"/>
        <v>215.625</v>
      </c>
      <c r="AE14" s="65">
        <f t="shared" si="15"/>
        <v>10780</v>
      </c>
      <c r="AF14" s="56">
        <f t="shared" si="16"/>
        <v>673.75</v>
      </c>
      <c r="AG14" s="66"/>
      <c r="AH14" s="64">
        <v>15</v>
      </c>
      <c r="AI14" s="52">
        <v>58725</v>
      </c>
      <c r="AJ14" s="53">
        <f t="shared" si="17"/>
        <v>3915</v>
      </c>
      <c r="AK14" s="52">
        <v>19575</v>
      </c>
      <c r="AL14" s="54">
        <f t="shared" si="18"/>
        <v>1305</v>
      </c>
      <c r="AM14" s="65">
        <f t="shared" si="28"/>
        <v>78300</v>
      </c>
      <c r="AN14" s="67">
        <f t="shared" si="19"/>
        <v>5220</v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54"/>
      <c r="AW14" s="69">
        <f t="shared" si="31"/>
        <v>0</v>
      </c>
      <c r="AX14" s="67" t="str">
        <f t="shared" si="22"/>
        <v/>
      </c>
      <c r="AY14" s="82">
        <f t="shared" si="23"/>
        <v>44</v>
      </c>
      <c r="AZ14" s="59">
        <f t="shared" si="24"/>
        <v>339515</v>
      </c>
      <c r="BA14" s="59">
        <f t="shared" si="25"/>
        <v>90415</v>
      </c>
      <c r="BB14" s="71">
        <f>W14+AE14+AM14+AW14-BN14</f>
        <v>429930</v>
      </c>
      <c r="BC14" s="72">
        <f t="shared" si="30"/>
        <v>0</v>
      </c>
      <c r="BD14" s="73">
        <v>44</v>
      </c>
      <c r="BE14" s="74">
        <v>273460</v>
      </c>
      <c r="BF14" s="74">
        <v>67390</v>
      </c>
      <c r="BG14" s="75"/>
      <c r="BH14" s="75"/>
      <c r="BI14" s="75"/>
      <c r="BJ14" s="75"/>
      <c r="BK14" s="76">
        <f t="shared" si="29"/>
        <v>340850</v>
      </c>
      <c r="BL14" s="47">
        <v>10</v>
      </c>
      <c r="BM14" s="77">
        <f t="shared" si="26"/>
        <v>340850</v>
      </c>
    </row>
    <row r="15" spans="1:67" ht="20" customHeight="1">
      <c r="B15" s="78">
        <f t="shared" si="27"/>
        <v>45546</v>
      </c>
      <c r="C15" s="83"/>
      <c r="D15" s="50"/>
      <c r="E15" s="51">
        <v>23</v>
      </c>
      <c r="F15" s="52">
        <v>90640</v>
      </c>
      <c r="G15" s="53">
        <f t="shared" si="0"/>
        <v>3582.608695652174</v>
      </c>
      <c r="H15" s="52">
        <v>7560</v>
      </c>
      <c r="I15" s="54">
        <f t="shared" si="1"/>
        <v>298.78260869565219</v>
      </c>
      <c r="J15" s="55">
        <f t="shared" si="2"/>
        <v>98200</v>
      </c>
      <c r="K15" s="56">
        <f t="shared" si="3"/>
        <v>4269.565217391304</v>
      </c>
      <c r="L15" s="57"/>
      <c r="M15" s="58">
        <f t="shared" si="4"/>
        <v>17</v>
      </c>
      <c r="N15" s="59">
        <f t="shared" si="4"/>
        <v>161810</v>
      </c>
      <c r="O15" s="53">
        <f t="shared" si="5"/>
        <v>8652.9411764705874</v>
      </c>
      <c r="P15" s="59">
        <f t="shared" si="6"/>
        <v>38370</v>
      </c>
      <c r="Q15" s="54">
        <f t="shared" si="7"/>
        <v>2051.8235294117649</v>
      </c>
      <c r="R15" s="60">
        <f t="shared" si="8"/>
        <v>200180</v>
      </c>
      <c r="S15" s="56">
        <f t="shared" si="9"/>
        <v>11775.294117647059</v>
      </c>
      <c r="T15" s="80">
        <f t="shared" si="10"/>
        <v>40</v>
      </c>
      <c r="U15" s="59">
        <f t="shared" si="10"/>
        <v>252450</v>
      </c>
      <c r="V15" s="59">
        <f t="shared" si="11"/>
        <v>45930</v>
      </c>
      <c r="W15" s="62">
        <f t="shared" si="12"/>
        <v>298380</v>
      </c>
      <c r="X15" s="81"/>
      <c r="Y15" s="63"/>
      <c r="Z15" s="64">
        <v>9</v>
      </c>
      <c r="AA15" s="52">
        <v>3150</v>
      </c>
      <c r="AB15" s="53">
        <f t="shared" si="13"/>
        <v>350</v>
      </c>
      <c r="AC15" s="52">
        <v>0</v>
      </c>
      <c r="AD15" s="54">
        <f t="shared" si="14"/>
        <v>0</v>
      </c>
      <c r="AE15" s="65">
        <f t="shared" si="15"/>
        <v>3150</v>
      </c>
      <c r="AF15" s="56">
        <f t="shared" si="16"/>
        <v>350</v>
      </c>
      <c r="AG15" s="66"/>
      <c r="AH15" s="64">
        <v>12</v>
      </c>
      <c r="AI15" s="52">
        <v>46980</v>
      </c>
      <c r="AJ15" s="53">
        <f t="shared" si="17"/>
        <v>3915</v>
      </c>
      <c r="AK15" s="52">
        <v>15660</v>
      </c>
      <c r="AL15" s="54">
        <f t="shared" si="18"/>
        <v>1305</v>
      </c>
      <c r="AM15" s="65">
        <f t="shared" si="28"/>
        <v>62640</v>
      </c>
      <c r="AN15" s="67">
        <f t="shared" si="19"/>
        <v>5220</v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54"/>
      <c r="AW15" s="69">
        <f t="shared" si="31"/>
        <v>0</v>
      </c>
      <c r="AX15" s="67" t="str">
        <f t="shared" si="22"/>
        <v/>
      </c>
      <c r="AY15" s="82">
        <f t="shared" si="23"/>
        <v>40</v>
      </c>
      <c r="AZ15" s="59">
        <f t="shared" si="24"/>
        <v>302580</v>
      </c>
      <c r="BA15" s="59">
        <f t="shared" si="25"/>
        <v>61590</v>
      </c>
      <c r="BB15" s="71">
        <f>W15+AE15+AM15+AW15-BN15</f>
        <v>364170</v>
      </c>
      <c r="BC15" s="72">
        <f t="shared" si="30"/>
        <v>4400</v>
      </c>
      <c r="BD15" s="73">
        <v>40</v>
      </c>
      <c r="BE15" s="74">
        <v>252450</v>
      </c>
      <c r="BF15" s="74">
        <v>45930</v>
      </c>
      <c r="BG15" s="75">
        <v>4400</v>
      </c>
      <c r="BH15" s="75"/>
      <c r="BI15" s="75"/>
      <c r="BJ15" s="75"/>
      <c r="BK15" s="76">
        <f t="shared" si="29"/>
        <v>302780</v>
      </c>
      <c r="BL15" s="47">
        <v>11</v>
      </c>
      <c r="BM15" s="77">
        <f t="shared" si="26"/>
        <v>302780</v>
      </c>
    </row>
    <row r="16" spans="1:67" ht="20" customHeight="1">
      <c r="B16" s="78">
        <f t="shared" si="27"/>
        <v>45547</v>
      </c>
      <c r="C16" s="79"/>
      <c r="D16" s="50"/>
      <c r="E16" s="51">
        <v>23</v>
      </c>
      <c r="F16" s="52">
        <v>83270</v>
      </c>
      <c r="G16" s="53">
        <f t="shared" si="0"/>
        <v>3291.304347826087</v>
      </c>
      <c r="H16" s="52">
        <v>19410</v>
      </c>
      <c r="I16" s="54">
        <f t="shared" si="1"/>
        <v>767.17391304347825</v>
      </c>
      <c r="J16" s="55">
        <f t="shared" si="2"/>
        <v>102680</v>
      </c>
      <c r="K16" s="56">
        <f t="shared" si="3"/>
        <v>4464.347826086957</v>
      </c>
      <c r="L16" s="57"/>
      <c r="M16" s="58">
        <f t="shared" si="4"/>
        <v>4</v>
      </c>
      <c r="N16" s="59">
        <f t="shared" si="4"/>
        <v>12760</v>
      </c>
      <c r="O16" s="53">
        <f t="shared" si="5"/>
        <v>2900</v>
      </c>
      <c r="P16" s="59">
        <f t="shared" si="6"/>
        <v>13860</v>
      </c>
      <c r="Q16" s="54">
        <f t="shared" si="7"/>
        <v>3150</v>
      </c>
      <c r="R16" s="60">
        <f t="shared" si="8"/>
        <v>26620</v>
      </c>
      <c r="S16" s="56">
        <f t="shared" si="9"/>
        <v>6655</v>
      </c>
      <c r="T16" s="80">
        <f t="shared" si="10"/>
        <v>27</v>
      </c>
      <c r="U16" s="59">
        <f t="shared" si="10"/>
        <v>96030</v>
      </c>
      <c r="V16" s="59">
        <f t="shared" si="11"/>
        <v>33270</v>
      </c>
      <c r="W16" s="62">
        <f t="shared" si="12"/>
        <v>129300</v>
      </c>
      <c r="X16" s="81"/>
      <c r="Y16" s="63"/>
      <c r="Z16" s="64">
        <v>9</v>
      </c>
      <c r="AA16" s="52">
        <v>4170</v>
      </c>
      <c r="AB16" s="53">
        <f t="shared" si="13"/>
        <v>463.33333333333331</v>
      </c>
      <c r="AC16" s="52">
        <v>1500</v>
      </c>
      <c r="AD16" s="54">
        <f t="shared" si="14"/>
        <v>166.66666666666666</v>
      </c>
      <c r="AE16" s="65">
        <f t="shared" si="15"/>
        <v>5670</v>
      </c>
      <c r="AF16" s="56">
        <f t="shared" si="16"/>
        <v>630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8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54"/>
      <c r="AW16" s="69">
        <f t="shared" si="31"/>
        <v>0</v>
      </c>
      <c r="AX16" s="67" t="str">
        <f t="shared" si="22"/>
        <v/>
      </c>
      <c r="AY16" s="82">
        <f t="shared" si="23"/>
        <v>27</v>
      </c>
      <c r="AZ16" s="59">
        <f t="shared" si="24"/>
        <v>100200</v>
      </c>
      <c r="BA16" s="59">
        <f t="shared" si="25"/>
        <v>34770</v>
      </c>
      <c r="BB16" s="71">
        <f t="shared" si="32"/>
        <v>134970</v>
      </c>
      <c r="BC16" s="72">
        <f t="shared" si="30"/>
        <v>1100</v>
      </c>
      <c r="BD16" s="73">
        <v>27</v>
      </c>
      <c r="BE16" s="74">
        <v>96030</v>
      </c>
      <c r="BF16" s="74">
        <v>33270</v>
      </c>
      <c r="BG16" s="75">
        <v>1100</v>
      </c>
      <c r="BH16" s="75"/>
      <c r="BI16" s="75"/>
      <c r="BJ16" s="75"/>
      <c r="BK16" s="76">
        <f t="shared" si="29"/>
        <v>130400</v>
      </c>
      <c r="BL16" s="47">
        <v>12</v>
      </c>
      <c r="BM16" s="77">
        <f t="shared" si="26"/>
        <v>130400</v>
      </c>
    </row>
    <row r="17" spans="2:67" ht="20" customHeight="1">
      <c r="B17" s="78">
        <f t="shared" si="27"/>
        <v>45548</v>
      </c>
      <c r="C17" s="83"/>
      <c r="D17" s="50"/>
      <c r="E17" s="51">
        <v>33</v>
      </c>
      <c r="F17" s="52">
        <v>128590</v>
      </c>
      <c r="G17" s="53">
        <f t="shared" si="0"/>
        <v>3542.4242424242425</v>
      </c>
      <c r="H17" s="52">
        <v>15800</v>
      </c>
      <c r="I17" s="54">
        <f t="shared" si="1"/>
        <v>435.24242424242425</v>
      </c>
      <c r="J17" s="55">
        <f t="shared" si="2"/>
        <v>144390</v>
      </c>
      <c r="K17" s="56">
        <f t="shared" si="3"/>
        <v>4375.454545454545</v>
      </c>
      <c r="L17" s="57"/>
      <c r="M17" s="58">
        <f t="shared" si="4"/>
        <v>14</v>
      </c>
      <c r="N17" s="59">
        <f t="shared" si="4"/>
        <v>157520</v>
      </c>
      <c r="O17" s="53">
        <f t="shared" si="5"/>
        <v>10228.571428571429</v>
      </c>
      <c r="P17" s="59">
        <f t="shared" si="6"/>
        <v>27220</v>
      </c>
      <c r="Q17" s="54">
        <f t="shared" si="7"/>
        <v>1767.5</v>
      </c>
      <c r="R17" s="60">
        <f t="shared" si="8"/>
        <v>184740</v>
      </c>
      <c r="S17" s="56">
        <f t="shared" si="9"/>
        <v>13195.714285714286</v>
      </c>
      <c r="T17" s="80">
        <f>E17+M17</f>
        <v>47</v>
      </c>
      <c r="U17" s="59">
        <f t="shared" si="10"/>
        <v>286110</v>
      </c>
      <c r="V17" s="59">
        <f t="shared" si="11"/>
        <v>43020</v>
      </c>
      <c r="W17" s="62">
        <f t="shared" si="12"/>
        <v>329130</v>
      </c>
      <c r="X17" s="81"/>
      <c r="Y17" s="63"/>
      <c r="Z17" s="64">
        <v>6</v>
      </c>
      <c r="AA17" s="52">
        <v>3870</v>
      </c>
      <c r="AB17" s="53">
        <f t="shared" si="13"/>
        <v>645</v>
      </c>
      <c r="AC17" s="52">
        <v>0</v>
      </c>
      <c r="AD17" s="54">
        <f t="shared" si="14"/>
        <v>0</v>
      </c>
      <c r="AE17" s="65">
        <f t="shared" si="15"/>
        <v>3870</v>
      </c>
      <c r="AF17" s="56">
        <f t="shared" si="16"/>
        <v>645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8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54"/>
      <c r="AW17" s="69">
        <f>AQ17+AS17+AU17+AV17</f>
        <v>0</v>
      </c>
      <c r="AX17" s="67" t="str">
        <f t="shared" si="22"/>
        <v/>
      </c>
      <c r="AY17" s="82">
        <f t="shared" si="23"/>
        <v>47</v>
      </c>
      <c r="AZ17" s="59">
        <f t="shared" si="24"/>
        <v>289980</v>
      </c>
      <c r="BA17" s="59">
        <f t="shared" si="25"/>
        <v>43020</v>
      </c>
      <c r="BB17" s="71">
        <f t="shared" si="32"/>
        <v>333000</v>
      </c>
      <c r="BC17" s="72">
        <f t="shared" si="30"/>
        <v>4400</v>
      </c>
      <c r="BD17" s="73">
        <v>47</v>
      </c>
      <c r="BE17" s="74">
        <v>286110</v>
      </c>
      <c r="BF17" s="74">
        <v>43020</v>
      </c>
      <c r="BG17" s="75">
        <v>4400</v>
      </c>
      <c r="BH17" s="75"/>
      <c r="BI17" s="75">
        <v>3300</v>
      </c>
      <c r="BJ17" s="75">
        <v>9900</v>
      </c>
      <c r="BK17" s="76">
        <f t="shared" si="29"/>
        <v>333530</v>
      </c>
      <c r="BL17" s="47">
        <v>13</v>
      </c>
      <c r="BM17" s="77">
        <f t="shared" si="26"/>
        <v>343430</v>
      </c>
    </row>
    <row r="18" spans="2:67" ht="20" customHeight="1">
      <c r="B18" s="78">
        <f t="shared" si="27"/>
        <v>45549</v>
      </c>
      <c r="C18" s="79"/>
      <c r="D18" s="50"/>
      <c r="E18" s="51">
        <v>21</v>
      </c>
      <c r="F18" s="52">
        <v>95370</v>
      </c>
      <c r="G18" s="53">
        <f t="shared" si="0"/>
        <v>4128.5714285714284</v>
      </c>
      <c r="H18" s="52">
        <v>24830</v>
      </c>
      <c r="I18" s="54">
        <f t="shared" si="1"/>
        <v>1074.8571428571429</v>
      </c>
      <c r="J18" s="55">
        <f t="shared" si="2"/>
        <v>120200</v>
      </c>
      <c r="K18" s="56">
        <f t="shared" si="3"/>
        <v>5723.8095238095239</v>
      </c>
      <c r="L18" s="57"/>
      <c r="M18" s="58">
        <f t="shared" si="4"/>
        <v>18</v>
      </c>
      <c r="N18" s="59">
        <f t="shared" si="4"/>
        <v>187660</v>
      </c>
      <c r="O18" s="53">
        <f t="shared" si="5"/>
        <v>9477.7777777777774</v>
      </c>
      <c r="P18" s="59">
        <f t="shared" si="6"/>
        <v>29750</v>
      </c>
      <c r="Q18" s="54">
        <f t="shared" si="7"/>
        <v>1502.5</v>
      </c>
      <c r="R18" s="60">
        <f t="shared" si="8"/>
        <v>217410</v>
      </c>
      <c r="S18" s="56">
        <f t="shared" si="9"/>
        <v>12078.333333333334</v>
      </c>
      <c r="T18" s="80">
        <f t="shared" si="10"/>
        <v>39</v>
      </c>
      <c r="U18" s="59">
        <f t="shared" si="10"/>
        <v>283030</v>
      </c>
      <c r="V18" s="59">
        <f t="shared" si="11"/>
        <v>54580</v>
      </c>
      <c r="W18" s="62">
        <f t="shared" si="12"/>
        <v>337610</v>
      </c>
      <c r="X18" s="81"/>
      <c r="Y18" s="63"/>
      <c r="Z18" s="64">
        <v>32</v>
      </c>
      <c r="AA18" s="52">
        <v>15220</v>
      </c>
      <c r="AB18" s="53">
        <f t="shared" si="13"/>
        <v>475.625</v>
      </c>
      <c r="AC18" s="52">
        <v>5170</v>
      </c>
      <c r="AD18" s="54">
        <f t="shared" si="14"/>
        <v>161.5625</v>
      </c>
      <c r="AE18" s="65">
        <f t="shared" si="15"/>
        <v>20390</v>
      </c>
      <c r="AF18" s="56">
        <f t="shared" si="16"/>
        <v>637.1875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8"/>
        <v>0</v>
      </c>
      <c r="AN18" s="67" t="str">
        <f t="shared" si="19"/>
        <v/>
      </c>
      <c r="AO18" s="68"/>
      <c r="AP18" s="64">
        <v>144</v>
      </c>
      <c r="AQ18" s="52">
        <v>336600</v>
      </c>
      <c r="AR18" s="53">
        <f t="shared" si="20"/>
        <v>2337.5</v>
      </c>
      <c r="AS18" s="52">
        <v>170600</v>
      </c>
      <c r="AT18" s="54">
        <f t="shared" si="21"/>
        <v>1184.7222222222222</v>
      </c>
      <c r="AU18" s="54">
        <v>3080</v>
      </c>
      <c r="AV18" s="54"/>
      <c r="AW18" s="69">
        <f t="shared" ref="AW18:AW35" si="33">AQ18+AS18+AU18+AV18</f>
        <v>510280</v>
      </c>
      <c r="AX18" s="67">
        <f t="shared" si="22"/>
        <v>3543.6111111111113</v>
      </c>
      <c r="AY18" s="82">
        <f t="shared" si="23"/>
        <v>39</v>
      </c>
      <c r="AZ18" s="59">
        <f t="shared" si="24"/>
        <v>634850</v>
      </c>
      <c r="BA18" s="59">
        <f t="shared" si="25"/>
        <v>230350</v>
      </c>
      <c r="BB18" s="71">
        <f>W18+AE18+AM18+AW18-BN18</f>
        <v>864760</v>
      </c>
      <c r="BC18" s="72">
        <f t="shared" si="30"/>
        <v>2200</v>
      </c>
      <c r="BD18" s="73">
        <v>39</v>
      </c>
      <c r="BE18" s="74">
        <v>283030</v>
      </c>
      <c r="BF18" s="74">
        <v>54580</v>
      </c>
      <c r="BG18" s="75">
        <v>2200</v>
      </c>
      <c r="BH18" s="75"/>
      <c r="BI18" s="75"/>
      <c r="BJ18" s="75"/>
      <c r="BK18" s="76">
        <f t="shared" si="29"/>
        <v>339810</v>
      </c>
      <c r="BL18" s="47">
        <v>14</v>
      </c>
      <c r="BM18" s="77">
        <f t="shared" si="26"/>
        <v>339810</v>
      </c>
      <c r="BN18" s="47">
        <v>3520</v>
      </c>
    </row>
    <row r="19" spans="2:67" ht="20" customHeight="1">
      <c r="B19" s="78">
        <f t="shared" si="27"/>
        <v>45550</v>
      </c>
      <c r="C19" s="79"/>
      <c r="D19" s="50"/>
      <c r="E19" s="51">
        <v>14</v>
      </c>
      <c r="F19" s="52">
        <v>72380</v>
      </c>
      <c r="G19" s="53">
        <f t="shared" si="0"/>
        <v>4700</v>
      </c>
      <c r="H19" s="52">
        <v>14780</v>
      </c>
      <c r="I19" s="54">
        <f t="shared" si="1"/>
        <v>959.71428571428567</v>
      </c>
      <c r="J19" s="55">
        <f t="shared" si="2"/>
        <v>87160</v>
      </c>
      <c r="K19" s="56">
        <f t="shared" si="3"/>
        <v>6225.7142857142853</v>
      </c>
      <c r="L19" s="57"/>
      <c r="M19" s="58">
        <f t="shared" si="4"/>
        <v>33</v>
      </c>
      <c r="N19" s="59">
        <f t="shared" si="4"/>
        <v>341990</v>
      </c>
      <c r="O19" s="53">
        <f t="shared" si="5"/>
        <v>9421.2121212121219</v>
      </c>
      <c r="P19" s="59">
        <f t="shared" si="6"/>
        <v>58560</v>
      </c>
      <c r="Q19" s="84">
        <f t="shared" si="7"/>
        <v>1613.2121212121212</v>
      </c>
      <c r="R19" s="60">
        <f t="shared" si="8"/>
        <v>400550</v>
      </c>
      <c r="S19" s="56">
        <f t="shared" si="9"/>
        <v>12137.878787878788</v>
      </c>
      <c r="T19" s="80">
        <f t="shared" si="10"/>
        <v>47</v>
      </c>
      <c r="U19" s="59">
        <f t="shared" si="10"/>
        <v>414370</v>
      </c>
      <c r="V19" s="59">
        <f t="shared" si="11"/>
        <v>73340</v>
      </c>
      <c r="W19" s="62">
        <f t="shared" si="12"/>
        <v>487710</v>
      </c>
      <c r="X19" s="81"/>
      <c r="Y19" s="63"/>
      <c r="Z19" s="64">
        <v>15</v>
      </c>
      <c r="AA19" s="52">
        <v>7230</v>
      </c>
      <c r="AB19" s="53">
        <f t="shared" si="13"/>
        <v>482</v>
      </c>
      <c r="AC19" s="52">
        <v>1700</v>
      </c>
      <c r="AD19" s="54">
        <v>1700</v>
      </c>
      <c r="AE19" s="65">
        <f t="shared" si="15"/>
        <v>8930</v>
      </c>
      <c r="AF19" s="56">
        <f t="shared" si="16"/>
        <v>595.33333333333337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8"/>
        <v>0</v>
      </c>
      <c r="AN19" s="67" t="str">
        <f t="shared" si="19"/>
        <v/>
      </c>
      <c r="AO19" s="68"/>
      <c r="AP19" s="64">
        <v>57</v>
      </c>
      <c r="AQ19" s="52">
        <v>123650</v>
      </c>
      <c r="AR19" s="53">
        <f t="shared" si="20"/>
        <v>2169.2982456140353</v>
      </c>
      <c r="AS19" s="52">
        <v>26050</v>
      </c>
      <c r="AT19" s="54">
        <f t="shared" si="21"/>
        <v>457.01754385964909</v>
      </c>
      <c r="AU19" s="54"/>
      <c r="AV19" s="54"/>
      <c r="AW19" s="69">
        <f>AQ19+AS19+AU19+AV19-BN19</f>
        <v>148600</v>
      </c>
      <c r="AX19" s="67">
        <f t="shared" si="22"/>
        <v>2607.0175438596493</v>
      </c>
      <c r="AY19" s="82">
        <f t="shared" si="23"/>
        <v>47</v>
      </c>
      <c r="AZ19" s="59">
        <f t="shared" si="24"/>
        <v>545250</v>
      </c>
      <c r="BA19" s="59">
        <f t="shared" si="25"/>
        <v>101090</v>
      </c>
      <c r="BB19" s="71">
        <f>W19+AE19+AM19+AW19-BN19</f>
        <v>644140</v>
      </c>
      <c r="BC19" s="72">
        <f t="shared" si="30"/>
        <v>7700</v>
      </c>
      <c r="BD19" s="73">
        <v>47</v>
      </c>
      <c r="BE19" s="74">
        <v>414370</v>
      </c>
      <c r="BF19" s="74">
        <v>73340</v>
      </c>
      <c r="BG19" s="75">
        <v>7700</v>
      </c>
      <c r="BH19" s="75"/>
      <c r="BI19" s="75"/>
      <c r="BJ19" s="75">
        <v>9900</v>
      </c>
      <c r="BK19" s="76">
        <f t="shared" si="29"/>
        <v>495410</v>
      </c>
      <c r="BL19" s="47">
        <v>15</v>
      </c>
      <c r="BM19" s="77">
        <f t="shared" si="26"/>
        <v>505310</v>
      </c>
      <c r="BN19" s="47">
        <v>1100</v>
      </c>
    </row>
    <row r="20" spans="2:67" ht="20" customHeight="1">
      <c r="B20" s="78">
        <f t="shared" si="27"/>
        <v>45551</v>
      </c>
      <c r="C20" s="79"/>
      <c r="D20" s="50"/>
      <c r="E20" s="51">
        <v>13</v>
      </c>
      <c r="F20" s="52">
        <v>54340</v>
      </c>
      <c r="G20" s="53">
        <f t="shared" si="0"/>
        <v>3800</v>
      </c>
      <c r="H20" s="52">
        <v>12870</v>
      </c>
      <c r="I20" s="53">
        <f t="shared" si="1"/>
        <v>900</v>
      </c>
      <c r="J20" s="55">
        <f t="shared" si="2"/>
        <v>67210</v>
      </c>
      <c r="K20" s="56">
        <f t="shared" si="3"/>
        <v>5170</v>
      </c>
      <c r="L20" s="57"/>
      <c r="M20" s="58">
        <f t="shared" si="4"/>
        <v>23</v>
      </c>
      <c r="N20" s="59">
        <f t="shared" si="4"/>
        <v>206690</v>
      </c>
      <c r="O20" s="53">
        <f t="shared" si="5"/>
        <v>8169.565217391304</v>
      </c>
      <c r="P20" s="59">
        <f t="shared" si="6"/>
        <v>36210</v>
      </c>
      <c r="Q20" s="84">
        <f t="shared" si="7"/>
        <v>1431.2173913043478</v>
      </c>
      <c r="R20" s="60">
        <f t="shared" si="8"/>
        <v>242900</v>
      </c>
      <c r="S20" s="56">
        <f t="shared" si="9"/>
        <v>10560.869565217392</v>
      </c>
      <c r="T20" s="80">
        <f t="shared" si="10"/>
        <v>36</v>
      </c>
      <c r="U20" s="59">
        <f t="shared" si="10"/>
        <v>261030</v>
      </c>
      <c r="V20" s="59">
        <f t="shared" si="11"/>
        <v>49080</v>
      </c>
      <c r="W20" s="62">
        <f t="shared" si="12"/>
        <v>310110</v>
      </c>
      <c r="X20" s="81"/>
      <c r="Y20" s="63"/>
      <c r="Z20" s="64">
        <v>9</v>
      </c>
      <c r="AA20" s="52">
        <v>3350</v>
      </c>
      <c r="AB20" s="53">
        <f t="shared" si="13"/>
        <v>372.22222222222223</v>
      </c>
      <c r="AC20" s="52">
        <v>1800</v>
      </c>
      <c r="AD20" s="54">
        <f t="shared" si="14"/>
        <v>200</v>
      </c>
      <c r="AE20" s="65">
        <f t="shared" si="15"/>
        <v>5150</v>
      </c>
      <c r="AF20" s="56">
        <f t="shared" si="16"/>
        <v>572.22222222222217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8"/>
        <v>0</v>
      </c>
      <c r="AN20" s="67" t="str">
        <f t="shared" si="19"/>
        <v/>
      </c>
      <c r="AO20" s="68"/>
      <c r="AP20" s="64">
        <v>89</v>
      </c>
      <c r="AQ20" s="52">
        <v>188750</v>
      </c>
      <c r="AR20" s="53">
        <f t="shared" si="20"/>
        <v>2120.7865168539324</v>
      </c>
      <c r="AS20" s="52">
        <v>103150</v>
      </c>
      <c r="AT20" s="54">
        <f t="shared" si="21"/>
        <v>1158.9887640449438</v>
      </c>
      <c r="AU20" s="54">
        <v>1100</v>
      </c>
      <c r="AV20" s="54"/>
      <c r="AW20" s="69">
        <f t="shared" si="33"/>
        <v>293000</v>
      </c>
      <c r="AX20" s="67">
        <f t="shared" si="22"/>
        <v>3292.1348314606744</v>
      </c>
      <c r="AY20" s="82">
        <f t="shared" si="23"/>
        <v>36</v>
      </c>
      <c r="AZ20" s="59">
        <f t="shared" si="24"/>
        <v>453130</v>
      </c>
      <c r="BA20" s="59">
        <f t="shared" si="25"/>
        <v>154030</v>
      </c>
      <c r="BB20" s="71">
        <f>W20+AE20+AM20+AW20</f>
        <v>608260</v>
      </c>
      <c r="BC20" s="72">
        <f t="shared" si="30"/>
        <v>2200</v>
      </c>
      <c r="BD20" s="73">
        <v>36</v>
      </c>
      <c r="BE20" s="74">
        <v>261030</v>
      </c>
      <c r="BF20" s="74">
        <v>49080</v>
      </c>
      <c r="BG20" s="75">
        <v>2200</v>
      </c>
      <c r="BH20" s="75"/>
      <c r="BI20" s="75"/>
      <c r="BJ20" s="75"/>
      <c r="BK20" s="76">
        <f t="shared" si="29"/>
        <v>312310</v>
      </c>
      <c r="BL20" s="47">
        <v>16</v>
      </c>
      <c r="BM20" s="77">
        <f t="shared" si="26"/>
        <v>312310</v>
      </c>
    </row>
    <row r="21" spans="2:67" ht="20" customHeight="1">
      <c r="B21" s="78">
        <f t="shared" si="27"/>
        <v>45552</v>
      </c>
      <c r="C21" s="79"/>
      <c r="D21" s="50"/>
      <c r="E21" s="51">
        <v>17</v>
      </c>
      <c r="F21" s="52">
        <v>68200</v>
      </c>
      <c r="G21" s="53">
        <f t="shared" si="0"/>
        <v>3647.0588235294117</v>
      </c>
      <c r="H21" s="52">
        <v>4280</v>
      </c>
      <c r="I21" s="53">
        <f t="shared" si="1"/>
        <v>228.8235294117647</v>
      </c>
      <c r="J21" s="55">
        <f t="shared" si="2"/>
        <v>72480</v>
      </c>
      <c r="K21" s="56">
        <f t="shared" si="3"/>
        <v>4263.5294117647063</v>
      </c>
      <c r="L21" s="57"/>
      <c r="M21" s="58">
        <f t="shared" si="4"/>
        <v>13</v>
      </c>
      <c r="N21" s="59">
        <f t="shared" si="4"/>
        <v>123720</v>
      </c>
      <c r="O21" s="53">
        <f t="shared" si="5"/>
        <v>8651.6923076923085</v>
      </c>
      <c r="P21" s="59">
        <f t="shared" si="6"/>
        <v>33750</v>
      </c>
      <c r="Q21" s="84">
        <f t="shared" si="7"/>
        <v>2360.0769230769229</v>
      </c>
      <c r="R21" s="60">
        <f>N21+P21</f>
        <v>157470</v>
      </c>
      <c r="S21" s="56">
        <f t="shared" si="9"/>
        <v>12113.076923076924</v>
      </c>
      <c r="T21" s="80">
        <f t="shared" si="10"/>
        <v>30</v>
      </c>
      <c r="U21" s="59">
        <f t="shared" si="10"/>
        <v>191920</v>
      </c>
      <c r="V21" s="59">
        <f t="shared" si="11"/>
        <v>38030</v>
      </c>
      <c r="W21" s="62">
        <f t="shared" si="12"/>
        <v>229950</v>
      </c>
      <c r="X21" s="81"/>
      <c r="Y21" s="63"/>
      <c r="Z21" s="64">
        <v>14</v>
      </c>
      <c r="AA21" s="52">
        <v>7000</v>
      </c>
      <c r="AB21" s="53">
        <f t="shared" si="13"/>
        <v>500</v>
      </c>
      <c r="AC21" s="52">
        <v>940</v>
      </c>
      <c r="AD21" s="54">
        <f t="shared" si="14"/>
        <v>67.142857142857139</v>
      </c>
      <c r="AE21" s="65">
        <f t="shared" si="15"/>
        <v>7940</v>
      </c>
      <c r="AF21" s="56">
        <f t="shared" si="16"/>
        <v>567.14285714285711</v>
      </c>
      <c r="AG21" s="66"/>
      <c r="AH21" s="64">
        <v>16</v>
      </c>
      <c r="AI21" s="52">
        <v>62640</v>
      </c>
      <c r="AJ21" s="53">
        <f t="shared" si="17"/>
        <v>3915</v>
      </c>
      <c r="AK21" s="52">
        <v>20880</v>
      </c>
      <c r="AL21" s="54">
        <f t="shared" si="18"/>
        <v>1305</v>
      </c>
      <c r="AM21" s="65">
        <f t="shared" si="28"/>
        <v>83520</v>
      </c>
      <c r="AN21" s="67">
        <f t="shared" si="19"/>
        <v>5220</v>
      </c>
      <c r="AO21" s="68"/>
      <c r="AP21" s="64">
        <v>28</v>
      </c>
      <c r="AQ21" s="52">
        <v>68450</v>
      </c>
      <c r="AR21" s="53">
        <f t="shared" si="20"/>
        <v>2444.6428571428573</v>
      </c>
      <c r="AS21" s="52">
        <v>41450</v>
      </c>
      <c r="AT21" s="54">
        <f t="shared" si="21"/>
        <v>1480.3571428571429</v>
      </c>
      <c r="AU21" s="54"/>
      <c r="AV21" s="54"/>
      <c r="AW21" s="69">
        <f t="shared" si="33"/>
        <v>109900</v>
      </c>
      <c r="AX21" s="67">
        <f t="shared" si="22"/>
        <v>3925</v>
      </c>
      <c r="AY21" s="82">
        <f t="shared" si="23"/>
        <v>30</v>
      </c>
      <c r="AZ21" s="59">
        <f t="shared" si="24"/>
        <v>330010</v>
      </c>
      <c r="BA21" s="59">
        <f t="shared" si="25"/>
        <v>101300</v>
      </c>
      <c r="BB21" s="71">
        <f>W21+AE21+AM21+AW21</f>
        <v>431310</v>
      </c>
      <c r="BC21" s="72">
        <f t="shared" si="30"/>
        <v>1100</v>
      </c>
      <c r="BD21" s="73">
        <v>30</v>
      </c>
      <c r="BE21" s="74">
        <v>191920</v>
      </c>
      <c r="BF21" s="74">
        <v>38030</v>
      </c>
      <c r="BG21" s="75">
        <v>1100</v>
      </c>
      <c r="BH21" s="75"/>
      <c r="BI21" s="75"/>
      <c r="BJ21" s="75"/>
      <c r="BK21" s="76">
        <f t="shared" si="29"/>
        <v>231050</v>
      </c>
      <c r="BL21" s="47">
        <v>17</v>
      </c>
      <c r="BM21" s="77">
        <f t="shared" si="26"/>
        <v>231050</v>
      </c>
    </row>
    <row r="22" spans="2:67" ht="20" customHeight="1">
      <c r="B22" s="78">
        <f t="shared" si="27"/>
        <v>45553</v>
      </c>
      <c r="C22" s="79"/>
      <c r="D22" s="50"/>
      <c r="E22" s="51">
        <v>37</v>
      </c>
      <c r="F22" s="52">
        <v>132110</v>
      </c>
      <c r="G22" s="53">
        <f t="shared" si="0"/>
        <v>3245.9459459459458</v>
      </c>
      <c r="H22" s="52">
        <v>14550</v>
      </c>
      <c r="I22" s="53">
        <f t="shared" si="1"/>
        <v>357.48648648648651</v>
      </c>
      <c r="J22" s="55">
        <f t="shared" si="2"/>
        <v>146660</v>
      </c>
      <c r="K22" s="56">
        <f t="shared" si="3"/>
        <v>3963.7837837837837</v>
      </c>
      <c r="L22" s="57"/>
      <c r="M22" s="58">
        <f t="shared" si="4"/>
        <v>14</v>
      </c>
      <c r="N22" s="59">
        <f t="shared" si="4"/>
        <v>155540</v>
      </c>
      <c r="O22" s="53">
        <f t="shared" si="5"/>
        <v>10100</v>
      </c>
      <c r="P22" s="59">
        <f t="shared" si="6"/>
        <v>40140</v>
      </c>
      <c r="Q22" s="84">
        <f t="shared" si="7"/>
        <v>2606.4285714285716</v>
      </c>
      <c r="R22" s="60">
        <f t="shared" si="8"/>
        <v>195680</v>
      </c>
      <c r="S22" s="56">
        <f t="shared" si="9"/>
        <v>13977.142857142857</v>
      </c>
      <c r="T22" s="80">
        <f t="shared" si="10"/>
        <v>51</v>
      </c>
      <c r="U22" s="59">
        <f t="shared" si="10"/>
        <v>287650</v>
      </c>
      <c r="V22" s="59">
        <f t="shared" si="11"/>
        <v>54690</v>
      </c>
      <c r="W22" s="62">
        <f t="shared" si="12"/>
        <v>342340</v>
      </c>
      <c r="X22" s="81"/>
      <c r="Y22" s="63"/>
      <c r="Z22" s="64">
        <v>21</v>
      </c>
      <c r="AA22" s="52">
        <v>10580</v>
      </c>
      <c r="AB22" s="53">
        <f t="shared" si="13"/>
        <v>503.8095238095238</v>
      </c>
      <c r="AC22" s="52">
        <v>2220</v>
      </c>
      <c r="AD22" s="54">
        <f t="shared" si="14"/>
        <v>105.71428571428571</v>
      </c>
      <c r="AE22" s="65">
        <f t="shared" si="15"/>
        <v>12800</v>
      </c>
      <c r="AF22" s="56">
        <f t="shared" si="16"/>
        <v>609.52380952380952</v>
      </c>
      <c r="AG22" s="66"/>
      <c r="AH22" s="64">
        <v>64</v>
      </c>
      <c r="AI22" s="52">
        <v>117450</v>
      </c>
      <c r="AJ22" s="53">
        <f t="shared" si="17"/>
        <v>1835.15625</v>
      </c>
      <c r="AK22" s="52">
        <v>130270</v>
      </c>
      <c r="AL22" s="54">
        <f t="shared" si="18"/>
        <v>2035.46875</v>
      </c>
      <c r="AM22" s="65">
        <f t="shared" si="28"/>
        <v>247720</v>
      </c>
      <c r="AN22" s="67">
        <f t="shared" si="19"/>
        <v>3870.625</v>
      </c>
      <c r="AO22" s="68"/>
      <c r="AP22" s="64">
        <v>87</v>
      </c>
      <c r="AQ22" s="52">
        <v>191400</v>
      </c>
      <c r="AR22" s="53">
        <f t="shared" si="20"/>
        <v>2200</v>
      </c>
      <c r="AS22" s="52">
        <v>107450</v>
      </c>
      <c r="AT22" s="54">
        <f t="shared" si="21"/>
        <v>1235.0574712643679</v>
      </c>
      <c r="AU22" s="54"/>
      <c r="AV22" s="54"/>
      <c r="AW22" s="69">
        <f t="shared" si="33"/>
        <v>298850</v>
      </c>
      <c r="AX22" s="67">
        <f t="shared" si="22"/>
        <v>3435.0574712643679</v>
      </c>
      <c r="AY22" s="82">
        <f t="shared" si="23"/>
        <v>51</v>
      </c>
      <c r="AZ22" s="59">
        <f t="shared" si="24"/>
        <v>607080</v>
      </c>
      <c r="BA22" s="59">
        <f t="shared" si="25"/>
        <v>294630</v>
      </c>
      <c r="BB22" s="71">
        <f t="shared" si="32"/>
        <v>901710</v>
      </c>
      <c r="BC22" s="72">
        <f t="shared" si="30"/>
        <v>0</v>
      </c>
      <c r="BD22" s="73">
        <v>51</v>
      </c>
      <c r="BE22" s="74">
        <v>287650</v>
      </c>
      <c r="BF22" s="74">
        <v>54690</v>
      </c>
      <c r="BG22" s="75"/>
      <c r="BH22" s="75"/>
      <c r="BI22" s="75"/>
      <c r="BJ22" s="75"/>
      <c r="BK22" s="76">
        <f t="shared" si="29"/>
        <v>342340</v>
      </c>
      <c r="BL22" s="47">
        <v>18</v>
      </c>
      <c r="BM22" s="77">
        <f t="shared" si="26"/>
        <v>342340</v>
      </c>
      <c r="BO22" s="85"/>
    </row>
    <row r="23" spans="2:67" ht="20" customHeight="1">
      <c r="B23" s="78">
        <f t="shared" si="27"/>
        <v>45554</v>
      </c>
      <c r="C23" s="79"/>
      <c r="D23" s="50"/>
      <c r="E23" s="51">
        <v>19</v>
      </c>
      <c r="F23" s="52">
        <v>71610</v>
      </c>
      <c r="G23" s="53">
        <f t="shared" si="0"/>
        <v>3426.3157894736842</v>
      </c>
      <c r="H23" s="52">
        <v>5800</v>
      </c>
      <c r="I23" s="53">
        <f t="shared" si="1"/>
        <v>277.4736842105263</v>
      </c>
      <c r="J23" s="55">
        <f t="shared" si="2"/>
        <v>77410</v>
      </c>
      <c r="K23" s="56">
        <f t="shared" si="3"/>
        <v>4074.2105263157896</v>
      </c>
      <c r="L23" s="57"/>
      <c r="M23" s="58">
        <f t="shared" si="4"/>
        <v>12</v>
      </c>
      <c r="N23" s="59">
        <f t="shared" si="4"/>
        <v>90200</v>
      </c>
      <c r="O23" s="53">
        <f t="shared" si="5"/>
        <v>6833.333333333333</v>
      </c>
      <c r="P23" s="59">
        <f t="shared" si="6"/>
        <v>19610</v>
      </c>
      <c r="Q23" s="84">
        <f t="shared" si="7"/>
        <v>1485.5833333333333</v>
      </c>
      <c r="R23" s="60">
        <f t="shared" si="8"/>
        <v>109810</v>
      </c>
      <c r="S23" s="56">
        <f t="shared" si="9"/>
        <v>9150.8333333333339</v>
      </c>
      <c r="T23" s="80">
        <f t="shared" si="10"/>
        <v>31</v>
      </c>
      <c r="U23" s="59">
        <f t="shared" si="10"/>
        <v>161810</v>
      </c>
      <c r="V23" s="59">
        <f t="shared" si="11"/>
        <v>25410</v>
      </c>
      <c r="W23" s="62">
        <f t="shared" si="12"/>
        <v>187220</v>
      </c>
      <c r="X23" s="81"/>
      <c r="Y23" s="63"/>
      <c r="Z23" s="64">
        <v>17</v>
      </c>
      <c r="AA23" s="52">
        <v>8490</v>
      </c>
      <c r="AB23" s="53">
        <f t="shared" si="13"/>
        <v>499.41176470588238</v>
      </c>
      <c r="AC23" s="52">
        <v>1970</v>
      </c>
      <c r="AD23" s="54">
        <f t="shared" si="14"/>
        <v>115.88235294117646</v>
      </c>
      <c r="AE23" s="65">
        <f t="shared" si="15"/>
        <v>10460</v>
      </c>
      <c r="AF23" s="56">
        <f t="shared" si="16"/>
        <v>615.29411764705878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8"/>
        <v>0</v>
      </c>
      <c r="AN23" s="67" t="str">
        <f t="shared" si="19"/>
        <v/>
      </c>
      <c r="AO23" s="68"/>
      <c r="AP23" s="64">
        <v>39</v>
      </c>
      <c r="AQ23" s="52">
        <v>47450</v>
      </c>
      <c r="AR23" s="53">
        <f t="shared" si="20"/>
        <v>1216.6666666666667</v>
      </c>
      <c r="AS23" s="52">
        <v>43350</v>
      </c>
      <c r="AT23" s="54">
        <f t="shared" si="21"/>
        <v>1111.5384615384614</v>
      </c>
      <c r="AU23" s="54"/>
      <c r="AV23" s="54"/>
      <c r="AW23" s="69">
        <f t="shared" si="33"/>
        <v>90800</v>
      </c>
      <c r="AX23" s="67">
        <f>IF(AP23="","",AW23/AP23)</f>
        <v>2328.2051282051284</v>
      </c>
      <c r="AY23" s="82">
        <f t="shared" si="23"/>
        <v>31</v>
      </c>
      <c r="AZ23" s="59">
        <f t="shared" si="24"/>
        <v>217750</v>
      </c>
      <c r="BA23" s="59">
        <f t="shared" si="25"/>
        <v>70730</v>
      </c>
      <c r="BB23" s="71">
        <f>W23+AE23+AM23+AW23-BN22</f>
        <v>288480</v>
      </c>
      <c r="BC23" s="72">
        <f t="shared" si="30"/>
        <v>1100</v>
      </c>
      <c r="BD23" s="73">
        <v>31</v>
      </c>
      <c r="BE23" s="74">
        <v>161810</v>
      </c>
      <c r="BF23" s="74">
        <v>25410</v>
      </c>
      <c r="BG23" s="75">
        <v>1100</v>
      </c>
      <c r="BH23" s="75"/>
      <c r="BI23" s="75"/>
      <c r="BJ23" s="75"/>
      <c r="BK23" s="76">
        <f>SUM(BE23:BH23)</f>
        <v>188320</v>
      </c>
      <c r="BL23" s="47">
        <v>19</v>
      </c>
      <c r="BM23" s="77">
        <f t="shared" si="26"/>
        <v>188320</v>
      </c>
    </row>
    <row r="24" spans="2:67" ht="20" customHeight="1">
      <c r="B24" s="78">
        <f t="shared" si="27"/>
        <v>45555</v>
      </c>
      <c r="C24" s="79"/>
      <c r="D24" s="50"/>
      <c r="E24" s="51">
        <v>24</v>
      </c>
      <c r="F24" s="52">
        <v>87450</v>
      </c>
      <c r="G24" s="53">
        <f t="shared" si="0"/>
        <v>3312.5</v>
      </c>
      <c r="H24" s="52">
        <v>15820</v>
      </c>
      <c r="I24" s="53">
        <f t="shared" si="1"/>
        <v>599.20833333333337</v>
      </c>
      <c r="J24" s="55">
        <f t="shared" si="2"/>
        <v>103270</v>
      </c>
      <c r="K24" s="56">
        <f t="shared" si="3"/>
        <v>4302.916666666667</v>
      </c>
      <c r="L24" s="57"/>
      <c r="M24" s="58">
        <f t="shared" si="4"/>
        <v>15</v>
      </c>
      <c r="N24" s="59">
        <f t="shared" si="4"/>
        <v>141990</v>
      </c>
      <c r="O24" s="53">
        <f t="shared" si="5"/>
        <v>8605.4</v>
      </c>
      <c r="P24" s="59">
        <f t="shared" si="6"/>
        <v>27210</v>
      </c>
      <c r="Q24" s="84">
        <f t="shared" si="7"/>
        <v>1649.0666666666666</v>
      </c>
      <c r="R24" s="60">
        <f t="shared" si="8"/>
        <v>169200</v>
      </c>
      <c r="S24" s="56">
        <f t="shared" si="9"/>
        <v>11280</v>
      </c>
      <c r="T24" s="80">
        <f t="shared" si="10"/>
        <v>39</v>
      </c>
      <c r="U24" s="59">
        <f t="shared" si="10"/>
        <v>229440</v>
      </c>
      <c r="V24" s="59">
        <f t="shared" si="11"/>
        <v>43030</v>
      </c>
      <c r="W24" s="62">
        <f t="shared" si="12"/>
        <v>272470</v>
      </c>
      <c r="X24" s="81"/>
      <c r="Y24" s="63"/>
      <c r="Z24" s="64">
        <v>22</v>
      </c>
      <c r="AA24" s="52">
        <v>10990</v>
      </c>
      <c r="AB24" s="53">
        <f t="shared" si="13"/>
        <v>499.54545454545456</v>
      </c>
      <c r="AC24" s="52">
        <v>7600</v>
      </c>
      <c r="AD24" s="54">
        <f t="shared" si="14"/>
        <v>345.45454545454544</v>
      </c>
      <c r="AE24" s="65">
        <f t="shared" si="15"/>
        <v>18590</v>
      </c>
      <c r="AF24" s="56">
        <f t="shared" si="16"/>
        <v>845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8"/>
        <v>0</v>
      </c>
      <c r="AN24" s="67" t="str">
        <f t="shared" si="19"/>
        <v/>
      </c>
      <c r="AO24" s="68"/>
      <c r="AP24" s="64">
        <v>54</v>
      </c>
      <c r="AQ24" s="52">
        <v>135400</v>
      </c>
      <c r="AR24" s="53">
        <f t="shared" si="20"/>
        <v>2507.4074074074074</v>
      </c>
      <c r="AS24" s="52">
        <v>73100</v>
      </c>
      <c r="AT24" s="54">
        <f t="shared" si="21"/>
        <v>1353.7037037037037</v>
      </c>
      <c r="AU24" s="54"/>
      <c r="AV24" s="54"/>
      <c r="AW24" s="86">
        <f t="shared" si="33"/>
        <v>208500</v>
      </c>
      <c r="AX24" s="67">
        <f t="shared" si="22"/>
        <v>3861.1111111111113</v>
      </c>
      <c r="AY24" s="82">
        <f t="shared" si="23"/>
        <v>39</v>
      </c>
      <c r="AZ24" s="59">
        <f t="shared" si="24"/>
        <v>375830</v>
      </c>
      <c r="BA24" s="59">
        <f t="shared" si="25"/>
        <v>123730</v>
      </c>
      <c r="BB24" s="71">
        <f t="shared" si="32"/>
        <v>499560</v>
      </c>
      <c r="BC24" s="72">
        <f t="shared" si="30"/>
        <v>3300</v>
      </c>
      <c r="BD24" s="73">
        <v>39</v>
      </c>
      <c r="BE24" s="74">
        <v>229440</v>
      </c>
      <c r="BF24" s="74">
        <v>43030</v>
      </c>
      <c r="BG24" s="75">
        <v>3300</v>
      </c>
      <c r="BH24" s="75"/>
      <c r="BI24" s="75"/>
      <c r="BJ24" s="75"/>
      <c r="BK24" s="76">
        <f t="shared" si="29"/>
        <v>275770</v>
      </c>
      <c r="BL24" s="47">
        <v>20</v>
      </c>
      <c r="BM24" s="77">
        <f t="shared" si="26"/>
        <v>275770</v>
      </c>
    </row>
    <row r="25" spans="2:67" ht="20" customHeight="1">
      <c r="B25" s="78">
        <f t="shared" si="27"/>
        <v>45556</v>
      </c>
      <c r="C25" s="79"/>
      <c r="D25" s="50"/>
      <c r="E25" s="51">
        <v>25</v>
      </c>
      <c r="F25" s="52">
        <v>119570</v>
      </c>
      <c r="G25" s="53">
        <f t="shared" si="0"/>
        <v>4348</v>
      </c>
      <c r="H25" s="52">
        <v>32030</v>
      </c>
      <c r="I25" s="53">
        <f t="shared" si="1"/>
        <v>1164.72</v>
      </c>
      <c r="J25" s="55">
        <f t="shared" si="2"/>
        <v>151600</v>
      </c>
      <c r="K25" s="56">
        <f t="shared" si="3"/>
        <v>6064</v>
      </c>
      <c r="L25" s="57"/>
      <c r="M25" s="58">
        <f t="shared" si="4"/>
        <v>16</v>
      </c>
      <c r="N25" s="59">
        <f t="shared" si="4"/>
        <v>180000</v>
      </c>
      <c r="O25" s="53">
        <f t="shared" si="5"/>
        <v>10227.25</v>
      </c>
      <c r="P25" s="59">
        <f t="shared" si="6"/>
        <v>45000</v>
      </c>
      <c r="Q25" s="84">
        <f t="shared" si="7"/>
        <v>2556.8125</v>
      </c>
      <c r="R25" s="60">
        <f t="shared" si="8"/>
        <v>225000</v>
      </c>
      <c r="S25" s="56">
        <f t="shared" si="9"/>
        <v>14062.5</v>
      </c>
      <c r="T25" s="80">
        <f t="shared" si="10"/>
        <v>41</v>
      </c>
      <c r="U25" s="59">
        <f t="shared" si="10"/>
        <v>299570</v>
      </c>
      <c r="V25" s="59">
        <f t="shared" si="11"/>
        <v>77030</v>
      </c>
      <c r="W25" s="62">
        <f t="shared" si="12"/>
        <v>376600</v>
      </c>
      <c r="X25" s="81"/>
      <c r="Y25" s="63"/>
      <c r="Z25" s="64">
        <v>14</v>
      </c>
      <c r="AA25" s="52">
        <v>6120</v>
      </c>
      <c r="AB25" s="53">
        <f t="shared" si="13"/>
        <v>437.14285714285717</v>
      </c>
      <c r="AC25" s="52">
        <v>1500</v>
      </c>
      <c r="AD25" s="54">
        <f t="shared" si="14"/>
        <v>107.14285714285714</v>
      </c>
      <c r="AE25" s="65">
        <f t="shared" si="15"/>
        <v>7620</v>
      </c>
      <c r="AF25" s="56">
        <f t="shared" si="16"/>
        <v>544.28571428571433</v>
      </c>
      <c r="AG25" s="66"/>
      <c r="AH25" s="64">
        <v>15</v>
      </c>
      <c r="AI25" s="52">
        <v>58725</v>
      </c>
      <c r="AJ25" s="53">
        <f t="shared" si="17"/>
        <v>3915</v>
      </c>
      <c r="AK25" s="52">
        <v>19575</v>
      </c>
      <c r="AL25" s="54">
        <f t="shared" si="18"/>
        <v>1305</v>
      </c>
      <c r="AM25" s="65">
        <f t="shared" si="28"/>
        <v>78300</v>
      </c>
      <c r="AN25" s="67">
        <f t="shared" si="19"/>
        <v>5220</v>
      </c>
      <c r="AO25" s="68"/>
      <c r="AP25" s="64">
        <v>67</v>
      </c>
      <c r="AQ25" s="52">
        <v>171700</v>
      </c>
      <c r="AR25" s="53">
        <f t="shared" si="20"/>
        <v>2562.686567164179</v>
      </c>
      <c r="AS25" s="52">
        <v>94700</v>
      </c>
      <c r="AT25" s="54">
        <f t="shared" si="21"/>
        <v>1413.4328358208954</v>
      </c>
      <c r="AU25" s="54">
        <v>13860</v>
      </c>
      <c r="AV25" s="54"/>
      <c r="AW25" s="69">
        <f t="shared" si="33"/>
        <v>280260</v>
      </c>
      <c r="AX25" s="67">
        <f t="shared" si="22"/>
        <v>4182.9850746268658</v>
      </c>
      <c r="AY25" s="82">
        <f t="shared" si="23"/>
        <v>41</v>
      </c>
      <c r="AZ25" s="59">
        <f t="shared" si="24"/>
        <v>536115</v>
      </c>
      <c r="BA25" s="59">
        <f t="shared" si="25"/>
        <v>192805</v>
      </c>
      <c r="BB25" s="71">
        <f>W25+AE25+AM25+AW25-BN25</f>
        <v>742780</v>
      </c>
      <c r="BC25" s="72">
        <f t="shared" si="30"/>
        <v>3300</v>
      </c>
      <c r="BD25" s="73">
        <v>41</v>
      </c>
      <c r="BE25" s="74">
        <v>299570</v>
      </c>
      <c r="BF25" s="74">
        <v>77030</v>
      </c>
      <c r="BG25" s="75">
        <v>3300</v>
      </c>
      <c r="BH25" s="75"/>
      <c r="BI25" s="75"/>
      <c r="BJ25" s="75"/>
      <c r="BK25" s="76">
        <f t="shared" si="29"/>
        <v>379900</v>
      </c>
      <c r="BL25" s="47">
        <v>21</v>
      </c>
      <c r="BM25" s="77">
        <f t="shared" si="26"/>
        <v>379900</v>
      </c>
    </row>
    <row r="26" spans="2:67" ht="20" customHeight="1">
      <c r="B26" s="78">
        <f t="shared" si="27"/>
        <v>45557</v>
      </c>
      <c r="C26" s="79"/>
      <c r="D26" s="50"/>
      <c r="E26" s="51">
        <v>52</v>
      </c>
      <c r="F26" s="52">
        <v>257400</v>
      </c>
      <c r="G26" s="53">
        <f t="shared" si="0"/>
        <v>4500</v>
      </c>
      <c r="H26" s="52">
        <v>50260</v>
      </c>
      <c r="I26" s="53">
        <f t="shared" si="1"/>
        <v>878.65384615384619</v>
      </c>
      <c r="J26" s="55">
        <f t="shared" si="2"/>
        <v>307660</v>
      </c>
      <c r="K26" s="56">
        <f t="shared" si="3"/>
        <v>5916.5384615384619</v>
      </c>
      <c r="L26" s="57"/>
      <c r="M26" s="58">
        <f t="shared" si="4"/>
        <v>26</v>
      </c>
      <c r="N26" s="59">
        <f t="shared" si="4"/>
        <v>225170</v>
      </c>
      <c r="O26" s="53">
        <f t="shared" si="5"/>
        <v>7873.0769230769229</v>
      </c>
      <c r="P26" s="59">
        <f t="shared" si="6"/>
        <v>89290</v>
      </c>
      <c r="Q26" s="84">
        <f t="shared" si="7"/>
        <v>3122</v>
      </c>
      <c r="R26" s="60">
        <f t="shared" si="8"/>
        <v>314460</v>
      </c>
      <c r="S26" s="56">
        <f t="shared" si="9"/>
        <v>12094.615384615385</v>
      </c>
      <c r="T26" s="80">
        <f t="shared" si="10"/>
        <v>78</v>
      </c>
      <c r="U26" s="59">
        <f t="shared" si="10"/>
        <v>482570</v>
      </c>
      <c r="V26" s="59">
        <f t="shared" si="11"/>
        <v>139550</v>
      </c>
      <c r="W26" s="62">
        <f t="shared" si="12"/>
        <v>622120</v>
      </c>
      <c r="X26" s="81"/>
      <c r="Y26" s="63"/>
      <c r="Z26" s="64">
        <v>4</v>
      </c>
      <c r="AA26" s="52">
        <v>1500</v>
      </c>
      <c r="AB26" s="53">
        <f t="shared" si="13"/>
        <v>375</v>
      </c>
      <c r="AC26" s="52">
        <v>0</v>
      </c>
      <c r="AD26" s="54">
        <f t="shared" si="14"/>
        <v>0</v>
      </c>
      <c r="AE26" s="65">
        <f t="shared" si="15"/>
        <v>1500</v>
      </c>
      <c r="AF26" s="56">
        <f t="shared" si="16"/>
        <v>375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8"/>
        <v>0</v>
      </c>
      <c r="AN26" s="67" t="str">
        <f t="shared" si="19"/>
        <v/>
      </c>
      <c r="AO26" s="68"/>
      <c r="AP26" s="64">
        <v>95</v>
      </c>
      <c r="AQ26" s="52">
        <v>216250</v>
      </c>
      <c r="AR26" s="53">
        <f t="shared" si="20"/>
        <v>2276.3157894736842</v>
      </c>
      <c r="AS26" s="52">
        <v>128300</v>
      </c>
      <c r="AT26" s="54">
        <f t="shared" si="21"/>
        <v>1350.5263157894738</v>
      </c>
      <c r="AU26" s="54">
        <v>2310</v>
      </c>
      <c r="AV26" s="54"/>
      <c r="AW26" s="69">
        <f t="shared" si="33"/>
        <v>346860</v>
      </c>
      <c r="AX26" s="67">
        <f t="shared" si="22"/>
        <v>3651.1578947368421</v>
      </c>
      <c r="AY26" s="82">
        <f t="shared" si="23"/>
        <v>78</v>
      </c>
      <c r="AZ26" s="59">
        <f t="shared" si="24"/>
        <v>700320</v>
      </c>
      <c r="BA26" s="59">
        <f t="shared" si="25"/>
        <v>267850</v>
      </c>
      <c r="BB26" s="71">
        <f>W26+AE26+AM26+AW26-BN26</f>
        <v>970480</v>
      </c>
      <c r="BC26" s="72">
        <f>BG26+BH26</f>
        <v>9900</v>
      </c>
      <c r="BD26" s="73">
        <v>78</v>
      </c>
      <c r="BE26" s="74">
        <v>482570</v>
      </c>
      <c r="BF26" s="74">
        <v>139550</v>
      </c>
      <c r="BG26" s="75">
        <v>9900</v>
      </c>
      <c r="BH26" s="75"/>
      <c r="BI26" s="75">
        <v>3300</v>
      </c>
      <c r="BJ26" s="75"/>
      <c r="BK26" s="76">
        <f t="shared" si="29"/>
        <v>632020</v>
      </c>
      <c r="BL26" s="47">
        <v>22</v>
      </c>
      <c r="BM26" s="77">
        <f t="shared" si="26"/>
        <v>632020</v>
      </c>
    </row>
    <row r="27" spans="2:67" ht="20" customHeight="1">
      <c r="B27" s="78">
        <f t="shared" si="27"/>
        <v>45558</v>
      </c>
      <c r="C27" s="79"/>
      <c r="D27" s="50"/>
      <c r="E27" s="51">
        <v>24</v>
      </c>
      <c r="F27" s="52">
        <v>101640</v>
      </c>
      <c r="G27" s="53">
        <f t="shared" si="0"/>
        <v>3850</v>
      </c>
      <c r="H27" s="52">
        <v>21640</v>
      </c>
      <c r="I27" s="53">
        <f t="shared" si="1"/>
        <v>819.66666666666663</v>
      </c>
      <c r="J27" s="55">
        <f t="shared" si="2"/>
        <v>123280</v>
      </c>
      <c r="K27" s="56">
        <f t="shared" si="3"/>
        <v>5136.666666666667</v>
      </c>
      <c r="L27" s="57"/>
      <c r="M27" s="58">
        <f t="shared" si="4"/>
        <v>15</v>
      </c>
      <c r="N27" s="59">
        <f t="shared" si="4"/>
        <v>182600</v>
      </c>
      <c r="O27" s="53">
        <f t="shared" si="5"/>
        <v>11066.666666666666</v>
      </c>
      <c r="P27" s="59">
        <f t="shared" si="6"/>
        <v>21640</v>
      </c>
      <c r="Q27" s="54">
        <f t="shared" si="7"/>
        <v>1311.4666666666667</v>
      </c>
      <c r="R27" s="60">
        <f t="shared" si="8"/>
        <v>204240</v>
      </c>
      <c r="S27" s="56">
        <f t="shared" si="9"/>
        <v>13616</v>
      </c>
      <c r="T27" s="80">
        <f t="shared" si="10"/>
        <v>39</v>
      </c>
      <c r="U27" s="59">
        <f t="shared" si="10"/>
        <v>284240</v>
      </c>
      <c r="V27" s="59">
        <f t="shared" si="11"/>
        <v>43280</v>
      </c>
      <c r="W27" s="62">
        <f t="shared" si="12"/>
        <v>327520</v>
      </c>
      <c r="X27" s="81"/>
      <c r="Y27" s="63"/>
      <c r="Z27" s="64">
        <v>15</v>
      </c>
      <c r="AA27" s="52">
        <v>8200</v>
      </c>
      <c r="AB27" s="53">
        <f t="shared" si="13"/>
        <v>546.66666666666663</v>
      </c>
      <c r="AC27" s="52">
        <v>2700</v>
      </c>
      <c r="AD27" s="54">
        <f t="shared" si="14"/>
        <v>180</v>
      </c>
      <c r="AE27" s="65">
        <f t="shared" si="15"/>
        <v>10900</v>
      </c>
      <c r="AF27" s="56">
        <f t="shared" si="16"/>
        <v>726.66666666666663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8"/>
        <v>0</v>
      </c>
      <c r="AN27" s="67" t="str">
        <f t="shared" si="19"/>
        <v/>
      </c>
      <c r="AO27" s="68"/>
      <c r="AP27" s="64">
        <v>109</v>
      </c>
      <c r="AQ27" s="52">
        <v>183400</v>
      </c>
      <c r="AR27" s="53">
        <f t="shared" si="20"/>
        <v>1682.5688073394494</v>
      </c>
      <c r="AS27" s="52">
        <v>124550</v>
      </c>
      <c r="AT27" s="54">
        <f t="shared" si="21"/>
        <v>1142.6605504587155</v>
      </c>
      <c r="AU27" s="54"/>
      <c r="AV27" s="54"/>
      <c r="AW27" s="69">
        <f>AQ27+AS27+AU27+AV27-BO26</f>
        <v>307950</v>
      </c>
      <c r="AX27" s="67">
        <f t="shared" si="22"/>
        <v>2825.229357798165</v>
      </c>
      <c r="AY27" s="82">
        <f t="shared" si="23"/>
        <v>39</v>
      </c>
      <c r="AZ27" s="59">
        <f t="shared" si="24"/>
        <v>475840</v>
      </c>
      <c r="BA27" s="59">
        <f t="shared" si="25"/>
        <v>170530</v>
      </c>
      <c r="BB27" s="71">
        <f>W27+AE27+AM27+AW27-BN27</f>
        <v>646370</v>
      </c>
      <c r="BC27" s="72">
        <f t="shared" si="30"/>
        <v>3300</v>
      </c>
      <c r="BD27" s="73">
        <v>39</v>
      </c>
      <c r="BE27" s="74">
        <v>284240</v>
      </c>
      <c r="BF27" s="74">
        <v>43280</v>
      </c>
      <c r="BG27" s="75">
        <v>3300</v>
      </c>
      <c r="BH27" s="75"/>
      <c r="BI27" s="75">
        <v>3300</v>
      </c>
      <c r="BJ27" s="75"/>
      <c r="BK27" s="76">
        <f t="shared" si="29"/>
        <v>330820</v>
      </c>
      <c r="BL27" s="47">
        <v>23</v>
      </c>
      <c r="BM27" s="77">
        <f t="shared" si="26"/>
        <v>330820</v>
      </c>
    </row>
    <row r="28" spans="2:67" ht="20" customHeight="1">
      <c r="B28" s="78">
        <f>B27+1</f>
        <v>45559</v>
      </c>
      <c r="C28" s="79"/>
      <c r="D28" s="50"/>
      <c r="E28" s="51">
        <v>24</v>
      </c>
      <c r="F28" s="52">
        <v>90970</v>
      </c>
      <c r="G28" s="53">
        <f t="shared" si="0"/>
        <v>3445.8333333333335</v>
      </c>
      <c r="H28" s="52">
        <v>14070</v>
      </c>
      <c r="I28" s="53">
        <f t="shared" si="1"/>
        <v>532.91666666666663</v>
      </c>
      <c r="J28" s="55">
        <f t="shared" si="2"/>
        <v>105040</v>
      </c>
      <c r="K28" s="56">
        <f t="shared" si="3"/>
        <v>4376.666666666667</v>
      </c>
      <c r="L28" s="57"/>
      <c r="M28" s="58">
        <f t="shared" si="4"/>
        <v>19</v>
      </c>
      <c r="N28" s="59">
        <f t="shared" si="4"/>
        <v>169840</v>
      </c>
      <c r="O28" s="53">
        <f t="shared" si="5"/>
        <v>8126.3157894736842</v>
      </c>
      <c r="P28" s="59">
        <f t="shared" si="6"/>
        <v>105960</v>
      </c>
      <c r="Q28" s="54">
        <f>ROUNDDOWN(P28/1.1,0)/M28</f>
        <v>5069.8421052631575</v>
      </c>
      <c r="R28" s="60">
        <f t="shared" si="8"/>
        <v>275800</v>
      </c>
      <c r="S28" s="56">
        <f t="shared" si="9"/>
        <v>14515.78947368421</v>
      </c>
      <c r="T28" s="80">
        <f t="shared" si="10"/>
        <v>43</v>
      </c>
      <c r="U28" s="59">
        <f t="shared" si="10"/>
        <v>260810</v>
      </c>
      <c r="V28" s="59">
        <f t="shared" si="11"/>
        <v>120030</v>
      </c>
      <c r="W28" s="62">
        <f t="shared" si="12"/>
        <v>380840</v>
      </c>
      <c r="X28" s="81"/>
      <c r="Y28" s="63"/>
      <c r="Z28" s="64">
        <v>13</v>
      </c>
      <c r="AA28" s="52">
        <v>5850</v>
      </c>
      <c r="AB28" s="53">
        <f t="shared" si="13"/>
        <v>450</v>
      </c>
      <c r="AC28" s="52">
        <v>1300</v>
      </c>
      <c r="AD28" s="54">
        <f t="shared" si="14"/>
        <v>100</v>
      </c>
      <c r="AE28" s="65">
        <f t="shared" si="15"/>
        <v>7150</v>
      </c>
      <c r="AF28" s="56">
        <f t="shared" si="16"/>
        <v>550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8"/>
        <v>0</v>
      </c>
      <c r="AN28" s="67" t="str">
        <f t="shared" si="19"/>
        <v/>
      </c>
      <c r="AO28" s="68"/>
      <c r="AP28" s="64">
        <v>45</v>
      </c>
      <c r="AQ28" s="52">
        <v>75400</v>
      </c>
      <c r="AR28" s="53">
        <f t="shared" si="20"/>
        <v>1675.5555555555557</v>
      </c>
      <c r="AS28" s="52">
        <v>40000</v>
      </c>
      <c r="AT28" s="54">
        <f t="shared" si="21"/>
        <v>888.88888888888891</v>
      </c>
      <c r="AU28" s="54"/>
      <c r="AV28" s="54"/>
      <c r="AW28" s="69">
        <f>AQ28+AS28+AU28+AV28</f>
        <v>115400</v>
      </c>
      <c r="AX28" s="67">
        <f t="shared" si="22"/>
        <v>2564.4444444444443</v>
      </c>
      <c r="AY28" s="82">
        <f t="shared" si="23"/>
        <v>43</v>
      </c>
      <c r="AZ28" s="59">
        <f t="shared" si="24"/>
        <v>342060</v>
      </c>
      <c r="BA28" s="59">
        <f t="shared" si="25"/>
        <v>161330</v>
      </c>
      <c r="BB28" s="71">
        <f t="shared" si="32"/>
        <v>503390</v>
      </c>
      <c r="BC28" s="72">
        <f t="shared" si="30"/>
        <v>3850</v>
      </c>
      <c r="BD28" s="73">
        <v>43</v>
      </c>
      <c r="BE28" s="74">
        <v>260810</v>
      </c>
      <c r="BF28" s="74">
        <v>120030</v>
      </c>
      <c r="BG28" s="75">
        <v>3850</v>
      </c>
      <c r="BH28" s="75"/>
      <c r="BI28" s="75">
        <v>4000</v>
      </c>
      <c r="BJ28" s="75"/>
      <c r="BK28" s="76">
        <f t="shared" si="29"/>
        <v>384690</v>
      </c>
      <c r="BL28" s="47">
        <v>24</v>
      </c>
      <c r="BM28" s="77">
        <f t="shared" si="26"/>
        <v>384690</v>
      </c>
    </row>
    <row r="29" spans="2:67" ht="20" customHeight="1">
      <c r="B29" s="78">
        <f t="shared" si="27"/>
        <v>45560</v>
      </c>
      <c r="C29" s="79"/>
      <c r="D29" s="50"/>
      <c r="E29" s="51">
        <v>18</v>
      </c>
      <c r="F29" s="52">
        <v>74360</v>
      </c>
      <c r="G29" s="53">
        <f t="shared" si="0"/>
        <v>3755.5555555555557</v>
      </c>
      <c r="H29" s="52">
        <v>8450</v>
      </c>
      <c r="I29" s="53">
        <f t="shared" si="1"/>
        <v>426.72222222222223</v>
      </c>
      <c r="J29" s="55">
        <f t="shared" si="2"/>
        <v>82810</v>
      </c>
      <c r="K29" s="56">
        <f t="shared" si="3"/>
        <v>4600.5555555555557</v>
      </c>
      <c r="L29" s="57"/>
      <c r="M29" s="58">
        <f t="shared" si="4"/>
        <v>20</v>
      </c>
      <c r="N29" s="59">
        <f t="shared" si="4"/>
        <v>170830</v>
      </c>
      <c r="O29" s="53">
        <f t="shared" si="5"/>
        <v>7765</v>
      </c>
      <c r="P29" s="59">
        <f t="shared" si="6"/>
        <v>76670</v>
      </c>
      <c r="Q29" s="54">
        <f t="shared" si="7"/>
        <v>3485</v>
      </c>
      <c r="R29" s="60">
        <f t="shared" si="8"/>
        <v>247500</v>
      </c>
      <c r="S29" s="56">
        <f t="shared" si="9"/>
        <v>12375</v>
      </c>
      <c r="T29" s="80">
        <f t="shared" si="10"/>
        <v>38</v>
      </c>
      <c r="U29" s="59">
        <f t="shared" si="10"/>
        <v>245190</v>
      </c>
      <c r="V29" s="59">
        <f t="shared" si="11"/>
        <v>85120</v>
      </c>
      <c r="W29" s="62">
        <f t="shared" si="12"/>
        <v>330310</v>
      </c>
      <c r="X29" s="81"/>
      <c r="Y29" s="63"/>
      <c r="Z29" s="64">
        <v>18</v>
      </c>
      <c r="AA29" s="52">
        <v>9311</v>
      </c>
      <c r="AB29" s="53">
        <f t="shared" si="13"/>
        <v>517.27777777777783</v>
      </c>
      <c r="AC29" s="52">
        <v>7171</v>
      </c>
      <c r="AD29" s="54">
        <f t="shared" si="14"/>
        <v>398.38888888888891</v>
      </c>
      <c r="AE29" s="65">
        <f t="shared" si="15"/>
        <v>16482</v>
      </c>
      <c r="AF29" s="56">
        <f t="shared" si="16"/>
        <v>915.66666666666663</v>
      </c>
      <c r="AG29" s="66"/>
      <c r="AH29" s="64">
        <v>18</v>
      </c>
      <c r="AI29" s="52">
        <v>70470</v>
      </c>
      <c r="AJ29" s="53">
        <f t="shared" si="17"/>
        <v>3915</v>
      </c>
      <c r="AK29" s="52">
        <v>23490</v>
      </c>
      <c r="AL29" s="54">
        <f t="shared" si="18"/>
        <v>1305</v>
      </c>
      <c r="AM29" s="65">
        <f t="shared" si="28"/>
        <v>93960</v>
      </c>
      <c r="AN29" s="67">
        <f t="shared" si="19"/>
        <v>5220</v>
      </c>
      <c r="AO29" s="68"/>
      <c r="AP29" s="64">
        <v>40</v>
      </c>
      <c r="AQ29" s="52">
        <v>83000</v>
      </c>
      <c r="AR29" s="53">
        <f t="shared" si="20"/>
        <v>2075</v>
      </c>
      <c r="AS29" s="52">
        <v>52400</v>
      </c>
      <c r="AT29" s="54">
        <f t="shared" si="21"/>
        <v>1310</v>
      </c>
      <c r="AU29" s="54"/>
      <c r="AV29" s="54"/>
      <c r="AW29" s="69">
        <f>AQ29+AS29+AU29+AV29-BO29</f>
        <v>135400</v>
      </c>
      <c r="AX29" s="67">
        <f t="shared" si="22"/>
        <v>3385</v>
      </c>
      <c r="AY29" s="82">
        <f t="shared" si="23"/>
        <v>38</v>
      </c>
      <c r="AZ29" s="59">
        <f t="shared" si="24"/>
        <v>407971</v>
      </c>
      <c r="BA29" s="59">
        <f t="shared" si="25"/>
        <v>168181</v>
      </c>
      <c r="BB29" s="71">
        <f t="shared" si="32"/>
        <v>576152</v>
      </c>
      <c r="BC29" s="72">
        <f t="shared" si="30"/>
        <v>1100</v>
      </c>
      <c r="BD29" s="73">
        <v>38</v>
      </c>
      <c r="BE29" s="74">
        <v>245190</v>
      </c>
      <c r="BF29" s="74">
        <v>85120</v>
      </c>
      <c r="BG29" s="75">
        <v>1100</v>
      </c>
      <c r="BH29" s="75"/>
      <c r="BI29" s="75"/>
      <c r="BJ29" s="75"/>
      <c r="BK29" s="76">
        <f t="shared" si="29"/>
        <v>331410</v>
      </c>
      <c r="BL29" s="47">
        <v>25</v>
      </c>
      <c r="BM29" s="77">
        <f t="shared" si="26"/>
        <v>331410</v>
      </c>
      <c r="BN29" s="47" t="s">
        <v>103</v>
      </c>
    </row>
    <row r="30" spans="2:67" ht="20" customHeight="1">
      <c r="B30" s="78">
        <f t="shared" si="27"/>
        <v>45561</v>
      </c>
      <c r="C30" s="79"/>
      <c r="D30" s="50"/>
      <c r="E30" s="51">
        <v>23</v>
      </c>
      <c r="F30" s="52">
        <v>90310</v>
      </c>
      <c r="G30" s="53">
        <f t="shared" si="0"/>
        <v>3569.5652173913045</v>
      </c>
      <c r="H30" s="52">
        <v>11540</v>
      </c>
      <c r="I30" s="53">
        <f t="shared" si="1"/>
        <v>456.08695652173913</v>
      </c>
      <c r="J30" s="55">
        <f t="shared" si="2"/>
        <v>101850</v>
      </c>
      <c r="K30" s="56">
        <f t="shared" si="3"/>
        <v>4428.260869565217</v>
      </c>
      <c r="L30" s="57"/>
      <c r="M30" s="58">
        <f t="shared" si="4"/>
        <v>10</v>
      </c>
      <c r="N30" s="59">
        <f t="shared" si="4"/>
        <v>82280</v>
      </c>
      <c r="O30" s="53">
        <f t="shared" si="5"/>
        <v>7480</v>
      </c>
      <c r="P30" s="59">
        <f t="shared" si="6"/>
        <v>20960</v>
      </c>
      <c r="Q30" s="53">
        <f t="shared" si="7"/>
        <v>1905.4</v>
      </c>
      <c r="R30" s="60">
        <f t="shared" si="8"/>
        <v>103240</v>
      </c>
      <c r="S30" s="56">
        <f t="shared" si="9"/>
        <v>10324</v>
      </c>
      <c r="T30" s="80">
        <f t="shared" si="10"/>
        <v>33</v>
      </c>
      <c r="U30" s="59">
        <f t="shared" si="10"/>
        <v>172590</v>
      </c>
      <c r="V30" s="59">
        <f t="shared" si="11"/>
        <v>32500</v>
      </c>
      <c r="W30" s="62">
        <f t="shared" si="12"/>
        <v>205090</v>
      </c>
      <c r="X30" s="81"/>
      <c r="Y30" s="63"/>
      <c r="Z30" s="64">
        <v>8</v>
      </c>
      <c r="AA30" s="52">
        <v>3720</v>
      </c>
      <c r="AB30" s="53">
        <f t="shared" si="13"/>
        <v>465</v>
      </c>
      <c r="AC30" s="52">
        <v>0</v>
      </c>
      <c r="AD30" s="54">
        <f t="shared" si="14"/>
        <v>0</v>
      </c>
      <c r="AE30" s="65">
        <f t="shared" si="15"/>
        <v>3720</v>
      </c>
      <c r="AF30" s="56">
        <f t="shared" si="16"/>
        <v>465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8"/>
        <v>0</v>
      </c>
      <c r="AN30" s="67" t="str">
        <f t="shared" si="19"/>
        <v/>
      </c>
      <c r="AO30" s="68"/>
      <c r="AP30" s="64">
        <v>49</v>
      </c>
      <c r="AQ30" s="52">
        <v>106650</v>
      </c>
      <c r="AR30" s="53">
        <f t="shared" si="20"/>
        <v>2176.5306122448978</v>
      </c>
      <c r="AS30" s="52">
        <v>57100</v>
      </c>
      <c r="AT30" s="54">
        <f t="shared" si="21"/>
        <v>1165.3061224489795</v>
      </c>
      <c r="AU30" s="54"/>
      <c r="AV30" s="54"/>
      <c r="AW30" s="69">
        <f t="shared" si="33"/>
        <v>163750</v>
      </c>
      <c r="AX30" s="67">
        <f t="shared" si="22"/>
        <v>3341.8367346938776</v>
      </c>
      <c r="AY30" s="82">
        <f t="shared" si="23"/>
        <v>33</v>
      </c>
      <c r="AZ30" s="59">
        <f t="shared" si="24"/>
        <v>282960</v>
      </c>
      <c r="BA30" s="59">
        <f t="shared" si="25"/>
        <v>89600</v>
      </c>
      <c r="BB30" s="71">
        <f t="shared" si="32"/>
        <v>372560</v>
      </c>
      <c r="BC30" s="72">
        <f>BG30+BH30</f>
        <v>8250</v>
      </c>
      <c r="BD30" s="73">
        <v>33</v>
      </c>
      <c r="BE30" s="74">
        <v>172590</v>
      </c>
      <c r="BF30" s="74">
        <v>32500</v>
      </c>
      <c r="BG30" s="75">
        <v>8250</v>
      </c>
      <c r="BH30" s="75"/>
      <c r="BI30" s="75"/>
      <c r="BJ30" s="75"/>
      <c r="BK30" s="76">
        <f t="shared" si="29"/>
        <v>213340</v>
      </c>
      <c r="BL30" s="47">
        <v>26</v>
      </c>
      <c r="BM30" s="77">
        <f t="shared" si="26"/>
        <v>213340</v>
      </c>
    </row>
    <row r="31" spans="2:67" ht="20" customHeight="1">
      <c r="B31" s="78">
        <f t="shared" si="27"/>
        <v>45562</v>
      </c>
      <c r="C31" s="79"/>
      <c r="D31" s="50"/>
      <c r="E31" s="51">
        <v>16</v>
      </c>
      <c r="F31" s="52">
        <v>50820</v>
      </c>
      <c r="G31" s="53">
        <f t="shared" si="0"/>
        <v>2887.5</v>
      </c>
      <c r="H31" s="52">
        <v>2140</v>
      </c>
      <c r="I31" s="53">
        <f t="shared" si="1"/>
        <v>121.5625</v>
      </c>
      <c r="J31" s="55">
        <f t="shared" si="2"/>
        <v>52960</v>
      </c>
      <c r="K31" s="56">
        <f t="shared" si="3"/>
        <v>3310</v>
      </c>
      <c r="L31" s="57"/>
      <c r="M31" s="58">
        <f t="shared" si="4"/>
        <v>2</v>
      </c>
      <c r="N31" s="59">
        <f t="shared" si="4"/>
        <v>20570</v>
      </c>
      <c r="O31" s="53">
        <f t="shared" si="5"/>
        <v>9350</v>
      </c>
      <c r="P31" s="59">
        <f t="shared" si="6"/>
        <v>2310</v>
      </c>
      <c r="Q31" s="53">
        <f t="shared" si="7"/>
        <v>1050</v>
      </c>
      <c r="R31" s="60">
        <f t="shared" si="8"/>
        <v>22880</v>
      </c>
      <c r="S31" s="56">
        <f t="shared" si="9"/>
        <v>11440</v>
      </c>
      <c r="T31" s="80">
        <f t="shared" si="10"/>
        <v>18</v>
      </c>
      <c r="U31" s="59">
        <f t="shared" si="10"/>
        <v>71390</v>
      </c>
      <c r="V31" s="59">
        <f t="shared" si="11"/>
        <v>4450</v>
      </c>
      <c r="W31" s="62">
        <f t="shared" si="12"/>
        <v>75840</v>
      </c>
      <c r="X31" s="81"/>
      <c r="Y31" s="63"/>
      <c r="Z31" s="64">
        <v>28</v>
      </c>
      <c r="AA31" s="52">
        <v>13540</v>
      </c>
      <c r="AB31" s="53">
        <f t="shared" si="13"/>
        <v>483.57142857142856</v>
      </c>
      <c r="AC31" s="52">
        <v>2270</v>
      </c>
      <c r="AD31" s="54">
        <f t="shared" si="14"/>
        <v>81.071428571428569</v>
      </c>
      <c r="AE31" s="65">
        <f t="shared" si="15"/>
        <v>15810</v>
      </c>
      <c r="AF31" s="56">
        <f t="shared" si="16"/>
        <v>564.64285714285711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8"/>
        <v>0</v>
      </c>
      <c r="AN31" s="67" t="str">
        <f t="shared" si="19"/>
        <v/>
      </c>
      <c r="AO31" s="68"/>
      <c r="AP31" s="64">
        <v>93</v>
      </c>
      <c r="AQ31" s="52">
        <v>161650</v>
      </c>
      <c r="AR31" s="53">
        <f t="shared" si="20"/>
        <v>1738.1720430107528</v>
      </c>
      <c r="AS31" s="52">
        <v>93900</v>
      </c>
      <c r="AT31" s="54">
        <f t="shared" si="21"/>
        <v>1009.6774193548387</v>
      </c>
      <c r="AU31" s="54"/>
      <c r="AV31" s="54"/>
      <c r="AW31" s="69">
        <f t="shared" si="33"/>
        <v>255550</v>
      </c>
      <c r="AX31" s="67">
        <f t="shared" si="22"/>
        <v>2747.8494623655915</v>
      </c>
      <c r="AY31" s="82">
        <f t="shared" si="23"/>
        <v>18</v>
      </c>
      <c r="AZ31" s="59">
        <f t="shared" si="24"/>
        <v>246580</v>
      </c>
      <c r="BA31" s="59">
        <f t="shared" si="25"/>
        <v>100620</v>
      </c>
      <c r="BB31" s="71">
        <f>W31+AE31+AM31+AW31-BN31</f>
        <v>347200</v>
      </c>
      <c r="BC31" s="72">
        <f t="shared" si="30"/>
        <v>0</v>
      </c>
      <c r="BD31" s="73">
        <v>18</v>
      </c>
      <c r="BE31" s="74">
        <v>71390</v>
      </c>
      <c r="BF31" s="74">
        <v>4450</v>
      </c>
      <c r="BG31" s="75"/>
      <c r="BH31" s="75"/>
      <c r="BI31" s="75"/>
      <c r="BJ31" s="75"/>
      <c r="BK31" s="76">
        <f t="shared" si="29"/>
        <v>75840</v>
      </c>
      <c r="BL31" s="47">
        <v>27</v>
      </c>
      <c r="BM31" s="77">
        <f t="shared" si="26"/>
        <v>75840</v>
      </c>
    </row>
    <row r="32" spans="2:67" ht="20" customHeight="1">
      <c r="B32" s="78">
        <f t="shared" si="27"/>
        <v>45563</v>
      </c>
      <c r="C32" s="79"/>
      <c r="D32" s="50"/>
      <c r="E32" s="51">
        <v>22</v>
      </c>
      <c r="F32" s="52">
        <v>105600</v>
      </c>
      <c r="G32" s="53">
        <f t="shared" si="0"/>
        <v>4363.636363636364</v>
      </c>
      <c r="H32" s="52">
        <v>23470</v>
      </c>
      <c r="I32" s="53">
        <f t="shared" si="1"/>
        <v>969.81818181818187</v>
      </c>
      <c r="J32" s="55">
        <f t="shared" si="2"/>
        <v>129070</v>
      </c>
      <c r="K32" s="56">
        <f t="shared" si="3"/>
        <v>5866.818181818182</v>
      </c>
      <c r="L32" s="57"/>
      <c r="M32" s="58">
        <f t="shared" si="4"/>
        <v>33</v>
      </c>
      <c r="N32" s="59">
        <f t="shared" si="4"/>
        <v>314360</v>
      </c>
      <c r="O32" s="53">
        <f t="shared" si="5"/>
        <v>8660.0303030303039</v>
      </c>
      <c r="P32" s="59">
        <f t="shared" si="6"/>
        <v>48620</v>
      </c>
      <c r="Q32" s="53">
        <f t="shared" si="7"/>
        <v>1339.3939393939395</v>
      </c>
      <c r="R32" s="60">
        <f t="shared" si="8"/>
        <v>362980</v>
      </c>
      <c r="S32" s="56">
        <f t="shared" si="9"/>
        <v>10999.39393939394</v>
      </c>
      <c r="T32" s="80">
        <f t="shared" si="10"/>
        <v>55</v>
      </c>
      <c r="U32" s="59">
        <f t="shared" si="10"/>
        <v>419960</v>
      </c>
      <c r="V32" s="59">
        <f t="shared" si="11"/>
        <v>72090</v>
      </c>
      <c r="W32" s="62">
        <f t="shared" si="12"/>
        <v>492050</v>
      </c>
      <c r="X32" s="81"/>
      <c r="Y32" s="63"/>
      <c r="Z32" s="64">
        <v>20</v>
      </c>
      <c r="AA32" s="52">
        <v>9890</v>
      </c>
      <c r="AB32" s="53">
        <f t="shared" si="13"/>
        <v>494.5</v>
      </c>
      <c r="AC32" s="52">
        <v>0</v>
      </c>
      <c r="AD32" s="54">
        <f t="shared" si="14"/>
        <v>0</v>
      </c>
      <c r="AE32" s="65">
        <f t="shared" si="15"/>
        <v>9890</v>
      </c>
      <c r="AF32" s="56">
        <f t="shared" si="16"/>
        <v>494.5</v>
      </c>
      <c r="AG32" s="66"/>
      <c r="AH32" s="64">
        <v>105</v>
      </c>
      <c r="AI32" s="52">
        <v>274050</v>
      </c>
      <c r="AJ32" s="53">
        <f t="shared" si="17"/>
        <v>2610</v>
      </c>
      <c r="AK32" s="52">
        <v>137025</v>
      </c>
      <c r="AL32" s="54">
        <f t="shared" si="18"/>
        <v>1305</v>
      </c>
      <c r="AM32" s="65">
        <f t="shared" si="28"/>
        <v>411075</v>
      </c>
      <c r="AN32" s="67">
        <f t="shared" si="19"/>
        <v>3915</v>
      </c>
      <c r="AO32" s="68"/>
      <c r="AP32" s="64">
        <v>81</v>
      </c>
      <c r="AQ32" s="52">
        <v>99200</v>
      </c>
      <c r="AR32" s="53">
        <f t="shared" si="20"/>
        <v>1224.6913580246915</v>
      </c>
      <c r="AS32" s="52">
        <v>87750</v>
      </c>
      <c r="AT32" s="54">
        <f t="shared" si="21"/>
        <v>1083.3333333333333</v>
      </c>
      <c r="AU32" s="54">
        <v>5940</v>
      </c>
      <c r="AV32" s="54"/>
      <c r="AW32" s="69">
        <f t="shared" si="33"/>
        <v>192890</v>
      </c>
      <c r="AX32" s="67">
        <f t="shared" si="22"/>
        <v>2381.358024691358</v>
      </c>
      <c r="AY32" s="82">
        <f t="shared" si="23"/>
        <v>55</v>
      </c>
      <c r="AZ32" s="59">
        <f>U32+AA32+AI32+AQ32</f>
        <v>803100</v>
      </c>
      <c r="BA32" s="59">
        <f t="shared" si="25"/>
        <v>296865</v>
      </c>
      <c r="BB32" s="71">
        <f>W32+AE32+AM32+AW32-BN32</f>
        <v>1105905</v>
      </c>
      <c r="BC32" s="72">
        <f>BG32+BH32</f>
        <v>14300</v>
      </c>
      <c r="BD32" s="73">
        <v>55</v>
      </c>
      <c r="BE32" s="74">
        <v>419960</v>
      </c>
      <c r="BF32" s="74">
        <v>72090</v>
      </c>
      <c r="BG32" s="75">
        <v>14300</v>
      </c>
      <c r="BH32" s="75"/>
      <c r="BI32" s="75"/>
      <c r="BJ32" s="75"/>
      <c r="BK32" s="76">
        <f>SUM(BE32:BH32)</f>
        <v>506350</v>
      </c>
      <c r="BL32" s="47">
        <v>28</v>
      </c>
    </row>
    <row r="33" spans="2:65" ht="20" customHeight="1">
      <c r="B33" s="78">
        <f t="shared" si="27"/>
        <v>45564</v>
      </c>
      <c r="C33" s="79"/>
      <c r="D33" s="50"/>
      <c r="E33" s="51">
        <v>32</v>
      </c>
      <c r="F33" s="52">
        <v>134420</v>
      </c>
      <c r="G33" s="53">
        <f t="shared" si="0"/>
        <v>3818.75</v>
      </c>
      <c r="H33" s="52">
        <v>21370</v>
      </c>
      <c r="I33" s="53">
        <f t="shared" si="1"/>
        <v>607.09375</v>
      </c>
      <c r="J33" s="55">
        <f t="shared" si="2"/>
        <v>155790</v>
      </c>
      <c r="K33" s="56">
        <f t="shared" si="3"/>
        <v>4868.4375</v>
      </c>
      <c r="L33" s="57"/>
      <c r="M33" s="58">
        <f t="shared" si="4"/>
        <v>4</v>
      </c>
      <c r="N33" s="59">
        <f t="shared" si="4"/>
        <v>36960</v>
      </c>
      <c r="O33" s="53">
        <f t="shared" si="5"/>
        <v>8400</v>
      </c>
      <c r="P33" s="59">
        <f t="shared" si="6"/>
        <v>17600</v>
      </c>
      <c r="Q33" s="53">
        <f t="shared" si="7"/>
        <v>4000</v>
      </c>
      <c r="R33" s="60">
        <f t="shared" si="8"/>
        <v>54560</v>
      </c>
      <c r="S33" s="56">
        <f t="shared" si="9"/>
        <v>13640</v>
      </c>
      <c r="T33" s="80">
        <f t="shared" si="10"/>
        <v>36</v>
      </c>
      <c r="U33" s="59">
        <f t="shared" si="10"/>
        <v>171380</v>
      </c>
      <c r="V33" s="59">
        <f t="shared" si="11"/>
        <v>38970</v>
      </c>
      <c r="W33" s="62">
        <f>J33+R33</f>
        <v>210350</v>
      </c>
      <c r="X33" s="81"/>
      <c r="Y33" s="63"/>
      <c r="Z33" s="64">
        <v>8</v>
      </c>
      <c r="AA33" s="52">
        <v>3640</v>
      </c>
      <c r="AB33" s="53">
        <f t="shared" si="13"/>
        <v>455</v>
      </c>
      <c r="AC33" s="52">
        <v>1040</v>
      </c>
      <c r="AD33" s="54">
        <f t="shared" si="14"/>
        <v>130</v>
      </c>
      <c r="AE33" s="65">
        <f t="shared" si="15"/>
        <v>4680</v>
      </c>
      <c r="AF33" s="56">
        <f t="shared" si="16"/>
        <v>585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8"/>
        <v>0</v>
      </c>
      <c r="AN33" s="67" t="str">
        <f t="shared" si="19"/>
        <v/>
      </c>
      <c r="AO33" s="68"/>
      <c r="AP33" s="64">
        <v>73</v>
      </c>
      <c r="AQ33" s="52">
        <v>147650</v>
      </c>
      <c r="AR33" s="53">
        <f t="shared" si="20"/>
        <v>2022.6027397260275</v>
      </c>
      <c r="AS33" s="52">
        <v>89150</v>
      </c>
      <c r="AT33" s="54">
        <f t="shared" si="21"/>
        <v>1221.2328767123288</v>
      </c>
      <c r="AU33" s="54"/>
      <c r="AV33" s="54"/>
      <c r="AW33" s="69">
        <f t="shared" si="33"/>
        <v>236800</v>
      </c>
      <c r="AX33" s="67">
        <f t="shared" si="22"/>
        <v>3243.8356164383563</v>
      </c>
      <c r="AY33" s="82">
        <f t="shared" si="23"/>
        <v>36</v>
      </c>
      <c r="AZ33" s="59">
        <f t="shared" si="24"/>
        <v>322670</v>
      </c>
      <c r="BA33" s="59">
        <f t="shared" si="25"/>
        <v>129160</v>
      </c>
      <c r="BB33" s="71">
        <f>W33+AE33+AM33+AW33-BN33</f>
        <v>451830</v>
      </c>
      <c r="BC33" s="72">
        <f t="shared" si="30"/>
        <v>3300</v>
      </c>
      <c r="BD33" s="73">
        <v>36</v>
      </c>
      <c r="BE33" s="74">
        <v>171380</v>
      </c>
      <c r="BF33" s="74">
        <v>38970</v>
      </c>
      <c r="BG33" s="75">
        <v>3300</v>
      </c>
      <c r="BH33" s="75"/>
      <c r="BI33" s="75"/>
      <c r="BJ33" s="75"/>
      <c r="BK33" s="76">
        <f t="shared" si="29"/>
        <v>213650</v>
      </c>
      <c r="BL33" s="47">
        <v>29</v>
      </c>
      <c r="BM33" s="77">
        <f t="shared" si="26"/>
        <v>213650</v>
      </c>
    </row>
    <row r="34" spans="2:65" ht="20" customHeight="1">
      <c r="B34" s="78">
        <f t="shared" si="27"/>
        <v>45565</v>
      </c>
      <c r="C34" s="79"/>
      <c r="D34" s="50"/>
      <c r="E34" s="51">
        <v>14</v>
      </c>
      <c r="F34" s="52">
        <v>54560</v>
      </c>
      <c r="G34" s="53">
        <f t="shared" si="0"/>
        <v>3542.8571428571427</v>
      </c>
      <c r="H34" s="52">
        <v>3060</v>
      </c>
      <c r="I34" s="53">
        <f t="shared" si="1"/>
        <v>198.64285714285714</v>
      </c>
      <c r="J34" s="55">
        <f t="shared" si="2"/>
        <v>57620</v>
      </c>
      <c r="K34" s="56">
        <f t="shared" si="3"/>
        <v>4115.7142857142853</v>
      </c>
      <c r="L34" s="57"/>
      <c r="M34" s="58">
        <f t="shared" si="4"/>
        <v>0</v>
      </c>
      <c r="N34" s="59">
        <f t="shared" si="4"/>
        <v>0</v>
      </c>
      <c r="O34" s="53" t="e">
        <f t="shared" si="5"/>
        <v>#DIV/0!</v>
      </c>
      <c r="P34" s="59">
        <f t="shared" si="6"/>
        <v>0</v>
      </c>
      <c r="Q34" s="53" t="e">
        <f t="shared" si="7"/>
        <v>#DIV/0!</v>
      </c>
      <c r="R34" s="60">
        <f t="shared" si="8"/>
        <v>0</v>
      </c>
      <c r="S34" s="56" t="e">
        <f t="shared" si="9"/>
        <v>#DIV/0!</v>
      </c>
      <c r="T34" s="80">
        <f t="shared" si="10"/>
        <v>14</v>
      </c>
      <c r="U34" s="59">
        <f t="shared" si="10"/>
        <v>54560</v>
      </c>
      <c r="V34" s="59">
        <f t="shared" si="11"/>
        <v>3060</v>
      </c>
      <c r="W34" s="62">
        <f t="shared" si="12"/>
        <v>57620</v>
      </c>
      <c r="X34" s="81"/>
      <c r="Y34" s="87"/>
      <c r="Z34" s="88">
        <v>4</v>
      </c>
      <c r="AA34" s="89">
        <v>1500</v>
      </c>
      <c r="AB34" s="53">
        <f t="shared" si="13"/>
        <v>375</v>
      </c>
      <c r="AC34" s="89">
        <v>1400</v>
      </c>
      <c r="AD34" s="54">
        <f t="shared" si="14"/>
        <v>350</v>
      </c>
      <c r="AE34" s="65">
        <f t="shared" si="15"/>
        <v>2900</v>
      </c>
      <c r="AF34" s="56">
        <f t="shared" si="16"/>
        <v>725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8"/>
        <v>0</v>
      </c>
      <c r="AN34" s="67" t="str">
        <f t="shared" si="19"/>
        <v/>
      </c>
      <c r="AO34" s="68"/>
      <c r="AP34" s="88">
        <v>46</v>
      </c>
      <c r="AQ34" s="89">
        <v>125200</v>
      </c>
      <c r="AR34" s="53">
        <f t="shared" si="20"/>
        <v>2721.7391304347825</v>
      </c>
      <c r="AS34" s="89">
        <v>58050</v>
      </c>
      <c r="AT34" s="54">
        <f t="shared" si="21"/>
        <v>1261.9565217391305</v>
      </c>
      <c r="AU34" s="54">
        <v>2970</v>
      </c>
      <c r="AV34" s="54"/>
      <c r="AW34" s="69">
        <f>AQ34+AS34+AU34+AV34-BN34</f>
        <v>186220</v>
      </c>
      <c r="AX34" s="67">
        <f t="shared" si="22"/>
        <v>4048.2608695652175</v>
      </c>
      <c r="AY34" s="82">
        <f t="shared" si="23"/>
        <v>14</v>
      </c>
      <c r="AZ34" s="59">
        <f t="shared" si="24"/>
        <v>181260</v>
      </c>
      <c r="BA34" s="59">
        <f t="shared" si="25"/>
        <v>62510</v>
      </c>
      <c r="BB34" s="71">
        <f>W34+AE34+AM34+AW34-BN34</f>
        <v>246740</v>
      </c>
      <c r="BC34" s="72">
        <f t="shared" si="30"/>
        <v>1100</v>
      </c>
      <c r="BD34" s="73">
        <v>14</v>
      </c>
      <c r="BE34" s="74">
        <v>54560</v>
      </c>
      <c r="BF34" s="74">
        <v>3060</v>
      </c>
      <c r="BG34" s="75">
        <v>1100</v>
      </c>
      <c r="BH34" s="75"/>
      <c r="BI34" s="75"/>
      <c r="BJ34" s="75"/>
      <c r="BK34" s="76">
        <f t="shared" si="29"/>
        <v>58720</v>
      </c>
      <c r="BL34" s="47">
        <v>30</v>
      </c>
      <c r="BM34" s="77">
        <f t="shared" si="26"/>
        <v>58720</v>
      </c>
    </row>
    <row r="35" spans="2:65" ht="20" customHeight="1" thickBot="1">
      <c r="B35" s="78"/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90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1">
        <f t="shared" si="10"/>
        <v>0</v>
      </c>
      <c r="U35" s="92">
        <f t="shared" si="10"/>
        <v>0</v>
      </c>
      <c r="V35" s="92">
        <f t="shared" si="11"/>
        <v>0</v>
      </c>
      <c r="W35" s="93">
        <f t="shared" si="12"/>
        <v>0</v>
      </c>
      <c r="X35" s="92"/>
      <c r="Y35" s="94"/>
      <c r="Z35" s="95"/>
      <c r="AA35" s="96"/>
      <c r="AB35" s="97" t="e">
        <f t="shared" si="13"/>
        <v>#DIV/0!</v>
      </c>
      <c r="AC35" s="96"/>
      <c r="AD35" s="98" t="e">
        <f t="shared" si="14"/>
        <v>#DIV/0!</v>
      </c>
      <c r="AE35" s="99">
        <f t="shared" si="15"/>
        <v>0</v>
      </c>
      <c r="AF35" s="56" t="str">
        <f t="shared" si="16"/>
        <v/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8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54"/>
      <c r="AW35" s="69">
        <f t="shared" si="33"/>
        <v>0</v>
      </c>
      <c r="AX35" s="67" t="str">
        <f t="shared" si="22"/>
        <v/>
      </c>
      <c r="AY35" s="102">
        <f t="shared" si="23"/>
        <v>0</v>
      </c>
      <c r="AZ35" s="59">
        <f t="shared" si="24"/>
        <v>0</v>
      </c>
      <c r="BA35" s="59">
        <f t="shared" si="25"/>
        <v>0</v>
      </c>
      <c r="BB35" s="71">
        <f>W35+AE35+AM35+AW35-BN35</f>
        <v>0</v>
      </c>
      <c r="BC35" s="72">
        <f t="shared" si="30"/>
        <v>0</v>
      </c>
      <c r="BD35" s="103"/>
      <c r="BE35" s="104"/>
      <c r="BF35" s="104"/>
      <c r="BG35" s="105"/>
      <c r="BH35" s="105"/>
      <c r="BI35" s="105"/>
      <c r="BJ35" s="105"/>
      <c r="BK35" s="76">
        <f t="shared" si="29"/>
        <v>0</v>
      </c>
      <c r="BL35" s="47">
        <v>31</v>
      </c>
      <c r="BM35" s="77">
        <f t="shared" si="26"/>
        <v>0</v>
      </c>
    </row>
    <row r="36" spans="2:65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742</v>
      </c>
      <c r="F36" s="110">
        <f>SUM(F5:F35)</f>
        <v>3043370</v>
      </c>
      <c r="G36" s="111">
        <f>F36/E36</f>
        <v>4101.5768194070079</v>
      </c>
      <c r="H36" s="107">
        <f>SUM(H5:H35)</f>
        <v>464650</v>
      </c>
      <c r="I36" s="112">
        <f>H36/E36</f>
        <v>626.21293800539081</v>
      </c>
      <c r="J36" s="113">
        <f>SUM(J5:J35)</f>
        <v>3508020</v>
      </c>
      <c r="K36" s="114">
        <f>J36/E36</f>
        <v>4727.789757412399</v>
      </c>
      <c r="L36" s="115">
        <f>SUM(L5:L35)</f>
        <v>0</v>
      </c>
      <c r="M36" s="109">
        <f>SUM(M5:M35)</f>
        <v>440</v>
      </c>
      <c r="N36" s="110">
        <f>SUM(N5:N35)</f>
        <v>4264100</v>
      </c>
      <c r="O36" s="111">
        <f>N36/M36</f>
        <v>9691.136363636364</v>
      </c>
      <c r="P36" s="116">
        <f>SUM(P5:P35)</f>
        <v>1097670</v>
      </c>
      <c r="Q36" s="112">
        <f>P36/M36</f>
        <v>2494.7045454545455</v>
      </c>
      <c r="R36" s="117">
        <f>SUM(R5:R35)</f>
        <v>5361770</v>
      </c>
      <c r="S36" s="118">
        <f>R36/M36</f>
        <v>12185.84090909091</v>
      </c>
      <c r="T36" s="109">
        <f t="shared" ref="T36:AA36" si="34">SUM(T5:T35)</f>
        <v>1182</v>
      </c>
      <c r="U36" s="116">
        <f t="shared" si="34"/>
        <v>7307470</v>
      </c>
      <c r="V36" s="116">
        <f t="shared" si="34"/>
        <v>1562320</v>
      </c>
      <c r="W36" s="113">
        <f>SUM(W5:W35)</f>
        <v>8869790</v>
      </c>
      <c r="X36" s="119">
        <f t="shared" si="34"/>
        <v>0</v>
      </c>
      <c r="Y36" s="108">
        <f t="shared" si="34"/>
        <v>0</v>
      </c>
      <c r="Z36" s="109">
        <f t="shared" si="34"/>
        <v>449</v>
      </c>
      <c r="AA36" s="111">
        <f t="shared" si="34"/>
        <v>214151</v>
      </c>
      <c r="AB36" s="111">
        <f>AA36/Z36</f>
        <v>476.9510022271715</v>
      </c>
      <c r="AC36" s="107">
        <f>SUM(AC5:AC35)</f>
        <v>63481</v>
      </c>
      <c r="AD36" s="112">
        <f>AC36/Z36</f>
        <v>141.38307349665925</v>
      </c>
      <c r="AE36" s="117">
        <f>SUM(AE5:AE35)</f>
        <v>277632</v>
      </c>
      <c r="AF36" s="120">
        <f>AE36/Z36</f>
        <v>618.33407572383078</v>
      </c>
      <c r="AG36" s="121">
        <f t="shared" ref="AG36:AI36" si="35">SUM(AG5:AG35)</f>
        <v>0</v>
      </c>
      <c r="AH36" s="109">
        <f t="shared" si="35"/>
        <v>245</v>
      </c>
      <c r="AI36" s="111">
        <f t="shared" si="35"/>
        <v>689040</v>
      </c>
      <c r="AJ36" s="111"/>
      <c r="AK36" s="107">
        <f>SUM(AK5:AK35)</f>
        <v>366475</v>
      </c>
      <c r="AL36" s="112"/>
      <c r="AM36" s="117">
        <f>SUM(AM5:AM35)</f>
        <v>1055515</v>
      </c>
      <c r="AN36" s="122">
        <f>AM36/AH36</f>
        <v>4308.2244897959181</v>
      </c>
      <c r="AO36" s="123">
        <f t="shared" ref="AO36:AQ36" si="36">SUM(AO5:AO35)</f>
        <v>0</v>
      </c>
      <c r="AP36" s="109">
        <f t="shared" si="36"/>
        <v>3606</v>
      </c>
      <c r="AQ36" s="111">
        <f t="shared" si="36"/>
        <v>8305250</v>
      </c>
      <c r="AR36" s="111"/>
      <c r="AS36" s="107">
        <f>SUM(AS5:AS35)</f>
        <v>5137660</v>
      </c>
      <c r="AT36" s="112"/>
      <c r="AU36" s="107">
        <f>SUM(AU5:AU35)</f>
        <v>140030</v>
      </c>
      <c r="AV36" s="107">
        <f>SUM(AV5:AV35)</f>
        <v>2970</v>
      </c>
      <c r="AW36" s="117">
        <f>SUM(AW5:AW35)</f>
        <v>13579110</v>
      </c>
      <c r="AX36" s="122">
        <f>AW36/AP36</f>
        <v>3765.6988352745425</v>
      </c>
      <c r="AY36" s="124">
        <f t="shared" ref="AY36:BK36" si="37">SUM(AY5:AY35)</f>
        <v>1182</v>
      </c>
      <c r="AZ36" s="116">
        <f t="shared" si="37"/>
        <v>16515911</v>
      </c>
      <c r="BA36" s="116">
        <f t="shared" si="37"/>
        <v>7129936</v>
      </c>
      <c r="BB36" s="117">
        <f>SUM(BB5:BB35)</f>
        <v>23774919</v>
      </c>
      <c r="BC36" s="125">
        <f t="shared" si="37"/>
        <v>112750</v>
      </c>
      <c r="BD36" s="126">
        <f t="shared" si="37"/>
        <v>1182</v>
      </c>
      <c r="BE36" s="126">
        <f t="shared" si="37"/>
        <v>7307470</v>
      </c>
      <c r="BF36" s="126">
        <f t="shared" si="37"/>
        <v>1562320</v>
      </c>
      <c r="BG36" s="126">
        <f t="shared" si="37"/>
        <v>112750</v>
      </c>
      <c r="BH36" s="126">
        <f t="shared" si="37"/>
        <v>0</v>
      </c>
      <c r="BI36" s="126">
        <f t="shared" si="37"/>
        <v>17200</v>
      </c>
      <c r="BJ36" s="126">
        <f t="shared" si="37"/>
        <v>19800</v>
      </c>
      <c r="BK36" s="127">
        <f t="shared" si="37"/>
        <v>8982540</v>
      </c>
      <c r="BM36" s="129">
        <f>SUM(BM5:BM35)</f>
        <v>8495990</v>
      </c>
    </row>
    <row r="37" spans="2:65" s="128" customFormat="1" ht="18">
      <c r="B37" s="130"/>
      <c r="E37" s="131" t="s">
        <v>42</v>
      </c>
      <c r="F37" s="132">
        <f>F36/1.1</f>
        <v>2766700</v>
      </c>
      <c r="G37" s="133">
        <f>F37/E36</f>
        <v>3728.7061994609167</v>
      </c>
      <c r="H37" s="134">
        <f>H36/1.1</f>
        <v>422409.09090909088</v>
      </c>
      <c r="I37" s="133">
        <f>H37/E36</f>
        <v>569.28448909580982</v>
      </c>
      <c r="J37" s="135">
        <f>J36/1.1</f>
        <v>3189109.0909090908</v>
      </c>
      <c r="K37" s="136">
        <f>G37+I37</f>
        <v>4297.9906885567261</v>
      </c>
      <c r="L37" s="137"/>
      <c r="M37" s="131" t="s">
        <v>42</v>
      </c>
      <c r="N37" s="132">
        <f>N36/1.1</f>
        <v>3876454.5454545449</v>
      </c>
      <c r="O37" s="133">
        <f>N37/M36</f>
        <v>8810.1239669421484</v>
      </c>
      <c r="P37" s="134">
        <f>P36/1.1</f>
        <v>997881.81818181812</v>
      </c>
      <c r="Q37" s="133">
        <f>P37/M36</f>
        <v>2267.9132231404956</v>
      </c>
      <c r="R37" s="133">
        <f>R36/1.1</f>
        <v>4874336.3636363633</v>
      </c>
      <c r="S37" s="138">
        <f>R37/M36</f>
        <v>11078.037190082643</v>
      </c>
      <c r="T37" s="131" t="s">
        <v>42</v>
      </c>
      <c r="U37" s="132">
        <f>U36/1.1</f>
        <v>6643154.5454545449</v>
      </c>
      <c r="V37" s="132">
        <f>V36/1.1</f>
        <v>1420290.9090909089</v>
      </c>
      <c r="W37" s="135">
        <f>W36/1.1</f>
        <v>8063445.4545454541</v>
      </c>
      <c r="X37" s="139"/>
      <c r="Y37" s="137"/>
      <c r="Z37" s="131" t="s">
        <v>42</v>
      </c>
      <c r="AA37" s="132">
        <f>AA36/1.1</f>
        <v>194682.72727272726</v>
      </c>
      <c r="AB37" s="134">
        <f>AA37/Z36</f>
        <v>433.59182020651951</v>
      </c>
      <c r="AC37" s="134">
        <f>AC36/1.1</f>
        <v>57709.999999999993</v>
      </c>
      <c r="AD37" s="134">
        <f>AC37/Z36</f>
        <v>128.53006681514475</v>
      </c>
      <c r="AE37" s="133">
        <f>AE36/1.1</f>
        <v>252392.72727272726</v>
      </c>
      <c r="AF37" s="140">
        <f>AE37/Z36</f>
        <v>562.12188702166429</v>
      </c>
      <c r="AG37" s="137"/>
      <c r="AH37" s="131" t="s">
        <v>42</v>
      </c>
      <c r="AI37" s="132">
        <f>AI36/1.1</f>
        <v>626400</v>
      </c>
      <c r="AJ37" s="134">
        <f>AI37/AH36</f>
        <v>2556.7346938775509</v>
      </c>
      <c r="AK37" s="134">
        <f>AK36/1.1</f>
        <v>333159.09090909088</v>
      </c>
      <c r="AL37" s="134">
        <f>AK37/AH36</f>
        <v>1359.8330241187382</v>
      </c>
      <c r="AM37" s="133">
        <f>AM36/1.1</f>
        <v>959559.09090909082</v>
      </c>
      <c r="AN37" s="141" t="e">
        <f>AM37/AG36</f>
        <v>#DIV/0!</v>
      </c>
      <c r="AO37" s="137"/>
      <c r="AP37" s="131" t="s">
        <v>42</v>
      </c>
      <c r="AQ37" s="132">
        <f>AQ36/1.1</f>
        <v>7550227.2727272725</v>
      </c>
      <c r="AR37" s="134">
        <f>AQ37/AP36</f>
        <v>2093.7956940452782</v>
      </c>
      <c r="AS37" s="134">
        <f>AS36/1.1</f>
        <v>4670600</v>
      </c>
      <c r="AT37" s="134">
        <f>AS37/AP36</f>
        <v>1295.2301719356628</v>
      </c>
      <c r="AU37" s="134">
        <f>AU36/1.1</f>
        <v>127299.99999999999</v>
      </c>
      <c r="AV37" s="134">
        <f>AV36/1.1</f>
        <v>2700</v>
      </c>
      <c r="AW37" s="133">
        <f>AW36/1.1</f>
        <v>12344645.454545453</v>
      </c>
      <c r="AX37" s="141">
        <f>AW37/AP36</f>
        <v>3423.3625775223109</v>
      </c>
      <c r="AY37" s="142" t="s">
        <v>42</v>
      </c>
      <c r="AZ37" s="132">
        <f>AZ36/1.1</f>
        <v>15014464.545454545</v>
      </c>
      <c r="BA37" s="132">
        <f>BA36/1.1</f>
        <v>6481759.9999999991</v>
      </c>
      <c r="BB37" s="133">
        <f>BB36/1.1</f>
        <v>21613562.727272727</v>
      </c>
      <c r="BC37" s="143">
        <f>BC36/1.1</f>
        <v>102499.99999999999</v>
      </c>
      <c r="BH37" s="144"/>
      <c r="BK37" s="145">
        <f>BK36/1.1</f>
        <v>8165945.4545454541</v>
      </c>
      <c r="BM37" s="145"/>
    </row>
    <row r="38" spans="2:65">
      <c r="C38" s="47">
        <v>30</v>
      </c>
      <c r="E38" s="146" t="s">
        <v>43</v>
      </c>
      <c r="F38" s="147">
        <f>E36/G38</f>
        <v>24.733333333333334</v>
      </c>
      <c r="G38" s="148">
        <v>30</v>
      </c>
      <c r="H38" s="147"/>
      <c r="I38" s="147"/>
      <c r="J38" s="149" t="s">
        <v>44</v>
      </c>
      <c r="K38" s="150">
        <f>J37/G38</f>
        <v>106303.63636363637</v>
      </c>
      <c r="M38" s="146" t="s">
        <v>43</v>
      </c>
      <c r="N38" s="147">
        <f>M36/O38</f>
        <v>14.666666666666666</v>
      </c>
      <c r="O38" s="148">
        <f>G38</f>
        <v>30</v>
      </c>
      <c r="P38" s="147"/>
      <c r="Q38" s="147"/>
      <c r="R38" s="149" t="s">
        <v>44</v>
      </c>
      <c r="S38" s="151">
        <f>R37/O38</f>
        <v>162477.87878787878</v>
      </c>
      <c r="U38" s="152">
        <f>O38</f>
        <v>30</v>
      </c>
      <c r="W38" s="85">
        <f>W37/U38</f>
        <v>268781.51515151514</v>
      </c>
      <c r="X38" s="77"/>
      <c r="AA38" s="153">
        <f>G38</f>
        <v>30</v>
      </c>
      <c r="AB38" s="147"/>
      <c r="AC38" s="147"/>
      <c r="AD38" s="147"/>
      <c r="AE38" s="147"/>
      <c r="AF38" s="150">
        <f>AE37/AA38</f>
        <v>8413.0909090909081</v>
      </c>
      <c r="AI38" s="153">
        <f>AA38</f>
        <v>30</v>
      </c>
      <c r="AJ38" s="147"/>
      <c r="AK38" s="147"/>
      <c r="AL38" s="147"/>
      <c r="AM38" s="147"/>
      <c r="AN38" s="150">
        <f>AM37/AI38</f>
        <v>31985.303030303028</v>
      </c>
      <c r="AQ38" s="153">
        <f>G38</f>
        <v>30</v>
      </c>
      <c r="AR38" s="147"/>
      <c r="AS38" s="147"/>
      <c r="AT38" s="147"/>
      <c r="AU38" s="147"/>
      <c r="AV38" s="147"/>
      <c r="AW38" s="147"/>
      <c r="AX38" s="150">
        <f>AW37/AQ38</f>
        <v>411488.18181818177</v>
      </c>
      <c r="BB38" s="85"/>
      <c r="BC38" s="77" t="e">
        <f>BB37/BD37</f>
        <v>#DIV/0!</v>
      </c>
      <c r="BD38" s="154">
        <f>AY36+T36</f>
        <v>2364</v>
      </c>
      <c r="BH38" s="85"/>
    </row>
    <row r="39" spans="2:65">
      <c r="D39" s="155" t="s">
        <v>45</v>
      </c>
      <c r="E39" s="156"/>
      <c r="F39" s="147"/>
      <c r="G39" s="157"/>
      <c r="H39" s="147"/>
      <c r="I39" s="147"/>
      <c r="J39" s="149"/>
      <c r="K39" s="150"/>
      <c r="L39" s="158" t="s">
        <v>46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47</v>
      </c>
      <c r="AA39" s="147"/>
      <c r="AB39" s="147"/>
      <c r="AC39" s="147"/>
      <c r="AD39" s="147"/>
      <c r="AE39" s="147"/>
      <c r="AF39" s="150"/>
      <c r="AG39" s="158" t="s">
        <v>48</v>
      </c>
      <c r="AI39" s="147"/>
      <c r="AJ39" s="147"/>
      <c r="AK39" s="147"/>
      <c r="AL39" s="147"/>
      <c r="AM39" s="147"/>
      <c r="AN39" s="150"/>
      <c r="AO39" s="158" t="s">
        <v>49</v>
      </c>
      <c r="AQ39" s="147"/>
      <c r="AR39" s="147"/>
      <c r="AS39" s="147"/>
      <c r="AT39" s="147"/>
      <c r="AU39" s="147"/>
      <c r="AV39" s="147"/>
      <c r="AW39" s="147"/>
      <c r="AX39" s="150"/>
      <c r="BB39" s="77">
        <f>BB36+BC36</f>
        <v>23887669</v>
      </c>
      <c r="BC39" s="159">
        <f>BB39/G38</f>
        <v>796255.6333333333</v>
      </c>
      <c r="BD39" s="47" t="s">
        <v>50</v>
      </c>
      <c r="BH39" s="85"/>
    </row>
    <row r="40" spans="2:65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BB40" s="161">
        <f>BB37+BC37</f>
        <v>21716062.727272727</v>
      </c>
    </row>
    <row r="41" spans="2:65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BB41" s="77"/>
      <c r="BC41" s="159">
        <f>BB40/G38</f>
        <v>723868.75757575757</v>
      </c>
      <c r="BD41" s="47" t="s">
        <v>51</v>
      </c>
      <c r="BE41" s="47">
        <v>9</v>
      </c>
    </row>
    <row r="42" spans="2:65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BE42" s="47">
        <v>8</v>
      </c>
      <c r="BF42" s="85">
        <f>AS37</f>
        <v>4670600</v>
      </c>
    </row>
    <row r="43" spans="2:65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BB43" s="85">
        <f>BB37+BC37</f>
        <v>21716062.727272727</v>
      </c>
      <c r="BC43" s="162" t="s">
        <v>52</v>
      </c>
      <c r="BE43" s="47">
        <v>7</v>
      </c>
      <c r="BF43" s="163">
        <f>'[1]2023(7)'!AS37</f>
        <v>15843636.363636361</v>
      </c>
      <c r="BG43" s="163">
        <v>6266320</v>
      </c>
      <c r="BH43" s="164">
        <f>BG43/BF43</f>
        <v>0.39551021344962134</v>
      </c>
    </row>
    <row r="44" spans="2:65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Z44" s="128"/>
      <c r="BA44" s="165" t="s">
        <v>53</v>
      </c>
      <c r="BB44" s="145">
        <f>J45+R45+AE45+BC44+AM45+AW45</f>
        <v>17831350</v>
      </c>
      <c r="BC44" s="166"/>
      <c r="BD44" s="128"/>
      <c r="BE44" s="47">
        <v>6</v>
      </c>
      <c r="BF44" s="163">
        <v>7119727</v>
      </c>
      <c r="BG44" s="163">
        <v>2680643</v>
      </c>
      <c r="BH44" s="164">
        <f t="shared" ref="BH44:BH45" si="38">BG44/BF44</f>
        <v>0.37650923975034434</v>
      </c>
      <c r="BI44" s="47" t="s">
        <v>54</v>
      </c>
    </row>
    <row r="45" spans="2:65" ht="21" customHeight="1">
      <c r="H45" s="167"/>
      <c r="I45" s="168" t="s">
        <v>55</v>
      </c>
      <c r="J45" s="145">
        <v>3733200</v>
      </c>
      <c r="K45" s="169" t="s">
        <v>56</v>
      </c>
      <c r="L45" s="128"/>
      <c r="M45" s="128"/>
      <c r="N45" s="128"/>
      <c r="O45" s="128"/>
      <c r="P45" s="128"/>
      <c r="Q45" s="168" t="s">
        <v>57</v>
      </c>
      <c r="R45" s="145">
        <v>5701350</v>
      </c>
      <c r="S45" s="169" t="s">
        <v>56</v>
      </c>
      <c r="T45" s="128">
        <v>10</v>
      </c>
      <c r="U45" s="128"/>
      <c r="V45" s="168" t="s">
        <v>58</v>
      </c>
      <c r="W45" s="145">
        <f>J45+R45</f>
        <v>9434550</v>
      </c>
      <c r="X45" s="169" t="s">
        <v>56</v>
      </c>
      <c r="Y45" s="128"/>
      <c r="Z45" s="128"/>
      <c r="AA45" s="128"/>
      <c r="AB45" s="128"/>
      <c r="AC45" s="128"/>
      <c r="AD45" s="167" t="s">
        <v>59</v>
      </c>
      <c r="AE45" s="145">
        <v>399600</v>
      </c>
      <c r="AF45" s="169" t="s">
        <v>56</v>
      </c>
      <c r="AG45" s="169"/>
      <c r="AH45" s="169"/>
      <c r="AI45" s="169"/>
      <c r="AJ45" s="169"/>
      <c r="AK45" s="128"/>
      <c r="AL45" s="168" t="s">
        <v>60</v>
      </c>
      <c r="AM45" s="145">
        <v>997200</v>
      </c>
      <c r="AN45" s="169" t="s">
        <v>56</v>
      </c>
      <c r="AO45" s="169"/>
      <c r="AP45" s="169"/>
      <c r="AQ45" s="169"/>
      <c r="AR45" s="169"/>
      <c r="AS45" s="128"/>
      <c r="AT45" s="168" t="s">
        <v>61</v>
      </c>
      <c r="AU45" s="168"/>
      <c r="AV45" s="168"/>
      <c r="AW45" s="145">
        <v>7000000</v>
      </c>
      <c r="AX45" s="169" t="s">
        <v>56</v>
      </c>
      <c r="AY45" s="128"/>
      <c r="AZ45" s="128"/>
      <c r="BA45" s="165" t="s">
        <v>62</v>
      </c>
      <c r="BB45" s="144">
        <f>BB44-BB37-BC37</f>
        <v>-3884712.7272727266</v>
      </c>
      <c r="BC45" s="144">
        <f>BC44-BC37</f>
        <v>-102499.99999999999</v>
      </c>
      <c r="BD45" s="170" t="e">
        <f>BC37/BC44</f>
        <v>#DIV/0!</v>
      </c>
      <c r="BE45" s="47">
        <v>5</v>
      </c>
      <c r="BF45" s="163">
        <v>637682</v>
      </c>
      <c r="BG45" s="163"/>
      <c r="BH45" s="164">
        <f t="shared" si="38"/>
        <v>0</v>
      </c>
      <c r="BI45" s="77" t="s">
        <v>63</v>
      </c>
      <c r="BM45" s="47"/>
    </row>
    <row r="46" spans="2:65" ht="21" customHeight="1">
      <c r="H46" s="167"/>
      <c r="I46" s="167" t="s">
        <v>62</v>
      </c>
      <c r="J46" s="144">
        <f>J45-J37</f>
        <v>544090.90909090918</v>
      </c>
      <c r="K46" s="171">
        <f>C38-G38</f>
        <v>0</v>
      </c>
      <c r="L46" s="128"/>
      <c r="M46" s="128"/>
      <c r="N46" s="128"/>
      <c r="O46" s="128"/>
      <c r="P46" s="128"/>
      <c r="Q46" s="167" t="s">
        <v>62</v>
      </c>
      <c r="R46" s="144">
        <f>R45-R37</f>
        <v>827013.6363636367</v>
      </c>
      <c r="S46" s="128">
        <f>K46</f>
        <v>0</v>
      </c>
      <c r="T46" s="128"/>
      <c r="U46" s="128"/>
      <c r="V46" s="167" t="s">
        <v>62</v>
      </c>
      <c r="W46" s="144">
        <f>W45-W37</f>
        <v>1371104.5454545459</v>
      </c>
      <c r="X46" s="128">
        <f>S46</f>
        <v>0</v>
      </c>
      <c r="Y46" s="128"/>
      <c r="Z46" s="128"/>
      <c r="AA46" s="128"/>
      <c r="AB46" s="128"/>
      <c r="AC46" s="128"/>
      <c r="AD46" s="167" t="s">
        <v>62</v>
      </c>
      <c r="AE46" s="144">
        <f>AE45-AE37</f>
        <v>147207.27272727274</v>
      </c>
      <c r="AF46" s="128">
        <f>K46</f>
        <v>0</v>
      </c>
      <c r="AG46" s="128"/>
      <c r="AH46" s="128"/>
      <c r="AI46" s="128"/>
      <c r="AJ46" s="128"/>
      <c r="AK46" s="128"/>
      <c r="AL46" s="167" t="s">
        <v>62</v>
      </c>
      <c r="AM46" s="144">
        <f>AM45-AM37</f>
        <v>37640.909090909176</v>
      </c>
      <c r="AN46" s="128">
        <f>AF46</f>
        <v>0</v>
      </c>
      <c r="AO46" s="128"/>
      <c r="AP46" s="128"/>
      <c r="AQ46" s="128"/>
      <c r="AR46" s="128"/>
      <c r="AS46" s="128"/>
      <c r="AT46" s="167" t="s">
        <v>62</v>
      </c>
      <c r="AU46" s="167"/>
      <c r="AV46" s="172"/>
      <c r="AW46" s="144">
        <f>AW45-AW37</f>
        <v>-5344645.4545454532</v>
      </c>
      <c r="AX46" s="128">
        <f>AN46</f>
        <v>0</v>
      </c>
      <c r="AY46" s="128"/>
      <c r="AZ46" s="173"/>
      <c r="BA46" s="174" t="s">
        <v>64</v>
      </c>
      <c r="BB46" s="175" t="e">
        <f>BB45/K46</f>
        <v>#DIV/0!</v>
      </c>
      <c r="BC46" s="176">
        <f>(BB37+BC37)/BB44</f>
        <v>1.2178585876713051</v>
      </c>
      <c r="BD46" s="173"/>
      <c r="BE46" s="177"/>
      <c r="BF46" s="178">
        <f>SUM(BF41:BF45)</f>
        <v>28271645.36363636</v>
      </c>
      <c r="BG46" s="179">
        <f>BK71</f>
        <v>9138052</v>
      </c>
      <c r="BH46" s="180">
        <f>BG46/BF46</f>
        <v>0.32322321118789826</v>
      </c>
      <c r="BI46" s="181">
        <f>BF46-BG46</f>
        <v>19133593.36363636</v>
      </c>
      <c r="BM46" s="47"/>
    </row>
    <row r="47" spans="2:65" s="177" customFormat="1" ht="26" customHeight="1">
      <c r="B47" s="182"/>
      <c r="H47" s="183"/>
      <c r="I47" s="174" t="s">
        <v>64</v>
      </c>
      <c r="J47" s="184" t="e">
        <f>J46/K46</f>
        <v>#DIV/0!</v>
      </c>
      <c r="K47" s="185">
        <f>J37/J45</f>
        <v>0.85425615849916714</v>
      </c>
      <c r="L47" s="173"/>
      <c r="M47" s="173"/>
      <c r="N47" s="173"/>
      <c r="O47" s="173"/>
      <c r="P47" s="173"/>
      <c r="Q47" s="174" t="s">
        <v>64</v>
      </c>
      <c r="R47" s="175" t="e">
        <f>R46/S46</f>
        <v>#DIV/0!</v>
      </c>
      <c r="S47" s="185">
        <f>R37/R45</f>
        <v>0.85494424366796695</v>
      </c>
      <c r="T47" s="173"/>
      <c r="U47" s="173"/>
      <c r="V47" s="174" t="s">
        <v>64</v>
      </c>
      <c r="W47" s="175" t="e">
        <f>W46/X46</f>
        <v>#DIV/0!</v>
      </c>
      <c r="X47" s="185">
        <f>W37/W45</f>
        <v>0.8546719721179552</v>
      </c>
      <c r="Y47" s="173"/>
      <c r="Z47" s="173"/>
      <c r="AA47" s="173"/>
      <c r="AB47" s="173"/>
      <c r="AC47" s="173"/>
      <c r="AD47" s="174" t="s">
        <v>64</v>
      </c>
      <c r="AE47" s="184" t="e">
        <f>AE46/AF46</f>
        <v>#DIV/0!</v>
      </c>
      <c r="AF47" s="185">
        <f>AE37/AE45</f>
        <v>0.63161343161343164</v>
      </c>
      <c r="AG47" s="185"/>
      <c r="AH47" s="185"/>
      <c r="AI47" s="185"/>
      <c r="AJ47" s="185"/>
      <c r="AK47" s="173"/>
      <c r="AL47" s="174" t="s">
        <v>64</v>
      </c>
      <c r="AM47" s="175" t="e">
        <f>AM46/AN46</f>
        <v>#DIV/0!</v>
      </c>
      <c r="AN47" s="185">
        <f>AM37/AM45</f>
        <v>0.96225340043029561</v>
      </c>
      <c r="AO47" s="185"/>
      <c r="AP47" s="185"/>
      <c r="AQ47" s="185"/>
      <c r="AR47" s="185"/>
      <c r="AS47" s="173"/>
      <c r="AT47" s="174" t="s">
        <v>64</v>
      </c>
      <c r="AU47" s="174"/>
      <c r="AV47" s="174" t="e">
        <f>AV46/AX46</f>
        <v>#DIV/0!</v>
      </c>
      <c r="AW47" s="175" t="e">
        <f>AW46/AX46</f>
        <v>#DIV/0!</v>
      </c>
      <c r="AX47" s="185">
        <f>AW37/AW45</f>
        <v>1.763520779220779</v>
      </c>
      <c r="AY47" s="173"/>
      <c r="AZ47" s="47"/>
      <c r="BA47" s="47"/>
      <c r="BB47" s="85"/>
      <c r="BC47" s="47"/>
      <c r="BD47" s="47"/>
      <c r="BE47" s="47"/>
      <c r="BI47" s="186"/>
      <c r="BK47" s="186"/>
    </row>
    <row r="48" spans="2:65">
      <c r="H48" s="47">
        <v>931</v>
      </c>
      <c r="I48" s="47">
        <f>H48/31</f>
        <v>30.032258064516128</v>
      </c>
      <c r="K48" s="47">
        <f>J45/31</f>
        <v>120425.80645161291</v>
      </c>
      <c r="P48" s="47">
        <v>557</v>
      </c>
      <c r="Q48" s="47">
        <f>P48/31</f>
        <v>17.967741935483872</v>
      </c>
      <c r="S48" s="47">
        <f>R45/31</f>
        <v>183914.51612903227</v>
      </c>
      <c r="AX48" s="47" t="e">
        <f>AW37/AV45</f>
        <v>#DIV/0!</v>
      </c>
      <c r="AZ48" s="187"/>
      <c r="BA48" s="187"/>
      <c r="BB48" s="187"/>
      <c r="BC48" s="187"/>
      <c r="BD48" s="187"/>
      <c r="BE48" s="187"/>
      <c r="BI48" s="77"/>
      <c r="BM48" s="47"/>
    </row>
    <row r="49" spans="2:63" s="187" customFormat="1" ht="24" customHeight="1">
      <c r="B49" s="188"/>
      <c r="I49" s="187" t="s">
        <v>65</v>
      </c>
      <c r="J49" s="189">
        <f>(I5+I8+I9+I10+I11+I12+I15+I16+I17+I18+I19+I22+I23+I24+I25+I26)/16</f>
        <v>628.92654789596395</v>
      </c>
      <c r="K49" s="187">
        <v>800000</v>
      </c>
      <c r="L49" s="190"/>
      <c r="M49" s="47"/>
      <c r="N49" s="47"/>
      <c r="O49" s="47"/>
      <c r="P49" s="47"/>
      <c r="Q49" s="47"/>
      <c r="R49" s="190">
        <v>400000</v>
      </c>
      <c r="AE49" s="187">
        <f>AE45/30</f>
        <v>13320</v>
      </c>
      <c r="AQ49" s="191">
        <f>AP14+AP21</f>
        <v>28</v>
      </c>
      <c r="AR49" s="192" t="e">
        <f>AR14+AR21</f>
        <v>#DIV/0!</v>
      </c>
      <c r="AS49" s="192" t="e">
        <f>AT14+AT21</f>
        <v>#DIV/0!</v>
      </c>
      <c r="AW49" s="187">
        <f>AW45/30</f>
        <v>233333.33333333334</v>
      </c>
      <c r="AZ49" s="1"/>
      <c r="BA49" s="1"/>
      <c r="BB49" s="1"/>
      <c r="BC49" s="1"/>
      <c r="BD49" s="193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4" t="s">
        <v>71</v>
      </c>
      <c r="BJ49" s="194" t="s">
        <v>72</v>
      </c>
      <c r="BK49" s="194" t="s">
        <v>73</v>
      </c>
    </row>
    <row r="50" spans="2:63" s="1" customFormat="1" ht="24" customHeight="1">
      <c r="B50" s="188"/>
      <c r="I50" s="1" t="s">
        <v>74</v>
      </c>
      <c r="J50" s="189">
        <f>(I6+I7+I13+I14+I20+I21+I27)/7</f>
        <v>486.00549758364883</v>
      </c>
      <c r="L50" s="195"/>
      <c r="M50" s="47"/>
      <c r="N50" s="47"/>
      <c r="O50" s="47"/>
      <c r="P50" s="47"/>
      <c r="Q50" s="47"/>
      <c r="R50" s="195"/>
      <c r="S50" s="195"/>
      <c r="Z50" s="196"/>
      <c r="AQ50" s="1">
        <f>AQ49/2</f>
        <v>14</v>
      </c>
      <c r="AR50" s="197" t="e">
        <f t="shared" ref="AR50:AS50" si="39">AR49/2</f>
        <v>#DIV/0!</v>
      </c>
      <c r="AS50" s="197" t="e">
        <f t="shared" si="39"/>
        <v>#DIV/0!</v>
      </c>
      <c r="AW50" s="1">
        <v>54000000</v>
      </c>
      <c r="AX50" s="224">
        <f>AW50-AW37</f>
        <v>41655354.545454547</v>
      </c>
      <c r="AZ50" s="187"/>
      <c r="BA50" s="187"/>
      <c r="BB50" s="187"/>
      <c r="BC50" s="187"/>
      <c r="BD50" s="193" t="s">
        <v>75</v>
      </c>
      <c r="BE50" s="198">
        <v>1800</v>
      </c>
      <c r="BF50" s="198">
        <v>21</v>
      </c>
      <c r="BG50" s="199">
        <v>0</v>
      </c>
      <c r="BH50" s="198"/>
      <c r="BI50" s="200">
        <f>BF50*BE50</f>
        <v>37800</v>
      </c>
      <c r="BJ50" s="200">
        <f>BE50*BG50</f>
        <v>0</v>
      </c>
      <c r="BK50" s="200">
        <f>BI50-BJ50</f>
        <v>37800</v>
      </c>
    </row>
    <row r="51" spans="2:63" s="187" customFormat="1" ht="24" customHeight="1">
      <c r="B51" s="188"/>
      <c r="K51" s="1"/>
      <c r="L51" s="195"/>
      <c r="M51" s="47"/>
      <c r="N51" s="47"/>
      <c r="O51" s="47"/>
      <c r="P51" s="47"/>
      <c r="Q51" s="47"/>
      <c r="R51" s="201"/>
      <c r="S51" s="202"/>
      <c r="T51" s="202"/>
      <c r="U51" s="202" t="s">
        <v>76</v>
      </c>
      <c r="V51" s="202"/>
      <c r="W51" s="203"/>
      <c r="X51" s="204"/>
      <c r="Y51" s="193"/>
      <c r="Z51" s="200"/>
      <c r="AX51" s="187" t="e">
        <f>AX50/AX46</f>
        <v>#DIV/0!</v>
      </c>
      <c r="BD51" s="193" t="s">
        <v>77</v>
      </c>
      <c r="BE51" s="198">
        <v>10800</v>
      </c>
      <c r="BF51" s="198">
        <v>640</v>
      </c>
      <c r="BG51" s="198">
        <v>20</v>
      </c>
      <c r="BH51" s="198"/>
      <c r="BI51" s="200">
        <f t="shared" ref="BI51:BI70" si="40">BE51*BF51</f>
        <v>6912000</v>
      </c>
      <c r="BJ51" s="200">
        <f t="shared" ref="BJ51:BJ70" si="41">BE51*BG51</f>
        <v>216000</v>
      </c>
      <c r="BK51" s="200">
        <f t="shared" ref="BK51:BK70" si="42">BI51-BJ51</f>
        <v>6696000</v>
      </c>
    </row>
    <row r="52" spans="2:63" s="187" customFormat="1" ht="24" customHeight="1">
      <c r="B52" s="188"/>
      <c r="K52" s="1"/>
      <c r="L52" s="195"/>
      <c r="M52" s="47"/>
      <c r="N52" s="47"/>
      <c r="O52" s="47"/>
      <c r="P52" s="47"/>
      <c r="Q52" s="47"/>
      <c r="R52" s="203"/>
      <c r="S52" s="202"/>
      <c r="T52" s="202"/>
      <c r="U52" s="205" t="s">
        <v>78</v>
      </c>
      <c r="V52" s="206" t="s">
        <v>79</v>
      </c>
      <c r="W52" s="207"/>
      <c r="X52" s="208" t="e">
        <f>W52/Y52</f>
        <v>#DIV/0!</v>
      </c>
      <c r="Y52" s="209">
        <f>W52+W53</f>
        <v>0</v>
      </c>
      <c r="Z52" s="210"/>
      <c r="AA52" s="210"/>
      <c r="BD52" s="193" t="s">
        <v>80</v>
      </c>
      <c r="BE52" s="198">
        <v>6120</v>
      </c>
      <c r="BF52" s="198">
        <v>40</v>
      </c>
      <c r="BG52" s="198">
        <v>4</v>
      </c>
      <c r="BH52" s="198"/>
      <c r="BI52" s="200">
        <f t="shared" si="40"/>
        <v>244800</v>
      </c>
      <c r="BJ52" s="200">
        <f t="shared" si="41"/>
        <v>24480</v>
      </c>
      <c r="BK52" s="200">
        <f t="shared" si="42"/>
        <v>220320</v>
      </c>
    </row>
    <row r="53" spans="2:63" s="187" customFormat="1" ht="24" customHeight="1">
      <c r="B53" s="188"/>
      <c r="K53" s="1"/>
      <c r="L53" s="195"/>
      <c r="M53" s="47"/>
      <c r="N53" s="47"/>
      <c r="O53" s="47"/>
      <c r="P53" s="47"/>
      <c r="Q53" s="47"/>
      <c r="R53" s="203"/>
      <c r="S53" s="202"/>
      <c r="T53" s="202"/>
      <c r="U53" s="205"/>
      <c r="V53" s="206" t="s">
        <v>81</v>
      </c>
      <c r="W53" s="207"/>
      <c r="X53" s="208" t="e">
        <f>W53/Y52</f>
        <v>#DIV/0!</v>
      </c>
      <c r="Y53" s="210"/>
      <c r="Z53" s="210"/>
      <c r="AA53" s="210"/>
      <c r="AU53" s="187">
        <v>4670600</v>
      </c>
      <c r="AV53" s="187">
        <v>19016645.454545453</v>
      </c>
      <c r="AW53" s="187">
        <v>16482254.545454545</v>
      </c>
      <c r="AX53" s="187">
        <v>6958118.1818181816</v>
      </c>
      <c r="BB53" s="187" t="s">
        <v>82</v>
      </c>
      <c r="BD53" s="193" t="s">
        <v>83</v>
      </c>
      <c r="BE53" s="198">
        <v>1780</v>
      </c>
      <c r="BF53" s="198">
        <v>24</v>
      </c>
      <c r="BG53" s="198">
        <v>4</v>
      </c>
      <c r="BH53" s="198"/>
      <c r="BI53" s="200">
        <f t="shared" si="40"/>
        <v>42720</v>
      </c>
      <c r="BJ53" s="200">
        <f t="shared" si="41"/>
        <v>7120</v>
      </c>
      <c r="BK53" s="200">
        <f t="shared" si="42"/>
        <v>35600</v>
      </c>
    </row>
    <row r="54" spans="2:63" s="187" customFormat="1" ht="24" customHeight="1">
      <c r="B54" s="188"/>
      <c r="K54" s="1"/>
      <c r="L54" s="195"/>
      <c r="M54" s="47"/>
      <c r="N54" s="47"/>
      <c r="O54" s="47"/>
      <c r="P54" s="47"/>
      <c r="Q54" s="47"/>
      <c r="R54" s="203"/>
      <c r="S54" s="202"/>
      <c r="T54" s="202"/>
      <c r="U54" s="211" t="s">
        <v>84</v>
      </c>
      <c r="V54" s="206" t="s">
        <v>79</v>
      </c>
      <c r="W54" s="207"/>
      <c r="X54" s="208" t="e">
        <f t="shared" ref="X54" si="43">W54/Y54</f>
        <v>#DIV/0!</v>
      </c>
      <c r="Y54" s="209">
        <f t="shared" ref="Y54" si="44">W54+W55</f>
        <v>0</v>
      </c>
      <c r="Z54" s="210"/>
      <c r="AA54" s="210"/>
      <c r="BD54" s="193" t="s">
        <v>85</v>
      </c>
      <c r="BE54" s="198">
        <v>1780</v>
      </c>
      <c r="BF54" s="198">
        <v>24</v>
      </c>
      <c r="BG54" s="198">
        <v>20</v>
      </c>
      <c r="BH54" s="198"/>
      <c r="BI54" s="200">
        <f t="shared" si="40"/>
        <v>42720</v>
      </c>
      <c r="BJ54" s="200">
        <f t="shared" si="41"/>
        <v>35600</v>
      </c>
      <c r="BK54" s="200">
        <f t="shared" si="42"/>
        <v>7120</v>
      </c>
    </row>
    <row r="55" spans="2:63" s="187" customFormat="1" ht="24" customHeight="1">
      <c r="B55" s="188"/>
      <c r="L55" s="190"/>
      <c r="M55" s="47"/>
      <c r="N55" s="47"/>
      <c r="O55" s="47"/>
      <c r="P55" s="47"/>
      <c r="Q55" s="47"/>
      <c r="R55" s="212"/>
      <c r="S55" s="202"/>
      <c r="T55" s="202"/>
      <c r="U55" s="211"/>
      <c r="V55" s="206" t="s">
        <v>81</v>
      </c>
      <c r="W55" s="207"/>
      <c r="X55" s="208" t="e">
        <f t="shared" ref="X55" si="45">W55/Y54</f>
        <v>#DIV/0!</v>
      </c>
      <c r="Y55" s="210"/>
      <c r="Z55" s="210"/>
      <c r="AA55" s="210"/>
      <c r="AZ55" s="47"/>
      <c r="BA55" s="47"/>
      <c r="BB55" s="47"/>
      <c r="BC55" s="47"/>
      <c r="BD55" s="193" t="s">
        <v>86</v>
      </c>
      <c r="BE55" s="213">
        <v>8190</v>
      </c>
      <c r="BF55" s="198">
        <v>13</v>
      </c>
      <c r="BG55" s="198">
        <v>4</v>
      </c>
      <c r="BH55" s="198"/>
      <c r="BI55" s="200">
        <f t="shared" si="40"/>
        <v>106470</v>
      </c>
      <c r="BJ55" s="200">
        <f t="shared" si="41"/>
        <v>32760</v>
      </c>
      <c r="BK55" s="200">
        <f t="shared" si="42"/>
        <v>73710</v>
      </c>
    </row>
    <row r="56" spans="2:63" ht="24" customHeight="1">
      <c r="U56" s="214" t="s">
        <v>2</v>
      </c>
      <c r="V56" s="215" t="s">
        <v>79</v>
      </c>
      <c r="W56" s="207"/>
      <c r="X56" s="208" t="e">
        <f t="shared" ref="X56:X58" si="46">W56/Y56</f>
        <v>#DIV/0!</v>
      </c>
      <c r="Y56" s="209">
        <f t="shared" ref="Y56" si="47">W56+W57</f>
        <v>0</v>
      </c>
      <c r="Z56" s="210"/>
      <c r="AA56" s="210"/>
      <c r="BD56" s="193" t="s">
        <v>87</v>
      </c>
      <c r="BE56" s="213">
        <v>5784</v>
      </c>
      <c r="BF56" s="213">
        <v>36</v>
      </c>
      <c r="BG56" s="213">
        <v>28</v>
      </c>
      <c r="BH56" s="213"/>
      <c r="BI56" s="200">
        <f t="shared" si="40"/>
        <v>208224</v>
      </c>
      <c r="BJ56" s="200">
        <f t="shared" si="41"/>
        <v>161952</v>
      </c>
      <c r="BK56" s="200">
        <f t="shared" si="42"/>
        <v>46272</v>
      </c>
    </row>
    <row r="57" spans="2:63" ht="24" customHeight="1">
      <c r="U57" s="214"/>
      <c r="V57" s="215" t="s">
        <v>81</v>
      </c>
      <c r="W57" s="207"/>
      <c r="X57" s="208" t="e">
        <f t="shared" ref="X57:X59" si="48">W57/Y56</f>
        <v>#DIV/0!</v>
      </c>
      <c r="Y57" s="210"/>
      <c r="Z57" s="210"/>
      <c r="AA57" s="210"/>
      <c r="BD57" s="193" t="s">
        <v>88</v>
      </c>
      <c r="BE57" s="213">
        <v>6775</v>
      </c>
      <c r="BF57" s="213">
        <v>12</v>
      </c>
      <c r="BG57" s="213">
        <v>11</v>
      </c>
      <c r="BH57" s="213"/>
      <c r="BI57" s="200">
        <f t="shared" si="40"/>
        <v>81300</v>
      </c>
      <c r="BJ57" s="200">
        <f t="shared" si="41"/>
        <v>74525</v>
      </c>
      <c r="BK57" s="200">
        <f t="shared" si="42"/>
        <v>6775</v>
      </c>
    </row>
    <row r="58" spans="2:63" ht="24" customHeight="1">
      <c r="U58" s="216" t="s">
        <v>89</v>
      </c>
      <c r="V58" s="215" t="s">
        <v>79</v>
      </c>
      <c r="W58" s="207"/>
      <c r="X58" s="208" t="e">
        <f t="shared" si="46"/>
        <v>#DIV/0!</v>
      </c>
      <c r="Y58" s="217">
        <f>SUM(Y52:AA56)</f>
        <v>0</v>
      </c>
      <c r="Z58" s="218"/>
      <c r="AA58" s="218"/>
      <c r="BD58" s="193" t="s">
        <v>90</v>
      </c>
      <c r="BE58" s="213">
        <v>1755</v>
      </c>
      <c r="BF58" s="213">
        <v>14</v>
      </c>
      <c r="BG58" s="213">
        <v>2</v>
      </c>
      <c r="BH58" s="213"/>
      <c r="BI58" s="200">
        <f t="shared" si="40"/>
        <v>24570</v>
      </c>
      <c r="BJ58" s="200">
        <f t="shared" si="41"/>
        <v>3510</v>
      </c>
      <c r="BK58" s="200">
        <f t="shared" si="42"/>
        <v>21060</v>
      </c>
    </row>
    <row r="59" spans="2:63" ht="24" customHeight="1">
      <c r="U59" s="216"/>
      <c r="V59" s="215" t="s">
        <v>81</v>
      </c>
      <c r="W59" s="207"/>
      <c r="X59" s="208" t="e">
        <f t="shared" si="48"/>
        <v>#DIV/0!</v>
      </c>
      <c r="Y59" s="218"/>
      <c r="Z59" s="218"/>
      <c r="AA59" s="218"/>
      <c r="BD59" s="193" t="s">
        <v>91</v>
      </c>
      <c r="BE59" s="213">
        <v>1755</v>
      </c>
      <c r="BF59" s="213">
        <v>10</v>
      </c>
      <c r="BG59" s="213">
        <v>0</v>
      </c>
      <c r="BH59" s="213"/>
      <c r="BI59" s="200">
        <f t="shared" si="40"/>
        <v>17550</v>
      </c>
      <c r="BJ59" s="200">
        <f t="shared" si="41"/>
        <v>0</v>
      </c>
      <c r="BK59" s="200">
        <f t="shared" si="42"/>
        <v>17550</v>
      </c>
    </row>
    <row r="60" spans="2:63" ht="24" customHeight="1">
      <c r="BD60" s="193" t="s">
        <v>92</v>
      </c>
      <c r="BE60" s="213">
        <v>1075</v>
      </c>
      <c r="BF60" s="213">
        <v>96</v>
      </c>
      <c r="BG60" s="213">
        <v>38</v>
      </c>
      <c r="BH60" s="213"/>
      <c r="BI60" s="200">
        <f t="shared" si="40"/>
        <v>103200</v>
      </c>
      <c r="BJ60" s="200">
        <f t="shared" si="41"/>
        <v>40850</v>
      </c>
      <c r="BK60" s="200">
        <f t="shared" si="42"/>
        <v>62350</v>
      </c>
    </row>
    <row r="61" spans="2:63" ht="24" customHeight="1">
      <c r="BD61" s="193" t="s">
        <v>93</v>
      </c>
      <c r="BE61" s="213">
        <v>3860</v>
      </c>
      <c r="BF61" s="213">
        <v>166</v>
      </c>
      <c r="BG61" s="213">
        <v>13</v>
      </c>
      <c r="BH61" s="213"/>
      <c r="BI61" s="200">
        <f t="shared" si="40"/>
        <v>640760</v>
      </c>
      <c r="BJ61" s="200">
        <f t="shared" si="41"/>
        <v>50180</v>
      </c>
      <c r="BK61" s="200">
        <f t="shared" si="42"/>
        <v>590580</v>
      </c>
    </row>
    <row r="62" spans="2:63" ht="24" customHeight="1">
      <c r="BD62" s="193" t="s">
        <v>94</v>
      </c>
      <c r="BE62" s="213">
        <v>6450</v>
      </c>
      <c r="BF62" s="213">
        <v>137</v>
      </c>
      <c r="BG62" s="213">
        <v>12</v>
      </c>
      <c r="BH62" s="213"/>
      <c r="BI62" s="200">
        <f t="shared" si="40"/>
        <v>883650</v>
      </c>
      <c r="BJ62" s="200">
        <f t="shared" si="41"/>
        <v>77400</v>
      </c>
      <c r="BK62" s="200">
        <f t="shared" si="42"/>
        <v>806250</v>
      </c>
    </row>
    <row r="63" spans="2:63" ht="24" customHeight="1">
      <c r="BD63" s="193" t="s">
        <v>95</v>
      </c>
      <c r="BE63" s="213">
        <v>1380</v>
      </c>
      <c r="BF63" s="213">
        <v>35</v>
      </c>
      <c r="BG63" s="213">
        <v>5</v>
      </c>
      <c r="BH63" s="213"/>
      <c r="BI63" s="200">
        <f t="shared" si="40"/>
        <v>48300</v>
      </c>
      <c r="BJ63" s="200">
        <f t="shared" si="41"/>
        <v>6900</v>
      </c>
      <c r="BK63" s="200">
        <f t="shared" si="42"/>
        <v>41400</v>
      </c>
    </row>
    <row r="64" spans="2:63" ht="24" customHeight="1">
      <c r="BD64" s="193" t="s">
        <v>96</v>
      </c>
      <c r="BE64" s="213">
        <v>1380</v>
      </c>
      <c r="BF64" s="213">
        <v>39</v>
      </c>
      <c r="BG64" s="213">
        <v>6</v>
      </c>
      <c r="BH64" s="213"/>
      <c r="BI64" s="200">
        <f t="shared" si="40"/>
        <v>53820</v>
      </c>
      <c r="BJ64" s="200">
        <f t="shared" si="41"/>
        <v>8280</v>
      </c>
      <c r="BK64" s="200">
        <f t="shared" si="42"/>
        <v>45540</v>
      </c>
    </row>
    <row r="65" spans="56:63" ht="24" customHeight="1">
      <c r="BD65" s="193" t="s">
        <v>97</v>
      </c>
      <c r="BE65" s="213">
        <v>160</v>
      </c>
      <c r="BF65" s="213">
        <v>594</v>
      </c>
      <c r="BG65" s="213">
        <v>53</v>
      </c>
      <c r="BH65" s="213"/>
      <c r="BI65" s="200">
        <f t="shared" si="40"/>
        <v>95040</v>
      </c>
      <c r="BJ65" s="200">
        <f t="shared" si="41"/>
        <v>8480</v>
      </c>
      <c r="BK65" s="200">
        <f t="shared" si="42"/>
        <v>86560</v>
      </c>
    </row>
    <row r="66" spans="56:63" ht="24" customHeight="1">
      <c r="BD66" s="193" t="s">
        <v>98</v>
      </c>
      <c r="BE66" s="213">
        <v>160</v>
      </c>
      <c r="BF66" s="213">
        <v>300</v>
      </c>
      <c r="BG66" s="213">
        <v>47</v>
      </c>
      <c r="BH66" s="213"/>
      <c r="BI66" s="200">
        <f t="shared" si="40"/>
        <v>48000</v>
      </c>
      <c r="BJ66" s="200">
        <f t="shared" si="41"/>
        <v>7520</v>
      </c>
      <c r="BK66" s="200">
        <f t="shared" si="42"/>
        <v>40480</v>
      </c>
    </row>
    <row r="67" spans="56:63" ht="24" customHeight="1">
      <c r="BD67" s="193" t="s">
        <v>99</v>
      </c>
      <c r="BE67" s="213">
        <v>205</v>
      </c>
      <c r="BF67" s="213">
        <v>366</v>
      </c>
      <c r="BG67" s="213">
        <v>49</v>
      </c>
      <c r="BH67" s="213"/>
      <c r="BI67" s="200">
        <f t="shared" si="40"/>
        <v>75030</v>
      </c>
      <c r="BJ67" s="200">
        <f t="shared" si="41"/>
        <v>10045</v>
      </c>
      <c r="BK67" s="200">
        <f t="shared" si="42"/>
        <v>64985</v>
      </c>
    </row>
    <row r="68" spans="56:63" ht="24" customHeight="1">
      <c r="BD68" s="193" t="s">
        <v>100</v>
      </c>
      <c r="BE68" s="213">
        <v>295</v>
      </c>
      <c r="BF68" s="213">
        <v>612</v>
      </c>
      <c r="BG68" s="213">
        <v>86</v>
      </c>
      <c r="BH68" s="213"/>
      <c r="BI68" s="200">
        <f t="shared" si="40"/>
        <v>180540</v>
      </c>
      <c r="BJ68" s="200">
        <f t="shared" si="41"/>
        <v>25370</v>
      </c>
      <c r="BK68" s="200">
        <f t="shared" si="42"/>
        <v>155170</v>
      </c>
    </row>
    <row r="69" spans="56:63" ht="24" customHeight="1">
      <c r="BD69" s="193" t="s">
        <v>101</v>
      </c>
      <c r="BE69" s="213">
        <v>70</v>
      </c>
      <c r="BF69" s="213">
        <v>480</v>
      </c>
      <c r="BG69" s="213">
        <v>71</v>
      </c>
      <c r="BH69" s="213"/>
      <c r="BI69" s="200">
        <f t="shared" si="40"/>
        <v>33600</v>
      </c>
      <c r="BJ69" s="200">
        <f t="shared" si="41"/>
        <v>4970</v>
      </c>
      <c r="BK69" s="200">
        <f t="shared" si="42"/>
        <v>28630</v>
      </c>
    </row>
    <row r="70" spans="56:63" ht="24" customHeight="1">
      <c r="BD70" s="193" t="s">
        <v>102</v>
      </c>
      <c r="BE70" s="213">
        <v>2450</v>
      </c>
      <c r="BF70" s="213">
        <v>31</v>
      </c>
      <c r="BG70" s="213">
        <v>9</v>
      </c>
      <c r="BH70" s="213"/>
      <c r="BI70" s="200">
        <f t="shared" si="40"/>
        <v>75950</v>
      </c>
      <c r="BJ70" s="200">
        <f t="shared" si="41"/>
        <v>22050</v>
      </c>
      <c r="BK70" s="200">
        <f t="shared" si="42"/>
        <v>53900</v>
      </c>
    </row>
    <row r="71" spans="56:63" ht="24" customHeight="1">
      <c r="BD71" s="193"/>
      <c r="BI71" s="219">
        <f>SUM(BI50:BI70)</f>
        <v>9956044</v>
      </c>
      <c r="BJ71" s="219">
        <f t="shared" ref="BJ71:BK71" si="49">SUM(BJ50:BJ70)</f>
        <v>817992</v>
      </c>
      <c r="BK71" s="219">
        <f t="shared" si="49"/>
        <v>9138052</v>
      </c>
    </row>
    <row r="72" spans="56:63" ht="24" customHeight="1">
      <c r="BD72" s="193"/>
    </row>
    <row r="73" spans="56:63" ht="24" customHeight="1">
      <c r="BD73" s="193"/>
    </row>
    <row r="74" spans="56:63" ht="24" customHeight="1">
      <c r="BD74" s="193"/>
    </row>
    <row r="75" spans="56:63" ht="24" customHeight="1">
      <c r="BD75" s="193"/>
    </row>
    <row r="76" spans="56:63" ht="24" customHeight="1">
      <c r="BD76" s="193"/>
    </row>
    <row r="77" spans="56:63" ht="24" customHeight="1">
      <c r="BD77" s="193"/>
    </row>
    <row r="78" spans="56:63" ht="24" customHeight="1">
      <c r="BD78" s="193"/>
    </row>
    <row r="79" spans="56:63" ht="24" customHeight="1">
      <c r="BD79" s="193"/>
    </row>
    <row r="80" spans="56:63" ht="24" customHeight="1">
      <c r="BD80" s="193"/>
    </row>
    <row r="81" spans="56:56" ht="24" customHeight="1">
      <c r="BD81" s="193"/>
    </row>
    <row r="82" spans="56:56" ht="24" customHeight="1">
      <c r="BD82" s="193"/>
    </row>
    <row r="83" spans="56:56" ht="24" customHeight="1">
      <c r="BD83" s="193"/>
    </row>
    <row r="84" spans="56:56" ht="24" customHeight="1">
      <c r="BD84" s="193"/>
    </row>
    <row r="85" spans="56:56" ht="24" customHeight="1">
      <c r="BD85" s="193"/>
    </row>
    <row r="86" spans="56:56" ht="24" customHeight="1">
      <c r="BD86" s="193"/>
    </row>
    <row r="87" spans="56:56" ht="24" customHeight="1">
      <c r="BD87" s="193"/>
    </row>
    <row r="88" spans="56:56" ht="24" customHeight="1">
      <c r="BD88" s="193"/>
    </row>
    <row r="89" spans="56:56" ht="24" customHeight="1">
      <c r="BD89" s="193"/>
    </row>
    <row r="90" spans="56:56" ht="24" customHeight="1">
      <c r="BD90" s="193"/>
    </row>
    <row r="91" spans="56:56" ht="24" customHeight="1">
      <c r="BD91" s="193"/>
    </row>
    <row r="92" spans="56:56" ht="24" customHeight="1">
      <c r="BD92" s="193"/>
    </row>
    <row r="93" spans="56:56" ht="24" customHeight="1">
      <c r="BD93" s="193"/>
    </row>
    <row r="94" spans="56:56" ht="24" customHeight="1">
      <c r="BD94" s="193"/>
    </row>
    <row r="95" spans="56:56" ht="24" customHeight="1">
      <c r="BD95" s="193"/>
    </row>
    <row r="96" spans="56:56" ht="24" customHeight="1">
      <c r="BD96" s="193"/>
    </row>
    <row r="97" spans="56:56" ht="24" customHeight="1">
      <c r="BD97" s="193"/>
    </row>
    <row r="98" spans="56:56" ht="24" customHeight="1">
      <c r="BD98" s="193"/>
    </row>
    <row r="99" spans="56:56" ht="24" customHeight="1">
      <c r="BD99" s="193"/>
    </row>
    <row r="100" spans="56:56" ht="24" customHeight="1">
      <c r="BD100" s="193"/>
    </row>
    <row r="101" spans="56:56" ht="24" customHeight="1">
      <c r="BD101" s="193"/>
    </row>
    <row r="102" spans="56:56" ht="24" customHeight="1">
      <c r="BD102" s="193"/>
    </row>
    <row r="103" spans="56:56" ht="24" customHeight="1">
      <c r="BD103" s="193"/>
    </row>
    <row r="104" spans="56:56" ht="24" customHeight="1">
      <c r="BD104" s="193"/>
    </row>
    <row r="105" spans="56:56" ht="24" customHeight="1">
      <c r="BD105" s="193"/>
    </row>
    <row r="106" spans="56:56" ht="24" customHeight="1">
      <c r="BD106" s="193"/>
    </row>
    <row r="107" spans="56:56" ht="24" customHeight="1">
      <c r="BD107" s="193"/>
    </row>
    <row r="108" spans="56:56" ht="24" customHeight="1">
      <c r="BD108" s="193"/>
    </row>
    <row r="109" spans="56:56" ht="24" customHeight="1">
      <c r="BD109" s="193"/>
    </row>
    <row r="110" spans="56:56" ht="24" customHeight="1">
      <c r="BD110" s="193"/>
    </row>
    <row r="111" spans="56:56" ht="24" customHeight="1">
      <c r="BD111" s="193"/>
    </row>
    <row r="112" spans="56:56" ht="24" customHeight="1">
      <c r="BD112" s="193"/>
    </row>
    <row r="113" spans="56:56" ht="24" customHeight="1">
      <c r="BD113" s="193"/>
    </row>
    <row r="114" spans="56:56" ht="24" customHeight="1">
      <c r="BD114" s="193"/>
    </row>
    <row r="115" spans="56:56" ht="24" customHeight="1">
      <c r="BD115" s="193"/>
    </row>
    <row r="116" spans="56:56" ht="24" customHeight="1">
      <c r="BD116" s="193"/>
    </row>
    <row r="117" spans="56:56" ht="24" customHeight="1">
      <c r="BD117" s="193"/>
    </row>
    <row r="118" spans="56:56" ht="24" customHeight="1">
      <c r="BD118" s="193"/>
    </row>
    <row r="119" spans="56:56" ht="24" customHeight="1">
      <c r="BD119" s="193"/>
    </row>
    <row r="120" spans="56:56" ht="24" customHeight="1">
      <c r="BD120" s="193"/>
    </row>
    <row r="121" spans="56:56" ht="24" customHeight="1">
      <c r="BD121" s="193"/>
    </row>
    <row r="122" spans="56:56" ht="24" customHeight="1">
      <c r="BD122" s="193"/>
    </row>
    <row r="123" spans="56:56" ht="24" customHeight="1">
      <c r="BD123" s="193"/>
    </row>
    <row r="124" spans="56:56" ht="24" customHeight="1">
      <c r="BD124" s="193"/>
    </row>
    <row r="125" spans="56:56" ht="24" customHeight="1">
      <c r="BD125" s="193"/>
    </row>
    <row r="126" spans="56:56" ht="24" customHeight="1">
      <c r="BD126" s="193"/>
    </row>
    <row r="127" spans="56:56" ht="24" customHeight="1">
      <c r="BD127" s="193"/>
    </row>
    <row r="128" spans="56:56" ht="24" customHeight="1">
      <c r="BD128" s="193"/>
    </row>
    <row r="129" spans="56:56" ht="24" customHeight="1">
      <c r="BD129" s="193"/>
    </row>
    <row r="130" spans="56:56" ht="24" customHeight="1">
      <c r="BD130" s="193"/>
    </row>
    <row r="131" spans="56:56" ht="24" customHeight="1">
      <c r="BD131" s="193"/>
    </row>
    <row r="132" spans="56:56" ht="24" customHeight="1">
      <c r="BD132" s="193"/>
    </row>
    <row r="133" spans="56:56" ht="24" customHeight="1">
      <c r="BD133" s="193"/>
    </row>
    <row r="134" spans="56:56" ht="24" customHeight="1">
      <c r="BD134" s="193"/>
    </row>
    <row r="135" spans="56:56" ht="24" customHeight="1">
      <c r="BD135" s="193"/>
    </row>
    <row r="136" spans="56:56" ht="24" customHeight="1">
      <c r="BD136" s="193"/>
    </row>
    <row r="137" spans="56:56" ht="24" customHeight="1">
      <c r="BD137" s="193"/>
    </row>
    <row r="138" spans="56:56" ht="24" customHeight="1">
      <c r="BD138" s="193"/>
    </row>
    <row r="139" spans="56:56" ht="24" customHeight="1">
      <c r="BD139" s="193"/>
    </row>
    <row r="140" spans="56:56" ht="24" customHeight="1">
      <c r="BD140" s="193"/>
    </row>
    <row r="141" spans="56:56" ht="24" customHeight="1">
      <c r="BD141" s="193"/>
    </row>
    <row r="142" spans="56:56" ht="24" customHeight="1">
      <c r="BD142" s="193"/>
    </row>
    <row r="143" spans="56:56" ht="24" customHeight="1">
      <c r="BD143" s="193"/>
    </row>
    <row r="144" spans="56:56" ht="24" customHeight="1">
      <c r="BD144" s="193"/>
    </row>
    <row r="145" spans="56:56" ht="24" customHeight="1">
      <c r="BD145" s="193"/>
    </row>
    <row r="146" spans="56:56" ht="24" customHeight="1">
      <c r="BD146" s="193"/>
    </row>
    <row r="147" spans="56:56" ht="24" customHeight="1">
      <c r="BD147" s="193"/>
    </row>
    <row r="148" spans="56:56" ht="24" customHeight="1">
      <c r="BD148" s="193"/>
    </row>
    <row r="149" spans="56:56" ht="24" customHeight="1">
      <c r="BD149" s="193"/>
    </row>
    <row r="150" spans="56:56" ht="24" customHeight="1">
      <c r="BD150" s="193"/>
    </row>
    <row r="151" spans="56:56" ht="24" customHeight="1">
      <c r="BD151" s="193"/>
    </row>
    <row r="152" spans="56:56" ht="24" customHeight="1">
      <c r="BD152" s="193"/>
    </row>
    <row r="153" spans="56:56" ht="24" customHeight="1">
      <c r="BD153" s="193"/>
    </row>
    <row r="154" spans="56:56" ht="24" customHeight="1">
      <c r="BD154" s="193"/>
    </row>
    <row r="155" spans="56:56" ht="24" customHeight="1">
      <c r="BD155" s="193"/>
    </row>
    <row r="156" spans="56:56" ht="24" customHeight="1">
      <c r="BD156" s="193"/>
    </row>
    <row r="157" spans="56:56" ht="24" customHeight="1">
      <c r="BD157" s="193"/>
    </row>
    <row r="158" spans="56:56" ht="24" customHeight="1">
      <c r="BD158" s="193"/>
    </row>
    <row r="159" spans="56:56" ht="24" customHeight="1">
      <c r="BD159" s="193"/>
    </row>
    <row r="160" spans="56:56" ht="24" customHeight="1">
      <c r="BD160" s="193"/>
    </row>
    <row r="161" spans="56:56" ht="24" customHeight="1">
      <c r="BD161" s="193"/>
    </row>
    <row r="162" spans="56:56" ht="24" customHeight="1">
      <c r="BD162" s="193"/>
    </row>
    <row r="163" spans="56:56" ht="24" customHeight="1">
      <c r="BD163" s="193"/>
    </row>
    <row r="164" spans="56:56" ht="24" customHeight="1">
      <c r="BD164" s="193"/>
    </row>
    <row r="165" spans="56:56" ht="24" customHeight="1">
      <c r="BD165" s="193"/>
    </row>
    <row r="166" spans="56:56" ht="24" customHeight="1">
      <c r="BD166" s="193"/>
    </row>
    <row r="167" spans="56:56" ht="24" customHeight="1">
      <c r="BD167" s="193"/>
    </row>
    <row r="168" spans="56:56" ht="24" customHeight="1">
      <c r="BD168" s="193"/>
    </row>
    <row r="169" spans="56:56" ht="24" customHeight="1">
      <c r="BD169" s="193"/>
    </row>
    <row r="170" spans="56:56" ht="24" customHeight="1">
      <c r="BD170" s="193"/>
    </row>
    <row r="171" spans="56:56" ht="24" customHeight="1">
      <c r="BD171" s="193"/>
    </row>
    <row r="172" spans="56:56" ht="24" customHeight="1">
      <c r="BD172" s="193"/>
    </row>
    <row r="173" spans="56:56" ht="24" customHeight="1">
      <c r="BD173" s="193"/>
    </row>
    <row r="174" spans="56:56" ht="24" customHeight="1">
      <c r="BD174" s="193"/>
    </row>
    <row r="175" spans="56:56" ht="24" customHeight="1">
      <c r="BD175" s="193"/>
    </row>
    <row r="176" spans="56:56" ht="24" customHeight="1">
      <c r="BD176" s="193"/>
    </row>
    <row r="177" spans="56:56" ht="24" customHeight="1">
      <c r="BD177" s="193"/>
    </row>
    <row r="178" spans="56:56" ht="24" customHeight="1">
      <c r="BD178" s="193"/>
    </row>
    <row r="179" spans="56:56" ht="24" customHeight="1">
      <c r="BD179" s="193"/>
    </row>
    <row r="180" spans="56:56" ht="24" customHeight="1">
      <c r="BD180" s="193"/>
    </row>
    <row r="181" spans="56:56" ht="24" customHeight="1">
      <c r="BD181" s="193"/>
    </row>
    <row r="182" spans="56:56" ht="24" customHeight="1">
      <c r="BD182" s="193"/>
    </row>
    <row r="183" spans="56:56" ht="24" customHeight="1">
      <c r="BD183" s="193"/>
    </row>
    <row r="184" spans="56:56">
      <c r="BD184" s="193"/>
    </row>
    <row r="185" spans="56:56">
      <c r="BD185" s="193"/>
    </row>
    <row r="186" spans="56:56">
      <c r="BD186" s="193"/>
    </row>
    <row r="187" spans="56:56">
      <c r="BD187" s="193"/>
    </row>
    <row r="188" spans="56:56">
      <c r="BD188" s="193"/>
    </row>
    <row r="189" spans="56:56">
      <c r="BD189" s="193"/>
    </row>
    <row r="190" spans="56:56">
      <c r="BD190" s="193"/>
    </row>
    <row r="191" spans="56:56">
      <c r="BD191" s="193"/>
    </row>
    <row r="192" spans="56:56">
      <c r="BD192" s="193"/>
    </row>
    <row r="193" spans="56:56">
      <c r="BD193" s="193"/>
    </row>
    <row r="194" spans="56:56">
      <c r="BD194" s="193"/>
    </row>
    <row r="195" spans="56:56">
      <c r="BD195" s="193"/>
    </row>
    <row r="196" spans="56:56">
      <c r="BD196" s="193"/>
    </row>
    <row r="197" spans="56:56">
      <c r="BD197" s="193"/>
    </row>
    <row r="198" spans="56:56">
      <c r="BD198" s="193"/>
    </row>
    <row r="199" spans="56:56">
      <c r="BD199" s="193"/>
    </row>
    <row r="200" spans="56:56">
      <c r="BD200" s="193"/>
    </row>
    <row r="201" spans="56:56">
      <c r="BD201" s="193"/>
    </row>
    <row r="202" spans="56:56">
      <c r="BD202" s="193"/>
    </row>
    <row r="203" spans="56:56">
      <c r="BD203" s="193"/>
    </row>
    <row r="204" spans="56:56">
      <c r="BD204" s="193"/>
    </row>
    <row r="205" spans="56:56">
      <c r="BD205" s="193"/>
    </row>
    <row r="206" spans="56:56">
      <c r="BD206" s="193"/>
    </row>
    <row r="207" spans="56:56">
      <c r="BD207" s="193"/>
    </row>
    <row r="208" spans="56:56">
      <c r="BD208" s="193"/>
    </row>
    <row r="209" spans="56:56">
      <c r="BD209" s="193"/>
    </row>
    <row r="210" spans="56:56">
      <c r="BD210" s="193"/>
    </row>
    <row r="211" spans="56:56">
      <c r="BD211" s="193"/>
    </row>
    <row r="212" spans="56:56">
      <c r="BD212" s="193"/>
    </row>
    <row r="213" spans="56:56">
      <c r="BD213" s="193"/>
    </row>
    <row r="214" spans="56:56">
      <c r="BD214" s="193"/>
    </row>
    <row r="215" spans="56:56">
      <c r="BD215" s="193"/>
    </row>
    <row r="216" spans="56:56">
      <c r="BD216" s="193"/>
    </row>
    <row r="217" spans="56:56">
      <c r="BD217" s="193"/>
    </row>
    <row r="218" spans="56:56">
      <c r="BD218" s="193"/>
    </row>
    <row r="219" spans="56:56">
      <c r="BD219" s="193"/>
    </row>
    <row r="220" spans="56:56">
      <c r="BD220" s="193"/>
    </row>
    <row r="221" spans="56:56">
      <c r="BD221" s="193"/>
    </row>
    <row r="222" spans="56:56">
      <c r="BD222" s="193"/>
    </row>
    <row r="223" spans="56:56">
      <c r="BD223" s="193"/>
    </row>
    <row r="224" spans="56:56">
      <c r="BD224" s="193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2024.07</vt:lpstr>
      <vt:lpstr>2024.08</vt:lpstr>
      <vt:lpstr>2024.09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2026-02-11T11:25:32Z</dcterms:created>
  <dcterms:modified xsi:type="dcterms:W3CDTF">2026-02-11T11:27:17Z</dcterms:modified>
</cp:coreProperties>
</file>