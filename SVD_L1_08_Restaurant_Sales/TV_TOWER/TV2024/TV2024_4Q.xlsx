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oshiiga/Desktop/"/>
    </mc:Choice>
  </mc:AlternateContent>
  <xr:revisionPtr revIDLastSave="0" documentId="8_{96B68A84-59AD-8043-B3A1-453FCA8AA43F}" xr6:coauthVersionLast="47" xr6:coauthVersionMax="47" xr10:uidLastSave="{00000000-0000-0000-0000-000000000000}"/>
  <bookViews>
    <workbookView xWindow="8320" yWindow="1860" windowWidth="28300" windowHeight="17360" activeTab="2" xr2:uid="{32371FFF-BF91-B44C-A123-7B6B48FFFCBF}"/>
  </bookViews>
  <sheets>
    <sheet name="2025.01" sheetId="1" r:id="rId1"/>
    <sheet name="2025.02" sheetId="2" r:id="rId2"/>
    <sheet name="2025.03" sheetId="3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3" l="1"/>
  <c r="H77" i="3"/>
  <c r="G77" i="3"/>
  <c r="F77" i="3"/>
  <c r="Q76" i="3"/>
  <c r="Q77" i="3" s="1"/>
  <c r="P76" i="3"/>
  <c r="P77" i="3" s="1"/>
  <c r="O76" i="3"/>
  <c r="O77" i="3" s="1"/>
  <c r="N76" i="3"/>
  <c r="N77" i="3" s="1"/>
  <c r="I76" i="3"/>
  <c r="H76" i="3"/>
  <c r="G76" i="3"/>
  <c r="F76" i="3"/>
  <c r="BJ70" i="3"/>
  <c r="BI70" i="3"/>
  <c r="BK70" i="3" s="1"/>
  <c r="BJ69" i="3"/>
  <c r="BK69" i="3" s="1"/>
  <c r="BI69" i="3"/>
  <c r="BJ68" i="3"/>
  <c r="BI68" i="3"/>
  <c r="BK68" i="3" s="1"/>
  <c r="BJ67" i="3"/>
  <c r="BI67" i="3"/>
  <c r="BK67" i="3" s="1"/>
  <c r="BJ66" i="3"/>
  <c r="BI66" i="3"/>
  <c r="BK66" i="3" s="1"/>
  <c r="BK65" i="3"/>
  <c r="BJ65" i="3"/>
  <c r="BI65" i="3"/>
  <c r="BJ64" i="3"/>
  <c r="BI64" i="3"/>
  <c r="BK64" i="3" s="1"/>
  <c r="BJ63" i="3"/>
  <c r="BI63" i="3"/>
  <c r="BK63" i="3" s="1"/>
  <c r="BJ62" i="3"/>
  <c r="BI62" i="3"/>
  <c r="BK62" i="3" s="1"/>
  <c r="BJ61" i="3"/>
  <c r="BK61" i="3" s="1"/>
  <c r="BI61" i="3"/>
  <c r="BJ60" i="3"/>
  <c r="BI60" i="3"/>
  <c r="BK60" i="3" s="1"/>
  <c r="BJ59" i="3"/>
  <c r="BI59" i="3"/>
  <c r="BK59" i="3" s="1"/>
  <c r="BJ58" i="3"/>
  <c r="BI58" i="3"/>
  <c r="Y58" i="3"/>
  <c r="BJ57" i="3"/>
  <c r="BI57" i="3"/>
  <c r="BK57" i="3" s="1"/>
  <c r="BJ56" i="3"/>
  <c r="BI56" i="3"/>
  <c r="BK56" i="3" s="1"/>
  <c r="Y56" i="3"/>
  <c r="X57" i="3" s="1"/>
  <c r="X56" i="3"/>
  <c r="BJ55" i="3"/>
  <c r="BK55" i="3" s="1"/>
  <c r="BI55" i="3"/>
  <c r="BJ54" i="3"/>
  <c r="BI54" i="3"/>
  <c r="BK54" i="3" s="1"/>
  <c r="Y54" i="3"/>
  <c r="X55" i="3" s="1"/>
  <c r="X54" i="3"/>
  <c r="BJ53" i="3"/>
  <c r="BI53" i="3"/>
  <c r="BK53" i="3" s="1"/>
  <c r="X53" i="3"/>
  <c r="BK52" i="3"/>
  <c r="BJ52" i="3"/>
  <c r="BI52" i="3"/>
  <c r="Y52" i="3"/>
  <c r="X52" i="3"/>
  <c r="BJ51" i="3"/>
  <c r="BI51" i="3"/>
  <c r="BK51" i="3" s="1"/>
  <c r="BJ50" i="3"/>
  <c r="BI50" i="3"/>
  <c r="AW49" i="3"/>
  <c r="AQ49" i="3"/>
  <c r="AQ50" i="3" s="1"/>
  <c r="AE49" i="3"/>
  <c r="S48" i="3"/>
  <c r="Q48" i="3"/>
  <c r="K48" i="3"/>
  <c r="I48" i="3"/>
  <c r="K46" i="3"/>
  <c r="AF46" i="3" s="1"/>
  <c r="AN46" i="3" s="1"/>
  <c r="AX46" i="3" s="1"/>
  <c r="AV47" i="3" s="1"/>
  <c r="BH45" i="3"/>
  <c r="BD45" i="3"/>
  <c r="W45" i="3"/>
  <c r="BH44" i="3"/>
  <c r="BB44" i="3"/>
  <c r="BF43" i="3"/>
  <c r="BH43" i="3" s="1"/>
  <c r="V41" i="3"/>
  <c r="AQ38" i="3"/>
  <c r="AA38" i="3"/>
  <c r="AI38" i="3" s="1"/>
  <c r="O38" i="3"/>
  <c r="U38" i="3" s="1"/>
  <c r="AQ37" i="3"/>
  <c r="AR37" i="3" s="1"/>
  <c r="H37" i="3"/>
  <c r="I37" i="3" s="1"/>
  <c r="F37" i="3"/>
  <c r="G37" i="3" s="1"/>
  <c r="K37" i="3" s="1"/>
  <c r="BJ36" i="3"/>
  <c r="BI36" i="3"/>
  <c r="BH36" i="3"/>
  <c r="BG36" i="3"/>
  <c r="BF36" i="3"/>
  <c r="BE36" i="3"/>
  <c r="BD36" i="3"/>
  <c r="AV36" i="3"/>
  <c r="AV37" i="3" s="1"/>
  <c r="AU36" i="3"/>
  <c r="AU37" i="3" s="1"/>
  <c r="AS36" i="3"/>
  <c r="AS37" i="3" s="1"/>
  <c r="AQ36" i="3"/>
  <c r="AP36" i="3"/>
  <c r="AO36" i="3"/>
  <c r="AK36" i="3"/>
  <c r="AK37" i="3" s="1"/>
  <c r="AL37" i="3" s="1"/>
  <c r="AI36" i="3"/>
  <c r="AI37" i="3" s="1"/>
  <c r="AJ37" i="3" s="1"/>
  <c r="AH36" i="3"/>
  <c r="AG36" i="3"/>
  <c r="AC36" i="3"/>
  <c r="AC37" i="3" s="1"/>
  <c r="AD37" i="3" s="1"/>
  <c r="AA36" i="3"/>
  <c r="AA37" i="3" s="1"/>
  <c r="AB37" i="3" s="1"/>
  <c r="Z36" i="3"/>
  <c r="Y36" i="3"/>
  <c r="X36" i="3"/>
  <c r="L36" i="3"/>
  <c r="H36" i="3"/>
  <c r="I36" i="3" s="1"/>
  <c r="F36" i="3"/>
  <c r="G36" i="3" s="1"/>
  <c r="E36" i="3"/>
  <c r="F38" i="3" s="1"/>
  <c r="D36" i="3"/>
  <c r="C36" i="3"/>
  <c r="BK35" i="3"/>
  <c r="BM35" i="3" s="1"/>
  <c r="BC35" i="3"/>
  <c r="AY35" i="3"/>
  <c r="AX35" i="3"/>
  <c r="AW35" i="3"/>
  <c r="AT35" i="3"/>
  <c r="AR35" i="3"/>
  <c r="AN35" i="3"/>
  <c r="AM35" i="3"/>
  <c r="AM36" i="3" s="1"/>
  <c r="AL35" i="3"/>
  <c r="AJ35" i="3"/>
  <c r="AF35" i="3"/>
  <c r="AE35" i="3"/>
  <c r="AD35" i="3"/>
  <c r="AB35" i="3"/>
  <c r="U35" i="3"/>
  <c r="AZ35" i="3" s="1"/>
  <c r="T35" i="3"/>
  <c r="P35" i="3"/>
  <c r="V35" i="3" s="1"/>
  <c r="BA35" i="3" s="1"/>
  <c r="N35" i="3"/>
  <c r="M35" i="3"/>
  <c r="O35" i="3" s="1"/>
  <c r="J35" i="3"/>
  <c r="K35" i="3" s="1"/>
  <c r="I35" i="3"/>
  <c r="G35" i="3"/>
  <c r="BK34" i="3"/>
  <c r="BM34" i="3" s="1"/>
  <c r="BC34" i="3"/>
  <c r="AY34" i="3"/>
  <c r="AX34" i="3"/>
  <c r="AW34" i="3"/>
  <c r="AT34" i="3"/>
  <c r="AR34" i="3"/>
  <c r="AN34" i="3"/>
  <c r="AM34" i="3"/>
  <c r="AL34" i="3"/>
  <c r="AJ34" i="3"/>
  <c r="AF34" i="3"/>
  <c r="AE34" i="3"/>
  <c r="AD34" i="3"/>
  <c r="AB34" i="3"/>
  <c r="U34" i="3"/>
  <c r="AZ34" i="3" s="1"/>
  <c r="T34" i="3"/>
  <c r="P34" i="3"/>
  <c r="O34" i="3"/>
  <c r="N34" i="3"/>
  <c r="M34" i="3"/>
  <c r="J34" i="3"/>
  <c r="I34" i="3"/>
  <c r="G34" i="3"/>
  <c r="BK33" i="3"/>
  <c r="BM33" i="3" s="1"/>
  <c r="BC33" i="3"/>
  <c r="AX33" i="3"/>
  <c r="AW33" i="3"/>
  <c r="AT33" i="3"/>
  <c r="AR33" i="3"/>
  <c r="AM33" i="3"/>
  <c r="AN33" i="3" s="1"/>
  <c r="AL33" i="3"/>
  <c r="AJ33" i="3"/>
  <c r="AF33" i="3"/>
  <c r="AE33" i="3"/>
  <c r="AD33" i="3"/>
  <c r="AB33" i="3"/>
  <c r="T33" i="3"/>
  <c r="P33" i="3"/>
  <c r="O33" i="3"/>
  <c r="N33" i="3"/>
  <c r="M33" i="3"/>
  <c r="AY33" i="3" s="1"/>
  <c r="J33" i="3"/>
  <c r="K33" i="3" s="1"/>
  <c r="I33" i="3"/>
  <c r="G33" i="3"/>
  <c r="BK32" i="3"/>
  <c r="BC32" i="3"/>
  <c r="AX32" i="3"/>
  <c r="AW32" i="3"/>
  <c r="AT32" i="3"/>
  <c r="AR32" i="3"/>
  <c r="AN32" i="3"/>
  <c r="AM32" i="3"/>
  <c r="AL32" i="3"/>
  <c r="AJ32" i="3"/>
  <c r="AE32" i="3"/>
  <c r="AF32" i="3" s="1"/>
  <c r="AD32" i="3"/>
  <c r="AB32" i="3"/>
  <c r="P32" i="3"/>
  <c r="V32" i="3" s="1"/>
  <c r="BA32" i="3" s="1"/>
  <c r="N32" i="3"/>
  <c r="M32" i="3"/>
  <c r="K32" i="3"/>
  <c r="J32" i="3"/>
  <c r="I32" i="3"/>
  <c r="G32" i="3"/>
  <c r="BK31" i="3"/>
  <c r="BM31" i="3" s="1"/>
  <c r="BC31" i="3"/>
  <c r="AX31" i="3"/>
  <c r="AW31" i="3"/>
  <c r="AT31" i="3"/>
  <c r="AR31" i="3"/>
  <c r="AN31" i="3"/>
  <c r="AM31" i="3"/>
  <c r="AL31" i="3"/>
  <c r="AJ31" i="3"/>
  <c r="AE31" i="3"/>
  <c r="AF31" i="3" s="1"/>
  <c r="AD31" i="3"/>
  <c r="AB31" i="3"/>
  <c r="P31" i="3"/>
  <c r="V31" i="3" s="1"/>
  <c r="BA31" i="3" s="1"/>
  <c r="N31" i="3"/>
  <c r="U31" i="3" s="1"/>
  <c r="AZ31" i="3" s="1"/>
  <c r="M31" i="3"/>
  <c r="AY31" i="3" s="1"/>
  <c r="K31" i="3"/>
  <c r="J31" i="3"/>
  <c r="I31" i="3"/>
  <c r="G31" i="3"/>
  <c r="BK30" i="3"/>
  <c r="BM30" i="3" s="1"/>
  <c r="BC30" i="3"/>
  <c r="AY30" i="3"/>
  <c r="AX30" i="3"/>
  <c r="AW30" i="3"/>
  <c r="AT30" i="3"/>
  <c r="AR30" i="3"/>
  <c r="AM30" i="3"/>
  <c r="AN30" i="3" s="1"/>
  <c r="AL30" i="3"/>
  <c r="AJ30" i="3"/>
  <c r="AE30" i="3"/>
  <c r="AF30" i="3" s="1"/>
  <c r="AD30" i="3"/>
  <c r="AB30" i="3"/>
  <c r="V30" i="3"/>
  <c r="BA30" i="3" s="1"/>
  <c r="P30" i="3"/>
  <c r="Q30" i="3" s="1"/>
  <c r="N30" i="3"/>
  <c r="U30" i="3" s="1"/>
  <c r="AZ30" i="3" s="1"/>
  <c r="M30" i="3"/>
  <c r="T30" i="3" s="1"/>
  <c r="J30" i="3"/>
  <c r="K30" i="3" s="1"/>
  <c r="I30" i="3"/>
  <c r="G30" i="3"/>
  <c r="BK29" i="3"/>
  <c r="BM29" i="3" s="1"/>
  <c r="BC29" i="3"/>
  <c r="AY29" i="3"/>
  <c r="AX29" i="3"/>
  <c r="AW29" i="3"/>
  <c r="AT29" i="3"/>
  <c r="AR29" i="3"/>
  <c r="AM29" i="3"/>
  <c r="AN29" i="3" s="1"/>
  <c r="AL29" i="3"/>
  <c r="AJ29" i="3"/>
  <c r="AE29" i="3"/>
  <c r="AF29" i="3" s="1"/>
  <c r="AD29" i="3"/>
  <c r="AB29" i="3"/>
  <c r="V29" i="3"/>
  <c r="BA29" i="3" s="1"/>
  <c r="U29" i="3"/>
  <c r="AZ29" i="3" s="1"/>
  <c r="P29" i="3"/>
  <c r="Q29" i="3" s="1"/>
  <c r="N29" i="3"/>
  <c r="R29" i="3" s="1"/>
  <c r="M29" i="3"/>
  <c r="T29" i="3" s="1"/>
  <c r="J29" i="3"/>
  <c r="K29" i="3" s="1"/>
  <c r="I29" i="3"/>
  <c r="G29" i="3"/>
  <c r="BF28" i="3"/>
  <c r="BK28" i="3" s="1"/>
  <c r="BM28" i="3" s="1"/>
  <c r="BC28" i="3"/>
  <c r="AX28" i="3"/>
  <c r="AW28" i="3"/>
  <c r="AT28" i="3"/>
  <c r="AR28" i="3"/>
  <c r="AK28" i="3"/>
  <c r="AM28" i="3" s="1"/>
  <c r="AN28" i="3" s="1"/>
  <c r="AJ28" i="3"/>
  <c r="AE28" i="3"/>
  <c r="AF28" i="3" s="1"/>
  <c r="AD28" i="3"/>
  <c r="AB28" i="3"/>
  <c r="V28" i="3"/>
  <c r="BA28" i="3" s="1"/>
  <c r="P28" i="3"/>
  <c r="Q28" i="3" s="1"/>
  <c r="N28" i="3"/>
  <c r="U28" i="3" s="1"/>
  <c r="AZ28" i="3" s="1"/>
  <c r="M28" i="3"/>
  <c r="T28" i="3" s="1"/>
  <c r="J28" i="3"/>
  <c r="K28" i="3" s="1"/>
  <c r="I28" i="3"/>
  <c r="G28" i="3"/>
  <c r="BK27" i="3"/>
  <c r="BM27" i="3" s="1"/>
  <c r="BC27" i="3"/>
  <c r="AY27" i="3"/>
  <c r="AX27" i="3"/>
  <c r="AW27" i="3"/>
  <c r="AT27" i="3"/>
  <c r="AR27" i="3"/>
  <c r="AN27" i="3"/>
  <c r="AM27" i="3"/>
  <c r="AL27" i="3"/>
  <c r="AJ27" i="3"/>
  <c r="AE27" i="3"/>
  <c r="AF27" i="3" s="1"/>
  <c r="AD27" i="3"/>
  <c r="AB27" i="3"/>
  <c r="W27" i="3"/>
  <c r="V27" i="3"/>
  <c r="BA27" i="3" s="1"/>
  <c r="U27" i="3"/>
  <c r="AZ27" i="3" s="1"/>
  <c r="P27" i="3"/>
  <c r="Q27" i="3" s="1"/>
  <c r="N27" i="3"/>
  <c r="R27" i="3" s="1"/>
  <c r="M27" i="3"/>
  <c r="T27" i="3" s="1"/>
  <c r="J27" i="3"/>
  <c r="K27" i="3" s="1"/>
  <c r="I27" i="3"/>
  <c r="G27" i="3"/>
  <c r="BK26" i="3"/>
  <c r="BM26" i="3" s="1"/>
  <c r="BC26" i="3"/>
  <c r="AY26" i="3"/>
  <c r="AX26" i="3"/>
  <c r="AW26" i="3"/>
  <c r="AT26" i="3"/>
  <c r="AR26" i="3"/>
  <c r="AM26" i="3"/>
  <c r="AN26" i="3" s="1"/>
  <c r="AL26" i="3"/>
  <c r="AJ26" i="3"/>
  <c r="AE26" i="3"/>
  <c r="AF26" i="3" s="1"/>
  <c r="AD26" i="3"/>
  <c r="AB26" i="3"/>
  <c r="V26" i="3"/>
  <c r="BA26" i="3" s="1"/>
  <c r="U26" i="3"/>
  <c r="AZ26" i="3" s="1"/>
  <c r="T26" i="3"/>
  <c r="P26" i="3"/>
  <c r="Q26" i="3" s="1"/>
  <c r="N26" i="3"/>
  <c r="R26" i="3" s="1"/>
  <c r="M26" i="3"/>
  <c r="J26" i="3"/>
  <c r="K26" i="3" s="1"/>
  <c r="I26" i="3"/>
  <c r="G26" i="3"/>
  <c r="BK25" i="3"/>
  <c r="BM25" i="3" s="1"/>
  <c r="BC25" i="3"/>
  <c r="AY25" i="3"/>
  <c r="AX25" i="3"/>
  <c r="AW25" i="3"/>
  <c r="AT25" i="3"/>
  <c r="AR25" i="3"/>
  <c r="AN25" i="3"/>
  <c r="AM25" i="3"/>
  <c r="AL25" i="3"/>
  <c r="AJ25" i="3"/>
  <c r="AE25" i="3"/>
  <c r="AF25" i="3" s="1"/>
  <c r="AD25" i="3"/>
  <c r="AB25" i="3"/>
  <c r="V25" i="3"/>
  <c r="BA25" i="3" s="1"/>
  <c r="U25" i="3"/>
  <c r="AZ25" i="3" s="1"/>
  <c r="T25" i="3"/>
  <c r="S25" i="3"/>
  <c r="P25" i="3"/>
  <c r="Q25" i="3" s="1"/>
  <c r="N25" i="3"/>
  <c r="R25" i="3" s="1"/>
  <c r="M25" i="3"/>
  <c r="J25" i="3"/>
  <c r="K25" i="3" s="1"/>
  <c r="I25" i="3"/>
  <c r="G25" i="3"/>
  <c r="BM24" i="3"/>
  <c r="BK24" i="3"/>
  <c r="BC24" i="3"/>
  <c r="AY24" i="3"/>
  <c r="AX24" i="3"/>
  <c r="AW24" i="3"/>
  <c r="AT24" i="3"/>
  <c r="AR24" i="3"/>
  <c r="AN24" i="3"/>
  <c r="AM24" i="3"/>
  <c r="AL24" i="3"/>
  <c r="AJ24" i="3"/>
  <c r="AE24" i="3"/>
  <c r="AF24" i="3" s="1"/>
  <c r="AD24" i="3"/>
  <c r="AB24" i="3"/>
  <c r="V24" i="3"/>
  <c r="BA24" i="3" s="1"/>
  <c r="U24" i="3"/>
  <c r="AZ24" i="3" s="1"/>
  <c r="T24" i="3"/>
  <c r="R24" i="3"/>
  <c r="S24" i="3" s="1"/>
  <c r="P24" i="3"/>
  <c r="Q24" i="3" s="1"/>
  <c r="N24" i="3"/>
  <c r="O24" i="3" s="1"/>
  <c r="M24" i="3"/>
  <c r="J24" i="3"/>
  <c r="K24" i="3" s="1"/>
  <c r="I24" i="3"/>
  <c r="G24" i="3"/>
  <c r="BK23" i="3"/>
  <c r="BM23" i="3" s="1"/>
  <c r="BC23" i="3"/>
  <c r="AY23" i="3"/>
  <c r="AX23" i="3"/>
  <c r="AW23" i="3"/>
  <c r="AT23" i="3"/>
  <c r="AR23" i="3"/>
  <c r="AN23" i="3"/>
  <c r="AM23" i="3"/>
  <c r="AL23" i="3"/>
  <c r="AJ23" i="3"/>
  <c r="AE23" i="3"/>
  <c r="AF23" i="3" s="1"/>
  <c r="AD23" i="3"/>
  <c r="AB23" i="3"/>
  <c r="V23" i="3"/>
  <c r="BA23" i="3" s="1"/>
  <c r="U23" i="3"/>
  <c r="AZ23" i="3" s="1"/>
  <c r="T23" i="3"/>
  <c r="R23" i="3"/>
  <c r="S23" i="3" s="1"/>
  <c r="Q23" i="3"/>
  <c r="P23" i="3"/>
  <c r="N23" i="3"/>
  <c r="O23" i="3" s="1"/>
  <c r="M23" i="3"/>
  <c r="J23" i="3"/>
  <c r="K23" i="3" s="1"/>
  <c r="I23" i="3"/>
  <c r="G23" i="3"/>
  <c r="BK22" i="3"/>
  <c r="BM22" i="3" s="1"/>
  <c r="BC22" i="3"/>
  <c r="AY22" i="3"/>
  <c r="AX22" i="3"/>
  <c r="AW22" i="3"/>
  <c r="AT22" i="3"/>
  <c r="AR22" i="3"/>
  <c r="AM22" i="3"/>
  <c r="AN22" i="3" s="1"/>
  <c r="AL22" i="3"/>
  <c r="AJ22" i="3"/>
  <c r="AE22" i="3"/>
  <c r="AF22" i="3" s="1"/>
  <c r="AD22" i="3"/>
  <c r="AB22" i="3"/>
  <c r="U22" i="3"/>
  <c r="AZ22" i="3" s="1"/>
  <c r="T22" i="3"/>
  <c r="R22" i="3"/>
  <c r="S22" i="3" s="1"/>
  <c r="Q22" i="3"/>
  <c r="P22" i="3"/>
  <c r="V22" i="3" s="1"/>
  <c r="BA22" i="3" s="1"/>
  <c r="N22" i="3"/>
  <c r="O22" i="3" s="1"/>
  <c r="M22" i="3"/>
  <c r="J22" i="3"/>
  <c r="K22" i="3" s="1"/>
  <c r="I22" i="3"/>
  <c r="G22" i="3"/>
  <c r="BK21" i="3"/>
  <c r="BM21" i="3" s="1"/>
  <c r="BC21" i="3"/>
  <c r="AY21" i="3"/>
  <c r="AX21" i="3"/>
  <c r="AW21" i="3"/>
  <c r="AT21" i="3"/>
  <c r="AR21" i="3"/>
  <c r="AM21" i="3"/>
  <c r="AN21" i="3" s="1"/>
  <c r="AL21" i="3"/>
  <c r="AJ21" i="3"/>
  <c r="AF21" i="3"/>
  <c r="AE21" i="3"/>
  <c r="AD21" i="3"/>
  <c r="AB21" i="3"/>
  <c r="U21" i="3"/>
  <c r="AZ21" i="3" s="1"/>
  <c r="T21" i="3"/>
  <c r="Q21" i="3"/>
  <c r="P21" i="3"/>
  <c r="O21" i="3"/>
  <c r="N21" i="3"/>
  <c r="M21" i="3"/>
  <c r="J21" i="3"/>
  <c r="K21" i="3" s="1"/>
  <c r="I21" i="3"/>
  <c r="G21" i="3"/>
  <c r="BK20" i="3"/>
  <c r="BM20" i="3" s="1"/>
  <c r="BC20" i="3"/>
  <c r="AY20" i="3"/>
  <c r="AX20" i="3"/>
  <c r="AW20" i="3"/>
  <c r="AT20" i="3"/>
  <c r="AR20" i="3"/>
  <c r="AN20" i="3"/>
  <c r="AM20" i="3"/>
  <c r="AL20" i="3"/>
  <c r="AJ20" i="3"/>
  <c r="AE20" i="3"/>
  <c r="AF20" i="3" s="1"/>
  <c r="AD20" i="3"/>
  <c r="AB20" i="3"/>
  <c r="T20" i="3"/>
  <c r="P20" i="3"/>
  <c r="N20" i="3"/>
  <c r="M20" i="3"/>
  <c r="J20" i="3"/>
  <c r="K20" i="3" s="1"/>
  <c r="I20" i="3"/>
  <c r="G20" i="3"/>
  <c r="BK19" i="3"/>
  <c r="BM19" i="3" s="1"/>
  <c r="BC19" i="3"/>
  <c r="BA19" i="3"/>
  <c r="AX19" i="3"/>
  <c r="AW19" i="3"/>
  <c r="AT19" i="3"/>
  <c r="AR19" i="3"/>
  <c r="AM19" i="3"/>
  <c r="AN19" i="3" s="1"/>
  <c r="AL19" i="3"/>
  <c r="AJ19" i="3"/>
  <c r="AE19" i="3"/>
  <c r="AF19" i="3" s="1"/>
  <c r="AD19" i="3"/>
  <c r="AB19" i="3"/>
  <c r="P19" i="3"/>
  <c r="V19" i="3" s="1"/>
  <c r="N19" i="3"/>
  <c r="O19" i="3" s="1"/>
  <c r="M19" i="3"/>
  <c r="M36" i="3" s="1"/>
  <c r="N38" i="3" s="1"/>
  <c r="J19" i="3"/>
  <c r="K19" i="3" s="1"/>
  <c r="I19" i="3"/>
  <c r="G19" i="3"/>
  <c r="BK18" i="3"/>
  <c r="BM18" i="3" s="1"/>
  <c r="BC18" i="3"/>
  <c r="AX18" i="3"/>
  <c r="AW18" i="3"/>
  <c r="AT18" i="3"/>
  <c r="AR18" i="3"/>
  <c r="AN18" i="3"/>
  <c r="AM18" i="3"/>
  <c r="AL18" i="3"/>
  <c r="AJ18" i="3"/>
  <c r="AE18" i="3"/>
  <c r="AF18" i="3" s="1"/>
  <c r="AD18" i="3"/>
  <c r="AB18" i="3"/>
  <c r="P18" i="3"/>
  <c r="V18" i="3" s="1"/>
  <c r="BA18" i="3" s="1"/>
  <c r="N18" i="3"/>
  <c r="M18" i="3"/>
  <c r="K18" i="3"/>
  <c r="J18" i="3"/>
  <c r="I18" i="3"/>
  <c r="G18" i="3"/>
  <c r="BK17" i="3"/>
  <c r="BM17" i="3" s="1"/>
  <c r="BC17" i="3"/>
  <c r="AX17" i="3"/>
  <c r="AW17" i="3"/>
  <c r="AT17" i="3"/>
  <c r="AR17" i="3"/>
  <c r="AN17" i="3"/>
  <c r="AM17" i="3"/>
  <c r="AL17" i="3"/>
  <c r="AJ17" i="3"/>
  <c r="AE17" i="3"/>
  <c r="AF17" i="3" s="1"/>
  <c r="AD17" i="3"/>
  <c r="AB17" i="3"/>
  <c r="P17" i="3"/>
  <c r="V17" i="3" s="1"/>
  <c r="BA17" i="3" s="1"/>
  <c r="N17" i="3"/>
  <c r="U17" i="3" s="1"/>
  <c r="AZ17" i="3" s="1"/>
  <c r="M17" i="3"/>
  <c r="J17" i="3"/>
  <c r="I17" i="3"/>
  <c r="G17" i="3"/>
  <c r="BK16" i="3"/>
  <c r="BM16" i="3" s="1"/>
  <c r="BC16" i="3"/>
  <c r="AY16" i="3"/>
  <c r="AX16" i="3"/>
  <c r="AW16" i="3"/>
  <c r="AT16" i="3"/>
  <c r="AR16" i="3"/>
  <c r="AN16" i="3"/>
  <c r="AM16" i="3"/>
  <c r="AL16" i="3"/>
  <c r="AJ16" i="3"/>
  <c r="AE16" i="3"/>
  <c r="AF16" i="3" s="1"/>
  <c r="AD16" i="3"/>
  <c r="AB16" i="3"/>
  <c r="V16" i="3"/>
  <c r="BA16" i="3" s="1"/>
  <c r="P16" i="3"/>
  <c r="Q16" i="3" s="1"/>
  <c r="N16" i="3"/>
  <c r="U16" i="3" s="1"/>
  <c r="AZ16" i="3" s="1"/>
  <c r="M16" i="3"/>
  <c r="T16" i="3" s="1"/>
  <c r="J16" i="3"/>
  <c r="I16" i="3"/>
  <c r="G16" i="3"/>
  <c r="BK15" i="3"/>
  <c r="BM15" i="3" s="1"/>
  <c r="BC15" i="3"/>
  <c r="AY15" i="3"/>
  <c r="AX15" i="3"/>
  <c r="AW15" i="3"/>
  <c r="AT15" i="3"/>
  <c r="AR15" i="3"/>
  <c r="AN15" i="3"/>
  <c r="AM15" i="3"/>
  <c r="AL15" i="3"/>
  <c r="AJ15" i="3"/>
  <c r="AF15" i="3"/>
  <c r="AE15" i="3"/>
  <c r="AD15" i="3"/>
  <c r="AB15" i="3"/>
  <c r="V15" i="3"/>
  <c r="BA15" i="3" s="1"/>
  <c r="U15" i="3"/>
  <c r="AZ15" i="3" s="1"/>
  <c r="P15" i="3"/>
  <c r="Q15" i="3" s="1"/>
  <c r="N15" i="3"/>
  <c r="R15" i="3" s="1"/>
  <c r="M15" i="3"/>
  <c r="T15" i="3" s="1"/>
  <c r="J15" i="3"/>
  <c r="K15" i="3" s="1"/>
  <c r="I15" i="3"/>
  <c r="J49" i="3" s="1"/>
  <c r="G15" i="3"/>
  <c r="BK14" i="3"/>
  <c r="BM14" i="3" s="1"/>
  <c r="BC14" i="3"/>
  <c r="AY14" i="3"/>
  <c r="AX14" i="3"/>
  <c r="AW14" i="3"/>
  <c r="AT14" i="3"/>
  <c r="AS49" i="3" s="1"/>
  <c r="AS50" i="3" s="1"/>
  <c r="AR14" i="3"/>
  <c r="AR49" i="3" s="1"/>
  <c r="AR50" i="3" s="1"/>
  <c r="AM14" i="3"/>
  <c r="AN14" i="3" s="1"/>
  <c r="AL14" i="3"/>
  <c r="AJ14" i="3"/>
  <c r="AE14" i="3"/>
  <c r="AF14" i="3" s="1"/>
  <c r="AD14" i="3"/>
  <c r="AB14" i="3"/>
  <c r="V14" i="3"/>
  <c r="BA14" i="3" s="1"/>
  <c r="U14" i="3"/>
  <c r="AZ14" i="3" s="1"/>
  <c r="T14" i="3"/>
  <c r="P14" i="3"/>
  <c r="Q14" i="3" s="1"/>
  <c r="N14" i="3"/>
  <c r="R14" i="3" s="1"/>
  <c r="W14" i="3" s="1"/>
  <c r="BB14" i="3" s="1"/>
  <c r="M14" i="3"/>
  <c r="S14" i="3" s="1"/>
  <c r="J14" i="3"/>
  <c r="K14" i="3" s="1"/>
  <c r="I14" i="3"/>
  <c r="G14" i="3"/>
  <c r="BK13" i="3"/>
  <c r="BM13" i="3" s="1"/>
  <c r="BC13" i="3"/>
  <c r="AX13" i="3"/>
  <c r="AW13" i="3"/>
  <c r="AT13" i="3"/>
  <c r="AR13" i="3"/>
  <c r="AN13" i="3"/>
  <c r="AM13" i="3"/>
  <c r="AL13" i="3"/>
  <c r="AJ13" i="3"/>
  <c r="AE13" i="3"/>
  <c r="AF13" i="3" s="1"/>
  <c r="AD13" i="3"/>
  <c r="AB13" i="3"/>
  <c r="V13" i="3"/>
  <c r="BA13" i="3" s="1"/>
  <c r="U13" i="3"/>
  <c r="AZ13" i="3" s="1"/>
  <c r="T13" i="3"/>
  <c r="P13" i="3"/>
  <c r="Q13" i="3" s="1"/>
  <c r="N13" i="3"/>
  <c r="R13" i="3" s="1"/>
  <c r="S13" i="3" s="1"/>
  <c r="M13" i="3"/>
  <c r="AY13" i="3" s="1"/>
  <c r="J13" i="3"/>
  <c r="W13" i="3" s="1"/>
  <c r="BB13" i="3" s="1"/>
  <c r="I13" i="3"/>
  <c r="J50" i="3" s="1"/>
  <c r="G13" i="3"/>
  <c r="BM12" i="3"/>
  <c r="BK12" i="3"/>
  <c r="BC12" i="3"/>
  <c r="AY12" i="3"/>
  <c r="AX12" i="3"/>
  <c r="AW12" i="3"/>
  <c r="AT12" i="3"/>
  <c r="AR12" i="3"/>
  <c r="AN12" i="3"/>
  <c r="AM12" i="3"/>
  <c r="AL12" i="3"/>
  <c r="AJ12" i="3"/>
  <c r="AE12" i="3"/>
  <c r="AF12" i="3" s="1"/>
  <c r="AD12" i="3"/>
  <c r="AB12" i="3"/>
  <c r="V12" i="3"/>
  <c r="BA12" i="3" s="1"/>
  <c r="U12" i="3"/>
  <c r="AZ12" i="3" s="1"/>
  <c r="T12" i="3"/>
  <c r="R12" i="3"/>
  <c r="S12" i="3" s="1"/>
  <c r="P12" i="3"/>
  <c r="Q12" i="3" s="1"/>
  <c r="N12" i="3"/>
  <c r="O12" i="3" s="1"/>
  <c r="M12" i="3"/>
  <c r="J12" i="3"/>
  <c r="K12" i="3" s="1"/>
  <c r="I12" i="3"/>
  <c r="G12" i="3"/>
  <c r="B12" i="3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K11" i="3"/>
  <c r="BM11" i="3" s="1"/>
  <c r="BC11" i="3"/>
  <c r="AY11" i="3"/>
  <c r="AX11" i="3"/>
  <c r="AW11" i="3"/>
  <c r="AT11" i="3"/>
  <c r="AR11" i="3"/>
  <c r="AN11" i="3"/>
  <c r="AM11" i="3"/>
  <c r="AL11" i="3"/>
  <c r="AJ11" i="3"/>
  <c r="AE11" i="3"/>
  <c r="AF11" i="3" s="1"/>
  <c r="AD11" i="3"/>
  <c r="AB11" i="3"/>
  <c r="V11" i="3"/>
  <c r="BA11" i="3" s="1"/>
  <c r="U11" i="3"/>
  <c r="AZ11" i="3" s="1"/>
  <c r="T11" i="3"/>
  <c r="R11" i="3"/>
  <c r="S11" i="3" s="1"/>
  <c r="Q11" i="3"/>
  <c r="P11" i="3"/>
  <c r="N11" i="3"/>
  <c r="O11" i="3" s="1"/>
  <c r="M11" i="3"/>
  <c r="J11" i="3"/>
  <c r="K11" i="3" s="1"/>
  <c r="I11" i="3"/>
  <c r="G11" i="3"/>
  <c r="BK10" i="3"/>
  <c r="BM10" i="3" s="1"/>
  <c r="BC10" i="3"/>
  <c r="AY10" i="3"/>
  <c r="AX10" i="3"/>
  <c r="AW10" i="3"/>
  <c r="AT10" i="3"/>
  <c r="AR10" i="3"/>
  <c r="AN10" i="3"/>
  <c r="AM10" i="3"/>
  <c r="AL10" i="3"/>
  <c r="AJ10" i="3"/>
  <c r="AE10" i="3"/>
  <c r="AF10" i="3" s="1"/>
  <c r="AD10" i="3"/>
  <c r="AB10" i="3"/>
  <c r="U10" i="3"/>
  <c r="AZ10" i="3" s="1"/>
  <c r="T10" i="3"/>
  <c r="P10" i="3"/>
  <c r="V10" i="3" s="1"/>
  <c r="BA10" i="3" s="1"/>
  <c r="N10" i="3"/>
  <c r="O10" i="3" s="1"/>
  <c r="M10" i="3"/>
  <c r="J10" i="3"/>
  <c r="K10" i="3" s="1"/>
  <c r="I10" i="3"/>
  <c r="G10" i="3"/>
  <c r="BK9" i="3"/>
  <c r="BM9" i="3" s="1"/>
  <c r="BC9" i="3"/>
  <c r="AY9" i="3"/>
  <c r="AX9" i="3"/>
  <c r="AW9" i="3"/>
  <c r="AT9" i="3"/>
  <c r="AR9" i="3"/>
  <c r="AM9" i="3"/>
  <c r="AN9" i="3" s="1"/>
  <c r="AL9" i="3"/>
  <c r="AJ9" i="3"/>
  <c r="AF9" i="3"/>
  <c r="AE9" i="3"/>
  <c r="AD9" i="3"/>
  <c r="AB9" i="3"/>
  <c r="U9" i="3"/>
  <c r="AZ9" i="3" s="1"/>
  <c r="T9" i="3"/>
  <c r="P9" i="3"/>
  <c r="Q9" i="3" s="1"/>
  <c r="O9" i="3"/>
  <c r="N9" i="3"/>
  <c r="M9" i="3"/>
  <c r="J9" i="3"/>
  <c r="I9" i="3"/>
  <c r="G9" i="3"/>
  <c r="BK8" i="3"/>
  <c r="BM8" i="3" s="1"/>
  <c r="BC8" i="3"/>
  <c r="AY8" i="3"/>
  <c r="AX8" i="3"/>
  <c r="AW8" i="3"/>
  <c r="AT8" i="3"/>
  <c r="AR8" i="3"/>
  <c r="AN8" i="3"/>
  <c r="AM8" i="3"/>
  <c r="AL8" i="3"/>
  <c r="AJ8" i="3"/>
  <c r="AE8" i="3"/>
  <c r="AF8" i="3" s="1"/>
  <c r="AD8" i="3"/>
  <c r="AB8" i="3"/>
  <c r="T8" i="3"/>
  <c r="P8" i="3"/>
  <c r="N8" i="3"/>
  <c r="M8" i="3"/>
  <c r="J8" i="3"/>
  <c r="K8" i="3" s="1"/>
  <c r="I8" i="3"/>
  <c r="G8" i="3"/>
  <c r="B8" i="3"/>
  <c r="B9" i="3" s="1"/>
  <c r="B10" i="3" s="1"/>
  <c r="B11" i="3" s="1"/>
  <c r="BK7" i="3"/>
  <c r="BM7" i="3" s="1"/>
  <c r="BC7" i="3"/>
  <c r="BC36" i="3" s="1"/>
  <c r="BC37" i="3" s="1"/>
  <c r="BC45" i="3" s="1"/>
  <c r="BA7" i="3"/>
  <c r="AX7" i="3"/>
  <c r="AW7" i="3"/>
  <c r="AT7" i="3"/>
  <c r="AR7" i="3"/>
  <c r="AN7" i="3"/>
  <c r="AM7" i="3"/>
  <c r="AL7" i="3"/>
  <c r="AJ7" i="3"/>
  <c r="AE7" i="3"/>
  <c r="AF7" i="3" s="1"/>
  <c r="AD7" i="3"/>
  <c r="AB7" i="3"/>
  <c r="P7" i="3"/>
  <c r="V7" i="3" s="1"/>
  <c r="N7" i="3"/>
  <c r="M7" i="3"/>
  <c r="J7" i="3"/>
  <c r="K7" i="3" s="1"/>
  <c r="I7" i="3"/>
  <c r="G7" i="3"/>
  <c r="B7" i="3"/>
  <c r="BK6" i="3"/>
  <c r="BM6" i="3" s="1"/>
  <c r="BC6" i="3"/>
  <c r="BA6" i="3"/>
  <c r="AX6" i="3"/>
  <c r="AW6" i="3"/>
  <c r="AT6" i="3"/>
  <c r="AR6" i="3"/>
  <c r="AN6" i="3"/>
  <c r="AM6" i="3"/>
  <c r="AL6" i="3"/>
  <c r="AJ6" i="3"/>
  <c r="AE6" i="3"/>
  <c r="AF6" i="3" s="1"/>
  <c r="AD6" i="3"/>
  <c r="AB6" i="3"/>
  <c r="P6" i="3"/>
  <c r="V6" i="3" s="1"/>
  <c r="N6" i="3"/>
  <c r="M6" i="3"/>
  <c r="K6" i="3"/>
  <c r="J6" i="3"/>
  <c r="I6" i="3"/>
  <c r="G6" i="3"/>
  <c r="B6" i="3"/>
  <c r="BK5" i="3"/>
  <c r="BC5" i="3"/>
  <c r="AY5" i="3"/>
  <c r="AX5" i="3"/>
  <c r="AW5" i="3"/>
  <c r="AT5" i="3"/>
  <c r="AR5" i="3"/>
  <c r="AN5" i="3"/>
  <c r="AM5" i="3"/>
  <c r="AL5" i="3"/>
  <c r="AJ5" i="3"/>
  <c r="AE5" i="3"/>
  <c r="AF5" i="3" s="1"/>
  <c r="AD5" i="3"/>
  <c r="AB5" i="3"/>
  <c r="W5" i="3"/>
  <c r="P5" i="3"/>
  <c r="V5" i="3" s="1"/>
  <c r="N5" i="3"/>
  <c r="R5" i="3" s="1"/>
  <c r="M5" i="3"/>
  <c r="J5" i="3"/>
  <c r="I5" i="3"/>
  <c r="G5" i="3"/>
  <c r="B5" i="3"/>
  <c r="I77" i="2"/>
  <c r="H77" i="2"/>
  <c r="G77" i="2"/>
  <c r="Q76" i="2"/>
  <c r="Q77" i="2" s="1"/>
  <c r="P76" i="2"/>
  <c r="P77" i="2" s="1"/>
  <c r="O76" i="2"/>
  <c r="O77" i="2" s="1"/>
  <c r="N76" i="2"/>
  <c r="N77" i="2" s="1"/>
  <c r="I76" i="2"/>
  <c r="H76" i="2"/>
  <c r="G76" i="2"/>
  <c r="F76" i="2"/>
  <c r="F77" i="2" s="1"/>
  <c r="BI71" i="2"/>
  <c r="BJ70" i="2"/>
  <c r="BI70" i="2"/>
  <c r="BK70" i="2" s="1"/>
  <c r="BJ69" i="2"/>
  <c r="BK69" i="2" s="1"/>
  <c r="BI69" i="2"/>
  <c r="BJ68" i="2"/>
  <c r="BI68" i="2"/>
  <c r="BK68" i="2" s="1"/>
  <c r="BJ67" i="2"/>
  <c r="BI67" i="2"/>
  <c r="BK67" i="2" s="1"/>
  <c r="BJ66" i="2"/>
  <c r="BI66" i="2"/>
  <c r="BK66" i="2" s="1"/>
  <c r="BK65" i="2"/>
  <c r="BJ65" i="2"/>
  <c r="BI65" i="2"/>
  <c r="BJ64" i="2"/>
  <c r="BI64" i="2"/>
  <c r="BK64" i="2" s="1"/>
  <c r="BJ63" i="2"/>
  <c r="BI63" i="2"/>
  <c r="BK63" i="2" s="1"/>
  <c r="BJ62" i="2"/>
  <c r="BI62" i="2"/>
  <c r="BK62" i="2" s="1"/>
  <c r="BJ61" i="2"/>
  <c r="BK61" i="2" s="1"/>
  <c r="BI61" i="2"/>
  <c r="BJ60" i="2"/>
  <c r="BI60" i="2"/>
  <c r="BK60" i="2" s="1"/>
  <c r="BJ59" i="2"/>
  <c r="BI59" i="2"/>
  <c r="BK59" i="2" s="1"/>
  <c r="BJ58" i="2"/>
  <c r="BI58" i="2"/>
  <c r="BK58" i="2" s="1"/>
  <c r="Y58" i="2"/>
  <c r="BJ57" i="2"/>
  <c r="BI57" i="2"/>
  <c r="BK57" i="2" s="1"/>
  <c r="X57" i="2"/>
  <c r="BJ56" i="2"/>
  <c r="BK56" i="2" s="1"/>
  <c r="BI56" i="2"/>
  <c r="Y56" i="2"/>
  <c r="X56" i="2"/>
  <c r="BJ55" i="2"/>
  <c r="BK55" i="2" s="1"/>
  <c r="BI55" i="2"/>
  <c r="BJ54" i="2"/>
  <c r="BI54" i="2"/>
  <c r="BK54" i="2" s="1"/>
  <c r="Y54" i="2"/>
  <c r="X55" i="2" s="1"/>
  <c r="X54" i="2"/>
  <c r="BJ53" i="2"/>
  <c r="BI53" i="2"/>
  <c r="BK53" i="2" s="1"/>
  <c r="X53" i="2"/>
  <c r="BK52" i="2"/>
  <c r="BJ52" i="2"/>
  <c r="BI52" i="2"/>
  <c r="Y52" i="2"/>
  <c r="X52" i="2"/>
  <c r="BJ51" i="2"/>
  <c r="BI51" i="2"/>
  <c r="BK51" i="2" s="1"/>
  <c r="BJ50" i="2"/>
  <c r="BJ71" i="2" s="1"/>
  <c r="BI50" i="2"/>
  <c r="AW49" i="2"/>
  <c r="AR49" i="2"/>
  <c r="AR50" i="2" s="1"/>
  <c r="AQ49" i="2"/>
  <c r="AQ50" i="2" s="1"/>
  <c r="AE49" i="2"/>
  <c r="S48" i="2"/>
  <c r="Q48" i="2"/>
  <c r="K48" i="2"/>
  <c r="I48" i="2"/>
  <c r="S46" i="2"/>
  <c r="X46" i="2" s="1"/>
  <c r="K46" i="2"/>
  <c r="AF46" i="2" s="1"/>
  <c r="AN46" i="2" s="1"/>
  <c r="AX46" i="2" s="1"/>
  <c r="AV47" i="2" s="1"/>
  <c r="BH45" i="2"/>
  <c r="W45" i="2"/>
  <c r="BH44" i="2"/>
  <c r="BB44" i="2"/>
  <c r="BF43" i="2"/>
  <c r="BH43" i="2" s="1"/>
  <c r="V41" i="2"/>
  <c r="BL40" i="2"/>
  <c r="AQ38" i="2"/>
  <c r="AI38" i="2"/>
  <c r="AA38" i="2"/>
  <c r="O38" i="2"/>
  <c r="U38" i="2" s="1"/>
  <c r="AQ37" i="2"/>
  <c r="AR37" i="2" s="1"/>
  <c r="AL37" i="2"/>
  <c r="AC37" i="2"/>
  <c r="BJ36" i="2"/>
  <c r="BI36" i="2"/>
  <c r="BH36" i="2"/>
  <c r="BG36" i="2"/>
  <c r="BF36" i="2"/>
  <c r="BE36" i="2"/>
  <c r="BD36" i="2"/>
  <c r="AV36" i="2"/>
  <c r="AV37" i="2" s="1"/>
  <c r="AU36" i="2"/>
  <c r="AU37" i="2" s="1"/>
  <c r="AS36" i="2"/>
  <c r="AS37" i="2" s="1"/>
  <c r="AQ36" i="2"/>
  <c r="AP36" i="2"/>
  <c r="AO36" i="2"/>
  <c r="AK36" i="2"/>
  <c r="AK37" i="2" s="1"/>
  <c r="AI36" i="2"/>
  <c r="AI37" i="2" s="1"/>
  <c r="AJ37" i="2" s="1"/>
  <c r="AH36" i="2"/>
  <c r="AG36" i="2"/>
  <c r="AC36" i="2"/>
  <c r="AA36" i="2"/>
  <c r="Z36" i="2"/>
  <c r="AD36" i="2" s="1"/>
  <c r="Y36" i="2"/>
  <c r="X36" i="2"/>
  <c r="L36" i="2"/>
  <c r="H36" i="2"/>
  <c r="I36" i="2" s="1"/>
  <c r="F36" i="2"/>
  <c r="F37" i="2" s="1"/>
  <c r="G37" i="2" s="1"/>
  <c r="E36" i="2"/>
  <c r="F38" i="2" s="1"/>
  <c r="D36" i="2"/>
  <c r="C36" i="2"/>
  <c r="BK35" i="2"/>
  <c r="BM35" i="2" s="1"/>
  <c r="BC35" i="2"/>
  <c r="AZ35" i="2"/>
  <c r="AY35" i="2"/>
  <c r="AX35" i="2"/>
  <c r="AW35" i="2"/>
  <c r="AT35" i="2"/>
  <c r="AR35" i="2"/>
  <c r="AN35" i="2"/>
  <c r="AM35" i="2"/>
  <c r="AL35" i="2"/>
  <c r="AJ35" i="2"/>
  <c r="AF35" i="2"/>
  <c r="AE35" i="2"/>
  <c r="AD35" i="2"/>
  <c r="AB35" i="2"/>
  <c r="W35" i="2"/>
  <c r="V35" i="2"/>
  <c r="BA35" i="2" s="1"/>
  <c r="U35" i="2"/>
  <c r="S35" i="2"/>
  <c r="R35" i="2"/>
  <c r="Q35" i="2"/>
  <c r="P35" i="2"/>
  <c r="N35" i="2"/>
  <c r="M35" i="2"/>
  <c r="O35" i="2" s="1"/>
  <c r="K35" i="2"/>
  <c r="J35" i="2"/>
  <c r="I35" i="2"/>
  <c r="G35" i="2"/>
  <c r="BK34" i="2"/>
  <c r="BM34" i="2" s="1"/>
  <c r="BC34" i="2"/>
  <c r="AX34" i="2"/>
  <c r="AW34" i="2"/>
  <c r="AT34" i="2"/>
  <c r="AR34" i="2"/>
  <c r="AN34" i="2"/>
  <c r="AM34" i="2"/>
  <c r="AL34" i="2"/>
  <c r="AJ34" i="2"/>
  <c r="AF34" i="2"/>
  <c r="AE34" i="2"/>
  <c r="AD34" i="2"/>
  <c r="AB34" i="2"/>
  <c r="U34" i="2"/>
  <c r="AZ34" i="2" s="1"/>
  <c r="T34" i="2"/>
  <c r="P34" i="2"/>
  <c r="R34" i="2" s="1"/>
  <c r="S34" i="2" s="1"/>
  <c r="O34" i="2"/>
  <c r="N34" i="2"/>
  <c r="M34" i="2"/>
  <c r="AY34" i="2" s="1"/>
  <c r="K34" i="2"/>
  <c r="J34" i="2"/>
  <c r="I34" i="2"/>
  <c r="G34" i="2"/>
  <c r="BM33" i="2"/>
  <c r="BK33" i="2"/>
  <c r="BC33" i="2"/>
  <c r="BA33" i="2"/>
  <c r="AX33" i="2"/>
  <c r="AW33" i="2"/>
  <c r="AT33" i="2"/>
  <c r="AR33" i="2"/>
  <c r="AN33" i="2"/>
  <c r="AM33" i="2"/>
  <c r="AL33" i="2"/>
  <c r="AJ33" i="2"/>
  <c r="AF33" i="2"/>
  <c r="AE33" i="2"/>
  <c r="AD33" i="2"/>
  <c r="AB33" i="2"/>
  <c r="P33" i="2"/>
  <c r="V33" i="2" s="1"/>
  <c r="N33" i="2"/>
  <c r="U33" i="2" s="1"/>
  <c r="AZ33" i="2" s="1"/>
  <c r="M33" i="2"/>
  <c r="AY33" i="2" s="1"/>
  <c r="K33" i="2"/>
  <c r="J33" i="2"/>
  <c r="I33" i="2"/>
  <c r="G33" i="2"/>
  <c r="BK32" i="2"/>
  <c r="BC32" i="2"/>
  <c r="AY32" i="2"/>
  <c r="AX32" i="2"/>
  <c r="AW32" i="2"/>
  <c r="AT32" i="2"/>
  <c r="AR32" i="2"/>
  <c r="AN32" i="2"/>
  <c r="AM32" i="2"/>
  <c r="AL32" i="2"/>
  <c r="AJ32" i="2"/>
  <c r="AF32" i="2"/>
  <c r="AE32" i="2"/>
  <c r="AD32" i="2"/>
  <c r="AB32" i="2"/>
  <c r="W32" i="2"/>
  <c r="BB32" i="2" s="1"/>
  <c r="V32" i="2"/>
  <c r="BA32" i="2" s="1"/>
  <c r="Q32" i="2"/>
  <c r="P32" i="2"/>
  <c r="R32" i="2" s="1"/>
  <c r="O32" i="2"/>
  <c r="N32" i="2"/>
  <c r="U32" i="2" s="1"/>
  <c r="AZ32" i="2" s="1"/>
  <c r="M32" i="2"/>
  <c r="T32" i="2" s="1"/>
  <c r="K32" i="2"/>
  <c r="J32" i="2"/>
  <c r="I32" i="2"/>
  <c r="G32" i="2"/>
  <c r="BK31" i="2"/>
  <c r="BM31" i="2" s="1"/>
  <c r="BC31" i="2"/>
  <c r="AY31" i="2"/>
  <c r="AX31" i="2"/>
  <c r="AW31" i="2"/>
  <c r="AT31" i="2"/>
  <c r="AR31" i="2"/>
  <c r="AN31" i="2"/>
  <c r="AM31" i="2"/>
  <c r="AL31" i="2"/>
  <c r="AJ31" i="2"/>
  <c r="AE31" i="2"/>
  <c r="AF31" i="2" s="1"/>
  <c r="AD31" i="2"/>
  <c r="AB31" i="2"/>
  <c r="U31" i="2"/>
  <c r="AZ31" i="2" s="1"/>
  <c r="P31" i="2"/>
  <c r="Q31" i="2" s="1"/>
  <c r="N31" i="2"/>
  <c r="M31" i="2"/>
  <c r="T31" i="2" s="1"/>
  <c r="J31" i="2"/>
  <c r="K31" i="2" s="1"/>
  <c r="I31" i="2"/>
  <c r="G31" i="2"/>
  <c r="BK30" i="2"/>
  <c r="BM30" i="2" s="1"/>
  <c r="BC30" i="2"/>
  <c r="AX30" i="2"/>
  <c r="AW30" i="2"/>
  <c r="AT30" i="2"/>
  <c r="AR30" i="2"/>
  <c r="AN30" i="2"/>
  <c r="AM30" i="2"/>
  <c r="AL30" i="2"/>
  <c r="AJ30" i="2"/>
  <c r="AE30" i="2"/>
  <c r="AF30" i="2" s="1"/>
  <c r="AD30" i="2"/>
  <c r="AB30" i="2"/>
  <c r="V30" i="2"/>
  <c r="BA30" i="2" s="1"/>
  <c r="P30" i="2"/>
  <c r="N30" i="2"/>
  <c r="R30" i="2" s="1"/>
  <c r="M30" i="2"/>
  <c r="J30" i="2"/>
  <c r="K30" i="2" s="1"/>
  <c r="I30" i="2"/>
  <c r="G30" i="2"/>
  <c r="BM29" i="2"/>
  <c r="BK29" i="2"/>
  <c r="BC29" i="2"/>
  <c r="BA29" i="2"/>
  <c r="AX29" i="2"/>
  <c r="AW29" i="2"/>
  <c r="AT29" i="2"/>
  <c r="AR29" i="2"/>
  <c r="AN29" i="2"/>
  <c r="AM29" i="2"/>
  <c r="AL29" i="2"/>
  <c r="AJ29" i="2"/>
  <c r="AE29" i="2"/>
  <c r="AF29" i="2" s="1"/>
  <c r="AD29" i="2"/>
  <c r="AB29" i="2"/>
  <c r="V29" i="2"/>
  <c r="U29" i="2"/>
  <c r="AZ29" i="2" s="1"/>
  <c r="T29" i="2"/>
  <c r="P29" i="2"/>
  <c r="N29" i="2"/>
  <c r="M29" i="2"/>
  <c r="AY29" i="2" s="1"/>
  <c r="K29" i="2"/>
  <c r="J29" i="2"/>
  <c r="I29" i="2"/>
  <c r="G29" i="2"/>
  <c r="BM28" i="2"/>
  <c r="BK28" i="2"/>
  <c r="BC28" i="2"/>
  <c r="BA28" i="2"/>
  <c r="AX28" i="2"/>
  <c r="AW28" i="2"/>
  <c r="AT28" i="2"/>
  <c r="AR28" i="2"/>
  <c r="AN28" i="2"/>
  <c r="AM28" i="2"/>
  <c r="AL28" i="2"/>
  <c r="AJ28" i="2"/>
  <c r="AE28" i="2"/>
  <c r="AF28" i="2" s="1"/>
  <c r="AD28" i="2"/>
  <c r="AB28" i="2"/>
  <c r="V28" i="2"/>
  <c r="T28" i="2"/>
  <c r="S28" i="2"/>
  <c r="R28" i="2"/>
  <c r="P28" i="2"/>
  <c r="N28" i="2"/>
  <c r="M28" i="2"/>
  <c r="Q28" i="2" s="1"/>
  <c r="J28" i="2"/>
  <c r="K28" i="2" s="1"/>
  <c r="I28" i="2"/>
  <c r="G28" i="2"/>
  <c r="BK27" i="2"/>
  <c r="BM27" i="2" s="1"/>
  <c r="BC27" i="2"/>
  <c r="AZ27" i="2"/>
  <c r="AY27" i="2"/>
  <c r="AX27" i="2"/>
  <c r="AW27" i="2"/>
  <c r="AT27" i="2"/>
  <c r="AR27" i="2"/>
  <c r="AN27" i="2"/>
  <c r="AM27" i="2"/>
  <c r="AL27" i="2"/>
  <c r="AJ27" i="2"/>
  <c r="AE27" i="2"/>
  <c r="AF27" i="2" s="1"/>
  <c r="AD27" i="2"/>
  <c r="AB27" i="2"/>
  <c r="V27" i="2"/>
  <c r="BA27" i="2" s="1"/>
  <c r="U27" i="2"/>
  <c r="R27" i="2"/>
  <c r="S27" i="2" s="1"/>
  <c r="Q27" i="2"/>
  <c r="P27" i="2"/>
  <c r="N27" i="2"/>
  <c r="O27" i="2" s="1"/>
  <c r="M27" i="2"/>
  <c r="T27" i="2" s="1"/>
  <c r="J27" i="2"/>
  <c r="W27" i="2" s="1"/>
  <c r="BB27" i="2" s="1"/>
  <c r="I27" i="2"/>
  <c r="G27" i="2"/>
  <c r="BK26" i="2"/>
  <c r="BM26" i="2" s="1"/>
  <c r="BC26" i="2"/>
  <c r="AY26" i="2"/>
  <c r="AX26" i="2"/>
  <c r="AW26" i="2"/>
  <c r="AT26" i="2"/>
  <c r="AR26" i="2"/>
  <c r="AN26" i="2"/>
  <c r="AM26" i="2"/>
  <c r="AL26" i="2"/>
  <c r="AJ26" i="2"/>
  <c r="AF26" i="2"/>
  <c r="AE26" i="2"/>
  <c r="AD26" i="2"/>
  <c r="AB26" i="2"/>
  <c r="W26" i="2"/>
  <c r="BB26" i="2" s="1"/>
  <c r="V26" i="2"/>
  <c r="BA26" i="2" s="1"/>
  <c r="U26" i="2"/>
  <c r="AZ26" i="2" s="1"/>
  <c r="T26" i="2"/>
  <c r="R26" i="2"/>
  <c r="S26" i="2" s="1"/>
  <c r="Q26" i="2"/>
  <c r="P26" i="2"/>
  <c r="O26" i="2"/>
  <c r="N26" i="2"/>
  <c r="M26" i="2"/>
  <c r="J26" i="2"/>
  <c r="K26" i="2" s="1"/>
  <c r="I26" i="2"/>
  <c r="G26" i="2"/>
  <c r="BK25" i="2"/>
  <c r="BM25" i="2" s="1"/>
  <c r="BC25" i="2"/>
  <c r="AY25" i="2"/>
  <c r="AX25" i="2"/>
  <c r="AW25" i="2"/>
  <c r="AT25" i="2"/>
  <c r="AR25" i="2"/>
  <c r="AM25" i="2"/>
  <c r="AN25" i="2" s="1"/>
  <c r="AL25" i="2"/>
  <c r="AJ25" i="2"/>
  <c r="AF25" i="2"/>
  <c r="AE25" i="2"/>
  <c r="AD25" i="2"/>
  <c r="AB25" i="2"/>
  <c r="V25" i="2"/>
  <c r="BA25" i="2" s="1"/>
  <c r="U25" i="2"/>
  <c r="AZ25" i="2" s="1"/>
  <c r="T25" i="2"/>
  <c r="P25" i="2"/>
  <c r="R25" i="2" s="1"/>
  <c r="S25" i="2" s="1"/>
  <c r="O25" i="2"/>
  <c r="N25" i="2"/>
  <c r="M25" i="2"/>
  <c r="J25" i="2"/>
  <c r="I25" i="2"/>
  <c r="G25" i="2"/>
  <c r="BK24" i="2"/>
  <c r="BM24" i="2" s="1"/>
  <c r="BC24" i="2"/>
  <c r="AW24" i="2"/>
  <c r="AX24" i="2" s="1"/>
  <c r="AT24" i="2"/>
  <c r="AR24" i="2"/>
  <c r="AN24" i="2"/>
  <c r="AM24" i="2"/>
  <c r="AL24" i="2"/>
  <c r="AJ24" i="2"/>
  <c r="AE24" i="2"/>
  <c r="AF24" i="2" s="1"/>
  <c r="AD24" i="2"/>
  <c r="AB24" i="2"/>
  <c r="T24" i="2"/>
  <c r="P24" i="2"/>
  <c r="Q24" i="2" s="1"/>
  <c r="O24" i="2"/>
  <c r="N24" i="2"/>
  <c r="M24" i="2"/>
  <c r="AY24" i="2" s="1"/>
  <c r="J24" i="2"/>
  <c r="K24" i="2" s="1"/>
  <c r="I24" i="2"/>
  <c r="G24" i="2"/>
  <c r="BM23" i="2"/>
  <c r="BK23" i="2"/>
  <c r="BC23" i="2"/>
  <c r="AZ23" i="2"/>
  <c r="AX23" i="2"/>
  <c r="AW23" i="2"/>
  <c r="AT23" i="2"/>
  <c r="AR23" i="2"/>
  <c r="AN23" i="2"/>
  <c r="AM23" i="2"/>
  <c r="AL23" i="2"/>
  <c r="AJ23" i="2"/>
  <c r="AE23" i="2"/>
  <c r="AF23" i="2" s="1"/>
  <c r="AD23" i="2"/>
  <c r="AB23" i="2"/>
  <c r="U23" i="2"/>
  <c r="T23" i="2"/>
  <c r="R23" i="2"/>
  <c r="S23" i="2" s="1"/>
  <c r="P23" i="2"/>
  <c r="V23" i="2" s="1"/>
  <c r="BA23" i="2" s="1"/>
  <c r="N23" i="2"/>
  <c r="O23" i="2" s="1"/>
  <c r="M23" i="2"/>
  <c r="AY23" i="2" s="1"/>
  <c r="K23" i="2"/>
  <c r="J23" i="2"/>
  <c r="I23" i="2"/>
  <c r="G23" i="2"/>
  <c r="BK22" i="2"/>
  <c r="BM22" i="2" s="1"/>
  <c r="BC22" i="2"/>
  <c r="BA22" i="2"/>
  <c r="AX22" i="2"/>
  <c r="AW22" i="2"/>
  <c r="AT22" i="2"/>
  <c r="AR22" i="2"/>
  <c r="AN22" i="2"/>
  <c r="AM22" i="2"/>
  <c r="AL22" i="2"/>
  <c r="AJ22" i="2"/>
  <c r="AE22" i="2"/>
  <c r="AF22" i="2" s="1"/>
  <c r="AD22" i="2"/>
  <c r="AB22" i="2"/>
  <c r="Q22" i="2"/>
  <c r="P22" i="2"/>
  <c r="V22" i="2" s="1"/>
  <c r="N22" i="2"/>
  <c r="M22" i="2"/>
  <c r="AY22" i="2" s="1"/>
  <c r="K22" i="2"/>
  <c r="J22" i="2"/>
  <c r="I22" i="2"/>
  <c r="G22" i="2"/>
  <c r="BK21" i="2"/>
  <c r="BM21" i="2" s="1"/>
  <c r="BC21" i="2"/>
  <c r="AX21" i="2"/>
  <c r="AW21" i="2"/>
  <c r="AT21" i="2"/>
  <c r="AR21" i="2"/>
  <c r="AN21" i="2"/>
  <c r="AM21" i="2"/>
  <c r="AL21" i="2"/>
  <c r="AJ21" i="2"/>
  <c r="AE21" i="2"/>
  <c r="AF21" i="2" s="1"/>
  <c r="AD21" i="2"/>
  <c r="AB21" i="2"/>
  <c r="P21" i="2"/>
  <c r="V21" i="2" s="1"/>
  <c r="BA21" i="2" s="1"/>
  <c r="N21" i="2"/>
  <c r="U21" i="2" s="1"/>
  <c r="AZ21" i="2" s="1"/>
  <c r="M21" i="2"/>
  <c r="T21" i="2" s="1"/>
  <c r="J21" i="2"/>
  <c r="K21" i="2" s="1"/>
  <c r="I21" i="2"/>
  <c r="G21" i="2"/>
  <c r="BK20" i="2"/>
  <c r="BM20" i="2" s="1"/>
  <c r="BC20" i="2"/>
  <c r="AZ20" i="2"/>
  <c r="AY20" i="2"/>
  <c r="AX20" i="2"/>
  <c r="AW20" i="2"/>
  <c r="AT20" i="2"/>
  <c r="AR20" i="2"/>
  <c r="AN20" i="2"/>
  <c r="AM20" i="2"/>
  <c r="AL20" i="2"/>
  <c r="AJ20" i="2"/>
  <c r="AF20" i="2"/>
  <c r="AE20" i="2"/>
  <c r="AD20" i="2"/>
  <c r="AB20" i="2"/>
  <c r="V20" i="2"/>
  <c r="BA20" i="2" s="1"/>
  <c r="U20" i="2"/>
  <c r="P20" i="2"/>
  <c r="R20" i="2" s="1"/>
  <c r="W20" i="2" s="1"/>
  <c r="BB20" i="2" s="1"/>
  <c r="O20" i="2"/>
  <c r="N20" i="2"/>
  <c r="M20" i="2"/>
  <c r="T20" i="2" s="1"/>
  <c r="J20" i="2"/>
  <c r="K20" i="2" s="1"/>
  <c r="I20" i="2"/>
  <c r="G20" i="2"/>
  <c r="BK19" i="2"/>
  <c r="BM19" i="2" s="1"/>
  <c r="BC19" i="2"/>
  <c r="AX19" i="2"/>
  <c r="AW19" i="2"/>
  <c r="AT19" i="2"/>
  <c r="AR19" i="2"/>
  <c r="AN19" i="2"/>
  <c r="AM19" i="2"/>
  <c r="AL19" i="2"/>
  <c r="AJ19" i="2"/>
  <c r="AF19" i="2"/>
  <c r="AE19" i="2"/>
  <c r="AB19" i="2"/>
  <c r="U19" i="2"/>
  <c r="AZ19" i="2" s="1"/>
  <c r="T19" i="2"/>
  <c r="P19" i="2"/>
  <c r="Q19" i="2" s="1"/>
  <c r="O19" i="2"/>
  <c r="N19" i="2"/>
  <c r="M19" i="2"/>
  <c r="J19" i="2"/>
  <c r="K19" i="2" s="1"/>
  <c r="I19" i="2"/>
  <c r="G19" i="2"/>
  <c r="BM18" i="2"/>
  <c r="BK18" i="2"/>
  <c r="BC18" i="2"/>
  <c r="BA18" i="2"/>
  <c r="AZ18" i="2"/>
  <c r="AX18" i="2"/>
  <c r="AW18" i="2"/>
  <c r="AT18" i="2"/>
  <c r="AR18" i="2"/>
  <c r="AN18" i="2"/>
  <c r="AM18" i="2"/>
  <c r="AL18" i="2"/>
  <c r="AJ18" i="2"/>
  <c r="AE18" i="2"/>
  <c r="AF18" i="2" s="1"/>
  <c r="AD18" i="2"/>
  <c r="AB18" i="2"/>
  <c r="V18" i="2"/>
  <c r="U18" i="2"/>
  <c r="T18" i="2"/>
  <c r="S18" i="2"/>
  <c r="P18" i="2"/>
  <c r="N18" i="2"/>
  <c r="R18" i="2" s="1"/>
  <c r="M18" i="2"/>
  <c r="AY18" i="2" s="1"/>
  <c r="K18" i="2"/>
  <c r="J18" i="2"/>
  <c r="W18" i="2" s="1"/>
  <c r="BB18" i="2" s="1"/>
  <c r="I18" i="2"/>
  <c r="G18" i="2"/>
  <c r="BM17" i="2"/>
  <c r="BK17" i="2"/>
  <c r="BC17" i="2"/>
  <c r="BA17" i="2"/>
  <c r="AX17" i="2"/>
  <c r="AW17" i="2"/>
  <c r="AT17" i="2"/>
  <c r="AR17" i="2"/>
  <c r="AN17" i="2"/>
  <c r="AM17" i="2"/>
  <c r="AL17" i="2"/>
  <c r="AJ17" i="2"/>
  <c r="AE17" i="2"/>
  <c r="AF17" i="2" s="1"/>
  <c r="AD17" i="2"/>
  <c r="AB17" i="2"/>
  <c r="V17" i="2"/>
  <c r="T17" i="2"/>
  <c r="R17" i="2"/>
  <c r="S17" i="2" s="1"/>
  <c r="P17" i="2"/>
  <c r="N17" i="2"/>
  <c r="M17" i="2"/>
  <c r="Q17" i="2" s="1"/>
  <c r="J17" i="2"/>
  <c r="W17" i="2" s="1"/>
  <c r="BB17" i="2" s="1"/>
  <c r="I17" i="2"/>
  <c r="G17" i="2"/>
  <c r="BK16" i="2"/>
  <c r="BM16" i="2" s="1"/>
  <c r="BC16" i="2"/>
  <c r="AY16" i="2"/>
  <c r="AX16" i="2"/>
  <c r="AW16" i="2"/>
  <c r="AT16" i="2"/>
  <c r="AR16" i="2"/>
  <c r="AN16" i="2"/>
  <c r="AM16" i="2"/>
  <c r="AL16" i="2"/>
  <c r="AJ16" i="2"/>
  <c r="AE16" i="2"/>
  <c r="AF16" i="2" s="1"/>
  <c r="AD16" i="2"/>
  <c r="AB16" i="2"/>
  <c r="V16" i="2"/>
  <c r="BA16" i="2" s="1"/>
  <c r="R16" i="2"/>
  <c r="S16" i="2" s="1"/>
  <c r="Q16" i="2"/>
  <c r="P16" i="2"/>
  <c r="N16" i="2"/>
  <c r="M16" i="2"/>
  <c r="T16" i="2" s="1"/>
  <c r="J16" i="2"/>
  <c r="K16" i="2" s="1"/>
  <c r="I16" i="2"/>
  <c r="G16" i="2"/>
  <c r="BK15" i="2"/>
  <c r="BM15" i="2" s="1"/>
  <c r="BC15" i="2"/>
  <c r="AY15" i="2"/>
  <c r="AX15" i="2"/>
  <c r="AW15" i="2"/>
  <c r="AT15" i="2"/>
  <c r="AR15" i="2"/>
  <c r="AN15" i="2"/>
  <c r="AM15" i="2"/>
  <c r="AL15" i="2"/>
  <c r="AJ15" i="2"/>
  <c r="AF15" i="2"/>
  <c r="AE15" i="2"/>
  <c r="AD15" i="2"/>
  <c r="AB15" i="2"/>
  <c r="U15" i="2"/>
  <c r="AZ15" i="2" s="1"/>
  <c r="P15" i="2"/>
  <c r="V15" i="2" s="1"/>
  <c r="BA15" i="2" s="1"/>
  <c r="N15" i="2"/>
  <c r="M15" i="2"/>
  <c r="O15" i="2" s="1"/>
  <c r="J15" i="2"/>
  <c r="K15" i="2" s="1"/>
  <c r="I15" i="2"/>
  <c r="G15" i="2"/>
  <c r="BK14" i="2"/>
  <c r="BM14" i="2" s="1"/>
  <c r="BC14" i="2"/>
  <c r="AY14" i="2"/>
  <c r="AX14" i="2"/>
  <c r="AW14" i="2"/>
  <c r="AT14" i="2"/>
  <c r="AS49" i="2" s="1"/>
  <c r="AS50" i="2" s="1"/>
  <c r="AR14" i="2"/>
  <c r="AM14" i="2"/>
  <c r="AN14" i="2" s="1"/>
  <c r="AL14" i="2"/>
  <c r="AJ14" i="2"/>
  <c r="AF14" i="2"/>
  <c r="AE14" i="2"/>
  <c r="AD14" i="2"/>
  <c r="AB14" i="2"/>
  <c r="V14" i="2"/>
  <c r="BA14" i="2" s="1"/>
  <c r="U14" i="2"/>
  <c r="AZ14" i="2" s="1"/>
  <c r="T14" i="2"/>
  <c r="P14" i="2"/>
  <c r="R14" i="2" s="1"/>
  <c r="O14" i="2"/>
  <c r="N14" i="2"/>
  <c r="M14" i="2"/>
  <c r="J14" i="2"/>
  <c r="K14" i="2" s="1"/>
  <c r="I14" i="2"/>
  <c r="G14" i="2"/>
  <c r="BK13" i="2"/>
  <c r="BM13" i="2" s="1"/>
  <c r="BC13" i="2"/>
  <c r="AX13" i="2"/>
  <c r="AW13" i="2"/>
  <c r="AT13" i="2"/>
  <c r="AR13" i="2"/>
  <c r="AN13" i="2"/>
  <c r="AM13" i="2"/>
  <c r="AL13" i="2"/>
  <c r="AJ13" i="2"/>
  <c r="AF13" i="2"/>
  <c r="AE13" i="2"/>
  <c r="AD13" i="2"/>
  <c r="AB13" i="2"/>
  <c r="V13" i="2"/>
  <c r="BA13" i="2" s="1"/>
  <c r="U13" i="2"/>
  <c r="AZ13" i="2" s="1"/>
  <c r="T13" i="2"/>
  <c r="P13" i="2"/>
  <c r="Q13" i="2" s="1"/>
  <c r="N13" i="2"/>
  <c r="R13" i="2" s="1"/>
  <c r="S13" i="2" s="1"/>
  <c r="M13" i="2"/>
  <c r="AY13" i="2" s="1"/>
  <c r="J13" i="2"/>
  <c r="K13" i="2" s="1"/>
  <c r="I13" i="2"/>
  <c r="G13" i="2"/>
  <c r="BM12" i="2"/>
  <c r="BK12" i="2"/>
  <c r="BC12" i="2"/>
  <c r="AX12" i="2"/>
  <c r="AW12" i="2"/>
  <c r="AT12" i="2"/>
  <c r="AR12" i="2"/>
  <c r="AN12" i="2"/>
  <c r="AM12" i="2"/>
  <c r="AL12" i="2"/>
  <c r="AJ12" i="2"/>
  <c r="AE12" i="2"/>
  <c r="AF12" i="2" s="1"/>
  <c r="AD12" i="2"/>
  <c r="AB12" i="2"/>
  <c r="T12" i="2"/>
  <c r="P12" i="2"/>
  <c r="N12" i="2"/>
  <c r="U12" i="2" s="1"/>
  <c r="AZ12" i="2" s="1"/>
  <c r="M12" i="2"/>
  <c r="AY12" i="2" s="1"/>
  <c r="K12" i="2"/>
  <c r="J12" i="2"/>
  <c r="I12" i="2"/>
  <c r="G12" i="2"/>
  <c r="BM11" i="2"/>
  <c r="BK11" i="2"/>
  <c r="BC11" i="2"/>
  <c r="AZ11" i="2"/>
  <c r="AX11" i="2"/>
  <c r="AW11" i="2"/>
  <c r="AT11" i="2"/>
  <c r="AR11" i="2"/>
  <c r="AN11" i="2"/>
  <c r="AM11" i="2"/>
  <c r="AL11" i="2"/>
  <c r="AJ11" i="2"/>
  <c r="AE11" i="2"/>
  <c r="AF11" i="2" s="1"/>
  <c r="AD11" i="2"/>
  <c r="AB11" i="2"/>
  <c r="R11" i="2"/>
  <c r="Q11" i="2"/>
  <c r="P11" i="2"/>
  <c r="V11" i="2" s="1"/>
  <c r="BA11" i="2" s="1"/>
  <c r="O11" i="2"/>
  <c r="N11" i="2"/>
  <c r="U11" i="2" s="1"/>
  <c r="M11" i="2"/>
  <c r="AY11" i="2" s="1"/>
  <c r="K11" i="2"/>
  <c r="J11" i="2"/>
  <c r="W11" i="2" s="1"/>
  <c r="BB11" i="2" s="1"/>
  <c r="I11" i="2"/>
  <c r="G11" i="2"/>
  <c r="BK10" i="2"/>
  <c r="BM10" i="2" s="1"/>
  <c r="BC10" i="2"/>
  <c r="BC36" i="2" s="1"/>
  <c r="BC37" i="2" s="1"/>
  <c r="AY10" i="2"/>
  <c r="AX10" i="2"/>
  <c r="AW10" i="2"/>
  <c r="AT10" i="2"/>
  <c r="AR10" i="2"/>
  <c r="AM10" i="2"/>
  <c r="AN10" i="2" s="1"/>
  <c r="AL10" i="2"/>
  <c r="AJ10" i="2"/>
  <c r="AE10" i="2"/>
  <c r="AF10" i="2" s="1"/>
  <c r="AD10" i="2"/>
  <c r="AB10" i="2"/>
  <c r="P10" i="2"/>
  <c r="V10" i="2" s="1"/>
  <c r="BA10" i="2" s="1"/>
  <c r="N10" i="2"/>
  <c r="M10" i="2"/>
  <c r="T10" i="2" s="1"/>
  <c r="J10" i="2"/>
  <c r="K10" i="2" s="1"/>
  <c r="I10" i="2"/>
  <c r="G10" i="2"/>
  <c r="BM9" i="2"/>
  <c r="BK9" i="2"/>
  <c r="BC9" i="2"/>
  <c r="AZ9" i="2"/>
  <c r="AY9" i="2"/>
  <c r="AX9" i="2"/>
  <c r="AW9" i="2"/>
  <c r="AT9" i="2"/>
  <c r="AR9" i="2"/>
  <c r="AN9" i="2"/>
  <c r="AM9" i="2"/>
  <c r="AM36" i="2" s="1"/>
  <c r="AL9" i="2"/>
  <c r="AJ9" i="2"/>
  <c r="AF9" i="2"/>
  <c r="AE9" i="2"/>
  <c r="AD9" i="2"/>
  <c r="AB9" i="2"/>
  <c r="U9" i="2"/>
  <c r="P9" i="2"/>
  <c r="Q9" i="2" s="1"/>
  <c r="O9" i="2"/>
  <c r="N9" i="2"/>
  <c r="M9" i="2"/>
  <c r="J9" i="2"/>
  <c r="I9" i="2"/>
  <c r="G9" i="2"/>
  <c r="BK8" i="2"/>
  <c r="BM8" i="2" s="1"/>
  <c r="BC8" i="2"/>
  <c r="AY8" i="2"/>
  <c r="AX8" i="2"/>
  <c r="AW8" i="2"/>
  <c r="AT8" i="2"/>
  <c r="AR8" i="2"/>
  <c r="AN8" i="2"/>
  <c r="AM8" i="2"/>
  <c r="AL8" i="2"/>
  <c r="AJ8" i="2"/>
  <c r="AE8" i="2"/>
  <c r="AF8" i="2" s="1"/>
  <c r="AD8" i="2"/>
  <c r="AB8" i="2"/>
  <c r="U8" i="2"/>
  <c r="AZ8" i="2" s="1"/>
  <c r="T8" i="2"/>
  <c r="P8" i="2"/>
  <c r="V8" i="2" s="1"/>
  <c r="BA8" i="2" s="1"/>
  <c r="N8" i="2"/>
  <c r="M8" i="2"/>
  <c r="J8" i="2"/>
  <c r="K8" i="2" s="1"/>
  <c r="I8" i="2"/>
  <c r="J49" i="2" s="1"/>
  <c r="G8" i="2"/>
  <c r="BK7" i="2"/>
  <c r="BM7" i="2" s="1"/>
  <c r="BC7" i="2"/>
  <c r="AX7" i="2"/>
  <c r="AW7" i="2"/>
  <c r="AT7" i="2"/>
  <c r="AR7" i="2"/>
  <c r="AN7" i="2"/>
  <c r="AM7" i="2"/>
  <c r="AL7" i="2"/>
  <c r="AJ7" i="2"/>
  <c r="AE7" i="2"/>
  <c r="AF7" i="2" s="1"/>
  <c r="AD7" i="2"/>
  <c r="AB7" i="2"/>
  <c r="T7" i="2"/>
  <c r="P7" i="2"/>
  <c r="V7" i="2" s="1"/>
  <c r="BA7" i="2" s="1"/>
  <c r="N7" i="2"/>
  <c r="R7" i="2" s="1"/>
  <c r="M7" i="2"/>
  <c r="J7" i="2"/>
  <c r="K7" i="2" s="1"/>
  <c r="I7" i="2"/>
  <c r="G7" i="2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M6" i="2"/>
  <c r="BK6" i="2"/>
  <c r="BC6" i="2"/>
  <c r="BA6" i="2"/>
  <c r="AZ6" i="2"/>
  <c r="AY6" i="2"/>
  <c r="AX6" i="2"/>
  <c r="AW6" i="2"/>
  <c r="AT6" i="2"/>
  <c r="AR6" i="2"/>
  <c r="AN6" i="2"/>
  <c r="AM6" i="2"/>
  <c r="AL6" i="2"/>
  <c r="AJ6" i="2"/>
  <c r="AE6" i="2"/>
  <c r="AF6" i="2" s="1"/>
  <c r="AD6" i="2"/>
  <c r="AB6" i="2"/>
  <c r="V6" i="2"/>
  <c r="U6" i="2"/>
  <c r="T6" i="2"/>
  <c r="S6" i="2"/>
  <c r="P6" i="2"/>
  <c r="Q6" i="2" s="1"/>
  <c r="N6" i="2"/>
  <c r="R6" i="2" s="1"/>
  <c r="M6" i="2"/>
  <c r="K6" i="2"/>
  <c r="J6" i="2"/>
  <c r="W6" i="2" s="1"/>
  <c r="BB6" i="2" s="1"/>
  <c r="I6" i="2"/>
  <c r="J50" i="2" s="1"/>
  <c r="G6" i="2"/>
  <c r="B6" i="2"/>
  <c r="BM5" i="2"/>
  <c r="BK5" i="2"/>
  <c r="BC5" i="2"/>
  <c r="BA5" i="2"/>
  <c r="AX5" i="2"/>
  <c r="AW5" i="2"/>
  <c r="AT5" i="2"/>
  <c r="AR5" i="2"/>
  <c r="AN5" i="2"/>
  <c r="AM5" i="2"/>
  <c r="AL5" i="2"/>
  <c r="AJ5" i="2"/>
  <c r="AE5" i="2"/>
  <c r="AF5" i="2" s="1"/>
  <c r="AD5" i="2"/>
  <c r="AB5" i="2"/>
  <c r="V5" i="2"/>
  <c r="U5" i="2"/>
  <c r="T5" i="2"/>
  <c r="R5" i="2"/>
  <c r="S5" i="2" s="1"/>
  <c r="P5" i="2"/>
  <c r="N5" i="2"/>
  <c r="M5" i="2"/>
  <c r="Q5" i="2" s="1"/>
  <c r="J5" i="2"/>
  <c r="I5" i="2"/>
  <c r="G5" i="2"/>
  <c r="B5" i="2"/>
  <c r="I77" i="1"/>
  <c r="H77" i="1"/>
  <c r="G77" i="1"/>
  <c r="Q76" i="1"/>
  <c r="Q77" i="1" s="1"/>
  <c r="P76" i="1"/>
  <c r="P77" i="1" s="1"/>
  <c r="O76" i="1"/>
  <c r="O77" i="1" s="1"/>
  <c r="N76" i="1"/>
  <c r="N77" i="1" s="1"/>
  <c r="I76" i="1"/>
  <c r="H76" i="1"/>
  <c r="G76" i="1"/>
  <c r="F76" i="1"/>
  <c r="F77" i="1" s="1"/>
  <c r="BJ70" i="1"/>
  <c r="BI70" i="1"/>
  <c r="BK70" i="1" s="1"/>
  <c r="BJ69" i="1"/>
  <c r="BK69" i="1" s="1"/>
  <c r="BI69" i="1"/>
  <c r="BJ68" i="1"/>
  <c r="BI68" i="1"/>
  <c r="BK68" i="1" s="1"/>
  <c r="BJ67" i="1"/>
  <c r="BI67" i="1"/>
  <c r="BK67" i="1" s="1"/>
  <c r="BJ66" i="1"/>
  <c r="BI66" i="1"/>
  <c r="BK66" i="1" s="1"/>
  <c r="BJ65" i="1"/>
  <c r="BK65" i="1" s="1"/>
  <c r="BI65" i="1"/>
  <c r="BJ64" i="1"/>
  <c r="BI64" i="1"/>
  <c r="BK64" i="1" s="1"/>
  <c r="BJ63" i="1"/>
  <c r="BI63" i="1"/>
  <c r="BK63" i="1" s="1"/>
  <c r="BJ62" i="1"/>
  <c r="BI62" i="1"/>
  <c r="BK62" i="1" s="1"/>
  <c r="BJ61" i="1"/>
  <c r="BK61" i="1" s="1"/>
  <c r="BI61" i="1"/>
  <c r="BJ60" i="1"/>
  <c r="BI60" i="1"/>
  <c r="BK60" i="1" s="1"/>
  <c r="BJ59" i="1"/>
  <c r="BK59" i="1" s="1"/>
  <c r="BI59" i="1"/>
  <c r="BJ58" i="1"/>
  <c r="BI58" i="1"/>
  <c r="BK58" i="1" s="1"/>
  <c r="Y58" i="1"/>
  <c r="BJ57" i="1"/>
  <c r="BI57" i="1"/>
  <c r="BK57" i="1" s="1"/>
  <c r="X57" i="1"/>
  <c r="BJ56" i="1"/>
  <c r="BK56" i="1" s="1"/>
  <c r="BI56" i="1"/>
  <c r="Y56" i="1"/>
  <c r="X56" i="1"/>
  <c r="BJ55" i="1"/>
  <c r="BK55" i="1" s="1"/>
  <c r="BI55" i="1"/>
  <c r="BJ54" i="1"/>
  <c r="BI54" i="1"/>
  <c r="BK54" i="1" s="1"/>
  <c r="Y54" i="1"/>
  <c r="X55" i="1" s="1"/>
  <c r="X54" i="1"/>
  <c r="BJ53" i="1"/>
  <c r="BI53" i="1"/>
  <c r="BK53" i="1" s="1"/>
  <c r="X53" i="1"/>
  <c r="BK52" i="1"/>
  <c r="BJ52" i="1"/>
  <c r="BI52" i="1"/>
  <c r="Y52" i="1"/>
  <c r="X52" i="1"/>
  <c r="BJ51" i="1"/>
  <c r="BK51" i="1" s="1"/>
  <c r="BI51" i="1"/>
  <c r="BJ50" i="1"/>
  <c r="BJ71" i="1" s="1"/>
  <c r="BI50" i="1"/>
  <c r="AW49" i="1"/>
  <c r="AS49" i="1"/>
  <c r="AS50" i="1" s="1"/>
  <c r="AR49" i="1"/>
  <c r="AR50" i="1" s="1"/>
  <c r="AQ49" i="1"/>
  <c r="AQ50" i="1" s="1"/>
  <c r="AE49" i="1"/>
  <c r="S48" i="1"/>
  <c r="Q48" i="1"/>
  <c r="K48" i="1"/>
  <c r="I48" i="1"/>
  <c r="S46" i="1"/>
  <c r="X46" i="1" s="1"/>
  <c r="K46" i="1"/>
  <c r="AF46" i="1" s="1"/>
  <c r="AN46" i="1" s="1"/>
  <c r="AX46" i="1" s="1"/>
  <c r="AV47" i="1" s="1"/>
  <c r="BH45" i="1"/>
  <c r="W45" i="1"/>
  <c r="BH44" i="1"/>
  <c r="BB44" i="1"/>
  <c r="BF43" i="1"/>
  <c r="BH43" i="1" s="1"/>
  <c r="X43" i="1"/>
  <c r="X42" i="1"/>
  <c r="X41" i="1"/>
  <c r="X40" i="1"/>
  <c r="AQ38" i="1"/>
  <c r="AI38" i="1"/>
  <c r="AA38" i="1"/>
  <c r="O38" i="1"/>
  <c r="U38" i="1" s="1"/>
  <c r="AQ37" i="1"/>
  <c r="AR37" i="1" s="1"/>
  <c r="AL37" i="1"/>
  <c r="AI37" i="1"/>
  <c r="AJ37" i="1" s="1"/>
  <c r="AC37" i="1"/>
  <c r="AD37" i="1" s="1"/>
  <c r="H37" i="1"/>
  <c r="I37" i="1" s="1"/>
  <c r="BJ36" i="1"/>
  <c r="BI36" i="1"/>
  <c r="BH36" i="1"/>
  <c r="BG36" i="1"/>
  <c r="BF36" i="1"/>
  <c r="BE36" i="1"/>
  <c r="BD36" i="1"/>
  <c r="AV36" i="1"/>
  <c r="AV37" i="1" s="1"/>
  <c r="AU36" i="1"/>
  <c r="AU37" i="1" s="1"/>
  <c r="AS36" i="1"/>
  <c r="AS37" i="1" s="1"/>
  <c r="AQ36" i="1"/>
  <c r="AP36" i="1"/>
  <c r="AO36" i="1"/>
  <c r="AK36" i="1"/>
  <c r="AK37" i="1" s="1"/>
  <c r="AI36" i="1"/>
  <c r="AH36" i="1"/>
  <c r="AG36" i="1"/>
  <c r="AC36" i="1"/>
  <c r="AA36" i="1"/>
  <c r="Z36" i="1"/>
  <c r="AD36" i="1" s="1"/>
  <c r="Y36" i="1"/>
  <c r="X36" i="1"/>
  <c r="L36" i="1"/>
  <c r="H36" i="1"/>
  <c r="I36" i="1" s="1"/>
  <c r="E36" i="1"/>
  <c r="F38" i="1" s="1"/>
  <c r="D36" i="1"/>
  <c r="C36" i="1"/>
  <c r="BK35" i="1"/>
  <c r="BM35" i="1" s="1"/>
  <c r="BC35" i="1"/>
  <c r="AZ35" i="1"/>
  <c r="AY35" i="1"/>
  <c r="AX35" i="1"/>
  <c r="AW35" i="1"/>
  <c r="AT35" i="1"/>
  <c r="AR35" i="1"/>
  <c r="AN35" i="1"/>
  <c r="AM35" i="1"/>
  <c r="AL35" i="1"/>
  <c r="AJ35" i="1"/>
  <c r="AE35" i="1"/>
  <c r="AF35" i="1" s="1"/>
  <c r="AD35" i="1"/>
  <c r="AB35" i="1"/>
  <c r="W35" i="1"/>
  <c r="BB35" i="1" s="1"/>
  <c r="V35" i="1"/>
  <c r="BA35" i="1" s="1"/>
  <c r="U35" i="1"/>
  <c r="R35" i="1"/>
  <c r="S35" i="1" s="1"/>
  <c r="Q35" i="1"/>
  <c r="P35" i="1"/>
  <c r="N35" i="1"/>
  <c r="O35" i="1" s="1"/>
  <c r="M35" i="1"/>
  <c r="T35" i="1" s="1"/>
  <c r="J35" i="1"/>
  <c r="K35" i="1" s="1"/>
  <c r="I35" i="1"/>
  <c r="G35" i="1"/>
  <c r="BK34" i="1"/>
  <c r="BM34" i="1" s="1"/>
  <c r="BC34" i="1"/>
  <c r="AY34" i="1"/>
  <c r="AX34" i="1"/>
  <c r="AW34" i="1"/>
  <c r="AT34" i="1"/>
  <c r="AR34" i="1"/>
  <c r="AN34" i="1"/>
  <c r="AM34" i="1"/>
  <c r="AL34" i="1"/>
  <c r="AJ34" i="1"/>
  <c r="AE34" i="1"/>
  <c r="AF34" i="1" s="1"/>
  <c r="AD34" i="1"/>
  <c r="AB34" i="1"/>
  <c r="V34" i="1"/>
  <c r="BA34" i="1" s="1"/>
  <c r="U34" i="1"/>
  <c r="AZ34" i="1" s="1"/>
  <c r="T34" i="1"/>
  <c r="P34" i="1"/>
  <c r="Q34" i="1" s="1"/>
  <c r="N34" i="1"/>
  <c r="M34" i="1"/>
  <c r="O34" i="1" s="1"/>
  <c r="J34" i="1"/>
  <c r="K34" i="1" s="1"/>
  <c r="I34" i="1"/>
  <c r="G34" i="1"/>
  <c r="BK33" i="1"/>
  <c r="BM33" i="1" s="1"/>
  <c r="BC33" i="1"/>
  <c r="AY33" i="1"/>
  <c r="AX33" i="1"/>
  <c r="AW33" i="1"/>
  <c r="AT33" i="1"/>
  <c r="AR33" i="1"/>
  <c r="AN33" i="1"/>
  <c r="AM33" i="1"/>
  <c r="AL33" i="1"/>
  <c r="AJ33" i="1"/>
  <c r="AF33" i="1"/>
  <c r="AE33" i="1"/>
  <c r="AD33" i="1"/>
  <c r="AB33" i="1"/>
  <c r="U33" i="1"/>
  <c r="AZ33" i="1" s="1"/>
  <c r="T33" i="1"/>
  <c r="P33" i="1"/>
  <c r="R33" i="1" s="1"/>
  <c r="S33" i="1" s="1"/>
  <c r="O33" i="1"/>
  <c r="N33" i="1"/>
  <c r="M33" i="1"/>
  <c r="J33" i="1"/>
  <c r="I33" i="1"/>
  <c r="G33" i="1"/>
  <c r="BK32" i="1"/>
  <c r="BC32" i="1"/>
  <c r="BA32" i="1"/>
  <c r="AZ32" i="1"/>
  <c r="AX32" i="1"/>
  <c r="AW32" i="1"/>
  <c r="AT32" i="1"/>
  <c r="AR32" i="1"/>
  <c r="AN32" i="1"/>
  <c r="AM32" i="1"/>
  <c r="AL32" i="1"/>
  <c r="AJ32" i="1"/>
  <c r="AE32" i="1"/>
  <c r="AF32" i="1" s="1"/>
  <c r="AD32" i="1"/>
  <c r="AB32" i="1"/>
  <c r="T32" i="1"/>
  <c r="R32" i="1"/>
  <c r="S32" i="1" s="1"/>
  <c r="P32" i="1"/>
  <c r="V32" i="1" s="1"/>
  <c r="O32" i="1"/>
  <c r="N32" i="1"/>
  <c r="U32" i="1" s="1"/>
  <c r="M32" i="1"/>
  <c r="AY32" i="1" s="1"/>
  <c r="K32" i="1"/>
  <c r="J32" i="1"/>
  <c r="I32" i="1"/>
  <c r="G32" i="1"/>
  <c r="BK31" i="1"/>
  <c r="BM31" i="1" s="1"/>
  <c r="BC31" i="1"/>
  <c r="BA31" i="1"/>
  <c r="AX31" i="1"/>
  <c r="AW31" i="1"/>
  <c r="AT31" i="1"/>
  <c r="AR31" i="1"/>
  <c r="AN31" i="1"/>
  <c r="AM31" i="1"/>
  <c r="AL31" i="1"/>
  <c r="AJ31" i="1"/>
  <c r="AE31" i="1"/>
  <c r="AF31" i="1" s="1"/>
  <c r="AD31" i="1"/>
  <c r="AB31" i="1"/>
  <c r="P31" i="1"/>
  <c r="V31" i="1" s="1"/>
  <c r="N31" i="1"/>
  <c r="M31" i="1"/>
  <c r="T31" i="1" s="1"/>
  <c r="K31" i="1"/>
  <c r="J31" i="1"/>
  <c r="I31" i="1"/>
  <c r="G31" i="1"/>
  <c r="BK30" i="1"/>
  <c r="BM30" i="1" s="1"/>
  <c r="BC30" i="1"/>
  <c r="AX30" i="1"/>
  <c r="AW30" i="1"/>
  <c r="AT30" i="1"/>
  <c r="AR30" i="1"/>
  <c r="AN30" i="1"/>
  <c r="AM30" i="1"/>
  <c r="AL30" i="1"/>
  <c r="AJ30" i="1"/>
  <c r="AE30" i="1"/>
  <c r="AF30" i="1" s="1"/>
  <c r="AD30" i="1"/>
  <c r="AB30" i="1"/>
  <c r="P30" i="1"/>
  <c r="V30" i="1" s="1"/>
  <c r="BA30" i="1" s="1"/>
  <c r="N30" i="1"/>
  <c r="U30" i="1" s="1"/>
  <c r="AZ30" i="1" s="1"/>
  <c r="M30" i="1"/>
  <c r="J30" i="1"/>
  <c r="I30" i="1"/>
  <c r="G30" i="1"/>
  <c r="BK29" i="1"/>
  <c r="BM29" i="1" s="1"/>
  <c r="BC29" i="1"/>
  <c r="AY29" i="1"/>
  <c r="AX29" i="1"/>
  <c r="AW29" i="1"/>
  <c r="AT29" i="1"/>
  <c r="AR29" i="1"/>
  <c r="AN29" i="1"/>
  <c r="AM29" i="1"/>
  <c r="AL29" i="1"/>
  <c r="AJ29" i="1"/>
  <c r="AF29" i="1"/>
  <c r="AE29" i="1"/>
  <c r="AD29" i="1"/>
  <c r="AB29" i="1"/>
  <c r="W29" i="1"/>
  <c r="BB29" i="1" s="1"/>
  <c r="V29" i="1"/>
  <c r="BA29" i="1" s="1"/>
  <c r="Q29" i="1"/>
  <c r="P29" i="1"/>
  <c r="R29" i="1" s="1"/>
  <c r="O29" i="1"/>
  <c r="N29" i="1"/>
  <c r="U29" i="1" s="1"/>
  <c r="AZ29" i="1" s="1"/>
  <c r="M29" i="1"/>
  <c r="T29" i="1" s="1"/>
  <c r="K29" i="1"/>
  <c r="J29" i="1"/>
  <c r="I29" i="1"/>
  <c r="G29" i="1"/>
  <c r="BK28" i="1"/>
  <c r="BM28" i="1" s="1"/>
  <c r="BC28" i="1"/>
  <c r="AY28" i="1"/>
  <c r="AX28" i="1"/>
  <c r="AW28" i="1"/>
  <c r="AT28" i="1"/>
  <c r="AR28" i="1"/>
  <c r="AN28" i="1"/>
  <c r="AM28" i="1"/>
  <c r="AL28" i="1"/>
  <c r="AJ28" i="1"/>
  <c r="AE28" i="1"/>
  <c r="AF28" i="1" s="1"/>
  <c r="AD28" i="1"/>
  <c r="AB28" i="1"/>
  <c r="U28" i="1"/>
  <c r="AZ28" i="1" s="1"/>
  <c r="P28" i="1"/>
  <c r="Q28" i="1" s="1"/>
  <c r="N28" i="1"/>
  <c r="M28" i="1"/>
  <c r="T28" i="1" s="1"/>
  <c r="J28" i="1"/>
  <c r="K28" i="1" s="1"/>
  <c r="I28" i="1"/>
  <c r="G28" i="1"/>
  <c r="BK27" i="1"/>
  <c r="BM27" i="1" s="1"/>
  <c r="BC27" i="1"/>
  <c r="AX27" i="1"/>
  <c r="AW27" i="1"/>
  <c r="AT27" i="1"/>
  <c r="AR27" i="1"/>
  <c r="AN27" i="1"/>
  <c r="AM27" i="1"/>
  <c r="AL27" i="1"/>
  <c r="AJ27" i="1"/>
  <c r="AE27" i="1"/>
  <c r="AF27" i="1" s="1"/>
  <c r="AD27" i="1"/>
  <c r="AB27" i="1"/>
  <c r="V27" i="1"/>
  <c r="BA27" i="1" s="1"/>
  <c r="P27" i="1"/>
  <c r="N27" i="1"/>
  <c r="R27" i="1" s="1"/>
  <c r="M27" i="1"/>
  <c r="J27" i="1"/>
  <c r="K27" i="1" s="1"/>
  <c r="I27" i="1"/>
  <c r="G27" i="1"/>
  <c r="BM26" i="1"/>
  <c r="BK26" i="1"/>
  <c r="BC26" i="1"/>
  <c r="BA26" i="1"/>
  <c r="AX26" i="1"/>
  <c r="AW26" i="1"/>
  <c r="AT26" i="1"/>
  <c r="AR26" i="1"/>
  <c r="AN26" i="1"/>
  <c r="AM26" i="1"/>
  <c r="AL26" i="1"/>
  <c r="AJ26" i="1"/>
  <c r="AE26" i="1"/>
  <c r="AF26" i="1" s="1"/>
  <c r="AD26" i="1"/>
  <c r="AB26" i="1"/>
  <c r="V26" i="1"/>
  <c r="U26" i="1"/>
  <c r="AZ26" i="1" s="1"/>
  <c r="T26" i="1"/>
  <c r="P26" i="1"/>
  <c r="N26" i="1"/>
  <c r="M26" i="1"/>
  <c r="AY26" i="1" s="1"/>
  <c r="K26" i="1"/>
  <c r="J26" i="1"/>
  <c r="I26" i="1"/>
  <c r="G26" i="1"/>
  <c r="BM25" i="1"/>
  <c r="BK25" i="1"/>
  <c r="BC25" i="1"/>
  <c r="BA25" i="1"/>
  <c r="AX25" i="1"/>
  <c r="AW25" i="1"/>
  <c r="AT25" i="1"/>
  <c r="AR25" i="1"/>
  <c r="AN25" i="1"/>
  <c r="AM25" i="1"/>
  <c r="AL25" i="1"/>
  <c r="AJ25" i="1"/>
  <c r="AE25" i="1"/>
  <c r="AF25" i="1" s="1"/>
  <c r="AD25" i="1"/>
  <c r="AB25" i="1"/>
  <c r="V25" i="1"/>
  <c r="T25" i="1"/>
  <c r="S25" i="1"/>
  <c r="R25" i="1"/>
  <c r="P25" i="1"/>
  <c r="N25" i="1"/>
  <c r="M25" i="1"/>
  <c r="Q25" i="1" s="1"/>
  <c r="J25" i="1"/>
  <c r="K25" i="1" s="1"/>
  <c r="I25" i="1"/>
  <c r="G25" i="1"/>
  <c r="BK24" i="1"/>
  <c r="BM24" i="1" s="1"/>
  <c r="BC24" i="1"/>
  <c r="AZ24" i="1"/>
  <c r="AY24" i="1"/>
  <c r="AX24" i="1"/>
  <c r="AW24" i="1"/>
  <c r="AT24" i="1"/>
  <c r="AR24" i="1"/>
  <c r="AN24" i="1"/>
  <c r="AM24" i="1"/>
  <c r="AL24" i="1"/>
  <c r="AJ24" i="1"/>
  <c r="AE24" i="1"/>
  <c r="AF24" i="1" s="1"/>
  <c r="AD24" i="1"/>
  <c r="AB24" i="1"/>
  <c r="V24" i="1"/>
  <c r="BA24" i="1" s="1"/>
  <c r="U24" i="1"/>
  <c r="R24" i="1"/>
  <c r="S24" i="1" s="1"/>
  <c r="Q24" i="1"/>
  <c r="P24" i="1"/>
  <c r="N24" i="1"/>
  <c r="O24" i="1" s="1"/>
  <c r="M24" i="1"/>
  <c r="T24" i="1" s="1"/>
  <c r="J24" i="1"/>
  <c r="W24" i="1" s="1"/>
  <c r="BB24" i="1" s="1"/>
  <c r="I24" i="1"/>
  <c r="G24" i="1"/>
  <c r="BK23" i="1"/>
  <c r="BM23" i="1" s="1"/>
  <c r="BC23" i="1"/>
  <c r="AY23" i="1"/>
  <c r="AX23" i="1"/>
  <c r="AW23" i="1"/>
  <c r="AT23" i="1"/>
  <c r="AR23" i="1"/>
  <c r="AN23" i="1"/>
  <c r="AM23" i="1"/>
  <c r="AL23" i="1"/>
  <c r="AJ23" i="1"/>
  <c r="AF23" i="1"/>
  <c r="AE23" i="1"/>
  <c r="AD23" i="1"/>
  <c r="AB23" i="1"/>
  <c r="W23" i="1"/>
  <c r="BB23" i="1" s="1"/>
  <c r="V23" i="1"/>
  <c r="BA23" i="1" s="1"/>
  <c r="U23" i="1"/>
  <c r="AZ23" i="1" s="1"/>
  <c r="T23" i="1"/>
  <c r="R23" i="1"/>
  <c r="S23" i="1" s="1"/>
  <c r="Q23" i="1"/>
  <c r="P23" i="1"/>
  <c r="O23" i="1"/>
  <c r="N23" i="1"/>
  <c r="M23" i="1"/>
  <c r="J23" i="1"/>
  <c r="K23" i="1" s="1"/>
  <c r="I23" i="1"/>
  <c r="G23" i="1"/>
  <c r="BK22" i="1"/>
  <c r="BM22" i="1" s="1"/>
  <c r="BC22" i="1"/>
  <c r="AY22" i="1"/>
  <c r="AX22" i="1"/>
  <c r="AW22" i="1"/>
  <c r="AT22" i="1"/>
  <c r="AR22" i="1"/>
  <c r="AM22" i="1"/>
  <c r="AN22" i="1" s="1"/>
  <c r="AL22" i="1"/>
  <c r="AJ22" i="1"/>
  <c r="AF22" i="1"/>
  <c r="AE22" i="1"/>
  <c r="AD22" i="1"/>
  <c r="AB22" i="1"/>
  <c r="V22" i="1"/>
  <c r="BA22" i="1" s="1"/>
  <c r="U22" i="1"/>
  <c r="AZ22" i="1" s="1"/>
  <c r="T22" i="1"/>
  <c r="P22" i="1"/>
  <c r="R22" i="1" s="1"/>
  <c r="S22" i="1" s="1"/>
  <c r="O22" i="1"/>
  <c r="N22" i="1"/>
  <c r="M22" i="1"/>
  <c r="J22" i="1"/>
  <c r="W22" i="1" s="1"/>
  <c r="BB22" i="1" s="1"/>
  <c r="I22" i="1"/>
  <c r="G22" i="1"/>
  <c r="BK21" i="1"/>
  <c r="BM21" i="1" s="1"/>
  <c r="BC21" i="1"/>
  <c r="AX21" i="1"/>
  <c r="AW21" i="1"/>
  <c r="AT21" i="1"/>
  <c r="AR21" i="1"/>
  <c r="AN21" i="1"/>
  <c r="AM21" i="1"/>
  <c r="AL21" i="1"/>
  <c r="AJ21" i="1"/>
  <c r="AE21" i="1"/>
  <c r="AF21" i="1" s="1"/>
  <c r="AD21" i="1"/>
  <c r="AB21" i="1"/>
  <c r="T21" i="1"/>
  <c r="P21" i="1"/>
  <c r="O21" i="1"/>
  <c r="N21" i="1"/>
  <c r="M21" i="1"/>
  <c r="AY21" i="1" s="1"/>
  <c r="J21" i="1"/>
  <c r="K21" i="1" s="1"/>
  <c r="I21" i="1"/>
  <c r="G21" i="1"/>
  <c r="BM20" i="1"/>
  <c r="BK20" i="1"/>
  <c r="BC20" i="1"/>
  <c r="AZ20" i="1"/>
  <c r="AX20" i="1"/>
  <c r="AW20" i="1"/>
  <c r="AT20" i="1"/>
  <c r="AR20" i="1"/>
  <c r="AN20" i="1"/>
  <c r="AM20" i="1"/>
  <c r="AL20" i="1"/>
  <c r="AJ20" i="1"/>
  <c r="AE20" i="1"/>
  <c r="AF20" i="1" s="1"/>
  <c r="AD20" i="1"/>
  <c r="AB20" i="1"/>
  <c r="U20" i="1"/>
  <c r="T20" i="1"/>
  <c r="R20" i="1"/>
  <c r="S20" i="1" s="1"/>
  <c r="P20" i="1"/>
  <c r="V20" i="1" s="1"/>
  <c r="BA20" i="1" s="1"/>
  <c r="N20" i="1"/>
  <c r="O20" i="1" s="1"/>
  <c r="M20" i="1"/>
  <c r="AY20" i="1" s="1"/>
  <c r="K20" i="1"/>
  <c r="J20" i="1"/>
  <c r="I20" i="1"/>
  <c r="G20" i="1"/>
  <c r="BK19" i="1"/>
  <c r="BM19" i="1" s="1"/>
  <c r="BC19" i="1"/>
  <c r="BA19" i="1"/>
  <c r="AX19" i="1"/>
  <c r="AW19" i="1"/>
  <c r="AT19" i="1"/>
  <c r="AR19" i="1"/>
  <c r="AN19" i="1"/>
  <c r="AM19" i="1"/>
  <c r="AL19" i="1"/>
  <c r="AJ19" i="1"/>
  <c r="AE19" i="1"/>
  <c r="AF19" i="1" s="1"/>
  <c r="AB19" i="1"/>
  <c r="P19" i="1"/>
  <c r="V19" i="1" s="1"/>
  <c r="M19" i="1"/>
  <c r="T19" i="1" s="1"/>
  <c r="I19" i="1"/>
  <c r="H19" i="1"/>
  <c r="F19" i="1"/>
  <c r="BK18" i="1"/>
  <c r="BM18" i="1" s="1"/>
  <c r="BC18" i="1"/>
  <c r="BA18" i="1"/>
  <c r="AX18" i="1"/>
  <c r="AW18" i="1"/>
  <c r="AT18" i="1"/>
  <c r="AR18" i="1"/>
  <c r="AM18" i="1"/>
  <c r="AN18" i="1" s="1"/>
  <c r="AL18" i="1"/>
  <c r="AJ18" i="1"/>
  <c r="AE18" i="1"/>
  <c r="AF18" i="1" s="1"/>
  <c r="AD18" i="1"/>
  <c r="AB18" i="1"/>
  <c r="P18" i="1"/>
  <c r="N18" i="1"/>
  <c r="M18" i="1"/>
  <c r="AY18" i="1" s="1"/>
  <c r="H18" i="1"/>
  <c r="V18" i="1" s="1"/>
  <c r="F18" i="1"/>
  <c r="BM17" i="1"/>
  <c r="BK17" i="1"/>
  <c r="BC17" i="1"/>
  <c r="BA17" i="1"/>
  <c r="AX17" i="1"/>
  <c r="AW17" i="1"/>
  <c r="AT17" i="1"/>
  <c r="AR17" i="1"/>
  <c r="AN17" i="1"/>
  <c r="AM17" i="1"/>
  <c r="AL17" i="1"/>
  <c r="AJ17" i="1"/>
  <c r="AE17" i="1"/>
  <c r="AF17" i="1" s="1"/>
  <c r="AD17" i="1"/>
  <c r="AB17" i="1"/>
  <c r="U17" i="1"/>
  <c r="AZ17" i="1" s="1"/>
  <c r="P17" i="1"/>
  <c r="V17" i="1" s="1"/>
  <c r="N17" i="1"/>
  <c r="R17" i="1" s="1"/>
  <c r="M17" i="1"/>
  <c r="AY17" i="1" s="1"/>
  <c r="K17" i="1"/>
  <c r="J17" i="1"/>
  <c r="I17" i="1"/>
  <c r="G17" i="1"/>
  <c r="BK16" i="1"/>
  <c r="BM16" i="1" s="1"/>
  <c r="BC16" i="1"/>
  <c r="AY16" i="1"/>
  <c r="AX16" i="1"/>
  <c r="AW16" i="1"/>
  <c r="AT16" i="1"/>
  <c r="AR16" i="1"/>
  <c r="AN16" i="1"/>
  <c r="AM16" i="1"/>
  <c r="AL16" i="1"/>
  <c r="AJ16" i="1"/>
  <c r="AE16" i="1"/>
  <c r="AF16" i="1" s="1"/>
  <c r="AD16" i="1"/>
  <c r="AB16" i="1"/>
  <c r="T16" i="1"/>
  <c r="Q16" i="1"/>
  <c r="P16" i="1"/>
  <c r="V16" i="1" s="1"/>
  <c r="BA16" i="1" s="1"/>
  <c r="N16" i="1"/>
  <c r="U16" i="1" s="1"/>
  <c r="AZ16" i="1" s="1"/>
  <c r="M16" i="1"/>
  <c r="K16" i="1"/>
  <c r="J16" i="1"/>
  <c r="I16" i="1"/>
  <c r="G16" i="1"/>
  <c r="BM15" i="1"/>
  <c r="BK15" i="1"/>
  <c r="BC15" i="1"/>
  <c r="BA15" i="1"/>
  <c r="AY15" i="1"/>
  <c r="AX15" i="1"/>
  <c r="AW15" i="1"/>
  <c r="AT15" i="1"/>
  <c r="AR15" i="1"/>
  <c r="AN15" i="1"/>
  <c r="AM15" i="1"/>
  <c r="AL15" i="1"/>
  <c r="AJ15" i="1"/>
  <c r="AE15" i="1"/>
  <c r="AF15" i="1" s="1"/>
  <c r="AD15" i="1"/>
  <c r="AB15" i="1"/>
  <c r="P15" i="1"/>
  <c r="V15" i="1" s="1"/>
  <c r="N15" i="1"/>
  <c r="M15" i="1"/>
  <c r="T15" i="1" s="1"/>
  <c r="K15" i="1"/>
  <c r="J15" i="1"/>
  <c r="I15" i="1"/>
  <c r="G15" i="1"/>
  <c r="BK14" i="1"/>
  <c r="BM14" i="1" s="1"/>
  <c r="BC14" i="1"/>
  <c r="AX14" i="1"/>
  <c r="AW14" i="1"/>
  <c r="AT14" i="1"/>
  <c r="AR14" i="1"/>
  <c r="AN14" i="1"/>
  <c r="AM14" i="1"/>
  <c r="AL14" i="1"/>
  <c r="AJ14" i="1"/>
  <c r="AF14" i="1"/>
  <c r="AE14" i="1"/>
  <c r="AD14" i="1"/>
  <c r="AB14" i="1"/>
  <c r="V14" i="1"/>
  <c r="BA14" i="1" s="1"/>
  <c r="R14" i="1"/>
  <c r="W14" i="1" s="1"/>
  <c r="BB14" i="1" s="1"/>
  <c r="P14" i="1"/>
  <c r="Q14" i="1" s="1"/>
  <c r="N14" i="1"/>
  <c r="U14" i="1" s="1"/>
  <c r="AZ14" i="1" s="1"/>
  <c r="M14" i="1"/>
  <c r="K14" i="1"/>
  <c r="J14" i="1"/>
  <c r="I14" i="1"/>
  <c r="G14" i="1"/>
  <c r="BK13" i="1"/>
  <c r="BM13" i="1" s="1"/>
  <c r="BC13" i="1"/>
  <c r="AY13" i="1"/>
  <c r="AX13" i="1"/>
  <c r="AW13" i="1"/>
  <c r="AT13" i="1"/>
  <c r="AR13" i="1"/>
  <c r="AN13" i="1"/>
  <c r="AM13" i="1"/>
  <c r="AL13" i="1"/>
  <c r="AJ13" i="1"/>
  <c r="AE13" i="1"/>
  <c r="AF13" i="1" s="1"/>
  <c r="AD13" i="1"/>
  <c r="AB13" i="1"/>
  <c r="V13" i="1"/>
  <c r="BA13" i="1" s="1"/>
  <c r="U13" i="1"/>
  <c r="AZ13" i="1" s="1"/>
  <c r="Q13" i="1"/>
  <c r="P13" i="1"/>
  <c r="N13" i="1"/>
  <c r="R13" i="1" s="1"/>
  <c r="M13" i="1"/>
  <c r="T13" i="1" s="1"/>
  <c r="J13" i="1"/>
  <c r="K13" i="1" s="1"/>
  <c r="I13" i="1"/>
  <c r="G13" i="1"/>
  <c r="BM12" i="1"/>
  <c r="BK12" i="1"/>
  <c r="BC12" i="1"/>
  <c r="AX12" i="1"/>
  <c r="AW12" i="1"/>
  <c r="AT12" i="1"/>
  <c r="AR12" i="1"/>
  <c r="AN12" i="1"/>
  <c r="AM12" i="1"/>
  <c r="AL12" i="1"/>
  <c r="AJ12" i="1"/>
  <c r="AF12" i="1"/>
  <c r="AE12" i="1"/>
  <c r="AD12" i="1"/>
  <c r="AB12" i="1"/>
  <c r="V12" i="1"/>
  <c r="BA12" i="1" s="1"/>
  <c r="U12" i="1"/>
  <c r="AZ12" i="1" s="1"/>
  <c r="T12" i="1"/>
  <c r="P12" i="1"/>
  <c r="N12" i="1"/>
  <c r="R12" i="1" s="1"/>
  <c r="M12" i="1"/>
  <c r="J12" i="1"/>
  <c r="K12" i="1" s="1"/>
  <c r="I12" i="1"/>
  <c r="G12" i="1"/>
  <c r="BK11" i="1"/>
  <c r="BM11" i="1" s="1"/>
  <c r="BC11" i="1"/>
  <c r="BA11" i="1"/>
  <c r="AX11" i="1"/>
  <c r="AW11" i="1"/>
  <c r="AT11" i="1"/>
  <c r="AR11" i="1"/>
  <c r="AN11" i="1"/>
  <c r="AM11" i="1"/>
  <c r="AL11" i="1"/>
  <c r="AJ11" i="1"/>
  <c r="AE11" i="1"/>
  <c r="AF11" i="1" s="1"/>
  <c r="AD11" i="1"/>
  <c r="AB11" i="1"/>
  <c r="V11" i="1"/>
  <c r="U11" i="1"/>
  <c r="AZ11" i="1" s="1"/>
  <c r="T11" i="1"/>
  <c r="P11" i="1"/>
  <c r="N11" i="1"/>
  <c r="R11" i="1" s="1"/>
  <c r="M11" i="1"/>
  <c r="S11" i="1" s="1"/>
  <c r="K11" i="1"/>
  <c r="J11" i="1"/>
  <c r="W11" i="1" s="1"/>
  <c r="BB11" i="1" s="1"/>
  <c r="I11" i="1"/>
  <c r="G11" i="1"/>
  <c r="BM10" i="1"/>
  <c r="BK10" i="1"/>
  <c r="BC10" i="1"/>
  <c r="BA10" i="1"/>
  <c r="AX10" i="1"/>
  <c r="AW10" i="1"/>
  <c r="AT10" i="1"/>
  <c r="AR10" i="1"/>
  <c r="AN10" i="1"/>
  <c r="AM10" i="1"/>
  <c r="AL10" i="1"/>
  <c r="AJ10" i="1"/>
  <c r="AE10" i="1"/>
  <c r="AF10" i="1" s="1"/>
  <c r="AD10" i="1"/>
  <c r="AB10" i="1"/>
  <c r="V10" i="1"/>
  <c r="U10" i="1"/>
  <c r="AZ10" i="1" s="1"/>
  <c r="T10" i="1"/>
  <c r="P10" i="1"/>
  <c r="N10" i="1"/>
  <c r="M10" i="1"/>
  <c r="Q10" i="1" s="1"/>
  <c r="J10" i="1"/>
  <c r="K10" i="1" s="1"/>
  <c r="I10" i="1"/>
  <c r="G10" i="1"/>
  <c r="BK9" i="1"/>
  <c r="BM9" i="1" s="1"/>
  <c r="BC9" i="1"/>
  <c r="AZ9" i="1"/>
  <c r="AX9" i="1"/>
  <c r="AW9" i="1"/>
  <c r="AT9" i="1"/>
  <c r="AR9" i="1"/>
  <c r="AN9" i="1"/>
  <c r="AM9" i="1"/>
  <c r="AL9" i="1"/>
  <c r="AJ9" i="1"/>
  <c r="AE9" i="1"/>
  <c r="AF9" i="1" s="1"/>
  <c r="AD9" i="1"/>
  <c r="AB9" i="1"/>
  <c r="W9" i="1"/>
  <c r="V9" i="1"/>
  <c r="BA9" i="1" s="1"/>
  <c r="U9" i="1"/>
  <c r="R9" i="1"/>
  <c r="P9" i="1"/>
  <c r="N9" i="1"/>
  <c r="M9" i="1"/>
  <c r="T9" i="1" s="1"/>
  <c r="J9" i="1"/>
  <c r="K9" i="1" s="1"/>
  <c r="I9" i="1"/>
  <c r="G9" i="1"/>
  <c r="BM8" i="1"/>
  <c r="BK8" i="1"/>
  <c r="BC8" i="1"/>
  <c r="AY8" i="1"/>
  <c r="AX8" i="1"/>
  <c r="AW8" i="1"/>
  <c r="AT8" i="1"/>
  <c r="AR8" i="1"/>
  <c r="AN8" i="1"/>
  <c r="AM8" i="1"/>
  <c r="AL8" i="1"/>
  <c r="AJ8" i="1"/>
  <c r="AE8" i="1"/>
  <c r="AF8" i="1" s="1"/>
  <c r="AD8" i="1"/>
  <c r="AB8" i="1"/>
  <c r="U8" i="1"/>
  <c r="AZ8" i="1" s="1"/>
  <c r="T8" i="1"/>
  <c r="P8" i="1"/>
  <c r="V8" i="1" s="1"/>
  <c r="BA8" i="1" s="1"/>
  <c r="N8" i="1"/>
  <c r="O8" i="1" s="1"/>
  <c r="M8" i="1"/>
  <c r="K8" i="1"/>
  <c r="J8" i="1"/>
  <c r="I8" i="1"/>
  <c r="G8" i="1"/>
  <c r="BK7" i="1"/>
  <c r="BM7" i="1" s="1"/>
  <c r="BC7" i="1"/>
  <c r="AX7" i="1"/>
  <c r="AW7" i="1"/>
  <c r="AT7" i="1"/>
  <c r="AR7" i="1"/>
  <c r="AN7" i="1"/>
  <c r="AM7" i="1"/>
  <c r="AL7" i="1"/>
  <c r="AJ7" i="1"/>
  <c r="AF7" i="1"/>
  <c r="AE7" i="1"/>
  <c r="AD7" i="1"/>
  <c r="AB7" i="1"/>
  <c r="V7" i="1"/>
  <c r="BA7" i="1" s="1"/>
  <c r="U7" i="1"/>
  <c r="AZ7" i="1" s="1"/>
  <c r="T7" i="1"/>
  <c r="P7" i="1"/>
  <c r="R7" i="1" s="1"/>
  <c r="O7" i="1"/>
  <c r="N7" i="1"/>
  <c r="M7" i="1"/>
  <c r="AY7" i="1" s="1"/>
  <c r="J7" i="1"/>
  <c r="K7" i="1" s="1"/>
  <c r="I7" i="1"/>
  <c r="G7" i="1"/>
  <c r="BK6" i="1"/>
  <c r="BM6" i="1" s="1"/>
  <c r="BC6" i="1"/>
  <c r="AX6" i="1"/>
  <c r="AW6" i="1"/>
  <c r="AT6" i="1"/>
  <c r="AR6" i="1"/>
  <c r="AN6" i="1"/>
  <c r="AM6" i="1"/>
  <c r="AL6" i="1"/>
  <c r="AJ6" i="1"/>
  <c r="AF6" i="1"/>
  <c r="AE6" i="1"/>
  <c r="AD6" i="1"/>
  <c r="AB6" i="1"/>
  <c r="V6" i="1"/>
  <c r="BA6" i="1" s="1"/>
  <c r="T6" i="1"/>
  <c r="S6" i="1"/>
  <c r="P6" i="1"/>
  <c r="Q6" i="1" s="1"/>
  <c r="N6" i="1"/>
  <c r="R6" i="1" s="1"/>
  <c r="M6" i="1"/>
  <c r="AY6" i="1" s="1"/>
  <c r="K6" i="1"/>
  <c r="J6" i="1"/>
  <c r="I6" i="1"/>
  <c r="G6" i="1"/>
  <c r="BM5" i="1"/>
  <c r="BK5" i="1"/>
  <c r="BK36" i="1" s="1"/>
  <c r="BK37" i="1" s="1"/>
  <c r="BC5" i="1"/>
  <c r="BC36" i="1" s="1"/>
  <c r="BC37" i="1" s="1"/>
  <c r="AX5" i="1"/>
  <c r="AW5" i="1"/>
  <c r="AT5" i="1"/>
  <c r="AR5" i="1"/>
  <c r="AN5" i="1"/>
  <c r="AM5" i="1"/>
  <c r="AM36" i="1" s="1"/>
  <c r="AL5" i="1"/>
  <c r="AJ5" i="1"/>
  <c r="AF5" i="1"/>
  <c r="AE5" i="1"/>
  <c r="AD5" i="1"/>
  <c r="AB5" i="1"/>
  <c r="U5" i="1"/>
  <c r="P5" i="1"/>
  <c r="N5" i="1"/>
  <c r="O5" i="1" s="1"/>
  <c r="M5" i="1"/>
  <c r="AY5" i="1" s="1"/>
  <c r="K5" i="1"/>
  <c r="J5" i="1"/>
  <c r="I5" i="1"/>
  <c r="G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M37" i="3" l="1"/>
  <c r="AN36" i="3"/>
  <c r="Q8" i="3"/>
  <c r="V8" i="3"/>
  <c r="BA8" i="3" s="1"/>
  <c r="Q10" i="3"/>
  <c r="K17" i="3"/>
  <c r="T18" i="3"/>
  <c r="S18" i="3"/>
  <c r="V20" i="3"/>
  <c r="BA20" i="3" s="1"/>
  <c r="Q20" i="3"/>
  <c r="K16" i="3"/>
  <c r="T17" i="3"/>
  <c r="S17" i="3"/>
  <c r="Q17" i="3"/>
  <c r="U18" i="3"/>
  <c r="AZ18" i="3" s="1"/>
  <c r="O18" i="3"/>
  <c r="R18" i="3"/>
  <c r="W18" i="3" s="1"/>
  <c r="BB18" i="3" s="1"/>
  <c r="V21" i="3"/>
  <c r="BA21" i="3" s="1"/>
  <c r="R21" i="3"/>
  <c r="S21" i="3" s="1"/>
  <c r="BF42" i="3"/>
  <c r="BF46" i="3" s="1"/>
  <c r="AT37" i="3"/>
  <c r="BK50" i="3"/>
  <c r="BI71" i="3"/>
  <c r="BB27" i="3"/>
  <c r="AY18" i="3"/>
  <c r="BJ71" i="3"/>
  <c r="X58" i="3"/>
  <c r="X59" i="3"/>
  <c r="J36" i="3"/>
  <c r="W6" i="3"/>
  <c r="BB6" i="3" s="1"/>
  <c r="W30" i="3"/>
  <c r="BB30" i="3" s="1"/>
  <c r="BK58" i="3"/>
  <c r="K5" i="3"/>
  <c r="AY17" i="3"/>
  <c r="T32" i="3"/>
  <c r="AY19" i="3"/>
  <c r="T19" i="3"/>
  <c r="S19" i="3"/>
  <c r="U20" i="3"/>
  <c r="AZ20" i="3" s="1"/>
  <c r="R20" i="3"/>
  <c r="S20" i="3" s="1"/>
  <c r="AY7" i="3"/>
  <c r="T7" i="3"/>
  <c r="S5" i="3"/>
  <c r="T5" i="3"/>
  <c r="T6" i="3"/>
  <c r="U7" i="3"/>
  <c r="AZ7" i="3" s="1"/>
  <c r="R7" i="3"/>
  <c r="S7" i="3" s="1"/>
  <c r="W9" i="3"/>
  <c r="BB9" i="3" s="1"/>
  <c r="W29" i="3"/>
  <c r="BB29" i="3" s="1"/>
  <c r="BB5" i="3"/>
  <c r="R34" i="3"/>
  <c r="S34" i="3" s="1"/>
  <c r="V34" i="3"/>
  <c r="BA34" i="3" s="1"/>
  <c r="V9" i="3"/>
  <c r="BA9" i="3" s="1"/>
  <c r="R9" i="3"/>
  <c r="S9" i="3" s="1"/>
  <c r="T31" i="3"/>
  <c r="S31" i="3"/>
  <c r="U32" i="3"/>
  <c r="AZ32" i="3" s="1"/>
  <c r="O32" i="3"/>
  <c r="R32" i="3"/>
  <c r="S32" i="3" s="1"/>
  <c r="V33" i="3"/>
  <c r="BA33" i="3" s="1"/>
  <c r="Q33" i="3"/>
  <c r="Q34" i="3"/>
  <c r="AW36" i="3"/>
  <c r="O6" i="3"/>
  <c r="N36" i="3"/>
  <c r="U6" i="3"/>
  <c r="AZ6" i="3" s="1"/>
  <c r="R6" i="3"/>
  <c r="S6" i="3" s="1"/>
  <c r="O7" i="3"/>
  <c r="R8" i="3"/>
  <c r="S8" i="3" s="1"/>
  <c r="U8" i="3"/>
  <c r="AZ8" i="3" s="1"/>
  <c r="W15" i="3"/>
  <c r="BB15" i="3" s="1"/>
  <c r="W32" i="3"/>
  <c r="BB32" i="3" s="1"/>
  <c r="AY32" i="3"/>
  <c r="Q35" i="3"/>
  <c r="BK36" i="3"/>
  <c r="BK37" i="3" s="1"/>
  <c r="R10" i="3"/>
  <c r="S10" i="3" s="1"/>
  <c r="U19" i="3"/>
  <c r="AZ19" i="3" s="1"/>
  <c r="R19" i="3"/>
  <c r="O20" i="3"/>
  <c r="R35" i="3"/>
  <c r="S35" i="3" s="1"/>
  <c r="BA5" i="3"/>
  <c r="AY6" i="3"/>
  <c r="AY36" i="3" s="1"/>
  <c r="O8" i="3"/>
  <c r="S26" i="3"/>
  <c r="U33" i="3"/>
  <c r="AZ33" i="3" s="1"/>
  <c r="R33" i="3"/>
  <c r="S33" i="3" s="1"/>
  <c r="W25" i="3"/>
  <c r="BB25" i="3" s="1"/>
  <c r="P36" i="3"/>
  <c r="Q6" i="3"/>
  <c r="W12" i="3"/>
  <c r="BB12" i="3" s="1"/>
  <c r="K13" i="3"/>
  <c r="O16" i="3"/>
  <c r="Q18" i="3"/>
  <c r="W24" i="3"/>
  <c r="BB24" i="3" s="1"/>
  <c r="O28" i="3"/>
  <c r="O30" i="3"/>
  <c r="Q32" i="3"/>
  <c r="S46" i="3"/>
  <c r="X46" i="3" s="1"/>
  <c r="AB36" i="3"/>
  <c r="Q5" i="3"/>
  <c r="W11" i="3"/>
  <c r="BB11" i="3" s="1"/>
  <c r="O15" i="3"/>
  <c r="W23" i="3"/>
  <c r="BB23" i="3" s="1"/>
  <c r="O27" i="3"/>
  <c r="O29" i="3"/>
  <c r="Q31" i="3"/>
  <c r="AD36" i="3"/>
  <c r="O31" i="3"/>
  <c r="O14" i="3"/>
  <c r="W22" i="3"/>
  <c r="BB22" i="3" s="1"/>
  <c r="O26" i="3"/>
  <c r="R31" i="3"/>
  <c r="W31" i="3" s="1"/>
  <c r="BB31" i="3" s="1"/>
  <c r="AE36" i="3"/>
  <c r="W26" i="3"/>
  <c r="BB26" i="3" s="1"/>
  <c r="AY28" i="3"/>
  <c r="Q19" i="3"/>
  <c r="W21" i="3"/>
  <c r="BB21" i="3" s="1"/>
  <c r="O25" i="3"/>
  <c r="R28" i="3"/>
  <c r="W28" i="3" s="1"/>
  <c r="BB28" i="3" s="1"/>
  <c r="AL28" i="3"/>
  <c r="R30" i="3"/>
  <c r="O5" i="3"/>
  <c r="Q7" i="3"/>
  <c r="O17" i="3"/>
  <c r="W10" i="3"/>
  <c r="BB10" i="3" s="1"/>
  <c r="W8" i="3"/>
  <c r="BB8" i="3" s="1"/>
  <c r="K9" i="3"/>
  <c r="S16" i="3"/>
  <c r="W20" i="3"/>
  <c r="BB20" i="3" s="1"/>
  <c r="S30" i="3"/>
  <c r="K34" i="3"/>
  <c r="R17" i="3"/>
  <c r="W17" i="3" s="1"/>
  <c r="BB17" i="3" s="1"/>
  <c r="R16" i="3"/>
  <c r="W16" i="3" s="1"/>
  <c r="BB16" i="3" s="1"/>
  <c r="U5" i="3"/>
  <c r="S15" i="3"/>
  <c r="W19" i="3"/>
  <c r="BB19" i="3" s="1"/>
  <c r="S27" i="3"/>
  <c r="S29" i="3"/>
  <c r="BM5" i="3"/>
  <c r="BM36" i="3" s="1"/>
  <c r="O13" i="3"/>
  <c r="S14" i="2"/>
  <c r="W14" i="2"/>
  <c r="BB14" i="2" s="1"/>
  <c r="AM37" i="2"/>
  <c r="AN36" i="2"/>
  <c r="AT37" i="2"/>
  <c r="BF42" i="2"/>
  <c r="BF46" i="2" s="1"/>
  <c r="BI46" i="2" s="1"/>
  <c r="BC45" i="2"/>
  <c r="BD45" i="2"/>
  <c r="BA36" i="2"/>
  <c r="BA37" i="2" s="1"/>
  <c r="U22" i="2"/>
  <c r="AZ22" i="2" s="1"/>
  <c r="O22" i="2"/>
  <c r="W25" i="2"/>
  <c r="BB25" i="2" s="1"/>
  <c r="K25" i="2"/>
  <c r="J36" i="2"/>
  <c r="W29" i="2"/>
  <c r="BB29" i="2" s="1"/>
  <c r="K5" i="2"/>
  <c r="Q8" i="2"/>
  <c r="Q10" i="2"/>
  <c r="O12" i="2"/>
  <c r="K17" i="2"/>
  <c r="K27" i="2"/>
  <c r="Q34" i="2"/>
  <c r="BK36" i="2"/>
  <c r="BK37" i="2" s="1"/>
  <c r="K9" i="2"/>
  <c r="R10" i="2"/>
  <c r="S10" i="2" s="1"/>
  <c r="V12" i="2"/>
  <c r="BA12" i="2" s="1"/>
  <c r="Q12" i="2"/>
  <c r="Q14" i="2"/>
  <c r="W22" i="2"/>
  <c r="BB22" i="2" s="1"/>
  <c r="V31" i="2"/>
  <c r="BA31" i="2" s="1"/>
  <c r="W33" i="2"/>
  <c r="BB33" i="2" s="1"/>
  <c r="O5" i="2"/>
  <c r="BM36" i="2"/>
  <c r="AW36" i="2"/>
  <c r="T9" i="2"/>
  <c r="S9" i="2"/>
  <c r="R12" i="2"/>
  <c r="S12" i="2" s="1"/>
  <c r="O17" i="2"/>
  <c r="U17" i="2"/>
  <c r="AZ17" i="2" s="1"/>
  <c r="AY19" i="2"/>
  <c r="Q21" i="2"/>
  <c r="W28" i="2"/>
  <c r="BB28" i="2" s="1"/>
  <c r="AY28" i="2"/>
  <c r="R29" i="2"/>
  <c r="S29" i="2" s="1"/>
  <c r="O29" i="2"/>
  <c r="S7" i="2"/>
  <c r="AY7" i="2"/>
  <c r="W10" i="2"/>
  <c r="BB10" i="2" s="1"/>
  <c r="W16" i="2"/>
  <c r="BB16" i="2" s="1"/>
  <c r="R19" i="2"/>
  <c r="W19" i="2" s="1"/>
  <c r="BB19" i="2" s="1"/>
  <c r="R21" i="2"/>
  <c r="R24" i="2"/>
  <c r="S24" i="2" s="1"/>
  <c r="Q29" i="2"/>
  <c r="V34" i="2"/>
  <c r="BA34" i="2" s="1"/>
  <c r="AD37" i="2"/>
  <c r="BK50" i="2"/>
  <c r="BK71" i="2" s="1"/>
  <c r="BG46" i="2" s="1"/>
  <c r="O7" i="2"/>
  <c r="S30" i="2"/>
  <c r="AY30" i="2"/>
  <c r="G36" i="2"/>
  <c r="AA37" i="2"/>
  <c r="AB37" i="2" s="1"/>
  <c r="AB36" i="2"/>
  <c r="X58" i="2"/>
  <c r="X59" i="2"/>
  <c r="AY21" i="2"/>
  <c r="R9" i="2"/>
  <c r="W9" i="2" s="1"/>
  <c r="BB9" i="2" s="1"/>
  <c r="R22" i="2"/>
  <c r="R33" i="2"/>
  <c r="O33" i="2"/>
  <c r="BB35" i="2"/>
  <c r="U7" i="2"/>
  <c r="AZ7" i="2" s="1"/>
  <c r="S8" i="2"/>
  <c r="S11" i="2"/>
  <c r="W12" i="2"/>
  <c r="BB12" i="2" s="1"/>
  <c r="AY17" i="2"/>
  <c r="V19" i="2"/>
  <c r="BA19" i="2" s="1"/>
  <c r="Q20" i="2"/>
  <c r="S22" i="2"/>
  <c r="U24" i="2"/>
  <c r="AZ24" i="2" s="1"/>
  <c r="O28" i="2"/>
  <c r="Q30" i="2"/>
  <c r="S33" i="2"/>
  <c r="M36" i="2"/>
  <c r="N38" i="2" s="1"/>
  <c r="AE36" i="2"/>
  <c r="O13" i="2"/>
  <c r="W23" i="2"/>
  <c r="BB23" i="2" s="1"/>
  <c r="R15" i="2"/>
  <c r="W5" i="2"/>
  <c r="AY5" i="2"/>
  <c r="R8" i="2"/>
  <c r="W8" i="2" s="1"/>
  <c r="BB8" i="2" s="1"/>
  <c r="V9" i="2"/>
  <c r="BA9" i="2" s="1"/>
  <c r="T11" i="2"/>
  <c r="O16" i="2"/>
  <c r="O18" i="2"/>
  <c r="T22" i="2"/>
  <c r="V24" i="2"/>
  <c r="BA24" i="2" s="1"/>
  <c r="Q25" i="2"/>
  <c r="T30" i="2"/>
  <c r="R31" i="2"/>
  <c r="W31" i="2" s="1"/>
  <c r="BB31" i="2" s="1"/>
  <c r="T33" i="2"/>
  <c r="N36" i="2"/>
  <c r="Q7" i="2"/>
  <c r="P36" i="2"/>
  <c r="Q15" i="2"/>
  <c r="W34" i="2"/>
  <c r="BB34" i="2" s="1"/>
  <c r="O30" i="2"/>
  <c r="AZ5" i="2"/>
  <c r="O6" i="2"/>
  <c r="W7" i="2"/>
  <c r="BB7" i="2" s="1"/>
  <c r="O8" i="2"/>
  <c r="U10" i="2"/>
  <c r="AZ10" i="2" s="1"/>
  <c r="O10" i="2"/>
  <c r="Q18" i="2"/>
  <c r="U30" i="2"/>
  <c r="AZ30" i="2" s="1"/>
  <c r="O31" i="2"/>
  <c r="H37" i="2"/>
  <c r="I37" i="2" s="1"/>
  <c r="K37" i="2" s="1"/>
  <c r="U28" i="2"/>
  <c r="AZ28" i="2" s="1"/>
  <c r="W30" i="2"/>
  <c r="BB30" i="2" s="1"/>
  <c r="T35" i="2"/>
  <c r="T15" i="2"/>
  <c r="T36" i="2" s="1"/>
  <c r="U16" i="2"/>
  <c r="AZ16" i="2" s="1"/>
  <c r="O21" i="2"/>
  <c r="Q23" i="2"/>
  <c r="Q33" i="2"/>
  <c r="W13" i="2"/>
  <c r="BB13" i="2" s="1"/>
  <c r="S20" i="2"/>
  <c r="S32" i="2"/>
  <c r="AM37" i="1"/>
  <c r="AN36" i="1"/>
  <c r="AT37" i="1"/>
  <c r="BF42" i="1"/>
  <c r="BF46" i="1" s="1"/>
  <c r="BC45" i="1"/>
  <c r="BD45" i="1"/>
  <c r="W30" i="1"/>
  <c r="BB30" i="1" s="1"/>
  <c r="S7" i="1"/>
  <c r="W7" i="1"/>
  <c r="BB7" i="1" s="1"/>
  <c r="T14" i="1"/>
  <c r="S14" i="1"/>
  <c r="AZ5" i="1"/>
  <c r="O10" i="1"/>
  <c r="S12" i="1"/>
  <c r="AY12" i="1"/>
  <c r="O16" i="1"/>
  <c r="O18" i="1"/>
  <c r="G19" i="1"/>
  <c r="N19" i="1"/>
  <c r="K24" i="1"/>
  <c r="W33" i="1"/>
  <c r="BB33" i="1" s="1"/>
  <c r="F36" i="1"/>
  <c r="X58" i="1"/>
  <c r="X59" i="1"/>
  <c r="O6" i="1"/>
  <c r="Q8" i="1"/>
  <c r="BB9" i="1"/>
  <c r="AY9" i="1"/>
  <c r="AY36" i="1" s="1"/>
  <c r="W13" i="1"/>
  <c r="BB13" i="1" s="1"/>
  <c r="O14" i="1"/>
  <c r="V28" i="1"/>
  <c r="BA28" i="1" s="1"/>
  <c r="AA37" i="1"/>
  <c r="AB37" i="1" s="1"/>
  <c r="AB36" i="1"/>
  <c r="R8" i="1"/>
  <c r="R10" i="1"/>
  <c r="W10" i="1" s="1"/>
  <c r="BB10" i="1" s="1"/>
  <c r="AY11" i="1"/>
  <c r="O12" i="1"/>
  <c r="W17" i="1"/>
  <c r="BB17" i="1" s="1"/>
  <c r="Q18" i="1"/>
  <c r="W25" i="1"/>
  <c r="BB25" i="1" s="1"/>
  <c r="AY25" i="1"/>
  <c r="R26" i="1"/>
  <c r="S26" i="1" s="1"/>
  <c r="O26" i="1"/>
  <c r="K30" i="1"/>
  <c r="Q12" i="1"/>
  <c r="R16" i="1"/>
  <c r="S16" i="1" s="1"/>
  <c r="R18" i="1"/>
  <c r="S18" i="1" s="1"/>
  <c r="J19" i="1"/>
  <c r="R21" i="1"/>
  <c r="S21" i="1" s="1"/>
  <c r="Q26" i="1"/>
  <c r="S30" i="1"/>
  <c r="T30" i="1"/>
  <c r="W31" i="1"/>
  <c r="BB31" i="1" s="1"/>
  <c r="BM36" i="1"/>
  <c r="O9" i="1"/>
  <c r="S27" i="1"/>
  <c r="AY27" i="1"/>
  <c r="O17" i="1"/>
  <c r="U31" i="1"/>
  <c r="AZ31" i="1" s="1"/>
  <c r="O31" i="1"/>
  <c r="V5" i="1"/>
  <c r="Q5" i="1"/>
  <c r="P36" i="1"/>
  <c r="J18" i="1"/>
  <c r="J36" i="1" s="1"/>
  <c r="U18" i="1"/>
  <c r="AZ18" i="1" s="1"/>
  <c r="Q19" i="1"/>
  <c r="O27" i="1"/>
  <c r="R5" i="1"/>
  <c r="J50" i="1"/>
  <c r="Q7" i="1"/>
  <c r="O11" i="1"/>
  <c r="O13" i="1"/>
  <c r="Q15" i="1"/>
  <c r="W16" i="1"/>
  <c r="BB16" i="1" s="1"/>
  <c r="G18" i="1"/>
  <c r="U21" i="1"/>
  <c r="AZ21" i="1" s="1"/>
  <c r="O25" i="1"/>
  <c r="Q27" i="1"/>
  <c r="AY30" i="1"/>
  <c r="Q31" i="1"/>
  <c r="V33" i="1"/>
  <c r="BA33" i="1" s="1"/>
  <c r="R34" i="1"/>
  <c r="BK50" i="1"/>
  <c r="BK71" i="1" s="1"/>
  <c r="BG46" i="1" s="1"/>
  <c r="BH46" i="1" s="1"/>
  <c r="M36" i="1"/>
  <c r="N38" i="1" s="1"/>
  <c r="T18" i="1"/>
  <c r="Q33" i="1"/>
  <c r="N36" i="1"/>
  <c r="AW36" i="1"/>
  <c r="U15" i="1"/>
  <c r="AZ15" i="1" s="1"/>
  <c r="O15" i="1"/>
  <c r="Q30" i="1"/>
  <c r="W12" i="1"/>
  <c r="BB12" i="1" s="1"/>
  <c r="R30" i="1"/>
  <c r="S5" i="1"/>
  <c r="W6" i="1"/>
  <c r="BB6" i="1" s="1"/>
  <c r="S9" i="1"/>
  <c r="Q11" i="1"/>
  <c r="R15" i="1"/>
  <c r="W15" i="1" s="1"/>
  <c r="BB15" i="1" s="1"/>
  <c r="S17" i="1"/>
  <c r="AY19" i="1"/>
  <c r="Q22" i="1"/>
  <c r="T27" i="1"/>
  <c r="R28" i="1"/>
  <c r="W28" i="1" s="1"/>
  <c r="BB28" i="1" s="1"/>
  <c r="R31" i="1"/>
  <c r="BI71" i="1"/>
  <c r="AE36" i="1"/>
  <c r="V21" i="1"/>
  <c r="BA21" i="1" s="1"/>
  <c r="Q21" i="1"/>
  <c r="U6" i="1"/>
  <c r="AZ6" i="1" s="1"/>
  <c r="W20" i="1"/>
  <c r="BB20" i="1" s="1"/>
  <c r="Q9" i="1"/>
  <c r="AY10" i="1"/>
  <c r="AY14" i="1"/>
  <c r="W32" i="1"/>
  <c r="BB32" i="1" s="1"/>
  <c r="T5" i="1"/>
  <c r="T17" i="1"/>
  <c r="U27" i="1"/>
  <c r="AZ27" i="1" s="1"/>
  <c r="O28" i="1"/>
  <c r="S31" i="1"/>
  <c r="AY31" i="1"/>
  <c r="U25" i="1"/>
  <c r="AZ25" i="1" s="1"/>
  <c r="W27" i="1"/>
  <c r="BB27" i="1" s="1"/>
  <c r="Q17" i="1"/>
  <c r="Q20" i="1"/>
  <c r="O30" i="1"/>
  <c r="Q32" i="1"/>
  <c r="W21" i="1"/>
  <c r="BB21" i="1" s="1"/>
  <c r="K22" i="1"/>
  <c r="S29" i="1"/>
  <c r="K33" i="1"/>
  <c r="S13" i="1"/>
  <c r="I18" i="1"/>
  <c r="J49" i="1" s="1"/>
  <c r="O36" i="3" l="1"/>
  <c r="N37" i="3"/>
  <c r="O37" i="3" s="1"/>
  <c r="R36" i="3"/>
  <c r="K36" i="3"/>
  <c r="J37" i="3"/>
  <c r="W7" i="3"/>
  <c r="U36" i="3"/>
  <c r="U37" i="3" s="1"/>
  <c r="AZ5" i="3"/>
  <c r="AZ36" i="3" s="1"/>
  <c r="AZ37" i="3" s="1"/>
  <c r="P37" i="3"/>
  <c r="Q37" i="3" s="1"/>
  <c r="Q36" i="3"/>
  <c r="W34" i="3"/>
  <c r="BB34" i="3" s="1"/>
  <c r="S28" i="3"/>
  <c r="BA36" i="3"/>
  <c r="BA37" i="3" s="1"/>
  <c r="V36" i="3"/>
  <c r="V37" i="3" s="1"/>
  <c r="AE37" i="3"/>
  <c r="AF36" i="3"/>
  <c r="W35" i="3"/>
  <c r="BB35" i="3" s="1"/>
  <c r="T36" i="3"/>
  <c r="BD38" i="3" s="1"/>
  <c r="AM46" i="3"/>
  <c r="AM47" i="3" s="1"/>
  <c r="AN38" i="3"/>
  <c r="AN37" i="3"/>
  <c r="AN47" i="3"/>
  <c r="W33" i="3"/>
  <c r="BB33" i="3" s="1"/>
  <c r="AW37" i="3"/>
  <c r="AX36" i="3"/>
  <c r="BK71" i="3"/>
  <c r="BG46" i="3" s="1"/>
  <c r="BH46" i="3" s="1"/>
  <c r="W21" i="2"/>
  <c r="BB21" i="2" s="1"/>
  <c r="S21" i="2"/>
  <c r="V36" i="2"/>
  <c r="V37" i="2" s="1"/>
  <c r="V39" i="2" s="1"/>
  <c r="U36" i="2"/>
  <c r="U37" i="2" s="1"/>
  <c r="BH46" i="2"/>
  <c r="AW37" i="2"/>
  <c r="AX36" i="2"/>
  <c r="S15" i="2"/>
  <c r="W15" i="2"/>
  <c r="BB15" i="2" s="1"/>
  <c r="AE37" i="2"/>
  <c r="AF36" i="2"/>
  <c r="S19" i="2"/>
  <c r="AZ36" i="2"/>
  <c r="AZ37" i="2" s="1"/>
  <c r="R36" i="2"/>
  <c r="W24" i="2"/>
  <c r="BB24" i="2" s="1"/>
  <c r="K36" i="2"/>
  <c r="J37" i="2"/>
  <c r="P37" i="2"/>
  <c r="Q37" i="2" s="1"/>
  <c r="Q36" i="2"/>
  <c r="N37" i="2"/>
  <c r="O37" i="2" s="1"/>
  <c r="O36" i="2"/>
  <c r="AY36" i="2"/>
  <c r="BD38" i="2" s="1"/>
  <c r="S31" i="2"/>
  <c r="AM46" i="2"/>
  <c r="AM47" i="2" s="1"/>
  <c r="AN37" i="2"/>
  <c r="AN38" i="2"/>
  <c r="AN47" i="2"/>
  <c r="BB5" i="2"/>
  <c r="K36" i="1"/>
  <c r="J37" i="1"/>
  <c r="P37" i="1"/>
  <c r="Q37" i="1" s="1"/>
  <c r="Q36" i="1"/>
  <c r="O19" i="1"/>
  <c r="R19" i="1"/>
  <c r="S19" i="1" s="1"/>
  <c r="V36" i="1"/>
  <c r="V37" i="1" s="1"/>
  <c r="BA5" i="1"/>
  <c r="BA36" i="1" s="1"/>
  <c r="BA37" i="1" s="1"/>
  <c r="U19" i="1"/>
  <c r="AF36" i="1"/>
  <c r="AE37" i="1"/>
  <c r="K19" i="1"/>
  <c r="S34" i="1"/>
  <c r="W34" i="1"/>
  <c r="BB34" i="1" s="1"/>
  <c r="S15" i="1"/>
  <c r="S10" i="1"/>
  <c r="N37" i="1"/>
  <c r="O37" i="1" s="1"/>
  <c r="O36" i="1"/>
  <c r="T36" i="1"/>
  <c r="BD38" i="1" s="1"/>
  <c r="F37" i="1"/>
  <c r="G37" i="1" s="1"/>
  <c r="K37" i="1" s="1"/>
  <c r="G36" i="1"/>
  <c r="W26" i="1"/>
  <c r="BB26" i="1" s="1"/>
  <c r="AW37" i="1"/>
  <c r="AX36" i="1"/>
  <c r="W18" i="1"/>
  <c r="BB18" i="1" s="1"/>
  <c r="K18" i="1"/>
  <c r="BI46" i="1"/>
  <c r="W8" i="1"/>
  <c r="BB8" i="1" s="1"/>
  <c r="S8" i="1"/>
  <c r="W5" i="1"/>
  <c r="S28" i="1"/>
  <c r="AM46" i="1"/>
  <c r="AM47" i="1" s="1"/>
  <c r="AN37" i="1"/>
  <c r="AN38" i="1"/>
  <c r="AN47" i="1"/>
  <c r="J46" i="3" l="1"/>
  <c r="J47" i="3" s="1"/>
  <c r="K47" i="3"/>
  <c r="K38" i="3"/>
  <c r="AF37" i="3"/>
  <c r="AF47" i="3"/>
  <c r="AE46" i="3"/>
  <c r="AE47" i="3" s="1"/>
  <c r="AF38" i="3"/>
  <c r="V39" i="3"/>
  <c r="R37" i="3"/>
  <c r="S36" i="3"/>
  <c r="BB7" i="3"/>
  <c r="BB36" i="3" s="1"/>
  <c r="W36" i="3"/>
  <c r="W37" i="3" s="1"/>
  <c r="AX37" i="3"/>
  <c r="AX47" i="3"/>
  <c r="AX38" i="3"/>
  <c r="AX48" i="3"/>
  <c r="AX50" i="3"/>
  <c r="AX51" i="3" s="1"/>
  <c r="AW46" i="3"/>
  <c r="AW47" i="3" s="1"/>
  <c r="BI46" i="3"/>
  <c r="AE46" i="2"/>
  <c r="AE47" i="2" s="1"/>
  <c r="AF37" i="2"/>
  <c r="AF47" i="2"/>
  <c r="AF38" i="2"/>
  <c r="AX47" i="2"/>
  <c r="AX37" i="2"/>
  <c r="AX38" i="2"/>
  <c r="AX48" i="2"/>
  <c r="AW46" i="2"/>
  <c r="AW47" i="2" s="1"/>
  <c r="AX50" i="2"/>
  <c r="AX51" i="2" s="1"/>
  <c r="BB36" i="2"/>
  <c r="K47" i="2"/>
  <c r="J46" i="2"/>
  <c r="J47" i="2" s="1"/>
  <c r="K38" i="2"/>
  <c r="W36" i="2"/>
  <c r="W37" i="2" s="1"/>
  <c r="R37" i="2"/>
  <c r="S36" i="2"/>
  <c r="AF37" i="1"/>
  <c r="AE46" i="1"/>
  <c r="AE47" i="1" s="1"/>
  <c r="AF47" i="1"/>
  <c r="AF38" i="1"/>
  <c r="W36" i="1"/>
  <c r="W37" i="1" s="1"/>
  <c r="BB5" i="1"/>
  <c r="BB36" i="1" s="1"/>
  <c r="AZ19" i="1"/>
  <c r="AZ36" i="1" s="1"/>
  <c r="AZ37" i="1" s="1"/>
  <c r="U36" i="1"/>
  <c r="U37" i="1" s="1"/>
  <c r="AX47" i="1"/>
  <c r="AX37" i="1"/>
  <c r="AX38" i="1"/>
  <c r="AX50" i="1"/>
  <c r="AX51" i="1" s="1"/>
  <c r="AW46" i="1"/>
  <c r="AW47" i="1" s="1"/>
  <c r="AX48" i="1"/>
  <c r="R36" i="1"/>
  <c r="K47" i="1"/>
  <c r="J46" i="1"/>
  <c r="J47" i="1" s="1"/>
  <c r="K38" i="1"/>
  <c r="W19" i="1"/>
  <c r="BB19" i="1" s="1"/>
  <c r="W40" i="3" l="1"/>
  <c r="W38" i="3"/>
  <c r="W46" i="3"/>
  <c r="W47" i="3" s="1"/>
  <c r="X47" i="3"/>
  <c r="BB37" i="3"/>
  <c r="BB39" i="3"/>
  <c r="BC39" i="3" s="1"/>
  <c r="S47" i="3"/>
  <c r="S38" i="3"/>
  <c r="R46" i="3"/>
  <c r="R47" i="3" s="1"/>
  <c r="S37" i="3"/>
  <c r="S47" i="2"/>
  <c r="S37" i="2"/>
  <c r="S38" i="2"/>
  <c r="R46" i="2"/>
  <c r="R47" i="2" s="1"/>
  <c r="BB39" i="2"/>
  <c r="BC39" i="2" s="1"/>
  <c r="BB37" i="2"/>
  <c r="W40" i="2"/>
  <c r="W38" i="2"/>
  <c r="W46" i="2"/>
  <c r="W47" i="2" s="1"/>
  <c r="X47" i="2"/>
  <c r="R37" i="1"/>
  <c r="S36" i="1"/>
  <c r="BB39" i="1"/>
  <c r="BC39" i="1" s="1"/>
  <c r="BB37" i="1"/>
  <c r="W38" i="1"/>
  <c r="W46" i="1"/>
  <c r="W47" i="1" s="1"/>
  <c r="X47" i="1"/>
  <c r="BC46" i="3" l="1"/>
  <c r="BC38" i="3"/>
  <c r="BB43" i="3"/>
  <c r="BB40" i="3"/>
  <c r="BC41" i="3" s="1"/>
  <c r="BB45" i="3"/>
  <c r="BB46" i="3" s="1"/>
  <c r="BB40" i="2"/>
  <c r="BC41" i="2" s="1"/>
  <c r="BB43" i="2"/>
  <c r="BC46" i="2"/>
  <c r="BC38" i="2"/>
  <c r="BB45" i="2"/>
  <c r="BB46" i="2" s="1"/>
  <c r="BB40" i="1"/>
  <c r="BC41" i="1" s="1"/>
  <c r="BB43" i="1"/>
  <c r="BC46" i="1"/>
  <c r="BC38" i="1"/>
  <c r="BB45" i="1"/>
  <c r="BB46" i="1" s="1"/>
  <c r="S47" i="1"/>
  <c r="S37" i="1"/>
  <c r="S38" i="1"/>
  <c r="R46" i="1"/>
  <c r="R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C40829BF-A72B-9F43-8293-1140F81830EB}">
      <text>
        <r>
          <rPr>
            <b/>
            <sz val="11"/>
            <color indexed="8"/>
            <rFont val="Meiryo UI"/>
            <family val="2"/>
          </rPr>
          <t>月の数字のみ入力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8D43289B-CCBD-6B48-9B27-B6E7A241AA60}">
      <text>
        <r>
          <rPr>
            <b/>
            <sz val="11"/>
            <color indexed="8"/>
            <rFont val="Meiryo UI"/>
            <family val="2"/>
          </rPr>
          <t>月の数字のみ入力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ED3BE84F-7EE5-104E-9EEE-017536F7DAE2}">
      <text>
        <r>
          <rPr>
            <b/>
            <sz val="11"/>
            <color indexed="8"/>
            <rFont val="Meiryo UI"/>
            <family val="2"/>
          </rPr>
          <t>月の数字のみ入力</t>
        </r>
      </text>
    </comment>
  </commentList>
</comments>
</file>

<file path=xl/sharedStrings.xml><?xml version="1.0" encoding="utf-8"?>
<sst xmlns="http://schemas.openxmlformats.org/spreadsheetml/2006/main" count="498" uniqueCount="102">
  <si>
    <t>※割引反映前</t>
  </si>
  <si>
    <t>金額：(税込)</t>
  </si>
  <si>
    <t>GA</t>
    <phoneticPr fontId="8"/>
  </si>
  <si>
    <t>LUNCH</t>
  </si>
  <si>
    <t>DINNER（計算式あり・入力不要）</t>
  </si>
  <si>
    <t>レストランTOTAL売上（税込）</t>
  </si>
  <si>
    <t>EAT-IN・T/O（税込）</t>
    <phoneticPr fontId="8"/>
  </si>
  <si>
    <t>宴会（テレビ塔ケータリング）手数料払い出し済み</t>
    <rPh sb="0" eb="2">
      <t xml:space="preserve">エンカイ </t>
    </rPh>
    <rPh sb="14" eb="17">
      <t xml:space="preserve">テスウリョウ </t>
    </rPh>
    <rPh sb="17" eb="18">
      <t xml:space="preserve">ハライダシズミ </t>
    </rPh>
    <phoneticPr fontId="8"/>
  </si>
  <si>
    <t>ビアガーデン 9/8まで　ピコレコラボ9/14~10/6まで</t>
    <phoneticPr fontId="8"/>
  </si>
  <si>
    <t>L+D＋T/O＋宴会場+BG（人数は含まず）TOTAL</t>
    <rPh sb="19" eb="22">
      <t xml:space="preserve">エンカイジョウ </t>
    </rPh>
    <phoneticPr fontId="8"/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</si>
  <si>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</si>
  <si>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</si>
  <si>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</si>
  <si>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</si>
  <si>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</si>
  <si>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</si>
  <si>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</si>
  <si>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</si>
  <si>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</si>
  <si>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</si>
  <si>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</si>
  <si>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</si>
  <si>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</si>
  <si>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</si>
  <si>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</si>
  <si>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</si>
  <si>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</si>
  <si>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</si>
  <si>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</si>
  <si>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件数</t>
    <rPh sb="0" eb="2">
      <t xml:space="preserve">ケンスウ </t>
    </rPh>
    <phoneticPr fontId="8"/>
  </si>
  <si>
    <t>テント利用料</t>
    <rPh sb="3" eb="6">
      <t xml:space="preserve">リヨウリョウ </t>
    </rPh>
    <phoneticPr fontId="8"/>
  </si>
  <si>
    <t>物販</t>
    <rPh sb="0" eb="2">
      <t>ブッパン</t>
    </rPh>
    <phoneticPr fontId="8"/>
  </si>
  <si>
    <t>その他</t>
    <phoneticPr fontId="8"/>
  </si>
  <si>
    <t>客数</t>
  </si>
  <si>
    <t>料理</t>
  </si>
  <si>
    <t>飲料</t>
  </si>
  <si>
    <t>室料</t>
    <rPh sb="0" eb="2">
      <t xml:space="preserve">シツリョウ </t>
    </rPh>
    <phoneticPr fontId="8"/>
  </si>
  <si>
    <t>展望台チケット（各種利用料）</t>
    <rPh sb="0" eb="3">
      <t xml:space="preserve">テンボウダイ </t>
    </rPh>
    <rPh sb="8" eb="10">
      <t xml:space="preserve">カクシュ </t>
    </rPh>
    <rPh sb="10" eb="13">
      <t xml:space="preserve">リヨウリョウ </t>
    </rPh>
    <phoneticPr fontId="8"/>
  </si>
  <si>
    <t>花束（各種利用料）</t>
    <rPh sb="3" eb="5">
      <t xml:space="preserve">カクシュ </t>
    </rPh>
    <rPh sb="5" eb="8">
      <t xml:space="preserve">リヨウリョウ </t>
    </rPh>
    <phoneticPr fontId="8"/>
  </si>
  <si>
    <t>招待券</t>
    <phoneticPr fontId="8"/>
  </si>
  <si>
    <t>売上合計　　　　　（花束預り金除く）</t>
  </si>
  <si>
    <t>税抜金額</t>
  </si>
  <si>
    <t>入客</t>
  </si>
  <si>
    <t>一日平均</t>
  </si>
  <si>
    <t>■ランチコメント</t>
  </si>
  <si>
    <t>■ディナーコメント</t>
  </si>
  <si>
    <t>■EAT-INコメント</t>
    <phoneticPr fontId="8"/>
  </si>
  <si>
    <t>■宴会コメント</t>
    <rPh sb="1" eb="3">
      <t xml:space="preserve">エンカイ </t>
    </rPh>
    <phoneticPr fontId="8"/>
  </si>
  <si>
    <t>■BGコメント</t>
    <phoneticPr fontId="8"/>
  </si>
  <si>
    <t>　1日売上平均（税込）</t>
  </si>
  <si>
    <t>　1日売上平均</t>
  </si>
  <si>
    <t>その他予算</t>
  </si>
  <si>
    <t>TOTAL予算</t>
  </si>
  <si>
    <t>7/25現在</t>
    <rPh sb="4" eb="6">
      <t xml:space="preserve">ゲンザイ </t>
    </rPh>
    <phoneticPr fontId="8"/>
  </si>
  <si>
    <t>ランチ予算</t>
  </si>
  <si>
    <t>当月残り日数</t>
  </si>
  <si>
    <t>ディナー予算</t>
  </si>
  <si>
    <t>レストラン予算</t>
    <phoneticPr fontId="8"/>
  </si>
  <si>
    <t>テイク予算</t>
  </si>
  <si>
    <t>宴会予算</t>
    <rPh sb="0" eb="2">
      <t xml:space="preserve">エンカイ </t>
    </rPh>
    <phoneticPr fontId="8"/>
  </si>
  <si>
    <t>ビアガーデン予算</t>
    <phoneticPr fontId="8"/>
  </si>
  <si>
    <t>予算まで</t>
  </si>
  <si>
    <t>粗利</t>
    <rPh sb="0" eb="2">
      <t xml:space="preserve">アラリ </t>
    </rPh>
    <phoneticPr fontId="8"/>
  </si>
  <si>
    <t>達成まで一日あたり</t>
  </si>
  <si>
    <t>平日BV単価</t>
    <rPh sb="0" eb="2">
      <t>ヘイジツ</t>
    </rPh>
    <rPh sb="4" eb="6">
      <t>タンカ</t>
    </rPh>
    <phoneticPr fontId="8"/>
  </si>
  <si>
    <t>スタートから</t>
    <phoneticPr fontId="8"/>
  </si>
  <si>
    <t>単価</t>
    <rPh sb="0" eb="2">
      <t xml:space="preserve">タンカ </t>
    </rPh>
    <phoneticPr fontId="8"/>
  </si>
  <si>
    <t>数量</t>
    <rPh sb="0" eb="2">
      <t xml:space="preserve">スウリョウ </t>
    </rPh>
    <phoneticPr fontId="8"/>
  </si>
  <si>
    <t>残数</t>
    <rPh sb="0" eb="2">
      <t xml:space="preserve">ザンスウ </t>
    </rPh>
    <phoneticPr fontId="8"/>
  </si>
  <si>
    <t>発注数</t>
    <rPh sb="0" eb="3">
      <t xml:space="preserve">ハッチュウスウ </t>
    </rPh>
    <phoneticPr fontId="8"/>
  </si>
  <si>
    <t>発注金額</t>
    <rPh sb="0" eb="4">
      <t xml:space="preserve">ハッチュウキンガク </t>
    </rPh>
    <phoneticPr fontId="8"/>
  </si>
  <si>
    <t>棚卸</t>
    <rPh sb="0" eb="2">
      <t xml:space="preserve">タナオロシ </t>
    </rPh>
    <phoneticPr fontId="8"/>
  </si>
  <si>
    <t>使用金額</t>
    <rPh sb="0" eb="4">
      <t xml:space="preserve">シヨウキンガク </t>
    </rPh>
    <phoneticPr fontId="8"/>
  </si>
  <si>
    <t>週末BV単価</t>
    <rPh sb="0" eb="2">
      <t>シュウマツ</t>
    </rPh>
    <rPh sb="4" eb="6">
      <t>タンカ</t>
    </rPh>
    <phoneticPr fontId="8"/>
  </si>
  <si>
    <t>焼酎</t>
    <rPh sb="0" eb="2">
      <t xml:space="preserve">ショウチュウ </t>
    </rPh>
    <phoneticPr fontId="8"/>
  </si>
  <si>
    <t>24日終了時点</t>
    <rPh sb="2" eb="3">
      <t xml:space="preserve">ニチ </t>
    </rPh>
    <rPh sb="3" eb="7">
      <t xml:space="preserve">シュウリョウジテン </t>
    </rPh>
    <phoneticPr fontId="8"/>
  </si>
  <si>
    <t>クラシック20</t>
    <phoneticPr fontId="8"/>
  </si>
  <si>
    <t>JW</t>
    <phoneticPr fontId="8"/>
  </si>
  <si>
    <t>L</t>
    <phoneticPr fontId="8"/>
  </si>
  <si>
    <t>ソラチ10</t>
    <phoneticPr fontId="8"/>
  </si>
  <si>
    <t>D</t>
    <phoneticPr fontId="8"/>
  </si>
  <si>
    <t>ç</t>
    <phoneticPr fontId="8"/>
  </si>
  <si>
    <t>余市ケルナー</t>
    <rPh sb="0" eb="2">
      <t xml:space="preserve">ヨイチ </t>
    </rPh>
    <phoneticPr fontId="8"/>
  </si>
  <si>
    <t>NP</t>
    <phoneticPr fontId="8"/>
  </si>
  <si>
    <t>余市ツバい</t>
    <rPh sb="0" eb="1">
      <t xml:space="preserve">ヨイチ </t>
    </rPh>
    <phoneticPr fontId="8"/>
  </si>
  <si>
    <t>ポールスター</t>
    <phoneticPr fontId="8"/>
  </si>
  <si>
    <t>テタンジェ</t>
    <phoneticPr fontId="8"/>
  </si>
  <si>
    <t>ノクターン</t>
    <phoneticPr fontId="8"/>
  </si>
  <si>
    <t>TOTAL</t>
    <phoneticPr fontId="8"/>
  </si>
  <si>
    <t>カベルネ史ラーズ</t>
    <rPh sb="4" eb="5">
      <t xml:space="preserve">シラーズ </t>
    </rPh>
    <phoneticPr fontId="8"/>
  </si>
  <si>
    <t>シャルドネ</t>
    <phoneticPr fontId="8"/>
  </si>
  <si>
    <t>ベリンじゃ</t>
    <phoneticPr fontId="8"/>
  </si>
  <si>
    <t>氷彩サワー</t>
    <rPh sb="0" eb="1">
      <t xml:space="preserve">コオリ </t>
    </rPh>
    <rPh sb="1" eb="2">
      <t xml:space="preserve">イロドル </t>
    </rPh>
    <phoneticPr fontId="8"/>
  </si>
  <si>
    <t>デュワーズ</t>
    <phoneticPr fontId="8"/>
  </si>
  <si>
    <t>カシス</t>
    <phoneticPr fontId="8"/>
  </si>
  <si>
    <t>ピーチ</t>
    <phoneticPr fontId="8"/>
  </si>
  <si>
    <t>ウーロン</t>
    <phoneticPr fontId="8"/>
  </si>
  <si>
    <t>プレミアムフリー</t>
    <phoneticPr fontId="8"/>
  </si>
  <si>
    <t>コーン茶</t>
    <phoneticPr fontId="8"/>
  </si>
  <si>
    <t>オレンジセコマ</t>
    <phoneticPr fontId="8"/>
  </si>
  <si>
    <t>オレンジリボン</t>
    <phoneticPr fontId="8"/>
  </si>
  <si>
    <t>炭酸ガス</t>
    <rPh sb="0" eb="2">
      <t xml:space="preserve">タンサンガス 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</si>
</sst>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  <numFmt numFmtId="187" formatCode="0.0_ "/>
    <numFmt numFmtId="188" formatCode="0_ "/>
  </numFmts>
  <fonts count="22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indexed="8"/>
      <name val="游ゴシック"/>
      <family val="3"/>
    </font>
    <font>
      <sz val="9"/>
      <color indexed="8"/>
      <name val="游ゴシック"/>
      <family val="3"/>
      <charset val="128"/>
      <scheme val="minor"/>
    </font>
    <font>
      <b/>
      <sz val="9"/>
      <color indexed="8"/>
      <name val="游ゴシック"/>
      <family val="3"/>
      <charset val="128"/>
      <scheme val="minor"/>
    </font>
    <font>
      <sz val="8"/>
      <color indexed="8"/>
      <name val="游ゴシック"/>
      <family val="3"/>
      <charset val="128"/>
      <scheme val="minor"/>
    </font>
    <font>
      <b/>
      <sz val="12"/>
      <color indexed="8"/>
      <name val="游ゴシック"/>
      <family val="3"/>
      <charset val="128"/>
      <scheme val="minor"/>
    </font>
    <font>
      <sz val="6"/>
      <name val="07LogoTypeGothic-Condense"/>
      <family val="3"/>
      <charset val="128"/>
    </font>
    <font>
      <b/>
      <sz val="11"/>
      <color indexed="8"/>
      <name val="游ゴシック"/>
      <family val="3"/>
      <charset val="128"/>
      <scheme val="minor"/>
    </font>
    <font>
      <b/>
      <sz val="8"/>
      <name val="游ゴシック"/>
      <family val="3"/>
      <charset val="128"/>
      <scheme val="minor"/>
    </font>
    <font>
      <b/>
      <sz val="8"/>
      <color indexed="8"/>
      <name val="游ゴシック"/>
      <family val="3"/>
      <charset val="128"/>
      <scheme val="minor"/>
    </font>
    <font>
      <b/>
      <sz val="7"/>
      <color indexed="8"/>
      <name val="游ゴシック"/>
      <family val="3"/>
      <charset val="128"/>
      <scheme val="minor"/>
    </font>
    <font>
      <b/>
      <sz val="6"/>
      <color indexed="8"/>
      <name val="游ゴシック"/>
      <family val="3"/>
      <charset val="128"/>
      <scheme val="minor"/>
    </font>
    <font>
      <sz val="9"/>
      <color indexed="10"/>
      <name val="游ゴシック"/>
      <family val="3"/>
      <charset val="128"/>
      <scheme val="minor"/>
    </font>
    <font>
      <b/>
      <sz val="14"/>
      <color indexed="8"/>
      <name val="游ゴシック"/>
      <family val="3"/>
      <charset val="128"/>
      <scheme val="minor"/>
    </font>
    <font>
      <sz val="11"/>
      <color indexed="8"/>
      <name val="游ゴシック"/>
      <family val="3"/>
      <charset val="128"/>
      <scheme val="minor"/>
    </font>
    <font>
      <b/>
      <sz val="11"/>
      <color indexed="8"/>
      <name val="游ゴシック (本文)"/>
      <family val="3"/>
      <charset val="128"/>
    </font>
    <font>
      <b/>
      <sz val="10"/>
      <color indexed="8"/>
      <name val="游ゴシック"/>
      <family val="3"/>
      <charset val="128"/>
      <scheme val="minor"/>
    </font>
    <font>
      <sz val="12"/>
      <color indexed="8"/>
      <name val="游ゴシック"/>
      <family val="3"/>
      <charset val="128"/>
      <scheme val="minor"/>
    </font>
    <font>
      <b/>
      <sz val="16"/>
      <color indexed="8"/>
      <name val="游ゴシック"/>
      <family val="3"/>
      <charset val="128"/>
      <scheme val="minor"/>
    </font>
    <font>
      <b/>
      <sz val="11"/>
      <color indexed="8"/>
      <name val="Meiryo UI"/>
      <family val="2"/>
    </font>
  </fonts>
  <fills count="19">
    <fill>
      <patternFill patternType="none"/>
    </fill>
    <fill>
      <patternFill patternType="gray125"/>
    </fill>
    <fill>
      <patternFill patternType="solid">
        <fgColor indexed="26"/>
        <bgColor indexed="43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43"/>
      </patternFill>
    </fill>
    <fill>
      <patternFill patternType="solid">
        <fgColor theme="9" tint="0.79998168889431442"/>
        <bgColor indexed="43"/>
      </patternFill>
    </fill>
    <fill>
      <patternFill patternType="solid">
        <fgColor theme="7" tint="0.59999389629810485"/>
        <b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5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00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E79"/>
        <bgColor indexed="64"/>
      </patternFill>
    </fill>
  </fills>
  <borders count="3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38" fontId="3" fillId="0" borderId="0"/>
    <xf numFmtId="184" fontId="3" fillId="0" borderId="0"/>
  </cellStyleXfs>
  <cellXfs count="223">
    <xf numFmtId="0" fontId="0" fillId="0" borderId="0" xfId="0">
      <alignment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left" vertical="center" wrapText="1"/>
    </xf>
    <xf numFmtId="0" fontId="4" fillId="0" borderId="0" xfId="3" applyFont="1" applyAlignment="1">
      <alignment horizontal="center" vertical="center" wrapText="1"/>
    </xf>
    <xf numFmtId="38" fontId="4" fillId="0" borderId="0" xfId="4" applyFont="1" applyAlignment="1">
      <alignment horizontal="center" vertical="center" wrapText="1"/>
    </xf>
    <xf numFmtId="176" fontId="6" fillId="0" borderId="0" xfId="3" applyNumberFormat="1" applyFont="1" applyAlignment="1">
      <alignment horizontal="center" vertical="center" wrapText="1"/>
    </xf>
    <xf numFmtId="177" fontId="5" fillId="0" borderId="0" xfId="3" applyNumberFormat="1" applyFont="1" applyAlignment="1">
      <alignment horizontal="left" vertical="center" wrapText="1"/>
    </xf>
    <xf numFmtId="177" fontId="5" fillId="0" borderId="0" xfId="3" applyNumberFormat="1" applyFont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176" fontId="4" fillId="0" borderId="0" xfId="3" applyNumberFormat="1" applyFont="1" applyAlignment="1">
      <alignment horizontal="center" vertical="center" wrapText="1"/>
    </xf>
    <xf numFmtId="177" fontId="7" fillId="0" borderId="1" xfId="3" applyNumberFormat="1" applyFont="1" applyBorder="1" applyAlignment="1">
      <alignment horizontal="center" vertical="center" wrapText="1"/>
    </xf>
    <xf numFmtId="177" fontId="4" fillId="0" borderId="2" xfId="3" applyNumberFormat="1" applyFont="1" applyBorder="1" applyAlignment="1">
      <alignment horizontal="center" vertical="center" wrapText="1"/>
    </xf>
    <xf numFmtId="0" fontId="7" fillId="2" borderId="3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 wrapText="1"/>
    </xf>
    <xf numFmtId="0" fontId="9" fillId="4" borderId="5" xfId="3" applyFont="1" applyFill="1" applyBorder="1" applyAlignment="1">
      <alignment horizontal="center" vertical="center" wrapText="1"/>
    </xf>
    <xf numFmtId="0" fontId="9" fillId="4" borderId="6" xfId="3" applyFont="1" applyFill="1" applyBorder="1" applyAlignment="1">
      <alignment horizontal="center" vertical="center" wrapText="1"/>
    </xf>
    <xf numFmtId="0" fontId="9" fillId="5" borderId="7" xfId="3" applyFont="1" applyFill="1" applyBorder="1" applyAlignment="1">
      <alignment horizontal="center" vertical="center" wrapText="1"/>
    </xf>
    <xf numFmtId="0" fontId="9" fillId="5" borderId="8" xfId="3" applyFont="1" applyFill="1" applyBorder="1" applyAlignment="1">
      <alignment horizontal="center" vertical="center" wrapText="1"/>
    </xf>
    <xf numFmtId="0" fontId="9" fillId="5" borderId="9" xfId="3" applyFont="1" applyFill="1" applyBorder="1" applyAlignment="1">
      <alignment horizontal="center" vertical="center" wrapText="1"/>
    </xf>
    <xf numFmtId="0" fontId="9" fillId="6" borderId="7" xfId="3" applyFont="1" applyFill="1" applyBorder="1" applyAlignment="1">
      <alignment horizontal="center" vertical="center" wrapText="1"/>
    </xf>
    <xf numFmtId="0" fontId="9" fillId="6" borderId="8" xfId="3" applyFont="1" applyFill="1" applyBorder="1" applyAlignment="1">
      <alignment horizontal="center" vertical="center" wrapText="1"/>
    </xf>
    <xf numFmtId="0" fontId="9" fillId="6" borderId="9" xfId="3" applyFont="1" applyFill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10" xfId="3" applyFont="1" applyBorder="1" applyAlignment="1">
      <alignment horizontal="center" vertical="center" wrapText="1"/>
    </xf>
    <xf numFmtId="0" fontId="9" fillId="7" borderId="11" xfId="3" applyFont="1" applyFill="1" applyBorder="1" applyAlignment="1">
      <alignment horizontal="center" vertical="center" wrapText="1"/>
    </xf>
    <xf numFmtId="0" fontId="9" fillId="7" borderId="12" xfId="3" applyFont="1" applyFill="1" applyBorder="1" applyAlignment="1">
      <alignment horizontal="center" vertical="center" wrapText="1"/>
    </xf>
    <xf numFmtId="0" fontId="9" fillId="7" borderId="13" xfId="3" applyFont="1" applyFill="1" applyBorder="1" applyAlignment="1">
      <alignment horizontal="center" vertical="center" wrapText="1"/>
    </xf>
    <xf numFmtId="176" fontId="5" fillId="0" borderId="0" xfId="3" applyNumberFormat="1" applyFont="1" applyAlignment="1">
      <alignment horizontal="center" vertical="center" wrapText="1"/>
    </xf>
    <xf numFmtId="177" fontId="5" fillId="0" borderId="14" xfId="3" applyNumberFormat="1" applyFont="1" applyBorder="1" applyAlignment="1">
      <alignment horizontal="center" vertical="center" wrapText="1"/>
    </xf>
    <xf numFmtId="0" fontId="5" fillId="0" borderId="15" xfId="3" applyFont="1" applyBorder="1" applyAlignment="1">
      <alignment horizontal="center" vertical="center" wrapText="1"/>
    </xf>
    <xf numFmtId="0" fontId="5" fillId="2" borderId="15" xfId="3" applyFont="1" applyFill="1" applyBorder="1" applyAlignment="1">
      <alignment horizontal="center" vertical="center" wrapText="1"/>
    </xf>
    <xf numFmtId="0" fontId="5" fillId="0" borderId="16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3" borderId="15" xfId="3" applyFont="1" applyFill="1" applyBorder="1" applyAlignment="1">
      <alignment horizontal="center" vertical="center" wrapText="1"/>
    </xf>
    <xf numFmtId="0" fontId="5" fillId="0" borderId="17" xfId="3" applyFont="1" applyBorder="1" applyAlignment="1">
      <alignment horizontal="center" vertical="center" wrapText="1"/>
    </xf>
    <xf numFmtId="0" fontId="5" fillId="0" borderId="18" xfId="3" applyFont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0" fontId="5" fillId="0" borderId="19" xfId="3" applyFont="1" applyBorder="1" applyAlignment="1">
      <alignment horizontal="center" vertical="center" wrapText="1"/>
    </xf>
    <xf numFmtId="0" fontId="5" fillId="4" borderId="14" xfId="3" applyFont="1" applyFill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0" fontId="5" fillId="3" borderId="14" xfId="3" applyFont="1" applyFill="1" applyBorder="1" applyAlignment="1">
      <alignment horizontal="center" vertical="center" wrapText="1"/>
    </xf>
    <xf numFmtId="0" fontId="5" fillId="0" borderId="21" xfId="3" applyFont="1" applyBorder="1" applyAlignment="1">
      <alignment horizontal="center" vertical="center" wrapText="1"/>
    </xf>
    <xf numFmtId="0" fontId="5" fillId="5" borderId="15" xfId="3" applyFont="1" applyFill="1" applyBorder="1" applyAlignment="1">
      <alignment horizontal="center" vertical="center" wrapText="1"/>
    </xf>
    <xf numFmtId="0" fontId="5" fillId="6" borderId="15" xfId="3" applyFont="1" applyFill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22" xfId="3" applyFont="1" applyBorder="1" applyAlignment="1">
      <alignment horizontal="center" vertical="center" wrapText="1"/>
    </xf>
    <xf numFmtId="38" fontId="5" fillId="0" borderId="23" xfId="4" applyFont="1" applyBorder="1" applyAlignment="1">
      <alignment horizontal="center" vertical="center" wrapText="1"/>
    </xf>
    <xf numFmtId="38" fontId="5" fillId="0" borderId="0" xfId="4" applyFont="1" applyAlignment="1">
      <alignment horizontal="center" vertical="center" wrapText="1"/>
    </xf>
    <xf numFmtId="0" fontId="4" fillId="0" borderId="0" xfId="3" applyFont="1"/>
    <xf numFmtId="178" fontId="10" fillId="0" borderId="24" xfId="3" applyNumberFormat="1" applyFont="1" applyBorder="1" applyAlignment="1">
      <alignment horizontal="left"/>
    </xf>
    <xf numFmtId="38" fontId="4" fillId="0" borderId="24" xfId="3" applyNumberFormat="1" applyFont="1" applyBorder="1"/>
    <xf numFmtId="179" fontId="4" fillId="0" borderId="25" xfId="3" applyNumberFormat="1" applyFont="1" applyBorder="1"/>
    <xf numFmtId="180" fontId="4" fillId="2" borderId="25" xfId="4" applyNumberFormat="1" applyFont="1" applyFill="1" applyBorder="1"/>
    <xf numFmtId="38" fontId="4" fillId="8" borderId="25" xfId="4" applyFont="1" applyFill="1" applyBorder="1"/>
    <xf numFmtId="38" fontId="5" fillId="0" borderId="26" xfId="4" applyFont="1" applyBorder="1"/>
    <xf numFmtId="38" fontId="5" fillId="0" borderId="24" xfId="4" applyFont="1" applyBorder="1"/>
    <xf numFmtId="38" fontId="9" fillId="2" borderId="25" xfId="4" applyFont="1" applyFill="1" applyBorder="1"/>
    <xf numFmtId="40" fontId="4" fillId="0" borderId="27" xfId="3" applyNumberFormat="1" applyFont="1" applyBorder="1"/>
    <xf numFmtId="181" fontId="4" fillId="0" borderId="25" xfId="3" applyNumberFormat="1" applyFont="1" applyBorder="1"/>
    <xf numFmtId="180" fontId="4" fillId="3" borderId="25" xfId="4" applyNumberFormat="1" applyFont="1" applyFill="1" applyBorder="1"/>
    <xf numFmtId="38" fontId="4" fillId="0" borderId="25" xfId="4" applyFont="1" applyBorder="1"/>
    <xf numFmtId="38" fontId="9" fillId="0" borderId="22" xfId="4" applyFont="1" applyBorder="1"/>
    <xf numFmtId="180" fontId="4" fillId="0" borderId="28" xfId="4" applyNumberFormat="1" applyFont="1" applyBorder="1"/>
    <xf numFmtId="38" fontId="4" fillId="9" borderId="24" xfId="4" applyFont="1" applyFill="1" applyBorder="1"/>
    <xf numFmtId="179" fontId="4" fillId="4" borderId="25" xfId="3" applyNumberFormat="1" applyFont="1" applyFill="1" applyBorder="1"/>
    <xf numFmtId="180" fontId="4" fillId="10" borderId="25" xfId="4" applyNumberFormat="1" applyFont="1" applyFill="1" applyBorder="1"/>
    <xf numFmtId="38" fontId="4" fillId="3" borderId="22" xfId="4" applyFont="1" applyFill="1" applyBorder="1"/>
    <xf numFmtId="40" fontId="4" fillId="11" borderId="22" xfId="3" applyNumberFormat="1" applyFont="1" applyFill="1" applyBorder="1"/>
    <xf numFmtId="40" fontId="4" fillId="0" borderId="26" xfId="3" applyNumberFormat="1" applyFont="1" applyBorder="1"/>
    <xf numFmtId="38" fontId="4" fillId="12" borderId="22" xfId="3" applyNumberFormat="1" applyFont="1" applyFill="1" applyBorder="1"/>
    <xf numFmtId="38" fontId="5" fillId="3" borderId="22" xfId="4" applyFont="1" applyFill="1" applyBorder="1"/>
    <xf numFmtId="180" fontId="4" fillId="0" borderId="26" xfId="4" applyNumberFormat="1" applyFont="1" applyBorder="1"/>
    <xf numFmtId="38" fontId="9" fillId="0" borderId="24" xfId="4" applyFont="1" applyBorder="1"/>
    <xf numFmtId="38" fontId="4" fillId="0" borderId="24" xfId="4" applyFont="1" applyBorder="1"/>
    <xf numFmtId="38" fontId="4" fillId="13" borderId="4" xfId="4" applyFont="1" applyFill="1" applyBorder="1"/>
    <xf numFmtId="38" fontId="4" fillId="13" borderId="22" xfId="4" applyFont="1" applyFill="1" applyBorder="1"/>
    <xf numFmtId="38" fontId="5" fillId="13" borderId="22" xfId="4" applyFont="1" applyFill="1" applyBorder="1"/>
    <xf numFmtId="38" fontId="9" fillId="9" borderId="23" xfId="4" applyFont="1" applyFill="1" applyBorder="1"/>
    <xf numFmtId="38" fontId="4" fillId="0" borderId="0" xfId="4" applyFont="1"/>
    <xf numFmtId="178" fontId="10" fillId="0" borderId="7" xfId="3" applyNumberFormat="1" applyFont="1" applyBorder="1" applyAlignment="1">
      <alignment horizontal="left"/>
    </xf>
    <xf numFmtId="38" fontId="4" fillId="0" borderId="7" xfId="3" applyNumberFormat="1" applyFont="1" applyBorder="1"/>
    <xf numFmtId="180" fontId="4" fillId="0" borderId="4" xfId="4" applyNumberFormat="1" applyFont="1" applyBorder="1"/>
    <xf numFmtId="38" fontId="4" fillId="0" borderId="22" xfId="4" applyFont="1" applyBorder="1"/>
    <xf numFmtId="180" fontId="4" fillId="0" borderId="9" xfId="4" applyNumberFormat="1" applyFont="1" applyBorder="1"/>
    <xf numFmtId="38" fontId="4" fillId="0" borderId="0" xfId="3" applyNumberFormat="1" applyFont="1"/>
    <xf numFmtId="38" fontId="6" fillId="0" borderId="7" xfId="3" applyNumberFormat="1" applyFont="1" applyBorder="1"/>
    <xf numFmtId="38" fontId="5" fillId="14" borderId="24" xfId="4" applyFont="1" applyFill="1" applyBorder="1"/>
    <xf numFmtId="38" fontId="5" fillId="15" borderId="22" xfId="4" applyFont="1" applyFill="1" applyBorder="1"/>
    <xf numFmtId="179" fontId="4" fillId="4" borderId="22" xfId="3" applyNumberFormat="1" applyFont="1" applyFill="1" applyBorder="1"/>
    <xf numFmtId="180" fontId="4" fillId="10" borderId="22" xfId="4" applyNumberFormat="1" applyFont="1" applyFill="1" applyBorder="1"/>
    <xf numFmtId="38" fontId="4" fillId="8" borderId="22" xfId="4" applyFont="1" applyFill="1" applyBorder="1"/>
    <xf numFmtId="180" fontId="4" fillId="3" borderId="2" xfId="4" applyNumberFormat="1" applyFont="1" applyFill="1" applyBorder="1"/>
    <xf numFmtId="180" fontId="4" fillId="0" borderId="29" xfId="4" applyNumberFormat="1" applyFont="1" applyBorder="1"/>
    <xf numFmtId="38" fontId="4" fillId="0" borderId="2" xfId="4" applyFont="1" applyBorder="1"/>
    <xf numFmtId="38" fontId="4" fillId="9" borderId="3" xfId="4" applyFont="1" applyFill="1" applyBorder="1"/>
    <xf numFmtId="179" fontId="4" fillId="4" borderId="2" xfId="3" applyNumberFormat="1" applyFont="1" applyFill="1" applyBorder="1"/>
    <xf numFmtId="180" fontId="4" fillId="10" borderId="2" xfId="4" applyNumberFormat="1" applyFont="1" applyFill="1" applyBorder="1"/>
    <xf numFmtId="38" fontId="4" fillId="8" borderId="2" xfId="4" applyFont="1" applyFill="1" applyBorder="1"/>
    <xf numFmtId="38" fontId="5" fillId="0" borderId="30" xfId="4" applyFont="1" applyBorder="1"/>
    <xf numFmtId="38" fontId="5" fillId="0" borderId="31" xfId="4" applyFont="1" applyBorder="1"/>
    <xf numFmtId="38" fontId="4" fillId="3" borderId="2" xfId="4" applyFont="1" applyFill="1" applyBorder="1"/>
    <xf numFmtId="40" fontId="4" fillId="11" borderId="2" xfId="3" applyNumberFormat="1" applyFont="1" applyFill="1" applyBorder="1"/>
    <xf numFmtId="38" fontId="4" fillId="12" borderId="2" xfId="3" applyNumberFormat="1" applyFont="1" applyFill="1" applyBorder="1"/>
    <xf numFmtId="180" fontId="4" fillId="0" borderId="30" xfId="4" applyNumberFormat="1" applyFont="1" applyBorder="1"/>
    <xf numFmtId="38" fontId="4" fillId="13" borderId="32" xfId="4" applyFont="1" applyFill="1" applyBorder="1"/>
    <xf numFmtId="38" fontId="4" fillId="13" borderId="15" xfId="4" applyFont="1" applyFill="1" applyBorder="1"/>
    <xf numFmtId="38" fontId="5" fillId="13" borderId="15" xfId="4" applyFont="1" applyFill="1" applyBorder="1"/>
    <xf numFmtId="0" fontId="5" fillId="0" borderId="33" xfId="3" applyFont="1" applyBorder="1" applyAlignment="1">
      <alignment horizontal="left"/>
    </xf>
    <xf numFmtId="38" fontId="5" fillId="0" borderId="12" xfId="3" applyNumberFormat="1" applyFont="1" applyBorder="1"/>
    <xf numFmtId="179" fontId="5" fillId="0" borderId="34" xfId="3" applyNumberFormat="1" applyFont="1" applyBorder="1"/>
    <xf numFmtId="180" fontId="5" fillId="0" borderId="12" xfId="3" applyNumberFormat="1" applyFont="1" applyBorder="1"/>
    <xf numFmtId="38" fontId="11" fillId="0" borderId="34" xfId="3" applyNumberFormat="1" applyFont="1" applyBorder="1"/>
    <xf numFmtId="38" fontId="5" fillId="0" borderId="34" xfId="3" applyNumberFormat="1" applyFont="1" applyBorder="1"/>
    <xf numFmtId="38" fontId="5" fillId="0" borderId="33" xfId="3" applyNumberFormat="1" applyFont="1" applyBorder="1"/>
    <xf numFmtId="38" fontId="5" fillId="7" borderId="12" xfId="3" applyNumberFormat="1" applyFont="1" applyFill="1" applyBorder="1"/>
    <xf numFmtId="182" fontId="5" fillId="0" borderId="12" xfId="3" applyNumberFormat="1" applyFont="1" applyBorder="1" applyAlignment="1">
      <alignment shrinkToFit="1"/>
    </xf>
    <xf numFmtId="181" fontId="5" fillId="0" borderId="34" xfId="3" applyNumberFormat="1" applyFont="1" applyBorder="1"/>
    <xf numFmtId="38" fontId="11" fillId="0" borderId="12" xfId="3" applyNumberFormat="1" applyFont="1" applyBorder="1"/>
    <xf numFmtId="38" fontId="9" fillId="7" borderId="12" xfId="3" applyNumberFormat="1" applyFont="1" applyFill="1" applyBorder="1"/>
    <xf numFmtId="182" fontId="12" fillId="0" borderId="34" xfId="3" applyNumberFormat="1" applyFont="1" applyBorder="1" applyAlignment="1">
      <alignment shrinkToFit="1"/>
    </xf>
    <xf numFmtId="0" fontId="5" fillId="0" borderId="12" xfId="3" applyFont="1" applyBorder="1"/>
    <xf numFmtId="182" fontId="5" fillId="0" borderId="35" xfId="3" applyNumberFormat="1" applyFont="1" applyBorder="1"/>
    <xf numFmtId="179" fontId="5" fillId="11" borderId="34" xfId="3" applyNumberFormat="1" applyFont="1" applyFill="1" applyBorder="1"/>
    <xf numFmtId="182" fontId="5" fillId="0" borderId="34" xfId="3" applyNumberFormat="1" applyFont="1" applyBorder="1"/>
    <xf numFmtId="179" fontId="13" fillId="12" borderId="34" xfId="3" applyNumberFormat="1" applyFont="1" applyFill="1" applyBorder="1"/>
    <xf numFmtId="180" fontId="5" fillId="0" borderId="34" xfId="3" applyNumberFormat="1" applyFont="1" applyBorder="1"/>
    <xf numFmtId="38" fontId="5" fillId="0" borderId="12" xfId="4" applyFont="1" applyBorder="1"/>
    <xf numFmtId="38" fontId="5" fillId="7" borderId="25" xfId="4" applyFont="1" applyFill="1" applyBorder="1"/>
    <xf numFmtId="38" fontId="9" fillId="7" borderId="25" xfId="4" applyFont="1" applyFill="1" applyBorder="1"/>
    <xf numFmtId="0" fontId="5" fillId="0" borderId="0" xfId="3" applyFont="1"/>
    <xf numFmtId="38" fontId="5" fillId="14" borderId="22" xfId="4" applyFont="1" applyFill="1" applyBorder="1"/>
    <xf numFmtId="0" fontId="5" fillId="0" borderId="0" xfId="3" applyFont="1" applyAlignment="1">
      <alignment horizontal="left"/>
    </xf>
    <xf numFmtId="0" fontId="5" fillId="0" borderId="7" xfId="3" applyFont="1" applyBorder="1"/>
    <xf numFmtId="38" fontId="11" fillId="0" borderId="22" xfId="4" applyFont="1" applyBorder="1"/>
    <xf numFmtId="38" fontId="9" fillId="7" borderId="22" xfId="4" applyFont="1" applyFill="1" applyBorder="1"/>
    <xf numFmtId="38" fontId="5" fillId="0" borderId="22" xfId="4" applyFont="1" applyBorder="1"/>
    <xf numFmtId="38" fontId="5" fillId="7" borderId="22" xfId="4" applyFont="1" applyFill="1" applyBorder="1"/>
    <xf numFmtId="182" fontId="5" fillId="0" borderId="0" xfId="3" applyNumberFormat="1" applyFont="1" applyAlignment="1">
      <alignment shrinkToFit="1"/>
    </xf>
    <xf numFmtId="179" fontId="5" fillId="0" borderId="0" xfId="3" applyNumberFormat="1" applyFont="1"/>
    <xf numFmtId="182" fontId="11" fillId="0" borderId="0" xfId="3" applyNumberFormat="1" applyFont="1"/>
    <xf numFmtId="0" fontId="5" fillId="0" borderId="9" xfId="3" applyFont="1" applyBorder="1"/>
    <xf numFmtId="182" fontId="5" fillId="0" borderId="0" xfId="3" applyNumberFormat="1" applyFont="1"/>
    <xf numFmtId="182" fontId="5" fillId="0" borderId="36" xfId="3" applyNumberFormat="1" applyFont="1" applyBorder="1"/>
    <xf numFmtId="0" fontId="5" fillId="0" borderId="8" xfId="3" applyFont="1" applyBorder="1"/>
    <xf numFmtId="38" fontId="5" fillId="0" borderId="9" xfId="4" applyFont="1" applyBorder="1"/>
    <xf numFmtId="38" fontId="5" fillId="0" borderId="0" xfId="3" applyNumberFormat="1" applyFont="1"/>
    <xf numFmtId="38" fontId="5" fillId="0" borderId="0" xfId="4" applyFont="1"/>
    <xf numFmtId="0" fontId="4" fillId="0" borderId="0" xfId="3" applyFont="1" applyAlignment="1">
      <alignment horizontal="right"/>
    </xf>
    <xf numFmtId="183" fontId="5" fillId="0" borderId="0" xfId="3" applyNumberFormat="1" applyFont="1"/>
    <xf numFmtId="183" fontId="5" fillId="8" borderId="0" xfId="3" applyNumberFormat="1" applyFont="1" applyFill="1"/>
    <xf numFmtId="183" fontId="5" fillId="0" borderId="0" xfId="3" applyNumberFormat="1" applyFont="1" applyAlignment="1">
      <alignment horizontal="right"/>
    </xf>
    <xf numFmtId="184" fontId="5" fillId="0" borderId="0" xfId="5" applyFont="1"/>
    <xf numFmtId="184" fontId="5" fillId="0" borderId="0" xfId="5" applyFont="1" applyAlignment="1">
      <alignment shrinkToFit="1"/>
    </xf>
    <xf numFmtId="183" fontId="4" fillId="0" borderId="0" xfId="3" applyNumberFormat="1" applyFont="1"/>
    <xf numFmtId="183" fontId="5" fillId="4" borderId="0" xfId="3" applyNumberFormat="1" applyFont="1" applyFill="1"/>
    <xf numFmtId="180" fontId="4" fillId="0" borderId="0" xfId="3" applyNumberFormat="1" applyFont="1"/>
    <xf numFmtId="0" fontId="4" fillId="0" borderId="26" xfId="3" applyFont="1" applyBorder="1"/>
    <xf numFmtId="0" fontId="4" fillId="0" borderId="31" xfId="3" applyFont="1" applyBorder="1" applyAlignment="1">
      <alignment horizontal="right"/>
    </xf>
    <xf numFmtId="183" fontId="5" fillId="14" borderId="0" xfId="3" applyNumberFormat="1" applyFont="1" applyFill="1"/>
    <xf numFmtId="0" fontId="4" fillId="0" borderId="36" xfId="3" applyFont="1" applyBorder="1"/>
    <xf numFmtId="185" fontId="4" fillId="0" borderId="0" xfId="4" applyNumberFormat="1" applyFont="1"/>
    <xf numFmtId="0" fontId="14" fillId="0" borderId="22" xfId="3" applyFont="1" applyBorder="1" applyAlignment="1">
      <alignment horizontal="left" vertical="top" wrapText="1"/>
    </xf>
    <xf numFmtId="38" fontId="15" fillId="0" borderId="0" xfId="3" applyNumberFormat="1" applyFont="1" applyAlignment="1">
      <alignment vertical="center"/>
    </xf>
    <xf numFmtId="0" fontId="4" fillId="0" borderId="0" xfId="3" applyFont="1" applyAlignment="1">
      <alignment horizontal="center"/>
    </xf>
    <xf numFmtId="38" fontId="4" fillId="0" borderId="0" xfId="1" applyFont="1" applyAlignment="1"/>
    <xf numFmtId="10" fontId="1" fillId="0" borderId="0" xfId="2" applyNumberFormat="1" applyAlignment="1"/>
    <xf numFmtId="0" fontId="5" fillId="0" borderId="0" xfId="3" applyFont="1" applyAlignment="1">
      <alignment horizontal="center"/>
    </xf>
    <xf numFmtId="38" fontId="5" fillId="0" borderId="0" xfId="4" applyFont="1" applyAlignment="1">
      <alignment horizontal="right" vertical="center"/>
    </xf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right" vertical="center"/>
    </xf>
    <xf numFmtId="0" fontId="5" fillId="0" borderId="0" xfId="3" applyFont="1" applyAlignment="1">
      <alignment horizontal="center" vertical="center" shrinkToFit="1"/>
    </xf>
    <xf numFmtId="186" fontId="5" fillId="0" borderId="0" xfId="2" applyNumberFormat="1" applyFont="1" applyAlignment="1"/>
    <xf numFmtId="187" fontId="5" fillId="7" borderId="0" xfId="3" applyNumberFormat="1" applyFont="1" applyFill="1"/>
    <xf numFmtId="38" fontId="5" fillId="0" borderId="0" xfId="3" applyNumberFormat="1" applyFont="1" applyAlignment="1">
      <alignment horizontal="center" vertical="center"/>
    </xf>
    <xf numFmtId="0" fontId="9" fillId="0" borderId="0" xfId="3" applyFont="1" applyAlignment="1">
      <alignment vertical="center"/>
    </xf>
    <xf numFmtId="0" fontId="9" fillId="0" borderId="0" xfId="3" applyFont="1" applyAlignment="1">
      <alignment horizontal="right" vertical="center"/>
    </xf>
    <xf numFmtId="184" fontId="9" fillId="0" borderId="0" xfId="5" applyFont="1" applyAlignment="1">
      <alignment vertical="center"/>
    </xf>
    <xf numFmtId="10" fontId="9" fillId="0" borderId="0" xfId="2" applyNumberFormat="1" applyFont="1" applyAlignment="1">
      <alignment vertical="center"/>
    </xf>
    <xf numFmtId="0" fontId="16" fillId="0" borderId="0" xfId="3" applyFont="1" applyAlignment="1">
      <alignment vertical="center"/>
    </xf>
    <xf numFmtId="38" fontId="17" fillId="0" borderId="0" xfId="3" applyNumberFormat="1" applyFont="1"/>
    <xf numFmtId="38" fontId="17" fillId="0" borderId="0" xfId="1" applyFont="1" applyAlignment="1"/>
    <xf numFmtId="10" fontId="17" fillId="0" borderId="0" xfId="2" applyNumberFormat="1" applyFont="1" applyAlignment="1"/>
    <xf numFmtId="38" fontId="17" fillId="0" borderId="0" xfId="4" applyFont="1"/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horizontal="center" vertical="center"/>
    </xf>
    <xf numFmtId="184" fontId="18" fillId="0" borderId="0" xfId="5" applyFont="1" applyAlignment="1">
      <alignment vertical="center"/>
    </xf>
    <xf numFmtId="10" fontId="18" fillId="0" borderId="0" xfId="2" applyNumberFormat="1" applyFont="1" applyAlignment="1">
      <alignment vertical="center"/>
    </xf>
    <xf numFmtId="38" fontId="16" fillId="0" borderId="0" xfId="4" applyFont="1" applyAlignment="1">
      <alignment vertical="center"/>
    </xf>
    <xf numFmtId="0" fontId="4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38" fontId="4" fillId="0" borderId="0" xfId="3" applyNumberFormat="1" applyFont="1" applyAlignment="1">
      <alignment horizontal="center" vertical="center"/>
    </xf>
    <xf numFmtId="0" fontId="19" fillId="0" borderId="0" xfId="3" applyFont="1" applyAlignment="1">
      <alignment horizontal="left" vertical="center"/>
    </xf>
    <xf numFmtId="180" fontId="4" fillId="0" borderId="0" xfId="3" applyNumberFormat="1" applyFont="1" applyAlignment="1">
      <alignment horizontal="left" vertical="center"/>
    </xf>
    <xf numFmtId="38" fontId="4" fillId="0" borderId="0" xfId="3" applyNumberFormat="1" applyFont="1" applyAlignment="1">
      <alignment horizontal="left" vertical="center"/>
    </xf>
    <xf numFmtId="0" fontId="4" fillId="0" borderId="0" xfId="3" applyFont="1" applyAlignment="1">
      <alignment vertical="center"/>
    </xf>
    <xf numFmtId="38" fontId="4" fillId="0" borderId="0" xfId="4" applyFont="1" applyAlignment="1">
      <alignment horizontal="left" vertical="center"/>
    </xf>
    <xf numFmtId="0" fontId="19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188" fontId="4" fillId="0" borderId="0" xfId="3" applyNumberFormat="1" applyFont="1" applyAlignment="1">
      <alignment horizontal="center" vertical="center"/>
    </xf>
    <xf numFmtId="38" fontId="6" fillId="0" borderId="0" xfId="3" applyNumberFormat="1" applyFont="1" applyAlignment="1">
      <alignment horizontal="center" vertical="center"/>
    </xf>
    <xf numFmtId="38" fontId="4" fillId="0" borderId="0" xfId="1" applyFont="1" applyAlignment="1">
      <alignment horizontal="right" vertical="center"/>
    </xf>
    <xf numFmtId="38" fontId="0" fillId="0" borderId="0" xfId="1" applyFont="1" applyAlignment="1">
      <alignment horizontal="right" vertical="center"/>
    </xf>
    <xf numFmtId="38" fontId="4" fillId="0" borderId="0" xfId="4" applyFont="1" applyAlignment="1">
      <alignment vertical="center"/>
    </xf>
    <xf numFmtId="38" fontId="7" fillId="0" borderId="0" xfId="4" applyFont="1" applyAlignment="1">
      <alignment vertical="center"/>
    </xf>
    <xf numFmtId="38" fontId="5" fillId="0" borderId="0" xfId="4" applyFont="1" applyAlignment="1">
      <alignment vertical="center"/>
    </xf>
    <xf numFmtId="38" fontId="19" fillId="0" borderId="0" xfId="4" applyFont="1" applyAlignment="1">
      <alignment vertical="center"/>
    </xf>
    <xf numFmtId="0" fontId="19" fillId="0" borderId="0" xfId="3" applyFont="1" applyAlignment="1">
      <alignment vertical="center"/>
    </xf>
    <xf numFmtId="38" fontId="5" fillId="16" borderId="37" xfId="4" applyFont="1" applyFill="1" applyBorder="1" applyAlignment="1">
      <alignment horizontal="center" vertical="center"/>
    </xf>
    <xf numFmtId="38" fontId="5" fillId="0" borderId="37" xfId="4" applyFont="1" applyBorder="1" applyAlignment="1">
      <alignment horizontal="center" vertical="center"/>
    </xf>
    <xf numFmtId="38" fontId="19" fillId="0" borderId="37" xfId="1" applyFont="1" applyBorder="1" applyAlignment="1">
      <alignment horizontal="right" vertical="center"/>
    </xf>
    <xf numFmtId="186" fontId="1" fillId="0" borderId="37" xfId="2" applyNumberFormat="1" applyBorder="1" applyAlignment="1">
      <alignment horizontal="right" vertical="center"/>
    </xf>
    <xf numFmtId="38" fontId="7" fillId="0" borderId="37" xfId="3" applyNumberFormat="1" applyFont="1" applyBorder="1" applyAlignment="1">
      <alignment horizontal="right" vertical="center"/>
    </xf>
    <xf numFmtId="0" fontId="7" fillId="0" borderId="37" xfId="3" applyFont="1" applyBorder="1" applyAlignment="1">
      <alignment horizontal="right" vertical="center"/>
    </xf>
    <xf numFmtId="38" fontId="5" fillId="17" borderId="37" xfId="4" applyFont="1" applyFill="1" applyBorder="1" applyAlignment="1">
      <alignment horizontal="center" vertical="center"/>
    </xf>
    <xf numFmtId="38" fontId="19" fillId="0" borderId="0" xfId="3" applyNumberFormat="1" applyFont="1" applyAlignment="1">
      <alignment vertical="center"/>
    </xf>
    <xf numFmtId="38" fontId="4" fillId="0" borderId="0" xfId="1" applyFont="1" applyAlignment="1">
      <alignment horizontal="right"/>
    </xf>
    <xf numFmtId="0" fontId="5" fillId="18" borderId="37" xfId="3" applyFont="1" applyFill="1" applyBorder="1" applyAlignment="1">
      <alignment horizontal="center" vertical="center"/>
    </xf>
    <xf numFmtId="0" fontId="5" fillId="0" borderId="37" xfId="3" applyFont="1" applyBorder="1" applyAlignment="1">
      <alignment horizontal="center" vertical="center"/>
    </xf>
    <xf numFmtId="0" fontId="5" fillId="0" borderId="37" xfId="3" applyFont="1" applyBorder="1" applyAlignment="1">
      <alignment horizontal="center" vertical="center"/>
    </xf>
    <xf numFmtId="38" fontId="20" fillId="0" borderId="37" xfId="3" applyNumberFormat="1" applyFont="1" applyBorder="1" applyAlignment="1">
      <alignment horizontal="right" vertical="center"/>
    </xf>
    <xf numFmtId="0" fontId="20" fillId="0" borderId="37" xfId="3" applyFont="1" applyBorder="1" applyAlignment="1">
      <alignment horizontal="right" vertical="center"/>
    </xf>
    <xf numFmtId="38" fontId="9" fillId="0" borderId="0" xfId="3" applyNumberFormat="1" applyFont="1"/>
  </cellXfs>
  <cellStyles count="6">
    <cellStyle name="Excel Built-in Comma [0]" xfId="4" xr:uid="{30A0CA2C-679B-5C4D-B18F-6318D344E35B}"/>
    <cellStyle name="Excel Built-in Currency [0]" xfId="5" xr:uid="{53F01E63-745C-0743-8930-5905DF2D804C}"/>
    <cellStyle name="Excel Built-in Normal 1" xfId="3" xr:uid="{EB07000D-FEB8-EA4A-AD21-18AD62EC4E03}"/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toshiiga/Desktop/GA&#22770;&#19978;&#26085;&#22577;.xlsx" TargetMode="External"/><Relationship Id="rId1" Type="http://schemas.openxmlformats.org/officeDocument/2006/relationships/externalLinkPath" Target="GA&#22770;&#19978;&#26085;&#22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料飲部全体進捗（月終了時点）"/>
      <sheetName val="R7GA予算"/>
      <sheetName val="2026(2)"/>
      <sheetName val="2025(2)"/>
      <sheetName val="2026(1)"/>
      <sheetName val="2025(1)"/>
      <sheetName val="2025(12)"/>
      <sheetName val="2024(12)"/>
      <sheetName val="2025(11)"/>
      <sheetName val="2024(11)"/>
      <sheetName val="2025(10)"/>
      <sheetName val="2024(10)"/>
      <sheetName val="2023(10)"/>
      <sheetName val="2025(9)"/>
      <sheetName val="2024(9)"/>
      <sheetName val="2023(9)"/>
      <sheetName val="2025(8)"/>
      <sheetName val="2024(8)"/>
      <sheetName val="2023(8)"/>
      <sheetName val="2025(7)"/>
      <sheetName val="2024(7)"/>
      <sheetName val="2023(7)"/>
      <sheetName val="2025(6)"/>
      <sheetName val="2024(6)"/>
      <sheetName val="2023(6)"/>
      <sheetName val="2025(5)"/>
      <sheetName val="2024(5)"/>
      <sheetName val="2025(4)"/>
      <sheetName val="2024(4)"/>
      <sheetName val="2025(3)"/>
      <sheetName val="2024(3)"/>
      <sheetName val="2024(2)"/>
      <sheetName val="2024(1)"/>
      <sheetName val="2023(12)"/>
      <sheetName val="2023(11)"/>
      <sheetName val="1stQuarter"/>
      <sheetName val="2023(5)"/>
      <sheetName val="料飲部全体進捗（8月終了時点） (2)"/>
      <sheetName val="2023(4)"/>
      <sheetName val="FBテイクアウト売上比率（JW）"/>
      <sheetName val="顧客リスト（リピーター）流入（JW）"/>
      <sheetName val="R4_ R3対比（客数・客単価）"/>
      <sheetName val="R4施策"/>
      <sheetName val="2022 (1)"/>
      <sheetName val="2022 (12)"/>
      <sheetName val="2021 (12)"/>
      <sheetName val="2022 (11)"/>
      <sheetName val="2021 (11)"/>
      <sheetName val="2022 (10)"/>
      <sheetName val="2021 (10)"/>
      <sheetName val="2022 (9)"/>
      <sheetName val="2021 (9)"/>
      <sheetName val="2022 (8)"/>
      <sheetName val="2021 (8)"/>
      <sheetName val="2022 (7)"/>
      <sheetName val="2021 (7)"/>
      <sheetName val="2022 (6)"/>
      <sheetName val="2021 (6)"/>
      <sheetName val="2022 (5)"/>
      <sheetName val="2021 (5)"/>
      <sheetName val="2022 (4)"/>
      <sheetName val="2021 (4)"/>
      <sheetName val="下期ー年度累計数値報告 (2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7">
          <cell r="AS37">
            <v>15843636.363636361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752F-68F3-E64E-9FDA-EBC94C4A5551}">
  <dimension ref="A1:BO224"/>
  <sheetViews>
    <sheetView workbookViewId="0">
      <selection sqref="A1:XFD1048576"/>
    </sheetView>
  </sheetViews>
  <sheetFormatPr baseColWidth="10" defaultColWidth="11.140625" defaultRowHeight="16"/>
  <cols>
    <col min="1" max="1" width="11.140625" style="49"/>
    <col min="2" max="2" width="10.42578125" style="132" customWidth="1"/>
    <col min="3" max="3" width="12.42578125" style="49" customWidth="1"/>
    <col min="4" max="4" width="4.140625" style="49" customWidth="1"/>
    <col min="5" max="9" width="8.42578125" style="49" customWidth="1"/>
    <col min="10" max="10" width="12" style="49" customWidth="1"/>
    <col min="11" max="11" width="8.42578125" style="49" customWidth="1"/>
    <col min="12" max="12" width="3.85546875" style="49" customWidth="1"/>
    <col min="13" max="17" width="8.42578125" style="49" customWidth="1"/>
    <col min="18" max="18" width="12.42578125" style="49" customWidth="1"/>
    <col min="19" max="19" width="8.42578125" style="49" customWidth="1"/>
    <col min="20" max="23" width="11.140625" style="49"/>
    <col min="24" max="24" width="7.5703125" style="49" customWidth="1"/>
    <col min="25" max="25" width="3" style="49" customWidth="1"/>
    <col min="26" max="30" width="7.5703125" style="49" customWidth="1"/>
    <col min="31" max="31" width="10" style="49" customWidth="1"/>
    <col min="32" max="32" width="7.5703125" style="49" customWidth="1"/>
    <col min="33" max="33" width="3.5703125" style="49" customWidth="1"/>
    <col min="34" max="38" width="7.5703125" style="49" customWidth="1"/>
    <col min="39" max="39" width="11.85546875" style="49" customWidth="1"/>
    <col min="40" max="40" width="10" style="49" customWidth="1"/>
    <col min="41" max="41" width="4.140625" style="49" customWidth="1"/>
    <col min="42" max="46" width="7.5703125" style="49" customWidth="1"/>
    <col min="47" max="48" width="9.140625" style="49" customWidth="1"/>
    <col min="49" max="49" width="11.28515625" style="49" customWidth="1"/>
    <col min="50" max="50" width="7.5703125" style="49" customWidth="1"/>
    <col min="51" max="51" width="5.7109375" style="49" customWidth="1"/>
    <col min="52" max="53" width="9.140625" style="49" customWidth="1"/>
    <col min="54" max="54" width="13.5703125" style="49" customWidth="1"/>
    <col min="55" max="55" width="11.140625" style="49"/>
    <col min="56" max="56" width="14.85546875" style="49" customWidth="1"/>
    <col min="57" max="62" width="11.140625" style="49"/>
    <col min="63" max="63" width="11.140625" style="79"/>
    <col min="64" max="64" width="11.140625" style="49"/>
    <col min="65" max="65" width="11.140625" style="79"/>
    <col min="66" max="16384" width="11.140625" style="49"/>
  </cols>
  <sheetData>
    <row r="1" spans="1:67" s="3" customFormat="1">
      <c r="A1" s="1" t="s">
        <v>0</v>
      </c>
      <c r="B1" s="2"/>
      <c r="BK1" s="4"/>
      <c r="BM1" s="4"/>
    </row>
    <row r="2" spans="1:67" s="3" customFormat="1" ht="35" thickBot="1">
      <c r="A2" s="5">
        <v>2025</v>
      </c>
      <c r="B2" s="6">
        <v>1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C2" s="3" t="s">
        <v>1</v>
      </c>
      <c r="BK2" s="4"/>
      <c r="BM2" s="4"/>
    </row>
    <row r="3" spans="1:67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6"/>
      <c r="AG3" s="17" t="s">
        <v>7</v>
      </c>
      <c r="AH3" s="18"/>
      <c r="AI3" s="18"/>
      <c r="AJ3" s="18"/>
      <c r="AK3" s="18"/>
      <c r="AL3" s="18"/>
      <c r="AM3" s="18"/>
      <c r="AN3" s="19"/>
      <c r="AO3" s="20" t="s">
        <v>8</v>
      </c>
      <c r="AP3" s="21"/>
      <c r="AQ3" s="21"/>
      <c r="AR3" s="21"/>
      <c r="AS3" s="21"/>
      <c r="AT3" s="21"/>
      <c r="AU3" s="21"/>
      <c r="AV3" s="21"/>
      <c r="AW3" s="21"/>
      <c r="AX3" s="22"/>
      <c r="AY3" s="23" t="s">
        <v>9</v>
      </c>
      <c r="AZ3" s="14"/>
      <c r="BA3" s="14"/>
      <c r="BB3" s="14"/>
      <c r="BC3" s="24"/>
      <c r="BD3" s="25" t="s">
        <v>10</v>
      </c>
      <c r="BE3" s="26"/>
      <c r="BF3" s="26"/>
      <c r="BG3" s="26"/>
      <c r="BH3" s="26"/>
      <c r="BI3" s="26"/>
      <c r="BJ3" s="26"/>
      <c r="BK3" s="27"/>
      <c r="BM3" s="4"/>
    </row>
    <row r="4" spans="1:67" s="8" customFormat="1" ht="53.25" customHeight="1" thickTop="1" thickBot="1">
      <c r="A4" s="28"/>
      <c r="B4" s="10"/>
      <c r="C4" s="29" t="s">
        <v>11</v>
      </c>
      <c r="D4" s="30" t="s">
        <v>12</v>
      </c>
      <c r="E4" s="31" t="s">
        <v>13</v>
      </c>
      <c r="F4" s="30" t="s">
        <v>14</v>
      </c>
      <c r="G4" s="32" t="s">
        <v>15</v>
      </c>
      <c r="H4" s="30" t="s">
        <v>16</v>
      </c>
      <c r="I4" s="33" t="s">
        <v>17</v>
      </c>
      <c r="J4" s="31" t="s">
        <v>18</v>
      </c>
      <c r="K4" s="30" t="s">
        <v>19</v>
      </c>
      <c r="L4" s="30" t="s">
        <v>20</v>
      </c>
      <c r="M4" s="34" t="s">
        <v>13</v>
      </c>
      <c r="N4" s="30" t="s">
        <v>14</v>
      </c>
      <c r="O4" s="32" t="s">
        <v>15</v>
      </c>
      <c r="P4" s="30" t="s">
        <v>16</v>
      </c>
      <c r="Q4" s="33" t="s">
        <v>17</v>
      </c>
      <c r="R4" s="31" t="s">
        <v>18</v>
      </c>
      <c r="S4" s="35" t="s">
        <v>19</v>
      </c>
      <c r="T4" s="36" t="s">
        <v>21</v>
      </c>
      <c r="U4" s="37" t="s">
        <v>22</v>
      </c>
      <c r="V4" s="37" t="s">
        <v>23</v>
      </c>
      <c r="W4" s="38" t="s">
        <v>24</v>
      </c>
      <c r="X4" s="37"/>
      <c r="Y4" s="39" t="s">
        <v>25</v>
      </c>
      <c r="Z4" s="37" t="s">
        <v>13</v>
      </c>
      <c r="AA4" s="37" t="s">
        <v>22</v>
      </c>
      <c r="AB4" s="40" t="s">
        <v>26</v>
      </c>
      <c r="AC4" s="37" t="s">
        <v>23</v>
      </c>
      <c r="AD4" s="38" t="s">
        <v>27</v>
      </c>
      <c r="AE4" s="41" t="s">
        <v>28</v>
      </c>
      <c r="AF4" s="42" t="s">
        <v>19</v>
      </c>
      <c r="AG4" s="43" t="s">
        <v>29</v>
      </c>
      <c r="AH4" s="30" t="s">
        <v>13</v>
      </c>
      <c r="AI4" s="30" t="s">
        <v>22</v>
      </c>
      <c r="AJ4" s="32" t="s">
        <v>26</v>
      </c>
      <c r="AK4" s="30" t="s">
        <v>23</v>
      </c>
      <c r="AL4" s="33" t="s">
        <v>27</v>
      </c>
      <c r="AM4" s="34" t="s">
        <v>28</v>
      </c>
      <c r="AN4" s="40" t="s">
        <v>19</v>
      </c>
      <c r="AO4" s="44" t="s">
        <v>29</v>
      </c>
      <c r="AP4" s="30" t="s">
        <v>13</v>
      </c>
      <c r="AQ4" s="30" t="s">
        <v>22</v>
      </c>
      <c r="AR4" s="32" t="s">
        <v>26</v>
      </c>
      <c r="AS4" s="30" t="s">
        <v>23</v>
      </c>
      <c r="AT4" s="33" t="s">
        <v>27</v>
      </c>
      <c r="AU4" s="33" t="s">
        <v>30</v>
      </c>
      <c r="AV4" s="33" t="s">
        <v>31</v>
      </c>
      <c r="AW4" s="34" t="s">
        <v>28</v>
      </c>
      <c r="AX4" s="40" t="s">
        <v>19</v>
      </c>
      <c r="AY4" s="40" t="s">
        <v>21</v>
      </c>
      <c r="AZ4" s="37" t="s">
        <v>22</v>
      </c>
      <c r="BA4" s="37" t="s">
        <v>23</v>
      </c>
      <c r="BB4" s="38" t="s">
        <v>24</v>
      </c>
      <c r="BC4" s="38" t="s">
        <v>32</v>
      </c>
      <c r="BD4" s="45" t="s">
        <v>33</v>
      </c>
      <c r="BE4" s="46" t="s">
        <v>34</v>
      </c>
      <c r="BF4" s="46" t="s">
        <v>35</v>
      </c>
      <c r="BG4" s="46" t="s">
        <v>36</v>
      </c>
      <c r="BH4" s="46" t="s">
        <v>37</v>
      </c>
      <c r="BI4" s="46" t="s">
        <v>38</v>
      </c>
      <c r="BJ4" s="46" t="s">
        <v>39</v>
      </c>
      <c r="BK4" s="47" t="s">
        <v>40</v>
      </c>
      <c r="BM4" s="48"/>
    </row>
    <row r="5" spans="1:67" ht="20" customHeight="1" thickTop="1">
      <c r="B5" s="50">
        <f>DATE($A$2,$B$2,1)</f>
        <v>45658</v>
      </c>
      <c r="C5" s="51"/>
      <c r="D5" s="52"/>
      <c r="E5" s="53"/>
      <c r="F5" s="54"/>
      <c r="G5" s="55" t="e">
        <f t="shared" ref="G5:G35" si="0">ROUNDDOWN(F5/1.1,0)/E5</f>
        <v>#DIV/0!</v>
      </c>
      <c r="H5" s="54"/>
      <c r="I5" s="56" t="e">
        <f>ROUNDDOWN(H5/1.1,0)/E5</f>
        <v>#DIV/0!</v>
      </c>
      <c r="J5" s="57">
        <f t="shared" ref="J5:J35" si="1">F5+H5</f>
        <v>0</v>
      </c>
      <c r="K5" s="58" t="str">
        <f t="shared" ref="K5:K35" si="2">IF(E5="","",J5/E5)</f>
        <v/>
      </c>
      <c r="L5" s="59"/>
      <c r="M5" s="60">
        <f t="shared" ref="M5:N35" si="3">BD5-E5</f>
        <v>0</v>
      </c>
      <c r="N5" s="61">
        <f t="shared" si="3"/>
        <v>0</v>
      </c>
      <c r="O5" s="55" t="e">
        <f t="shared" ref="O5:O35" si="4">ROUNDDOWN(N5/1.1,0)/M5</f>
        <v>#DIV/0!</v>
      </c>
      <c r="P5" s="61">
        <f t="shared" ref="P5:P35" si="5">BF5-H5</f>
        <v>0</v>
      </c>
      <c r="Q5" s="56" t="e">
        <f t="shared" ref="Q5:Q35" si="6">ROUNDDOWN(P5/1.1,0)/M5</f>
        <v>#DIV/0!</v>
      </c>
      <c r="R5" s="62">
        <f t="shared" ref="R5:R35" si="7">N5+P5</f>
        <v>0</v>
      </c>
      <c r="S5" s="58" t="e">
        <f t="shared" ref="S5:S35" si="8">IF(M5="","",R5/M5)</f>
        <v>#DIV/0!</v>
      </c>
      <c r="T5" s="63">
        <f t="shared" ref="T5:U35" si="9">E5+M5</f>
        <v>0</v>
      </c>
      <c r="U5" s="61">
        <f t="shared" si="9"/>
        <v>0</v>
      </c>
      <c r="V5" s="61">
        <f t="shared" ref="V5:V35" si="10">H5+P5</f>
        <v>0</v>
      </c>
      <c r="W5" s="64">
        <f t="shared" ref="W5:W35" si="11">J5+R5</f>
        <v>0</v>
      </c>
      <c r="X5" s="61"/>
      <c r="Y5" s="65"/>
      <c r="Z5" s="66"/>
      <c r="AA5" s="54"/>
      <c r="AB5" s="55" t="e">
        <f t="shared" ref="AB5:AB35" si="12">AA5/Z5</f>
        <v>#DIV/0!</v>
      </c>
      <c r="AC5" s="54"/>
      <c r="AD5" s="56" t="e">
        <f t="shared" ref="AD5:AD35" si="13">AC5/Z5</f>
        <v>#DIV/0!</v>
      </c>
      <c r="AE5" s="67">
        <f t="shared" ref="AE5:AE35" si="14">AA5+AC5</f>
        <v>0</v>
      </c>
      <c r="AF5" s="58" t="str">
        <f t="shared" ref="AF5:AF35" si="15">IF(Z5="","",AE5/Z5)</f>
        <v/>
      </c>
      <c r="AG5" s="68"/>
      <c r="AH5" s="66"/>
      <c r="AI5" s="54"/>
      <c r="AJ5" s="55" t="e">
        <f t="shared" ref="AJ5:AJ35" si="16">AI5/AH5</f>
        <v>#DIV/0!</v>
      </c>
      <c r="AK5" s="54"/>
      <c r="AL5" s="56" t="e">
        <f t="shared" ref="AL5:AL35" si="17">AK5/AH5</f>
        <v>#DIV/0!</v>
      </c>
      <c r="AM5" s="67">
        <f>AI5+AK5</f>
        <v>0</v>
      </c>
      <c r="AN5" s="69" t="str">
        <f t="shared" ref="AN5:AN35" si="18">IF(AH5="","",AM5/AH5)</f>
        <v/>
      </c>
      <c r="AO5" s="70"/>
      <c r="AP5" s="66"/>
      <c r="AQ5" s="54"/>
      <c r="AR5" s="55" t="e">
        <f t="shared" ref="AR5:AR35" si="19">AQ5/AP5</f>
        <v>#DIV/0!</v>
      </c>
      <c r="AS5" s="54"/>
      <c r="AT5" s="56" t="e">
        <f t="shared" ref="AT5:AT35" si="20">AS5/AP5</f>
        <v>#DIV/0!</v>
      </c>
      <c r="AU5" s="56"/>
      <c r="AV5" s="56"/>
      <c r="AW5" s="71">
        <f>AQ5+AS5+AU5+AV5</f>
        <v>0</v>
      </c>
      <c r="AX5" s="69" t="str">
        <f t="shared" ref="AX5:AX35" si="21">IF(AP5="","",AW5/AP5)</f>
        <v/>
      </c>
      <c r="AY5" s="72">
        <f t="shared" ref="AY5:AY35" si="22">SUM(E5,M5)</f>
        <v>0</v>
      </c>
      <c r="AZ5" s="61">
        <f t="shared" ref="AZ5:AZ35" si="23">U5+AA5+AI5+AQ5</f>
        <v>0</v>
      </c>
      <c r="BA5" s="61">
        <f t="shared" ref="BA5:BA35" si="24">V5+AC5+AK5+AS5</f>
        <v>0</v>
      </c>
      <c r="BB5" s="73">
        <f>W5+AE5+AM5+AW5</f>
        <v>0</v>
      </c>
      <c r="BC5" s="74">
        <f>BG5+BH5</f>
        <v>0</v>
      </c>
      <c r="BD5" s="75"/>
      <c r="BE5" s="76"/>
      <c r="BF5" s="76"/>
      <c r="BG5" s="77"/>
      <c r="BH5" s="77"/>
      <c r="BI5" s="77"/>
      <c r="BJ5" s="77"/>
      <c r="BK5" s="78">
        <f>SUM(BE5:BH5)</f>
        <v>0</v>
      </c>
      <c r="BL5" s="49">
        <v>1</v>
      </c>
      <c r="BM5" s="79">
        <f t="shared" ref="BM5:BM35" si="25">BJ5+BK5</f>
        <v>0</v>
      </c>
    </row>
    <row r="6" spans="1:67" ht="20" customHeight="1">
      <c r="B6" s="80">
        <f t="shared" ref="B6:B35" si="26">B5+1</f>
        <v>45659</v>
      </c>
      <c r="C6" s="81"/>
      <c r="D6" s="52"/>
      <c r="E6" s="53">
        <v>34</v>
      </c>
      <c r="F6" s="54">
        <v>133870</v>
      </c>
      <c r="G6" s="55">
        <f t="shared" si="0"/>
        <v>3579.4117647058824</v>
      </c>
      <c r="H6" s="54">
        <v>21780</v>
      </c>
      <c r="I6" s="56">
        <f t="shared" ref="I6:I35" si="27">ROUNDDOWN(H6/1.1,0)/E6</f>
        <v>582.35294117647061</v>
      </c>
      <c r="J6" s="57">
        <f t="shared" si="1"/>
        <v>155650</v>
      </c>
      <c r="K6" s="58">
        <f t="shared" si="2"/>
        <v>4577.9411764705883</v>
      </c>
      <c r="L6" s="59"/>
      <c r="M6" s="60">
        <f t="shared" si="3"/>
        <v>34</v>
      </c>
      <c r="N6" s="61">
        <f t="shared" si="3"/>
        <v>347210</v>
      </c>
      <c r="O6" s="55">
        <f t="shared" si="4"/>
        <v>9283.676470588236</v>
      </c>
      <c r="P6" s="61">
        <f t="shared" si="5"/>
        <v>92250</v>
      </c>
      <c r="Q6" s="56">
        <f t="shared" si="6"/>
        <v>2466.5588235294117</v>
      </c>
      <c r="R6" s="62">
        <f t="shared" si="7"/>
        <v>439460</v>
      </c>
      <c r="S6" s="58">
        <f t="shared" si="8"/>
        <v>12925.294117647059</v>
      </c>
      <c r="T6" s="82">
        <f t="shared" si="9"/>
        <v>68</v>
      </c>
      <c r="U6" s="61">
        <f t="shared" si="9"/>
        <v>481080</v>
      </c>
      <c r="V6" s="61">
        <f t="shared" si="10"/>
        <v>114030</v>
      </c>
      <c r="W6" s="64">
        <f t="shared" si="11"/>
        <v>595110</v>
      </c>
      <c r="X6" s="83"/>
      <c r="Y6" s="65"/>
      <c r="Z6" s="66">
        <v>19</v>
      </c>
      <c r="AA6" s="54">
        <v>7150</v>
      </c>
      <c r="AB6" s="55">
        <f t="shared" si="12"/>
        <v>376.31578947368422</v>
      </c>
      <c r="AC6" s="54">
        <v>2200</v>
      </c>
      <c r="AD6" s="56">
        <f t="shared" si="13"/>
        <v>115.78947368421052</v>
      </c>
      <c r="AE6" s="67">
        <f>AA6+AC6</f>
        <v>9350</v>
      </c>
      <c r="AF6" s="58">
        <f t="shared" si="15"/>
        <v>492.10526315789474</v>
      </c>
      <c r="AG6" s="68"/>
      <c r="AH6" s="66"/>
      <c r="AI6" s="54"/>
      <c r="AJ6" s="55" t="e">
        <f t="shared" si="16"/>
        <v>#DIV/0!</v>
      </c>
      <c r="AK6" s="54"/>
      <c r="AL6" s="56" t="e">
        <f t="shared" si="17"/>
        <v>#DIV/0!</v>
      </c>
      <c r="AM6" s="67">
        <f t="shared" ref="AM6:AM35" si="28">AI6+AK6</f>
        <v>0</v>
      </c>
      <c r="AN6" s="69" t="str">
        <f t="shared" si="18"/>
        <v/>
      </c>
      <c r="AO6" s="70"/>
      <c r="AP6" s="66"/>
      <c r="AQ6" s="54"/>
      <c r="AR6" s="55" t="e">
        <f t="shared" si="19"/>
        <v>#DIV/0!</v>
      </c>
      <c r="AS6" s="54"/>
      <c r="AT6" s="56" t="e">
        <f t="shared" si="20"/>
        <v>#DIV/0!</v>
      </c>
      <c r="AU6" s="56"/>
      <c r="AV6" s="56"/>
      <c r="AW6" s="71">
        <f>AQ6+AS6+AU6+AV6</f>
        <v>0</v>
      </c>
      <c r="AX6" s="69" t="str">
        <f t="shared" si="21"/>
        <v/>
      </c>
      <c r="AY6" s="84">
        <f t="shared" si="22"/>
        <v>68</v>
      </c>
      <c r="AZ6" s="61">
        <f t="shared" si="23"/>
        <v>488230</v>
      </c>
      <c r="BA6" s="61">
        <f t="shared" si="24"/>
        <v>116230</v>
      </c>
      <c r="BB6" s="73">
        <f>W6+AE6+AM6+AW6</f>
        <v>604460</v>
      </c>
      <c r="BC6" s="74">
        <f>BG6+BH6</f>
        <v>13200</v>
      </c>
      <c r="BD6" s="75">
        <v>68</v>
      </c>
      <c r="BE6" s="76">
        <v>481080</v>
      </c>
      <c r="BF6" s="76">
        <v>114030</v>
      </c>
      <c r="BG6" s="77">
        <v>13200</v>
      </c>
      <c r="BH6" s="77"/>
      <c r="BI6" s="77"/>
      <c r="BJ6" s="77"/>
      <c r="BK6" s="78">
        <f t="shared" ref="BK6:BK35" si="29">SUM(BE6:BH6)</f>
        <v>608310</v>
      </c>
      <c r="BL6" s="49">
        <v>2</v>
      </c>
      <c r="BM6" s="79">
        <f t="shared" si="25"/>
        <v>608310</v>
      </c>
    </row>
    <row r="7" spans="1:67" ht="20" customHeight="1">
      <c r="B7" s="80">
        <f>B6+1</f>
        <v>45660</v>
      </c>
      <c r="C7" s="81"/>
      <c r="D7" s="52"/>
      <c r="E7" s="53">
        <v>31</v>
      </c>
      <c r="F7" s="54">
        <v>125180</v>
      </c>
      <c r="G7" s="55">
        <f t="shared" si="0"/>
        <v>3670.9677419354839</v>
      </c>
      <c r="H7" s="54">
        <v>26720</v>
      </c>
      <c r="I7" s="56">
        <f t="shared" si="27"/>
        <v>783.54838709677415</v>
      </c>
      <c r="J7" s="57">
        <f t="shared" si="1"/>
        <v>151900</v>
      </c>
      <c r="K7" s="58">
        <f t="shared" si="2"/>
        <v>4900</v>
      </c>
      <c r="L7" s="59"/>
      <c r="M7" s="60">
        <f t="shared" si="3"/>
        <v>27</v>
      </c>
      <c r="N7" s="61">
        <f t="shared" si="3"/>
        <v>259270</v>
      </c>
      <c r="O7" s="55">
        <f t="shared" si="4"/>
        <v>8729.6296296296296</v>
      </c>
      <c r="P7" s="61">
        <f t="shared" si="5"/>
        <v>78300</v>
      </c>
      <c r="Q7" s="56">
        <f t="shared" si="6"/>
        <v>2636.3333333333335</v>
      </c>
      <c r="R7" s="62">
        <f t="shared" si="7"/>
        <v>337570</v>
      </c>
      <c r="S7" s="58">
        <f t="shared" si="8"/>
        <v>12502.592592592593</v>
      </c>
      <c r="T7" s="82">
        <f t="shared" si="9"/>
        <v>58</v>
      </c>
      <c r="U7" s="61">
        <f t="shared" si="9"/>
        <v>384450</v>
      </c>
      <c r="V7" s="61">
        <f t="shared" si="10"/>
        <v>105020</v>
      </c>
      <c r="W7" s="64">
        <f t="shared" si="11"/>
        <v>489470</v>
      </c>
      <c r="X7" s="83"/>
      <c r="Y7" s="65"/>
      <c r="Z7" s="66">
        <v>11</v>
      </c>
      <c r="AA7" s="54">
        <v>4700</v>
      </c>
      <c r="AB7" s="55">
        <f t="shared" si="12"/>
        <v>427.27272727272725</v>
      </c>
      <c r="AC7" s="54">
        <v>3300</v>
      </c>
      <c r="AD7" s="56">
        <f t="shared" si="13"/>
        <v>300</v>
      </c>
      <c r="AE7" s="67">
        <f t="shared" si="14"/>
        <v>8000</v>
      </c>
      <c r="AF7" s="58">
        <f t="shared" si="15"/>
        <v>727.27272727272725</v>
      </c>
      <c r="AG7" s="68"/>
      <c r="AH7" s="66"/>
      <c r="AI7" s="54"/>
      <c r="AJ7" s="55" t="e">
        <f t="shared" si="16"/>
        <v>#DIV/0!</v>
      </c>
      <c r="AK7" s="54"/>
      <c r="AL7" s="56" t="e">
        <f t="shared" si="17"/>
        <v>#DIV/0!</v>
      </c>
      <c r="AM7" s="67">
        <f t="shared" si="28"/>
        <v>0</v>
      </c>
      <c r="AN7" s="69" t="str">
        <f t="shared" si="18"/>
        <v/>
      </c>
      <c r="AO7" s="70"/>
      <c r="AP7" s="66"/>
      <c r="AQ7" s="54"/>
      <c r="AR7" s="55" t="e">
        <f t="shared" si="19"/>
        <v>#DIV/0!</v>
      </c>
      <c r="AS7" s="54"/>
      <c r="AT7" s="56" t="e">
        <f t="shared" si="20"/>
        <v>#DIV/0!</v>
      </c>
      <c r="AU7" s="56"/>
      <c r="AV7" s="56"/>
      <c r="AW7" s="71">
        <f>AQ7+AS7+AU7+AV7</f>
        <v>0</v>
      </c>
      <c r="AX7" s="69" t="str">
        <f t="shared" si="21"/>
        <v/>
      </c>
      <c r="AY7" s="84">
        <f t="shared" si="22"/>
        <v>58</v>
      </c>
      <c r="AZ7" s="61">
        <f t="shared" si="23"/>
        <v>389150</v>
      </c>
      <c r="BA7" s="61">
        <f t="shared" si="24"/>
        <v>108320</v>
      </c>
      <c r="BB7" s="73">
        <f>W7+AE7+AM7+AW7-BN7</f>
        <v>497470</v>
      </c>
      <c r="BC7" s="74">
        <f t="shared" ref="BC7:BC35" si="30">BG7+BH7</f>
        <v>6050</v>
      </c>
      <c r="BD7" s="75">
        <v>58</v>
      </c>
      <c r="BE7" s="76">
        <v>384450</v>
      </c>
      <c r="BF7" s="76">
        <v>105020</v>
      </c>
      <c r="BG7" s="77">
        <v>6050</v>
      </c>
      <c r="BH7" s="77"/>
      <c r="BI7" s="77">
        <v>3300</v>
      </c>
      <c r="BJ7" s="77"/>
      <c r="BK7" s="78">
        <f t="shared" si="29"/>
        <v>495520</v>
      </c>
      <c r="BL7" s="49">
        <v>3</v>
      </c>
      <c r="BM7" s="79">
        <f t="shared" si="25"/>
        <v>495520</v>
      </c>
    </row>
    <row r="8" spans="1:67" ht="20" customHeight="1">
      <c r="B8" s="80">
        <f t="shared" si="26"/>
        <v>45661</v>
      </c>
      <c r="C8" s="81"/>
      <c r="D8" s="52"/>
      <c r="E8" s="53">
        <v>31</v>
      </c>
      <c r="F8" s="54">
        <v>155430</v>
      </c>
      <c r="G8" s="55">
        <f t="shared" si="0"/>
        <v>4558.0645161290322</v>
      </c>
      <c r="H8" s="54">
        <v>28040</v>
      </c>
      <c r="I8" s="56">
        <f t="shared" si="27"/>
        <v>822.25806451612902</v>
      </c>
      <c r="J8" s="57">
        <f t="shared" si="1"/>
        <v>183470</v>
      </c>
      <c r="K8" s="58">
        <f t="shared" si="2"/>
        <v>5918.3870967741932</v>
      </c>
      <c r="L8" s="59"/>
      <c r="M8" s="60">
        <f t="shared" si="3"/>
        <v>22</v>
      </c>
      <c r="N8" s="61">
        <f t="shared" si="3"/>
        <v>176110</v>
      </c>
      <c r="O8" s="55">
        <f t="shared" si="4"/>
        <v>7277.272727272727</v>
      </c>
      <c r="P8" s="61">
        <f t="shared" si="5"/>
        <v>34550</v>
      </c>
      <c r="Q8" s="56">
        <f t="shared" si="6"/>
        <v>1427.6818181818182</v>
      </c>
      <c r="R8" s="62">
        <f t="shared" si="7"/>
        <v>210660</v>
      </c>
      <c r="S8" s="58">
        <f t="shared" si="8"/>
        <v>9575.454545454546</v>
      </c>
      <c r="T8" s="82">
        <f t="shared" si="9"/>
        <v>53</v>
      </c>
      <c r="U8" s="61">
        <f t="shared" si="9"/>
        <v>331540</v>
      </c>
      <c r="V8" s="61">
        <f t="shared" si="10"/>
        <v>62590</v>
      </c>
      <c r="W8" s="64">
        <f t="shared" si="11"/>
        <v>394130</v>
      </c>
      <c r="X8" s="83"/>
      <c r="Y8" s="65"/>
      <c r="Z8" s="66">
        <v>8</v>
      </c>
      <c r="AA8" s="54">
        <v>3600</v>
      </c>
      <c r="AB8" s="55">
        <f t="shared" si="12"/>
        <v>450</v>
      </c>
      <c r="AC8" s="54">
        <v>2850</v>
      </c>
      <c r="AD8" s="56">
        <f t="shared" si="13"/>
        <v>356.25</v>
      </c>
      <c r="AE8" s="67">
        <f t="shared" si="14"/>
        <v>6450</v>
      </c>
      <c r="AF8" s="58">
        <f t="shared" si="15"/>
        <v>806.25</v>
      </c>
      <c r="AG8" s="68"/>
      <c r="AH8" s="66"/>
      <c r="AI8" s="54"/>
      <c r="AJ8" s="55" t="e">
        <f t="shared" si="16"/>
        <v>#DIV/0!</v>
      </c>
      <c r="AK8" s="54"/>
      <c r="AL8" s="56" t="e">
        <f t="shared" si="17"/>
        <v>#DIV/0!</v>
      </c>
      <c r="AM8" s="67">
        <f t="shared" si="28"/>
        <v>0</v>
      </c>
      <c r="AN8" s="69" t="str">
        <f t="shared" si="18"/>
        <v/>
      </c>
      <c r="AO8" s="70"/>
      <c r="AP8" s="66"/>
      <c r="AQ8" s="54"/>
      <c r="AR8" s="55" t="e">
        <f t="shared" si="19"/>
        <v>#DIV/0!</v>
      </c>
      <c r="AS8" s="54"/>
      <c r="AT8" s="56" t="e">
        <f t="shared" si="20"/>
        <v>#DIV/0!</v>
      </c>
      <c r="AU8" s="56"/>
      <c r="AV8" s="56"/>
      <c r="AW8" s="71">
        <f t="shared" ref="AW8:AW16" si="31">AQ8+AS8+AU8+AV8</f>
        <v>0</v>
      </c>
      <c r="AX8" s="69" t="str">
        <f t="shared" si="21"/>
        <v/>
      </c>
      <c r="AY8" s="84">
        <f t="shared" si="22"/>
        <v>53</v>
      </c>
      <c r="AZ8" s="61">
        <f t="shared" si="23"/>
        <v>335140</v>
      </c>
      <c r="BA8" s="61">
        <f t="shared" si="24"/>
        <v>65440</v>
      </c>
      <c r="BB8" s="73">
        <f>W8+AE8+AM8+AW8-BN8</f>
        <v>400580</v>
      </c>
      <c r="BC8" s="74">
        <f t="shared" si="30"/>
        <v>4400</v>
      </c>
      <c r="BD8" s="75">
        <v>53</v>
      </c>
      <c r="BE8" s="76">
        <v>331540</v>
      </c>
      <c r="BF8" s="76">
        <v>62590</v>
      </c>
      <c r="BG8" s="77">
        <v>4400</v>
      </c>
      <c r="BH8" s="77"/>
      <c r="BI8" s="77"/>
      <c r="BJ8" s="77"/>
      <c r="BK8" s="78">
        <f t="shared" si="29"/>
        <v>398530</v>
      </c>
      <c r="BL8" s="49">
        <v>4</v>
      </c>
      <c r="BM8" s="79">
        <f t="shared" si="25"/>
        <v>398530</v>
      </c>
      <c r="BN8" s="85"/>
      <c r="BO8" s="85"/>
    </row>
    <row r="9" spans="1:67" ht="20" customHeight="1">
      <c r="B9" s="80">
        <f t="shared" si="26"/>
        <v>45662</v>
      </c>
      <c r="C9" s="81"/>
      <c r="D9" s="52"/>
      <c r="E9" s="53">
        <v>31</v>
      </c>
      <c r="F9" s="54">
        <v>132000</v>
      </c>
      <c r="G9" s="55">
        <f t="shared" si="0"/>
        <v>3870.9677419354839</v>
      </c>
      <c r="H9" s="54">
        <v>30680</v>
      </c>
      <c r="I9" s="56">
        <f t="shared" si="27"/>
        <v>899.67741935483866</v>
      </c>
      <c r="J9" s="57">
        <f t="shared" si="1"/>
        <v>162680</v>
      </c>
      <c r="K9" s="58">
        <f t="shared" si="2"/>
        <v>5247.7419354838712</v>
      </c>
      <c r="L9" s="59"/>
      <c r="M9" s="60">
        <f t="shared" si="3"/>
        <v>24</v>
      </c>
      <c r="N9" s="61">
        <f t="shared" si="3"/>
        <v>270160</v>
      </c>
      <c r="O9" s="55">
        <f t="shared" si="4"/>
        <v>10233.333333333334</v>
      </c>
      <c r="P9" s="61">
        <f t="shared" si="5"/>
        <v>42550</v>
      </c>
      <c r="Q9" s="56">
        <f>ROUNDDOWN(P9/1.1,0)/M9</f>
        <v>1611.7083333333333</v>
      </c>
      <c r="R9" s="62">
        <f t="shared" si="7"/>
        <v>312710</v>
      </c>
      <c r="S9" s="58">
        <f t="shared" si="8"/>
        <v>13029.583333333334</v>
      </c>
      <c r="T9" s="82">
        <f t="shared" si="9"/>
        <v>55</v>
      </c>
      <c r="U9" s="61">
        <f t="shared" si="9"/>
        <v>402160</v>
      </c>
      <c r="V9" s="61">
        <f t="shared" si="10"/>
        <v>73230</v>
      </c>
      <c r="W9" s="64">
        <f t="shared" si="11"/>
        <v>475390</v>
      </c>
      <c r="X9" s="83"/>
      <c r="Y9" s="65"/>
      <c r="Z9" s="66">
        <v>8</v>
      </c>
      <c r="AA9" s="54">
        <v>3700</v>
      </c>
      <c r="AB9" s="55">
        <f t="shared" si="12"/>
        <v>462.5</v>
      </c>
      <c r="AC9" s="54">
        <v>2100</v>
      </c>
      <c r="AD9" s="56">
        <f t="shared" si="13"/>
        <v>262.5</v>
      </c>
      <c r="AE9" s="67">
        <f t="shared" si="14"/>
        <v>5800</v>
      </c>
      <c r="AF9" s="58">
        <f t="shared" si="15"/>
        <v>725</v>
      </c>
      <c r="AG9" s="68"/>
      <c r="AH9" s="66"/>
      <c r="AI9" s="54"/>
      <c r="AJ9" s="55" t="e">
        <f t="shared" si="16"/>
        <v>#DIV/0!</v>
      </c>
      <c r="AK9" s="54"/>
      <c r="AL9" s="56" t="e">
        <f t="shared" si="17"/>
        <v>#DIV/0!</v>
      </c>
      <c r="AM9" s="67">
        <f t="shared" si="28"/>
        <v>0</v>
      </c>
      <c r="AN9" s="69" t="str">
        <f t="shared" si="18"/>
        <v/>
      </c>
      <c r="AO9" s="70"/>
      <c r="AP9" s="66"/>
      <c r="AQ9" s="54"/>
      <c r="AR9" s="55" t="e">
        <f t="shared" si="19"/>
        <v>#DIV/0!</v>
      </c>
      <c r="AS9" s="54"/>
      <c r="AT9" s="56" t="e">
        <f t="shared" si="20"/>
        <v>#DIV/0!</v>
      </c>
      <c r="AU9" s="56"/>
      <c r="AV9" s="56"/>
      <c r="AW9" s="71">
        <f t="shared" si="31"/>
        <v>0</v>
      </c>
      <c r="AX9" s="69" t="str">
        <f>IF(AP9="","",AW9/AP9)</f>
        <v/>
      </c>
      <c r="AY9" s="84">
        <f t="shared" si="22"/>
        <v>55</v>
      </c>
      <c r="AZ9" s="61">
        <f t="shared" si="23"/>
        <v>405860</v>
      </c>
      <c r="BA9" s="61">
        <f t="shared" si="24"/>
        <v>75330</v>
      </c>
      <c r="BB9" s="73">
        <f>W9+AE9+AM9+AW9-BN9</f>
        <v>481190</v>
      </c>
      <c r="BC9" s="74">
        <f t="shared" si="30"/>
        <v>6600</v>
      </c>
      <c r="BD9" s="75">
        <v>55</v>
      </c>
      <c r="BE9" s="76">
        <v>402160</v>
      </c>
      <c r="BF9" s="76">
        <v>73230</v>
      </c>
      <c r="BG9" s="77">
        <v>6600</v>
      </c>
      <c r="BH9" s="77"/>
      <c r="BI9" s="77"/>
      <c r="BJ9" s="77"/>
      <c r="BK9" s="78">
        <f t="shared" si="29"/>
        <v>481990</v>
      </c>
      <c r="BL9" s="49">
        <v>5</v>
      </c>
      <c r="BM9" s="79">
        <f t="shared" si="25"/>
        <v>481990</v>
      </c>
    </row>
    <row r="10" spans="1:67" ht="19.5" customHeight="1">
      <c r="B10" s="80">
        <f t="shared" si="26"/>
        <v>45663</v>
      </c>
      <c r="C10" s="81"/>
      <c r="D10" s="52"/>
      <c r="E10" s="53">
        <v>10</v>
      </c>
      <c r="F10" s="54">
        <v>36300</v>
      </c>
      <c r="G10" s="55">
        <f t="shared" si="0"/>
        <v>3300</v>
      </c>
      <c r="H10" s="54">
        <v>3630</v>
      </c>
      <c r="I10" s="56">
        <f t="shared" si="27"/>
        <v>330</v>
      </c>
      <c r="J10" s="57">
        <f t="shared" si="1"/>
        <v>39930</v>
      </c>
      <c r="K10" s="58">
        <f t="shared" si="2"/>
        <v>3993</v>
      </c>
      <c r="L10" s="59"/>
      <c r="M10" s="60">
        <f t="shared" si="3"/>
        <v>19</v>
      </c>
      <c r="N10" s="61">
        <f t="shared" si="3"/>
        <v>146960</v>
      </c>
      <c r="O10" s="55">
        <f t="shared" si="4"/>
        <v>7031.5789473684208</v>
      </c>
      <c r="P10" s="61">
        <f t="shared" si="5"/>
        <v>34290</v>
      </c>
      <c r="Q10" s="56">
        <f t="shared" si="6"/>
        <v>1640.6315789473683</v>
      </c>
      <c r="R10" s="62">
        <f t="shared" si="7"/>
        <v>181250</v>
      </c>
      <c r="S10" s="58">
        <f t="shared" si="8"/>
        <v>9539.4736842105267</v>
      </c>
      <c r="T10" s="82">
        <f t="shared" si="9"/>
        <v>29</v>
      </c>
      <c r="U10" s="61">
        <f t="shared" si="9"/>
        <v>183260</v>
      </c>
      <c r="V10" s="61">
        <f t="shared" si="10"/>
        <v>37920</v>
      </c>
      <c r="W10" s="64">
        <f t="shared" si="11"/>
        <v>221180</v>
      </c>
      <c r="X10" s="83"/>
      <c r="Y10" s="65"/>
      <c r="Z10" s="66">
        <v>6</v>
      </c>
      <c r="AA10" s="54">
        <v>2400</v>
      </c>
      <c r="AB10" s="55">
        <f t="shared" si="12"/>
        <v>400</v>
      </c>
      <c r="AC10" s="54">
        <v>2800</v>
      </c>
      <c r="AD10" s="56">
        <f t="shared" si="13"/>
        <v>466.66666666666669</v>
      </c>
      <c r="AE10" s="67">
        <f t="shared" si="14"/>
        <v>5200</v>
      </c>
      <c r="AF10" s="58">
        <f t="shared" si="15"/>
        <v>866.66666666666663</v>
      </c>
      <c r="AG10" s="68"/>
      <c r="AH10" s="66"/>
      <c r="AI10" s="54"/>
      <c r="AJ10" s="55" t="e">
        <f t="shared" si="16"/>
        <v>#DIV/0!</v>
      </c>
      <c r="AK10" s="54"/>
      <c r="AL10" s="56" t="e">
        <f t="shared" si="17"/>
        <v>#DIV/0!</v>
      </c>
      <c r="AM10" s="67">
        <f t="shared" si="28"/>
        <v>0</v>
      </c>
      <c r="AN10" s="69" t="str">
        <f t="shared" si="18"/>
        <v/>
      </c>
      <c r="AO10" s="70"/>
      <c r="AP10" s="66"/>
      <c r="AQ10" s="54"/>
      <c r="AR10" s="55" t="e">
        <f t="shared" si="19"/>
        <v>#DIV/0!</v>
      </c>
      <c r="AS10" s="54"/>
      <c r="AT10" s="56" t="e">
        <f t="shared" si="20"/>
        <v>#DIV/0!</v>
      </c>
      <c r="AU10" s="56"/>
      <c r="AV10" s="56"/>
      <c r="AW10" s="71">
        <f t="shared" si="31"/>
        <v>0</v>
      </c>
      <c r="AX10" s="69" t="str">
        <f t="shared" si="21"/>
        <v/>
      </c>
      <c r="AY10" s="84">
        <f t="shared" si="22"/>
        <v>29</v>
      </c>
      <c r="AZ10" s="61">
        <f t="shared" si="23"/>
        <v>185660</v>
      </c>
      <c r="BA10" s="61">
        <f t="shared" si="24"/>
        <v>40720</v>
      </c>
      <c r="BB10" s="73">
        <f>W10+AE10+AM10+AW10</f>
        <v>226380</v>
      </c>
      <c r="BC10" s="74">
        <f t="shared" si="30"/>
        <v>5500</v>
      </c>
      <c r="BD10" s="75">
        <v>29</v>
      </c>
      <c r="BE10" s="76">
        <v>183260</v>
      </c>
      <c r="BF10" s="76">
        <v>37920</v>
      </c>
      <c r="BG10" s="77">
        <v>5500</v>
      </c>
      <c r="BH10" s="77"/>
      <c r="BI10" s="77"/>
      <c r="BJ10" s="77"/>
      <c r="BK10" s="78">
        <f t="shared" si="29"/>
        <v>226680</v>
      </c>
      <c r="BL10" s="49">
        <v>6</v>
      </c>
      <c r="BM10" s="79">
        <f t="shared" si="25"/>
        <v>226680</v>
      </c>
    </row>
    <row r="11" spans="1:67" ht="20" customHeight="1">
      <c r="B11" s="80">
        <f t="shared" si="26"/>
        <v>45664</v>
      </c>
      <c r="C11" s="81"/>
      <c r="D11" s="52"/>
      <c r="E11" s="53">
        <v>24</v>
      </c>
      <c r="F11" s="54">
        <v>86570</v>
      </c>
      <c r="G11" s="55">
        <f t="shared" si="0"/>
        <v>3279.1666666666665</v>
      </c>
      <c r="H11" s="54">
        <v>13410</v>
      </c>
      <c r="I11" s="56">
        <f t="shared" si="27"/>
        <v>507.91666666666669</v>
      </c>
      <c r="J11" s="57">
        <f t="shared" si="1"/>
        <v>99980</v>
      </c>
      <c r="K11" s="58">
        <f t="shared" si="2"/>
        <v>4165.833333333333</v>
      </c>
      <c r="L11" s="59"/>
      <c r="M11" s="60">
        <f t="shared" si="3"/>
        <v>20</v>
      </c>
      <c r="N11" s="61">
        <f t="shared" si="3"/>
        <v>176880</v>
      </c>
      <c r="O11" s="55">
        <f t="shared" si="4"/>
        <v>8040</v>
      </c>
      <c r="P11" s="61">
        <f t="shared" si="5"/>
        <v>49410</v>
      </c>
      <c r="Q11" s="56">
        <f t="shared" si="6"/>
        <v>2245.9</v>
      </c>
      <c r="R11" s="62">
        <f t="shared" si="7"/>
        <v>226290</v>
      </c>
      <c r="S11" s="58">
        <f t="shared" si="8"/>
        <v>11314.5</v>
      </c>
      <c r="T11" s="82">
        <f t="shared" si="9"/>
        <v>44</v>
      </c>
      <c r="U11" s="61">
        <f t="shared" si="9"/>
        <v>263450</v>
      </c>
      <c r="V11" s="61">
        <f t="shared" si="10"/>
        <v>62820</v>
      </c>
      <c r="W11" s="64">
        <f t="shared" si="11"/>
        <v>326270</v>
      </c>
      <c r="X11" s="83"/>
      <c r="Y11" s="65"/>
      <c r="Z11" s="66">
        <v>3</v>
      </c>
      <c r="AA11" s="54">
        <v>1150</v>
      </c>
      <c r="AB11" s="55">
        <f t="shared" si="12"/>
        <v>383.33333333333331</v>
      </c>
      <c r="AC11" s="54"/>
      <c r="AD11" s="56">
        <f t="shared" si="13"/>
        <v>0</v>
      </c>
      <c r="AE11" s="67">
        <f t="shared" si="14"/>
        <v>1150</v>
      </c>
      <c r="AF11" s="58">
        <f t="shared" si="15"/>
        <v>383.33333333333331</v>
      </c>
      <c r="AG11" s="68"/>
      <c r="AH11" s="66"/>
      <c r="AI11" s="54"/>
      <c r="AJ11" s="55" t="e">
        <f t="shared" si="16"/>
        <v>#DIV/0!</v>
      </c>
      <c r="AK11" s="54"/>
      <c r="AL11" s="56" t="e">
        <f t="shared" si="17"/>
        <v>#DIV/0!</v>
      </c>
      <c r="AM11" s="67">
        <f t="shared" si="28"/>
        <v>0</v>
      </c>
      <c r="AN11" s="69" t="str">
        <f t="shared" si="18"/>
        <v/>
      </c>
      <c r="AO11" s="70"/>
      <c r="AP11" s="66"/>
      <c r="AQ11" s="54"/>
      <c r="AR11" s="55" t="e">
        <f t="shared" si="19"/>
        <v>#DIV/0!</v>
      </c>
      <c r="AS11" s="54"/>
      <c r="AT11" s="56" t="e">
        <f t="shared" si="20"/>
        <v>#DIV/0!</v>
      </c>
      <c r="AU11" s="56"/>
      <c r="AV11" s="56"/>
      <c r="AW11" s="71">
        <f t="shared" si="31"/>
        <v>0</v>
      </c>
      <c r="AX11" s="69" t="str">
        <f t="shared" si="21"/>
        <v/>
      </c>
      <c r="AY11" s="84">
        <f t="shared" si="22"/>
        <v>44</v>
      </c>
      <c r="AZ11" s="61">
        <f t="shared" si="23"/>
        <v>264600</v>
      </c>
      <c r="BA11" s="61">
        <f t="shared" si="24"/>
        <v>62820</v>
      </c>
      <c r="BB11" s="73">
        <f t="shared" ref="BB11:BB30" si="32">W11+AE11+AM11+AW11</f>
        <v>327420</v>
      </c>
      <c r="BC11" s="74">
        <f t="shared" si="30"/>
        <v>0</v>
      </c>
      <c r="BD11" s="75">
        <v>44</v>
      </c>
      <c r="BE11" s="76">
        <v>263450</v>
      </c>
      <c r="BF11" s="76">
        <v>62820</v>
      </c>
      <c r="BG11" s="77"/>
      <c r="BH11" s="77"/>
      <c r="BI11" s="77">
        <v>3850</v>
      </c>
      <c r="BJ11" s="77"/>
      <c r="BK11" s="78">
        <f t="shared" si="29"/>
        <v>326270</v>
      </c>
      <c r="BL11" s="49">
        <v>7</v>
      </c>
      <c r="BM11" s="79">
        <f t="shared" si="25"/>
        <v>326270</v>
      </c>
    </row>
    <row r="12" spans="1:67" ht="20" customHeight="1">
      <c r="B12" s="80">
        <f t="shared" si="26"/>
        <v>45665</v>
      </c>
      <c r="C12" s="86"/>
      <c r="D12" s="52"/>
      <c r="E12" s="53">
        <v>17</v>
      </c>
      <c r="F12" s="54">
        <v>68420</v>
      </c>
      <c r="G12" s="55">
        <f t="shared" si="0"/>
        <v>3658.8235294117649</v>
      </c>
      <c r="H12" s="54">
        <v>10330</v>
      </c>
      <c r="I12" s="56">
        <f t="shared" si="27"/>
        <v>552.35294117647061</v>
      </c>
      <c r="J12" s="57">
        <f t="shared" si="1"/>
        <v>78750</v>
      </c>
      <c r="K12" s="58">
        <f t="shared" si="2"/>
        <v>4632.3529411764703</v>
      </c>
      <c r="L12" s="59"/>
      <c r="M12" s="60">
        <f t="shared" si="3"/>
        <v>7</v>
      </c>
      <c r="N12" s="61">
        <f t="shared" si="3"/>
        <v>67540</v>
      </c>
      <c r="O12" s="55">
        <f t="shared" si="4"/>
        <v>8771.4285714285706</v>
      </c>
      <c r="P12" s="61">
        <f t="shared" si="5"/>
        <v>16440</v>
      </c>
      <c r="Q12" s="87">
        <f t="shared" si="6"/>
        <v>2135</v>
      </c>
      <c r="R12" s="62">
        <f t="shared" si="7"/>
        <v>83980</v>
      </c>
      <c r="S12" s="58">
        <f t="shared" si="8"/>
        <v>11997.142857142857</v>
      </c>
      <c r="T12" s="82">
        <f t="shared" si="9"/>
        <v>24</v>
      </c>
      <c r="U12" s="61">
        <f t="shared" si="9"/>
        <v>135960</v>
      </c>
      <c r="V12" s="61">
        <f t="shared" si="10"/>
        <v>26770</v>
      </c>
      <c r="W12" s="64">
        <f t="shared" si="11"/>
        <v>162730</v>
      </c>
      <c r="X12" s="83"/>
      <c r="Y12" s="65"/>
      <c r="Z12" s="66">
        <v>2</v>
      </c>
      <c r="AA12" s="54">
        <v>700</v>
      </c>
      <c r="AB12" s="55">
        <f t="shared" si="12"/>
        <v>350</v>
      </c>
      <c r="AC12" s="54">
        <v>850</v>
      </c>
      <c r="AD12" s="56">
        <f t="shared" si="13"/>
        <v>425</v>
      </c>
      <c r="AE12" s="67">
        <f t="shared" si="14"/>
        <v>1550</v>
      </c>
      <c r="AF12" s="58">
        <f t="shared" si="15"/>
        <v>775</v>
      </c>
      <c r="AG12" s="68"/>
      <c r="AH12" s="66"/>
      <c r="AI12" s="54"/>
      <c r="AJ12" s="55" t="e">
        <f t="shared" si="16"/>
        <v>#DIV/0!</v>
      </c>
      <c r="AK12" s="54"/>
      <c r="AL12" s="56" t="e">
        <f t="shared" si="17"/>
        <v>#DIV/0!</v>
      </c>
      <c r="AM12" s="67">
        <f t="shared" si="28"/>
        <v>0</v>
      </c>
      <c r="AN12" s="69" t="str">
        <f t="shared" si="18"/>
        <v/>
      </c>
      <c r="AO12" s="70"/>
      <c r="AP12" s="66"/>
      <c r="AQ12" s="54"/>
      <c r="AR12" s="55" t="e">
        <f t="shared" si="19"/>
        <v>#DIV/0!</v>
      </c>
      <c r="AS12" s="54"/>
      <c r="AT12" s="56" t="e">
        <f t="shared" si="20"/>
        <v>#DIV/0!</v>
      </c>
      <c r="AU12" s="56"/>
      <c r="AV12" s="56"/>
      <c r="AW12" s="71">
        <f>AQ12+AS12+AU12+AV12-BN12</f>
        <v>0</v>
      </c>
      <c r="AX12" s="69" t="str">
        <f t="shared" si="21"/>
        <v/>
      </c>
      <c r="AY12" s="84">
        <f t="shared" si="22"/>
        <v>24</v>
      </c>
      <c r="AZ12" s="61">
        <f t="shared" si="23"/>
        <v>136660</v>
      </c>
      <c r="BA12" s="61">
        <f t="shared" si="24"/>
        <v>27620</v>
      </c>
      <c r="BB12" s="73">
        <f t="shared" si="32"/>
        <v>164280</v>
      </c>
      <c r="BC12" s="74">
        <f t="shared" si="30"/>
        <v>0</v>
      </c>
      <c r="BD12" s="75">
        <v>24</v>
      </c>
      <c r="BE12" s="76">
        <v>135960</v>
      </c>
      <c r="BF12" s="76">
        <v>26770</v>
      </c>
      <c r="BG12" s="77"/>
      <c r="BH12" s="77"/>
      <c r="BI12" s="77"/>
      <c r="BJ12" s="77"/>
      <c r="BK12" s="78">
        <f t="shared" si="29"/>
        <v>162730</v>
      </c>
      <c r="BL12" s="49">
        <v>8</v>
      </c>
      <c r="BM12" s="79">
        <f t="shared" si="25"/>
        <v>162730</v>
      </c>
    </row>
    <row r="13" spans="1:67" ht="20" customHeight="1">
      <c r="B13" s="80">
        <f t="shared" si="26"/>
        <v>45666</v>
      </c>
      <c r="C13" s="81"/>
      <c r="D13" s="52"/>
      <c r="E13" s="53">
        <v>15</v>
      </c>
      <c r="F13" s="54">
        <v>53900</v>
      </c>
      <c r="G13" s="55">
        <f t="shared" si="0"/>
        <v>3266.6666666666665</v>
      </c>
      <c r="H13" s="54">
        <v>7590</v>
      </c>
      <c r="I13" s="56">
        <f t="shared" si="27"/>
        <v>460</v>
      </c>
      <c r="J13" s="57">
        <f t="shared" si="1"/>
        <v>61490</v>
      </c>
      <c r="K13" s="58">
        <f t="shared" si="2"/>
        <v>4099.333333333333</v>
      </c>
      <c r="L13" s="59"/>
      <c r="M13" s="60">
        <f t="shared" si="3"/>
        <v>9</v>
      </c>
      <c r="N13" s="61">
        <f t="shared" si="3"/>
        <v>77330</v>
      </c>
      <c r="O13" s="55">
        <f t="shared" si="4"/>
        <v>7811.1111111111113</v>
      </c>
      <c r="P13" s="61">
        <f t="shared" si="5"/>
        <v>14300</v>
      </c>
      <c r="Q13" s="56">
        <f t="shared" si="6"/>
        <v>1444.4444444444443</v>
      </c>
      <c r="R13" s="62">
        <f t="shared" si="7"/>
        <v>91630</v>
      </c>
      <c r="S13" s="58">
        <f t="shared" si="8"/>
        <v>10181.111111111111</v>
      </c>
      <c r="T13" s="82">
        <f t="shared" si="9"/>
        <v>24</v>
      </c>
      <c r="U13" s="61">
        <f t="shared" si="9"/>
        <v>131230</v>
      </c>
      <c r="V13" s="61">
        <f t="shared" si="10"/>
        <v>21890</v>
      </c>
      <c r="W13" s="64">
        <f t="shared" si="11"/>
        <v>153120</v>
      </c>
      <c r="X13" s="83"/>
      <c r="Y13" s="65"/>
      <c r="Z13" s="66">
        <v>8</v>
      </c>
      <c r="AA13" s="54">
        <v>3750</v>
      </c>
      <c r="AB13" s="55">
        <f t="shared" si="12"/>
        <v>468.75</v>
      </c>
      <c r="AC13" s="54">
        <v>3600</v>
      </c>
      <c r="AD13" s="56">
        <f t="shared" si="13"/>
        <v>450</v>
      </c>
      <c r="AE13" s="67">
        <f t="shared" si="14"/>
        <v>7350</v>
      </c>
      <c r="AF13" s="58">
        <f t="shared" si="15"/>
        <v>918.75</v>
      </c>
      <c r="AG13" s="68"/>
      <c r="AH13" s="66"/>
      <c r="AI13" s="54"/>
      <c r="AJ13" s="55" t="e">
        <f t="shared" si="16"/>
        <v>#DIV/0!</v>
      </c>
      <c r="AK13" s="54"/>
      <c r="AL13" s="56" t="e">
        <f t="shared" si="17"/>
        <v>#DIV/0!</v>
      </c>
      <c r="AM13" s="67">
        <f t="shared" si="28"/>
        <v>0</v>
      </c>
      <c r="AN13" s="69" t="str">
        <f t="shared" si="18"/>
        <v/>
      </c>
      <c r="AO13" s="70"/>
      <c r="AP13" s="66"/>
      <c r="AQ13" s="54"/>
      <c r="AR13" s="55" t="e">
        <f t="shared" si="19"/>
        <v>#DIV/0!</v>
      </c>
      <c r="AS13" s="54"/>
      <c r="AT13" s="56" t="e">
        <f t="shared" si="20"/>
        <v>#DIV/0!</v>
      </c>
      <c r="AU13" s="56"/>
      <c r="AV13" s="56"/>
      <c r="AW13" s="71">
        <f>AQ13+AS13+AU13+AV13-BN13</f>
        <v>0</v>
      </c>
      <c r="AX13" s="69" t="str">
        <f t="shared" si="21"/>
        <v/>
      </c>
      <c r="AY13" s="84">
        <f t="shared" si="22"/>
        <v>24</v>
      </c>
      <c r="AZ13" s="61">
        <f t="shared" si="23"/>
        <v>134980</v>
      </c>
      <c r="BA13" s="61">
        <f t="shared" si="24"/>
        <v>25490</v>
      </c>
      <c r="BB13" s="73">
        <f t="shared" si="32"/>
        <v>160470</v>
      </c>
      <c r="BC13" s="74">
        <f t="shared" si="30"/>
        <v>2200</v>
      </c>
      <c r="BD13" s="75">
        <v>24</v>
      </c>
      <c r="BE13" s="76">
        <v>131230</v>
      </c>
      <c r="BF13" s="76">
        <v>21890</v>
      </c>
      <c r="BG13" s="77">
        <v>2200</v>
      </c>
      <c r="BH13" s="77"/>
      <c r="BI13" s="77"/>
      <c r="BJ13" s="77"/>
      <c r="BK13" s="78">
        <f t="shared" si="29"/>
        <v>155320</v>
      </c>
      <c r="BL13" s="49">
        <v>9</v>
      </c>
      <c r="BM13" s="79">
        <f t="shared" si="25"/>
        <v>155320</v>
      </c>
    </row>
    <row r="14" spans="1:67" ht="20" customHeight="1">
      <c r="B14" s="80">
        <f t="shared" si="26"/>
        <v>45667</v>
      </c>
      <c r="C14" s="81"/>
      <c r="D14" s="52"/>
      <c r="E14" s="53">
        <v>19</v>
      </c>
      <c r="F14" s="54">
        <v>70850</v>
      </c>
      <c r="G14" s="55">
        <f t="shared" si="0"/>
        <v>3389.9473684210525</v>
      </c>
      <c r="H14" s="54">
        <v>14170</v>
      </c>
      <c r="I14" s="56">
        <f>ROUNDDOWN(H14/1.1,0)/E14</f>
        <v>677.9473684210526</v>
      </c>
      <c r="J14" s="57">
        <f t="shared" si="1"/>
        <v>85020</v>
      </c>
      <c r="K14" s="58">
        <f t="shared" si="2"/>
        <v>4474.7368421052633</v>
      </c>
      <c r="L14" s="59"/>
      <c r="M14" s="60">
        <f t="shared" si="3"/>
        <v>6</v>
      </c>
      <c r="N14" s="61">
        <f t="shared" si="3"/>
        <v>43120</v>
      </c>
      <c r="O14" s="55">
        <f t="shared" si="4"/>
        <v>6533.333333333333</v>
      </c>
      <c r="P14" s="61">
        <f t="shared" si="5"/>
        <v>8850</v>
      </c>
      <c r="Q14" s="56">
        <f t="shared" si="6"/>
        <v>1340.8333333333333</v>
      </c>
      <c r="R14" s="62">
        <f t="shared" si="7"/>
        <v>51970</v>
      </c>
      <c r="S14" s="58">
        <f t="shared" si="8"/>
        <v>8661.6666666666661</v>
      </c>
      <c r="T14" s="82">
        <f t="shared" si="9"/>
        <v>25</v>
      </c>
      <c r="U14" s="61">
        <f t="shared" si="9"/>
        <v>113970</v>
      </c>
      <c r="V14" s="61">
        <f t="shared" si="10"/>
        <v>23020</v>
      </c>
      <c r="W14" s="64">
        <f t="shared" si="11"/>
        <v>136990</v>
      </c>
      <c r="X14" s="83"/>
      <c r="Y14" s="65"/>
      <c r="Z14" s="66">
        <v>16</v>
      </c>
      <c r="AA14" s="54">
        <v>7900</v>
      </c>
      <c r="AB14" s="55">
        <f t="shared" si="12"/>
        <v>493.75</v>
      </c>
      <c r="AC14" s="54">
        <v>3100</v>
      </c>
      <c r="AD14" s="56">
        <f t="shared" si="13"/>
        <v>193.75</v>
      </c>
      <c r="AE14" s="67">
        <f t="shared" si="14"/>
        <v>11000</v>
      </c>
      <c r="AF14" s="58">
        <f t="shared" si="15"/>
        <v>687.5</v>
      </c>
      <c r="AG14" s="68"/>
      <c r="AH14" s="66"/>
      <c r="AI14" s="54"/>
      <c r="AJ14" s="55" t="e">
        <f t="shared" si="16"/>
        <v>#DIV/0!</v>
      </c>
      <c r="AK14" s="54"/>
      <c r="AL14" s="56" t="e">
        <f t="shared" si="17"/>
        <v>#DIV/0!</v>
      </c>
      <c r="AM14" s="67">
        <f t="shared" si="28"/>
        <v>0</v>
      </c>
      <c r="AN14" s="69" t="str">
        <f t="shared" si="18"/>
        <v/>
      </c>
      <c r="AO14" s="70"/>
      <c r="AP14" s="66"/>
      <c r="AQ14" s="54"/>
      <c r="AR14" s="55" t="e">
        <f t="shared" si="19"/>
        <v>#DIV/0!</v>
      </c>
      <c r="AS14" s="54"/>
      <c r="AT14" s="56" t="e">
        <f t="shared" si="20"/>
        <v>#DIV/0!</v>
      </c>
      <c r="AU14" s="56"/>
      <c r="AV14" s="56"/>
      <c r="AW14" s="71">
        <f t="shared" si="31"/>
        <v>0</v>
      </c>
      <c r="AX14" s="69" t="str">
        <f t="shared" si="21"/>
        <v/>
      </c>
      <c r="AY14" s="84">
        <f t="shared" si="22"/>
        <v>25</v>
      </c>
      <c r="AZ14" s="61">
        <f t="shared" si="23"/>
        <v>121870</v>
      </c>
      <c r="BA14" s="61">
        <f t="shared" si="24"/>
        <v>26120</v>
      </c>
      <c r="BB14" s="73">
        <f>W14+AE14+AM14+AW14-BN14</f>
        <v>147990</v>
      </c>
      <c r="BC14" s="74">
        <f t="shared" si="30"/>
        <v>2200</v>
      </c>
      <c r="BD14" s="75">
        <v>25</v>
      </c>
      <c r="BE14" s="76">
        <v>113970</v>
      </c>
      <c r="BF14" s="76">
        <v>23020</v>
      </c>
      <c r="BG14" s="77">
        <v>2200</v>
      </c>
      <c r="BH14" s="77"/>
      <c r="BI14" s="77"/>
      <c r="BJ14" s="77"/>
      <c r="BK14" s="78">
        <f t="shared" si="29"/>
        <v>139190</v>
      </c>
      <c r="BL14" s="49">
        <v>10</v>
      </c>
      <c r="BM14" s="79">
        <f t="shared" si="25"/>
        <v>139190</v>
      </c>
    </row>
    <row r="15" spans="1:67" ht="20" customHeight="1">
      <c r="B15" s="80">
        <f t="shared" si="26"/>
        <v>45668</v>
      </c>
      <c r="C15" s="86"/>
      <c r="D15" s="52"/>
      <c r="E15" s="53">
        <v>30</v>
      </c>
      <c r="F15" s="54">
        <v>123530</v>
      </c>
      <c r="G15" s="55">
        <f t="shared" si="0"/>
        <v>3743.3333333333335</v>
      </c>
      <c r="H15" s="54">
        <v>18960</v>
      </c>
      <c r="I15" s="56">
        <f t="shared" si="27"/>
        <v>574.5333333333333</v>
      </c>
      <c r="J15" s="57">
        <f t="shared" si="1"/>
        <v>142490</v>
      </c>
      <c r="K15" s="58">
        <f t="shared" si="2"/>
        <v>4749.666666666667</v>
      </c>
      <c r="L15" s="59"/>
      <c r="M15" s="60">
        <f t="shared" si="3"/>
        <v>22</v>
      </c>
      <c r="N15" s="61">
        <f t="shared" si="3"/>
        <v>225170</v>
      </c>
      <c r="O15" s="55">
        <f t="shared" si="4"/>
        <v>9304.545454545454</v>
      </c>
      <c r="P15" s="61">
        <f t="shared" si="5"/>
        <v>60260</v>
      </c>
      <c r="Q15" s="56">
        <f t="shared" si="6"/>
        <v>2490.0454545454545</v>
      </c>
      <c r="R15" s="62">
        <f t="shared" si="7"/>
        <v>285430</v>
      </c>
      <c r="S15" s="58">
        <f t="shared" si="8"/>
        <v>12974.09090909091</v>
      </c>
      <c r="T15" s="82">
        <f t="shared" si="9"/>
        <v>52</v>
      </c>
      <c r="U15" s="61">
        <f t="shared" si="9"/>
        <v>348700</v>
      </c>
      <c r="V15" s="61">
        <f t="shared" si="10"/>
        <v>79220</v>
      </c>
      <c r="W15" s="64">
        <f t="shared" si="11"/>
        <v>427920</v>
      </c>
      <c r="X15" s="83"/>
      <c r="Y15" s="65"/>
      <c r="Z15" s="66">
        <v>20</v>
      </c>
      <c r="AA15" s="54">
        <v>7500</v>
      </c>
      <c r="AB15" s="55">
        <f t="shared" si="12"/>
        <v>375</v>
      </c>
      <c r="AC15" s="54">
        <v>2700</v>
      </c>
      <c r="AD15" s="56">
        <f t="shared" si="13"/>
        <v>135</v>
      </c>
      <c r="AE15" s="67">
        <f t="shared" si="14"/>
        <v>10200</v>
      </c>
      <c r="AF15" s="58">
        <f t="shared" si="15"/>
        <v>510</v>
      </c>
      <c r="AG15" s="68"/>
      <c r="AH15" s="66"/>
      <c r="AI15" s="54"/>
      <c r="AJ15" s="55" t="e">
        <f t="shared" si="16"/>
        <v>#DIV/0!</v>
      </c>
      <c r="AK15" s="54"/>
      <c r="AL15" s="56" t="e">
        <f t="shared" si="17"/>
        <v>#DIV/0!</v>
      </c>
      <c r="AM15" s="67">
        <f t="shared" si="28"/>
        <v>0</v>
      </c>
      <c r="AN15" s="69" t="str">
        <f t="shared" si="18"/>
        <v/>
      </c>
      <c r="AO15" s="70"/>
      <c r="AP15" s="66"/>
      <c r="AQ15" s="54"/>
      <c r="AR15" s="55" t="e">
        <f t="shared" si="19"/>
        <v>#DIV/0!</v>
      </c>
      <c r="AS15" s="54"/>
      <c r="AT15" s="56" t="e">
        <f t="shared" si="20"/>
        <v>#DIV/0!</v>
      </c>
      <c r="AU15" s="56"/>
      <c r="AV15" s="56"/>
      <c r="AW15" s="71">
        <f t="shared" si="31"/>
        <v>0</v>
      </c>
      <c r="AX15" s="69" t="str">
        <f t="shared" si="21"/>
        <v/>
      </c>
      <c r="AY15" s="84">
        <f t="shared" si="22"/>
        <v>52</v>
      </c>
      <c r="AZ15" s="61">
        <f t="shared" si="23"/>
        <v>356200</v>
      </c>
      <c r="BA15" s="61">
        <f t="shared" si="24"/>
        <v>81920</v>
      </c>
      <c r="BB15" s="73">
        <f>W15+AE15+AM15+AW15-BN15</f>
        <v>438120</v>
      </c>
      <c r="BC15" s="74">
        <f t="shared" si="30"/>
        <v>3300</v>
      </c>
      <c r="BD15" s="75">
        <v>52</v>
      </c>
      <c r="BE15" s="76">
        <v>348700</v>
      </c>
      <c r="BF15" s="76">
        <v>79220</v>
      </c>
      <c r="BG15" s="77">
        <v>1650</v>
      </c>
      <c r="BH15" s="77">
        <v>1650</v>
      </c>
      <c r="BI15" s="77">
        <v>36300</v>
      </c>
      <c r="BJ15" s="77"/>
      <c r="BK15" s="78">
        <f t="shared" si="29"/>
        <v>431220</v>
      </c>
      <c r="BL15" s="49">
        <v>11</v>
      </c>
      <c r="BM15" s="79">
        <f t="shared" si="25"/>
        <v>431220</v>
      </c>
    </row>
    <row r="16" spans="1:67" ht="20" customHeight="1">
      <c r="B16" s="80">
        <f t="shared" si="26"/>
        <v>45669</v>
      </c>
      <c r="C16" s="81"/>
      <c r="D16" s="52"/>
      <c r="E16" s="53">
        <v>35</v>
      </c>
      <c r="F16" s="54">
        <v>133650</v>
      </c>
      <c r="G16" s="55">
        <f t="shared" si="0"/>
        <v>3471.4285714285716</v>
      </c>
      <c r="H16" s="54">
        <v>19700</v>
      </c>
      <c r="I16" s="56">
        <f t="shared" si="27"/>
        <v>511.68571428571431</v>
      </c>
      <c r="J16" s="57">
        <f t="shared" si="1"/>
        <v>153350</v>
      </c>
      <c r="K16" s="58">
        <f t="shared" si="2"/>
        <v>4381.4285714285716</v>
      </c>
      <c r="L16" s="59"/>
      <c r="M16" s="60">
        <f t="shared" si="3"/>
        <v>20</v>
      </c>
      <c r="N16" s="61">
        <f t="shared" si="3"/>
        <v>237980</v>
      </c>
      <c r="O16" s="55">
        <f t="shared" si="4"/>
        <v>10817.25</v>
      </c>
      <c r="P16" s="61">
        <f t="shared" si="5"/>
        <v>72680</v>
      </c>
      <c r="Q16" s="56">
        <f t="shared" si="6"/>
        <v>3303.6</v>
      </c>
      <c r="R16" s="62">
        <f t="shared" si="7"/>
        <v>310660</v>
      </c>
      <c r="S16" s="58">
        <f t="shared" si="8"/>
        <v>15533</v>
      </c>
      <c r="T16" s="82">
        <f t="shared" si="9"/>
        <v>55</v>
      </c>
      <c r="U16" s="61">
        <f t="shared" si="9"/>
        <v>371630</v>
      </c>
      <c r="V16" s="61">
        <f t="shared" si="10"/>
        <v>92380</v>
      </c>
      <c r="W16" s="64">
        <f t="shared" si="11"/>
        <v>464010</v>
      </c>
      <c r="X16" s="83"/>
      <c r="Y16" s="65"/>
      <c r="Z16" s="66">
        <v>8</v>
      </c>
      <c r="AA16" s="54">
        <v>3300</v>
      </c>
      <c r="AB16" s="55">
        <f t="shared" si="12"/>
        <v>412.5</v>
      </c>
      <c r="AC16" s="54">
        <v>2000</v>
      </c>
      <c r="AD16" s="56">
        <f t="shared" si="13"/>
        <v>250</v>
      </c>
      <c r="AE16" s="67">
        <f t="shared" si="14"/>
        <v>5300</v>
      </c>
      <c r="AF16" s="58">
        <f t="shared" si="15"/>
        <v>662.5</v>
      </c>
      <c r="AG16" s="68"/>
      <c r="AH16" s="66"/>
      <c r="AI16" s="54"/>
      <c r="AJ16" s="55" t="e">
        <f t="shared" si="16"/>
        <v>#DIV/0!</v>
      </c>
      <c r="AK16" s="54"/>
      <c r="AL16" s="56" t="e">
        <f t="shared" si="17"/>
        <v>#DIV/0!</v>
      </c>
      <c r="AM16" s="67">
        <f t="shared" si="28"/>
        <v>0</v>
      </c>
      <c r="AN16" s="69" t="str">
        <f t="shared" si="18"/>
        <v/>
      </c>
      <c r="AO16" s="70"/>
      <c r="AP16" s="66"/>
      <c r="AQ16" s="54"/>
      <c r="AR16" s="55" t="e">
        <f t="shared" si="19"/>
        <v>#DIV/0!</v>
      </c>
      <c r="AS16" s="54"/>
      <c r="AT16" s="56" t="e">
        <f t="shared" si="20"/>
        <v>#DIV/0!</v>
      </c>
      <c r="AU16" s="56"/>
      <c r="AV16" s="56"/>
      <c r="AW16" s="71">
        <f t="shared" si="31"/>
        <v>0</v>
      </c>
      <c r="AX16" s="69" t="str">
        <f t="shared" si="21"/>
        <v/>
      </c>
      <c r="AY16" s="84">
        <f t="shared" si="22"/>
        <v>55</v>
      </c>
      <c r="AZ16" s="61">
        <f t="shared" si="23"/>
        <v>374930</v>
      </c>
      <c r="BA16" s="61">
        <f t="shared" si="24"/>
        <v>94380</v>
      </c>
      <c r="BB16" s="73">
        <f t="shared" si="32"/>
        <v>469310</v>
      </c>
      <c r="BC16" s="74">
        <f t="shared" si="30"/>
        <v>1650</v>
      </c>
      <c r="BD16" s="75">
        <v>55</v>
      </c>
      <c r="BE16" s="76">
        <v>371630</v>
      </c>
      <c r="BF16" s="76">
        <v>92380</v>
      </c>
      <c r="BG16" s="77">
        <v>1650</v>
      </c>
      <c r="BH16" s="77"/>
      <c r="BI16" s="77"/>
      <c r="BJ16" s="77"/>
      <c r="BK16" s="78">
        <f t="shared" si="29"/>
        <v>465660</v>
      </c>
      <c r="BL16" s="49">
        <v>12</v>
      </c>
      <c r="BM16" s="79">
        <f t="shared" si="25"/>
        <v>465660</v>
      </c>
    </row>
    <row r="17" spans="2:67" ht="20" customHeight="1">
      <c r="B17" s="80">
        <f t="shared" si="26"/>
        <v>45670</v>
      </c>
      <c r="C17" s="86"/>
      <c r="D17" s="52"/>
      <c r="E17" s="53">
        <v>33</v>
      </c>
      <c r="F17" s="54">
        <v>156200</v>
      </c>
      <c r="G17" s="55">
        <f t="shared" si="0"/>
        <v>4303.030303030303</v>
      </c>
      <c r="H17" s="54">
        <v>33320</v>
      </c>
      <c r="I17" s="56">
        <f t="shared" si="27"/>
        <v>917.87878787878788</v>
      </c>
      <c r="J17" s="57">
        <f t="shared" si="1"/>
        <v>189520</v>
      </c>
      <c r="K17" s="58">
        <f t="shared" si="2"/>
        <v>5743.030303030303</v>
      </c>
      <c r="L17" s="59"/>
      <c r="M17" s="60">
        <f t="shared" si="3"/>
        <v>14</v>
      </c>
      <c r="N17" s="61">
        <f t="shared" si="3"/>
        <v>98120</v>
      </c>
      <c r="O17" s="55">
        <f t="shared" si="4"/>
        <v>6371.4285714285716</v>
      </c>
      <c r="P17" s="61">
        <f t="shared" si="5"/>
        <v>22930</v>
      </c>
      <c r="Q17" s="56">
        <f t="shared" si="6"/>
        <v>1488.9285714285713</v>
      </c>
      <c r="R17" s="62">
        <f t="shared" si="7"/>
        <v>121050</v>
      </c>
      <c r="S17" s="58">
        <f t="shared" si="8"/>
        <v>8646.4285714285706</v>
      </c>
      <c r="T17" s="82">
        <f>E17+M17</f>
        <v>47</v>
      </c>
      <c r="U17" s="61">
        <f t="shared" si="9"/>
        <v>254320</v>
      </c>
      <c r="V17" s="61">
        <f t="shared" si="10"/>
        <v>56250</v>
      </c>
      <c r="W17" s="64">
        <f t="shared" si="11"/>
        <v>310570</v>
      </c>
      <c r="X17" s="83"/>
      <c r="Y17" s="65"/>
      <c r="Z17" s="66">
        <v>8</v>
      </c>
      <c r="AA17" s="54">
        <v>3800</v>
      </c>
      <c r="AB17" s="55">
        <f t="shared" si="12"/>
        <v>475</v>
      </c>
      <c r="AC17" s="54">
        <v>2750</v>
      </c>
      <c r="AD17" s="56">
        <f t="shared" si="13"/>
        <v>343.75</v>
      </c>
      <c r="AE17" s="67">
        <f t="shared" si="14"/>
        <v>6550</v>
      </c>
      <c r="AF17" s="58">
        <f t="shared" si="15"/>
        <v>818.75</v>
      </c>
      <c r="AG17" s="68"/>
      <c r="AH17" s="66"/>
      <c r="AI17" s="54"/>
      <c r="AJ17" s="55" t="e">
        <f t="shared" si="16"/>
        <v>#DIV/0!</v>
      </c>
      <c r="AK17" s="54"/>
      <c r="AL17" s="56" t="e">
        <f t="shared" si="17"/>
        <v>#DIV/0!</v>
      </c>
      <c r="AM17" s="67">
        <f t="shared" si="28"/>
        <v>0</v>
      </c>
      <c r="AN17" s="69" t="str">
        <f t="shared" si="18"/>
        <v/>
      </c>
      <c r="AO17" s="70"/>
      <c r="AP17" s="66"/>
      <c r="AQ17" s="54"/>
      <c r="AR17" s="55" t="e">
        <f t="shared" si="19"/>
        <v>#DIV/0!</v>
      </c>
      <c r="AS17" s="54"/>
      <c r="AT17" s="56" t="e">
        <f t="shared" si="20"/>
        <v>#DIV/0!</v>
      </c>
      <c r="AU17" s="56"/>
      <c r="AV17" s="56"/>
      <c r="AW17" s="71">
        <f>AQ17+AS17+AU17+AV17</f>
        <v>0</v>
      </c>
      <c r="AX17" s="69" t="str">
        <f t="shared" si="21"/>
        <v/>
      </c>
      <c r="AY17" s="84">
        <f t="shared" si="22"/>
        <v>47</v>
      </c>
      <c r="AZ17" s="61">
        <f t="shared" si="23"/>
        <v>258120</v>
      </c>
      <c r="BA17" s="61">
        <f t="shared" si="24"/>
        <v>59000</v>
      </c>
      <c r="BB17" s="73">
        <f>W17+AE17+AM17+AW17-BN17</f>
        <v>315140</v>
      </c>
      <c r="BC17" s="74">
        <f t="shared" si="30"/>
        <v>3300</v>
      </c>
      <c r="BD17" s="75">
        <v>47</v>
      </c>
      <c r="BE17" s="76">
        <v>254320</v>
      </c>
      <c r="BF17" s="76">
        <v>56250</v>
      </c>
      <c r="BG17" s="77">
        <v>3300</v>
      </c>
      <c r="BH17" s="77"/>
      <c r="BI17" s="77"/>
      <c r="BJ17" s="77"/>
      <c r="BK17" s="78">
        <f t="shared" si="29"/>
        <v>313870</v>
      </c>
      <c r="BL17" s="49">
        <v>13</v>
      </c>
      <c r="BM17" s="79">
        <f t="shared" si="25"/>
        <v>313870</v>
      </c>
      <c r="BN17" s="49">
        <v>1980</v>
      </c>
    </row>
    <row r="18" spans="2:67" ht="20" customHeight="1">
      <c r="B18" s="80">
        <f t="shared" si="26"/>
        <v>45671</v>
      </c>
      <c r="C18" s="81"/>
      <c r="D18" s="52"/>
      <c r="E18" s="53">
        <v>29</v>
      </c>
      <c r="F18" s="54">
        <f>104500+28930</f>
        <v>133430</v>
      </c>
      <c r="G18" s="55">
        <f t="shared" si="0"/>
        <v>4182.7586206896549</v>
      </c>
      <c r="H18" s="54">
        <f>11770+8580</f>
        <v>20350</v>
      </c>
      <c r="I18" s="56">
        <f t="shared" si="27"/>
        <v>637.93103448275861</v>
      </c>
      <c r="J18" s="57">
        <f t="shared" si="1"/>
        <v>153780</v>
      </c>
      <c r="K18" s="58">
        <f t="shared" si="2"/>
        <v>5302.7586206896549</v>
      </c>
      <c r="L18" s="59"/>
      <c r="M18" s="60">
        <f t="shared" si="3"/>
        <v>6</v>
      </c>
      <c r="N18" s="61">
        <f t="shared" si="3"/>
        <v>54560</v>
      </c>
      <c r="O18" s="55">
        <f t="shared" si="4"/>
        <v>8266.6666666666661</v>
      </c>
      <c r="P18" s="61">
        <f t="shared" si="5"/>
        <v>18810</v>
      </c>
      <c r="Q18" s="56">
        <f t="shared" si="6"/>
        <v>2850</v>
      </c>
      <c r="R18" s="62">
        <f t="shared" si="7"/>
        <v>73370</v>
      </c>
      <c r="S18" s="58">
        <f t="shared" si="8"/>
        <v>12228.333333333334</v>
      </c>
      <c r="T18" s="82">
        <f t="shared" si="9"/>
        <v>35</v>
      </c>
      <c r="U18" s="61">
        <f t="shared" si="9"/>
        <v>187990</v>
      </c>
      <c r="V18" s="61">
        <f t="shared" si="10"/>
        <v>39160</v>
      </c>
      <c r="W18" s="64">
        <f t="shared" si="11"/>
        <v>227150</v>
      </c>
      <c r="X18" s="83"/>
      <c r="Y18" s="65"/>
      <c r="Z18" s="66">
        <v>7</v>
      </c>
      <c r="AA18" s="54">
        <v>2850</v>
      </c>
      <c r="AB18" s="55">
        <f t="shared" si="12"/>
        <v>407.14285714285717</v>
      </c>
      <c r="AC18" s="54">
        <v>0</v>
      </c>
      <c r="AD18" s="56">
        <f t="shared" si="13"/>
        <v>0</v>
      </c>
      <c r="AE18" s="67">
        <f t="shared" si="14"/>
        <v>2850</v>
      </c>
      <c r="AF18" s="58">
        <f t="shared" si="15"/>
        <v>407.14285714285717</v>
      </c>
      <c r="AG18" s="68"/>
      <c r="AH18" s="66">
        <v>16</v>
      </c>
      <c r="AI18" s="54">
        <v>62640</v>
      </c>
      <c r="AJ18" s="55">
        <f t="shared" si="16"/>
        <v>3915</v>
      </c>
      <c r="AK18" s="54">
        <v>20880</v>
      </c>
      <c r="AL18" s="56">
        <f t="shared" si="17"/>
        <v>1305</v>
      </c>
      <c r="AM18" s="67">
        <f t="shared" si="28"/>
        <v>83520</v>
      </c>
      <c r="AN18" s="69">
        <f t="shared" si="18"/>
        <v>5220</v>
      </c>
      <c r="AO18" s="70"/>
      <c r="AP18" s="66"/>
      <c r="AQ18" s="54"/>
      <c r="AR18" s="55" t="e">
        <f t="shared" si="19"/>
        <v>#DIV/0!</v>
      </c>
      <c r="AS18" s="54"/>
      <c r="AT18" s="56" t="e">
        <f t="shared" si="20"/>
        <v>#DIV/0!</v>
      </c>
      <c r="AU18" s="56"/>
      <c r="AV18" s="56"/>
      <c r="AW18" s="71">
        <f t="shared" ref="AW18:AW35" si="33">AQ18+AS18+AU18+AV18</f>
        <v>0</v>
      </c>
      <c r="AX18" s="69" t="str">
        <f t="shared" si="21"/>
        <v/>
      </c>
      <c r="AY18" s="84">
        <f t="shared" si="22"/>
        <v>35</v>
      </c>
      <c r="AZ18" s="61">
        <f t="shared" si="23"/>
        <v>253480</v>
      </c>
      <c r="BA18" s="61">
        <f t="shared" si="24"/>
        <v>60040</v>
      </c>
      <c r="BB18" s="73">
        <f>W18+AE18+AM18+AW18-BN18</f>
        <v>313520</v>
      </c>
      <c r="BC18" s="74">
        <f t="shared" si="30"/>
        <v>2200</v>
      </c>
      <c r="BD18" s="75">
        <v>35</v>
      </c>
      <c r="BE18" s="76">
        <v>187990</v>
      </c>
      <c r="BF18" s="76">
        <v>39160</v>
      </c>
      <c r="BG18" s="77">
        <v>2200</v>
      </c>
      <c r="BH18" s="77"/>
      <c r="BI18" s="77"/>
      <c r="BJ18" s="77"/>
      <c r="BK18" s="78">
        <f t="shared" si="29"/>
        <v>229350</v>
      </c>
      <c r="BL18" s="49">
        <v>14</v>
      </c>
      <c r="BM18" s="79">
        <f t="shared" si="25"/>
        <v>229350</v>
      </c>
    </row>
    <row r="19" spans="2:67" ht="20" customHeight="1">
      <c r="B19" s="80">
        <f t="shared" si="26"/>
        <v>45672</v>
      </c>
      <c r="C19" s="81"/>
      <c r="D19" s="52"/>
      <c r="E19" s="53">
        <v>20</v>
      </c>
      <c r="F19" s="54">
        <f>72600+10560</f>
        <v>83160</v>
      </c>
      <c r="G19" s="55">
        <f t="shared" si="0"/>
        <v>3780</v>
      </c>
      <c r="H19" s="54">
        <f>12720+2750</f>
        <v>15470</v>
      </c>
      <c r="I19" s="56">
        <f t="shared" si="27"/>
        <v>703.15</v>
      </c>
      <c r="J19" s="57">
        <f t="shared" si="1"/>
        <v>98630</v>
      </c>
      <c r="K19" s="58">
        <f t="shared" si="2"/>
        <v>4931.5</v>
      </c>
      <c r="L19" s="59"/>
      <c r="M19" s="60">
        <f t="shared" si="3"/>
        <v>28</v>
      </c>
      <c r="N19" s="61">
        <f t="shared" si="3"/>
        <v>312400</v>
      </c>
      <c r="O19" s="55">
        <f t="shared" si="4"/>
        <v>10142.857142857143</v>
      </c>
      <c r="P19" s="61">
        <f t="shared" si="5"/>
        <v>80020</v>
      </c>
      <c r="Q19" s="87">
        <f t="shared" si="6"/>
        <v>2598.0357142857142</v>
      </c>
      <c r="R19" s="62">
        <f t="shared" si="7"/>
        <v>392420</v>
      </c>
      <c r="S19" s="58">
        <f t="shared" si="8"/>
        <v>14015</v>
      </c>
      <c r="T19" s="82">
        <f t="shared" si="9"/>
        <v>48</v>
      </c>
      <c r="U19" s="61">
        <f t="shared" si="9"/>
        <v>395560</v>
      </c>
      <c r="V19" s="61">
        <f t="shared" si="10"/>
        <v>95490</v>
      </c>
      <c r="W19" s="64">
        <f t="shared" si="11"/>
        <v>491050</v>
      </c>
      <c r="X19" s="83"/>
      <c r="Y19" s="65"/>
      <c r="Z19" s="66">
        <v>3</v>
      </c>
      <c r="AA19" s="54">
        <v>1150</v>
      </c>
      <c r="AB19" s="55">
        <f t="shared" si="12"/>
        <v>383.33333333333331</v>
      </c>
      <c r="AC19" s="54">
        <v>1000</v>
      </c>
      <c r="AD19" s="56">
        <v>1700</v>
      </c>
      <c r="AE19" s="67">
        <f t="shared" si="14"/>
        <v>2150</v>
      </c>
      <c r="AF19" s="58">
        <f t="shared" si="15"/>
        <v>716.66666666666663</v>
      </c>
      <c r="AG19" s="68"/>
      <c r="AH19" s="66"/>
      <c r="AI19" s="54"/>
      <c r="AJ19" s="55" t="e">
        <f t="shared" si="16"/>
        <v>#DIV/0!</v>
      </c>
      <c r="AK19" s="54"/>
      <c r="AL19" s="56" t="e">
        <f t="shared" si="17"/>
        <v>#DIV/0!</v>
      </c>
      <c r="AM19" s="67">
        <f t="shared" si="28"/>
        <v>0</v>
      </c>
      <c r="AN19" s="69" t="str">
        <f t="shared" si="18"/>
        <v/>
      </c>
      <c r="AO19" s="70"/>
      <c r="AP19" s="66"/>
      <c r="AQ19" s="54"/>
      <c r="AR19" s="55" t="e">
        <f t="shared" si="19"/>
        <v>#DIV/0!</v>
      </c>
      <c r="AS19" s="54"/>
      <c r="AT19" s="56" t="e">
        <f t="shared" si="20"/>
        <v>#DIV/0!</v>
      </c>
      <c r="AU19" s="56"/>
      <c r="AV19" s="56"/>
      <c r="AW19" s="71">
        <f>AQ19+AS19+AU19+AV19-BN19</f>
        <v>0</v>
      </c>
      <c r="AX19" s="69" t="str">
        <f t="shared" si="21"/>
        <v/>
      </c>
      <c r="AY19" s="84">
        <f t="shared" si="22"/>
        <v>48</v>
      </c>
      <c r="AZ19" s="61">
        <f t="shared" si="23"/>
        <v>396710</v>
      </c>
      <c r="BA19" s="61">
        <f t="shared" si="24"/>
        <v>96490</v>
      </c>
      <c r="BB19" s="73">
        <f>W19+AE19+AM19+AW19-BN19</f>
        <v>493200</v>
      </c>
      <c r="BC19" s="74">
        <f t="shared" si="30"/>
        <v>0</v>
      </c>
      <c r="BD19" s="75">
        <v>48</v>
      </c>
      <c r="BE19" s="76">
        <v>395560</v>
      </c>
      <c r="BF19" s="76">
        <v>95490</v>
      </c>
      <c r="BG19" s="77"/>
      <c r="BH19" s="77"/>
      <c r="BI19" s="77"/>
      <c r="BJ19" s="77"/>
      <c r="BK19" s="78">
        <f t="shared" si="29"/>
        <v>491050</v>
      </c>
      <c r="BL19" s="49">
        <v>15</v>
      </c>
      <c r="BM19" s="79">
        <f t="shared" si="25"/>
        <v>491050</v>
      </c>
    </row>
    <row r="20" spans="2:67" ht="20" customHeight="1">
      <c r="B20" s="80">
        <f t="shared" si="26"/>
        <v>45673</v>
      </c>
      <c r="C20" s="81"/>
      <c r="D20" s="52"/>
      <c r="E20" s="53">
        <v>21</v>
      </c>
      <c r="F20" s="54">
        <v>85140</v>
      </c>
      <c r="G20" s="55">
        <f t="shared" si="0"/>
        <v>3685.7142857142858</v>
      </c>
      <c r="H20" s="54">
        <v>6210</v>
      </c>
      <c r="I20" s="56">
        <f t="shared" si="27"/>
        <v>268.8095238095238</v>
      </c>
      <c r="J20" s="57">
        <f t="shared" si="1"/>
        <v>91350</v>
      </c>
      <c r="K20" s="58">
        <f t="shared" si="2"/>
        <v>4350</v>
      </c>
      <c r="L20" s="59"/>
      <c r="M20" s="60">
        <f t="shared" si="3"/>
        <v>0</v>
      </c>
      <c r="N20" s="61">
        <f t="shared" si="3"/>
        <v>0</v>
      </c>
      <c r="O20" s="55" t="e">
        <f t="shared" si="4"/>
        <v>#DIV/0!</v>
      </c>
      <c r="P20" s="61">
        <f t="shared" si="5"/>
        <v>0</v>
      </c>
      <c r="Q20" s="87" t="e">
        <f t="shared" si="6"/>
        <v>#DIV/0!</v>
      </c>
      <c r="R20" s="62">
        <f t="shared" si="7"/>
        <v>0</v>
      </c>
      <c r="S20" s="58" t="e">
        <f t="shared" si="8"/>
        <v>#DIV/0!</v>
      </c>
      <c r="T20" s="82">
        <f t="shared" si="9"/>
        <v>21</v>
      </c>
      <c r="U20" s="61">
        <f t="shared" si="9"/>
        <v>85140</v>
      </c>
      <c r="V20" s="61">
        <f t="shared" si="10"/>
        <v>6210</v>
      </c>
      <c r="W20" s="64">
        <f t="shared" si="11"/>
        <v>91350</v>
      </c>
      <c r="X20" s="83"/>
      <c r="Y20" s="65"/>
      <c r="Z20" s="66">
        <v>16</v>
      </c>
      <c r="AA20" s="54">
        <v>5750</v>
      </c>
      <c r="AB20" s="55">
        <f t="shared" si="12"/>
        <v>359.375</v>
      </c>
      <c r="AC20" s="54">
        <v>4850</v>
      </c>
      <c r="AD20" s="56">
        <f t="shared" si="13"/>
        <v>303.125</v>
      </c>
      <c r="AE20" s="67">
        <f t="shared" si="14"/>
        <v>10600</v>
      </c>
      <c r="AF20" s="58">
        <f t="shared" si="15"/>
        <v>662.5</v>
      </c>
      <c r="AG20" s="68"/>
      <c r="AH20" s="66"/>
      <c r="AI20" s="54"/>
      <c r="AJ20" s="55" t="e">
        <f t="shared" si="16"/>
        <v>#DIV/0!</v>
      </c>
      <c r="AK20" s="54"/>
      <c r="AL20" s="56" t="e">
        <f t="shared" si="17"/>
        <v>#DIV/0!</v>
      </c>
      <c r="AM20" s="67">
        <f t="shared" si="28"/>
        <v>0</v>
      </c>
      <c r="AN20" s="69" t="str">
        <f t="shared" si="18"/>
        <v/>
      </c>
      <c r="AO20" s="70"/>
      <c r="AP20" s="66"/>
      <c r="AQ20" s="54"/>
      <c r="AR20" s="55" t="e">
        <f t="shared" si="19"/>
        <v>#DIV/0!</v>
      </c>
      <c r="AS20" s="54"/>
      <c r="AT20" s="56" t="e">
        <f t="shared" si="20"/>
        <v>#DIV/0!</v>
      </c>
      <c r="AU20" s="56"/>
      <c r="AV20" s="56"/>
      <c r="AW20" s="71">
        <f t="shared" si="33"/>
        <v>0</v>
      </c>
      <c r="AX20" s="69" t="str">
        <f t="shared" si="21"/>
        <v/>
      </c>
      <c r="AY20" s="84">
        <f t="shared" si="22"/>
        <v>21</v>
      </c>
      <c r="AZ20" s="61">
        <f t="shared" si="23"/>
        <v>90890</v>
      </c>
      <c r="BA20" s="61">
        <f t="shared" si="24"/>
        <v>11060</v>
      </c>
      <c r="BB20" s="73">
        <f>W20+AE20+AM20+AW20</f>
        <v>101950</v>
      </c>
      <c r="BC20" s="74">
        <f t="shared" si="30"/>
        <v>1100</v>
      </c>
      <c r="BD20" s="75">
        <v>21</v>
      </c>
      <c r="BE20" s="76">
        <v>85140</v>
      </c>
      <c r="BF20" s="76">
        <v>6210</v>
      </c>
      <c r="BG20" s="77">
        <v>1100</v>
      </c>
      <c r="BH20" s="77"/>
      <c r="BI20" s="77">
        <v>3300</v>
      </c>
      <c r="BJ20" s="77"/>
      <c r="BK20" s="78">
        <f t="shared" si="29"/>
        <v>92450</v>
      </c>
      <c r="BL20" s="49">
        <v>16</v>
      </c>
      <c r="BM20" s="79">
        <f t="shared" si="25"/>
        <v>92450</v>
      </c>
    </row>
    <row r="21" spans="2:67" ht="20" customHeight="1">
      <c r="B21" s="80">
        <f t="shared" si="26"/>
        <v>45674</v>
      </c>
      <c r="C21" s="81"/>
      <c r="D21" s="52"/>
      <c r="E21" s="53">
        <v>33</v>
      </c>
      <c r="F21" s="54">
        <v>130790</v>
      </c>
      <c r="G21" s="55">
        <f>ROUNDDOWN(F21/1.1,0)/E21</f>
        <v>3603.030303030303</v>
      </c>
      <c r="H21" s="54">
        <v>11540</v>
      </c>
      <c r="I21" s="56">
        <f t="shared" si="27"/>
        <v>317.87878787878788</v>
      </c>
      <c r="J21" s="57">
        <f t="shared" si="1"/>
        <v>142330</v>
      </c>
      <c r="K21" s="58">
        <f t="shared" si="2"/>
        <v>4313.030303030303</v>
      </c>
      <c r="L21" s="59"/>
      <c r="M21" s="60">
        <f t="shared" si="3"/>
        <v>10</v>
      </c>
      <c r="N21" s="61">
        <f t="shared" si="3"/>
        <v>104720</v>
      </c>
      <c r="O21" s="55">
        <f t="shared" si="4"/>
        <v>9520</v>
      </c>
      <c r="P21" s="61">
        <f t="shared" si="5"/>
        <v>21560</v>
      </c>
      <c r="Q21" s="87">
        <f t="shared" si="6"/>
        <v>1960</v>
      </c>
      <c r="R21" s="62">
        <f>N21+P21</f>
        <v>126280</v>
      </c>
      <c r="S21" s="58">
        <f t="shared" si="8"/>
        <v>12628</v>
      </c>
      <c r="T21" s="82">
        <f t="shared" si="9"/>
        <v>43</v>
      </c>
      <c r="U21" s="61">
        <f t="shared" si="9"/>
        <v>235510</v>
      </c>
      <c r="V21" s="61">
        <f t="shared" si="10"/>
        <v>33100</v>
      </c>
      <c r="W21" s="64">
        <f t="shared" si="11"/>
        <v>268610</v>
      </c>
      <c r="X21" s="83"/>
      <c r="Y21" s="65"/>
      <c r="Z21" s="66">
        <v>9</v>
      </c>
      <c r="AA21" s="54">
        <v>4350</v>
      </c>
      <c r="AB21" s="55">
        <f t="shared" si="12"/>
        <v>483.33333333333331</v>
      </c>
      <c r="AC21" s="54">
        <v>4700</v>
      </c>
      <c r="AD21" s="56">
        <f t="shared" si="13"/>
        <v>522.22222222222217</v>
      </c>
      <c r="AE21" s="67">
        <f t="shared" si="14"/>
        <v>9050</v>
      </c>
      <c r="AF21" s="58">
        <f t="shared" si="15"/>
        <v>1005.5555555555555</v>
      </c>
      <c r="AG21" s="68"/>
      <c r="AH21" s="66"/>
      <c r="AI21" s="54"/>
      <c r="AJ21" s="55" t="e">
        <f t="shared" si="16"/>
        <v>#DIV/0!</v>
      </c>
      <c r="AK21" s="54"/>
      <c r="AL21" s="56" t="e">
        <f t="shared" si="17"/>
        <v>#DIV/0!</v>
      </c>
      <c r="AM21" s="67">
        <f t="shared" si="28"/>
        <v>0</v>
      </c>
      <c r="AN21" s="69" t="str">
        <f t="shared" si="18"/>
        <v/>
      </c>
      <c r="AO21" s="70"/>
      <c r="AP21" s="66"/>
      <c r="AQ21" s="54"/>
      <c r="AR21" s="55" t="e">
        <f t="shared" si="19"/>
        <v>#DIV/0!</v>
      </c>
      <c r="AS21" s="54"/>
      <c r="AT21" s="56" t="e">
        <f t="shared" si="20"/>
        <v>#DIV/0!</v>
      </c>
      <c r="AU21" s="56"/>
      <c r="AV21" s="56"/>
      <c r="AW21" s="71">
        <f t="shared" si="33"/>
        <v>0</v>
      </c>
      <c r="AX21" s="69" t="str">
        <f t="shared" si="21"/>
        <v/>
      </c>
      <c r="AY21" s="84">
        <f t="shared" si="22"/>
        <v>43</v>
      </c>
      <c r="AZ21" s="61">
        <f t="shared" si="23"/>
        <v>239860</v>
      </c>
      <c r="BA21" s="61">
        <f t="shared" si="24"/>
        <v>37800</v>
      </c>
      <c r="BB21" s="73">
        <f>W21+AE21+AM21+AW21</f>
        <v>277660</v>
      </c>
      <c r="BC21" s="74">
        <f t="shared" si="30"/>
        <v>3300</v>
      </c>
      <c r="BD21" s="75">
        <v>43</v>
      </c>
      <c r="BE21" s="76">
        <v>235510</v>
      </c>
      <c r="BF21" s="76">
        <v>33100</v>
      </c>
      <c r="BG21" s="77">
        <v>3300</v>
      </c>
      <c r="BH21" s="77"/>
      <c r="BI21" s="77"/>
      <c r="BJ21" s="77"/>
      <c r="BK21" s="78">
        <f t="shared" si="29"/>
        <v>271910</v>
      </c>
      <c r="BL21" s="49">
        <v>17</v>
      </c>
      <c r="BM21" s="79">
        <f t="shared" si="25"/>
        <v>271910</v>
      </c>
    </row>
    <row r="22" spans="2:67" ht="20" customHeight="1">
      <c r="B22" s="80">
        <f t="shared" si="26"/>
        <v>45675</v>
      </c>
      <c r="C22" s="81"/>
      <c r="D22" s="52"/>
      <c r="E22" s="53">
        <v>17</v>
      </c>
      <c r="F22" s="54">
        <v>62700</v>
      </c>
      <c r="G22" s="55">
        <f t="shared" si="0"/>
        <v>3352.9411764705883</v>
      </c>
      <c r="H22" s="54">
        <v>21670</v>
      </c>
      <c r="I22" s="56">
        <f t="shared" si="27"/>
        <v>1158.8235294117646</v>
      </c>
      <c r="J22" s="57">
        <f t="shared" si="1"/>
        <v>84370</v>
      </c>
      <c r="K22" s="58">
        <f t="shared" si="2"/>
        <v>4962.9411764705883</v>
      </c>
      <c r="L22" s="59"/>
      <c r="M22" s="60">
        <f t="shared" si="3"/>
        <v>29</v>
      </c>
      <c r="N22" s="61">
        <f t="shared" si="3"/>
        <v>270270</v>
      </c>
      <c r="O22" s="55">
        <f t="shared" si="4"/>
        <v>8472.4137931034475</v>
      </c>
      <c r="P22" s="61">
        <f t="shared" si="5"/>
        <v>73580</v>
      </c>
      <c r="Q22" s="87">
        <f t="shared" si="6"/>
        <v>2306.5517241379312</v>
      </c>
      <c r="R22" s="62">
        <f t="shared" si="7"/>
        <v>343850</v>
      </c>
      <c r="S22" s="58">
        <f t="shared" si="8"/>
        <v>11856.896551724138</v>
      </c>
      <c r="T22" s="82">
        <f t="shared" si="9"/>
        <v>46</v>
      </c>
      <c r="U22" s="61">
        <f t="shared" si="9"/>
        <v>332970</v>
      </c>
      <c r="V22" s="61">
        <f t="shared" si="10"/>
        <v>95250</v>
      </c>
      <c r="W22" s="64">
        <f t="shared" si="11"/>
        <v>428220</v>
      </c>
      <c r="X22" s="83"/>
      <c r="Y22" s="65"/>
      <c r="Z22" s="66">
        <v>20</v>
      </c>
      <c r="AA22" s="54">
        <v>8300</v>
      </c>
      <c r="AB22" s="55">
        <f t="shared" si="12"/>
        <v>415</v>
      </c>
      <c r="AC22" s="54">
        <v>7350</v>
      </c>
      <c r="AD22" s="56">
        <f t="shared" si="13"/>
        <v>367.5</v>
      </c>
      <c r="AE22" s="67">
        <f t="shared" si="14"/>
        <v>15650</v>
      </c>
      <c r="AF22" s="58">
        <f t="shared" si="15"/>
        <v>782.5</v>
      </c>
      <c r="AG22" s="68"/>
      <c r="AH22" s="66">
        <v>16</v>
      </c>
      <c r="AI22" s="54">
        <v>62640</v>
      </c>
      <c r="AJ22" s="55">
        <f t="shared" si="16"/>
        <v>3915</v>
      </c>
      <c r="AK22" s="54">
        <v>20880</v>
      </c>
      <c r="AL22" s="56">
        <f t="shared" si="17"/>
        <v>1305</v>
      </c>
      <c r="AM22" s="67">
        <f t="shared" si="28"/>
        <v>83520</v>
      </c>
      <c r="AN22" s="69">
        <f t="shared" si="18"/>
        <v>5220</v>
      </c>
      <c r="AO22" s="70"/>
      <c r="AP22" s="66"/>
      <c r="AQ22" s="54"/>
      <c r="AR22" s="55" t="e">
        <f t="shared" si="19"/>
        <v>#DIV/0!</v>
      </c>
      <c r="AS22" s="54"/>
      <c r="AT22" s="56" t="e">
        <f t="shared" si="20"/>
        <v>#DIV/0!</v>
      </c>
      <c r="AU22" s="56"/>
      <c r="AV22" s="56"/>
      <c r="AW22" s="71">
        <f t="shared" si="33"/>
        <v>0</v>
      </c>
      <c r="AX22" s="69" t="str">
        <f t="shared" si="21"/>
        <v/>
      </c>
      <c r="AY22" s="84">
        <f t="shared" si="22"/>
        <v>46</v>
      </c>
      <c r="AZ22" s="61">
        <f t="shared" si="23"/>
        <v>403910</v>
      </c>
      <c r="BA22" s="61">
        <f t="shared" si="24"/>
        <v>123480</v>
      </c>
      <c r="BB22" s="73">
        <f t="shared" si="32"/>
        <v>527390</v>
      </c>
      <c r="BC22" s="74">
        <f t="shared" si="30"/>
        <v>3850</v>
      </c>
      <c r="BD22" s="75">
        <v>46</v>
      </c>
      <c r="BE22" s="76">
        <v>332970</v>
      </c>
      <c r="BF22" s="76">
        <v>95250</v>
      </c>
      <c r="BG22" s="77">
        <v>3850</v>
      </c>
      <c r="BH22" s="77"/>
      <c r="BI22" s="77">
        <v>3300</v>
      </c>
      <c r="BJ22" s="77"/>
      <c r="BK22" s="78">
        <f t="shared" si="29"/>
        <v>432070</v>
      </c>
      <c r="BL22" s="49">
        <v>18</v>
      </c>
      <c r="BM22" s="79">
        <f t="shared" si="25"/>
        <v>432070</v>
      </c>
      <c r="BO22" s="85"/>
    </row>
    <row r="23" spans="2:67" ht="20" customHeight="1">
      <c r="B23" s="80">
        <f t="shared" si="26"/>
        <v>45676</v>
      </c>
      <c r="C23" s="81"/>
      <c r="D23" s="52"/>
      <c r="E23" s="53">
        <v>24</v>
      </c>
      <c r="F23" s="54">
        <v>84480</v>
      </c>
      <c r="G23" s="55">
        <f t="shared" si="0"/>
        <v>3200</v>
      </c>
      <c r="H23" s="54">
        <v>15160</v>
      </c>
      <c r="I23" s="56">
        <f t="shared" si="27"/>
        <v>574.20833333333337</v>
      </c>
      <c r="J23" s="57">
        <f t="shared" si="1"/>
        <v>99640</v>
      </c>
      <c r="K23" s="58">
        <f t="shared" si="2"/>
        <v>4151.666666666667</v>
      </c>
      <c r="L23" s="59"/>
      <c r="M23" s="60">
        <f t="shared" si="3"/>
        <v>11</v>
      </c>
      <c r="N23" s="61">
        <f t="shared" si="3"/>
        <v>111430</v>
      </c>
      <c r="O23" s="55">
        <f t="shared" si="4"/>
        <v>9209.0909090909099</v>
      </c>
      <c r="P23" s="61">
        <f t="shared" si="5"/>
        <v>28700</v>
      </c>
      <c r="Q23" s="87">
        <f t="shared" si="6"/>
        <v>2371.818181818182</v>
      </c>
      <c r="R23" s="62">
        <f t="shared" si="7"/>
        <v>140130</v>
      </c>
      <c r="S23" s="58">
        <f t="shared" si="8"/>
        <v>12739.09090909091</v>
      </c>
      <c r="T23" s="82">
        <f t="shared" si="9"/>
        <v>35</v>
      </c>
      <c r="U23" s="61">
        <f t="shared" si="9"/>
        <v>195910</v>
      </c>
      <c r="V23" s="61">
        <f t="shared" si="10"/>
        <v>43860</v>
      </c>
      <c r="W23" s="64">
        <f t="shared" si="11"/>
        <v>239770</v>
      </c>
      <c r="X23" s="83"/>
      <c r="Y23" s="65"/>
      <c r="Z23" s="66">
        <v>17</v>
      </c>
      <c r="AA23" s="54">
        <v>7450</v>
      </c>
      <c r="AB23" s="55">
        <f t="shared" si="12"/>
        <v>438.23529411764707</v>
      </c>
      <c r="AC23" s="54">
        <v>800</v>
      </c>
      <c r="AD23" s="56">
        <f t="shared" si="13"/>
        <v>47.058823529411768</v>
      </c>
      <c r="AE23" s="67">
        <f t="shared" si="14"/>
        <v>8250</v>
      </c>
      <c r="AF23" s="58">
        <f t="shared" si="15"/>
        <v>485.29411764705884</v>
      </c>
      <c r="AG23" s="68"/>
      <c r="AH23" s="66"/>
      <c r="AI23" s="54"/>
      <c r="AJ23" s="55" t="e">
        <f t="shared" si="16"/>
        <v>#DIV/0!</v>
      </c>
      <c r="AK23" s="54"/>
      <c r="AL23" s="56" t="e">
        <f t="shared" si="17"/>
        <v>#DIV/0!</v>
      </c>
      <c r="AM23" s="67">
        <f t="shared" si="28"/>
        <v>0</v>
      </c>
      <c r="AN23" s="69" t="str">
        <f t="shared" si="18"/>
        <v/>
      </c>
      <c r="AO23" s="70"/>
      <c r="AP23" s="66"/>
      <c r="AQ23" s="54"/>
      <c r="AR23" s="55" t="e">
        <f t="shared" si="19"/>
        <v>#DIV/0!</v>
      </c>
      <c r="AS23" s="54"/>
      <c r="AT23" s="56" t="e">
        <f t="shared" si="20"/>
        <v>#DIV/0!</v>
      </c>
      <c r="AU23" s="56"/>
      <c r="AV23" s="56"/>
      <c r="AW23" s="71">
        <f t="shared" si="33"/>
        <v>0</v>
      </c>
      <c r="AX23" s="69" t="str">
        <f>IF(AP23="","",AW23/AP23)</f>
        <v/>
      </c>
      <c r="AY23" s="84">
        <f t="shared" si="22"/>
        <v>35</v>
      </c>
      <c r="AZ23" s="61">
        <f t="shared" si="23"/>
        <v>203360</v>
      </c>
      <c r="BA23" s="61">
        <f t="shared" si="24"/>
        <v>44660</v>
      </c>
      <c r="BB23" s="73">
        <f>W23+AE23+AM23+AW23-BN22</f>
        <v>248020</v>
      </c>
      <c r="BC23" s="74">
        <f t="shared" si="30"/>
        <v>4400</v>
      </c>
      <c r="BD23" s="75">
        <v>35</v>
      </c>
      <c r="BE23" s="76">
        <v>195910</v>
      </c>
      <c r="BF23" s="76">
        <v>43860</v>
      </c>
      <c r="BG23" s="77">
        <v>4400</v>
      </c>
      <c r="BH23" s="77"/>
      <c r="BI23" s="77"/>
      <c r="BJ23" s="77"/>
      <c r="BK23" s="78">
        <f>SUM(BE23:BH23)</f>
        <v>244170</v>
      </c>
      <c r="BL23" s="49">
        <v>19</v>
      </c>
      <c r="BM23" s="79">
        <f t="shared" si="25"/>
        <v>244170</v>
      </c>
    </row>
    <row r="24" spans="2:67" ht="20" customHeight="1">
      <c r="B24" s="80">
        <f t="shared" si="26"/>
        <v>45677</v>
      </c>
      <c r="C24" s="81"/>
      <c r="D24" s="52"/>
      <c r="E24" s="53">
        <v>19</v>
      </c>
      <c r="F24" s="54">
        <v>64900</v>
      </c>
      <c r="G24" s="55">
        <f t="shared" si="0"/>
        <v>3105.2631578947367</v>
      </c>
      <c r="H24" s="54">
        <v>3180</v>
      </c>
      <c r="I24" s="56">
        <f t="shared" si="27"/>
        <v>152.10526315789474</v>
      </c>
      <c r="J24" s="57">
        <f t="shared" si="1"/>
        <v>68080</v>
      </c>
      <c r="K24" s="58">
        <f t="shared" si="2"/>
        <v>3583.1578947368421</v>
      </c>
      <c r="L24" s="59"/>
      <c r="M24" s="60">
        <f t="shared" si="3"/>
        <v>8</v>
      </c>
      <c r="N24" s="61">
        <f t="shared" si="3"/>
        <v>80960</v>
      </c>
      <c r="O24" s="55">
        <f t="shared" si="4"/>
        <v>9200</v>
      </c>
      <c r="P24" s="61">
        <f t="shared" si="5"/>
        <v>8680</v>
      </c>
      <c r="Q24" s="87">
        <f t="shared" si="6"/>
        <v>986.25</v>
      </c>
      <c r="R24" s="62">
        <f t="shared" si="7"/>
        <v>89640</v>
      </c>
      <c r="S24" s="58">
        <f t="shared" si="8"/>
        <v>11205</v>
      </c>
      <c r="T24" s="82">
        <f t="shared" si="9"/>
        <v>27</v>
      </c>
      <c r="U24" s="61">
        <f t="shared" si="9"/>
        <v>145860</v>
      </c>
      <c r="V24" s="61">
        <f t="shared" si="10"/>
        <v>11860</v>
      </c>
      <c r="W24" s="64">
        <f t="shared" si="11"/>
        <v>157720</v>
      </c>
      <c r="X24" s="83"/>
      <c r="Y24" s="65"/>
      <c r="Z24" s="66">
        <v>24</v>
      </c>
      <c r="AA24" s="54">
        <v>9500</v>
      </c>
      <c r="AB24" s="55">
        <f t="shared" si="12"/>
        <v>395.83333333333331</v>
      </c>
      <c r="AC24" s="54">
        <v>3200</v>
      </c>
      <c r="AD24" s="56">
        <f t="shared" si="13"/>
        <v>133.33333333333334</v>
      </c>
      <c r="AE24" s="67">
        <f t="shared" si="14"/>
        <v>12700</v>
      </c>
      <c r="AF24" s="58">
        <f t="shared" si="15"/>
        <v>529.16666666666663</v>
      </c>
      <c r="AG24" s="68"/>
      <c r="AH24" s="66"/>
      <c r="AI24" s="54"/>
      <c r="AJ24" s="55" t="e">
        <f t="shared" si="16"/>
        <v>#DIV/0!</v>
      </c>
      <c r="AK24" s="54"/>
      <c r="AL24" s="56" t="e">
        <f t="shared" si="17"/>
        <v>#DIV/0!</v>
      </c>
      <c r="AM24" s="67">
        <f t="shared" si="28"/>
        <v>0</v>
      </c>
      <c r="AN24" s="69" t="str">
        <f t="shared" si="18"/>
        <v/>
      </c>
      <c r="AO24" s="70"/>
      <c r="AP24" s="66"/>
      <c r="AQ24" s="54"/>
      <c r="AR24" s="55" t="e">
        <f t="shared" si="19"/>
        <v>#DIV/0!</v>
      </c>
      <c r="AS24" s="54"/>
      <c r="AT24" s="56" t="e">
        <f t="shared" si="20"/>
        <v>#DIV/0!</v>
      </c>
      <c r="AU24" s="56"/>
      <c r="AV24" s="56"/>
      <c r="AW24" s="88">
        <f t="shared" si="33"/>
        <v>0</v>
      </c>
      <c r="AX24" s="69" t="str">
        <f t="shared" si="21"/>
        <v/>
      </c>
      <c r="AY24" s="84">
        <f t="shared" si="22"/>
        <v>27</v>
      </c>
      <c r="AZ24" s="61">
        <f t="shared" si="23"/>
        <v>155360</v>
      </c>
      <c r="BA24" s="61">
        <f t="shared" si="24"/>
        <v>15060</v>
      </c>
      <c r="BB24" s="73">
        <f>W24+AE24+AM24+AW24-BN24</f>
        <v>170420</v>
      </c>
      <c r="BC24" s="74">
        <f t="shared" si="30"/>
        <v>1100</v>
      </c>
      <c r="BD24" s="75">
        <v>27</v>
      </c>
      <c r="BE24" s="76">
        <v>145860</v>
      </c>
      <c r="BF24" s="76">
        <v>11860</v>
      </c>
      <c r="BG24" s="77">
        <v>1100</v>
      </c>
      <c r="BH24" s="77"/>
      <c r="BI24" s="77"/>
      <c r="BJ24" s="77"/>
      <c r="BK24" s="78">
        <f t="shared" si="29"/>
        <v>158820</v>
      </c>
      <c r="BL24" s="49">
        <v>20</v>
      </c>
      <c r="BM24" s="79">
        <f t="shared" si="25"/>
        <v>158820</v>
      </c>
    </row>
    <row r="25" spans="2:67" ht="20" customHeight="1">
      <c r="B25" s="80">
        <f t="shared" si="26"/>
        <v>45678</v>
      </c>
      <c r="C25" s="81"/>
      <c r="D25" s="52"/>
      <c r="E25" s="53">
        <v>32</v>
      </c>
      <c r="F25" s="54">
        <v>124310</v>
      </c>
      <c r="G25" s="55">
        <f t="shared" si="0"/>
        <v>3531.53125</v>
      </c>
      <c r="H25" s="54">
        <v>20010</v>
      </c>
      <c r="I25" s="56">
        <f t="shared" si="27"/>
        <v>568.4375</v>
      </c>
      <c r="J25" s="57">
        <f t="shared" si="1"/>
        <v>144320</v>
      </c>
      <c r="K25" s="58">
        <f t="shared" si="2"/>
        <v>4510</v>
      </c>
      <c r="L25" s="59"/>
      <c r="M25" s="60">
        <f t="shared" si="3"/>
        <v>9</v>
      </c>
      <c r="N25" s="61">
        <f t="shared" si="3"/>
        <v>109670</v>
      </c>
      <c r="O25" s="55">
        <f t="shared" si="4"/>
        <v>11077.777777777777</v>
      </c>
      <c r="P25" s="61">
        <f t="shared" si="5"/>
        <v>12670</v>
      </c>
      <c r="Q25" s="87">
        <f t="shared" si="6"/>
        <v>1279.7777777777778</v>
      </c>
      <c r="R25" s="62">
        <f t="shared" si="7"/>
        <v>122340</v>
      </c>
      <c r="S25" s="58">
        <f t="shared" si="8"/>
        <v>13593.333333333334</v>
      </c>
      <c r="T25" s="82">
        <f t="shared" si="9"/>
        <v>41</v>
      </c>
      <c r="U25" s="61">
        <f t="shared" si="9"/>
        <v>233980</v>
      </c>
      <c r="V25" s="61">
        <f t="shared" si="10"/>
        <v>32680</v>
      </c>
      <c r="W25" s="64">
        <f t="shared" si="11"/>
        <v>266660</v>
      </c>
      <c r="X25" s="83"/>
      <c r="Y25" s="65"/>
      <c r="Z25" s="66">
        <v>2</v>
      </c>
      <c r="AA25" s="54">
        <v>900</v>
      </c>
      <c r="AB25" s="55">
        <f t="shared" si="12"/>
        <v>450</v>
      </c>
      <c r="AC25" s="54">
        <v>1000</v>
      </c>
      <c r="AD25" s="56">
        <f t="shared" si="13"/>
        <v>500</v>
      </c>
      <c r="AE25" s="67">
        <f t="shared" si="14"/>
        <v>1900</v>
      </c>
      <c r="AF25" s="58">
        <f t="shared" si="15"/>
        <v>950</v>
      </c>
      <c r="AG25" s="68"/>
      <c r="AH25" s="66"/>
      <c r="AI25" s="54"/>
      <c r="AJ25" s="55" t="e">
        <f t="shared" si="16"/>
        <v>#DIV/0!</v>
      </c>
      <c r="AK25" s="54"/>
      <c r="AL25" s="56" t="e">
        <f t="shared" si="17"/>
        <v>#DIV/0!</v>
      </c>
      <c r="AM25" s="67">
        <f t="shared" si="28"/>
        <v>0</v>
      </c>
      <c r="AN25" s="69" t="str">
        <f t="shared" si="18"/>
        <v/>
      </c>
      <c r="AO25" s="70"/>
      <c r="AP25" s="66"/>
      <c r="AQ25" s="54"/>
      <c r="AR25" s="55" t="e">
        <f t="shared" si="19"/>
        <v>#DIV/0!</v>
      </c>
      <c r="AS25" s="54"/>
      <c r="AT25" s="56" t="e">
        <f t="shared" si="20"/>
        <v>#DIV/0!</v>
      </c>
      <c r="AU25" s="56"/>
      <c r="AV25" s="56"/>
      <c r="AW25" s="88">
        <f t="shared" si="33"/>
        <v>0</v>
      </c>
      <c r="AX25" s="69" t="str">
        <f t="shared" si="21"/>
        <v/>
      </c>
      <c r="AY25" s="84">
        <f t="shared" si="22"/>
        <v>41</v>
      </c>
      <c r="AZ25" s="61">
        <f t="shared" si="23"/>
        <v>234880</v>
      </c>
      <c r="BA25" s="61">
        <f t="shared" si="24"/>
        <v>33680</v>
      </c>
      <c r="BB25" s="73">
        <f>W25+AE25+AM25+AW25-BN25</f>
        <v>268560</v>
      </c>
      <c r="BC25" s="74">
        <f t="shared" si="30"/>
        <v>4400</v>
      </c>
      <c r="BD25" s="75">
        <v>41</v>
      </c>
      <c r="BE25" s="76">
        <v>233980</v>
      </c>
      <c r="BF25" s="76">
        <v>32680</v>
      </c>
      <c r="BG25" s="77">
        <v>4400</v>
      </c>
      <c r="BH25" s="77"/>
      <c r="BI25" s="77"/>
      <c r="BJ25" s="77"/>
      <c r="BK25" s="78">
        <f t="shared" si="29"/>
        <v>271060</v>
      </c>
      <c r="BL25" s="49">
        <v>21</v>
      </c>
      <c r="BM25" s="79">
        <f t="shared" si="25"/>
        <v>271060</v>
      </c>
    </row>
    <row r="26" spans="2:67" ht="20" customHeight="1">
      <c r="B26" s="80">
        <f t="shared" si="26"/>
        <v>45679</v>
      </c>
      <c r="C26" s="81"/>
      <c r="D26" s="52"/>
      <c r="E26" s="53">
        <v>27</v>
      </c>
      <c r="F26" s="54">
        <v>94820</v>
      </c>
      <c r="G26" s="55">
        <f t="shared" si="0"/>
        <v>3192.5925925925926</v>
      </c>
      <c r="H26" s="54">
        <v>22860</v>
      </c>
      <c r="I26" s="56">
        <f t="shared" si="27"/>
        <v>769.66666666666663</v>
      </c>
      <c r="J26" s="57">
        <f t="shared" si="1"/>
        <v>117680</v>
      </c>
      <c r="K26" s="58">
        <f t="shared" si="2"/>
        <v>4358.5185185185182</v>
      </c>
      <c r="L26" s="59"/>
      <c r="M26" s="60">
        <f t="shared" si="3"/>
        <v>23</v>
      </c>
      <c r="N26" s="61">
        <f t="shared" si="3"/>
        <v>199390</v>
      </c>
      <c r="O26" s="55">
        <f t="shared" si="4"/>
        <v>7881</v>
      </c>
      <c r="P26" s="61">
        <f t="shared" si="5"/>
        <v>44700</v>
      </c>
      <c r="Q26" s="87">
        <f t="shared" si="6"/>
        <v>1766.7826086956522</v>
      </c>
      <c r="R26" s="62">
        <f t="shared" si="7"/>
        <v>244090</v>
      </c>
      <c r="S26" s="58">
        <f t="shared" si="8"/>
        <v>10612.608695652174</v>
      </c>
      <c r="T26" s="82">
        <f t="shared" si="9"/>
        <v>50</v>
      </c>
      <c r="U26" s="61">
        <f t="shared" si="9"/>
        <v>294210</v>
      </c>
      <c r="V26" s="61">
        <f t="shared" si="10"/>
        <v>67560</v>
      </c>
      <c r="W26" s="64">
        <f t="shared" si="11"/>
        <v>361770</v>
      </c>
      <c r="X26" s="83"/>
      <c r="Y26" s="65"/>
      <c r="Z26" s="66">
        <v>6</v>
      </c>
      <c r="AA26" s="54">
        <v>2700</v>
      </c>
      <c r="AB26" s="55">
        <f t="shared" si="12"/>
        <v>450</v>
      </c>
      <c r="AC26" s="54">
        <v>1400</v>
      </c>
      <c r="AD26" s="56">
        <f t="shared" si="13"/>
        <v>233.33333333333334</v>
      </c>
      <c r="AE26" s="67">
        <f t="shared" si="14"/>
        <v>4100</v>
      </c>
      <c r="AF26" s="58">
        <f t="shared" si="15"/>
        <v>683.33333333333337</v>
      </c>
      <c r="AG26" s="68"/>
      <c r="AH26" s="66"/>
      <c r="AI26" s="54"/>
      <c r="AJ26" s="55" t="e">
        <f t="shared" si="16"/>
        <v>#DIV/0!</v>
      </c>
      <c r="AK26" s="54"/>
      <c r="AL26" s="56" t="e">
        <f t="shared" si="17"/>
        <v>#DIV/0!</v>
      </c>
      <c r="AM26" s="67">
        <f t="shared" si="28"/>
        <v>0</v>
      </c>
      <c r="AN26" s="69" t="str">
        <f t="shared" si="18"/>
        <v/>
      </c>
      <c r="AO26" s="70"/>
      <c r="AP26" s="66"/>
      <c r="AQ26" s="54"/>
      <c r="AR26" s="55" t="e">
        <f t="shared" si="19"/>
        <v>#DIV/0!</v>
      </c>
      <c r="AS26" s="54"/>
      <c r="AT26" s="56" t="e">
        <f t="shared" si="20"/>
        <v>#DIV/0!</v>
      </c>
      <c r="AU26" s="56"/>
      <c r="AV26" s="56"/>
      <c r="AW26" s="71">
        <f t="shared" si="33"/>
        <v>0</v>
      </c>
      <c r="AX26" s="69" t="str">
        <f t="shared" si="21"/>
        <v/>
      </c>
      <c r="AY26" s="84">
        <f t="shared" si="22"/>
        <v>50</v>
      </c>
      <c r="AZ26" s="61">
        <f t="shared" si="23"/>
        <v>296910</v>
      </c>
      <c r="BA26" s="61">
        <f t="shared" si="24"/>
        <v>68960</v>
      </c>
      <c r="BB26" s="73">
        <f>W26+AE26+AM26+AW26-BN26</f>
        <v>365870</v>
      </c>
      <c r="BC26" s="74">
        <f>BG26+BH26</f>
        <v>1100</v>
      </c>
      <c r="BD26" s="75">
        <v>50</v>
      </c>
      <c r="BE26" s="76">
        <v>294210</v>
      </c>
      <c r="BF26" s="76">
        <v>67560</v>
      </c>
      <c r="BG26" s="77">
        <v>1100</v>
      </c>
      <c r="BH26" s="77"/>
      <c r="BI26" s="77">
        <v>6600</v>
      </c>
      <c r="BJ26" s="77"/>
      <c r="BK26" s="78">
        <f t="shared" si="29"/>
        <v>362870</v>
      </c>
      <c r="BL26" s="49">
        <v>22</v>
      </c>
      <c r="BM26" s="79">
        <f t="shared" si="25"/>
        <v>362870</v>
      </c>
    </row>
    <row r="27" spans="2:67" ht="20" customHeight="1">
      <c r="B27" s="80">
        <f t="shared" si="26"/>
        <v>45680</v>
      </c>
      <c r="C27" s="81"/>
      <c r="D27" s="52"/>
      <c r="E27" s="53">
        <v>19</v>
      </c>
      <c r="F27" s="54">
        <v>59950</v>
      </c>
      <c r="G27" s="55">
        <f t="shared" si="0"/>
        <v>2868.4210526315787</v>
      </c>
      <c r="H27" s="54">
        <v>5050</v>
      </c>
      <c r="I27" s="56">
        <f t="shared" si="27"/>
        <v>241.57894736842104</v>
      </c>
      <c r="J27" s="57">
        <f t="shared" si="1"/>
        <v>65000</v>
      </c>
      <c r="K27" s="58">
        <f t="shared" si="2"/>
        <v>3421.0526315789475</v>
      </c>
      <c r="L27" s="59"/>
      <c r="M27" s="60">
        <f t="shared" si="3"/>
        <v>32</v>
      </c>
      <c r="N27" s="61">
        <f t="shared" si="3"/>
        <v>314770</v>
      </c>
      <c r="O27" s="55">
        <f t="shared" si="4"/>
        <v>8942.3125</v>
      </c>
      <c r="P27" s="61">
        <f t="shared" si="5"/>
        <v>46090</v>
      </c>
      <c r="Q27" s="56">
        <f t="shared" si="6"/>
        <v>1309.375</v>
      </c>
      <c r="R27" s="62">
        <f t="shared" si="7"/>
        <v>360860</v>
      </c>
      <c r="S27" s="58">
        <f t="shared" si="8"/>
        <v>11276.875</v>
      </c>
      <c r="T27" s="82">
        <f t="shared" si="9"/>
        <v>51</v>
      </c>
      <c r="U27" s="61">
        <f t="shared" si="9"/>
        <v>374720</v>
      </c>
      <c r="V27" s="61">
        <f t="shared" si="10"/>
        <v>51140</v>
      </c>
      <c r="W27" s="64">
        <f t="shared" si="11"/>
        <v>425860</v>
      </c>
      <c r="X27" s="83"/>
      <c r="Y27" s="65"/>
      <c r="Z27" s="66">
        <v>8</v>
      </c>
      <c r="AA27" s="54">
        <v>3500</v>
      </c>
      <c r="AB27" s="55">
        <f t="shared" si="12"/>
        <v>437.5</v>
      </c>
      <c r="AC27" s="54">
        <v>3350</v>
      </c>
      <c r="AD27" s="56">
        <f t="shared" si="13"/>
        <v>418.75</v>
      </c>
      <c r="AE27" s="67">
        <f t="shared" si="14"/>
        <v>6850</v>
      </c>
      <c r="AF27" s="58">
        <f t="shared" si="15"/>
        <v>856.25</v>
      </c>
      <c r="AG27" s="68"/>
      <c r="AH27" s="66"/>
      <c r="AI27" s="54"/>
      <c r="AJ27" s="55" t="e">
        <f t="shared" si="16"/>
        <v>#DIV/0!</v>
      </c>
      <c r="AK27" s="54"/>
      <c r="AL27" s="56" t="e">
        <f t="shared" si="17"/>
        <v>#DIV/0!</v>
      </c>
      <c r="AM27" s="67">
        <f t="shared" si="28"/>
        <v>0</v>
      </c>
      <c r="AN27" s="69" t="str">
        <f t="shared" si="18"/>
        <v/>
      </c>
      <c r="AO27" s="70"/>
      <c r="AP27" s="66"/>
      <c r="AQ27" s="54"/>
      <c r="AR27" s="55" t="e">
        <f t="shared" si="19"/>
        <v>#DIV/0!</v>
      </c>
      <c r="AS27" s="54"/>
      <c r="AT27" s="56" t="e">
        <f t="shared" si="20"/>
        <v>#DIV/0!</v>
      </c>
      <c r="AU27" s="56"/>
      <c r="AV27" s="56"/>
      <c r="AW27" s="71">
        <f>AQ27+AS27+AU27+AV27-BO26</f>
        <v>0</v>
      </c>
      <c r="AX27" s="69" t="str">
        <f t="shared" si="21"/>
        <v/>
      </c>
      <c r="AY27" s="84">
        <f t="shared" si="22"/>
        <v>51</v>
      </c>
      <c r="AZ27" s="61">
        <f t="shared" si="23"/>
        <v>378220</v>
      </c>
      <c r="BA27" s="61">
        <f t="shared" si="24"/>
        <v>54490</v>
      </c>
      <c r="BB27" s="73">
        <f>W27+AE27+AM27+AW27-BN27</f>
        <v>432710</v>
      </c>
      <c r="BC27" s="74">
        <f t="shared" si="30"/>
        <v>8800</v>
      </c>
      <c r="BD27" s="75">
        <v>51</v>
      </c>
      <c r="BE27" s="76">
        <v>374720</v>
      </c>
      <c r="BF27" s="76">
        <v>51140</v>
      </c>
      <c r="BG27" s="77">
        <v>8800</v>
      </c>
      <c r="BH27" s="77"/>
      <c r="BI27" s="77"/>
      <c r="BJ27" s="77"/>
      <c r="BK27" s="78">
        <f t="shared" si="29"/>
        <v>434660</v>
      </c>
      <c r="BL27" s="49">
        <v>23</v>
      </c>
      <c r="BM27" s="79">
        <f t="shared" si="25"/>
        <v>434660</v>
      </c>
    </row>
    <row r="28" spans="2:67" ht="20" customHeight="1">
      <c r="B28" s="80">
        <f>B27+1</f>
        <v>45681</v>
      </c>
      <c r="C28" s="81"/>
      <c r="D28" s="52"/>
      <c r="E28" s="53">
        <v>28</v>
      </c>
      <c r="F28" s="54">
        <v>121880</v>
      </c>
      <c r="G28" s="55">
        <f t="shared" si="0"/>
        <v>3957.1428571428573</v>
      </c>
      <c r="H28" s="54">
        <v>23830</v>
      </c>
      <c r="I28" s="56">
        <f t="shared" si="27"/>
        <v>773.67857142857144</v>
      </c>
      <c r="J28" s="57">
        <f t="shared" si="1"/>
        <v>145710</v>
      </c>
      <c r="K28" s="58">
        <f t="shared" si="2"/>
        <v>5203.9285714285716</v>
      </c>
      <c r="L28" s="59"/>
      <c r="M28" s="60">
        <f t="shared" si="3"/>
        <v>23</v>
      </c>
      <c r="N28" s="61">
        <f t="shared" si="3"/>
        <v>180620</v>
      </c>
      <c r="O28" s="55">
        <f t="shared" si="4"/>
        <v>7139.130434782609</v>
      </c>
      <c r="P28" s="61">
        <f t="shared" si="5"/>
        <v>39760</v>
      </c>
      <c r="Q28" s="56">
        <f>ROUNDDOWN(P28/1.1,0)/M28</f>
        <v>1571.5217391304348</v>
      </c>
      <c r="R28" s="62">
        <f t="shared" si="7"/>
        <v>220380</v>
      </c>
      <c r="S28" s="58">
        <f t="shared" si="8"/>
        <v>9581.7391304347821</v>
      </c>
      <c r="T28" s="82">
        <f t="shared" si="9"/>
        <v>51</v>
      </c>
      <c r="U28" s="61">
        <f t="shared" si="9"/>
        <v>302500</v>
      </c>
      <c r="V28" s="61">
        <f t="shared" si="10"/>
        <v>63590</v>
      </c>
      <c r="W28" s="64">
        <f t="shared" si="11"/>
        <v>366090</v>
      </c>
      <c r="X28" s="83"/>
      <c r="Y28" s="65"/>
      <c r="Z28" s="66">
        <v>8</v>
      </c>
      <c r="AA28" s="54">
        <v>3600</v>
      </c>
      <c r="AB28" s="55">
        <f t="shared" si="12"/>
        <v>450</v>
      </c>
      <c r="AC28" s="54">
        <v>3000</v>
      </c>
      <c r="AD28" s="56">
        <f t="shared" si="13"/>
        <v>375</v>
      </c>
      <c r="AE28" s="67">
        <f t="shared" si="14"/>
        <v>6600</v>
      </c>
      <c r="AF28" s="58">
        <f t="shared" si="15"/>
        <v>825</v>
      </c>
      <c r="AG28" s="68"/>
      <c r="AH28" s="66"/>
      <c r="AI28" s="54"/>
      <c r="AJ28" s="55" t="e">
        <f t="shared" si="16"/>
        <v>#DIV/0!</v>
      </c>
      <c r="AK28" s="54"/>
      <c r="AL28" s="56" t="e">
        <f t="shared" si="17"/>
        <v>#DIV/0!</v>
      </c>
      <c r="AM28" s="67">
        <f t="shared" si="28"/>
        <v>0</v>
      </c>
      <c r="AN28" s="69" t="str">
        <f t="shared" si="18"/>
        <v/>
      </c>
      <c r="AO28" s="70"/>
      <c r="AP28" s="66"/>
      <c r="AQ28" s="54"/>
      <c r="AR28" s="55" t="e">
        <f t="shared" si="19"/>
        <v>#DIV/0!</v>
      </c>
      <c r="AS28" s="54"/>
      <c r="AT28" s="56" t="e">
        <f t="shared" si="20"/>
        <v>#DIV/0!</v>
      </c>
      <c r="AU28" s="56"/>
      <c r="AV28" s="56"/>
      <c r="AW28" s="71">
        <f>AQ28+AS28+AU28+AV28</f>
        <v>0</v>
      </c>
      <c r="AX28" s="69" t="str">
        <f t="shared" si="21"/>
        <v/>
      </c>
      <c r="AY28" s="84">
        <f t="shared" si="22"/>
        <v>51</v>
      </c>
      <c r="AZ28" s="61">
        <f t="shared" si="23"/>
        <v>306100</v>
      </c>
      <c r="BA28" s="61">
        <f t="shared" si="24"/>
        <v>66590</v>
      </c>
      <c r="BB28" s="73">
        <f t="shared" si="32"/>
        <v>372690</v>
      </c>
      <c r="BC28" s="74">
        <f t="shared" si="30"/>
        <v>13200</v>
      </c>
      <c r="BD28" s="75">
        <v>51</v>
      </c>
      <c r="BE28" s="76">
        <v>302500</v>
      </c>
      <c r="BF28" s="76">
        <v>63590</v>
      </c>
      <c r="BG28" s="77">
        <v>13200</v>
      </c>
      <c r="BH28" s="77"/>
      <c r="BI28" s="77"/>
      <c r="BJ28" s="77"/>
      <c r="BK28" s="78">
        <f t="shared" si="29"/>
        <v>379290</v>
      </c>
      <c r="BL28" s="49">
        <v>24</v>
      </c>
      <c r="BM28" s="79">
        <f t="shared" si="25"/>
        <v>379290</v>
      </c>
    </row>
    <row r="29" spans="2:67" ht="20" customHeight="1">
      <c r="B29" s="80">
        <f t="shared" si="26"/>
        <v>45682</v>
      </c>
      <c r="C29" s="81"/>
      <c r="D29" s="52"/>
      <c r="E29" s="53">
        <v>36</v>
      </c>
      <c r="F29" s="54">
        <v>143550</v>
      </c>
      <c r="G29" s="55">
        <f t="shared" si="0"/>
        <v>3625</v>
      </c>
      <c r="H29" s="54">
        <v>41430</v>
      </c>
      <c r="I29" s="55">
        <f t="shared" si="27"/>
        <v>1046.1944444444443</v>
      </c>
      <c r="J29" s="57">
        <f t="shared" si="1"/>
        <v>184980</v>
      </c>
      <c r="K29" s="58">
        <f t="shared" si="2"/>
        <v>5138.333333333333</v>
      </c>
      <c r="L29" s="59"/>
      <c r="M29" s="60">
        <f t="shared" si="3"/>
        <v>23</v>
      </c>
      <c r="N29" s="61">
        <f t="shared" si="3"/>
        <v>229090</v>
      </c>
      <c r="O29" s="55">
        <f t="shared" si="4"/>
        <v>9054.9130434782601</v>
      </c>
      <c r="P29" s="61">
        <f t="shared" si="5"/>
        <v>38210</v>
      </c>
      <c r="Q29" s="56">
        <f t="shared" si="6"/>
        <v>1510.2608695652175</v>
      </c>
      <c r="R29" s="62">
        <f t="shared" si="7"/>
        <v>267300</v>
      </c>
      <c r="S29" s="58">
        <f t="shared" si="8"/>
        <v>11621.739130434782</v>
      </c>
      <c r="T29" s="82">
        <f t="shared" si="9"/>
        <v>59</v>
      </c>
      <c r="U29" s="61">
        <f t="shared" si="9"/>
        <v>372640</v>
      </c>
      <c r="V29" s="61">
        <f t="shared" si="10"/>
        <v>79640</v>
      </c>
      <c r="W29" s="64">
        <f t="shared" si="11"/>
        <v>452280</v>
      </c>
      <c r="X29" s="83"/>
      <c r="Y29" s="65"/>
      <c r="Z29" s="66">
        <v>24</v>
      </c>
      <c r="AA29" s="54">
        <v>10250</v>
      </c>
      <c r="AB29" s="55">
        <f t="shared" si="12"/>
        <v>427.08333333333331</v>
      </c>
      <c r="AC29" s="54">
        <v>5500</v>
      </c>
      <c r="AD29" s="56">
        <f t="shared" si="13"/>
        <v>229.16666666666666</v>
      </c>
      <c r="AE29" s="67">
        <f t="shared" si="14"/>
        <v>15750</v>
      </c>
      <c r="AF29" s="58">
        <f t="shared" si="15"/>
        <v>656.25</v>
      </c>
      <c r="AG29" s="68"/>
      <c r="AH29" s="66"/>
      <c r="AI29" s="54"/>
      <c r="AJ29" s="55" t="e">
        <f t="shared" si="16"/>
        <v>#DIV/0!</v>
      </c>
      <c r="AK29" s="54"/>
      <c r="AL29" s="56" t="e">
        <f t="shared" si="17"/>
        <v>#DIV/0!</v>
      </c>
      <c r="AM29" s="67">
        <f t="shared" si="28"/>
        <v>0</v>
      </c>
      <c r="AN29" s="69" t="str">
        <f t="shared" si="18"/>
        <v/>
      </c>
      <c r="AO29" s="70"/>
      <c r="AP29" s="66"/>
      <c r="AQ29" s="54"/>
      <c r="AR29" s="55" t="e">
        <f t="shared" si="19"/>
        <v>#DIV/0!</v>
      </c>
      <c r="AS29" s="54"/>
      <c r="AT29" s="56" t="e">
        <f t="shared" si="20"/>
        <v>#DIV/0!</v>
      </c>
      <c r="AU29" s="56"/>
      <c r="AV29" s="56"/>
      <c r="AW29" s="71">
        <f>AQ29+AS29+AU29+AV29-BO29</f>
        <v>0</v>
      </c>
      <c r="AX29" s="69" t="str">
        <f t="shared" si="21"/>
        <v/>
      </c>
      <c r="AY29" s="84">
        <f t="shared" si="22"/>
        <v>59</v>
      </c>
      <c r="AZ29" s="61">
        <f t="shared" si="23"/>
        <v>382890</v>
      </c>
      <c r="BA29" s="61">
        <f t="shared" si="24"/>
        <v>85140</v>
      </c>
      <c r="BB29" s="73">
        <f t="shared" si="32"/>
        <v>468030</v>
      </c>
      <c r="BC29" s="74">
        <f t="shared" si="30"/>
        <v>5500</v>
      </c>
      <c r="BD29" s="75">
        <v>59</v>
      </c>
      <c r="BE29" s="76">
        <v>372640</v>
      </c>
      <c r="BF29" s="76">
        <v>79640</v>
      </c>
      <c r="BG29" s="77">
        <v>5500</v>
      </c>
      <c r="BH29" s="77"/>
      <c r="BI29" s="77"/>
      <c r="BJ29" s="77"/>
      <c r="BK29" s="78">
        <f t="shared" si="29"/>
        <v>457780</v>
      </c>
      <c r="BL29" s="49">
        <v>25</v>
      </c>
      <c r="BM29" s="79">
        <f t="shared" si="25"/>
        <v>457780</v>
      </c>
    </row>
    <row r="30" spans="2:67" ht="20" customHeight="1">
      <c r="B30" s="80">
        <f t="shared" si="26"/>
        <v>45683</v>
      </c>
      <c r="C30" s="81"/>
      <c r="D30" s="52"/>
      <c r="E30" s="53">
        <v>33</v>
      </c>
      <c r="F30" s="54">
        <v>144760</v>
      </c>
      <c r="G30" s="55">
        <f t="shared" si="0"/>
        <v>3987.878787878788</v>
      </c>
      <c r="H30" s="54">
        <v>22800</v>
      </c>
      <c r="I30" s="55">
        <f t="shared" si="27"/>
        <v>628.09090909090912</v>
      </c>
      <c r="J30" s="57">
        <f t="shared" si="1"/>
        <v>167560</v>
      </c>
      <c r="K30" s="58">
        <f t="shared" si="2"/>
        <v>5077.575757575758</v>
      </c>
      <c r="L30" s="59"/>
      <c r="M30" s="60">
        <f t="shared" si="3"/>
        <v>19</v>
      </c>
      <c r="N30" s="61">
        <f t="shared" si="3"/>
        <v>207460</v>
      </c>
      <c r="O30" s="55">
        <f t="shared" si="4"/>
        <v>9926.3157894736851</v>
      </c>
      <c r="P30" s="61">
        <f t="shared" si="5"/>
        <v>38920</v>
      </c>
      <c r="Q30" s="55">
        <f t="shared" si="6"/>
        <v>1862.1578947368421</v>
      </c>
      <c r="R30" s="62">
        <f t="shared" si="7"/>
        <v>246380</v>
      </c>
      <c r="S30" s="58">
        <f t="shared" si="8"/>
        <v>12967.368421052632</v>
      </c>
      <c r="T30" s="82">
        <f t="shared" si="9"/>
        <v>52</v>
      </c>
      <c r="U30" s="61">
        <f t="shared" si="9"/>
        <v>352220</v>
      </c>
      <c r="V30" s="61">
        <f t="shared" si="10"/>
        <v>61720</v>
      </c>
      <c r="W30" s="64">
        <f t="shared" si="11"/>
        <v>413940</v>
      </c>
      <c r="X30" s="83"/>
      <c r="Y30" s="65"/>
      <c r="Z30" s="66">
        <v>14</v>
      </c>
      <c r="AA30" s="54">
        <v>6200</v>
      </c>
      <c r="AB30" s="55">
        <f t="shared" si="12"/>
        <v>442.85714285714283</v>
      </c>
      <c r="AC30" s="54">
        <v>7300</v>
      </c>
      <c r="AD30" s="56">
        <f t="shared" si="13"/>
        <v>521.42857142857144</v>
      </c>
      <c r="AE30" s="67">
        <f t="shared" si="14"/>
        <v>13500</v>
      </c>
      <c r="AF30" s="58">
        <f t="shared" si="15"/>
        <v>964.28571428571433</v>
      </c>
      <c r="AG30" s="68"/>
      <c r="AH30" s="66"/>
      <c r="AI30" s="54"/>
      <c r="AJ30" s="55" t="e">
        <f t="shared" si="16"/>
        <v>#DIV/0!</v>
      </c>
      <c r="AK30" s="54"/>
      <c r="AL30" s="56" t="e">
        <f t="shared" si="17"/>
        <v>#DIV/0!</v>
      </c>
      <c r="AM30" s="67">
        <f t="shared" si="28"/>
        <v>0</v>
      </c>
      <c r="AN30" s="69" t="str">
        <f t="shared" si="18"/>
        <v/>
      </c>
      <c r="AO30" s="70"/>
      <c r="AP30" s="66"/>
      <c r="AQ30" s="54"/>
      <c r="AR30" s="55" t="e">
        <f t="shared" si="19"/>
        <v>#DIV/0!</v>
      </c>
      <c r="AS30" s="54"/>
      <c r="AT30" s="56" t="e">
        <f t="shared" si="20"/>
        <v>#DIV/0!</v>
      </c>
      <c r="AU30" s="56"/>
      <c r="AV30" s="56"/>
      <c r="AW30" s="71">
        <f t="shared" ref="AW30:AW33" si="34">AQ30+AS30+AU30+AV30</f>
        <v>0</v>
      </c>
      <c r="AX30" s="69" t="str">
        <f t="shared" si="21"/>
        <v/>
      </c>
      <c r="AY30" s="84">
        <f t="shared" si="22"/>
        <v>52</v>
      </c>
      <c r="AZ30" s="61">
        <f t="shared" si="23"/>
        <v>358420</v>
      </c>
      <c r="BA30" s="61">
        <f t="shared" si="24"/>
        <v>69020</v>
      </c>
      <c r="BB30" s="73">
        <f t="shared" si="32"/>
        <v>427440</v>
      </c>
      <c r="BC30" s="74">
        <f>BG30+BH30</f>
        <v>4950</v>
      </c>
      <c r="BD30" s="75">
        <v>52</v>
      </c>
      <c r="BE30" s="76">
        <v>352220</v>
      </c>
      <c r="BF30" s="76">
        <v>61720</v>
      </c>
      <c r="BG30" s="77">
        <v>4950</v>
      </c>
      <c r="BH30" s="77"/>
      <c r="BI30" s="77"/>
      <c r="BJ30" s="77"/>
      <c r="BK30" s="78">
        <f t="shared" si="29"/>
        <v>418890</v>
      </c>
      <c r="BL30" s="49">
        <v>26</v>
      </c>
      <c r="BM30" s="79">
        <f t="shared" si="25"/>
        <v>418890</v>
      </c>
    </row>
    <row r="31" spans="2:67" ht="20" customHeight="1">
      <c r="B31" s="80">
        <f t="shared" si="26"/>
        <v>45684</v>
      </c>
      <c r="C31" s="81"/>
      <c r="D31" s="52"/>
      <c r="E31" s="53">
        <v>19</v>
      </c>
      <c r="F31" s="54">
        <v>100210</v>
      </c>
      <c r="G31" s="55">
        <f t="shared" si="0"/>
        <v>4794.7368421052633</v>
      </c>
      <c r="H31" s="54">
        <v>5640</v>
      </c>
      <c r="I31" s="55">
        <f t="shared" si="27"/>
        <v>269.84210526315792</v>
      </c>
      <c r="J31" s="57">
        <f t="shared" si="1"/>
        <v>105850</v>
      </c>
      <c r="K31" s="58">
        <f t="shared" si="2"/>
        <v>5571.0526315789475</v>
      </c>
      <c r="L31" s="59"/>
      <c r="M31" s="60">
        <f t="shared" si="3"/>
        <v>19</v>
      </c>
      <c r="N31" s="61">
        <f t="shared" si="3"/>
        <v>193050</v>
      </c>
      <c r="O31" s="55">
        <f t="shared" si="4"/>
        <v>9236.8421052631584</v>
      </c>
      <c r="P31" s="61">
        <f t="shared" si="5"/>
        <v>66160</v>
      </c>
      <c r="Q31" s="55">
        <f t="shared" si="6"/>
        <v>3165.5263157894738</v>
      </c>
      <c r="R31" s="62">
        <f t="shared" si="7"/>
        <v>259210</v>
      </c>
      <c r="S31" s="58">
        <f t="shared" si="8"/>
        <v>13642.631578947368</v>
      </c>
      <c r="T31" s="82">
        <f t="shared" si="9"/>
        <v>38</v>
      </c>
      <c r="U31" s="61">
        <f t="shared" si="9"/>
        <v>293260</v>
      </c>
      <c r="V31" s="61">
        <f t="shared" si="10"/>
        <v>71800</v>
      </c>
      <c r="W31" s="64">
        <f t="shared" si="11"/>
        <v>365060</v>
      </c>
      <c r="X31" s="83"/>
      <c r="Y31" s="65"/>
      <c r="Z31" s="66">
        <v>9</v>
      </c>
      <c r="AA31" s="54">
        <v>3850</v>
      </c>
      <c r="AB31" s="55">
        <f t="shared" si="12"/>
        <v>427.77777777777777</v>
      </c>
      <c r="AC31" s="54">
        <v>3500</v>
      </c>
      <c r="AD31" s="56">
        <f t="shared" si="13"/>
        <v>388.88888888888891</v>
      </c>
      <c r="AE31" s="67">
        <f t="shared" si="14"/>
        <v>7350</v>
      </c>
      <c r="AF31" s="58">
        <f t="shared" si="15"/>
        <v>816.66666666666663</v>
      </c>
      <c r="AG31" s="68"/>
      <c r="AH31" s="66"/>
      <c r="AI31" s="54"/>
      <c r="AJ31" s="55" t="e">
        <f t="shared" si="16"/>
        <v>#DIV/0!</v>
      </c>
      <c r="AK31" s="54"/>
      <c r="AL31" s="56" t="e">
        <f t="shared" si="17"/>
        <v>#DIV/0!</v>
      </c>
      <c r="AM31" s="67">
        <f t="shared" si="28"/>
        <v>0</v>
      </c>
      <c r="AN31" s="69" t="str">
        <f t="shared" si="18"/>
        <v/>
      </c>
      <c r="AO31" s="70"/>
      <c r="AP31" s="66"/>
      <c r="AQ31" s="54"/>
      <c r="AR31" s="55" t="e">
        <f t="shared" si="19"/>
        <v>#DIV/0!</v>
      </c>
      <c r="AS31" s="54"/>
      <c r="AT31" s="56" t="e">
        <f t="shared" si="20"/>
        <v>#DIV/0!</v>
      </c>
      <c r="AU31" s="56"/>
      <c r="AV31" s="56"/>
      <c r="AW31" s="71">
        <f t="shared" si="34"/>
        <v>0</v>
      </c>
      <c r="AX31" s="69" t="str">
        <f t="shared" si="21"/>
        <v/>
      </c>
      <c r="AY31" s="84">
        <f t="shared" si="22"/>
        <v>38</v>
      </c>
      <c r="AZ31" s="61">
        <f t="shared" si="23"/>
        <v>297110</v>
      </c>
      <c r="BA31" s="61">
        <f t="shared" si="24"/>
        <v>75300</v>
      </c>
      <c r="BB31" s="73">
        <f>W31+AE31+AM31+AW31-BN31</f>
        <v>369440</v>
      </c>
      <c r="BC31" s="74">
        <f t="shared" ref="BC31:BC34" si="35">BG31+BH31</f>
        <v>2200</v>
      </c>
      <c r="BD31" s="75">
        <v>38</v>
      </c>
      <c r="BE31" s="76">
        <v>293260</v>
      </c>
      <c r="BF31" s="76">
        <v>71800</v>
      </c>
      <c r="BG31" s="77">
        <v>2200</v>
      </c>
      <c r="BH31" s="77"/>
      <c r="BI31" s="77"/>
      <c r="BJ31" s="77"/>
      <c r="BK31" s="78">
        <f t="shared" si="29"/>
        <v>367260</v>
      </c>
      <c r="BL31" s="49">
        <v>27</v>
      </c>
      <c r="BM31" s="79">
        <f t="shared" si="25"/>
        <v>367260</v>
      </c>
      <c r="BN31" s="49">
        <v>2970</v>
      </c>
    </row>
    <row r="32" spans="2:67" ht="20" customHeight="1">
      <c r="B32" s="80">
        <f t="shared" si="26"/>
        <v>45685</v>
      </c>
      <c r="C32" s="81"/>
      <c r="D32" s="52"/>
      <c r="E32" s="53">
        <v>29</v>
      </c>
      <c r="F32" s="54">
        <v>119020</v>
      </c>
      <c r="G32" s="55">
        <f t="shared" si="0"/>
        <v>3731.0344827586205</v>
      </c>
      <c r="H32" s="54">
        <v>15040</v>
      </c>
      <c r="I32" s="55">
        <f t="shared" si="27"/>
        <v>471.44827586206895</v>
      </c>
      <c r="J32" s="57">
        <f t="shared" si="1"/>
        <v>134060</v>
      </c>
      <c r="K32" s="58">
        <f t="shared" si="2"/>
        <v>4622.7586206896549</v>
      </c>
      <c r="L32" s="59"/>
      <c r="M32" s="60">
        <f t="shared" si="3"/>
        <v>20</v>
      </c>
      <c r="N32" s="61">
        <f t="shared" si="3"/>
        <v>152460</v>
      </c>
      <c r="O32" s="55">
        <f t="shared" si="4"/>
        <v>6930</v>
      </c>
      <c r="P32" s="61">
        <f t="shared" si="5"/>
        <v>54000</v>
      </c>
      <c r="Q32" s="55">
        <f t="shared" si="6"/>
        <v>2454.5</v>
      </c>
      <c r="R32" s="62">
        <f t="shared" si="7"/>
        <v>206460</v>
      </c>
      <c r="S32" s="58">
        <f t="shared" si="8"/>
        <v>10323</v>
      </c>
      <c r="T32" s="82">
        <f t="shared" si="9"/>
        <v>49</v>
      </c>
      <c r="U32" s="61">
        <f t="shared" si="9"/>
        <v>271480</v>
      </c>
      <c r="V32" s="61">
        <f t="shared" si="10"/>
        <v>69040</v>
      </c>
      <c r="W32" s="64">
        <f t="shared" si="11"/>
        <v>340520</v>
      </c>
      <c r="X32" s="83"/>
      <c r="Y32" s="65"/>
      <c r="Z32" s="66">
        <v>11</v>
      </c>
      <c r="AA32" s="54">
        <v>4050</v>
      </c>
      <c r="AB32" s="55">
        <f t="shared" si="12"/>
        <v>368.18181818181819</v>
      </c>
      <c r="AC32" s="54">
        <v>5250</v>
      </c>
      <c r="AD32" s="56">
        <f t="shared" si="13"/>
        <v>477.27272727272725</v>
      </c>
      <c r="AE32" s="67">
        <f t="shared" si="14"/>
        <v>9300</v>
      </c>
      <c r="AF32" s="58">
        <f t="shared" si="15"/>
        <v>845.4545454545455</v>
      </c>
      <c r="AG32" s="68"/>
      <c r="AH32" s="66">
        <v>51</v>
      </c>
      <c r="AI32" s="54">
        <v>199665</v>
      </c>
      <c r="AJ32" s="55">
        <f t="shared" si="16"/>
        <v>3915</v>
      </c>
      <c r="AK32" s="54">
        <v>66555</v>
      </c>
      <c r="AL32" s="56">
        <f t="shared" si="17"/>
        <v>1305</v>
      </c>
      <c r="AM32" s="67">
        <f t="shared" si="28"/>
        <v>266220</v>
      </c>
      <c r="AN32" s="69">
        <f t="shared" si="18"/>
        <v>5220</v>
      </c>
      <c r="AO32" s="70"/>
      <c r="AP32" s="66"/>
      <c r="AQ32" s="54"/>
      <c r="AR32" s="55" t="e">
        <f t="shared" si="19"/>
        <v>#DIV/0!</v>
      </c>
      <c r="AS32" s="54"/>
      <c r="AT32" s="56" t="e">
        <f t="shared" si="20"/>
        <v>#DIV/0!</v>
      </c>
      <c r="AU32" s="56"/>
      <c r="AV32" s="56"/>
      <c r="AW32" s="71">
        <f t="shared" si="34"/>
        <v>0</v>
      </c>
      <c r="AX32" s="69" t="str">
        <f t="shared" si="21"/>
        <v/>
      </c>
      <c r="AY32" s="84">
        <f t="shared" si="22"/>
        <v>49</v>
      </c>
      <c r="AZ32" s="61">
        <f>U32+AA32+AI32+AQ32</f>
        <v>475195</v>
      </c>
      <c r="BA32" s="61">
        <f t="shared" si="24"/>
        <v>140845</v>
      </c>
      <c r="BB32" s="73">
        <f>W32+AE32+AM32+AW32-BN32</f>
        <v>614632</v>
      </c>
      <c r="BC32" s="74">
        <f>BG32+BH32</f>
        <v>5500</v>
      </c>
      <c r="BD32" s="75">
        <v>49</v>
      </c>
      <c r="BE32" s="76">
        <v>271480</v>
      </c>
      <c r="BF32" s="76">
        <v>69040</v>
      </c>
      <c r="BG32" s="77">
        <v>5500</v>
      </c>
      <c r="BH32" s="77"/>
      <c r="BI32" s="77"/>
      <c r="BJ32" s="77"/>
      <c r="BK32" s="78">
        <f>SUM(BE32:BH32)</f>
        <v>346020</v>
      </c>
      <c r="BL32" s="49">
        <v>28</v>
      </c>
      <c r="BN32" s="49">
        <v>1408</v>
      </c>
    </row>
    <row r="33" spans="2:65" ht="20" customHeight="1">
      <c r="B33" s="80">
        <f t="shared" si="26"/>
        <v>45686</v>
      </c>
      <c r="C33" s="81"/>
      <c r="D33" s="52"/>
      <c r="E33" s="53">
        <v>37</v>
      </c>
      <c r="F33" s="54">
        <v>183150</v>
      </c>
      <c r="G33" s="55">
        <f t="shared" si="0"/>
        <v>4500</v>
      </c>
      <c r="H33" s="54">
        <v>58210</v>
      </c>
      <c r="I33" s="55">
        <f t="shared" si="27"/>
        <v>1430.2162162162163</v>
      </c>
      <c r="J33" s="57">
        <f t="shared" si="1"/>
        <v>241360</v>
      </c>
      <c r="K33" s="58">
        <f t="shared" si="2"/>
        <v>6523.2432432432433</v>
      </c>
      <c r="L33" s="59"/>
      <c r="M33" s="60">
        <f t="shared" si="3"/>
        <v>6</v>
      </c>
      <c r="N33" s="61">
        <f t="shared" si="3"/>
        <v>68970</v>
      </c>
      <c r="O33" s="55">
        <f t="shared" si="4"/>
        <v>10450</v>
      </c>
      <c r="P33" s="61">
        <f t="shared" si="5"/>
        <v>22590</v>
      </c>
      <c r="Q33" s="55">
        <f t="shared" si="6"/>
        <v>3422.6666666666665</v>
      </c>
      <c r="R33" s="62">
        <f t="shared" si="7"/>
        <v>91560</v>
      </c>
      <c r="S33" s="58">
        <f t="shared" si="8"/>
        <v>15260</v>
      </c>
      <c r="T33" s="82">
        <f t="shared" si="9"/>
        <v>43</v>
      </c>
      <c r="U33" s="61">
        <f t="shared" si="9"/>
        <v>252120</v>
      </c>
      <c r="V33" s="61">
        <f t="shared" si="10"/>
        <v>80800</v>
      </c>
      <c r="W33" s="64">
        <f>J33+R33</f>
        <v>332920</v>
      </c>
      <c r="X33" s="83"/>
      <c r="Y33" s="65"/>
      <c r="Z33" s="66">
        <v>18</v>
      </c>
      <c r="AA33" s="54">
        <v>7300</v>
      </c>
      <c r="AB33" s="55">
        <f t="shared" si="12"/>
        <v>405.55555555555554</v>
      </c>
      <c r="AC33" s="54">
        <v>11150</v>
      </c>
      <c r="AD33" s="56">
        <f t="shared" si="13"/>
        <v>619.44444444444446</v>
      </c>
      <c r="AE33" s="67">
        <f t="shared" si="14"/>
        <v>18450</v>
      </c>
      <c r="AF33" s="58">
        <f t="shared" si="15"/>
        <v>1025</v>
      </c>
      <c r="AG33" s="68"/>
      <c r="AH33" s="66"/>
      <c r="AI33" s="54"/>
      <c r="AJ33" s="55" t="e">
        <f t="shared" si="16"/>
        <v>#DIV/0!</v>
      </c>
      <c r="AK33" s="54"/>
      <c r="AL33" s="56" t="e">
        <f t="shared" si="17"/>
        <v>#DIV/0!</v>
      </c>
      <c r="AM33" s="67">
        <f t="shared" si="28"/>
        <v>0</v>
      </c>
      <c r="AN33" s="69" t="str">
        <f t="shared" si="18"/>
        <v/>
      </c>
      <c r="AO33" s="70"/>
      <c r="AP33" s="66"/>
      <c r="AQ33" s="54"/>
      <c r="AR33" s="55" t="e">
        <f t="shared" si="19"/>
        <v>#DIV/0!</v>
      </c>
      <c r="AS33" s="54"/>
      <c r="AT33" s="56" t="e">
        <f t="shared" si="20"/>
        <v>#DIV/0!</v>
      </c>
      <c r="AU33" s="56"/>
      <c r="AV33" s="56"/>
      <c r="AW33" s="71">
        <f t="shared" si="34"/>
        <v>0</v>
      </c>
      <c r="AX33" s="69" t="str">
        <f t="shared" si="21"/>
        <v/>
      </c>
      <c r="AY33" s="84">
        <f t="shared" si="22"/>
        <v>43</v>
      </c>
      <c r="AZ33" s="61">
        <f t="shared" si="23"/>
        <v>259420</v>
      </c>
      <c r="BA33" s="61">
        <f t="shared" si="24"/>
        <v>91950</v>
      </c>
      <c r="BB33" s="73">
        <f>W33+AE33+AM33+AW33-BN33</f>
        <v>351370</v>
      </c>
      <c r="BC33" s="74">
        <f t="shared" si="35"/>
        <v>0</v>
      </c>
      <c r="BD33" s="75">
        <v>43</v>
      </c>
      <c r="BE33" s="76">
        <v>252120</v>
      </c>
      <c r="BF33" s="76">
        <v>80800</v>
      </c>
      <c r="BG33" s="77"/>
      <c r="BH33" s="77"/>
      <c r="BI33" s="77"/>
      <c r="BJ33" s="77"/>
      <c r="BK33" s="78">
        <f t="shared" si="29"/>
        <v>332920</v>
      </c>
      <c r="BL33" s="49">
        <v>29</v>
      </c>
      <c r="BM33" s="79">
        <f t="shared" si="25"/>
        <v>332920</v>
      </c>
    </row>
    <row r="34" spans="2:65" ht="20" customHeight="1">
      <c r="B34" s="80">
        <f t="shared" si="26"/>
        <v>45687</v>
      </c>
      <c r="C34" s="81"/>
      <c r="D34" s="52"/>
      <c r="E34" s="53">
        <v>29</v>
      </c>
      <c r="F34" s="54">
        <v>127710</v>
      </c>
      <c r="G34" s="55">
        <f t="shared" si="0"/>
        <v>4003.4482758620688</v>
      </c>
      <c r="H34" s="54">
        <v>26440</v>
      </c>
      <c r="I34" s="55">
        <f t="shared" si="27"/>
        <v>828.82758620689651</v>
      </c>
      <c r="J34" s="57">
        <f t="shared" si="1"/>
        <v>154150</v>
      </c>
      <c r="K34" s="58">
        <f t="shared" si="2"/>
        <v>5315.5172413793107</v>
      </c>
      <c r="L34" s="59"/>
      <c r="M34" s="60">
        <f t="shared" si="3"/>
        <v>14</v>
      </c>
      <c r="N34" s="61">
        <f t="shared" si="3"/>
        <v>145530</v>
      </c>
      <c r="O34" s="55">
        <f t="shared" si="4"/>
        <v>9450</v>
      </c>
      <c r="P34" s="61">
        <f t="shared" si="5"/>
        <v>31060</v>
      </c>
      <c r="Q34" s="55">
        <f t="shared" si="6"/>
        <v>2016.8571428571429</v>
      </c>
      <c r="R34" s="62">
        <f t="shared" si="7"/>
        <v>176590</v>
      </c>
      <c r="S34" s="58">
        <f t="shared" si="8"/>
        <v>12613.571428571429</v>
      </c>
      <c r="T34" s="82">
        <f t="shared" si="9"/>
        <v>43</v>
      </c>
      <c r="U34" s="61">
        <f t="shared" si="9"/>
        <v>273240</v>
      </c>
      <c r="V34" s="61">
        <f t="shared" si="10"/>
        <v>57500</v>
      </c>
      <c r="W34" s="64">
        <f t="shared" si="11"/>
        <v>330740</v>
      </c>
      <c r="X34" s="83"/>
      <c r="Y34" s="89"/>
      <c r="Z34" s="90">
        <v>12</v>
      </c>
      <c r="AA34" s="91">
        <v>4050</v>
      </c>
      <c r="AB34" s="55">
        <f t="shared" si="12"/>
        <v>337.5</v>
      </c>
      <c r="AC34" s="91">
        <v>2550</v>
      </c>
      <c r="AD34" s="56">
        <f t="shared" si="13"/>
        <v>212.5</v>
      </c>
      <c r="AE34" s="67">
        <f t="shared" si="14"/>
        <v>6600</v>
      </c>
      <c r="AF34" s="58">
        <f t="shared" si="15"/>
        <v>550</v>
      </c>
      <c r="AG34" s="68"/>
      <c r="AH34" s="90"/>
      <c r="AI34" s="91"/>
      <c r="AJ34" s="55" t="e">
        <f t="shared" si="16"/>
        <v>#DIV/0!</v>
      </c>
      <c r="AK34" s="91"/>
      <c r="AL34" s="56" t="e">
        <f t="shared" si="17"/>
        <v>#DIV/0!</v>
      </c>
      <c r="AM34" s="67">
        <f t="shared" si="28"/>
        <v>0</v>
      </c>
      <c r="AN34" s="69" t="str">
        <f t="shared" si="18"/>
        <v/>
      </c>
      <c r="AO34" s="70"/>
      <c r="AP34" s="90"/>
      <c r="AQ34" s="91"/>
      <c r="AR34" s="55" t="e">
        <f t="shared" si="19"/>
        <v>#DIV/0!</v>
      </c>
      <c r="AS34" s="91"/>
      <c r="AT34" s="56" t="e">
        <f t="shared" si="20"/>
        <v>#DIV/0!</v>
      </c>
      <c r="AU34" s="56"/>
      <c r="AV34" s="56"/>
      <c r="AW34" s="71">
        <f>AQ34+AS34+AU34+AV34-BN34</f>
        <v>0</v>
      </c>
      <c r="AX34" s="69" t="str">
        <f t="shared" si="21"/>
        <v/>
      </c>
      <c r="AY34" s="84">
        <f t="shared" si="22"/>
        <v>43</v>
      </c>
      <c r="AZ34" s="61">
        <f t="shared" si="23"/>
        <v>277290</v>
      </c>
      <c r="BA34" s="61">
        <f t="shared" si="24"/>
        <v>60050</v>
      </c>
      <c r="BB34" s="73">
        <f>W34+AE34+AM34+AW34-BN34</f>
        <v>337340</v>
      </c>
      <c r="BC34" s="74">
        <f t="shared" si="35"/>
        <v>3850</v>
      </c>
      <c r="BD34" s="75">
        <v>43</v>
      </c>
      <c r="BE34" s="76">
        <v>273240</v>
      </c>
      <c r="BF34" s="76">
        <v>57500</v>
      </c>
      <c r="BG34" s="77">
        <v>3850</v>
      </c>
      <c r="BH34" s="77"/>
      <c r="BI34" s="77"/>
      <c r="BJ34" s="77"/>
      <c r="BK34" s="78">
        <f t="shared" si="29"/>
        <v>334590</v>
      </c>
      <c r="BL34" s="49">
        <v>30</v>
      </c>
      <c r="BM34" s="79">
        <f t="shared" si="25"/>
        <v>334590</v>
      </c>
    </row>
    <row r="35" spans="2:65" ht="20" customHeight="1" thickBot="1">
      <c r="B35" s="80">
        <f t="shared" si="26"/>
        <v>45688</v>
      </c>
      <c r="C35" s="81"/>
      <c r="D35" s="52"/>
      <c r="E35" s="53">
        <v>29</v>
      </c>
      <c r="F35" s="54">
        <v>143990</v>
      </c>
      <c r="G35" s="55">
        <f t="shared" si="0"/>
        <v>4513.7931034482763</v>
      </c>
      <c r="H35" s="54">
        <v>44340</v>
      </c>
      <c r="I35" s="55">
        <f t="shared" si="27"/>
        <v>1389.9655172413793</v>
      </c>
      <c r="J35" s="57">
        <f t="shared" si="1"/>
        <v>188330</v>
      </c>
      <c r="K35" s="58">
        <f t="shared" si="2"/>
        <v>6494.1379310344828</v>
      </c>
      <c r="L35" s="59"/>
      <c r="M35" s="92">
        <f t="shared" si="3"/>
        <v>16</v>
      </c>
      <c r="N35" s="61">
        <f t="shared" si="3"/>
        <v>156750</v>
      </c>
      <c r="O35" s="55">
        <f t="shared" si="4"/>
        <v>8906.25</v>
      </c>
      <c r="P35" s="61">
        <f t="shared" si="5"/>
        <v>33210</v>
      </c>
      <c r="Q35" s="55">
        <f t="shared" si="6"/>
        <v>1886.875</v>
      </c>
      <c r="R35" s="62">
        <f t="shared" si="7"/>
        <v>189960</v>
      </c>
      <c r="S35" s="58">
        <f t="shared" si="8"/>
        <v>11872.5</v>
      </c>
      <c r="T35" s="93">
        <f t="shared" si="9"/>
        <v>45</v>
      </c>
      <c r="U35" s="94">
        <f t="shared" si="9"/>
        <v>300740</v>
      </c>
      <c r="V35" s="94">
        <f t="shared" si="10"/>
        <v>77550</v>
      </c>
      <c r="W35" s="95">
        <f t="shared" si="11"/>
        <v>378290</v>
      </c>
      <c r="X35" s="94"/>
      <c r="Y35" s="96"/>
      <c r="Z35" s="97">
        <v>30</v>
      </c>
      <c r="AA35" s="98">
        <v>12200</v>
      </c>
      <c r="AB35" s="99">
        <f t="shared" si="12"/>
        <v>406.66666666666669</v>
      </c>
      <c r="AC35" s="98">
        <v>11900</v>
      </c>
      <c r="AD35" s="100">
        <f t="shared" si="13"/>
        <v>396.66666666666669</v>
      </c>
      <c r="AE35" s="101">
        <f t="shared" si="14"/>
        <v>24100</v>
      </c>
      <c r="AF35" s="58">
        <f t="shared" si="15"/>
        <v>803.33333333333337</v>
      </c>
      <c r="AG35" s="102"/>
      <c r="AH35" s="97">
        <v>17</v>
      </c>
      <c r="AI35" s="98">
        <v>125715</v>
      </c>
      <c r="AJ35" s="99">
        <f t="shared" si="16"/>
        <v>7395</v>
      </c>
      <c r="AK35" s="98">
        <v>22185</v>
      </c>
      <c r="AL35" s="100">
        <f t="shared" si="17"/>
        <v>1305</v>
      </c>
      <c r="AM35" s="67">
        <f t="shared" si="28"/>
        <v>147900</v>
      </c>
      <c r="AN35" s="69">
        <f t="shared" si="18"/>
        <v>8700</v>
      </c>
      <c r="AO35" s="103"/>
      <c r="AP35" s="97"/>
      <c r="AQ35" s="98"/>
      <c r="AR35" s="99" t="e">
        <f t="shared" si="19"/>
        <v>#DIV/0!</v>
      </c>
      <c r="AS35" s="98"/>
      <c r="AT35" s="100" t="e">
        <f t="shared" si="20"/>
        <v>#DIV/0!</v>
      </c>
      <c r="AU35" s="100"/>
      <c r="AV35" s="56"/>
      <c r="AW35" s="71">
        <f t="shared" si="33"/>
        <v>0</v>
      </c>
      <c r="AX35" s="69" t="str">
        <f t="shared" si="21"/>
        <v/>
      </c>
      <c r="AY35" s="104">
        <f t="shared" si="22"/>
        <v>45</v>
      </c>
      <c r="AZ35" s="61">
        <f t="shared" si="23"/>
        <v>438655</v>
      </c>
      <c r="BA35" s="61">
        <f t="shared" si="24"/>
        <v>111635</v>
      </c>
      <c r="BB35" s="73">
        <f>W35+AE35+AM35+AW35-BN35</f>
        <v>550290</v>
      </c>
      <c r="BC35" s="74">
        <f t="shared" si="30"/>
        <v>6050</v>
      </c>
      <c r="BD35" s="105">
        <v>45</v>
      </c>
      <c r="BE35" s="106">
        <v>300740</v>
      </c>
      <c r="BF35" s="106">
        <v>77550</v>
      </c>
      <c r="BG35" s="107">
        <v>6050</v>
      </c>
      <c r="BH35" s="107"/>
      <c r="BI35" s="107"/>
      <c r="BJ35" s="107"/>
      <c r="BK35" s="78">
        <f t="shared" si="29"/>
        <v>384340</v>
      </c>
      <c r="BL35" s="49">
        <v>31</v>
      </c>
      <c r="BM35" s="79">
        <f t="shared" si="25"/>
        <v>384340</v>
      </c>
    </row>
    <row r="36" spans="2:65" s="130" customFormat="1" ht="20" customHeight="1" thickTop="1">
      <c r="B36" s="108" t="s">
        <v>28</v>
      </c>
      <c r="C36" s="109">
        <f>SUM(C5:C35)</f>
        <v>0</v>
      </c>
      <c r="D36" s="110">
        <f>SUM(D5:D35)</f>
        <v>0</v>
      </c>
      <c r="E36" s="111">
        <f>SUM(E5:E35)</f>
        <v>791</v>
      </c>
      <c r="F36" s="112">
        <f>SUM(F5:F35)</f>
        <v>3283850</v>
      </c>
      <c r="G36" s="113">
        <f>F36/E36</f>
        <v>4151.5170670037924</v>
      </c>
      <c r="H36" s="109">
        <f>SUM(H5:H35)</f>
        <v>607560</v>
      </c>
      <c r="I36" s="114">
        <f>H36/E36</f>
        <v>768.09102402022756</v>
      </c>
      <c r="J36" s="115">
        <f>SUM(J5:J35)</f>
        <v>3891410</v>
      </c>
      <c r="K36" s="116">
        <f>J36/E36</f>
        <v>4919.6080910240198</v>
      </c>
      <c r="L36" s="117">
        <f>SUM(L5:L35)</f>
        <v>0</v>
      </c>
      <c r="M36" s="111">
        <f>SUM(M5:M35)</f>
        <v>520</v>
      </c>
      <c r="N36" s="112">
        <f>SUM(N5:N35)</f>
        <v>5017950</v>
      </c>
      <c r="O36" s="113">
        <f>N36/M36</f>
        <v>9649.9038461538457</v>
      </c>
      <c r="P36" s="118">
        <f>SUM(P5:P35)</f>
        <v>1185530</v>
      </c>
      <c r="Q36" s="114">
        <f>P36/M36</f>
        <v>2279.8653846153848</v>
      </c>
      <c r="R36" s="119">
        <f>SUM(R5:R35)</f>
        <v>6203480</v>
      </c>
      <c r="S36" s="120">
        <f>R36/M36</f>
        <v>11929.76923076923</v>
      </c>
      <c r="T36" s="111">
        <f t="shared" ref="T36:AA36" si="36">SUM(T5:T35)</f>
        <v>1311</v>
      </c>
      <c r="U36" s="118">
        <f t="shared" si="36"/>
        <v>8301800</v>
      </c>
      <c r="V36" s="118">
        <f t="shared" si="36"/>
        <v>1793090</v>
      </c>
      <c r="W36" s="115">
        <f>SUM(W5:W35)</f>
        <v>10094890</v>
      </c>
      <c r="X36" s="121">
        <f t="shared" si="36"/>
        <v>0</v>
      </c>
      <c r="Y36" s="110">
        <f t="shared" si="36"/>
        <v>0</v>
      </c>
      <c r="Z36" s="111">
        <f t="shared" si="36"/>
        <v>355</v>
      </c>
      <c r="AA36" s="113">
        <f t="shared" si="36"/>
        <v>147600</v>
      </c>
      <c r="AB36" s="113">
        <f>AA36/Z36</f>
        <v>415.77464788732397</v>
      </c>
      <c r="AC36" s="109">
        <f>SUM(AC5:AC35)</f>
        <v>106050</v>
      </c>
      <c r="AD36" s="114">
        <f>AC36/Z36</f>
        <v>298.73239436619718</v>
      </c>
      <c r="AE36" s="119">
        <f>SUM(AE5:AE35)</f>
        <v>253650</v>
      </c>
      <c r="AF36" s="122">
        <f>AE36/Z36</f>
        <v>714.50704225352115</v>
      </c>
      <c r="AG36" s="123">
        <f t="shared" ref="AG36:AI36" si="37">SUM(AG5:AG35)</f>
        <v>0</v>
      </c>
      <c r="AH36" s="111">
        <f t="shared" si="37"/>
        <v>100</v>
      </c>
      <c r="AI36" s="113">
        <f t="shared" si="37"/>
        <v>450660</v>
      </c>
      <c r="AJ36" s="113"/>
      <c r="AK36" s="109">
        <f>SUM(AK5:AK35)</f>
        <v>130500</v>
      </c>
      <c r="AL36" s="114"/>
      <c r="AM36" s="119">
        <f>SUM(AM5:AM35)</f>
        <v>581160</v>
      </c>
      <c r="AN36" s="124">
        <f>AM36/AH36</f>
        <v>5811.6</v>
      </c>
      <c r="AO36" s="125">
        <f t="shared" ref="AO36:AQ36" si="38">SUM(AO5:AO35)</f>
        <v>0</v>
      </c>
      <c r="AP36" s="111">
        <f t="shared" si="38"/>
        <v>0</v>
      </c>
      <c r="AQ36" s="113">
        <f t="shared" si="38"/>
        <v>0</v>
      </c>
      <c r="AR36" s="113"/>
      <c r="AS36" s="109">
        <f>SUM(AS5:AS35)</f>
        <v>0</v>
      </c>
      <c r="AT36" s="114"/>
      <c r="AU36" s="109">
        <f>SUM(AU5:AU35)</f>
        <v>0</v>
      </c>
      <c r="AV36" s="109">
        <f>SUM(AV5:AV35)</f>
        <v>0</v>
      </c>
      <c r="AW36" s="119">
        <f>SUM(AW5:AW35)</f>
        <v>0</v>
      </c>
      <c r="AX36" s="124" t="e">
        <f>AW36/AP36</f>
        <v>#DIV/0!</v>
      </c>
      <c r="AY36" s="126">
        <f t="shared" ref="AY36:BK36" si="39">SUM(AY5:AY35)</f>
        <v>1311</v>
      </c>
      <c r="AZ36" s="118">
        <f t="shared" si="39"/>
        <v>8900060</v>
      </c>
      <c r="BA36" s="118">
        <f t="shared" si="39"/>
        <v>2029640</v>
      </c>
      <c r="BB36" s="119">
        <f>SUM(BB5:BB35)</f>
        <v>10923342</v>
      </c>
      <c r="BC36" s="127">
        <f t="shared" si="39"/>
        <v>119900</v>
      </c>
      <c r="BD36" s="128">
        <f t="shared" si="39"/>
        <v>1311</v>
      </c>
      <c r="BE36" s="128">
        <f t="shared" si="39"/>
        <v>8301800</v>
      </c>
      <c r="BF36" s="128">
        <f t="shared" si="39"/>
        <v>1793090</v>
      </c>
      <c r="BG36" s="128">
        <f t="shared" si="39"/>
        <v>118250</v>
      </c>
      <c r="BH36" s="128">
        <f t="shared" si="39"/>
        <v>1650</v>
      </c>
      <c r="BI36" s="128">
        <f t="shared" si="39"/>
        <v>56650</v>
      </c>
      <c r="BJ36" s="128">
        <f t="shared" si="39"/>
        <v>0</v>
      </c>
      <c r="BK36" s="129">
        <f t="shared" si="39"/>
        <v>10214790</v>
      </c>
      <c r="BM36" s="131">
        <f>SUM(BM5:BM35)</f>
        <v>9868770</v>
      </c>
    </row>
    <row r="37" spans="2:65" s="130" customFormat="1" ht="18">
      <c r="B37" s="132"/>
      <c r="E37" s="133" t="s">
        <v>41</v>
      </c>
      <c r="F37" s="134">
        <f>F36/1.1</f>
        <v>2985318.1818181816</v>
      </c>
      <c r="G37" s="135">
        <f>F37/E36</f>
        <v>3774.1064245489024</v>
      </c>
      <c r="H37" s="136">
        <f>H36/1.1</f>
        <v>552327.27272727271</v>
      </c>
      <c r="I37" s="135">
        <f>H37/E36</f>
        <v>698.2645672911159</v>
      </c>
      <c r="J37" s="137">
        <f>J36/1.1</f>
        <v>3537645.4545454541</v>
      </c>
      <c r="K37" s="138">
        <f>G37+I37</f>
        <v>4472.3709918400182</v>
      </c>
      <c r="L37" s="139"/>
      <c r="M37" s="133" t="s">
        <v>41</v>
      </c>
      <c r="N37" s="134">
        <f>N36/1.1</f>
        <v>4561772.7272727266</v>
      </c>
      <c r="O37" s="135">
        <f>N37/M36</f>
        <v>8772.6398601398596</v>
      </c>
      <c r="P37" s="136">
        <f>P36/1.1</f>
        <v>1077754.5454545454</v>
      </c>
      <c r="Q37" s="135">
        <f>P37/M36</f>
        <v>2072.6048951048951</v>
      </c>
      <c r="R37" s="135">
        <f>R36/1.1</f>
        <v>5639527.2727272725</v>
      </c>
      <c r="S37" s="140">
        <f>R37/M36</f>
        <v>10845.244755244756</v>
      </c>
      <c r="T37" s="133" t="s">
        <v>41</v>
      </c>
      <c r="U37" s="134">
        <f>U36/1.1</f>
        <v>7547090.9090909082</v>
      </c>
      <c r="V37" s="134">
        <f>V36/1.1</f>
        <v>1630081.8181818181</v>
      </c>
      <c r="W37" s="137">
        <f>W36/1.1</f>
        <v>9177172.7272727266</v>
      </c>
      <c r="X37" s="141"/>
      <c r="Y37" s="139"/>
      <c r="Z37" s="133" t="s">
        <v>41</v>
      </c>
      <c r="AA37" s="134">
        <f>AA36/1.1</f>
        <v>134181.81818181818</v>
      </c>
      <c r="AB37" s="136">
        <f>AA37/Z36</f>
        <v>377.97695262483995</v>
      </c>
      <c r="AC37" s="136">
        <f>AC36/1.1</f>
        <v>96409.090909090897</v>
      </c>
      <c r="AD37" s="136">
        <f>AC37/Z36</f>
        <v>271.57490396927011</v>
      </c>
      <c r="AE37" s="135">
        <f>AE36/1.1</f>
        <v>230590.90909090906</v>
      </c>
      <c r="AF37" s="142" t="e">
        <f>AE37/Y36</f>
        <v>#DIV/0!</v>
      </c>
      <c r="AG37" s="139"/>
      <c r="AH37" s="133" t="s">
        <v>41</v>
      </c>
      <c r="AI37" s="134">
        <f>AI36/1.1</f>
        <v>409690.90909090906</v>
      </c>
      <c r="AJ37" s="136">
        <f>AI37/AH36</f>
        <v>4096.909090909091</v>
      </c>
      <c r="AK37" s="136">
        <f>AK36/1.1</f>
        <v>118636.36363636363</v>
      </c>
      <c r="AL37" s="136">
        <f>AK37/AH36</f>
        <v>1186.3636363636363</v>
      </c>
      <c r="AM37" s="135">
        <f>AM36/1.1</f>
        <v>528327.27272727271</v>
      </c>
      <c r="AN37" s="143" t="e">
        <f>AM37/AG36</f>
        <v>#DIV/0!</v>
      </c>
      <c r="AO37" s="139"/>
      <c r="AP37" s="133" t="s">
        <v>41</v>
      </c>
      <c r="AQ37" s="134">
        <f>AQ36/1.1</f>
        <v>0</v>
      </c>
      <c r="AR37" s="136" t="e">
        <f>AQ37/AP36</f>
        <v>#DIV/0!</v>
      </c>
      <c r="AS37" s="136">
        <f>AS36/1.1</f>
        <v>0</v>
      </c>
      <c r="AT37" s="136" t="e">
        <f>AS37/AP36</f>
        <v>#DIV/0!</v>
      </c>
      <c r="AU37" s="136">
        <f>AU36/1.1</f>
        <v>0</v>
      </c>
      <c r="AV37" s="136">
        <f>AV36/1.1</f>
        <v>0</v>
      </c>
      <c r="AW37" s="135">
        <f>AW36/1.1</f>
        <v>0</v>
      </c>
      <c r="AX37" s="143" t="e">
        <f>AW37/AP36</f>
        <v>#DIV/0!</v>
      </c>
      <c r="AY37" s="144" t="s">
        <v>41</v>
      </c>
      <c r="AZ37" s="134">
        <f>AZ36/1.1</f>
        <v>8090963.6363636358</v>
      </c>
      <c r="BA37" s="134">
        <f>BA36/1.1</f>
        <v>1845127.2727272725</v>
      </c>
      <c r="BB37" s="135">
        <f>BB36/1.1</f>
        <v>9930310.9090909082</v>
      </c>
      <c r="BC37" s="145">
        <f>BC36/1.1</f>
        <v>108999.99999999999</v>
      </c>
      <c r="BH37" s="146"/>
      <c r="BK37" s="147">
        <f>BK36/1.1</f>
        <v>9286172.7272727266</v>
      </c>
      <c r="BM37" s="147"/>
    </row>
    <row r="38" spans="2:65">
      <c r="C38" s="49">
        <v>31</v>
      </c>
      <c r="E38" s="148" t="s">
        <v>42</v>
      </c>
      <c r="F38" s="149">
        <f>E36/G38</f>
        <v>25.516129032258064</v>
      </c>
      <c r="G38" s="150">
        <v>31</v>
      </c>
      <c r="H38" s="149"/>
      <c r="I38" s="149"/>
      <c r="J38" s="151" t="s">
        <v>43</v>
      </c>
      <c r="K38" s="152">
        <f>J37/G38</f>
        <v>114117.59530791787</v>
      </c>
      <c r="M38" s="148" t="s">
        <v>42</v>
      </c>
      <c r="N38" s="149">
        <f>M36/O38</f>
        <v>16.774193548387096</v>
      </c>
      <c r="O38" s="150">
        <f>G38</f>
        <v>31</v>
      </c>
      <c r="P38" s="149"/>
      <c r="Q38" s="149"/>
      <c r="R38" s="151" t="s">
        <v>43</v>
      </c>
      <c r="S38" s="153">
        <f>R37/O38</f>
        <v>181920.23460410556</v>
      </c>
      <c r="U38" s="154">
        <f>O38</f>
        <v>31</v>
      </c>
      <c r="W38" s="85">
        <f>W37/U38</f>
        <v>296037.82991202344</v>
      </c>
      <c r="X38" s="79"/>
      <c r="AA38" s="155">
        <f>G38</f>
        <v>31</v>
      </c>
      <c r="AB38" s="149"/>
      <c r="AC38" s="149"/>
      <c r="AD38" s="149"/>
      <c r="AE38" s="149"/>
      <c r="AF38" s="152">
        <f>AE37/AA38</f>
        <v>7438.4164222873887</v>
      </c>
      <c r="AI38" s="155">
        <f>AA38</f>
        <v>31</v>
      </c>
      <c r="AJ38" s="149"/>
      <c r="AK38" s="149"/>
      <c r="AL38" s="149"/>
      <c r="AM38" s="149"/>
      <c r="AN38" s="152">
        <f>AM37/AI38</f>
        <v>17042.815249266863</v>
      </c>
      <c r="AQ38" s="155">
        <f>G38</f>
        <v>31</v>
      </c>
      <c r="AR38" s="149"/>
      <c r="AS38" s="149"/>
      <c r="AT38" s="149"/>
      <c r="AU38" s="149"/>
      <c r="AV38" s="149"/>
      <c r="AW38" s="149"/>
      <c r="AX38" s="152">
        <f>AW37/AQ38</f>
        <v>0</v>
      </c>
      <c r="BB38" s="85"/>
      <c r="BC38" s="79" t="e">
        <f>BB37/BD37</f>
        <v>#DIV/0!</v>
      </c>
      <c r="BD38" s="156">
        <f>AY36+T36</f>
        <v>2622</v>
      </c>
      <c r="BH38" s="85"/>
    </row>
    <row r="39" spans="2:65">
      <c r="D39" s="157" t="s">
        <v>44</v>
      </c>
      <c r="E39" s="158"/>
      <c r="F39" s="149"/>
      <c r="G39" s="159"/>
      <c r="H39" s="149"/>
      <c r="I39" s="149"/>
      <c r="J39" s="151"/>
      <c r="K39" s="152"/>
      <c r="L39" s="160" t="s">
        <v>45</v>
      </c>
      <c r="M39" s="148"/>
      <c r="N39" s="149"/>
      <c r="O39" s="149"/>
      <c r="P39" s="149"/>
      <c r="Q39" s="149"/>
      <c r="R39" s="151"/>
      <c r="S39" s="152"/>
      <c r="W39" s="85"/>
      <c r="X39" s="79"/>
      <c r="Y39" s="160" t="s">
        <v>46</v>
      </c>
      <c r="AA39" s="149"/>
      <c r="AB39" s="149"/>
      <c r="AC39" s="149"/>
      <c r="AD39" s="149"/>
      <c r="AE39" s="149"/>
      <c r="AF39" s="152"/>
      <c r="AG39" s="160" t="s">
        <v>47</v>
      </c>
      <c r="AI39" s="149"/>
      <c r="AJ39" s="149"/>
      <c r="AK39" s="149"/>
      <c r="AL39" s="149"/>
      <c r="AM39" s="149"/>
      <c r="AN39" s="152"/>
      <c r="AO39" s="160" t="s">
        <v>48</v>
      </c>
      <c r="AQ39" s="149"/>
      <c r="AR39" s="149"/>
      <c r="AS39" s="149"/>
      <c r="AT39" s="149"/>
      <c r="AU39" s="149"/>
      <c r="AV39" s="149"/>
      <c r="AW39" s="149"/>
      <c r="AX39" s="152"/>
      <c r="BB39" s="79">
        <f>BB36+BC36</f>
        <v>11043242</v>
      </c>
      <c r="BC39" s="161">
        <f>BB39/G38</f>
        <v>356233.61290322582</v>
      </c>
      <c r="BD39" s="49" t="s">
        <v>49</v>
      </c>
      <c r="BH39" s="85"/>
    </row>
    <row r="40" spans="2:65" ht="21.5" customHeight="1">
      <c r="C40" s="160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49">
        <v>127</v>
      </c>
      <c r="U40" s="49">
        <v>65</v>
      </c>
      <c r="V40" s="49">
        <v>41</v>
      </c>
      <c r="W40" s="79">
        <v>69</v>
      </c>
      <c r="X40" s="85">
        <f>T40+U40+V40+W40</f>
        <v>302</v>
      </c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BB40" s="163">
        <f>BB37+BC37</f>
        <v>10039310.909090908</v>
      </c>
    </row>
    <row r="41" spans="2:65" ht="21.5" customHeight="1">
      <c r="C41" s="160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49">
        <v>85</v>
      </c>
      <c r="U41" s="49">
        <v>136</v>
      </c>
      <c r="V41" s="49">
        <v>125</v>
      </c>
      <c r="W41" s="85">
        <v>143</v>
      </c>
      <c r="X41" s="85">
        <f>T41+U41+V41+W41</f>
        <v>489</v>
      </c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BB41" s="79"/>
      <c r="BC41" s="161">
        <f>BB40/G38</f>
        <v>323848.7390029325</v>
      </c>
      <c r="BD41" s="49" t="s">
        <v>50</v>
      </c>
      <c r="BE41" s="49">
        <v>9</v>
      </c>
    </row>
    <row r="42" spans="2:65" ht="21.5" customHeight="1">
      <c r="C42" s="160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49">
        <v>120</v>
      </c>
      <c r="U42" s="49">
        <v>47</v>
      </c>
      <c r="V42" s="49">
        <v>50</v>
      </c>
      <c r="W42" s="79">
        <v>56</v>
      </c>
      <c r="X42" s="85">
        <f>T42+U42+V42+W42</f>
        <v>273</v>
      </c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BE42" s="49">
        <v>8</v>
      </c>
      <c r="BF42" s="85">
        <f>AS37</f>
        <v>0</v>
      </c>
    </row>
    <row r="43" spans="2:65" ht="21.5" customHeight="1">
      <c r="C43" s="160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49">
        <v>135</v>
      </c>
      <c r="U43" s="49">
        <v>114</v>
      </c>
      <c r="V43" s="49">
        <v>106</v>
      </c>
      <c r="W43" s="49">
        <v>81</v>
      </c>
      <c r="X43" s="49">
        <f>T43+U43+V43+W43</f>
        <v>436</v>
      </c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BB43" s="85">
        <f>BB37+BC37</f>
        <v>10039310.909090908</v>
      </c>
      <c r="BC43" s="164" t="s">
        <v>51</v>
      </c>
      <c r="BE43" s="49">
        <v>7</v>
      </c>
      <c r="BF43" s="165">
        <f>'[1]2023(7)'!AS37</f>
        <v>15843636.363636361</v>
      </c>
      <c r="BG43" s="165">
        <v>6266320</v>
      </c>
      <c r="BH43" s="166">
        <f>BG43/BF43</f>
        <v>0.39551021344962134</v>
      </c>
    </row>
    <row r="44" spans="2:65" ht="21.5" customHeight="1">
      <c r="C44" s="160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Z44" s="130"/>
      <c r="BA44" s="167" t="s">
        <v>52</v>
      </c>
      <c r="BB44" s="147">
        <f>J45+R45+AE45+BC44+AM45+AW45</f>
        <v>8707640</v>
      </c>
      <c r="BC44" s="168"/>
      <c r="BD44" s="130"/>
      <c r="BE44" s="49">
        <v>6</v>
      </c>
      <c r="BF44" s="165">
        <v>7119727</v>
      </c>
      <c r="BG44" s="165">
        <v>2680643</v>
      </c>
      <c r="BH44" s="166">
        <f t="shared" ref="BH44:BH45" si="40">BG44/BF44</f>
        <v>0.37650923975034434</v>
      </c>
      <c r="BI44" s="49" t="s">
        <v>53</v>
      </c>
    </row>
    <row r="45" spans="2:65" ht="21" customHeight="1">
      <c r="H45" s="169"/>
      <c r="I45" s="170" t="s">
        <v>54</v>
      </c>
      <c r="J45" s="147">
        <v>2988190</v>
      </c>
      <c r="K45" s="171" t="s">
        <v>55</v>
      </c>
      <c r="L45" s="130"/>
      <c r="M45" s="130"/>
      <c r="N45" s="130"/>
      <c r="O45" s="130"/>
      <c r="P45" s="130"/>
      <c r="Q45" s="170" t="s">
        <v>56</v>
      </c>
      <c r="R45" s="147">
        <v>4917250</v>
      </c>
      <c r="S45" s="171" t="s">
        <v>55</v>
      </c>
      <c r="T45" s="130">
        <v>10</v>
      </c>
      <c r="U45" s="130"/>
      <c r="V45" s="170" t="s">
        <v>57</v>
      </c>
      <c r="W45" s="147">
        <f>J45+R45</f>
        <v>7905440</v>
      </c>
      <c r="X45" s="171" t="s">
        <v>55</v>
      </c>
      <c r="Y45" s="130"/>
      <c r="Z45" s="130"/>
      <c r="AA45" s="130"/>
      <c r="AB45" s="130"/>
      <c r="AC45" s="130"/>
      <c r="AD45" s="169" t="s">
        <v>58</v>
      </c>
      <c r="AE45" s="147">
        <v>303600</v>
      </c>
      <c r="AF45" s="171" t="s">
        <v>55</v>
      </c>
      <c r="AG45" s="171"/>
      <c r="AH45" s="171"/>
      <c r="AI45" s="171"/>
      <c r="AJ45" s="171"/>
      <c r="AK45" s="130"/>
      <c r="AL45" s="170" t="s">
        <v>59</v>
      </c>
      <c r="AM45" s="147">
        <v>498600</v>
      </c>
      <c r="AN45" s="171" t="s">
        <v>55</v>
      </c>
      <c r="AO45" s="171"/>
      <c r="AP45" s="171"/>
      <c r="AQ45" s="171"/>
      <c r="AR45" s="171"/>
      <c r="AS45" s="130"/>
      <c r="AT45" s="170" t="s">
        <v>60</v>
      </c>
      <c r="AU45" s="170"/>
      <c r="AV45" s="170"/>
      <c r="AW45" s="147">
        <v>0</v>
      </c>
      <c r="AX45" s="171" t="s">
        <v>55</v>
      </c>
      <c r="AY45" s="130"/>
      <c r="AZ45" s="130"/>
      <c r="BA45" s="167" t="s">
        <v>61</v>
      </c>
      <c r="BB45" s="146">
        <f>BB44-BB37-BC37</f>
        <v>-1331670.9090909082</v>
      </c>
      <c r="BC45" s="146">
        <f>BC44-BC37</f>
        <v>-108999.99999999999</v>
      </c>
      <c r="BD45" s="172" t="e">
        <f>BC37/BC44</f>
        <v>#DIV/0!</v>
      </c>
      <c r="BE45" s="49">
        <v>5</v>
      </c>
      <c r="BF45" s="165">
        <v>637682</v>
      </c>
      <c r="BG45" s="165"/>
      <c r="BH45" s="166">
        <f t="shared" si="40"/>
        <v>0</v>
      </c>
      <c r="BI45" s="79" t="s">
        <v>62</v>
      </c>
      <c r="BM45" s="49"/>
    </row>
    <row r="46" spans="2:65" ht="21" customHeight="1">
      <c r="H46" s="169"/>
      <c r="I46" s="169" t="s">
        <v>61</v>
      </c>
      <c r="J46" s="146">
        <f>J45-J37</f>
        <v>-549455.45454545412</v>
      </c>
      <c r="K46" s="173">
        <f>C38-G38</f>
        <v>0</v>
      </c>
      <c r="L46" s="130"/>
      <c r="M46" s="130"/>
      <c r="N46" s="130"/>
      <c r="O46" s="130"/>
      <c r="P46" s="130"/>
      <c r="Q46" s="169" t="s">
        <v>61</v>
      </c>
      <c r="R46" s="146">
        <f>R45-R37</f>
        <v>-722277.27272727247</v>
      </c>
      <c r="S46" s="130">
        <f>K46</f>
        <v>0</v>
      </c>
      <c r="T46" s="130"/>
      <c r="U46" s="130"/>
      <c r="V46" s="169" t="s">
        <v>61</v>
      </c>
      <c r="W46" s="146">
        <f>W45-W37</f>
        <v>-1271732.7272727266</v>
      </c>
      <c r="X46" s="130">
        <f>S46</f>
        <v>0</v>
      </c>
      <c r="Y46" s="130"/>
      <c r="Z46" s="130"/>
      <c r="AA46" s="130"/>
      <c r="AB46" s="130"/>
      <c r="AC46" s="130"/>
      <c r="AD46" s="169" t="s">
        <v>61</v>
      </c>
      <c r="AE46" s="146">
        <f>AE45-AE37</f>
        <v>73009.090909090941</v>
      </c>
      <c r="AF46" s="130">
        <f>K46</f>
        <v>0</v>
      </c>
      <c r="AG46" s="130"/>
      <c r="AH46" s="130"/>
      <c r="AI46" s="130"/>
      <c r="AJ46" s="130"/>
      <c r="AK46" s="130"/>
      <c r="AL46" s="169" t="s">
        <v>61</v>
      </c>
      <c r="AM46" s="146">
        <f>AM45-AM37</f>
        <v>-29727.272727272706</v>
      </c>
      <c r="AN46" s="130">
        <f>AF46</f>
        <v>0</v>
      </c>
      <c r="AO46" s="130"/>
      <c r="AP46" s="130"/>
      <c r="AQ46" s="130"/>
      <c r="AR46" s="130"/>
      <c r="AS46" s="130"/>
      <c r="AT46" s="169" t="s">
        <v>61</v>
      </c>
      <c r="AU46" s="169"/>
      <c r="AV46" s="174"/>
      <c r="AW46" s="146">
        <f>AW45-AW37</f>
        <v>0</v>
      </c>
      <c r="AX46" s="130">
        <f>AN46</f>
        <v>0</v>
      </c>
      <c r="AY46" s="130"/>
      <c r="AZ46" s="175"/>
      <c r="BA46" s="176" t="s">
        <v>63</v>
      </c>
      <c r="BB46" s="177" t="e">
        <f>BB45/K46</f>
        <v>#DIV/0!</v>
      </c>
      <c r="BC46" s="178">
        <f>(BB37+BC37)/BB44</f>
        <v>1.1529313234229834</v>
      </c>
      <c r="BD46" s="175"/>
      <c r="BE46" s="179"/>
      <c r="BF46" s="180">
        <f>SUM(BF41:BF45)</f>
        <v>23601045.36363636</v>
      </c>
      <c r="BG46" s="181">
        <f>BK71</f>
        <v>9138052</v>
      </c>
      <c r="BH46" s="182">
        <f>BG46/BF46</f>
        <v>0.38718844268142383</v>
      </c>
      <c r="BI46" s="183">
        <f>BF46-BG46</f>
        <v>14462993.36363636</v>
      </c>
      <c r="BM46" s="49"/>
    </row>
    <row r="47" spans="2:65" s="179" customFormat="1" ht="26" customHeight="1">
      <c r="B47" s="184"/>
      <c r="H47" s="185"/>
      <c r="I47" s="176" t="s">
        <v>63</v>
      </c>
      <c r="J47" s="186" t="e">
        <f>J46/K46</f>
        <v>#DIV/0!</v>
      </c>
      <c r="K47" s="187">
        <f>J37/J45</f>
        <v>1.1838756754240709</v>
      </c>
      <c r="L47" s="175"/>
      <c r="M47" s="175"/>
      <c r="N47" s="175"/>
      <c r="O47" s="175"/>
      <c r="P47" s="175"/>
      <c r="Q47" s="176" t="s">
        <v>63</v>
      </c>
      <c r="R47" s="177" t="e">
        <f>R46/S46</f>
        <v>#DIV/0!</v>
      </c>
      <c r="S47" s="187">
        <f>R37/R45</f>
        <v>1.1468864248771717</v>
      </c>
      <c r="T47" s="175"/>
      <c r="U47" s="175"/>
      <c r="V47" s="176" t="s">
        <v>63</v>
      </c>
      <c r="W47" s="177" t="e">
        <f>W46/X46</f>
        <v>#DIV/0!</v>
      </c>
      <c r="X47" s="187">
        <f>W37/W45</f>
        <v>1.1608680512751632</v>
      </c>
      <c r="Y47" s="175"/>
      <c r="Z47" s="175"/>
      <c r="AA47" s="175"/>
      <c r="AB47" s="175"/>
      <c r="AC47" s="175"/>
      <c r="AD47" s="176" t="s">
        <v>63</v>
      </c>
      <c r="AE47" s="186" t="e">
        <f>AE46/AF46</f>
        <v>#DIV/0!</v>
      </c>
      <c r="AF47" s="187">
        <f>AE37/AE45</f>
        <v>0.7595220984549047</v>
      </c>
      <c r="AG47" s="187"/>
      <c r="AH47" s="187"/>
      <c r="AI47" s="187"/>
      <c r="AJ47" s="187"/>
      <c r="AK47" s="175"/>
      <c r="AL47" s="176" t="s">
        <v>63</v>
      </c>
      <c r="AM47" s="177" t="e">
        <f>AM46/AN46</f>
        <v>#DIV/0!</v>
      </c>
      <c r="AN47" s="187">
        <f>AM37/AM45</f>
        <v>1.0596214856142654</v>
      </c>
      <c r="AO47" s="187"/>
      <c r="AP47" s="187"/>
      <c r="AQ47" s="187"/>
      <c r="AR47" s="187"/>
      <c r="AS47" s="175"/>
      <c r="AT47" s="176" t="s">
        <v>63</v>
      </c>
      <c r="AU47" s="176"/>
      <c r="AV47" s="176" t="e">
        <f>AV46/AX46</f>
        <v>#DIV/0!</v>
      </c>
      <c r="AW47" s="177" t="e">
        <f>AW46/AX46</f>
        <v>#DIV/0!</v>
      </c>
      <c r="AX47" s="187" t="e">
        <f>AW37/AW45</f>
        <v>#DIV/0!</v>
      </c>
      <c r="AY47" s="175"/>
      <c r="AZ47" s="49"/>
      <c r="BA47" s="49"/>
      <c r="BB47" s="85"/>
      <c r="BC47" s="49"/>
      <c r="BD47" s="49"/>
      <c r="BE47" s="49"/>
      <c r="BI47" s="188"/>
      <c r="BK47" s="188"/>
    </row>
    <row r="48" spans="2:65">
      <c r="H48" s="49">
        <v>931</v>
      </c>
      <c r="I48" s="49">
        <f>H48/31</f>
        <v>30.032258064516128</v>
      </c>
      <c r="K48" s="49">
        <f>J45/31</f>
        <v>96393.225806451606</v>
      </c>
      <c r="P48" s="49">
        <v>557</v>
      </c>
      <c r="Q48" s="49">
        <f>P48/31</f>
        <v>17.967741935483872</v>
      </c>
      <c r="S48" s="49">
        <f>R45/31</f>
        <v>158620.96774193548</v>
      </c>
      <c r="AX48" s="49" t="e">
        <f>AW37/AV45</f>
        <v>#DIV/0!</v>
      </c>
      <c r="AZ48" s="189"/>
      <c r="BA48" s="189"/>
      <c r="BB48" s="189"/>
      <c r="BC48" s="189"/>
      <c r="BD48" s="189"/>
      <c r="BE48" s="189"/>
      <c r="BI48" s="79"/>
      <c r="BM48" s="49"/>
    </row>
    <row r="49" spans="2:63" s="189" customFormat="1" ht="24" customHeight="1">
      <c r="B49" s="190"/>
      <c r="I49" s="189" t="s">
        <v>64</v>
      </c>
      <c r="J49" s="191" t="e">
        <f>(I5+I8+I9+I10+I11+I12+I15+I16+I17+I18+I19+I22+I23+I24+I25+I26)/16</f>
        <v>#DIV/0!</v>
      </c>
      <c r="K49" s="189">
        <v>800000</v>
      </c>
      <c r="L49" s="192"/>
      <c r="M49" s="49"/>
      <c r="N49" s="49"/>
      <c r="O49" s="49"/>
      <c r="P49" s="49"/>
      <c r="Q49" s="49"/>
      <c r="R49" s="192">
        <v>400000</v>
      </c>
      <c r="AE49" s="189">
        <f>AE45/30</f>
        <v>10120</v>
      </c>
      <c r="AQ49" s="193">
        <f>AP14+AP21</f>
        <v>0</v>
      </c>
      <c r="AR49" s="194" t="e">
        <f>AR14+AR21</f>
        <v>#DIV/0!</v>
      </c>
      <c r="AS49" s="194" t="e">
        <f>AT14+AT21</f>
        <v>#DIV/0!</v>
      </c>
      <c r="AW49" s="189">
        <f>AW45/30</f>
        <v>0</v>
      </c>
      <c r="AZ49" s="1"/>
      <c r="BA49" s="1"/>
      <c r="BB49" s="1"/>
      <c r="BC49" s="1"/>
      <c r="BD49" s="195" t="s">
        <v>65</v>
      </c>
      <c r="BE49" s="1" t="s">
        <v>66</v>
      </c>
      <c r="BF49" s="1" t="s">
        <v>67</v>
      </c>
      <c r="BG49" s="1" t="s">
        <v>68</v>
      </c>
      <c r="BH49" s="1" t="s">
        <v>69</v>
      </c>
      <c r="BI49" s="196" t="s">
        <v>70</v>
      </c>
      <c r="BJ49" s="196" t="s">
        <v>71</v>
      </c>
      <c r="BK49" s="196" t="s">
        <v>72</v>
      </c>
    </row>
    <row r="50" spans="2:63" s="1" customFormat="1" ht="24" customHeight="1">
      <c r="B50" s="190"/>
      <c r="I50" s="1" t="s">
        <v>73</v>
      </c>
      <c r="J50" s="191">
        <f>(I6+I7+I13+I14+I20+I21+I27)/7</f>
        <v>476.01656510728998</v>
      </c>
      <c r="L50" s="197"/>
      <c r="M50" s="49"/>
      <c r="N50" s="49"/>
      <c r="O50" s="49"/>
      <c r="P50" s="49"/>
      <c r="Q50" s="49"/>
      <c r="R50" s="197"/>
      <c r="S50" s="197"/>
      <c r="Z50" s="198"/>
      <c r="AQ50" s="1">
        <f>AQ49/2</f>
        <v>0</v>
      </c>
      <c r="AR50" s="199" t="e">
        <f t="shared" ref="AR50:AS50" si="41">AR49/2</f>
        <v>#DIV/0!</v>
      </c>
      <c r="AS50" s="199" t="e">
        <f t="shared" si="41"/>
        <v>#DIV/0!</v>
      </c>
      <c r="AW50" s="1">
        <v>54000000</v>
      </c>
      <c r="AX50" s="200">
        <f>AW50-AW37</f>
        <v>54000000</v>
      </c>
      <c r="AZ50" s="189"/>
      <c r="BA50" s="189"/>
      <c r="BB50" s="189"/>
      <c r="BC50" s="189"/>
      <c r="BD50" s="195" t="s">
        <v>74</v>
      </c>
      <c r="BE50" s="201">
        <v>1800</v>
      </c>
      <c r="BF50" s="201">
        <v>21</v>
      </c>
      <c r="BG50" s="202">
        <v>0</v>
      </c>
      <c r="BH50" s="201"/>
      <c r="BI50" s="203">
        <f>BF50*BE50</f>
        <v>37800</v>
      </c>
      <c r="BJ50" s="203">
        <f>BE50*BG50</f>
        <v>0</v>
      </c>
      <c r="BK50" s="203">
        <f>BI50-BJ50</f>
        <v>37800</v>
      </c>
    </row>
    <row r="51" spans="2:63" s="189" customFormat="1" ht="24" customHeight="1">
      <c r="B51" s="190"/>
      <c r="K51" s="1"/>
      <c r="L51" s="197"/>
      <c r="M51" s="49"/>
      <c r="N51" s="49"/>
      <c r="O51" s="49"/>
      <c r="P51" s="49"/>
      <c r="Q51" s="49"/>
      <c r="R51" s="204"/>
      <c r="S51" s="205"/>
      <c r="T51" s="205"/>
      <c r="U51" s="205" t="s">
        <v>75</v>
      </c>
      <c r="V51" s="205"/>
      <c r="W51" s="206"/>
      <c r="X51" s="207"/>
      <c r="Y51" s="195"/>
      <c r="Z51" s="203"/>
      <c r="AX51" s="189" t="e">
        <f>AX50/AX46</f>
        <v>#DIV/0!</v>
      </c>
      <c r="BD51" s="195" t="s">
        <v>76</v>
      </c>
      <c r="BE51" s="201">
        <v>10800</v>
      </c>
      <c r="BF51" s="201">
        <v>640</v>
      </c>
      <c r="BG51" s="201">
        <v>20</v>
      </c>
      <c r="BH51" s="201"/>
      <c r="BI51" s="203">
        <f t="shared" ref="BI51:BI70" si="42">BE51*BF51</f>
        <v>6912000</v>
      </c>
      <c r="BJ51" s="203">
        <f t="shared" ref="BJ51:BJ70" si="43">BE51*BG51</f>
        <v>216000</v>
      </c>
      <c r="BK51" s="203">
        <f t="shared" ref="BK51:BK70" si="44">BI51-BJ51</f>
        <v>6696000</v>
      </c>
    </row>
    <row r="52" spans="2:63" s="189" customFormat="1" ht="24" customHeight="1">
      <c r="B52" s="190"/>
      <c r="K52" s="1"/>
      <c r="L52" s="197"/>
      <c r="M52" s="49"/>
      <c r="N52" s="49"/>
      <c r="O52" s="49"/>
      <c r="P52" s="49"/>
      <c r="Q52" s="49"/>
      <c r="R52" s="206"/>
      <c r="S52" s="205"/>
      <c r="T52" s="205"/>
      <c r="U52" s="208" t="s">
        <v>77</v>
      </c>
      <c r="V52" s="209" t="s">
        <v>78</v>
      </c>
      <c r="W52" s="210"/>
      <c r="X52" s="211" t="e">
        <f>W52/Y52</f>
        <v>#DIV/0!</v>
      </c>
      <c r="Y52" s="212">
        <f>W52+W53</f>
        <v>0</v>
      </c>
      <c r="Z52" s="213"/>
      <c r="AA52" s="213"/>
      <c r="BD52" s="195" t="s">
        <v>79</v>
      </c>
      <c r="BE52" s="201">
        <v>6120</v>
      </c>
      <c r="BF52" s="201">
        <v>40</v>
      </c>
      <c r="BG52" s="201">
        <v>4</v>
      </c>
      <c r="BH52" s="201"/>
      <c r="BI52" s="203">
        <f t="shared" si="42"/>
        <v>244800</v>
      </c>
      <c r="BJ52" s="203">
        <f t="shared" si="43"/>
        <v>24480</v>
      </c>
      <c r="BK52" s="203">
        <f t="shared" si="44"/>
        <v>220320</v>
      </c>
    </row>
    <row r="53" spans="2:63" s="189" customFormat="1" ht="24" customHeight="1">
      <c r="B53" s="190"/>
      <c r="K53" s="1"/>
      <c r="L53" s="197"/>
      <c r="M53" s="49"/>
      <c r="N53" s="49"/>
      <c r="O53" s="49"/>
      <c r="P53" s="49"/>
      <c r="Q53" s="49"/>
      <c r="R53" s="206"/>
      <c r="S53" s="205"/>
      <c r="T53" s="205"/>
      <c r="U53" s="208"/>
      <c r="V53" s="209" t="s">
        <v>80</v>
      </c>
      <c r="W53" s="210"/>
      <c r="X53" s="211" t="e">
        <f>W53/Y52</f>
        <v>#DIV/0!</v>
      </c>
      <c r="Y53" s="213"/>
      <c r="Z53" s="213"/>
      <c r="AA53" s="213"/>
      <c r="AU53" s="189">
        <v>4670600</v>
      </c>
      <c r="AV53" s="189">
        <v>19016645.454545453</v>
      </c>
      <c r="AW53" s="189">
        <v>16482254.545454545</v>
      </c>
      <c r="AX53" s="189">
        <v>6958118.1818181816</v>
      </c>
      <c r="BB53" s="189" t="s">
        <v>81</v>
      </c>
      <c r="BD53" s="195" t="s">
        <v>82</v>
      </c>
      <c r="BE53" s="201">
        <v>1780</v>
      </c>
      <c r="BF53" s="201">
        <v>24</v>
      </c>
      <c r="BG53" s="201">
        <v>4</v>
      </c>
      <c r="BH53" s="201"/>
      <c r="BI53" s="203">
        <f t="shared" si="42"/>
        <v>42720</v>
      </c>
      <c r="BJ53" s="203">
        <f t="shared" si="43"/>
        <v>7120</v>
      </c>
      <c r="BK53" s="203">
        <f t="shared" si="44"/>
        <v>35600</v>
      </c>
    </row>
    <row r="54" spans="2:63" s="189" customFormat="1" ht="24" customHeight="1">
      <c r="B54" s="190"/>
      <c r="K54" s="1"/>
      <c r="L54" s="197"/>
      <c r="M54" s="49"/>
      <c r="N54" s="49"/>
      <c r="O54" s="49"/>
      <c r="P54" s="49"/>
      <c r="Q54" s="49"/>
      <c r="R54" s="206"/>
      <c r="S54" s="205"/>
      <c r="T54" s="205"/>
      <c r="U54" s="214" t="s">
        <v>83</v>
      </c>
      <c r="V54" s="209" t="s">
        <v>78</v>
      </c>
      <c r="W54" s="210"/>
      <c r="X54" s="211" t="e">
        <f t="shared" ref="X54" si="45">W54/Y54</f>
        <v>#DIV/0!</v>
      </c>
      <c r="Y54" s="212">
        <f t="shared" ref="Y54" si="46">W54+W55</f>
        <v>0</v>
      </c>
      <c r="Z54" s="213"/>
      <c r="AA54" s="213"/>
      <c r="BD54" s="195" t="s">
        <v>84</v>
      </c>
      <c r="BE54" s="201">
        <v>1780</v>
      </c>
      <c r="BF54" s="201">
        <v>24</v>
      </c>
      <c r="BG54" s="201">
        <v>20</v>
      </c>
      <c r="BH54" s="201"/>
      <c r="BI54" s="203">
        <f t="shared" si="42"/>
        <v>42720</v>
      </c>
      <c r="BJ54" s="203">
        <f t="shared" si="43"/>
        <v>35600</v>
      </c>
      <c r="BK54" s="203">
        <f t="shared" si="44"/>
        <v>7120</v>
      </c>
    </row>
    <row r="55" spans="2:63" s="189" customFormat="1" ht="24" customHeight="1">
      <c r="B55" s="190"/>
      <c r="L55" s="192"/>
      <c r="M55" s="49"/>
      <c r="N55" s="49"/>
      <c r="O55" s="49"/>
      <c r="P55" s="49"/>
      <c r="Q55" s="49"/>
      <c r="R55" s="215"/>
      <c r="S55" s="205"/>
      <c r="T55" s="205"/>
      <c r="U55" s="214"/>
      <c r="V55" s="209" t="s">
        <v>80</v>
      </c>
      <c r="W55" s="210"/>
      <c r="X55" s="211" t="e">
        <f t="shared" ref="X55" si="47">W55/Y54</f>
        <v>#DIV/0!</v>
      </c>
      <c r="Y55" s="213"/>
      <c r="Z55" s="213"/>
      <c r="AA55" s="213"/>
      <c r="AZ55" s="49"/>
      <c r="BA55" s="49"/>
      <c r="BB55" s="49"/>
      <c r="BC55" s="49"/>
      <c r="BD55" s="195" t="s">
        <v>85</v>
      </c>
      <c r="BE55" s="216">
        <v>8190</v>
      </c>
      <c r="BF55" s="201">
        <v>13</v>
      </c>
      <c r="BG55" s="201">
        <v>4</v>
      </c>
      <c r="BH55" s="201"/>
      <c r="BI55" s="203">
        <f t="shared" si="42"/>
        <v>106470</v>
      </c>
      <c r="BJ55" s="203">
        <f t="shared" si="43"/>
        <v>32760</v>
      </c>
      <c r="BK55" s="203">
        <f t="shared" si="44"/>
        <v>73710</v>
      </c>
    </row>
    <row r="56" spans="2:63" ht="24" customHeight="1">
      <c r="U56" s="217" t="s">
        <v>2</v>
      </c>
      <c r="V56" s="218" t="s">
        <v>78</v>
      </c>
      <c r="W56" s="210"/>
      <c r="X56" s="211" t="e">
        <f t="shared" ref="X56:X58" si="48">W56/Y56</f>
        <v>#DIV/0!</v>
      </c>
      <c r="Y56" s="212">
        <f t="shared" ref="Y56" si="49">W56+W57</f>
        <v>0</v>
      </c>
      <c r="Z56" s="213"/>
      <c r="AA56" s="213"/>
      <c r="BD56" s="195" t="s">
        <v>86</v>
      </c>
      <c r="BE56" s="216">
        <v>5784</v>
      </c>
      <c r="BF56" s="216">
        <v>36</v>
      </c>
      <c r="BG56" s="216">
        <v>28</v>
      </c>
      <c r="BH56" s="216"/>
      <c r="BI56" s="203">
        <f t="shared" si="42"/>
        <v>208224</v>
      </c>
      <c r="BJ56" s="203">
        <f t="shared" si="43"/>
        <v>161952</v>
      </c>
      <c r="BK56" s="203">
        <f t="shared" si="44"/>
        <v>46272</v>
      </c>
    </row>
    <row r="57" spans="2:63" ht="24" customHeight="1">
      <c r="U57" s="217"/>
      <c r="V57" s="218" t="s">
        <v>80</v>
      </c>
      <c r="W57" s="210"/>
      <c r="X57" s="211" t="e">
        <f t="shared" ref="X57:X59" si="50">W57/Y56</f>
        <v>#DIV/0!</v>
      </c>
      <c r="Y57" s="213"/>
      <c r="Z57" s="213"/>
      <c r="AA57" s="213"/>
      <c r="BD57" s="195" t="s">
        <v>87</v>
      </c>
      <c r="BE57" s="216">
        <v>6775</v>
      </c>
      <c r="BF57" s="216">
        <v>12</v>
      </c>
      <c r="BG57" s="216">
        <v>11</v>
      </c>
      <c r="BH57" s="216"/>
      <c r="BI57" s="203">
        <f t="shared" si="42"/>
        <v>81300</v>
      </c>
      <c r="BJ57" s="203">
        <f t="shared" si="43"/>
        <v>74525</v>
      </c>
      <c r="BK57" s="203">
        <f t="shared" si="44"/>
        <v>6775</v>
      </c>
    </row>
    <row r="58" spans="2:63" ht="24" customHeight="1">
      <c r="U58" s="219" t="s">
        <v>88</v>
      </c>
      <c r="V58" s="218" t="s">
        <v>78</v>
      </c>
      <c r="W58" s="210"/>
      <c r="X58" s="211" t="e">
        <f t="shared" si="48"/>
        <v>#DIV/0!</v>
      </c>
      <c r="Y58" s="220">
        <f>SUM(Y52:AA56)</f>
        <v>0</v>
      </c>
      <c r="Z58" s="221"/>
      <c r="AA58" s="221"/>
      <c r="BD58" s="195" t="s">
        <v>89</v>
      </c>
      <c r="BE58" s="216">
        <v>1755</v>
      </c>
      <c r="BF58" s="216">
        <v>14</v>
      </c>
      <c r="BG58" s="216">
        <v>2</v>
      </c>
      <c r="BH58" s="216"/>
      <c r="BI58" s="203">
        <f t="shared" si="42"/>
        <v>24570</v>
      </c>
      <c r="BJ58" s="203">
        <f t="shared" si="43"/>
        <v>3510</v>
      </c>
      <c r="BK58" s="203">
        <f t="shared" si="44"/>
        <v>21060</v>
      </c>
    </row>
    <row r="59" spans="2:63" ht="24" customHeight="1">
      <c r="F59" s="49">
        <v>346.60869565217394</v>
      </c>
      <c r="G59" s="49">
        <v>301.36363636363637</v>
      </c>
      <c r="H59" s="49">
        <v>801.17391304347825</v>
      </c>
      <c r="I59" s="49">
        <v>591.75</v>
      </c>
      <c r="N59" s="49">
        <v>2473.9333333333334</v>
      </c>
      <c r="O59" s="49">
        <v>6122.2222222222226</v>
      </c>
      <c r="P59" s="49">
        <v>3277</v>
      </c>
      <c r="Q59" s="49">
        <v>507.14285714285717</v>
      </c>
      <c r="U59" s="219"/>
      <c r="V59" s="218" t="s">
        <v>80</v>
      </c>
      <c r="W59" s="210"/>
      <c r="X59" s="211" t="e">
        <f t="shared" si="50"/>
        <v>#DIV/0!</v>
      </c>
      <c r="Y59" s="221"/>
      <c r="Z59" s="221"/>
      <c r="AA59" s="221"/>
      <c r="BD59" s="195" t="s">
        <v>90</v>
      </c>
      <c r="BE59" s="216">
        <v>1755</v>
      </c>
      <c r="BF59" s="216">
        <v>10</v>
      </c>
      <c r="BG59" s="216">
        <v>0</v>
      </c>
      <c r="BH59" s="216"/>
      <c r="BI59" s="203">
        <f t="shared" si="42"/>
        <v>17550</v>
      </c>
      <c r="BJ59" s="203">
        <f t="shared" si="43"/>
        <v>0</v>
      </c>
      <c r="BK59" s="203">
        <f t="shared" si="44"/>
        <v>17550</v>
      </c>
    </row>
    <row r="60" spans="2:63" ht="24" customHeight="1">
      <c r="F60" s="49">
        <v>313.11111111111109</v>
      </c>
      <c r="G60" s="49">
        <v>301.125</v>
      </c>
      <c r="H60" s="49">
        <v>991.89189189189187</v>
      </c>
      <c r="I60" s="49">
        <v>595.73333333333335</v>
      </c>
      <c r="N60" s="49">
        <v>1887.1176470588234</v>
      </c>
      <c r="O60" s="49">
        <v>2474.4615384615386</v>
      </c>
      <c r="P60" s="49">
        <v>1210.7142857142858</v>
      </c>
      <c r="Q60" s="49">
        <v>1056.9666666666667</v>
      </c>
      <c r="BD60" s="195" t="s">
        <v>91</v>
      </c>
      <c r="BE60" s="216">
        <v>1075</v>
      </c>
      <c r="BF60" s="216">
        <v>96</v>
      </c>
      <c r="BG60" s="216">
        <v>38</v>
      </c>
      <c r="BH60" s="216"/>
      <c r="BI60" s="203">
        <f t="shared" si="42"/>
        <v>103200</v>
      </c>
      <c r="BJ60" s="203">
        <f t="shared" si="43"/>
        <v>40850</v>
      </c>
      <c r="BK60" s="203">
        <f t="shared" si="44"/>
        <v>62350</v>
      </c>
    </row>
    <row r="61" spans="2:63" ht="24" customHeight="1">
      <c r="F61" s="49">
        <v>603.85</v>
      </c>
      <c r="G61" s="49">
        <v>457.44</v>
      </c>
      <c r="H61" s="49">
        <v>1139.4827586206898</v>
      </c>
      <c r="I61" s="49">
        <v>847.56666666666672</v>
      </c>
      <c r="N61" s="49">
        <v>1504.7619047619048</v>
      </c>
      <c r="O61" s="49">
        <v>1838.3333333333333</v>
      </c>
      <c r="P61" s="49">
        <v>1940.7241379310344</v>
      </c>
      <c r="Q61" s="49">
        <v>1493</v>
      </c>
      <c r="BD61" s="195" t="s">
        <v>92</v>
      </c>
      <c r="BE61" s="216">
        <v>3860</v>
      </c>
      <c r="BF61" s="216">
        <v>166</v>
      </c>
      <c r="BG61" s="216">
        <v>13</v>
      </c>
      <c r="BH61" s="216"/>
      <c r="BI61" s="203">
        <f t="shared" si="42"/>
        <v>640760</v>
      </c>
      <c r="BJ61" s="203">
        <f t="shared" si="43"/>
        <v>50180</v>
      </c>
      <c r="BK61" s="203">
        <f t="shared" si="44"/>
        <v>590580</v>
      </c>
    </row>
    <row r="62" spans="2:63" ht="24" customHeight="1">
      <c r="F62" s="49">
        <v>343.40740740740739</v>
      </c>
      <c r="G62" s="49">
        <v>387.26666666666665</v>
      </c>
      <c r="H62" s="49">
        <v>2381.804347826087</v>
      </c>
      <c r="I62" s="49">
        <v>694.28571428571433</v>
      </c>
      <c r="N62" s="49">
        <v>1742.5625</v>
      </c>
      <c r="O62" s="49">
        <v>1967.25</v>
      </c>
      <c r="P62" s="49">
        <v>1330.2962962962963</v>
      </c>
      <c r="Q62" s="49">
        <v>1470.4166666666667</v>
      </c>
      <c r="BD62" s="195" t="s">
        <v>93</v>
      </c>
      <c r="BE62" s="216">
        <v>6450</v>
      </c>
      <c r="BF62" s="216">
        <v>137</v>
      </c>
      <c r="BG62" s="216">
        <v>12</v>
      </c>
      <c r="BH62" s="216"/>
      <c r="BI62" s="203">
        <f t="shared" si="42"/>
        <v>883650</v>
      </c>
      <c r="BJ62" s="203">
        <f t="shared" si="43"/>
        <v>77400</v>
      </c>
      <c r="BK62" s="203">
        <f t="shared" si="44"/>
        <v>806250</v>
      </c>
    </row>
    <row r="63" spans="2:63" ht="24" customHeight="1">
      <c r="F63" s="49">
        <v>208.22727272727272</v>
      </c>
      <c r="G63" s="49">
        <v>257.91666666666669</v>
      </c>
      <c r="H63" s="49">
        <v>560.46153846153845</v>
      </c>
      <c r="I63" s="49">
        <v>858.42857142857144</v>
      </c>
      <c r="N63" s="49">
        <v>2161.5555555555557</v>
      </c>
      <c r="O63" s="49">
        <v>2455.9230769230771</v>
      </c>
      <c r="P63" s="49">
        <v>2270</v>
      </c>
      <c r="Q63" s="49">
        <v>1696.9666666666667</v>
      </c>
      <c r="BD63" s="195" t="s">
        <v>94</v>
      </c>
      <c r="BE63" s="216">
        <v>1380</v>
      </c>
      <c r="BF63" s="216">
        <v>35</v>
      </c>
      <c r="BG63" s="216">
        <v>5</v>
      </c>
      <c r="BH63" s="216"/>
      <c r="BI63" s="203">
        <f t="shared" si="42"/>
        <v>48300</v>
      </c>
      <c r="BJ63" s="203">
        <f t="shared" si="43"/>
        <v>6900</v>
      </c>
      <c r="BK63" s="203">
        <f t="shared" si="44"/>
        <v>41400</v>
      </c>
    </row>
    <row r="64" spans="2:63" ht="24" customHeight="1">
      <c r="F64" s="49">
        <v>1347.6206896551723</v>
      </c>
      <c r="G64" s="49">
        <v>382.63636363636363</v>
      </c>
      <c r="H64" s="49">
        <v>791.6</v>
      </c>
      <c r="I64" s="49">
        <v>821.5</v>
      </c>
      <c r="N64" s="49">
        <v>3109.0731707317073</v>
      </c>
      <c r="O64" s="49">
        <v>2867.5</v>
      </c>
      <c r="P64" s="49">
        <v>1673.8333333333333</v>
      </c>
      <c r="Q64" s="49">
        <v>1269</v>
      </c>
      <c r="BD64" s="195" t="s">
        <v>95</v>
      </c>
      <c r="BE64" s="216">
        <v>1380</v>
      </c>
      <c r="BF64" s="216">
        <v>39</v>
      </c>
      <c r="BG64" s="216">
        <v>6</v>
      </c>
      <c r="BH64" s="216"/>
      <c r="BI64" s="203">
        <f t="shared" si="42"/>
        <v>53820</v>
      </c>
      <c r="BJ64" s="203">
        <f t="shared" si="43"/>
        <v>8280</v>
      </c>
      <c r="BK64" s="203">
        <f t="shared" si="44"/>
        <v>45540</v>
      </c>
    </row>
    <row r="65" spans="6:63" ht="24" customHeight="1">
      <c r="F65" s="49">
        <v>547.19354838709683</v>
      </c>
      <c r="G65" s="49">
        <v>174.07407407407408</v>
      </c>
      <c r="H65" s="49">
        <v>791.66666666666663</v>
      </c>
      <c r="I65" s="49">
        <v>1078.7878787878788</v>
      </c>
      <c r="N65" s="49">
        <v>2510.9</v>
      </c>
      <c r="O65" s="49">
        <v>4228.2222222222226</v>
      </c>
      <c r="P65" s="49">
        <v>2237.6999999999998</v>
      </c>
      <c r="Q65" s="49">
        <v>1475</v>
      </c>
      <c r="BD65" s="195" t="s">
        <v>96</v>
      </c>
      <c r="BE65" s="216">
        <v>160</v>
      </c>
      <c r="BF65" s="216">
        <v>594</v>
      </c>
      <c r="BG65" s="216">
        <v>53</v>
      </c>
      <c r="BH65" s="216"/>
      <c r="BI65" s="203">
        <f t="shared" si="42"/>
        <v>95040</v>
      </c>
      <c r="BJ65" s="203">
        <f t="shared" si="43"/>
        <v>8480</v>
      </c>
      <c r="BK65" s="203">
        <f t="shared" si="44"/>
        <v>86560</v>
      </c>
    </row>
    <row r="66" spans="6:63" ht="24" customHeight="1">
      <c r="F66" s="49">
        <v>517.64705882352939</v>
      </c>
      <c r="G66" s="49">
        <v>457.8</v>
      </c>
      <c r="I66" s="49">
        <v>796.08571428571429</v>
      </c>
      <c r="N66" s="49">
        <v>2083.0952380952381</v>
      </c>
      <c r="O66" s="49">
        <v>596.20000000000005</v>
      </c>
      <c r="Q66" s="49">
        <v>1050.8148148148148</v>
      </c>
      <c r="BD66" s="195" t="s">
        <v>97</v>
      </c>
      <c r="BE66" s="216">
        <v>160</v>
      </c>
      <c r="BF66" s="216">
        <v>300</v>
      </c>
      <c r="BG66" s="216">
        <v>47</v>
      </c>
      <c r="BH66" s="216"/>
      <c r="BI66" s="203">
        <f t="shared" si="42"/>
        <v>48000</v>
      </c>
      <c r="BJ66" s="203">
        <f t="shared" si="43"/>
        <v>7520</v>
      </c>
      <c r="BK66" s="203">
        <f t="shared" si="44"/>
        <v>40480</v>
      </c>
    </row>
    <row r="67" spans="6:63" ht="24" customHeight="1">
      <c r="F67" s="49">
        <v>558.35483870967744</v>
      </c>
      <c r="G67" s="49">
        <v>370</v>
      </c>
      <c r="N67" s="49">
        <v>1328.1290322580646</v>
      </c>
      <c r="O67" s="49">
        <v>1228.2142857142858</v>
      </c>
      <c r="BD67" s="195" t="s">
        <v>98</v>
      </c>
      <c r="BE67" s="216">
        <v>205</v>
      </c>
      <c r="BF67" s="216">
        <v>366</v>
      </c>
      <c r="BG67" s="216">
        <v>49</v>
      </c>
      <c r="BH67" s="216"/>
      <c r="BI67" s="203">
        <f t="shared" si="42"/>
        <v>75030</v>
      </c>
      <c r="BJ67" s="203">
        <f t="shared" si="43"/>
        <v>10045</v>
      </c>
      <c r="BK67" s="203">
        <f t="shared" si="44"/>
        <v>64985</v>
      </c>
    </row>
    <row r="68" spans="6:63" ht="24" customHeight="1">
      <c r="F68" s="49">
        <v>522.70000000000005</v>
      </c>
      <c r="G68" s="49">
        <v>100</v>
      </c>
      <c r="N68" s="49">
        <v>2040.8333333333333</v>
      </c>
      <c r="O68" s="49">
        <v>3688.1</v>
      </c>
      <c r="BD68" s="195" t="s">
        <v>99</v>
      </c>
      <c r="BE68" s="216">
        <v>295</v>
      </c>
      <c r="BF68" s="216">
        <v>612</v>
      </c>
      <c r="BG68" s="216">
        <v>86</v>
      </c>
      <c r="BH68" s="216"/>
      <c r="BI68" s="203">
        <f t="shared" si="42"/>
        <v>180540</v>
      </c>
      <c r="BJ68" s="203">
        <f t="shared" si="43"/>
        <v>25370</v>
      </c>
      <c r="BK68" s="203">
        <f t="shared" si="44"/>
        <v>155170</v>
      </c>
    </row>
    <row r="69" spans="6:63" ht="24" customHeight="1">
      <c r="F69" s="49">
        <v>406</v>
      </c>
      <c r="G69" s="49">
        <v>201.25</v>
      </c>
      <c r="N69" s="49">
        <v>4227.2222222222226</v>
      </c>
      <c r="O69" s="49">
        <v>1802.7</v>
      </c>
      <c r="BD69" s="195" t="s">
        <v>100</v>
      </c>
      <c r="BE69" s="216">
        <v>70</v>
      </c>
      <c r="BF69" s="216">
        <v>480</v>
      </c>
      <c r="BG69" s="216">
        <v>71</v>
      </c>
      <c r="BH69" s="216"/>
      <c r="BI69" s="203">
        <f t="shared" si="42"/>
        <v>33600</v>
      </c>
      <c r="BJ69" s="203">
        <f t="shared" si="43"/>
        <v>4970</v>
      </c>
      <c r="BK69" s="203">
        <f t="shared" si="44"/>
        <v>28630</v>
      </c>
    </row>
    <row r="70" spans="6:63" ht="24" customHeight="1">
      <c r="F70" s="49">
        <v>500</v>
      </c>
      <c r="G70" s="49">
        <v>572.21621621621625</v>
      </c>
      <c r="N70" s="49">
        <v>2111.25</v>
      </c>
      <c r="O70" s="49">
        <v>1473.1578947368421</v>
      </c>
      <c r="BD70" s="195" t="s">
        <v>101</v>
      </c>
      <c r="BE70" s="216">
        <v>2450</v>
      </c>
      <c r="BF70" s="216">
        <v>31</v>
      </c>
      <c r="BG70" s="216">
        <v>9</v>
      </c>
      <c r="BH70" s="216"/>
      <c r="BI70" s="203">
        <f t="shared" si="42"/>
        <v>75950</v>
      </c>
      <c r="BJ70" s="203">
        <f t="shared" si="43"/>
        <v>22050</v>
      </c>
      <c r="BK70" s="203">
        <f t="shared" si="44"/>
        <v>53900</v>
      </c>
    </row>
    <row r="71" spans="6:63" ht="24" customHeight="1">
      <c r="F71" s="49">
        <v>671.68571428571431</v>
      </c>
      <c r="G71" s="49">
        <v>475.84615384615387</v>
      </c>
      <c r="N71" s="49">
        <v>1641.0322580645161</v>
      </c>
      <c r="O71" s="49">
        <v>2539.5294117647059</v>
      </c>
      <c r="BD71" s="195"/>
      <c r="BI71" s="222">
        <f>SUM(BI50:BI70)</f>
        <v>9956044</v>
      </c>
      <c r="BJ71" s="222">
        <f t="shared" ref="BJ71:BK71" si="51">SUM(BJ50:BJ70)</f>
        <v>817992</v>
      </c>
      <c r="BK71" s="222">
        <f t="shared" si="51"/>
        <v>9138052</v>
      </c>
    </row>
    <row r="72" spans="6:63" ht="24" customHeight="1">
      <c r="F72" s="49">
        <v>333.33333333333331</v>
      </c>
      <c r="G72" s="49">
        <v>439.60714285714283</v>
      </c>
      <c r="N72" s="49">
        <v>5737.5714285714284</v>
      </c>
      <c r="O72" s="49">
        <v>1814.2333333333333</v>
      </c>
      <c r="BD72" s="195"/>
    </row>
    <row r="73" spans="6:63" ht="24" customHeight="1">
      <c r="F73" s="49">
        <v>424.20833333333331</v>
      </c>
      <c r="G73" s="49">
        <v>253.18518518518519</v>
      </c>
      <c r="N73" s="49">
        <v>2000</v>
      </c>
      <c r="O73" s="49">
        <v>920</v>
      </c>
      <c r="BD73" s="195"/>
    </row>
    <row r="74" spans="6:63" ht="24" customHeight="1">
      <c r="F74" s="49">
        <v>316.66666666666669</v>
      </c>
      <c r="G74" s="49">
        <v>497.22222222222223</v>
      </c>
      <c r="N74" s="49">
        <v>1563.1111111111111</v>
      </c>
      <c r="O74" s="49">
        <v>1221.4545454545455</v>
      </c>
      <c r="BD74" s="195"/>
    </row>
    <row r="75" spans="6:63" ht="24" customHeight="1">
      <c r="F75" s="49">
        <v>625.79999999999995</v>
      </c>
      <c r="N75" s="49">
        <v>1707.5</v>
      </c>
      <c r="BD75" s="195"/>
    </row>
    <row r="76" spans="6:63" ht="24" customHeight="1">
      <c r="F76" s="49">
        <f>SUM(F59:F75)</f>
        <v>8586.4146700924884</v>
      </c>
      <c r="G76" s="49">
        <f>SUM(G59:G75)</f>
        <v>5628.949327734329</v>
      </c>
      <c r="H76" s="49">
        <f>SUM(H59:H66)</f>
        <v>7458.0811165103523</v>
      </c>
      <c r="I76" s="49">
        <f>SUM(I59:I68)</f>
        <v>6284.1378787878784</v>
      </c>
      <c r="N76" s="49">
        <f>SUM(N59:N75)</f>
        <v>39829.648735097238</v>
      </c>
      <c r="O76" s="49">
        <f>SUM(O59:O75)</f>
        <v>37237.501864166101</v>
      </c>
      <c r="P76" s="49">
        <f>SUM(P59:P68)</f>
        <v>13940.268053274951</v>
      </c>
      <c r="Q76" s="49">
        <f>SUM(Q59:Q66)</f>
        <v>10019.307671957671</v>
      </c>
      <c r="BD76" s="195"/>
    </row>
    <row r="77" spans="6:63" ht="24" customHeight="1">
      <c r="F77" s="49">
        <f>F76/17</f>
        <v>505.08321588779341</v>
      </c>
      <c r="G77" s="49">
        <f>G76/16</f>
        <v>351.80933298339556</v>
      </c>
      <c r="H77" s="49">
        <f>H76/7</f>
        <v>1065.440159501479</v>
      </c>
      <c r="I77" s="49">
        <f>I76/8</f>
        <v>785.5172348484848</v>
      </c>
      <c r="N77" s="49">
        <f>N76/17</f>
        <v>2342.9205138292491</v>
      </c>
      <c r="O77" s="49">
        <f>O76/16</f>
        <v>2327.3438665103813</v>
      </c>
      <c r="P77" s="49">
        <f>P76/7</f>
        <v>1991.4668647535643</v>
      </c>
      <c r="Q77" s="49">
        <f>Q76/8</f>
        <v>1252.4134589947089</v>
      </c>
      <c r="BD77" s="195"/>
    </row>
    <row r="78" spans="6:63" ht="24" customHeight="1">
      <c r="BD78" s="195"/>
    </row>
    <row r="79" spans="6:63" ht="24" customHeight="1">
      <c r="BD79" s="195"/>
    </row>
    <row r="80" spans="6:63" ht="24" customHeight="1">
      <c r="BD80" s="195"/>
    </row>
    <row r="81" spans="56:56" ht="24" customHeight="1">
      <c r="BD81" s="195"/>
    </row>
    <row r="82" spans="56:56" ht="24" customHeight="1">
      <c r="BD82" s="195"/>
    </row>
    <row r="83" spans="56:56" ht="24" customHeight="1">
      <c r="BD83" s="195"/>
    </row>
    <row r="84" spans="56:56" ht="24" customHeight="1">
      <c r="BD84" s="195"/>
    </row>
    <row r="85" spans="56:56" ht="24" customHeight="1">
      <c r="BD85" s="195"/>
    </row>
    <row r="86" spans="56:56" ht="24" customHeight="1">
      <c r="BD86" s="195"/>
    </row>
    <row r="87" spans="56:56" ht="24" customHeight="1">
      <c r="BD87" s="195"/>
    </row>
    <row r="88" spans="56:56" ht="24" customHeight="1">
      <c r="BD88" s="195"/>
    </row>
    <row r="89" spans="56:56" ht="24" customHeight="1">
      <c r="BD89" s="195"/>
    </row>
    <row r="90" spans="56:56" ht="24" customHeight="1">
      <c r="BD90" s="195"/>
    </row>
    <row r="91" spans="56:56" ht="24" customHeight="1">
      <c r="BD91" s="195"/>
    </row>
    <row r="92" spans="56:56" ht="24" customHeight="1">
      <c r="BD92" s="195"/>
    </row>
    <row r="93" spans="56:56" ht="24" customHeight="1">
      <c r="BD93" s="195"/>
    </row>
    <row r="94" spans="56:56" ht="24" customHeight="1">
      <c r="BD94" s="195"/>
    </row>
    <row r="95" spans="56:56" ht="24" customHeight="1">
      <c r="BD95" s="195"/>
    </row>
    <row r="96" spans="56:56" ht="24" customHeight="1">
      <c r="BD96" s="195"/>
    </row>
    <row r="97" spans="56:56" ht="24" customHeight="1">
      <c r="BD97" s="195"/>
    </row>
    <row r="98" spans="56:56" ht="24" customHeight="1">
      <c r="BD98" s="195"/>
    </row>
    <row r="99" spans="56:56" ht="24" customHeight="1">
      <c r="BD99" s="195"/>
    </row>
    <row r="100" spans="56:56" ht="24" customHeight="1">
      <c r="BD100" s="195"/>
    </row>
    <row r="101" spans="56:56" ht="24" customHeight="1">
      <c r="BD101" s="195"/>
    </row>
    <row r="102" spans="56:56" ht="24" customHeight="1">
      <c r="BD102" s="195"/>
    </row>
    <row r="103" spans="56:56" ht="24" customHeight="1">
      <c r="BD103" s="195"/>
    </row>
    <row r="104" spans="56:56" ht="24" customHeight="1">
      <c r="BD104" s="195"/>
    </row>
    <row r="105" spans="56:56" ht="24" customHeight="1">
      <c r="BD105" s="195"/>
    </row>
    <row r="106" spans="56:56" ht="24" customHeight="1">
      <c r="BD106" s="195"/>
    </row>
    <row r="107" spans="56:56" ht="24" customHeight="1">
      <c r="BD107" s="195"/>
    </row>
    <row r="108" spans="56:56" ht="24" customHeight="1">
      <c r="BD108" s="195"/>
    </row>
    <row r="109" spans="56:56" ht="24" customHeight="1">
      <c r="BD109" s="195"/>
    </row>
    <row r="110" spans="56:56" ht="24" customHeight="1">
      <c r="BD110" s="195"/>
    </row>
    <row r="111" spans="56:56" ht="24" customHeight="1">
      <c r="BD111" s="195"/>
    </row>
    <row r="112" spans="56:56" ht="24" customHeight="1">
      <c r="BD112" s="195"/>
    </row>
    <row r="113" spans="56:56" ht="24" customHeight="1">
      <c r="BD113" s="195"/>
    </row>
    <row r="114" spans="56:56" ht="24" customHeight="1">
      <c r="BD114" s="195"/>
    </row>
    <row r="115" spans="56:56" ht="24" customHeight="1">
      <c r="BD115" s="195"/>
    </row>
    <row r="116" spans="56:56" ht="24" customHeight="1">
      <c r="BD116" s="195"/>
    </row>
    <row r="117" spans="56:56" ht="24" customHeight="1">
      <c r="BD117" s="195"/>
    </row>
    <row r="118" spans="56:56" ht="24" customHeight="1">
      <c r="BD118" s="195"/>
    </row>
    <row r="119" spans="56:56" ht="24" customHeight="1">
      <c r="BD119" s="195"/>
    </row>
    <row r="120" spans="56:56" ht="24" customHeight="1">
      <c r="BD120" s="195"/>
    </row>
    <row r="121" spans="56:56" ht="24" customHeight="1">
      <c r="BD121" s="195"/>
    </row>
    <row r="122" spans="56:56" ht="24" customHeight="1">
      <c r="BD122" s="195"/>
    </row>
    <row r="123" spans="56:56" ht="24" customHeight="1">
      <c r="BD123" s="195"/>
    </row>
    <row r="124" spans="56:56" ht="24" customHeight="1">
      <c r="BD124" s="195"/>
    </row>
    <row r="125" spans="56:56" ht="24" customHeight="1">
      <c r="BD125" s="195"/>
    </row>
    <row r="126" spans="56:56" ht="24" customHeight="1">
      <c r="BD126" s="195"/>
    </row>
    <row r="127" spans="56:56" ht="24" customHeight="1">
      <c r="BD127" s="195"/>
    </row>
    <row r="128" spans="56:56" ht="24" customHeight="1">
      <c r="BD128" s="195"/>
    </row>
    <row r="129" spans="56:56" ht="24" customHeight="1">
      <c r="BD129" s="195"/>
    </row>
    <row r="130" spans="56:56" ht="24" customHeight="1">
      <c r="BD130" s="195"/>
    </row>
    <row r="131" spans="56:56" ht="24" customHeight="1">
      <c r="BD131" s="195"/>
    </row>
    <row r="132" spans="56:56" ht="24" customHeight="1">
      <c r="BD132" s="195"/>
    </row>
    <row r="133" spans="56:56" ht="24" customHeight="1">
      <c r="BD133" s="195"/>
    </row>
    <row r="134" spans="56:56" ht="24" customHeight="1">
      <c r="BD134" s="195"/>
    </row>
    <row r="135" spans="56:56" ht="24" customHeight="1">
      <c r="BD135" s="195"/>
    </row>
    <row r="136" spans="56:56" ht="24" customHeight="1">
      <c r="BD136" s="195"/>
    </row>
    <row r="137" spans="56:56" ht="24" customHeight="1">
      <c r="BD137" s="195"/>
    </row>
    <row r="138" spans="56:56" ht="24" customHeight="1">
      <c r="BD138" s="195"/>
    </row>
    <row r="139" spans="56:56" ht="24" customHeight="1">
      <c r="BD139" s="195"/>
    </row>
    <row r="140" spans="56:56" ht="24" customHeight="1">
      <c r="BD140" s="195"/>
    </row>
    <row r="141" spans="56:56" ht="24" customHeight="1">
      <c r="BD141" s="195"/>
    </row>
    <row r="142" spans="56:56" ht="24" customHeight="1">
      <c r="BD142" s="195"/>
    </row>
    <row r="143" spans="56:56" ht="24" customHeight="1">
      <c r="BD143" s="195"/>
    </row>
    <row r="144" spans="56:56" ht="24" customHeight="1">
      <c r="BD144" s="195"/>
    </row>
    <row r="145" spans="56:56" ht="24" customHeight="1">
      <c r="BD145" s="195"/>
    </row>
    <row r="146" spans="56:56" ht="24" customHeight="1">
      <c r="BD146" s="195"/>
    </row>
    <row r="147" spans="56:56" ht="24" customHeight="1">
      <c r="BD147" s="195"/>
    </row>
    <row r="148" spans="56:56" ht="24" customHeight="1">
      <c r="BD148" s="195"/>
    </row>
    <row r="149" spans="56:56" ht="24" customHeight="1">
      <c r="BD149" s="195"/>
    </row>
    <row r="150" spans="56:56" ht="24" customHeight="1">
      <c r="BD150" s="195"/>
    </row>
    <row r="151" spans="56:56" ht="24" customHeight="1">
      <c r="BD151" s="195"/>
    </row>
    <row r="152" spans="56:56" ht="24" customHeight="1">
      <c r="BD152" s="195"/>
    </row>
    <row r="153" spans="56:56" ht="24" customHeight="1">
      <c r="BD153" s="195"/>
    </row>
    <row r="154" spans="56:56" ht="24" customHeight="1">
      <c r="BD154" s="195"/>
    </row>
    <row r="155" spans="56:56" ht="24" customHeight="1">
      <c r="BD155" s="195"/>
    </row>
    <row r="156" spans="56:56" ht="24" customHeight="1">
      <c r="BD156" s="195"/>
    </row>
    <row r="157" spans="56:56" ht="24" customHeight="1">
      <c r="BD157" s="195"/>
    </row>
    <row r="158" spans="56:56" ht="24" customHeight="1">
      <c r="BD158" s="195"/>
    </row>
    <row r="159" spans="56:56" ht="24" customHeight="1">
      <c r="BD159" s="195"/>
    </row>
    <row r="160" spans="56:56" ht="24" customHeight="1">
      <c r="BD160" s="195"/>
    </row>
    <row r="161" spans="56:56" ht="24" customHeight="1">
      <c r="BD161" s="195"/>
    </row>
    <row r="162" spans="56:56" ht="24" customHeight="1">
      <c r="BD162" s="195"/>
    </row>
    <row r="163" spans="56:56" ht="24" customHeight="1">
      <c r="BD163" s="195"/>
    </row>
    <row r="164" spans="56:56" ht="24" customHeight="1">
      <c r="BD164" s="195"/>
    </row>
    <row r="165" spans="56:56" ht="24" customHeight="1">
      <c r="BD165" s="195"/>
    </row>
    <row r="166" spans="56:56" ht="24" customHeight="1">
      <c r="BD166" s="195"/>
    </row>
    <row r="167" spans="56:56" ht="24" customHeight="1">
      <c r="BD167" s="195"/>
    </row>
    <row r="168" spans="56:56" ht="24" customHeight="1">
      <c r="BD168" s="195"/>
    </row>
    <row r="169" spans="56:56" ht="24" customHeight="1">
      <c r="BD169" s="195"/>
    </row>
    <row r="170" spans="56:56" ht="24" customHeight="1">
      <c r="BD170" s="195"/>
    </row>
    <row r="171" spans="56:56" ht="24" customHeight="1">
      <c r="BD171" s="195"/>
    </row>
    <row r="172" spans="56:56" ht="24" customHeight="1">
      <c r="BD172" s="195"/>
    </row>
    <row r="173" spans="56:56" ht="24" customHeight="1">
      <c r="BD173" s="195"/>
    </row>
    <row r="174" spans="56:56" ht="24" customHeight="1">
      <c r="BD174" s="195"/>
    </row>
    <row r="175" spans="56:56" ht="24" customHeight="1">
      <c r="BD175" s="195"/>
    </row>
    <row r="176" spans="56:56" ht="24" customHeight="1">
      <c r="BD176" s="195"/>
    </row>
    <row r="177" spans="56:56" ht="24" customHeight="1">
      <c r="BD177" s="195"/>
    </row>
    <row r="178" spans="56:56" ht="24" customHeight="1">
      <c r="BD178" s="195"/>
    </row>
    <row r="179" spans="56:56" ht="24" customHeight="1">
      <c r="BD179" s="195"/>
    </row>
    <row r="180" spans="56:56" ht="24" customHeight="1">
      <c r="BD180" s="195"/>
    </row>
    <row r="181" spans="56:56" ht="24" customHeight="1">
      <c r="BD181" s="195"/>
    </row>
    <row r="182" spans="56:56" ht="24" customHeight="1">
      <c r="BD182" s="195"/>
    </row>
    <row r="183" spans="56:56" ht="24" customHeight="1">
      <c r="BD183" s="195"/>
    </row>
    <row r="184" spans="56:56">
      <c r="BD184" s="195"/>
    </row>
    <row r="185" spans="56:56">
      <c r="BD185" s="195"/>
    </row>
    <row r="186" spans="56:56">
      <c r="BD186" s="195"/>
    </row>
    <row r="187" spans="56:56">
      <c r="BD187" s="195"/>
    </row>
    <row r="188" spans="56:56">
      <c r="BD188" s="195"/>
    </row>
    <row r="189" spans="56:56">
      <c r="BD189" s="195"/>
    </row>
    <row r="190" spans="56:56">
      <c r="BD190" s="195"/>
    </row>
    <row r="191" spans="56:56">
      <c r="BD191" s="195"/>
    </row>
    <row r="192" spans="56:56">
      <c r="BD192" s="195"/>
    </row>
    <row r="193" spans="56:56">
      <c r="BD193" s="195"/>
    </row>
    <row r="194" spans="56:56">
      <c r="BD194" s="195"/>
    </row>
    <row r="195" spans="56:56">
      <c r="BD195" s="195"/>
    </row>
    <row r="196" spans="56:56">
      <c r="BD196" s="195"/>
    </row>
    <row r="197" spans="56:56">
      <c r="BD197" s="195"/>
    </row>
    <row r="198" spans="56:56">
      <c r="BD198" s="195"/>
    </row>
    <row r="199" spans="56:56">
      <c r="BD199" s="195"/>
    </row>
    <row r="200" spans="56:56">
      <c r="BD200" s="195"/>
    </row>
    <row r="201" spans="56:56">
      <c r="BD201" s="195"/>
    </row>
    <row r="202" spans="56:56">
      <c r="BD202" s="195"/>
    </row>
    <row r="203" spans="56:56">
      <c r="BD203" s="195"/>
    </row>
    <row r="204" spans="56:56">
      <c r="BD204" s="195"/>
    </row>
    <row r="205" spans="56:56">
      <c r="BD205" s="195"/>
    </row>
    <row r="206" spans="56:56">
      <c r="BD206" s="195"/>
    </row>
    <row r="207" spans="56:56">
      <c r="BD207" s="195"/>
    </row>
    <row r="208" spans="56:56">
      <c r="BD208" s="195"/>
    </row>
    <row r="209" spans="56:56">
      <c r="BD209" s="195"/>
    </row>
    <row r="210" spans="56:56">
      <c r="BD210" s="195"/>
    </row>
    <row r="211" spans="56:56">
      <c r="BD211" s="195"/>
    </row>
    <row r="212" spans="56:56">
      <c r="BD212" s="195"/>
    </row>
    <row r="213" spans="56:56">
      <c r="BD213" s="195"/>
    </row>
    <row r="214" spans="56:56">
      <c r="BD214" s="195"/>
    </row>
    <row r="215" spans="56:56">
      <c r="BD215" s="195"/>
    </row>
    <row r="216" spans="56:56">
      <c r="BD216" s="195"/>
    </row>
    <row r="217" spans="56:56">
      <c r="BD217" s="195"/>
    </row>
    <row r="218" spans="56:56">
      <c r="BD218" s="195"/>
    </row>
    <row r="219" spans="56:56">
      <c r="BD219" s="195"/>
    </row>
    <row r="220" spans="56:56">
      <c r="BD220" s="195"/>
    </row>
    <row r="221" spans="56:56">
      <c r="BD221" s="195"/>
    </row>
    <row r="222" spans="56:56">
      <c r="BD222" s="195"/>
    </row>
    <row r="223" spans="56:56">
      <c r="BD223" s="195"/>
    </row>
    <row r="224" spans="56:56">
      <c r="BD224" s="195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X3"/>
    <mergeCell ref="AY3:BC3"/>
    <mergeCell ref="BD3:BK3"/>
    <mergeCell ref="D40:K44"/>
    <mergeCell ref="L40:S44"/>
    <mergeCell ref="Y40:AF44"/>
    <mergeCell ref="AG40:AN44"/>
    <mergeCell ref="AO40:AX44"/>
    <mergeCell ref="B3:B4"/>
    <mergeCell ref="D3:K3"/>
    <mergeCell ref="L3:S3"/>
    <mergeCell ref="T3:X3"/>
    <mergeCell ref="Y3:AF3"/>
    <mergeCell ref="AG3:AN3"/>
  </mergeCells>
  <phoneticPr fontId="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A911-6F80-CF4B-BF42-51AAEBD0D849}">
  <dimension ref="A1:BO224"/>
  <sheetViews>
    <sheetView workbookViewId="0">
      <selection sqref="A1:XFD1048576"/>
    </sheetView>
  </sheetViews>
  <sheetFormatPr baseColWidth="10" defaultColWidth="11.140625" defaultRowHeight="16"/>
  <cols>
    <col min="1" max="1" width="11.140625" style="49"/>
    <col min="2" max="2" width="10.42578125" style="132" customWidth="1"/>
    <col min="3" max="3" width="12.42578125" style="49" customWidth="1"/>
    <col min="4" max="4" width="4.140625" style="49" customWidth="1"/>
    <col min="5" max="9" width="8.42578125" style="49" customWidth="1"/>
    <col min="10" max="10" width="12" style="49" customWidth="1"/>
    <col min="11" max="11" width="8.42578125" style="49" customWidth="1"/>
    <col min="12" max="12" width="3.85546875" style="49" customWidth="1"/>
    <col min="13" max="17" width="8.42578125" style="49" customWidth="1"/>
    <col min="18" max="18" width="12.42578125" style="49" customWidth="1"/>
    <col min="19" max="19" width="8.42578125" style="49" customWidth="1"/>
    <col min="20" max="23" width="11.140625" style="49"/>
    <col min="24" max="24" width="7.5703125" style="49" customWidth="1"/>
    <col min="25" max="25" width="3" style="49" customWidth="1"/>
    <col min="26" max="30" width="7.5703125" style="49" customWidth="1"/>
    <col min="31" max="31" width="10" style="49" customWidth="1"/>
    <col min="32" max="32" width="7.5703125" style="49" customWidth="1"/>
    <col min="33" max="33" width="3.5703125" style="49" customWidth="1"/>
    <col min="34" max="38" width="7.5703125" style="49" customWidth="1"/>
    <col min="39" max="39" width="11.85546875" style="49" customWidth="1"/>
    <col min="40" max="40" width="10" style="49" customWidth="1"/>
    <col min="41" max="41" width="4.140625" style="49" customWidth="1"/>
    <col min="42" max="46" width="7.5703125" style="49" customWidth="1"/>
    <col min="47" max="48" width="9.140625" style="49" customWidth="1"/>
    <col min="49" max="49" width="11.28515625" style="49" customWidth="1"/>
    <col min="50" max="50" width="7.5703125" style="49" customWidth="1"/>
    <col min="51" max="51" width="5.7109375" style="49" customWidth="1"/>
    <col min="52" max="53" width="9.140625" style="49" customWidth="1"/>
    <col min="54" max="54" width="13.5703125" style="49" customWidth="1"/>
    <col min="55" max="55" width="11.140625" style="49"/>
    <col min="56" max="56" width="14.85546875" style="49" customWidth="1"/>
    <col min="57" max="62" width="11.140625" style="49"/>
    <col min="63" max="63" width="11.140625" style="79"/>
    <col min="64" max="64" width="11.140625" style="49"/>
    <col min="65" max="65" width="11.140625" style="79"/>
    <col min="66" max="16384" width="11.140625" style="49"/>
  </cols>
  <sheetData>
    <row r="1" spans="1:67" s="3" customFormat="1">
      <c r="A1" s="1" t="s">
        <v>0</v>
      </c>
      <c r="B1" s="2"/>
      <c r="BK1" s="4"/>
      <c r="BM1" s="4"/>
    </row>
    <row r="2" spans="1:67" s="3" customFormat="1" ht="35" thickBot="1">
      <c r="A2" s="5">
        <v>2025</v>
      </c>
      <c r="B2" s="6">
        <v>2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C2" s="3" t="s">
        <v>1</v>
      </c>
      <c r="BK2" s="4"/>
      <c r="BM2" s="4"/>
    </row>
    <row r="3" spans="1:67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6"/>
      <c r="AG3" s="17" t="s">
        <v>7</v>
      </c>
      <c r="AH3" s="18"/>
      <c r="AI3" s="18"/>
      <c r="AJ3" s="18"/>
      <c r="AK3" s="18"/>
      <c r="AL3" s="18"/>
      <c r="AM3" s="18"/>
      <c r="AN3" s="19"/>
      <c r="AO3" s="20" t="s">
        <v>8</v>
      </c>
      <c r="AP3" s="21"/>
      <c r="AQ3" s="21"/>
      <c r="AR3" s="21"/>
      <c r="AS3" s="21"/>
      <c r="AT3" s="21"/>
      <c r="AU3" s="21"/>
      <c r="AV3" s="21"/>
      <c r="AW3" s="21"/>
      <c r="AX3" s="22"/>
      <c r="AY3" s="23" t="s">
        <v>9</v>
      </c>
      <c r="AZ3" s="14"/>
      <c r="BA3" s="14"/>
      <c r="BB3" s="14"/>
      <c r="BC3" s="24"/>
      <c r="BD3" s="25" t="s">
        <v>10</v>
      </c>
      <c r="BE3" s="26"/>
      <c r="BF3" s="26"/>
      <c r="BG3" s="26"/>
      <c r="BH3" s="26"/>
      <c r="BI3" s="26"/>
      <c r="BJ3" s="26"/>
      <c r="BK3" s="27"/>
      <c r="BM3" s="4"/>
    </row>
    <row r="4" spans="1:67" s="8" customFormat="1" ht="53.25" customHeight="1" thickTop="1" thickBot="1">
      <c r="A4" s="28"/>
      <c r="B4" s="10"/>
      <c r="C4" s="29" t="s">
        <v>11</v>
      </c>
      <c r="D4" s="30" t="s">
        <v>12</v>
      </c>
      <c r="E4" s="31" t="s">
        <v>13</v>
      </c>
      <c r="F4" s="30" t="s">
        <v>14</v>
      </c>
      <c r="G4" s="32" t="s">
        <v>15</v>
      </c>
      <c r="H4" s="30" t="s">
        <v>16</v>
      </c>
      <c r="I4" s="33" t="s">
        <v>17</v>
      </c>
      <c r="J4" s="31" t="s">
        <v>18</v>
      </c>
      <c r="K4" s="30" t="s">
        <v>19</v>
      </c>
      <c r="L4" s="30" t="s">
        <v>20</v>
      </c>
      <c r="M4" s="34" t="s">
        <v>13</v>
      </c>
      <c r="N4" s="30" t="s">
        <v>14</v>
      </c>
      <c r="O4" s="32" t="s">
        <v>15</v>
      </c>
      <c r="P4" s="30" t="s">
        <v>16</v>
      </c>
      <c r="Q4" s="33" t="s">
        <v>17</v>
      </c>
      <c r="R4" s="31" t="s">
        <v>18</v>
      </c>
      <c r="S4" s="35" t="s">
        <v>19</v>
      </c>
      <c r="T4" s="36" t="s">
        <v>21</v>
      </c>
      <c r="U4" s="37" t="s">
        <v>22</v>
      </c>
      <c r="V4" s="37" t="s">
        <v>23</v>
      </c>
      <c r="W4" s="38" t="s">
        <v>24</v>
      </c>
      <c r="X4" s="37"/>
      <c r="Y4" s="39" t="s">
        <v>25</v>
      </c>
      <c r="Z4" s="37" t="s">
        <v>13</v>
      </c>
      <c r="AA4" s="37" t="s">
        <v>22</v>
      </c>
      <c r="AB4" s="40" t="s">
        <v>26</v>
      </c>
      <c r="AC4" s="37" t="s">
        <v>23</v>
      </c>
      <c r="AD4" s="38" t="s">
        <v>27</v>
      </c>
      <c r="AE4" s="41" t="s">
        <v>28</v>
      </c>
      <c r="AF4" s="42" t="s">
        <v>19</v>
      </c>
      <c r="AG4" s="43" t="s">
        <v>29</v>
      </c>
      <c r="AH4" s="30" t="s">
        <v>13</v>
      </c>
      <c r="AI4" s="30" t="s">
        <v>22</v>
      </c>
      <c r="AJ4" s="32" t="s">
        <v>26</v>
      </c>
      <c r="AK4" s="30" t="s">
        <v>23</v>
      </c>
      <c r="AL4" s="33" t="s">
        <v>27</v>
      </c>
      <c r="AM4" s="34" t="s">
        <v>28</v>
      </c>
      <c r="AN4" s="40" t="s">
        <v>19</v>
      </c>
      <c r="AO4" s="44" t="s">
        <v>29</v>
      </c>
      <c r="AP4" s="30" t="s">
        <v>13</v>
      </c>
      <c r="AQ4" s="30" t="s">
        <v>22</v>
      </c>
      <c r="AR4" s="32" t="s">
        <v>26</v>
      </c>
      <c r="AS4" s="30" t="s">
        <v>23</v>
      </c>
      <c r="AT4" s="33" t="s">
        <v>27</v>
      </c>
      <c r="AU4" s="33" t="s">
        <v>30</v>
      </c>
      <c r="AV4" s="33" t="s">
        <v>31</v>
      </c>
      <c r="AW4" s="34" t="s">
        <v>28</v>
      </c>
      <c r="AX4" s="40" t="s">
        <v>19</v>
      </c>
      <c r="AY4" s="40" t="s">
        <v>21</v>
      </c>
      <c r="AZ4" s="37" t="s">
        <v>22</v>
      </c>
      <c r="BA4" s="37" t="s">
        <v>23</v>
      </c>
      <c r="BB4" s="38" t="s">
        <v>24</v>
      </c>
      <c r="BC4" s="38" t="s">
        <v>32</v>
      </c>
      <c r="BD4" s="45" t="s">
        <v>33</v>
      </c>
      <c r="BE4" s="46" t="s">
        <v>34</v>
      </c>
      <c r="BF4" s="46" t="s">
        <v>35</v>
      </c>
      <c r="BG4" s="46" t="s">
        <v>36</v>
      </c>
      <c r="BH4" s="46" t="s">
        <v>37</v>
      </c>
      <c r="BI4" s="46" t="s">
        <v>38</v>
      </c>
      <c r="BJ4" s="46" t="s">
        <v>39</v>
      </c>
      <c r="BK4" s="47" t="s">
        <v>40</v>
      </c>
      <c r="BM4" s="48"/>
    </row>
    <row r="5" spans="1:67" ht="20" customHeight="1" thickTop="1">
      <c r="B5" s="50">
        <f>DATE($A$2,$B$2,1)</f>
        <v>45689</v>
      </c>
      <c r="C5" s="51"/>
      <c r="D5" s="52"/>
      <c r="E5" s="53">
        <v>28</v>
      </c>
      <c r="F5" s="54">
        <v>125950</v>
      </c>
      <c r="G5" s="55">
        <f t="shared" ref="G5:G35" si="0">ROUNDDOWN(F5/1.1,0)/E5</f>
        <v>4089.2857142857142</v>
      </c>
      <c r="H5" s="54">
        <v>21370</v>
      </c>
      <c r="I5" s="56">
        <f>ROUNDDOWN(H5/1.1,0)/E5</f>
        <v>693.82142857142856</v>
      </c>
      <c r="J5" s="57">
        <f t="shared" ref="J5:J35" si="1">F5+H5</f>
        <v>147320</v>
      </c>
      <c r="K5" s="58">
        <f t="shared" ref="K5:K35" si="2">IF(E5="","",J5/E5)</f>
        <v>5261.4285714285716</v>
      </c>
      <c r="L5" s="59"/>
      <c r="M5" s="60">
        <f t="shared" ref="M5:N35" si="3">BD5-E5</f>
        <v>27</v>
      </c>
      <c r="N5" s="61">
        <f t="shared" si="3"/>
        <v>227920</v>
      </c>
      <c r="O5" s="55">
        <f t="shared" ref="O5:O35" si="4">ROUNDDOWN(N5/1.1,0)/M5</f>
        <v>7674.0740740740739</v>
      </c>
      <c r="P5" s="61">
        <f t="shared" ref="P5:P35" si="5">BF5-H5</f>
        <v>43670</v>
      </c>
      <c r="Q5" s="56">
        <f t="shared" ref="Q5:Q35" si="6">ROUNDDOWN(P5/1.1,0)/M5</f>
        <v>1470.3703703703704</v>
      </c>
      <c r="R5" s="62">
        <f t="shared" ref="R5:R35" si="7">N5+P5</f>
        <v>271590</v>
      </c>
      <c r="S5" s="58">
        <f t="shared" ref="S5:S35" si="8">IF(M5="","",R5/M5)</f>
        <v>10058.888888888889</v>
      </c>
      <c r="T5" s="63">
        <f t="shared" ref="T5:U35" si="9">E5+M5</f>
        <v>55</v>
      </c>
      <c r="U5" s="61">
        <f t="shared" si="9"/>
        <v>353870</v>
      </c>
      <c r="V5" s="61">
        <f t="shared" ref="V5:V35" si="10">H5+P5</f>
        <v>65040</v>
      </c>
      <c r="W5" s="64">
        <f t="shared" ref="W5:W35" si="11">J5+R5</f>
        <v>418910</v>
      </c>
      <c r="X5" s="61"/>
      <c r="Y5" s="65"/>
      <c r="Z5" s="66">
        <v>6</v>
      </c>
      <c r="AA5" s="54">
        <v>2500</v>
      </c>
      <c r="AB5" s="55">
        <f t="shared" ref="AB5:AB35" si="12">AA5/Z5</f>
        <v>416.66666666666669</v>
      </c>
      <c r="AC5" s="54">
        <v>1700</v>
      </c>
      <c r="AD5" s="56">
        <f t="shared" ref="AD5:AD35" si="13">AC5/Z5</f>
        <v>283.33333333333331</v>
      </c>
      <c r="AE5" s="67">
        <f t="shared" ref="AE5:AE35" si="14">AA5+AC5</f>
        <v>4200</v>
      </c>
      <c r="AF5" s="58">
        <f t="shared" ref="AF5:AF35" si="15">IF(Z5="","",AE5/Z5)</f>
        <v>700</v>
      </c>
      <c r="AG5" s="68"/>
      <c r="AH5" s="66">
        <v>21</v>
      </c>
      <c r="AI5" s="54">
        <v>82215</v>
      </c>
      <c r="AJ5" s="55">
        <f t="shared" ref="AJ5:AJ35" si="16">AI5/AH5</f>
        <v>3915</v>
      </c>
      <c r="AK5" s="54">
        <v>27405</v>
      </c>
      <c r="AL5" s="56">
        <f t="shared" ref="AL5:AL35" si="17">AK5/AH5</f>
        <v>1305</v>
      </c>
      <c r="AM5" s="67">
        <f>AI5+AK5</f>
        <v>109620</v>
      </c>
      <c r="AN5" s="69">
        <f t="shared" ref="AN5:AN35" si="18">IF(AH5="","",AM5/AH5)</f>
        <v>5220</v>
      </c>
      <c r="AO5" s="70"/>
      <c r="AP5" s="66"/>
      <c r="AQ5" s="54"/>
      <c r="AR5" s="55" t="e">
        <f t="shared" ref="AR5:AR35" si="19">AQ5/AP5</f>
        <v>#DIV/0!</v>
      </c>
      <c r="AS5" s="54"/>
      <c r="AT5" s="56" t="e">
        <f t="shared" ref="AT5:AT35" si="20">AS5/AP5</f>
        <v>#DIV/0!</v>
      </c>
      <c r="AU5" s="56"/>
      <c r="AV5" s="56"/>
      <c r="AW5" s="71">
        <f>AQ5+AS5+AU5+AV5</f>
        <v>0</v>
      </c>
      <c r="AX5" s="69" t="str">
        <f t="shared" ref="AX5:AX35" si="21">IF(AP5="","",AW5/AP5)</f>
        <v/>
      </c>
      <c r="AY5" s="72">
        <f t="shared" ref="AY5:AY35" si="22">SUM(E5,M5)</f>
        <v>55</v>
      </c>
      <c r="AZ5" s="61">
        <f t="shared" ref="AZ5:AZ35" si="23">U5+AA5+AI5+AQ5</f>
        <v>438585</v>
      </c>
      <c r="BA5" s="61">
        <f t="shared" ref="BA5:BA35" si="24">V5+AC5+AK5+AS5</f>
        <v>94145</v>
      </c>
      <c r="BB5" s="73">
        <f>W5+AE5+AM5+AW5</f>
        <v>532730</v>
      </c>
      <c r="BC5" s="74">
        <f>BG5+BH5</f>
        <v>1100</v>
      </c>
      <c r="BD5" s="75">
        <v>55</v>
      </c>
      <c r="BE5" s="76">
        <v>353870</v>
      </c>
      <c r="BF5" s="76">
        <v>65040</v>
      </c>
      <c r="BG5" s="77">
        <v>1100</v>
      </c>
      <c r="BH5" s="77"/>
      <c r="BI5" s="77">
        <v>5000</v>
      </c>
      <c r="BJ5" s="77"/>
      <c r="BK5" s="78">
        <f>SUM(BE5:BH5)</f>
        <v>420010</v>
      </c>
      <c r="BL5" s="49">
        <v>1</v>
      </c>
      <c r="BM5" s="79">
        <f t="shared" ref="BM5:BM35" si="25">BJ5+BK5</f>
        <v>420010</v>
      </c>
    </row>
    <row r="6" spans="1:67" ht="20" customHeight="1">
      <c r="B6" s="80">
        <f t="shared" ref="B6:B32" si="26">B5+1</f>
        <v>45690</v>
      </c>
      <c r="C6" s="81"/>
      <c r="D6" s="52"/>
      <c r="E6" s="53">
        <v>20</v>
      </c>
      <c r="F6" s="54">
        <v>80960</v>
      </c>
      <c r="G6" s="55">
        <f t="shared" si="0"/>
        <v>3680</v>
      </c>
      <c r="H6" s="54">
        <v>20820</v>
      </c>
      <c r="I6" s="56">
        <f t="shared" ref="I6:I35" si="27">ROUNDDOWN(H6/1.1,0)/E6</f>
        <v>946.35</v>
      </c>
      <c r="J6" s="57">
        <f t="shared" si="1"/>
        <v>101780</v>
      </c>
      <c r="K6" s="58">
        <f t="shared" si="2"/>
        <v>5089</v>
      </c>
      <c r="L6" s="59"/>
      <c r="M6" s="60">
        <f t="shared" si="3"/>
        <v>23</v>
      </c>
      <c r="N6" s="61">
        <f t="shared" si="3"/>
        <v>202840</v>
      </c>
      <c r="O6" s="55">
        <f t="shared" si="4"/>
        <v>8017.391304347826</v>
      </c>
      <c r="P6" s="61">
        <f t="shared" si="5"/>
        <v>24440</v>
      </c>
      <c r="Q6" s="56">
        <f t="shared" si="6"/>
        <v>966</v>
      </c>
      <c r="R6" s="62">
        <f t="shared" si="7"/>
        <v>227280</v>
      </c>
      <c r="S6" s="58">
        <f t="shared" si="8"/>
        <v>9881.7391304347821</v>
      </c>
      <c r="T6" s="82">
        <f t="shared" si="9"/>
        <v>43</v>
      </c>
      <c r="U6" s="61">
        <f t="shared" si="9"/>
        <v>283800</v>
      </c>
      <c r="V6" s="61">
        <f t="shared" si="10"/>
        <v>45260</v>
      </c>
      <c r="W6" s="64">
        <f t="shared" si="11"/>
        <v>329060</v>
      </c>
      <c r="X6" s="83"/>
      <c r="Y6" s="65"/>
      <c r="Z6" s="66">
        <v>6</v>
      </c>
      <c r="AA6" s="54">
        <v>3000</v>
      </c>
      <c r="AB6" s="55">
        <f t="shared" si="12"/>
        <v>500</v>
      </c>
      <c r="AC6" s="54">
        <v>4000</v>
      </c>
      <c r="AD6" s="56">
        <f t="shared" si="13"/>
        <v>666.66666666666663</v>
      </c>
      <c r="AE6" s="67">
        <f>AA6+AC6</f>
        <v>7000</v>
      </c>
      <c r="AF6" s="58">
        <f t="shared" si="15"/>
        <v>1166.6666666666667</v>
      </c>
      <c r="AG6" s="68"/>
      <c r="AH6" s="66"/>
      <c r="AI6" s="54"/>
      <c r="AJ6" s="55" t="e">
        <f t="shared" si="16"/>
        <v>#DIV/0!</v>
      </c>
      <c r="AK6" s="54"/>
      <c r="AL6" s="56" t="e">
        <f t="shared" si="17"/>
        <v>#DIV/0!</v>
      </c>
      <c r="AM6" s="67">
        <f t="shared" ref="AM6:AM35" si="28">AI6+AK6</f>
        <v>0</v>
      </c>
      <c r="AN6" s="69" t="str">
        <f t="shared" si="18"/>
        <v/>
      </c>
      <c r="AO6" s="70"/>
      <c r="AP6" s="66"/>
      <c r="AQ6" s="54"/>
      <c r="AR6" s="55" t="e">
        <f t="shared" si="19"/>
        <v>#DIV/0!</v>
      </c>
      <c r="AS6" s="54"/>
      <c r="AT6" s="56" t="e">
        <f t="shared" si="20"/>
        <v>#DIV/0!</v>
      </c>
      <c r="AU6" s="56"/>
      <c r="AV6" s="56"/>
      <c r="AW6" s="71">
        <f>AQ6+AS6+AU6+AV6</f>
        <v>0</v>
      </c>
      <c r="AX6" s="69" t="str">
        <f t="shared" si="21"/>
        <v/>
      </c>
      <c r="AY6" s="84">
        <f t="shared" si="22"/>
        <v>43</v>
      </c>
      <c r="AZ6" s="61">
        <f t="shared" si="23"/>
        <v>286800</v>
      </c>
      <c r="BA6" s="61">
        <f t="shared" si="24"/>
        <v>49260</v>
      </c>
      <c r="BB6" s="73">
        <f>W6+AE6+AM6+AW6</f>
        <v>336060</v>
      </c>
      <c r="BC6" s="74">
        <f>BG6+BH6</f>
        <v>3300</v>
      </c>
      <c r="BD6" s="75">
        <v>43</v>
      </c>
      <c r="BE6" s="76">
        <v>283800</v>
      </c>
      <c r="BF6" s="76">
        <v>45260</v>
      </c>
      <c r="BG6" s="77">
        <v>3300</v>
      </c>
      <c r="BH6" s="77"/>
      <c r="BI6" s="77"/>
      <c r="BJ6" s="77"/>
      <c r="BK6" s="78">
        <f t="shared" ref="BK6:BK35" si="29">SUM(BE6:BH6)</f>
        <v>332360</v>
      </c>
      <c r="BL6" s="49">
        <v>2</v>
      </c>
      <c r="BM6" s="79">
        <f t="shared" si="25"/>
        <v>332360</v>
      </c>
    </row>
    <row r="7" spans="1:67" ht="20" customHeight="1">
      <c r="B7" s="80">
        <f>B6+1</f>
        <v>45691</v>
      </c>
      <c r="C7" s="81"/>
      <c r="D7" s="52"/>
      <c r="E7" s="53">
        <v>27</v>
      </c>
      <c r="F7" s="54">
        <v>102630</v>
      </c>
      <c r="G7" s="55">
        <f t="shared" si="0"/>
        <v>3455.5555555555557</v>
      </c>
      <c r="H7" s="54">
        <v>13850</v>
      </c>
      <c r="I7" s="56">
        <f t="shared" si="27"/>
        <v>466.2962962962963</v>
      </c>
      <c r="J7" s="57">
        <f t="shared" si="1"/>
        <v>116480</v>
      </c>
      <c r="K7" s="58">
        <f t="shared" si="2"/>
        <v>4314.0740740740739</v>
      </c>
      <c r="L7" s="59"/>
      <c r="M7" s="60">
        <f t="shared" si="3"/>
        <v>21</v>
      </c>
      <c r="N7" s="61">
        <f t="shared" si="3"/>
        <v>196790</v>
      </c>
      <c r="O7" s="55">
        <f t="shared" si="4"/>
        <v>8519.0476190476184</v>
      </c>
      <c r="P7" s="61">
        <f t="shared" si="5"/>
        <v>53860</v>
      </c>
      <c r="Q7" s="56">
        <f t="shared" si="6"/>
        <v>2331.5714285714284</v>
      </c>
      <c r="R7" s="62">
        <f t="shared" si="7"/>
        <v>250650</v>
      </c>
      <c r="S7" s="58">
        <f t="shared" si="8"/>
        <v>11935.714285714286</v>
      </c>
      <c r="T7" s="82">
        <f t="shared" si="9"/>
        <v>48</v>
      </c>
      <c r="U7" s="61">
        <f t="shared" si="9"/>
        <v>299420</v>
      </c>
      <c r="V7" s="61">
        <f t="shared" si="10"/>
        <v>67710</v>
      </c>
      <c r="W7" s="64">
        <f t="shared" si="11"/>
        <v>367130</v>
      </c>
      <c r="X7" s="83"/>
      <c r="Y7" s="65"/>
      <c r="Z7" s="66">
        <v>30</v>
      </c>
      <c r="AA7" s="54">
        <v>13450</v>
      </c>
      <c r="AB7" s="55">
        <f t="shared" si="12"/>
        <v>448.33333333333331</v>
      </c>
      <c r="AC7" s="54">
        <v>5900</v>
      </c>
      <c r="AD7" s="56">
        <f t="shared" si="13"/>
        <v>196.66666666666666</v>
      </c>
      <c r="AE7" s="67">
        <f t="shared" si="14"/>
        <v>19350</v>
      </c>
      <c r="AF7" s="58">
        <f t="shared" si="15"/>
        <v>645</v>
      </c>
      <c r="AG7" s="68"/>
      <c r="AH7" s="66"/>
      <c r="AI7" s="54"/>
      <c r="AJ7" s="55" t="e">
        <f t="shared" si="16"/>
        <v>#DIV/0!</v>
      </c>
      <c r="AK7" s="54"/>
      <c r="AL7" s="56" t="e">
        <f t="shared" si="17"/>
        <v>#DIV/0!</v>
      </c>
      <c r="AM7" s="67">
        <f t="shared" si="28"/>
        <v>0</v>
      </c>
      <c r="AN7" s="69" t="str">
        <f t="shared" si="18"/>
        <v/>
      </c>
      <c r="AO7" s="70"/>
      <c r="AP7" s="66"/>
      <c r="AQ7" s="54"/>
      <c r="AR7" s="55" t="e">
        <f t="shared" si="19"/>
        <v>#DIV/0!</v>
      </c>
      <c r="AS7" s="54"/>
      <c r="AT7" s="56" t="e">
        <f t="shared" si="20"/>
        <v>#DIV/0!</v>
      </c>
      <c r="AU7" s="56"/>
      <c r="AV7" s="56"/>
      <c r="AW7" s="71">
        <f>AQ7+AS7+AU7+AV7</f>
        <v>0</v>
      </c>
      <c r="AX7" s="69" t="str">
        <f t="shared" si="21"/>
        <v/>
      </c>
      <c r="AY7" s="84">
        <f t="shared" si="22"/>
        <v>48</v>
      </c>
      <c r="AZ7" s="61">
        <f t="shared" si="23"/>
        <v>312870</v>
      </c>
      <c r="BA7" s="61">
        <f t="shared" si="24"/>
        <v>73610</v>
      </c>
      <c r="BB7" s="73">
        <f>W7+AE7+AM7+AW7-BN7</f>
        <v>384500</v>
      </c>
      <c r="BC7" s="74">
        <f t="shared" ref="BC7:BC35" si="30">BG7+BH7</f>
        <v>2200</v>
      </c>
      <c r="BD7" s="75">
        <v>48</v>
      </c>
      <c r="BE7" s="76">
        <v>299420</v>
      </c>
      <c r="BF7" s="76">
        <v>67710</v>
      </c>
      <c r="BG7" s="77">
        <v>2200</v>
      </c>
      <c r="BH7" s="77"/>
      <c r="BI7" s="77"/>
      <c r="BJ7" s="77"/>
      <c r="BK7" s="78">
        <f t="shared" si="29"/>
        <v>369330</v>
      </c>
      <c r="BL7" s="49">
        <v>3</v>
      </c>
      <c r="BM7" s="79">
        <f t="shared" si="25"/>
        <v>369330</v>
      </c>
      <c r="BN7" s="49">
        <v>1980</v>
      </c>
    </row>
    <row r="8" spans="1:67" ht="20" customHeight="1">
      <c r="B8" s="80">
        <f t="shared" si="26"/>
        <v>45692</v>
      </c>
      <c r="C8" s="81"/>
      <c r="D8" s="52"/>
      <c r="E8" s="53">
        <v>29</v>
      </c>
      <c r="F8" s="54">
        <v>103180</v>
      </c>
      <c r="G8" s="55">
        <f t="shared" si="0"/>
        <v>3234.4827586206898</v>
      </c>
      <c r="H8" s="54">
        <v>20860</v>
      </c>
      <c r="I8" s="56">
        <f t="shared" si="27"/>
        <v>653.89655172413791</v>
      </c>
      <c r="J8" s="57">
        <f t="shared" si="1"/>
        <v>124040</v>
      </c>
      <c r="K8" s="58">
        <f t="shared" si="2"/>
        <v>4277.2413793103451</v>
      </c>
      <c r="L8" s="59"/>
      <c r="M8" s="60">
        <f t="shared" si="3"/>
        <v>25</v>
      </c>
      <c r="N8" s="61">
        <f t="shared" si="3"/>
        <v>240090</v>
      </c>
      <c r="O8" s="55">
        <f t="shared" si="4"/>
        <v>8730.52</v>
      </c>
      <c r="P8" s="61">
        <f t="shared" si="5"/>
        <v>57840</v>
      </c>
      <c r="Q8" s="56">
        <f t="shared" si="6"/>
        <v>2103.2399999999998</v>
      </c>
      <c r="R8" s="62">
        <f t="shared" si="7"/>
        <v>297930</v>
      </c>
      <c r="S8" s="58">
        <f t="shared" si="8"/>
        <v>11917.2</v>
      </c>
      <c r="T8" s="82">
        <f t="shared" si="9"/>
        <v>54</v>
      </c>
      <c r="U8" s="61">
        <f t="shared" si="9"/>
        <v>343270</v>
      </c>
      <c r="V8" s="61">
        <f t="shared" si="10"/>
        <v>78700</v>
      </c>
      <c r="W8" s="64">
        <f t="shared" si="11"/>
        <v>421970</v>
      </c>
      <c r="X8" s="83"/>
      <c r="Y8" s="65"/>
      <c r="Z8" s="66">
        <v>31</v>
      </c>
      <c r="AA8" s="54">
        <v>12350</v>
      </c>
      <c r="AB8" s="55">
        <f t="shared" si="12"/>
        <v>398.38709677419354</v>
      </c>
      <c r="AC8" s="54">
        <v>6000</v>
      </c>
      <c r="AD8" s="56">
        <f t="shared" si="13"/>
        <v>193.54838709677421</v>
      </c>
      <c r="AE8" s="67">
        <f t="shared" si="14"/>
        <v>18350</v>
      </c>
      <c r="AF8" s="58">
        <f t="shared" si="15"/>
        <v>591.93548387096769</v>
      </c>
      <c r="AG8" s="68"/>
      <c r="AH8" s="66"/>
      <c r="AI8" s="54"/>
      <c r="AJ8" s="55" t="e">
        <f t="shared" si="16"/>
        <v>#DIV/0!</v>
      </c>
      <c r="AK8" s="54"/>
      <c r="AL8" s="56" t="e">
        <f t="shared" si="17"/>
        <v>#DIV/0!</v>
      </c>
      <c r="AM8" s="67">
        <f t="shared" si="28"/>
        <v>0</v>
      </c>
      <c r="AN8" s="69" t="str">
        <f t="shared" si="18"/>
        <v/>
      </c>
      <c r="AO8" s="70"/>
      <c r="AP8" s="66"/>
      <c r="AQ8" s="54"/>
      <c r="AR8" s="55" t="e">
        <f t="shared" si="19"/>
        <v>#DIV/0!</v>
      </c>
      <c r="AS8" s="54"/>
      <c r="AT8" s="56" t="e">
        <f t="shared" si="20"/>
        <v>#DIV/0!</v>
      </c>
      <c r="AU8" s="56"/>
      <c r="AV8" s="56"/>
      <c r="AW8" s="71">
        <f t="shared" ref="AW8:AW16" si="31">AQ8+AS8+AU8+AV8</f>
        <v>0</v>
      </c>
      <c r="AX8" s="69" t="str">
        <f t="shared" si="21"/>
        <v/>
      </c>
      <c r="AY8" s="84">
        <f t="shared" si="22"/>
        <v>54</v>
      </c>
      <c r="AZ8" s="61">
        <f t="shared" si="23"/>
        <v>355620</v>
      </c>
      <c r="BA8" s="61">
        <f t="shared" si="24"/>
        <v>84700</v>
      </c>
      <c r="BB8" s="73">
        <f>W8+AE8+AM8+AW8-BN8</f>
        <v>440320</v>
      </c>
      <c r="BC8" s="74">
        <f t="shared" si="30"/>
        <v>3850</v>
      </c>
      <c r="BD8" s="75">
        <v>54</v>
      </c>
      <c r="BE8" s="76">
        <v>343270</v>
      </c>
      <c r="BF8" s="76">
        <v>78700</v>
      </c>
      <c r="BG8" s="77">
        <v>3300</v>
      </c>
      <c r="BH8" s="77">
        <v>550</v>
      </c>
      <c r="BI8" s="77">
        <v>3300</v>
      </c>
      <c r="BJ8" s="77"/>
      <c r="BK8" s="78">
        <f t="shared" si="29"/>
        <v>425820</v>
      </c>
      <c r="BL8" s="49">
        <v>4</v>
      </c>
      <c r="BM8" s="79">
        <f t="shared" si="25"/>
        <v>425820</v>
      </c>
      <c r="BN8" s="85"/>
      <c r="BO8" s="85"/>
    </row>
    <row r="9" spans="1:67" ht="20" customHeight="1">
      <c r="B9" s="80">
        <f t="shared" si="26"/>
        <v>45693</v>
      </c>
      <c r="C9" s="81"/>
      <c r="D9" s="52"/>
      <c r="E9" s="53">
        <v>31</v>
      </c>
      <c r="F9" s="54">
        <v>125290</v>
      </c>
      <c r="G9" s="55">
        <f t="shared" si="0"/>
        <v>3674.1935483870966</v>
      </c>
      <c r="H9" s="54">
        <v>14120</v>
      </c>
      <c r="I9" s="56">
        <f t="shared" si="27"/>
        <v>414.06451612903226</v>
      </c>
      <c r="J9" s="57">
        <f t="shared" si="1"/>
        <v>139410</v>
      </c>
      <c r="K9" s="58">
        <f t="shared" si="2"/>
        <v>4497.0967741935483</v>
      </c>
      <c r="L9" s="59"/>
      <c r="M9" s="60">
        <f t="shared" si="3"/>
        <v>34</v>
      </c>
      <c r="N9" s="61">
        <f t="shared" si="3"/>
        <v>328130</v>
      </c>
      <c r="O9" s="55">
        <f t="shared" si="4"/>
        <v>8773.5294117647063</v>
      </c>
      <c r="P9" s="61">
        <f t="shared" si="5"/>
        <v>70430</v>
      </c>
      <c r="Q9" s="56">
        <f>ROUNDDOWN(P9/1.1,0)/M9</f>
        <v>1883.1470588235295</v>
      </c>
      <c r="R9" s="62">
        <f t="shared" si="7"/>
        <v>398560</v>
      </c>
      <c r="S9" s="58">
        <f t="shared" si="8"/>
        <v>11722.35294117647</v>
      </c>
      <c r="T9" s="82">
        <f t="shared" si="9"/>
        <v>65</v>
      </c>
      <c r="U9" s="61">
        <f t="shared" si="9"/>
        <v>453420</v>
      </c>
      <c r="V9" s="61">
        <f t="shared" si="10"/>
        <v>84550</v>
      </c>
      <c r="W9" s="64">
        <f t="shared" si="11"/>
        <v>537970</v>
      </c>
      <c r="X9" s="83"/>
      <c r="Y9" s="65"/>
      <c r="Z9" s="66">
        <v>19</v>
      </c>
      <c r="AA9" s="54">
        <v>7850</v>
      </c>
      <c r="AB9" s="55">
        <f t="shared" si="12"/>
        <v>413.15789473684208</v>
      </c>
      <c r="AC9" s="54">
        <v>3700</v>
      </c>
      <c r="AD9" s="56">
        <f t="shared" si="13"/>
        <v>194.73684210526315</v>
      </c>
      <c r="AE9" s="67">
        <f t="shared" si="14"/>
        <v>11550</v>
      </c>
      <c r="AF9" s="58">
        <f t="shared" si="15"/>
        <v>607.89473684210532</v>
      </c>
      <c r="AG9" s="68"/>
      <c r="AH9" s="66"/>
      <c r="AI9" s="54"/>
      <c r="AJ9" s="55" t="e">
        <f t="shared" si="16"/>
        <v>#DIV/0!</v>
      </c>
      <c r="AK9" s="54"/>
      <c r="AL9" s="56" t="e">
        <f t="shared" si="17"/>
        <v>#DIV/0!</v>
      </c>
      <c r="AM9" s="67">
        <f t="shared" si="28"/>
        <v>0</v>
      </c>
      <c r="AN9" s="69" t="str">
        <f t="shared" si="18"/>
        <v/>
      </c>
      <c r="AO9" s="70"/>
      <c r="AP9" s="66"/>
      <c r="AQ9" s="54"/>
      <c r="AR9" s="55" t="e">
        <f t="shared" si="19"/>
        <v>#DIV/0!</v>
      </c>
      <c r="AS9" s="54"/>
      <c r="AT9" s="56" t="e">
        <f t="shared" si="20"/>
        <v>#DIV/0!</v>
      </c>
      <c r="AU9" s="56"/>
      <c r="AV9" s="56"/>
      <c r="AW9" s="71">
        <f t="shared" si="31"/>
        <v>0</v>
      </c>
      <c r="AX9" s="69" t="str">
        <f>IF(AP9="","",AW9/AP9)</f>
        <v/>
      </c>
      <c r="AY9" s="84">
        <f t="shared" si="22"/>
        <v>65</v>
      </c>
      <c r="AZ9" s="61">
        <f t="shared" si="23"/>
        <v>461270</v>
      </c>
      <c r="BA9" s="61">
        <f t="shared" si="24"/>
        <v>88250</v>
      </c>
      <c r="BB9" s="73">
        <f>W9+AE9+AM9+AW9-BN9</f>
        <v>549520</v>
      </c>
      <c r="BC9" s="74">
        <f t="shared" si="30"/>
        <v>3300</v>
      </c>
      <c r="BD9" s="75">
        <v>65</v>
      </c>
      <c r="BE9" s="76">
        <v>453420</v>
      </c>
      <c r="BF9" s="76">
        <v>84550</v>
      </c>
      <c r="BG9" s="77">
        <v>2200</v>
      </c>
      <c r="BH9" s="77">
        <v>1100</v>
      </c>
      <c r="BI9" s="77"/>
      <c r="BJ9" s="77"/>
      <c r="BK9" s="78">
        <f t="shared" si="29"/>
        <v>541270</v>
      </c>
      <c r="BL9" s="49">
        <v>5</v>
      </c>
      <c r="BM9" s="79">
        <f t="shared" si="25"/>
        <v>541270</v>
      </c>
    </row>
    <row r="10" spans="1:67" ht="19.5" customHeight="1">
      <c r="B10" s="80">
        <f t="shared" si="26"/>
        <v>45694</v>
      </c>
      <c r="C10" s="81"/>
      <c r="D10" s="52"/>
      <c r="E10" s="53">
        <v>33</v>
      </c>
      <c r="F10" s="54">
        <v>146850</v>
      </c>
      <c r="G10" s="55">
        <f t="shared" si="0"/>
        <v>4045.4545454545455</v>
      </c>
      <c r="H10" s="54">
        <v>23230</v>
      </c>
      <c r="I10" s="56">
        <f t="shared" si="27"/>
        <v>639.93939393939399</v>
      </c>
      <c r="J10" s="57">
        <f t="shared" si="1"/>
        <v>170080</v>
      </c>
      <c r="K10" s="58">
        <f t="shared" si="2"/>
        <v>5153.939393939394</v>
      </c>
      <c r="L10" s="59"/>
      <c r="M10" s="60">
        <f t="shared" si="3"/>
        <v>29</v>
      </c>
      <c r="N10" s="61">
        <f t="shared" si="3"/>
        <v>315700</v>
      </c>
      <c r="O10" s="55">
        <f t="shared" si="4"/>
        <v>9896.5517241379312</v>
      </c>
      <c r="P10" s="61">
        <f t="shared" si="5"/>
        <v>101230</v>
      </c>
      <c r="Q10" s="56">
        <f t="shared" si="6"/>
        <v>3173.344827586207</v>
      </c>
      <c r="R10" s="62">
        <f t="shared" si="7"/>
        <v>416930</v>
      </c>
      <c r="S10" s="58">
        <f t="shared" si="8"/>
        <v>14376.896551724138</v>
      </c>
      <c r="T10" s="82">
        <f t="shared" si="9"/>
        <v>62</v>
      </c>
      <c r="U10" s="61">
        <f t="shared" si="9"/>
        <v>462550</v>
      </c>
      <c r="V10" s="61">
        <f t="shared" si="10"/>
        <v>124460</v>
      </c>
      <c r="W10" s="64">
        <f t="shared" si="11"/>
        <v>587010</v>
      </c>
      <c r="X10" s="83"/>
      <c r="Y10" s="65"/>
      <c r="Z10" s="66">
        <v>30</v>
      </c>
      <c r="AA10" s="54">
        <v>12200</v>
      </c>
      <c r="AB10" s="55">
        <f t="shared" si="12"/>
        <v>406.66666666666669</v>
      </c>
      <c r="AC10" s="54">
        <v>6400</v>
      </c>
      <c r="AD10" s="56">
        <f t="shared" si="13"/>
        <v>213.33333333333334</v>
      </c>
      <c r="AE10" s="67">
        <f t="shared" si="14"/>
        <v>18600</v>
      </c>
      <c r="AF10" s="58">
        <f t="shared" si="15"/>
        <v>620</v>
      </c>
      <c r="AG10" s="68"/>
      <c r="AH10" s="66">
        <v>8</v>
      </c>
      <c r="AI10" s="54"/>
      <c r="AJ10" s="55">
        <f t="shared" si="16"/>
        <v>0</v>
      </c>
      <c r="AK10" s="54">
        <v>3828</v>
      </c>
      <c r="AL10" s="56">
        <f t="shared" si="17"/>
        <v>478.5</v>
      </c>
      <c r="AM10" s="67">
        <f t="shared" si="28"/>
        <v>3828</v>
      </c>
      <c r="AN10" s="69">
        <f t="shared" si="18"/>
        <v>478.5</v>
      </c>
      <c r="AO10" s="70"/>
      <c r="AP10" s="66"/>
      <c r="AQ10" s="54"/>
      <c r="AR10" s="55" t="e">
        <f t="shared" si="19"/>
        <v>#DIV/0!</v>
      </c>
      <c r="AS10" s="54"/>
      <c r="AT10" s="56" t="e">
        <f t="shared" si="20"/>
        <v>#DIV/0!</v>
      </c>
      <c r="AU10" s="56"/>
      <c r="AV10" s="56"/>
      <c r="AW10" s="71">
        <f t="shared" si="31"/>
        <v>0</v>
      </c>
      <c r="AX10" s="69" t="str">
        <f t="shared" si="21"/>
        <v/>
      </c>
      <c r="AY10" s="84">
        <f t="shared" si="22"/>
        <v>62</v>
      </c>
      <c r="AZ10" s="61">
        <f t="shared" si="23"/>
        <v>474750</v>
      </c>
      <c r="BA10" s="61">
        <f t="shared" si="24"/>
        <v>134688</v>
      </c>
      <c r="BB10" s="73">
        <f>W10+AE10+AM10+AW10</f>
        <v>609438</v>
      </c>
      <c r="BC10" s="74">
        <f t="shared" si="30"/>
        <v>14300</v>
      </c>
      <c r="BD10" s="75">
        <v>62</v>
      </c>
      <c r="BE10" s="76">
        <v>462550</v>
      </c>
      <c r="BF10" s="76">
        <v>124460</v>
      </c>
      <c r="BG10" s="77">
        <v>14300</v>
      </c>
      <c r="BH10" s="77"/>
      <c r="BI10" s="77"/>
      <c r="BJ10" s="77"/>
      <c r="BK10" s="78">
        <f t="shared" si="29"/>
        <v>601310</v>
      </c>
      <c r="BL10" s="49">
        <v>6</v>
      </c>
      <c r="BM10" s="79">
        <f t="shared" si="25"/>
        <v>601310</v>
      </c>
    </row>
    <row r="11" spans="1:67" ht="20" customHeight="1">
      <c r="B11" s="80">
        <f t="shared" si="26"/>
        <v>45695</v>
      </c>
      <c r="C11" s="81"/>
      <c r="D11" s="52"/>
      <c r="E11" s="53">
        <v>26</v>
      </c>
      <c r="F11" s="54">
        <v>127060</v>
      </c>
      <c r="G11" s="55">
        <f t="shared" si="0"/>
        <v>4442.6538461538457</v>
      </c>
      <c r="H11" s="54">
        <v>21580</v>
      </c>
      <c r="I11" s="56">
        <f t="shared" si="27"/>
        <v>754.53846153846155</v>
      </c>
      <c r="J11" s="57">
        <f t="shared" si="1"/>
        <v>148640</v>
      </c>
      <c r="K11" s="58">
        <f t="shared" si="2"/>
        <v>5716.9230769230771</v>
      </c>
      <c r="L11" s="59"/>
      <c r="M11" s="60">
        <f t="shared" si="3"/>
        <v>35</v>
      </c>
      <c r="N11" s="61">
        <f t="shared" si="3"/>
        <v>393470</v>
      </c>
      <c r="O11" s="55">
        <f t="shared" si="4"/>
        <v>10220</v>
      </c>
      <c r="P11" s="61">
        <f t="shared" si="5"/>
        <v>81800</v>
      </c>
      <c r="Q11" s="56">
        <f t="shared" si="6"/>
        <v>2124.6571428571428</v>
      </c>
      <c r="R11" s="62">
        <f t="shared" si="7"/>
        <v>475270</v>
      </c>
      <c r="S11" s="58">
        <f t="shared" si="8"/>
        <v>13579.142857142857</v>
      </c>
      <c r="T11" s="82">
        <f t="shared" si="9"/>
        <v>61</v>
      </c>
      <c r="U11" s="61">
        <f t="shared" si="9"/>
        <v>520530</v>
      </c>
      <c r="V11" s="61">
        <f t="shared" si="10"/>
        <v>103380</v>
      </c>
      <c r="W11" s="64">
        <f t="shared" si="11"/>
        <v>623910</v>
      </c>
      <c r="X11" s="83"/>
      <c r="Y11" s="65"/>
      <c r="Z11" s="66">
        <v>28</v>
      </c>
      <c r="AA11" s="54">
        <v>9900</v>
      </c>
      <c r="AB11" s="55">
        <f t="shared" si="12"/>
        <v>353.57142857142856</v>
      </c>
      <c r="AC11" s="54">
        <v>8150</v>
      </c>
      <c r="AD11" s="56">
        <f t="shared" si="13"/>
        <v>291.07142857142856</v>
      </c>
      <c r="AE11" s="67">
        <f t="shared" si="14"/>
        <v>18050</v>
      </c>
      <c r="AF11" s="58">
        <f t="shared" si="15"/>
        <v>644.64285714285711</v>
      </c>
      <c r="AG11" s="68"/>
      <c r="AH11" s="66"/>
      <c r="AI11" s="54"/>
      <c r="AJ11" s="55" t="e">
        <f t="shared" si="16"/>
        <v>#DIV/0!</v>
      </c>
      <c r="AK11" s="54"/>
      <c r="AL11" s="56" t="e">
        <f t="shared" si="17"/>
        <v>#DIV/0!</v>
      </c>
      <c r="AM11" s="67">
        <f t="shared" si="28"/>
        <v>0</v>
      </c>
      <c r="AN11" s="69" t="str">
        <f t="shared" si="18"/>
        <v/>
      </c>
      <c r="AO11" s="70"/>
      <c r="AP11" s="66"/>
      <c r="AQ11" s="54"/>
      <c r="AR11" s="55" t="e">
        <f t="shared" si="19"/>
        <v>#DIV/0!</v>
      </c>
      <c r="AS11" s="54"/>
      <c r="AT11" s="56" t="e">
        <f t="shared" si="20"/>
        <v>#DIV/0!</v>
      </c>
      <c r="AU11" s="56"/>
      <c r="AV11" s="56"/>
      <c r="AW11" s="71">
        <f t="shared" si="31"/>
        <v>0</v>
      </c>
      <c r="AX11" s="69" t="str">
        <f t="shared" si="21"/>
        <v/>
      </c>
      <c r="AY11" s="84">
        <f t="shared" si="22"/>
        <v>61</v>
      </c>
      <c r="AZ11" s="61">
        <f t="shared" si="23"/>
        <v>530430</v>
      </c>
      <c r="BA11" s="61">
        <f t="shared" si="24"/>
        <v>111530</v>
      </c>
      <c r="BB11" s="73">
        <f t="shared" ref="BB11:BB30" si="32">W11+AE11+AM11+AW11</f>
        <v>641960</v>
      </c>
      <c r="BC11" s="74">
        <f t="shared" si="30"/>
        <v>0</v>
      </c>
      <c r="BD11" s="75">
        <v>61</v>
      </c>
      <c r="BE11" s="76">
        <v>520530</v>
      </c>
      <c r="BF11" s="76">
        <v>103380</v>
      </c>
      <c r="BG11" s="77"/>
      <c r="BH11" s="77"/>
      <c r="BI11" s="77"/>
      <c r="BJ11" s="77"/>
      <c r="BK11" s="78">
        <f t="shared" si="29"/>
        <v>623910</v>
      </c>
      <c r="BL11" s="49">
        <v>7</v>
      </c>
      <c r="BM11" s="79">
        <f t="shared" si="25"/>
        <v>623910</v>
      </c>
    </row>
    <row r="12" spans="1:67" ht="20" customHeight="1">
      <c r="B12" s="80">
        <f t="shared" si="26"/>
        <v>45696</v>
      </c>
      <c r="C12" s="86"/>
      <c r="D12" s="52"/>
      <c r="E12" s="53">
        <v>33</v>
      </c>
      <c r="F12" s="54">
        <v>174790</v>
      </c>
      <c r="G12" s="55">
        <f t="shared" si="0"/>
        <v>4815.151515151515</v>
      </c>
      <c r="H12" s="54">
        <v>29070</v>
      </c>
      <c r="I12" s="56">
        <f t="shared" si="27"/>
        <v>800.81818181818187</v>
      </c>
      <c r="J12" s="57">
        <f t="shared" si="1"/>
        <v>203860</v>
      </c>
      <c r="K12" s="58">
        <f t="shared" si="2"/>
        <v>6177.575757575758</v>
      </c>
      <c r="L12" s="59"/>
      <c r="M12" s="60">
        <f t="shared" si="3"/>
        <v>29</v>
      </c>
      <c r="N12" s="61">
        <f t="shared" si="3"/>
        <v>318450</v>
      </c>
      <c r="O12" s="55">
        <f t="shared" si="4"/>
        <v>9982.7586206896558</v>
      </c>
      <c r="P12" s="61">
        <f t="shared" si="5"/>
        <v>78270</v>
      </c>
      <c r="Q12" s="87">
        <f t="shared" si="6"/>
        <v>2453.5862068965516</v>
      </c>
      <c r="R12" s="62">
        <f t="shared" si="7"/>
        <v>396720</v>
      </c>
      <c r="S12" s="58">
        <f t="shared" si="8"/>
        <v>13680</v>
      </c>
      <c r="T12" s="82">
        <f t="shared" si="9"/>
        <v>62</v>
      </c>
      <c r="U12" s="61">
        <f t="shared" si="9"/>
        <v>493240</v>
      </c>
      <c r="V12" s="61">
        <f t="shared" si="10"/>
        <v>107340</v>
      </c>
      <c r="W12" s="64">
        <f t="shared" si="11"/>
        <v>600580</v>
      </c>
      <c r="X12" s="83"/>
      <c r="Y12" s="65"/>
      <c r="Z12" s="66">
        <v>45</v>
      </c>
      <c r="AA12" s="54">
        <v>14800</v>
      </c>
      <c r="AB12" s="55">
        <f t="shared" si="12"/>
        <v>328.88888888888891</v>
      </c>
      <c r="AC12" s="54">
        <v>5770</v>
      </c>
      <c r="AD12" s="56">
        <f t="shared" si="13"/>
        <v>128.22222222222223</v>
      </c>
      <c r="AE12" s="67">
        <f t="shared" si="14"/>
        <v>20570</v>
      </c>
      <c r="AF12" s="58">
        <f t="shared" si="15"/>
        <v>457.11111111111109</v>
      </c>
      <c r="AG12" s="68"/>
      <c r="AH12" s="66"/>
      <c r="AI12" s="54"/>
      <c r="AJ12" s="55" t="e">
        <f t="shared" si="16"/>
        <v>#DIV/0!</v>
      </c>
      <c r="AK12" s="54"/>
      <c r="AL12" s="56" t="e">
        <f t="shared" si="17"/>
        <v>#DIV/0!</v>
      </c>
      <c r="AM12" s="67">
        <f t="shared" si="28"/>
        <v>0</v>
      </c>
      <c r="AN12" s="69" t="str">
        <f t="shared" si="18"/>
        <v/>
      </c>
      <c r="AO12" s="70"/>
      <c r="AP12" s="66"/>
      <c r="AQ12" s="54"/>
      <c r="AR12" s="55" t="e">
        <f t="shared" si="19"/>
        <v>#DIV/0!</v>
      </c>
      <c r="AS12" s="54"/>
      <c r="AT12" s="56" t="e">
        <f t="shared" si="20"/>
        <v>#DIV/0!</v>
      </c>
      <c r="AU12" s="56"/>
      <c r="AV12" s="56"/>
      <c r="AW12" s="71">
        <f>AQ12+AS12+AU12+AV12</f>
        <v>0</v>
      </c>
      <c r="AX12" s="69" t="str">
        <f t="shared" si="21"/>
        <v/>
      </c>
      <c r="AY12" s="84">
        <f t="shared" si="22"/>
        <v>62</v>
      </c>
      <c r="AZ12" s="61">
        <f t="shared" si="23"/>
        <v>508040</v>
      </c>
      <c r="BA12" s="61">
        <f t="shared" si="24"/>
        <v>113110</v>
      </c>
      <c r="BB12" s="73">
        <f>W12+AE12+AM12+AW12-BN12</f>
        <v>613710</v>
      </c>
      <c r="BC12" s="74">
        <f t="shared" si="30"/>
        <v>5500</v>
      </c>
      <c r="BD12" s="75">
        <v>62</v>
      </c>
      <c r="BE12" s="76">
        <v>493240</v>
      </c>
      <c r="BF12" s="76">
        <v>107340</v>
      </c>
      <c r="BG12" s="77">
        <v>3300</v>
      </c>
      <c r="BH12" s="77">
        <v>2200</v>
      </c>
      <c r="BI12" s="77"/>
      <c r="BJ12" s="77"/>
      <c r="BK12" s="78">
        <f t="shared" si="29"/>
        <v>606080</v>
      </c>
      <c r="BL12" s="49">
        <v>8</v>
      </c>
      <c r="BM12" s="79">
        <f t="shared" si="25"/>
        <v>606080</v>
      </c>
      <c r="BN12" s="49">
        <v>7440</v>
      </c>
    </row>
    <row r="13" spans="1:67" ht="20" customHeight="1">
      <c r="B13" s="80">
        <f t="shared" si="26"/>
        <v>45697</v>
      </c>
      <c r="C13" s="81"/>
      <c r="D13" s="52"/>
      <c r="E13" s="53">
        <v>34</v>
      </c>
      <c r="F13" s="54">
        <v>129810</v>
      </c>
      <c r="G13" s="55">
        <f t="shared" si="0"/>
        <v>3470.8529411764707</v>
      </c>
      <c r="H13" s="54">
        <v>34010</v>
      </c>
      <c r="I13" s="56">
        <f t="shared" si="27"/>
        <v>909.35294117647061</v>
      </c>
      <c r="J13" s="57">
        <f t="shared" si="1"/>
        <v>163820</v>
      </c>
      <c r="K13" s="58">
        <f t="shared" si="2"/>
        <v>4818.2352941176468</v>
      </c>
      <c r="L13" s="59"/>
      <c r="M13" s="60">
        <f t="shared" si="3"/>
        <v>34</v>
      </c>
      <c r="N13" s="61">
        <f t="shared" si="3"/>
        <v>373340</v>
      </c>
      <c r="O13" s="55">
        <f t="shared" si="4"/>
        <v>9982.3529411764703</v>
      </c>
      <c r="P13" s="61">
        <f t="shared" si="5"/>
        <v>77780</v>
      </c>
      <c r="Q13" s="56">
        <f t="shared" si="6"/>
        <v>2079.6764705882351</v>
      </c>
      <c r="R13" s="62">
        <f t="shared" si="7"/>
        <v>451120</v>
      </c>
      <c r="S13" s="58">
        <f t="shared" si="8"/>
        <v>13268.235294117647</v>
      </c>
      <c r="T13" s="82">
        <f t="shared" si="9"/>
        <v>68</v>
      </c>
      <c r="U13" s="61">
        <f t="shared" si="9"/>
        <v>503150</v>
      </c>
      <c r="V13" s="61">
        <f t="shared" si="10"/>
        <v>111790</v>
      </c>
      <c r="W13" s="64">
        <f t="shared" si="11"/>
        <v>614940</v>
      </c>
      <c r="X13" s="83"/>
      <c r="Y13" s="65"/>
      <c r="Z13" s="66">
        <v>18</v>
      </c>
      <c r="AA13" s="54">
        <v>6600</v>
      </c>
      <c r="AB13" s="55">
        <f t="shared" si="12"/>
        <v>366.66666666666669</v>
      </c>
      <c r="AC13" s="54">
        <v>6000</v>
      </c>
      <c r="AD13" s="56">
        <f t="shared" si="13"/>
        <v>333.33333333333331</v>
      </c>
      <c r="AE13" s="67">
        <f t="shared" si="14"/>
        <v>12600</v>
      </c>
      <c r="AF13" s="58">
        <f t="shared" si="15"/>
        <v>700</v>
      </c>
      <c r="AG13" s="68"/>
      <c r="AH13" s="66"/>
      <c r="AI13" s="54"/>
      <c r="AJ13" s="55" t="e">
        <f t="shared" si="16"/>
        <v>#DIV/0!</v>
      </c>
      <c r="AK13" s="54"/>
      <c r="AL13" s="56" t="e">
        <f t="shared" si="17"/>
        <v>#DIV/0!</v>
      </c>
      <c r="AM13" s="67">
        <f t="shared" si="28"/>
        <v>0</v>
      </c>
      <c r="AN13" s="69" t="str">
        <f t="shared" si="18"/>
        <v/>
      </c>
      <c r="AO13" s="70"/>
      <c r="AP13" s="66"/>
      <c r="AQ13" s="54"/>
      <c r="AR13" s="55" t="e">
        <f t="shared" si="19"/>
        <v>#DIV/0!</v>
      </c>
      <c r="AS13" s="54"/>
      <c r="AT13" s="56" t="e">
        <f t="shared" si="20"/>
        <v>#DIV/0!</v>
      </c>
      <c r="AU13" s="56"/>
      <c r="AV13" s="56"/>
      <c r="AW13" s="71">
        <f>AQ13+AS13+AU13+AV13-BN13</f>
        <v>0</v>
      </c>
      <c r="AX13" s="69" t="str">
        <f t="shared" si="21"/>
        <v/>
      </c>
      <c r="AY13" s="84">
        <f t="shared" si="22"/>
        <v>68</v>
      </c>
      <c r="AZ13" s="61">
        <f t="shared" si="23"/>
        <v>509750</v>
      </c>
      <c r="BA13" s="61">
        <f t="shared" si="24"/>
        <v>117790</v>
      </c>
      <c r="BB13" s="73">
        <f t="shared" si="32"/>
        <v>627540</v>
      </c>
      <c r="BC13" s="74">
        <f t="shared" si="30"/>
        <v>12100</v>
      </c>
      <c r="BD13" s="75">
        <v>68</v>
      </c>
      <c r="BE13" s="76">
        <v>503150</v>
      </c>
      <c r="BF13" s="76">
        <v>111790</v>
      </c>
      <c r="BG13" s="77">
        <v>7150</v>
      </c>
      <c r="BH13" s="77">
        <v>4950</v>
      </c>
      <c r="BI13" s="77"/>
      <c r="BJ13" s="77"/>
      <c r="BK13" s="78">
        <f t="shared" si="29"/>
        <v>627040</v>
      </c>
      <c r="BL13" s="49">
        <v>9</v>
      </c>
      <c r="BM13" s="79">
        <f t="shared" si="25"/>
        <v>627040</v>
      </c>
    </row>
    <row r="14" spans="1:67" ht="20" customHeight="1">
      <c r="B14" s="80">
        <f t="shared" si="26"/>
        <v>45698</v>
      </c>
      <c r="C14" s="81"/>
      <c r="D14" s="52"/>
      <c r="E14" s="53">
        <v>31</v>
      </c>
      <c r="F14" s="54">
        <v>104500</v>
      </c>
      <c r="G14" s="55">
        <f t="shared" si="0"/>
        <v>3064.516129032258</v>
      </c>
      <c r="H14" s="54">
        <v>19960</v>
      </c>
      <c r="I14" s="56">
        <f>ROUNDDOWN(H14/1.1,0)/E14</f>
        <v>585.32258064516134</v>
      </c>
      <c r="J14" s="57">
        <f t="shared" si="1"/>
        <v>124460</v>
      </c>
      <c r="K14" s="58">
        <f t="shared" si="2"/>
        <v>4014.8387096774195</v>
      </c>
      <c r="L14" s="59"/>
      <c r="M14" s="60">
        <f t="shared" si="3"/>
        <v>34</v>
      </c>
      <c r="N14" s="61">
        <f t="shared" si="3"/>
        <v>335620</v>
      </c>
      <c r="O14" s="55">
        <f t="shared" si="4"/>
        <v>8973.7941176470595</v>
      </c>
      <c r="P14" s="61">
        <f t="shared" si="5"/>
        <v>102310</v>
      </c>
      <c r="Q14" s="56">
        <f t="shared" si="6"/>
        <v>2735.5588235294117</v>
      </c>
      <c r="R14" s="62">
        <f t="shared" si="7"/>
        <v>437930</v>
      </c>
      <c r="S14" s="58">
        <f t="shared" si="8"/>
        <v>12880.294117647059</v>
      </c>
      <c r="T14" s="82">
        <f t="shared" si="9"/>
        <v>65</v>
      </c>
      <c r="U14" s="61">
        <f t="shared" si="9"/>
        <v>440120</v>
      </c>
      <c r="V14" s="61">
        <f t="shared" si="10"/>
        <v>122270</v>
      </c>
      <c r="W14" s="64">
        <f t="shared" si="11"/>
        <v>562390</v>
      </c>
      <c r="X14" s="83"/>
      <c r="Y14" s="65"/>
      <c r="Z14" s="66">
        <v>14</v>
      </c>
      <c r="AA14" s="54">
        <v>5650</v>
      </c>
      <c r="AB14" s="55">
        <f t="shared" si="12"/>
        <v>403.57142857142856</v>
      </c>
      <c r="AC14" s="54">
        <v>1800</v>
      </c>
      <c r="AD14" s="56">
        <f t="shared" si="13"/>
        <v>128.57142857142858</v>
      </c>
      <c r="AE14" s="67">
        <f t="shared" si="14"/>
        <v>7450</v>
      </c>
      <c r="AF14" s="58">
        <f t="shared" si="15"/>
        <v>532.14285714285711</v>
      </c>
      <c r="AG14" s="68"/>
      <c r="AH14" s="66">
        <v>12</v>
      </c>
      <c r="AI14" s="54"/>
      <c r="AJ14" s="55">
        <f t="shared" si="16"/>
        <v>0</v>
      </c>
      <c r="AK14" s="54">
        <v>5742</v>
      </c>
      <c r="AL14" s="56">
        <f t="shared" si="17"/>
        <v>478.5</v>
      </c>
      <c r="AM14" s="67">
        <f t="shared" si="28"/>
        <v>5742</v>
      </c>
      <c r="AN14" s="69">
        <f t="shared" si="18"/>
        <v>478.5</v>
      </c>
      <c r="AO14" s="70"/>
      <c r="AP14" s="66"/>
      <c r="AQ14" s="54"/>
      <c r="AR14" s="55" t="e">
        <f t="shared" si="19"/>
        <v>#DIV/0!</v>
      </c>
      <c r="AS14" s="54"/>
      <c r="AT14" s="56" t="e">
        <f t="shared" si="20"/>
        <v>#DIV/0!</v>
      </c>
      <c r="AU14" s="56"/>
      <c r="AV14" s="56"/>
      <c r="AW14" s="71">
        <f t="shared" si="31"/>
        <v>0</v>
      </c>
      <c r="AX14" s="69" t="str">
        <f t="shared" si="21"/>
        <v/>
      </c>
      <c r="AY14" s="84">
        <f t="shared" si="22"/>
        <v>65</v>
      </c>
      <c r="AZ14" s="61">
        <f t="shared" si="23"/>
        <v>445770</v>
      </c>
      <c r="BA14" s="61">
        <f t="shared" si="24"/>
        <v>129812</v>
      </c>
      <c r="BB14" s="73">
        <f>W14+AE14+AM14+AW14-BN14</f>
        <v>575582</v>
      </c>
      <c r="BC14" s="74">
        <f t="shared" si="30"/>
        <v>9350</v>
      </c>
      <c r="BD14" s="75">
        <v>65</v>
      </c>
      <c r="BE14" s="76">
        <v>440120</v>
      </c>
      <c r="BF14" s="76">
        <v>122270</v>
      </c>
      <c r="BG14" s="77">
        <v>6600</v>
      </c>
      <c r="BH14" s="77">
        <v>2750</v>
      </c>
      <c r="BI14" s="77"/>
      <c r="BJ14" s="77"/>
      <c r="BK14" s="78">
        <f t="shared" si="29"/>
        <v>571740</v>
      </c>
      <c r="BL14" s="49">
        <v>10</v>
      </c>
      <c r="BM14" s="79">
        <f t="shared" si="25"/>
        <v>571740</v>
      </c>
    </row>
    <row r="15" spans="1:67" ht="20" customHeight="1">
      <c r="B15" s="80">
        <f t="shared" si="26"/>
        <v>45699</v>
      </c>
      <c r="C15" s="86"/>
      <c r="D15" s="52"/>
      <c r="E15" s="53">
        <v>31</v>
      </c>
      <c r="F15" s="54">
        <v>138500</v>
      </c>
      <c r="G15" s="55">
        <f t="shared" si="0"/>
        <v>4061.5806451612902</v>
      </c>
      <c r="H15" s="54">
        <v>32250</v>
      </c>
      <c r="I15" s="56">
        <f t="shared" si="27"/>
        <v>945.74193548387098</v>
      </c>
      <c r="J15" s="57">
        <f t="shared" si="1"/>
        <v>170750</v>
      </c>
      <c r="K15" s="58">
        <f t="shared" si="2"/>
        <v>5508.0645161290322</v>
      </c>
      <c r="L15" s="59"/>
      <c r="M15" s="60">
        <f t="shared" si="3"/>
        <v>26</v>
      </c>
      <c r="N15" s="61">
        <f t="shared" si="3"/>
        <v>255530</v>
      </c>
      <c r="O15" s="55">
        <f t="shared" si="4"/>
        <v>8934.6153846153848</v>
      </c>
      <c r="P15" s="61">
        <f t="shared" si="5"/>
        <v>65060</v>
      </c>
      <c r="Q15" s="56">
        <f t="shared" si="6"/>
        <v>2274.8076923076924</v>
      </c>
      <c r="R15" s="62">
        <f t="shared" si="7"/>
        <v>320590</v>
      </c>
      <c r="S15" s="58">
        <f t="shared" si="8"/>
        <v>12330.384615384615</v>
      </c>
      <c r="T15" s="82">
        <f t="shared" si="9"/>
        <v>57</v>
      </c>
      <c r="U15" s="61">
        <f t="shared" si="9"/>
        <v>394030</v>
      </c>
      <c r="V15" s="61">
        <f t="shared" si="10"/>
        <v>97310</v>
      </c>
      <c r="W15" s="64">
        <f t="shared" si="11"/>
        <v>491340</v>
      </c>
      <c r="X15" s="83"/>
      <c r="Y15" s="65"/>
      <c r="Z15" s="66">
        <v>19</v>
      </c>
      <c r="AA15" s="54">
        <v>7200</v>
      </c>
      <c r="AB15" s="55">
        <f t="shared" si="12"/>
        <v>378.94736842105266</v>
      </c>
      <c r="AC15" s="54">
        <v>4100</v>
      </c>
      <c r="AD15" s="56">
        <f t="shared" si="13"/>
        <v>215.78947368421052</v>
      </c>
      <c r="AE15" s="67">
        <f t="shared" si="14"/>
        <v>11300</v>
      </c>
      <c r="AF15" s="58">
        <f t="shared" si="15"/>
        <v>594.73684210526312</v>
      </c>
      <c r="AG15" s="68"/>
      <c r="AH15" s="66"/>
      <c r="AI15" s="54"/>
      <c r="AJ15" s="55" t="e">
        <f t="shared" si="16"/>
        <v>#DIV/0!</v>
      </c>
      <c r="AK15" s="54"/>
      <c r="AL15" s="56" t="e">
        <f t="shared" si="17"/>
        <v>#DIV/0!</v>
      </c>
      <c r="AM15" s="67">
        <f t="shared" si="28"/>
        <v>0</v>
      </c>
      <c r="AN15" s="69" t="str">
        <f t="shared" si="18"/>
        <v/>
      </c>
      <c r="AO15" s="70"/>
      <c r="AP15" s="66"/>
      <c r="AQ15" s="54"/>
      <c r="AR15" s="55" t="e">
        <f t="shared" si="19"/>
        <v>#DIV/0!</v>
      </c>
      <c r="AS15" s="54"/>
      <c r="AT15" s="56" t="e">
        <f t="shared" si="20"/>
        <v>#DIV/0!</v>
      </c>
      <c r="AU15" s="56"/>
      <c r="AV15" s="56"/>
      <c r="AW15" s="71">
        <f t="shared" si="31"/>
        <v>0</v>
      </c>
      <c r="AX15" s="69" t="str">
        <f t="shared" si="21"/>
        <v/>
      </c>
      <c r="AY15" s="84">
        <f t="shared" si="22"/>
        <v>57</v>
      </c>
      <c r="AZ15" s="61">
        <f t="shared" si="23"/>
        <v>401230</v>
      </c>
      <c r="BA15" s="61">
        <f t="shared" si="24"/>
        <v>101410</v>
      </c>
      <c r="BB15" s="73">
        <f>W15+AE15+AM15+AW15-BN15</f>
        <v>502640</v>
      </c>
      <c r="BC15" s="74">
        <f t="shared" si="30"/>
        <v>4400</v>
      </c>
      <c r="BD15" s="75">
        <v>57</v>
      </c>
      <c r="BE15" s="76">
        <v>394030</v>
      </c>
      <c r="BF15" s="76">
        <v>97310</v>
      </c>
      <c r="BG15" s="77">
        <v>3300</v>
      </c>
      <c r="BH15" s="77">
        <v>1100</v>
      </c>
      <c r="BI15" s="77">
        <v>8300</v>
      </c>
      <c r="BJ15" s="77"/>
      <c r="BK15" s="78">
        <f t="shared" si="29"/>
        <v>495740</v>
      </c>
      <c r="BL15" s="49">
        <v>11</v>
      </c>
      <c r="BM15" s="79">
        <f t="shared" si="25"/>
        <v>495740</v>
      </c>
    </row>
    <row r="16" spans="1:67" ht="20" customHeight="1">
      <c r="B16" s="80">
        <f t="shared" si="26"/>
        <v>45700</v>
      </c>
      <c r="C16" s="81"/>
      <c r="D16" s="52"/>
      <c r="E16" s="53">
        <v>31</v>
      </c>
      <c r="F16" s="54">
        <v>107580</v>
      </c>
      <c r="G16" s="55">
        <f t="shared" si="0"/>
        <v>3154.8387096774195</v>
      </c>
      <c r="H16" s="54">
        <v>13320</v>
      </c>
      <c r="I16" s="56">
        <f t="shared" si="27"/>
        <v>390.61290322580646</v>
      </c>
      <c r="J16" s="57">
        <f t="shared" si="1"/>
        <v>120900</v>
      </c>
      <c r="K16" s="58">
        <f t="shared" si="2"/>
        <v>3900</v>
      </c>
      <c r="L16" s="59"/>
      <c r="M16" s="60">
        <f t="shared" si="3"/>
        <v>27</v>
      </c>
      <c r="N16" s="61">
        <f t="shared" si="3"/>
        <v>231660</v>
      </c>
      <c r="O16" s="55">
        <f t="shared" si="4"/>
        <v>7800</v>
      </c>
      <c r="P16" s="61">
        <f t="shared" si="5"/>
        <v>92340</v>
      </c>
      <c r="Q16" s="56">
        <f t="shared" si="6"/>
        <v>3109.0740740740739</v>
      </c>
      <c r="R16" s="62">
        <f t="shared" si="7"/>
        <v>324000</v>
      </c>
      <c r="S16" s="58">
        <f t="shared" si="8"/>
        <v>12000</v>
      </c>
      <c r="T16" s="82">
        <f t="shared" si="9"/>
        <v>58</v>
      </c>
      <c r="U16" s="61">
        <f t="shared" si="9"/>
        <v>339240</v>
      </c>
      <c r="V16" s="61">
        <f t="shared" si="10"/>
        <v>105660</v>
      </c>
      <c r="W16" s="64">
        <f t="shared" si="11"/>
        <v>444900</v>
      </c>
      <c r="X16" s="83"/>
      <c r="Y16" s="65"/>
      <c r="Z16" s="66">
        <v>13</v>
      </c>
      <c r="AA16" s="54">
        <v>6150</v>
      </c>
      <c r="AB16" s="55">
        <f t="shared" si="12"/>
        <v>473.07692307692309</v>
      </c>
      <c r="AC16" s="54">
        <v>1000</v>
      </c>
      <c r="AD16" s="56">
        <f t="shared" si="13"/>
        <v>76.92307692307692</v>
      </c>
      <c r="AE16" s="67">
        <f t="shared" si="14"/>
        <v>7150</v>
      </c>
      <c r="AF16" s="58">
        <f t="shared" si="15"/>
        <v>550</v>
      </c>
      <c r="AG16" s="68"/>
      <c r="AH16" s="66"/>
      <c r="AI16" s="54"/>
      <c r="AJ16" s="55" t="e">
        <f t="shared" si="16"/>
        <v>#DIV/0!</v>
      </c>
      <c r="AK16" s="54"/>
      <c r="AL16" s="56" t="e">
        <f t="shared" si="17"/>
        <v>#DIV/0!</v>
      </c>
      <c r="AM16" s="67">
        <f t="shared" si="28"/>
        <v>0</v>
      </c>
      <c r="AN16" s="69" t="str">
        <f t="shared" si="18"/>
        <v/>
      </c>
      <c r="AO16" s="70"/>
      <c r="AP16" s="66"/>
      <c r="AQ16" s="54"/>
      <c r="AR16" s="55" t="e">
        <f t="shared" si="19"/>
        <v>#DIV/0!</v>
      </c>
      <c r="AS16" s="54"/>
      <c r="AT16" s="56" t="e">
        <f t="shared" si="20"/>
        <v>#DIV/0!</v>
      </c>
      <c r="AU16" s="56"/>
      <c r="AV16" s="56"/>
      <c r="AW16" s="71">
        <f t="shared" si="31"/>
        <v>0</v>
      </c>
      <c r="AX16" s="69" t="str">
        <f t="shared" si="21"/>
        <v/>
      </c>
      <c r="AY16" s="84">
        <f t="shared" si="22"/>
        <v>58</v>
      </c>
      <c r="AZ16" s="61">
        <f t="shared" si="23"/>
        <v>345390</v>
      </c>
      <c r="BA16" s="61">
        <f t="shared" si="24"/>
        <v>106660</v>
      </c>
      <c r="BB16" s="73">
        <f t="shared" si="32"/>
        <v>452050</v>
      </c>
      <c r="BC16" s="74">
        <f t="shared" si="30"/>
        <v>0</v>
      </c>
      <c r="BD16" s="75">
        <v>58</v>
      </c>
      <c r="BE16" s="76">
        <v>339240</v>
      </c>
      <c r="BF16" s="76">
        <v>105660</v>
      </c>
      <c r="BG16" s="77"/>
      <c r="BH16" s="77"/>
      <c r="BI16" s="77"/>
      <c r="BJ16" s="77"/>
      <c r="BK16" s="78">
        <f t="shared" si="29"/>
        <v>444900</v>
      </c>
      <c r="BL16" s="49">
        <v>12</v>
      </c>
      <c r="BM16" s="79">
        <f t="shared" si="25"/>
        <v>444900</v>
      </c>
    </row>
    <row r="17" spans="2:67" ht="20" customHeight="1">
      <c r="B17" s="80">
        <f t="shared" si="26"/>
        <v>45701</v>
      </c>
      <c r="C17" s="86"/>
      <c r="D17" s="52"/>
      <c r="E17" s="53">
        <v>29</v>
      </c>
      <c r="F17" s="54">
        <v>110330</v>
      </c>
      <c r="G17" s="55">
        <f t="shared" si="0"/>
        <v>3458.6206896551726</v>
      </c>
      <c r="H17" s="54">
        <v>14190</v>
      </c>
      <c r="I17" s="56">
        <f t="shared" si="27"/>
        <v>444.82758620689657</v>
      </c>
      <c r="J17" s="57">
        <f t="shared" si="1"/>
        <v>124520</v>
      </c>
      <c r="K17" s="58">
        <f t="shared" si="2"/>
        <v>4293.7931034482763</v>
      </c>
      <c r="L17" s="59"/>
      <c r="M17" s="60">
        <f t="shared" si="3"/>
        <v>18</v>
      </c>
      <c r="N17" s="61">
        <f t="shared" si="3"/>
        <v>145310</v>
      </c>
      <c r="O17" s="55">
        <f t="shared" si="4"/>
        <v>7338.8888888888887</v>
      </c>
      <c r="P17" s="61">
        <f t="shared" si="5"/>
        <v>34150</v>
      </c>
      <c r="Q17" s="56">
        <f t="shared" si="6"/>
        <v>1724.7222222222222</v>
      </c>
      <c r="R17" s="62">
        <f t="shared" si="7"/>
        <v>179460</v>
      </c>
      <c r="S17" s="58">
        <f t="shared" si="8"/>
        <v>9970</v>
      </c>
      <c r="T17" s="82">
        <f>E17+M17</f>
        <v>47</v>
      </c>
      <c r="U17" s="61">
        <f t="shared" si="9"/>
        <v>255640</v>
      </c>
      <c r="V17" s="61">
        <f t="shared" si="10"/>
        <v>48340</v>
      </c>
      <c r="W17" s="64">
        <f t="shared" si="11"/>
        <v>303980</v>
      </c>
      <c r="X17" s="83"/>
      <c r="Y17" s="65"/>
      <c r="Z17" s="66">
        <v>13</v>
      </c>
      <c r="AA17" s="54">
        <v>5450</v>
      </c>
      <c r="AB17" s="55">
        <f t="shared" si="12"/>
        <v>419.23076923076923</v>
      </c>
      <c r="AC17" s="54">
        <v>800</v>
      </c>
      <c r="AD17" s="56">
        <f t="shared" si="13"/>
        <v>61.53846153846154</v>
      </c>
      <c r="AE17" s="67">
        <f t="shared" si="14"/>
        <v>6250</v>
      </c>
      <c r="AF17" s="58">
        <f t="shared" si="15"/>
        <v>480.76923076923077</v>
      </c>
      <c r="AG17" s="68"/>
      <c r="AH17" s="66"/>
      <c r="AI17" s="54"/>
      <c r="AJ17" s="55" t="e">
        <f t="shared" si="16"/>
        <v>#DIV/0!</v>
      </c>
      <c r="AK17" s="54"/>
      <c r="AL17" s="56" t="e">
        <f t="shared" si="17"/>
        <v>#DIV/0!</v>
      </c>
      <c r="AM17" s="67">
        <f t="shared" si="28"/>
        <v>0</v>
      </c>
      <c r="AN17" s="69" t="str">
        <f t="shared" si="18"/>
        <v/>
      </c>
      <c r="AO17" s="70"/>
      <c r="AP17" s="66"/>
      <c r="AQ17" s="54"/>
      <c r="AR17" s="55" t="e">
        <f t="shared" si="19"/>
        <v>#DIV/0!</v>
      </c>
      <c r="AS17" s="54"/>
      <c r="AT17" s="56" t="e">
        <f t="shared" si="20"/>
        <v>#DIV/0!</v>
      </c>
      <c r="AU17" s="56"/>
      <c r="AV17" s="56"/>
      <c r="AW17" s="71">
        <f>AQ17+AS17+AU17+AV17</f>
        <v>0</v>
      </c>
      <c r="AX17" s="69" t="str">
        <f t="shared" si="21"/>
        <v/>
      </c>
      <c r="AY17" s="84">
        <f t="shared" si="22"/>
        <v>47</v>
      </c>
      <c r="AZ17" s="61">
        <f t="shared" si="23"/>
        <v>261090</v>
      </c>
      <c r="BA17" s="61">
        <f t="shared" si="24"/>
        <v>49140</v>
      </c>
      <c r="BB17" s="73">
        <f>W17+AE17+AM17+AW17-BN17</f>
        <v>309834</v>
      </c>
      <c r="BC17" s="74">
        <f t="shared" si="30"/>
        <v>2200</v>
      </c>
      <c r="BD17" s="75">
        <v>47</v>
      </c>
      <c r="BE17" s="76">
        <v>255640</v>
      </c>
      <c r="BF17" s="76">
        <v>48340</v>
      </c>
      <c r="BG17" s="77">
        <v>2200</v>
      </c>
      <c r="BH17" s="77"/>
      <c r="BI17" s="77"/>
      <c r="BJ17" s="77"/>
      <c r="BK17" s="78">
        <f t="shared" si="29"/>
        <v>306180</v>
      </c>
      <c r="BL17" s="49">
        <v>13</v>
      </c>
      <c r="BM17" s="79">
        <f t="shared" si="25"/>
        <v>306180</v>
      </c>
      <c r="BN17" s="49">
        <v>396</v>
      </c>
    </row>
    <row r="18" spans="2:67" ht="20" customHeight="1">
      <c r="B18" s="80">
        <f t="shared" si="26"/>
        <v>45702</v>
      </c>
      <c r="C18" s="81"/>
      <c r="D18" s="52"/>
      <c r="E18" s="53">
        <v>37</v>
      </c>
      <c r="F18" s="54">
        <v>135300</v>
      </c>
      <c r="G18" s="55">
        <f t="shared" si="0"/>
        <v>3324.3243243243242</v>
      </c>
      <c r="H18" s="54">
        <v>20380</v>
      </c>
      <c r="I18" s="56">
        <f t="shared" si="27"/>
        <v>500.72972972972974</v>
      </c>
      <c r="J18" s="57">
        <f t="shared" si="1"/>
        <v>155680</v>
      </c>
      <c r="K18" s="58">
        <f t="shared" si="2"/>
        <v>4207.5675675675675</v>
      </c>
      <c r="L18" s="59"/>
      <c r="M18" s="60">
        <f t="shared" si="3"/>
        <v>27</v>
      </c>
      <c r="N18" s="61">
        <f t="shared" si="3"/>
        <v>246400</v>
      </c>
      <c r="O18" s="55">
        <f t="shared" si="4"/>
        <v>8296.2962962962956</v>
      </c>
      <c r="P18" s="61">
        <f t="shared" si="5"/>
        <v>39970</v>
      </c>
      <c r="Q18" s="56">
        <f t="shared" si="6"/>
        <v>1345.7777777777778</v>
      </c>
      <c r="R18" s="62">
        <f t="shared" si="7"/>
        <v>286370</v>
      </c>
      <c r="S18" s="58">
        <f t="shared" si="8"/>
        <v>10606.296296296296</v>
      </c>
      <c r="T18" s="82">
        <f t="shared" si="9"/>
        <v>64</v>
      </c>
      <c r="U18" s="61">
        <f t="shared" si="9"/>
        <v>381700</v>
      </c>
      <c r="V18" s="61">
        <f t="shared" si="10"/>
        <v>60350</v>
      </c>
      <c r="W18" s="64">
        <f t="shared" si="11"/>
        <v>442050</v>
      </c>
      <c r="X18" s="83"/>
      <c r="Y18" s="65"/>
      <c r="Z18" s="66">
        <v>27</v>
      </c>
      <c r="AA18" s="54">
        <v>8950</v>
      </c>
      <c r="AB18" s="55">
        <f t="shared" si="12"/>
        <v>331.48148148148147</v>
      </c>
      <c r="AC18" s="54">
        <v>3700</v>
      </c>
      <c r="AD18" s="56">
        <f t="shared" si="13"/>
        <v>137.03703703703704</v>
      </c>
      <c r="AE18" s="67">
        <f t="shared" si="14"/>
        <v>12650</v>
      </c>
      <c r="AF18" s="58">
        <f t="shared" si="15"/>
        <v>468.51851851851853</v>
      </c>
      <c r="AG18" s="68"/>
      <c r="AH18" s="66">
        <v>36</v>
      </c>
      <c r="AI18" s="54">
        <v>203580</v>
      </c>
      <c r="AJ18" s="55">
        <f t="shared" si="16"/>
        <v>5655</v>
      </c>
      <c r="AK18" s="54">
        <v>46980</v>
      </c>
      <c r="AL18" s="56">
        <f t="shared" si="17"/>
        <v>1305</v>
      </c>
      <c r="AM18" s="67">
        <f t="shared" si="28"/>
        <v>250560</v>
      </c>
      <c r="AN18" s="69">
        <f t="shared" si="18"/>
        <v>6960</v>
      </c>
      <c r="AO18" s="70"/>
      <c r="AP18" s="66"/>
      <c r="AQ18" s="54"/>
      <c r="AR18" s="55" t="e">
        <f t="shared" si="19"/>
        <v>#DIV/0!</v>
      </c>
      <c r="AS18" s="54"/>
      <c r="AT18" s="56" t="e">
        <f t="shared" si="20"/>
        <v>#DIV/0!</v>
      </c>
      <c r="AU18" s="56"/>
      <c r="AV18" s="56"/>
      <c r="AW18" s="71">
        <f t="shared" ref="AW18:AW35" si="33">AQ18+AS18+AU18+AV18</f>
        <v>0</v>
      </c>
      <c r="AX18" s="69" t="str">
        <f t="shared" si="21"/>
        <v/>
      </c>
      <c r="AY18" s="84">
        <f t="shared" si="22"/>
        <v>64</v>
      </c>
      <c r="AZ18" s="61">
        <f t="shared" si="23"/>
        <v>594230</v>
      </c>
      <c r="BA18" s="61">
        <f t="shared" si="24"/>
        <v>111030</v>
      </c>
      <c r="BB18" s="73">
        <f>W18+AE18+AM18+AW18-BN18</f>
        <v>705260</v>
      </c>
      <c r="BC18" s="74">
        <f t="shared" si="30"/>
        <v>24300</v>
      </c>
      <c r="BD18" s="75">
        <v>64</v>
      </c>
      <c r="BE18" s="76">
        <v>381700</v>
      </c>
      <c r="BF18" s="76">
        <v>60350</v>
      </c>
      <c r="BG18" s="77">
        <v>7700</v>
      </c>
      <c r="BH18" s="77">
        <v>16600</v>
      </c>
      <c r="BI18" s="77"/>
      <c r="BJ18" s="77"/>
      <c r="BK18" s="78">
        <f t="shared" si="29"/>
        <v>466350</v>
      </c>
      <c r="BL18" s="49">
        <v>14</v>
      </c>
      <c r="BM18" s="79">
        <f t="shared" si="25"/>
        <v>466350</v>
      </c>
    </row>
    <row r="19" spans="2:67" ht="20" customHeight="1">
      <c r="B19" s="80">
        <f t="shared" si="26"/>
        <v>45703</v>
      </c>
      <c r="C19" s="81"/>
      <c r="D19" s="52"/>
      <c r="E19" s="53">
        <v>20</v>
      </c>
      <c r="F19" s="54">
        <v>82940</v>
      </c>
      <c r="G19" s="55">
        <f t="shared" si="0"/>
        <v>3770</v>
      </c>
      <c r="H19" s="54">
        <v>16650</v>
      </c>
      <c r="I19" s="56">
        <f t="shared" si="27"/>
        <v>756.8</v>
      </c>
      <c r="J19" s="57">
        <f t="shared" si="1"/>
        <v>99590</v>
      </c>
      <c r="K19" s="58">
        <f t="shared" si="2"/>
        <v>4979.5</v>
      </c>
      <c r="L19" s="59"/>
      <c r="M19" s="60">
        <f t="shared" si="3"/>
        <v>34</v>
      </c>
      <c r="N19" s="61">
        <f t="shared" si="3"/>
        <v>371430</v>
      </c>
      <c r="O19" s="55">
        <f t="shared" si="4"/>
        <v>9931.2647058823532</v>
      </c>
      <c r="P19" s="61">
        <f t="shared" si="5"/>
        <v>82520</v>
      </c>
      <c r="Q19" s="87">
        <f t="shared" si="6"/>
        <v>2206.4117647058824</v>
      </c>
      <c r="R19" s="62">
        <f t="shared" si="7"/>
        <v>453950</v>
      </c>
      <c r="S19" s="58">
        <f t="shared" si="8"/>
        <v>13351.470588235294</v>
      </c>
      <c r="T19" s="82">
        <f t="shared" si="9"/>
        <v>54</v>
      </c>
      <c r="U19" s="61">
        <f t="shared" si="9"/>
        <v>454370</v>
      </c>
      <c r="V19" s="61">
        <f t="shared" si="10"/>
        <v>99170</v>
      </c>
      <c r="W19" s="64">
        <f t="shared" si="11"/>
        <v>553540</v>
      </c>
      <c r="X19" s="83"/>
      <c r="Y19" s="65"/>
      <c r="Z19" s="66">
        <v>15</v>
      </c>
      <c r="AA19" s="54">
        <v>6350</v>
      </c>
      <c r="AB19" s="55">
        <f t="shared" si="12"/>
        <v>423.33333333333331</v>
      </c>
      <c r="AC19" s="54">
        <v>4300</v>
      </c>
      <c r="AD19" s="56">
        <v>1700</v>
      </c>
      <c r="AE19" s="67">
        <f t="shared" si="14"/>
        <v>10650</v>
      </c>
      <c r="AF19" s="58">
        <f t="shared" si="15"/>
        <v>710</v>
      </c>
      <c r="AG19" s="68"/>
      <c r="AH19" s="66"/>
      <c r="AI19" s="54"/>
      <c r="AJ19" s="55" t="e">
        <f t="shared" si="16"/>
        <v>#DIV/0!</v>
      </c>
      <c r="AK19" s="54"/>
      <c r="AL19" s="56" t="e">
        <f t="shared" si="17"/>
        <v>#DIV/0!</v>
      </c>
      <c r="AM19" s="67">
        <f t="shared" si="28"/>
        <v>0</v>
      </c>
      <c r="AN19" s="69" t="str">
        <f t="shared" si="18"/>
        <v/>
      </c>
      <c r="AO19" s="70"/>
      <c r="AP19" s="66"/>
      <c r="AQ19" s="54"/>
      <c r="AR19" s="55" t="e">
        <f t="shared" si="19"/>
        <v>#DIV/0!</v>
      </c>
      <c r="AS19" s="54"/>
      <c r="AT19" s="56" t="e">
        <f t="shared" si="20"/>
        <v>#DIV/0!</v>
      </c>
      <c r="AU19" s="56"/>
      <c r="AV19" s="56"/>
      <c r="AW19" s="71">
        <f>AQ19+AS19+AU19+AV19-BN19</f>
        <v>0</v>
      </c>
      <c r="AX19" s="69" t="str">
        <f t="shared" si="21"/>
        <v/>
      </c>
      <c r="AY19" s="84">
        <f t="shared" si="22"/>
        <v>54</v>
      </c>
      <c r="AZ19" s="61">
        <f t="shared" si="23"/>
        <v>460720</v>
      </c>
      <c r="BA19" s="61">
        <f t="shared" si="24"/>
        <v>103470</v>
      </c>
      <c r="BB19" s="73">
        <f>W19+AE19+AM19+AW19-BN19</f>
        <v>564190</v>
      </c>
      <c r="BC19" s="74">
        <f t="shared" si="30"/>
        <v>2200</v>
      </c>
      <c r="BD19" s="75">
        <v>54</v>
      </c>
      <c r="BE19" s="76">
        <v>454370</v>
      </c>
      <c r="BF19" s="76">
        <v>99170</v>
      </c>
      <c r="BG19" s="77">
        <v>2200</v>
      </c>
      <c r="BH19" s="77"/>
      <c r="BI19" s="77"/>
      <c r="BJ19" s="77"/>
      <c r="BK19" s="78">
        <f t="shared" si="29"/>
        <v>555740</v>
      </c>
      <c r="BL19" s="49">
        <v>15</v>
      </c>
      <c r="BM19" s="79">
        <f t="shared" si="25"/>
        <v>555740</v>
      </c>
    </row>
    <row r="20" spans="2:67" ht="20" customHeight="1">
      <c r="B20" s="80">
        <f t="shared" si="26"/>
        <v>45704</v>
      </c>
      <c r="C20" s="81"/>
      <c r="D20" s="52"/>
      <c r="E20" s="53">
        <v>32</v>
      </c>
      <c r="F20" s="54">
        <v>140700</v>
      </c>
      <c r="G20" s="55">
        <f t="shared" si="0"/>
        <v>3997.15625</v>
      </c>
      <c r="H20" s="54">
        <v>22180</v>
      </c>
      <c r="I20" s="56">
        <f t="shared" si="27"/>
        <v>630.09375</v>
      </c>
      <c r="J20" s="57">
        <f t="shared" si="1"/>
        <v>162880</v>
      </c>
      <c r="K20" s="58">
        <f t="shared" si="2"/>
        <v>5090</v>
      </c>
      <c r="L20" s="59"/>
      <c r="M20" s="60">
        <f t="shared" si="3"/>
        <v>16</v>
      </c>
      <c r="N20" s="61">
        <f t="shared" si="3"/>
        <v>161700</v>
      </c>
      <c r="O20" s="55">
        <f t="shared" si="4"/>
        <v>9187.5</v>
      </c>
      <c r="P20" s="61">
        <f t="shared" si="5"/>
        <v>38040</v>
      </c>
      <c r="Q20" s="87">
        <f t="shared" si="6"/>
        <v>2161.3125</v>
      </c>
      <c r="R20" s="62">
        <f t="shared" si="7"/>
        <v>199740</v>
      </c>
      <c r="S20" s="58">
        <f t="shared" si="8"/>
        <v>12483.75</v>
      </c>
      <c r="T20" s="82">
        <f t="shared" si="9"/>
        <v>48</v>
      </c>
      <c r="U20" s="61">
        <f t="shared" si="9"/>
        <v>302400</v>
      </c>
      <c r="V20" s="61">
        <f t="shared" si="10"/>
        <v>60220</v>
      </c>
      <c r="W20" s="64">
        <f t="shared" si="11"/>
        <v>362620</v>
      </c>
      <c r="X20" s="83"/>
      <c r="Y20" s="65"/>
      <c r="Z20" s="66">
        <v>21</v>
      </c>
      <c r="AA20" s="54">
        <v>7750</v>
      </c>
      <c r="AB20" s="55">
        <f t="shared" si="12"/>
        <v>369.04761904761904</v>
      </c>
      <c r="AC20" s="54">
        <v>4700</v>
      </c>
      <c r="AD20" s="56">
        <f t="shared" si="13"/>
        <v>223.8095238095238</v>
      </c>
      <c r="AE20" s="67">
        <f t="shared" si="14"/>
        <v>12450</v>
      </c>
      <c r="AF20" s="58">
        <f t="shared" si="15"/>
        <v>592.85714285714289</v>
      </c>
      <c r="AG20" s="68"/>
      <c r="AH20" s="66"/>
      <c r="AI20" s="54"/>
      <c r="AJ20" s="55" t="e">
        <f t="shared" si="16"/>
        <v>#DIV/0!</v>
      </c>
      <c r="AK20" s="54"/>
      <c r="AL20" s="56" t="e">
        <f t="shared" si="17"/>
        <v>#DIV/0!</v>
      </c>
      <c r="AM20" s="67">
        <f t="shared" si="28"/>
        <v>0</v>
      </c>
      <c r="AN20" s="69" t="str">
        <f t="shared" si="18"/>
        <v/>
      </c>
      <c r="AO20" s="70"/>
      <c r="AP20" s="66"/>
      <c r="AQ20" s="54"/>
      <c r="AR20" s="55" t="e">
        <f t="shared" si="19"/>
        <v>#DIV/0!</v>
      </c>
      <c r="AS20" s="54"/>
      <c r="AT20" s="56" t="e">
        <f t="shared" si="20"/>
        <v>#DIV/0!</v>
      </c>
      <c r="AU20" s="56"/>
      <c r="AV20" s="56"/>
      <c r="AW20" s="71">
        <f t="shared" si="33"/>
        <v>0</v>
      </c>
      <c r="AX20" s="69" t="str">
        <f t="shared" si="21"/>
        <v/>
      </c>
      <c r="AY20" s="84">
        <f t="shared" si="22"/>
        <v>48</v>
      </c>
      <c r="AZ20" s="61">
        <f t="shared" si="23"/>
        <v>310150</v>
      </c>
      <c r="BA20" s="61">
        <f t="shared" si="24"/>
        <v>64920</v>
      </c>
      <c r="BB20" s="73">
        <f>W20+AE20+AM20+AW20</f>
        <v>375070</v>
      </c>
      <c r="BC20" s="74">
        <f t="shared" si="30"/>
        <v>9900</v>
      </c>
      <c r="BD20" s="75">
        <v>48</v>
      </c>
      <c r="BE20" s="76">
        <v>302400</v>
      </c>
      <c r="BF20" s="76">
        <v>60220</v>
      </c>
      <c r="BG20" s="77">
        <v>8800</v>
      </c>
      <c r="BH20" s="77">
        <v>1100</v>
      </c>
      <c r="BI20" s="77">
        <v>19800</v>
      </c>
      <c r="BJ20" s="77"/>
      <c r="BK20" s="78">
        <f t="shared" si="29"/>
        <v>372520</v>
      </c>
      <c r="BL20" s="49">
        <v>16</v>
      </c>
      <c r="BM20" s="79">
        <f t="shared" si="25"/>
        <v>372520</v>
      </c>
    </row>
    <row r="21" spans="2:67" ht="20" customHeight="1">
      <c r="B21" s="80">
        <f t="shared" si="26"/>
        <v>45705</v>
      </c>
      <c r="C21" s="81"/>
      <c r="D21" s="52"/>
      <c r="E21" s="53">
        <v>13</v>
      </c>
      <c r="F21" s="54">
        <v>41690</v>
      </c>
      <c r="G21" s="55">
        <f>ROUNDDOWN(F21/1.1,0)/E21</f>
        <v>2915.3846153846152</v>
      </c>
      <c r="H21" s="54">
        <v>2460</v>
      </c>
      <c r="I21" s="56">
        <f t="shared" si="27"/>
        <v>172</v>
      </c>
      <c r="J21" s="57">
        <f t="shared" si="1"/>
        <v>44150</v>
      </c>
      <c r="K21" s="58">
        <f t="shared" si="2"/>
        <v>3396.1538461538462</v>
      </c>
      <c r="L21" s="59"/>
      <c r="M21" s="60">
        <f t="shared" si="3"/>
        <v>6</v>
      </c>
      <c r="N21" s="61">
        <f t="shared" si="3"/>
        <v>55550</v>
      </c>
      <c r="O21" s="55">
        <f t="shared" si="4"/>
        <v>8416.6666666666661</v>
      </c>
      <c r="P21" s="61">
        <f t="shared" si="5"/>
        <v>32120</v>
      </c>
      <c r="Q21" s="87">
        <f t="shared" si="6"/>
        <v>4866.666666666667</v>
      </c>
      <c r="R21" s="62">
        <f>N21+P21</f>
        <v>87670</v>
      </c>
      <c r="S21" s="58">
        <f t="shared" si="8"/>
        <v>14611.666666666666</v>
      </c>
      <c r="T21" s="82">
        <f t="shared" si="9"/>
        <v>19</v>
      </c>
      <c r="U21" s="61">
        <f t="shared" si="9"/>
        <v>97240</v>
      </c>
      <c r="V21" s="61">
        <f t="shared" si="10"/>
        <v>34580</v>
      </c>
      <c r="W21" s="64">
        <f t="shared" si="11"/>
        <v>131820</v>
      </c>
      <c r="X21" s="83"/>
      <c r="Y21" s="65"/>
      <c r="Z21" s="66">
        <v>13</v>
      </c>
      <c r="AA21" s="54">
        <v>5450</v>
      </c>
      <c r="AB21" s="55">
        <f t="shared" si="12"/>
        <v>419.23076923076923</v>
      </c>
      <c r="AC21" s="54">
        <v>2400</v>
      </c>
      <c r="AD21" s="56">
        <f t="shared" si="13"/>
        <v>184.61538461538461</v>
      </c>
      <c r="AE21" s="67">
        <f t="shared" si="14"/>
        <v>7850</v>
      </c>
      <c r="AF21" s="58">
        <f t="shared" si="15"/>
        <v>603.84615384615381</v>
      </c>
      <c r="AG21" s="68"/>
      <c r="AH21" s="66"/>
      <c r="AI21" s="54"/>
      <c r="AJ21" s="55" t="e">
        <f t="shared" si="16"/>
        <v>#DIV/0!</v>
      </c>
      <c r="AK21" s="54"/>
      <c r="AL21" s="56" t="e">
        <f t="shared" si="17"/>
        <v>#DIV/0!</v>
      </c>
      <c r="AM21" s="67">
        <f t="shared" si="28"/>
        <v>0</v>
      </c>
      <c r="AN21" s="69" t="str">
        <f t="shared" si="18"/>
        <v/>
      </c>
      <c r="AO21" s="70"/>
      <c r="AP21" s="66"/>
      <c r="AQ21" s="54"/>
      <c r="AR21" s="55" t="e">
        <f t="shared" si="19"/>
        <v>#DIV/0!</v>
      </c>
      <c r="AS21" s="54"/>
      <c r="AT21" s="56" t="e">
        <f t="shared" si="20"/>
        <v>#DIV/0!</v>
      </c>
      <c r="AU21" s="56"/>
      <c r="AV21" s="56"/>
      <c r="AW21" s="71">
        <f t="shared" si="33"/>
        <v>0</v>
      </c>
      <c r="AX21" s="69" t="str">
        <f t="shared" si="21"/>
        <v/>
      </c>
      <c r="AY21" s="84">
        <f t="shared" si="22"/>
        <v>19</v>
      </c>
      <c r="AZ21" s="61">
        <f t="shared" si="23"/>
        <v>102690</v>
      </c>
      <c r="BA21" s="61">
        <f t="shared" si="24"/>
        <v>36980</v>
      </c>
      <c r="BB21" s="73">
        <f>W21+AE21+AM21+AW21</f>
        <v>139670</v>
      </c>
      <c r="BC21" s="74">
        <f t="shared" si="30"/>
        <v>3300</v>
      </c>
      <c r="BD21" s="75">
        <v>19</v>
      </c>
      <c r="BE21" s="76">
        <v>97240</v>
      </c>
      <c r="BF21" s="76">
        <v>34580</v>
      </c>
      <c r="BG21" s="77">
        <v>3300</v>
      </c>
      <c r="BH21" s="77"/>
      <c r="BI21" s="77"/>
      <c r="BJ21" s="77"/>
      <c r="BK21" s="78">
        <f t="shared" si="29"/>
        <v>135120</v>
      </c>
      <c r="BL21" s="49">
        <v>17</v>
      </c>
      <c r="BM21" s="79">
        <f t="shared" si="25"/>
        <v>135120</v>
      </c>
    </row>
    <row r="22" spans="2:67" ht="20" customHeight="1">
      <c r="B22" s="80">
        <f t="shared" si="26"/>
        <v>45706</v>
      </c>
      <c r="C22" s="81"/>
      <c r="D22" s="52"/>
      <c r="E22" s="53">
        <v>24</v>
      </c>
      <c r="F22" s="54">
        <v>81840</v>
      </c>
      <c r="G22" s="55">
        <f t="shared" si="0"/>
        <v>3100</v>
      </c>
      <c r="H22" s="54">
        <v>14070</v>
      </c>
      <c r="I22" s="56">
        <f t="shared" si="27"/>
        <v>532.91666666666663</v>
      </c>
      <c r="J22" s="57">
        <f t="shared" si="1"/>
        <v>95910</v>
      </c>
      <c r="K22" s="58">
        <f t="shared" si="2"/>
        <v>3996.25</v>
      </c>
      <c r="L22" s="59"/>
      <c r="M22" s="60">
        <f t="shared" si="3"/>
        <v>23</v>
      </c>
      <c r="N22" s="61">
        <f t="shared" si="3"/>
        <v>168850</v>
      </c>
      <c r="O22" s="55">
        <f t="shared" si="4"/>
        <v>6673.913043478261</v>
      </c>
      <c r="P22" s="61">
        <f t="shared" si="5"/>
        <v>69970</v>
      </c>
      <c r="Q22" s="87">
        <f t="shared" si="6"/>
        <v>2765.608695652174</v>
      </c>
      <c r="R22" s="62">
        <f t="shared" si="7"/>
        <v>238820</v>
      </c>
      <c r="S22" s="58">
        <f t="shared" si="8"/>
        <v>10383.478260869566</v>
      </c>
      <c r="T22" s="82">
        <f t="shared" si="9"/>
        <v>47</v>
      </c>
      <c r="U22" s="61">
        <f t="shared" si="9"/>
        <v>250690</v>
      </c>
      <c r="V22" s="61">
        <f t="shared" si="10"/>
        <v>84040</v>
      </c>
      <c r="W22" s="64">
        <f t="shared" si="11"/>
        <v>334730</v>
      </c>
      <c r="X22" s="83"/>
      <c r="Y22" s="65"/>
      <c r="Z22" s="66">
        <v>20</v>
      </c>
      <c r="AA22" s="54">
        <v>7250</v>
      </c>
      <c r="AB22" s="55">
        <f t="shared" si="12"/>
        <v>362.5</v>
      </c>
      <c r="AC22" s="54">
        <v>1400</v>
      </c>
      <c r="AD22" s="56">
        <f t="shared" si="13"/>
        <v>70</v>
      </c>
      <c r="AE22" s="67">
        <f t="shared" si="14"/>
        <v>8650</v>
      </c>
      <c r="AF22" s="58">
        <f t="shared" si="15"/>
        <v>432.5</v>
      </c>
      <c r="AG22" s="68"/>
      <c r="AH22" s="66"/>
      <c r="AI22" s="54"/>
      <c r="AJ22" s="55" t="e">
        <f t="shared" si="16"/>
        <v>#DIV/0!</v>
      </c>
      <c r="AK22" s="54"/>
      <c r="AL22" s="56" t="e">
        <f t="shared" si="17"/>
        <v>#DIV/0!</v>
      </c>
      <c r="AM22" s="67">
        <f t="shared" si="28"/>
        <v>0</v>
      </c>
      <c r="AN22" s="69" t="str">
        <f t="shared" si="18"/>
        <v/>
      </c>
      <c r="AO22" s="70"/>
      <c r="AP22" s="66"/>
      <c r="AQ22" s="54"/>
      <c r="AR22" s="55" t="e">
        <f t="shared" si="19"/>
        <v>#DIV/0!</v>
      </c>
      <c r="AS22" s="54"/>
      <c r="AT22" s="56" t="e">
        <f t="shared" si="20"/>
        <v>#DIV/0!</v>
      </c>
      <c r="AU22" s="56"/>
      <c r="AV22" s="56"/>
      <c r="AW22" s="71">
        <f t="shared" si="33"/>
        <v>0</v>
      </c>
      <c r="AX22" s="69" t="str">
        <f t="shared" si="21"/>
        <v/>
      </c>
      <c r="AY22" s="84">
        <f t="shared" si="22"/>
        <v>47</v>
      </c>
      <c r="AZ22" s="61">
        <f t="shared" si="23"/>
        <v>257940</v>
      </c>
      <c r="BA22" s="61">
        <f t="shared" si="24"/>
        <v>85440</v>
      </c>
      <c r="BB22" s="73">
        <f t="shared" si="32"/>
        <v>343380</v>
      </c>
      <c r="BC22" s="74">
        <f t="shared" si="30"/>
        <v>6600</v>
      </c>
      <c r="BD22" s="75">
        <v>47</v>
      </c>
      <c r="BE22" s="76">
        <v>250690</v>
      </c>
      <c r="BF22" s="76">
        <v>84040</v>
      </c>
      <c r="BG22" s="77">
        <v>5500</v>
      </c>
      <c r="BH22" s="77">
        <v>1100</v>
      </c>
      <c r="BI22" s="77">
        <v>19800</v>
      </c>
      <c r="BJ22" s="77"/>
      <c r="BK22" s="78">
        <f t="shared" si="29"/>
        <v>341330</v>
      </c>
      <c r="BL22" s="49">
        <v>18</v>
      </c>
      <c r="BM22" s="79">
        <f t="shared" si="25"/>
        <v>341330</v>
      </c>
      <c r="BO22" s="85"/>
    </row>
    <row r="23" spans="2:67" ht="20" customHeight="1">
      <c r="B23" s="80">
        <f t="shared" si="26"/>
        <v>45707</v>
      </c>
      <c r="C23" s="81"/>
      <c r="D23" s="52"/>
      <c r="E23" s="53">
        <v>23</v>
      </c>
      <c r="F23" s="54">
        <v>74800</v>
      </c>
      <c r="G23" s="55">
        <f t="shared" si="0"/>
        <v>2956.521739130435</v>
      </c>
      <c r="H23" s="54">
        <v>9000</v>
      </c>
      <c r="I23" s="56">
        <f t="shared" si="27"/>
        <v>355.69565217391306</v>
      </c>
      <c r="J23" s="57">
        <f t="shared" si="1"/>
        <v>83800</v>
      </c>
      <c r="K23" s="58">
        <f t="shared" si="2"/>
        <v>3643.478260869565</v>
      </c>
      <c r="L23" s="59"/>
      <c r="M23" s="60">
        <f t="shared" si="3"/>
        <v>14</v>
      </c>
      <c r="N23" s="61">
        <f t="shared" si="3"/>
        <v>162580</v>
      </c>
      <c r="O23" s="55">
        <f t="shared" si="4"/>
        <v>10557.142857142857</v>
      </c>
      <c r="P23" s="61">
        <f t="shared" si="5"/>
        <v>46450</v>
      </c>
      <c r="Q23" s="87">
        <f t="shared" si="6"/>
        <v>3016.2142857142858</v>
      </c>
      <c r="R23" s="62">
        <f t="shared" si="7"/>
        <v>209030</v>
      </c>
      <c r="S23" s="58">
        <f t="shared" si="8"/>
        <v>14930.714285714286</v>
      </c>
      <c r="T23" s="82">
        <f t="shared" si="9"/>
        <v>37</v>
      </c>
      <c r="U23" s="61">
        <f t="shared" si="9"/>
        <v>237380</v>
      </c>
      <c r="V23" s="61">
        <f t="shared" si="10"/>
        <v>55450</v>
      </c>
      <c r="W23" s="64">
        <f t="shared" si="11"/>
        <v>292830</v>
      </c>
      <c r="X23" s="83"/>
      <c r="Y23" s="65"/>
      <c r="Z23" s="66">
        <v>16</v>
      </c>
      <c r="AA23" s="54">
        <v>6000</v>
      </c>
      <c r="AB23" s="55">
        <f t="shared" si="12"/>
        <v>375</v>
      </c>
      <c r="AC23" s="54">
        <v>3000</v>
      </c>
      <c r="AD23" s="56">
        <f t="shared" si="13"/>
        <v>187.5</v>
      </c>
      <c r="AE23" s="67">
        <f t="shared" si="14"/>
        <v>9000</v>
      </c>
      <c r="AF23" s="58">
        <f t="shared" si="15"/>
        <v>562.5</v>
      </c>
      <c r="AG23" s="68"/>
      <c r="AH23" s="66">
        <v>71</v>
      </c>
      <c r="AI23" s="54">
        <v>277965</v>
      </c>
      <c r="AJ23" s="55">
        <f t="shared" si="16"/>
        <v>3915</v>
      </c>
      <c r="AK23" s="54">
        <v>92655</v>
      </c>
      <c r="AL23" s="56">
        <f t="shared" si="17"/>
        <v>1305</v>
      </c>
      <c r="AM23" s="67">
        <f t="shared" si="28"/>
        <v>370620</v>
      </c>
      <c r="AN23" s="69">
        <f t="shared" si="18"/>
        <v>5220</v>
      </c>
      <c r="AO23" s="70"/>
      <c r="AP23" s="66"/>
      <c r="AQ23" s="54"/>
      <c r="AR23" s="55" t="e">
        <f t="shared" si="19"/>
        <v>#DIV/0!</v>
      </c>
      <c r="AS23" s="54"/>
      <c r="AT23" s="56" t="e">
        <f t="shared" si="20"/>
        <v>#DIV/0!</v>
      </c>
      <c r="AU23" s="56"/>
      <c r="AV23" s="56"/>
      <c r="AW23" s="71">
        <f t="shared" si="33"/>
        <v>0</v>
      </c>
      <c r="AX23" s="69" t="str">
        <f>IF(AP23="","",AW23/AP23)</f>
        <v/>
      </c>
      <c r="AY23" s="84">
        <f t="shared" si="22"/>
        <v>37</v>
      </c>
      <c r="AZ23" s="61">
        <f t="shared" si="23"/>
        <v>521345</v>
      </c>
      <c r="BA23" s="61">
        <f t="shared" si="24"/>
        <v>151105</v>
      </c>
      <c r="BB23" s="73">
        <f>W23+AE23+AM23+AW23-BN22</f>
        <v>672450</v>
      </c>
      <c r="BC23" s="74">
        <f t="shared" si="30"/>
        <v>0</v>
      </c>
      <c r="BD23" s="75">
        <v>37</v>
      </c>
      <c r="BE23" s="76">
        <v>237380</v>
      </c>
      <c r="BF23" s="76">
        <v>55450</v>
      </c>
      <c r="BG23" s="77"/>
      <c r="BH23" s="77"/>
      <c r="BI23" s="77">
        <v>5500</v>
      </c>
      <c r="BJ23" s="77"/>
      <c r="BK23" s="78">
        <f>SUM(BE23:BH23)</f>
        <v>292830</v>
      </c>
      <c r="BL23" s="49">
        <v>19</v>
      </c>
      <c r="BM23" s="79">
        <f t="shared" si="25"/>
        <v>292830</v>
      </c>
    </row>
    <row r="24" spans="2:67" ht="20" customHeight="1">
      <c r="B24" s="80">
        <f t="shared" si="26"/>
        <v>45708</v>
      </c>
      <c r="C24" s="81"/>
      <c r="D24" s="52"/>
      <c r="E24" s="53">
        <v>25</v>
      </c>
      <c r="F24" s="54">
        <v>91080</v>
      </c>
      <c r="G24" s="55">
        <f t="shared" si="0"/>
        <v>3312</v>
      </c>
      <c r="H24" s="54">
        <v>6150</v>
      </c>
      <c r="I24" s="56">
        <f t="shared" si="27"/>
        <v>223.6</v>
      </c>
      <c r="J24" s="57">
        <f t="shared" si="1"/>
        <v>97230</v>
      </c>
      <c r="K24" s="58">
        <f t="shared" si="2"/>
        <v>3889.2</v>
      </c>
      <c r="L24" s="59"/>
      <c r="M24" s="60">
        <f t="shared" si="3"/>
        <v>14</v>
      </c>
      <c r="N24" s="61">
        <f t="shared" si="3"/>
        <v>127050</v>
      </c>
      <c r="O24" s="55">
        <f t="shared" si="4"/>
        <v>8250</v>
      </c>
      <c r="P24" s="61">
        <f t="shared" si="5"/>
        <v>22920</v>
      </c>
      <c r="Q24" s="87">
        <f t="shared" si="6"/>
        <v>1488.2857142857142</v>
      </c>
      <c r="R24" s="62">
        <f t="shared" si="7"/>
        <v>149970</v>
      </c>
      <c r="S24" s="58">
        <f t="shared" si="8"/>
        <v>10712.142857142857</v>
      </c>
      <c r="T24" s="82">
        <f t="shared" si="9"/>
        <v>39</v>
      </c>
      <c r="U24" s="61">
        <f t="shared" si="9"/>
        <v>218130</v>
      </c>
      <c r="V24" s="61">
        <f t="shared" si="10"/>
        <v>29070</v>
      </c>
      <c r="W24" s="64">
        <f t="shared" si="11"/>
        <v>247200</v>
      </c>
      <c r="X24" s="83"/>
      <c r="Y24" s="65"/>
      <c r="Z24" s="66">
        <v>11</v>
      </c>
      <c r="AA24" s="54">
        <v>4800</v>
      </c>
      <c r="AB24" s="55">
        <f t="shared" si="12"/>
        <v>436.36363636363637</v>
      </c>
      <c r="AC24" s="54">
        <v>1650</v>
      </c>
      <c r="AD24" s="56">
        <f t="shared" si="13"/>
        <v>150</v>
      </c>
      <c r="AE24" s="67">
        <f t="shared" si="14"/>
        <v>6450</v>
      </c>
      <c r="AF24" s="58">
        <f t="shared" si="15"/>
        <v>586.36363636363637</v>
      </c>
      <c r="AG24" s="68"/>
      <c r="AH24" s="66">
        <v>48</v>
      </c>
      <c r="AI24" s="54">
        <v>174000</v>
      </c>
      <c r="AJ24" s="55">
        <f t="shared" si="16"/>
        <v>3625</v>
      </c>
      <c r="AK24" s="54">
        <v>62640</v>
      </c>
      <c r="AL24" s="56">
        <f t="shared" si="17"/>
        <v>1305</v>
      </c>
      <c r="AM24" s="67">
        <f t="shared" si="28"/>
        <v>236640</v>
      </c>
      <c r="AN24" s="69">
        <f t="shared" si="18"/>
        <v>4930</v>
      </c>
      <c r="AO24" s="70"/>
      <c r="AP24" s="66">
        <v>194</v>
      </c>
      <c r="AQ24" s="54">
        <v>686125</v>
      </c>
      <c r="AR24" s="55">
        <f t="shared" si="19"/>
        <v>3536.7268041237112</v>
      </c>
      <c r="AS24" s="54">
        <v>363000</v>
      </c>
      <c r="AT24" s="56">
        <f t="shared" si="20"/>
        <v>1871.1340206185566</v>
      </c>
      <c r="AU24" s="56"/>
      <c r="AV24" s="56"/>
      <c r="AW24" s="88">
        <f t="shared" si="33"/>
        <v>1049125</v>
      </c>
      <c r="AX24" s="69">
        <f t="shared" si="21"/>
        <v>5407.8608247422681</v>
      </c>
      <c r="AY24" s="84">
        <f t="shared" si="22"/>
        <v>39</v>
      </c>
      <c r="AZ24" s="61">
        <f t="shared" si="23"/>
        <v>1083055</v>
      </c>
      <c r="BA24" s="61">
        <f t="shared" si="24"/>
        <v>456360</v>
      </c>
      <c r="BB24" s="73">
        <f>W24+AE24+AM24+AW24-BN24</f>
        <v>1536599</v>
      </c>
      <c r="BC24" s="74">
        <f t="shared" si="30"/>
        <v>2200</v>
      </c>
      <c r="BD24" s="75">
        <v>39</v>
      </c>
      <c r="BE24" s="76">
        <v>218130</v>
      </c>
      <c r="BF24" s="76">
        <v>29070</v>
      </c>
      <c r="BG24" s="77">
        <v>2200</v>
      </c>
      <c r="BH24" s="77"/>
      <c r="BI24" s="77"/>
      <c r="BJ24" s="77"/>
      <c r="BK24" s="78">
        <f t="shared" si="29"/>
        <v>249400</v>
      </c>
      <c r="BL24" s="49">
        <v>20</v>
      </c>
      <c r="BM24" s="79">
        <f t="shared" si="25"/>
        <v>249400</v>
      </c>
      <c r="BN24" s="49">
        <v>2816</v>
      </c>
    </row>
    <row r="25" spans="2:67" ht="20" customHeight="1">
      <c r="B25" s="80">
        <f t="shared" si="26"/>
        <v>45709</v>
      </c>
      <c r="C25" s="81"/>
      <c r="D25" s="52"/>
      <c r="E25" s="53">
        <v>29</v>
      </c>
      <c r="F25" s="54">
        <v>113190</v>
      </c>
      <c r="G25" s="55">
        <f t="shared" si="0"/>
        <v>3548.2758620689656</v>
      </c>
      <c r="H25" s="54">
        <v>14400</v>
      </c>
      <c r="I25" s="56">
        <f t="shared" si="27"/>
        <v>451.37931034482756</v>
      </c>
      <c r="J25" s="57">
        <f t="shared" si="1"/>
        <v>127590</v>
      </c>
      <c r="K25" s="58">
        <f t="shared" si="2"/>
        <v>4399.6551724137935</v>
      </c>
      <c r="L25" s="59"/>
      <c r="M25" s="60">
        <f t="shared" si="3"/>
        <v>28</v>
      </c>
      <c r="N25" s="61">
        <f t="shared" si="3"/>
        <v>338800</v>
      </c>
      <c r="O25" s="55">
        <f t="shared" si="4"/>
        <v>11000</v>
      </c>
      <c r="P25" s="61">
        <f t="shared" si="5"/>
        <v>81200</v>
      </c>
      <c r="Q25" s="87">
        <f t="shared" si="6"/>
        <v>2636.3571428571427</v>
      </c>
      <c r="R25" s="62">
        <f t="shared" si="7"/>
        <v>420000</v>
      </c>
      <c r="S25" s="58">
        <f t="shared" si="8"/>
        <v>15000</v>
      </c>
      <c r="T25" s="82">
        <f t="shared" si="9"/>
        <v>57</v>
      </c>
      <c r="U25" s="61">
        <f t="shared" si="9"/>
        <v>451990</v>
      </c>
      <c r="V25" s="61">
        <f t="shared" si="10"/>
        <v>95600</v>
      </c>
      <c r="W25" s="64">
        <f t="shared" si="11"/>
        <v>547590</v>
      </c>
      <c r="X25" s="83"/>
      <c r="Y25" s="65"/>
      <c r="Z25" s="66">
        <v>3</v>
      </c>
      <c r="AA25" s="54">
        <v>1050</v>
      </c>
      <c r="AB25" s="55">
        <f t="shared" si="12"/>
        <v>350</v>
      </c>
      <c r="AC25" s="54"/>
      <c r="AD25" s="56">
        <f t="shared" si="13"/>
        <v>0</v>
      </c>
      <c r="AE25" s="67">
        <f t="shared" si="14"/>
        <v>1050</v>
      </c>
      <c r="AF25" s="58">
        <f t="shared" si="15"/>
        <v>350</v>
      </c>
      <c r="AG25" s="68"/>
      <c r="AH25" s="66">
        <v>18</v>
      </c>
      <c r="AI25" s="54">
        <v>70470</v>
      </c>
      <c r="AJ25" s="55">
        <f t="shared" si="16"/>
        <v>3915</v>
      </c>
      <c r="AK25" s="54">
        <v>23490</v>
      </c>
      <c r="AL25" s="56">
        <f t="shared" si="17"/>
        <v>1305</v>
      </c>
      <c r="AM25" s="67">
        <f t="shared" si="28"/>
        <v>93960</v>
      </c>
      <c r="AN25" s="69">
        <f t="shared" si="18"/>
        <v>5220</v>
      </c>
      <c r="AO25" s="70"/>
      <c r="AP25" s="66"/>
      <c r="AQ25" s="54"/>
      <c r="AR25" s="55" t="e">
        <f t="shared" si="19"/>
        <v>#DIV/0!</v>
      </c>
      <c r="AS25" s="54"/>
      <c r="AT25" s="56" t="e">
        <f t="shared" si="20"/>
        <v>#DIV/0!</v>
      </c>
      <c r="AU25" s="56"/>
      <c r="AV25" s="56"/>
      <c r="AW25" s="88">
        <f t="shared" si="33"/>
        <v>0</v>
      </c>
      <c r="AX25" s="69" t="str">
        <f t="shared" si="21"/>
        <v/>
      </c>
      <c r="AY25" s="84">
        <f t="shared" si="22"/>
        <v>57</v>
      </c>
      <c r="AZ25" s="61">
        <f t="shared" si="23"/>
        <v>523510</v>
      </c>
      <c r="BA25" s="61">
        <f t="shared" si="24"/>
        <v>119090</v>
      </c>
      <c r="BB25" s="73">
        <f>W25+AE25+AM25+AW25-BN25</f>
        <v>642600</v>
      </c>
      <c r="BC25" s="74">
        <f t="shared" si="30"/>
        <v>1100</v>
      </c>
      <c r="BD25" s="75">
        <v>57</v>
      </c>
      <c r="BE25" s="76">
        <v>451990</v>
      </c>
      <c r="BF25" s="76">
        <v>95600</v>
      </c>
      <c r="BG25" s="77">
        <v>1100</v>
      </c>
      <c r="BH25" s="77"/>
      <c r="BI25" s="77"/>
      <c r="BJ25" s="77"/>
      <c r="BK25" s="78">
        <f t="shared" si="29"/>
        <v>548690</v>
      </c>
      <c r="BL25" s="49">
        <v>21</v>
      </c>
      <c r="BM25" s="79">
        <f t="shared" si="25"/>
        <v>548690</v>
      </c>
    </row>
    <row r="26" spans="2:67" ht="20" customHeight="1">
      <c r="B26" s="80">
        <f t="shared" si="26"/>
        <v>45710</v>
      </c>
      <c r="C26" s="81"/>
      <c r="D26" s="52"/>
      <c r="E26" s="53">
        <v>36</v>
      </c>
      <c r="F26" s="54">
        <v>168190</v>
      </c>
      <c r="G26" s="55">
        <f t="shared" si="0"/>
        <v>4247.2222222222226</v>
      </c>
      <c r="H26" s="54">
        <v>37850</v>
      </c>
      <c r="I26" s="56">
        <f t="shared" si="27"/>
        <v>955.80555555555554</v>
      </c>
      <c r="J26" s="57">
        <f t="shared" si="1"/>
        <v>206040</v>
      </c>
      <c r="K26" s="58">
        <f t="shared" si="2"/>
        <v>5723.333333333333</v>
      </c>
      <c r="L26" s="59"/>
      <c r="M26" s="60">
        <f t="shared" si="3"/>
        <v>22</v>
      </c>
      <c r="N26" s="61">
        <f t="shared" si="3"/>
        <v>239800</v>
      </c>
      <c r="O26" s="55">
        <f t="shared" si="4"/>
        <v>9909.0909090909099</v>
      </c>
      <c r="P26" s="61">
        <f t="shared" si="5"/>
        <v>54610</v>
      </c>
      <c r="Q26" s="87">
        <f t="shared" si="6"/>
        <v>2256.590909090909</v>
      </c>
      <c r="R26" s="62">
        <f t="shared" si="7"/>
        <v>294410</v>
      </c>
      <c r="S26" s="58">
        <f t="shared" si="8"/>
        <v>13382.272727272728</v>
      </c>
      <c r="T26" s="82">
        <f t="shared" si="9"/>
        <v>58</v>
      </c>
      <c r="U26" s="61">
        <f t="shared" si="9"/>
        <v>407990</v>
      </c>
      <c r="V26" s="61">
        <f t="shared" si="10"/>
        <v>92460</v>
      </c>
      <c r="W26" s="64">
        <f t="shared" si="11"/>
        <v>500450</v>
      </c>
      <c r="X26" s="83"/>
      <c r="Y26" s="65"/>
      <c r="Z26" s="66">
        <v>19</v>
      </c>
      <c r="AA26" s="54">
        <v>7700</v>
      </c>
      <c r="AB26" s="55">
        <f t="shared" si="12"/>
        <v>405.26315789473682</v>
      </c>
      <c r="AC26" s="54">
        <v>3400</v>
      </c>
      <c r="AD26" s="56">
        <f t="shared" si="13"/>
        <v>178.94736842105263</v>
      </c>
      <c r="AE26" s="67">
        <f t="shared" si="14"/>
        <v>11100</v>
      </c>
      <c r="AF26" s="58">
        <f t="shared" si="15"/>
        <v>584.21052631578948</v>
      </c>
      <c r="AG26" s="68"/>
      <c r="AH26" s="66"/>
      <c r="AI26" s="54"/>
      <c r="AJ26" s="55" t="e">
        <f t="shared" si="16"/>
        <v>#DIV/0!</v>
      </c>
      <c r="AK26" s="54"/>
      <c r="AL26" s="56" t="e">
        <f t="shared" si="17"/>
        <v>#DIV/0!</v>
      </c>
      <c r="AM26" s="67">
        <f t="shared" si="28"/>
        <v>0</v>
      </c>
      <c r="AN26" s="69" t="str">
        <f t="shared" si="18"/>
        <v/>
      </c>
      <c r="AO26" s="70"/>
      <c r="AP26" s="66"/>
      <c r="AQ26" s="54"/>
      <c r="AR26" s="55" t="e">
        <f t="shared" si="19"/>
        <v>#DIV/0!</v>
      </c>
      <c r="AS26" s="54"/>
      <c r="AT26" s="56" t="e">
        <f t="shared" si="20"/>
        <v>#DIV/0!</v>
      </c>
      <c r="AU26" s="56"/>
      <c r="AV26" s="56"/>
      <c r="AW26" s="71">
        <f t="shared" si="33"/>
        <v>0</v>
      </c>
      <c r="AX26" s="69" t="str">
        <f t="shared" si="21"/>
        <v/>
      </c>
      <c r="AY26" s="84">
        <f t="shared" si="22"/>
        <v>58</v>
      </c>
      <c r="AZ26" s="61">
        <f t="shared" si="23"/>
        <v>415690</v>
      </c>
      <c r="BA26" s="61">
        <f t="shared" si="24"/>
        <v>95860</v>
      </c>
      <c r="BB26" s="73">
        <f>W26+AE26+AM26+AW26-BN26</f>
        <v>511550</v>
      </c>
      <c r="BC26" s="74">
        <f>BG26+BH26</f>
        <v>6600</v>
      </c>
      <c r="BD26" s="75">
        <v>58</v>
      </c>
      <c r="BE26" s="76">
        <v>407990</v>
      </c>
      <c r="BF26" s="76">
        <v>92460</v>
      </c>
      <c r="BG26" s="77">
        <v>6600</v>
      </c>
      <c r="BH26" s="77"/>
      <c r="BI26" s="77"/>
      <c r="BJ26" s="77"/>
      <c r="BK26" s="78">
        <f t="shared" si="29"/>
        <v>507050</v>
      </c>
      <c r="BL26" s="49">
        <v>22</v>
      </c>
      <c r="BM26" s="79">
        <f t="shared" si="25"/>
        <v>507050</v>
      </c>
    </row>
    <row r="27" spans="2:67" ht="20" customHeight="1">
      <c r="B27" s="80">
        <f t="shared" si="26"/>
        <v>45711</v>
      </c>
      <c r="C27" s="81"/>
      <c r="D27" s="52"/>
      <c r="E27" s="53">
        <v>30</v>
      </c>
      <c r="F27" s="54">
        <v>110000</v>
      </c>
      <c r="G27" s="55">
        <f t="shared" si="0"/>
        <v>3333.3333333333335</v>
      </c>
      <c r="H27" s="54">
        <v>31680</v>
      </c>
      <c r="I27" s="56">
        <f t="shared" si="27"/>
        <v>960</v>
      </c>
      <c r="J27" s="57">
        <f t="shared" si="1"/>
        <v>141680</v>
      </c>
      <c r="K27" s="58">
        <f t="shared" si="2"/>
        <v>4722.666666666667</v>
      </c>
      <c r="L27" s="59"/>
      <c r="M27" s="60">
        <f t="shared" si="3"/>
        <v>18</v>
      </c>
      <c r="N27" s="61">
        <f t="shared" si="3"/>
        <v>169180</v>
      </c>
      <c r="O27" s="55">
        <f t="shared" si="4"/>
        <v>8544.4444444444453</v>
      </c>
      <c r="P27" s="61">
        <f t="shared" si="5"/>
        <v>52240</v>
      </c>
      <c r="Q27" s="56">
        <f t="shared" si="6"/>
        <v>2638.3333333333335</v>
      </c>
      <c r="R27" s="62">
        <f t="shared" si="7"/>
        <v>221420</v>
      </c>
      <c r="S27" s="58">
        <f t="shared" si="8"/>
        <v>12301.111111111111</v>
      </c>
      <c r="T27" s="82">
        <f t="shared" si="9"/>
        <v>48</v>
      </c>
      <c r="U27" s="61">
        <f t="shared" si="9"/>
        <v>279180</v>
      </c>
      <c r="V27" s="61">
        <f t="shared" si="10"/>
        <v>83920</v>
      </c>
      <c r="W27" s="64">
        <f t="shared" si="11"/>
        <v>363100</v>
      </c>
      <c r="X27" s="83"/>
      <c r="Y27" s="65"/>
      <c r="Z27" s="66">
        <v>21</v>
      </c>
      <c r="AA27" s="54">
        <v>6800</v>
      </c>
      <c r="AB27" s="55">
        <f t="shared" si="12"/>
        <v>323.8095238095238</v>
      </c>
      <c r="AC27" s="54">
        <v>2550</v>
      </c>
      <c r="AD27" s="56">
        <f t="shared" si="13"/>
        <v>121.42857142857143</v>
      </c>
      <c r="AE27" s="67">
        <f t="shared" si="14"/>
        <v>9350</v>
      </c>
      <c r="AF27" s="58">
        <f t="shared" si="15"/>
        <v>445.23809523809524</v>
      </c>
      <c r="AG27" s="68"/>
      <c r="AH27" s="66"/>
      <c r="AI27" s="54"/>
      <c r="AJ27" s="55" t="e">
        <f t="shared" si="16"/>
        <v>#DIV/0!</v>
      </c>
      <c r="AK27" s="54"/>
      <c r="AL27" s="56" t="e">
        <f t="shared" si="17"/>
        <v>#DIV/0!</v>
      </c>
      <c r="AM27" s="67">
        <f t="shared" si="28"/>
        <v>0</v>
      </c>
      <c r="AN27" s="69" t="str">
        <f t="shared" si="18"/>
        <v/>
      </c>
      <c r="AO27" s="70"/>
      <c r="AP27" s="66"/>
      <c r="AQ27" s="54"/>
      <c r="AR27" s="55" t="e">
        <f t="shared" si="19"/>
        <v>#DIV/0!</v>
      </c>
      <c r="AS27" s="54"/>
      <c r="AT27" s="56" t="e">
        <f t="shared" si="20"/>
        <v>#DIV/0!</v>
      </c>
      <c r="AU27" s="56"/>
      <c r="AV27" s="56"/>
      <c r="AW27" s="71">
        <f>AQ27+AS27+AU27+AV27-BO26</f>
        <v>0</v>
      </c>
      <c r="AX27" s="69" t="str">
        <f t="shared" si="21"/>
        <v/>
      </c>
      <c r="AY27" s="84">
        <f t="shared" si="22"/>
        <v>48</v>
      </c>
      <c r="AZ27" s="61">
        <f t="shared" si="23"/>
        <v>285980</v>
      </c>
      <c r="BA27" s="61">
        <f t="shared" si="24"/>
        <v>86470</v>
      </c>
      <c r="BB27" s="73">
        <f>W27+AE27+AM27+AW27-BN27</f>
        <v>372290</v>
      </c>
      <c r="BC27" s="74">
        <f t="shared" si="30"/>
        <v>3300</v>
      </c>
      <c r="BD27" s="75">
        <v>48</v>
      </c>
      <c r="BE27" s="76">
        <v>279180</v>
      </c>
      <c r="BF27" s="76">
        <v>83920</v>
      </c>
      <c r="BG27" s="77">
        <v>3300</v>
      </c>
      <c r="BH27" s="77"/>
      <c r="BI27" s="77"/>
      <c r="BJ27" s="77"/>
      <c r="BK27" s="78">
        <f t="shared" si="29"/>
        <v>366400</v>
      </c>
      <c r="BL27" s="49">
        <v>23</v>
      </c>
      <c r="BM27" s="79">
        <f t="shared" si="25"/>
        <v>366400</v>
      </c>
      <c r="BN27" s="49">
        <v>160</v>
      </c>
    </row>
    <row r="28" spans="2:67" ht="20" customHeight="1">
      <c r="B28" s="80">
        <f>B27+1</f>
        <v>45712</v>
      </c>
      <c r="C28" s="81"/>
      <c r="D28" s="52"/>
      <c r="E28" s="53">
        <v>28</v>
      </c>
      <c r="F28" s="54">
        <v>124080</v>
      </c>
      <c r="G28" s="55">
        <f t="shared" si="0"/>
        <v>4028.5714285714284</v>
      </c>
      <c r="H28" s="54">
        <v>28620</v>
      </c>
      <c r="I28" s="56">
        <f t="shared" si="27"/>
        <v>929.21428571428567</v>
      </c>
      <c r="J28" s="57">
        <f t="shared" si="1"/>
        <v>152700</v>
      </c>
      <c r="K28" s="58">
        <f t="shared" si="2"/>
        <v>5453.5714285714284</v>
      </c>
      <c r="L28" s="59"/>
      <c r="M28" s="60">
        <f t="shared" si="3"/>
        <v>6</v>
      </c>
      <c r="N28" s="61">
        <f t="shared" si="3"/>
        <v>81800</v>
      </c>
      <c r="O28" s="55">
        <f t="shared" si="4"/>
        <v>12393.833333333334</v>
      </c>
      <c r="P28" s="61">
        <f t="shared" si="5"/>
        <v>11110</v>
      </c>
      <c r="Q28" s="56">
        <f>ROUNDDOWN(P28/1.1,0)/M28</f>
        <v>1683.3333333333333</v>
      </c>
      <c r="R28" s="62">
        <f t="shared" si="7"/>
        <v>92910</v>
      </c>
      <c r="S28" s="58">
        <f t="shared" si="8"/>
        <v>15485</v>
      </c>
      <c r="T28" s="82">
        <f t="shared" si="9"/>
        <v>34</v>
      </c>
      <c r="U28" s="61">
        <f t="shared" si="9"/>
        <v>205880</v>
      </c>
      <c r="V28" s="61">
        <f t="shared" si="10"/>
        <v>39730</v>
      </c>
      <c r="W28" s="64">
        <f t="shared" si="11"/>
        <v>245610</v>
      </c>
      <c r="X28" s="83"/>
      <c r="Y28" s="65"/>
      <c r="Z28" s="66">
        <v>7</v>
      </c>
      <c r="AA28" s="54">
        <v>2650</v>
      </c>
      <c r="AB28" s="55">
        <f t="shared" si="12"/>
        <v>378.57142857142856</v>
      </c>
      <c r="AC28" s="54"/>
      <c r="AD28" s="56">
        <f t="shared" si="13"/>
        <v>0</v>
      </c>
      <c r="AE28" s="67">
        <f t="shared" si="14"/>
        <v>2650</v>
      </c>
      <c r="AF28" s="58">
        <f t="shared" si="15"/>
        <v>378.57142857142856</v>
      </c>
      <c r="AG28" s="68"/>
      <c r="AH28" s="66"/>
      <c r="AI28" s="54"/>
      <c r="AJ28" s="55" t="e">
        <f t="shared" si="16"/>
        <v>#DIV/0!</v>
      </c>
      <c r="AK28" s="54"/>
      <c r="AL28" s="56" t="e">
        <f t="shared" si="17"/>
        <v>#DIV/0!</v>
      </c>
      <c r="AM28" s="67">
        <f t="shared" si="28"/>
        <v>0</v>
      </c>
      <c r="AN28" s="69" t="str">
        <f t="shared" si="18"/>
        <v/>
      </c>
      <c r="AO28" s="70"/>
      <c r="AP28" s="66"/>
      <c r="AQ28" s="54"/>
      <c r="AR28" s="55" t="e">
        <f t="shared" si="19"/>
        <v>#DIV/0!</v>
      </c>
      <c r="AS28" s="54"/>
      <c r="AT28" s="56" t="e">
        <f t="shared" si="20"/>
        <v>#DIV/0!</v>
      </c>
      <c r="AU28" s="56"/>
      <c r="AV28" s="56"/>
      <c r="AW28" s="71">
        <f>AQ28+AS28+AU28+AV28</f>
        <v>0</v>
      </c>
      <c r="AX28" s="69" t="str">
        <f t="shared" si="21"/>
        <v/>
      </c>
      <c r="AY28" s="84">
        <f t="shared" si="22"/>
        <v>34</v>
      </c>
      <c r="AZ28" s="61">
        <f t="shared" si="23"/>
        <v>208530</v>
      </c>
      <c r="BA28" s="61">
        <f t="shared" si="24"/>
        <v>39730</v>
      </c>
      <c r="BB28" s="73">
        <f t="shared" si="32"/>
        <v>248260</v>
      </c>
      <c r="BC28" s="74">
        <f t="shared" si="30"/>
        <v>2200</v>
      </c>
      <c r="BD28" s="75">
        <v>34</v>
      </c>
      <c r="BE28" s="76">
        <v>205880</v>
      </c>
      <c r="BF28" s="76">
        <v>39730</v>
      </c>
      <c r="BG28" s="77">
        <v>2200</v>
      </c>
      <c r="BH28" s="77"/>
      <c r="BI28" s="77"/>
      <c r="BJ28" s="77"/>
      <c r="BK28" s="78">
        <f t="shared" si="29"/>
        <v>247810</v>
      </c>
      <c r="BL28" s="49">
        <v>24</v>
      </c>
      <c r="BM28" s="79">
        <f t="shared" si="25"/>
        <v>247810</v>
      </c>
    </row>
    <row r="29" spans="2:67" ht="20" customHeight="1">
      <c r="B29" s="80">
        <f t="shared" si="26"/>
        <v>45713</v>
      </c>
      <c r="C29" s="81"/>
      <c r="D29" s="52"/>
      <c r="E29" s="53">
        <v>19</v>
      </c>
      <c r="F29" s="54">
        <v>86570</v>
      </c>
      <c r="G29" s="55">
        <f t="shared" si="0"/>
        <v>4142.105263157895</v>
      </c>
      <c r="H29" s="54">
        <v>16330</v>
      </c>
      <c r="I29" s="55">
        <f t="shared" si="27"/>
        <v>781.31578947368416</v>
      </c>
      <c r="J29" s="57">
        <f t="shared" si="1"/>
        <v>102900</v>
      </c>
      <c r="K29" s="58">
        <f t="shared" si="2"/>
        <v>5415.7894736842109</v>
      </c>
      <c r="L29" s="59"/>
      <c r="M29" s="60">
        <f t="shared" si="3"/>
        <v>10</v>
      </c>
      <c r="N29" s="61">
        <f t="shared" si="3"/>
        <v>84920</v>
      </c>
      <c r="O29" s="55">
        <f t="shared" si="4"/>
        <v>7720</v>
      </c>
      <c r="P29" s="61">
        <f t="shared" si="5"/>
        <v>10820</v>
      </c>
      <c r="Q29" s="56">
        <f t="shared" si="6"/>
        <v>983.6</v>
      </c>
      <c r="R29" s="62">
        <f t="shared" si="7"/>
        <v>95740</v>
      </c>
      <c r="S29" s="58">
        <f t="shared" si="8"/>
        <v>9574</v>
      </c>
      <c r="T29" s="82">
        <f t="shared" si="9"/>
        <v>29</v>
      </c>
      <c r="U29" s="61">
        <f t="shared" si="9"/>
        <v>171490</v>
      </c>
      <c r="V29" s="61">
        <f t="shared" si="10"/>
        <v>27150</v>
      </c>
      <c r="W29" s="64">
        <f t="shared" si="11"/>
        <v>198640</v>
      </c>
      <c r="X29" s="83"/>
      <c r="Y29" s="65"/>
      <c r="Z29" s="66">
        <v>21</v>
      </c>
      <c r="AA29" s="54">
        <v>8550</v>
      </c>
      <c r="AB29" s="55">
        <f t="shared" si="12"/>
        <v>407.14285714285717</v>
      </c>
      <c r="AC29" s="54"/>
      <c r="AD29" s="56">
        <f t="shared" si="13"/>
        <v>0</v>
      </c>
      <c r="AE29" s="67">
        <f t="shared" si="14"/>
        <v>8550</v>
      </c>
      <c r="AF29" s="58">
        <f t="shared" si="15"/>
        <v>407.14285714285717</v>
      </c>
      <c r="AG29" s="68"/>
      <c r="AH29" s="66">
        <v>24</v>
      </c>
      <c r="AI29" s="54">
        <v>93960</v>
      </c>
      <c r="AJ29" s="55">
        <f t="shared" si="16"/>
        <v>3915</v>
      </c>
      <c r="AK29" s="54">
        <v>31320</v>
      </c>
      <c r="AL29" s="56">
        <f t="shared" si="17"/>
        <v>1305</v>
      </c>
      <c r="AM29" s="67">
        <f t="shared" si="28"/>
        <v>125280</v>
      </c>
      <c r="AN29" s="69">
        <f t="shared" si="18"/>
        <v>5220</v>
      </c>
      <c r="AO29" s="70"/>
      <c r="AP29" s="66"/>
      <c r="AQ29" s="54"/>
      <c r="AR29" s="55" t="e">
        <f t="shared" si="19"/>
        <v>#DIV/0!</v>
      </c>
      <c r="AS29" s="54"/>
      <c r="AT29" s="56" t="e">
        <f t="shared" si="20"/>
        <v>#DIV/0!</v>
      </c>
      <c r="AU29" s="56"/>
      <c r="AV29" s="56"/>
      <c r="AW29" s="71">
        <f>AQ29+AS29+AU29+AV29-BO29</f>
        <v>0</v>
      </c>
      <c r="AX29" s="69" t="str">
        <f t="shared" si="21"/>
        <v/>
      </c>
      <c r="AY29" s="84">
        <f t="shared" si="22"/>
        <v>29</v>
      </c>
      <c r="AZ29" s="61">
        <f t="shared" si="23"/>
        <v>274000</v>
      </c>
      <c r="BA29" s="61">
        <f t="shared" si="24"/>
        <v>58470</v>
      </c>
      <c r="BB29" s="73">
        <f t="shared" si="32"/>
        <v>332470</v>
      </c>
      <c r="BC29" s="74">
        <f t="shared" si="30"/>
        <v>0</v>
      </c>
      <c r="BD29" s="75">
        <v>29</v>
      </c>
      <c r="BE29" s="76">
        <v>171490</v>
      </c>
      <c r="BF29" s="76">
        <v>27150</v>
      </c>
      <c r="BG29" s="77"/>
      <c r="BH29" s="77"/>
      <c r="BI29" s="77"/>
      <c r="BJ29" s="77"/>
      <c r="BK29" s="78">
        <f t="shared" si="29"/>
        <v>198640</v>
      </c>
      <c r="BL29" s="49">
        <v>25</v>
      </c>
      <c r="BM29" s="79">
        <f t="shared" si="25"/>
        <v>198640</v>
      </c>
    </row>
    <row r="30" spans="2:67" ht="20" customHeight="1">
      <c r="B30" s="80">
        <f t="shared" si="26"/>
        <v>45714</v>
      </c>
      <c r="C30" s="81"/>
      <c r="D30" s="52"/>
      <c r="E30" s="53">
        <v>42</v>
      </c>
      <c r="F30" s="54">
        <v>159600</v>
      </c>
      <c r="G30" s="55">
        <f t="shared" si="0"/>
        <v>3454.5238095238096</v>
      </c>
      <c r="H30" s="54">
        <v>0</v>
      </c>
      <c r="I30" s="55">
        <f t="shared" si="27"/>
        <v>0</v>
      </c>
      <c r="J30" s="57">
        <f t="shared" si="1"/>
        <v>159600</v>
      </c>
      <c r="K30" s="58">
        <f t="shared" si="2"/>
        <v>3800</v>
      </c>
      <c r="L30" s="59"/>
      <c r="M30" s="60">
        <f t="shared" si="3"/>
        <v>14</v>
      </c>
      <c r="N30" s="61">
        <f t="shared" si="3"/>
        <v>132990</v>
      </c>
      <c r="O30" s="55">
        <f t="shared" si="4"/>
        <v>8635.7142857142862</v>
      </c>
      <c r="P30" s="61">
        <f t="shared" si="5"/>
        <v>22640</v>
      </c>
      <c r="Q30" s="55">
        <f t="shared" si="6"/>
        <v>1470.0714285714287</v>
      </c>
      <c r="R30" s="62">
        <f t="shared" si="7"/>
        <v>155630</v>
      </c>
      <c r="S30" s="58">
        <f t="shared" si="8"/>
        <v>11116.428571428571</v>
      </c>
      <c r="T30" s="82">
        <f t="shared" si="9"/>
        <v>56</v>
      </c>
      <c r="U30" s="61">
        <f t="shared" si="9"/>
        <v>292590</v>
      </c>
      <c r="V30" s="61">
        <f t="shared" si="10"/>
        <v>22640</v>
      </c>
      <c r="W30" s="64">
        <f t="shared" si="11"/>
        <v>315230</v>
      </c>
      <c r="X30" s="83"/>
      <c r="Y30" s="65"/>
      <c r="Z30" s="66">
        <v>7</v>
      </c>
      <c r="AA30" s="54">
        <v>2750</v>
      </c>
      <c r="AB30" s="55">
        <f t="shared" si="12"/>
        <v>392.85714285714283</v>
      </c>
      <c r="AC30" s="54"/>
      <c r="AD30" s="56">
        <f t="shared" si="13"/>
        <v>0</v>
      </c>
      <c r="AE30" s="67">
        <f t="shared" si="14"/>
        <v>2750</v>
      </c>
      <c r="AF30" s="58">
        <f t="shared" si="15"/>
        <v>392.85714285714283</v>
      </c>
      <c r="AG30" s="68"/>
      <c r="AH30" s="66"/>
      <c r="AI30" s="54"/>
      <c r="AJ30" s="55" t="e">
        <f t="shared" si="16"/>
        <v>#DIV/0!</v>
      </c>
      <c r="AK30" s="54"/>
      <c r="AL30" s="56" t="e">
        <f t="shared" si="17"/>
        <v>#DIV/0!</v>
      </c>
      <c r="AM30" s="67">
        <f t="shared" si="28"/>
        <v>0</v>
      </c>
      <c r="AN30" s="69" t="str">
        <f t="shared" si="18"/>
        <v/>
      </c>
      <c r="AO30" s="70"/>
      <c r="AP30" s="66"/>
      <c r="AQ30" s="54"/>
      <c r="AR30" s="55" t="e">
        <f t="shared" si="19"/>
        <v>#DIV/0!</v>
      </c>
      <c r="AS30" s="54"/>
      <c r="AT30" s="56" t="e">
        <f t="shared" si="20"/>
        <v>#DIV/0!</v>
      </c>
      <c r="AU30" s="56"/>
      <c r="AV30" s="56"/>
      <c r="AW30" s="71">
        <f t="shared" ref="AW30:AW33" si="34">AQ30+AS30+AU30+AV30</f>
        <v>0</v>
      </c>
      <c r="AX30" s="69" t="str">
        <f t="shared" si="21"/>
        <v/>
      </c>
      <c r="AY30" s="84">
        <f t="shared" si="22"/>
        <v>56</v>
      </c>
      <c r="AZ30" s="61">
        <f t="shared" si="23"/>
        <v>295340</v>
      </c>
      <c r="BA30" s="61">
        <f t="shared" si="24"/>
        <v>22640</v>
      </c>
      <c r="BB30" s="73">
        <f t="shared" si="32"/>
        <v>317980</v>
      </c>
      <c r="BC30" s="74">
        <f>BG30+BH30</f>
        <v>0</v>
      </c>
      <c r="BD30" s="75">
        <v>56</v>
      </c>
      <c r="BE30" s="76">
        <v>292590</v>
      </c>
      <c r="BF30" s="76">
        <v>22640</v>
      </c>
      <c r="BG30" s="77"/>
      <c r="BH30" s="77"/>
      <c r="BI30" s="77"/>
      <c r="BJ30" s="77"/>
      <c r="BK30" s="78">
        <f t="shared" si="29"/>
        <v>315230</v>
      </c>
      <c r="BL30" s="49">
        <v>26</v>
      </c>
      <c r="BM30" s="79">
        <f t="shared" si="25"/>
        <v>315230</v>
      </c>
    </row>
    <row r="31" spans="2:67" ht="20" customHeight="1">
      <c r="B31" s="80">
        <f t="shared" si="26"/>
        <v>45715</v>
      </c>
      <c r="C31" s="81"/>
      <c r="D31" s="52"/>
      <c r="E31" s="53">
        <v>26</v>
      </c>
      <c r="F31" s="54">
        <v>104060</v>
      </c>
      <c r="G31" s="55">
        <f t="shared" si="0"/>
        <v>3638.4615384615386</v>
      </c>
      <c r="H31" s="54">
        <v>25510</v>
      </c>
      <c r="I31" s="55">
        <f t="shared" si="27"/>
        <v>891.92307692307691</v>
      </c>
      <c r="J31" s="57">
        <f t="shared" si="1"/>
        <v>129570</v>
      </c>
      <c r="K31" s="58">
        <f t="shared" si="2"/>
        <v>4983.4615384615381</v>
      </c>
      <c r="L31" s="59"/>
      <c r="M31" s="60">
        <f t="shared" si="3"/>
        <v>7</v>
      </c>
      <c r="N31" s="61">
        <f t="shared" si="3"/>
        <v>91520</v>
      </c>
      <c r="O31" s="55">
        <f t="shared" si="4"/>
        <v>11885.714285714286</v>
      </c>
      <c r="P31" s="61">
        <f t="shared" si="5"/>
        <v>58180</v>
      </c>
      <c r="Q31" s="55">
        <f t="shared" si="6"/>
        <v>7555.7142857142853</v>
      </c>
      <c r="R31" s="62">
        <f t="shared" si="7"/>
        <v>149700</v>
      </c>
      <c r="S31" s="58">
        <f t="shared" si="8"/>
        <v>21385.714285714286</v>
      </c>
      <c r="T31" s="82">
        <f t="shared" si="9"/>
        <v>33</v>
      </c>
      <c r="U31" s="61">
        <f t="shared" si="9"/>
        <v>195580</v>
      </c>
      <c r="V31" s="61">
        <f t="shared" si="10"/>
        <v>83690</v>
      </c>
      <c r="W31" s="64">
        <f t="shared" si="11"/>
        <v>279270</v>
      </c>
      <c r="X31" s="83"/>
      <c r="Y31" s="65"/>
      <c r="Z31" s="66">
        <v>12</v>
      </c>
      <c r="AA31" s="54">
        <v>5300</v>
      </c>
      <c r="AB31" s="55">
        <f t="shared" si="12"/>
        <v>441.66666666666669</v>
      </c>
      <c r="AC31" s="54">
        <v>1500</v>
      </c>
      <c r="AD31" s="56">
        <f t="shared" si="13"/>
        <v>125</v>
      </c>
      <c r="AE31" s="67">
        <f t="shared" si="14"/>
        <v>6800</v>
      </c>
      <c r="AF31" s="58">
        <f t="shared" si="15"/>
        <v>566.66666666666663</v>
      </c>
      <c r="AG31" s="68"/>
      <c r="AH31" s="66"/>
      <c r="AI31" s="54"/>
      <c r="AJ31" s="55" t="e">
        <f t="shared" si="16"/>
        <v>#DIV/0!</v>
      </c>
      <c r="AK31" s="54"/>
      <c r="AL31" s="56" t="e">
        <f t="shared" si="17"/>
        <v>#DIV/0!</v>
      </c>
      <c r="AM31" s="67">
        <f t="shared" si="28"/>
        <v>0</v>
      </c>
      <c r="AN31" s="69" t="str">
        <f t="shared" si="18"/>
        <v/>
      </c>
      <c r="AO31" s="70"/>
      <c r="AP31" s="66"/>
      <c r="AQ31" s="54"/>
      <c r="AR31" s="55" t="e">
        <f t="shared" si="19"/>
        <v>#DIV/0!</v>
      </c>
      <c r="AS31" s="54"/>
      <c r="AT31" s="56" t="e">
        <f t="shared" si="20"/>
        <v>#DIV/0!</v>
      </c>
      <c r="AU31" s="56"/>
      <c r="AV31" s="56"/>
      <c r="AW31" s="71">
        <f t="shared" si="34"/>
        <v>0</v>
      </c>
      <c r="AX31" s="69" t="str">
        <f t="shared" si="21"/>
        <v/>
      </c>
      <c r="AY31" s="84">
        <f t="shared" si="22"/>
        <v>33</v>
      </c>
      <c r="AZ31" s="61">
        <f t="shared" si="23"/>
        <v>200880</v>
      </c>
      <c r="BA31" s="61">
        <f t="shared" si="24"/>
        <v>85190</v>
      </c>
      <c r="BB31" s="73">
        <f>W31+AE31+AM31+AW31-BN31</f>
        <v>283518</v>
      </c>
      <c r="BC31" s="74">
        <f t="shared" ref="BC31:BC34" si="35">BG31+BH31</f>
        <v>2750</v>
      </c>
      <c r="BD31" s="75">
        <v>33</v>
      </c>
      <c r="BE31" s="76">
        <v>195580</v>
      </c>
      <c r="BF31" s="76">
        <v>83690</v>
      </c>
      <c r="BG31" s="77">
        <v>2750</v>
      </c>
      <c r="BH31" s="77"/>
      <c r="BI31" s="77"/>
      <c r="BJ31" s="77"/>
      <c r="BK31" s="78">
        <f t="shared" si="29"/>
        <v>282020</v>
      </c>
      <c r="BL31" s="49">
        <v>27</v>
      </c>
      <c r="BM31" s="79">
        <f t="shared" si="25"/>
        <v>282020</v>
      </c>
      <c r="BN31" s="49">
        <v>2552</v>
      </c>
    </row>
    <row r="32" spans="2:67" ht="20" customHeight="1">
      <c r="B32" s="80">
        <f t="shared" si="26"/>
        <v>45716</v>
      </c>
      <c r="C32" s="81"/>
      <c r="D32" s="52"/>
      <c r="E32" s="53">
        <v>19</v>
      </c>
      <c r="F32" s="54">
        <v>66440</v>
      </c>
      <c r="G32" s="55">
        <f t="shared" si="0"/>
        <v>3178.9473684210525</v>
      </c>
      <c r="H32" s="54">
        <v>12030</v>
      </c>
      <c r="I32" s="55">
        <f t="shared" si="27"/>
        <v>575.57894736842104</v>
      </c>
      <c r="J32" s="57">
        <f t="shared" si="1"/>
        <v>78470</v>
      </c>
      <c r="K32" s="58">
        <f t="shared" si="2"/>
        <v>4130</v>
      </c>
      <c r="L32" s="59"/>
      <c r="M32" s="60">
        <f t="shared" si="3"/>
        <v>25</v>
      </c>
      <c r="N32" s="61">
        <f t="shared" si="3"/>
        <v>242880</v>
      </c>
      <c r="O32" s="55">
        <f t="shared" si="4"/>
        <v>8832</v>
      </c>
      <c r="P32" s="61">
        <f t="shared" si="5"/>
        <v>102370</v>
      </c>
      <c r="Q32" s="55">
        <f t="shared" si="6"/>
        <v>3722.52</v>
      </c>
      <c r="R32" s="62">
        <f t="shared" si="7"/>
        <v>345250</v>
      </c>
      <c r="S32" s="58">
        <f t="shared" si="8"/>
        <v>13810</v>
      </c>
      <c r="T32" s="82">
        <f t="shared" si="9"/>
        <v>44</v>
      </c>
      <c r="U32" s="61">
        <f t="shared" si="9"/>
        <v>309320</v>
      </c>
      <c r="V32" s="61">
        <f t="shared" si="10"/>
        <v>114400</v>
      </c>
      <c r="W32" s="64">
        <f t="shared" si="11"/>
        <v>423720</v>
      </c>
      <c r="X32" s="83"/>
      <c r="Y32" s="65"/>
      <c r="Z32" s="66">
        <v>19</v>
      </c>
      <c r="AA32" s="54">
        <v>7800</v>
      </c>
      <c r="AB32" s="55">
        <f t="shared" si="12"/>
        <v>410.5263157894737</v>
      </c>
      <c r="AC32" s="54">
        <v>3200</v>
      </c>
      <c r="AD32" s="56">
        <f t="shared" si="13"/>
        <v>168.42105263157896</v>
      </c>
      <c r="AE32" s="67">
        <f t="shared" si="14"/>
        <v>11000</v>
      </c>
      <c r="AF32" s="58">
        <f t="shared" si="15"/>
        <v>578.9473684210526</v>
      </c>
      <c r="AG32" s="68"/>
      <c r="AH32" s="66"/>
      <c r="AI32" s="54"/>
      <c r="AJ32" s="55" t="e">
        <f t="shared" si="16"/>
        <v>#DIV/0!</v>
      </c>
      <c r="AK32" s="54"/>
      <c r="AL32" s="56" t="e">
        <f t="shared" si="17"/>
        <v>#DIV/0!</v>
      </c>
      <c r="AM32" s="67">
        <f t="shared" si="28"/>
        <v>0</v>
      </c>
      <c r="AN32" s="69" t="str">
        <f t="shared" si="18"/>
        <v/>
      </c>
      <c r="AO32" s="70"/>
      <c r="AP32" s="66"/>
      <c r="AQ32" s="54"/>
      <c r="AR32" s="55" t="e">
        <f t="shared" si="19"/>
        <v>#DIV/0!</v>
      </c>
      <c r="AS32" s="54"/>
      <c r="AT32" s="56" t="e">
        <f t="shared" si="20"/>
        <v>#DIV/0!</v>
      </c>
      <c r="AU32" s="56"/>
      <c r="AV32" s="56"/>
      <c r="AW32" s="71">
        <f t="shared" si="34"/>
        <v>0</v>
      </c>
      <c r="AX32" s="69" t="str">
        <f t="shared" si="21"/>
        <v/>
      </c>
      <c r="AY32" s="84">
        <f t="shared" si="22"/>
        <v>44</v>
      </c>
      <c r="AZ32" s="61">
        <f>U32+AA32+AI32+AQ32</f>
        <v>317120</v>
      </c>
      <c r="BA32" s="61">
        <f t="shared" si="24"/>
        <v>117600</v>
      </c>
      <c r="BB32" s="73">
        <f>W32+AE32+AM32+AW32-BN32</f>
        <v>431904</v>
      </c>
      <c r="BC32" s="74">
        <f>BG32+BH32</f>
        <v>0</v>
      </c>
      <c r="BD32" s="75">
        <v>44</v>
      </c>
      <c r="BE32" s="76">
        <v>309320</v>
      </c>
      <c r="BF32" s="76">
        <v>114400</v>
      </c>
      <c r="BG32" s="77"/>
      <c r="BH32" s="77"/>
      <c r="BI32" s="77"/>
      <c r="BJ32" s="77">
        <v>14080</v>
      </c>
      <c r="BK32" s="78">
        <f>SUM(BE32:BH32)</f>
        <v>423720</v>
      </c>
      <c r="BL32" s="49">
        <v>28</v>
      </c>
      <c r="BN32" s="49">
        <v>2816</v>
      </c>
    </row>
    <row r="33" spans="2:65" ht="20" customHeight="1">
      <c r="B33" s="80"/>
      <c r="C33" s="81"/>
      <c r="D33" s="52"/>
      <c r="E33" s="53"/>
      <c r="F33" s="54"/>
      <c r="G33" s="55" t="e">
        <f t="shared" si="0"/>
        <v>#DIV/0!</v>
      </c>
      <c r="H33" s="54"/>
      <c r="I33" s="55" t="e">
        <f t="shared" si="27"/>
        <v>#DIV/0!</v>
      </c>
      <c r="J33" s="57">
        <f t="shared" si="1"/>
        <v>0</v>
      </c>
      <c r="K33" s="58" t="str">
        <f t="shared" si="2"/>
        <v/>
      </c>
      <c r="L33" s="59"/>
      <c r="M33" s="60">
        <f t="shared" si="3"/>
        <v>0</v>
      </c>
      <c r="N33" s="61">
        <f t="shared" si="3"/>
        <v>0</v>
      </c>
      <c r="O33" s="55" t="e">
        <f t="shared" si="4"/>
        <v>#DIV/0!</v>
      </c>
      <c r="P33" s="61">
        <f t="shared" si="5"/>
        <v>0</v>
      </c>
      <c r="Q33" s="55" t="e">
        <f t="shared" si="6"/>
        <v>#DIV/0!</v>
      </c>
      <c r="R33" s="62">
        <f t="shared" si="7"/>
        <v>0</v>
      </c>
      <c r="S33" s="58" t="e">
        <f t="shared" si="8"/>
        <v>#DIV/0!</v>
      </c>
      <c r="T33" s="82">
        <f t="shared" si="9"/>
        <v>0</v>
      </c>
      <c r="U33" s="61">
        <f t="shared" si="9"/>
        <v>0</v>
      </c>
      <c r="V33" s="61">
        <f t="shared" si="10"/>
        <v>0</v>
      </c>
      <c r="W33" s="64">
        <f>J33+R33</f>
        <v>0</v>
      </c>
      <c r="X33" s="83"/>
      <c r="Y33" s="65"/>
      <c r="Z33" s="66"/>
      <c r="AA33" s="54"/>
      <c r="AB33" s="55" t="e">
        <f t="shared" si="12"/>
        <v>#DIV/0!</v>
      </c>
      <c r="AC33" s="54"/>
      <c r="AD33" s="56" t="e">
        <f t="shared" si="13"/>
        <v>#DIV/0!</v>
      </c>
      <c r="AE33" s="67">
        <f t="shared" si="14"/>
        <v>0</v>
      </c>
      <c r="AF33" s="58" t="str">
        <f t="shared" si="15"/>
        <v/>
      </c>
      <c r="AG33" s="68"/>
      <c r="AH33" s="66"/>
      <c r="AI33" s="54"/>
      <c r="AJ33" s="55" t="e">
        <f t="shared" si="16"/>
        <v>#DIV/0!</v>
      </c>
      <c r="AK33" s="54"/>
      <c r="AL33" s="56" t="e">
        <f t="shared" si="17"/>
        <v>#DIV/0!</v>
      </c>
      <c r="AM33" s="67">
        <f t="shared" si="28"/>
        <v>0</v>
      </c>
      <c r="AN33" s="69" t="str">
        <f t="shared" si="18"/>
        <v/>
      </c>
      <c r="AO33" s="70"/>
      <c r="AP33" s="66"/>
      <c r="AQ33" s="54"/>
      <c r="AR33" s="55" t="e">
        <f t="shared" si="19"/>
        <v>#DIV/0!</v>
      </c>
      <c r="AS33" s="54"/>
      <c r="AT33" s="56" t="e">
        <f t="shared" si="20"/>
        <v>#DIV/0!</v>
      </c>
      <c r="AU33" s="56"/>
      <c r="AV33" s="56"/>
      <c r="AW33" s="71">
        <f t="shared" si="34"/>
        <v>0</v>
      </c>
      <c r="AX33" s="69" t="str">
        <f t="shared" si="21"/>
        <v/>
      </c>
      <c r="AY33" s="84">
        <f t="shared" si="22"/>
        <v>0</v>
      </c>
      <c r="AZ33" s="61">
        <f t="shared" si="23"/>
        <v>0</v>
      </c>
      <c r="BA33" s="61">
        <f t="shared" si="24"/>
        <v>0</v>
      </c>
      <c r="BB33" s="73">
        <f>W33+AE33+AM33+AW33-BN33</f>
        <v>0</v>
      </c>
      <c r="BC33" s="74">
        <f t="shared" si="35"/>
        <v>0</v>
      </c>
      <c r="BD33" s="75"/>
      <c r="BE33" s="76"/>
      <c r="BF33" s="76"/>
      <c r="BG33" s="77"/>
      <c r="BH33" s="77"/>
      <c r="BI33" s="77"/>
      <c r="BJ33" s="77"/>
      <c r="BK33" s="78">
        <f t="shared" si="29"/>
        <v>0</v>
      </c>
      <c r="BL33" s="49">
        <v>29</v>
      </c>
      <c r="BM33" s="79">
        <f t="shared" si="25"/>
        <v>0</v>
      </c>
    </row>
    <row r="34" spans="2:65" ht="20" customHeight="1">
      <c r="B34" s="80"/>
      <c r="C34" s="81"/>
      <c r="D34" s="52"/>
      <c r="E34" s="53"/>
      <c r="F34" s="54"/>
      <c r="G34" s="55" t="e">
        <f t="shared" si="0"/>
        <v>#DIV/0!</v>
      </c>
      <c r="H34" s="54"/>
      <c r="I34" s="55" t="e">
        <f t="shared" si="27"/>
        <v>#DIV/0!</v>
      </c>
      <c r="J34" s="57">
        <f t="shared" si="1"/>
        <v>0</v>
      </c>
      <c r="K34" s="58" t="str">
        <f t="shared" si="2"/>
        <v/>
      </c>
      <c r="L34" s="59"/>
      <c r="M34" s="60">
        <f t="shared" si="3"/>
        <v>0</v>
      </c>
      <c r="N34" s="61">
        <f t="shared" si="3"/>
        <v>0</v>
      </c>
      <c r="O34" s="55" t="e">
        <f t="shared" si="4"/>
        <v>#DIV/0!</v>
      </c>
      <c r="P34" s="61">
        <f t="shared" si="5"/>
        <v>0</v>
      </c>
      <c r="Q34" s="55" t="e">
        <f t="shared" si="6"/>
        <v>#DIV/0!</v>
      </c>
      <c r="R34" s="62">
        <f t="shared" si="7"/>
        <v>0</v>
      </c>
      <c r="S34" s="58" t="e">
        <f t="shared" si="8"/>
        <v>#DIV/0!</v>
      </c>
      <c r="T34" s="82">
        <f t="shared" si="9"/>
        <v>0</v>
      </c>
      <c r="U34" s="61">
        <f t="shared" si="9"/>
        <v>0</v>
      </c>
      <c r="V34" s="61">
        <f t="shared" si="10"/>
        <v>0</v>
      </c>
      <c r="W34" s="64">
        <f t="shared" si="11"/>
        <v>0</v>
      </c>
      <c r="X34" s="83"/>
      <c r="Y34" s="89"/>
      <c r="Z34" s="90"/>
      <c r="AA34" s="91"/>
      <c r="AB34" s="55" t="e">
        <f t="shared" si="12"/>
        <v>#DIV/0!</v>
      </c>
      <c r="AC34" s="91"/>
      <c r="AD34" s="56" t="e">
        <f t="shared" si="13"/>
        <v>#DIV/0!</v>
      </c>
      <c r="AE34" s="67">
        <f t="shared" si="14"/>
        <v>0</v>
      </c>
      <c r="AF34" s="58" t="str">
        <f t="shared" si="15"/>
        <v/>
      </c>
      <c r="AG34" s="68"/>
      <c r="AH34" s="90"/>
      <c r="AI34" s="91"/>
      <c r="AJ34" s="55" t="e">
        <f t="shared" si="16"/>
        <v>#DIV/0!</v>
      </c>
      <c r="AK34" s="91"/>
      <c r="AL34" s="56" t="e">
        <f t="shared" si="17"/>
        <v>#DIV/0!</v>
      </c>
      <c r="AM34" s="67">
        <f t="shared" si="28"/>
        <v>0</v>
      </c>
      <c r="AN34" s="69" t="str">
        <f t="shared" si="18"/>
        <v/>
      </c>
      <c r="AO34" s="70"/>
      <c r="AP34" s="90"/>
      <c r="AQ34" s="91"/>
      <c r="AR34" s="55" t="e">
        <f t="shared" si="19"/>
        <v>#DIV/0!</v>
      </c>
      <c r="AS34" s="91"/>
      <c r="AT34" s="56" t="e">
        <f t="shared" si="20"/>
        <v>#DIV/0!</v>
      </c>
      <c r="AU34" s="56"/>
      <c r="AV34" s="56"/>
      <c r="AW34" s="71">
        <f>AQ34+AS34+AU34+AV34-BN34</f>
        <v>0</v>
      </c>
      <c r="AX34" s="69" t="str">
        <f t="shared" si="21"/>
        <v/>
      </c>
      <c r="AY34" s="84">
        <f t="shared" si="22"/>
        <v>0</v>
      </c>
      <c r="AZ34" s="61">
        <f t="shared" si="23"/>
        <v>0</v>
      </c>
      <c r="BA34" s="61">
        <f t="shared" si="24"/>
        <v>0</v>
      </c>
      <c r="BB34" s="73">
        <f>W34+AE34+AM34+AW34-BN34</f>
        <v>0</v>
      </c>
      <c r="BC34" s="74">
        <f t="shared" si="35"/>
        <v>0</v>
      </c>
      <c r="BD34" s="75"/>
      <c r="BE34" s="76"/>
      <c r="BF34" s="76"/>
      <c r="BG34" s="77"/>
      <c r="BH34" s="77"/>
      <c r="BI34" s="77"/>
      <c r="BJ34" s="77"/>
      <c r="BK34" s="78">
        <f t="shared" si="29"/>
        <v>0</v>
      </c>
      <c r="BL34" s="49">
        <v>30</v>
      </c>
      <c r="BM34" s="79">
        <f t="shared" si="25"/>
        <v>0</v>
      </c>
    </row>
    <row r="35" spans="2:65" ht="20" customHeight="1" thickBot="1">
      <c r="B35" s="80"/>
      <c r="C35" s="81"/>
      <c r="D35" s="52"/>
      <c r="E35" s="53"/>
      <c r="F35" s="54"/>
      <c r="G35" s="55" t="e">
        <f t="shared" si="0"/>
        <v>#DIV/0!</v>
      </c>
      <c r="H35" s="54"/>
      <c r="I35" s="55" t="e">
        <f t="shared" si="27"/>
        <v>#DIV/0!</v>
      </c>
      <c r="J35" s="57">
        <f t="shared" si="1"/>
        <v>0</v>
      </c>
      <c r="K35" s="58" t="str">
        <f t="shared" si="2"/>
        <v/>
      </c>
      <c r="L35" s="59"/>
      <c r="M35" s="92">
        <f t="shared" si="3"/>
        <v>0</v>
      </c>
      <c r="N35" s="61">
        <f t="shared" si="3"/>
        <v>0</v>
      </c>
      <c r="O35" s="55" t="e">
        <f t="shared" si="4"/>
        <v>#DIV/0!</v>
      </c>
      <c r="P35" s="61">
        <f t="shared" si="5"/>
        <v>0</v>
      </c>
      <c r="Q35" s="55" t="e">
        <f t="shared" si="6"/>
        <v>#DIV/0!</v>
      </c>
      <c r="R35" s="62">
        <f t="shared" si="7"/>
        <v>0</v>
      </c>
      <c r="S35" s="58" t="e">
        <f t="shared" si="8"/>
        <v>#DIV/0!</v>
      </c>
      <c r="T35" s="93">
        <f t="shared" si="9"/>
        <v>0</v>
      </c>
      <c r="U35" s="94">
        <f t="shared" si="9"/>
        <v>0</v>
      </c>
      <c r="V35" s="94">
        <f t="shared" si="10"/>
        <v>0</v>
      </c>
      <c r="W35" s="95">
        <f t="shared" si="11"/>
        <v>0</v>
      </c>
      <c r="X35" s="94"/>
      <c r="Y35" s="96"/>
      <c r="Z35" s="97"/>
      <c r="AA35" s="98"/>
      <c r="AB35" s="99" t="e">
        <f t="shared" si="12"/>
        <v>#DIV/0!</v>
      </c>
      <c r="AC35" s="98"/>
      <c r="AD35" s="100" t="e">
        <f t="shared" si="13"/>
        <v>#DIV/0!</v>
      </c>
      <c r="AE35" s="101">
        <f t="shared" si="14"/>
        <v>0</v>
      </c>
      <c r="AF35" s="58" t="str">
        <f t="shared" si="15"/>
        <v/>
      </c>
      <c r="AG35" s="102"/>
      <c r="AH35" s="97"/>
      <c r="AI35" s="98"/>
      <c r="AJ35" s="99" t="e">
        <f t="shared" si="16"/>
        <v>#DIV/0!</v>
      </c>
      <c r="AK35" s="98"/>
      <c r="AL35" s="100" t="e">
        <f t="shared" si="17"/>
        <v>#DIV/0!</v>
      </c>
      <c r="AM35" s="67">
        <f t="shared" si="28"/>
        <v>0</v>
      </c>
      <c r="AN35" s="69" t="str">
        <f t="shared" si="18"/>
        <v/>
      </c>
      <c r="AO35" s="103"/>
      <c r="AP35" s="97"/>
      <c r="AQ35" s="98"/>
      <c r="AR35" s="99" t="e">
        <f t="shared" si="19"/>
        <v>#DIV/0!</v>
      </c>
      <c r="AS35" s="98"/>
      <c r="AT35" s="100" t="e">
        <f t="shared" si="20"/>
        <v>#DIV/0!</v>
      </c>
      <c r="AU35" s="100"/>
      <c r="AV35" s="56"/>
      <c r="AW35" s="71">
        <f t="shared" si="33"/>
        <v>0</v>
      </c>
      <c r="AX35" s="69" t="str">
        <f t="shared" si="21"/>
        <v/>
      </c>
      <c r="AY35" s="104">
        <f t="shared" si="22"/>
        <v>0</v>
      </c>
      <c r="AZ35" s="61">
        <f t="shared" si="23"/>
        <v>0</v>
      </c>
      <c r="BA35" s="61">
        <f t="shared" si="24"/>
        <v>0</v>
      </c>
      <c r="BB35" s="73">
        <f>W35+AE35+AM35+AW35-BN35</f>
        <v>0</v>
      </c>
      <c r="BC35" s="74">
        <f t="shared" si="30"/>
        <v>0</v>
      </c>
      <c r="BD35" s="105"/>
      <c r="BE35" s="106"/>
      <c r="BF35" s="106"/>
      <c r="BG35" s="107"/>
      <c r="BH35" s="107"/>
      <c r="BI35" s="107"/>
      <c r="BJ35" s="107"/>
      <c r="BK35" s="78">
        <f t="shared" si="29"/>
        <v>0</v>
      </c>
      <c r="BL35" s="49">
        <v>31</v>
      </c>
      <c r="BM35" s="79">
        <f t="shared" si="25"/>
        <v>0</v>
      </c>
    </row>
    <row r="36" spans="2:65" s="130" customFormat="1" ht="20" customHeight="1" thickTop="1">
      <c r="B36" s="108" t="s">
        <v>28</v>
      </c>
      <c r="C36" s="109">
        <f>SUM(C5:C35)</f>
        <v>0</v>
      </c>
      <c r="D36" s="110">
        <f>SUM(D5:D35)</f>
        <v>0</v>
      </c>
      <c r="E36" s="111">
        <f>SUM(E5:E35)</f>
        <v>786</v>
      </c>
      <c r="F36" s="112">
        <f>SUM(F5:F35)</f>
        <v>3157910</v>
      </c>
      <c r="G36" s="113">
        <f>F36/E36</f>
        <v>4017.6972010178115</v>
      </c>
      <c r="H36" s="109">
        <f>SUM(H5:H35)</f>
        <v>535940</v>
      </c>
      <c r="I36" s="114">
        <f>H36/E36</f>
        <v>681.8575063613232</v>
      </c>
      <c r="J36" s="115">
        <f>SUM(J5:J35)</f>
        <v>3693850</v>
      </c>
      <c r="K36" s="116">
        <f>J36/E36</f>
        <v>4699.5547073791349</v>
      </c>
      <c r="L36" s="117">
        <f>SUM(L5:L35)</f>
        <v>0</v>
      </c>
      <c r="M36" s="111">
        <f>SUM(M5:M35)</f>
        <v>626</v>
      </c>
      <c r="N36" s="112">
        <f>SUM(N5:N35)</f>
        <v>6240300</v>
      </c>
      <c r="O36" s="113">
        <f>N36/M36</f>
        <v>9968.5303514376992</v>
      </c>
      <c r="P36" s="118">
        <f>SUM(P5:P35)</f>
        <v>1608340</v>
      </c>
      <c r="Q36" s="114">
        <f>P36/M36</f>
        <v>2569.2332268370606</v>
      </c>
      <c r="R36" s="119">
        <f>SUM(R5:R35)</f>
        <v>7848640</v>
      </c>
      <c r="S36" s="120">
        <f>R36/M36</f>
        <v>12537.76357827476</v>
      </c>
      <c r="T36" s="111">
        <f t="shared" ref="T36:AA36" si="36">SUM(T5:T35)</f>
        <v>1412</v>
      </c>
      <c r="U36" s="118">
        <f t="shared" si="36"/>
        <v>9398210</v>
      </c>
      <c r="V36" s="118">
        <f t="shared" si="36"/>
        <v>2144280</v>
      </c>
      <c r="W36" s="115">
        <f>SUM(W5:W35)</f>
        <v>11542490</v>
      </c>
      <c r="X36" s="121">
        <f t="shared" si="36"/>
        <v>0</v>
      </c>
      <c r="Y36" s="110">
        <f t="shared" si="36"/>
        <v>0</v>
      </c>
      <c r="Z36" s="111">
        <f t="shared" si="36"/>
        <v>504</v>
      </c>
      <c r="AA36" s="113">
        <f t="shared" si="36"/>
        <v>196250</v>
      </c>
      <c r="AB36" s="113">
        <f>AA36/Z36</f>
        <v>389.38492063492066</v>
      </c>
      <c r="AC36" s="109">
        <f>SUM(AC5:AC35)</f>
        <v>87120</v>
      </c>
      <c r="AD36" s="114">
        <f>AC36/Z36</f>
        <v>172.85714285714286</v>
      </c>
      <c r="AE36" s="119">
        <f>SUM(AE5:AE35)</f>
        <v>283370</v>
      </c>
      <c r="AF36" s="122">
        <f>AE36/Z36</f>
        <v>562.24206349206349</v>
      </c>
      <c r="AG36" s="123">
        <f t="shared" ref="AG36:AI36" si="37">SUM(AG5:AG35)</f>
        <v>0</v>
      </c>
      <c r="AH36" s="111">
        <f t="shared" si="37"/>
        <v>238</v>
      </c>
      <c r="AI36" s="113">
        <f t="shared" si="37"/>
        <v>902190</v>
      </c>
      <c r="AJ36" s="113"/>
      <c r="AK36" s="109">
        <f>SUM(AK5:AK35)</f>
        <v>294060</v>
      </c>
      <c r="AL36" s="114"/>
      <c r="AM36" s="119">
        <f>SUM(AM5:AM35)</f>
        <v>1196250</v>
      </c>
      <c r="AN36" s="124">
        <f>AM36/AH36</f>
        <v>5026.2605042016803</v>
      </c>
      <c r="AO36" s="125">
        <f t="shared" ref="AO36:AQ36" si="38">SUM(AO5:AO35)</f>
        <v>0</v>
      </c>
      <c r="AP36" s="111">
        <f t="shared" si="38"/>
        <v>194</v>
      </c>
      <c r="AQ36" s="113">
        <f t="shared" si="38"/>
        <v>686125</v>
      </c>
      <c r="AR36" s="113"/>
      <c r="AS36" s="109">
        <f>SUM(AS5:AS35)</f>
        <v>363000</v>
      </c>
      <c r="AT36" s="114"/>
      <c r="AU36" s="109">
        <f>SUM(AU5:AU35)</f>
        <v>0</v>
      </c>
      <c r="AV36" s="109">
        <f>SUM(AV5:AV35)</f>
        <v>0</v>
      </c>
      <c r="AW36" s="119">
        <f>SUM(AW5:AW35)</f>
        <v>1049125</v>
      </c>
      <c r="AX36" s="124">
        <f>AW36/AP36</f>
        <v>5407.8608247422681</v>
      </c>
      <c r="AY36" s="126">
        <f t="shared" ref="AY36:BK36" si="39">SUM(AY5:AY35)</f>
        <v>1412</v>
      </c>
      <c r="AZ36" s="118">
        <f t="shared" si="39"/>
        <v>11182775</v>
      </c>
      <c r="BA36" s="118">
        <f t="shared" si="39"/>
        <v>2888460</v>
      </c>
      <c r="BB36" s="119">
        <f>SUM(BB5:BB35)</f>
        <v>14053075</v>
      </c>
      <c r="BC36" s="127">
        <f t="shared" si="39"/>
        <v>126050</v>
      </c>
      <c r="BD36" s="128">
        <f t="shared" si="39"/>
        <v>1412</v>
      </c>
      <c r="BE36" s="128">
        <f t="shared" si="39"/>
        <v>9398210</v>
      </c>
      <c r="BF36" s="128">
        <f t="shared" si="39"/>
        <v>2144280</v>
      </c>
      <c r="BG36" s="128">
        <f t="shared" si="39"/>
        <v>94600</v>
      </c>
      <c r="BH36" s="128">
        <f t="shared" si="39"/>
        <v>31450</v>
      </c>
      <c r="BI36" s="128">
        <f t="shared" si="39"/>
        <v>61700</v>
      </c>
      <c r="BJ36" s="128">
        <f t="shared" si="39"/>
        <v>14080</v>
      </c>
      <c r="BK36" s="129">
        <f t="shared" si="39"/>
        <v>11668540</v>
      </c>
      <c r="BM36" s="131">
        <f>SUM(BM5:BM35)</f>
        <v>11244820</v>
      </c>
    </row>
    <row r="37" spans="2:65" s="130" customFormat="1" ht="18">
      <c r="B37" s="132"/>
      <c r="E37" s="133" t="s">
        <v>41</v>
      </c>
      <c r="F37" s="134">
        <f>F36/1.1</f>
        <v>2870827.2727272725</v>
      </c>
      <c r="G37" s="135">
        <f>F37/E36</f>
        <v>3652.4520009252828</v>
      </c>
      <c r="H37" s="136">
        <f>H36/1.1</f>
        <v>487218.18181818177</v>
      </c>
      <c r="I37" s="135">
        <f>H37/E36</f>
        <v>619.87046032847547</v>
      </c>
      <c r="J37" s="137">
        <f>J36/1.1</f>
        <v>3358045.4545454541</v>
      </c>
      <c r="K37" s="138">
        <f>G37+I37</f>
        <v>4272.3224612537579</v>
      </c>
      <c r="L37" s="139"/>
      <c r="M37" s="133" t="s">
        <v>41</v>
      </c>
      <c r="N37" s="134">
        <f>N36/1.1</f>
        <v>5673000</v>
      </c>
      <c r="O37" s="135">
        <f>N37/M36</f>
        <v>9062.3003194888188</v>
      </c>
      <c r="P37" s="136">
        <f>P36/1.1</f>
        <v>1462127.2727272727</v>
      </c>
      <c r="Q37" s="135">
        <f>P37/M36</f>
        <v>2335.6665698518732</v>
      </c>
      <c r="R37" s="135">
        <f>R36/1.1</f>
        <v>7135127.2727272725</v>
      </c>
      <c r="S37" s="140">
        <f>R37/M36</f>
        <v>11397.966889340691</v>
      </c>
      <c r="T37" s="133" t="s">
        <v>41</v>
      </c>
      <c r="U37" s="134">
        <f>U36/1.1</f>
        <v>8543827.2727272715</v>
      </c>
      <c r="V37" s="134">
        <f>V36/1.1</f>
        <v>1949345.4545454544</v>
      </c>
      <c r="W37" s="137">
        <f>W36/1.1</f>
        <v>10493172.727272727</v>
      </c>
      <c r="X37" s="141"/>
      <c r="Y37" s="139"/>
      <c r="Z37" s="133" t="s">
        <v>41</v>
      </c>
      <c r="AA37" s="134">
        <f>AA36/1.1</f>
        <v>178409.09090909088</v>
      </c>
      <c r="AB37" s="136">
        <f>AA37/Z36</f>
        <v>353.98629148629141</v>
      </c>
      <c r="AC37" s="136">
        <f>AC36/1.1</f>
        <v>79200</v>
      </c>
      <c r="AD37" s="136">
        <f>AC37/Z36</f>
        <v>157.14285714285714</v>
      </c>
      <c r="AE37" s="135">
        <f>AE36/1.1</f>
        <v>257609.09090909088</v>
      </c>
      <c r="AF37" s="142" t="e">
        <f>AE37/Y36</f>
        <v>#DIV/0!</v>
      </c>
      <c r="AG37" s="139"/>
      <c r="AH37" s="133" t="s">
        <v>41</v>
      </c>
      <c r="AI37" s="134">
        <f>AI36/1.1</f>
        <v>820172.72727272718</v>
      </c>
      <c r="AJ37" s="136">
        <f>AI37/AH36</f>
        <v>3446.1038961038957</v>
      </c>
      <c r="AK37" s="136">
        <f>AK36/1.1</f>
        <v>267327.27272727271</v>
      </c>
      <c r="AL37" s="136">
        <f>AK37/AH36</f>
        <v>1123.2238349885408</v>
      </c>
      <c r="AM37" s="135">
        <f>AM36/1.1</f>
        <v>1087500</v>
      </c>
      <c r="AN37" s="143" t="e">
        <f>AM37/AG36</f>
        <v>#DIV/0!</v>
      </c>
      <c r="AO37" s="139"/>
      <c r="AP37" s="133" t="s">
        <v>41</v>
      </c>
      <c r="AQ37" s="134">
        <f>AQ36/1.1</f>
        <v>623750</v>
      </c>
      <c r="AR37" s="136">
        <f>AQ37/AP36</f>
        <v>3215.2061855670104</v>
      </c>
      <c r="AS37" s="136">
        <f>AS36/1.1</f>
        <v>330000</v>
      </c>
      <c r="AT37" s="136">
        <f>AS37/AP36</f>
        <v>1701.0309278350514</v>
      </c>
      <c r="AU37" s="136">
        <f>AU36/1.1</f>
        <v>0</v>
      </c>
      <c r="AV37" s="136">
        <f>AV36/1.1</f>
        <v>0</v>
      </c>
      <c r="AW37" s="135">
        <f>AW36/1.1</f>
        <v>953749.99999999988</v>
      </c>
      <c r="AX37" s="143">
        <f>AW37/AP36</f>
        <v>4916.2371134020614</v>
      </c>
      <c r="AY37" s="144" t="s">
        <v>41</v>
      </c>
      <c r="AZ37" s="134">
        <f>AZ36/1.1</f>
        <v>10166159.09090909</v>
      </c>
      <c r="BA37" s="134">
        <f>BA36/1.1</f>
        <v>2625872.7272727271</v>
      </c>
      <c r="BB37" s="135">
        <f>BB36/1.1</f>
        <v>12775522.727272727</v>
      </c>
      <c r="BC37" s="145">
        <f>BC36/1.1</f>
        <v>114590.90909090909</v>
      </c>
      <c r="BH37" s="146"/>
      <c r="BK37" s="147">
        <f>BK36/1.1</f>
        <v>10607763.636363635</v>
      </c>
      <c r="BM37" s="147"/>
    </row>
    <row r="38" spans="2:65">
      <c r="C38" s="49">
        <v>28</v>
      </c>
      <c r="E38" s="148" t="s">
        <v>42</v>
      </c>
      <c r="F38" s="149">
        <f>E36/G38</f>
        <v>28.071428571428573</v>
      </c>
      <c r="G38" s="150">
        <v>28</v>
      </c>
      <c r="H38" s="149"/>
      <c r="I38" s="149"/>
      <c r="J38" s="151" t="s">
        <v>43</v>
      </c>
      <c r="K38" s="152">
        <f>J37/G38</f>
        <v>119930.19480519478</v>
      </c>
      <c r="M38" s="148" t="s">
        <v>42</v>
      </c>
      <c r="N38" s="149">
        <f>M36/O38</f>
        <v>22.357142857142858</v>
      </c>
      <c r="O38" s="150">
        <f>G38</f>
        <v>28</v>
      </c>
      <c r="P38" s="149"/>
      <c r="Q38" s="149"/>
      <c r="R38" s="151" t="s">
        <v>43</v>
      </c>
      <c r="S38" s="153">
        <f>R37/O38</f>
        <v>254825.97402597402</v>
      </c>
      <c r="U38" s="154">
        <f>O38</f>
        <v>28</v>
      </c>
      <c r="W38" s="85">
        <f>W37/U38</f>
        <v>374756.16883116879</v>
      </c>
      <c r="X38" s="79"/>
      <c r="AA38" s="155">
        <f>G38</f>
        <v>28</v>
      </c>
      <c r="AB38" s="149"/>
      <c r="AC38" s="149"/>
      <c r="AD38" s="149"/>
      <c r="AE38" s="149"/>
      <c r="AF38" s="152">
        <f>AE37/AA38</f>
        <v>9200.3246753246749</v>
      </c>
      <c r="AI38" s="155">
        <f>AA38</f>
        <v>28</v>
      </c>
      <c r="AJ38" s="149"/>
      <c r="AK38" s="149"/>
      <c r="AL38" s="149"/>
      <c r="AM38" s="149"/>
      <c r="AN38" s="152">
        <f>AM37/AI38</f>
        <v>38839.285714285717</v>
      </c>
      <c r="AQ38" s="155">
        <f>G38</f>
        <v>28</v>
      </c>
      <c r="AR38" s="149"/>
      <c r="AS38" s="149"/>
      <c r="AT38" s="149"/>
      <c r="AU38" s="149"/>
      <c r="AV38" s="149"/>
      <c r="AW38" s="149"/>
      <c r="AX38" s="152">
        <f>AW37/AQ38</f>
        <v>34062.499999999993</v>
      </c>
      <c r="BB38" s="85"/>
      <c r="BC38" s="79" t="e">
        <f>BB37/BD37</f>
        <v>#DIV/0!</v>
      </c>
      <c r="BD38" s="156">
        <f>AY36+T36</f>
        <v>2824</v>
      </c>
      <c r="BH38" s="85"/>
    </row>
    <row r="39" spans="2:65">
      <c r="D39" s="157" t="s">
        <v>44</v>
      </c>
      <c r="E39" s="158"/>
      <c r="F39" s="149"/>
      <c r="G39" s="159"/>
      <c r="H39" s="149"/>
      <c r="I39" s="149"/>
      <c r="J39" s="151"/>
      <c r="K39" s="152"/>
      <c r="L39" s="160" t="s">
        <v>45</v>
      </c>
      <c r="M39" s="148"/>
      <c r="N39" s="149"/>
      <c r="O39" s="149"/>
      <c r="P39" s="149"/>
      <c r="Q39" s="149"/>
      <c r="R39" s="151"/>
      <c r="S39" s="152"/>
      <c r="V39" s="85">
        <f>V37/T36</f>
        <v>1380.5562709245428</v>
      </c>
      <c r="W39" s="85"/>
      <c r="X39" s="79"/>
      <c r="Y39" s="160" t="s">
        <v>46</v>
      </c>
      <c r="AA39" s="149"/>
      <c r="AB39" s="149"/>
      <c r="AC39" s="149"/>
      <c r="AD39" s="149"/>
      <c r="AE39" s="149"/>
      <c r="AF39" s="152"/>
      <c r="AG39" s="160" t="s">
        <v>47</v>
      </c>
      <c r="AI39" s="149"/>
      <c r="AJ39" s="149"/>
      <c r="AK39" s="149"/>
      <c r="AL39" s="149"/>
      <c r="AM39" s="149"/>
      <c r="AN39" s="152"/>
      <c r="AO39" s="160" t="s">
        <v>48</v>
      </c>
      <c r="AQ39" s="149"/>
      <c r="AR39" s="149"/>
      <c r="AS39" s="149"/>
      <c r="AT39" s="149"/>
      <c r="AU39" s="149"/>
      <c r="AV39" s="149"/>
      <c r="AW39" s="149"/>
      <c r="AX39" s="152"/>
      <c r="BB39" s="79">
        <f>BB36+BC36</f>
        <v>14179125</v>
      </c>
      <c r="BC39" s="161">
        <f>BB39/G38</f>
        <v>506397.32142857142</v>
      </c>
      <c r="BD39" s="49" t="s">
        <v>49</v>
      </c>
      <c r="BH39" s="85"/>
    </row>
    <row r="40" spans="2:65" ht="21.5" customHeight="1">
      <c r="C40" s="160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49">
        <v>25</v>
      </c>
      <c r="W40" s="79">
        <f>W37+BC37+AE37+AW37+AM37-16509</f>
        <v>12890113.727272727</v>
      </c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BB40" s="163">
        <f>BB37+BC37</f>
        <v>12890113.636363635</v>
      </c>
      <c r="BL40" s="49">
        <f>18160/1.1</f>
        <v>16509.090909090908</v>
      </c>
    </row>
    <row r="41" spans="2:65" ht="21.5" customHeight="1">
      <c r="C41" s="160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49">
        <v>15</v>
      </c>
      <c r="V41" s="49">
        <f>17+10+14+5+7+8+9+6</f>
        <v>76</v>
      </c>
      <c r="W41" s="85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BB41" s="79"/>
      <c r="BC41" s="161">
        <f>BB40/G38</f>
        <v>460361.20129870123</v>
      </c>
      <c r="BD41" s="49" t="s">
        <v>50</v>
      </c>
      <c r="BE41" s="49">
        <v>9</v>
      </c>
    </row>
    <row r="42" spans="2:65" ht="21.5" customHeight="1">
      <c r="C42" s="160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49">
        <v>13</v>
      </c>
      <c r="W42" s="79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BE42" s="49">
        <v>8</v>
      </c>
      <c r="BF42" s="85">
        <f>AS37</f>
        <v>330000</v>
      </c>
    </row>
    <row r="43" spans="2:65" ht="21.5" customHeight="1">
      <c r="C43" s="160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49">
        <v>10</v>
      </c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BB43" s="85">
        <f>BB37+BC37</f>
        <v>12890113.636363635</v>
      </c>
      <c r="BC43" s="164" t="s">
        <v>51</v>
      </c>
      <c r="BE43" s="49">
        <v>7</v>
      </c>
      <c r="BF43" s="165">
        <f>'[1]2023(7)'!AS37</f>
        <v>15843636.363636361</v>
      </c>
      <c r="BG43" s="165">
        <v>6266320</v>
      </c>
      <c r="BH43" s="166">
        <f>BG43/BF43</f>
        <v>0.39551021344962134</v>
      </c>
    </row>
    <row r="44" spans="2:65" ht="21.5" customHeight="1">
      <c r="C44" s="160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49">
        <v>40</v>
      </c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Z44" s="130"/>
      <c r="BA44" s="167" t="s">
        <v>52</v>
      </c>
      <c r="BB44" s="147">
        <f>J45+R45+AE45+BC44+AM45+AW45</f>
        <v>10251660</v>
      </c>
      <c r="BC44" s="168">
        <v>74480</v>
      </c>
      <c r="BD44" s="130"/>
      <c r="BE44" s="49">
        <v>6</v>
      </c>
      <c r="BF44" s="165">
        <v>7119727</v>
      </c>
      <c r="BG44" s="165">
        <v>2680643</v>
      </c>
      <c r="BH44" s="166">
        <f t="shared" ref="BH44:BH45" si="40">BG44/BF44</f>
        <v>0.37650923975034434</v>
      </c>
      <c r="BI44" s="49" t="s">
        <v>53</v>
      </c>
    </row>
    <row r="45" spans="2:65" ht="21" customHeight="1">
      <c r="H45" s="169"/>
      <c r="I45" s="170" t="s">
        <v>54</v>
      </c>
      <c r="J45" s="147">
        <v>3159520</v>
      </c>
      <c r="K45" s="171" t="s">
        <v>55</v>
      </c>
      <c r="L45" s="130"/>
      <c r="M45" s="130"/>
      <c r="N45" s="130"/>
      <c r="O45" s="130"/>
      <c r="P45" s="130"/>
      <c r="Q45" s="170" t="s">
        <v>56</v>
      </c>
      <c r="R45" s="147">
        <v>5040000</v>
      </c>
      <c r="S45" s="171" t="s">
        <v>55</v>
      </c>
      <c r="T45" s="130">
        <v>10</v>
      </c>
      <c r="U45" s="130"/>
      <c r="V45" s="170" t="s">
        <v>57</v>
      </c>
      <c r="W45" s="147">
        <f>J45+R45</f>
        <v>8199520</v>
      </c>
      <c r="X45" s="171" t="s">
        <v>55</v>
      </c>
      <c r="Y45" s="130"/>
      <c r="Z45" s="130"/>
      <c r="AA45" s="130"/>
      <c r="AB45" s="130"/>
      <c r="AC45" s="130"/>
      <c r="AD45" s="169" t="s">
        <v>58</v>
      </c>
      <c r="AE45" s="147">
        <v>432000</v>
      </c>
      <c r="AF45" s="171" t="s">
        <v>55</v>
      </c>
      <c r="AG45" s="171"/>
      <c r="AH45" s="171"/>
      <c r="AI45" s="171"/>
      <c r="AJ45" s="171"/>
      <c r="AK45" s="130"/>
      <c r="AL45" s="170" t="s">
        <v>59</v>
      </c>
      <c r="AM45" s="147">
        <v>1545660</v>
      </c>
      <c r="AN45" s="171" t="s">
        <v>55</v>
      </c>
      <c r="AO45" s="171"/>
      <c r="AP45" s="171"/>
      <c r="AQ45" s="171"/>
      <c r="AR45" s="171"/>
      <c r="AS45" s="130"/>
      <c r="AT45" s="170" t="s">
        <v>60</v>
      </c>
      <c r="AU45" s="170"/>
      <c r="AV45" s="170"/>
      <c r="AW45" s="147">
        <v>0</v>
      </c>
      <c r="AX45" s="171" t="s">
        <v>55</v>
      </c>
      <c r="AY45" s="130"/>
      <c r="AZ45" s="130"/>
      <c r="BA45" s="167" t="s">
        <v>61</v>
      </c>
      <c r="BB45" s="146">
        <f>BB44-BB37-BC37</f>
        <v>-2638453.6363636358</v>
      </c>
      <c r="BC45" s="146">
        <f>BC44-BC37</f>
        <v>-40110.909090909088</v>
      </c>
      <c r="BD45" s="172">
        <f>BC37/BC44</f>
        <v>1.5385460404257396</v>
      </c>
      <c r="BE45" s="49">
        <v>5</v>
      </c>
      <c r="BF45" s="165">
        <v>637682</v>
      </c>
      <c r="BG45" s="165"/>
      <c r="BH45" s="166">
        <f t="shared" si="40"/>
        <v>0</v>
      </c>
      <c r="BI45" s="79" t="s">
        <v>62</v>
      </c>
      <c r="BM45" s="49"/>
    </row>
    <row r="46" spans="2:65" ht="21" customHeight="1">
      <c r="H46" s="169"/>
      <c r="I46" s="169" t="s">
        <v>61</v>
      </c>
      <c r="J46" s="146">
        <f>J45-J37</f>
        <v>-198525.45454545412</v>
      </c>
      <c r="K46" s="173">
        <f>C38-G38</f>
        <v>0</v>
      </c>
      <c r="L46" s="130"/>
      <c r="M46" s="130"/>
      <c r="N46" s="130"/>
      <c r="O46" s="130"/>
      <c r="P46" s="130"/>
      <c r="Q46" s="169" t="s">
        <v>61</v>
      </c>
      <c r="R46" s="146">
        <f>R45-R37</f>
        <v>-2095127.2727272725</v>
      </c>
      <c r="S46" s="130">
        <f>K46</f>
        <v>0</v>
      </c>
      <c r="T46" s="130"/>
      <c r="U46" s="130"/>
      <c r="V46" s="169" t="s">
        <v>61</v>
      </c>
      <c r="W46" s="146">
        <f>W45-W37</f>
        <v>-2293652.7272727266</v>
      </c>
      <c r="X46" s="130">
        <f>S46</f>
        <v>0</v>
      </c>
      <c r="Y46" s="130"/>
      <c r="Z46" s="130"/>
      <c r="AA46" s="130"/>
      <c r="AB46" s="130"/>
      <c r="AC46" s="130"/>
      <c r="AD46" s="169" t="s">
        <v>61</v>
      </c>
      <c r="AE46" s="146">
        <f>AE45-AE37</f>
        <v>174390.90909090912</v>
      </c>
      <c r="AF46" s="130">
        <f>K46</f>
        <v>0</v>
      </c>
      <c r="AG46" s="130"/>
      <c r="AH46" s="130"/>
      <c r="AI46" s="130"/>
      <c r="AJ46" s="130"/>
      <c r="AK46" s="130"/>
      <c r="AL46" s="169" t="s">
        <v>61</v>
      </c>
      <c r="AM46" s="146">
        <f>AM45-AM37</f>
        <v>458160</v>
      </c>
      <c r="AN46" s="130">
        <f>AF46</f>
        <v>0</v>
      </c>
      <c r="AO46" s="130"/>
      <c r="AP46" s="130"/>
      <c r="AQ46" s="130"/>
      <c r="AR46" s="130"/>
      <c r="AS46" s="130"/>
      <c r="AT46" s="169" t="s">
        <v>61</v>
      </c>
      <c r="AU46" s="169"/>
      <c r="AV46" s="174"/>
      <c r="AW46" s="146">
        <f>AW45-AW37</f>
        <v>-953749.99999999988</v>
      </c>
      <c r="AX46" s="130">
        <f>AN46</f>
        <v>0</v>
      </c>
      <c r="AY46" s="130"/>
      <c r="AZ46" s="175"/>
      <c r="BA46" s="176" t="s">
        <v>63</v>
      </c>
      <c r="BB46" s="177" t="e">
        <f>BB45/K46</f>
        <v>#DIV/0!</v>
      </c>
      <c r="BC46" s="178">
        <f>(BB37+BC37)/BB44</f>
        <v>1.2573684297336856</v>
      </c>
      <c r="BD46" s="175"/>
      <c r="BE46" s="179"/>
      <c r="BF46" s="180">
        <f>SUM(BF41:BF45)</f>
        <v>23931045.36363636</v>
      </c>
      <c r="BG46" s="181">
        <f>BK71</f>
        <v>9138052</v>
      </c>
      <c r="BH46" s="182">
        <f>BG46/BF46</f>
        <v>0.38184926154063581</v>
      </c>
      <c r="BI46" s="183">
        <f>BF46-BG46</f>
        <v>14792993.36363636</v>
      </c>
      <c r="BM46" s="49"/>
    </row>
    <row r="47" spans="2:65" s="179" customFormat="1" ht="26" customHeight="1">
      <c r="B47" s="184"/>
      <c r="H47" s="185"/>
      <c r="I47" s="176" t="s">
        <v>63</v>
      </c>
      <c r="J47" s="186" t="e">
        <f>J46/K46</f>
        <v>#DIV/0!</v>
      </c>
      <c r="K47" s="187">
        <f>J37/J45</f>
        <v>1.062834055345576</v>
      </c>
      <c r="L47" s="175"/>
      <c r="M47" s="175"/>
      <c r="N47" s="175"/>
      <c r="O47" s="175"/>
      <c r="P47" s="175"/>
      <c r="Q47" s="176" t="s">
        <v>63</v>
      </c>
      <c r="R47" s="177" t="e">
        <f>R46/S46</f>
        <v>#DIV/0!</v>
      </c>
      <c r="S47" s="187">
        <f>R37/R45</f>
        <v>1.4156998556998557</v>
      </c>
      <c r="T47" s="175"/>
      <c r="U47" s="175"/>
      <c r="V47" s="176" t="s">
        <v>63</v>
      </c>
      <c r="W47" s="177" t="e">
        <f>W46/X46</f>
        <v>#DIV/0!</v>
      </c>
      <c r="X47" s="187">
        <f>W37/W45</f>
        <v>1.279730121674528</v>
      </c>
      <c r="Y47" s="175"/>
      <c r="Z47" s="175"/>
      <c r="AA47" s="175"/>
      <c r="AB47" s="175"/>
      <c r="AC47" s="175"/>
      <c r="AD47" s="176" t="s">
        <v>63</v>
      </c>
      <c r="AE47" s="186" t="e">
        <f>AE46/AF46</f>
        <v>#DIV/0!</v>
      </c>
      <c r="AF47" s="187">
        <f>AE37/AE45</f>
        <v>0.59631734006734005</v>
      </c>
      <c r="AG47" s="187"/>
      <c r="AH47" s="187"/>
      <c r="AI47" s="187"/>
      <c r="AJ47" s="187"/>
      <c r="AK47" s="175"/>
      <c r="AL47" s="176" t="s">
        <v>63</v>
      </c>
      <c r="AM47" s="177" t="e">
        <f>AM46/AN46</f>
        <v>#DIV/0!</v>
      </c>
      <c r="AN47" s="187">
        <f>AM37/AM45</f>
        <v>0.70358293544505257</v>
      </c>
      <c r="AO47" s="187"/>
      <c r="AP47" s="187"/>
      <c r="AQ47" s="187"/>
      <c r="AR47" s="187"/>
      <c r="AS47" s="175"/>
      <c r="AT47" s="176" t="s">
        <v>63</v>
      </c>
      <c r="AU47" s="176"/>
      <c r="AV47" s="176" t="e">
        <f>AV46/AX46</f>
        <v>#DIV/0!</v>
      </c>
      <c r="AW47" s="177" t="e">
        <f>AW46/AX46</f>
        <v>#DIV/0!</v>
      </c>
      <c r="AX47" s="187" t="e">
        <f>AW37/AW45</f>
        <v>#DIV/0!</v>
      </c>
      <c r="AY47" s="175"/>
      <c r="AZ47" s="49"/>
      <c r="BA47" s="49"/>
      <c r="BB47" s="85"/>
      <c r="BC47" s="49"/>
      <c r="BD47" s="49"/>
      <c r="BE47" s="49"/>
      <c r="BI47" s="188"/>
      <c r="BK47" s="188"/>
    </row>
    <row r="48" spans="2:65">
      <c r="H48" s="49">
        <v>931</v>
      </c>
      <c r="I48" s="49">
        <f>H48/31</f>
        <v>30.032258064516128</v>
      </c>
      <c r="K48" s="49">
        <f>J45/31</f>
        <v>101920</v>
      </c>
      <c r="P48" s="49">
        <v>557</v>
      </c>
      <c r="Q48" s="49">
        <f>P48/31</f>
        <v>17.967741935483872</v>
      </c>
      <c r="S48" s="49">
        <f>R45/31</f>
        <v>162580.64516129033</v>
      </c>
      <c r="AX48" s="49" t="e">
        <f>AW37/AV45</f>
        <v>#DIV/0!</v>
      </c>
      <c r="AZ48" s="189"/>
      <c r="BA48" s="189"/>
      <c r="BB48" s="189"/>
      <c r="BC48" s="189"/>
      <c r="BD48" s="189"/>
      <c r="BE48" s="189"/>
      <c r="BI48" s="79"/>
      <c r="BM48" s="49"/>
    </row>
    <row r="49" spans="2:63" s="189" customFormat="1" ht="24" customHeight="1">
      <c r="B49" s="190"/>
      <c r="I49" s="189" t="s">
        <v>64</v>
      </c>
      <c r="J49" s="191">
        <f>(I5+I8+I9+I10+I11+I12+I15+I16+I17+I18+I19+I22+I23+I24+I25+I26)/16</f>
        <v>594.69924206924395</v>
      </c>
      <c r="K49" s="189">
        <v>800000</v>
      </c>
      <c r="L49" s="192"/>
      <c r="M49" s="49"/>
      <c r="N49" s="49"/>
      <c r="O49" s="49"/>
      <c r="P49" s="49"/>
      <c r="Q49" s="49"/>
      <c r="R49" s="192">
        <v>400000</v>
      </c>
      <c r="AE49" s="189">
        <f>AE45/30</f>
        <v>14400</v>
      </c>
      <c r="AQ49" s="193">
        <f>AP14+AP21</f>
        <v>0</v>
      </c>
      <c r="AR49" s="194" t="e">
        <f>AR14+AR21</f>
        <v>#DIV/0!</v>
      </c>
      <c r="AS49" s="194" t="e">
        <f>AT14+AT21</f>
        <v>#DIV/0!</v>
      </c>
      <c r="AW49" s="189">
        <f>AW45/30</f>
        <v>0</v>
      </c>
      <c r="AZ49" s="1"/>
      <c r="BA49" s="1"/>
      <c r="BB49" s="1"/>
      <c r="BC49" s="1"/>
      <c r="BD49" s="195" t="s">
        <v>65</v>
      </c>
      <c r="BE49" s="1" t="s">
        <v>66</v>
      </c>
      <c r="BF49" s="1" t="s">
        <v>67</v>
      </c>
      <c r="BG49" s="1" t="s">
        <v>68</v>
      </c>
      <c r="BH49" s="1" t="s">
        <v>69</v>
      </c>
      <c r="BI49" s="196" t="s">
        <v>70</v>
      </c>
      <c r="BJ49" s="196" t="s">
        <v>71</v>
      </c>
      <c r="BK49" s="196" t="s">
        <v>72</v>
      </c>
    </row>
    <row r="50" spans="2:63" s="1" customFormat="1" ht="24" customHeight="1">
      <c r="B50" s="190"/>
      <c r="I50" s="1" t="s">
        <v>73</v>
      </c>
      <c r="J50" s="191">
        <f>(I6+I7+I13+I14+I20+I21+I27)/7</f>
        <v>667.05936687398992</v>
      </c>
      <c r="L50" s="197"/>
      <c r="M50" s="49"/>
      <c r="N50" s="49"/>
      <c r="O50" s="49"/>
      <c r="P50" s="49"/>
      <c r="Q50" s="49"/>
      <c r="R50" s="197"/>
      <c r="S50" s="197"/>
      <c r="Z50" s="198"/>
      <c r="AQ50" s="1">
        <f>AQ49/2</f>
        <v>0</v>
      </c>
      <c r="AR50" s="199" t="e">
        <f t="shared" ref="AR50:AS50" si="41">AR49/2</f>
        <v>#DIV/0!</v>
      </c>
      <c r="AS50" s="199" t="e">
        <f t="shared" si="41"/>
        <v>#DIV/0!</v>
      </c>
      <c r="AW50" s="1">
        <v>54000000</v>
      </c>
      <c r="AX50" s="200">
        <f>AW50-AW37</f>
        <v>53046250</v>
      </c>
      <c r="AZ50" s="189"/>
      <c r="BA50" s="189"/>
      <c r="BB50" s="189"/>
      <c r="BC50" s="189"/>
      <c r="BD50" s="195" t="s">
        <v>74</v>
      </c>
      <c r="BE50" s="201">
        <v>1800</v>
      </c>
      <c r="BF50" s="201">
        <v>21</v>
      </c>
      <c r="BG50" s="202">
        <v>0</v>
      </c>
      <c r="BH50" s="201"/>
      <c r="BI50" s="203">
        <f>BF50*BE50</f>
        <v>37800</v>
      </c>
      <c r="BJ50" s="203">
        <f>BE50*BG50</f>
        <v>0</v>
      </c>
      <c r="BK50" s="203">
        <f>BI50-BJ50</f>
        <v>37800</v>
      </c>
    </row>
    <row r="51" spans="2:63" s="189" customFormat="1" ht="24" customHeight="1">
      <c r="B51" s="190"/>
      <c r="K51" s="1"/>
      <c r="L51" s="197"/>
      <c r="M51" s="49"/>
      <c r="N51" s="49"/>
      <c r="O51" s="49"/>
      <c r="P51" s="49"/>
      <c r="Q51" s="49"/>
      <c r="R51" s="204"/>
      <c r="S51" s="205"/>
      <c r="T51" s="205"/>
      <c r="U51" s="205" t="s">
        <v>75</v>
      </c>
      <c r="V51" s="205"/>
      <c r="W51" s="206"/>
      <c r="X51" s="207"/>
      <c r="Y51" s="195"/>
      <c r="Z51" s="203"/>
      <c r="AX51" s="189" t="e">
        <f>AX50/AX46</f>
        <v>#DIV/0!</v>
      </c>
      <c r="BD51" s="195" t="s">
        <v>76</v>
      </c>
      <c r="BE51" s="201">
        <v>10800</v>
      </c>
      <c r="BF51" s="201">
        <v>640</v>
      </c>
      <c r="BG51" s="201">
        <v>20</v>
      </c>
      <c r="BH51" s="201"/>
      <c r="BI51" s="203">
        <f t="shared" ref="BI51:BI70" si="42">BE51*BF51</f>
        <v>6912000</v>
      </c>
      <c r="BJ51" s="203">
        <f t="shared" ref="BJ51:BJ70" si="43">BE51*BG51</f>
        <v>216000</v>
      </c>
      <c r="BK51" s="203">
        <f t="shared" ref="BK51:BK70" si="44">BI51-BJ51</f>
        <v>6696000</v>
      </c>
    </row>
    <row r="52" spans="2:63" s="189" customFormat="1" ht="24" customHeight="1">
      <c r="B52" s="190"/>
      <c r="K52" s="1"/>
      <c r="L52" s="197"/>
      <c r="M52" s="49"/>
      <c r="N52" s="49"/>
      <c r="O52" s="49"/>
      <c r="P52" s="49"/>
      <c r="Q52" s="49"/>
      <c r="R52" s="206"/>
      <c r="S52" s="205"/>
      <c r="T52" s="205"/>
      <c r="U52" s="208" t="s">
        <v>77</v>
      </c>
      <c r="V52" s="209" t="s">
        <v>78</v>
      </c>
      <c r="W52" s="210"/>
      <c r="X52" s="211" t="e">
        <f>W52/Y52</f>
        <v>#DIV/0!</v>
      </c>
      <c r="Y52" s="212">
        <f>W52+W53</f>
        <v>0</v>
      </c>
      <c r="Z52" s="213"/>
      <c r="AA52" s="213"/>
      <c r="BD52" s="195" t="s">
        <v>79</v>
      </c>
      <c r="BE52" s="201">
        <v>6120</v>
      </c>
      <c r="BF52" s="201">
        <v>40</v>
      </c>
      <c r="BG52" s="201">
        <v>4</v>
      </c>
      <c r="BH52" s="201"/>
      <c r="BI52" s="203">
        <f t="shared" si="42"/>
        <v>244800</v>
      </c>
      <c r="BJ52" s="203">
        <f t="shared" si="43"/>
        <v>24480</v>
      </c>
      <c r="BK52" s="203">
        <f t="shared" si="44"/>
        <v>220320</v>
      </c>
    </row>
    <row r="53" spans="2:63" s="189" customFormat="1" ht="24" customHeight="1">
      <c r="B53" s="190"/>
      <c r="K53" s="1"/>
      <c r="L53" s="197"/>
      <c r="M53" s="49"/>
      <c r="N53" s="49"/>
      <c r="O53" s="49"/>
      <c r="P53" s="49"/>
      <c r="Q53" s="49"/>
      <c r="R53" s="206"/>
      <c r="S53" s="205"/>
      <c r="T53" s="205"/>
      <c r="U53" s="208"/>
      <c r="V53" s="209" t="s">
        <v>80</v>
      </c>
      <c r="W53" s="210"/>
      <c r="X53" s="211" t="e">
        <f>W53/Y52</f>
        <v>#DIV/0!</v>
      </c>
      <c r="Y53" s="213"/>
      <c r="Z53" s="213"/>
      <c r="AA53" s="213"/>
      <c r="AU53" s="189">
        <v>4670600</v>
      </c>
      <c r="AV53" s="189">
        <v>19016645.454545453</v>
      </c>
      <c r="AW53" s="189">
        <v>16482254.545454545</v>
      </c>
      <c r="AX53" s="189">
        <v>6958118.1818181816</v>
      </c>
      <c r="BB53" s="189" t="s">
        <v>81</v>
      </c>
      <c r="BD53" s="195" t="s">
        <v>82</v>
      </c>
      <c r="BE53" s="201">
        <v>1780</v>
      </c>
      <c r="BF53" s="201">
        <v>24</v>
      </c>
      <c r="BG53" s="201">
        <v>4</v>
      </c>
      <c r="BH53" s="201"/>
      <c r="BI53" s="203">
        <f t="shared" si="42"/>
        <v>42720</v>
      </c>
      <c r="BJ53" s="203">
        <f t="shared" si="43"/>
        <v>7120</v>
      </c>
      <c r="BK53" s="203">
        <f t="shared" si="44"/>
        <v>35600</v>
      </c>
    </row>
    <row r="54" spans="2:63" s="189" customFormat="1" ht="24" customHeight="1">
      <c r="B54" s="190"/>
      <c r="K54" s="1"/>
      <c r="L54" s="197"/>
      <c r="M54" s="49"/>
      <c r="N54" s="49"/>
      <c r="O54" s="49"/>
      <c r="P54" s="49"/>
      <c r="Q54" s="49"/>
      <c r="R54" s="206"/>
      <c r="S54" s="205"/>
      <c r="T54" s="205"/>
      <c r="U54" s="214" t="s">
        <v>83</v>
      </c>
      <c r="V54" s="209" t="s">
        <v>78</v>
      </c>
      <c r="W54" s="210"/>
      <c r="X54" s="211" t="e">
        <f t="shared" ref="X54" si="45">W54/Y54</f>
        <v>#DIV/0!</v>
      </c>
      <c r="Y54" s="212">
        <f t="shared" ref="Y54" si="46">W54+W55</f>
        <v>0</v>
      </c>
      <c r="Z54" s="213"/>
      <c r="AA54" s="213"/>
      <c r="BD54" s="195" t="s">
        <v>84</v>
      </c>
      <c r="BE54" s="201">
        <v>1780</v>
      </c>
      <c r="BF54" s="201">
        <v>24</v>
      </c>
      <c r="BG54" s="201">
        <v>20</v>
      </c>
      <c r="BH54" s="201"/>
      <c r="BI54" s="203">
        <f t="shared" si="42"/>
        <v>42720</v>
      </c>
      <c r="BJ54" s="203">
        <f t="shared" si="43"/>
        <v>35600</v>
      </c>
      <c r="BK54" s="203">
        <f t="shared" si="44"/>
        <v>7120</v>
      </c>
    </row>
    <row r="55" spans="2:63" s="189" customFormat="1" ht="24" customHeight="1">
      <c r="B55" s="190"/>
      <c r="L55" s="192"/>
      <c r="M55" s="49"/>
      <c r="N55" s="49"/>
      <c r="O55" s="49"/>
      <c r="P55" s="49"/>
      <c r="Q55" s="49"/>
      <c r="R55" s="215"/>
      <c r="S55" s="205"/>
      <c r="T55" s="205"/>
      <c r="U55" s="214"/>
      <c r="V55" s="209" t="s">
        <v>80</v>
      </c>
      <c r="W55" s="210"/>
      <c r="X55" s="211" t="e">
        <f t="shared" ref="X55" si="47">W55/Y54</f>
        <v>#DIV/0!</v>
      </c>
      <c r="Y55" s="213"/>
      <c r="Z55" s="213"/>
      <c r="AA55" s="213"/>
      <c r="AZ55" s="49"/>
      <c r="BA55" s="49"/>
      <c r="BB55" s="49"/>
      <c r="BC55" s="49"/>
      <c r="BD55" s="195" t="s">
        <v>85</v>
      </c>
      <c r="BE55" s="216">
        <v>8190</v>
      </c>
      <c r="BF55" s="201">
        <v>13</v>
      </c>
      <c r="BG55" s="201">
        <v>4</v>
      </c>
      <c r="BH55" s="201"/>
      <c r="BI55" s="203">
        <f t="shared" si="42"/>
        <v>106470</v>
      </c>
      <c r="BJ55" s="203">
        <f t="shared" si="43"/>
        <v>32760</v>
      </c>
      <c r="BK55" s="203">
        <f t="shared" si="44"/>
        <v>73710</v>
      </c>
    </row>
    <row r="56" spans="2:63" ht="24" customHeight="1">
      <c r="U56" s="217" t="s">
        <v>2</v>
      </c>
      <c r="V56" s="218" t="s">
        <v>78</v>
      </c>
      <c r="W56" s="210"/>
      <c r="X56" s="211" t="e">
        <f t="shared" ref="X56:X58" si="48">W56/Y56</f>
        <v>#DIV/0!</v>
      </c>
      <c r="Y56" s="212">
        <f t="shared" ref="Y56" si="49">W56+W57</f>
        <v>0</v>
      </c>
      <c r="Z56" s="213"/>
      <c r="AA56" s="213"/>
      <c r="BD56" s="195" t="s">
        <v>86</v>
      </c>
      <c r="BE56" s="216">
        <v>5784</v>
      </c>
      <c r="BF56" s="216">
        <v>36</v>
      </c>
      <c r="BG56" s="216">
        <v>28</v>
      </c>
      <c r="BH56" s="216"/>
      <c r="BI56" s="203">
        <f t="shared" si="42"/>
        <v>208224</v>
      </c>
      <c r="BJ56" s="203">
        <f t="shared" si="43"/>
        <v>161952</v>
      </c>
      <c r="BK56" s="203">
        <f t="shared" si="44"/>
        <v>46272</v>
      </c>
    </row>
    <row r="57" spans="2:63" ht="24" customHeight="1">
      <c r="U57" s="217"/>
      <c r="V57" s="218" t="s">
        <v>80</v>
      </c>
      <c r="W57" s="210"/>
      <c r="X57" s="211" t="e">
        <f t="shared" ref="X57:X59" si="50">W57/Y56</f>
        <v>#DIV/0!</v>
      </c>
      <c r="Y57" s="213"/>
      <c r="Z57" s="213"/>
      <c r="AA57" s="213"/>
      <c r="BD57" s="195" t="s">
        <v>87</v>
      </c>
      <c r="BE57" s="216">
        <v>6775</v>
      </c>
      <c r="BF57" s="216">
        <v>12</v>
      </c>
      <c r="BG57" s="216">
        <v>11</v>
      </c>
      <c r="BH57" s="216"/>
      <c r="BI57" s="203">
        <f t="shared" si="42"/>
        <v>81300</v>
      </c>
      <c r="BJ57" s="203">
        <f t="shared" si="43"/>
        <v>74525</v>
      </c>
      <c r="BK57" s="203">
        <f t="shared" si="44"/>
        <v>6775</v>
      </c>
    </row>
    <row r="58" spans="2:63" ht="24" customHeight="1">
      <c r="U58" s="219" t="s">
        <v>88</v>
      </c>
      <c r="V58" s="218" t="s">
        <v>78</v>
      </c>
      <c r="W58" s="210"/>
      <c r="X58" s="211" t="e">
        <f t="shared" si="48"/>
        <v>#DIV/0!</v>
      </c>
      <c r="Y58" s="220">
        <f>SUM(Y52:AA56)</f>
        <v>0</v>
      </c>
      <c r="Z58" s="221"/>
      <c r="AA58" s="221"/>
      <c r="BD58" s="195" t="s">
        <v>89</v>
      </c>
      <c r="BE58" s="216">
        <v>1755</v>
      </c>
      <c r="BF58" s="216">
        <v>14</v>
      </c>
      <c r="BG58" s="216">
        <v>2</v>
      </c>
      <c r="BH58" s="216"/>
      <c r="BI58" s="203">
        <f t="shared" si="42"/>
        <v>24570</v>
      </c>
      <c r="BJ58" s="203">
        <f t="shared" si="43"/>
        <v>3510</v>
      </c>
      <c r="BK58" s="203">
        <f t="shared" si="44"/>
        <v>21060</v>
      </c>
    </row>
    <row r="59" spans="2:63" ht="24" customHeight="1">
      <c r="F59" s="49">
        <v>346.60869565217394</v>
      </c>
      <c r="G59" s="49">
        <v>301.36363636363637</v>
      </c>
      <c r="H59" s="49">
        <v>801.17391304347825</v>
      </c>
      <c r="I59" s="49">
        <v>591.75</v>
      </c>
      <c r="N59" s="49">
        <v>2473.9333333333334</v>
      </c>
      <c r="O59" s="49">
        <v>6122.2222222222226</v>
      </c>
      <c r="P59" s="49">
        <v>3277</v>
      </c>
      <c r="Q59" s="49">
        <v>507.14285714285717</v>
      </c>
      <c r="U59" s="219"/>
      <c r="V59" s="218" t="s">
        <v>80</v>
      </c>
      <c r="W59" s="210"/>
      <c r="X59" s="211" t="e">
        <f t="shared" si="50"/>
        <v>#DIV/0!</v>
      </c>
      <c r="Y59" s="221"/>
      <c r="Z59" s="221"/>
      <c r="AA59" s="221"/>
      <c r="BD59" s="195" t="s">
        <v>90</v>
      </c>
      <c r="BE59" s="216">
        <v>1755</v>
      </c>
      <c r="BF59" s="216">
        <v>10</v>
      </c>
      <c r="BG59" s="216">
        <v>0</v>
      </c>
      <c r="BH59" s="216"/>
      <c r="BI59" s="203">
        <f t="shared" si="42"/>
        <v>17550</v>
      </c>
      <c r="BJ59" s="203">
        <f t="shared" si="43"/>
        <v>0</v>
      </c>
      <c r="BK59" s="203">
        <f t="shared" si="44"/>
        <v>17550</v>
      </c>
    </row>
    <row r="60" spans="2:63" ht="24" customHeight="1">
      <c r="F60" s="49">
        <v>313.11111111111109</v>
      </c>
      <c r="G60" s="49">
        <v>301.125</v>
      </c>
      <c r="H60" s="49">
        <v>991.89189189189187</v>
      </c>
      <c r="I60" s="49">
        <v>595.73333333333335</v>
      </c>
      <c r="N60" s="49">
        <v>1887.1176470588234</v>
      </c>
      <c r="O60" s="49">
        <v>2474.4615384615386</v>
      </c>
      <c r="P60" s="49">
        <v>1210.7142857142858</v>
      </c>
      <c r="Q60" s="49">
        <v>1056.9666666666667</v>
      </c>
      <c r="BD60" s="195" t="s">
        <v>91</v>
      </c>
      <c r="BE60" s="216">
        <v>1075</v>
      </c>
      <c r="BF60" s="216">
        <v>96</v>
      </c>
      <c r="BG60" s="216">
        <v>38</v>
      </c>
      <c r="BH60" s="216"/>
      <c r="BI60" s="203">
        <f t="shared" si="42"/>
        <v>103200</v>
      </c>
      <c r="BJ60" s="203">
        <f t="shared" si="43"/>
        <v>40850</v>
      </c>
      <c r="BK60" s="203">
        <f t="shared" si="44"/>
        <v>62350</v>
      </c>
    </row>
    <row r="61" spans="2:63" ht="24" customHeight="1">
      <c r="F61" s="49">
        <v>603.85</v>
      </c>
      <c r="G61" s="49">
        <v>457.44</v>
      </c>
      <c r="H61" s="49">
        <v>1139.4827586206898</v>
      </c>
      <c r="I61" s="49">
        <v>847.56666666666672</v>
      </c>
      <c r="N61" s="49">
        <v>1504.7619047619048</v>
      </c>
      <c r="O61" s="49">
        <v>1838.3333333333333</v>
      </c>
      <c r="P61" s="49">
        <v>1940.7241379310344</v>
      </c>
      <c r="Q61" s="49">
        <v>1493</v>
      </c>
      <c r="BD61" s="195" t="s">
        <v>92</v>
      </c>
      <c r="BE61" s="216">
        <v>3860</v>
      </c>
      <c r="BF61" s="216">
        <v>166</v>
      </c>
      <c r="BG61" s="216">
        <v>13</v>
      </c>
      <c r="BH61" s="216"/>
      <c r="BI61" s="203">
        <f t="shared" si="42"/>
        <v>640760</v>
      </c>
      <c r="BJ61" s="203">
        <f t="shared" si="43"/>
        <v>50180</v>
      </c>
      <c r="BK61" s="203">
        <f t="shared" si="44"/>
        <v>590580</v>
      </c>
    </row>
    <row r="62" spans="2:63" ht="24" customHeight="1">
      <c r="F62" s="49">
        <v>343.40740740740739</v>
      </c>
      <c r="G62" s="49">
        <v>387.26666666666665</v>
      </c>
      <c r="H62" s="49">
        <v>2381.804347826087</v>
      </c>
      <c r="I62" s="49">
        <v>694.28571428571433</v>
      </c>
      <c r="N62" s="49">
        <v>1742.5625</v>
      </c>
      <c r="O62" s="49">
        <v>1967.25</v>
      </c>
      <c r="P62" s="49">
        <v>1330.2962962962963</v>
      </c>
      <c r="Q62" s="49">
        <v>1470.4166666666667</v>
      </c>
      <c r="BD62" s="195" t="s">
        <v>93</v>
      </c>
      <c r="BE62" s="216">
        <v>6450</v>
      </c>
      <c r="BF62" s="216">
        <v>137</v>
      </c>
      <c r="BG62" s="216">
        <v>12</v>
      </c>
      <c r="BH62" s="216"/>
      <c r="BI62" s="203">
        <f t="shared" si="42"/>
        <v>883650</v>
      </c>
      <c r="BJ62" s="203">
        <f t="shared" si="43"/>
        <v>77400</v>
      </c>
      <c r="BK62" s="203">
        <f t="shared" si="44"/>
        <v>806250</v>
      </c>
    </row>
    <row r="63" spans="2:63" ht="24" customHeight="1">
      <c r="F63" s="49">
        <v>208.22727272727272</v>
      </c>
      <c r="G63" s="49">
        <v>257.91666666666669</v>
      </c>
      <c r="H63" s="49">
        <v>560.46153846153845</v>
      </c>
      <c r="I63" s="49">
        <v>858.42857142857144</v>
      </c>
      <c r="N63" s="49">
        <v>2161.5555555555557</v>
      </c>
      <c r="O63" s="49">
        <v>2455.9230769230771</v>
      </c>
      <c r="P63" s="49">
        <v>2270</v>
      </c>
      <c r="Q63" s="49">
        <v>1696.9666666666667</v>
      </c>
      <c r="BD63" s="195" t="s">
        <v>94</v>
      </c>
      <c r="BE63" s="216">
        <v>1380</v>
      </c>
      <c r="BF63" s="216">
        <v>35</v>
      </c>
      <c r="BG63" s="216">
        <v>5</v>
      </c>
      <c r="BH63" s="216"/>
      <c r="BI63" s="203">
        <f t="shared" si="42"/>
        <v>48300</v>
      </c>
      <c r="BJ63" s="203">
        <f t="shared" si="43"/>
        <v>6900</v>
      </c>
      <c r="BK63" s="203">
        <f t="shared" si="44"/>
        <v>41400</v>
      </c>
    </row>
    <row r="64" spans="2:63" ht="24" customHeight="1">
      <c r="F64" s="49">
        <v>1347.6206896551723</v>
      </c>
      <c r="G64" s="49">
        <v>382.63636363636363</v>
      </c>
      <c r="H64" s="49">
        <v>791.6</v>
      </c>
      <c r="I64" s="49">
        <v>821.5</v>
      </c>
      <c r="N64" s="49">
        <v>3109.0731707317073</v>
      </c>
      <c r="O64" s="49">
        <v>2867.5</v>
      </c>
      <c r="P64" s="49">
        <v>1673.8333333333333</v>
      </c>
      <c r="Q64" s="49">
        <v>1269</v>
      </c>
      <c r="BD64" s="195" t="s">
        <v>95</v>
      </c>
      <c r="BE64" s="216">
        <v>1380</v>
      </c>
      <c r="BF64" s="216">
        <v>39</v>
      </c>
      <c r="BG64" s="216">
        <v>6</v>
      </c>
      <c r="BH64" s="216"/>
      <c r="BI64" s="203">
        <f t="shared" si="42"/>
        <v>53820</v>
      </c>
      <c r="BJ64" s="203">
        <f t="shared" si="43"/>
        <v>8280</v>
      </c>
      <c r="BK64" s="203">
        <f t="shared" si="44"/>
        <v>45540</v>
      </c>
    </row>
    <row r="65" spans="6:63" ht="24" customHeight="1">
      <c r="F65" s="49">
        <v>547.19354838709683</v>
      </c>
      <c r="G65" s="49">
        <v>174.07407407407408</v>
      </c>
      <c r="H65" s="49">
        <v>791.66666666666663</v>
      </c>
      <c r="I65" s="49">
        <v>1078.7878787878788</v>
      </c>
      <c r="N65" s="49">
        <v>2510.9</v>
      </c>
      <c r="O65" s="49">
        <v>4228.2222222222226</v>
      </c>
      <c r="P65" s="49">
        <v>2237.6999999999998</v>
      </c>
      <c r="Q65" s="49">
        <v>1475</v>
      </c>
      <c r="BD65" s="195" t="s">
        <v>96</v>
      </c>
      <c r="BE65" s="216">
        <v>160</v>
      </c>
      <c r="BF65" s="216">
        <v>594</v>
      </c>
      <c r="BG65" s="216">
        <v>53</v>
      </c>
      <c r="BH65" s="216"/>
      <c r="BI65" s="203">
        <f t="shared" si="42"/>
        <v>95040</v>
      </c>
      <c r="BJ65" s="203">
        <f t="shared" si="43"/>
        <v>8480</v>
      </c>
      <c r="BK65" s="203">
        <f t="shared" si="44"/>
        <v>86560</v>
      </c>
    </row>
    <row r="66" spans="6:63" ht="24" customHeight="1">
      <c r="F66" s="49">
        <v>517.64705882352939</v>
      </c>
      <c r="G66" s="49">
        <v>457.8</v>
      </c>
      <c r="I66" s="49">
        <v>796.08571428571429</v>
      </c>
      <c r="N66" s="49">
        <v>2083.0952380952381</v>
      </c>
      <c r="O66" s="49">
        <v>596.20000000000005</v>
      </c>
      <c r="Q66" s="49">
        <v>1050.8148148148148</v>
      </c>
      <c r="BD66" s="195" t="s">
        <v>97</v>
      </c>
      <c r="BE66" s="216">
        <v>160</v>
      </c>
      <c r="BF66" s="216">
        <v>300</v>
      </c>
      <c r="BG66" s="216">
        <v>47</v>
      </c>
      <c r="BH66" s="216"/>
      <c r="BI66" s="203">
        <f t="shared" si="42"/>
        <v>48000</v>
      </c>
      <c r="BJ66" s="203">
        <f t="shared" si="43"/>
        <v>7520</v>
      </c>
      <c r="BK66" s="203">
        <f t="shared" si="44"/>
        <v>40480</v>
      </c>
    </row>
    <row r="67" spans="6:63" ht="24" customHeight="1">
      <c r="F67" s="49">
        <v>558.35483870967744</v>
      </c>
      <c r="G67" s="49">
        <v>370</v>
      </c>
      <c r="N67" s="49">
        <v>1328.1290322580646</v>
      </c>
      <c r="O67" s="49">
        <v>1228.2142857142858</v>
      </c>
      <c r="BD67" s="195" t="s">
        <v>98</v>
      </c>
      <c r="BE67" s="216">
        <v>205</v>
      </c>
      <c r="BF67" s="216">
        <v>366</v>
      </c>
      <c r="BG67" s="216">
        <v>49</v>
      </c>
      <c r="BH67" s="216"/>
      <c r="BI67" s="203">
        <f t="shared" si="42"/>
        <v>75030</v>
      </c>
      <c r="BJ67" s="203">
        <f t="shared" si="43"/>
        <v>10045</v>
      </c>
      <c r="BK67" s="203">
        <f t="shared" si="44"/>
        <v>64985</v>
      </c>
    </row>
    <row r="68" spans="6:63" ht="24" customHeight="1">
      <c r="F68" s="49">
        <v>522.70000000000005</v>
      </c>
      <c r="G68" s="49">
        <v>100</v>
      </c>
      <c r="N68" s="49">
        <v>2040.8333333333333</v>
      </c>
      <c r="O68" s="49">
        <v>3688.1</v>
      </c>
      <c r="BD68" s="195" t="s">
        <v>99</v>
      </c>
      <c r="BE68" s="216">
        <v>295</v>
      </c>
      <c r="BF68" s="216">
        <v>612</v>
      </c>
      <c r="BG68" s="216">
        <v>86</v>
      </c>
      <c r="BH68" s="216"/>
      <c r="BI68" s="203">
        <f t="shared" si="42"/>
        <v>180540</v>
      </c>
      <c r="BJ68" s="203">
        <f t="shared" si="43"/>
        <v>25370</v>
      </c>
      <c r="BK68" s="203">
        <f t="shared" si="44"/>
        <v>155170</v>
      </c>
    </row>
    <row r="69" spans="6:63" ht="24" customHeight="1">
      <c r="F69" s="49">
        <v>406</v>
      </c>
      <c r="G69" s="49">
        <v>201.25</v>
      </c>
      <c r="N69" s="49">
        <v>4227.2222222222226</v>
      </c>
      <c r="O69" s="49">
        <v>1802.7</v>
      </c>
      <c r="BD69" s="195" t="s">
        <v>100</v>
      </c>
      <c r="BE69" s="216">
        <v>70</v>
      </c>
      <c r="BF69" s="216">
        <v>480</v>
      </c>
      <c r="BG69" s="216">
        <v>71</v>
      </c>
      <c r="BH69" s="216"/>
      <c r="BI69" s="203">
        <f t="shared" si="42"/>
        <v>33600</v>
      </c>
      <c r="BJ69" s="203">
        <f t="shared" si="43"/>
        <v>4970</v>
      </c>
      <c r="BK69" s="203">
        <f t="shared" si="44"/>
        <v>28630</v>
      </c>
    </row>
    <row r="70" spans="6:63" ht="24" customHeight="1">
      <c r="F70" s="49">
        <v>500</v>
      </c>
      <c r="G70" s="49">
        <v>572.21621621621625</v>
      </c>
      <c r="N70" s="49">
        <v>2111.25</v>
      </c>
      <c r="O70" s="49">
        <v>1473.1578947368421</v>
      </c>
      <c r="BD70" s="195" t="s">
        <v>101</v>
      </c>
      <c r="BE70" s="216">
        <v>2450</v>
      </c>
      <c r="BF70" s="216">
        <v>31</v>
      </c>
      <c r="BG70" s="216">
        <v>9</v>
      </c>
      <c r="BH70" s="216"/>
      <c r="BI70" s="203">
        <f t="shared" si="42"/>
        <v>75950</v>
      </c>
      <c r="BJ70" s="203">
        <f t="shared" si="43"/>
        <v>22050</v>
      </c>
      <c r="BK70" s="203">
        <f t="shared" si="44"/>
        <v>53900</v>
      </c>
    </row>
    <row r="71" spans="6:63" ht="24" customHeight="1">
      <c r="F71" s="49">
        <v>671.68571428571431</v>
      </c>
      <c r="G71" s="49">
        <v>475.84615384615387</v>
      </c>
      <c r="N71" s="49">
        <v>1641.0322580645161</v>
      </c>
      <c r="O71" s="49">
        <v>2539.5294117647059</v>
      </c>
      <c r="BD71" s="195"/>
      <c r="BI71" s="222">
        <f>SUM(BI50:BI70)</f>
        <v>9956044</v>
      </c>
      <c r="BJ71" s="222">
        <f t="shared" ref="BJ71:BK71" si="51">SUM(BJ50:BJ70)</f>
        <v>817992</v>
      </c>
      <c r="BK71" s="222">
        <f t="shared" si="51"/>
        <v>9138052</v>
      </c>
    </row>
    <row r="72" spans="6:63" ht="24" customHeight="1">
      <c r="F72" s="49">
        <v>333.33333333333331</v>
      </c>
      <c r="G72" s="49">
        <v>439.60714285714283</v>
      </c>
      <c r="N72" s="49">
        <v>5737.5714285714284</v>
      </c>
      <c r="O72" s="49">
        <v>1814.2333333333333</v>
      </c>
      <c r="BD72" s="195"/>
    </row>
    <row r="73" spans="6:63" ht="24" customHeight="1">
      <c r="F73" s="49">
        <v>424.20833333333331</v>
      </c>
      <c r="G73" s="49">
        <v>253.18518518518519</v>
      </c>
      <c r="N73" s="49">
        <v>2000</v>
      </c>
      <c r="O73" s="49">
        <v>920</v>
      </c>
      <c r="BD73" s="195"/>
    </row>
    <row r="74" spans="6:63" ht="24" customHeight="1">
      <c r="F74" s="49">
        <v>316.66666666666669</v>
      </c>
      <c r="G74" s="49">
        <v>497.22222222222223</v>
      </c>
      <c r="N74" s="49">
        <v>1563.1111111111111</v>
      </c>
      <c r="O74" s="49">
        <v>1221.4545454545455</v>
      </c>
      <c r="BD74" s="195"/>
    </row>
    <row r="75" spans="6:63" ht="24" customHeight="1">
      <c r="F75" s="49">
        <v>625.79999999999995</v>
      </c>
      <c r="N75" s="49">
        <v>1707.5</v>
      </c>
      <c r="BD75" s="195"/>
    </row>
    <row r="76" spans="6:63" ht="24" customHeight="1">
      <c r="F76" s="49">
        <f>SUM(F59:F75)</f>
        <v>8586.4146700924884</v>
      </c>
      <c r="G76" s="49">
        <f>SUM(G59:G75)</f>
        <v>5628.949327734329</v>
      </c>
      <c r="H76" s="49">
        <f>SUM(H59:H66)</f>
        <v>7458.0811165103523</v>
      </c>
      <c r="I76" s="49">
        <f>SUM(I59:I68)</f>
        <v>6284.1378787878784</v>
      </c>
      <c r="N76" s="49">
        <f>SUM(N59:N75)</f>
        <v>39829.648735097238</v>
      </c>
      <c r="O76" s="49">
        <f>SUM(O59:O75)</f>
        <v>37237.501864166101</v>
      </c>
      <c r="P76" s="49">
        <f>SUM(P59:P68)</f>
        <v>13940.268053274951</v>
      </c>
      <c r="Q76" s="49">
        <f>SUM(Q59:Q66)</f>
        <v>10019.307671957671</v>
      </c>
      <c r="BD76" s="195"/>
    </row>
    <row r="77" spans="6:63" ht="24" customHeight="1">
      <c r="F77" s="49">
        <f>F76/17</f>
        <v>505.08321588779341</v>
      </c>
      <c r="G77" s="49">
        <f>G76/16</f>
        <v>351.80933298339556</v>
      </c>
      <c r="H77" s="49">
        <f>H76/7</f>
        <v>1065.440159501479</v>
      </c>
      <c r="I77" s="49">
        <f>I76/8</f>
        <v>785.5172348484848</v>
      </c>
      <c r="N77" s="49">
        <f>N76/17</f>
        <v>2342.9205138292491</v>
      </c>
      <c r="O77" s="49">
        <f>O76/16</f>
        <v>2327.3438665103813</v>
      </c>
      <c r="P77" s="49">
        <f>P76/7</f>
        <v>1991.4668647535643</v>
      </c>
      <c r="Q77" s="49">
        <f>Q76/8</f>
        <v>1252.4134589947089</v>
      </c>
      <c r="BD77" s="195"/>
    </row>
    <row r="78" spans="6:63" ht="24" customHeight="1">
      <c r="BD78" s="195"/>
    </row>
    <row r="79" spans="6:63" ht="24" customHeight="1">
      <c r="BD79" s="195"/>
    </row>
    <row r="80" spans="6:63" ht="24" customHeight="1">
      <c r="BD80" s="195"/>
    </row>
    <row r="81" spans="56:56" ht="24" customHeight="1">
      <c r="BD81" s="195"/>
    </row>
    <row r="82" spans="56:56" ht="24" customHeight="1">
      <c r="BD82" s="195"/>
    </row>
    <row r="83" spans="56:56" ht="24" customHeight="1">
      <c r="BD83" s="195"/>
    </row>
    <row r="84" spans="56:56" ht="24" customHeight="1">
      <c r="BD84" s="195"/>
    </row>
    <row r="85" spans="56:56" ht="24" customHeight="1">
      <c r="BD85" s="195"/>
    </row>
    <row r="86" spans="56:56" ht="24" customHeight="1">
      <c r="BD86" s="195"/>
    </row>
    <row r="87" spans="56:56" ht="24" customHeight="1">
      <c r="BD87" s="195"/>
    </row>
    <row r="88" spans="56:56" ht="24" customHeight="1">
      <c r="BD88" s="195"/>
    </row>
    <row r="89" spans="56:56" ht="24" customHeight="1">
      <c r="BD89" s="195"/>
    </row>
    <row r="90" spans="56:56" ht="24" customHeight="1">
      <c r="BD90" s="195"/>
    </row>
    <row r="91" spans="56:56" ht="24" customHeight="1">
      <c r="BD91" s="195"/>
    </row>
    <row r="92" spans="56:56" ht="24" customHeight="1">
      <c r="BD92" s="195"/>
    </row>
    <row r="93" spans="56:56" ht="24" customHeight="1">
      <c r="BD93" s="195"/>
    </row>
    <row r="94" spans="56:56" ht="24" customHeight="1">
      <c r="BD94" s="195"/>
    </row>
    <row r="95" spans="56:56" ht="24" customHeight="1">
      <c r="BD95" s="195"/>
    </row>
    <row r="96" spans="56:56" ht="24" customHeight="1">
      <c r="BD96" s="195"/>
    </row>
    <row r="97" spans="56:56" ht="24" customHeight="1">
      <c r="BD97" s="195"/>
    </row>
    <row r="98" spans="56:56" ht="24" customHeight="1">
      <c r="BD98" s="195"/>
    </row>
    <row r="99" spans="56:56" ht="24" customHeight="1">
      <c r="BD99" s="195"/>
    </row>
    <row r="100" spans="56:56" ht="24" customHeight="1">
      <c r="BD100" s="195"/>
    </row>
    <row r="101" spans="56:56" ht="24" customHeight="1">
      <c r="BD101" s="195"/>
    </row>
    <row r="102" spans="56:56" ht="24" customHeight="1">
      <c r="BD102" s="195"/>
    </row>
    <row r="103" spans="56:56" ht="24" customHeight="1">
      <c r="BD103" s="195"/>
    </row>
    <row r="104" spans="56:56" ht="24" customHeight="1">
      <c r="BD104" s="195"/>
    </row>
    <row r="105" spans="56:56" ht="24" customHeight="1">
      <c r="BD105" s="195"/>
    </row>
    <row r="106" spans="56:56" ht="24" customHeight="1">
      <c r="BD106" s="195"/>
    </row>
    <row r="107" spans="56:56" ht="24" customHeight="1">
      <c r="BD107" s="195"/>
    </row>
    <row r="108" spans="56:56" ht="24" customHeight="1">
      <c r="BD108" s="195"/>
    </row>
    <row r="109" spans="56:56" ht="24" customHeight="1">
      <c r="BD109" s="195"/>
    </row>
    <row r="110" spans="56:56" ht="24" customHeight="1">
      <c r="BD110" s="195"/>
    </row>
    <row r="111" spans="56:56" ht="24" customHeight="1">
      <c r="BD111" s="195"/>
    </row>
    <row r="112" spans="56:56" ht="24" customHeight="1">
      <c r="BD112" s="195"/>
    </row>
    <row r="113" spans="56:56" ht="24" customHeight="1">
      <c r="BD113" s="195"/>
    </row>
    <row r="114" spans="56:56" ht="24" customHeight="1">
      <c r="BD114" s="195"/>
    </row>
    <row r="115" spans="56:56" ht="24" customHeight="1">
      <c r="BD115" s="195"/>
    </row>
    <row r="116" spans="56:56" ht="24" customHeight="1">
      <c r="BD116" s="195"/>
    </row>
    <row r="117" spans="56:56" ht="24" customHeight="1">
      <c r="BD117" s="195"/>
    </row>
    <row r="118" spans="56:56" ht="24" customHeight="1">
      <c r="BD118" s="195"/>
    </row>
    <row r="119" spans="56:56" ht="24" customHeight="1">
      <c r="BD119" s="195"/>
    </row>
    <row r="120" spans="56:56" ht="24" customHeight="1">
      <c r="BD120" s="195"/>
    </row>
    <row r="121" spans="56:56" ht="24" customHeight="1">
      <c r="BD121" s="195"/>
    </row>
    <row r="122" spans="56:56" ht="24" customHeight="1">
      <c r="BD122" s="195"/>
    </row>
    <row r="123" spans="56:56" ht="24" customHeight="1">
      <c r="BD123" s="195"/>
    </row>
    <row r="124" spans="56:56" ht="24" customHeight="1">
      <c r="BD124" s="195"/>
    </row>
    <row r="125" spans="56:56" ht="24" customHeight="1">
      <c r="BD125" s="195"/>
    </row>
    <row r="126" spans="56:56" ht="24" customHeight="1">
      <c r="BD126" s="195"/>
    </row>
    <row r="127" spans="56:56" ht="24" customHeight="1">
      <c r="BD127" s="195"/>
    </row>
    <row r="128" spans="56:56" ht="24" customHeight="1">
      <c r="BD128" s="195"/>
    </row>
    <row r="129" spans="56:56" ht="24" customHeight="1">
      <c r="BD129" s="195"/>
    </row>
    <row r="130" spans="56:56" ht="24" customHeight="1">
      <c r="BD130" s="195"/>
    </row>
    <row r="131" spans="56:56" ht="24" customHeight="1">
      <c r="BD131" s="195"/>
    </row>
    <row r="132" spans="56:56" ht="24" customHeight="1">
      <c r="BD132" s="195"/>
    </row>
    <row r="133" spans="56:56" ht="24" customHeight="1">
      <c r="BD133" s="195"/>
    </row>
    <row r="134" spans="56:56" ht="24" customHeight="1">
      <c r="BD134" s="195"/>
    </row>
    <row r="135" spans="56:56" ht="24" customHeight="1">
      <c r="BD135" s="195"/>
    </row>
    <row r="136" spans="56:56" ht="24" customHeight="1">
      <c r="BD136" s="195"/>
    </row>
    <row r="137" spans="56:56" ht="24" customHeight="1">
      <c r="BD137" s="195"/>
    </row>
    <row r="138" spans="56:56" ht="24" customHeight="1">
      <c r="BD138" s="195"/>
    </row>
    <row r="139" spans="56:56" ht="24" customHeight="1">
      <c r="BD139" s="195"/>
    </row>
    <row r="140" spans="56:56" ht="24" customHeight="1">
      <c r="BD140" s="195"/>
    </row>
    <row r="141" spans="56:56" ht="24" customHeight="1">
      <c r="BD141" s="195"/>
    </row>
    <row r="142" spans="56:56" ht="24" customHeight="1">
      <c r="BD142" s="195"/>
    </row>
    <row r="143" spans="56:56" ht="24" customHeight="1">
      <c r="BD143" s="195"/>
    </row>
    <row r="144" spans="56:56" ht="24" customHeight="1">
      <c r="BD144" s="195"/>
    </row>
    <row r="145" spans="56:56" ht="24" customHeight="1">
      <c r="BD145" s="195"/>
    </row>
    <row r="146" spans="56:56" ht="24" customHeight="1">
      <c r="BD146" s="195"/>
    </row>
    <row r="147" spans="56:56" ht="24" customHeight="1">
      <c r="BD147" s="195"/>
    </row>
    <row r="148" spans="56:56" ht="24" customHeight="1">
      <c r="BD148" s="195"/>
    </row>
    <row r="149" spans="56:56" ht="24" customHeight="1">
      <c r="BD149" s="195"/>
    </row>
    <row r="150" spans="56:56" ht="24" customHeight="1">
      <c r="BD150" s="195"/>
    </row>
    <row r="151" spans="56:56" ht="24" customHeight="1">
      <c r="BD151" s="195"/>
    </row>
    <row r="152" spans="56:56" ht="24" customHeight="1">
      <c r="BD152" s="195"/>
    </row>
    <row r="153" spans="56:56" ht="24" customHeight="1">
      <c r="BD153" s="195"/>
    </row>
    <row r="154" spans="56:56" ht="24" customHeight="1">
      <c r="BD154" s="195"/>
    </row>
    <row r="155" spans="56:56" ht="24" customHeight="1">
      <c r="BD155" s="195"/>
    </row>
    <row r="156" spans="56:56" ht="24" customHeight="1">
      <c r="BD156" s="195"/>
    </row>
    <row r="157" spans="56:56" ht="24" customHeight="1">
      <c r="BD157" s="195"/>
    </row>
    <row r="158" spans="56:56" ht="24" customHeight="1">
      <c r="BD158" s="195"/>
    </row>
    <row r="159" spans="56:56" ht="24" customHeight="1">
      <c r="BD159" s="195"/>
    </row>
    <row r="160" spans="56:56" ht="24" customHeight="1">
      <c r="BD160" s="195"/>
    </row>
    <row r="161" spans="56:56" ht="24" customHeight="1">
      <c r="BD161" s="195"/>
    </row>
    <row r="162" spans="56:56" ht="24" customHeight="1">
      <c r="BD162" s="195"/>
    </row>
    <row r="163" spans="56:56" ht="24" customHeight="1">
      <c r="BD163" s="195"/>
    </row>
    <row r="164" spans="56:56" ht="24" customHeight="1">
      <c r="BD164" s="195"/>
    </row>
    <row r="165" spans="56:56" ht="24" customHeight="1">
      <c r="BD165" s="195"/>
    </row>
    <row r="166" spans="56:56" ht="24" customHeight="1">
      <c r="BD166" s="195"/>
    </row>
    <row r="167" spans="56:56" ht="24" customHeight="1">
      <c r="BD167" s="195"/>
    </row>
    <row r="168" spans="56:56" ht="24" customHeight="1">
      <c r="BD168" s="195"/>
    </row>
    <row r="169" spans="56:56" ht="24" customHeight="1">
      <c r="BD169" s="195"/>
    </row>
    <row r="170" spans="56:56" ht="24" customHeight="1">
      <c r="BD170" s="195"/>
    </row>
    <row r="171" spans="56:56" ht="24" customHeight="1">
      <c r="BD171" s="195"/>
    </row>
    <row r="172" spans="56:56" ht="24" customHeight="1">
      <c r="BD172" s="195"/>
    </row>
    <row r="173" spans="56:56" ht="24" customHeight="1">
      <c r="BD173" s="195"/>
    </row>
    <row r="174" spans="56:56" ht="24" customHeight="1">
      <c r="BD174" s="195"/>
    </row>
    <row r="175" spans="56:56" ht="24" customHeight="1">
      <c r="BD175" s="195"/>
    </row>
    <row r="176" spans="56:56" ht="24" customHeight="1">
      <c r="BD176" s="195"/>
    </row>
    <row r="177" spans="56:56" ht="24" customHeight="1">
      <c r="BD177" s="195"/>
    </row>
    <row r="178" spans="56:56" ht="24" customHeight="1">
      <c r="BD178" s="195"/>
    </row>
    <row r="179" spans="56:56" ht="24" customHeight="1">
      <c r="BD179" s="195"/>
    </row>
    <row r="180" spans="56:56" ht="24" customHeight="1">
      <c r="BD180" s="195"/>
    </row>
    <row r="181" spans="56:56" ht="24" customHeight="1">
      <c r="BD181" s="195"/>
    </row>
    <row r="182" spans="56:56" ht="24" customHeight="1">
      <c r="BD182" s="195"/>
    </row>
    <row r="183" spans="56:56" ht="24" customHeight="1">
      <c r="BD183" s="195"/>
    </row>
    <row r="184" spans="56:56">
      <c r="BD184" s="195"/>
    </row>
    <row r="185" spans="56:56">
      <c r="BD185" s="195"/>
    </row>
    <row r="186" spans="56:56">
      <c r="BD186" s="195"/>
    </row>
    <row r="187" spans="56:56">
      <c r="BD187" s="195"/>
    </row>
    <row r="188" spans="56:56">
      <c r="BD188" s="195"/>
    </row>
    <row r="189" spans="56:56">
      <c r="BD189" s="195"/>
    </row>
    <row r="190" spans="56:56">
      <c r="BD190" s="195"/>
    </row>
    <row r="191" spans="56:56">
      <c r="BD191" s="195"/>
    </row>
    <row r="192" spans="56:56">
      <c r="BD192" s="195"/>
    </row>
    <row r="193" spans="56:56">
      <c r="BD193" s="195"/>
    </row>
    <row r="194" spans="56:56">
      <c r="BD194" s="195"/>
    </row>
    <row r="195" spans="56:56">
      <c r="BD195" s="195"/>
    </row>
    <row r="196" spans="56:56">
      <c r="BD196" s="195"/>
    </row>
    <row r="197" spans="56:56">
      <c r="BD197" s="195"/>
    </row>
    <row r="198" spans="56:56">
      <c r="BD198" s="195"/>
    </row>
    <row r="199" spans="56:56">
      <c r="BD199" s="195"/>
    </row>
    <row r="200" spans="56:56">
      <c r="BD200" s="195"/>
    </row>
    <row r="201" spans="56:56">
      <c r="BD201" s="195"/>
    </row>
    <row r="202" spans="56:56">
      <c r="BD202" s="195"/>
    </row>
    <row r="203" spans="56:56">
      <c r="BD203" s="195"/>
    </row>
    <row r="204" spans="56:56">
      <c r="BD204" s="195"/>
    </row>
    <row r="205" spans="56:56">
      <c r="BD205" s="195"/>
    </row>
    <row r="206" spans="56:56">
      <c r="BD206" s="195"/>
    </row>
    <row r="207" spans="56:56">
      <c r="BD207" s="195"/>
    </row>
    <row r="208" spans="56:56">
      <c r="BD208" s="195"/>
    </row>
    <row r="209" spans="56:56">
      <c r="BD209" s="195"/>
    </row>
    <row r="210" spans="56:56">
      <c r="BD210" s="195"/>
    </row>
    <row r="211" spans="56:56">
      <c r="BD211" s="195"/>
    </row>
    <row r="212" spans="56:56">
      <c r="BD212" s="195"/>
    </row>
    <row r="213" spans="56:56">
      <c r="BD213" s="195"/>
    </row>
    <row r="214" spans="56:56">
      <c r="BD214" s="195"/>
    </row>
    <row r="215" spans="56:56">
      <c r="BD215" s="195"/>
    </row>
    <row r="216" spans="56:56">
      <c r="BD216" s="195"/>
    </row>
    <row r="217" spans="56:56">
      <c r="BD217" s="195"/>
    </row>
    <row r="218" spans="56:56">
      <c r="BD218" s="195"/>
    </row>
    <row r="219" spans="56:56">
      <c r="BD219" s="195"/>
    </row>
    <row r="220" spans="56:56">
      <c r="BD220" s="195"/>
    </row>
    <row r="221" spans="56:56">
      <c r="BD221" s="195"/>
    </row>
    <row r="222" spans="56:56">
      <c r="BD222" s="195"/>
    </row>
    <row r="223" spans="56:56">
      <c r="BD223" s="195"/>
    </row>
    <row r="224" spans="56:56">
      <c r="BD224" s="195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X3"/>
    <mergeCell ref="AY3:BC3"/>
    <mergeCell ref="BD3:BK3"/>
    <mergeCell ref="D40:K44"/>
    <mergeCell ref="L40:S44"/>
    <mergeCell ref="Y40:AF44"/>
    <mergeCell ref="AG40:AN44"/>
    <mergeCell ref="AO40:AX44"/>
    <mergeCell ref="B3:B4"/>
    <mergeCell ref="D3:K3"/>
    <mergeCell ref="L3:S3"/>
    <mergeCell ref="T3:X3"/>
    <mergeCell ref="Y3:AF3"/>
    <mergeCell ref="AG3:AN3"/>
  </mergeCells>
  <phoneticPr fontId="2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CD72-E9A0-2B41-BC25-850354A6679D}">
  <dimension ref="A1:BO224"/>
  <sheetViews>
    <sheetView tabSelected="1" workbookViewId="0">
      <selection activeCell="A4" sqref="A4"/>
    </sheetView>
  </sheetViews>
  <sheetFormatPr baseColWidth="10" defaultColWidth="11.140625" defaultRowHeight="16"/>
  <cols>
    <col min="1" max="1" width="11.140625" style="49"/>
    <col min="2" max="2" width="10.42578125" style="132" customWidth="1"/>
    <col min="3" max="3" width="12.42578125" style="49" customWidth="1"/>
    <col min="4" max="4" width="4.140625" style="49" customWidth="1"/>
    <col min="5" max="9" width="8.42578125" style="49" customWidth="1"/>
    <col min="10" max="10" width="12" style="49" customWidth="1"/>
    <col min="11" max="11" width="8.42578125" style="49" customWidth="1"/>
    <col min="12" max="12" width="3.85546875" style="49" customWidth="1"/>
    <col min="13" max="17" width="8.42578125" style="49" customWidth="1"/>
    <col min="18" max="18" width="12.42578125" style="49" customWidth="1"/>
    <col min="19" max="19" width="8.42578125" style="49" customWidth="1"/>
    <col min="20" max="23" width="11.140625" style="49"/>
    <col min="24" max="24" width="7.5703125" style="49" customWidth="1"/>
    <col min="25" max="25" width="3" style="49" customWidth="1"/>
    <col min="26" max="30" width="7.5703125" style="49" customWidth="1"/>
    <col min="31" max="31" width="10" style="49" customWidth="1"/>
    <col min="32" max="32" width="7.5703125" style="49" customWidth="1"/>
    <col min="33" max="33" width="3.5703125" style="49" customWidth="1"/>
    <col min="34" max="38" width="7.5703125" style="49" customWidth="1"/>
    <col min="39" max="39" width="11.85546875" style="49" customWidth="1"/>
    <col min="40" max="40" width="10" style="49" customWidth="1"/>
    <col min="41" max="41" width="4.140625" style="49" customWidth="1"/>
    <col min="42" max="46" width="7.5703125" style="49" customWidth="1"/>
    <col min="47" max="48" width="9.140625" style="49" customWidth="1"/>
    <col min="49" max="49" width="11.28515625" style="49" customWidth="1"/>
    <col min="50" max="50" width="7.5703125" style="49" customWidth="1"/>
    <col min="51" max="51" width="5.7109375" style="49" customWidth="1"/>
    <col min="52" max="53" width="9.140625" style="49" customWidth="1"/>
    <col min="54" max="54" width="13.5703125" style="49" customWidth="1"/>
    <col min="55" max="55" width="11.140625" style="49"/>
    <col min="56" max="56" width="14.85546875" style="49" customWidth="1"/>
    <col min="57" max="62" width="11.140625" style="49"/>
    <col min="63" max="63" width="11.140625" style="79"/>
    <col min="64" max="64" width="11.140625" style="49"/>
    <col min="65" max="65" width="11.140625" style="79"/>
    <col min="66" max="16384" width="11.140625" style="49"/>
  </cols>
  <sheetData>
    <row r="1" spans="1:67" s="3" customFormat="1">
      <c r="A1" s="1" t="s">
        <v>0</v>
      </c>
      <c r="B1" s="2"/>
      <c r="BK1" s="4"/>
      <c r="BM1" s="4"/>
    </row>
    <row r="2" spans="1:67" s="3" customFormat="1" ht="35" thickBot="1">
      <c r="A2" s="5">
        <v>2025</v>
      </c>
      <c r="B2" s="6">
        <v>3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C2" s="3" t="s">
        <v>1</v>
      </c>
      <c r="BK2" s="4"/>
      <c r="BM2" s="4"/>
    </row>
    <row r="3" spans="1:67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6"/>
      <c r="AG3" s="17" t="s">
        <v>7</v>
      </c>
      <c r="AH3" s="18"/>
      <c r="AI3" s="18"/>
      <c r="AJ3" s="18"/>
      <c r="AK3" s="18"/>
      <c r="AL3" s="18"/>
      <c r="AM3" s="18"/>
      <c r="AN3" s="19"/>
      <c r="AO3" s="20" t="s">
        <v>8</v>
      </c>
      <c r="AP3" s="21"/>
      <c r="AQ3" s="21"/>
      <c r="AR3" s="21"/>
      <c r="AS3" s="21"/>
      <c r="AT3" s="21"/>
      <c r="AU3" s="21"/>
      <c r="AV3" s="21"/>
      <c r="AW3" s="21"/>
      <c r="AX3" s="22"/>
      <c r="AY3" s="23" t="s">
        <v>9</v>
      </c>
      <c r="AZ3" s="14"/>
      <c r="BA3" s="14"/>
      <c r="BB3" s="14"/>
      <c r="BC3" s="24"/>
      <c r="BD3" s="25" t="s">
        <v>10</v>
      </c>
      <c r="BE3" s="26"/>
      <c r="BF3" s="26"/>
      <c r="BG3" s="26"/>
      <c r="BH3" s="26"/>
      <c r="BI3" s="26"/>
      <c r="BJ3" s="26"/>
      <c r="BK3" s="27"/>
      <c r="BM3" s="4"/>
    </row>
    <row r="4" spans="1:67" s="8" customFormat="1" ht="53.25" customHeight="1" thickTop="1" thickBot="1">
      <c r="A4" s="28"/>
      <c r="B4" s="10"/>
      <c r="C4" s="29" t="s">
        <v>11</v>
      </c>
      <c r="D4" s="30" t="s">
        <v>12</v>
      </c>
      <c r="E4" s="31" t="s">
        <v>13</v>
      </c>
      <c r="F4" s="30" t="s">
        <v>14</v>
      </c>
      <c r="G4" s="32" t="s">
        <v>15</v>
      </c>
      <c r="H4" s="30" t="s">
        <v>16</v>
      </c>
      <c r="I4" s="33" t="s">
        <v>17</v>
      </c>
      <c r="J4" s="31" t="s">
        <v>18</v>
      </c>
      <c r="K4" s="30" t="s">
        <v>19</v>
      </c>
      <c r="L4" s="30" t="s">
        <v>20</v>
      </c>
      <c r="M4" s="34" t="s">
        <v>13</v>
      </c>
      <c r="N4" s="30" t="s">
        <v>14</v>
      </c>
      <c r="O4" s="32" t="s">
        <v>15</v>
      </c>
      <c r="P4" s="30" t="s">
        <v>16</v>
      </c>
      <c r="Q4" s="33" t="s">
        <v>17</v>
      </c>
      <c r="R4" s="31" t="s">
        <v>18</v>
      </c>
      <c r="S4" s="35" t="s">
        <v>19</v>
      </c>
      <c r="T4" s="36" t="s">
        <v>21</v>
      </c>
      <c r="U4" s="37" t="s">
        <v>22</v>
      </c>
      <c r="V4" s="37" t="s">
        <v>23</v>
      </c>
      <c r="W4" s="38" t="s">
        <v>24</v>
      </c>
      <c r="X4" s="37"/>
      <c r="Y4" s="39" t="s">
        <v>25</v>
      </c>
      <c r="Z4" s="37" t="s">
        <v>13</v>
      </c>
      <c r="AA4" s="37" t="s">
        <v>22</v>
      </c>
      <c r="AB4" s="40" t="s">
        <v>26</v>
      </c>
      <c r="AC4" s="37" t="s">
        <v>23</v>
      </c>
      <c r="AD4" s="38" t="s">
        <v>27</v>
      </c>
      <c r="AE4" s="41" t="s">
        <v>28</v>
      </c>
      <c r="AF4" s="42" t="s">
        <v>19</v>
      </c>
      <c r="AG4" s="43" t="s">
        <v>29</v>
      </c>
      <c r="AH4" s="30" t="s">
        <v>13</v>
      </c>
      <c r="AI4" s="30" t="s">
        <v>22</v>
      </c>
      <c r="AJ4" s="32" t="s">
        <v>26</v>
      </c>
      <c r="AK4" s="30" t="s">
        <v>23</v>
      </c>
      <c r="AL4" s="33" t="s">
        <v>27</v>
      </c>
      <c r="AM4" s="34" t="s">
        <v>28</v>
      </c>
      <c r="AN4" s="40" t="s">
        <v>19</v>
      </c>
      <c r="AO4" s="44" t="s">
        <v>29</v>
      </c>
      <c r="AP4" s="30" t="s">
        <v>13</v>
      </c>
      <c r="AQ4" s="30" t="s">
        <v>22</v>
      </c>
      <c r="AR4" s="32" t="s">
        <v>26</v>
      </c>
      <c r="AS4" s="30" t="s">
        <v>23</v>
      </c>
      <c r="AT4" s="33" t="s">
        <v>27</v>
      </c>
      <c r="AU4" s="33" t="s">
        <v>30</v>
      </c>
      <c r="AV4" s="33" t="s">
        <v>31</v>
      </c>
      <c r="AW4" s="34" t="s">
        <v>28</v>
      </c>
      <c r="AX4" s="40" t="s">
        <v>19</v>
      </c>
      <c r="AY4" s="40" t="s">
        <v>21</v>
      </c>
      <c r="AZ4" s="37" t="s">
        <v>22</v>
      </c>
      <c r="BA4" s="37" t="s">
        <v>23</v>
      </c>
      <c r="BB4" s="38" t="s">
        <v>24</v>
      </c>
      <c r="BC4" s="38" t="s">
        <v>32</v>
      </c>
      <c r="BD4" s="45" t="s">
        <v>33</v>
      </c>
      <c r="BE4" s="46" t="s">
        <v>34</v>
      </c>
      <c r="BF4" s="46" t="s">
        <v>35</v>
      </c>
      <c r="BG4" s="46" t="s">
        <v>36</v>
      </c>
      <c r="BH4" s="46" t="s">
        <v>37</v>
      </c>
      <c r="BI4" s="46" t="s">
        <v>38</v>
      </c>
      <c r="BJ4" s="46" t="s">
        <v>39</v>
      </c>
      <c r="BK4" s="47" t="s">
        <v>40</v>
      </c>
      <c r="BM4" s="48"/>
    </row>
    <row r="5" spans="1:67" ht="20" customHeight="1" thickTop="1">
      <c r="B5" s="50">
        <f>DATE($A$2,$B$2,1)</f>
        <v>45717</v>
      </c>
      <c r="C5" s="51"/>
      <c r="D5" s="52"/>
      <c r="E5" s="53">
        <v>25</v>
      </c>
      <c r="F5" s="54">
        <v>110990</v>
      </c>
      <c r="G5" s="55">
        <f t="shared" ref="G5:G35" si="0">ROUNDDOWN(F5/1.1,0)/E5</f>
        <v>4036</v>
      </c>
      <c r="H5" s="54">
        <v>19150</v>
      </c>
      <c r="I5" s="56">
        <f>ROUNDDOWN(H5/1.1,0)/E5</f>
        <v>696.36</v>
      </c>
      <c r="J5" s="57">
        <f t="shared" ref="J5:J35" si="1">F5+H5</f>
        <v>130140</v>
      </c>
      <c r="K5" s="58">
        <f t="shared" ref="K5:K35" si="2">IF(E5="","",J5/E5)</f>
        <v>5205.6000000000004</v>
      </c>
      <c r="L5" s="59"/>
      <c r="M5" s="60">
        <f t="shared" ref="M5:N35" si="3">BD5-E5</f>
        <v>28</v>
      </c>
      <c r="N5" s="61">
        <f t="shared" si="3"/>
        <v>250580</v>
      </c>
      <c r="O5" s="55">
        <f t="shared" ref="O5:O35" si="4">ROUNDDOWN(N5/1.1,0)/M5</f>
        <v>8135.7142857142853</v>
      </c>
      <c r="P5" s="61">
        <f t="shared" ref="P5:P35" si="5">BF5-H5</f>
        <v>78060</v>
      </c>
      <c r="Q5" s="56">
        <f t="shared" ref="Q5:Q35" si="6">ROUNDDOWN(P5/1.1,0)/M5</f>
        <v>2534.3928571428573</v>
      </c>
      <c r="R5" s="62">
        <f t="shared" ref="R5:R35" si="7">N5+P5</f>
        <v>328640</v>
      </c>
      <c r="S5" s="58">
        <f t="shared" ref="S5:S35" si="8">IF(M5="","",R5/M5)</f>
        <v>11737.142857142857</v>
      </c>
      <c r="T5" s="63">
        <f t="shared" ref="T5:U35" si="9">E5+M5</f>
        <v>53</v>
      </c>
      <c r="U5" s="61">
        <f t="shared" si="9"/>
        <v>361570</v>
      </c>
      <c r="V5" s="61">
        <f t="shared" ref="V5:V35" si="10">H5+P5</f>
        <v>97210</v>
      </c>
      <c r="W5" s="64">
        <f t="shared" ref="W5:W35" si="11">J5+R5</f>
        <v>458780</v>
      </c>
      <c r="X5" s="61"/>
      <c r="Y5" s="65"/>
      <c r="Z5" s="66">
        <v>13</v>
      </c>
      <c r="AA5" s="54">
        <v>4650</v>
      </c>
      <c r="AB5" s="55">
        <f t="shared" ref="AB5:AB35" si="12">AA5/Z5</f>
        <v>357.69230769230768</v>
      </c>
      <c r="AC5" s="54">
        <v>1000</v>
      </c>
      <c r="AD5" s="56">
        <f t="shared" ref="AD5:AD35" si="13">AC5/Z5</f>
        <v>76.92307692307692</v>
      </c>
      <c r="AE5" s="67">
        <f t="shared" ref="AE5:AE35" si="14">AA5+AC5</f>
        <v>5650</v>
      </c>
      <c r="AF5" s="58">
        <f t="shared" ref="AF5:AF35" si="15">IF(Z5="","",AE5/Z5)</f>
        <v>434.61538461538464</v>
      </c>
      <c r="AG5" s="68"/>
      <c r="AH5" s="66"/>
      <c r="AI5" s="54"/>
      <c r="AJ5" s="55" t="e">
        <f t="shared" ref="AJ5:AJ35" si="16">AI5/AH5</f>
        <v>#DIV/0!</v>
      </c>
      <c r="AK5" s="54"/>
      <c r="AL5" s="56" t="e">
        <f t="shared" ref="AL5:AL35" si="17">AK5/AH5</f>
        <v>#DIV/0!</v>
      </c>
      <c r="AM5" s="67">
        <f>AI5+AK5</f>
        <v>0</v>
      </c>
      <c r="AN5" s="69" t="str">
        <f t="shared" ref="AN5:AN35" si="18">IF(AH5="","",AM5/AH5)</f>
        <v/>
      </c>
      <c r="AO5" s="70"/>
      <c r="AP5" s="66"/>
      <c r="AQ5" s="54"/>
      <c r="AR5" s="55" t="e">
        <f t="shared" ref="AR5:AR35" si="19">AQ5/AP5</f>
        <v>#DIV/0!</v>
      </c>
      <c r="AS5" s="54"/>
      <c r="AT5" s="56" t="e">
        <f t="shared" ref="AT5:AT35" si="20">AS5/AP5</f>
        <v>#DIV/0!</v>
      </c>
      <c r="AU5" s="56"/>
      <c r="AV5" s="56"/>
      <c r="AW5" s="71">
        <f>AQ5+AS5+AU5+AV5</f>
        <v>0</v>
      </c>
      <c r="AX5" s="69" t="str">
        <f t="shared" ref="AX5:AX35" si="21">IF(AP5="","",AW5/AP5)</f>
        <v/>
      </c>
      <c r="AY5" s="72">
        <f t="shared" ref="AY5:AY35" si="22">SUM(E5,M5)</f>
        <v>53</v>
      </c>
      <c r="AZ5" s="61">
        <f t="shared" ref="AZ5:AZ35" si="23">U5+AA5+AI5+AQ5</f>
        <v>366220</v>
      </c>
      <c r="BA5" s="61">
        <f t="shared" ref="BA5:BA35" si="24">V5+AC5+AK5+AS5</f>
        <v>98210</v>
      </c>
      <c r="BB5" s="73">
        <f>W5+AE5+AM5+AW5</f>
        <v>464430</v>
      </c>
      <c r="BC5" s="74">
        <f>BG5+BH5</f>
        <v>9900</v>
      </c>
      <c r="BD5" s="75">
        <v>53</v>
      </c>
      <c r="BE5" s="76">
        <v>361570</v>
      </c>
      <c r="BF5" s="76">
        <v>97210</v>
      </c>
      <c r="BG5" s="77">
        <v>9900</v>
      </c>
      <c r="BH5" s="77"/>
      <c r="BI5" s="77"/>
      <c r="BJ5" s="77"/>
      <c r="BK5" s="78">
        <f>SUM(BE5:BH5)</f>
        <v>468680</v>
      </c>
      <c r="BL5" s="49">
        <v>1</v>
      </c>
      <c r="BM5" s="79">
        <f t="shared" ref="BM5:BM35" si="25">BJ5+BK5</f>
        <v>468680</v>
      </c>
    </row>
    <row r="6" spans="1:67" ht="20" customHeight="1">
      <c r="B6" s="80">
        <f t="shared" ref="B6:B35" si="26">B5+1</f>
        <v>45718</v>
      </c>
      <c r="C6" s="81"/>
      <c r="D6" s="52"/>
      <c r="E6" s="53">
        <v>33</v>
      </c>
      <c r="F6" s="54">
        <v>140690</v>
      </c>
      <c r="G6" s="55">
        <f t="shared" si="0"/>
        <v>3875.757575757576</v>
      </c>
      <c r="H6" s="54">
        <v>29100</v>
      </c>
      <c r="I6" s="56">
        <f t="shared" ref="I6:I35" si="27">ROUNDDOWN(H6/1.1,0)/E6</f>
        <v>801.63636363636363</v>
      </c>
      <c r="J6" s="57">
        <f t="shared" si="1"/>
        <v>169790</v>
      </c>
      <c r="K6" s="58">
        <f t="shared" si="2"/>
        <v>5145.151515151515</v>
      </c>
      <c r="L6" s="59"/>
      <c r="M6" s="60">
        <f t="shared" si="3"/>
        <v>27</v>
      </c>
      <c r="N6" s="61">
        <f t="shared" si="3"/>
        <v>296870</v>
      </c>
      <c r="O6" s="55">
        <f t="shared" si="4"/>
        <v>9995.5925925925931</v>
      </c>
      <c r="P6" s="61">
        <f t="shared" si="5"/>
        <v>72640</v>
      </c>
      <c r="Q6" s="56">
        <f t="shared" si="6"/>
        <v>2445.7777777777778</v>
      </c>
      <c r="R6" s="62">
        <f t="shared" si="7"/>
        <v>369510</v>
      </c>
      <c r="S6" s="58">
        <f t="shared" si="8"/>
        <v>13685.555555555555</v>
      </c>
      <c r="T6" s="82">
        <f t="shared" si="9"/>
        <v>60</v>
      </c>
      <c r="U6" s="61">
        <f t="shared" si="9"/>
        <v>437560</v>
      </c>
      <c r="V6" s="61">
        <f t="shared" si="10"/>
        <v>101740</v>
      </c>
      <c r="W6" s="64">
        <f t="shared" si="11"/>
        <v>539300</v>
      </c>
      <c r="X6" s="83"/>
      <c r="Y6" s="65"/>
      <c r="Z6" s="66">
        <v>17</v>
      </c>
      <c r="AA6" s="54">
        <v>5350</v>
      </c>
      <c r="AB6" s="55">
        <f t="shared" si="12"/>
        <v>314.70588235294116</v>
      </c>
      <c r="AC6" s="54">
        <v>4500</v>
      </c>
      <c r="AD6" s="56">
        <f t="shared" si="13"/>
        <v>264.70588235294116</v>
      </c>
      <c r="AE6" s="67">
        <f>AA6+AC6</f>
        <v>9850</v>
      </c>
      <c r="AF6" s="58">
        <f t="shared" si="15"/>
        <v>579.41176470588232</v>
      </c>
      <c r="AG6" s="68"/>
      <c r="AH6" s="66"/>
      <c r="AI6" s="54"/>
      <c r="AJ6" s="55" t="e">
        <f t="shared" si="16"/>
        <v>#DIV/0!</v>
      </c>
      <c r="AK6" s="54"/>
      <c r="AL6" s="56" t="e">
        <f t="shared" si="17"/>
        <v>#DIV/0!</v>
      </c>
      <c r="AM6" s="67">
        <f t="shared" ref="AM6:AM35" si="28">AI6+AK6</f>
        <v>0</v>
      </c>
      <c r="AN6" s="69" t="str">
        <f t="shared" si="18"/>
        <v/>
      </c>
      <c r="AO6" s="70"/>
      <c r="AP6" s="66"/>
      <c r="AQ6" s="54"/>
      <c r="AR6" s="55" t="e">
        <f t="shared" si="19"/>
        <v>#DIV/0!</v>
      </c>
      <c r="AS6" s="54"/>
      <c r="AT6" s="56" t="e">
        <f t="shared" si="20"/>
        <v>#DIV/0!</v>
      </c>
      <c r="AU6" s="56"/>
      <c r="AV6" s="56"/>
      <c r="AW6" s="71">
        <f>AQ6+AS6+AU6+AV6</f>
        <v>0</v>
      </c>
      <c r="AX6" s="69" t="str">
        <f t="shared" si="21"/>
        <v/>
      </c>
      <c r="AY6" s="84">
        <f t="shared" si="22"/>
        <v>60</v>
      </c>
      <c r="AZ6" s="61">
        <f t="shared" si="23"/>
        <v>442910</v>
      </c>
      <c r="BA6" s="61">
        <f t="shared" si="24"/>
        <v>106240</v>
      </c>
      <c r="BB6" s="73">
        <f>W6+AE6+AM6+AW6</f>
        <v>549150</v>
      </c>
      <c r="BC6" s="74">
        <f>BG6+BH6</f>
        <v>2750</v>
      </c>
      <c r="BD6" s="75">
        <v>60</v>
      </c>
      <c r="BE6" s="76">
        <v>437560</v>
      </c>
      <c r="BF6" s="76">
        <v>101740</v>
      </c>
      <c r="BG6" s="77">
        <v>2750</v>
      </c>
      <c r="BH6" s="77"/>
      <c r="BI6" s="77"/>
      <c r="BJ6" s="77"/>
      <c r="BK6" s="78">
        <f t="shared" ref="BK6:BK35" si="29">SUM(BE6:BH6)</f>
        <v>542050</v>
      </c>
      <c r="BL6" s="49">
        <v>2</v>
      </c>
      <c r="BM6" s="79">
        <f t="shared" si="25"/>
        <v>542050</v>
      </c>
    </row>
    <row r="7" spans="1:67" ht="20" customHeight="1">
      <c r="B7" s="80">
        <f>B6+1</f>
        <v>45719</v>
      </c>
      <c r="C7" s="81"/>
      <c r="D7" s="52"/>
      <c r="E7" s="53">
        <v>23</v>
      </c>
      <c r="F7" s="54">
        <v>66990</v>
      </c>
      <c r="G7" s="55">
        <f t="shared" si="0"/>
        <v>2647.8260869565215</v>
      </c>
      <c r="H7" s="54">
        <v>3840</v>
      </c>
      <c r="I7" s="56">
        <f t="shared" si="27"/>
        <v>151.7391304347826</v>
      </c>
      <c r="J7" s="57">
        <f t="shared" si="1"/>
        <v>70830</v>
      </c>
      <c r="K7" s="58">
        <f t="shared" si="2"/>
        <v>3079.5652173913045</v>
      </c>
      <c r="L7" s="59"/>
      <c r="M7" s="60">
        <f t="shared" si="3"/>
        <v>13</v>
      </c>
      <c r="N7" s="61">
        <f t="shared" si="3"/>
        <v>122980</v>
      </c>
      <c r="O7" s="55">
        <f t="shared" si="4"/>
        <v>8600</v>
      </c>
      <c r="P7" s="61">
        <f t="shared" si="5"/>
        <v>23910</v>
      </c>
      <c r="Q7" s="56">
        <f t="shared" si="6"/>
        <v>1672</v>
      </c>
      <c r="R7" s="62">
        <f t="shared" si="7"/>
        <v>146890</v>
      </c>
      <c r="S7" s="58">
        <f t="shared" si="8"/>
        <v>11299.23076923077</v>
      </c>
      <c r="T7" s="82">
        <f t="shared" si="9"/>
        <v>36</v>
      </c>
      <c r="U7" s="61">
        <f t="shared" si="9"/>
        <v>189970</v>
      </c>
      <c r="V7" s="61">
        <f t="shared" si="10"/>
        <v>27750</v>
      </c>
      <c r="W7" s="64">
        <f t="shared" si="11"/>
        <v>217720</v>
      </c>
      <c r="X7" s="83"/>
      <c r="Y7" s="65"/>
      <c r="Z7" s="66">
        <v>12</v>
      </c>
      <c r="AA7" s="54">
        <v>4400</v>
      </c>
      <c r="AB7" s="55">
        <f t="shared" si="12"/>
        <v>366.66666666666669</v>
      </c>
      <c r="AC7" s="54">
        <v>1900</v>
      </c>
      <c r="AD7" s="56">
        <f t="shared" si="13"/>
        <v>158.33333333333334</v>
      </c>
      <c r="AE7" s="67">
        <f t="shared" si="14"/>
        <v>6300</v>
      </c>
      <c r="AF7" s="58">
        <f t="shared" si="15"/>
        <v>525</v>
      </c>
      <c r="AG7" s="68"/>
      <c r="AH7" s="66"/>
      <c r="AI7" s="54"/>
      <c r="AJ7" s="55" t="e">
        <f t="shared" si="16"/>
        <v>#DIV/0!</v>
      </c>
      <c r="AK7" s="54"/>
      <c r="AL7" s="56" t="e">
        <f t="shared" si="17"/>
        <v>#DIV/0!</v>
      </c>
      <c r="AM7" s="67">
        <f t="shared" si="28"/>
        <v>0</v>
      </c>
      <c r="AN7" s="69" t="str">
        <f t="shared" si="18"/>
        <v/>
      </c>
      <c r="AO7" s="70"/>
      <c r="AP7" s="66"/>
      <c r="AQ7" s="54"/>
      <c r="AR7" s="55" t="e">
        <f t="shared" si="19"/>
        <v>#DIV/0!</v>
      </c>
      <c r="AS7" s="54"/>
      <c r="AT7" s="56" t="e">
        <f t="shared" si="20"/>
        <v>#DIV/0!</v>
      </c>
      <c r="AU7" s="56"/>
      <c r="AV7" s="56"/>
      <c r="AW7" s="71">
        <f>AQ7+AS7+AU7+AV7</f>
        <v>0</v>
      </c>
      <c r="AX7" s="69" t="str">
        <f t="shared" si="21"/>
        <v/>
      </c>
      <c r="AY7" s="84">
        <f t="shared" si="22"/>
        <v>36</v>
      </c>
      <c r="AZ7" s="61">
        <f t="shared" si="23"/>
        <v>194370</v>
      </c>
      <c r="BA7" s="61">
        <f t="shared" si="24"/>
        <v>29650</v>
      </c>
      <c r="BB7" s="73">
        <f>W7+AE7+AM7+AW7-BN7</f>
        <v>224020</v>
      </c>
      <c r="BC7" s="74">
        <f t="shared" ref="BC7:BC35" si="30">BG7+BH7</f>
        <v>9900</v>
      </c>
      <c r="BD7" s="75">
        <v>36</v>
      </c>
      <c r="BE7" s="76">
        <v>189970</v>
      </c>
      <c r="BF7" s="76">
        <v>27750</v>
      </c>
      <c r="BG7" s="77">
        <v>9900</v>
      </c>
      <c r="BH7" s="77"/>
      <c r="BI7" s="77"/>
      <c r="BJ7" s="77"/>
      <c r="BK7" s="78">
        <f t="shared" si="29"/>
        <v>227620</v>
      </c>
      <c r="BL7" s="49">
        <v>3</v>
      </c>
      <c r="BM7" s="79">
        <f t="shared" si="25"/>
        <v>227620</v>
      </c>
    </row>
    <row r="8" spans="1:67" ht="20" customHeight="1">
      <c r="B8" s="80">
        <f t="shared" si="26"/>
        <v>45720</v>
      </c>
      <c r="C8" s="81"/>
      <c r="D8" s="52"/>
      <c r="E8" s="53">
        <v>22</v>
      </c>
      <c r="F8" s="54">
        <v>108570</v>
      </c>
      <c r="G8" s="55">
        <f t="shared" si="0"/>
        <v>4486.363636363636</v>
      </c>
      <c r="H8" s="54">
        <v>23960</v>
      </c>
      <c r="I8" s="56">
        <f t="shared" si="27"/>
        <v>990.0454545454545</v>
      </c>
      <c r="J8" s="57">
        <f t="shared" si="1"/>
        <v>132530</v>
      </c>
      <c r="K8" s="58">
        <f t="shared" si="2"/>
        <v>6024.090909090909</v>
      </c>
      <c r="L8" s="59"/>
      <c r="M8" s="60">
        <f t="shared" si="3"/>
        <v>4</v>
      </c>
      <c r="N8" s="61">
        <f t="shared" si="3"/>
        <v>41930</v>
      </c>
      <c r="O8" s="55">
        <f t="shared" si="4"/>
        <v>9529.5</v>
      </c>
      <c r="P8" s="61">
        <f t="shared" si="5"/>
        <v>6710</v>
      </c>
      <c r="Q8" s="56">
        <f t="shared" si="6"/>
        <v>1525</v>
      </c>
      <c r="R8" s="62">
        <f t="shared" si="7"/>
        <v>48640</v>
      </c>
      <c r="S8" s="58">
        <f t="shared" si="8"/>
        <v>12160</v>
      </c>
      <c r="T8" s="82">
        <f t="shared" si="9"/>
        <v>26</v>
      </c>
      <c r="U8" s="61">
        <f t="shared" si="9"/>
        <v>150500</v>
      </c>
      <c r="V8" s="61">
        <f t="shared" si="10"/>
        <v>30670</v>
      </c>
      <c r="W8" s="64">
        <f t="shared" si="11"/>
        <v>181170</v>
      </c>
      <c r="X8" s="83"/>
      <c r="Y8" s="65"/>
      <c r="Z8" s="66">
        <v>8</v>
      </c>
      <c r="AA8" s="54">
        <v>3250</v>
      </c>
      <c r="AB8" s="55">
        <f t="shared" si="12"/>
        <v>406.25</v>
      </c>
      <c r="AC8" s="54"/>
      <c r="AD8" s="56">
        <f t="shared" si="13"/>
        <v>0</v>
      </c>
      <c r="AE8" s="67">
        <f t="shared" si="14"/>
        <v>3250</v>
      </c>
      <c r="AF8" s="58">
        <f t="shared" si="15"/>
        <v>406.25</v>
      </c>
      <c r="AG8" s="68"/>
      <c r="AH8" s="66"/>
      <c r="AI8" s="54"/>
      <c r="AJ8" s="55" t="e">
        <f t="shared" si="16"/>
        <v>#DIV/0!</v>
      </c>
      <c r="AK8" s="54"/>
      <c r="AL8" s="56" t="e">
        <f t="shared" si="17"/>
        <v>#DIV/0!</v>
      </c>
      <c r="AM8" s="67">
        <f t="shared" si="28"/>
        <v>0</v>
      </c>
      <c r="AN8" s="69" t="str">
        <f t="shared" si="18"/>
        <v/>
      </c>
      <c r="AO8" s="70"/>
      <c r="AP8" s="66"/>
      <c r="AQ8" s="54"/>
      <c r="AR8" s="55" t="e">
        <f t="shared" si="19"/>
        <v>#DIV/0!</v>
      </c>
      <c r="AS8" s="54"/>
      <c r="AT8" s="56" t="e">
        <f t="shared" si="20"/>
        <v>#DIV/0!</v>
      </c>
      <c r="AU8" s="56"/>
      <c r="AV8" s="56"/>
      <c r="AW8" s="71">
        <f t="shared" ref="AW8:AW16" si="31">AQ8+AS8+AU8+AV8</f>
        <v>0</v>
      </c>
      <c r="AX8" s="69" t="str">
        <f t="shared" si="21"/>
        <v/>
      </c>
      <c r="AY8" s="84">
        <f t="shared" si="22"/>
        <v>26</v>
      </c>
      <c r="AZ8" s="61">
        <f t="shared" si="23"/>
        <v>153750</v>
      </c>
      <c r="BA8" s="61">
        <f t="shared" si="24"/>
        <v>30670</v>
      </c>
      <c r="BB8" s="73">
        <f>W8+AE8+AM8+AW8-BN8</f>
        <v>184420</v>
      </c>
      <c r="BC8" s="74">
        <f t="shared" si="30"/>
        <v>6600</v>
      </c>
      <c r="BD8" s="75">
        <v>26</v>
      </c>
      <c r="BE8" s="76">
        <v>150500</v>
      </c>
      <c r="BF8" s="76">
        <v>30670</v>
      </c>
      <c r="BG8" s="77">
        <v>6600</v>
      </c>
      <c r="BH8" s="77"/>
      <c r="BI8" s="77"/>
      <c r="BJ8" s="77"/>
      <c r="BK8" s="78">
        <f t="shared" si="29"/>
        <v>187770</v>
      </c>
      <c r="BL8" s="49">
        <v>4</v>
      </c>
      <c r="BM8" s="79">
        <f t="shared" si="25"/>
        <v>187770</v>
      </c>
      <c r="BN8" s="85"/>
      <c r="BO8" s="85"/>
    </row>
    <row r="9" spans="1:67" ht="20" customHeight="1">
      <c r="B9" s="80">
        <f t="shared" si="26"/>
        <v>45721</v>
      </c>
      <c r="C9" s="81"/>
      <c r="D9" s="52"/>
      <c r="E9" s="53">
        <v>24</v>
      </c>
      <c r="F9" s="54">
        <v>71940</v>
      </c>
      <c r="G9" s="55">
        <f t="shared" si="0"/>
        <v>2725</v>
      </c>
      <c r="H9" s="54">
        <v>12090</v>
      </c>
      <c r="I9" s="56">
        <f t="shared" si="27"/>
        <v>457.91666666666669</v>
      </c>
      <c r="J9" s="57">
        <f t="shared" si="1"/>
        <v>84030</v>
      </c>
      <c r="K9" s="58">
        <f t="shared" si="2"/>
        <v>3501.25</v>
      </c>
      <c r="L9" s="59"/>
      <c r="M9" s="60">
        <f t="shared" si="3"/>
        <v>10</v>
      </c>
      <c r="N9" s="61">
        <f t="shared" si="3"/>
        <v>86680</v>
      </c>
      <c r="O9" s="55">
        <f t="shared" si="4"/>
        <v>7880</v>
      </c>
      <c r="P9" s="61">
        <f t="shared" si="5"/>
        <v>18050</v>
      </c>
      <c r="Q9" s="56">
        <f>ROUNDDOWN(P9/1.1,0)/M9</f>
        <v>1640.9</v>
      </c>
      <c r="R9" s="62">
        <f t="shared" si="7"/>
        <v>104730</v>
      </c>
      <c r="S9" s="58">
        <f t="shared" si="8"/>
        <v>10473</v>
      </c>
      <c r="T9" s="82">
        <f t="shared" si="9"/>
        <v>34</v>
      </c>
      <c r="U9" s="61">
        <f t="shared" si="9"/>
        <v>158620</v>
      </c>
      <c r="V9" s="61">
        <f t="shared" si="10"/>
        <v>30140</v>
      </c>
      <c r="W9" s="64">
        <f t="shared" si="11"/>
        <v>188760</v>
      </c>
      <c r="X9" s="83"/>
      <c r="Y9" s="65"/>
      <c r="Z9" s="66">
        <v>18</v>
      </c>
      <c r="AA9" s="54">
        <v>7100</v>
      </c>
      <c r="AB9" s="55">
        <f t="shared" si="12"/>
        <v>394.44444444444446</v>
      </c>
      <c r="AC9" s="54">
        <v>1800</v>
      </c>
      <c r="AD9" s="56">
        <f t="shared" si="13"/>
        <v>100</v>
      </c>
      <c r="AE9" s="67">
        <f t="shared" si="14"/>
        <v>8900</v>
      </c>
      <c r="AF9" s="58">
        <f t="shared" si="15"/>
        <v>494.44444444444446</v>
      </c>
      <c r="AG9" s="68"/>
      <c r="AH9" s="66">
        <v>16</v>
      </c>
      <c r="AI9" s="54">
        <v>62640</v>
      </c>
      <c r="AJ9" s="55">
        <f t="shared" si="16"/>
        <v>3915</v>
      </c>
      <c r="AK9" s="54">
        <v>27840</v>
      </c>
      <c r="AL9" s="56">
        <f t="shared" si="17"/>
        <v>1740</v>
      </c>
      <c r="AM9" s="67">
        <f t="shared" si="28"/>
        <v>90480</v>
      </c>
      <c r="AN9" s="69">
        <f t="shared" si="18"/>
        <v>5655</v>
      </c>
      <c r="AO9" s="70"/>
      <c r="AP9" s="66"/>
      <c r="AQ9" s="54"/>
      <c r="AR9" s="55" t="e">
        <f t="shared" si="19"/>
        <v>#DIV/0!</v>
      </c>
      <c r="AS9" s="54"/>
      <c r="AT9" s="56" t="e">
        <f t="shared" si="20"/>
        <v>#DIV/0!</v>
      </c>
      <c r="AU9" s="56"/>
      <c r="AV9" s="56"/>
      <c r="AW9" s="71">
        <f t="shared" si="31"/>
        <v>0</v>
      </c>
      <c r="AX9" s="69" t="str">
        <f>IF(AP9="","",AW9/AP9)</f>
        <v/>
      </c>
      <c r="AY9" s="84">
        <f t="shared" si="22"/>
        <v>34</v>
      </c>
      <c r="AZ9" s="61">
        <f t="shared" si="23"/>
        <v>228360</v>
      </c>
      <c r="BA9" s="61">
        <f t="shared" si="24"/>
        <v>59780</v>
      </c>
      <c r="BB9" s="73">
        <f>W9+AE9+AM9+AW9-BN9</f>
        <v>288140</v>
      </c>
      <c r="BC9" s="74">
        <f t="shared" si="30"/>
        <v>3300</v>
      </c>
      <c r="BD9" s="75">
        <v>34</v>
      </c>
      <c r="BE9" s="76">
        <v>158620</v>
      </c>
      <c r="BF9" s="76">
        <v>30140</v>
      </c>
      <c r="BG9" s="77">
        <v>3300</v>
      </c>
      <c r="BH9" s="77"/>
      <c r="BI9" s="77"/>
      <c r="BJ9" s="77"/>
      <c r="BK9" s="78">
        <f t="shared" si="29"/>
        <v>192060</v>
      </c>
      <c r="BL9" s="49">
        <v>5</v>
      </c>
      <c r="BM9" s="79">
        <f t="shared" si="25"/>
        <v>192060</v>
      </c>
    </row>
    <row r="10" spans="1:67" ht="19.5" customHeight="1">
      <c r="B10" s="80">
        <f t="shared" si="26"/>
        <v>45722</v>
      </c>
      <c r="C10" s="81"/>
      <c r="D10" s="52"/>
      <c r="E10" s="53">
        <v>33</v>
      </c>
      <c r="F10" s="54">
        <v>161700</v>
      </c>
      <c r="G10" s="55">
        <f t="shared" si="0"/>
        <v>4454.545454545455</v>
      </c>
      <c r="H10" s="54">
        <v>14620</v>
      </c>
      <c r="I10" s="56">
        <f t="shared" si="27"/>
        <v>402.72727272727275</v>
      </c>
      <c r="J10" s="57">
        <f t="shared" si="1"/>
        <v>176320</v>
      </c>
      <c r="K10" s="58">
        <f t="shared" si="2"/>
        <v>5343.030303030303</v>
      </c>
      <c r="L10" s="59"/>
      <c r="M10" s="60">
        <f t="shared" si="3"/>
        <v>0</v>
      </c>
      <c r="N10" s="61">
        <f t="shared" si="3"/>
        <v>0</v>
      </c>
      <c r="O10" s="55" t="e">
        <f t="shared" si="4"/>
        <v>#DIV/0!</v>
      </c>
      <c r="P10" s="61">
        <f t="shared" si="5"/>
        <v>0</v>
      </c>
      <c r="Q10" s="56" t="e">
        <f t="shared" si="6"/>
        <v>#DIV/0!</v>
      </c>
      <c r="R10" s="62">
        <f t="shared" si="7"/>
        <v>0</v>
      </c>
      <c r="S10" s="58" t="e">
        <f t="shared" si="8"/>
        <v>#DIV/0!</v>
      </c>
      <c r="T10" s="82">
        <f t="shared" si="9"/>
        <v>33</v>
      </c>
      <c r="U10" s="61">
        <f t="shared" si="9"/>
        <v>161700</v>
      </c>
      <c r="V10" s="61">
        <f t="shared" si="10"/>
        <v>14620</v>
      </c>
      <c r="W10" s="64">
        <f t="shared" si="11"/>
        <v>176320</v>
      </c>
      <c r="X10" s="83"/>
      <c r="Y10" s="65"/>
      <c r="Z10" s="66">
        <v>16</v>
      </c>
      <c r="AA10" s="54">
        <v>6700</v>
      </c>
      <c r="AB10" s="55">
        <f t="shared" si="12"/>
        <v>418.75</v>
      </c>
      <c r="AC10" s="54">
        <v>2200</v>
      </c>
      <c r="AD10" s="56">
        <f t="shared" si="13"/>
        <v>137.5</v>
      </c>
      <c r="AE10" s="67">
        <f t="shared" si="14"/>
        <v>8900</v>
      </c>
      <c r="AF10" s="58">
        <f t="shared" si="15"/>
        <v>556.25</v>
      </c>
      <c r="AG10" s="68"/>
      <c r="AH10" s="66"/>
      <c r="AI10" s="54"/>
      <c r="AJ10" s="55" t="e">
        <f t="shared" si="16"/>
        <v>#DIV/0!</v>
      </c>
      <c r="AK10" s="54"/>
      <c r="AL10" s="56" t="e">
        <f t="shared" si="17"/>
        <v>#DIV/0!</v>
      </c>
      <c r="AM10" s="67">
        <f t="shared" si="28"/>
        <v>0</v>
      </c>
      <c r="AN10" s="69" t="str">
        <f t="shared" si="18"/>
        <v/>
      </c>
      <c r="AO10" s="70"/>
      <c r="AP10" s="66"/>
      <c r="AQ10" s="54"/>
      <c r="AR10" s="55" t="e">
        <f t="shared" si="19"/>
        <v>#DIV/0!</v>
      </c>
      <c r="AS10" s="54"/>
      <c r="AT10" s="56" t="e">
        <f t="shared" si="20"/>
        <v>#DIV/0!</v>
      </c>
      <c r="AU10" s="56"/>
      <c r="AV10" s="56"/>
      <c r="AW10" s="71">
        <f t="shared" si="31"/>
        <v>0</v>
      </c>
      <c r="AX10" s="69" t="str">
        <f t="shared" si="21"/>
        <v/>
      </c>
      <c r="AY10" s="84">
        <f t="shared" si="22"/>
        <v>33</v>
      </c>
      <c r="AZ10" s="61">
        <f t="shared" si="23"/>
        <v>168400</v>
      </c>
      <c r="BA10" s="61">
        <f t="shared" si="24"/>
        <v>16820</v>
      </c>
      <c r="BB10" s="73">
        <f>W10+AE10+AM10+AW10-BN10</f>
        <v>183108</v>
      </c>
      <c r="BC10" s="74">
        <f t="shared" si="30"/>
        <v>0</v>
      </c>
      <c r="BD10" s="75">
        <v>33</v>
      </c>
      <c r="BE10" s="76">
        <v>161700</v>
      </c>
      <c r="BF10" s="76">
        <v>14620</v>
      </c>
      <c r="BG10" s="77"/>
      <c r="BH10" s="77"/>
      <c r="BI10" s="77"/>
      <c r="BJ10" s="77"/>
      <c r="BK10" s="78">
        <f t="shared" si="29"/>
        <v>176320</v>
      </c>
      <c r="BL10" s="49">
        <v>6</v>
      </c>
      <c r="BM10" s="79">
        <f t="shared" si="25"/>
        <v>176320</v>
      </c>
      <c r="BN10" s="49">
        <v>2112</v>
      </c>
    </row>
    <row r="11" spans="1:67" ht="20" customHeight="1">
      <c r="B11" s="80">
        <f t="shared" si="26"/>
        <v>45723</v>
      </c>
      <c r="C11" s="81"/>
      <c r="D11" s="52"/>
      <c r="E11" s="53">
        <v>27</v>
      </c>
      <c r="F11" s="54">
        <v>113190</v>
      </c>
      <c r="G11" s="55">
        <f t="shared" si="0"/>
        <v>3811.1111111111113</v>
      </c>
      <c r="H11" s="54">
        <v>21930</v>
      </c>
      <c r="I11" s="56">
        <f t="shared" si="27"/>
        <v>738.37037037037032</v>
      </c>
      <c r="J11" s="57">
        <f t="shared" si="1"/>
        <v>135120</v>
      </c>
      <c r="K11" s="58">
        <f t="shared" si="2"/>
        <v>5004.4444444444443</v>
      </c>
      <c r="L11" s="59"/>
      <c r="M11" s="60">
        <f t="shared" si="3"/>
        <v>16</v>
      </c>
      <c r="N11" s="61">
        <f t="shared" si="3"/>
        <v>128480</v>
      </c>
      <c r="O11" s="55">
        <f t="shared" si="4"/>
        <v>7300</v>
      </c>
      <c r="P11" s="61">
        <f t="shared" si="5"/>
        <v>41170</v>
      </c>
      <c r="Q11" s="56">
        <f t="shared" si="6"/>
        <v>2339.1875</v>
      </c>
      <c r="R11" s="62">
        <f t="shared" si="7"/>
        <v>169650</v>
      </c>
      <c r="S11" s="58">
        <f t="shared" si="8"/>
        <v>10603.125</v>
      </c>
      <c r="T11" s="82">
        <f t="shared" si="9"/>
        <v>43</v>
      </c>
      <c r="U11" s="61">
        <f t="shared" si="9"/>
        <v>241670</v>
      </c>
      <c r="V11" s="61">
        <f t="shared" si="10"/>
        <v>63100</v>
      </c>
      <c r="W11" s="64">
        <f t="shared" si="11"/>
        <v>304770</v>
      </c>
      <c r="X11" s="83"/>
      <c r="Y11" s="65"/>
      <c r="Z11" s="66">
        <v>8</v>
      </c>
      <c r="AA11" s="54">
        <v>3300</v>
      </c>
      <c r="AB11" s="55">
        <f t="shared" si="12"/>
        <v>412.5</v>
      </c>
      <c r="AC11" s="54">
        <v>1000</v>
      </c>
      <c r="AD11" s="56">
        <f t="shared" si="13"/>
        <v>125</v>
      </c>
      <c r="AE11" s="67">
        <f t="shared" si="14"/>
        <v>4300</v>
      </c>
      <c r="AF11" s="58">
        <f t="shared" si="15"/>
        <v>537.5</v>
      </c>
      <c r="AG11" s="68"/>
      <c r="AH11" s="66"/>
      <c r="AI11" s="54"/>
      <c r="AJ11" s="55" t="e">
        <f t="shared" si="16"/>
        <v>#DIV/0!</v>
      </c>
      <c r="AK11" s="54"/>
      <c r="AL11" s="56" t="e">
        <f t="shared" si="17"/>
        <v>#DIV/0!</v>
      </c>
      <c r="AM11" s="67">
        <f t="shared" si="28"/>
        <v>0</v>
      </c>
      <c r="AN11" s="69" t="str">
        <f t="shared" si="18"/>
        <v/>
      </c>
      <c r="AO11" s="70"/>
      <c r="AP11" s="66"/>
      <c r="AQ11" s="54"/>
      <c r="AR11" s="55" t="e">
        <f t="shared" si="19"/>
        <v>#DIV/0!</v>
      </c>
      <c r="AS11" s="54"/>
      <c r="AT11" s="56" t="e">
        <f t="shared" si="20"/>
        <v>#DIV/0!</v>
      </c>
      <c r="AU11" s="56"/>
      <c r="AV11" s="56"/>
      <c r="AW11" s="71">
        <f t="shared" si="31"/>
        <v>0</v>
      </c>
      <c r="AX11" s="69" t="str">
        <f t="shared" si="21"/>
        <v/>
      </c>
      <c r="AY11" s="84">
        <f t="shared" si="22"/>
        <v>43</v>
      </c>
      <c r="AZ11" s="61">
        <f t="shared" si="23"/>
        <v>244970</v>
      </c>
      <c r="BA11" s="61">
        <f t="shared" si="24"/>
        <v>64100</v>
      </c>
      <c r="BB11" s="73">
        <f t="shared" ref="BB11:BB30" si="32">W11+AE11+AM11+AW11</f>
        <v>309070</v>
      </c>
      <c r="BC11" s="74">
        <f t="shared" si="30"/>
        <v>5500</v>
      </c>
      <c r="BD11" s="75">
        <v>43</v>
      </c>
      <c r="BE11" s="76">
        <v>241670</v>
      </c>
      <c r="BF11" s="76">
        <v>63100</v>
      </c>
      <c r="BG11" s="77">
        <v>5500</v>
      </c>
      <c r="BH11" s="77"/>
      <c r="BI11" s="77"/>
      <c r="BJ11" s="77"/>
      <c r="BK11" s="78">
        <f t="shared" si="29"/>
        <v>310270</v>
      </c>
      <c r="BL11" s="49">
        <v>7</v>
      </c>
      <c r="BM11" s="79">
        <f t="shared" si="25"/>
        <v>310270</v>
      </c>
    </row>
    <row r="12" spans="1:67" ht="20" customHeight="1">
      <c r="B12" s="80">
        <f t="shared" si="26"/>
        <v>45724</v>
      </c>
      <c r="C12" s="86"/>
      <c r="D12" s="52"/>
      <c r="E12" s="53">
        <v>30</v>
      </c>
      <c r="F12" s="54">
        <v>130020</v>
      </c>
      <c r="G12" s="55">
        <f t="shared" si="0"/>
        <v>3940</v>
      </c>
      <c r="H12" s="54">
        <v>24940</v>
      </c>
      <c r="I12" s="56">
        <f t="shared" si="27"/>
        <v>755.73333333333335</v>
      </c>
      <c r="J12" s="57">
        <f t="shared" si="1"/>
        <v>154960</v>
      </c>
      <c r="K12" s="58">
        <f t="shared" si="2"/>
        <v>5165.333333333333</v>
      </c>
      <c r="L12" s="59"/>
      <c r="M12" s="60">
        <f t="shared" si="3"/>
        <v>19</v>
      </c>
      <c r="N12" s="61">
        <f t="shared" si="3"/>
        <v>192060</v>
      </c>
      <c r="O12" s="55">
        <f t="shared" si="4"/>
        <v>9189.4736842105267</v>
      </c>
      <c r="P12" s="61">
        <f t="shared" si="5"/>
        <v>38330</v>
      </c>
      <c r="Q12" s="87">
        <f t="shared" si="6"/>
        <v>1833.9473684210527</v>
      </c>
      <c r="R12" s="62">
        <f t="shared" si="7"/>
        <v>230390</v>
      </c>
      <c r="S12" s="58">
        <f t="shared" si="8"/>
        <v>12125.78947368421</v>
      </c>
      <c r="T12" s="82">
        <f t="shared" si="9"/>
        <v>49</v>
      </c>
      <c r="U12" s="61">
        <f t="shared" si="9"/>
        <v>322080</v>
      </c>
      <c r="V12" s="61">
        <f t="shared" si="10"/>
        <v>63270</v>
      </c>
      <c r="W12" s="64">
        <f t="shared" si="11"/>
        <v>385350</v>
      </c>
      <c r="X12" s="83"/>
      <c r="Y12" s="65"/>
      <c r="Z12" s="66">
        <v>13</v>
      </c>
      <c r="AA12" s="54">
        <v>4100</v>
      </c>
      <c r="AB12" s="55">
        <f t="shared" si="12"/>
        <v>315.38461538461536</v>
      </c>
      <c r="AC12" s="54"/>
      <c r="AD12" s="56">
        <f t="shared" si="13"/>
        <v>0</v>
      </c>
      <c r="AE12" s="67">
        <f t="shared" si="14"/>
        <v>4100</v>
      </c>
      <c r="AF12" s="58">
        <f t="shared" si="15"/>
        <v>315.38461538461536</v>
      </c>
      <c r="AG12" s="68"/>
      <c r="AH12" s="66"/>
      <c r="AI12" s="54"/>
      <c r="AJ12" s="55" t="e">
        <f t="shared" si="16"/>
        <v>#DIV/0!</v>
      </c>
      <c r="AK12" s="54"/>
      <c r="AL12" s="56" t="e">
        <f t="shared" si="17"/>
        <v>#DIV/0!</v>
      </c>
      <c r="AM12" s="67">
        <f t="shared" si="28"/>
        <v>0</v>
      </c>
      <c r="AN12" s="69" t="str">
        <f t="shared" si="18"/>
        <v/>
      </c>
      <c r="AO12" s="70"/>
      <c r="AP12" s="66"/>
      <c r="AQ12" s="54"/>
      <c r="AR12" s="55" t="e">
        <f t="shared" si="19"/>
        <v>#DIV/0!</v>
      </c>
      <c r="AS12" s="54"/>
      <c r="AT12" s="56" t="e">
        <f t="shared" si="20"/>
        <v>#DIV/0!</v>
      </c>
      <c r="AU12" s="56"/>
      <c r="AV12" s="56"/>
      <c r="AW12" s="71">
        <f>AQ12+AS12+AU12+AV12</f>
        <v>0</v>
      </c>
      <c r="AX12" s="69" t="str">
        <f t="shared" si="21"/>
        <v/>
      </c>
      <c r="AY12" s="84">
        <f t="shared" si="22"/>
        <v>49</v>
      </c>
      <c r="AZ12" s="61">
        <f t="shared" si="23"/>
        <v>326180</v>
      </c>
      <c r="BA12" s="61">
        <f t="shared" si="24"/>
        <v>63270</v>
      </c>
      <c r="BB12" s="73">
        <f>W12+AE12+AM12+AW12-BN12</f>
        <v>389450</v>
      </c>
      <c r="BC12" s="74">
        <f t="shared" si="30"/>
        <v>4400</v>
      </c>
      <c r="BD12" s="75">
        <v>49</v>
      </c>
      <c r="BE12" s="76">
        <v>322080</v>
      </c>
      <c r="BF12" s="76">
        <v>63270</v>
      </c>
      <c r="BG12" s="77">
        <v>4400</v>
      </c>
      <c r="BH12" s="77"/>
      <c r="BI12" s="77"/>
      <c r="BJ12" s="77"/>
      <c r="BK12" s="78">
        <f t="shared" si="29"/>
        <v>389750</v>
      </c>
      <c r="BL12" s="49">
        <v>8</v>
      </c>
      <c r="BM12" s="79">
        <f t="shared" si="25"/>
        <v>389750</v>
      </c>
    </row>
    <row r="13" spans="1:67" ht="20" customHeight="1">
      <c r="B13" s="80">
        <f t="shared" si="26"/>
        <v>45725</v>
      </c>
      <c r="C13" s="81"/>
      <c r="D13" s="52"/>
      <c r="E13" s="53">
        <v>32</v>
      </c>
      <c r="F13" s="54">
        <v>152680</v>
      </c>
      <c r="G13" s="55">
        <f t="shared" si="0"/>
        <v>4337.5</v>
      </c>
      <c r="H13" s="54">
        <v>39320</v>
      </c>
      <c r="I13" s="56">
        <f t="shared" si="27"/>
        <v>1117.03125</v>
      </c>
      <c r="J13" s="57">
        <f t="shared" si="1"/>
        <v>192000</v>
      </c>
      <c r="K13" s="58">
        <f t="shared" si="2"/>
        <v>6000</v>
      </c>
      <c r="L13" s="59"/>
      <c r="M13" s="60">
        <f t="shared" si="3"/>
        <v>14</v>
      </c>
      <c r="N13" s="61">
        <f t="shared" si="3"/>
        <v>139700</v>
      </c>
      <c r="O13" s="55">
        <f t="shared" si="4"/>
        <v>9071.4285714285706</v>
      </c>
      <c r="P13" s="61">
        <f t="shared" si="5"/>
        <v>42540</v>
      </c>
      <c r="Q13" s="56">
        <f t="shared" si="6"/>
        <v>2762.2857142857142</v>
      </c>
      <c r="R13" s="62">
        <f t="shared" si="7"/>
        <v>182240</v>
      </c>
      <c r="S13" s="58">
        <f t="shared" si="8"/>
        <v>13017.142857142857</v>
      </c>
      <c r="T13" s="82">
        <f t="shared" si="9"/>
        <v>46</v>
      </c>
      <c r="U13" s="61">
        <f t="shared" si="9"/>
        <v>292380</v>
      </c>
      <c r="V13" s="61">
        <f t="shared" si="10"/>
        <v>81860</v>
      </c>
      <c r="W13" s="64">
        <f t="shared" si="11"/>
        <v>374240</v>
      </c>
      <c r="X13" s="83"/>
      <c r="Y13" s="65"/>
      <c r="Z13" s="66">
        <v>17</v>
      </c>
      <c r="AA13" s="54">
        <v>6500</v>
      </c>
      <c r="AB13" s="55">
        <f t="shared" si="12"/>
        <v>382.35294117647061</v>
      </c>
      <c r="AC13" s="54">
        <v>1300</v>
      </c>
      <c r="AD13" s="56">
        <f t="shared" si="13"/>
        <v>76.470588235294116</v>
      </c>
      <c r="AE13" s="67">
        <f t="shared" si="14"/>
        <v>7800</v>
      </c>
      <c r="AF13" s="58">
        <f t="shared" si="15"/>
        <v>458.8235294117647</v>
      </c>
      <c r="AG13" s="68"/>
      <c r="AH13" s="66"/>
      <c r="AI13" s="54"/>
      <c r="AJ13" s="55" t="e">
        <f t="shared" si="16"/>
        <v>#DIV/0!</v>
      </c>
      <c r="AK13" s="54"/>
      <c r="AL13" s="56" t="e">
        <f t="shared" si="17"/>
        <v>#DIV/0!</v>
      </c>
      <c r="AM13" s="67">
        <f t="shared" si="28"/>
        <v>0</v>
      </c>
      <c r="AN13" s="69" t="str">
        <f t="shared" si="18"/>
        <v/>
      </c>
      <c r="AO13" s="70"/>
      <c r="AP13" s="66"/>
      <c r="AQ13" s="54"/>
      <c r="AR13" s="55" t="e">
        <f t="shared" si="19"/>
        <v>#DIV/0!</v>
      </c>
      <c r="AS13" s="54"/>
      <c r="AT13" s="56" t="e">
        <f t="shared" si="20"/>
        <v>#DIV/0!</v>
      </c>
      <c r="AU13" s="56"/>
      <c r="AV13" s="56"/>
      <c r="AW13" s="71">
        <f>AQ13+AS13+AU13+AV13-BN13</f>
        <v>0</v>
      </c>
      <c r="AX13" s="69" t="str">
        <f t="shared" si="21"/>
        <v/>
      </c>
      <c r="AY13" s="84">
        <f t="shared" si="22"/>
        <v>46</v>
      </c>
      <c r="AZ13" s="61">
        <f t="shared" si="23"/>
        <v>298880</v>
      </c>
      <c r="BA13" s="61">
        <f t="shared" si="24"/>
        <v>83160</v>
      </c>
      <c r="BB13" s="73">
        <f t="shared" si="32"/>
        <v>382040</v>
      </c>
      <c r="BC13" s="74">
        <f t="shared" si="30"/>
        <v>9900</v>
      </c>
      <c r="BD13" s="75">
        <v>46</v>
      </c>
      <c r="BE13" s="76">
        <v>292380</v>
      </c>
      <c r="BF13" s="76">
        <v>81860</v>
      </c>
      <c r="BG13" s="77">
        <v>9900</v>
      </c>
      <c r="BH13" s="77"/>
      <c r="BI13" s="77">
        <v>3300</v>
      </c>
      <c r="BJ13" s="77"/>
      <c r="BK13" s="78">
        <f t="shared" si="29"/>
        <v>384140</v>
      </c>
      <c r="BL13" s="49">
        <v>9</v>
      </c>
      <c r="BM13" s="79">
        <f t="shared" si="25"/>
        <v>384140</v>
      </c>
    </row>
    <row r="14" spans="1:67" ht="20" customHeight="1">
      <c r="B14" s="80">
        <f t="shared" si="26"/>
        <v>45726</v>
      </c>
      <c r="C14" s="81"/>
      <c r="D14" s="52"/>
      <c r="E14" s="53">
        <v>28</v>
      </c>
      <c r="F14" s="54">
        <v>109340</v>
      </c>
      <c r="G14" s="55">
        <f t="shared" si="0"/>
        <v>3550</v>
      </c>
      <c r="H14" s="54">
        <v>8290</v>
      </c>
      <c r="I14" s="56">
        <f>ROUNDDOWN(H14/1.1,0)/E14</f>
        <v>269.14285714285717</v>
      </c>
      <c r="J14" s="57">
        <f t="shared" si="1"/>
        <v>117630</v>
      </c>
      <c r="K14" s="58">
        <f t="shared" si="2"/>
        <v>4201.0714285714284</v>
      </c>
      <c r="L14" s="59"/>
      <c r="M14" s="60">
        <f t="shared" si="3"/>
        <v>4</v>
      </c>
      <c r="N14" s="61">
        <f t="shared" si="3"/>
        <v>36960</v>
      </c>
      <c r="O14" s="55">
        <f t="shared" si="4"/>
        <v>8400</v>
      </c>
      <c r="P14" s="61">
        <f t="shared" si="5"/>
        <v>0</v>
      </c>
      <c r="Q14" s="56">
        <f t="shared" si="6"/>
        <v>0</v>
      </c>
      <c r="R14" s="62">
        <f t="shared" si="7"/>
        <v>36960</v>
      </c>
      <c r="S14" s="58">
        <f t="shared" si="8"/>
        <v>9240</v>
      </c>
      <c r="T14" s="82">
        <f t="shared" si="9"/>
        <v>32</v>
      </c>
      <c r="U14" s="61">
        <f t="shared" si="9"/>
        <v>146300</v>
      </c>
      <c r="V14" s="61">
        <f t="shared" si="10"/>
        <v>8290</v>
      </c>
      <c r="W14" s="64">
        <f t="shared" si="11"/>
        <v>154590</v>
      </c>
      <c r="X14" s="83"/>
      <c r="Y14" s="65"/>
      <c r="Z14" s="66">
        <v>4</v>
      </c>
      <c r="AA14" s="54">
        <v>1600</v>
      </c>
      <c r="AB14" s="55">
        <f t="shared" si="12"/>
        <v>400</v>
      </c>
      <c r="AC14" s="54">
        <v>1500</v>
      </c>
      <c r="AD14" s="56">
        <f t="shared" si="13"/>
        <v>375</v>
      </c>
      <c r="AE14" s="67">
        <f t="shared" si="14"/>
        <v>3100</v>
      </c>
      <c r="AF14" s="58">
        <f t="shared" si="15"/>
        <v>775</v>
      </c>
      <c r="AG14" s="68"/>
      <c r="AH14" s="66">
        <v>14</v>
      </c>
      <c r="AI14" s="54">
        <v>54810</v>
      </c>
      <c r="AJ14" s="55">
        <f t="shared" si="16"/>
        <v>3915</v>
      </c>
      <c r="AK14" s="54">
        <v>18270</v>
      </c>
      <c r="AL14" s="56">
        <f t="shared" si="17"/>
        <v>1305</v>
      </c>
      <c r="AM14" s="67">
        <f t="shared" si="28"/>
        <v>73080</v>
      </c>
      <c r="AN14" s="69">
        <f t="shared" si="18"/>
        <v>5220</v>
      </c>
      <c r="AO14" s="70"/>
      <c r="AP14" s="66"/>
      <c r="AQ14" s="54"/>
      <c r="AR14" s="55" t="e">
        <f t="shared" si="19"/>
        <v>#DIV/0!</v>
      </c>
      <c r="AS14" s="54"/>
      <c r="AT14" s="56" t="e">
        <f t="shared" si="20"/>
        <v>#DIV/0!</v>
      </c>
      <c r="AU14" s="56"/>
      <c r="AV14" s="56"/>
      <c r="AW14" s="71">
        <f t="shared" si="31"/>
        <v>0</v>
      </c>
      <c r="AX14" s="69" t="str">
        <f t="shared" si="21"/>
        <v/>
      </c>
      <c r="AY14" s="84">
        <f t="shared" si="22"/>
        <v>32</v>
      </c>
      <c r="AZ14" s="61">
        <f t="shared" si="23"/>
        <v>202710</v>
      </c>
      <c r="BA14" s="61">
        <f t="shared" si="24"/>
        <v>28060</v>
      </c>
      <c r="BB14" s="73">
        <f>W14+AE14+AM14+AW14-BN14</f>
        <v>230770</v>
      </c>
      <c r="BC14" s="74">
        <f t="shared" si="30"/>
        <v>2750</v>
      </c>
      <c r="BD14" s="75">
        <v>32</v>
      </c>
      <c r="BE14" s="76">
        <v>146300</v>
      </c>
      <c r="BF14" s="76">
        <v>8290</v>
      </c>
      <c r="BG14" s="77">
        <v>2750</v>
      </c>
      <c r="BH14" s="77"/>
      <c r="BI14" s="77"/>
      <c r="BJ14" s="77"/>
      <c r="BK14" s="78">
        <f t="shared" si="29"/>
        <v>157340</v>
      </c>
      <c r="BL14" s="49">
        <v>10</v>
      </c>
      <c r="BM14" s="79">
        <f t="shared" si="25"/>
        <v>157340</v>
      </c>
    </row>
    <row r="15" spans="1:67" ht="20" customHeight="1">
      <c r="B15" s="80">
        <f t="shared" si="26"/>
        <v>45727</v>
      </c>
      <c r="C15" s="86"/>
      <c r="D15" s="52"/>
      <c r="E15" s="53">
        <v>27</v>
      </c>
      <c r="F15" s="54">
        <v>99990</v>
      </c>
      <c r="G15" s="55">
        <f t="shared" si="0"/>
        <v>3366.6666666666665</v>
      </c>
      <c r="H15" s="54">
        <v>19400</v>
      </c>
      <c r="I15" s="56">
        <f t="shared" si="27"/>
        <v>653.18518518518522</v>
      </c>
      <c r="J15" s="57">
        <f t="shared" si="1"/>
        <v>119390</v>
      </c>
      <c r="K15" s="58">
        <f t="shared" si="2"/>
        <v>4421.8518518518522</v>
      </c>
      <c r="L15" s="59"/>
      <c r="M15" s="60">
        <f t="shared" si="3"/>
        <v>10</v>
      </c>
      <c r="N15" s="61">
        <f t="shared" si="3"/>
        <v>94270</v>
      </c>
      <c r="O15" s="55">
        <f t="shared" si="4"/>
        <v>8570</v>
      </c>
      <c r="P15" s="61">
        <f t="shared" si="5"/>
        <v>19290</v>
      </c>
      <c r="Q15" s="56">
        <f t="shared" si="6"/>
        <v>1753.6</v>
      </c>
      <c r="R15" s="62">
        <f t="shared" si="7"/>
        <v>113560</v>
      </c>
      <c r="S15" s="58">
        <f t="shared" si="8"/>
        <v>11356</v>
      </c>
      <c r="T15" s="82">
        <f t="shared" si="9"/>
        <v>37</v>
      </c>
      <c r="U15" s="61">
        <f t="shared" si="9"/>
        <v>194260</v>
      </c>
      <c r="V15" s="61">
        <f t="shared" si="10"/>
        <v>38690</v>
      </c>
      <c r="W15" s="64">
        <f t="shared" si="11"/>
        <v>232950</v>
      </c>
      <c r="X15" s="83"/>
      <c r="Y15" s="65"/>
      <c r="Z15" s="66">
        <v>9</v>
      </c>
      <c r="AA15" s="54">
        <v>3450</v>
      </c>
      <c r="AB15" s="55">
        <f t="shared" si="12"/>
        <v>383.33333333333331</v>
      </c>
      <c r="AC15" s="54">
        <v>1250</v>
      </c>
      <c r="AD15" s="56">
        <f t="shared" si="13"/>
        <v>138.88888888888889</v>
      </c>
      <c r="AE15" s="67">
        <f t="shared" si="14"/>
        <v>4700</v>
      </c>
      <c r="AF15" s="58">
        <f t="shared" si="15"/>
        <v>522.22222222222217</v>
      </c>
      <c r="AG15" s="68"/>
      <c r="AH15" s="66"/>
      <c r="AI15" s="54"/>
      <c r="AJ15" s="55" t="e">
        <f t="shared" si="16"/>
        <v>#DIV/0!</v>
      </c>
      <c r="AK15" s="54"/>
      <c r="AL15" s="56" t="e">
        <f t="shared" si="17"/>
        <v>#DIV/0!</v>
      </c>
      <c r="AM15" s="67">
        <f t="shared" si="28"/>
        <v>0</v>
      </c>
      <c r="AN15" s="69" t="str">
        <f t="shared" si="18"/>
        <v/>
      </c>
      <c r="AO15" s="70"/>
      <c r="AP15" s="66"/>
      <c r="AQ15" s="54"/>
      <c r="AR15" s="55" t="e">
        <f t="shared" si="19"/>
        <v>#DIV/0!</v>
      </c>
      <c r="AS15" s="54"/>
      <c r="AT15" s="56" t="e">
        <f t="shared" si="20"/>
        <v>#DIV/0!</v>
      </c>
      <c r="AU15" s="56"/>
      <c r="AV15" s="56"/>
      <c r="AW15" s="71">
        <f t="shared" si="31"/>
        <v>0</v>
      </c>
      <c r="AX15" s="69" t="str">
        <f t="shared" si="21"/>
        <v/>
      </c>
      <c r="AY15" s="84">
        <f t="shared" si="22"/>
        <v>37</v>
      </c>
      <c r="AZ15" s="61">
        <f t="shared" si="23"/>
        <v>197710</v>
      </c>
      <c r="BA15" s="61">
        <f t="shared" si="24"/>
        <v>39940</v>
      </c>
      <c r="BB15" s="73">
        <f>W15+AE15+AM15+AW15-BN15</f>
        <v>237650</v>
      </c>
      <c r="BC15" s="74">
        <f t="shared" si="30"/>
        <v>4400</v>
      </c>
      <c r="BD15" s="75">
        <v>37</v>
      </c>
      <c r="BE15" s="76">
        <v>194260</v>
      </c>
      <c r="BF15" s="76">
        <v>38690</v>
      </c>
      <c r="BG15" s="77">
        <v>4400</v>
      </c>
      <c r="BH15" s="77"/>
      <c r="BI15" s="77"/>
      <c r="BJ15" s="77"/>
      <c r="BK15" s="78">
        <f t="shared" si="29"/>
        <v>237350</v>
      </c>
      <c r="BL15" s="49">
        <v>11</v>
      </c>
      <c r="BM15" s="79">
        <f t="shared" si="25"/>
        <v>237350</v>
      </c>
    </row>
    <row r="16" spans="1:67" ht="20" customHeight="1">
      <c r="B16" s="80">
        <f t="shared" si="26"/>
        <v>45728</v>
      </c>
      <c r="C16" s="81"/>
      <c r="D16" s="52"/>
      <c r="E16" s="53">
        <v>25</v>
      </c>
      <c r="F16" s="54">
        <v>94050</v>
      </c>
      <c r="G16" s="55">
        <f t="shared" si="0"/>
        <v>3420</v>
      </c>
      <c r="H16" s="54">
        <v>8840</v>
      </c>
      <c r="I16" s="56">
        <f t="shared" si="27"/>
        <v>321.44</v>
      </c>
      <c r="J16" s="57">
        <f t="shared" si="1"/>
        <v>102890</v>
      </c>
      <c r="K16" s="58">
        <f t="shared" si="2"/>
        <v>4115.6000000000004</v>
      </c>
      <c r="L16" s="59"/>
      <c r="M16" s="60">
        <f t="shared" si="3"/>
        <v>13</v>
      </c>
      <c r="N16" s="61">
        <f t="shared" si="3"/>
        <v>126900</v>
      </c>
      <c r="O16" s="55">
        <f t="shared" si="4"/>
        <v>8874.0769230769238</v>
      </c>
      <c r="P16" s="61">
        <f t="shared" si="5"/>
        <v>24410</v>
      </c>
      <c r="Q16" s="56">
        <f t="shared" si="6"/>
        <v>1706.9230769230769</v>
      </c>
      <c r="R16" s="62">
        <f t="shared" si="7"/>
        <v>151310</v>
      </c>
      <c r="S16" s="58">
        <f t="shared" si="8"/>
        <v>11639.23076923077</v>
      </c>
      <c r="T16" s="82">
        <f t="shared" si="9"/>
        <v>38</v>
      </c>
      <c r="U16" s="61">
        <f t="shared" si="9"/>
        <v>220950</v>
      </c>
      <c r="V16" s="61">
        <f t="shared" si="10"/>
        <v>33250</v>
      </c>
      <c r="W16" s="64">
        <f t="shared" si="11"/>
        <v>254200</v>
      </c>
      <c r="X16" s="83"/>
      <c r="Y16" s="65"/>
      <c r="Z16" s="66">
        <v>10</v>
      </c>
      <c r="AA16" s="54">
        <v>2550</v>
      </c>
      <c r="AB16" s="55">
        <f t="shared" si="12"/>
        <v>255</v>
      </c>
      <c r="AC16" s="54"/>
      <c r="AD16" s="56">
        <f t="shared" si="13"/>
        <v>0</v>
      </c>
      <c r="AE16" s="67">
        <f t="shared" si="14"/>
        <v>2550</v>
      </c>
      <c r="AF16" s="58">
        <f t="shared" si="15"/>
        <v>255</v>
      </c>
      <c r="AG16" s="68"/>
      <c r="AH16" s="66"/>
      <c r="AI16" s="54"/>
      <c r="AJ16" s="55" t="e">
        <f t="shared" si="16"/>
        <v>#DIV/0!</v>
      </c>
      <c r="AK16" s="54"/>
      <c r="AL16" s="56" t="e">
        <f t="shared" si="17"/>
        <v>#DIV/0!</v>
      </c>
      <c r="AM16" s="67">
        <f t="shared" si="28"/>
        <v>0</v>
      </c>
      <c r="AN16" s="69" t="str">
        <f t="shared" si="18"/>
        <v/>
      </c>
      <c r="AO16" s="70"/>
      <c r="AP16" s="66"/>
      <c r="AQ16" s="54"/>
      <c r="AR16" s="55" t="e">
        <f t="shared" si="19"/>
        <v>#DIV/0!</v>
      </c>
      <c r="AS16" s="54"/>
      <c r="AT16" s="56" t="e">
        <f t="shared" si="20"/>
        <v>#DIV/0!</v>
      </c>
      <c r="AU16" s="56"/>
      <c r="AV16" s="56"/>
      <c r="AW16" s="71">
        <f t="shared" si="31"/>
        <v>0</v>
      </c>
      <c r="AX16" s="69" t="str">
        <f t="shared" si="21"/>
        <v/>
      </c>
      <c r="AY16" s="84">
        <f t="shared" si="22"/>
        <v>38</v>
      </c>
      <c r="AZ16" s="61">
        <f t="shared" si="23"/>
        <v>223500</v>
      </c>
      <c r="BA16" s="61">
        <f t="shared" si="24"/>
        <v>33250</v>
      </c>
      <c r="BB16" s="73">
        <f t="shared" si="32"/>
        <v>256750</v>
      </c>
      <c r="BC16" s="74">
        <f t="shared" si="30"/>
        <v>0</v>
      </c>
      <c r="BD16" s="75">
        <v>38</v>
      </c>
      <c r="BE16" s="76">
        <v>220950</v>
      </c>
      <c r="BF16" s="76">
        <v>33250</v>
      </c>
      <c r="BG16" s="77"/>
      <c r="BH16" s="77"/>
      <c r="BI16" s="77">
        <v>3300</v>
      </c>
      <c r="BJ16" s="77"/>
      <c r="BK16" s="78">
        <f t="shared" si="29"/>
        <v>254200</v>
      </c>
      <c r="BL16" s="49">
        <v>12</v>
      </c>
      <c r="BM16" s="79">
        <f t="shared" si="25"/>
        <v>254200</v>
      </c>
    </row>
    <row r="17" spans="2:67" ht="20" customHeight="1">
      <c r="B17" s="80">
        <f t="shared" si="26"/>
        <v>45729</v>
      </c>
      <c r="C17" s="86"/>
      <c r="D17" s="52"/>
      <c r="E17" s="53">
        <v>24</v>
      </c>
      <c r="F17" s="54">
        <v>91300</v>
      </c>
      <c r="G17" s="55">
        <f t="shared" si="0"/>
        <v>3458.3333333333335</v>
      </c>
      <c r="H17" s="54">
        <v>6400</v>
      </c>
      <c r="I17" s="56">
        <f t="shared" si="27"/>
        <v>242.41666666666666</v>
      </c>
      <c r="J17" s="57">
        <f t="shared" si="1"/>
        <v>97700</v>
      </c>
      <c r="K17" s="58">
        <f t="shared" si="2"/>
        <v>4070.8333333333335</v>
      </c>
      <c r="L17" s="59"/>
      <c r="M17" s="60">
        <f t="shared" si="3"/>
        <v>23</v>
      </c>
      <c r="N17" s="61">
        <f t="shared" si="3"/>
        <v>220440</v>
      </c>
      <c r="O17" s="55">
        <f t="shared" si="4"/>
        <v>8713.04347826087</v>
      </c>
      <c r="P17" s="61">
        <f t="shared" si="5"/>
        <v>66830</v>
      </c>
      <c r="Q17" s="56">
        <f t="shared" si="6"/>
        <v>2641.478260869565</v>
      </c>
      <c r="R17" s="62">
        <f t="shared" si="7"/>
        <v>287270</v>
      </c>
      <c r="S17" s="58">
        <f t="shared" si="8"/>
        <v>12490</v>
      </c>
      <c r="T17" s="82">
        <f>E17+M17</f>
        <v>47</v>
      </c>
      <c r="U17" s="61">
        <f t="shared" si="9"/>
        <v>311740</v>
      </c>
      <c r="V17" s="61">
        <f t="shared" si="10"/>
        <v>73230</v>
      </c>
      <c r="W17" s="64">
        <f t="shared" si="11"/>
        <v>384970</v>
      </c>
      <c r="X17" s="83"/>
      <c r="Y17" s="65"/>
      <c r="Z17" s="66">
        <v>17</v>
      </c>
      <c r="AA17" s="54">
        <v>7150</v>
      </c>
      <c r="AB17" s="55">
        <f t="shared" si="12"/>
        <v>420.58823529411762</v>
      </c>
      <c r="AC17" s="54">
        <v>4300</v>
      </c>
      <c r="AD17" s="56">
        <f t="shared" si="13"/>
        <v>252.94117647058823</v>
      </c>
      <c r="AE17" s="67">
        <f t="shared" si="14"/>
        <v>11450</v>
      </c>
      <c r="AF17" s="58">
        <f t="shared" si="15"/>
        <v>673.52941176470586</v>
      </c>
      <c r="AG17" s="68"/>
      <c r="AH17" s="66"/>
      <c r="AI17" s="54"/>
      <c r="AJ17" s="55" t="e">
        <f t="shared" si="16"/>
        <v>#DIV/0!</v>
      </c>
      <c r="AK17" s="54"/>
      <c r="AL17" s="56" t="e">
        <f t="shared" si="17"/>
        <v>#DIV/0!</v>
      </c>
      <c r="AM17" s="67">
        <f t="shared" si="28"/>
        <v>0</v>
      </c>
      <c r="AN17" s="69" t="str">
        <f t="shared" si="18"/>
        <v/>
      </c>
      <c r="AO17" s="70"/>
      <c r="AP17" s="66"/>
      <c r="AQ17" s="54"/>
      <c r="AR17" s="55" t="e">
        <f t="shared" si="19"/>
        <v>#DIV/0!</v>
      </c>
      <c r="AS17" s="54"/>
      <c r="AT17" s="56" t="e">
        <f t="shared" si="20"/>
        <v>#DIV/0!</v>
      </c>
      <c r="AU17" s="56"/>
      <c r="AV17" s="56"/>
      <c r="AW17" s="71">
        <f>AQ17+AS17+AU17+AV17</f>
        <v>0</v>
      </c>
      <c r="AX17" s="69" t="str">
        <f t="shared" si="21"/>
        <v/>
      </c>
      <c r="AY17" s="84">
        <f t="shared" si="22"/>
        <v>47</v>
      </c>
      <c r="AZ17" s="61">
        <f t="shared" si="23"/>
        <v>318890</v>
      </c>
      <c r="BA17" s="61">
        <f t="shared" si="24"/>
        <v>77530</v>
      </c>
      <c r="BB17" s="73">
        <f>W17+AE17+AM17+AW17-BN17</f>
        <v>396420</v>
      </c>
      <c r="BC17" s="74">
        <f t="shared" si="30"/>
        <v>0</v>
      </c>
      <c r="BD17" s="75">
        <v>47</v>
      </c>
      <c r="BE17" s="76">
        <v>311740</v>
      </c>
      <c r="BF17" s="76">
        <v>73230</v>
      </c>
      <c r="BG17" s="77"/>
      <c r="BH17" s="77"/>
      <c r="BI17" s="77"/>
      <c r="BJ17" s="77"/>
      <c r="BK17" s="78">
        <f t="shared" si="29"/>
        <v>384970</v>
      </c>
      <c r="BL17" s="49">
        <v>13</v>
      </c>
      <c r="BM17" s="79">
        <f t="shared" si="25"/>
        <v>384970</v>
      </c>
    </row>
    <row r="18" spans="2:67" ht="20" customHeight="1">
      <c r="B18" s="80">
        <f t="shared" si="26"/>
        <v>45730</v>
      </c>
      <c r="C18" s="81"/>
      <c r="D18" s="52"/>
      <c r="E18" s="53">
        <v>19</v>
      </c>
      <c r="F18" s="54">
        <v>75020</v>
      </c>
      <c r="G18" s="55">
        <f t="shared" si="0"/>
        <v>3589.4736842105262</v>
      </c>
      <c r="H18" s="54">
        <v>11420</v>
      </c>
      <c r="I18" s="56">
        <f t="shared" si="27"/>
        <v>546.36842105263156</v>
      </c>
      <c r="J18" s="57">
        <f t="shared" si="1"/>
        <v>86440</v>
      </c>
      <c r="K18" s="58">
        <f t="shared" si="2"/>
        <v>4549.4736842105267</v>
      </c>
      <c r="L18" s="59"/>
      <c r="M18" s="60">
        <f t="shared" si="3"/>
        <v>25</v>
      </c>
      <c r="N18" s="61">
        <f t="shared" si="3"/>
        <v>217690</v>
      </c>
      <c r="O18" s="55">
        <f t="shared" si="4"/>
        <v>7916</v>
      </c>
      <c r="P18" s="61">
        <f t="shared" si="5"/>
        <v>52330</v>
      </c>
      <c r="Q18" s="56">
        <f t="shared" si="6"/>
        <v>1902.88</v>
      </c>
      <c r="R18" s="62">
        <f t="shared" si="7"/>
        <v>270020</v>
      </c>
      <c r="S18" s="58">
        <f t="shared" si="8"/>
        <v>10800.8</v>
      </c>
      <c r="T18" s="82">
        <f t="shared" si="9"/>
        <v>44</v>
      </c>
      <c r="U18" s="61">
        <f t="shared" si="9"/>
        <v>292710</v>
      </c>
      <c r="V18" s="61">
        <f t="shared" si="10"/>
        <v>63750</v>
      </c>
      <c r="W18" s="64">
        <f t="shared" si="11"/>
        <v>356460</v>
      </c>
      <c r="X18" s="83"/>
      <c r="Y18" s="65"/>
      <c r="Z18" s="66">
        <v>2</v>
      </c>
      <c r="AA18" s="54">
        <v>700</v>
      </c>
      <c r="AB18" s="55">
        <f t="shared" si="12"/>
        <v>350</v>
      </c>
      <c r="AC18" s="54"/>
      <c r="AD18" s="56">
        <f t="shared" si="13"/>
        <v>0</v>
      </c>
      <c r="AE18" s="67">
        <f t="shared" si="14"/>
        <v>700</v>
      </c>
      <c r="AF18" s="58">
        <f t="shared" si="15"/>
        <v>350</v>
      </c>
      <c r="AG18" s="68"/>
      <c r="AH18" s="66"/>
      <c r="AI18" s="54"/>
      <c r="AJ18" s="55" t="e">
        <f t="shared" si="16"/>
        <v>#DIV/0!</v>
      </c>
      <c r="AK18" s="54"/>
      <c r="AL18" s="56" t="e">
        <f t="shared" si="17"/>
        <v>#DIV/0!</v>
      </c>
      <c r="AM18" s="67">
        <f t="shared" si="28"/>
        <v>0</v>
      </c>
      <c r="AN18" s="69" t="str">
        <f t="shared" si="18"/>
        <v/>
      </c>
      <c r="AO18" s="70"/>
      <c r="AP18" s="66"/>
      <c r="AQ18" s="54"/>
      <c r="AR18" s="55" t="e">
        <f t="shared" si="19"/>
        <v>#DIV/0!</v>
      </c>
      <c r="AS18" s="54"/>
      <c r="AT18" s="56" t="e">
        <f t="shared" si="20"/>
        <v>#DIV/0!</v>
      </c>
      <c r="AU18" s="56"/>
      <c r="AV18" s="56"/>
      <c r="AW18" s="71">
        <f t="shared" ref="AW18:AW35" si="33">AQ18+AS18+AU18+AV18</f>
        <v>0</v>
      </c>
      <c r="AX18" s="69" t="str">
        <f t="shared" si="21"/>
        <v/>
      </c>
      <c r="AY18" s="84">
        <f t="shared" si="22"/>
        <v>44</v>
      </c>
      <c r="AZ18" s="61">
        <f t="shared" si="23"/>
        <v>293410</v>
      </c>
      <c r="BA18" s="61">
        <f t="shared" si="24"/>
        <v>63750</v>
      </c>
      <c r="BB18" s="73">
        <f>W18+AE18+AM18+AW18-BN18</f>
        <v>357160</v>
      </c>
      <c r="BC18" s="74">
        <f t="shared" si="30"/>
        <v>3850</v>
      </c>
      <c r="BD18" s="75">
        <v>44</v>
      </c>
      <c r="BE18" s="76">
        <v>292710</v>
      </c>
      <c r="BF18" s="76">
        <v>63750</v>
      </c>
      <c r="BG18" s="77">
        <v>3850</v>
      </c>
      <c r="BH18" s="77"/>
      <c r="BI18" s="77"/>
      <c r="BJ18" s="77"/>
      <c r="BK18" s="78">
        <f t="shared" si="29"/>
        <v>360310</v>
      </c>
      <c r="BL18" s="49">
        <v>14</v>
      </c>
      <c r="BM18" s="79">
        <f t="shared" si="25"/>
        <v>360310</v>
      </c>
    </row>
    <row r="19" spans="2:67" ht="20" customHeight="1">
      <c r="B19" s="80">
        <f t="shared" si="26"/>
        <v>45731</v>
      </c>
      <c r="C19" s="81"/>
      <c r="D19" s="52"/>
      <c r="E19" s="53">
        <v>31</v>
      </c>
      <c r="F19" s="54">
        <v>128810</v>
      </c>
      <c r="G19" s="55">
        <f t="shared" si="0"/>
        <v>3777.4193548387098</v>
      </c>
      <c r="H19" s="54">
        <v>39460</v>
      </c>
      <c r="I19" s="56">
        <f t="shared" si="27"/>
        <v>1157.1612903225807</v>
      </c>
      <c r="J19" s="57">
        <f t="shared" si="1"/>
        <v>168270</v>
      </c>
      <c r="K19" s="58">
        <f t="shared" si="2"/>
        <v>5428.0645161290322</v>
      </c>
      <c r="L19" s="59"/>
      <c r="M19" s="60">
        <f t="shared" si="3"/>
        <v>34</v>
      </c>
      <c r="N19" s="61">
        <f t="shared" si="3"/>
        <v>349910</v>
      </c>
      <c r="O19" s="55">
        <f t="shared" si="4"/>
        <v>9355.8823529411766</v>
      </c>
      <c r="P19" s="61">
        <f t="shared" si="5"/>
        <v>70760</v>
      </c>
      <c r="Q19" s="87">
        <f t="shared" si="6"/>
        <v>1891.9705882352941</v>
      </c>
      <c r="R19" s="62">
        <f t="shared" si="7"/>
        <v>420670</v>
      </c>
      <c r="S19" s="58">
        <f t="shared" si="8"/>
        <v>12372.64705882353</v>
      </c>
      <c r="T19" s="82">
        <f t="shared" si="9"/>
        <v>65</v>
      </c>
      <c r="U19" s="61">
        <f t="shared" si="9"/>
        <v>478720</v>
      </c>
      <c r="V19" s="61">
        <f t="shared" si="10"/>
        <v>110220</v>
      </c>
      <c r="W19" s="64">
        <f t="shared" si="11"/>
        <v>588940</v>
      </c>
      <c r="X19" s="83"/>
      <c r="Y19" s="65"/>
      <c r="Z19" s="66">
        <v>17</v>
      </c>
      <c r="AA19" s="54">
        <v>3950</v>
      </c>
      <c r="AB19" s="55">
        <f t="shared" si="12"/>
        <v>232.35294117647058</v>
      </c>
      <c r="AC19" s="54">
        <v>0</v>
      </c>
      <c r="AD19" s="56">
        <f t="shared" si="13"/>
        <v>0</v>
      </c>
      <c r="AE19" s="67">
        <f t="shared" si="14"/>
        <v>3950</v>
      </c>
      <c r="AF19" s="58">
        <f t="shared" si="15"/>
        <v>232.35294117647058</v>
      </c>
      <c r="AG19" s="68"/>
      <c r="AH19" s="66">
        <v>12</v>
      </c>
      <c r="AI19" s="54">
        <v>46980</v>
      </c>
      <c r="AJ19" s="55">
        <f t="shared" si="16"/>
        <v>3915</v>
      </c>
      <c r="AK19" s="54">
        <v>15660</v>
      </c>
      <c r="AL19" s="56">
        <f t="shared" si="17"/>
        <v>1305</v>
      </c>
      <c r="AM19" s="67">
        <f t="shared" si="28"/>
        <v>62640</v>
      </c>
      <c r="AN19" s="69">
        <f t="shared" si="18"/>
        <v>5220</v>
      </c>
      <c r="AO19" s="70"/>
      <c r="AP19" s="66"/>
      <c r="AQ19" s="54"/>
      <c r="AR19" s="55" t="e">
        <f t="shared" si="19"/>
        <v>#DIV/0!</v>
      </c>
      <c r="AS19" s="54"/>
      <c r="AT19" s="56" t="e">
        <f t="shared" si="20"/>
        <v>#DIV/0!</v>
      </c>
      <c r="AU19" s="56"/>
      <c r="AV19" s="56"/>
      <c r="AW19" s="71">
        <f>AQ19+AS19+AU19+AV19-BN19</f>
        <v>0</v>
      </c>
      <c r="AX19" s="69" t="str">
        <f t="shared" si="21"/>
        <v/>
      </c>
      <c r="AY19" s="84">
        <f t="shared" si="22"/>
        <v>65</v>
      </c>
      <c r="AZ19" s="61">
        <f t="shared" si="23"/>
        <v>529650</v>
      </c>
      <c r="BA19" s="61">
        <f t="shared" si="24"/>
        <v>125880</v>
      </c>
      <c r="BB19" s="73">
        <f>W19+AE19+AM19+AW19-BN19</f>
        <v>655530</v>
      </c>
      <c r="BC19" s="74">
        <f t="shared" si="30"/>
        <v>11000</v>
      </c>
      <c r="BD19" s="75">
        <v>65</v>
      </c>
      <c r="BE19" s="76">
        <v>478720</v>
      </c>
      <c r="BF19" s="76">
        <v>110220</v>
      </c>
      <c r="BG19" s="77">
        <v>11000</v>
      </c>
      <c r="BH19" s="77"/>
      <c r="BI19" s="77"/>
      <c r="BJ19" s="77"/>
      <c r="BK19" s="78">
        <f t="shared" si="29"/>
        <v>599940</v>
      </c>
      <c r="BL19" s="49">
        <v>15</v>
      </c>
      <c r="BM19" s="79">
        <f t="shared" si="25"/>
        <v>599940</v>
      </c>
    </row>
    <row r="20" spans="2:67" ht="20" customHeight="1">
      <c r="B20" s="80">
        <f t="shared" si="26"/>
        <v>45732</v>
      </c>
      <c r="C20" s="81"/>
      <c r="D20" s="52"/>
      <c r="E20" s="53">
        <v>25</v>
      </c>
      <c r="F20" s="54">
        <v>105270</v>
      </c>
      <c r="G20" s="55">
        <f t="shared" si="0"/>
        <v>3828</v>
      </c>
      <c r="H20" s="54">
        <v>20090</v>
      </c>
      <c r="I20" s="56">
        <f t="shared" si="27"/>
        <v>730.52</v>
      </c>
      <c r="J20" s="57">
        <f t="shared" si="1"/>
        <v>125360</v>
      </c>
      <c r="K20" s="58">
        <f t="shared" si="2"/>
        <v>5014.3999999999996</v>
      </c>
      <c r="L20" s="59"/>
      <c r="M20" s="60">
        <f t="shared" si="3"/>
        <v>14</v>
      </c>
      <c r="N20" s="61">
        <f t="shared" si="3"/>
        <v>136070</v>
      </c>
      <c r="O20" s="55">
        <f t="shared" si="4"/>
        <v>8835.7142857142862</v>
      </c>
      <c r="P20" s="61">
        <f t="shared" si="5"/>
        <v>35590</v>
      </c>
      <c r="Q20" s="87">
        <f t="shared" si="6"/>
        <v>2311</v>
      </c>
      <c r="R20" s="62">
        <f t="shared" si="7"/>
        <v>171660</v>
      </c>
      <c r="S20" s="58">
        <f t="shared" si="8"/>
        <v>12261.428571428571</v>
      </c>
      <c r="T20" s="82">
        <f t="shared" si="9"/>
        <v>39</v>
      </c>
      <c r="U20" s="61">
        <f t="shared" si="9"/>
        <v>241340</v>
      </c>
      <c r="V20" s="61">
        <f t="shared" si="10"/>
        <v>55680</v>
      </c>
      <c r="W20" s="64">
        <f t="shared" si="11"/>
        <v>297020</v>
      </c>
      <c r="X20" s="83"/>
      <c r="Y20" s="65"/>
      <c r="Z20" s="66">
        <v>16</v>
      </c>
      <c r="AA20" s="54">
        <v>5600</v>
      </c>
      <c r="AB20" s="55">
        <f t="shared" si="12"/>
        <v>350</v>
      </c>
      <c r="AC20" s="54">
        <v>3700</v>
      </c>
      <c r="AD20" s="56">
        <f t="shared" si="13"/>
        <v>231.25</v>
      </c>
      <c r="AE20" s="67">
        <f t="shared" si="14"/>
        <v>9300</v>
      </c>
      <c r="AF20" s="58">
        <f t="shared" si="15"/>
        <v>581.25</v>
      </c>
      <c r="AG20" s="68"/>
      <c r="AH20" s="66"/>
      <c r="AI20" s="54"/>
      <c r="AJ20" s="55" t="e">
        <f t="shared" si="16"/>
        <v>#DIV/0!</v>
      </c>
      <c r="AK20" s="54"/>
      <c r="AL20" s="56" t="e">
        <f t="shared" si="17"/>
        <v>#DIV/0!</v>
      </c>
      <c r="AM20" s="67">
        <f t="shared" si="28"/>
        <v>0</v>
      </c>
      <c r="AN20" s="69" t="str">
        <f t="shared" si="18"/>
        <v/>
      </c>
      <c r="AO20" s="70"/>
      <c r="AP20" s="66"/>
      <c r="AQ20" s="54"/>
      <c r="AR20" s="55" t="e">
        <f t="shared" si="19"/>
        <v>#DIV/0!</v>
      </c>
      <c r="AS20" s="54"/>
      <c r="AT20" s="56" t="e">
        <f t="shared" si="20"/>
        <v>#DIV/0!</v>
      </c>
      <c r="AU20" s="56"/>
      <c r="AV20" s="56"/>
      <c r="AW20" s="71">
        <f t="shared" si="33"/>
        <v>0</v>
      </c>
      <c r="AX20" s="69" t="str">
        <f t="shared" si="21"/>
        <v/>
      </c>
      <c r="AY20" s="84">
        <f t="shared" si="22"/>
        <v>39</v>
      </c>
      <c r="AZ20" s="61">
        <f t="shared" si="23"/>
        <v>246940</v>
      </c>
      <c r="BA20" s="61">
        <f t="shared" si="24"/>
        <v>59380</v>
      </c>
      <c r="BB20" s="73">
        <f>W20+AE20+AM20+AW20</f>
        <v>306320</v>
      </c>
      <c r="BC20" s="74">
        <f t="shared" si="30"/>
        <v>4950</v>
      </c>
      <c r="BD20" s="75">
        <v>39</v>
      </c>
      <c r="BE20" s="76">
        <v>241340</v>
      </c>
      <c r="BF20" s="76">
        <v>55680</v>
      </c>
      <c r="BG20" s="77">
        <v>4950</v>
      </c>
      <c r="BH20" s="77"/>
      <c r="BI20" s="77"/>
      <c r="BJ20" s="77"/>
      <c r="BK20" s="78">
        <f t="shared" si="29"/>
        <v>301970</v>
      </c>
      <c r="BL20" s="49">
        <v>16</v>
      </c>
      <c r="BM20" s="79">
        <f t="shared" si="25"/>
        <v>301970</v>
      </c>
    </row>
    <row r="21" spans="2:67" ht="20" customHeight="1">
      <c r="B21" s="80">
        <f t="shared" si="26"/>
        <v>45733</v>
      </c>
      <c r="C21" s="81"/>
      <c r="D21" s="52"/>
      <c r="E21" s="53">
        <v>20</v>
      </c>
      <c r="F21" s="54">
        <v>81070</v>
      </c>
      <c r="G21" s="55">
        <f>ROUNDDOWN(F21/1.1,0)/E21</f>
        <v>3685</v>
      </c>
      <c r="H21" s="54">
        <v>11700</v>
      </c>
      <c r="I21" s="56">
        <f t="shared" si="27"/>
        <v>531.79999999999995</v>
      </c>
      <c r="J21" s="57">
        <f t="shared" si="1"/>
        <v>92770</v>
      </c>
      <c r="K21" s="58">
        <f t="shared" si="2"/>
        <v>4638.5</v>
      </c>
      <c r="L21" s="59"/>
      <c r="M21" s="60">
        <f t="shared" si="3"/>
        <v>15</v>
      </c>
      <c r="N21" s="61">
        <f t="shared" si="3"/>
        <v>120560</v>
      </c>
      <c r="O21" s="55">
        <f t="shared" si="4"/>
        <v>7306.666666666667</v>
      </c>
      <c r="P21" s="61">
        <f t="shared" si="5"/>
        <v>23620</v>
      </c>
      <c r="Q21" s="87">
        <f t="shared" si="6"/>
        <v>1431.4666666666667</v>
      </c>
      <c r="R21" s="62">
        <f>N21+P21</f>
        <v>144180</v>
      </c>
      <c r="S21" s="58">
        <f t="shared" si="8"/>
        <v>9612</v>
      </c>
      <c r="T21" s="82">
        <f t="shared" si="9"/>
        <v>35</v>
      </c>
      <c r="U21" s="61">
        <f t="shared" si="9"/>
        <v>201630</v>
      </c>
      <c r="V21" s="61">
        <f t="shared" si="10"/>
        <v>35320</v>
      </c>
      <c r="W21" s="64">
        <f t="shared" si="11"/>
        <v>236950</v>
      </c>
      <c r="X21" s="83"/>
      <c r="Y21" s="65"/>
      <c r="Z21" s="66">
        <v>21</v>
      </c>
      <c r="AA21" s="54">
        <v>8950</v>
      </c>
      <c r="AB21" s="55">
        <f t="shared" si="12"/>
        <v>426.1904761904762</v>
      </c>
      <c r="AC21" s="54">
        <v>5600</v>
      </c>
      <c r="AD21" s="56">
        <f t="shared" si="13"/>
        <v>266.66666666666669</v>
      </c>
      <c r="AE21" s="67">
        <f t="shared" si="14"/>
        <v>14550</v>
      </c>
      <c r="AF21" s="58">
        <f t="shared" si="15"/>
        <v>692.85714285714289</v>
      </c>
      <c r="AG21" s="68"/>
      <c r="AH21" s="66">
        <v>15</v>
      </c>
      <c r="AI21" s="54">
        <v>58725</v>
      </c>
      <c r="AJ21" s="55">
        <f t="shared" si="16"/>
        <v>3915</v>
      </c>
      <c r="AK21" s="54">
        <v>19575</v>
      </c>
      <c r="AL21" s="56">
        <f t="shared" si="17"/>
        <v>1305</v>
      </c>
      <c r="AM21" s="67">
        <f t="shared" si="28"/>
        <v>78300</v>
      </c>
      <c r="AN21" s="69">
        <f t="shared" si="18"/>
        <v>5220</v>
      </c>
      <c r="AO21" s="70"/>
      <c r="AP21" s="66"/>
      <c r="AQ21" s="54"/>
      <c r="AR21" s="55" t="e">
        <f t="shared" si="19"/>
        <v>#DIV/0!</v>
      </c>
      <c r="AS21" s="54"/>
      <c r="AT21" s="56" t="e">
        <f t="shared" si="20"/>
        <v>#DIV/0!</v>
      </c>
      <c r="AU21" s="56"/>
      <c r="AV21" s="56"/>
      <c r="AW21" s="71">
        <f t="shared" si="33"/>
        <v>0</v>
      </c>
      <c r="AX21" s="69" t="str">
        <f t="shared" si="21"/>
        <v/>
      </c>
      <c r="AY21" s="84">
        <f t="shared" si="22"/>
        <v>35</v>
      </c>
      <c r="AZ21" s="61">
        <f t="shared" si="23"/>
        <v>269305</v>
      </c>
      <c r="BA21" s="61">
        <f t="shared" si="24"/>
        <v>60495</v>
      </c>
      <c r="BB21" s="73">
        <f>W21+AE21+AM21+AW21</f>
        <v>329800</v>
      </c>
      <c r="BC21" s="74">
        <f t="shared" si="30"/>
        <v>2200</v>
      </c>
      <c r="BD21" s="75">
        <v>35</v>
      </c>
      <c r="BE21" s="76">
        <v>201630</v>
      </c>
      <c r="BF21" s="76">
        <v>35320</v>
      </c>
      <c r="BG21" s="77">
        <v>2200</v>
      </c>
      <c r="BH21" s="77"/>
      <c r="BI21" s="77"/>
      <c r="BJ21" s="77"/>
      <c r="BK21" s="78">
        <f t="shared" si="29"/>
        <v>239150</v>
      </c>
      <c r="BL21" s="49">
        <v>17</v>
      </c>
      <c r="BM21" s="79">
        <f t="shared" si="25"/>
        <v>239150</v>
      </c>
    </row>
    <row r="22" spans="2:67" ht="20" customHeight="1">
      <c r="B22" s="80">
        <f t="shared" si="26"/>
        <v>45734</v>
      </c>
      <c r="C22" s="81"/>
      <c r="D22" s="52"/>
      <c r="E22" s="53">
        <v>26</v>
      </c>
      <c r="F22" s="54">
        <v>97460</v>
      </c>
      <c r="G22" s="55">
        <f t="shared" si="0"/>
        <v>3407.6923076923076</v>
      </c>
      <c r="H22" s="54">
        <v>16000</v>
      </c>
      <c r="I22" s="56">
        <f t="shared" si="27"/>
        <v>559.42307692307691</v>
      </c>
      <c r="J22" s="57">
        <f t="shared" si="1"/>
        <v>113460</v>
      </c>
      <c r="K22" s="58">
        <f t="shared" si="2"/>
        <v>4363.8461538461543</v>
      </c>
      <c r="L22" s="59"/>
      <c r="M22" s="60">
        <f t="shared" si="3"/>
        <v>12</v>
      </c>
      <c r="N22" s="61">
        <f t="shared" si="3"/>
        <v>119130</v>
      </c>
      <c r="O22" s="55">
        <f t="shared" si="4"/>
        <v>9025</v>
      </c>
      <c r="P22" s="61">
        <f t="shared" si="5"/>
        <v>23860</v>
      </c>
      <c r="Q22" s="87">
        <f t="shared" si="6"/>
        <v>1807.5</v>
      </c>
      <c r="R22" s="62">
        <f t="shared" si="7"/>
        <v>142990</v>
      </c>
      <c r="S22" s="58">
        <f t="shared" si="8"/>
        <v>11915.833333333334</v>
      </c>
      <c r="T22" s="82">
        <f t="shared" si="9"/>
        <v>38</v>
      </c>
      <c r="U22" s="61">
        <f t="shared" si="9"/>
        <v>216590</v>
      </c>
      <c r="V22" s="61">
        <f t="shared" si="10"/>
        <v>39860</v>
      </c>
      <c r="W22" s="64">
        <f t="shared" si="11"/>
        <v>256450</v>
      </c>
      <c r="X22" s="83"/>
      <c r="Y22" s="65"/>
      <c r="Z22" s="66">
        <v>19</v>
      </c>
      <c r="AA22" s="54">
        <v>8750</v>
      </c>
      <c r="AB22" s="55">
        <f t="shared" si="12"/>
        <v>460.5263157894737</v>
      </c>
      <c r="AC22" s="54">
        <v>2750</v>
      </c>
      <c r="AD22" s="56">
        <f t="shared" si="13"/>
        <v>144.73684210526315</v>
      </c>
      <c r="AE22" s="67">
        <f t="shared" si="14"/>
        <v>11500</v>
      </c>
      <c r="AF22" s="58">
        <f t="shared" si="15"/>
        <v>605.26315789473688</v>
      </c>
      <c r="AG22" s="68"/>
      <c r="AH22" s="66">
        <v>30</v>
      </c>
      <c r="AI22" s="54">
        <v>117450</v>
      </c>
      <c r="AJ22" s="55">
        <f t="shared" si="16"/>
        <v>3915</v>
      </c>
      <c r="AK22" s="54">
        <v>39150</v>
      </c>
      <c r="AL22" s="56">
        <f t="shared" si="17"/>
        <v>1305</v>
      </c>
      <c r="AM22" s="67">
        <f t="shared" si="28"/>
        <v>156600</v>
      </c>
      <c r="AN22" s="69">
        <f t="shared" si="18"/>
        <v>5220</v>
      </c>
      <c r="AO22" s="70"/>
      <c r="AP22" s="66"/>
      <c r="AQ22" s="54"/>
      <c r="AR22" s="55" t="e">
        <f t="shared" si="19"/>
        <v>#DIV/0!</v>
      </c>
      <c r="AS22" s="54"/>
      <c r="AT22" s="56" t="e">
        <f t="shared" si="20"/>
        <v>#DIV/0!</v>
      </c>
      <c r="AU22" s="56"/>
      <c r="AV22" s="56"/>
      <c r="AW22" s="71">
        <f t="shared" si="33"/>
        <v>0</v>
      </c>
      <c r="AX22" s="69" t="str">
        <f t="shared" si="21"/>
        <v/>
      </c>
      <c r="AY22" s="84">
        <f t="shared" si="22"/>
        <v>38</v>
      </c>
      <c r="AZ22" s="61">
        <f t="shared" si="23"/>
        <v>342790</v>
      </c>
      <c r="BA22" s="61">
        <f t="shared" si="24"/>
        <v>81760</v>
      </c>
      <c r="BB22" s="73">
        <f t="shared" si="32"/>
        <v>424550</v>
      </c>
      <c r="BC22" s="74">
        <f t="shared" si="30"/>
        <v>1650</v>
      </c>
      <c r="BD22" s="75">
        <v>38</v>
      </c>
      <c r="BE22" s="76">
        <v>216590</v>
      </c>
      <c r="BF22" s="76">
        <v>39860</v>
      </c>
      <c r="BG22" s="77">
        <v>1650</v>
      </c>
      <c r="BH22" s="77"/>
      <c r="BI22" s="77"/>
      <c r="BJ22" s="77"/>
      <c r="BK22" s="78">
        <f t="shared" si="29"/>
        <v>258100</v>
      </c>
      <c r="BL22" s="49">
        <v>18</v>
      </c>
      <c r="BM22" s="79">
        <f t="shared" si="25"/>
        <v>258100</v>
      </c>
      <c r="BO22" s="85"/>
    </row>
    <row r="23" spans="2:67" ht="20" customHeight="1">
      <c r="B23" s="80">
        <f t="shared" si="26"/>
        <v>45735</v>
      </c>
      <c r="C23" s="81"/>
      <c r="D23" s="52"/>
      <c r="E23" s="53">
        <v>32</v>
      </c>
      <c r="F23" s="54">
        <v>113850</v>
      </c>
      <c r="G23" s="55">
        <f t="shared" si="0"/>
        <v>3234.375</v>
      </c>
      <c r="H23" s="54">
        <v>15760</v>
      </c>
      <c r="I23" s="56">
        <f t="shared" si="27"/>
        <v>447.71875</v>
      </c>
      <c r="J23" s="57">
        <f t="shared" si="1"/>
        <v>129610</v>
      </c>
      <c r="K23" s="58">
        <f t="shared" si="2"/>
        <v>4050.3125</v>
      </c>
      <c r="L23" s="59"/>
      <c r="M23" s="60">
        <f t="shared" si="3"/>
        <v>21</v>
      </c>
      <c r="N23" s="61">
        <f t="shared" si="3"/>
        <v>254100</v>
      </c>
      <c r="O23" s="55">
        <f t="shared" si="4"/>
        <v>11000</v>
      </c>
      <c r="P23" s="61">
        <f t="shared" si="5"/>
        <v>45900</v>
      </c>
      <c r="Q23" s="87">
        <f t="shared" si="6"/>
        <v>1987</v>
      </c>
      <c r="R23" s="62">
        <f t="shared" si="7"/>
        <v>300000</v>
      </c>
      <c r="S23" s="58">
        <f t="shared" si="8"/>
        <v>14285.714285714286</v>
      </c>
      <c r="T23" s="82">
        <f t="shared" si="9"/>
        <v>53</v>
      </c>
      <c r="U23" s="61">
        <f t="shared" si="9"/>
        <v>367950</v>
      </c>
      <c r="V23" s="61">
        <f t="shared" si="10"/>
        <v>61660</v>
      </c>
      <c r="W23" s="64">
        <f t="shared" si="11"/>
        <v>429610</v>
      </c>
      <c r="X23" s="83"/>
      <c r="Y23" s="65"/>
      <c r="Z23" s="66">
        <v>7</v>
      </c>
      <c r="AA23" s="54">
        <v>2750</v>
      </c>
      <c r="AB23" s="55">
        <f t="shared" si="12"/>
        <v>392.85714285714283</v>
      </c>
      <c r="AC23" s="54">
        <v>4500</v>
      </c>
      <c r="AD23" s="56">
        <f t="shared" si="13"/>
        <v>642.85714285714289</v>
      </c>
      <c r="AE23" s="67">
        <f t="shared" si="14"/>
        <v>7250</v>
      </c>
      <c r="AF23" s="58">
        <f t="shared" si="15"/>
        <v>1035.7142857142858</v>
      </c>
      <c r="AG23" s="68"/>
      <c r="AH23" s="66">
        <v>14</v>
      </c>
      <c r="AI23" s="54">
        <v>79170</v>
      </c>
      <c r="AJ23" s="55">
        <f t="shared" si="16"/>
        <v>5655</v>
      </c>
      <c r="AK23" s="54">
        <v>18270</v>
      </c>
      <c r="AL23" s="56">
        <f t="shared" si="17"/>
        <v>1305</v>
      </c>
      <c r="AM23" s="67">
        <f t="shared" si="28"/>
        <v>97440</v>
      </c>
      <c r="AN23" s="69">
        <f t="shared" si="18"/>
        <v>6960</v>
      </c>
      <c r="AO23" s="70"/>
      <c r="AP23" s="66"/>
      <c r="AQ23" s="54"/>
      <c r="AR23" s="55" t="e">
        <f t="shared" si="19"/>
        <v>#DIV/0!</v>
      </c>
      <c r="AS23" s="54"/>
      <c r="AT23" s="56" t="e">
        <f t="shared" si="20"/>
        <v>#DIV/0!</v>
      </c>
      <c r="AU23" s="56"/>
      <c r="AV23" s="56"/>
      <c r="AW23" s="71">
        <f t="shared" si="33"/>
        <v>0</v>
      </c>
      <c r="AX23" s="69" t="str">
        <f>IF(AP23="","",AW23/AP23)</f>
        <v/>
      </c>
      <c r="AY23" s="84">
        <f t="shared" si="22"/>
        <v>53</v>
      </c>
      <c r="AZ23" s="61">
        <f t="shared" si="23"/>
        <v>449870</v>
      </c>
      <c r="BA23" s="61">
        <f t="shared" si="24"/>
        <v>84430</v>
      </c>
      <c r="BB23" s="73">
        <f>W23+AE23+AM23+AW23-BN22</f>
        <v>534300</v>
      </c>
      <c r="BC23" s="74">
        <f t="shared" si="30"/>
        <v>2750</v>
      </c>
      <c r="BD23" s="75">
        <v>53</v>
      </c>
      <c r="BE23" s="76">
        <v>367950</v>
      </c>
      <c r="BF23" s="76">
        <v>61660</v>
      </c>
      <c r="BG23" s="77">
        <v>2750</v>
      </c>
      <c r="BH23" s="77"/>
      <c r="BI23" s="77"/>
      <c r="BJ23" s="77"/>
      <c r="BK23" s="78">
        <f>SUM(BE23:BH23)</f>
        <v>432360</v>
      </c>
      <c r="BL23" s="49">
        <v>19</v>
      </c>
      <c r="BM23" s="79">
        <f t="shared" si="25"/>
        <v>432360</v>
      </c>
    </row>
    <row r="24" spans="2:67" ht="20" customHeight="1">
      <c r="B24" s="80">
        <f t="shared" si="26"/>
        <v>45736</v>
      </c>
      <c r="C24" s="81"/>
      <c r="D24" s="52"/>
      <c r="E24" s="53">
        <v>30</v>
      </c>
      <c r="F24" s="54">
        <v>148170</v>
      </c>
      <c r="G24" s="55">
        <f t="shared" si="0"/>
        <v>4490</v>
      </c>
      <c r="H24" s="54">
        <v>34130</v>
      </c>
      <c r="I24" s="56">
        <f t="shared" si="27"/>
        <v>1034.2333333333333</v>
      </c>
      <c r="J24" s="57">
        <f t="shared" si="1"/>
        <v>182300</v>
      </c>
      <c r="K24" s="58">
        <f t="shared" si="2"/>
        <v>6076.666666666667</v>
      </c>
      <c r="L24" s="59"/>
      <c r="M24" s="60">
        <f t="shared" si="3"/>
        <v>10</v>
      </c>
      <c r="N24" s="61">
        <f t="shared" si="3"/>
        <v>81600</v>
      </c>
      <c r="O24" s="55">
        <f t="shared" si="4"/>
        <v>7418.1</v>
      </c>
      <c r="P24" s="61">
        <f t="shared" si="5"/>
        <v>17060</v>
      </c>
      <c r="Q24" s="87">
        <f t="shared" si="6"/>
        <v>1550.9</v>
      </c>
      <c r="R24" s="62">
        <f t="shared" si="7"/>
        <v>98660</v>
      </c>
      <c r="S24" s="58">
        <f t="shared" si="8"/>
        <v>9866</v>
      </c>
      <c r="T24" s="82">
        <f t="shared" si="9"/>
        <v>40</v>
      </c>
      <c r="U24" s="61">
        <f t="shared" si="9"/>
        <v>229770</v>
      </c>
      <c r="V24" s="61">
        <f t="shared" si="10"/>
        <v>51190</v>
      </c>
      <c r="W24" s="64">
        <f t="shared" si="11"/>
        <v>280960</v>
      </c>
      <c r="X24" s="83"/>
      <c r="Y24" s="65"/>
      <c r="Z24" s="66">
        <v>39</v>
      </c>
      <c r="AA24" s="54">
        <v>12850</v>
      </c>
      <c r="AB24" s="55">
        <f t="shared" si="12"/>
        <v>329.4871794871795</v>
      </c>
      <c r="AC24" s="54">
        <v>6250</v>
      </c>
      <c r="AD24" s="56">
        <f t="shared" si="13"/>
        <v>160.25641025641025</v>
      </c>
      <c r="AE24" s="67">
        <f t="shared" si="14"/>
        <v>19100</v>
      </c>
      <c r="AF24" s="58">
        <f t="shared" si="15"/>
        <v>489.74358974358972</v>
      </c>
      <c r="AG24" s="68"/>
      <c r="AH24" s="66"/>
      <c r="AI24" s="54"/>
      <c r="AJ24" s="55" t="e">
        <f t="shared" si="16"/>
        <v>#DIV/0!</v>
      </c>
      <c r="AK24" s="54"/>
      <c r="AL24" s="56" t="e">
        <f t="shared" si="17"/>
        <v>#DIV/0!</v>
      </c>
      <c r="AM24" s="67">
        <f t="shared" si="28"/>
        <v>0</v>
      </c>
      <c r="AN24" s="69" t="str">
        <f t="shared" si="18"/>
        <v/>
      </c>
      <c r="AO24" s="70"/>
      <c r="AP24" s="66"/>
      <c r="AQ24" s="54"/>
      <c r="AR24" s="55" t="e">
        <f t="shared" si="19"/>
        <v>#DIV/0!</v>
      </c>
      <c r="AS24" s="54"/>
      <c r="AT24" s="56" t="e">
        <f t="shared" si="20"/>
        <v>#DIV/0!</v>
      </c>
      <c r="AU24" s="56"/>
      <c r="AV24" s="56"/>
      <c r="AW24" s="71">
        <f t="shared" si="33"/>
        <v>0</v>
      </c>
      <c r="AX24" s="69" t="str">
        <f t="shared" si="21"/>
        <v/>
      </c>
      <c r="AY24" s="84">
        <f t="shared" si="22"/>
        <v>40</v>
      </c>
      <c r="AZ24" s="61">
        <f t="shared" si="23"/>
        <v>242620</v>
      </c>
      <c r="BA24" s="61">
        <f t="shared" si="24"/>
        <v>57440</v>
      </c>
      <c r="BB24" s="73">
        <f>W24+AE24+AM24+AW24-BN24</f>
        <v>300060</v>
      </c>
      <c r="BC24" s="74">
        <f t="shared" si="30"/>
        <v>6600</v>
      </c>
      <c r="BD24" s="75">
        <v>40</v>
      </c>
      <c r="BE24" s="76">
        <v>229770</v>
      </c>
      <c r="BF24" s="76">
        <v>51190</v>
      </c>
      <c r="BG24" s="77">
        <v>6600</v>
      </c>
      <c r="BH24" s="77"/>
      <c r="BI24" s="77"/>
      <c r="BJ24" s="77"/>
      <c r="BK24" s="78">
        <f t="shared" si="29"/>
        <v>287560</v>
      </c>
      <c r="BL24" s="49">
        <v>20</v>
      </c>
      <c r="BM24" s="79">
        <f t="shared" si="25"/>
        <v>287560</v>
      </c>
    </row>
    <row r="25" spans="2:67" ht="20" customHeight="1">
      <c r="B25" s="80">
        <f t="shared" si="26"/>
        <v>45737</v>
      </c>
      <c r="C25" s="81"/>
      <c r="D25" s="52"/>
      <c r="E25" s="53">
        <v>30</v>
      </c>
      <c r="F25" s="54">
        <v>115830</v>
      </c>
      <c r="G25" s="55">
        <f t="shared" si="0"/>
        <v>3510</v>
      </c>
      <c r="H25" s="54">
        <v>16400</v>
      </c>
      <c r="I25" s="56">
        <f t="shared" si="27"/>
        <v>496.96666666666664</v>
      </c>
      <c r="J25" s="57">
        <f t="shared" si="1"/>
        <v>132230</v>
      </c>
      <c r="K25" s="58">
        <f t="shared" si="2"/>
        <v>4407.666666666667</v>
      </c>
      <c r="L25" s="59"/>
      <c r="M25" s="60">
        <f t="shared" si="3"/>
        <v>8</v>
      </c>
      <c r="N25" s="61">
        <f t="shared" si="3"/>
        <v>78320</v>
      </c>
      <c r="O25" s="55">
        <f t="shared" si="4"/>
        <v>8900</v>
      </c>
      <c r="P25" s="61">
        <f t="shared" si="5"/>
        <v>27570</v>
      </c>
      <c r="Q25" s="87">
        <f t="shared" si="6"/>
        <v>3132.875</v>
      </c>
      <c r="R25" s="62">
        <f t="shared" si="7"/>
        <v>105890</v>
      </c>
      <c r="S25" s="58">
        <f t="shared" si="8"/>
        <v>13236.25</v>
      </c>
      <c r="T25" s="82">
        <f t="shared" si="9"/>
        <v>38</v>
      </c>
      <c r="U25" s="61">
        <f t="shared" si="9"/>
        <v>194150</v>
      </c>
      <c r="V25" s="61">
        <f t="shared" si="10"/>
        <v>43970</v>
      </c>
      <c r="W25" s="64">
        <f t="shared" si="11"/>
        <v>238120</v>
      </c>
      <c r="X25" s="83"/>
      <c r="Y25" s="65"/>
      <c r="Z25" s="66">
        <v>17</v>
      </c>
      <c r="AA25" s="54">
        <v>5450</v>
      </c>
      <c r="AB25" s="55">
        <f t="shared" si="12"/>
        <v>320.58823529411762</v>
      </c>
      <c r="AC25" s="54">
        <v>1800</v>
      </c>
      <c r="AD25" s="56">
        <f t="shared" si="13"/>
        <v>105.88235294117646</v>
      </c>
      <c r="AE25" s="67">
        <f t="shared" si="14"/>
        <v>7250</v>
      </c>
      <c r="AF25" s="58">
        <f t="shared" si="15"/>
        <v>426.47058823529414</v>
      </c>
      <c r="AG25" s="68"/>
      <c r="AH25" s="66"/>
      <c r="AI25" s="54"/>
      <c r="AJ25" s="55" t="e">
        <f t="shared" si="16"/>
        <v>#DIV/0!</v>
      </c>
      <c r="AK25" s="54"/>
      <c r="AL25" s="56" t="e">
        <f t="shared" si="17"/>
        <v>#DIV/0!</v>
      </c>
      <c r="AM25" s="67">
        <f t="shared" si="28"/>
        <v>0</v>
      </c>
      <c r="AN25" s="69" t="str">
        <f t="shared" si="18"/>
        <v/>
      </c>
      <c r="AO25" s="70"/>
      <c r="AP25" s="66"/>
      <c r="AQ25" s="54"/>
      <c r="AR25" s="55" t="e">
        <f t="shared" si="19"/>
        <v>#DIV/0!</v>
      </c>
      <c r="AS25" s="54"/>
      <c r="AT25" s="56" t="e">
        <f t="shared" si="20"/>
        <v>#DIV/0!</v>
      </c>
      <c r="AU25" s="56"/>
      <c r="AV25" s="56"/>
      <c r="AW25" s="71">
        <f t="shared" si="33"/>
        <v>0</v>
      </c>
      <c r="AX25" s="69" t="str">
        <f t="shared" si="21"/>
        <v/>
      </c>
      <c r="AY25" s="84">
        <f t="shared" si="22"/>
        <v>38</v>
      </c>
      <c r="AZ25" s="61">
        <f t="shared" si="23"/>
        <v>199600</v>
      </c>
      <c r="BA25" s="61">
        <f t="shared" si="24"/>
        <v>45770</v>
      </c>
      <c r="BB25" s="73">
        <f>W25+AE25+AM25+AW25-BN25</f>
        <v>245370</v>
      </c>
      <c r="BC25" s="74">
        <f t="shared" si="30"/>
        <v>6600</v>
      </c>
      <c r="BD25" s="75">
        <v>38</v>
      </c>
      <c r="BE25" s="76">
        <v>194150</v>
      </c>
      <c r="BF25" s="76">
        <v>43970</v>
      </c>
      <c r="BG25" s="77">
        <v>6600</v>
      </c>
      <c r="BH25" s="77"/>
      <c r="BI25" s="77"/>
      <c r="BJ25" s="77"/>
      <c r="BK25" s="78">
        <f t="shared" si="29"/>
        <v>244720</v>
      </c>
      <c r="BL25" s="49">
        <v>21</v>
      </c>
      <c r="BM25" s="79">
        <f t="shared" si="25"/>
        <v>244720</v>
      </c>
    </row>
    <row r="26" spans="2:67" ht="20" customHeight="1">
      <c r="B26" s="80">
        <f t="shared" si="26"/>
        <v>45738</v>
      </c>
      <c r="C26" s="81"/>
      <c r="D26" s="52"/>
      <c r="E26" s="53">
        <v>28</v>
      </c>
      <c r="F26" s="54">
        <v>98560</v>
      </c>
      <c r="G26" s="55">
        <f t="shared" si="0"/>
        <v>3200</v>
      </c>
      <c r="H26" s="54">
        <v>14430</v>
      </c>
      <c r="I26" s="56">
        <f t="shared" si="27"/>
        <v>468.5</v>
      </c>
      <c r="J26" s="57">
        <f t="shared" si="1"/>
        <v>112990</v>
      </c>
      <c r="K26" s="58">
        <f t="shared" si="2"/>
        <v>4035.3571428571427</v>
      </c>
      <c r="L26" s="59"/>
      <c r="M26" s="60">
        <f t="shared" si="3"/>
        <v>28</v>
      </c>
      <c r="N26" s="61">
        <f t="shared" si="3"/>
        <v>272140</v>
      </c>
      <c r="O26" s="55">
        <f t="shared" si="4"/>
        <v>8835.7142857142862</v>
      </c>
      <c r="P26" s="61">
        <f t="shared" si="5"/>
        <v>85020</v>
      </c>
      <c r="Q26" s="87">
        <f t="shared" si="6"/>
        <v>2760.3571428571427</v>
      </c>
      <c r="R26" s="62">
        <f t="shared" si="7"/>
        <v>357160</v>
      </c>
      <c r="S26" s="58">
        <f t="shared" si="8"/>
        <v>12755.714285714286</v>
      </c>
      <c r="T26" s="82">
        <f t="shared" si="9"/>
        <v>56</v>
      </c>
      <c r="U26" s="61">
        <f t="shared" si="9"/>
        <v>370700</v>
      </c>
      <c r="V26" s="61">
        <f t="shared" si="10"/>
        <v>99450</v>
      </c>
      <c r="W26" s="64">
        <f t="shared" si="11"/>
        <v>470150</v>
      </c>
      <c r="X26" s="83"/>
      <c r="Y26" s="65"/>
      <c r="Z26" s="66">
        <v>19</v>
      </c>
      <c r="AA26" s="54">
        <v>5150</v>
      </c>
      <c r="AB26" s="55">
        <f t="shared" si="12"/>
        <v>271.05263157894734</v>
      </c>
      <c r="AC26" s="54">
        <v>900</v>
      </c>
      <c r="AD26" s="56">
        <f t="shared" si="13"/>
        <v>47.368421052631582</v>
      </c>
      <c r="AE26" s="67">
        <f t="shared" si="14"/>
        <v>6050</v>
      </c>
      <c r="AF26" s="58">
        <f t="shared" si="15"/>
        <v>318.42105263157896</v>
      </c>
      <c r="AG26" s="68"/>
      <c r="AH26" s="66">
        <v>103</v>
      </c>
      <c r="AI26" s="54">
        <v>554190</v>
      </c>
      <c r="AJ26" s="55">
        <f t="shared" si="16"/>
        <v>5380.4854368932038</v>
      </c>
      <c r="AK26" s="54">
        <v>196542</v>
      </c>
      <c r="AL26" s="56">
        <f t="shared" si="17"/>
        <v>1908.1747572815534</v>
      </c>
      <c r="AM26" s="67">
        <f t="shared" si="28"/>
        <v>750732</v>
      </c>
      <c r="AN26" s="69">
        <f t="shared" si="18"/>
        <v>7288.6601941747576</v>
      </c>
      <c r="AO26" s="70"/>
      <c r="AP26" s="66"/>
      <c r="AQ26" s="54"/>
      <c r="AR26" s="55" t="e">
        <f t="shared" si="19"/>
        <v>#DIV/0!</v>
      </c>
      <c r="AS26" s="54"/>
      <c r="AT26" s="56" t="e">
        <f t="shared" si="20"/>
        <v>#DIV/0!</v>
      </c>
      <c r="AU26" s="56"/>
      <c r="AV26" s="56"/>
      <c r="AW26" s="71">
        <f t="shared" si="33"/>
        <v>0</v>
      </c>
      <c r="AX26" s="69" t="str">
        <f t="shared" si="21"/>
        <v/>
      </c>
      <c r="AY26" s="84">
        <f t="shared" si="22"/>
        <v>56</v>
      </c>
      <c r="AZ26" s="61">
        <f t="shared" si="23"/>
        <v>930040</v>
      </c>
      <c r="BA26" s="61">
        <f t="shared" si="24"/>
        <v>296892</v>
      </c>
      <c r="BB26" s="73">
        <f>W26+AE26+AM26+AW26-BN26</f>
        <v>1226932</v>
      </c>
      <c r="BC26" s="74">
        <f>BG26+BH26</f>
        <v>4400</v>
      </c>
      <c r="BD26" s="75">
        <v>56</v>
      </c>
      <c r="BE26" s="76">
        <v>370700</v>
      </c>
      <c r="BF26" s="76">
        <v>99450</v>
      </c>
      <c r="BG26" s="77">
        <v>4400</v>
      </c>
      <c r="BH26" s="77"/>
      <c r="BI26" s="77"/>
      <c r="BJ26" s="77"/>
      <c r="BK26" s="78">
        <f t="shared" si="29"/>
        <v>474550</v>
      </c>
      <c r="BL26" s="49">
        <v>22</v>
      </c>
      <c r="BM26" s="79">
        <f t="shared" si="25"/>
        <v>474550</v>
      </c>
    </row>
    <row r="27" spans="2:67" ht="20" customHeight="1">
      <c r="B27" s="80">
        <f t="shared" si="26"/>
        <v>45739</v>
      </c>
      <c r="C27" s="81"/>
      <c r="D27" s="52"/>
      <c r="E27" s="53">
        <v>22</v>
      </c>
      <c r="F27" s="54">
        <v>97460</v>
      </c>
      <c r="G27" s="55">
        <f t="shared" si="0"/>
        <v>4027.2727272727275</v>
      </c>
      <c r="H27" s="54">
        <v>24240</v>
      </c>
      <c r="I27" s="56">
        <f t="shared" si="27"/>
        <v>1001.6363636363636</v>
      </c>
      <c r="J27" s="57">
        <f t="shared" si="1"/>
        <v>121700</v>
      </c>
      <c r="K27" s="58">
        <f t="shared" si="2"/>
        <v>5531.818181818182</v>
      </c>
      <c r="L27" s="59"/>
      <c r="M27" s="60">
        <f t="shared" si="3"/>
        <v>18</v>
      </c>
      <c r="N27" s="61">
        <f t="shared" si="3"/>
        <v>170280</v>
      </c>
      <c r="O27" s="55">
        <f t="shared" si="4"/>
        <v>8600</v>
      </c>
      <c r="P27" s="61">
        <f t="shared" si="5"/>
        <v>32660</v>
      </c>
      <c r="Q27" s="56">
        <f t="shared" si="6"/>
        <v>1649.4444444444443</v>
      </c>
      <c r="R27" s="62">
        <f t="shared" si="7"/>
        <v>202940</v>
      </c>
      <c r="S27" s="58">
        <f t="shared" si="8"/>
        <v>11274.444444444445</v>
      </c>
      <c r="T27" s="82">
        <f t="shared" si="9"/>
        <v>40</v>
      </c>
      <c r="U27" s="61">
        <f t="shared" si="9"/>
        <v>267740</v>
      </c>
      <c r="V27" s="61">
        <f t="shared" si="10"/>
        <v>56900</v>
      </c>
      <c r="W27" s="64">
        <f t="shared" si="11"/>
        <v>324640</v>
      </c>
      <c r="X27" s="83"/>
      <c r="Y27" s="65"/>
      <c r="Z27" s="66">
        <v>7</v>
      </c>
      <c r="AA27" s="54">
        <v>2850</v>
      </c>
      <c r="AB27" s="55">
        <f t="shared" si="12"/>
        <v>407.14285714285717</v>
      </c>
      <c r="AC27" s="54">
        <v>500</v>
      </c>
      <c r="AD27" s="56">
        <f t="shared" si="13"/>
        <v>71.428571428571431</v>
      </c>
      <c r="AE27" s="67">
        <f t="shared" si="14"/>
        <v>3350</v>
      </c>
      <c r="AF27" s="58">
        <f t="shared" si="15"/>
        <v>478.57142857142856</v>
      </c>
      <c r="AG27" s="68"/>
      <c r="AH27" s="66"/>
      <c r="AI27" s="54"/>
      <c r="AJ27" s="55" t="e">
        <f t="shared" si="16"/>
        <v>#DIV/0!</v>
      </c>
      <c r="AK27" s="54"/>
      <c r="AL27" s="56" t="e">
        <f t="shared" si="17"/>
        <v>#DIV/0!</v>
      </c>
      <c r="AM27" s="67">
        <f t="shared" si="28"/>
        <v>0</v>
      </c>
      <c r="AN27" s="69" t="str">
        <f t="shared" si="18"/>
        <v/>
      </c>
      <c r="AO27" s="70"/>
      <c r="AP27" s="66"/>
      <c r="AQ27" s="54"/>
      <c r="AR27" s="55" t="e">
        <f t="shared" si="19"/>
        <v>#DIV/0!</v>
      </c>
      <c r="AS27" s="54"/>
      <c r="AT27" s="56" t="e">
        <f t="shared" si="20"/>
        <v>#DIV/0!</v>
      </c>
      <c r="AU27" s="56"/>
      <c r="AV27" s="56"/>
      <c r="AW27" s="71">
        <f>AQ27+AS27+AU27+AV27-BO26</f>
        <v>0</v>
      </c>
      <c r="AX27" s="69" t="str">
        <f t="shared" si="21"/>
        <v/>
      </c>
      <c r="AY27" s="84">
        <f t="shared" si="22"/>
        <v>40</v>
      </c>
      <c r="AZ27" s="61">
        <f t="shared" si="23"/>
        <v>270590</v>
      </c>
      <c r="BA27" s="61">
        <f t="shared" si="24"/>
        <v>57400</v>
      </c>
      <c r="BB27" s="73">
        <f>W27+AE27+AM27+AW27-BN27</f>
        <v>327990</v>
      </c>
      <c r="BC27" s="74">
        <f t="shared" si="30"/>
        <v>1100</v>
      </c>
      <c r="BD27" s="75">
        <v>40</v>
      </c>
      <c r="BE27" s="76">
        <v>267740</v>
      </c>
      <c r="BF27" s="76">
        <v>56900</v>
      </c>
      <c r="BG27" s="77">
        <v>1100</v>
      </c>
      <c r="BH27" s="77"/>
      <c r="BI27" s="77">
        <v>6600</v>
      </c>
      <c r="BJ27" s="77"/>
      <c r="BK27" s="78">
        <f t="shared" si="29"/>
        <v>325740</v>
      </c>
      <c r="BL27" s="49">
        <v>23</v>
      </c>
      <c r="BM27" s="79">
        <f t="shared" si="25"/>
        <v>325740</v>
      </c>
    </row>
    <row r="28" spans="2:67" ht="20" customHeight="1">
      <c r="B28" s="80">
        <f>B27+1</f>
        <v>45740</v>
      </c>
      <c r="C28" s="81"/>
      <c r="D28" s="52"/>
      <c r="E28" s="53">
        <v>36</v>
      </c>
      <c r="F28" s="54">
        <v>154330</v>
      </c>
      <c r="G28" s="55">
        <f t="shared" si="0"/>
        <v>3897.2222222222222</v>
      </c>
      <c r="H28" s="54">
        <v>9490</v>
      </c>
      <c r="I28" s="56">
        <f t="shared" si="27"/>
        <v>239.63888888888889</v>
      </c>
      <c r="J28" s="57">
        <f t="shared" si="1"/>
        <v>163820</v>
      </c>
      <c r="K28" s="58">
        <f t="shared" si="2"/>
        <v>4550.5555555555557</v>
      </c>
      <c r="L28" s="59"/>
      <c r="M28" s="60">
        <f t="shared" si="3"/>
        <v>11</v>
      </c>
      <c r="N28" s="61">
        <f t="shared" si="3"/>
        <v>109340</v>
      </c>
      <c r="O28" s="55">
        <f t="shared" si="4"/>
        <v>9036.363636363636</v>
      </c>
      <c r="P28" s="61">
        <f t="shared" si="5"/>
        <v>21130</v>
      </c>
      <c r="Q28" s="56">
        <f>ROUNDDOWN(P28/1.1,0)/M28</f>
        <v>1746.2727272727273</v>
      </c>
      <c r="R28" s="62">
        <f t="shared" si="7"/>
        <v>130470</v>
      </c>
      <c r="S28" s="58">
        <f t="shared" si="8"/>
        <v>11860.90909090909</v>
      </c>
      <c r="T28" s="82">
        <f t="shared" si="9"/>
        <v>47</v>
      </c>
      <c r="U28" s="61">
        <f t="shared" si="9"/>
        <v>263670</v>
      </c>
      <c r="V28" s="61">
        <f t="shared" si="10"/>
        <v>30620</v>
      </c>
      <c r="W28" s="64">
        <f t="shared" si="11"/>
        <v>294290</v>
      </c>
      <c r="X28" s="83"/>
      <c r="Y28" s="65"/>
      <c r="Z28" s="66">
        <v>18</v>
      </c>
      <c r="AA28" s="54">
        <v>7250</v>
      </c>
      <c r="AB28" s="55">
        <f t="shared" si="12"/>
        <v>402.77777777777777</v>
      </c>
      <c r="AC28" s="54">
        <v>2300</v>
      </c>
      <c r="AD28" s="56">
        <f t="shared" si="13"/>
        <v>127.77777777777777</v>
      </c>
      <c r="AE28" s="67">
        <f t="shared" si="14"/>
        <v>9550</v>
      </c>
      <c r="AF28" s="58">
        <f t="shared" si="15"/>
        <v>530.55555555555554</v>
      </c>
      <c r="AG28" s="68"/>
      <c r="AH28" s="66">
        <v>94</v>
      </c>
      <c r="AI28" s="54">
        <v>368010</v>
      </c>
      <c r="AJ28" s="55">
        <f t="shared" si="16"/>
        <v>3915</v>
      </c>
      <c r="AK28" s="54">
        <f>122670+24360</f>
        <v>147030</v>
      </c>
      <c r="AL28" s="56">
        <f t="shared" si="17"/>
        <v>1564.1489361702127</v>
      </c>
      <c r="AM28" s="67">
        <f t="shared" si="28"/>
        <v>515040</v>
      </c>
      <c r="AN28" s="69">
        <f t="shared" si="18"/>
        <v>5479.1489361702124</v>
      </c>
      <c r="AO28" s="70"/>
      <c r="AP28" s="66"/>
      <c r="AQ28" s="54"/>
      <c r="AR28" s="55" t="e">
        <f t="shared" si="19"/>
        <v>#DIV/0!</v>
      </c>
      <c r="AS28" s="54"/>
      <c r="AT28" s="56" t="e">
        <f t="shared" si="20"/>
        <v>#DIV/0!</v>
      </c>
      <c r="AU28" s="56"/>
      <c r="AV28" s="56"/>
      <c r="AW28" s="71">
        <f>AQ28+AS28+AU28+AV28</f>
        <v>0</v>
      </c>
      <c r="AX28" s="69" t="str">
        <f t="shared" si="21"/>
        <v/>
      </c>
      <c r="AY28" s="84">
        <f t="shared" si="22"/>
        <v>47</v>
      </c>
      <c r="AZ28" s="61">
        <f t="shared" si="23"/>
        <v>638930</v>
      </c>
      <c r="BA28" s="61">
        <f t="shared" si="24"/>
        <v>179950</v>
      </c>
      <c r="BB28" s="73">
        <f>W28+AE28+AM28+AW28</f>
        <v>818880</v>
      </c>
      <c r="BC28" s="74">
        <f t="shared" si="30"/>
        <v>7700</v>
      </c>
      <c r="BD28" s="75">
        <v>47</v>
      </c>
      <c r="BE28" s="76">
        <v>263670</v>
      </c>
      <c r="BF28" s="76">
        <f>54980-24360</f>
        <v>30620</v>
      </c>
      <c r="BG28" s="77">
        <v>7700</v>
      </c>
      <c r="BH28" s="77"/>
      <c r="BI28" s="77"/>
      <c r="BJ28" s="77"/>
      <c r="BK28" s="78">
        <f t="shared" si="29"/>
        <v>301990</v>
      </c>
      <c r="BL28" s="49">
        <v>24</v>
      </c>
      <c r="BM28" s="79">
        <f t="shared" si="25"/>
        <v>301990</v>
      </c>
    </row>
    <row r="29" spans="2:67" ht="20" customHeight="1">
      <c r="B29" s="80">
        <f t="shared" si="26"/>
        <v>45741</v>
      </c>
      <c r="C29" s="81"/>
      <c r="D29" s="52"/>
      <c r="E29" s="53">
        <v>31</v>
      </c>
      <c r="F29" s="54">
        <v>111210</v>
      </c>
      <c r="G29" s="55">
        <f t="shared" si="0"/>
        <v>3261.2903225806454</v>
      </c>
      <c r="H29" s="54">
        <v>21400</v>
      </c>
      <c r="I29" s="55">
        <f t="shared" si="27"/>
        <v>627.54838709677415</v>
      </c>
      <c r="J29" s="57">
        <f t="shared" si="1"/>
        <v>132610</v>
      </c>
      <c r="K29" s="58">
        <f t="shared" si="2"/>
        <v>4277.7419354838712</v>
      </c>
      <c r="L29" s="59"/>
      <c r="M29" s="60">
        <f t="shared" si="3"/>
        <v>18</v>
      </c>
      <c r="N29" s="61">
        <f t="shared" si="3"/>
        <v>195800</v>
      </c>
      <c r="O29" s="55">
        <f t="shared" si="4"/>
        <v>9888.8888888888887</v>
      </c>
      <c r="P29" s="61">
        <f t="shared" si="5"/>
        <v>36720</v>
      </c>
      <c r="Q29" s="56">
        <f t="shared" si="6"/>
        <v>1854.5</v>
      </c>
      <c r="R29" s="62">
        <f t="shared" si="7"/>
        <v>232520</v>
      </c>
      <c r="S29" s="58">
        <f t="shared" si="8"/>
        <v>12917.777777777777</v>
      </c>
      <c r="T29" s="82">
        <f t="shared" si="9"/>
        <v>49</v>
      </c>
      <c r="U29" s="61">
        <f t="shared" si="9"/>
        <v>307010</v>
      </c>
      <c r="V29" s="61">
        <f t="shared" si="10"/>
        <v>58120</v>
      </c>
      <c r="W29" s="64">
        <f t="shared" si="11"/>
        <v>365130</v>
      </c>
      <c r="X29" s="83"/>
      <c r="Y29" s="65"/>
      <c r="Z29" s="66">
        <v>10</v>
      </c>
      <c r="AA29" s="54">
        <v>3500</v>
      </c>
      <c r="AB29" s="55">
        <f t="shared" si="12"/>
        <v>350</v>
      </c>
      <c r="AC29" s="54">
        <v>0</v>
      </c>
      <c r="AD29" s="56">
        <f t="shared" si="13"/>
        <v>0</v>
      </c>
      <c r="AE29" s="67">
        <f t="shared" si="14"/>
        <v>3500</v>
      </c>
      <c r="AF29" s="58">
        <f t="shared" si="15"/>
        <v>350</v>
      </c>
      <c r="AG29" s="68"/>
      <c r="AH29" s="66">
        <v>83</v>
      </c>
      <c r="AI29" s="54">
        <v>324945</v>
      </c>
      <c r="AJ29" s="55">
        <f t="shared" si="16"/>
        <v>3915</v>
      </c>
      <c r="AK29" s="54">
        <v>108315</v>
      </c>
      <c r="AL29" s="56">
        <f t="shared" si="17"/>
        <v>1305</v>
      </c>
      <c r="AM29" s="67">
        <f t="shared" si="28"/>
        <v>433260</v>
      </c>
      <c r="AN29" s="69">
        <f t="shared" si="18"/>
        <v>5220</v>
      </c>
      <c r="AO29" s="70"/>
      <c r="AP29" s="66"/>
      <c r="AQ29" s="54"/>
      <c r="AR29" s="55" t="e">
        <f t="shared" si="19"/>
        <v>#DIV/0!</v>
      </c>
      <c r="AS29" s="54"/>
      <c r="AT29" s="56" t="e">
        <f t="shared" si="20"/>
        <v>#DIV/0!</v>
      </c>
      <c r="AU29" s="56"/>
      <c r="AV29" s="56"/>
      <c r="AW29" s="71">
        <f>AQ29+AS29+AU29+AV29-BO29</f>
        <v>0</v>
      </c>
      <c r="AX29" s="69" t="str">
        <f t="shared" si="21"/>
        <v/>
      </c>
      <c r="AY29" s="84">
        <f t="shared" si="22"/>
        <v>49</v>
      </c>
      <c r="AZ29" s="61">
        <f t="shared" si="23"/>
        <v>635455</v>
      </c>
      <c r="BA29" s="61">
        <f t="shared" si="24"/>
        <v>166435</v>
      </c>
      <c r="BB29" s="73">
        <f t="shared" si="32"/>
        <v>801890</v>
      </c>
      <c r="BC29" s="74">
        <f t="shared" si="30"/>
        <v>7700</v>
      </c>
      <c r="BD29" s="75">
        <v>49</v>
      </c>
      <c r="BE29" s="76">
        <v>307010</v>
      </c>
      <c r="BF29" s="76">
        <v>58120</v>
      </c>
      <c r="BG29" s="77">
        <v>7700</v>
      </c>
      <c r="BH29" s="77"/>
      <c r="BI29" s="77">
        <v>3300</v>
      </c>
      <c r="BJ29" s="77">
        <v>9900</v>
      </c>
      <c r="BK29" s="78">
        <f t="shared" si="29"/>
        <v>372830</v>
      </c>
      <c r="BL29" s="49">
        <v>25</v>
      </c>
      <c r="BM29" s="79">
        <f t="shared" si="25"/>
        <v>382730</v>
      </c>
    </row>
    <row r="30" spans="2:67" ht="20" customHeight="1">
      <c r="B30" s="80">
        <f t="shared" si="26"/>
        <v>45742</v>
      </c>
      <c r="C30" s="81"/>
      <c r="D30" s="52"/>
      <c r="E30" s="53">
        <v>29</v>
      </c>
      <c r="F30" s="54">
        <v>120340</v>
      </c>
      <c r="G30" s="55">
        <f t="shared" si="0"/>
        <v>3772.4137931034484</v>
      </c>
      <c r="H30" s="54">
        <v>12390</v>
      </c>
      <c r="I30" s="55">
        <f t="shared" si="27"/>
        <v>388.37931034482756</v>
      </c>
      <c r="J30" s="57">
        <f t="shared" si="1"/>
        <v>132730</v>
      </c>
      <c r="K30" s="58">
        <f t="shared" si="2"/>
        <v>4576.8965517241377</v>
      </c>
      <c r="L30" s="59"/>
      <c r="M30" s="60">
        <f t="shared" si="3"/>
        <v>28</v>
      </c>
      <c r="N30" s="61">
        <f t="shared" si="3"/>
        <v>247500</v>
      </c>
      <c r="O30" s="55">
        <f t="shared" si="4"/>
        <v>8035.7142857142853</v>
      </c>
      <c r="P30" s="61">
        <f t="shared" si="5"/>
        <v>66820</v>
      </c>
      <c r="Q30" s="55">
        <f t="shared" si="6"/>
        <v>2169.4642857142858</v>
      </c>
      <c r="R30" s="62">
        <f t="shared" si="7"/>
        <v>314320</v>
      </c>
      <c r="S30" s="58">
        <f t="shared" si="8"/>
        <v>11225.714285714286</v>
      </c>
      <c r="T30" s="82">
        <f t="shared" si="9"/>
        <v>57</v>
      </c>
      <c r="U30" s="61">
        <f t="shared" si="9"/>
        <v>367840</v>
      </c>
      <c r="V30" s="61">
        <f t="shared" si="10"/>
        <v>79210</v>
      </c>
      <c r="W30" s="64">
        <f t="shared" si="11"/>
        <v>447050</v>
      </c>
      <c r="X30" s="83"/>
      <c r="Y30" s="65"/>
      <c r="Z30" s="66">
        <v>20</v>
      </c>
      <c r="AA30" s="54">
        <v>8000</v>
      </c>
      <c r="AB30" s="55">
        <f t="shared" si="12"/>
        <v>400</v>
      </c>
      <c r="AC30" s="54">
        <v>1000</v>
      </c>
      <c r="AD30" s="56">
        <f t="shared" si="13"/>
        <v>50</v>
      </c>
      <c r="AE30" s="67">
        <f t="shared" si="14"/>
        <v>9000</v>
      </c>
      <c r="AF30" s="58">
        <f t="shared" si="15"/>
        <v>450</v>
      </c>
      <c r="AG30" s="68"/>
      <c r="AH30" s="66">
        <v>50</v>
      </c>
      <c r="AI30" s="54">
        <v>195750</v>
      </c>
      <c r="AJ30" s="55">
        <f t="shared" si="16"/>
        <v>3915</v>
      </c>
      <c r="AK30" s="54">
        <v>69557</v>
      </c>
      <c r="AL30" s="56">
        <f t="shared" si="17"/>
        <v>1391.14</v>
      </c>
      <c r="AM30" s="67">
        <f t="shared" si="28"/>
        <v>265307</v>
      </c>
      <c r="AN30" s="69">
        <f t="shared" si="18"/>
        <v>5306.14</v>
      </c>
      <c r="AO30" s="70"/>
      <c r="AP30" s="66"/>
      <c r="AQ30" s="54"/>
      <c r="AR30" s="55" t="e">
        <f t="shared" si="19"/>
        <v>#DIV/0!</v>
      </c>
      <c r="AS30" s="54"/>
      <c r="AT30" s="56" t="e">
        <f t="shared" si="20"/>
        <v>#DIV/0!</v>
      </c>
      <c r="AU30" s="56"/>
      <c r="AV30" s="56"/>
      <c r="AW30" s="71">
        <f t="shared" ref="AW30:AW33" si="34">AQ30+AS30+AU30+AV30</f>
        <v>0</v>
      </c>
      <c r="AX30" s="69" t="str">
        <f t="shared" si="21"/>
        <v/>
      </c>
      <c r="AY30" s="84">
        <f t="shared" si="22"/>
        <v>57</v>
      </c>
      <c r="AZ30" s="61">
        <f t="shared" si="23"/>
        <v>571590</v>
      </c>
      <c r="BA30" s="61">
        <f t="shared" si="24"/>
        <v>149767</v>
      </c>
      <c r="BB30" s="73">
        <f t="shared" si="32"/>
        <v>721357</v>
      </c>
      <c r="BC30" s="74">
        <f>BG30+BH30</f>
        <v>1100</v>
      </c>
      <c r="BD30" s="75">
        <v>57</v>
      </c>
      <c r="BE30" s="76">
        <v>367840</v>
      </c>
      <c r="BF30" s="76">
        <v>79210</v>
      </c>
      <c r="BG30" s="77">
        <v>1100</v>
      </c>
      <c r="BH30" s="77"/>
      <c r="BI30" s="77">
        <v>3300</v>
      </c>
      <c r="BJ30" s="77"/>
      <c r="BK30" s="78">
        <f t="shared" si="29"/>
        <v>448150</v>
      </c>
      <c r="BL30" s="49">
        <v>26</v>
      </c>
      <c r="BM30" s="79">
        <f t="shared" si="25"/>
        <v>448150</v>
      </c>
    </row>
    <row r="31" spans="2:67" ht="20" customHeight="1">
      <c r="B31" s="80">
        <f t="shared" si="26"/>
        <v>45743</v>
      </c>
      <c r="C31" s="81"/>
      <c r="D31" s="52"/>
      <c r="E31" s="53">
        <v>26</v>
      </c>
      <c r="F31" s="54">
        <v>107030</v>
      </c>
      <c r="G31" s="55">
        <f t="shared" si="0"/>
        <v>3742.3076923076924</v>
      </c>
      <c r="H31" s="54">
        <v>19020</v>
      </c>
      <c r="I31" s="55">
        <f t="shared" si="27"/>
        <v>665</v>
      </c>
      <c r="J31" s="57">
        <f t="shared" si="1"/>
        <v>126050</v>
      </c>
      <c r="K31" s="58">
        <f t="shared" si="2"/>
        <v>4848.0769230769229</v>
      </c>
      <c r="L31" s="59"/>
      <c r="M31" s="60">
        <f t="shared" si="3"/>
        <v>12</v>
      </c>
      <c r="N31" s="61">
        <f t="shared" si="3"/>
        <v>117540</v>
      </c>
      <c r="O31" s="55">
        <f t="shared" si="4"/>
        <v>8904.5</v>
      </c>
      <c r="P31" s="61">
        <f t="shared" si="5"/>
        <v>30100</v>
      </c>
      <c r="Q31" s="55">
        <f t="shared" si="6"/>
        <v>2280.25</v>
      </c>
      <c r="R31" s="62">
        <f t="shared" si="7"/>
        <v>147640</v>
      </c>
      <c r="S31" s="58">
        <f t="shared" si="8"/>
        <v>12303.333333333334</v>
      </c>
      <c r="T31" s="82">
        <f t="shared" si="9"/>
        <v>38</v>
      </c>
      <c r="U31" s="61">
        <f t="shared" si="9"/>
        <v>224570</v>
      </c>
      <c r="V31" s="61">
        <f t="shared" si="10"/>
        <v>49120</v>
      </c>
      <c r="W31" s="64">
        <f t="shared" si="11"/>
        <v>273690</v>
      </c>
      <c r="X31" s="83"/>
      <c r="Y31" s="65"/>
      <c r="Z31" s="66">
        <v>4</v>
      </c>
      <c r="AA31" s="54">
        <v>1300</v>
      </c>
      <c r="AB31" s="55">
        <f t="shared" si="12"/>
        <v>325</v>
      </c>
      <c r="AC31" s="54">
        <v>0</v>
      </c>
      <c r="AD31" s="56">
        <f t="shared" si="13"/>
        <v>0</v>
      </c>
      <c r="AE31" s="67">
        <f t="shared" si="14"/>
        <v>1300</v>
      </c>
      <c r="AF31" s="58">
        <f t="shared" si="15"/>
        <v>325</v>
      </c>
      <c r="AG31" s="68"/>
      <c r="AH31" s="66"/>
      <c r="AI31" s="54"/>
      <c r="AJ31" s="55" t="e">
        <f t="shared" si="16"/>
        <v>#DIV/0!</v>
      </c>
      <c r="AK31" s="54"/>
      <c r="AL31" s="56" t="e">
        <f t="shared" si="17"/>
        <v>#DIV/0!</v>
      </c>
      <c r="AM31" s="67">
        <f t="shared" si="28"/>
        <v>0</v>
      </c>
      <c r="AN31" s="69" t="str">
        <f t="shared" si="18"/>
        <v/>
      </c>
      <c r="AO31" s="70"/>
      <c r="AP31" s="66"/>
      <c r="AQ31" s="54"/>
      <c r="AR31" s="55" t="e">
        <f t="shared" si="19"/>
        <v>#DIV/0!</v>
      </c>
      <c r="AS31" s="54"/>
      <c r="AT31" s="56" t="e">
        <f t="shared" si="20"/>
        <v>#DIV/0!</v>
      </c>
      <c r="AU31" s="56"/>
      <c r="AV31" s="56"/>
      <c r="AW31" s="71">
        <f t="shared" si="34"/>
        <v>0</v>
      </c>
      <c r="AX31" s="69" t="str">
        <f t="shared" si="21"/>
        <v/>
      </c>
      <c r="AY31" s="84">
        <f t="shared" si="22"/>
        <v>38</v>
      </c>
      <c r="AZ31" s="61">
        <f t="shared" si="23"/>
        <v>225870</v>
      </c>
      <c r="BA31" s="61">
        <f t="shared" si="24"/>
        <v>49120</v>
      </c>
      <c r="BB31" s="73">
        <f>W31+AE31+AM31+AW31-BN31</f>
        <v>274990</v>
      </c>
      <c r="BC31" s="74">
        <f t="shared" ref="BC31:BC34" si="35">BG31+BH31</f>
        <v>1100</v>
      </c>
      <c r="BD31" s="75">
        <v>38</v>
      </c>
      <c r="BE31" s="76">
        <v>224570</v>
      </c>
      <c r="BF31" s="76">
        <v>49120</v>
      </c>
      <c r="BG31" s="77">
        <v>1100</v>
      </c>
      <c r="BH31" s="77"/>
      <c r="BI31" s="77"/>
      <c r="BJ31" s="77"/>
      <c r="BK31" s="78">
        <f t="shared" si="29"/>
        <v>274790</v>
      </c>
      <c r="BL31" s="49">
        <v>27</v>
      </c>
      <c r="BM31" s="79">
        <f t="shared" si="25"/>
        <v>274790</v>
      </c>
    </row>
    <row r="32" spans="2:67" ht="20" customHeight="1">
      <c r="B32" s="80">
        <f t="shared" si="26"/>
        <v>45744</v>
      </c>
      <c r="C32" s="81"/>
      <c r="D32" s="52"/>
      <c r="E32" s="53">
        <v>26</v>
      </c>
      <c r="F32" s="54">
        <v>95260</v>
      </c>
      <c r="G32" s="55">
        <f t="shared" si="0"/>
        <v>3330.7692307692309</v>
      </c>
      <c r="H32" s="54">
        <v>5810</v>
      </c>
      <c r="I32" s="55">
        <f t="shared" si="27"/>
        <v>203.11538461538461</v>
      </c>
      <c r="J32" s="57">
        <f t="shared" si="1"/>
        <v>101070</v>
      </c>
      <c r="K32" s="58">
        <f t="shared" si="2"/>
        <v>3887.3076923076924</v>
      </c>
      <c r="L32" s="59"/>
      <c r="M32" s="60">
        <f t="shared" si="3"/>
        <v>17</v>
      </c>
      <c r="N32" s="61">
        <f t="shared" si="3"/>
        <v>137500</v>
      </c>
      <c r="O32" s="55">
        <f t="shared" si="4"/>
        <v>7352.9411764705883</v>
      </c>
      <c r="P32" s="61">
        <f t="shared" si="5"/>
        <v>27340</v>
      </c>
      <c r="Q32" s="55">
        <f t="shared" si="6"/>
        <v>1462</v>
      </c>
      <c r="R32" s="62">
        <f t="shared" si="7"/>
        <v>164840</v>
      </c>
      <c r="S32" s="58">
        <f t="shared" si="8"/>
        <v>9696.4705882352937</v>
      </c>
      <c r="T32" s="82">
        <f t="shared" si="9"/>
        <v>43</v>
      </c>
      <c r="U32" s="61">
        <f t="shared" si="9"/>
        <v>232760</v>
      </c>
      <c r="V32" s="61">
        <f t="shared" si="10"/>
        <v>33150</v>
      </c>
      <c r="W32" s="64">
        <f t="shared" si="11"/>
        <v>265910</v>
      </c>
      <c r="X32" s="83"/>
      <c r="Y32" s="65"/>
      <c r="Z32" s="66">
        <v>20</v>
      </c>
      <c r="AA32" s="54">
        <v>5450</v>
      </c>
      <c r="AB32" s="55">
        <f t="shared" si="12"/>
        <v>272.5</v>
      </c>
      <c r="AC32" s="54">
        <v>3400</v>
      </c>
      <c r="AD32" s="56">
        <f t="shared" si="13"/>
        <v>170</v>
      </c>
      <c r="AE32" s="67">
        <f t="shared" si="14"/>
        <v>8850</v>
      </c>
      <c r="AF32" s="58">
        <f t="shared" si="15"/>
        <v>442.5</v>
      </c>
      <c r="AG32" s="68"/>
      <c r="AH32" s="66"/>
      <c r="AI32" s="54"/>
      <c r="AJ32" s="55" t="e">
        <f t="shared" si="16"/>
        <v>#DIV/0!</v>
      </c>
      <c r="AK32" s="54"/>
      <c r="AL32" s="56" t="e">
        <f t="shared" si="17"/>
        <v>#DIV/0!</v>
      </c>
      <c r="AM32" s="67">
        <f t="shared" si="28"/>
        <v>0</v>
      </c>
      <c r="AN32" s="69" t="str">
        <f t="shared" si="18"/>
        <v/>
      </c>
      <c r="AO32" s="70"/>
      <c r="AP32" s="66"/>
      <c r="AQ32" s="54"/>
      <c r="AR32" s="55" t="e">
        <f t="shared" si="19"/>
        <v>#DIV/0!</v>
      </c>
      <c r="AS32" s="54"/>
      <c r="AT32" s="56" t="e">
        <f t="shared" si="20"/>
        <v>#DIV/0!</v>
      </c>
      <c r="AU32" s="56"/>
      <c r="AV32" s="56"/>
      <c r="AW32" s="71">
        <f t="shared" si="34"/>
        <v>0</v>
      </c>
      <c r="AX32" s="69" t="str">
        <f t="shared" si="21"/>
        <v/>
      </c>
      <c r="AY32" s="84">
        <f t="shared" si="22"/>
        <v>43</v>
      </c>
      <c r="AZ32" s="61">
        <f>U32+AA32+AI32+AQ32</f>
        <v>238210</v>
      </c>
      <c r="BA32" s="61">
        <f t="shared" si="24"/>
        <v>36550</v>
      </c>
      <c r="BB32" s="73">
        <f>W32+AE32+AM32+AW32-BN32</f>
        <v>274760</v>
      </c>
      <c r="BC32" s="74">
        <f>BG32+BH32</f>
        <v>5500</v>
      </c>
      <c r="BD32" s="75">
        <v>43</v>
      </c>
      <c r="BE32" s="76">
        <v>232760</v>
      </c>
      <c r="BF32" s="76">
        <v>33150</v>
      </c>
      <c r="BG32" s="77">
        <v>5500</v>
      </c>
      <c r="BH32" s="77"/>
      <c r="BI32" s="77"/>
      <c r="BJ32" s="77"/>
      <c r="BK32" s="78">
        <f>SUM(BE32:BH32)</f>
        <v>271410</v>
      </c>
      <c r="BL32" s="49">
        <v>28</v>
      </c>
    </row>
    <row r="33" spans="2:65" ht="20" customHeight="1">
      <c r="B33" s="80">
        <f t="shared" si="26"/>
        <v>45745</v>
      </c>
      <c r="C33" s="81"/>
      <c r="D33" s="52"/>
      <c r="E33" s="53">
        <v>30</v>
      </c>
      <c r="F33" s="54">
        <v>115060</v>
      </c>
      <c r="G33" s="55">
        <f t="shared" si="0"/>
        <v>3486.6666666666665</v>
      </c>
      <c r="H33" s="54">
        <v>10500</v>
      </c>
      <c r="I33" s="55">
        <f t="shared" si="27"/>
        <v>318.16666666666669</v>
      </c>
      <c r="J33" s="57">
        <f t="shared" si="1"/>
        <v>125560</v>
      </c>
      <c r="K33" s="58">
        <f t="shared" si="2"/>
        <v>4185.333333333333</v>
      </c>
      <c r="L33" s="59"/>
      <c r="M33" s="60">
        <f t="shared" si="3"/>
        <v>26</v>
      </c>
      <c r="N33" s="61">
        <f t="shared" si="3"/>
        <v>216940</v>
      </c>
      <c r="O33" s="55">
        <f t="shared" si="4"/>
        <v>7585.3076923076924</v>
      </c>
      <c r="P33" s="61">
        <f t="shared" si="5"/>
        <v>85280</v>
      </c>
      <c r="Q33" s="55">
        <f t="shared" si="6"/>
        <v>2981.8076923076924</v>
      </c>
      <c r="R33" s="62">
        <f t="shared" si="7"/>
        <v>302220</v>
      </c>
      <c r="S33" s="58">
        <f t="shared" si="8"/>
        <v>11623.846153846154</v>
      </c>
      <c r="T33" s="82">
        <f t="shared" si="9"/>
        <v>56</v>
      </c>
      <c r="U33" s="61">
        <f t="shared" si="9"/>
        <v>332000</v>
      </c>
      <c r="V33" s="61">
        <f t="shared" si="10"/>
        <v>95780</v>
      </c>
      <c r="W33" s="64">
        <f>J33+R33</f>
        <v>427780</v>
      </c>
      <c r="X33" s="83"/>
      <c r="Y33" s="65"/>
      <c r="Z33" s="66">
        <v>20</v>
      </c>
      <c r="AA33" s="54">
        <v>6800</v>
      </c>
      <c r="AB33" s="55">
        <f t="shared" si="12"/>
        <v>340</v>
      </c>
      <c r="AC33" s="54">
        <v>3700</v>
      </c>
      <c r="AD33" s="56">
        <f t="shared" si="13"/>
        <v>185</v>
      </c>
      <c r="AE33" s="67">
        <f t="shared" si="14"/>
        <v>10500</v>
      </c>
      <c r="AF33" s="58">
        <f t="shared" si="15"/>
        <v>525</v>
      </c>
      <c r="AG33" s="68"/>
      <c r="AH33" s="66">
        <v>31</v>
      </c>
      <c r="AI33" s="54">
        <v>121365</v>
      </c>
      <c r="AJ33" s="55">
        <f t="shared" si="16"/>
        <v>3915</v>
      </c>
      <c r="AK33" s="54">
        <v>40455</v>
      </c>
      <c r="AL33" s="56">
        <f t="shared" si="17"/>
        <v>1305</v>
      </c>
      <c r="AM33" s="67">
        <f t="shared" si="28"/>
        <v>161820</v>
      </c>
      <c r="AN33" s="69">
        <f t="shared" si="18"/>
        <v>5220</v>
      </c>
      <c r="AO33" s="70"/>
      <c r="AP33" s="66"/>
      <c r="AQ33" s="54"/>
      <c r="AR33" s="55" t="e">
        <f t="shared" si="19"/>
        <v>#DIV/0!</v>
      </c>
      <c r="AS33" s="54"/>
      <c r="AT33" s="56" t="e">
        <f t="shared" si="20"/>
        <v>#DIV/0!</v>
      </c>
      <c r="AU33" s="56"/>
      <c r="AV33" s="56"/>
      <c r="AW33" s="71">
        <f t="shared" si="34"/>
        <v>0</v>
      </c>
      <c r="AX33" s="69" t="str">
        <f t="shared" si="21"/>
        <v/>
      </c>
      <c r="AY33" s="84">
        <f t="shared" si="22"/>
        <v>56</v>
      </c>
      <c r="AZ33" s="61">
        <f t="shared" si="23"/>
        <v>460165</v>
      </c>
      <c r="BA33" s="61">
        <f t="shared" si="24"/>
        <v>139935</v>
      </c>
      <c r="BB33" s="73">
        <f>W33+AE33+AM33+AW33-BN33</f>
        <v>600100</v>
      </c>
      <c r="BC33" s="74">
        <f t="shared" si="35"/>
        <v>13200</v>
      </c>
      <c r="BD33" s="75">
        <v>56</v>
      </c>
      <c r="BE33" s="76">
        <v>332000</v>
      </c>
      <c r="BF33" s="76">
        <v>95780</v>
      </c>
      <c r="BG33" s="77">
        <v>13200</v>
      </c>
      <c r="BH33" s="77"/>
      <c r="BI33" s="77"/>
      <c r="BJ33" s="77"/>
      <c r="BK33" s="78">
        <f t="shared" si="29"/>
        <v>440980</v>
      </c>
      <c r="BL33" s="49">
        <v>29</v>
      </c>
      <c r="BM33" s="79">
        <f t="shared" si="25"/>
        <v>440980</v>
      </c>
    </row>
    <row r="34" spans="2:65" ht="20" customHeight="1">
      <c r="B34" s="80">
        <f t="shared" si="26"/>
        <v>45746</v>
      </c>
      <c r="C34" s="81"/>
      <c r="D34" s="52"/>
      <c r="E34" s="53">
        <v>37</v>
      </c>
      <c r="F34" s="54">
        <v>180730</v>
      </c>
      <c r="G34" s="55">
        <f t="shared" si="0"/>
        <v>4440.5405405405409</v>
      </c>
      <c r="H34" s="54">
        <v>30310</v>
      </c>
      <c r="I34" s="55">
        <f t="shared" si="27"/>
        <v>744.70270270270271</v>
      </c>
      <c r="J34" s="57">
        <f t="shared" si="1"/>
        <v>211040</v>
      </c>
      <c r="K34" s="58">
        <f t="shared" si="2"/>
        <v>5703.7837837837842</v>
      </c>
      <c r="L34" s="59"/>
      <c r="M34" s="60">
        <f t="shared" si="3"/>
        <v>19</v>
      </c>
      <c r="N34" s="61">
        <f t="shared" si="3"/>
        <v>173910</v>
      </c>
      <c r="O34" s="55">
        <f t="shared" si="4"/>
        <v>8321.0526315789466</v>
      </c>
      <c r="P34" s="61">
        <f t="shared" si="5"/>
        <v>31280</v>
      </c>
      <c r="Q34" s="55">
        <f t="shared" si="6"/>
        <v>1496.6315789473683</v>
      </c>
      <c r="R34" s="62">
        <f t="shared" si="7"/>
        <v>205190</v>
      </c>
      <c r="S34" s="58">
        <f t="shared" si="8"/>
        <v>10799.473684210527</v>
      </c>
      <c r="T34" s="82">
        <f t="shared" si="9"/>
        <v>56</v>
      </c>
      <c r="U34" s="61">
        <f t="shared" si="9"/>
        <v>354640</v>
      </c>
      <c r="V34" s="61">
        <f t="shared" si="10"/>
        <v>61590</v>
      </c>
      <c r="W34" s="64">
        <f t="shared" si="11"/>
        <v>416230</v>
      </c>
      <c r="X34" s="83"/>
      <c r="Y34" s="89"/>
      <c r="Z34" s="90">
        <v>8</v>
      </c>
      <c r="AA34" s="91">
        <v>3500</v>
      </c>
      <c r="AB34" s="55">
        <f t="shared" si="12"/>
        <v>437.5</v>
      </c>
      <c r="AC34" s="91">
        <v>3300</v>
      </c>
      <c r="AD34" s="56">
        <f t="shared" si="13"/>
        <v>412.5</v>
      </c>
      <c r="AE34" s="67">
        <f t="shared" si="14"/>
        <v>6800</v>
      </c>
      <c r="AF34" s="58">
        <f t="shared" si="15"/>
        <v>850</v>
      </c>
      <c r="AG34" s="68"/>
      <c r="AH34" s="90"/>
      <c r="AI34" s="91"/>
      <c r="AJ34" s="55" t="e">
        <f t="shared" si="16"/>
        <v>#DIV/0!</v>
      </c>
      <c r="AK34" s="91"/>
      <c r="AL34" s="56" t="e">
        <f t="shared" si="17"/>
        <v>#DIV/0!</v>
      </c>
      <c r="AM34" s="67">
        <f t="shared" si="28"/>
        <v>0</v>
      </c>
      <c r="AN34" s="69" t="str">
        <f t="shared" si="18"/>
        <v/>
      </c>
      <c r="AO34" s="70"/>
      <c r="AP34" s="90"/>
      <c r="AQ34" s="91"/>
      <c r="AR34" s="55" t="e">
        <f t="shared" si="19"/>
        <v>#DIV/0!</v>
      </c>
      <c r="AS34" s="91"/>
      <c r="AT34" s="56" t="e">
        <f t="shared" si="20"/>
        <v>#DIV/0!</v>
      </c>
      <c r="AU34" s="56"/>
      <c r="AV34" s="56"/>
      <c r="AW34" s="71">
        <f>AQ34+AS34+AU34+AV34-BN34</f>
        <v>0</v>
      </c>
      <c r="AX34" s="69" t="str">
        <f t="shared" si="21"/>
        <v/>
      </c>
      <c r="AY34" s="84">
        <f t="shared" si="22"/>
        <v>56</v>
      </c>
      <c r="AZ34" s="61">
        <f t="shared" si="23"/>
        <v>358140</v>
      </c>
      <c r="BA34" s="61">
        <f t="shared" si="24"/>
        <v>64890</v>
      </c>
      <c r="BB34" s="73">
        <f>W34+AE34+AM34+AW34-BN34</f>
        <v>423030</v>
      </c>
      <c r="BC34" s="74">
        <f t="shared" si="35"/>
        <v>5500</v>
      </c>
      <c r="BD34" s="75">
        <v>56</v>
      </c>
      <c r="BE34" s="76">
        <v>354640</v>
      </c>
      <c r="BF34" s="76">
        <v>61590</v>
      </c>
      <c r="BG34" s="77">
        <v>5500</v>
      </c>
      <c r="BH34" s="77"/>
      <c r="BI34" s="77"/>
      <c r="BJ34" s="77"/>
      <c r="BK34" s="78">
        <f t="shared" si="29"/>
        <v>421730</v>
      </c>
      <c r="BL34" s="49">
        <v>30</v>
      </c>
      <c r="BM34" s="79">
        <f t="shared" si="25"/>
        <v>421730</v>
      </c>
    </row>
    <row r="35" spans="2:65" ht="20" customHeight="1" thickBot="1">
      <c r="B35" s="80">
        <f t="shared" si="26"/>
        <v>45747</v>
      </c>
      <c r="C35" s="81"/>
      <c r="D35" s="52"/>
      <c r="E35" s="53">
        <v>33</v>
      </c>
      <c r="F35" s="54">
        <v>120010</v>
      </c>
      <c r="G35" s="55">
        <f t="shared" si="0"/>
        <v>3306.060606060606</v>
      </c>
      <c r="H35" s="54">
        <v>11210</v>
      </c>
      <c r="I35" s="55">
        <f t="shared" si="27"/>
        <v>308.78787878787881</v>
      </c>
      <c r="J35" s="57">
        <f t="shared" si="1"/>
        <v>131220</v>
      </c>
      <c r="K35" s="58">
        <f t="shared" si="2"/>
        <v>3976.3636363636365</v>
      </c>
      <c r="L35" s="59"/>
      <c r="M35" s="92">
        <f t="shared" si="3"/>
        <v>24</v>
      </c>
      <c r="N35" s="61">
        <f t="shared" si="3"/>
        <v>226930</v>
      </c>
      <c r="O35" s="55">
        <f t="shared" si="4"/>
        <v>8595.8333333333339</v>
      </c>
      <c r="P35" s="61">
        <f t="shared" si="5"/>
        <v>33560</v>
      </c>
      <c r="Q35" s="55">
        <f t="shared" si="6"/>
        <v>1271.2083333333333</v>
      </c>
      <c r="R35" s="62">
        <f t="shared" si="7"/>
        <v>260490</v>
      </c>
      <c r="S35" s="58">
        <f t="shared" si="8"/>
        <v>10853.75</v>
      </c>
      <c r="T35" s="93">
        <f t="shared" si="9"/>
        <v>57</v>
      </c>
      <c r="U35" s="94">
        <f t="shared" si="9"/>
        <v>346940</v>
      </c>
      <c r="V35" s="94">
        <f t="shared" si="10"/>
        <v>44770</v>
      </c>
      <c r="W35" s="95">
        <f t="shared" si="11"/>
        <v>391710</v>
      </c>
      <c r="X35" s="94"/>
      <c r="Y35" s="96"/>
      <c r="Z35" s="97">
        <v>11</v>
      </c>
      <c r="AA35" s="98">
        <v>4450</v>
      </c>
      <c r="AB35" s="99">
        <f t="shared" si="12"/>
        <v>404.54545454545456</v>
      </c>
      <c r="AC35" s="98">
        <v>3950</v>
      </c>
      <c r="AD35" s="100">
        <f t="shared" si="13"/>
        <v>359.09090909090907</v>
      </c>
      <c r="AE35" s="101">
        <f t="shared" si="14"/>
        <v>8400</v>
      </c>
      <c r="AF35" s="58">
        <f t="shared" si="15"/>
        <v>763.63636363636363</v>
      </c>
      <c r="AG35" s="102"/>
      <c r="AH35" s="97"/>
      <c r="AI35" s="98"/>
      <c r="AJ35" s="99" t="e">
        <f t="shared" si="16"/>
        <v>#DIV/0!</v>
      </c>
      <c r="AK35" s="98"/>
      <c r="AL35" s="100" t="e">
        <f t="shared" si="17"/>
        <v>#DIV/0!</v>
      </c>
      <c r="AM35" s="67">
        <f t="shared" si="28"/>
        <v>0</v>
      </c>
      <c r="AN35" s="69" t="str">
        <f t="shared" si="18"/>
        <v/>
      </c>
      <c r="AO35" s="103"/>
      <c r="AP35" s="97"/>
      <c r="AQ35" s="98"/>
      <c r="AR35" s="99" t="e">
        <f t="shared" si="19"/>
        <v>#DIV/0!</v>
      </c>
      <c r="AS35" s="98"/>
      <c r="AT35" s="100" t="e">
        <f t="shared" si="20"/>
        <v>#DIV/0!</v>
      </c>
      <c r="AU35" s="100"/>
      <c r="AV35" s="56"/>
      <c r="AW35" s="71">
        <f t="shared" si="33"/>
        <v>0</v>
      </c>
      <c r="AX35" s="69" t="str">
        <f t="shared" si="21"/>
        <v/>
      </c>
      <c r="AY35" s="104">
        <f t="shared" si="22"/>
        <v>57</v>
      </c>
      <c r="AZ35" s="61">
        <f t="shared" si="23"/>
        <v>351390</v>
      </c>
      <c r="BA35" s="61">
        <f t="shared" si="24"/>
        <v>48720</v>
      </c>
      <c r="BB35" s="73">
        <f>W35+AE35+AM35+AW35-BN35</f>
        <v>400110</v>
      </c>
      <c r="BC35" s="74">
        <f t="shared" si="30"/>
        <v>12650</v>
      </c>
      <c r="BD35" s="105">
        <v>57</v>
      </c>
      <c r="BE35" s="106">
        <v>346940</v>
      </c>
      <c r="BF35" s="106">
        <v>44770</v>
      </c>
      <c r="BG35" s="107">
        <v>12650</v>
      </c>
      <c r="BH35" s="107"/>
      <c r="BI35" s="107"/>
      <c r="BJ35" s="107"/>
      <c r="BK35" s="78">
        <f t="shared" si="29"/>
        <v>404360</v>
      </c>
      <c r="BL35" s="49">
        <v>31</v>
      </c>
      <c r="BM35" s="79">
        <f t="shared" si="25"/>
        <v>404360</v>
      </c>
    </row>
    <row r="36" spans="2:65" s="130" customFormat="1" ht="20" customHeight="1" thickTop="1">
      <c r="B36" s="108" t="s">
        <v>28</v>
      </c>
      <c r="C36" s="109">
        <f>SUM(C5:C35)</f>
        <v>0</v>
      </c>
      <c r="D36" s="110">
        <f>SUM(D5:D35)</f>
        <v>0</v>
      </c>
      <c r="E36" s="111">
        <f>SUM(E5:E35)</f>
        <v>864</v>
      </c>
      <c r="F36" s="112">
        <f>SUM(F5:F35)</f>
        <v>3516920</v>
      </c>
      <c r="G36" s="113">
        <f>F36/E36</f>
        <v>4070.5092592592591</v>
      </c>
      <c r="H36" s="109">
        <f>SUM(H5:H35)</f>
        <v>555640</v>
      </c>
      <c r="I36" s="114">
        <f>H36/E36</f>
        <v>643.10185185185185</v>
      </c>
      <c r="J36" s="115">
        <f>SUM(J5:J35)</f>
        <v>4072560</v>
      </c>
      <c r="K36" s="116">
        <f>J36/E36</f>
        <v>4713.6111111111113</v>
      </c>
      <c r="L36" s="117">
        <f>SUM(L5:L35)</f>
        <v>0</v>
      </c>
      <c r="M36" s="111">
        <f>SUM(M5:M35)</f>
        <v>521</v>
      </c>
      <c r="N36" s="112">
        <f>SUM(N5:N35)</f>
        <v>4963110</v>
      </c>
      <c r="O36" s="113">
        <f>N36/M36</f>
        <v>9526.1228406909795</v>
      </c>
      <c r="P36" s="118">
        <f>SUM(P5:P35)</f>
        <v>1178540</v>
      </c>
      <c r="Q36" s="114">
        <f>P36/M36</f>
        <v>2262.0729366602686</v>
      </c>
      <c r="R36" s="119">
        <f>SUM(R5:R35)</f>
        <v>6141650</v>
      </c>
      <c r="S36" s="120">
        <f>R36/M36</f>
        <v>11788.195777351248</v>
      </c>
      <c r="T36" s="111">
        <f t="shared" ref="T36:AA36" si="36">SUM(T5:T35)</f>
        <v>1385</v>
      </c>
      <c r="U36" s="118">
        <f t="shared" si="36"/>
        <v>8480030</v>
      </c>
      <c r="V36" s="118">
        <f t="shared" si="36"/>
        <v>1734180</v>
      </c>
      <c r="W36" s="115">
        <f>SUM(W5:W35)</f>
        <v>10214210</v>
      </c>
      <c r="X36" s="121">
        <f t="shared" si="36"/>
        <v>0</v>
      </c>
      <c r="Y36" s="110">
        <f t="shared" si="36"/>
        <v>0</v>
      </c>
      <c r="Z36" s="111">
        <f t="shared" si="36"/>
        <v>437</v>
      </c>
      <c r="AA36" s="113">
        <f t="shared" si="36"/>
        <v>157350</v>
      </c>
      <c r="AB36" s="113">
        <f>AA36/Z36</f>
        <v>360.06864988558351</v>
      </c>
      <c r="AC36" s="109">
        <f>SUM(AC5:AC35)</f>
        <v>64400</v>
      </c>
      <c r="AD36" s="114">
        <f>AC36/Z36</f>
        <v>147.36842105263159</v>
      </c>
      <c r="AE36" s="119">
        <f>SUM(AE5:AE35)</f>
        <v>221750</v>
      </c>
      <c r="AF36" s="122">
        <f>AE36/Z36</f>
        <v>507.43707093821513</v>
      </c>
      <c r="AG36" s="123">
        <f t="shared" ref="AG36:AI36" si="37">SUM(AG5:AG35)</f>
        <v>0</v>
      </c>
      <c r="AH36" s="111">
        <f t="shared" si="37"/>
        <v>462</v>
      </c>
      <c r="AI36" s="113">
        <f t="shared" si="37"/>
        <v>1984035</v>
      </c>
      <c r="AJ36" s="113"/>
      <c r="AK36" s="109">
        <f>SUM(AK5:AK35)</f>
        <v>700664</v>
      </c>
      <c r="AL36" s="114"/>
      <c r="AM36" s="119">
        <f>SUM(AM5:AM35)</f>
        <v>2684699</v>
      </c>
      <c r="AN36" s="124">
        <f>AM36/AH36</f>
        <v>5811.0367965367968</v>
      </c>
      <c r="AO36" s="125">
        <f t="shared" ref="AO36:AQ36" si="38">SUM(AO5:AO35)</f>
        <v>0</v>
      </c>
      <c r="AP36" s="111">
        <f t="shared" si="38"/>
        <v>0</v>
      </c>
      <c r="AQ36" s="113">
        <f t="shared" si="38"/>
        <v>0</v>
      </c>
      <c r="AR36" s="113"/>
      <c r="AS36" s="109">
        <f>SUM(AS5:AS35)</f>
        <v>0</v>
      </c>
      <c r="AT36" s="114"/>
      <c r="AU36" s="109">
        <f>SUM(AU5:AU35)</f>
        <v>0</v>
      </c>
      <c r="AV36" s="109">
        <f>SUM(AV5:AV35)</f>
        <v>0</v>
      </c>
      <c r="AW36" s="119">
        <f>SUM(AW5:AW35)</f>
        <v>0</v>
      </c>
      <c r="AX36" s="124" t="e">
        <f>AW36/AP36</f>
        <v>#DIV/0!</v>
      </c>
      <c r="AY36" s="126">
        <f t="shared" ref="AY36:BK36" si="39">SUM(AY5:AY35)</f>
        <v>1385</v>
      </c>
      <c r="AZ36" s="118">
        <f t="shared" si="39"/>
        <v>10621415</v>
      </c>
      <c r="BA36" s="118">
        <f t="shared" si="39"/>
        <v>2499244</v>
      </c>
      <c r="BB36" s="119">
        <f>SUM(BB5:BB35)</f>
        <v>13118547</v>
      </c>
      <c r="BC36" s="127">
        <f t="shared" si="39"/>
        <v>158950</v>
      </c>
      <c r="BD36" s="128">
        <f t="shared" si="39"/>
        <v>1385</v>
      </c>
      <c r="BE36" s="128">
        <f t="shared" si="39"/>
        <v>8480030</v>
      </c>
      <c r="BF36" s="128">
        <f t="shared" si="39"/>
        <v>1734180</v>
      </c>
      <c r="BG36" s="128">
        <f t="shared" si="39"/>
        <v>158950</v>
      </c>
      <c r="BH36" s="128">
        <f t="shared" si="39"/>
        <v>0</v>
      </c>
      <c r="BI36" s="128">
        <f t="shared" si="39"/>
        <v>19800</v>
      </c>
      <c r="BJ36" s="128">
        <f t="shared" si="39"/>
        <v>9900</v>
      </c>
      <c r="BK36" s="129">
        <f t="shared" si="39"/>
        <v>10373160</v>
      </c>
      <c r="BM36" s="131">
        <f>SUM(BM5:BM35)</f>
        <v>10111650</v>
      </c>
    </row>
    <row r="37" spans="2:65" s="130" customFormat="1" ht="18">
      <c r="B37" s="132"/>
      <c r="E37" s="133" t="s">
        <v>41</v>
      </c>
      <c r="F37" s="134">
        <f>F36/1.1</f>
        <v>3197199.9999999995</v>
      </c>
      <c r="G37" s="135">
        <f>F37/E36</f>
        <v>3700.4629629629626</v>
      </c>
      <c r="H37" s="136">
        <f>H36/1.1</f>
        <v>505127.27272727271</v>
      </c>
      <c r="I37" s="135">
        <f>H37/E36</f>
        <v>584.63804713804711</v>
      </c>
      <c r="J37" s="137">
        <f>J36/1.1</f>
        <v>3702327.2727272725</v>
      </c>
      <c r="K37" s="138">
        <f>G37+I37</f>
        <v>4285.1010101010097</v>
      </c>
      <c r="L37" s="139"/>
      <c r="M37" s="133" t="s">
        <v>41</v>
      </c>
      <c r="N37" s="134">
        <f>N36/1.1</f>
        <v>4511918.1818181816</v>
      </c>
      <c r="O37" s="135">
        <f>N37/M36</f>
        <v>8660.1116733554354</v>
      </c>
      <c r="P37" s="136">
        <f>P36/1.1</f>
        <v>1071400</v>
      </c>
      <c r="Q37" s="135">
        <f>P37/M36</f>
        <v>2056.429942418426</v>
      </c>
      <c r="R37" s="135">
        <f>R36/1.1</f>
        <v>5583318.1818181816</v>
      </c>
      <c r="S37" s="140">
        <f>R37/M36</f>
        <v>10716.541615773862</v>
      </c>
      <c r="T37" s="133" t="s">
        <v>41</v>
      </c>
      <c r="U37" s="134">
        <f>U36/1.1</f>
        <v>7709118.1818181816</v>
      </c>
      <c r="V37" s="134">
        <f>V36/1.1</f>
        <v>1576527.2727272727</v>
      </c>
      <c r="W37" s="137">
        <f>W36/1.1</f>
        <v>9285645.4545454532</v>
      </c>
      <c r="X37" s="141"/>
      <c r="Y37" s="139"/>
      <c r="Z37" s="133" t="s">
        <v>41</v>
      </c>
      <c r="AA37" s="134">
        <f>AA36/1.1</f>
        <v>143045.45454545453</v>
      </c>
      <c r="AB37" s="136">
        <f>AA37/Z36</f>
        <v>327.33513625962132</v>
      </c>
      <c r="AC37" s="136">
        <f>AC36/1.1</f>
        <v>58545.454545454544</v>
      </c>
      <c r="AD37" s="136">
        <f>AC37/Z36</f>
        <v>133.97129186602871</v>
      </c>
      <c r="AE37" s="135">
        <f>AE36/1.1</f>
        <v>201590.90909090909</v>
      </c>
      <c r="AF37" s="142" t="e">
        <f>AE37/Y36</f>
        <v>#DIV/0!</v>
      </c>
      <c r="AG37" s="139"/>
      <c r="AH37" s="133" t="s">
        <v>41</v>
      </c>
      <c r="AI37" s="134">
        <f>AI36/1.1</f>
        <v>1803668.1818181816</v>
      </c>
      <c r="AJ37" s="136">
        <f>AI37/AH36</f>
        <v>3904.0436835891378</v>
      </c>
      <c r="AK37" s="136">
        <f>AK36/1.1</f>
        <v>636967.27272727271</v>
      </c>
      <c r="AL37" s="136">
        <f>AK37/AH36</f>
        <v>1378.7170405352224</v>
      </c>
      <c r="AM37" s="135">
        <f>AM36/1.1</f>
        <v>2440635.4545454541</v>
      </c>
      <c r="AN37" s="143" t="e">
        <f>AM37/AG36</f>
        <v>#DIV/0!</v>
      </c>
      <c r="AO37" s="139"/>
      <c r="AP37" s="133" t="s">
        <v>41</v>
      </c>
      <c r="AQ37" s="134">
        <f>AQ36/1.1</f>
        <v>0</v>
      </c>
      <c r="AR37" s="136" t="e">
        <f>AQ37/AP36</f>
        <v>#DIV/0!</v>
      </c>
      <c r="AS37" s="136">
        <f>AS36/1.1</f>
        <v>0</v>
      </c>
      <c r="AT37" s="136" t="e">
        <f>AS37/AP36</f>
        <v>#DIV/0!</v>
      </c>
      <c r="AU37" s="136">
        <f>AU36/1.1</f>
        <v>0</v>
      </c>
      <c r="AV37" s="136">
        <f>AV36/1.1</f>
        <v>0</v>
      </c>
      <c r="AW37" s="135">
        <f>AW36/1.1</f>
        <v>0</v>
      </c>
      <c r="AX37" s="143" t="e">
        <f>AW37/AP36</f>
        <v>#DIV/0!</v>
      </c>
      <c r="AY37" s="144" t="s">
        <v>41</v>
      </c>
      <c r="AZ37" s="134">
        <f>AZ36/1.1</f>
        <v>9655831.8181818165</v>
      </c>
      <c r="BA37" s="134">
        <f>BA36/1.1</f>
        <v>2272040</v>
      </c>
      <c r="BB37" s="135">
        <f>BB36/1.1</f>
        <v>11925951.818181816</v>
      </c>
      <c r="BC37" s="145">
        <f>BC36/1.1</f>
        <v>144500</v>
      </c>
      <c r="BH37" s="146"/>
      <c r="BK37" s="147">
        <f>BK36/1.1</f>
        <v>9430145.4545454532</v>
      </c>
      <c r="BM37" s="147"/>
    </row>
    <row r="38" spans="2:65">
      <c r="C38" s="49">
        <v>31</v>
      </c>
      <c r="E38" s="148" t="s">
        <v>42</v>
      </c>
      <c r="F38" s="149">
        <f>E36/G38</f>
        <v>27.870967741935484</v>
      </c>
      <c r="G38" s="150">
        <v>31</v>
      </c>
      <c r="H38" s="149"/>
      <c r="I38" s="149"/>
      <c r="J38" s="151" t="s">
        <v>43</v>
      </c>
      <c r="K38" s="152">
        <f>J37/G38</f>
        <v>119429.91202346041</v>
      </c>
      <c r="M38" s="148" t="s">
        <v>42</v>
      </c>
      <c r="N38" s="149">
        <f>M36/O38</f>
        <v>16.806451612903224</v>
      </c>
      <c r="O38" s="150">
        <f>G38</f>
        <v>31</v>
      </c>
      <c r="P38" s="149"/>
      <c r="Q38" s="149"/>
      <c r="R38" s="151" t="s">
        <v>43</v>
      </c>
      <c r="S38" s="153">
        <f>R37/O38</f>
        <v>180107.03812316715</v>
      </c>
      <c r="U38" s="154">
        <f>O38</f>
        <v>31</v>
      </c>
      <c r="W38" s="85">
        <f>W37/U38</f>
        <v>299536.9501466275</v>
      </c>
      <c r="X38" s="79"/>
      <c r="AA38" s="155">
        <f>G38</f>
        <v>31</v>
      </c>
      <c r="AB38" s="149"/>
      <c r="AC38" s="149"/>
      <c r="AD38" s="149"/>
      <c r="AE38" s="149"/>
      <c r="AF38" s="152">
        <f>AE37/AA38</f>
        <v>6502.9325513196482</v>
      </c>
      <c r="AI38" s="155">
        <f>AA38</f>
        <v>31</v>
      </c>
      <c r="AJ38" s="149"/>
      <c r="AK38" s="149"/>
      <c r="AL38" s="149"/>
      <c r="AM38" s="149"/>
      <c r="AN38" s="152">
        <f>AM37/AI38</f>
        <v>78730.175953079161</v>
      </c>
      <c r="AQ38" s="155">
        <f>G38</f>
        <v>31</v>
      </c>
      <c r="AR38" s="149"/>
      <c r="AS38" s="149"/>
      <c r="AT38" s="149"/>
      <c r="AU38" s="149"/>
      <c r="AV38" s="149"/>
      <c r="AW38" s="149"/>
      <c r="AX38" s="152">
        <f>AW37/AQ38</f>
        <v>0</v>
      </c>
      <c r="BB38" s="85"/>
      <c r="BC38" s="79" t="e">
        <f>BB37/BD37</f>
        <v>#DIV/0!</v>
      </c>
      <c r="BD38" s="156">
        <f>AY36+T36</f>
        <v>2770</v>
      </c>
      <c r="BH38" s="85"/>
    </row>
    <row r="39" spans="2:65">
      <c r="D39" s="157" t="s">
        <v>44</v>
      </c>
      <c r="E39" s="158"/>
      <c r="F39" s="149"/>
      <c r="G39" s="159"/>
      <c r="H39" s="149"/>
      <c r="I39" s="149"/>
      <c r="J39" s="151"/>
      <c r="K39" s="152"/>
      <c r="L39" s="160" t="s">
        <v>45</v>
      </c>
      <c r="M39" s="148"/>
      <c r="N39" s="149"/>
      <c r="O39" s="149"/>
      <c r="P39" s="149"/>
      <c r="Q39" s="149"/>
      <c r="R39" s="151"/>
      <c r="S39" s="152"/>
      <c r="V39" s="85">
        <f>V37/T36</f>
        <v>1138.2868395142764</v>
      </c>
      <c r="W39" s="85"/>
      <c r="X39" s="79"/>
      <c r="Y39" s="160" t="s">
        <v>46</v>
      </c>
      <c r="AA39" s="149"/>
      <c r="AB39" s="149"/>
      <c r="AC39" s="149"/>
      <c r="AD39" s="149"/>
      <c r="AE39" s="149"/>
      <c r="AF39" s="152"/>
      <c r="AG39" s="160" t="s">
        <v>47</v>
      </c>
      <c r="AI39" s="149"/>
      <c r="AJ39" s="149"/>
      <c r="AK39" s="149"/>
      <c r="AL39" s="149"/>
      <c r="AM39" s="149"/>
      <c r="AN39" s="152"/>
      <c r="AO39" s="160" t="s">
        <v>48</v>
      </c>
      <c r="AQ39" s="149"/>
      <c r="AR39" s="149"/>
      <c r="AS39" s="149"/>
      <c r="AT39" s="149"/>
      <c r="AU39" s="149"/>
      <c r="AV39" s="149"/>
      <c r="AW39" s="149"/>
      <c r="AX39" s="152"/>
      <c r="BB39" s="79">
        <f>BB36+BC36</f>
        <v>13277497</v>
      </c>
      <c r="BC39" s="161">
        <f>BB39/G38</f>
        <v>428306.3548387097</v>
      </c>
      <c r="BD39" s="49" t="s">
        <v>49</v>
      </c>
      <c r="BH39" s="85"/>
    </row>
    <row r="40" spans="2:65" ht="21.5" customHeight="1">
      <c r="C40" s="160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49">
        <v>25</v>
      </c>
      <c r="W40" s="79">
        <f>W37+AE37+BC37</f>
        <v>9631736.3636363614</v>
      </c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BB40" s="163">
        <f>BB37+BC37</f>
        <v>12070451.818181816</v>
      </c>
    </row>
    <row r="41" spans="2:65" ht="21.5" customHeight="1">
      <c r="C41" s="160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49">
        <v>15</v>
      </c>
      <c r="V41" s="49">
        <f>17+10+14+5+7+8+9+6</f>
        <v>76</v>
      </c>
      <c r="W41" s="85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BB41" s="79"/>
      <c r="BC41" s="161">
        <f>BB40/G38</f>
        <v>389369.41348973603</v>
      </c>
      <c r="BD41" s="49" t="s">
        <v>50</v>
      </c>
      <c r="BE41" s="49">
        <v>9</v>
      </c>
    </row>
    <row r="42" spans="2:65" ht="21.5" customHeight="1">
      <c r="C42" s="160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49">
        <v>13</v>
      </c>
      <c r="W42" s="79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BE42" s="49">
        <v>8</v>
      </c>
      <c r="BF42" s="85">
        <f>AS37</f>
        <v>0</v>
      </c>
    </row>
    <row r="43" spans="2:65" ht="21.5" customHeight="1">
      <c r="C43" s="160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49">
        <v>10</v>
      </c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BB43" s="85">
        <f>BB37+BC37</f>
        <v>12070451.818181816</v>
      </c>
      <c r="BC43" s="164" t="s">
        <v>51</v>
      </c>
      <c r="BE43" s="49">
        <v>7</v>
      </c>
      <c r="BF43" s="165">
        <f>'[1]2023(7)'!AS37</f>
        <v>15843636.363636361</v>
      </c>
      <c r="BG43" s="165">
        <v>6266320</v>
      </c>
      <c r="BH43" s="166">
        <f>BG43/BF43</f>
        <v>0.39551021344962134</v>
      </c>
    </row>
    <row r="44" spans="2:65" ht="21.5" customHeight="1">
      <c r="C44" s="160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49">
        <v>40</v>
      </c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Z44" s="130"/>
      <c r="BA44" s="167" t="s">
        <v>52</v>
      </c>
      <c r="BB44" s="147">
        <f>J45+R45+AE45+BC44+AM45+AW45</f>
        <v>12856861</v>
      </c>
      <c r="BC44" s="168">
        <v>85951</v>
      </c>
      <c r="BD44" s="130"/>
      <c r="BE44" s="49">
        <v>6</v>
      </c>
      <c r="BF44" s="165">
        <v>7119727</v>
      </c>
      <c r="BG44" s="165">
        <v>2680643</v>
      </c>
      <c r="BH44" s="166">
        <f t="shared" ref="BH44:BH45" si="40">BG44/BF44</f>
        <v>0.37650923975034434</v>
      </c>
      <c r="BI44" s="49" t="s">
        <v>53</v>
      </c>
    </row>
    <row r="45" spans="2:65" ht="21" customHeight="1">
      <c r="H45" s="169"/>
      <c r="I45" s="170" t="s">
        <v>54</v>
      </c>
      <c r="J45" s="147">
        <v>4068810</v>
      </c>
      <c r="K45" s="171" t="s">
        <v>55</v>
      </c>
      <c r="L45" s="130"/>
      <c r="M45" s="130"/>
      <c r="N45" s="130"/>
      <c r="O45" s="130"/>
      <c r="P45" s="130"/>
      <c r="Q45" s="170" t="s">
        <v>56</v>
      </c>
      <c r="R45" s="147">
        <v>6790050</v>
      </c>
      <c r="S45" s="171" t="s">
        <v>55</v>
      </c>
      <c r="T45" s="130">
        <v>10</v>
      </c>
      <c r="U45" s="130"/>
      <c r="V45" s="170" t="s">
        <v>57</v>
      </c>
      <c r="W45" s="147">
        <f>J45+R45</f>
        <v>10858860</v>
      </c>
      <c r="X45" s="171" t="s">
        <v>55</v>
      </c>
      <c r="Y45" s="130"/>
      <c r="Z45" s="130"/>
      <c r="AA45" s="130"/>
      <c r="AB45" s="130"/>
      <c r="AC45" s="130"/>
      <c r="AD45" s="169" t="s">
        <v>58</v>
      </c>
      <c r="AE45" s="147">
        <v>291600</v>
      </c>
      <c r="AF45" s="171" t="s">
        <v>55</v>
      </c>
      <c r="AG45" s="171"/>
      <c r="AH45" s="171"/>
      <c r="AI45" s="171"/>
      <c r="AJ45" s="171"/>
      <c r="AK45" s="130"/>
      <c r="AL45" s="170" t="s">
        <v>59</v>
      </c>
      <c r="AM45" s="147">
        <v>1620450</v>
      </c>
      <c r="AN45" s="171" t="s">
        <v>55</v>
      </c>
      <c r="AO45" s="171"/>
      <c r="AP45" s="171"/>
      <c r="AQ45" s="171"/>
      <c r="AR45" s="171"/>
      <c r="AS45" s="130"/>
      <c r="AT45" s="170" t="s">
        <v>60</v>
      </c>
      <c r="AU45" s="170"/>
      <c r="AV45" s="170"/>
      <c r="AW45" s="147">
        <v>0</v>
      </c>
      <c r="AX45" s="171" t="s">
        <v>55</v>
      </c>
      <c r="AY45" s="130"/>
      <c r="AZ45" s="130"/>
      <c r="BA45" s="167" t="s">
        <v>61</v>
      </c>
      <c r="BB45" s="146">
        <f>BB44-BB37-BC37</f>
        <v>786409.18181818351</v>
      </c>
      <c r="BC45" s="146">
        <f>BC44-BC37</f>
        <v>-58549</v>
      </c>
      <c r="BD45" s="172">
        <f>BC37/BC44</f>
        <v>1.6811904457190725</v>
      </c>
      <c r="BE45" s="49">
        <v>5</v>
      </c>
      <c r="BF45" s="165">
        <v>637682</v>
      </c>
      <c r="BG45" s="165"/>
      <c r="BH45" s="166">
        <f t="shared" si="40"/>
        <v>0</v>
      </c>
      <c r="BI45" s="79" t="s">
        <v>62</v>
      </c>
      <c r="BM45" s="49"/>
    </row>
    <row r="46" spans="2:65" ht="21" customHeight="1">
      <c r="H46" s="169"/>
      <c r="I46" s="169" t="s">
        <v>61</v>
      </c>
      <c r="J46" s="146">
        <f>J45-J37</f>
        <v>366482.72727272753</v>
      </c>
      <c r="K46" s="173">
        <f>C38-G38</f>
        <v>0</v>
      </c>
      <c r="L46" s="130"/>
      <c r="M46" s="130"/>
      <c r="N46" s="130"/>
      <c r="O46" s="130"/>
      <c r="P46" s="130"/>
      <c r="Q46" s="169" t="s">
        <v>61</v>
      </c>
      <c r="R46" s="146">
        <f>R45-R37</f>
        <v>1206731.8181818184</v>
      </c>
      <c r="S46" s="130">
        <f>K46</f>
        <v>0</v>
      </c>
      <c r="T46" s="130"/>
      <c r="U46" s="130"/>
      <c r="V46" s="169" t="s">
        <v>61</v>
      </c>
      <c r="W46" s="146">
        <f>W45-W37</f>
        <v>1573214.5454545468</v>
      </c>
      <c r="X46" s="130">
        <f>S46</f>
        <v>0</v>
      </c>
      <c r="Y46" s="130"/>
      <c r="Z46" s="130"/>
      <c r="AA46" s="130"/>
      <c r="AB46" s="130"/>
      <c r="AC46" s="130"/>
      <c r="AD46" s="169" t="s">
        <v>61</v>
      </c>
      <c r="AE46" s="146">
        <f>AE45-AE37</f>
        <v>90009.090909090912</v>
      </c>
      <c r="AF46" s="130">
        <f>K46</f>
        <v>0</v>
      </c>
      <c r="AG46" s="130"/>
      <c r="AH46" s="130"/>
      <c r="AI46" s="130"/>
      <c r="AJ46" s="130"/>
      <c r="AK46" s="130"/>
      <c r="AL46" s="169" t="s">
        <v>61</v>
      </c>
      <c r="AM46" s="146">
        <f>AM45-AM37</f>
        <v>-820185.45454545412</v>
      </c>
      <c r="AN46" s="130">
        <f>AF46</f>
        <v>0</v>
      </c>
      <c r="AO46" s="130"/>
      <c r="AP46" s="130"/>
      <c r="AQ46" s="130"/>
      <c r="AR46" s="130"/>
      <c r="AS46" s="130"/>
      <c r="AT46" s="169" t="s">
        <v>61</v>
      </c>
      <c r="AU46" s="169"/>
      <c r="AV46" s="174"/>
      <c r="AW46" s="146">
        <f>AW45-AW37</f>
        <v>0</v>
      </c>
      <c r="AX46" s="130">
        <f>AN46</f>
        <v>0</v>
      </c>
      <c r="AY46" s="130"/>
      <c r="AZ46" s="175"/>
      <c r="BA46" s="176" t="s">
        <v>63</v>
      </c>
      <c r="BB46" s="177" t="e">
        <f>BB45/K46</f>
        <v>#DIV/0!</v>
      </c>
      <c r="BC46" s="178">
        <f>(BB37+BC37)/BB44</f>
        <v>0.93883350050854686</v>
      </c>
      <c r="BD46" s="175"/>
      <c r="BE46" s="179"/>
      <c r="BF46" s="180">
        <f>SUM(BF41:BF45)</f>
        <v>23601045.36363636</v>
      </c>
      <c r="BG46" s="181">
        <f>BK71</f>
        <v>9138052</v>
      </c>
      <c r="BH46" s="182">
        <f>BG46/BF46</f>
        <v>0.38718844268142383</v>
      </c>
      <c r="BI46" s="183">
        <f>BF46-BG46</f>
        <v>14462993.36363636</v>
      </c>
      <c r="BM46" s="49"/>
    </row>
    <row r="47" spans="2:65" s="179" customFormat="1" ht="26" customHeight="1">
      <c r="B47" s="184"/>
      <c r="H47" s="185"/>
      <c r="I47" s="176" t="s">
        <v>63</v>
      </c>
      <c r="J47" s="186" t="e">
        <f>J46/K46</f>
        <v>#DIV/0!</v>
      </c>
      <c r="K47" s="187">
        <f>J37/J45</f>
        <v>0.90992876854099169</v>
      </c>
      <c r="L47" s="175"/>
      <c r="M47" s="175"/>
      <c r="N47" s="175"/>
      <c r="O47" s="175"/>
      <c r="P47" s="175"/>
      <c r="Q47" s="176" t="s">
        <v>63</v>
      </c>
      <c r="R47" s="177" t="e">
        <f>R46/S46</f>
        <v>#DIV/0!</v>
      </c>
      <c r="S47" s="187">
        <f>R37/R45</f>
        <v>0.82227939143573048</v>
      </c>
      <c r="T47" s="175"/>
      <c r="U47" s="175"/>
      <c r="V47" s="176" t="s">
        <v>63</v>
      </c>
      <c r="W47" s="177" t="e">
        <f>W46/X46</f>
        <v>#DIV/0!</v>
      </c>
      <c r="X47" s="187">
        <f>W37/W45</f>
        <v>0.8551215739539374</v>
      </c>
      <c r="Y47" s="175"/>
      <c r="Z47" s="175"/>
      <c r="AA47" s="175"/>
      <c r="AB47" s="175"/>
      <c r="AC47" s="175"/>
      <c r="AD47" s="176" t="s">
        <v>63</v>
      </c>
      <c r="AE47" s="186" t="e">
        <f>AE46/AF46</f>
        <v>#DIV/0!</v>
      </c>
      <c r="AF47" s="187">
        <f>AE37/AE45</f>
        <v>0.69132684873425609</v>
      </c>
      <c r="AG47" s="187"/>
      <c r="AH47" s="187"/>
      <c r="AI47" s="187"/>
      <c r="AJ47" s="187"/>
      <c r="AK47" s="175"/>
      <c r="AL47" s="176" t="s">
        <v>63</v>
      </c>
      <c r="AM47" s="177" t="e">
        <f>AM46/AN46</f>
        <v>#DIV/0!</v>
      </c>
      <c r="AN47" s="187">
        <f>AM37/AM45</f>
        <v>1.5061467213091759</v>
      </c>
      <c r="AO47" s="187"/>
      <c r="AP47" s="187"/>
      <c r="AQ47" s="187"/>
      <c r="AR47" s="187"/>
      <c r="AS47" s="175"/>
      <c r="AT47" s="176" t="s">
        <v>63</v>
      </c>
      <c r="AU47" s="176"/>
      <c r="AV47" s="176" t="e">
        <f>AV46/AX46</f>
        <v>#DIV/0!</v>
      </c>
      <c r="AW47" s="177" t="e">
        <f>AW46/AX46</f>
        <v>#DIV/0!</v>
      </c>
      <c r="AX47" s="187" t="e">
        <f>AW37/AW45</f>
        <v>#DIV/0!</v>
      </c>
      <c r="AY47" s="175"/>
      <c r="AZ47" s="49"/>
      <c r="BA47" s="49"/>
      <c r="BB47" s="85"/>
      <c r="BC47" s="49"/>
      <c r="BD47" s="49"/>
      <c r="BE47" s="49"/>
      <c r="BI47" s="188"/>
      <c r="BK47" s="188"/>
    </row>
    <row r="48" spans="2:65">
      <c r="H48" s="49">
        <v>931</v>
      </c>
      <c r="I48" s="49">
        <f>H48/31</f>
        <v>30.032258064516128</v>
      </c>
      <c r="K48" s="49">
        <f>J45/31</f>
        <v>131251.93548387097</v>
      </c>
      <c r="P48" s="49">
        <v>557</v>
      </c>
      <c r="Q48" s="49">
        <f>P48/31</f>
        <v>17.967741935483872</v>
      </c>
      <c r="S48" s="49">
        <f>R45/31</f>
        <v>219033.87096774194</v>
      </c>
      <c r="AX48" s="49" t="e">
        <f>AW37/AV45</f>
        <v>#DIV/0!</v>
      </c>
      <c r="AZ48" s="189"/>
      <c r="BA48" s="189"/>
      <c r="BB48" s="189"/>
      <c r="BC48" s="189"/>
      <c r="BD48" s="189"/>
      <c r="BE48" s="189"/>
      <c r="BI48" s="79"/>
      <c r="BM48" s="49"/>
    </row>
    <row r="49" spans="2:63" s="189" customFormat="1" ht="24" customHeight="1">
      <c r="B49" s="190"/>
      <c r="I49" s="189" t="s">
        <v>64</v>
      </c>
      <c r="J49" s="191">
        <f>(I5+I8+I9+I10+I11+I12+I15+I16+I17+I18+I19+I22+I23+I24+I25+I26)/16</f>
        <v>623.03540548707747</v>
      </c>
      <c r="K49" s="189">
        <v>800000</v>
      </c>
      <c r="L49" s="192"/>
      <c r="M49" s="49"/>
      <c r="N49" s="49"/>
      <c r="O49" s="49"/>
      <c r="P49" s="49"/>
      <c r="Q49" s="49"/>
      <c r="R49" s="192">
        <v>400000</v>
      </c>
      <c r="AE49" s="189">
        <f>AE45/30</f>
        <v>9720</v>
      </c>
      <c r="AQ49" s="193">
        <f>AP14+AP21</f>
        <v>0</v>
      </c>
      <c r="AR49" s="194" t="e">
        <f>AR14+AR21</f>
        <v>#DIV/0!</v>
      </c>
      <c r="AS49" s="194" t="e">
        <f>AT14+AT21</f>
        <v>#DIV/0!</v>
      </c>
      <c r="AW49" s="189">
        <f>AW45/30</f>
        <v>0</v>
      </c>
      <c r="AZ49" s="1"/>
      <c r="BA49" s="1"/>
      <c r="BB49" s="1"/>
      <c r="BC49" s="1"/>
      <c r="BD49" s="195" t="s">
        <v>65</v>
      </c>
      <c r="BE49" s="1" t="s">
        <v>66</v>
      </c>
      <c r="BF49" s="1" t="s">
        <v>67</v>
      </c>
      <c r="BG49" s="1" t="s">
        <v>68</v>
      </c>
      <c r="BH49" s="1" t="s">
        <v>69</v>
      </c>
      <c r="BI49" s="196" t="s">
        <v>70</v>
      </c>
      <c r="BJ49" s="196" t="s">
        <v>71</v>
      </c>
      <c r="BK49" s="196" t="s">
        <v>72</v>
      </c>
    </row>
    <row r="50" spans="2:63" s="1" customFormat="1" ht="24" customHeight="1">
      <c r="B50" s="190"/>
      <c r="I50" s="1" t="s">
        <v>73</v>
      </c>
      <c r="J50" s="191">
        <f>(I6+I7+I13+I14+I20+I21+I27)/7</f>
        <v>657.64370926433821</v>
      </c>
      <c r="L50" s="197"/>
      <c r="M50" s="49"/>
      <c r="N50" s="49"/>
      <c r="O50" s="49"/>
      <c r="P50" s="49"/>
      <c r="Q50" s="49"/>
      <c r="R50" s="197"/>
      <c r="S50" s="197"/>
      <c r="Z50" s="198"/>
      <c r="AQ50" s="1">
        <f>AQ49/2</f>
        <v>0</v>
      </c>
      <c r="AR50" s="199" t="e">
        <f t="shared" ref="AR50:AS50" si="41">AR49/2</f>
        <v>#DIV/0!</v>
      </c>
      <c r="AS50" s="199" t="e">
        <f t="shared" si="41"/>
        <v>#DIV/0!</v>
      </c>
      <c r="AW50" s="1">
        <v>54000000</v>
      </c>
      <c r="AX50" s="200">
        <f>AW50-AW37</f>
        <v>54000000</v>
      </c>
      <c r="AZ50" s="189"/>
      <c r="BA50" s="189"/>
      <c r="BB50" s="189"/>
      <c r="BC50" s="189"/>
      <c r="BD50" s="195" t="s">
        <v>74</v>
      </c>
      <c r="BE50" s="201">
        <v>1800</v>
      </c>
      <c r="BF50" s="201">
        <v>21</v>
      </c>
      <c r="BG50" s="202">
        <v>0</v>
      </c>
      <c r="BH50" s="201"/>
      <c r="BI50" s="203">
        <f>BF50*BE50</f>
        <v>37800</v>
      </c>
      <c r="BJ50" s="203">
        <f>BE50*BG50</f>
        <v>0</v>
      </c>
      <c r="BK50" s="203">
        <f>BI50-BJ50</f>
        <v>37800</v>
      </c>
    </row>
    <row r="51" spans="2:63" s="189" customFormat="1" ht="24" customHeight="1">
      <c r="B51" s="190"/>
      <c r="K51" s="1"/>
      <c r="L51" s="197"/>
      <c r="M51" s="49"/>
      <c r="N51" s="49"/>
      <c r="O51" s="49"/>
      <c r="P51" s="49"/>
      <c r="Q51" s="49"/>
      <c r="R51" s="204"/>
      <c r="S51" s="205"/>
      <c r="T51" s="205"/>
      <c r="U51" s="205" t="s">
        <v>75</v>
      </c>
      <c r="V51" s="205"/>
      <c r="W51" s="206"/>
      <c r="X51" s="207"/>
      <c r="Y51" s="195"/>
      <c r="Z51" s="203"/>
      <c r="AX51" s="189" t="e">
        <f>AX50/AX46</f>
        <v>#DIV/0!</v>
      </c>
      <c r="BD51" s="195" t="s">
        <v>76</v>
      </c>
      <c r="BE51" s="201">
        <v>10800</v>
      </c>
      <c r="BF51" s="201">
        <v>640</v>
      </c>
      <c r="BG51" s="201">
        <v>20</v>
      </c>
      <c r="BH51" s="201"/>
      <c r="BI51" s="203">
        <f t="shared" ref="BI51:BI70" si="42">BE51*BF51</f>
        <v>6912000</v>
      </c>
      <c r="BJ51" s="203">
        <f t="shared" ref="BJ51:BJ70" si="43">BE51*BG51</f>
        <v>216000</v>
      </c>
      <c r="BK51" s="203">
        <f t="shared" ref="BK51:BK70" si="44">BI51-BJ51</f>
        <v>6696000</v>
      </c>
    </row>
    <row r="52" spans="2:63" s="189" customFormat="1" ht="24" customHeight="1">
      <c r="B52" s="190"/>
      <c r="K52" s="1"/>
      <c r="L52" s="197"/>
      <c r="M52" s="49"/>
      <c r="N52" s="49"/>
      <c r="O52" s="49"/>
      <c r="P52" s="49"/>
      <c r="Q52" s="49"/>
      <c r="R52" s="206"/>
      <c r="S52" s="205"/>
      <c r="T52" s="205"/>
      <c r="U52" s="208" t="s">
        <v>77</v>
      </c>
      <c r="V52" s="209" t="s">
        <v>78</v>
      </c>
      <c r="W52" s="210"/>
      <c r="X52" s="211" t="e">
        <f>W52/Y52</f>
        <v>#DIV/0!</v>
      </c>
      <c r="Y52" s="212">
        <f>W52+W53</f>
        <v>0</v>
      </c>
      <c r="Z52" s="213"/>
      <c r="AA52" s="213"/>
      <c r="BD52" s="195" t="s">
        <v>79</v>
      </c>
      <c r="BE52" s="201">
        <v>6120</v>
      </c>
      <c r="BF52" s="201">
        <v>40</v>
      </c>
      <c r="BG52" s="201">
        <v>4</v>
      </c>
      <c r="BH52" s="201"/>
      <c r="BI52" s="203">
        <f t="shared" si="42"/>
        <v>244800</v>
      </c>
      <c r="BJ52" s="203">
        <f t="shared" si="43"/>
        <v>24480</v>
      </c>
      <c r="BK52" s="203">
        <f t="shared" si="44"/>
        <v>220320</v>
      </c>
    </row>
    <row r="53" spans="2:63" s="189" customFormat="1" ht="24" customHeight="1">
      <c r="B53" s="190"/>
      <c r="K53" s="1"/>
      <c r="L53" s="197"/>
      <c r="M53" s="49"/>
      <c r="N53" s="49"/>
      <c r="O53" s="49"/>
      <c r="P53" s="49"/>
      <c r="Q53" s="49"/>
      <c r="R53" s="206"/>
      <c r="S53" s="205"/>
      <c r="T53" s="205"/>
      <c r="U53" s="208"/>
      <c r="V53" s="209" t="s">
        <v>80</v>
      </c>
      <c r="W53" s="210"/>
      <c r="X53" s="211" t="e">
        <f>W53/Y52</f>
        <v>#DIV/0!</v>
      </c>
      <c r="Y53" s="213"/>
      <c r="Z53" s="213"/>
      <c r="AA53" s="213"/>
      <c r="AU53" s="189">
        <v>4670600</v>
      </c>
      <c r="AV53" s="189">
        <v>19016645.454545453</v>
      </c>
      <c r="AW53" s="189">
        <v>16482254.545454545</v>
      </c>
      <c r="AX53" s="189">
        <v>6958118.1818181816</v>
      </c>
      <c r="BB53" s="189" t="s">
        <v>81</v>
      </c>
      <c r="BD53" s="195" t="s">
        <v>82</v>
      </c>
      <c r="BE53" s="201">
        <v>1780</v>
      </c>
      <c r="BF53" s="201">
        <v>24</v>
      </c>
      <c r="BG53" s="201">
        <v>4</v>
      </c>
      <c r="BH53" s="201"/>
      <c r="BI53" s="203">
        <f t="shared" si="42"/>
        <v>42720</v>
      </c>
      <c r="BJ53" s="203">
        <f t="shared" si="43"/>
        <v>7120</v>
      </c>
      <c r="BK53" s="203">
        <f t="shared" si="44"/>
        <v>35600</v>
      </c>
    </row>
    <row r="54" spans="2:63" s="189" customFormat="1" ht="24" customHeight="1">
      <c r="B54" s="190"/>
      <c r="K54" s="1"/>
      <c r="L54" s="197"/>
      <c r="M54" s="49"/>
      <c r="N54" s="49"/>
      <c r="O54" s="49"/>
      <c r="P54" s="49"/>
      <c r="Q54" s="49"/>
      <c r="R54" s="206"/>
      <c r="S54" s="205"/>
      <c r="T54" s="205"/>
      <c r="U54" s="214" t="s">
        <v>83</v>
      </c>
      <c r="V54" s="209" t="s">
        <v>78</v>
      </c>
      <c r="W54" s="210"/>
      <c r="X54" s="211" t="e">
        <f t="shared" ref="X54" si="45">W54/Y54</f>
        <v>#DIV/0!</v>
      </c>
      <c r="Y54" s="212">
        <f t="shared" ref="Y54" si="46">W54+W55</f>
        <v>0</v>
      </c>
      <c r="Z54" s="213"/>
      <c r="AA54" s="213"/>
      <c r="BD54" s="195" t="s">
        <v>84</v>
      </c>
      <c r="BE54" s="201">
        <v>1780</v>
      </c>
      <c r="BF54" s="201">
        <v>24</v>
      </c>
      <c r="BG54" s="201">
        <v>20</v>
      </c>
      <c r="BH54" s="201"/>
      <c r="BI54" s="203">
        <f t="shared" si="42"/>
        <v>42720</v>
      </c>
      <c r="BJ54" s="203">
        <f t="shared" si="43"/>
        <v>35600</v>
      </c>
      <c r="BK54" s="203">
        <f t="shared" si="44"/>
        <v>7120</v>
      </c>
    </row>
    <row r="55" spans="2:63" s="189" customFormat="1" ht="24" customHeight="1">
      <c r="B55" s="190"/>
      <c r="L55" s="192"/>
      <c r="M55" s="49"/>
      <c r="N55" s="49"/>
      <c r="O55" s="49"/>
      <c r="P55" s="49"/>
      <c r="Q55" s="49"/>
      <c r="R55" s="215"/>
      <c r="S55" s="205"/>
      <c r="T55" s="205"/>
      <c r="U55" s="214"/>
      <c r="V55" s="209" t="s">
        <v>80</v>
      </c>
      <c r="W55" s="210"/>
      <c r="X55" s="211" t="e">
        <f t="shared" ref="X55" si="47">W55/Y54</f>
        <v>#DIV/0!</v>
      </c>
      <c r="Y55" s="213"/>
      <c r="Z55" s="213"/>
      <c r="AA55" s="213"/>
      <c r="AZ55" s="49"/>
      <c r="BA55" s="49"/>
      <c r="BB55" s="49"/>
      <c r="BC55" s="49"/>
      <c r="BD55" s="195" t="s">
        <v>85</v>
      </c>
      <c r="BE55" s="216">
        <v>8190</v>
      </c>
      <c r="BF55" s="201">
        <v>13</v>
      </c>
      <c r="BG55" s="201">
        <v>4</v>
      </c>
      <c r="BH55" s="201"/>
      <c r="BI55" s="203">
        <f t="shared" si="42"/>
        <v>106470</v>
      </c>
      <c r="BJ55" s="203">
        <f t="shared" si="43"/>
        <v>32760</v>
      </c>
      <c r="BK55" s="203">
        <f t="shared" si="44"/>
        <v>73710</v>
      </c>
    </row>
    <row r="56" spans="2:63" ht="24" customHeight="1">
      <c r="U56" s="217" t="s">
        <v>2</v>
      </c>
      <c r="V56" s="218" t="s">
        <v>78</v>
      </c>
      <c r="W56" s="210"/>
      <c r="X56" s="211" t="e">
        <f t="shared" ref="X56:X58" si="48">W56/Y56</f>
        <v>#DIV/0!</v>
      </c>
      <c r="Y56" s="212">
        <f t="shared" ref="Y56" si="49">W56+W57</f>
        <v>0</v>
      </c>
      <c r="Z56" s="213"/>
      <c r="AA56" s="213"/>
      <c r="BD56" s="195" t="s">
        <v>86</v>
      </c>
      <c r="BE56" s="216">
        <v>5784</v>
      </c>
      <c r="BF56" s="216">
        <v>36</v>
      </c>
      <c r="BG56" s="216">
        <v>28</v>
      </c>
      <c r="BH56" s="216"/>
      <c r="BI56" s="203">
        <f t="shared" si="42"/>
        <v>208224</v>
      </c>
      <c r="BJ56" s="203">
        <f t="shared" si="43"/>
        <v>161952</v>
      </c>
      <c r="BK56" s="203">
        <f t="shared" si="44"/>
        <v>46272</v>
      </c>
    </row>
    <row r="57" spans="2:63" ht="24" customHeight="1">
      <c r="U57" s="217"/>
      <c r="V57" s="218" t="s">
        <v>80</v>
      </c>
      <c r="W57" s="210"/>
      <c r="X57" s="211" t="e">
        <f t="shared" ref="X57:X59" si="50">W57/Y56</f>
        <v>#DIV/0!</v>
      </c>
      <c r="Y57" s="213"/>
      <c r="Z57" s="213"/>
      <c r="AA57" s="213"/>
      <c r="BD57" s="195" t="s">
        <v>87</v>
      </c>
      <c r="BE57" s="216">
        <v>6775</v>
      </c>
      <c r="BF57" s="216">
        <v>12</v>
      </c>
      <c r="BG57" s="216">
        <v>11</v>
      </c>
      <c r="BH57" s="216"/>
      <c r="BI57" s="203">
        <f t="shared" si="42"/>
        <v>81300</v>
      </c>
      <c r="BJ57" s="203">
        <f t="shared" si="43"/>
        <v>74525</v>
      </c>
      <c r="BK57" s="203">
        <f t="shared" si="44"/>
        <v>6775</v>
      </c>
    </row>
    <row r="58" spans="2:63" ht="24" customHeight="1">
      <c r="U58" s="219" t="s">
        <v>88</v>
      </c>
      <c r="V58" s="218" t="s">
        <v>78</v>
      </c>
      <c r="W58" s="210"/>
      <c r="X58" s="211" t="e">
        <f t="shared" si="48"/>
        <v>#DIV/0!</v>
      </c>
      <c r="Y58" s="220">
        <f>SUM(Y52:AA56)</f>
        <v>0</v>
      </c>
      <c r="Z58" s="221"/>
      <c r="AA58" s="221"/>
      <c r="BD58" s="195" t="s">
        <v>89</v>
      </c>
      <c r="BE58" s="216">
        <v>1755</v>
      </c>
      <c r="BF58" s="216">
        <v>14</v>
      </c>
      <c r="BG58" s="216">
        <v>2</v>
      </c>
      <c r="BH58" s="216"/>
      <c r="BI58" s="203">
        <f t="shared" si="42"/>
        <v>24570</v>
      </c>
      <c r="BJ58" s="203">
        <f t="shared" si="43"/>
        <v>3510</v>
      </c>
      <c r="BK58" s="203">
        <f t="shared" si="44"/>
        <v>21060</v>
      </c>
    </row>
    <row r="59" spans="2:63" ht="24" customHeight="1">
      <c r="F59" s="49">
        <v>346.60869565217394</v>
      </c>
      <c r="G59" s="49">
        <v>301.36363636363637</v>
      </c>
      <c r="H59" s="49">
        <v>801.17391304347825</v>
      </c>
      <c r="I59" s="49">
        <v>591.75</v>
      </c>
      <c r="N59" s="49">
        <v>2473.9333333333334</v>
      </c>
      <c r="O59" s="49">
        <v>6122.2222222222226</v>
      </c>
      <c r="P59" s="49">
        <v>3277</v>
      </c>
      <c r="Q59" s="49">
        <v>507.14285714285717</v>
      </c>
      <c r="U59" s="219"/>
      <c r="V59" s="218" t="s">
        <v>80</v>
      </c>
      <c r="W59" s="210"/>
      <c r="X59" s="211" t="e">
        <f t="shared" si="50"/>
        <v>#DIV/0!</v>
      </c>
      <c r="Y59" s="221"/>
      <c r="Z59" s="221"/>
      <c r="AA59" s="221"/>
      <c r="BD59" s="195" t="s">
        <v>90</v>
      </c>
      <c r="BE59" s="216">
        <v>1755</v>
      </c>
      <c r="BF59" s="216">
        <v>10</v>
      </c>
      <c r="BG59" s="216">
        <v>0</v>
      </c>
      <c r="BH59" s="216"/>
      <c r="BI59" s="203">
        <f t="shared" si="42"/>
        <v>17550</v>
      </c>
      <c r="BJ59" s="203">
        <f t="shared" si="43"/>
        <v>0</v>
      </c>
      <c r="BK59" s="203">
        <f t="shared" si="44"/>
        <v>17550</v>
      </c>
    </row>
    <row r="60" spans="2:63" ht="24" customHeight="1">
      <c r="F60" s="49">
        <v>313.11111111111109</v>
      </c>
      <c r="G60" s="49">
        <v>301.125</v>
      </c>
      <c r="H60" s="49">
        <v>991.89189189189187</v>
      </c>
      <c r="I60" s="49">
        <v>595.73333333333335</v>
      </c>
      <c r="N60" s="49">
        <v>1887.1176470588234</v>
      </c>
      <c r="O60" s="49">
        <v>2474.4615384615386</v>
      </c>
      <c r="P60" s="49">
        <v>1210.7142857142858</v>
      </c>
      <c r="Q60" s="49">
        <v>1056.9666666666667</v>
      </c>
      <c r="BD60" s="195" t="s">
        <v>91</v>
      </c>
      <c r="BE60" s="216">
        <v>1075</v>
      </c>
      <c r="BF60" s="216">
        <v>96</v>
      </c>
      <c r="BG60" s="216">
        <v>38</v>
      </c>
      <c r="BH60" s="216"/>
      <c r="BI60" s="203">
        <f t="shared" si="42"/>
        <v>103200</v>
      </c>
      <c r="BJ60" s="203">
        <f t="shared" si="43"/>
        <v>40850</v>
      </c>
      <c r="BK60" s="203">
        <f t="shared" si="44"/>
        <v>62350</v>
      </c>
    </row>
    <row r="61" spans="2:63" ht="24" customHeight="1">
      <c r="F61" s="49">
        <v>603.85</v>
      </c>
      <c r="G61" s="49">
        <v>457.44</v>
      </c>
      <c r="H61" s="49">
        <v>1139.4827586206898</v>
      </c>
      <c r="I61" s="49">
        <v>847.56666666666672</v>
      </c>
      <c r="N61" s="49">
        <v>1504.7619047619048</v>
      </c>
      <c r="O61" s="49">
        <v>1838.3333333333333</v>
      </c>
      <c r="P61" s="49">
        <v>1940.7241379310344</v>
      </c>
      <c r="Q61" s="49">
        <v>1493</v>
      </c>
      <c r="BD61" s="195" t="s">
        <v>92</v>
      </c>
      <c r="BE61" s="216">
        <v>3860</v>
      </c>
      <c r="BF61" s="216">
        <v>166</v>
      </c>
      <c r="BG61" s="216">
        <v>13</v>
      </c>
      <c r="BH61" s="216"/>
      <c r="BI61" s="203">
        <f t="shared" si="42"/>
        <v>640760</v>
      </c>
      <c r="BJ61" s="203">
        <f t="shared" si="43"/>
        <v>50180</v>
      </c>
      <c r="BK61" s="203">
        <f t="shared" si="44"/>
        <v>590580</v>
      </c>
    </row>
    <row r="62" spans="2:63" ht="24" customHeight="1">
      <c r="F62" s="49">
        <v>343.40740740740739</v>
      </c>
      <c r="G62" s="49">
        <v>387.26666666666665</v>
      </c>
      <c r="H62" s="49">
        <v>2381.804347826087</v>
      </c>
      <c r="I62" s="49">
        <v>694.28571428571433</v>
      </c>
      <c r="N62" s="49">
        <v>1742.5625</v>
      </c>
      <c r="O62" s="49">
        <v>1967.25</v>
      </c>
      <c r="P62" s="49">
        <v>1330.2962962962963</v>
      </c>
      <c r="Q62" s="49">
        <v>1470.4166666666667</v>
      </c>
      <c r="BD62" s="195" t="s">
        <v>93</v>
      </c>
      <c r="BE62" s="216">
        <v>6450</v>
      </c>
      <c r="BF62" s="216">
        <v>137</v>
      </c>
      <c r="BG62" s="216">
        <v>12</v>
      </c>
      <c r="BH62" s="216"/>
      <c r="BI62" s="203">
        <f t="shared" si="42"/>
        <v>883650</v>
      </c>
      <c r="BJ62" s="203">
        <f t="shared" si="43"/>
        <v>77400</v>
      </c>
      <c r="BK62" s="203">
        <f t="shared" si="44"/>
        <v>806250</v>
      </c>
    </row>
    <row r="63" spans="2:63" ht="24" customHeight="1">
      <c r="F63" s="49">
        <v>208.22727272727272</v>
      </c>
      <c r="G63" s="49">
        <v>257.91666666666669</v>
      </c>
      <c r="H63" s="49">
        <v>560.46153846153845</v>
      </c>
      <c r="I63" s="49">
        <v>858.42857142857144</v>
      </c>
      <c r="N63" s="49">
        <v>2161.5555555555557</v>
      </c>
      <c r="O63" s="49">
        <v>2455.9230769230771</v>
      </c>
      <c r="P63" s="49">
        <v>2270</v>
      </c>
      <c r="Q63" s="49">
        <v>1696.9666666666667</v>
      </c>
      <c r="BD63" s="195" t="s">
        <v>94</v>
      </c>
      <c r="BE63" s="216">
        <v>1380</v>
      </c>
      <c r="BF63" s="216">
        <v>35</v>
      </c>
      <c r="BG63" s="216">
        <v>5</v>
      </c>
      <c r="BH63" s="216"/>
      <c r="BI63" s="203">
        <f t="shared" si="42"/>
        <v>48300</v>
      </c>
      <c r="BJ63" s="203">
        <f t="shared" si="43"/>
        <v>6900</v>
      </c>
      <c r="BK63" s="203">
        <f t="shared" si="44"/>
        <v>41400</v>
      </c>
    </row>
    <row r="64" spans="2:63" ht="24" customHeight="1">
      <c r="F64" s="49">
        <v>1347.6206896551723</v>
      </c>
      <c r="G64" s="49">
        <v>382.63636363636363</v>
      </c>
      <c r="H64" s="49">
        <v>791.6</v>
      </c>
      <c r="I64" s="49">
        <v>821.5</v>
      </c>
      <c r="N64" s="49">
        <v>3109.0731707317073</v>
      </c>
      <c r="O64" s="49">
        <v>2867.5</v>
      </c>
      <c r="P64" s="49">
        <v>1673.8333333333333</v>
      </c>
      <c r="Q64" s="49">
        <v>1269</v>
      </c>
      <c r="BD64" s="195" t="s">
        <v>95</v>
      </c>
      <c r="BE64" s="216">
        <v>1380</v>
      </c>
      <c r="BF64" s="216">
        <v>39</v>
      </c>
      <c r="BG64" s="216">
        <v>6</v>
      </c>
      <c r="BH64" s="216"/>
      <c r="BI64" s="203">
        <f t="shared" si="42"/>
        <v>53820</v>
      </c>
      <c r="BJ64" s="203">
        <f t="shared" si="43"/>
        <v>8280</v>
      </c>
      <c r="BK64" s="203">
        <f t="shared" si="44"/>
        <v>45540</v>
      </c>
    </row>
    <row r="65" spans="6:63" ht="24" customHeight="1">
      <c r="F65" s="49">
        <v>547.19354838709683</v>
      </c>
      <c r="G65" s="49">
        <v>174.07407407407408</v>
      </c>
      <c r="H65" s="49">
        <v>791.66666666666663</v>
      </c>
      <c r="I65" s="49">
        <v>1078.7878787878788</v>
      </c>
      <c r="N65" s="49">
        <v>2510.9</v>
      </c>
      <c r="O65" s="49">
        <v>4228.2222222222226</v>
      </c>
      <c r="P65" s="49">
        <v>2237.6999999999998</v>
      </c>
      <c r="Q65" s="49">
        <v>1475</v>
      </c>
      <c r="BD65" s="195" t="s">
        <v>96</v>
      </c>
      <c r="BE65" s="216">
        <v>160</v>
      </c>
      <c r="BF65" s="216">
        <v>594</v>
      </c>
      <c r="BG65" s="216">
        <v>53</v>
      </c>
      <c r="BH65" s="216"/>
      <c r="BI65" s="203">
        <f t="shared" si="42"/>
        <v>95040</v>
      </c>
      <c r="BJ65" s="203">
        <f t="shared" si="43"/>
        <v>8480</v>
      </c>
      <c r="BK65" s="203">
        <f t="shared" si="44"/>
        <v>86560</v>
      </c>
    </row>
    <row r="66" spans="6:63" ht="24" customHeight="1">
      <c r="F66" s="49">
        <v>517.64705882352939</v>
      </c>
      <c r="G66" s="49">
        <v>457.8</v>
      </c>
      <c r="I66" s="49">
        <v>796.08571428571429</v>
      </c>
      <c r="N66" s="49">
        <v>2083.0952380952381</v>
      </c>
      <c r="O66" s="49">
        <v>596.20000000000005</v>
      </c>
      <c r="Q66" s="49">
        <v>1050.8148148148148</v>
      </c>
      <c r="BD66" s="195" t="s">
        <v>97</v>
      </c>
      <c r="BE66" s="216">
        <v>160</v>
      </c>
      <c r="BF66" s="216">
        <v>300</v>
      </c>
      <c r="BG66" s="216">
        <v>47</v>
      </c>
      <c r="BH66" s="216"/>
      <c r="BI66" s="203">
        <f t="shared" si="42"/>
        <v>48000</v>
      </c>
      <c r="BJ66" s="203">
        <f t="shared" si="43"/>
        <v>7520</v>
      </c>
      <c r="BK66" s="203">
        <f t="shared" si="44"/>
        <v>40480</v>
      </c>
    </row>
    <row r="67" spans="6:63" ht="24" customHeight="1">
      <c r="F67" s="49">
        <v>558.35483870967744</v>
      </c>
      <c r="G67" s="49">
        <v>370</v>
      </c>
      <c r="N67" s="49">
        <v>1328.1290322580646</v>
      </c>
      <c r="O67" s="49">
        <v>1228.2142857142858</v>
      </c>
      <c r="BD67" s="195" t="s">
        <v>98</v>
      </c>
      <c r="BE67" s="216">
        <v>205</v>
      </c>
      <c r="BF67" s="216">
        <v>366</v>
      </c>
      <c r="BG67" s="216">
        <v>49</v>
      </c>
      <c r="BH67" s="216"/>
      <c r="BI67" s="203">
        <f t="shared" si="42"/>
        <v>75030</v>
      </c>
      <c r="BJ67" s="203">
        <f t="shared" si="43"/>
        <v>10045</v>
      </c>
      <c r="BK67" s="203">
        <f t="shared" si="44"/>
        <v>64985</v>
      </c>
    </row>
    <row r="68" spans="6:63" ht="24" customHeight="1">
      <c r="F68" s="49">
        <v>522.70000000000005</v>
      </c>
      <c r="G68" s="49">
        <v>100</v>
      </c>
      <c r="N68" s="49">
        <v>2040.8333333333333</v>
      </c>
      <c r="O68" s="49">
        <v>3688.1</v>
      </c>
      <c r="BD68" s="195" t="s">
        <v>99</v>
      </c>
      <c r="BE68" s="216">
        <v>295</v>
      </c>
      <c r="BF68" s="216">
        <v>612</v>
      </c>
      <c r="BG68" s="216">
        <v>86</v>
      </c>
      <c r="BH68" s="216"/>
      <c r="BI68" s="203">
        <f t="shared" si="42"/>
        <v>180540</v>
      </c>
      <c r="BJ68" s="203">
        <f t="shared" si="43"/>
        <v>25370</v>
      </c>
      <c r="BK68" s="203">
        <f t="shared" si="44"/>
        <v>155170</v>
      </c>
    </row>
    <row r="69" spans="6:63" ht="24" customHeight="1">
      <c r="F69" s="49">
        <v>406</v>
      </c>
      <c r="G69" s="49">
        <v>201.25</v>
      </c>
      <c r="N69" s="49">
        <v>4227.2222222222226</v>
      </c>
      <c r="O69" s="49">
        <v>1802.7</v>
      </c>
      <c r="BD69" s="195" t="s">
        <v>100</v>
      </c>
      <c r="BE69" s="216">
        <v>70</v>
      </c>
      <c r="BF69" s="216">
        <v>480</v>
      </c>
      <c r="BG69" s="216">
        <v>71</v>
      </c>
      <c r="BH69" s="216"/>
      <c r="BI69" s="203">
        <f t="shared" si="42"/>
        <v>33600</v>
      </c>
      <c r="BJ69" s="203">
        <f t="shared" si="43"/>
        <v>4970</v>
      </c>
      <c r="BK69" s="203">
        <f t="shared" si="44"/>
        <v>28630</v>
      </c>
    </row>
    <row r="70" spans="6:63" ht="24" customHeight="1">
      <c r="F70" s="49">
        <v>500</v>
      </c>
      <c r="G70" s="49">
        <v>572.21621621621625</v>
      </c>
      <c r="N70" s="49">
        <v>2111.25</v>
      </c>
      <c r="O70" s="49">
        <v>1473.1578947368421</v>
      </c>
      <c r="BD70" s="195" t="s">
        <v>101</v>
      </c>
      <c r="BE70" s="216">
        <v>2450</v>
      </c>
      <c r="BF70" s="216">
        <v>31</v>
      </c>
      <c r="BG70" s="216">
        <v>9</v>
      </c>
      <c r="BH70" s="216"/>
      <c r="BI70" s="203">
        <f t="shared" si="42"/>
        <v>75950</v>
      </c>
      <c r="BJ70" s="203">
        <f t="shared" si="43"/>
        <v>22050</v>
      </c>
      <c r="BK70" s="203">
        <f t="shared" si="44"/>
        <v>53900</v>
      </c>
    </row>
    <row r="71" spans="6:63" ht="24" customHeight="1">
      <c r="F71" s="49">
        <v>671.68571428571431</v>
      </c>
      <c r="G71" s="49">
        <v>475.84615384615387</v>
      </c>
      <c r="N71" s="49">
        <v>1641.0322580645161</v>
      </c>
      <c r="O71" s="49">
        <v>2539.5294117647059</v>
      </c>
      <c r="BD71" s="195"/>
      <c r="BI71" s="222">
        <f>SUM(BI50:BI70)</f>
        <v>9956044</v>
      </c>
      <c r="BJ71" s="222">
        <f t="shared" ref="BJ71:BK71" si="51">SUM(BJ50:BJ70)</f>
        <v>817992</v>
      </c>
      <c r="BK71" s="222">
        <f t="shared" si="51"/>
        <v>9138052</v>
      </c>
    </row>
    <row r="72" spans="6:63" ht="24" customHeight="1">
      <c r="F72" s="49">
        <v>333.33333333333331</v>
      </c>
      <c r="G72" s="49">
        <v>439.60714285714283</v>
      </c>
      <c r="N72" s="49">
        <v>5737.5714285714284</v>
      </c>
      <c r="O72" s="49">
        <v>1814.2333333333333</v>
      </c>
      <c r="BD72" s="195"/>
    </row>
    <row r="73" spans="6:63" ht="24" customHeight="1">
      <c r="F73" s="49">
        <v>424.20833333333331</v>
      </c>
      <c r="G73" s="49">
        <v>253.18518518518519</v>
      </c>
      <c r="N73" s="49">
        <v>2000</v>
      </c>
      <c r="O73" s="49">
        <v>920</v>
      </c>
      <c r="BD73" s="195"/>
    </row>
    <row r="74" spans="6:63" ht="24" customHeight="1">
      <c r="F74" s="49">
        <v>316.66666666666669</v>
      </c>
      <c r="G74" s="49">
        <v>497.22222222222223</v>
      </c>
      <c r="N74" s="49">
        <v>1563.1111111111111</v>
      </c>
      <c r="O74" s="49">
        <v>1221.4545454545455</v>
      </c>
      <c r="BD74" s="195"/>
    </row>
    <row r="75" spans="6:63" ht="24" customHeight="1">
      <c r="F75" s="49">
        <v>625.79999999999995</v>
      </c>
      <c r="N75" s="49">
        <v>1707.5</v>
      </c>
      <c r="BD75" s="195"/>
    </row>
    <row r="76" spans="6:63" ht="24" customHeight="1">
      <c r="F76" s="49">
        <f>SUM(F59:F75)</f>
        <v>8586.4146700924884</v>
      </c>
      <c r="G76" s="49">
        <f>SUM(G59:G75)</f>
        <v>5628.949327734329</v>
      </c>
      <c r="H76" s="49">
        <f>SUM(H59:H66)</f>
        <v>7458.0811165103523</v>
      </c>
      <c r="I76" s="49">
        <f>SUM(I59:I68)</f>
        <v>6284.1378787878784</v>
      </c>
      <c r="N76" s="49">
        <f>SUM(N59:N75)</f>
        <v>39829.648735097238</v>
      </c>
      <c r="O76" s="49">
        <f>SUM(O59:O75)</f>
        <v>37237.501864166101</v>
      </c>
      <c r="P76" s="49">
        <f>SUM(P59:P68)</f>
        <v>13940.268053274951</v>
      </c>
      <c r="Q76" s="49">
        <f>SUM(Q59:Q66)</f>
        <v>10019.307671957671</v>
      </c>
      <c r="BD76" s="195"/>
    </row>
    <row r="77" spans="6:63" ht="24" customHeight="1">
      <c r="F77" s="49">
        <f>F76/17</f>
        <v>505.08321588779341</v>
      </c>
      <c r="G77" s="49">
        <f>G76/16</f>
        <v>351.80933298339556</v>
      </c>
      <c r="H77" s="49">
        <f>H76/7</f>
        <v>1065.440159501479</v>
      </c>
      <c r="I77" s="49">
        <f>I76/8</f>
        <v>785.5172348484848</v>
      </c>
      <c r="N77" s="49">
        <f>N76/17</f>
        <v>2342.9205138292491</v>
      </c>
      <c r="O77" s="49">
        <f>O76/16</f>
        <v>2327.3438665103813</v>
      </c>
      <c r="P77" s="49">
        <f>P76/7</f>
        <v>1991.4668647535643</v>
      </c>
      <c r="Q77" s="49">
        <f>Q76/8</f>
        <v>1252.4134589947089</v>
      </c>
      <c r="BD77" s="195"/>
    </row>
    <row r="78" spans="6:63" ht="24" customHeight="1">
      <c r="BD78" s="195"/>
    </row>
    <row r="79" spans="6:63" ht="24" customHeight="1">
      <c r="BD79" s="195"/>
    </row>
    <row r="80" spans="6:63" ht="24" customHeight="1">
      <c r="BD80" s="195"/>
    </row>
    <row r="81" spans="56:56" ht="24" customHeight="1">
      <c r="BD81" s="195"/>
    </row>
    <row r="82" spans="56:56" ht="24" customHeight="1">
      <c r="BD82" s="195"/>
    </row>
    <row r="83" spans="56:56" ht="24" customHeight="1">
      <c r="BD83" s="195"/>
    </row>
    <row r="84" spans="56:56" ht="24" customHeight="1">
      <c r="BD84" s="195"/>
    </row>
    <row r="85" spans="56:56" ht="24" customHeight="1">
      <c r="BD85" s="195"/>
    </row>
    <row r="86" spans="56:56" ht="24" customHeight="1">
      <c r="BD86" s="195"/>
    </row>
    <row r="87" spans="56:56" ht="24" customHeight="1">
      <c r="BD87" s="195"/>
    </row>
    <row r="88" spans="56:56" ht="24" customHeight="1">
      <c r="BD88" s="195"/>
    </row>
    <row r="89" spans="56:56" ht="24" customHeight="1">
      <c r="BD89" s="195"/>
    </row>
    <row r="90" spans="56:56" ht="24" customHeight="1">
      <c r="BD90" s="195"/>
    </row>
    <row r="91" spans="56:56" ht="24" customHeight="1">
      <c r="BD91" s="195"/>
    </row>
    <row r="92" spans="56:56" ht="24" customHeight="1">
      <c r="BD92" s="195"/>
    </row>
    <row r="93" spans="56:56" ht="24" customHeight="1">
      <c r="BD93" s="195"/>
    </row>
    <row r="94" spans="56:56" ht="24" customHeight="1">
      <c r="BD94" s="195"/>
    </row>
    <row r="95" spans="56:56" ht="24" customHeight="1">
      <c r="BD95" s="195"/>
    </row>
    <row r="96" spans="56:56" ht="24" customHeight="1">
      <c r="BD96" s="195"/>
    </row>
    <row r="97" spans="56:56" ht="24" customHeight="1">
      <c r="BD97" s="195"/>
    </row>
    <row r="98" spans="56:56" ht="24" customHeight="1">
      <c r="BD98" s="195"/>
    </row>
    <row r="99" spans="56:56" ht="24" customHeight="1">
      <c r="BD99" s="195"/>
    </row>
    <row r="100" spans="56:56" ht="24" customHeight="1">
      <c r="BD100" s="195"/>
    </row>
    <row r="101" spans="56:56" ht="24" customHeight="1">
      <c r="BD101" s="195"/>
    </row>
    <row r="102" spans="56:56" ht="24" customHeight="1">
      <c r="BD102" s="195"/>
    </row>
    <row r="103" spans="56:56" ht="24" customHeight="1">
      <c r="BD103" s="195"/>
    </row>
    <row r="104" spans="56:56" ht="24" customHeight="1">
      <c r="BD104" s="195"/>
    </row>
    <row r="105" spans="56:56" ht="24" customHeight="1">
      <c r="BD105" s="195"/>
    </row>
    <row r="106" spans="56:56" ht="24" customHeight="1">
      <c r="BD106" s="195"/>
    </row>
    <row r="107" spans="56:56" ht="24" customHeight="1">
      <c r="BD107" s="195"/>
    </row>
    <row r="108" spans="56:56" ht="24" customHeight="1">
      <c r="BD108" s="195"/>
    </row>
    <row r="109" spans="56:56" ht="24" customHeight="1">
      <c r="BD109" s="195"/>
    </row>
    <row r="110" spans="56:56" ht="24" customHeight="1">
      <c r="BD110" s="195"/>
    </row>
    <row r="111" spans="56:56" ht="24" customHeight="1">
      <c r="BD111" s="195"/>
    </row>
    <row r="112" spans="56:56" ht="24" customHeight="1">
      <c r="BD112" s="195"/>
    </row>
    <row r="113" spans="56:56" ht="24" customHeight="1">
      <c r="BD113" s="195"/>
    </row>
    <row r="114" spans="56:56" ht="24" customHeight="1">
      <c r="BD114" s="195"/>
    </row>
    <row r="115" spans="56:56" ht="24" customHeight="1">
      <c r="BD115" s="195"/>
    </row>
    <row r="116" spans="56:56" ht="24" customHeight="1">
      <c r="BD116" s="195"/>
    </row>
    <row r="117" spans="56:56" ht="24" customHeight="1">
      <c r="BD117" s="195"/>
    </row>
    <row r="118" spans="56:56" ht="24" customHeight="1">
      <c r="BD118" s="195"/>
    </row>
    <row r="119" spans="56:56" ht="24" customHeight="1">
      <c r="BD119" s="195"/>
    </row>
    <row r="120" spans="56:56" ht="24" customHeight="1">
      <c r="BD120" s="195"/>
    </row>
    <row r="121" spans="56:56" ht="24" customHeight="1">
      <c r="BD121" s="195"/>
    </row>
    <row r="122" spans="56:56" ht="24" customHeight="1">
      <c r="BD122" s="195"/>
    </row>
    <row r="123" spans="56:56" ht="24" customHeight="1">
      <c r="BD123" s="195"/>
    </row>
    <row r="124" spans="56:56" ht="24" customHeight="1">
      <c r="BD124" s="195"/>
    </row>
    <row r="125" spans="56:56" ht="24" customHeight="1">
      <c r="BD125" s="195"/>
    </row>
    <row r="126" spans="56:56" ht="24" customHeight="1">
      <c r="BD126" s="195"/>
    </row>
    <row r="127" spans="56:56" ht="24" customHeight="1">
      <c r="BD127" s="195"/>
    </row>
    <row r="128" spans="56:56" ht="24" customHeight="1">
      <c r="BD128" s="195"/>
    </row>
    <row r="129" spans="56:56" ht="24" customHeight="1">
      <c r="BD129" s="195"/>
    </row>
    <row r="130" spans="56:56" ht="24" customHeight="1">
      <c r="BD130" s="195"/>
    </row>
    <row r="131" spans="56:56" ht="24" customHeight="1">
      <c r="BD131" s="195"/>
    </row>
    <row r="132" spans="56:56" ht="24" customHeight="1">
      <c r="BD132" s="195"/>
    </row>
    <row r="133" spans="56:56" ht="24" customHeight="1">
      <c r="BD133" s="195"/>
    </row>
    <row r="134" spans="56:56" ht="24" customHeight="1">
      <c r="BD134" s="195"/>
    </row>
    <row r="135" spans="56:56" ht="24" customHeight="1">
      <c r="BD135" s="195"/>
    </row>
    <row r="136" spans="56:56" ht="24" customHeight="1">
      <c r="BD136" s="195"/>
    </row>
    <row r="137" spans="56:56" ht="24" customHeight="1">
      <c r="BD137" s="195"/>
    </row>
    <row r="138" spans="56:56" ht="24" customHeight="1">
      <c r="BD138" s="195"/>
    </row>
    <row r="139" spans="56:56" ht="24" customHeight="1">
      <c r="BD139" s="195"/>
    </row>
    <row r="140" spans="56:56" ht="24" customHeight="1">
      <c r="BD140" s="195"/>
    </row>
    <row r="141" spans="56:56" ht="24" customHeight="1">
      <c r="BD141" s="195"/>
    </row>
    <row r="142" spans="56:56" ht="24" customHeight="1">
      <c r="BD142" s="195"/>
    </row>
    <row r="143" spans="56:56" ht="24" customHeight="1">
      <c r="BD143" s="195"/>
    </row>
    <row r="144" spans="56:56" ht="24" customHeight="1">
      <c r="BD144" s="195"/>
    </row>
    <row r="145" spans="56:56" ht="24" customHeight="1">
      <c r="BD145" s="195"/>
    </row>
    <row r="146" spans="56:56" ht="24" customHeight="1">
      <c r="BD146" s="195"/>
    </row>
    <row r="147" spans="56:56" ht="24" customHeight="1">
      <c r="BD147" s="195"/>
    </row>
    <row r="148" spans="56:56" ht="24" customHeight="1">
      <c r="BD148" s="195"/>
    </row>
    <row r="149" spans="56:56" ht="24" customHeight="1">
      <c r="BD149" s="195"/>
    </row>
    <row r="150" spans="56:56" ht="24" customHeight="1">
      <c r="BD150" s="195"/>
    </row>
    <row r="151" spans="56:56" ht="24" customHeight="1">
      <c r="BD151" s="195"/>
    </row>
    <row r="152" spans="56:56" ht="24" customHeight="1">
      <c r="BD152" s="195"/>
    </row>
    <row r="153" spans="56:56" ht="24" customHeight="1">
      <c r="BD153" s="195"/>
    </row>
    <row r="154" spans="56:56" ht="24" customHeight="1">
      <c r="BD154" s="195"/>
    </row>
    <row r="155" spans="56:56" ht="24" customHeight="1">
      <c r="BD155" s="195"/>
    </row>
    <row r="156" spans="56:56" ht="24" customHeight="1">
      <c r="BD156" s="195"/>
    </row>
    <row r="157" spans="56:56" ht="24" customHeight="1">
      <c r="BD157" s="195"/>
    </row>
    <row r="158" spans="56:56" ht="24" customHeight="1">
      <c r="BD158" s="195"/>
    </row>
    <row r="159" spans="56:56" ht="24" customHeight="1">
      <c r="BD159" s="195"/>
    </row>
    <row r="160" spans="56:56" ht="24" customHeight="1">
      <c r="BD160" s="195"/>
    </row>
    <row r="161" spans="56:56" ht="24" customHeight="1">
      <c r="BD161" s="195"/>
    </row>
    <row r="162" spans="56:56" ht="24" customHeight="1">
      <c r="BD162" s="195"/>
    </row>
    <row r="163" spans="56:56" ht="24" customHeight="1">
      <c r="BD163" s="195"/>
    </row>
    <row r="164" spans="56:56" ht="24" customHeight="1">
      <c r="BD164" s="195"/>
    </row>
    <row r="165" spans="56:56" ht="24" customHeight="1">
      <c r="BD165" s="195"/>
    </row>
    <row r="166" spans="56:56" ht="24" customHeight="1">
      <c r="BD166" s="195"/>
    </row>
    <row r="167" spans="56:56" ht="24" customHeight="1">
      <c r="BD167" s="195"/>
    </row>
    <row r="168" spans="56:56" ht="24" customHeight="1">
      <c r="BD168" s="195"/>
    </row>
    <row r="169" spans="56:56" ht="24" customHeight="1">
      <c r="BD169" s="195"/>
    </row>
    <row r="170" spans="56:56" ht="24" customHeight="1">
      <c r="BD170" s="195"/>
    </row>
    <row r="171" spans="56:56" ht="24" customHeight="1">
      <c r="BD171" s="195"/>
    </row>
    <row r="172" spans="56:56" ht="24" customHeight="1">
      <c r="BD172" s="195"/>
    </row>
    <row r="173" spans="56:56" ht="24" customHeight="1">
      <c r="BD173" s="195"/>
    </row>
    <row r="174" spans="56:56" ht="24" customHeight="1">
      <c r="BD174" s="195"/>
    </row>
    <row r="175" spans="56:56" ht="24" customHeight="1">
      <c r="BD175" s="195"/>
    </row>
    <row r="176" spans="56:56" ht="24" customHeight="1">
      <c r="BD176" s="195"/>
    </row>
    <row r="177" spans="56:56" ht="24" customHeight="1">
      <c r="BD177" s="195"/>
    </row>
    <row r="178" spans="56:56" ht="24" customHeight="1">
      <c r="BD178" s="195"/>
    </row>
    <row r="179" spans="56:56" ht="24" customHeight="1">
      <c r="BD179" s="195"/>
    </row>
    <row r="180" spans="56:56" ht="24" customHeight="1">
      <c r="BD180" s="195"/>
    </row>
    <row r="181" spans="56:56" ht="24" customHeight="1">
      <c r="BD181" s="195"/>
    </row>
    <row r="182" spans="56:56" ht="24" customHeight="1">
      <c r="BD182" s="195"/>
    </row>
    <row r="183" spans="56:56" ht="24" customHeight="1">
      <c r="BD183" s="195"/>
    </row>
    <row r="184" spans="56:56">
      <c r="BD184" s="195"/>
    </row>
    <row r="185" spans="56:56">
      <c r="BD185" s="195"/>
    </row>
    <row r="186" spans="56:56">
      <c r="BD186" s="195"/>
    </row>
    <row r="187" spans="56:56">
      <c r="BD187" s="195"/>
    </row>
    <row r="188" spans="56:56">
      <c r="BD188" s="195"/>
    </row>
    <row r="189" spans="56:56">
      <c r="BD189" s="195"/>
    </row>
    <row r="190" spans="56:56">
      <c r="BD190" s="195"/>
    </row>
    <row r="191" spans="56:56">
      <c r="BD191" s="195"/>
    </row>
    <row r="192" spans="56:56">
      <c r="BD192" s="195"/>
    </row>
    <row r="193" spans="56:56">
      <c r="BD193" s="195"/>
    </row>
    <row r="194" spans="56:56">
      <c r="BD194" s="195"/>
    </row>
    <row r="195" spans="56:56">
      <c r="BD195" s="195"/>
    </row>
    <row r="196" spans="56:56">
      <c r="BD196" s="195"/>
    </row>
    <row r="197" spans="56:56">
      <c r="BD197" s="195"/>
    </row>
    <row r="198" spans="56:56">
      <c r="BD198" s="195"/>
    </row>
    <row r="199" spans="56:56">
      <c r="BD199" s="195"/>
    </row>
    <row r="200" spans="56:56">
      <c r="BD200" s="195"/>
    </row>
    <row r="201" spans="56:56">
      <c r="BD201" s="195"/>
    </row>
    <row r="202" spans="56:56">
      <c r="BD202" s="195"/>
    </row>
    <row r="203" spans="56:56">
      <c r="BD203" s="195"/>
    </row>
    <row r="204" spans="56:56">
      <c r="BD204" s="195"/>
    </row>
    <row r="205" spans="56:56">
      <c r="BD205" s="195"/>
    </row>
    <row r="206" spans="56:56">
      <c r="BD206" s="195"/>
    </row>
    <row r="207" spans="56:56">
      <c r="BD207" s="195"/>
    </row>
    <row r="208" spans="56:56">
      <c r="BD208" s="195"/>
    </row>
    <row r="209" spans="56:56">
      <c r="BD209" s="195"/>
    </row>
    <row r="210" spans="56:56">
      <c r="BD210" s="195"/>
    </row>
    <row r="211" spans="56:56">
      <c r="BD211" s="195"/>
    </row>
    <row r="212" spans="56:56">
      <c r="BD212" s="195"/>
    </row>
    <row r="213" spans="56:56">
      <c r="BD213" s="195"/>
    </row>
    <row r="214" spans="56:56">
      <c r="BD214" s="195"/>
    </row>
    <row r="215" spans="56:56">
      <c r="BD215" s="195"/>
    </row>
    <row r="216" spans="56:56">
      <c r="BD216" s="195"/>
    </row>
    <row r="217" spans="56:56">
      <c r="BD217" s="195"/>
    </row>
    <row r="218" spans="56:56">
      <c r="BD218" s="195"/>
    </row>
    <row r="219" spans="56:56">
      <c r="BD219" s="195"/>
    </row>
    <row r="220" spans="56:56">
      <c r="BD220" s="195"/>
    </row>
    <row r="221" spans="56:56">
      <c r="BD221" s="195"/>
    </row>
    <row r="222" spans="56:56">
      <c r="BD222" s="195"/>
    </row>
    <row r="223" spans="56:56">
      <c r="BD223" s="195"/>
    </row>
    <row r="224" spans="56:56">
      <c r="BD224" s="195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X3"/>
    <mergeCell ref="AY3:BC3"/>
    <mergeCell ref="BD3:BK3"/>
    <mergeCell ref="D40:K44"/>
    <mergeCell ref="L40:S44"/>
    <mergeCell ref="Y40:AF44"/>
    <mergeCell ref="AG40:AN44"/>
    <mergeCell ref="AO40:AX44"/>
    <mergeCell ref="B3:B4"/>
    <mergeCell ref="D3:K3"/>
    <mergeCell ref="L3:S3"/>
    <mergeCell ref="T3:X3"/>
    <mergeCell ref="Y3:AF3"/>
    <mergeCell ref="AG3:AN3"/>
  </mergeCells>
  <phoneticPr fontId="2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2025.01</vt:lpstr>
      <vt:lpstr>2025.02</vt:lpstr>
      <vt:lpstr>2025.03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SATOSHI IGA</dc:creator>
  <cp:lastModifiedBy>SATOSHI IGA</cp:lastModifiedBy>
  <dcterms:created xsi:type="dcterms:W3CDTF">2026-02-11T11:28:50Z</dcterms:created>
  <dcterms:modified xsi:type="dcterms:W3CDTF">2026-02-11T11:30:22Z</dcterms:modified>
</cp:coreProperties>
</file>