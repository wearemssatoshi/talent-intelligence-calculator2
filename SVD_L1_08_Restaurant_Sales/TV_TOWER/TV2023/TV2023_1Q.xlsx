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iiga/dotfiles/Restaurant_Sales/TV_TOWER/"/>
    </mc:Choice>
  </mc:AlternateContent>
  <xr:revisionPtr revIDLastSave="0" documentId="13_ncr:1_{060F2F75-F540-C24C-8D9A-363A5EBDB2AB}" xr6:coauthVersionLast="47" xr6:coauthVersionMax="47" xr10:uidLastSave="{00000000-0000-0000-0000-000000000000}"/>
  <bookViews>
    <workbookView xWindow="1940" yWindow="660" windowWidth="28300" windowHeight="17360" activeTab="2" xr2:uid="{6AF67384-3620-C44C-B022-A0360E144EED}"/>
  </bookViews>
  <sheets>
    <sheet name="2023.04" sheetId="1" r:id="rId1"/>
    <sheet name="2023.05" sheetId="2" r:id="rId2"/>
    <sheet name="2023.06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9" i="3" l="1"/>
  <c r="W58" i="3"/>
  <c r="Y56" i="3"/>
  <c r="X57" i="3" s="1"/>
  <c r="Y54" i="3"/>
  <c r="X54" i="3"/>
  <c r="Y52" i="3"/>
  <c r="X52" i="3" s="1"/>
  <c r="J52" i="3"/>
  <c r="J51" i="3"/>
  <c r="AF46" i="3"/>
  <c r="AN46" i="3" s="1"/>
  <c r="AW46" i="3" s="1"/>
  <c r="X46" i="3"/>
  <c r="S46" i="3"/>
  <c r="W45" i="3"/>
  <c r="BA44" i="3"/>
  <c r="AQ38" i="3"/>
  <c r="AA38" i="3"/>
  <c r="O38" i="3"/>
  <c r="U38" i="3" s="1"/>
  <c r="AC37" i="3"/>
  <c r="AD37" i="3" s="1"/>
  <c r="AA37" i="3"/>
  <c r="AB37" i="3" s="1"/>
  <c r="BI36" i="3"/>
  <c r="BH36" i="3"/>
  <c r="BG36" i="3"/>
  <c r="BF36" i="3"/>
  <c r="BE36" i="3"/>
  <c r="BD36" i="3"/>
  <c r="BC36" i="3"/>
  <c r="AU36" i="3"/>
  <c r="AU37" i="3" s="1"/>
  <c r="AS36" i="3"/>
  <c r="AS37" i="3" s="1"/>
  <c r="AT37" i="3" s="1"/>
  <c r="AQ36" i="3"/>
  <c r="AQ37" i="3" s="1"/>
  <c r="AR37" i="3" s="1"/>
  <c r="AP36" i="3"/>
  <c r="AO36" i="3"/>
  <c r="AI36" i="3"/>
  <c r="AI37" i="3" s="1"/>
  <c r="AH36" i="3"/>
  <c r="AG36" i="3"/>
  <c r="AC36" i="3"/>
  <c r="AA36" i="3"/>
  <c r="Z36" i="3"/>
  <c r="Y36" i="3"/>
  <c r="X36" i="3"/>
  <c r="L36" i="3"/>
  <c r="H36" i="3"/>
  <c r="H37" i="3" s="1"/>
  <c r="F36" i="3"/>
  <c r="F37" i="3" s="1"/>
  <c r="E36" i="3"/>
  <c r="F38" i="3" s="1"/>
  <c r="D36" i="3"/>
  <c r="C36" i="3"/>
  <c r="BJ35" i="3"/>
  <c r="BL35" i="3" s="1"/>
  <c r="BB35" i="3"/>
  <c r="AY35" i="3"/>
  <c r="AW35" i="3"/>
  <c r="AV35" i="3"/>
  <c r="AT35" i="3"/>
  <c r="AR35" i="3"/>
  <c r="AN35" i="3"/>
  <c r="AM35" i="3"/>
  <c r="AL35" i="3"/>
  <c r="AJ35" i="3"/>
  <c r="AF35" i="3"/>
  <c r="AE35" i="3"/>
  <c r="AD35" i="3"/>
  <c r="AB35" i="3"/>
  <c r="P35" i="3"/>
  <c r="V35" i="3" s="1"/>
  <c r="AZ35" i="3" s="1"/>
  <c r="N35" i="3"/>
  <c r="U35" i="3" s="1"/>
  <c r="M35" i="3"/>
  <c r="AX35" i="3" s="1"/>
  <c r="K35" i="3"/>
  <c r="J35" i="3"/>
  <c r="I35" i="3"/>
  <c r="G35" i="3"/>
  <c r="BJ34" i="3"/>
  <c r="BL34" i="3" s="1"/>
  <c r="BB34" i="3"/>
  <c r="AV34" i="3"/>
  <c r="AW34" i="3" s="1"/>
  <c r="AT34" i="3"/>
  <c r="AR34" i="3"/>
  <c r="AM34" i="3"/>
  <c r="AN34" i="3" s="1"/>
  <c r="AL34" i="3"/>
  <c r="AJ34" i="3"/>
  <c r="AE34" i="3"/>
  <c r="AF34" i="3" s="1"/>
  <c r="AD34" i="3"/>
  <c r="AB34" i="3"/>
  <c r="U34" i="3"/>
  <c r="AY34" i="3" s="1"/>
  <c r="P34" i="3"/>
  <c r="N34" i="3"/>
  <c r="R34" i="3" s="1"/>
  <c r="M34" i="3"/>
  <c r="T34" i="3" s="1"/>
  <c r="J34" i="3"/>
  <c r="I34" i="3"/>
  <c r="G34" i="3"/>
  <c r="BJ33" i="3"/>
  <c r="BL33" i="3" s="1"/>
  <c r="BB33" i="3"/>
  <c r="AV33" i="3"/>
  <c r="AW33" i="3" s="1"/>
  <c r="AT33" i="3"/>
  <c r="AR33" i="3"/>
  <c r="AN33" i="3"/>
  <c r="AM33" i="3"/>
  <c r="AL33" i="3"/>
  <c r="AJ33" i="3"/>
  <c r="AE33" i="3"/>
  <c r="AF33" i="3" s="1"/>
  <c r="AD33" i="3"/>
  <c r="AB33" i="3"/>
  <c r="V33" i="3"/>
  <c r="AZ33" i="3" s="1"/>
  <c r="P33" i="3"/>
  <c r="N33" i="3"/>
  <c r="M33" i="3"/>
  <c r="AX33" i="3" s="1"/>
  <c r="J33" i="3"/>
  <c r="K33" i="3" s="1"/>
  <c r="I33" i="3"/>
  <c r="G33" i="3"/>
  <c r="BJ32" i="3"/>
  <c r="BL32" i="3" s="1"/>
  <c r="BB32" i="3"/>
  <c r="AV32" i="3"/>
  <c r="AW32" i="3" s="1"/>
  <c r="AT32" i="3"/>
  <c r="AR32" i="3"/>
  <c r="AM32" i="3"/>
  <c r="AN32" i="3" s="1"/>
  <c r="AL32" i="3"/>
  <c r="AJ32" i="3"/>
  <c r="AE32" i="3"/>
  <c r="AF32" i="3" s="1"/>
  <c r="AD32" i="3"/>
  <c r="AB32" i="3"/>
  <c r="U32" i="3"/>
  <c r="AY32" i="3" s="1"/>
  <c r="T32" i="3"/>
  <c r="P32" i="3"/>
  <c r="Q32" i="3" s="1"/>
  <c r="N32" i="3"/>
  <c r="M32" i="3"/>
  <c r="AX32" i="3" s="1"/>
  <c r="J32" i="3"/>
  <c r="K32" i="3" s="1"/>
  <c r="I32" i="3"/>
  <c r="G32" i="3"/>
  <c r="BJ31" i="3"/>
  <c r="BL31" i="3" s="1"/>
  <c r="BB31" i="3"/>
  <c r="AX31" i="3"/>
  <c r="AV31" i="3"/>
  <c r="AW31" i="3" s="1"/>
  <c r="AT31" i="3"/>
  <c r="AR31" i="3"/>
  <c r="AM31" i="3"/>
  <c r="AN31" i="3" s="1"/>
  <c r="AL31" i="3"/>
  <c r="AJ31" i="3"/>
  <c r="AE31" i="3"/>
  <c r="AF31" i="3" s="1"/>
  <c r="AD31" i="3"/>
  <c r="AB31" i="3"/>
  <c r="T31" i="3"/>
  <c r="P31" i="3"/>
  <c r="V31" i="3" s="1"/>
  <c r="AZ31" i="3" s="1"/>
  <c r="N31" i="3"/>
  <c r="O31" i="3" s="1"/>
  <c r="M31" i="3"/>
  <c r="J31" i="3"/>
  <c r="I31" i="3"/>
  <c r="G31" i="3"/>
  <c r="BJ30" i="3"/>
  <c r="BL30" i="3" s="1"/>
  <c r="BB30" i="3"/>
  <c r="AV30" i="3"/>
  <c r="AW30" i="3" s="1"/>
  <c r="AT30" i="3"/>
  <c r="AR30" i="3"/>
  <c r="AN30" i="3"/>
  <c r="AM30" i="3"/>
  <c r="AL30" i="3"/>
  <c r="AJ30" i="3"/>
  <c r="AE30" i="3"/>
  <c r="AF30" i="3" s="1"/>
  <c r="AD30" i="3"/>
  <c r="AB30" i="3"/>
  <c r="V30" i="3"/>
  <c r="AZ30" i="3" s="1"/>
  <c r="U30" i="3"/>
  <c r="AY30" i="3" s="1"/>
  <c r="T30" i="3"/>
  <c r="R30" i="3"/>
  <c r="W30" i="3" s="1"/>
  <c r="BA30" i="3" s="1"/>
  <c r="Q30" i="3"/>
  <c r="P30" i="3"/>
  <c r="N30" i="3"/>
  <c r="M30" i="3"/>
  <c r="AX30" i="3" s="1"/>
  <c r="J30" i="3"/>
  <c r="K30" i="3" s="1"/>
  <c r="I30" i="3"/>
  <c r="G30" i="3"/>
  <c r="BJ29" i="3"/>
  <c r="BL29" i="3" s="1"/>
  <c r="BB29" i="3"/>
  <c r="AX29" i="3"/>
  <c r="AV29" i="3"/>
  <c r="AW29" i="3" s="1"/>
  <c r="AT29" i="3"/>
  <c r="AR29" i="3"/>
  <c r="AN29" i="3"/>
  <c r="AM29" i="3"/>
  <c r="AL29" i="3"/>
  <c r="AJ29" i="3"/>
  <c r="AE29" i="3"/>
  <c r="AF29" i="3" s="1"/>
  <c r="AD29" i="3"/>
  <c r="AB29" i="3"/>
  <c r="V29" i="3"/>
  <c r="AZ29" i="3" s="1"/>
  <c r="U29" i="3"/>
  <c r="AY29" i="3" s="1"/>
  <c r="T29" i="3"/>
  <c r="P29" i="3"/>
  <c r="N29" i="3"/>
  <c r="M29" i="3"/>
  <c r="O29" i="3" s="1"/>
  <c r="J29" i="3"/>
  <c r="K29" i="3" s="1"/>
  <c r="I29" i="3"/>
  <c r="G29" i="3"/>
  <c r="BJ28" i="3"/>
  <c r="BL28" i="3" s="1"/>
  <c r="BB28" i="3"/>
  <c r="AV28" i="3"/>
  <c r="AW28" i="3" s="1"/>
  <c r="AT28" i="3"/>
  <c r="AR28" i="3"/>
  <c r="AK28" i="3"/>
  <c r="AM28" i="3" s="1"/>
  <c r="AN28" i="3" s="1"/>
  <c r="AJ28" i="3"/>
  <c r="AE28" i="3"/>
  <c r="AF28" i="3" s="1"/>
  <c r="AD28" i="3"/>
  <c r="AB28" i="3"/>
  <c r="P28" i="3"/>
  <c r="V28" i="3" s="1"/>
  <c r="N28" i="3"/>
  <c r="U28" i="3" s="1"/>
  <c r="AY28" i="3" s="1"/>
  <c r="M28" i="3"/>
  <c r="O28" i="3" s="1"/>
  <c r="J28" i="3"/>
  <c r="I28" i="3"/>
  <c r="G28" i="3"/>
  <c r="BJ27" i="3"/>
  <c r="BL27" i="3" s="1"/>
  <c r="BB27" i="3"/>
  <c r="AV27" i="3"/>
  <c r="AW27" i="3" s="1"/>
  <c r="AT27" i="3"/>
  <c r="AR27" i="3"/>
  <c r="AK27" i="3"/>
  <c r="AJ27" i="3"/>
  <c r="AE27" i="3"/>
  <c r="AF27" i="3" s="1"/>
  <c r="AD27" i="3"/>
  <c r="AB27" i="3"/>
  <c r="P27" i="3"/>
  <c r="N27" i="3"/>
  <c r="U27" i="3" s="1"/>
  <c r="AY27" i="3" s="1"/>
  <c r="M27" i="3"/>
  <c r="O27" i="3" s="1"/>
  <c r="J27" i="3"/>
  <c r="K27" i="3" s="1"/>
  <c r="I27" i="3"/>
  <c r="G27" i="3"/>
  <c r="BJ26" i="3"/>
  <c r="BL26" i="3" s="1"/>
  <c r="BB26" i="3"/>
  <c r="AX26" i="3"/>
  <c r="AV26" i="3"/>
  <c r="AW26" i="3" s="1"/>
  <c r="AT26" i="3"/>
  <c r="AR26" i="3"/>
  <c r="AN26" i="3"/>
  <c r="AM26" i="3"/>
  <c r="AL26" i="3"/>
  <c r="AJ26" i="3"/>
  <c r="AE26" i="3"/>
  <c r="AD26" i="3"/>
  <c r="AB26" i="3"/>
  <c r="U26" i="3"/>
  <c r="AY26" i="3" s="1"/>
  <c r="T26" i="3"/>
  <c r="P26" i="3"/>
  <c r="V26" i="3" s="1"/>
  <c r="AZ26" i="3" s="1"/>
  <c r="N26" i="3"/>
  <c r="M26" i="3"/>
  <c r="J26" i="3"/>
  <c r="K26" i="3" s="1"/>
  <c r="I26" i="3"/>
  <c r="G26" i="3"/>
  <c r="BJ25" i="3"/>
  <c r="BL25" i="3" s="1"/>
  <c r="BB25" i="3"/>
  <c r="AV25" i="3"/>
  <c r="AW25" i="3" s="1"/>
  <c r="AT25" i="3"/>
  <c r="AR25" i="3"/>
  <c r="AN25" i="3"/>
  <c r="AM25" i="3"/>
  <c r="AL25" i="3"/>
  <c r="AJ25" i="3"/>
  <c r="AE25" i="3"/>
  <c r="AF25" i="3" s="1"/>
  <c r="AD25" i="3"/>
  <c r="AB25" i="3"/>
  <c r="P25" i="3"/>
  <c r="N25" i="3"/>
  <c r="M25" i="3"/>
  <c r="AX25" i="3" s="1"/>
  <c r="J25" i="3"/>
  <c r="K25" i="3" s="1"/>
  <c r="I25" i="3"/>
  <c r="G25" i="3"/>
  <c r="BJ24" i="3"/>
  <c r="BL24" i="3" s="1"/>
  <c r="BB24" i="3"/>
  <c r="AV24" i="3"/>
  <c r="AW24" i="3" s="1"/>
  <c r="AT24" i="3"/>
  <c r="AR24" i="3"/>
  <c r="AM24" i="3"/>
  <c r="AN24" i="3" s="1"/>
  <c r="AL24" i="3"/>
  <c r="AJ24" i="3"/>
  <c r="AE24" i="3"/>
  <c r="AF24" i="3" s="1"/>
  <c r="AD24" i="3"/>
  <c r="AB24" i="3"/>
  <c r="P24" i="3"/>
  <c r="V24" i="3" s="1"/>
  <c r="AZ24" i="3" s="1"/>
  <c r="N24" i="3"/>
  <c r="U24" i="3" s="1"/>
  <c r="AY24" i="3" s="1"/>
  <c r="M24" i="3"/>
  <c r="J24" i="3"/>
  <c r="K24" i="3" s="1"/>
  <c r="I24" i="3"/>
  <c r="G24" i="3"/>
  <c r="BJ23" i="3"/>
  <c r="BL23" i="3" s="1"/>
  <c r="BB23" i="3"/>
  <c r="AV23" i="3"/>
  <c r="AW23" i="3" s="1"/>
  <c r="AT23" i="3"/>
  <c r="AR23" i="3"/>
  <c r="AM23" i="3"/>
  <c r="AN23" i="3" s="1"/>
  <c r="AL23" i="3"/>
  <c r="AJ23" i="3"/>
  <c r="AE23" i="3"/>
  <c r="AF23" i="3" s="1"/>
  <c r="AD23" i="3"/>
  <c r="AB23" i="3"/>
  <c r="Q23" i="3"/>
  <c r="P23" i="3"/>
  <c r="V23" i="3" s="1"/>
  <c r="AZ23" i="3" s="1"/>
  <c r="N23" i="3"/>
  <c r="M23" i="3"/>
  <c r="AX23" i="3" s="1"/>
  <c r="J23" i="3"/>
  <c r="K23" i="3" s="1"/>
  <c r="I23" i="3"/>
  <c r="G23" i="3"/>
  <c r="BJ22" i="3"/>
  <c r="BL22" i="3" s="1"/>
  <c r="BB22" i="3"/>
  <c r="AV22" i="3"/>
  <c r="AW22" i="3" s="1"/>
  <c r="AT22" i="3"/>
  <c r="AR22" i="3"/>
  <c r="AN22" i="3"/>
  <c r="AM22" i="3"/>
  <c r="AL22" i="3"/>
  <c r="AJ22" i="3"/>
  <c r="AE22" i="3"/>
  <c r="AF22" i="3" s="1"/>
  <c r="AD22" i="3"/>
  <c r="AB22" i="3"/>
  <c r="P22" i="3"/>
  <c r="V22" i="3" s="1"/>
  <c r="AZ22" i="3" s="1"/>
  <c r="N22" i="3"/>
  <c r="U22" i="3" s="1"/>
  <c r="AY22" i="3" s="1"/>
  <c r="M22" i="3"/>
  <c r="AX22" i="3" s="1"/>
  <c r="J22" i="3"/>
  <c r="K22" i="3" s="1"/>
  <c r="I22" i="3"/>
  <c r="G22" i="3"/>
  <c r="BJ21" i="3"/>
  <c r="BL21" i="3" s="1"/>
  <c r="BB21" i="3"/>
  <c r="AV21" i="3"/>
  <c r="AW21" i="3" s="1"/>
  <c r="AT21" i="3"/>
  <c r="AR21" i="3"/>
  <c r="AN21" i="3"/>
  <c r="AM21" i="3"/>
  <c r="AL21" i="3"/>
  <c r="AJ21" i="3"/>
  <c r="AE21" i="3"/>
  <c r="AF21" i="3" s="1"/>
  <c r="AD21" i="3"/>
  <c r="AB21" i="3"/>
  <c r="V21" i="3"/>
  <c r="AZ21" i="3" s="1"/>
  <c r="P21" i="3"/>
  <c r="N21" i="3"/>
  <c r="R21" i="3" s="1"/>
  <c r="M21" i="3"/>
  <c r="T21" i="3" s="1"/>
  <c r="J21" i="3"/>
  <c r="K21" i="3" s="1"/>
  <c r="I21" i="3"/>
  <c r="G21" i="3"/>
  <c r="BJ20" i="3"/>
  <c r="BL20" i="3" s="1"/>
  <c r="BB20" i="3"/>
  <c r="AX20" i="3"/>
  <c r="AV20" i="3"/>
  <c r="AW20" i="3" s="1"/>
  <c r="AT20" i="3"/>
  <c r="AR20" i="3"/>
  <c r="AN20" i="3"/>
  <c r="AM20" i="3"/>
  <c r="AL20" i="3"/>
  <c r="AJ20" i="3"/>
  <c r="AE20" i="3"/>
  <c r="AF20" i="3" s="1"/>
  <c r="AD20" i="3"/>
  <c r="AB20" i="3"/>
  <c r="T20" i="3"/>
  <c r="P20" i="3"/>
  <c r="Q20" i="3" s="1"/>
  <c r="N20" i="3"/>
  <c r="R20" i="3" s="1"/>
  <c r="M20" i="3"/>
  <c r="J20" i="3"/>
  <c r="I20" i="3"/>
  <c r="G20" i="3"/>
  <c r="BL19" i="3"/>
  <c r="BJ19" i="3"/>
  <c r="BB19" i="3"/>
  <c r="AV19" i="3"/>
  <c r="AW19" i="3" s="1"/>
  <c r="AT19" i="3"/>
  <c r="AR19" i="3"/>
  <c r="AN19" i="3"/>
  <c r="AM19" i="3"/>
  <c r="AL19" i="3"/>
  <c r="AJ19" i="3"/>
  <c r="AE19" i="3"/>
  <c r="AF19" i="3" s="1"/>
  <c r="AD19" i="3"/>
  <c r="AB19" i="3"/>
  <c r="P19" i="3"/>
  <c r="N19" i="3"/>
  <c r="M19" i="3"/>
  <c r="J19" i="3"/>
  <c r="K19" i="3" s="1"/>
  <c r="I19" i="3"/>
  <c r="G19" i="3"/>
  <c r="BJ18" i="3"/>
  <c r="BL18" i="3" s="1"/>
  <c r="BB18" i="3"/>
  <c r="AX18" i="3"/>
  <c r="AV18" i="3"/>
  <c r="AW18" i="3" s="1"/>
  <c r="AT18" i="3"/>
  <c r="AR18" i="3"/>
  <c r="AM18" i="3"/>
  <c r="AN18" i="3" s="1"/>
  <c r="AL18" i="3"/>
  <c r="AJ18" i="3"/>
  <c r="AE18" i="3"/>
  <c r="AF18" i="3" s="1"/>
  <c r="AD18" i="3"/>
  <c r="AB18" i="3"/>
  <c r="V18" i="3"/>
  <c r="AZ18" i="3" s="1"/>
  <c r="U18" i="3"/>
  <c r="AY18" i="3" s="1"/>
  <c r="T18" i="3"/>
  <c r="R18" i="3"/>
  <c r="S18" i="3" s="1"/>
  <c r="P18" i="3"/>
  <c r="N18" i="3"/>
  <c r="M18" i="3"/>
  <c r="Q18" i="3" s="1"/>
  <c r="J18" i="3"/>
  <c r="K18" i="3" s="1"/>
  <c r="I18" i="3"/>
  <c r="G18" i="3"/>
  <c r="BJ17" i="3"/>
  <c r="BL17" i="3" s="1"/>
  <c r="BB17" i="3"/>
  <c r="AX17" i="3"/>
  <c r="AV17" i="3"/>
  <c r="AW17" i="3" s="1"/>
  <c r="AT17" i="3"/>
  <c r="AR17" i="3"/>
  <c r="AN17" i="3"/>
  <c r="AM17" i="3"/>
  <c r="AL17" i="3"/>
  <c r="AJ17" i="3"/>
  <c r="AE17" i="3"/>
  <c r="AF17" i="3" s="1"/>
  <c r="AD17" i="3"/>
  <c r="AB17" i="3"/>
  <c r="W17" i="3"/>
  <c r="V17" i="3"/>
  <c r="AZ17" i="3" s="1"/>
  <c r="U17" i="3"/>
  <c r="AY17" i="3" s="1"/>
  <c r="R17" i="3"/>
  <c r="P17" i="3"/>
  <c r="Q17" i="3" s="1"/>
  <c r="N17" i="3"/>
  <c r="M17" i="3"/>
  <c r="T17" i="3" s="1"/>
  <c r="J17" i="3"/>
  <c r="K17" i="3" s="1"/>
  <c r="I17" i="3"/>
  <c r="G17" i="3"/>
  <c r="BJ16" i="3"/>
  <c r="BL16" i="3" s="1"/>
  <c r="BB16" i="3"/>
  <c r="AV16" i="3"/>
  <c r="AW16" i="3" s="1"/>
  <c r="AT16" i="3"/>
  <c r="AR16" i="3"/>
  <c r="AN16" i="3"/>
  <c r="AM16" i="3"/>
  <c r="AL16" i="3"/>
  <c r="AJ16" i="3"/>
  <c r="AE16" i="3"/>
  <c r="AF16" i="3" s="1"/>
  <c r="AD16" i="3"/>
  <c r="AB16" i="3"/>
  <c r="P16" i="3"/>
  <c r="N16" i="3"/>
  <c r="U16" i="3" s="1"/>
  <c r="AY16" i="3" s="1"/>
  <c r="M16" i="3"/>
  <c r="O16" i="3" s="1"/>
  <c r="J16" i="3"/>
  <c r="K16" i="3" s="1"/>
  <c r="I16" i="3"/>
  <c r="G16" i="3"/>
  <c r="BJ15" i="3"/>
  <c r="BL15" i="3" s="1"/>
  <c r="BB15" i="3"/>
  <c r="BB36" i="3" s="1"/>
  <c r="BB37" i="3" s="1"/>
  <c r="AV15" i="3"/>
  <c r="AW15" i="3" s="1"/>
  <c r="AT15" i="3"/>
  <c r="AR15" i="3"/>
  <c r="AN15" i="3"/>
  <c r="AM15" i="3"/>
  <c r="AL15" i="3"/>
  <c r="AJ15" i="3"/>
  <c r="AE15" i="3"/>
  <c r="AF15" i="3" s="1"/>
  <c r="AD15" i="3"/>
  <c r="AB15" i="3"/>
  <c r="T15" i="3"/>
  <c r="P15" i="3"/>
  <c r="N15" i="3"/>
  <c r="U15" i="3" s="1"/>
  <c r="AY15" i="3" s="1"/>
  <c r="M15" i="3"/>
  <c r="AX15" i="3" s="1"/>
  <c r="J15" i="3"/>
  <c r="I15" i="3"/>
  <c r="G15" i="3"/>
  <c r="BJ14" i="3"/>
  <c r="BL14" i="3" s="1"/>
  <c r="BB14" i="3"/>
  <c r="AV14" i="3"/>
  <c r="AW14" i="3" s="1"/>
  <c r="AT14" i="3"/>
  <c r="AR14" i="3"/>
  <c r="AN14" i="3"/>
  <c r="AM14" i="3"/>
  <c r="AL14" i="3"/>
  <c r="AJ14" i="3"/>
  <c r="AE14" i="3"/>
  <c r="AF14" i="3" s="1"/>
  <c r="AD14" i="3"/>
  <c r="AB14" i="3"/>
  <c r="T14" i="3"/>
  <c r="P14" i="3"/>
  <c r="V14" i="3" s="1"/>
  <c r="AZ14" i="3" s="1"/>
  <c r="N14" i="3"/>
  <c r="R14" i="3" s="1"/>
  <c r="M14" i="3"/>
  <c r="AX14" i="3" s="1"/>
  <c r="J14" i="3"/>
  <c r="K14" i="3" s="1"/>
  <c r="I14" i="3"/>
  <c r="G14" i="3"/>
  <c r="BJ13" i="3"/>
  <c r="BL13" i="3" s="1"/>
  <c r="BB13" i="3"/>
  <c r="AV13" i="3"/>
  <c r="AW13" i="3" s="1"/>
  <c r="AT13" i="3"/>
  <c r="AR13" i="3"/>
  <c r="AN13" i="3"/>
  <c r="AM13" i="3"/>
  <c r="AL13" i="3"/>
  <c r="AJ13" i="3"/>
  <c r="AE13" i="3"/>
  <c r="AF13" i="3" s="1"/>
  <c r="AD13" i="3"/>
  <c r="AB13" i="3"/>
  <c r="P13" i="3"/>
  <c r="N13" i="3"/>
  <c r="M13" i="3"/>
  <c r="J13" i="3"/>
  <c r="K13" i="3" s="1"/>
  <c r="I13" i="3"/>
  <c r="G13" i="3"/>
  <c r="BJ12" i="3"/>
  <c r="BL12" i="3" s="1"/>
  <c r="BB12" i="3"/>
  <c r="AY12" i="3"/>
  <c r="AX12" i="3"/>
  <c r="AV12" i="3"/>
  <c r="AW12" i="3" s="1"/>
  <c r="AT12" i="3"/>
  <c r="AR12" i="3"/>
  <c r="AN12" i="3"/>
  <c r="AM12" i="3"/>
  <c r="AL12" i="3"/>
  <c r="AJ12" i="3"/>
  <c r="AE12" i="3"/>
  <c r="AF12" i="3" s="1"/>
  <c r="AD12" i="3"/>
  <c r="AB12" i="3"/>
  <c r="P12" i="3"/>
  <c r="V12" i="3" s="1"/>
  <c r="AZ12" i="3" s="1"/>
  <c r="N12" i="3"/>
  <c r="U12" i="3" s="1"/>
  <c r="M12" i="3"/>
  <c r="T12" i="3" s="1"/>
  <c r="J12" i="3"/>
  <c r="K12" i="3" s="1"/>
  <c r="I12" i="3"/>
  <c r="G12" i="3"/>
  <c r="BJ11" i="3"/>
  <c r="BL11" i="3" s="1"/>
  <c r="BB11" i="3"/>
  <c r="AV11" i="3"/>
  <c r="AW11" i="3" s="1"/>
  <c r="AT11" i="3"/>
  <c r="AR11" i="3"/>
  <c r="AN11" i="3"/>
  <c r="AM11" i="3"/>
  <c r="AL11" i="3"/>
  <c r="AJ11" i="3"/>
  <c r="AE11" i="3"/>
  <c r="AF11" i="3" s="1"/>
  <c r="AD11" i="3"/>
  <c r="AB11" i="3"/>
  <c r="P11" i="3"/>
  <c r="V11" i="3" s="1"/>
  <c r="AZ11" i="3" s="1"/>
  <c r="N11" i="3"/>
  <c r="U11" i="3" s="1"/>
  <c r="AY11" i="3" s="1"/>
  <c r="M11" i="3"/>
  <c r="J11" i="3"/>
  <c r="K11" i="3" s="1"/>
  <c r="I11" i="3"/>
  <c r="G11" i="3"/>
  <c r="BJ10" i="3"/>
  <c r="BL10" i="3" s="1"/>
  <c r="BB10" i="3"/>
  <c r="AV10" i="3"/>
  <c r="AW10" i="3" s="1"/>
  <c r="AT10" i="3"/>
  <c r="AR10" i="3"/>
  <c r="AN10" i="3"/>
  <c r="AM10" i="3"/>
  <c r="AL10" i="3"/>
  <c r="AJ10" i="3"/>
  <c r="AE10" i="3"/>
  <c r="AF10" i="3" s="1"/>
  <c r="AD10" i="3"/>
  <c r="AB10" i="3"/>
  <c r="P10" i="3"/>
  <c r="V10" i="3" s="1"/>
  <c r="AZ10" i="3" s="1"/>
  <c r="N10" i="3"/>
  <c r="M10" i="3"/>
  <c r="M36" i="3" s="1"/>
  <c r="N38" i="3" s="1"/>
  <c r="K10" i="3"/>
  <c r="J10" i="3"/>
  <c r="I10" i="3"/>
  <c r="G10" i="3"/>
  <c r="BJ9" i="3"/>
  <c r="BL9" i="3" s="1"/>
  <c r="BB9" i="3"/>
  <c r="AV9" i="3"/>
  <c r="AW9" i="3" s="1"/>
  <c r="AT9" i="3"/>
  <c r="AR9" i="3"/>
  <c r="AN9" i="3"/>
  <c r="AM9" i="3"/>
  <c r="AL9" i="3"/>
  <c r="AJ9" i="3"/>
  <c r="AE9" i="3"/>
  <c r="AF9" i="3" s="1"/>
  <c r="AD9" i="3"/>
  <c r="AB9" i="3"/>
  <c r="V9" i="3"/>
  <c r="AZ9" i="3" s="1"/>
  <c r="U9" i="3"/>
  <c r="AY9" i="3" s="1"/>
  <c r="P9" i="3"/>
  <c r="N9" i="3"/>
  <c r="M9" i="3"/>
  <c r="AX9" i="3" s="1"/>
  <c r="J9" i="3"/>
  <c r="K9" i="3" s="1"/>
  <c r="I9" i="3"/>
  <c r="G9" i="3"/>
  <c r="BJ8" i="3"/>
  <c r="BL8" i="3" s="1"/>
  <c r="BB8" i="3"/>
  <c r="AV8" i="3"/>
  <c r="AW8" i="3" s="1"/>
  <c r="AT8" i="3"/>
  <c r="AR8" i="3"/>
  <c r="AN8" i="3"/>
  <c r="AM8" i="3"/>
  <c r="AL8" i="3"/>
  <c r="AJ8" i="3"/>
  <c r="AE8" i="3"/>
  <c r="AF8" i="3" s="1"/>
  <c r="AD8" i="3"/>
  <c r="AB8" i="3"/>
  <c r="P8" i="3"/>
  <c r="Q8" i="3" s="1"/>
  <c r="N8" i="3"/>
  <c r="M8" i="3"/>
  <c r="J8" i="3"/>
  <c r="I8" i="3"/>
  <c r="G8" i="3"/>
  <c r="BJ7" i="3"/>
  <c r="BL7" i="3" s="1"/>
  <c r="BB7" i="3"/>
  <c r="AV7" i="3"/>
  <c r="AW7" i="3" s="1"/>
  <c r="AT7" i="3"/>
  <c r="AR7" i="3"/>
  <c r="AN7" i="3"/>
  <c r="AM7" i="3"/>
  <c r="AL7" i="3"/>
  <c r="AJ7" i="3"/>
  <c r="AE7" i="3"/>
  <c r="AF7" i="3" s="1"/>
  <c r="AD7" i="3"/>
  <c r="AB7" i="3"/>
  <c r="V7" i="3"/>
  <c r="AZ7" i="3" s="1"/>
  <c r="P7" i="3"/>
  <c r="N7" i="3"/>
  <c r="R7" i="3" s="1"/>
  <c r="M7" i="3"/>
  <c r="AX7" i="3" s="1"/>
  <c r="J7" i="3"/>
  <c r="K7" i="3" s="1"/>
  <c r="I7" i="3"/>
  <c r="G7" i="3"/>
  <c r="BJ6" i="3"/>
  <c r="BL6" i="3" s="1"/>
  <c r="BB6" i="3"/>
  <c r="AV6" i="3"/>
  <c r="AW6" i="3" s="1"/>
  <c r="AT6" i="3"/>
  <c r="AR6" i="3"/>
  <c r="AN6" i="3"/>
  <c r="AM6" i="3"/>
  <c r="AL6" i="3"/>
  <c r="AJ6" i="3"/>
  <c r="AE6" i="3"/>
  <c r="AF6" i="3" s="1"/>
  <c r="AD6" i="3"/>
  <c r="AB6" i="3"/>
  <c r="P6" i="3"/>
  <c r="V6" i="3" s="1"/>
  <c r="AZ6" i="3" s="1"/>
  <c r="N6" i="3"/>
  <c r="M6" i="3"/>
  <c r="Q6" i="3" s="1"/>
  <c r="J6" i="3"/>
  <c r="K6" i="3" s="1"/>
  <c r="I6" i="3"/>
  <c r="G6" i="3"/>
  <c r="BJ5" i="3"/>
  <c r="BL5" i="3" s="1"/>
  <c r="BB5" i="3"/>
  <c r="AW5" i="3"/>
  <c r="AV5" i="3"/>
  <c r="AT5" i="3"/>
  <c r="AR5" i="3"/>
  <c r="AN5" i="3"/>
  <c r="AM5" i="3"/>
  <c r="AL5" i="3"/>
  <c r="AJ5" i="3"/>
  <c r="AE5" i="3"/>
  <c r="AD5" i="3"/>
  <c r="AB5" i="3"/>
  <c r="P5" i="3"/>
  <c r="V5" i="3" s="1"/>
  <c r="AZ5" i="3" s="1"/>
  <c r="N5" i="3"/>
  <c r="U5" i="3" s="1"/>
  <c r="M5" i="3"/>
  <c r="AX5" i="3" s="1"/>
  <c r="J5" i="3"/>
  <c r="K5" i="3" s="1"/>
  <c r="I5" i="3"/>
  <c r="G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AF46" i="2"/>
  <c r="AN46" i="2" s="1"/>
  <c r="AV46" i="2" s="1"/>
  <c r="X46" i="2"/>
  <c r="S46" i="2"/>
  <c r="W45" i="2"/>
  <c r="AZ44" i="2"/>
  <c r="F38" i="2"/>
  <c r="AI37" i="2"/>
  <c r="AJ37" i="2" s="1"/>
  <c r="AA37" i="2"/>
  <c r="AB37" i="2" s="1"/>
  <c r="BH36" i="2"/>
  <c r="BG36" i="2"/>
  <c r="BF36" i="2"/>
  <c r="BE36" i="2"/>
  <c r="BD36" i="2"/>
  <c r="BB36" i="2"/>
  <c r="AS36" i="2"/>
  <c r="AS37" i="2" s="1"/>
  <c r="AQ36" i="2"/>
  <c r="AQ37" i="2" s="1"/>
  <c r="AR37" i="2" s="1"/>
  <c r="AP36" i="2"/>
  <c r="AO36" i="2"/>
  <c r="AK36" i="2"/>
  <c r="AK37" i="2" s="1"/>
  <c r="AI36" i="2"/>
  <c r="AH36" i="2"/>
  <c r="AG36" i="2"/>
  <c r="AC36" i="2"/>
  <c r="AC37" i="2" s="1"/>
  <c r="AD37" i="2" s="1"/>
  <c r="AA36" i="2"/>
  <c r="Z36" i="2"/>
  <c r="Y36" i="2"/>
  <c r="X36" i="2"/>
  <c r="L36" i="2"/>
  <c r="H36" i="2"/>
  <c r="I36" i="2" s="1"/>
  <c r="F36" i="2"/>
  <c r="F37" i="2" s="1"/>
  <c r="E36" i="2"/>
  <c r="D36" i="2"/>
  <c r="C36" i="2"/>
  <c r="BI35" i="2"/>
  <c r="BK35" i="2" s="1"/>
  <c r="BA35" i="2"/>
  <c r="AU35" i="2"/>
  <c r="AV35" i="2" s="1"/>
  <c r="AT35" i="2"/>
  <c r="AR35" i="2"/>
  <c r="AN35" i="2"/>
  <c r="AM35" i="2"/>
  <c r="AL35" i="2"/>
  <c r="AJ35" i="2"/>
  <c r="AE35" i="2"/>
  <c r="AD35" i="2"/>
  <c r="AB35" i="2"/>
  <c r="V35" i="2"/>
  <c r="AY35" i="2" s="1"/>
  <c r="P35" i="2"/>
  <c r="N35" i="2"/>
  <c r="R35" i="2" s="1"/>
  <c r="M35" i="2"/>
  <c r="T35" i="2" s="1"/>
  <c r="J35" i="2"/>
  <c r="K35" i="2" s="1"/>
  <c r="I35" i="2"/>
  <c r="G35" i="2"/>
  <c r="BK34" i="2"/>
  <c r="BI34" i="2"/>
  <c r="BA34" i="2"/>
  <c r="AU34" i="2"/>
  <c r="AV34" i="2" s="1"/>
  <c r="AT34" i="2"/>
  <c r="AR34" i="2"/>
  <c r="AN34" i="2"/>
  <c r="AM34" i="2"/>
  <c r="AL34" i="2"/>
  <c r="AJ34" i="2"/>
  <c r="AE34" i="2"/>
  <c r="AF34" i="2" s="1"/>
  <c r="AD34" i="2"/>
  <c r="AB34" i="2"/>
  <c r="U34" i="2"/>
  <c r="AX34" i="2" s="1"/>
  <c r="P34" i="2"/>
  <c r="V34" i="2" s="1"/>
  <c r="AY34" i="2" s="1"/>
  <c r="N34" i="2"/>
  <c r="M34" i="2"/>
  <c r="T34" i="2" s="1"/>
  <c r="J34" i="2"/>
  <c r="K34" i="2" s="1"/>
  <c r="I34" i="2"/>
  <c r="G34" i="2"/>
  <c r="BI33" i="2"/>
  <c r="BK33" i="2" s="1"/>
  <c r="BA33" i="2"/>
  <c r="AU33" i="2"/>
  <c r="AV33" i="2" s="1"/>
  <c r="AT33" i="2"/>
  <c r="AR33" i="2"/>
  <c r="AM33" i="2"/>
  <c r="AN33" i="2" s="1"/>
  <c r="AL33" i="2"/>
  <c r="AJ33" i="2"/>
  <c r="AE33" i="2"/>
  <c r="AF33" i="2" s="1"/>
  <c r="AD33" i="2"/>
  <c r="AB33" i="2"/>
  <c r="V33" i="2"/>
  <c r="AY33" i="2" s="1"/>
  <c r="P33" i="2"/>
  <c r="N33" i="2"/>
  <c r="R33" i="2" s="1"/>
  <c r="M33" i="2"/>
  <c r="Q33" i="2" s="1"/>
  <c r="J33" i="2"/>
  <c r="W33" i="2" s="1"/>
  <c r="I33" i="2"/>
  <c r="G33" i="2"/>
  <c r="BK32" i="2"/>
  <c r="BI32" i="2"/>
  <c r="BA32" i="2"/>
  <c r="AU32" i="2"/>
  <c r="AV32" i="2" s="1"/>
  <c r="AT32" i="2"/>
  <c r="AR32" i="2"/>
  <c r="AN32" i="2"/>
  <c r="AM32" i="2"/>
  <c r="AL32" i="2"/>
  <c r="AJ32" i="2"/>
  <c r="AE32" i="2"/>
  <c r="AF32" i="2" s="1"/>
  <c r="AD32" i="2"/>
  <c r="AB32" i="2"/>
  <c r="U32" i="2"/>
  <c r="AX32" i="2" s="1"/>
  <c r="P32" i="2"/>
  <c r="V32" i="2" s="1"/>
  <c r="AY32" i="2" s="1"/>
  <c r="N32" i="2"/>
  <c r="M32" i="2"/>
  <c r="AW32" i="2" s="1"/>
  <c r="J32" i="2"/>
  <c r="K32" i="2" s="1"/>
  <c r="I32" i="2"/>
  <c r="G32" i="2"/>
  <c r="BI31" i="2"/>
  <c r="BK31" i="2" s="1"/>
  <c r="BA31" i="2"/>
  <c r="AU31" i="2"/>
  <c r="AV31" i="2" s="1"/>
  <c r="AT31" i="2"/>
  <c r="AR31" i="2"/>
  <c r="AN31" i="2"/>
  <c r="AM31" i="2"/>
  <c r="AL31" i="2"/>
  <c r="AJ31" i="2"/>
  <c r="AE31" i="2"/>
  <c r="AF31" i="2" s="1"/>
  <c r="AD31" i="2"/>
  <c r="AB31" i="2"/>
  <c r="P31" i="2"/>
  <c r="V31" i="2" s="1"/>
  <c r="AY31" i="2" s="1"/>
  <c r="N31" i="2"/>
  <c r="M31" i="2"/>
  <c r="AW31" i="2" s="1"/>
  <c r="J31" i="2"/>
  <c r="K31" i="2" s="1"/>
  <c r="I31" i="2"/>
  <c r="G31" i="2"/>
  <c r="BI30" i="2"/>
  <c r="BK30" i="2" s="1"/>
  <c r="BA30" i="2"/>
  <c r="AV30" i="2"/>
  <c r="AU30" i="2"/>
  <c r="AT30" i="2"/>
  <c r="AR30" i="2"/>
  <c r="AM30" i="2"/>
  <c r="AN30" i="2" s="1"/>
  <c r="AL30" i="2"/>
  <c r="AJ30" i="2"/>
  <c r="AF30" i="2"/>
  <c r="AE30" i="2"/>
  <c r="AD30" i="2"/>
  <c r="AB30" i="2"/>
  <c r="P30" i="2"/>
  <c r="V30" i="2" s="1"/>
  <c r="AY30" i="2" s="1"/>
  <c r="N30" i="2"/>
  <c r="U30" i="2" s="1"/>
  <c r="AX30" i="2" s="1"/>
  <c r="M30" i="2"/>
  <c r="AW30" i="2" s="1"/>
  <c r="J30" i="2"/>
  <c r="K30" i="2" s="1"/>
  <c r="I30" i="2"/>
  <c r="G30" i="2"/>
  <c r="BI29" i="2"/>
  <c r="BK29" i="2" s="1"/>
  <c r="BA29" i="2"/>
  <c r="AV29" i="2"/>
  <c r="AU29" i="2"/>
  <c r="AT29" i="2"/>
  <c r="AR29" i="2"/>
  <c r="AM29" i="2"/>
  <c r="AN29" i="2" s="1"/>
  <c r="AL29" i="2"/>
  <c r="AJ29" i="2"/>
  <c r="AE29" i="2"/>
  <c r="AF29" i="2" s="1"/>
  <c r="AD29" i="2"/>
  <c r="AB29" i="2"/>
  <c r="P29" i="2"/>
  <c r="N29" i="2"/>
  <c r="U29" i="2" s="1"/>
  <c r="AX29" i="2" s="1"/>
  <c r="M29" i="2"/>
  <c r="AW29" i="2" s="1"/>
  <c r="J29" i="2"/>
  <c r="I29" i="2"/>
  <c r="G29" i="2"/>
  <c r="BI28" i="2"/>
  <c r="BK28" i="2" s="1"/>
  <c r="BA28" i="2"/>
  <c r="AV28" i="2"/>
  <c r="AU28" i="2"/>
  <c r="AT28" i="2"/>
  <c r="AR28" i="2"/>
  <c r="AN28" i="2"/>
  <c r="AM28" i="2"/>
  <c r="AL28" i="2"/>
  <c r="AJ28" i="2"/>
  <c r="AE28" i="2"/>
  <c r="AF28" i="2" s="1"/>
  <c r="AD28" i="2"/>
  <c r="AB28" i="2"/>
  <c r="U28" i="2"/>
  <c r="AX28" i="2" s="1"/>
  <c r="P28" i="2"/>
  <c r="N28" i="2"/>
  <c r="M28" i="2"/>
  <c r="AW28" i="2" s="1"/>
  <c r="J28" i="2"/>
  <c r="K28" i="2" s="1"/>
  <c r="I28" i="2"/>
  <c r="G28" i="2"/>
  <c r="BI27" i="2"/>
  <c r="BK27" i="2" s="1"/>
  <c r="BA27" i="2"/>
  <c r="AV27" i="2"/>
  <c r="AU27" i="2"/>
  <c r="AT27" i="2"/>
  <c r="AR27" i="2"/>
  <c r="AN27" i="2"/>
  <c r="AM27" i="2"/>
  <c r="AL27" i="2"/>
  <c r="AJ27" i="2"/>
  <c r="AF27" i="2"/>
  <c r="AE27" i="2"/>
  <c r="AD27" i="2"/>
  <c r="AB27" i="2"/>
  <c r="P27" i="2"/>
  <c r="V27" i="2" s="1"/>
  <c r="AY27" i="2" s="1"/>
  <c r="N27" i="2"/>
  <c r="U27" i="2" s="1"/>
  <c r="AX27" i="2" s="1"/>
  <c r="M27" i="2"/>
  <c r="AW27" i="2" s="1"/>
  <c r="J27" i="2"/>
  <c r="I27" i="2"/>
  <c r="G27" i="2"/>
  <c r="BI26" i="2"/>
  <c r="BK26" i="2" s="1"/>
  <c r="BA26" i="2"/>
  <c r="AV26" i="2"/>
  <c r="AU26" i="2"/>
  <c r="AT26" i="2"/>
  <c r="AR26" i="2"/>
  <c r="AM26" i="2"/>
  <c r="AN26" i="2" s="1"/>
  <c r="AL26" i="2"/>
  <c r="AJ26" i="2"/>
  <c r="AE26" i="2"/>
  <c r="AF26" i="2" s="1"/>
  <c r="AD26" i="2"/>
  <c r="AB26" i="2"/>
  <c r="P26" i="2"/>
  <c r="V26" i="2" s="1"/>
  <c r="AY26" i="2" s="1"/>
  <c r="N26" i="2"/>
  <c r="R26" i="2" s="1"/>
  <c r="S26" i="2" s="1"/>
  <c r="M26" i="2"/>
  <c r="T26" i="2" s="1"/>
  <c r="J26" i="2"/>
  <c r="K26" i="2" s="1"/>
  <c r="I26" i="2"/>
  <c r="G26" i="2"/>
  <c r="BI25" i="2"/>
  <c r="BK25" i="2" s="1"/>
  <c r="BA25" i="2"/>
  <c r="AV25" i="2"/>
  <c r="AU25" i="2"/>
  <c r="AT25" i="2"/>
  <c r="AR25" i="2"/>
  <c r="AN25" i="2"/>
  <c r="AM25" i="2"/>
  <c r="AL25" i="2"/>
  <c r="AJ25" i="2"/>
  <c r="AE25" i="2"/>
  <c r="AF25" i="2" s="1"/>
  <c r="AD25" i="2"/>
  <c r="AB25" i="2"/>
  <c r="P25" i="2"/>
  <c r="V25" i="2" s="1"/>
  <c r="AY25" i="2" s="1"/>
  <c r="N25" i="2"/>
  <c r="U25" i="2" s="1"/>
  <c r="AX25" i="2" s="1"/>
  <c r="M25" i="2"/>
  <c r="AW25" i="2" s="1"/>
  <c r="J25" i="2"/>
  <c r="K25" i="2" s="1"/>
  <c r="I25" i="2"/>
  <c r="G25" i="2"/>
  <c r="BI24" i="2"/>
  <c r="BK24" i="2" s="1"/>
  <c r="BA24" i="2"/>
  <c r="AW24" i="2"/>
  <c r="AV24" i="2"/>
  <c r="AU24" i="2"/>
  <c r="AT24" i="2"/>
  <c r="AR24" i="2"/>
  <c r="AN24" i="2"/>
  <c r="AM24" i="2"/>
  <c r="AL24" i="2"/>
  <c r="AJ24" i="2"/>
  <c r="AE24" i="2"/>
  <c r="AF24" i="2" s="1"/>
  <c r="AD24" i="2"/>
  <c r="AB24" i="2"/>
  <c r="P24" i="2"/>
  <c r="R24" i="2" s="1"/>
  <c r="N24" i="2"/>
  <c r="U24" i="2" s="1"/>
  <c r="AX24" i="2" s="1"/>
  <c r="M24" i="2"/>
  <c r="T24" i="2" s="1"/>
  <c r="J24" i="2"/>
  <c r="I24" i="2"/>
  <c r="G24" i="2"/>
  <c r="BI23" i="2"/>
  <c r="BK23" i="2" s="1"/>
  <c r="BA23" i="2"/>
  <c r="AV23" i="2"/>
  <c r="AU23" i="2"/>
  <c r="AT23" i="2"/>
  <c r="AR23" i="2"/>
  <c r="AN23" i="2"/>
  <c r="AM23" i="2"/>
  <c r="AL23" i="2"/>
  <c r="AJ23" i="2"/>
  <c r="AE23" i="2"/>
  <c r="AF23" i="2" s="1"/>
  <c r="AD23" i="2"/>
  <c r="AB23" i="2"/>
  <c r="P23" i="2"/>
  <c r="N23" i="2"/>
  <c r="R23" i="2" s="1"/>
  <c r="M23" i="2"/>
  <c r="T23" i="2" s="1"/>
  <c r="J23" i="2"/>
  <c r="K23" i="2" s="1"/>
  <c r="I23" i="2"/>
  <c r="G23" i="2"/>
  <c r="BI22" i="2"/>
  <c r="BK22" i="2" s="1"/>
  <c r="BA22" i="2"/>
  <c r="AV22" i="2"/>
  <c r="AU22" i="2"/>
  <c r="AT22" i="2"/>
  <c r="AR22" i="2"/>
  <c r="AM22" i="2"/>
  <c r="AN22" i="2" s="1"/>
  <c r="AL22" i="2"/>
  <c r="AJ22" i="2"/>
  <c r="AE22" i="2"/>
  <c r="AF22" i="2" s="1"/>
  <c r="AD22" i="2"/>
  <c r="AB22" i="2"/>
  <c r="P22" i="2"/>
  <c r="Q22" i="2" s="1"/>
  <c r="N22" i="2"/>
  <c r="M22" i="2"/>
  <c r="T22" i="2" s="1"/>
  <c r="J22" i="2"/>
  <c r="K22" i="2" s="1"/>
  <c r="I22" i="2"/>
  <c r="G22" i="2"/>
  <c r="BI21" i="2"/>
  <c r="BK21" i="2" s="1"/>
  <c r="BA21" i="2"/>
  <c r="AV21" i="2"/>
  <c r="AU21" i="2"/>
  <c r="AT21" i="2"/>
  <c r="AR21" i="2"/>
  <c r="AN21" i="2"/>
  <c r="AM21" i="2"/>
  <c r="AL21" i="2"/>
  <c r="AJ21" i="2"/>
  <c r="AE21" i="2"/>
  <c r="AF21" i="2" s="1"/>
  <c r="AD21" i="2"/>
  <c r="AB21" i="2"/>
  <c r="U21" i="2"/>
  <c r="AX21" i="2" s="1"/>
  <c r="P21" i="2"/>
  <c r="V21" i="2" s="1"/>
  <c r="AY21" i="2" s="1"/>
  <c r="N21" i="2"/>
  <c r="M21" i="2"/>
  <c r="J21" i="2"/>
  <c r="K21" i="2" s="1"/>
  <c r="I21" i="2"/>
  <c r="G21" i="2"/>
  <c r="BI20" i="2"/>
  <c r="BK20" i="2" s="1"/>
  <c r="BA20" i="2"/>
  <c r="AV20" i="2"/>
  <c r="AU20" i="2"/>
  <c r="AT20" i="2"/>
  <c r="AR20" i="2"/>
  <c r="AN20" i="2"/>
  <c r="AM20" i="2"/>
  <c r="AL20" i="2"/>
  <c r="AJ20" i="2"/>
  <c r="AE20" i="2"/>
  <c r="AF20" i="2" s="1"/>
  <c r="AD20" i="2"/>
  <c r="AB20" i="2"/>
  <c r="P20" i="2"/>
  <c r="V20" i="2" s="1"/>
  <c r="AY20" i="2" s="1"/>
  <c r="N20" i="2"/>
  <c r="U20" i="2" s="1"/>
  <c r="AX20" i="2" s="1"/>
  <c r="M20" i="2"/>
  <c r="T20" i="2" s="1"/>
  <c r="K20" i="2"/>
  <c r="J20" i="2"/>
  <c r="I20" i="2"/>
  <c r="G20" i="2"/>
  <c r="BI19" i="2"/>
  <c r="BK19" i="2" s="1"/>
  <c r="BA19" i="2"/>
  <c r="AW19" i="2"/>
  <c r="AV19" i="2"/>
  <c r="AU19" i="2"/>
  <c r="AT19" i="2"/>
  <c r="AR19" i="2"/>
  <c r="AN19" i="2"/>
  <c r="AM19" i="2"/>
  <c r="AL19" i="2"/>
  <c r="AJ19" i="2"/>
  <c r="AF19" i="2"/>
  <c r="AE19" i="2"/>
  <c r="AD19" i="2"/>
  <c r="AB19" i="2"/>
  <c r="V19" i="2"/>
  <c r="AY19" i="2" s="1"/>
  <c r="U19" i="2"/>
  <c r="AX19" i="2" s="1"/>
  <c r="T19" i="2"/>
  <c r="R19" i="2"/>
  <c r="S19" i="2" s="1"/>
  <c r="P19" i="2"/>
  <c r="Q19" i="2" s="1"/>
  <c r="N19" i="2"/>
  <c r="M19" i="2"/>
  <c r="J19" i="2"/>
  <c r="K19" i="2" s="1"/>
  <c r="I19" i="2"/>
  <c r="G19" i="2"/>
  <c r="BI18" i="2"/>
  <c r="BK18" i="2" s="1"/>
  <c r="BA18" i="2"/>
  <c r="AW18" i="2"/>
  <c r="AV18" i="2"/>
  <c r="AU18" i="2"/>
  <c r="AT18" i="2"/>
  <c r="AR18" i="2"/>
  <c r="AN18" i="2"/>
  <c r="AM18" i="2"/>
  <c r="AL18" i="2"/>
  <c r="AJ18" i="2"/>
  <c r="AE18" i="2"/>
  <c r="AF18" i="2" s="1"/>
  <c r="AD18" i="2"/>
  <c r="AB18" i="2"/>
  <c r="U18" i="2"/>
  <c r="AX18" i="2" s="1"/>
  <c r="T18" i="2"/>
  <c r="P18" i="2"/>
  <c r="V18" i="2" s="1"/>
  <c r="AY18" i="2" s="1"/>
  <c r="N18" i="2"/>
  <c r="M18" i="2"/>
  <c r="O18" i="2" s="1"/>
  <c r="J18" i="2"/>
  <c r="K18" i="2" s="1"/>
  <c r="I18" i="2"/>
  <c r="G18" i="2"/>
  <c r="BI17" i="2"/>
  <c r="BK17" i="2" s="1"/>
  <c r="BA17" i="2"/>
  <c r="AW17" i="2"/>
  <c r="AV17" i="2"/>
  <c r="AU17" i="2"/>
  <c r="AT17" i="2"/>
  <c r="AR17" i="2"/>
  <c r="AN17" i="2"/>
  <c r="AM17" i="2"/>
  <c r="AL17" i="2"/>
  <c r="AJ17" i="2"/>
  <c r="AE17" i="2"/>
  <c r="AF17" i="2" s="1"/>
  <c r="AD17" i="2"/>
  <c r="AB17" i="2"/>
  <c r="U17" i="2"/>
  <c r="AX17" i="2" s="1"/>
  <c r="T17" i="2"/>
  <c r="P17" i="2"/>
  <c r="R17" i="2" s="1"/>
  <c r="S17" i="2" s="1"/>
  <c r="N17" i="2"/>
  <c r="O17" i="2" s="1"/>
  <c r="M17" i="2"/>
  <c r="J17" i="2"/>
  <c r="I17" i="2"/>
  <c r="G17" i="2"/>
  <c r="BI16" i="2"/>
  <c r="BK16" i="2" s="1"/>
  <c r="BA16" i="2"/>
  <c r="AV16" i="2"/>
  <c r="AU16" i="2"/>
  <c r="AT16" i="2"/>
  <c r="AR16" i="2"/>
  <c r="AN16" i="2"/>
  <c r="AM16" i="2"/>
  <c r="AL16" i="2"/>
  <c r="AJ16" i="2"/>
  <c r="AE16" i="2"/>
  <c r="AF16" i="2" s="1"/>
  <c r="AD16" i="2"/>
  <c r="AB16" i="2"/>
  <c r="T16" i="2"/>
  <c r="P16" i="2"/>
  <c r="N16" i="2"/>
  <c r="R16" i="2" s="1"/>
  <c r="S16" i="2" s="1"/>
  <c r="M16" i="2"/>
  <c r="AW16" i="2" s="1"/>
  <c r="J16" i="2"/>
  <c r="K16" i="2" s="1"/>
  <c r="I16" i="2"/>
  <c r="G16" i="2"/>
  <c r="BI15" i="2"/>
  <c r="BK15" i="2" s="1"/>
  <c r="BA15" i="2"/>
  <c r="AV15" i="2"/>
  <c r="AU15" i="2"/>
  <c r="AT15" i="2"/>
  <c r="AR15" i="2"/>
  <c r="AN15" i="2"/>
  <c r="AM15" i="2"/>
  <c r="AL15" i="2"/>
  <c r="AJ15" i="2"/>
  <c r="AF15" i="2"/>
  <c r="AE15" i="2"/>
  <c r="AD15" i="2"/>
  <c r="AB15" i="2"/>
  <c r="P15" i="2"/>
  <c r="V15" i="2" s="1"/>
  <c r="AY15" i="2" s="1"/>
  <c r="N15" i="2"/>
  <c r="U15" i="2" s="1"/>
  <c r="AX15" i="2" s="1"/>
  <c r="M15" i="2"/>
  <c r="AW15" i="2" s="1"/>
  <c r="J15" i="2"/>
  <c r="K15" i="2" s="1"/>
  <c r="I15" i="2"/>
  <c r="G15" i="2"/>
  <c r="BI14" i="2"/>
  <c r="BK14" i="2" s="1"/>
  <c r="BA14" i="2"/>
  <c r="AW14" i="2"/>
  <c r="AV14" i="2"/>
  <c r="AU14" i="2"/>
  <c r="AT14" i="2"/>
  <c r="AR14" i="2"/>
  <c r="AN14" i="2"/>
  <c r="AM14" i="2"/>
  <c r="AL14" i="2"/>
  <c r="AJ14" i="2"/>
  <c r="AE14" i="2"/>
  <c r="AF14" i="2" s="1"/>
  <c r="AD14" i="2"/>
  <c r="AB14" i="2"/>
  <c r="P14" i="2"/>
  <c r="V14" i="2" s="1"/>
  <c r="AY14" i="2" s="1"/>
  <c r="N14" i="2"/>
  <c r="M14" i="2"/>
  <c r="T14" i="2" s="1"/>
  <c r="J14" i="2"/>
  <c r="K14" i="2" s="1"/>
  <c r="I14" i="2"/>
  <c r="G14" i="2"/>
  <c r="BI13" i="2"/>
  <c r="BK13" i="2" s="1"/>
  <c r="BA13" i="2"/>
  <c r="AX13" i="2"/>
  <c r="AV13" i="2"/>
  <c r="AU13" i="2"/>
  <c r="AT13" i="2"/>
  <c r="AR13" i="2"/>
  <c r="AN13" i="2"/>
  <c r="AM13" i="2"/>
  <c r="AL13" i="2"/>
  <c r="AJ13" i="2"/>
  <c r="AE13" i="2"/>
  <c r="AF13" i="2" s="1"/>
  <c r="AD13" i="2"/>
  <c r="AB13" i="2"/>
  <c r="P13" i="2"/>
  <c r="V13" i="2" s="1"/>
  <c r="AY13" i="2" s="1"/>
  <c r="N13" i="2"/>
  <c r="U13" i="2" s="1"/>
  <c r="M13" i="2"/>
  <c r="AW13" i="2" s="1"/>
  <c r="J13" i="2"/>
  <c r="K13" i="2" s="1"/>
  <c r="I13" i="2"/>
  <c r="G13" i="2"/>
  <c r="BI12" i="2"/>
  <c r="BK12" i="2" s="1"/>
  <c r="BA12" i="2"/>
  <c r="AW12" i="2"/>
  <c r="AV12" i="2"/>
  <c r="AU12" i="2"/>
  <c r="AT12" i="2"/>
  <c r="AR12" i="2"/>
  <c r="AN12" i="2"/>
  <c r="AM12" i="2"/>
  <c r="AL12" i="2"/>
  <c r="AJ12" i="2"/>
  <c r="AF12" i="2"/>
  <c r="AE12" i="2"/>
  <c r="AD12" i="2"/>
  <c r="AB12" i="2"/>
  <c r="P12" i="2"/>
  <c r="N12" i="2"/>
  <c r="U12" i="2" s="1"/>
  <c r="AX12" i="2" s="1"/>
  <c r="M12" i="2"/>
  <c r="T12" i="2" s="1"/>
  <c r="J12" i="2"/>
  <c r="I12" i="2"/>
  <c r="G12" i="2"/>
  <c r="BI11" i="2"/>
  <c r="BK11" i="2" s="1"/>
  <c r="BA11" i="2"/>
  <c r="AV11" i="2"/>
  <c r="AU11" i="2"/>
  <c r="AT11" i="2"/>
  <c r="AR11" i="2"/>
  <c r="AN11" i="2"/>
  <c r="AM11" i="2"/>
  <c r="AL11" i="2"/>
  <c r="AJ11" i="2"/>
  <c r="AF11" i="2"/>
  <c r="AE11" i="2"/>
  <c r="AD11" i="2"/>
  <c r="AB11" i="2"/>
  <c r="P11" i="2"/>
  <c r="N11" i="2"/>
  <c r="U11" i="2" s="1"/>
  <c r="AX11" i="2" s="1"/>
  <c r="M11" i="2"/>
  <c r="T11" i="2" s="1"/>
  <c r="J11" i="2"/>
  <c r="K11" i="2" s="1"/>
  <c r="I11" i="2"/>
  <c r="G11" i="2"/>
  <c r="BC10" i="2"/>
  <c r="BI10" i="2" s="1"/>
  <c r="BK10" i="2" s="1"/>
  <c r="BA10" i="2"/>
  <c r="AV10" i="2"/>
  <c r="AU10" i="2"/>
  <c r="AT10" i="2"/>
  <c r="AR10" i="2"/>
  <c r="AN10" i="2"/>
  <c r="AM10" i="2"/>
  <c r="AL10" i="2"/>
  <c r="AJ10" i="2"/>
  <c r="AE10" i="2"/>
  <c r="AF10" i="2" s="1"/>
  <c r="AD10" i="2"/>
  <c r="AB10" i="2"/>
  <c r="P10" i="2"/>
  <c r="M10" i="2"/>
  <c r="T10" i="2" s="1"/>
  <c r="J10" i="2"/>
  <c r="K10" i="2" s="1"/>
  <c r="I10" i="2"/>
  <c r="G10" i="2"/>
  <c r="BK9" i="2"/>
  <c r="BI9" i="2"/>
  <c r="BA9" i="2"/>
  <c r="AV9" i="2"/>
  <c r="AU9" i="2"/>
  <c r="AT9" i="2"/>
  <c r="AR9" i="2"/>
  <c r="AN9" i="2"/>
  <c r="AM9" i="2"/>
  <c r="AL9" i="2"/>
  <c r="AJ9" i="2"/>
  <c r="AE9" i="2"/>
  <c r="AF9" i="2" s="1"/>
  <c r="AD9" i="2"/>
  <c r="AB9" i="2"/>
  <c r="U9" i="2"/>
  <c r="AX9" i="2" s="1"/>
  <c r="P9" i="2"/>
  <c r="V9" i="2" s="1"/>
  <c r="AY9" i="2" s="1"/>
  <c r="N9" i="2"/>
  <c r="M9" i="2"/>
  <c r="J9" i="2"/>
  <c r="K9" i="2" s="1"/>
  <c r="I9" i="2"/>
  <c r="G9" i="2"/>
  <c r="BI8" i="2"/>
  <c r="BK8" i="2" s="1"/>
  <c r="BA8" i="2"/>
  <c r="AV8" i="2"/>
  <c r="AU8" i="2"/>
  <c r="AT8" i="2"/>
  <c r="AR8" i="2"/>
  <c r="AN8" i="2"/>
  <c r="AM8" i="2"/>
  <c r="AL8" i="2"/>
  <c r="AJ8" i="2"/>
  <c r="AE8" i="2"/>
  <c r="AF8" i="2" s="1"/>
  <c r="AD8" i="2"/>
  <c r="AB8" i="2"/>
  <c r="P8" i="2"/>
  <c r="V8" i="2" s="1"/>
  <c r="AY8" i="2" s="1"/>
  <c r="N8" i="2"/>
  <c r="M8" i="2"/>
  <c r="Q8" i="2" s="1"/>
  <c r="J8" i="2"/>
  <c r="K8" i="2" s="1"/>
  <c r="I8" i="2"/>
  <c r="G8" i="2"/>
  <c r="BI7" i="2"/>
  <c r="BK7" i="2" s="1"/>
  <c r="BA7" i="2"/>
  <c r="AW7" i="2"/>
  <c r="AV7" i="2"/>
  <c r="AU7" i="2"/>
  <c r="AT7" i="2"/>
  <c r="AR7" i="2"/>
  <c r="AN7" i="2"/>
  <c r="AM7" i="2"/>
  <c r="AL7" i="2"/>
  <c r="AJ7" i="2"/>
  <c r="AE7" i="2"/>
  <c r="AF7" i="2" s="1"/>
  <c r="AD7" i="2"/>
  <c r="AB7" i="2"/>
  <c r="V7" i="2"/>
  <c r="AY7" i="2" s="1"/>
  <c r="U7" i="2"/>
  <c r="AX7" i="2" s="1"/>
  <c r="T7" i="2"/>
  <c r="P7" i="2"/>
  <c r="N7" i="2"/>
  <c r="R7" i="2" s="1"/>
  <c r="M7" i="2"/>
  <c r="S7" i="2" s="1"/>
  <c r="J7" i="2"/>
  <c r="K7" i="2" s="1"/>
  <c r="I7" i="2"/>
  <c r="G7" i="2"/>
  <c r="BI6" i="2"/>
  <c r="BK6" i="2" s="1"/>
  <c r="BA6" i="2"/>
  <c r="AV6" i="2"/>
  <c r="AU6" i="2"/>
  <c r="AT6" i="2"/>
  <c r="AR6" i="2"/>
  <c r="AN6" i="2"/>
  <c r="AM6" i="2"/>
  <c r="AL6" i="2"/>
  <c r="AJ6" i="2"/>
  <c r="AE6" i="2"/>
  <c r="AF6" i="2" s="1"/>
  <c r="AD6" i="2"/>
  <c r="AB6" i="2"/>
  <c r="T6" i="2"/>
  <c r="P6" i="2"/>
  <c r="V6" i="2" s="1"/>
  <c r="AY6" i="2" s="1"/>
  <c r="N6" i="2"/>
  <c r="O6" i="2" s="1"/>
  <c r="M6" i="2"/>
  <c r="AW6" i="2" s="1"/>
  <c r="J6" i="2"/>
  <c r="K6" i="2" s="1"/>
  <c r="I6" i="2"/>
  <c r="G6" i="2"/>
  <c r="BI5" i="2"/>
  <c r="BK5" i="2" s="1"/>
  <c r="BA5" i="2"/>
  <c r="AV5" i="2"/>
  <c r="AU5" i="2"/>
  <c r="AU36" i="2" s="1"/>
  <c r="AU37" i="2" s="1"/>
  <c r="AT5" i="2"/>
  <c r="AR5" i="2"/>
  <c r="AN5" i="2"/>
  <c r="AM5" i="2"/>
  <c r="AL5" i="2"/>
  <c r="AJ5" i="2"/>
  <c r="AE5" i="2"/>
  <c r="AF5" i="2" s="1"/>
  <c r="AD5" i="2"/>
  <c r="AB5" i="2"/>
  <c r="V5" i="2"/>
  <c r="AY5" i="2" s="1"/>
  <c r="P5" i="2"/>
  <c r="N5" i="2"/>
  <c r="U5" i="2" s="1"/>
  <c r="M5" i="2"/>
  <c r="O5" i="2" s="1"/>
  <c r="J5" i="2"/>
  <c r="K5" i="2" s="1"/>
  <c r="I5" i="2"/>
  <c r="G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AF46" i="1"/>
  <c r="S46" i="1"/>
  <c r="AR44" i="1"/>
  <c r="AL37" i="1"/>
  <c r="AZ36" i="1"/>
  <c r="AY36" i="1"/>
  <c r="AX36" i="1"/>
  <c r="AW36" i="1"/>
  <c r="AV36" i="1"/>
  <c r="AU36" i="1"/>
  <c r="AT36" i="1"/>
  <c r="AK36" i="1"/>
  <c r="AK37" i="1" s="1"/>
  <c r="AI36" i="1"/>
  <c r="AI37" i="1" s="1"/>
  <c r="AJ37" i="1" s="1"/>
  <c r="AH36" i="1"/>
  <c r="AG36" i="1"/>
  <c r="AC36" i="1"/>
  <c r="AC37" i="1" s="1"/>
  <c r="AD37" i="1" s="1"/>
  <c r="AA36" i="1"/>
  <c r="AA37" i="1" s="1"/>
  <c r="AB37" i="1" s="1"/>
  <c r="Z36" i="1"/>
  <c r="Y36" i="1"/>
  <c r="X36" i="1"/>
  <c r="L36" i="1"/>
  <c r="E36" i="1"/>
  <c r="F38" i="1" s="1"/>
  <c r="D36" i="1"/>
  <c r="C36" i="1"/>
  <c r="BA35" i="1"/>
  <c r="BC35" i="1" s="1"/>
  <c r="AS35" i="1"/>
  <c r="AN35" i="1"/>
  <c r="AM35" i="1"/>
  <c r="AL35" i="1"/>
  <c r="AJ35" i="1"/>
  <c r="AF35" i="1"/>
  <c r="AE35" i="1"/>
  <c r="AD35" i="1"/>
  <c r="AB35" i="1"/>
  <c r="P35" i="1"/>
  <c r="N35" i="1"/>
  <c r="U35" i="1" s="1"/>
  <c r="AP35" i="1" s="1"/>
  <c r="M35" i="1"/>
  <c r="T35" i="1" s="1"/>
  <c r="K35" i="1"/>
  <c r="J35" i="1"/>
  <c r="I35" i="1"/>
  <c r="G35" i="1"/>
  <c r="BA34" i="1"/>
  <c r="BC34" i="1" s="1"/>
  <c r="AS34" i="1"/>
  <c r="AN34" i="1"/>
  <c r="AM34" i="1"/>
  <c r="AL34" i="1"/>
  <c r="AJ34" i="1"/>
  <c r="AE34" i="1"/>
  <c r="AF34" i="1" s="1"/>
  <c r="AD34" i="1"/>
  <c r="AB34" i="1"/>
  <c r="P34" i="1"/>
  <c r="N34" i="1"/>
  <c r="R34" i="1" s="1"/>
  <c r="M34" i="1"/>
  <c r="AO34" i="1" s="1"/>
  <c r="J34" i="1"/>
  <c r="K34" i="1" s="1"/>
  <c r="I34" i="1"/>
  <c r="G34" i="1"/>
  <c r="BA33" i="1"/>
  <c r="BC33" i="1" s="1"/>
  <c r="AS33" i="1"/>
  <c r="AN33" i="1"/>
  <c r="AM33" i="1"/>
  <c r="AL33" i="1"/>
  <c r="AJ33" i="1"/>
  <c r="AE33" i="1"/>
  <c r="AF33" i="1" s="1"/>
  <c r="AD33" i="1"/>
  <c r="AB33" i="1"/>
  <c r="P33" i="1"/>
  <c r="V33" i="1" s="1"/>
  <c r="AQ33" i="1" s="1"/>
  <c r="M33" i="1"/>
  <c r="AO33" i="1" s="1"/>
  <c r="I33" i="1"/>
  <c r="H33" i="1"/>
  <c r="H36" i="1" s="1"/>
  <c r="F33" i="1"/>
  <c r="N33" i="1" s="1"/>
  <c r="BA32" i="1"/>
  <c r="BC32" i="1" s="1"/>
  <c r="AU32" i="1"/>
  <c r="AS32" i="1"/>
  <c r="AO32" i="1"/>
  <c r="AN32" i="1"/>
  <c r="AM32" i="1"/>
  <c r="AL32" i="1"/>
  <c r="AJ32" i="1"/>
  <c r="AE32" i="1"/>
  <c r="AF32" i="1" s="1"/>
  <c r="AD32" i="1"/>
  <c r="AB32" i="1"/>
  <c r="P32" i="1"/>
  <c r="N32" i="1"/>
  <c r="M32" i="1"/>
  <c r="T32" i="1" s="1"/>
  <c r="J32" i="1"/>
  <c r="K32" i="1" s="1"/>
  <c r="I32" i="1"/>
  <c r="G32" i="1"/>
  <c r="BA31" i="1"/>
  <c r="BC31" i="1" s="1"/>
  <c r="AS31" i="1"/>
  <c r="AP31" i="1"/>
  <c r="AN31" i="1"/>
  <c r="AM31" i="1"/>
  <c r="AL31" i="1"/>
  <c r="AJ31" i="1"/>
  <c r="AF31" i="1"/>
  <c r="AE31" i="1"/>
  <c r="AD31" i="1"/>
  <c r="AB31" i="1"/>
  <c r="U31" i="1"/>
  <c r="P31" i="1"/>
  <c r="Q31" i="1" s="1"/>
  <c r="O31" i="1"/>
  <c r="N31" i="1"/>
  <c r="M31" i="1"/>
  <c r="AO31" i="1" s="1"/>
  <c r="K31" i="1"/>
  <c r="J31" i="1"/>
  <c r="I31" i="1"/>
  <c r="G31" i="1"/>
  <c r="BC30" i="1"/>
  <c r="BA30" i="1"/>
  <c r="AS30" i="1"/>
  <c r="AN30" i="1"/>
  <c r="AM30" i="1"/>
  <c r="AL30" i="1"/>
  <c r="AJ30" i="1"/>
  <c r="AF30" i="1"/>
  <c r="AE30" i="1"/>
  <c r="AD30" i="1"/>
  <c r="AB30" i="1"/>
  <c r="P30" i="1"/>
  <c r="V30" i="1" s="1"/>
  <c r="AQ30" i="1" s="1"/>
  <c r="N30" i="1"/>
  <c r="M30" i="1"/>
  <c r="T30" i="1" s="1"/>
  <c r="J30" i="1"/>
  <c r="K30" i="1" s="1"/>
  <c r="I30" i="1"/>
  <c r="G30" i="1"/>
  <c r="BA29" i="1"/>
  <c r="BC29" i="1" s="1"/>
  <c r="AS29" i="1"/>
  <c r="AN29" i="1"/>
  <c r="AM29" i="1"/>
  <c r="AL29" i="1"/>
  <c r="AJ29" i="1"/>
  <c r="AF29" i="1"/>
  <c r="AE29" i="1"/>
  <c r="AD29" i="1"/>
  <c r="AB29" i="1"/>
  <c r="P29" i="1"/>
  <c r="V29" i="1" s="1"/>
  <c r="AQ29" i="1" s="1"/>
  <c r="N29" i="1"/>
  <c r="U29" i="1" s="1"/>
  <c r="AP29" i="1" s="1"/>
  <c r="M29" i="1"/>
  <c r="J29" i="1"/>
  <c r="K29" i="1" s="1"/>
  <c r="I29" i="1"/>
  <c r="G29" i="1"/>
  <c r="BA28" i="1"/>
  <c r="BC28" i="1" s="1"/>
  <c r="AS28" i="1"/>
  <c r="AO28" i="1"/>
  <c r="AN28" i="1"/>
  <c r="AM28" i="1"/>
  <c r="AL28" i="1"/>
  <c r="AJ28" i="1"/>
  <c r="AF28" i="1"/>
  <c r="AE28" i="1"/>
  <c r="AD28" i="1"/>
  <c r="AB28" i="1"/>
  <c r="T28" i="1"/>
  <c r="P28" i="1"/>
  <c r="Q28" i="1" s="1"/>
  <c r="N28" i="1"/>
  <c r="O28" i="1" s="1"/>
  <c r="M28" i="1"/>
  <c r="J28" i="1"/>
  <c r="K28" i="1" s="1"/>
  <c r="I28" i="1"/>
  <c r="G28" i="1"/>
  <c r="BA27" i="1"/>
  <c r="BC27" i="1" s="1"/>
  <c r="AS27" i="1"/>
  <c r="AN27" i="1"/>
  <c r="AM27" i="1"/>
  <c r="AL27" i="1"/>
  <c r="AJ27" i="1"/>
  <c r="AF27" i="1"/>
  <c r="AE27" i="1"/>
  <c r="AD27" i="1"/>
  <c r="AB27" i="1"/>
  <c r="P27" i="1"/>
  <c r="V27" i="1" s="1"/>
  <c r="AQ27" i="1" s="1"/>
  <c r="N27" i="1"/>
  <c r="M27" i="1"/>
  <c r="K27" i="1"/>
  <c r="J27" i="1"/>
  <c r="I27" i="1"/>
  <c r="G27" i="1"/>
  <c r="BA26" i="1"/>
  <c r="BC26" i="1" s="1"/>
  <c r="AS26" i="1"/>
  <c r="AN26" i="1"/>
  <c r="AM26" i="1"/>
  <c r="AL26" i="1"/>
  <c r="AJ26" i="1"/>
  <c r="AF26" i="1"/>
  <c r="AE26" i="1"/>
  <c r="AD26" i="1"/>
  <c r="AB26" i="1"/>
  <c r="V26" i="1"/>
  <c r="AQ26" i="1" s="1"/>
  <c r="T26" i="1"/>
  <c r="P26" i="1"/>
  <c r="N26" i="1"/>
  <c r="U26" i="1" s="1"/>
  <c r="AP26" i="1" s="1"/>
  <c r="M26" i="1"/>
  <c r="AO26" i="1" s="1"/>
  <c r="K26" i="1"/>
  <c r="J26" i="1"/>
  <c r="I26" i="1"/>
  <c r="G26" i="1"/>
  <c r="BA25" i="1"/>
  <c r="BC25" i="1" s="1"/>
  <c r="AS25" i="1"/>
  <c r="AO25" i="1"/>
  <c r="AN25" i="1"/>
  <c r="AM25" i="1"/>
  <c r="AL25" i="1"/>
  <c r="AJ25" i="1"/>
  <c r="AF25" i="1"/>
  <c r="AE25" i="1"/>
  <c r="AD25" i="1"/>
  <c r="AB25" i="1"/>
  <c r="T25" i="1"/>
  <c r="P25" i="1"/>
  <c r="N25" i="1"/>
  <c r="O25" i="1" s="1"/>
  <c r="M25" i="1"/>
  <c r="K25" i="1"/>
  <c r="J25" i="1"/>
  <c r="I25" i="1"/>
  <c r="G25" i="1"/>
  <c r="BA24" i="1"/>
  <c r="BC24" i="1" s="1"/>
  <c r="AS24" i="1"/>
  <c r="AN24" i="1"/>
  <c r="AM24" i="1"/>
  <c r="AL24" i="1"/>
  <c r="AJ24" i="1"/>
  <c r="AF24" i="1"/>
  <c r="AE24" i="1"/>
  <c r="AD24" i="1"/>
  <c r="AB24" i="1"/>
  <c r="V24" i="1"/>
  <c r="AQ24" i="1" s="1"/>
  <c r="P24" i="1"/>
  <c r="N24" i="1"/>
  <c r="U24" i="1" s="1"/>
  <c r="AP24" i="1" s="1"/>
  <c r="M24" i="1"/>
  <c r="AO24" i="1" s="1"/>
  <c r="K24" i="1"/>
  <c r="J24" i="1"/>
  <c r="I24" i="1"/>
  <c r="G24" i="1"/>
  <c r="BA23" i="1"/>
  <c r="BC23" i="1" s="1"/>
  <c r="AS23" i="1"/>
  <c r="AN23" i="1"/>
  <c r="AM23" i="1"/>
  <c r="AL23" i="1"/>
  <c r="AJ23" i="1"/>
  <c r="AF23" i="1"/>
  <c r="AE23" i="1"/>
  <c r="AD23" i="1"/>
  <c r="AB23" i="1"/>
  <c r="V23" i="1"/>
  <c r="AQ23" i="1" s="1"/>
  <c r="U23" i="1"/>
  <c r="AP23" i="1" s="1"/>
  <c r="P23" i="1"/>
  <c r="N23" i="1"/>
  <c r="R23" i="1" s="1"/>
  <c r="W23" i="1" s="1"/>
  <c r="AR23" i="1" s="1"/>
  <c r="M23" i="1"/>
  <c r="O23" i="1" s="1"/>
  <c r="K23" i="1"/>
  <c r="J23" i="1"/>
  <c r="I23" i="1"/>
  <c r="G23" i="1"/>
  <c r="BA22" i="1"/>
  <c r="BC22" i="1" s="1"/>
  <c r="AS22" i="1"/>
  <c r="AN22" i="1"/>
  <c r="AM22" i="1"/>
  <c r="AL22" i="1"/>
  <c r="AJ22" i="1"/>
  <c r="AF22" i="1"/>
  <c r="AE22" i="1"/>
  <c r="AD22" i="1"/>
  <c r="AB22" i="1"/>
  <c r="P22" i="1"/>
  <c r="V22" i="1" s="1"/>
  <c r="AQ22" i="1" s="1"/>
  <c r="N22" i="1"/>
  <c r="M22" i="1"/>
  <c r="K22" i="1"/>
  <c r="J22" i="1"/>
  <c r="I22" i="1"/>
  <c r="G22" i="1"/>
  <c r="BA21" i="1"/>
  <c r="BC21" i="1" s="1"/>
  <c r="AS21" i="1"/>
  <c r="AN21" i="1"/>
  <c r="AM21" i="1"/>
  <c r="AL21" i="1"/>
  <c r="AJ21" i="1"/>
  <c r="AF21" i="1"/>
  <c r="AE21" i="1"/>
  <c r="AD21" i="1"/>
  <c r="AB21" i="1"/>
  <c r="V21" i="1"/>
  <c r="AQ21" i="1" s="1"/>
  <c r="P21" i="1"/>
  <c r="N21" i="1"/>
  <c r="R21" i="1" s="1"/>
  <c r="M21" i="1"/>
  <c r="Q21" i="1" s="1"/>
  <c r="K21" i="1"/>
  <c r="J21" i="1"/>
  <c r="I21" i="1"/>
  <c r="G21" i="1"/>
  <c r="BC20" i="1"/>
  <c r="BA20" i="1"/>
  <c r="AS20" i="1"/>
  <c r="AN20" i="1"/>
  <c r="AM20" i="1"/>
  <c r="AL20" i="1"/>
  <c r="AJ20" i="1"/>
  <c r="AF20" i="1"/>
  <c r="AE20" i="1"/>
  <c r="AD20" i="1"/>
  <c r="AB20" i="1"/>
  <c r="T20" i="1"/>
  <c r="P20" i="1"/>
  <c r="N20" i="1"/>
  <c r="M20" i="1"/>
  <c r="AO20" i="1" s="1"/>
  <c r="K20" i="1"/>
  <c r="J20" i="1"/>
  <c r="I20" i="1"/>
  <c r="G20" i="1"/>
  <c r="BA19" i="1"/>
  <c r="BC19" i="1" s="1"/>
  <c r="AS19" i="1"/>
  <c r="AN19" i="1"/>
  <c r="AM19" i="1"/>
  <c r="AL19" i="1"/>
  <c r="AJ19" i="1"/>
  <c r="AF19" i="1"/>
  <c r="AE19" i="1"/>
  <c r="AD19" i="1"/>
  <c r="AB19" i="1"/>
  <c r="U19" i="1"/>
  <c r="AP19" i="1" s="1"/>
  <c r="P19" i="1"/>
  <c r="Q19" i="1" s="1"/>
  <c r="O19" i="1"/>
  <c r="N19" i="1"/>
  <c r="M19" i="1"/>
  <c r="AO19" i="1" s="1"/>
  <c r="K19" i="1"/>
  <c r="J19" i="1"/>
  <c r="I19" i="1"/>
  <c r="G19" i="1"/>
  <c r="BA18" i="1"/>
  <c r="BC18" i="1" s="1"/>
  <c r="AS18" i="1"/>
  <c r="AN18" i="1"/>
  <c r="AM18" i="1"/>
  <c r="AL18" i="1"/>
  <c r="AJ18" i="1"/>
  <c r="AF18" i="1"/>
  <c r="AE18" i="1"/>
  <c r="AD18" i="1"/>
  <c r="AB18" i="1"/>
  <c r="V18" i="1"/>
  <c r="AQ18" i="1" s="1"/>
  <c r="P18" i="1"/>
  <c r="N18" i="1"/>
  <c r="M18" i="1"/>
  <c r="T18" i="1" s="1"/>
  <c r="K18" i="1"/>
  <c r="J18" i="1"/>
  <c r="I18" i="1"/>
  <c r="G18" i="1"/>
  <c r="BA17" i="1"/>
  <c r="BC17" i="1" s="1"/>
  <c r="AS17" i="1"/>
  <c r="AN17" i="1"/>
  <c r="AM17" i="1"/>
  <c r="AL17" i="1"/>
  <c r="AJ17" i="1"/>
  <c r="AF17" i="1"/>
  <c r="AE17" i="1"/>
  <c r="AD17" i="1"/>
  <c r="AB17" i="1"/>
  <c r="P17" i="1"/>
  <c r="V17" i="1" s="1"/>
  <c r="AQ17" i="1" s="1"/>
  <c r="N17" i="1"/>
  <c r="M17" i="1"/>
  <c r="Q17" i="1" s="1"/>
  <c r="K17" i="1"/>
  <c r="J17" i="1"/>
  <c r="I17" i="1"/>
  <c r="G17" i="1"/>
  <c r="BA16" i="1"/>
  <c r="BC16" i="1" s="1"/>
  <c r="AS16" i="1"/>
  <c r="AN16" i="1"/>
  <c r="AM16" i="1"/>
  <c r="AL16" i="1"/>
  <c r="AJ16" i="1"/>
  <c r="AF16" i="1"/>
  <c r="AE16" i="1"/>
  <c r="AD16" i="1"/>
  <c r="AB16" i="1"/>
  <c r="V16" i="1"/>
  <c r="AQ16" i="1" s="1"/>
  <c r="U16" i="1"/>
  <c r="AP16" i="1" s="1"/>
  <c r="P16" i="1"/>
  <c r="N16" i="1"/>
  <c r="M16" i="1"/>
  <c r="K16" i="1"/>
  <c r="J16" i="1"/>
  <c r="I16" i="1"/>
  <c r="G16" i="1"/>
  <c r="BA15" i="1"/>
  <c r="BC15" i="1" s="1"/>
  <c r="AS15" i="1"/>
  <c r="AN15" i="1"/>
  <c r="AM15" i="1"/>
  <c r="AL15" i="1"/>
  <c r="AJ15" i="1"/>
  <c r="AF15" i="1"/>
  <c r="AE15" i="1"/>
  <c r="AD15" i="1"/>
  <c r="AB15" i="1"/>
  <c r="P15" i="1"/>
  <c r="N15" i="1"/>
  <c r="M15" i="1"/>
  <c r="AO15" i="1" s="1"/>
  <c r="K15" i="1"/>
  <c r="J15" i="1"/>
  <c r="I15" i="1"/>
  <c r="G15" i="1"/>
  <c r="BC14" i="1"/>
  <c r="BA14" i="1"/>
  <c r="AS14" i="1"/>
  <c r="AQ14" i="1"/>
  <c r="AN14" i="1"/>
  <c r="AM14" i="1"/>
  <c r="AL14" i="1"/>
  <c r="AJ14" i="1"/>
  <c r="AF14" i="1"/>
  <c r="AE14" i="1"/>
  <c r="AD14" i="1"/>
  <c r="AB14" i="1"/>
  <c r="V14" i="1"/>
  <c r="P14" i="1"/>
  <c r="N14" i="1"/>
  <c r="R14" i="1" s="1"/>
  <c r="M14" i="1"/>
  <c r="S14" i="1" s="1"/>
  <c r="K14" i="1"/>
  <c r="J14" i="1"/>
  <c r="W14" i="1" s="1"/>
  <c r="AR14" i="1" s="1"/>
  <c r="I14" i="1"/>
  <c r="G14" i="1"/>
  <c r="BA13" i="1"/>
  <c r="BC13" i="1" s="1"/>
  <c r="AS13" i="1"/>
  <c r="AN13" i="1"/>
  <c r="AM13" i="1"/>
  <c r="AL13" i="1"/>
  <c r="AJ13" i="1"/>
  <c r="AF13" i="1"/>
  <c r="AE13" i="1"/>
  <c r="AD13" i="1"/>
  <c r="AB13" i="1"/>
  <c r="U13" i="1"/>
  <c r="AP13" i="1" s="1"/>
  <c r="P13" i="1"/>
  <c r="R13" i="1" s="1"/>
  <c r="O13" i="1"/>
  <c r="N13" i="1"/>
  <c r="M13" i="1"/>
  <c r="T13" i="1" s="1"/>
  <c r="K13" i="1"/>
  <c r="J13" i="1"/>
  <c r="I13" i="1"/>
  <c r="G13" i="1"/>
  <c r="BA12" i="1"/>
  <c r="BC12" i="1" s="1"/>
  <c r="AS12" i="1"/>
  <c r="AN12" i="1"/>
  <c r="AM12" i="1"/>
  <c r="AL12" i="1"/>
  <c r="AJ12" i="1"/>
  <c r="AF12" i="1"/>
  <c r="AE12" i="1"/>
  <c r="AD12" i="1"/>
  <c r="AB12" i="1"/>
  <c r="P12" i="1"/>
  <c r="V12" i="1" s="1"/>
  <c r="AQ12" i="1" s="1"/>
  <c r="N12" i="1"/>
  <c r="U12" i="1" s="1"/>
  <c r="AP12" i="1" s="1"/>
  <c r="M12" i="1"/>
  <c r="K12" i="1"/>
  <c r="J12" i="1"/>
  <c r="I12" i="1"/>
  <c r="G12" i="1"/>
  <c r="BA11" i="1"/>
  <c r="BC11" i="1" s="1"/>
  <c r="AS11" i="1"/>
  <c r="AO11" i="1"/>
  <c r="AN11" i="1"/>
  <c r="AM11" i="1"/>
  <c r="AL11" i="1"/>
  <c r="AJ11" i="1"/>
  <c r="AF11" i="1"/>
  <c r="AE11" i="1"/>
  <c r="AD11" i="1"/>
  <c r="AB11" i="1"/>
  <c r="V11" i="1"/>
  <c r="AQ11" i="1" s="1"/>
  <c r="U11" i="1"/>
  <c r="AP11" i="1" s="1"/>
  <c r="T11" i="1"/>
  <c r="R11" i="1"/>
  <c r="S11" i="1" s="1"/>
  <c r="Q11" i="1"/>
  <c r="P11" i="1"/>
  <c r="N11" i="1"/>
  <c r="M11" i="1"/>
  <c r="K11" i="1"/>
  <c r="J11" i="1"/>
  <c r="I11" i="1"/>
  <c r="G11" i="1"/>
  <c r="BA10" i="1"/>
  <c r="BC10" i="1" s="1"/>
  <c r="AS10" i="1"/>
  <c r="AN10" i="1"/>
  <c r="AM10" i="1"/>
  <c r="AL10" i="1"/>
  <c r="AJ10" i="1"/>
  <c r="AF10" i="1"/>
  <c r="AE10" i="1"/>
  <c r="AD10" i="1"/>
  <c r="AB10" i="1"/>
  <c r="P10" i="1"/>
  <c r="V10" i="1" s="1"/>
  <c r="AQ10" i="1" s="1"/>
  <c r="N10" i="1"/>
  <c r="U10" i="1" s="1"/>
  <c r="AP10" i="1" s="1"/>
  <c r="M10" i="1"/>
  <c r="K10" i="1"/>
  <c r="J10" i="1"/>
  <c r="I10" i="1"/>
  <c r="G10" i="1"/>
  <c r="BA9" i="1"/>
  <c r="BC9" i="1" s="1"/>
  <c r="AS9" i="1"/>
  <c r="AN9" i="1"/>
  <c r="AM9" i="1"/>
  <c r="AL9" i="1"/>
  <c r="AJ9" i="1"/>
  <c r="AF9" i="1"/>
  <c r="AE9" i="1"/>
  <c r="AD9" i="1"/>
  <c r="AB9" i="1"/>
  <c r="P9" i="1"/>
  <c r="V9" i="1" s="1"/>
  <c r="AQ9" i="1" s="1"/>
  <c r="N9" i="1"/>
  <c r="M9" i="1"/>
  <c r="T9" i="1" s="1"/>
  <c r="K9" i="1"/>
  <c r="J9" i="1"/>
  <c r="I9" i="1"/>
  <c r="G9" i="1"/>
  <c r="BC8" i="1"/>
  <c r="BA8" i="1"/>
  <c r="AS8" i="1"/>
  <c r="AO8" i="1"/>
  <c r="AN8" i="1"/>
  <c r="AM8" i="1"/>
  <c r="AL8" i="1"/>
  <c r="AJ8" i="1"/>
  <c r="AF8" i="1"/>
  <c r="AE8" i="1"/>
  <c r="AD8" i="1"/>
  <c r="AB8" i="1"/>
  <c r="P8" i="1"/>
  <c r="V8" i="1" s="1"/>
  <c r="AQ8" i="1" s="1"/>
  <c r="N8" i="1"/>
  <c r="R8" i="1" s="1"/>
  <c r="M8" i="1"/>
  <c r="T8" i="1" s="1"/>
  <c r="K8" i="1"/>
  <c r="J8" i="1"/>
  <c r="W8" i="1" s="1"/>
  <c r="I8" i="1"/>
  <c r="G8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A7" i="1"/>
  <c r="BC7" i="1" s="1"/>
  <c r="AS7" i="1"/>
  <c r="AN7" i="1"/>
  <c r="AM7" i="1"/>
  <c r="AL7" i="1"/>
  <c r="AJ7" i="1"/>
  <c r="AF7" i="1"/>
  <c r="AE7" i="1"/>
  <c r="AD7" i="1"/>
  <c r="AB7" i="1"/>
  <c r="U7" i="1"/>
  <c r="AP7" i="1" s="1"/>
  <c r="P7" i="1"/>
  <c r="N7" i="1"/>
  <c r="O7" i="1" s="1"/>
  <c r="M7" i="1"/>
  <c r="AO7" i="1" s="1"/>
  <c r="K7" i="1"/>
  <c r="J7" i="1"/>
  <c r="I7" i="1"/>
  <c r="G7" i="1"/>
  <c r="BA6" i="1"/>
  <c r="BC6" i="1" s="1"/>
  <c r="AS6" i="1"/>
  <c r="AN6" i="1"/>
  <c r="AM6" i="1"/>
  <c r="AL6" i="1"/>
  <c r="AJ6" i="1"/>
  <c r="AF6" i="1"/>
  <c r="AE6" i="1"/>
  <c r="AD6" i="1"/>
  <c r="AB6" i="1"/>
  <c r="U6" i="1"/>
  <c r="AP6" i="1" s="1"/>
  <c r="T6" i="1"/>
  <c r="P6" i="1"/>
  <c r="N6" i="1"/>
  <c r="M6" i="1"/>
  <c r="AO6" i="1" s="1"/>
  <c r="K6" i="1"/>
  <c r="J6" i="1"/>
  <c r="I6" i="1"/>
  <c r="G6" i="1"/>
  <c r="B6" i="1"/>
  <c r="B7" i="1" s="1"/>
  <c r="BA5" i="1"/>
  <c r="BC5" i="1" s="1"/>
  <c r="AS5" i="1"/>
  <c r="AN5" i="1"/>
  <c r="AM5" i="1"/>
  <c r="AL5" i="1"/>
  <c r="AJ5" i="1"/>
  <c r="AF5" i="1"/>
  <c r="AE5" i="1"/>
  <c r="AD5" i="1"/>
  <c r="AB5" i="1"/>
  <c r="P5" i="1"/>
  <c r="V5" i="1" s="1"/>
  <c r="N5" i="1"/>
  <c r="M5" i="1"/>
  <c r="K5" i="1"/>
  <c r="J5" i="1"/>
  <c r="I5" i="1"/>
  <c r="G5" i="1"/>
  <c r="B5" i="1"/>
  <c r="G37" i="3" l="1"/>
  <c r="O31" i="2"/>
  <c r="Q23" i="2"/>
  <c r="O30" i="2"/>
  <c r="AT37" i="2"/>
  <c r="BA17" i="3"/>
  <c r="R31" i="3"/>
  <c r="I37" i="3"/>
  <c r="U16" i="2"/>
  <c r="AX16" i="2" s="1"/>
  <c r="Q21" i="2"/>
  <c r="Q31" i="2"/>
  <c r="Q35" i="2"/>
  <c r="O21" i="3"/>
  <c r="O18" i="1"/>
  <c r="R18" i="1"/>
  <c r="S18" i="1" s="1"/>
  <c r="AO18" i="1"/>
  <c r="R28" i="1"/>
  <c r="S28" i="1" s="1"/>
  <c r="O30" i="1"/>
  <c r="AO30" i="1"/>
  <c r="AM36" i="2"/>
  <c r="S8" i="1"/>
  <c r="V19" i="1"/>
  <c r="AQ19" i="1" s="1"/>
  <c r="V31" i="1"/>
  <c r="AQ31" i="1" s="1"/>
  <c r="T33" i="1"/>
  <c r="K12" i="2"/>
  <c r="V23" i="2"/>
  <c r="AY23" i="2" s="1"/>
  <c r="AW23" i="2"/>
  <c r="O29" i="2"/>
  <c r="AZ33" i="2"/>
  <c r="V32" i="3"/>
  <c r="AZ32" i="3" s="1"/>
  <c r="Q14" i="1"/>
  <c r="U18" i="1"/>
  <c r="AP18" i="1" s="1"/>
  <c r="U25" i="1"/>
  <c r="AP25" i="1" s="1"/>
  <c r="U28" i="1"/>
  <c r="AP28" i="1" s="1"/>
  <c r="R15" i="2"/>
  <c r="W19" i="2"/>
  <c r="R20" i="2"/>
  <c r="W20" i="2" s="1"/>
  <c r="AZ20" i="2" s="1"/>
  <c r="R22" i="2"/>
  <c r="K27" i="2"/>
  <c r="R28" i="2"/>
  <c r="S28" i="2" s="1"/>
  <c r="R29" i="2"/>
  <c r="S29" i="2" s="1"/>
  <c r="T30" i="2"/>
  <c r="R31" i="2"/>
  <c r="K33" i="2"/>
  <c r="U35" i="2"/>
  <c r="AX35" i="2" s="1"/>
  <c r="R8" i="3"/>
  <c r="S8" i="3" s="1"/>
  <c r="Q9" i="3"/>
  <c r="S20" i="3"/>
  <c r="Q21" i="3"/>
  <c r="AZ28" i="3"/>
  <c r="U31" i="3"/>
  <c r="AY31" i="3" s="1"/>
  <c r="W34" i="3"/>
  <c r="BA34" i="3" s="1"/>
  <c r="X53" i="3"/>
  <c r="T29" i="2"/>
  <c r="T31" i="2"/>
  <c r="Q5" i="3"/>
  <c r="S7" i="3"/>
  <c r="U21" i="3"/>
  <c r="AY21" i="3" s="1"/>
  <c r="T28" i="3"/>
  <c r="AW35" i="2"/>
  <c r="U14" i="1"/>
  <c r="AP14" i="1" s="1"/>
  <c r="O12" i="2"/>
  <c r="Q13" i="2"/>
  <c r="T21" i="2"/>
  <c r="T28" i="2"/>
  <c r="U31" i="2"/>
  <c r="AX31" i="2" s="1"/>
  <c r="R32" i="2"/>
  <c r="W32" i="2" s="1"/>
  <c r="AZ32" i="2" s="1"/>
  <c r="W35" i="2"/>
  <c r="AZ35" i="2" s="1"/>
  <c r="R5" i="3"/>
  <c r="S5" i="3" s="1"/>
  <c r="T7" i="3"/>
  <c r="T8" i="3"/>
  <c r="AX8" i="3"/>
  <c r="O15" i="3"/>
  <c r="O17" i="3"/>
  <c r="T25" i="3"/>
  <c r="Y58" i="3"/>
  <c r="AO13" i="1"/>
  <c r="Q16" i="1"/>
  <c r="Q24" i="1"/>
  <c r="O27" i="1"/>
  <c r="O34" i="1"/>
  <c r="O35" i="1"/>
  <c r="AO35" i="1"/>
  <c r="Q6" i="2"/>
  <c r="Q11" i="2"/>
  <c r="R12" i="2"/>
  <c r="W12" i="2" s="1"/>
  <c r="AZ12" i="2" s="1"/>
  <c r="R13" i="2"/>
  <c r="W13" i="2" s="1"/>
  <c r="AZ13" i="2" s="1"/>
  <c r="Q14" i="2"/>
  <c r="V22" i="2"/>
  <c r="AY22" i="2" s="1"/>
  <c r="U7" i="3"/>
  <c r="AY7" i="3" s="1"/>
  <c r="V8" i="3"/>
  <c r="AZ8" i="3" s="1"/>
  <c r="R15" i="3"/>
  <c r="S15" i="3" s="1"/>
  <c r="Q16" i="3"/>
  <c r="W21" i="3"/>
  <c r="AX21" i="3"/>
  <c r="O34" i="3"/>
  <c r="X56" i="3"/>
  <c r="W11" i="1"/>
  <c r="AR11" i="1" s="1"/>
  <c r="T14" i="1"/>
  <c r="AO14" i="1"/>
  <c r="V28" i="1"/>
  <c r="AQ28" i="1" s="1"/>
  <c r="U30" i="1"/>
  <c r="AP30" i="1" s="1"/>
  <c r="S13" i="1"/>
  <c r="Q7" i="1"/>
  <c r="AE36" i="1"/>
  <c r="O16" i="1"/>
  <c r="U21" i="1"/>
  <c r="AP21" i="1" s="1"/>
  <c r="Q23" i="1"/>
  <c r="Q34" i="1"/>
  <c r="AW5" i="2"/>
  <c r="R6" i="2"/>
  <c r="W6" i="2" s="1"/>
  <c r="AZ6" i="2" s="1"/>
  <c r="O19" i="2"/>
  <c r="AW21" i="2"/>
  <c r="W24" i="2"/>
  <c r="AZ24" i="2" s="1"/>
  <c r="R27" i="2"/>
  <c r="W27" i="2" s="1"/>
  <c r="AZ27" i="2" s="1"/>
  <c r="U33" i="2"/>
  <c r="AX33" i="2" s="1"/>
  <c r="AW33" i="2"/>
  <c r="T5" i="3"/>
  <c r="Q15" i="3"/>
  <c r="R16" i="3"/>
  <c r="W16" i="3" s="1"/>
  <c r="V20" i="3"/>
  <c r="AZ20" i="3" s="1"/>
  <c r="Q34" i="3"/>
  <c r="AX34" i="3"/>
  <c r="AS36" i="1"/>
  <c r="AS37" i="1" s="1"/>
  <c r="AT45" i="1" s="1"/>
  <c r="T5" i="2"/>
  <c r="V13" i="1"/>
  <c r="AQ13" i="1" s="1"/>
  <c r="U34" i="1"/>
  <c r="AP34" i="1" s="1"/>
  <c r="T16" i="3"/>
  <c r="BA36" i="2"/>
  <c r="BA37" i="2" s="1"/>
  <c r="BB45" i="2" s="1"/>
  <c r="AW11" i="2"/>
  <c r="W7" i="3"/>
  <c r="BA7" i="3" s="1"/>
  <c r="W31" i="3"/>
  <c r="BA31" i="3" s="1"/>
  <c r="O6" i="1"/>
  <c r="O11" i="1"/>
  <c r="AO16" i="1"/>
  <c r="S23" i="1"/>
  <c r="AO23" i="1"/>
  <c r="O33" i="1"/>
  <c r="U6" i="2"/>
  <c r="AX6" i="2" s="1"/>
  <c r="N10" i="2"/>
  <c r="R10" i="2" s="1"/>
  <c r="W10" i="2" s="1"/>
  <c r="AZ10" i="2" s="1"/>
  <c r="R25" i="2"/>
  <c r="W25" i="2" s="1"/>
  <c r="AZ25" i="2" s="1"/>
  <c r="Q26" i="2"/>
  <c r="AW26" i="2"/>
  <c r="AL37" i="2"/>
  <c r="BI36" i="2"/>
  <c r="S14" i="3"/>
  <c r="S17" i="3"/>
  <c r="Q19" i="3"/>
  <c r="T27" i="3"/>
  <c r="O30" i="3"/>
  <c r="K31" i="3"/>
  <c r="Q33" i="3"/>
  <c r="R16" i="1"/>
  <c r="S16" i="1" s="1"/>
  <c r="V34" i="1"/>
  <c r="AQ34" i="1" s="1"/>
  <c r="P36" i="1"/>
  <c r="T16" i="1"/>
  <c r="R19" i="1"/>
  <c r="W19" i="1" s="1"/>
  <c r="AR19" i="1" s="1"/>
  <c r="T23" i="1"/>
  <c r="Q26" i="1"/>
  <c r="Q29" i="1"/>
  <c r="R31" i="1"/>
  <c r="W31" i="1" s="1"/>
  <c r="AR31" i="1" s="1"/>
  <c r="I36" i="1"/>
  <c r="W34" i="1"/>
  <c r="AR34" i="1" s="1"/>
  <c r="R9" i="2"/>
  <c r="Q10" i="2"/>
  <c r="AW10" i="2"/>
  <c r="O24" i="2"/>
  <c r="G37" i="2"/>
  <c r="K37" i="2" s="1"/>
  <c r="H37" i="2"/>
  <c r="I37" i="2" s="1"/>
  <c r="V15" i="3"/>
  <c r="AZ15" i="3" s="1"/>
  <c r="V16" i="3"/>
  <c r="AZ16" i="3" s="1"/>
  <c r="AX16" i="3"/>
  <c r="V19" i="3"/>
  <c r="AZ19" i="3" s="1"/>
  <c r="R29" i="3"/>
  <c r="S29" i="3" s="1"/>
  <c r="Q31" i="3"/>
  <c r="T33" i="3"/>
  <c r="BC45" i="3"/>
  <c r="BB45" i="3"/>
  <c r="AJ37" i="3"/>
  <c r="W6" i="3"/>
  <c r="BA6" i="3" s="1"/>
  <c r="U10" i="3"/>
  <c r="AY10" i="3" s="1"/>
  <c r="R10" i="3"/>
  <c r="W10" i="3" s="1"/>
  <c r="BA10" i="3" s="1"/>
  <c r="O10" i="3"/>
  <c r="R27" i="3"/>
  <c r="V27" i="3"/>
  <c r="AZ27" i="3" s="1"/>
  <c r="AX13" i="3"/>
  <c r="T13" i="3"/>
  <c r="U13" i="3"/>
  <c r="AY13" i="3" s="1"/>
  <c r="R13" i="3"/>
  <c r="S13" i="3" s="1"/>
  <c r="O13" i="3"/>
  <c r="K28" i="3"/>
  <c r="W8" i="3"/>
  <c r="BA8" i="3" s="1"/>
  <c r="K8" i="3"/>
  <c r="Q22" i="3"/>
  <c r="Q27" i="3"/>
  <c r="U23" i="3"/>
  <c r="AY23" i="3" s="1"/>
  <c r="O23" i="3"/>
  <c r="R23" i="3"/>
  <c r="W23" i="3" s="1"/>
  <c r="BA23" i="3" s="1"/>
  <c r="T10" i="3"/>
  <c r="AX10" i="3"/>
  <c r="AX19" i="3"/>
  <c r="T19" i="3"/>
  <c r="W11" i="3"/>
  <c r="BA11" i="3" s="1"/>
  <c r="T24" i="3"/>
  <c r="AX24" i="3"/>
  <c r="BL36" i="3"/>
  <c r="K20" i="3"/>
  <c r="W20" i="3"/>
  <c r="BA20" i="3" s="1"/>
  <c r="AK36" i="3"/>
  <c r="AK37" i="3" s="1"/>
  <c r="AL37" i="3" s="1"/>
  <c r="AM27" i="3"/>
  <c r="AN27" i="3" s="1"/>
  <c r="AL27" i="3"/>
  <c r="BA16" i="3"/>
  <c r="R19" i="3"/>
  <c r="S19" i="3" s="1"/>
  <c r="O19" i="3"/>
  <c r="U19" i="3"/>
  <c r="AY19" i="3" s="1"/>
  <c r="BA21" i="3"/>
  <c r="Q26" i="3"/>
  <c r="R33" i="3"/>
  <c r="W33" i="3" s="1"/>
  <c r="BA33" i="3" s="1"/>
  <c r="O33" i="3"/>
  <c r="U33" i="3"/>
  <c r="AY33" i="3" s="1"/>
  <c r="T11" i="3"/>
  <c r="O24" i="3"/>
  <c r="Q10" i="3"/>
  <c r="V13" i="3"/>
  <c r="AZ13" i="3" s="1"/>
  <c r="Q13" i="3"/>
  <c r="O20" i="3"/>
  <c r="K34" i="3"/>
  <c r="N36" i="3"/>
  <c r="O6" i="3"/>
  <c r="O11" i="3"/>
  <c r="O14" i="3"/>
  <c r="R24" i="3"/>
  <c r="S24" i="3" s="1"/>
  <c r="Q28" i="3"/>
  <c r="O8" i="3"/>
  <c r="R28" i="3"/>
  <c r="S28" i="3" s="1"/>
  <c r="AL28" i="3"/>
  <c r="S30" i="3"/>
  <c r="X55" i="3"/>
  <c r="J36" i="3"/>
  <c r="AY5" i="3"/>
  <c r="R6" i="3"/>
  <c r="Q11" i="3"/>
  <c r="Q14" i="3"/>
  <c r="W18" i="3"/>
  <c r="BA18" i="3" s="1"/>
  <c r="U20" i="3"/>
  <c r="AY20" i="3" s="1"/>
  <c r="T35" i="3"/>
  <c r="S6" i="3"/>
  <c r="U25" i="3"/>
  <c r="AY25" i="3" s="1"/>
  <c r="R25" i="3"/>
  <c r="W25" i="3" s="1"/>
  <c r="BA25" i="3" s="1"/>
  <c r="AE36" i="3"/>
  <c r="T6" i="3"/>
  <c r="U8" i="3"/>
  <c r="AY8" i="3" s="1"/>
  <c r="T9" i="3"/>
  <c r="S9" i="3"/>
  <c r="AX11" i="3"/>
  <c r="O12" i="3"/>
  <c r="U14" i="3"/>
  <c r="AY14" i="3" s="1"/>
  <c r="O25" i="3"/>
  <c r="Q29" i="3"/>
  <c r="G36" i="3"/>
  <c r="AV36" i="3"/>
  <c r="BJ36" i="3"/>
  <c r="R11" i="3"/>
  <c r="S11" i="3" s="1"/>
  <c r="O5" i="3"/>
  <c r="U6" i="3"/>
  <c r="AY6" i="3" s="1"/>
  <c r="AX6" i="3"/>
  <c r="O7" i="3"/>
  <c r="R9" i="3"/>
  <c r="W9" i="3" s="1"/>
  <c r="BA9" i="3" s="1"/>
  <c r="O18" i="3"/>
  <c r="T22" i="3"/>
  <c r="S22" i="3"/>
  <c r="V25" i="3"/>
  <c r="AZ25" i="3" s="1"/>
  <c r="Q25" i="3"/>
  <c r="R26" i="3"/>
  <c r="S26" i="3" s="1"/>
  <c r="V34" i="3"/>
  <c r="AZ34" i="3" s="1"/>
  <c r="Q35" i="3"/>
  <c r="X58" i="3"/>
  <c r="K37" i="3"/>
  <c r="P36" i="3"/>
  <c r="Q7" i="3"/>
  <c r="O9" i="3"/>
  <c r="R12" i="3"/>
  <c r="S12" i="3" s="1"/>
  <c r="W13" i="3"/>
  <c r="BA13" i="3" s="1"/>
  <c r="T23" i="3"/>
  <c r="O26" i="3"/>
  <c r="S31" i="3"/>
  <c r="R32" i="3"/>
  <c r="S32" i="3" s="1"/>
  <c r="O32" i="3"/>
  <c r="I36" i="3"/>
  <c r="X59" i="3"/>
  <c r="W32" i="3"/>
  <c r="BA32" i="3" s="1"/>
  <c r="Q12" i="3"/>
  <c r="O22" i="3"/>
  <c r="Q24" i="3"/>
  <c r="O35" i="3"/>
  <c r="W14" i="3"/>
  <c r="BA14" i="3" s="1"/>
  <c r="K15" i="3"/>
  <c r="W26" i="3"/>
  <c r="BA26" i="3" s="1"/>
  <c r="AX27" i="3"/>
  <c r="AX28" i="3"/>
  <c r="R22" i="3"/>
  <c r="W22" i="3" s="1"/>
  <c r="BA22" i="3" s="1"/>
  <c r="R35" i="3"/>
  <c r="W35" i="3" s="1"/>
  <c r="BA35" i="3" s="1"/>
  <c r="AF5" i="3"/>
  <c r="S21" i="3"/>
  <c r="S34" i="3"/>
  <c r="AN36" i="2"/>
  <c r="AM37" i="2"/>
  <c r="BK36" i="2"/>
  <c r="AV47" i="2"/>
  <c r="AV38" i="2"/>
  <c r="AU46" i="2"/>
  <c r="AU47" i="2" s="1"/>
  <c r="U14" i="2"/>
  <c r="AX14" i="2" s="1"/>
  <c r="O14" i="2"/>
  <c r="AX5" i="2"/>
  <c r="Q32" i="2"/>
  <c r="U10" i="2"/>
  <c r="AX10" i="2" s="1"/>
  <c r="R11" i="2"/>
  <c r="S11" i="2" s="1"/>
  <c r="R14" i="2"/>
  <c r="S14" i="2" s="1"/>
  <c r="Q20" i="2"/>
  <c r="O23" i="2"/>
  <c r="J36" i="2"/>
  <c r="W7" i="2"/>
  <c r="AZ7" i="2" s="1"/>
  <c r="R8" i="2"/>
  <c r="S8" i="2" s="1"/>
  <c r="O8" i="2"/>
  <c r="V10" i="2"/>
  <c r="AY10" i="2" s="1"/>
  <c r="O11" i="2"/>
  <c r="O15" i="2"/>
  <c r="Q18" i="2"/>
  <c r="U22" i="2"/>
  <c r="AX22" i="2" s="1"/>
  <c r="K24" i="2"/>
  <c r="O27" i="2"/>
  <c r="Q30" i="2"/>
  <c r="S32" i="2"/>
  <c r="AE36" i="2"/>
  <c r="AV36" i="2"/>
  <c r="V17" i="2"/>
  <c r="AY17" i="2" s="1"/>
  <c r="R18" i="2"/>
  <c r="S18" i="2" s="1"/>
  <c r="S20" i="2"/>
  <c r="U23" i="2"/>
  <c r="AX23" i="2" s="1"/>
  <c r="V29" i="2"/>
  <c r="AY29" i="2" s="1"/>
  <c r="R30" i="2"/>
  <c r="T32" i="2"/>
  <c r="AV37" i="2"/>
  <c r="V11" i="2"/>
  <c r="AY11" i="2" s="1"/>
  <c r="AF35" i="2"/>
  <c r="O22" i="2"/>
  <c r="O32" i="2"/>
  <c r="O20" i="2"/>
  <c r="Q29" i="2"/>
  <c r="S6" i="2"/>
  <c r="T8" i="2"/>
  <c r="T15" i="2"/>
  <c r="T25" i="2"/>
  <c r="S25" i="2"/>
  <c r="T27" i="2"/>
  <c r="P36" i="2"/>
  <c r="O7" i="2"/>
  <c r="AW8" i="2"/>
  <c r="AW36" i="2" s="1"/>
  <c r="O9" i="2"/>
  <c r="S13" i="2"/>
  <c r="T13" i="2"/>
  <c r="O16" i="2"/>
  <c r="W17" i="2"/>
  <c r="AZ17" i="2" s="1"/>
  <c r="AW20" i="2"/>
  <c r="R21" i="2"/>
  <c r="W21" i="2" s="1"/>
  <c r="AZ21" i="2" s="1"/>
  <c r="O21" i="2"/>
  <c r="Q24" i="2"/>
  <c r="O28" i="2"/>
  <c r="W29" i="2"/>
  <c r="AZ29" i="2" s="1"/>
  <c r="AW34" i="2"/>
  <c r="M36" i="2"/>
  <c r="N38" i="2" s="1"/>
  <c r="G36" i="2"/>
  <c r="Q17" i="2"/>
  <c r="AZ19" i="2"/>
  <c r="S9" i="2"/>
  <c r="AW9" i="2"/>
  <c r="S15" i="2"/>
  <c r="W23" i="2"/>
  <c r="AZ23" i="2" s="1"/>
  <c r="N36" i="2"/>
  <c r="W26" i="2"/>
  <c r="AZ26" i="2" s="1"/>
  <c r="Q5" i="2"/>
  <c r="Q7" i="2"/>
  <c r="Q9" i="2"/>
  <c r="Q12" i="2"/>
  <c r="V16" i="2"/>
  <c r="AY16" i="2" s="1"/>
  <c r="Q16" i="2"/>
  <c r="V24" i="2"/>
  <c r="AY24" i="2" s="1"/>
  <c r="V28" i="2"/>
  <c r="AY28" i="2" s="1"/>
  <c r="Q28" i="2"/>
  <c r="S33" i="2"/>
  <c r="R34" i="2"/>
  <c r="S34" i="2" s="1"/>
  <c r="O34" i="2"/>
  <c r="O10" i="2"/>
  <c r="U8" i="2"/>
  <c r="AX8" i="2" s="1"/>
  <c r="R5" i="2"/>
  <c r="T9" i="2"/>
  <c r="V12" i="2"/>
  <c r="AY12" i="2" s="1"/>
  <c r="S22" i="2"/>
  <c r="AW22" i="2"/>
  <c r="Q25" i="2"/>
  <c r="U26" i="2"/>
  <c r="AX26" i="2" s="1"/>
  <c r="O26" i="2"/>
  <c r="T33" i="2"/>
  <c r="Q34" i="2"/>
  <c r="O35" i="2"/>
  <c r="W9" i="2"/>
  <c r="AZ9" i="2" s="1"/>
  <c r="W22" i="2"/>
  <c r="AZ22" i="2" s="1"/>
  <c r="O13" i="2"/>
  <c r="Q15" i="2"/>
  <c r="O25" i="2"/>
  <c r="Q27" i="2"/>
  <c r="BC36" i="2"/>
  <c r="S12" i="2"/>
  <c r="W16" i="2"/>
  <c r="AZ16" i="2" s="1"/>
  <c r="K17" i="2"/>
  <c r="S24" i="2"/>
  <c r="W28" i="2"/>
  <c r="AZ28" i="2" s="1"/>
  <c r="K29" i="2"/>
  <c r="O33" i="2"/>
  <c r="S10" i="2"/>
  <c r="W15" i="2"/>
  <c r="AZ15" i="2" s="1"/>
  <c r="S23" i="2"/>
  <c r="S35" i="2"/>
  <c r="BC36" i="1"/>
  <c r="W5" i="1"/>
  <c r="AR5" i="1" s="1"/>
  <c r="P37" i="1"/>
  <c r="AE37" i="1"/>
  <c r="AF36" i="1"/>
  <c r="M36" i="1"/>
  <c r="N38" i="1" s="1"/>
  <c r="AO5" i="1"/>
  <c r="T5" i="1"/>
  <c r="V25" i="1"/>
  <c r="AQ25" i="1" s="1"/>
  <c r="R25" i="1"/>
  <c r="S25" i="1" s="1"/>
  <c r="AQ5" i="1"/>
  <c r="Q6" i="1"/>
  <c r="W9" i="1"/>
  <c r="AR9" i="1" s="1"/>
  <c r="S15" i="1"/>
  <c r="W22" i="1"/>
  <c r="AR22" i="1" s="1"/>
  <c r="Q25" i="1"/>
  <c r="Q5" i="1"/>
  <c r="R6" i="1"/>
  <c r="R7" i="1"/>
  <c r="W7" i="1" s="1"/>
  <c r="AR7" i="1" s="1"/>
  <c r="T15" i="1"/>
  <c r="W18" i="1"/>
  <c r="AR18" i="1" s="1"/>
  <c r="W21" i="1"/>
  <c r="AR21" i="1" s="1"/>
  <c r="Q33" i="1"/>
  <c r="V35" i="1"/>
  <c r="AQ35" i="1" s="1"/>
  <c r="R35" i="1"/>
  <c r="S35" i="1" s="1"/>
  <c r="Q35" i="1"/>
  <c r="R33" i="1"/>
  <c r="S33" i="1" s="1"/>
  <c r="V20" i="1"/>
  <c r="AQ20" i="1" s="1"/>
  <c r="Q20" i="1"/>
  <c r="T27" i="1"/>
  <c r="AO27" i="1"/>
  <c r="AM36" i="1"/>
  <c r="U27" i="1"/>
  <c r="AP27" i="1" s="1"/>
  <c r="R27" i="1"/>
  <c r="S27" i="1" s="1"/>
  <c r="N36" i="1"/>
  <c r="U5" i="1"/>
  <c r="O5" i="1"/>
  <c r="W13" i="1"/>
  <c r="AR13" i="1" s="1"/>
  <c r="V15" i="1"/>
  <c r="AQ15" i="1" s="1"/>
  <c r="Q15" i="1"/>
  <c r="R5" i="1"/>
  <c r="S5" i="1" s="1"/>
  <c r="U32" i="1"/>
  <c r="AP32" i="1" s="1"/>
  <c r="R32" i="1"/>
  <c r="S32" i="1" s="1"/>
  <c r="AO12" i="1"/>
  <c r="T12" i="1"/>
  <c r="W20" i="1"/>
  <c r="AR20" i="1" s="1"/>
  <c r="U22" i="1"/>
  <c r="AP22" i="1" s="1"/>
  <c r="O22" i="1"/>
  <c r="R30" i="1"/>
  <c r="V6" i="1"/>
  <c r="AQ6" i="1" s="1"/>
  <c r="V7" i="1"/>
  <c r="AQ7" i="1" s="1"/>
  <c r="Q8" i="1"/>
  <c r="Q13" i="1"/>
  <c r="R22" i="1"/>
  <c r="AO29" i="1"/>
  <c r="T29" i="1"/>
  <c r="H37" i="1"/>
  <c r="I37" i="1" s="1"/>
  <c r="S22" i="1"/>
  <c r="AO22" i="1"/>
  <c r="T22" i="1"/>
  <c r="Q30" i="1"/>
  <c r="O32" i="1"/>
  <c r="Q9" i="1"/>
  <c r="W28" i="1"/>
  <c r="AR28" i="1" s="1"/>
  <c r="O10" i="1"/>
  <c r="Q12" i="1"/>
  <c r="AO17" i="1"/>
  <c r="T17" i="1"/>
  <c r="Q18" i="1"/>
  <c r="U20" i="1"/>
  <c r="AP20" i="1" s="1"/>
  <c r="R20" i="1"/>
  <c r="S20" i="1" s="1"/>
  <c r="S21" i="1"/>
  <c r="AO21" i="1"/>
  <c r="W25" i="1"/>
  <c r="AR25" i="1" s="1"/>
  <c r="U15" i="1"/>
  <c r="AP15" i="1" s="1"/>
  <c r="R15" i="1"/>
  <c r="W15" i="1" s="1"/>
  <c r="AR15" i="1" s="1"/>
  <c r="O15" i="1"/>
  <c r="O26" i="1"/>
  <c r="R26" i="1"/>
  <c r="W26" i="1" s="1"/>
  <c r="AR26" i="1" s="1"/>
  <c r="AR8" i="1"/>
  <c r="BA36" i="1"/>
  <c r="O8" i="1"/>
  <c r="R9" i="1"/>
  <c r="S9" i="1" s="1"/>
  <c r="O9" i="1"/>
  <c r="AO10" i="1"/>
  <c r="T10" i="1"/>
  <c r="W16" i="1"/>
  <c r="AR16" i="1" s="1"/>
  <c r="V32" i="1"/>
  <c r="AQ32" i="1" s="1"/>
  <c r="Q32" i="1"/>
  <c r="AO9" i="1"/>
  <c r="O14" i="1"/>
  <c r="U8" i="1"/>
  <c r="AP8" i="1" s="1"/>
  <c r="U9" i="1"/>
  <c r="AP9" i="1" s="1"/>
  <c r="R10" i="1"/>
  <c r="S10" i="1" s="1"/>
  <c r="U17" i="1"/>
  <c r="AP17" i="1" s="1"/>
  <c r="R17" i="1"/>
  <c r="W17" i="1" s="1"/>
  <c r="AR17" i="1" s="1"/>
  <c r="O17" i="1"/>
  <c r="O20" i="1"/>
  <c r="T21" i="1"/>
  <c r="F36" i="1"/>
  <c r="Q27" i="1"/>
  <c r="O29" i="1"/>
  <c r="G33" i="1"/>
  <c r="Q10" i="1"/>
  <c r="O12" i="1"/>
  <c r="Q22" i="1"/>
  <c r="O24" i="1"/>
  <c r="U33" i="1"/>
  <c r="AP33" i="1" s="1"/>
  <c r="J33" i="1"/>
  <c r="R29" i="1"/>
  <c r="W29" i="1" s="1"/>
  <c r="AR29" i="1" s="1"/>
  <c r="R12" i="1"/>
  <c r="W12" i="1" s="1"/>
  <c r="AR12" i="1" s="1"/>
  <c r="R24" i="1"/>
  <c r="S24" i="1" s="1"/>
  <c r="O21" i="1"/>
  <c r="S7" i="1"/>
  <c r="S19" i="1"/>
  <c r="T24" i="1"/>
  <c r="S34" i="1"/>
  <c r="T7" i="1"/>
  <c r="T19" i="1"/>
  <c r="T31" i="1"/>
  <c r="T34" i="1"/>
  <c r="U36" i="2" l="1"/>
  <c r="U37" i="2" s="1"/>
  <c r="W35" i="1"/>
  <c r="AR35" i="1" s="1"/>
  <c r="S27" i="2"/>
  <c r="AX36" i="2"/>
  <c r="AX37" i="2" s="1"/>
  <c r="W19" i="3"/>
  <c r="BA19" i="3" s="1"/>
  <c r="W5" i="3"/>
  <c r="BA5" i="3" s="1"/>
  <c r="S33" i="3"/>
  <c r="AM36" i="3"/>
  <c r="AN36" i="3" s="1"/>
  <c r="S16" i="3"/>
  <c r="S31" i="2"/>
  <c r="W31" i="2"/>
  <c r="AZ31" i="2" s="1"/>
  <c r="S31" i="1"/>
  <c r="AX36" i="3"/>
  <c r="W28" i="3"/>
  <c r="BA28" i="3" s="1"/>
  <c r="AY36" i="2"/>
  <c r="AY37" i="2" s="1"/>
  <c r="W10" i="1"/>
  <c r="AR10" i="1" s="1"/>
  <c r="S21" i="2"/>
  <c r="W18" i="2"/>
  <c r="AZ18" i="2" s="1"/>
  <c r="W24" i="3"/>
  <c r="BA24" i="3" s="1"/>
  <c r="T36" i="3"/>
  <c r="R36" i="3"/>
  <c r="R37" i="3" s="1"/>
  <c r="W29" i="3"/>
  <c r="BA29" i="3" s="1"/>
  <c r="S10" i="3"/>
  <c r="R36" i="1"/>
  <c r="R37" i="1" s="1"/>
  <c r="S17" i="1"/>
  <c r="AY36" i="3"/>
  <c r="AY37" i="3" s="1"/>
  <c r="W15" i="3"/>
  <c r="BA15" i="3" s="1"/>
  <c r="W27" i="1"/>
  <c r="AR27" i="1" s="1"/>
  <c r="W34" i="2"/>
  <c r="AZ34" i="2" s="1"/>
  <c r="W11" i="2"/>
  <c r="AZ11" i="2" s="1"/>
  <c r="T36" i="2"/>
  <c r="S23" i="3"/>
  <c r="AZ36" i="3"/>
  <c r="AZ37" i="3" s="1"/>
  <c r="V36" i="3"/>
  <c r="V37" i="3" s="1"/>
  <c r="S35" i="3"/>
  <c r="AE37" i="3"/>
  <c r="AF36" i="3"/>
  <c r="J37" i="3"/>
  <c r="K36" i="3"/>
  <c r="S27" i="3"/>
  <c r="W27" i="3"/>
  <c r="BA27" i="3" s="1"/>
  <c r="Q36" i="3"/>
  <c r="P37" i="3"/>
  <c r="Q37" i="3" s="1"/>
  <c r="S25" i="3"/>
  <c r="AW36" i="3"/>
  <c r="AV37" i="3"/>
  <c r="AM37" i="3"/>
  <c r="N37" i="3"/>
  <c r="O37" i="3" s="1"/>
  <c r="O36" i="3"/>
  <c r="W12" i="3"/>
  <c r="BA12" i="3" s="1"/>
  <c r="U36" i="3"/>
  <c r="U37" i="3" s="1"/>
  <c r="BB38" i="2"/>
  <c r="Q36" i="2"/>
  <c r="P37" i="2"/>
  <c r="Q37" i="2" s="1"/>
  <c r="S5" i="2"/>
  <c r="R36" i="2"/>
  <c r="J37" i="2"/>
  <c r="K36" i="2"/>
  <c r="W8" i="2"/>
  <c r="AZ8" i="2" s="1"/>
  <c r="W14" i="2"/>
  <c r="AZ14" i="2" s="1"/>
  <c r="N37" i="2"/>
  <c r="O37" i="2" s="1"/>
  <c r="O36" i="2"/>
  <c r="W5" i="2"/>
  <c r="AE37" i="2"/>
  <c r="AF36" i="2"/>
  <c r="AN38" i="2"/>
  <c r="AN47" i="2"/>
  <c r="AM46" i="2"/>
  <c r="AM47" i="2" s="1"/>
  <c r="AN37" i="2"/>
  <c r="V36" i="2"/>
  <c r="V37" i="2" s="1"/>
  <c r="S30" i="2"/>
  <c r="W30" i="2"/>
  <c r="AZ30" i="2" s="1"/>
  <c r="S26" i="1"/>
  <c r="AP5" i="1"/>
  <c r="AP36" i="1" s="1"/>
  <c r="AP37" i="1" s="1"/>
  <c r="U36" i="1"/>
  <c r="U37" i="1" s="1"/>
  <c r="V36" i="1"/>
  <c r="V37" i="1" s="1"/>
  <c r="Q36" i="1"/>
  <c r="W30" i="1"/>
  <c r="AR30" i="1" s="1"/>
  <c r="S30" i="1"/>
  <c r="K33" i="1"/>
  <c r="W33" i="1"/>
  <c r="AR33" i="1" s="1"/>
  <c r="J36" i="1"/>
  <c r="Q37" i="1"/>
  <c r="W24" i="1"/>
  <c r="AR24" i="1" s="1"/>
  <c r="S29" i="1"/>
  <c r="AN36" i="1"/>
  <c r="AM37" i="1"/>
  <c r="W32" i="1"/>
  <c r="AR32" i="1" s="1"/>
  <c r="W6" i="1"/>
  <c r="S6" i="1"/>
  <c r="T36" i="1"/>
  <c r="G36" i="1"/>
  <c r="F37" i="1"/>
  <c r="G37" i="1" s="1"/>
  <c r="K37" i="1" s="1"/>
  <c r="N37" i="1"/>
  <c r="O37" i="1" s="1"/>
  <c r="O36" i="1"/>
  <c r="AF47" i="1"/>
  <c r="AF38" i="1"/>
  <c r="AF37" i="1"/>
  <c r="AE46" i="1"/>
  <c r="AE47" i="1" s="1"/>
  <c r="S12" i="1"/>
  <c r="AQ36" i="1"/>
  <c r="AQ37" i="1" s="1"/>
  <c r="AO36" i="1"/>
  <c r="AT38" i="1" s="1"/>
  <c r="S36" i="3" l="1"/>
  <c r="S36" i="1"/>
  <c r="BC38" i="3"/>
  <c r="AN47" i="3"/>
  <c r="AM46" i="3"/>
  <c r="AM47" i="3" s="1"/>
  <c r="AN37" i="3"/>
  <c r="AN38" i="3"/>
  <c r="W36" i="3"/>
  <c r="W37" i="3" s="1"/>
  <c r="AE46" i="3"/>
  <c r="AE47" i="3" s="1"/>
  <c r="AF37" i="3"/>
  <c r="AF47" i="3"/>
  <c r="AF38" i="3"/>
  <c r="AW38" i="3"/>
  <c r="AW47" i="3"/>
  <c r="AV46" i="3"/>
  <c r="AV47" i="3" s="1"/>
  <c r="AW37" i="3"/>
  <c r="K47" i="3"/>
  <c r="J50" i="3"/>
  <c r="K38" i="3"/>
  <c r="J46" i="3"/>
  <c r="J47" i="3" s="1"/>
  <c r="BA36" i="3"/>
  <c r="S47" i="3"/>
  <c r="S38" i="3"/>
  <c r="R46" i="3"/>
  <c r="R47" i="3" s="1"/>
  <c r="S37" i="3"/>
  <c r="AZ5" i="2"/>
  <c r="AZ36" i="2" s="1"/>
  <c r="W36" i="2"/>
  <c r="W37" i="2" s="1"/>
  <c r="J46" i="2"/>
  <c r="J47" i="2" s="1"/>
  <c r="K47" i="2"/>
  <c r="K38" i="2"/>
  <c r="S36" i="2"/>
  <c r="R37" i="2"/>
  <c r="AF47" i="2"/>
  <c r="AF38" i="2"/>
  <c r="AE46" i="2"/>
  <c r="AE47" i="2" s="1"/>
  <c r="AF37" i="2"/>
  <c r="K36" i="1"/>
  <c r="J37" i="1"/>
  <c r="AR6" i="1"/>
  <c r="AR36" i="1" s="1"/>
  <c r="W36" i="1"/>
  <c r="W37" i="1" s="1"/>
  <c r="AN38" i="1"/>
  <c r="AN37" i="1"/>
  <c r="S37" i="1"/>
  <c r="S38" i="1"/>
  <c r="S47" i="1"/>
  <c r="R46" i="1"/>
  <c r="R47" i="1" s="1"/>
  <c r="W38" i="3" l="1"/>
  <c r="X47" i="3"/>
  <c r="W46" i="3"/>
  <c r="W47" i="3" s="1"/>
  <c r="BA39" i="3"/>
  <c r="BB39" i="3" s="1"/>
  <c r="BA37" i="3"/>
  <c r="S38" i="2"/>
  <c r="S47" i="2"/>
  <c r="S37" i="2"/>
  <c r="R46" i="2"/>
  <c r="R47" i="2" s="1"/>
  <c r="W46" i="2"/>
  <c r="W47" i="2" s="1"/>
  <c r="X47" i="2"/>
  <c r="AZ37" i="2"/>
  <c r="AZ39" i="2"/>
  <c r="BA39" i="2" s="1"/>
  <c r="AR37" i="1"/>
  <c r="AR39" i="1"/>
  <c r="AS39" i="1" s="1"/>
  <c r="J46" i="1"/>
  <c r="J47" i="1" s="1"/>
  <c r="K38" i="1"/>
  <c r="K47" i="1"/>
  <c r="BA40" i="3" l="1"/>
  <c r="BB41" i="3" s="1"/>
  <c r="BB38" i="3"/>
  <c r="BA43" i="3"/>
  <c r="BB46" i="3"/>
  <c r="BA45" i="3"/>
  <c r="BA46" i="3" s="1"/>
  <c r="BA46" i="2"/>
  <c r="AZ40" i="2"/>
  <c r="BA41" i="2" s="1"/>
  <c r="BA38" i="2"/>
  <c r="AZ43" i="2"/>
  <c r="AZ45" i="2"/>
  <c r="AZ46" i="2" s="1"/>
  <c r="AR43" i="1"/>
  <c r="AS46" i="1"/>
  <c r="AR40" i="1"/>
  <c r="AS41" i="1" s="1"/>
  <c r="AS38" i="1"/>
  <c r="AR45" i="1"/>
  <c r="AR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2BC63C2B-DA08-3948-A151-5C9407E4DE76}">
      <text>
        <r>
          <rPr>
            <sz val="11"/>
            <color rgb="FFFF0000"/>
            <rFont val="游ゴシック"/>
            <family val="3"/>
            <charset val="128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F4EF8381-4D2D-E745-8EE8-B7264FDA2D6E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88B1A182-92EE-8642-89F7-D4B942C92F40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<sst xmlns="http://schemas.openxmlformats.org/spreadsheetml/2006/main" count="350" uniqueCount="81">
  <si>
    <t>※割引反映前</t>
  </si>
  <si>
    <t>金額：(税込)</t>
  </si>
  <si>
    <t>GA</t>
    <phoneticPr fontId="8"/>
  </si>
  <si>
    <t>LUNCH</t>
  </si>
  <si>
    <t>DINNER（計算式あり・入力不要）</t>
  </si>
  <si>
    <t>レストランTOTAL売上（税込）</t>
  </si>
  <si>
    <t>EAT-IN/T.O（税込）</t>
    <phoneticPr fontId="8"/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</si>
  <si>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8"/>
  </si>
  <si>
    <t>レストラン＋T/O（人数は含まず）＋宴会場TOTAL</t>
    <rPh sb="18" eb="21">
      <t xml:space="preserve">エンカイジョウ </t>
    </rPh>
    <phoneticPr fontId="8"/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</si>
  <si>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</si>
  <si>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</si>
  <si>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</si>
  <si>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</si>
  <si>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</si>
  <si>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</si>
  <si>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</si>
  <si>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</si>
  <si>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</si>
  <si>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</si>
  <si>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</si>
  <si>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</si>
  <si>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</si>
  <si>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</si>
  <si>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</si>
  <si>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</si>
  <si>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</si>
  <si>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</si>
  <si>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</si>
  <si>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件数</t>
    <rPh sb="0" eb="2">
      <t xml:space="preserve">ケンスウ </t>
    </rPh>
    <phoneticPr fontId="8"/>
  </si>
  <si>
    <t>その他</t>
    <phoneticPr fontId="8"/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</si>
  <si>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</si>
  <si>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</si>
  <si>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</si>
  <si>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</si>
  <si>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</si>
  <si>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</si>
  <si>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</si>
  <si>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</si>
  <si>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招待券10,420円入金あり。</t>
  </si>
  <si>
    <t>プレオープン</t>
    <phoneticPr fontId="8"/>
  </si>
  <si>
    <t>マスコミ</t>
    <phoneticPr fontId="8"/>
  </si>
  <si>
    <t>グランドオープン</t>
    <phoneticPr fontId="8"/>
  </si>
  <si>
    <t>税抜金額</t>
  </si>
  <si>
    <t>入客</t>
  </si>
  <si>
    <t>一日平均</t>
  </si>
  <si>
    <t>■ランチコメント</t>
  </si>
  <si>
    <t>■ディナーコメント</t>
  </si>
  <si>
    <t>■TOコメント</t>
  </si>
  <si>
    <t>　1日売上平均（税込）</t>
  </si>
  <si>
    <t>外国人ゲストの予約が連絡が取れずノーショー。5件8名38,170円(税込)。
ランチの休業4回。取り消し8件21名81,840円(税込)。
3年ぶりの「さっぽろ雪まつり」開催。
集客は衰えず、集客15.9名/日(24間日営業)。</t>
  </si>
  <si>
    <t>外国人ゲストの予約が連絡が取れずノーショー。4件12名102,080円(税込)。
ディナー休業3.5回(2日は18時から運休)。取り消し、32件73名1,121,560円(税込)。
集客26.6名/日(25日営業)。
2/14～バレンタイン企画、「ショコラセット（スパークリングワイン×2杯＋南京錠＋ショコラ4個）×1セット実績。</t>
  </si>
  <si>
    <t>グラスワイン「北海道ゲヴェルツトラミネール」¥800(税込)×24杯。
雪まつり期間中、来場者増。</t>
  </si>
  <si>
    <t>　1日売上平均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</si>
  <si>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</si>
  <si>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</si>
  <si>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</si>
  <si>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</si>
  <si>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</si>
  <si>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</si>
  <si>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</si>
  <si>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ビアガーデン</t>
    <phoneticPr fontId="8"/>
  </si>
  <si>
    <t>室料</t>
    <rPh sb="0" eb="2">
      <t xml:space="preserve">シツリョウ </t>
    </rPh>
    <phoneticPr fontId="8"/>
  </si>
  <si>
    <t>招待券</t>
    <phoneticPr fontId="8"/>
  </si>
  <si>
    <t>■EAT-INコメント</t>
    <phoneticPr fontId="8"/>
  </si>
  <si>
    <t>■宴会コメント</t>
    <rPh sb="1" eb="3">
      <t xml:space="preserve">エンカイ </t>
    </rPh>
    <phoneticPr fontId="8"/>
  </si>
  <si>
    <t>■BGコメント</t>
    <phoneticPr fontId="8"/>
  </si>
  <si>
    <t>その他予算</t>
  </si>
  <si>
    <t>レストラン予算</t>
    <phoneticPr fontId="8"/>
  </si>
  <si>
    <t>宴会予算</t>
    <rPh sb="0" eb="2">
      <t xml:space="preserve">エンカイ </t>
    </rPh>
    <phoneticPr fontId="8"/>
  </si>
  <si>
    <t>ビアガーデン予算</t>
    <phoneticPr fontId="8"/>
  </si>
  <si>
    <t>EAT-IN・T/O（税込）</t>
    <phoneticPr fontId="8"/>
  </si>
  <si>
    <t>L+D＋T/O＋宴会場+BG（人数は含まず）TOTAL</t>
    <rPh sb="19" eb="22">
      <t xml:space="preserve">エンカイジョウ </t>
    </rPh>
    <phoneticPr fontId="8"/>
  </si>
  <si>
    <t>テント利用料</t>
    <rPh sb="3" eb="6">
      <t xml:space="preserve">リヨウリョウ </t>
    </rPh>
    <phoneticPr fontId="8"/>
  </si>
  <si>
    <t>花束（各種利用料）</t>
    <rPh sb="3" eb="5">
      <t xml:space="preserve">カクシュ </t>
    </rPh>
    <rPh sb="5" eb="8">
      <t xml:space="preserve">リヨウリョウ </t>
    </rPh>
    <phoneticPr fontId="8"/>
  </si>
  <si>
    <t>ç</t>
    <phoneticPr fontId="8"/>
  </si>
  <si>
    <t>24日終了時点</t>
    <rPh sb="2" eb="3">
      <t xml:space="preserve">ニチ </t>
    </rPh>
    <rPh sb="3" eb="7">
      <t xml:space="preserve">シュウリョウジテン </t>
    </rPh>
    <phoneticPr fontId="8"/>
  </si>
  <si>
    <t>JW</t>
    <phoneticPr fontId="8"/>
  </si>
  <si>
    <t>L</t>
    <phoneticPr fontId="8"/>
  </si>
  <si>
    <t>D</t>
    <phoneticPr fontId="8"/>
  </si>
  <si>
    <t>NP</t>
    <phoneticPr fontId="8"/>
  </si>
  <si>
    <t>TOTAL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</si>
</sst>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</numFmts>
  <fonts count="25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b/>
      <sz val="8"/>
      <color indexed="8"/>
      <name val="游ゴシック"/>
      <family val="3"/>
      <charset val="128"/>
      <scheme val="minor"/>
    </font>
    <font>
      <b/>
      <sz val="8"/>
      <color indexed="30"/>
      <name val="游ゴシック"/>
      <family val="3"/>
      <charset val="128"/>
      <scheme val="minor"/>
    </font>
    <font>
      <b/>
      <sz val="8"/>
      <color indexed="10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8"/>
      <color rgb="FFC00000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sz val="9"/>
      <color indexed="10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0"/>
      <color indexed="8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sz val="11"/>
      <color indexed="10"/>
      <name val="游ゴシック"/>
      <family val="3"/>
    </font>
    <font>
      <sz val="11"/>
      <color rgb="FFFF0000"/>
      <name val="游ゴシック"/>
      <family val="3"/>
      <charset val="128"/>
    </font>
    <font>
      <b/>
      <sz val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7" tint="0.59999389629810485"/>
        <bgColor indexed="43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38" fontId="2" fillId="0" borderId="0"/>
    <xf numFmtId="184" fontId="2" fillId="0" borderId="0"/>
  </cellStyleXfs>
  <cellXfs count="231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38" fontId="3" fillId="0" borderId="0" xfId="4" applyFont="1" applyAlignment="1">
      <alignment horizontal="center" vertical="center" wrapText="1"/>
    </xf>
    <xf numFmtId="176" fontId="6" fillId="0" borderId="0" xfId="3" applyNumberFormat="1" applyFont="1" applyAlignment="1">
      <alignment horizontal="center" vertical="center" wrapText="1"/>
    </xf>
    <xf numFmtId="177" fontId="5" fillId="0" borderId="0" xfId="3" applyNumberFormat="1" applyFont="1" applyAlignment="1">
      <alignment horizontal="center" vertical="center" wrapText="1"/>
    </xf>
    <xf numFmtId="176" fontId="3" fillId="0" borderId="0" xfId="3" applyNumberFormat="1" applyFont="1" applyAlignment="1">
      <alignment horizontal="center" vertical="center" wrapText="1"/>
    </xf>
    <xf numFmtId="177" fontId="3" fillId="0" borderId="2" xfId="3" applyNumberFormat="1" applyFont="1" applyBorder="1" applyAlignment="1">
      <alignment horizontal="center" vertical="center" wrapText="1"/>
    </xf>
    <xf numFmtId="176" fontId="5" fillId="0" borderId="0" xfId="3" applyNumberFormat="1" applyFont="1" applyAlignment="1">
      <alignment horizontal="center" vertical="center" wrapText="1"/>
    </xf>
    <xf numFmtId="177" fontId="5" fillId="0" borderId="12" xfId="3" applyNumberFormat="1" applyFont="1" applyBorder="1" applyAlignment="1">
      <alignment horizontal="center" vertical="center" wrapText="1"/>
    </xf>
    <xf numFmtId="0" fontId="5" fillId="0" borderId="13" xfId="3" applyFont="1" applyBorder="1" applyAlignment="1">
      <alignment horizontal="center" vertical="center" wrapText="1"/>
    </xf>
    <xf numFmtId="0" fontId="5" fillId="2" borderId="13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3" xfId="3" applyFont="1" applyFill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4" borderId="13" xfId="3" applyFont="1" applyFill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5" borderId="13" xfId="3" applyFont="1" applyFill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38" fontId="5" fillId="0" borderId="21" xfId="4" applyFont="1" applyBorder="1" applyAlignment="1">
      <alignment horizontal="center" vertical="center" wrapText="1"/>
    </xf>
    <xf numFmtId="38" fontId="5" fillId="0" borderId="0" xfId="4" applyFont="1" applyAlignment="1">
      <alignment horizontal="center" vertical="center" wrapText="1"/>
    </xf>
    <xf numFmtId="0" fontId="3" fillId="0" borderId="0" xfId="3" applyFont="1"/>
    <xf numFmtId="178" fontId="10" fillId="0" borderId="22" xfId="3" applyNumberFormat="1" applyFont="1" applyBorder="1"/>
    <xf numFmtId="38" fontId="3" fillId="0" borderId="22" xfId="3" applyNumberFormat="1" applyFont="1" applyBorder="1"/>
    <xf numFmtId="179" fontId="3" fillId="0" borderId="23" xfId="3" applyNumberFormat="1" applyFont="1" applyBorder="1"/>
    <xf numFmtId="180" fontId="3" fillId="2" borderId="23" xfId="4" applyNumberFormat="1" applyFont="1" applyFill="1" applyBorder="1"/>
    <xf numFmtId="38" fontId="3" fillId="7" borderId="23" xfId="4" applyFont="1" applyFill="1" applyBorder="1"/>
    <xf numFmtId="38" fontId="5" fillId="0" borderId="24" xfId="4" applyFont="1" applyBorder="1"/>
    <xf numFmtId="38" fontId="5" fillId="0" borderId="22" xfId="4" applyFont="1" applyBorder="1"/>
    <xf numFmtId="38" fontId="9" fillId="2" borderId="23" xfId="4" applyFont="1" applyFill="1" applyBorder="1"/>
    <xf numFmtId="40" fontId="3" fillId="0" borderId="25" xfId="3" applyNumberFormat="1" applyFont="1" applyBorder="1"/>
    <xf numFmtId="181" fontId="3" fillId="0" borderId="23" xfId="3" applyNumberFormat="1" applyFont="1" applyBorder="1"/>
    <xf numFmtId="180" fontId="3" fillId="3" borderId="23" xfId="4" applyNumberFormat="1" applyFont="1" applyFill="1" applyBorder="1"/>
    <xf numFmtId="38" fontId="3" fillId="0" borderId="23" xfId="4" applyFont="1" applyBorder="1"/>
    <xf numFmtId="38" fontId="9" fillId="0" borderId="20" xfId="4" applyFont="1" applyBorder="1"/>
    <xf numFmtId="180" fontId="3" fillId="0" borderId="26" xfId="4" applyNumberFormat="1" applyFont="1" applyBorder="1"/>
    <xf numFmtId="38" fontId="3" fillId="8" borderId="22" xfId="4" applyFont="1" applyFill="1" applyBorder="1"/>
    <xf numFmtId="179" fontId="3" fillId="4" borderId="23" xfId="3" applyNumberFormat="1" applyFont="1" applyFill="1" applyBorder="1"/>
    <xf numFmtId="180" fontId="3" fillId="9" borderId="23" xfId="4" applyNumberFormat="1" applyFont="1" applyFill="1" applyBorder="1"/>
    <xf numFmtId="38" fontId="3" fillId="3" borderId="20" xfId="4" applyFont="1" applyFill="1" applyBorder="1"/>
    <xf numFmtId="40" fontId="3" fillId="10" borderId="20" xfId="3" applyNumberFormat="1" applyFont="1" applyFill="1" applyBorder="1"/>
    <xf numFmtId="40" fontId="3" fillId="0" borderId="24" xfId="3" applyNumberFormat="1" applyFont="1" applyBorder="1"/>
    <xf numFmtId="180" fontId="3" fillId="0" borderId="24" xfId="4" applyNumberFormat="1" applyFont="1" applyBorder="1"/>
    <xf numFmtId="38" fontId="9" fillId="0" borderId="22" xfId="4" applyFont="1" applyBorder="1"/>
    <xf numFmtId="38" fontId="3" fillId="0" borderId="22" xfId="4" applyFont="1" applyBorder="1"/>
    <xf numFmtId="38" fontId="3" fillId="11" borderId="4" xfId="4" applyFont="1" applyFill="1" applyBorder="1"/>
    <xf numFmtId="38" fontId="3" fillId="11" borderId="20" xfId="4" applyFont="1" applyFill="1" applyBorder="1"/>
    <xf numFmtId="38" fontId="5" fillId="11" borderId="20" xfId="4" applyFont="1" applyFill="1" applyBorder="1"/>
    <xf numFmtId="38" fontId="3" fillId="8" borderId="21" xfId="4" applyFont="1" applyFill="1" applyBorder="1"/>
    <xf numFmtId="38" fontId="3" fillId="0" borderId="0" xfId="4" applyFont="1"/>
    <xf numFmtId="178" fontId="10" fillId="0" borderId="5" xfId="3" applyNumberFormat="1" applyFont="1" applyBorder="1"/>
    <xf numFmtId="38" fontId="3" fillId="0" borderId="5" xfId="3" applyNumberFormat="1" applyFont="1" applyBorder="1"/>
    <xf numFmtId="180" fontId="3" fillId="0" borderId="4" xfId="4" applyNumberFormat="1" applyFont="1" applyBorder="1"/>
    <xf numFmtId="38" fontId="3" fillId="0" borderId="20" xfId="4" applyFont="1" applyBorder="1"/>
    <xf numFmtId="180" fontId="3" fillId="0" borderId="7" xfId="4" applyNumberFormat="1" applyFont="1" applyBorder="1"/>
    <xf numFmtId="178" fontId="11" fillId="0" borderId="5" xfId="3" applyNumberFormat="1" applyFont="1" applyBorder="1"/>
    <xf numFmtId="38" fontId="9" fillId="12" borderId="22" xfId="4" applyFont="1" applyFill="1" applyBorder="1"/>
    <xf numFmtId="178" fontId="12" fillId="0" borderId="5" xfId="3" applyNumberFormat="1" applyFont="1" applyBorder="1"/>
    <xf numFmtId="38" fontId="6" fillId="0" borderId="5" xfId="3" applyNumberFormat="1" applyFont="1" applyBorder="1"/>
    <xf numFmtId="38" fontId="5" fillId="12" borderId="22" xfId="4" applyFont="1" applyFill="1" applyBorder="1"/>
    <xf numFmtId="178" fontId="13" fillId="0" borderId="5" xfId="3" applyNumberFormat="1" applyFont="1" applyBorder="1"/>
    <xf numFmtId="178" fontId="14" fillId="0" borderId="5" xfId="3" applyNumberFormat="1" applyFont="1" applyBorder="1"/>
    <xf numFmtId="179" fontId="3" fillId="4" borderId="20" xfId="3" applyNumberFormat="1" applyFont="1" applyFill="1" applyBorder="1"/>
    <xf numFmtId="180" fontId="3" fillId="9" borderId="20" xfId="4" applyNumberFormat="1" applyFont="1" applyFill="1" applyBorder="1"/>
    <xf numFmtId="38" fontId="3" fillId="7" borderId="20" xfId="4" applyFont="1" applyFill="1" applyBorder="1"/>
    <xf numFmtId="180" fontId="3" fillId="3" borderId="2" xfId="4" applyNumberFormat="1" applyFont="1" applyFill="1" applyBorder="1"/>
    <xf numFmtId="180" fontId="3" fillId="0" borderId="27" xfId="4" applyNumberFormat="1" applyFont="1" applyBorder="1"/>
    <xf numFmtId="38" fontId="3" fillId="0" borderId="2" xfId="4" applyFont="1" applyBorder="1"/>
    <xf numFmtId="38" fontId="3" fillId="8" borderId="3" xfId="4" applyFont="1" applyFill="1" applyBorder="1"/>
    <xf numFmtId="179" fontId="3" fillId="4" borderId="2" xfId="3" applyNumberFormat="1" applyFont="1" applyFill="1" applyBorder="1"/>
    <xf numFmtId="180" fontId="3" fillId="9" borderId="2" xfId="4" applyNumberFormat="1" applyFont="1" applyFill="1" applyBorder="1"/>
    <xf numFmtId="38" fontId="3" fillId="7" borderId="2" xfId="4" applyFont="1" applyFill="1" applyBorder="1"/>
    <xf numFmtId="38" fontId="5" fillId="0" borderId="28" xfId="4" applyFont="1" applyBorder="1"/>
    <xf numFmtId="38" fontId="5" fillId="0" borderId="29" xfId="4" applyFont="1" applyBorder="1"/>
    <xf numFmtId="38" fontId="3" fillId="3" borderId="2" xfId="4" applyFont="1" applyFill="1" applyBorder="1"/>
    <xf numFmtId="40" fontId="3" fillId="10" borderId="2" xfId="3" applyNumberFormat="1" applyFont="1" applyFill="1" applyBorder="1"/>
    <xf numFmtId="180" fontId="3" fillId="0" borderId="28" xfId="4" applyNumberFormat="1" applyFont="1" applyBorder="1"/>
    <xf numFmtId="38" fontId="3" fillId="11" borderId="30" xfId="4" applyFont="1" applyFill="1" applyBorder="1"/>
    <xf numFmtId="38" fontId="3" fillId="11" borderId="13" xfId="4" applyFont="1" applyFill="1" applyBorder="1"/>
    <xf numFmtId="38" fontId="5" fillId="11" borderId="13" xfId="4" applyFont="1" applyFill="1" applyBorder="1"/>
    <xf numFmtId="38" fontId="3" fillId="8" borderId="15" xfId="4" applyFont="1" applyFill="1" applyBorder="1"/>
    <xf numFmtId="0" fontId="5" fillId="0" borderId="31" xfId="3" applyFont="1" applyBorder="1"/>
    <xf numFmtId="38" fontId="5" fillId="0" borderId="10" xfId="3" applyNumberFormat="1" applyFont="1" applyBorder="1"/>
    <xf numFmtId="179" fontId="5" fillId="0" borderId="32" xfId="3" applyNumberFormat="1" applyFont="1" applyBorder="1"/>
    <xf numFmtId="180" fontId="5" fillId="0" borderId="10" xfId="3" applyNumberFormat="1" applyFont="1" applyBorder="1"/>
    <xf numFmtId="38" fontId="10" fillId="0" borderId="32" xfId="3" applyNumberFormat="1" applyFont="1" applyBorder="1"/>
    <xf numFmtId="38" fontId="5" fillId="0" borderId="32" xfId="3" applyNumberFormat="1" applyFont="1" applyBorder="1"/>
    <xf numFmtId="38" fontId="5" fillId="0" borderId="31" xfId="3" applyNumberFormat="1" applyFont="1" applyBorder="1"/>
    <xf numFmtId="38" fontId="5" fillId="6" borderId="10" xfId="3" applyNumberFormat="1" applyFont="1" applyFill="1" applyBorder="1"/>
    <xf numFmtId="182" fontId="5" fillId="0" borderId="10" xfId="3" applyNumberFormat="1" applyFont="1" applyBorder="1" applyAlignment="1">
      <alignment shrinkToFit="1"/>
    </xf>
    <xf numFmtId="181" fontId="5" fillId="0" borderId="32" xfId="3" applyNumberFormat="1" applyFont="1" applyBorder="1"/>
    <xf numFmtId="38" fontId="10" fillId="0" borderId="10" xfId="3" applyNumberFormat="1" applyFont="1" applyBorder="1"/>
    <xf numFmtId="38" fontId="9" fillId="6" borderId="10" xfId="3" applyNumberFormat="1" applyFont="1" applyFill="1" applyBorder="1"/>
    <xf numFmtId="182" fontId="15" fillId="0" borderId="32" xfId="3" applyNumberFormat="1" applyFont="1" applyBorder="1" applyAlignment="1">
      <alignment shrinkToFit="1"/>
    </xf>
    <xf numFmtId="0" fontId="5" fillId="0" borderId="10" xfId="3" applyFont="1" applyBorder="1"/>
    <xf numFmtId="182" fontId="5" fillId="0" borderId="33" xfId="3" applyNumberFormat="1" applyFont="1" applyBorder="1"/>
    <xf numFmtId="179" fontId="5" fillId="10" borderId="32" xfId="3" applyNumberFormat="1" applyFont="1" applyFill="1" applyBorder="1"/>
    <xf numFmtId="182" fontId="5" fillId="0" borderId="32" xfId="3" applyNumberFormat="1" applyFont="1" applyBorder="1"/>
    <xf numFmtId="180" fontId="5" fillId="0" borderId="32" xfId="3" applyNumberFormat="1" applyFont="1" applyBorder="1"/>
    <xf numFmtId="38" fontId="5" fillId="0" borderId="10" xfId="4" applyFont="1" applyBorder="1"/>
    <xf numFmtId="38" fontId="5" fillId="6" borderId="23" xfId="4" applyFont="1" applyFill="1" applyBorder="1"/>
    <xf numFmtId="0" fontId="5" fillId="0" borderId="0" xfId="3" applyFont="1"/>
    <xf numFmtId="38" fontId="5" fillId="12" borderId="20" xfId="4" applyFont="1" applyFill="1" applyBorder="1"/>
    <xf numFmtId="0" fontId="5" fillId="0" borderId="5" xfId="3" applyFont="1" applyBorder="1"/>
    <xf numFmtId="38" fontId="10" fillId="0" borderId="20" xfId="4" applyFont="1" applyBorder="1"/>
    <xf numFmtId="38" fontId="9" fillId="6" borderId="20" xfId="4" applyFont="1" applyFill="1" applyBorder="1"/>
    <xf numFmtId="38" fontId="5" fillId="0" borderId="20" xfId="4" applyFont="1" applyBorder="1"/>
    <xf numFmtId="38" fontId="5" fillId="6" borderId="20" xfId="4" applyFont="1" applyFill="1" applyBorder="1"/>
    <xf numFmtId="182" fontId="5" fillId="0" borderId="0" xfId="3" applyNumberFormat="1" applyFont="1" applyAlignment="1">
      <alignment shrinkToFit="1"/>
    </xf>
    <xf numFmtId="179" fontId="5" fillId="0" borderId="0" xfId="3" applyNumberFormat="1" applyFont="1"/>
    <xf numFmtId="182" fontId="10" fillId="0" borderId="0" xfId="3" applyNumberFormat="1" applyFont="1"/>
    <xf numFmtId="0" fontId="5" fillId="0" borderId="7" xfId="3" applyFont="1" applyBorder="1"/>
    <xf numFmtId="182" fontId="5" fillId="0" borderId="0" xfId="3" applyNumberFormat="1" applyFont="1"/>
    <xf numFmtId="182" fontId="5" fillId="0" borderId="34" xfId="3" applyNumberFormat="1" applyFont="1" applyBorder="1"/>
    <xf numFmtId="0" fontId="5" fillId="0" borderId="6" xfId="3" applyFont="1" applyBorder="1"/>
    <xf numFmtId="38" fontId="5" fillId="0" borderId="7" xfId="4" applyFont="1" applyBorder="1"/>
    <xf numFmtId="38" fontId="5" fillId="0" borderId="0" xfId="3" applyNumberFormat="1" applyFont="1"/>
    <xf numFmtId="38" fontId="5" fillId="0" borderId="0" xfId="4" applyFont="1"/>
    <xf numFmtId="0" fontId="3" fillId="0" borderId="0" xfId="3" applyFont="1" applyAlignment="1">
      <alignment horizontal="right"/>
    </xf>
    <xf numFmtId="183" fontId="5" fillId="0" borderId="0" xfId="3" applyNumberFormat="1" applyFont="1"/>
    <xf numFmtId="183" fontId="5" fillId="7" borderId="0" xfId="3" applyNumberFormat="1" applyFont="1" applyFill="1"/>
    <xf numFmtId="183" fontId="5" fillId="0" borderId="0" xfId="3" applyNumberFormat="1" applyFont="1" applyAlignment="1">
      <alignment horizontal="right"/>
    </xf>
    <xf numFmtId="184" fontId="5" fillId="0" borderId="0" xfId="5" applyFont="1"/>
    <xf numFmtId="184" fontId="5" fillId="0" borderId="0" xfId="5" applyFont="1" applyAlignment="1">
      <alignment shrinkToFit="1"/>
    </xf>
    <xf numFmtId="38" fontId="3" fillId="0" borderId="0" xfId="3" applyNumberFormat="1" applyFont="1"/>
    <xf numFmtId="183" fontId="5" fillId="4" borderId="0" xfId="3" applyNumberFormat="1" applyFont="1" applyFill="1"/>
    <xf numFmtId="180" fontId="3" fillId="0" borderId="0" xfId="3" applyNumberFormat="1" applyFont="1"/>
    <xf numFmtId="0" fontId="3" fillId="0" borderId="24" xfId="3" applyFont="1" applyBorder="1"/>
    <xf numFmtId="0" fontId="3" fillId="0" borderId="29" xfId="3" applyFont="1" applyBorder="1" applyAlignment="1">
      <alignment horizontal="right"/>
    </xf>
    <xf numFmtId="183" fontId="5" fillId="12" borderId="0" xfId="3" applyNumberFormat="1" applyFont="1" applyFill="1"/>
    <xf numFmtId="0" fontId="3" fillId="0" borderId="34" xfId="3" applyFont="1" applyBorder="1"/>
    <xf numFmtId="185" fontId="3" fillId="0" borderId="0" xfId="4" applyNumberFormat="1" applyFont="1"/>
    <xf numFmtId="0" fontId="16" fillId="0" borderId="0" xfId="3" applyFont="1" applyAlignment="1">
      <alignment horizontal="left" vertical="top" wrapText="1"/>
    </xf>
    <xf numFmtId="38" fontId="17" fillId="0" borderId="0" xfId="3" applyNumberFormat="1" applyFont="1" applyAlignment="1">
      <alignment vertical="center"/>
    </xf>
    <xf numFmtId="0" fontId="3" fillId="0" borderId="0" xfId="3" applyFont="1" applyAlignment="1">
      <alignment horizontal="center"/>
    </xf>
    <xf numFmtId="0" fontId="5" fillId="0" borderId="0" xfId="3" applyFont="1" applyAlignment="1">
      <alignment horizontal="center"/>
    </xf>
    <xf numFmtId="38" fontId="5" fillId="0" borderId="0" xfId="4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 shrinkToFit="1"/>
    </xf>
    <xf numFmtId="186" fontId="5" fillId="0" borderId="0" xfId="2" applyNumberFormat="1" applyFont="1" applyAlignment="1"/>
    <xf numFmtId="0" fontId="5" fillId="6" borderId="0" xfId="3" applyFont="1" applyFill="1"/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184" fontId="9" fillId="0" borderId="0" xfId="5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18" fillId="0" borderId="0" xfId="3" applyFont="1" applyAlignment="1">
      <alignment vertical="center"/>
    </xf>
    <xf numFmtId="0" fontId="9" fillId="0" borderId="0" xfId="3" applyFont="1" applyAlignment="1">
      <alignment horizontal="center" vertical="center"/>
    </xf>
    <xf numFmtId="184" fontId="19" fillId="0" borderId="0" xfId="5" applyFont="1" applyAlignment="1">
      <alignment vertical="center"/>
    </xf>
    <xf numFmtId="10" fontId="19" fillId="0" borderId="0" xfId="2" applyNumberFormat="1" applyFont="1" applyAlignment="1">
      <alignment vertical="center"/>
    </xf>
    <xf numFmtId="38" fontId="18" fillId="0" borderId="0" xfId="4" applyFont="1" applyAlignment="1">
      <alignment vertical="center"/>
    </xf>
    <xf numFmtId="0" fontId="3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38" fontId="3" fillId="0" borderId="0" xfId="4" applyFont="1" applyAlignment="1">
      <alignment horizontal="left" vertical="center"/>
    </xf>
    <xf numFmtId="0" fontId="20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38" fontId="3" fillId="0" borderId="0" xfId="4" applyFont="1" applyAlignment="1">
      <alignment horizontal="center" vertical="center"/>
    </xf>
    <xf numFmtId="38" fontId="7" fillId="0" borderId="0" xfId="4" applyFont="1" applyAlignment="1">
      <alignment vertical="center"/>
    </xf>
    <xf numFmtId="38" fontId="5" fillId="0" borderId="0" xfId="4" applyFont="1" applyAlignment="1">
      <alignment vertical="center"/>
    </xf>
    <xf numFmtId="38" fontId="20" fillId="0" borderId="0" xfId="4" applyFont="1" applyAlignment="1">
      <alignment vertical="center"/>
    </xf>
    <xf numFmtId="0" fontId="20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38" fontId="3" fillId="0" borderId="0" xfId="4" applyFont="1" applyAlignment="1">
      <alignment vertical="center"/>
    </xf>
    <xf numFmtId="38" fontId="20" fillId="0" borderId="0" xfId="3" applyNumberFormat="1" applyFont="1" applyAlignment="1">
      <alignment vertical="center"/>
    </xf>
    <xf numFmtId="0" fontId="5" fillId="0" borderId="0" xfId="3" applyFont="1" applyAlignment="1">
      <alignment horizontal="left" vertical="center" wrapText="1"/>
    </xf>
    <xf numFmtId="38" fontId="9" fillId="0" borderId="0" xfId="4" applyFont="1" applyAlignment="1">
      <alignment horizontal="center" vertical="center" wrapText="1"/>
    </xf>
    <xf numFmtId="177" fontId="5" fillId="0" borderId="0" xfId="3" applyNumberFormat="1" applyFont="1" applyAlignment="1">
      <alignment horizontal="left" vertical="center" wrapText="1"/>
    </xf>
    <xf numFmtId="0" fontId="5" fillId="13" borderId="13" xfId="3" applyFont="1" applyFill="1" applyBorder="1" applyAlignment="1">
      <alignment horizontal="center" vertical="center" wrapText="1"/>
    </xf>
    <xf numFmtId="38" fontId="9" fillId="0" borderId="21" xfId="4" applyFont="1" applyBorder="1" applyAlignment="1">
      <alignment horizontal="center" vertical="center" wrapText="1"/>
    </xf>
    <xf numFmtId="178" fontId="23" fillId="0" borderId="22" xfId="3" applyNumberFormat="1" applyFont="1" applyBorder="1" applyAlignment="1">
      <alignment horizontal="left"/>
    </xf>
    <xf numFmtId="40" fontId="3" fillId="14" borderId="20" xfId="3" applyNumberFormat="1" applyFont="1" applyFill="1" applyBorder="1"/>
    <xf numFmtId="38" fontId="9" fillId="8" borderId="21" xfId="4" applyFont="1" applyFill="1" applyBorder="1"/>
    <xf numFmtId="178" fontId="23" fillId="0" borderId="5" xfId="3" applyNumberFormat="1" applyFont="1" applyBorder="1" applyAlignment="1">
      <alignment horizontal="left"/>
    </xf>
    <xf numFmtId="178" fontId="23" fillId="9" borderId="5" xfId="3" applyNumberFormat="1" applyFont="1" applyFill="1" applyBorder="1" applyAlignment="1">
      <alignment horizontal="left"/>
    </xf>
    <xf numFmtId="38" fontId="3" fillId="9" borderId="5" xfId="3" applyNumberFormat="1" applyFont="1" applyFill="1" applyBorder="1"/>
    <xf numFmtId="178" fontId="10" fillId="0" borderId="5" xfId="3" applyNumberFormat="1" applyFont="1" applyBorder="1" applyAlignment="1">
      <alignment horizontal="left"/>
    </xf>
    <xf numFmtId="40" fontId="3" fillId="14" borderId="2" xfId="3" applyNumberFormat="1" applyFont="1" applyFill="1" applyBorder="1"/>
    <xf numFmtId="38" fontId="9" fillId="8" borderId="15" xfId="4" applyFont="1" applyFill="1" applyBorder="1"/>
    <xf numFmtId="0" fontId="5" fillId="0" borderId="31" xfId="3" applyFont="1" applyBorder="1" applyAlignment="1">
      <alignment horizontal="left"/>
    </xf>
    <xf numFmtId="179" fontId="5" fillId="14" borderId="32" xfId="3" applyNumberFormat="1" applyFont="1" applyFill="1" applyBorder="1"/>
    <xf numFmtId="38" fontId="9" fillId="6" borderId="23" xfId="4" applyFont="1" applyFill="1" applyBorder="1"/>
    <xf numFmtId="0" fontId="5" fillId="0" borderId="0" xfId="3" applyFont="1" applyAlignment="1">
      <alignment horizontal="left"/>
    </xf>
    <xf numFmtId="38" fontId="9" fillId="0" borderId="0" xfId="4" applyFont="1"/>
    <xf numFmtId="0" fontId="9" fillId="0" borderId="0" xfId="3" applyFont="1" applyAlignment="1">
      <alignment horizontal="left" vertical="center"/>
    </xf>
    <xf numFmtId="38" fontId="9" fillId="0" borderId="0" xfId="4" applyFont="1" applyAlignment="1">
      <alignment vertical="center"/>
    </xf>
    <xf numFmtId="38" fontId="9" fillId="0" borderId="0" xfId="4" applyFont="1" applyAlignment="1">
      <alignment horizontal="left" vertical="center"/>
    </xf>
    <xf numFmtId="38" fontId="9" fillId="0" borderId="0" xfId="4" applyFont="1" applyAlignment="1">
      <alignment horizontal="center" vertical="center"/>
    </xf>
    <xf numFmtId="38" fontId="3" fillId="14" borderId="20" xfId="3" applyNumberFormat="1" applyFont="1" applyFill="1" applyBorder="1"/>
    <xf numFmtId="38" fontId="5" fillId="3" borderId="20" xfId="4" applyFont="1" applyFill="1" applyBorder="1"/>
    <xf numFmtId="38" fontId="3" fillId="14" borderId="2" xfId="3" applyNumberFormat="1" applyFont="1" applyFill="1" applyBorder="1"/>
    <xf numFmtId="179" fontId="24" fillId="14" borderId="32" xfId="3" applyNumberFormat="1" applyFont="1" applyFill="1" applyBorder="1"/>
    <xf numFmtId="183" fontId="3" fillId="0" borderId="0" xfId="3" applyNumberFormat="1" applyFont="1"/>
    <xf numFmtId="0" fontId="3" fillId="0" borderId="0" xfId="3" applyFont="1" applyAlignment="1">
      <alignment horizontal="right" vertical="center"/>
    </xf>
    <xf numFmtId="38" fontId="3" fillId="0" borderId="0" xfId="3" applyNumberFormat="1" applyFont="1" applyAlignment="1">
      <alignment horizontal="right" vertical="center"/>
    </xf>
    <xf numFmtId="38" fontId="5" fillId="0" borderId="35" xfId="4" applyFont="1" applyBorder="1" applyAlignment="1">
      <alignment horizontal="center" vertical="center"/>
    </xf>
    <xf numFmtId="38" fontId="20" fillId="0" borderId="35" xfId="1" applyFont="1" applyBorder="1" applyAlignment="1">
      <alignment horizontal="right" vertical="center"/>
    </xf>
    <xf numFmtId="186" fontId="1" fillId="0" borderId="35" xfId="2" applyNumberFormat="1" applyBorder="1" applyAlignment="1">
      <alignment horizontal="right" vertical="center"/>
    </xf>
    <xf numFmtId="0" fontId="5" fillId="0" borderId="35" xfId="3" applyFont="1" applyBorder="1" applyAlignment="1">
      <alignment horizontal="center" vertical="center"/>
    </xf>
    <xf numFmtId="177" fontId="7" fillId="0" borderId="1" xfId="3" applyNumberFormat="1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4" borderId="3" xfId="3" applyFont="1" applyFill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0" fontId="9" fillId="6" borderId="9" xfId="3" applyFont="1" applyFill="1" applyBorder="1" applyAlignment="1">
      <alignment horizontal="center" vertical="center" wrapText="1"/>
    </xf>
    <xf numFmtId="0" fontId="9" fillId="6" borderId="10" xfId="3" applyFont="1" applyFill="1" applyBorder="1" applyAlignment="1">
      <alignment horizontal="center" vertical="center" wrapText="1"/>
    </xf>
    <xf numFmtId="0" fontId="9" fillId="6" borderId="11" xfId="3" applyFont="1" applyFill="1" applyBorder="1" applyAlignment="1">
      <alignment horizontal="center" vertical="center" wrapText="1"/>
    </xf>
    <xf numFmtId="0" fontId="16" fillId="0" borderId="20" xfId="3" applyFont="1" applyBorder="1" applyAlignment="1">
      <alignment horizontal="left" vertical="top" wrapText="1"/>
    </xf>
    <xf numFmtId="0" fontId="9" fillId="5" borderId="5" xfId="3" applyFont="1" applyFill="1" applyBorder="1" applyAlignment="1">
      <alignment horizontal="center" vertical="center" wrapText="1"/>
    </xf>
    <xf numFmtId="0" fontId="9" fillId="5" borderId="6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13" borderId="5" xfId="3" applyFont="1" applyFill="1" applyBorder="1" applyAlignment="1">
      <alignment horizontal="center" vertical="center" wrapText="1"/>
    </xf>
    <xf numFmtId="0" fontId="9" fillId="13" borderId="6" xfId="3" applyFont="1" applyFill="1" applyBorder="1" applyAlignment="1">
      <alignment horizontal="center" vertical="center" wrapText="1"/>
    </xf>
    <xf numFmtId="0" fontId="9" fillId="13" borderId="7" xfId="3" applyFont="1" applyFill="1" applyBorder="1" applyAlignment="1">
      <alignment horizontal="center" vertical="center" wrapText="1"/>
    </xf>
    <xf numFmtId="0" fontId="5" fillId="0" borderId="35" xfId="3" applyFont="1" applyBorder="1" applyAlignment="1">
      <alignment horizontal="center" vertical="center"/>
    </xf>
    <xf numFmtId="38" fontId="13" fillId="0" borderId="35" xfId="3" applyNumberFormat="1" applyFont="1" applyBorder="1" applyAlignment="1">
      <alignment horizontal="right" vertical="center"/>
    </xf>
    <xf numFmtId="0" fontId="13" fillId="0" borderId="35" xfId="3" applyFont="1" applyBorder="1" applyAlignment="1">
      <alignment horizontal="right" vertical="center"/>
    </xf>
    <xf numFmtId="38" fontId="5" fillId="15" borderId="35" xfId="4" applyFont="1" applyFill="1" applyBorder="1" applyAlignment="1">
      <alignment horizontal="center" vertical="center"/>
    </xf>
    <xf numFmtId="38" fontId="7" fillId="0" borderId="35" xfId="3" applyNumberFormat="1" applyFont="1" applyBorder="1" applyAlignment="1">
      <alignment horizontal="right" vertical="center"/>
    </xf>
    <xf numFmtId="0" fontId="7" fillId="0" borderId="35" xfId="3" applyFont="1" applyBorder="1" applyAlignment="1">
      <alignment horizontal="right" vertical="center"/>
    </xf>
    <xf numFmtId="38" fontId="5" fillId="16" borderId="35" xfId="4" applyFont="1" applyFill="1" applyBorder="1" applyAlignment="1">
      <alignment horizontal="center" vertical="center"/>
    </xf>
    <xf numFmtId="0" fontId="5" fillId="17" borderId="35" xfId="3" applyFont="1" applyFill="1" applyBorder="1" applyAlignment="1">
      <alignment horizontal="center" vertical="center"/>
    </xf>
  </cellXfs>
  <cellStyles count="6">
    <cellStyle name="Excel Built-in Comma [0]" xfId="4" xr:uid="{0873F6CC-808E-6C49-9397-FB204AF23A11}"/>
    <cellStyle name="Excel Built-in Currency [0]" xfId="5" xr:uid="{AE15920B-6804-0047-9221-F20BBEF1017E}"/>
    <cellStyle name="Excel Built-in Normal 1" xfId="3" xr:uid="{9C901AAE-D11F-9840-A176-262CABE7704C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esktop/GA&#22770;&#19978;&#26085;&#22577;.xlsx" TargetMode="External"/><Relationship Id="rId2" Type="http://schemas.openxmlformats.org/officeDocument/2006/relationships/externalLinkPath" Target="/Users/satoshiiga/Desktop/GA&#22770;&#19978;&#26085;&#22577;.xlsx" TargetMode="External"/><Relationship Id="rId1" Type="http://schemas.openxmlformats.org/officeDocument/2006/relationships/externalLinkPath" Target="/Users/satoshiiga/Desktop/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7">
          <cell r="J37">
            <v>3980481.8181818179</v>
          </cell>
        </row>
      </sheetData>
      <sheetData sheetId="37"/>
      <sheetData sheetId="38">
        <row r="37">
          <cell r="J37">
            <v>488795.45454545453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07F1-0270-7E49-A222-260F0B01B90C}">
  <dimension ref="A1:BD57"/>
  <sheetViews>
    <sheetView topLeftCell="X1" zoomScale="50" workbookViewId="0">
      <selection sqref="A1:XFD1048576"/>
    </sheetView>
  </sheetViews>
  <sheetFormatPr baseColWidth="10" defaultColWidth="11.140625" defaultRowHeight="16"/>
  <cols>
    <col min="1" max="1" width="11.140625" style="28"/>
    <col min="2" max="2" width="14.42578125" style="108" bestFit="1" customWidth="1"/>
    <col min="3" max="3" width="12.42578125" style="28" customWidth="1"/>
    <col min="4" max="4" width="4.140625" style="28" customWidth="1"/>
    <col min="5" max="9" width="8.42578125" style="28" customWidth="1"/>
    <col min="10" max="10" width="12" style="28" customWidth="1"/>
    <col min="11" max="11" width="8.42578125" style="28" customWidth="1"/>
    <col min="12" max="12" width="3.85546875" style="28" customWidth="1"/>
    <col min="13" max="17" width="8.42578125" style="28" customWidth="1"/>
    <col min="18" max="18" width="12.42578125" style="28" customWidth="1"/>
    <col min="19" max="19" width="8.42578125" style="28" customWidth="1"/>
    <col min="20" max="23" width="11.140625" style="28"/>
    <col min="24" max="24" width="7.5703125" style="28" customWidth="1"/>
    <col min="25" max="25" width="3" style="28" customWidth="1"/>
    <col min="26" max="30" width="7.5703125" style="28" customWidth="1"/>
    <col min="31" max="31" width="10" style="28" customWidth="1"/>
    <col min="32" max="32" width="7.5703125" style="28" customWidth="1"/>
    <col min="33" max="33" width="3.5703125" style="28" customWidth="1"/>
    <col min="34" max="38" width="7.5703125" style="28" customWidth="1"/>
    <col min="39" max="39" width="11.85546875" style="28" customWidth="1"/>
    <col min="40" max="43" width="7.5703125" style="28" customWidth="1"/>
    <col min="44" max="44" width="13.5703125" style="28" customWidth="1"/>
    <col min="45" max="52" width="11.140625" style="28"/>
    <col min="53" max="53" width="11.140625" style="56"/>
    <col min="54" max="54" width="11.140625" style="28"/>
    <col min="55" max="55" width="11.140625" style="56"/>
    <col min="56" max="16384" width="11.140625" style="28"/>
  </cols>
  <sheetData>
    <row r="1" spans="1:56" s="3" customFormat="1">
      <c r="A1" s="1" t="s">
        <v>0</v>
      </c>
      <c r="B1" s="2"/>
      <c r="BA1" s="4"/>
      <c r="BC1" s="4"/>
    </row>
    <row r="2" spans="1:56" s="3" customFormat="1" ht="35" thickBot="1">
      <c r="A2" s="5">
        <v>2023</v>
      </c>
      <c r="B2" s="6">
        <v>4</v>
      </c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X2" s="3" t="s">
        <v>1</v>
      </c>
      <c r="Y2" s="2"/>
      <c r="Z2" s="2"/>
      <c r="AA2" s="2"/>
      <c r="AB2" s="2"/>
      <c r="AC2" s="2"/>
      <c r="AD2" s="2"/>
      <c r="AS2" s="3" t="s">
        <v>1</v>
      </c>
      <c r="BA2" s="4"/>
      <c r="BC2" s="4"/>
    </row>
    <row r="3" spans="1:56" s="3" customFormat="1" ht="33" customHeight="1" thickTop="1" thickBot="1">
      <c r="A3" s="7"/>
      <c r="B3" s="206" t="s">
        <v>2</v>
      </c>
      <c r="C3" s="8"/>
      <c r="D3" s="207" t="s">
        <v>3</v>
      </c>
      <c r="E3" s="207"/>
      <c r="F3" s="207"/>
      <c r="G3" s="207"/>
      <c r="H3" s="207"/>
      <c r="I3" s="207"/>
      <c r="J3" s="207"/>
      <c r="K3" s="207"/>
      <c r="L3" s="208" t="s">
        <v>4</v>
      </c>
      <c r="M3" s="208"/>
      <c r="N3" s="208"/>
      <c r="O3" s="208"/>
      <c r="P3" s="208"/>
      <c r="Q3" s="208"/>
      <c r="R3" s="208"/>
      <c r="S3" s="208"/>
      <c r="T3" s="209" t="s">
        <v>5</v>
      </c>
      <c r="U3" s="209"/>
      <c r="V3" s="209"/>
      <c r="W3" s="209"/>
      <c r="X3" s="209"/>
      <c r="Y3" s="210" t="s">
        <v>6</v>
      </c>
      <c r="Z3" s="210"/>
      <c r="AA3" s="210"/>
      <c r="AB3" s="210"/>
      <c r="AC3" s="210"/>
      <c r="AD3" s="210"/>
      <c r="AE3" s="210"/>
      <c r="AF3" s="210"/>
      <c r="AG3" s="217" t="s">
        <v>7</v>
      </c>
      <c r="AH3" s="218"/>
      <c r="AI3" s="218"/>
      <c r="AJ3" s="218"/>
      <c r="AK3" s="218"/>
      <c r="AL3" s="218"/>
      <c r="AM3" s="218"/>
      <c r="AN3" s="219"/>
      <c r="AO3" s="211" t="s">
        <v>8</v>
      </c>
      <c r="AP3" s="209"/>
      <c r="AQ3" s="209"/>
      <c r="AR3" s="209"/>
      <c r="AS3" s="212"/>
      <c r="AT3" s="213" t="s">
        <v>9</v>
      </c>
      <c r="AU3" s="214"/>
      <c r="AV3" s="214"/>
      <c r="AW3" s="214"/>
      <c r="AX3" s="214"/>
      <c r="AY3" s="214"/>
      <c r="AZ3" s="214"/>
      <c r="BA3" s="215"/>
      <c r="BC3" s="4"/>
    </row>
    <row r="4" spans="1:56" s="2" customFormat="1" ht="53.25" customHeight="1" thickTop="1" thickBot="1">
      <c r="A4" s="9"/>
      <c r="B4" s="206"/>
      <c r="C4" s="10" t="s">
        <v>10</v>
      </c>
      <c r="D4" s="11" t="s">
        <v>11</v>
      </c>
      <c r="E4" s="12" t="s">
        <v>12</v>
      </c>
      <c r="F4" s="11" t="s">
        <v>13</v>
      </c>
      <c r="G4" s="13" t="s">
        <v>14</v>
      </c>
      <c r="H4" s="11" t="s">
        <v>15</v>
      </c>
      <c r="I4" s="14" t="s">
        <v>16</v>
      </c>
      <c r="J4" s="12" t="s">
        <v>17</v>
      </c>
      <c r="K4" s="11" t="s">
        <v>18</v>
      </c>
      <c r="L4" s="11" t="s">
        <v>19</v>
      </c>
      <c r="M4" s="15" t="s">
        <v>12</v>
      </c>
      <c r="N4" s="11" t="s">
        <v>13</v>
      </c>
      <c r="O4" s="13" t="s">
        <v>14</v>
      </c>
      <c r="P4" s="11" t="s">
        <v>15</v>
      </c>
      <c r="Q4" s="14" t="s">
        <v>16</v>
      </c>
      <c r="R4" s="12" t="s">
        <v>17</v>
      </c>
      <c r="S4" s="16" t="s">
        <v>18</v>
      </c>
      <c r="T4" s="17" t="s">
        <v>20</v>
      </c>
      <c r="U4" s="18" t="s">
        <v>21</v>
      </c>
      <c r="V4" s="18" t="s">
        <v>22</v>
      </c>
      <c r="W4" s="19" t="s">
        <v>23</v>
      </c>
      <c r="X4" s="18"/>
      <c r="Y4" s="20" t="s">
        <v>24</v>
      </c>
      <c r="Z4" s="11" t="s">
        <v>12</v>
      </c>
      <c r="AA4" s="11" t="s">
        <v>21</v>
      </c>
      <c r="AB4" s="13" t="s">
        <v>25</v>
      </c>
      <c r="AC4" s="11" t="s">
        <v>22</v>
      </c>
      <c r="AD4" s="14" t="s">
        <v>26</v>
      </c>
      <c r="AE4" s="15" t="s">
        <v>27</v>
      </c>
      <c r="AF4" s="21" t="s">
        <v>18</v>
      </c>
      <c r="AG4" s="22" t="s">
        <v>28</v>
      </c>
      <c r="AH4" s="11" t="s">
        <v>12</v>
      </c>
      <c r="AI4" s="11" t="s">
        <v>21</v>
      </c>
      <c r="AJ4" s="13" t="s">
        <v>25</v>
      </c>
      <c r="AK4" s="11" t="s">
        <v>22</v>
      </c>
      <c r="AL4" s="14" t="s">
        <v>26</v>
      </c>
      <c r="AM4" s="15" t="s">
        <v>27</v>
      </c>
      <c r="AN4" s="23" t="s">
        <v>18</v>
      </c>
      <c r="AO4" s="23" t="s">
        <v>20</v>
      </c>
      <c r="AP4" s="18" t="s">
        <v>21</v>
      </c>
      <c r="AQ4" s="18" t="s">
        <v>22</v>
      </c>
      <c r="AR4" s="19" t="s">
        <v>23</v>
      </c>
      <c r="AS4" s="19" t="s">
        <v>29</v>
      </c>
      <c r="AT4" s="24" t="s">
        <v>30</v>
      </c>
      <c r="AU4" s="25" t="s">
        <v>31</v>
      </c>
      <c r="AV4" s="25" t="s">
        <v>32</v>
      </c>
      <c r="AW4" s="25" t="s">
        <v>33</v>
      </c>
      <c r="AX4" s="25" t="s">
        <v>34</v>
      </c>
      <c r="AY4" s="25" t="s">
        <v>35</v>
      </c>
      <c r="AZ4" s="25" t="s">
        <v>36</v>
      </c>
      <c r="BA4" s="26" t="s">
        <v>37</v>
      </c>
      <c r="BC4" s="27"/>
    </row>
    <row r="5" spans="1:56" ht="19" thickTop="1">
      <c r="B5" s="29">
        <f>DATE($A$2,$B$2,1)</f>
        <v>45017</v>
      </c>
      <c r="C5" s="30"/>
      <c r="D5" s="31"/>
      <c r="E5" s="32"/>
      <c r="F5" s="33"/>
      <c r="G5" s="34" t="e">
        <f t="shared" ref="G5:G35" si="0">ROUNDDOWN(F5/1.1,0)/E5</f>
        <v>#DIV/0!</v>
      </c>
      <c r="H5" s="33"/>
      <c r="I5" s="35" t="e">
        <f t="shared" ref="I5:I35" si="1">ROUNDDOWN(H5/1.1,0)/E5</f>
        <v>#DIV/0!</v>
      </c>
      <c r="J5" s="36">
        <f t="shared" ref="J5:J35" si="2">F5+H5</f>
        <v>0</v>
      </c>
      <c r="K5" s="37" t="str">
        <f t="shared" ref="K5:K35" si="3">IF(E5="","",J5/E5)</f>
        <v/>
      </c>
      <c r="L5" s="38"/>
      <c r="M5" s="39">
        <f t="shared" ref="M5:N35" si="4">AT5-E5</f>
        <v>0</v>
      </c>
      <c r="N5" s="40">
        <f t="shared" si="4"/>
        <v>0</v>
      </c>
      <c r="O5" s="34" t="e">
        <f t="shared" ref="O5:O35" si="5">ROUNDDOWN(N5/1.1,0)/M5</f>
        <v>#DIV/0!</v>
      </c>
      <c r="P5" s="40">
        <f t="shared" ref="P5:P35" si="6">AV5-H5</f>
        <v>0</v>
      </c>
      <c r="Q5" s="35" t="e">
        <f t="shared" ref="Q5:Q35" si="7">ROUNDDOWN(P5/1.1,0)/M5</f>
        <v>#DIV/0!</v>
      </c>
      <c r="R5" s="41">
        <f t="shared" ref="R5:R35" si="8">N5+P5</f>
        <v>0</v>
      </c>
      <c r="S5" s="37" t="e">
        <f t="shared" ref="S5:S35" si="9">IF(M5="","",R5/M5)</f>
        <v>#DIV/0!</v>
      </c>
      <c r="T5" s="42">
        <f t="shared" ref="T5:U35" si="10">E5+M5</f>
        <v>0</v>
      </c>
      <c r="U5" s="40">
        <f t="shared" si="10"/>
        <v>0</v>
      </c>
      <c r="V5" s="40">
        <f t="shared" ref="V5:V35" si="11">H5+P5</f>
        <v>0</v>
      </c>
      <c r="W5" s="43">
        <f t="shared" ref="W5:W35" si="12">J5+R5</f>
        <v>0</v>
      </c>
      <c r="X5" s="40"/>
      <c r="Y5" s="44"/>
      <c r="Z5" s="45"/>
      <c r="AA5" s="33"/>
      <c r="AB5" s="34" t="e">
        <f t="shared" ref="AB5:AB35" si="13">AA5/Z5</f>
        <v>#DIV/0!</v>
      </c>
      <c r="AC5" s="33"/>
      <c r="AD5" s="35" t="e">
        <f t="shared" ref="AD5:AD35" si="14">AC5/Z5</f>
        <v>#DIV/0!</v>
      </c>
      <c r="AE5" s="46">
        <f t="shared" ref="AE5:AE35" si="15">AA5+AC5</f>
        <v>0</v>
      </c>
      <c r="AF5" s="37" t="str">
        <f t="shared" ref="AF5:AF35" si="16">IF(Z5="","",AE5/Z5)</f>
        <v/>
      </c>
      <c r="AG5" s="47"/>
      <c r="AH5" s="45"/>
      <c r="AI5" s="33"/>
      <c r="AJ5" s="34" t="e">
        <f t="shared" ref="AJ5:AJ35" si="17">AI5/AH5</f>
        <v>#DIV/0!</v>
      </c>
      <c r="AK5" s="33"/>
      <c r="AL5" s="35" t="e">
        <f t="shared" ref="AL5:AL35" si="18">AK5/AH5</f>
        <v>#DIV/0!</v>
      </c>
      <c r="AM5" s="46">
        <f t="shared" ref="AM5:AM35" si="19">AI5+AK5</f>
        <v>0</v>
      </c>
      <c r="AN5" s="48" t="str">
        <f t="shared" ref="AN5:AN35" si="20">IF(AH5="","",AM5/AH5)</f>
        <v/>
      </c>
      <c r="AO5" s="49">
        <f t="shared" ref="AO5:AO35" si="21">SUM(E5,M5)</f>
        <v>0</v>
      </c>
      <c r="AP5" s="40">
        <f t="shared" ref="AP5:AP35" si="22">U5+AA5</f>
        <v>0</v>
      </c>
      <c r="AQ5" s="40">
        <f t="shared" ref="AQ5:AQ35" si="23">V5+AC5</f>
        <v>0</v>
      </c>
      <c r="AR5" s="50">
        <f t="shared" ref="AR5:AR35" si="24">W5+AE5</f>
        <v>0</v>
      </c>
      <c r="AS5" s="51">
        <f t="shared" ref="AS5:AS35" si="25">AW5+AX5+AY5</f>
        <v>0</v>
      </c>
      <c r="AT5" s="52"/>
      <c r="AU5" s="53"/>
      <c r="AV5" s="53"/>
      <c r="AW5" s="54"/>
      <c r="AX5" s="54"/>
      <c r="AY5" s="54"/>
      <c r="AZ5" s="54"/>
      <c r="BA5" s="55">
        <f t="shared" ref="BA5:BA35" si="26">SUM(AU5:AY5)</f>
        <v>0</v>
      </c>
      <c r="BB5" s="28">
        <v>1</v>
      </c>
      <c r="BC5" s="56">
        <f t="shared" ref="BC5:BC35" si="27">AZ5+BA5</f>
        <v>0</v>
      </c>
    </row>
    <row r="6" spans="1:56" ht="18">
      <c r="B6" s="57">
        <f t="shared" ref="B6:B34" si="28">B5+1</f>
        <v>45018</v>
      </c>
      <c r="C6" s="58"/>
      <c r="D6" s="31"/>
      <c r="E6" s="32"/>
      <c r="F6" s="33"/>
      <c r="G6" s="34" t="e">
        <f t="shared" si="0"/>
        <v>#DIV/0!</v>
      </c>
      <c r="H6" s="33"/>
      <c r="I6" s="35" t="e">
        <f t="shared" si="1"/>
        <v>#DIV/0!</v>
      </c>
      <c r="J6" s="36">
        <f t="shared" si="2"/>
        <v>0</v>
      </c>
      <c r="K6" s="37" t="str">
        <f t="shared" si="3"/>
        <v/>
      </c>
      <c r="L6" s="38"/>
      <c r="M6" s="39">
        <f t="shared" si="4"/>
        <v>0</v>
      </c>
      <c r="N6" s="40">
        <f t="shared" si="4"/>
        <v>0</v>
      </c>
      <c r="O6" s="34" t="e">
        <f t="shared" si="5"/>
        <v>#DIV/0!</v>
      </c>
      <c r="P6" s="40">
        <f t="shared" si="6"/>
        <v>0</v>
      </c>
      <c r="Q6" s="35" t="e">
        <f t="shared" si="7"/>
        <v>#DIV/0!</v>
      </c>
      <c r="R6" s="41">
        <f t="shared" si="8"/>
        <v>0</v>
      </c>
      <c r="S6" s="37" t="e">
        <f t="shared" si="9"/>
        <v>#DIV/0!</v>
      </c>
      <c r="T6" s="59">
        <f t="shared" si="10"/>
        <v>0</v>
      </c>
      <c r="U6" s="40">
        <f t="shared" si="10"/>
        <v>0</v>
      </c>
      <c r="V6" s="40">
        <f t="shared" si="11"/>
        <v>0</v>
      </c>
      <c r="W6" s="43">
        <f t="shared" si="12"/>
        <v>0</v>
      </c>
      <c r="X6" s="60"/>
      <c r="Y6" s="44"/>
      <c r="Z6" s="45"/>
      <c r="AA6" s="33"/>
      <c r="AB6" s="34" t="e">
        <f t="shared" si="13"/>
        <v>#DIV/0!</v>
      </c>
      <c r="AC6" s="33"/>
      <c r="AD6" s="35" t="e">
        <f t="shared" si="14"/>
        <v>#DIV/0!</v>
      </c>
      <c r="AE6" s="46">
        <f t="shared" si="15"/>
        <v>0</v>
      </c>
      <c r="AF6" s="37" t="str">
        <f t="shared" si="16"/>
        <v/>
      </c>
      <c r="AG6" s="47"/>
      <c r="AH6" s="45"/>
      <c r="AI6" s="33"/>
      <c r="AJ6" s="34" t="e">
        <f t="shared" si="17"/>
        <v>#DIV/0!</v>
      </c>
      <c r="AK6" s="33"/>
      <c r="AL6" s="35" t="e">
        <f t="shared" si="18"/>
        <v>#DIV/0!</v>
      </c>
      <c r="AM6" s="46">
        <f t="shared" si="19"/>
        <v>0</v>
      </c>
      <c r="AN6" s="48" t="str">
        <f t="shared" si="20"/>
        <v/>
      </c>
      <c r="AO6" s="61">
        <f t="shared" si="21"/>
        <v>0</v>
      </c>
      <c r="AP6" s="40">
        <f t="shared" si="22"/>
        <v>0</v>
      </c>
      <c r="AQ6" s="40">
        <f t="shared" si="23"/>
        <v>0</v>
      </c>
      <c r="AR6" s="50">
        <f t="shared" si="24"/>
        <v>0</v>
      </c>
      <c r="AS6" s="51">
        <f t="shared" si="25"/>
        <v>0</v>
      </c>
      <c r="AT6" s="52"/>
      <c r="AU6" s="53"/>
      <c r="AV6" s="53"/>
      <c r="AW6" s="54"/>
      <c r="AX6" s="54"/>
      <c r="AY6" s="54"/>
      <c r="AZ6" s="54"/>
      <c r="BA6" s="55">
        <f t="shared" si="26"/>
        <v>0</v>
      </c>
      <c r="BB6" s="28">
        <v>2</v>
      </c>
      <c r="BC6" s="56">
        <f t="shared" si="27"/>
        <v>0</v>
      </c>
    </row>
    <row r="7" spans="1:56" ht="18">
      <c r="B7" s="57">
        <f t="shared" si="28"/>
        <v>45019</v>
      </c>
      <c r="C7" s="58"/>
      <c r="D7" s="31"/>
      <c r="E7" s="32"/>
      <c r="F7" s="33"/>
      <c r="G7" s="34" t="e">
        <f t="shared" si="0"/>
        <v>#DIV/0!</v>
      </c>
      <c r="H7" s="33"/>
      <c r="I7" s="35" t="e">
        <f t="shared" si="1"/>
        <v>#DIV/0!</v>
      </c>
      <c r="J7" s="36">
        <f t="shared" si="2"/>
        <v>0</v>
      </c>
      <c r="K7" s="37" t="str">
        <f t="shared" si="3"/>
        <v/>
      </c>
      <c r="L7" s="38"/>
      <c r="M7" s="39">
        <f t="shared" si="4"/>
        <v>0</v>
      </c>
      <c r="N7" s="40">
        <f t="shared" si="4"/>
        <v>0</v>
      </c>
      <c r="O7" s="34" t="e">
        <f t="shared" si="5"/>
        <v>#DIV/0!</v>
      </c>
      <c r="P7" s="40">
        <f t="shared" si="6"/>
        <v>0</v>
      </c>
      <c r="Q7" s="35" t="e">
        <f t="shared" si="7"/>
        <v>#DIV/0!</v>
      </c>
      <c r="R7" s="41">
        <f t="shared" si="8"/>
        <v>0</v>
      </c>
      <c r="S7" s="37" t="e">
        <f t="shared" si="9"/>
        <v>#DIV/0!</v>
      </c>
      <c r="T7" s="59">
        <f t="shared" si="10"/>
        <v>0</v>
      </c>
      <c r="U7" s="40">
        <f t="shared" si="10"/>
        <v>0</v>
      </c>
      <c r="V7" s="40">
        <f t="shared" si="11"/>
        <v>0</v>
      </c>
      <c r="W7" s="43">
        <f t="shared" si="12"/>
        <v>0</v>
      </c>
      <c r="X7" s="60"/>
      <c r="Y7" s="44"/>
      <c r="Z7" s="45"/>
      <c r="AA7" s="33"/>
      <c r="AB7" s="34" t="e">
        <f t="shared" si="13"/>
        <v>#DIV/0!</v>
      </c>
      <c r="AC7" s="33"/>
      <c r="AD7" s="35" t="e">
        <f t="shared" si="14"/>
        <v>#DIV/0!</v>
      </c>
      <c r="AE7" s="46">
        <f t="shared" si="15"/>
        <v>0</v>
      </c>
      <c r="AF7" s="37" t="str">
        <f t="shared" si="16"/>
        <v/>
      </c>
      <c r="AG7" s="47"/>
      <c r="AH7" s="45"/>
      <c r="AI7" s="33"/>
      <c r="AJ7" s="34" t="e">
        <f t="shared" si="17"/>
        <v>#DIV/0!</v>
      </c>
      <c r="AK7" s="33"/>
      <c r="AL7" s="35" t="e">
        <f t="shared" si="18"/>
        <v>#DIV/0!</v>
      </c>
      <c r="AM7" s="46">
        <f t="shared" si="19"/>
        <v>0</v>
      </c>
      <c r="AN7" s="48" t="str">
        <f t="shared" si="20"/>
        <v/>
      </c>
      <c r="AO7" s="61">
        <f t="shared" si="21"/>
        <v>0</v>
      </c>
      <c r="AP7" s="40">
        <f t="shared" si="22"/>
        <v>0</v>
      </c>
      <c r="AQ7" s="40">
        <f t="shared" si="23"/>
        <v>0</v>
      </c>
      <c r="AR7" s="50">
        <f t="shared" si="24"/>
        <v>0</v>
      </c>
      <c r="AS7" s="51">
        <f t="shared" si="25"/>
        <v>0</v>
      </c>
      <c r="AT7" s="52"/>
      <c r="AU7" s="53"/>
      <c r="AV7" s="53"/>
      <c r="AW7" s="54"/>
      <c r="AX7" s="54"/>
      <c r="AY7" s="54"/>
      <c r="AZ7" s="54"/>
      <c r="BA7" s="55">
        <f t="shared" si="26"/>
        <v>0</v>
      </c>
      <c r="BB7" s="28">
        <v>3</v>
      </c>
      <c r="BC7" s="56">
        <f t="shared" si="27"/>
        <v>0</v>
      </c>
    </row>
    <row r="8" spans="1:56" ht="18">
      <c r="B8" s="62">
        <f t="shared" si="28"/>
        <v>45020</v>
      </c>
      <c r="C8" s="58"/>
      <c r="D8" s="31"/>
      <c r="E8" s="32"/>
      <c r="F8" s="33"/>
      <c r="G8" s="34" t="e">
        <f t="shared" si="0"/>
        <v>#DIV/0!</v>
      </c>
      <c r="H8" s="33"/>
      <c r="I8" s="35" t="e">
        <f t="shared" si="1"/>
        <v>#DIV/0!</v>
      </c>
      <c r="J8" s="36">
        <f t="shared" si="2"/>
        <v>0</v>
      </c>
      <c r="K8" s="37" t="str">
        <f t="shared" si="3"/>
        <v/>
      </c>
      <c r="L8" s="38"/>
      <c r="M8" s="39">
        <f t="shared" si="4"/>
        <v>0</v>
      </c>
      <c r="N8" s="40">
        <f t="shared" si="4"/>
        <v>0</v>
      </c>
      <c r="O8" s="34" t="e">
        <f t="shared" si="5"/>
        <v>#DIV/0!</v>
      </c>
      <c r="P8" s="40">
        <f t="shared" si="6"/>
        <v>0</v>
      </c>
      <c r="Q8" s="35" t="e">
        <f t="shared" si="7"/>
        <v>#DIV/0!</v>
      </c>
      <c r="R8" s="41">
        <f t="shared" si="8"/>
        <v>0</v>
      </c>
      <c r="S8" s="37" t="e">
        <f t="shared" si="9"/>
        <v>#DIV/0!</v>
      </c>
      <c r="T8" s="59">
        <f t="shared" si="10"/>
        <v>0</v>
      </c>
      <c r="U8" s="40">
        <f t="shared" si="10"/>
        <v>0</v>
      </c>
      <c r="V8" s="40">
        <f t="shared" si="11"/>
        <v>0</v>
      </c>
      <c r="W8" s="43">
        <f t="shared" si="12"/>
        <v>0</v>
      </c>
      <c r="X8" s="60"/>
      <c r="Y8" s="44"/>
      <c r="Z8" s="45"/>
      <c r="AA8" s="33"/>
      <c r="AB8" s="34" t="e">
        <f t="shared" si="13"/>
        <v>#DIV/0!</v>
      </c>
      <c r="AC8" s="33"/>
      <c r="AD8" s="35" t="e">
        <f t="shared" si="14"/>
        <v>#DIV/0!</v>
      </c>
      <c r="AE8" s="46">
        <f t="shared" si="15"/>
        <v>0</v>
      </c>
      <c r="AF8" s="37" t="str">
        <f t="shared" si="16"/>
        <v/>
      </c>
      <c r="AG8" s="47"/>
      <c r="AH8" s="45"/>
      <c r="AI8" s="33"/>
      <c r="AJ8" s="34" t="e">
        <f t="shared" si="17"/>
        <v>#DIV/0!</v>
      </c>
      <c r="AK8" s="33"/>
      <c r="AL8" s="35" t="e">
        <f t="shared" si="18"/>
        <v>#DIV/0!</v>
      </c>
      <c r="AM8" s="46">
        <f t="shared" si="19"/>
        <v>0</v>
      </c>
      <c r="AN8" s="48" t="str">
        <f t="shared" si="20"/>
        <v/>
      </c>
      <c r="AO8" s="61">
        <f t="shared" si="21"/>
        <v>0</v>
      </c>
      <c r="AP8" s="40">
        <f t="shared" si="22"/>
        <v>0</v>
      </c>
      <c r="AQ8" s="40">
        <f t="shared" si="23"/>
        <v>0</v>
      </c>
      <c r="AR8" s="63">
        <f t="shared" si="24"/>
        <v>0</v>
      </c>
      <c r="AS8" s="51">
        <f t="shared" si="25"/>
        <v>0</v>
      </c>
      <c r="AT8" s="52"/>
      <c r="AU8" s="53"/>
      <c r="AV8" s="53"/>
      <c r="AW8" s="54"/>
      <c r="AX8" s="54"/>
      <c r="AY8" s="54"/>
      <c r="AZ8" s="54"/>
      <c r="BA8" s="55">
        <f t="shared" si="26"/>
        <v>0</v>
      </c>
      <c r="BB8" s="28">
        <v>4</v>
      </c>
      <c r="BC8" s="56">
        <f t="shared" si="27"/>
        <v>0</v>
      </c>
    </row>
    <row r="9" spans="1:56" ht="18">
      <c r="B9" s="64">
        <f t="shared" si="28"/>
        <v>45021</v>
      </c>
      <c r="C9" s="58"/>
      <c r="D9" s="31"/>
      <c r="E9" s="32"/>
      <c r="F9" s="33"/>
      <c r="G9" s="34" t="e">
        <f t="shared" si="0"/>
        <v>#DIV/0!</v>
      </c>
      <c r="H9" s="33"/>
      <c r="I9" s="35" t="e">
        <f t="shared" si="1"/>
        <v>#DIV/0!</v>
      </c>
      <c r="J9" s="36">
        <f t="shared" si="2"/>
        <v>0</v>
      </c>
      <c r="K9" s="37" t="str">
        <f t="shared" si="3"/>
        <v/>
      </c>
      <c r="L9" s="38"/>
      <c r="M9" s="39">
        <f t="shared" si="4"/>
        <v>0</v>
      </c>
      <c r="N9" s="40">
        <f t="shared" si="4"/>
        <v>0</v>
      </c>
      <c r="O9" s="34" t="e">
        <f t="shared" si="5"/>
        <v>#DIV/0!</v>
      </c>
      <c r="P9" s="40">
        <f t="shared" si="6"/>
        <v>0</v>
      </c>
      <c r="Q9" s="35" t="e">
        <f t="shared" si="7"/>
        <v>#DIV/0!</v>
      </c>
      <c r="R9" s="41">
        <f t="shared" si="8"/>
        <v>0</v>
      </c>
      <c r="S9" s="37" t="e">
        <f t="shared" si="9"/>
        <v>#DIV/0!</v>
      </c>
      <c r="T9" s="59">
        <f t="shared" si="10"/>
        <v>0</v>
      </c>
      <c r="U9" s="40">
        <f t="shared" si="10"/>
        <v>0</v>
      </c>
      <c r="V9" s="40">
        <f t="shared" si="11"/>
        <v>0</v>
      </c>
      <c r="W9" s="43">
        <f t="shared" si="12"/>
        <v>0</v>
      </c>
      <c r="X9" s="60"/>
      <c r="Y9" s="44"/>
      <c r="Z9" s="45"/>
      <c r="AA9" s="33"/>
      <c r="AB9" s="34" t="e">
        <f t="shared" si="13"/>
        <v>#DIV/0!</v>
      </c>
      <c r="AC9" s="33"/>
      <c r="AD9" s="35" t="e">
        <f t="shared" si="14"/>
        <v>#DIV/0!</v>
      </c>
      <c r="AE9" s="46">
        <f t="shared" si="15"/>
        <v>0</v>
      </c>
      <c r="AF9" s="37" t="str">
        <f t="shared" si="16"/>
        <v/>
      </c>
      <c r="AG9" s="47"/>
      <c r="AH9" s="45"/>
      <c r="AI9" s="33"/>
      <c r="AJ9" s="34" t="e">
        <f t="shared" si="17"/>
        <v>#DIV/0!</v>
      </c>
      <c r="AK9" s="33"/>
      <c r="AL9" s="35" t="e">
        <f t="shared" si="18"/>
        <v>#DIV/0!</v>
      </c>
      <c r="AM9" s="46">
        <f t="shared" si="19"/>
        <v>0</v>
      </c>
      <c r="AN9" s="48" t="str">
        <f t="shared" si="20"/>
        <v/>
      </c>
      <c r="AO9" s="61">
        <f t="shared" si="21"/>
        <v>0</v>
      </c>
      <c r="AP9" s="40">
        <f t="shared" si="22"/>
        <v>0</v>
      </c>
      <c r="AQ9" s="40">
        <f t="shared" si="23"/>
        <v>0</v>
      </c>
      <c r="AR9" s="50">
        <f t="shared" si="24"/>
        <v>0</v>
      </c>
      <c r="AS9" s="51">
        <f t="shared" si="25"/>
        <v>0</v>
      </c>
      <c r="AT9" s="52"/>
      <c r="AU9" s="53"/>
      <c r="AV9" s="53"/>
      <c r="AW9" s="54"/>
      <c r="AX9" s="54"/>
      <c r="AY9" s="54"/>
      <c r="AZ9" s="54"/>
      <c r="BA9" s="55">
        <f t="shared" si="26"/>
        <v>0</v>
      </c>
      <c r="BB9" s="28">
        <v>5</v>
      </c>
      <c r="BC9" s="56">
        <f t="shared" si="27"/>
        <v>0</v>
      </c>
    </row>
    <row r="10" spans="1:56" ht="18">
      <c r="B10" s="57">
        <f t="shared" si="28"/>
        <v>45022</v>
      </c>
      <c r="C10" s="58"/>
      <c r="D10" s="31"/>
      <c r="E10" s="32"/>
      <c r="F10" s="33"/>
      <c r="G10" s="34" t="e">
        <f t="shared" si="0"/>
        <v>#DIV/0!</v>
      </c>
      <c r="H10" s="33"/>
      <c r="I10" s="35" t="e">
        <f t="shared" si="1"/>
        <v>#DIV/0!</v>
      </c>
      <c r="J10" s="36">
        <f t="shared" si="2"/>
        <v>0</v>
      </c>
      <c r="K10" s="37" t="str">
        <f t="shared" si="3"/>
        <v/>
      </c>
      <c r="L10" s="38"/>
      <c r="M10" s="39">
        <f t="shared" si="4"/>
        <v>0</v>
      </c>
      <c r="N10" s="40">
        <f t="shared" si="4"/>
        <v>0</v>
      </c>
      <c r="O10" s="34" t="e">
        <f t="shared" si="5"/>
        <v>#DIV/0!</v>
      </c>
      <c r="P10" s="40">
        <f t="shared" si="6"/>
        <v>0</v>
      </c>
      <c r="Q10" s="35" t="e">
        <f t="shared" si="7"/>
        <v>#DIV/0!</v>
      </c>
      <c r="R10" s="41">
        <f t="shared" si="8"/>
        <v>0</v>
      </c>
      <c r="S10" s="37" t="e">
        <f t="shared" si="9"/>
        <v>#DIV/0!</v>
      </c>
      <c r="T10" s="59">
        <f t="shared" si="10"/>
        <v>0</v>
      </c>
      <c r="U10" s="40">
        <f t="shared" si="10"/>
        <v>0</v>
      </c>
      <c r="V10" s="40">
        <f t="shared" si="11"/>
        <v>0</v>
      </c>
      <c r="W10" s="43">
        <f t="shared" si="12"/>
        <v>0</v>
      </c>
      <c r="X10" s="60"/>
      <c r="Y10" s="44"/>
      <c r="Z10" s="45"/>
      <c r="AA10" s="33"/>
      <c r="AB10" s="34" t="e">
        <f t="shared" si="13"/>
        <v>#DIV/0!</v>
      </c>
      <c r="AC10" s="33"/>
      <c r="AD10" s="35" t="e">
        <f t="shared" si="14"/>
        <v>#DIV/0!</v>
      </c>
      <c r="AE10" s="46">
        <f t="shared" si="15"/>
        <v>0</v>
      </c>
      <c r="AF10" s="37" t="str">
        <f t="shared" si="16"/>
        <v/>
      </c>
      <c r="AG10" s="47"/>
      <c r="AH10" s="45"/>
      <c r="AI10" s="33"/>
      <c r="AJ10" s="34" t="e">
        <f t="shared" si="17"/>
        <v>#DIV/0!</v>
      </c>
      <c r="AK10" s="33"/>
      <c r="AL10" s="35" t="e">
        <f t="shared" si="18"/>
        <v>#DIV/0!</v>
      </c>
      <c r="AM10" s="46">
        <f t="shared" si="19"/>
        <v>0</v>
      </c>
      <c r="AN10" s="48" t="str">
        <f t="shared" si="20"/>
        <v/>
      </c>
      <c r="AO10" s="61">
        <f t="shared" si="21"/>
        <v>0</v>
      </c>
      <c r="AP10" s="40">
        <f t="shared" si="22"/>
        <v>0</v>
      </c>
      <c r="AQ10" s="40">
        <f t="shared" si="23"/>
        <v>0</v>
      </c>
      <c r="AR10" s="50">
        <f t="shared" si="24"/>
        <v>0</v>
      </c>
      <c r="AS10" s="51">
        <f t="shared" si="25"/>
        <v>0</v>
      </c>
      <c r="AT10" s="52"/>
      <c r="AU10" s="53"/>
      <c r="AV10" s="53"/>
      <c r="AW10" s="54"/>
      <c r="AX10" s="54"/>
      <c r="AY10" s="54"/>
      <c r="AZ10" s="54"/>
      <c r="BA10" s="55">
        <f t="shared" si="26"/>
        <v>0</v>
      </c>
      <c r="BB10" s="28">
        <v>6</v>
      </c>
      <c r="BC10" s="56">
        <f t="shared" si="27"/>
        <v>0</v>
      </c>
    </row>
    <row r="11" spans="1:56" ht="18">
      <c r="B11" s="57">
        <f t="shared" si="28"/>
        <v>45023</v>
      </c>
      <c r="C11" s="58"/>
      <c r="D11" s="31"/>
      <c r="E11" s="32"/>
      <c r="F11" s="33"/>
      <c r="G11" s="34" t="e">
        <f t="shared" si="0"/>
        <v>#DIV/0!</v>
      </c>
      <c r="H11" s="33"/>
      <c r="I11" s="35" t="e">
        <f t="shared" si="1"/>
        <v>#DIV/0!</v>
      </c>
      <c r="J11" s="36">
        <f t="shared" si="2"/>
        <v>0</v>
      </c>
      <c r="K11" s="37" t="str">
        <f t="shared" si="3"/>
        <v/>
      </c>
      <c r="L11" s="38"/>
      <c r="M11" s="39">
        <f t="shared" si="4"/>
        <v>0</v>
      </c>
      <c r="N11" s="40">
        <f t="shared" si="4"/>
        <v>0</v>
      </c>
      <c r="O11" s="34" t="e">
        <f t="shared" si="5"/>
        <v>#DIV/0!</v>
      </c>
      <c r="P11" s="40">
        <f t="shared" si="6"/>
        <v>0</v>
      </c>
      <c r="Q11" s="35" t="e">
        <f t="shared" si="7"/>
        <v>#DIV/0!</v>
      </c>
      <c r="R11" s="41">
        <f t="shared" si="8"/>
        <v>0</v>
      </c>
      <c r="S11" s="37" t="e">
        <f t="shared" si="9"/>
        <v>#DIV/0!</v>
      </c>
      <c r="T11" s="59">
        <f t="shared" si="10"/>
        <v>0</v>
      </c>
      <c r="U11" s="40">
        <f t="shared" si="10"/>
        <v>0</v>
      </c>
      <c r="V11" s="40">
        <f t="shared" si="11"/>
        <v>0</v>
      </c>
      <c r="W11" s="43">
        <f t="shared" si="12"/>
        <v>0</v>
      </c>
      <c r="X11" s="60"/>
      <c r="Y11" s="44"/>
      <c r="Z11" s="45"/>
      <c r="AA11" s="33"/>
      <c r="AB11" s="34" t="e">
        <f t="shared" si="13"/>
        <v>#DIV/0!</v>
      </c>
      <c r="AC11" s="33"/>
      <c r="AD11" s="35" t="e">
        <f t="shared" si="14"/>
        <v>#DIV/0!</v>
      </c>
      <c r="AE11" s="46">
        <f t="shared" si="15"/>
        <v>0</v>
      </c>
      <c r="AF11" s="37" t="str">
        <f t="shared" si="16"/>
        <v/>
      </c>
      <c r="AG11" s="47"/>
      <c r="AH11" s="45"/>
      <c r="AI11" s="33"/>
      <c r="AJ11" s="34" t="e">
        <f t="shared" si="17"/>
        <v>#DIV/0!</v>
      </c>
      <c r="AK11" s="33"/>
      <c r="AL11" s="35" t="e">
        <f t="shared" si="18"/>
        <v>#DIV/0!</v>
      </c>
      <c r="AM11" s="46">
        <f t="shared" si="19"/>
        <v>0</v>
      </c>
      <c r="AN11" s="48" t="str">
        <f t="shared" si="20"/>
        <v/>
      </c>
      <c r="AO11" s="61">
        <f t="shared" si="21"/>
        <v>0</v>
      </c>
      <c r="AP11" s="40">
        <f t="shared" si="22"/>
        <v>0</v>
      </c>
      <c r="AQ11" s="40">
        <f t="shared" si="23"/>
        <v>0</v>
      </c>
      <c r="AR11" s="50">
        <f t="shared" si="24"/>
        <v>0</v>
      </c>
      <c r="AS11" s="51">
        <f t="shared" si="25"/>
        <v>0</v>
      </c>
      <c r="AT11" s="52"/>
      <c r="AU11" s="53"/>
      <c r="AV11" s="53"/>
      <c r="AW11" s="54"/>
      <c r="AX11" s="54"/>
      <c r="AY11" s="54"/>
      <c r="AZ11" s="54"/>
      <c r="BA11" s="55">
        <f t="shared" si="26"/>
        <v>0</v>
      </c>
      <c r="BB11" s="28">
        <v>7</v>
      </c>
      <c r="BC11" s="56">
        <f t="shared" si="27"/>
        <v>0</v>
      </c>
    </row>
    <row r="12" spans="1:56" ht="18">
      <c r="B12" s="57">
        <f t="shared" si="28"/>
        <v>45024</v>
      </c>
      <c r="C12" s="65"/>
      <c r="D12" s="31"/>
      <c r="E12" s="32"/>
      <c r="F12" s="33"/>
      <c r="G12" s="34" t="e">
        <f t="shared" si="0"/>
        <v>#DIV/0!</v>
      </c>
      <c r="H12" s="33"/>
      <c r="I12" s="35" t="e">
        <f t="shared" si="1"/>
        <v>#DIV/0!</v>
      </c>
      <c r="J12" s="36">
        <f t="shared" si="2"/>
        <v>0</v>
      </c>
      <c r="K12" s="37" t="str">
        <f t="shared" si="3"/>
        <v/>
      </c>
      <c r="L12" s="38"/>
      <c r="M12" s="39">
        <f t="shared" si="4"/>
        <v>0</v>
      </c>
      <c r="N12" s="40">
        <f t="shared" si="4"/>
        <v>0</v>
      </c>
      <c r="O12" s="34" t="e">
        <f t="shared" si="5"/>
        <v>#DIV/0!</v>
      </c>
      <c r="P12" s="40">
        <f t="shared" si="6"/>
        <v>0</v>
      </c>
      <c r="Q12" s="66" t="e">
        <f t="shared" si="7"/>
        <v>#DIV/0!</v>
      </c>
      <c r="R12" s="41">
        <f t="shared" si="8"/>
        <v>0</v>
      </c>
      <c r="S12" s="37" t="e">
        <f t="shared" si="9"/>
        <v>#DIV/0!</v>
      </c>
      <c r="T12" s="59">
        <f t="shared" si="10"/>
        <v>0</v>
      </c>
      <c r="U12" s="40">
        <f t="shared" si="10"/>
        <v>0</v>
      </c>
      <c r="V12" s="40">
        <f t="shared" si="11"/>
        <v>0</v>
      </c>
      <c r="W12" s="43">
        <f t="shared" si="12"/>
        <v>0</v>
      </c>
      <c r="X12" s="60"/>
      <c r="Y12" s="44"/>
      <c r="Z12" s="45"/>
      <c r="AA12" s="33"/>
      <c r="AB12" s="34" t="e">
        <f t="shared" si="13"/>
        <v>#DIV/0!</v>
      </c>
      <c r="AC12" s="33"/>
      <c r="AD12" s="35" t="e">
        <f t="shared" si="14"/>
        <v>#DIV/0!</v>
      </c>
      <c r="AE12" s="46">
        <f t="shared" si="15"/>
        <v>0</v>
      </c>
      <c r="AF12" s="37" t="str">
        <f t="shared" si="16"/>
        <v/>
      </c>
      <c r="AG12" s="47"/>
      <c r="AH12" s="45"/>
      <c r="AI12" s="33"/>
      <c r="AJ12" s="34" t="e">
        <f t="shared" si="17"/>
        <v>#DIV/0!</v>
      </c>
      <c r="AK12" s="33"/>
      <c r="AL12" s="35" t="e">
        <f t="shared" si="18"/>
        <v>#DIV/0!</v>
      </c>
      <c r="AM12" s="46">
        <f t="shared" si="19"/>
        <v>0</v>
      </c>
      <c r="AN12" s="48" t="str">
        <f t="shared" si="20"/>
        <v/>
      </c>
      <c r="AO12" s="61">
        <f t="shared" si="21"/>
        <v>0</v>
      </c>
      <c r="AP12" s="40">
        <f t="shared" si="22"/>
        <v>0</v>
      </c>
      <c r="AQ12" s="40">
        <f t="shared" si="23"/>
        <v>0</v>
      </c>
      <c r="AR12" s="50">
        <f t="shared" si="24"/>
        <v>0</v>
      </c>
      <c r="AS12" s="51">
        <f t="shared" si="25"/>
        <v>0</v>
      </c>
      <c r="AT12" s="52"/>
      <c r="AU12" s="53"/>
      <c r="AV12" s="53"/>
      <c r="AW12" s="54"/>
      <c r="AX12" s="54"/>
      <c r="AY12" s="54"/>
      <c r="AZ12" s="54"/>
      <c r="BA12" s="55">
        <f t="shared" si="26"/>
        <v>0</v>
      </c>
      <c r="BB12" s="28">
        <v>8</v>
      </c>
      <c r="BC12" s="56">
        <f t="shared" si="27"/>
        <v>0</v>
      </c>
      <c r="BD12" s="28" t="s">
        <v>38</v>
      </c>
    </row>
    <row r="13" spans="1:56" ht="18">
      <c r="B13" s="57">
        <f t="shared" si="28"/>
        <v>45025</v>
      </c>
      <c r="C13" s="58"/>
      <c r="D13" s="31"/>
      <c r="E13" s="32"/>
      <c r="F13" s="33"/>
      <c r="G13" s="34" t="e">
        <f t="shared" si="0"/>
        <v>#DIV/0!</v>
      </c>
      <c r="H13" s="33"/>
      <c r="I13" s="35" t="e">
        <f t="shared" si="1"/>
        <v>#DIV/0!</v>
      </c>
      <c r="J13" s="36">
        <f t="shared" si="2"/>
        <v>0</v>
      </c>
      <c r="K13" s="37" t="str">
        <f t="shared" si="3"/>
        <v/>
      </c>
      <c r="L13" s="38"/>
      <c r="M13" s="39">
        <f t="shared" si="4"/>
        <v>0</v>
      </c>
      <c r="N13" s="40">
        <f t="shared" si="4"/>
        <v>0</v>
      </c>
      <c r="O13" s="34" t="e">
        <f t="shared" si="5"/>
        <v>#DIV/0!</v>
      </c>
      <c r="P13" s="40">
        <f t="shared" si="6"/>
        <v>0</v>
      </c>
      <c r="Q13" s="35" t="e">
        <f t="shared" si="7"/>
        <v>#DIV/0!</v>
      </c>
      <c r="R13" s="41">
        <f t="shared" si="8"/>
        <v>0</v>
      </c>
      <c r="S13" s="37" t="e">
        <f t="shared" si="9"/>
        <v>#DIV/0!</v>
      </c>
      <c r="T13" s="59">
        <f t="shared" si="10"/>
        <v>0</v>
      </c>
      <c r="U13" s="40">
        <f t="shared" si="10"/>
        <v>0</v>
      </c>
      <c r="V13" s="40">
        <f t="shared" si="11"/>
        <v>0</v>
      </c>
      <c r="W13" s="43">
        <f t="shared" si="12"/>
        <v>0</v>
      </c>
      <c r="X13" s="60"/>
      <c r="Y13" s="44"/>
      <c r="Z13" s="45"/>
      <c r="AA13" s="33"/>
      <c r="AB13" s="34" t="e">
        <f t="shared" si="13"/>
        <v>#DIV/0!</v>
      </c>
      <c r="AC13" s="33"/>
      <c r="AD13" s="35" t="e">
        <f t="shared" si="14"/>
        <v>#DIV/0!</v>
      </c>
      <c r="AE13" s="46">
        <f t="shared" si="15"/>
        <v>0</v>
      </c>
      <c r="AF13" s="37" t="str">
        <f t="shared" si="16"/>
        <v/>
      </c>
      <c r="AG13" s="47"/>
      <c r="AH13" s="45"/>
      <c r="AI13" s="33"/>
      <c r="AJ13" s="34" t="e">
        <f t="shared" si="17"/>
        <v>#DIV/0!</v>
      </c>
      <c r="AK13" s="33"/>
      <c r="AL13" s="35" t="e">
        <f t="shared" si="18"/>
        <v>#DIV/0!</v>
      </c>
      <c r="AM13" s="46">
        <f t="shared" si="19"/>
        <v>0</v>
      </c>
      <c r="AN13" s="48" t="str">
        <f t="shared" si="20"/>
        <v/>
      </c>
      <c r="AO13" s="61">
        <f t="shared" si="21"/>
        <v>0</v>
      </c>
      <c r="AP13" s="40">
        <f t="shared" si="22"/>
        <v>0</v>
      </c>
      <c r="AQ13" s="40">
        <f t="shared" si="23"/>
        <v>0</v>
      </c>
      <c r="AR13" s="50">
        <f t="shared" si="24"/>
        <v>0</v>
      </c>
      <c r="AS13" s="51">
        <f t="shared" si="25"/>
        <v>0</v>
      </c>
      <c r="AT13" s="52"/>
      <c r="AU13" s="53"/>
      <c r="AV13" s="53"/>
      <c r="AW13" s="54"/>
      <c r="AX13" s="54"/>
      <c r="AY13" s="54"/>
      <c r="AZ13" s="54"/>
      <c r="BA13" s="55">
        <f t="shared" si="26"/>
        <v>0</v>
      </c>
      <c r="BB13" s="28">
        <v>9</v>
      </c>
      <c r="BC13" s="56">
        <f t="shared" si="27"/>
        <v>0</v>
      </c>
    </row>
    <row r="14" spans="1:56" ht="18">
      <c r="B14" s="57">
        <f t="shared" si="28"/>
        <v>45026</v>
      </c>
      <c r="C14" s="58"/>
      <c r="D14" s="31"/>
      <c r="E14" s="32"/>
      <c r="F14" s="33"/>
      <c r="G14" s="34" t="e">
        <f t="shared" si="0"/>
        <v>#DIV/0!</v>
      </c>
      <c r="H14" s="33"/>
      <c r="I14" s="35" t="e">
        <f t="shared" si="1"/>
        <v>#DIV/0!</v>
      </c>
      <c r="J14" s="36">
        <f t="shared" si="2"/>
        <v>0</v>
      </c>
      <c r="K14" s="37" t="str">
        <f t="shared" si="3"/>
        <v/>
      </c>
      <c r="L14" s="38"/>
      <c r="M14" s="39">
        <f t="shared" si="4"/>
        <v>0</v>
      </c>
      <c r="N14" s="40">
        <f t="shared" si="4"/>
        <v>0</v>
      </c>
      <c r="O14" s="34" t="e">
        <f t="shared" si="5"/>
        <v>#DIV/0!</v>
      </c>
      <c r="P14" s="40">
        <f t="shared" si="6"/>
        <v>0</v>
      </c>
      <c r="Q14" s="35" t="e">
        <f t="shared" si="7"/>
        <v>#DIV/0!</v>
      </c>
      <c r="R14" s="41">
        <f t="shared" si="8"/>
        <v>0</v>
      </c>
      <c r="S14" s="37" t="e">
        <f t="shared" si="9"/>
        <v>#DIV/0!</v>
      </c>
      <c r="T14" s="59">
        <f t="shared" si="10"/>
        <v>0</v>
      </c>
      <c r="U14" s="40">
        <f t="shared" si="10"/>
        <v>0</v>
      </c>
      <c r="V14" s="40">
        <f t="shared" si="11"/>
        <v>0</v>
      </c>
      <c r="W14" s="43">
        <f t="shared" si="12"/>
        <v>0</v>
      </c>
      <c r="X14" s="60"/>
      <c r="Y14" s="44"/>
      <c r="Z14" s="45"/>
      <c r="AA14" s="33"/>
      <c r="AB14" s="34" t="e">
        <f t="shared" si="13"/>
        <v>#DIV/0!</v>
      </c>
      <c r="AC14" s="33"/>
      <c r="AD14" s="35" t="e">
        <f t="shared" si="14"/>
        <v>#DIV/0!</v>
      </c>
      <c r="AE14" s="46">
        <f t="shared" si="15"/>
        <v>0</v>
      </c>
      <c r="AF14" s="37" t="str">
        <f t="shared" si="16"/>
        <v/>
      </c>
      <c r="AG14" s="47"/>
      <c r="AH14" s="45"/>
      <c r="AI14" s="33"/>
      <c r="AJ14" s="34" t="e">
        <f t="shared" si="17"/>
        <v>#DIV/0!</v>
      </c>
      <c r="AK14" s="33"/>
      <c r="AL14" s="35" t="e">
        <f t="shared" si="18"/>
        <v>#DIV/0!</v>
      </c>
      <c r="AM14" s="46">
        <f t="shared" si="19"/>
        <v>0</v>
      </c>
      <c r="AN14" s="48" t="str">
        <f t="shared" si="20"/>
        <v/>
      </c>
      <c r="AO14" s="61">
        <f t="shared" si="21"/>
        <v>0</v>
      </c>
      <c r="AP14" s="40">
        <f t="shared" si="22"/>
        <v>0</v>
      </c>
      <c r="AQ14" s="40">
        <f t="shared" si="23"/>
        <v>0</v>
      </c>
      <c r="AR14" s="63">
        <f t="shared" si="24"/>
        <v>0</v>
      </c>
      <c r="AS14" s="51">
        <f t="shared" si="25"/>
        <v>0</v>
      </c>
      <c r="AT14" s="52"/>
      <c r="AU14" s="53"/>
      <c r="AV14" s="53"/>
      <c r="AW14" s="54"/>
      <c r="AX14" s="54"/>
      <c r="AY14" s="54"/>
      <c r="AZ14" s="54"/>
      <c r="BA14" s="55">
        <f t="shared" si="26"/>
        <v>0</v>
      </c>
      <c r="BB14" s="28">
        <v>10</v>
      </c>
      <c r="BC14" s="56">
        <f t="shared" si="27"/>
        <v>0</v>
      </c>
    </row>
    <row r="15" spans="1:56" ht="18">
      <c r="B15" s="62">
        <f t="shared" si="28"/>
        <v>45027</v>
      </c>
      <c r="C15" s="65"/>
      <c r="D15" s="31"/>
      <c r="E15" s="32"/>
      <c r="F15" s="33"/>
      <c r="G15" s="34" t="e">
        <f t="shared" si="0"/>
        <v>#DIV/0!</v>
      </c>
      <c r="H15" s="33"/>
      <c r="I15" s="35" t="e">
        <f t="shared" si="1"/>
        <v>#DIV/0!</v>
      </c>
      <c r="J15" s="36">
        <f t="shared" si="2"/>
        <v>0</v>
      </c>
      <c r="K15" s="37" t="str">
        <f t="shared" si="3"/>
        <v/>
      </c>
      <c r="L15" s="38"/>
      <c r="M15" s="39">
        <f t="shared" si="4"/>
        <v>0</v>
      </c>
      <c r="N15" s="40">
        <f t="shared" si="4"/>
        <v>0</v>
      </c>
      <c r="O15" s="34" t="e">
        <f t="shared" si="5"/>
        <v>#DIV/0!</v>
      </c>
      <c r="P15" s="40">
        <f t="shared" si="6"/>
        <v>0</v>
      </c>
      <c r="Q15" s="35" t="e">
        <f t="shared" si="7"/>
        <v>#DIV/0!</v>
      </c>
      <c r="R15" s="41">
        <f t="shared" si="8"/>
        <v>0</v>
      </c>
      <c r="S15" s="37" t="e">
        <f t="shared" si="9"/>
        <v>#DIV/0!</v>
      </c>
      <c r="T15" s="59">
        <f t="shared" si="10"/>
        <v>0</v>
      </c>
      <c r="U15" s="40">
        <f t="shared" si="10"/>
        <v>0</v>
      </c>
      <c r="V15" s="40">
        <f t="shared" si="11"/>
        <v>0</v>
      </c>
      <c r="W15" s="43">
        <f t="shared" si="12"/>
        <v>0</v>
      </c>
      <c r="X15" s="60"/>
      <c r="Y15" s="44"/>
      <c r="Z15" s="45"/>
      <c r="AA15" s="33"/>
      <c r="AB15" s="34" t="e">
        <f t="shared" si="13"/>
        <v>#DIV/0!</v>
      </c>
      <c r="AC15" s="33"/>
      <c r="AD15" s="35" t="e">
        <f t="shared" si="14"/>
        <v>#DIV/0!</v>
      </c>
      <c r="AE15" s="46">
        <f t="shared" si="15"/>
        <v>0</v>
      </c>
      <c r="AF15" s="37" t="str">
        <f t="shared" si="16"/>
        <v/>
      </c>
      <c r="AG15" s="47"/>
      <c r="AH15" s="45"/>
      <c r="AI15" s="33"/>
      <c r="AJ15" s="34" t="e">
        <f t="shared" si="17"/>
        <v>#DIV/0!</v>
      </c>
      <c r="AK15" s="33"/>
      <c r="AL15" s="35" t="e">
        <f t="shared" si="18"/>
        <v>#DIV/0!</v>
      </c>
      <c r="AM15" s="46">
        <f t="shared" si="19"/>
        <v>0</v>
      </c>
      <c r="AN15" s="48" t="str">
        <f t="shared" si="20"/>
        <v/>
      </c>
      <c r="AO15" s="61">
        <f t="shared" si="21"/>
        <v>0</v>
      </c>
      <c r="AP15" s="40">
        <f t="shared" si="22"/>
        <v>0</v>
      </c>
      <c r="AQ15" s="40">
        <f t="shared" si="23"/>
        <v>0</v>
      </c>
      <c r="AR15" s="50">
        <f t="shared" si="24"/>
        <v>0</v>
      </c>
      <c r="AS15" s="51">
        <f t="shared" si="25"/>
        <v>0</v>
      </c>
      <c r="AT15" s="52"/>
      <c r="AU15" s="53"/>
      <c r="AV15" s="53"/>
      <c r="AW15" s="54"/>
      <c r="AX15" s="54"/>
      <c r="AY15" s="54"/>
      <c r="AZ15" s="54"/>
      <c r="BA15" s="55">
        <f t="shared" si="26"/>
        <v>0</v>
      </c>
      <c r="BB15" s="28">
        <v>11</v>
      </c>
      <c r="BC15" s="56">
        <f t="shared" si="27"/>
        <v>0</v>
      </c>
    </row>
    <row r="16" spans="1:56" ht="18">
      <c r="B16" s="64">
        <f t="shared" si="28"/>
        <v>45028</v>
      </c>
      <c r="C16" s="58"/>
      <c r="D16" s="31"/>
      <c r="E16" s="32"/>
      <c r="F16" s="33"/>
      <c r="G16" s="34" t="e">
        <f t="shared" si="0"/>
        <v>#DIV/0!</v>
      </c>
      <c r="H16" s="33"/>
      <c r="I16" s="35" t="e">
        <f t="shared" si="1"/>
        <v>#DIV/0!</v>
      </c>
      <c r="J16" s="36">
        <f t="shared" si="2"/>
        <v>0</v>
      </c>
      <c r="K16" s="37" t="str">
        <f t="shared" si="3"/>
        <v/>
      </c>
      <c r="L16" s="38"/>
      <c r="M16" s="39">
        <f t="shared" si="4"/>
        <v>0</v>
      </c>
      <c r="N16" s="40">
        <f t="shared" si="4"/>
        <v>0</v>
      </c>
      <c r="O16" s="34" t="e">
        <f t="shared" si="5"/>
        <v>#DIV/0!</v>
      </c>
      <c r="P16" s="40">
        <f t="shared" si="6"/>
        <v>0</v>
      </c>
      <c r="Q16" s="35" t="e">
        <f t="shared" si="7"/>
        <v>#DIV/0!</v>
      </c>
      <c r="R16" s="41">
        <f t="shared" si="8"/>
        <v>0</v>
      </c>
      <c r="S16" s="37" t="e">
        <f t="shared" si="9"/>
        <v>#DIV/0!</v>
      </c>
      <c r="T16" s="59">
        <f t="shared" si="10"/>
        <v>0</v>
      </c>
      <c r="U16" s="40">
        <f t="shared" si="10"/>
        <v>0</v>
      </c>
      <c r="V16" s="40">
        <f t="shared" si="11"/>
        <v>0</v>
      </c>
      <c r="W16" s="43">
        <f t="shared" si="12"/>
        <v>0</v>
      </c>
      <c r="X16" s="60"/>
      <c r="Y16" s="44"/>
      <c r="Z16" s="45"/>
      <c r="AA16" s="33"/>
      <c r="AB16" s="34" t="e">
        <f t="shared" si="13"/>
        <v>#DIV/0!</v>
      </c>
      <c r="AC16" s="33"/>
      <c r="AD16" s="35" t="e">
        <f t="shared" si="14"/>
        <v>#DIV/0!</v>
      </c>
      <c r="AE16" s="46">
        <f t="shared" si="15"/>
        <v>0</v>
      </c>
      <c r="AF16" s="37" t="str">
        <f t="shared" si="16"/>
        <v/>
      </c>
      <c r="AG16" s="47"/>
      <c r="AH16" s="45"/>
      <c r="AI16" s="33"/>
      <c r="AJ16" s="34" t="e">
        <f t="shared" si="17"/>
        <v>#DIV/0!</v>
      </c>
      <c r="AK16" s="33"/>
      <c r="AL16" s="35" t="e">
        <f t="shared" si="18"/>
        <v>#DIV/0!</v>
      </c>
      <c r="AM16" s="46">
        <f t="shared" si="19"/>
        <v>0</v>
      </c>
      <c r="AN16" s="48" t="str">
        <f t="shared" si="20"/>
        <v/>
      </c>
      <c r="AO16" s="61">
        <f t="shared" si="21"/>
        <v>0</v>
      </c>
      <c r="AP16" s="40">
        <f t="shared" si="22"/>
        <v>0</v>
      </c>
      <c r="AQ16" s="40">
        <f t="shared" si="23"/>
        <v>0</v>
      </c>
      <c r="AR16" s="50">
        <f t="shared" si="24"/>
        <v>0</v>
      </c>
      <c r="AS16" s="51">
        <f t="shared" si="25"/>
        <v>0</v>
      </c>
      <c r="AT16" s="52"/>
      <c r="AU16" s="53"/>
      <c r="AV16" s="53"/>
      <c r="AW16" s="54"/>
      <c r="AX16" s="54"/>
      <c r="AY16" s="54"/>
      <c r="AZ16" s="54"/>
      <c r="BA16" s="55">
        <f t="shared" si="26"/>
        <v>0</v>
      </c>
      <c r="BB16" s="28">
        <v>12</v>
      </c>
      <c r="BC16" s="56">
        <f t="shared" si="27"/>
        <v>0</v>
      </c>
    </row>
    <row r="17" spans="2:55" ht="18">
      <c r="B17" s="57">
        <f t="shared" si="28"/>
        <v>45029</v>
      </c>
      <c r="C17" s="65"/>
      <c r="D17" s="31"/>
      <c r="E17" s="32"/>
      <c r="F17" s="33"/>
      <c r="G17" s="34" t="e">
        <f t="shared" si="0"/>
        <v>#DIV/0!</v>
      </c>
      <c r="H17" s="33"/>
      <c r="I17" s="35" t="e">
        <f t="shared" si="1"/>
        <v>#DIV/0!</v>
      </c>
      <c r="J17" s="36">
        <f t="shared" si="2"/>
        <v>0</v>
      </c>
      <c r="K17" s="37" t="str">
        <f t="shared" si="3"/>
        <v/>
      </c>
      <c r="L17" s="38"/>
      <c r="M17" s="39">
        <f t="shared" si="4"/>
        <v>0</v>
      </c>
      <c r="N17" s="40">
        <f t="shared" si="4"/>
        <v>0</v>
      </c>
      <c r="O17" s="34" t="e">
        <f t="shared" si="5"/>
        <v>#DIV/0!</v>
      </c>
      <c r="P17" s="40">
        <f t="shared" si="6"/>
        <v>0</v>
      </c>
      <c r="Q17" s="35" t="e">
        <f t="shared" si="7"/>
        <v>#DIV/0!</v>
      </c>
      <c r="R17" s="41">
        <f t="shared" si="8"/>
        <v>0</v>
      </c>
      <c r="S17" s="37" t="e">
        <f t="shared" si="9"/>
        <v>#DIV/0!</v>
      </c>
      <c r="T17" s="59">
        <f t="shared" si="10"/>
        <v>0</v>
      </c>
      <c r="U17" s="40">
        <f t="shared" si="10"/>
        <v>0</v>
      </c>
      <c r="V17" s="40">
        <f t="shared" si="11"/>
        <v>0</v>
      </c>
      <c r="W17" s="43">
        <f t="shared" si="12"/>
        <v>0</v>
      </c>
      <c r="X17" s="60"/>
      <c r="Y17" s="44"/>
      <c r="Z17" s="45"/>
      <c r="AA17" s="33"/>
      <c r="AB17" s="34" t="e">
        <f t="shared" si="13"/>
        <v>#DIV/0!</v>
      </c>
      <c r="AC17" s="33"/>
      <c r="AD17" s="35" t="e">
        <f t="shared" si="14"/>
        <v>#DIV/0!</v>
      </c>
      <c r="AE17" s="46">
        <f t="shared" si="15"/>
        <v>0</v>
      </c>
      <c r="AF17" s="37" t="str">
        <f t="shared" si="16"/>
        <v/>
      </c>
      <c r="AG17" s="47"/>
      <c r="AH17" s="45"/>
      <c r="AI17" s="33"/>
      <c r="AJ17" s="34" t="e">
        <f t="shared" si="17"/>
        <v>#DIV/0!</v>
      </c>
      <c r="AK17" s="33"/>
      <c r="AL17" s="35" t="e">
        <f t="shared" si="18"/>
        <v>#DIV/0!</v>
      </c>
      <c r="AM17" s="46">
        <f t="shared" si="19"/>
        <v>0</v>
      </c>
      <c r="AN17" s="48" t="str">
        <f t="shared" si="20"/>
        <v/>
      </c>
      <c r="AO17" s="61">
        <f t="shared" si="21"/>
        <v>0</v>
      </c>
      <c r="AP17" s="40">
        <f t="shared" si="22"/>
        <v>0</v>
      </c>
      <c r="AQ17" s="40">
        <f t="shared" si="23"/>
        <v>0</v>
      </c>
      <c r="AR17" s="50">
        <f t="shared" si="24"/>
        <v>0</v>
      </c>
      <c r="AS17" s="51">
        <f t="shared" si="25"/>
        <v>0</v>
      </c>
      <c r="AT17" s="52"/>
      <c r="AU17" s="53"/>
      <c r="AV17" s="53"/>
      <c r="AW17" s="54"/>
      <c r="AX17" s="54"/>
      <c r="AY17" s="54"/>
      <c r="AZ17" s="54"/>
      <c r="BA17" s="55">
        <f t="shared" si="26"/>
        <v>0</v>
      </c>
      <c r="BB17" s="28">
        <v>13</v>
      </c>
      <c r="BC17" s="56">
        <f t="shared" si="27"/>
        <v>0</v>
      </c>
    </row>
    <row r="18" spans="2:55" ht="18">
      <c r="B18" s="57">
        <f t="shared" si="28"/>
        <v>45030</v>
      </c>
      <c r="C18" s="58"/>
      <c r="D18" s="31"/>
      <c r="E18" s="32"/>
      <c r="F18" s="33"/>
      <c r="G18" s="34" t="e">
        <f t="shared" si="0"/>
        <v>#DIV/0!</v>
      </c>
      <c r="H18" s="33"/>
      <c r="I18" s="35" t="e">
        <f t="shared" si="1"/>
        <v>#DIV/0!</v>
      </c>
      <c r="J18" s="36">
        <f t="shared" si="2"/>
        <v>0</v>
      </c>
      <c r="K18" s="37" t="str">
        <f t="shared" si="3"/>
        <v/>
      </c>
      <c r="L18" s="38"/>
      <c r="M18" s="39">
        <f t="shared" si="4"/>
        <v>0</v>
      </c>
      <c r="N18" s="40">
        <f t="shared" si="4"/>
        <v>0</v>
      </c>
      <c r="O18" s="34" t="e">
        <f t="shared" si="5"/>
        <v>#DIV/0!</v>
      </c>
      <c r="P18" s="40">
        <f t="shared" si="6"/>
        <v>0</v>
      </c>
      <c r="Q18" s="35" t="e">
        <f t="shared" si="7"/>
        <v>#DIV/0!</v>
      </c>
      <c r="R18" s="41">
        <f t="shared" si="8"/>
        <v>0</v>
      </c>
      <c r="S18" s="37" t="e">
        <f t="shared" si="9"/>
        <v>#DIV/0!</v>
      </c>
      <c r="T18" s="59">
        <f t="shared" si="10"/>
        <v>0</v>
      </c>
      <c r="U18" s="40">
        <f t="shared" si="10"/>
        <v>0</v>
      </c>
      <c r="V18" s="40">
        <f t="shared" si="11"/>
        <v>0</v>
      </c>
      <c r="W18" s="43">
        <f t="shared" si="12"/>
        <v>0</v>
      </c>
      <c r="X18" s="60"/>
      <c r="Y18" s="44"/>
      <c r="Z18" s="45"/>
      <c r="AA18" s="33"/>
      <c r="AB18" s="34" t="e">
        <f t="shared" si="13"/>
        <v>#DIV/0!</v>
      </c>
      <c r="AC18" s="33"/>
      <c r="AD18" s="35" t="e">
        <f t="shared" si="14"/>
        <v>#DIV/0!</v>
      </c>
      <c r="AE18" s="46">
        <f t="shared" si="15"/>
        <v>0</v>
      </c>
      <c r="AF18" s="37" t="str">
        <f t="shared" si="16"/>
        <v/>
      </c>
      <c r="AG18" s="47"/>
      <c r="AH18" s="45"/>
      <c r="AI18" s="33"/>
      <c r="AJ18" s="34" t="e">
        <f t="shared" si="17"/>
        <v>#DIV/0!</v>
      </c>
      <c r="AK18" s="33"/>
      <c r="AL18" s="35" t="e">
        <f t="shared" si="18"/>
        <v>#DIV/0!</v>
      </c>
      <c r="AM18" s="46">
        <f t="shared" si="19"/>
        <v>0</v>
      </c>
      <c r="AN18" s="48" t="str">
        <f t="shared" si="20"/>
        <v/>
      </c>
      <c r="AO18" s="61">
        <f t="shared" si="21"/>
        <v>0</v>
      </c>
      <c r="AP18" s="40">
        <f t="shared" si="22"/>
        <v>0</v>
      </c>
      <c r="AQ18" s="40">
        <f t="shared" si="23"/>
        <v>0</v>
      </c>
      <c r="AR18" s="50">
        <f t="shared" si="24"/>
        <v>0</v>
      </c>
      <c r="AS18" s="51">
        <f t="shared" si="25"/>
        <v>0</v>
      </c>
      <c r="AT18" s="52"/>
      <c r="AU18" s="53"/>
      <c r="AV18" s="53"/>
      <c r="AW18" s="54"/>
      <c r="AX18" s="54"/>
      <c r="AY18" s="54"/>
      <c r="AZ18" s="54"/>
      <c r="BA18" s="55">
        <f t="shared" si="26"/>
        <v>0</v>
      </c>
      <c r="BB18" s="28">
        <v>14</v>
      </c>
      <c r="BC18" s="56">
        <f t="shared" si="27"/>
        <v>0</v>
      </c>
    </row>
    <row r="19" spans="2:55" ht="18">
      <c r="B19" s="57">
        <f t="shared" si="28"/>
        <v>45031</v>
      </c>
      <c r="C19" s="58"/>
      <c r="D19" s="31"/>
      <c r="E19" s="32"/>
      <c r="F19" s="33"/>
      <c r="G19" s="34" t="e">
        <f t="shared" si="0"/>
        <v>#DIV/0!</v>
      </c>
      <c r="H19" s="33"/>
      <c r="I19" s="35" t="e">
        <f t="shared" si="1"/>
        <v>#DIV/0!</v>
      </c>
      <c r="J19" s="36">
        <f t="shared" si="2"/>
        <v>0</v>
      </c>
      <c r="K19" s="37" t="str">
        <f t="shared" si="3"/>
        <v/>
      </c>
      <c r="L19" s="38"/>
      <c r="M19" s="39">
        <f t="shared" si="4"/>
        <v>0</v>
      </c>
      <c r="N19" s="40">
        <f t="shared" si="4"/>
        <v>0</v>
      </c>
      <c r="O19" s="34" t="e">
        <f t="shared" si="5"/>
        <v>#DIV/0!</v>
      </c>
      <c r="P19" s="40">
        <f t="shared" si="6"/>
        <v>0</v>
      </c>
      <c r="Q19" s="66" t="e">
        <f t="shared" si="7"/>
        <v>#DIV/0!</v>
      </c>
      <c r="R19" s="41">
        <f t="shared" si="8"/>
        <v>0</v>
      </c>
      <c r="S19" s="37" t="e">
        <f t="shared" si="9"/>
        <v>#DIV/0!</v>
      </c>
      <c r="T19" s="59">
        <f t="shared" si="10"/>
        <v>0</v>
      </c>
      <c r="U19" s="40">
        <f t="shared" si="10"/>
        <v>0</v>
      </c>
      <c r="V19" s="40">
        <f t="shared" si="11"/>
        <v>0</v>
      </c>
      <c r="W19" s="43">
        <f t="shared" si="12"/>
        <v>0</v>
      </c>
      <c r="X19" s="60"/>
      <c r="Y19" s="44"/>
      <c r="Z19" s="45"/>
      <c r="AA19" s="33"/>
      <c r="AB19" s="34" t="e">
        <f t="shared" si="13"/>
        <v>#DIV/0!</v>
      </c>
      <c r="AC19" s="33"/>
      <c r="AD19" s="35" t="e">
        <f t="shared" si="14"/>
        <v>#DIV/0!</v>
      </c>
      <c r="AE19" s="46">
        <f t="shared" si="15"/>
        <v>0</v>
      </c>
      <c r="AF19" s="37" t="str">
        <f t="shared" si="16"/>
        <v/>
      </c>
      <c r="AG19" s="47"/>
      <c r="AH19" s="45"/>
      <c r="AI19" s="33"/>
      <c r="AJ19" s="34" t="e">
        <f t="shared" si="17"/>
        <v>#DIV/0!</v>
      </c>
      <c r="AK19" s="33"/>
      <c r="AL19" s="35" t="e">
        <f t="shared" si="18"/>
        <v>#DIV/0!</v>
      </c>
      <c r="AM19" s="46">
        <f t="shared" si="19"/>
        <v>0</v>
      </c>
      <c r="AN19" s="48" t="str">
        <f t="shared" si="20"/>
        <v/>
      </c>
      <c r="AO19" s="61">
        <f t="shared" si="21"/>
        <v>0</v>
      </c>
      <c r="AP19" s="40">
        <f t="shared" si="22"/>
        <v>0</v>
      </c>
      <c r="AQ19" s="40">
        <f t="shared" si="23"/>
        <v>0</v>
      </c>
      <c r="AR19" s="50">
        <f t="shared" si="24"/>
        <v>0</v>
      </c>
      <c r="AS19" s="51">
        <f t="shared" si="25"/>
        <v>0</v>
      </c>
      <c r="AT19" s="52"/>
      <c r="AU19" s="53"/>
      <c r="AV19" s="53"/>
      <c r="AW19" s="54"/>
      <c r="AX19" s="54"/>
      <c r="AY19" s="54"/>
      <c r="AZ19" s="54"/>
      <c r="BA19" s="55">
        <f t="shared" si="26"/>
        <v>0</v>
      </c>
      <c r="BB19" s="28">
        <v>15</v>
      </c>
      <c r="BC19" s="56">
        <f t="shared" si="27"/>
        <v>0</v>
      </c>
    </row>
    <row r="20" spans="2:55" ht="18">
      <c r="B20" s="57">
        <f t="shared" si="28"/>
        <v>45032</v>
      </c>
      <c r="C20" s="58"/>
      <c r="D20" s="31"/>
      <c r="E20" s="32"/>
      <c r="F20" s="33"/>
      <c r="G20" s="34" t="e">
        <f t="shared" si="0"/>
        <v>#DIV/0!</v>
      </c>
      <c r="H20" s="33"/>
      <c r="I20" s="34" t="e">
        <f t="shared" si="1"/>
        <v>#DIV/0!</v>
      </c>
      <c r="J20" s="36">
        <f t="shared" si="2"/>
        <v>0</v>
      </c>
      <c r="K20" s="37" t="str">
        <f t="shared" si="3"/>
        <v/>
      </c>
      <c r="L20" s="38"/>
      <c r="M20" s="39">
        <f t="shared" si="4"/>
        <v>0</v>
      </c>
      <c r="N20" s="40">
        <f t="shared" si="4"/>
        <v>0</v>
      </c>
      <c r="O20" s="34" t="e">
        <f t="shared" si="5"/>
        <v>#DIV/0!</v>
      </c>
      <c r="P20" s="40">
        <f t="shared" si="6"/>
        <v>0</v>
      </c>
      <c r="Q20" s="66" t="e">
        <f t="shared" si="7"/>
        <v>#DIV/0!</v>
      </c>
      <c r="R20" s="41">
        <f t="shared" si="8"/>
        <v>0</v>
      </c>
      <c r="S20" s="37" t="e">
        <f t="shared" si="9"/>
        <v>#DIV/0!</v>
      </c>
      <c r="T20" s="59">
        <f t="shared" si="10"/>
        <v>0</v>
      </c>
      <c r="U20" s="40">
        <f t="shared" si="10"/>
        <v>0</v>
      </c>
      <c r="V20" s="40">
        <f t="shared" si="11"/>
        <v>0</v>
      </c>
      <c r="W20" s="43">
        <f t="shared" si="12"/>
        <v>0</v>
      </c>
      <c r="X20" s="60"/>
      <c r="Y20" s="44"/>
      <c r="Z20" s="45"/>
      <c r="AA20" s="33"/>
      <c r="AB20" s="34" t="e">
        <f t="shared" si="13"/>
        <v>#DIV/0!</v>
      </c>
      <c r="AC20" s="33"/>
      <c r="AD20" s="35" t="e">
        <f t="shared" si="14"/>
        <v>#DIV/0!</v>
      </c>
      <c r="AE20" s="46">
        <f t="shared" si="15"/>
        <v>0</v>
      </c>
      <c r="AF20" s="37" t="str">
        <f t="shared" si="16"/>
        <v/>
      </c>
      <c r="AG20" s="47"/>
      <c r="AH20" s="45"/>
      <c r="AI20" s="33"/>
      <c r="AJ20" s="34" t="e">
        <f t="shared" si="17"/>
        <v>#DIV/0!</v>
      </c>
      <c r="AK20" s="33"/>
      <c r="AL20" s="35" t="e">
        <f t="shared" si="18"/>
        <v>#DIV/0!</v>
      </c>
      <c r="AM20" s="46">
        <f t="shared" si="19"/>
        <v>0</v>
      </c>
      <c r="AN20" s="48" t="str">
        <f t="shared" si="20"/>
        <v/>
      </c>
      <c r="AO20" s="61">
        <f t="shared" si="21"/>
        <v>0</v>
      </c>
      <c r="AP20" s="60">
        <f t="shared" si="22"/>
        <v>0</v>
      </c>
      <c r="AQ20" s="60">
        <f t="shared" si="23"/>
        <v>0</v>
      </c>
      <c r="AR20" s="50">
        <f t="shared" si="24"/>
        <v>0</v>
      </c>
      <c r="AS20" s="51">
        <f t="shared" si="25"/>
        <v>0</v>
      </c>
      <c r="AT20" s="52"/>
      <c r="AU20" s="53"/>
      <c r="AV20" s="53"/>
      <c r="AW20" s="54"/>
      <c r="AX20" s="54"/>
      <c r="AY20" s="54"/>
      <c r="AZ20" s="54"/>
      <c r="BA20" s="55">
        <f t="shared" si="26"/>
        <v>0</v>
      </c>
      <c r="BB20" s="28">
        <v>16</v>
      </c>
      <c r="BC20" s="56">
        <f t="shared" si="27"/>
        <v>0</v>
      </c>
    </row>
    <row r="21" spans="2:55" ht="18">
      <c r="B21" s="57">
        <f t="shared" si="28"/>
        <v>45033</v>
      </c>
      <c r="C21" s="58"/>
      <c r="D21" s="31"/>
      <c r="E21" s="32"/>
      <c r="F21" s="33"/>
      <c r="G21" s="34" t="e">
        <f t="shared" si="0"/>
        <v>#DIV/0!</v>
      </c>
      <c r="H21" s="33"/>
      <c r="I21" s="34" t="e">
        <f t="shared" si="1"/>
        <v>#DIV/0!</v>
      </c>
      <c r="J21" s="36">
        <f t="shared" si="2"/>
        <v>0</v>
      </c>
      <c r="K21" s="37" t="str">
        <f t="shared" si="3"/>
        <v/>
      </c>
      <c r="L21" s="38"/>
      <c r="M21" s="39">
        <f t="shared" si="4"/>
        <v>0</v>
      </c>
      <c r="N21" s="40">
        <f t="shared" si="4"/>
        <v>0</v>
      </c>
      <c r="O21" s="34" t="e">
        <f t="shared" si="5"/>
        <v>#DIV/0!</v>
      </c>
      <c r="P21" s="40">
        <f t="shared" si="6"/>
        <v>0</v>
      </c>
      <c r="Q21" s="66" t="e">
        <f t="shared" si="7"/>
        <v>#DIV/0!</v>
      </c>
      <c r="R21" s="41">
        <f t="shared" si="8"/>
        <v>0</v>
      </c>
      <c r="S21" s="37" t="e">
        <f t="shared" si="9"/>
        <v>#DIV/0!</v>
      </c>
      <c r="T21" s="59">
        <f t="shared" si="10"/>
        <v>0</v>
      </c>
      <c r="U21" s="40">
        <f t="shared" si="10"/>
        <v>0</v>
      </c>
      <c r="V21" s="40">
        <f t="shared" si="11"/>
        <v>0</v>
      </c>
      <c r="W21" s="43">
        <f t="shared" si="12"/>
        <v>0</v>
      </c>
      <c r="X21" s="60"/>
      <c r="Y21" s="44"/>
      <c r="Z21" s="45"/>
      <c r="AA21" s="33"/>
      <c r="AB21" s="34" t="e">
        <f t="shared" si="13"/>
        <v>#DIV/0!</v>
      </c>
      <c r="AC21" s="33"/>
      <c r="AD21" s="35" t="e">
        <f t="shared" si="14"/>
        <v>#DIV/0!</v>
      </c>
      <c r="AE21" s="46">
        <f t="shared" si="15"/>
        <v>0</v>
      </c>
      <c r="AF21" s="37" t="str">
        <f t="shared" si="16"/>
        <v/>
      </c>
      <c r="AG21" s="47"/>
      <c r="AH21" s="45"/>
      <c r="AI21" s="33"/>
      <c r="AJ21" s="34" t="e">
        <f t="shared" si="17"/>
        <v>#DIV/0!</v>
      </c>
      <c r="AK21" s="33"/>
      <c r="AL21" s="35" t="e">
        <f t="shared" si="18"/>
        <v>#DIV/0!</v>
      </c>
      <c r="AM21" s="46">
        <f t="shared" si="19"/>
        <v>0</v>
      </c>
      <c r="AN21" s="48" t="str">
        <f t="shared" si="20"/>
        <v/>
      </c>
      <c r="AO21" s="61">
        <f t="shared" si="21"/>
        <v>0</v>
      </c>
      <c r="AP21" s="60">
        <f t="shared" si="22"/>
        <v>0</v>
      </c>
      <c r="AQ21" s="60">
        <f t="shared" si="23"/>
        <v>0</v>
      </c>
      <c r="AR21" s="50">
        <f t="shared" si="24"/>
        <v>0</v>
      </c>
      <c r="AS21" s="51">
        <f t="shared" si="25"/>
        <v>0</v>
      </c>
      <c r="AT21" s="52"/>
      <c r="AU21" s="53"/>
      <c r="AV21" s="53"/>
      <c r="AW21" s="54"/>
      <c r="AX21" s="54"/>
      <c r="AY21" s="54"/>
      <c r="AZ21" s="54"/>
      <c r="BA21" s="55">
        <f t="shared" si="26"/>
        <v>0</v>
      </c>
      <c r="BB21" s="28">
        <v>17</v>
      </c>
      <c r="BC21" s="56">
        <f t="shared" si="27"/>
        <v>0</v>
      </c>
    </row>
    <row r="22" spans="2:55" ht="18">
      <c r="B22" s="62">
        <f t="shared" si="28"/>
        <v>45034</v>
      </c>
      <c r="C22" s="58"/>
      <c r="D22" s="31"/>
      <c r="E22" s="32"/>
      <c r="F22" s="33"/>
      <c r="G22" s="34" t="e">
        <f t="shared" si="0"/>
        <v>#DIV/0!</v>
      </c>
      <c r="H22" s="33"/>
      <c r="I22" s="34" t="e">
        <f t="shared" si="1"/>
        <v>#DIV/0!</v>
      </c>
      <c r="J22" s="36">
        <f t="shared" si="2"/>
        <v>0</v>
      </c>
      <c r="K22" s="37" t="str">
        <f t="shared" si="3"/>
        <v/>
      </c>
      <c r="L22" s="38"/>
      <c r="M22" s="39">
        <f t="shared" si="4"/>
        <v>0</v>
      </c>
      <c r="N22" s="40">
        <f t="shared" si="4"/>
        <v>0</v>
      </c>
      <c r="O22" s="34" t="e">
        <f t="shared" si="5"/>
        <v>#DIV/0!</v>
      </c>
      <c r="P22" s="40">
        <f t="shared" si="6"/>
        <v>0</v>
      </c>
      <c r="Q22" s="66" t="e">
        <f t="shared" si="7"/>
        <v>#DIV/0!</v>
      </c>
      <c r="R22" s="41">
        <f t="shared" si="8"/>
        <v>0</v>
      </c>
      <c r="S22" s="37" t="e">
        <f t="shared" si="9"/>
        <v>#DIV/0!</v>
      </c>
      <c r="T22" s="59">
        <f t="shared" si="10"/>
        <v>0</v>
      </c>
      <c r="U22" s="40">
        <f t="shared" si="10"/>
        <v>0</v>
      </c>
      <c r="V22" s="40">
        <f t="shared" si="11"/>
        <v>0</v>
      </c>
      <c r="W22" s="43">
        <f t="shared" si="12"/>
        <v>0</v>
      </c>
      <c r="X22" s="60"/>
      <c r="Y22" s="44"/>
      <c r="Z22" s="45"/>
      <c r="AA22" s="33"/>
      <c r="AB22" s="34" t="e">
        <f t="shared" si="13"/>
        <v>#DIV/0!</v>
      </c>
      <c r="AC22" s="33"/>
      <c r="AD22" s="35" t="e">
        <f t="shared" si="14"/>
        <v>#DIV/0!</v>
      </c>
      <c r="AE22" s="46">
        <f t="shared" si="15"/>
        <v>0</v>
      </c>
      <c r="AF22" s="37" t="str">
        <f t="shared" si="16"/>
        <v/>
      </c>
      <c r="AG22" s="47"/>
      <c r="AH22" s="45"/>
      <c r="AI22" s="33"/>
      <c r="AJ22" s="34" t="e">
        <f t="shared" si="17"/>
        <v>#DIV/0!</v>
      </c>
      <c r="AK22" s="33"/>
      <c r="AL22" s="35" t="e">
        <f t="shared" si="18"/>
        <v>#DIV/0!</v>
      </c>
      <c r="AM22" s="46">
        <f t="shared" si="19"/>
        <v>0</v>
      </c>
      <c r="AN22" s="48" t="str">
        <f t="shared" si="20"/>
        <v/>
      </c>
      <c r="AO22" s="61">
        <f t="shared" si="21"/>
        <v>0</v>
      </c>
      <c r="AP22" s="60">
        <f t="shared" si="22"/>
        <v>0</v>
      </c>
      <c r="AQ22" s="60">
        <f t="shared" si="23"/>
        <v>0</v>
      </c>
      <c r="AR22" s="50">
        <f t="shared" si="24"/>
        <v>0</v>
      </c>
      <c r="AS22" s="51">
        <f t="shared" si="25"/>
        <v>0</v>
      </c>
      <c r="AT22" s="52"/>
      <c r="AU22" s="53"/>
      <c r="AV22" s="53"/>
      <c r="AW22" s="54"/>
      <c r="AX22" s="54"/>
      <c r="AY22" s="54"/>
      <c r="AZ22" s="54"/>
      <c r="BA22" s="55">
        <f t="shared" si="26"/>
        <v>0</v>
      </c>
      <c r="BB22" s="28">
        <v>18</v>
      </c>
      <c r="BC22" s="56">
        <f t="shared" si="27"/>
        <v>0</v>
      </c>
    </row>
    <row r="23" spans="2:55" ht="18">
      <c r="B23" s="64">
        <f t="shared" si="28"/>
        <v>45035</v>
      </c>
      <c r="C23" s="58"/>
      <c r="D23" s="31"/>
      <c r="E23" s="32"/>
      <c r="F23" s="33"/>
      <c r="G23" s="34" t="e">
        <f t="shared" si="0"/>
        <v>#DIV/0!</v>
      </c>
      <c r="H23" s="33"/>
      <c r="I23" s="34" t="e">
        <f t="shared" si="1"/>
        <v>#DIV/0!</v>
      </c>
      <c r="J23" s="36">
        <f t="shared" si="2"/>
        <v>0</v>
      </c>
      <c r="K23" s="37" t="str">
        <f t="shared" si="3"/>
        <v/>
      </c>
      <c r="L23" s="38"/>
      <c r="M23" s="39">
        <f t="shared" si="4"/>
        <v>0</v>
      </c>
      <c r="N23" s="40">
        <f t="shared" si="4"/>
        <v>0</v>
      </c>
      <c r="O23" s="34" t="e">
        <f t="shared" si="5"/>
        <v>#DIV/0!</v>
      </c>
      <c r="P23" s="40">
        <f t="shared" si="6"/>
        <v>0</v>
      </c>
      <c r="Q23" s="66" t="e">
        <f t="shared" si="7"/>
        <v>#DIV/0!</v>
      </c>
      <c r="R23" s="41">
        <f t="shared" si="8"/>
        <v>0</v>
      </c>
      <c r="S23" s="37" t="e">
        <f t="shared" si="9"/>
        <v>#DIV/0!</v>
      </c>
      <c r="T23" s="59">
        <f t="shared" si="10"/>
        <v>0</v>
      </c>
      <c r="U23" s="40">
        <f t="shared" si="10"/>
        <v>0</v>
      </c>
      <c r="V23" s="40">
        <f t="shared" si="11"/>
        <v>0</v>
      </c>
      <c r="W23" s="43">
        <f t="shared" si="12"/>
        <v>0</v>
      </c>
      <c r="X23" s="60"/>
      <c r="Y23" s="44"/>
      <c r="Z23" s="45"/>
      <c r="AA23" s="33"/>
      <c r="AB23" s="34" t="e">
        <f t="shared" si="13"/>
        <v>#DIV/0!</v>
      </c>
      <c r="AC23" s="33"/>
      <c r="AD23" s="35" t="e">
        <f t="shared" si="14"/>
        <v>#DIV/0!</v>
      </c>
      <c r="AE23" s="46">
        <f t="shared" si="15"/>
        <v>0</v>
      </c>
      <c r="AF23" s="37" t="str">
        <f t="shared" si="16"/>
        <v/>
      </c>
      <c r="AG23" s="47"/>
      <c r="AH23" s="45"/>
      <c r="AI23" s="33"/>
      <c r="AJ23" s="34" t="e">
        <f t="shared" si="17"/>
        <v>#DIV/0!</v>
      </c>
      <c r="AK23" s="33"/>
      <c r="AL23" s="35" t="e">
        <f t="shared" si="18"/>
        <v>#DIV/0!</v>
      </c>
      <c r="AM23" s="46">
        <f t="shared" si="19"/>
        <v>0</v>
      </c>
      <c r="AN23" s="48" t="str">
        <f t="shared" si="20"/>
        <v/>
      </c>
      <c r="AO23" s="61">
        <f t="shared" si="21"/>
        <v>0</v>
      </c>
      <c r="AP23" s="60">
        <f t="shared" si="22"/>
        <v>0</v>
      </c>
      <c r="AQ23" s="60">
        <f t="shared" si="23"/>
        <v>0</v>
      </c>
      <c r="AR23" s="50">
        <f t="shared" si="24"/>
        <v>0</v>
      </c>
      <c r="AS23" s="51">
        <f t="shared" si="25"/>
        <v>0</v>
      </c>
      <c r="AT23" s="52"/>
      <c r="AU23" s="53"/>
      <c r="AV23" s="53"/>
      <c r="AW23" s="54"/>
      <c r="AX23" s="54"/>
      <c r="AY23" s="54"/>
      <c r="AZ23" s="54"/>
      <c r="BA23" s="55">
        <f t="shared" si="26"/>
        <v>0</v>
      </c>
      <c r="BB23" s="28">
        <v>19</v>
      </c>
      <c r="BC23" s="56">
        <f t="shared" si="27"/>
        <v>0</v>
      </c>
    </row>
    <row r="24" spans="2:55" ht="18">
      <c r="B24" s="57">
        <f t="shared" si="28"/>
        <v>45036</v>
      </c>
      <c r="C24" s="58"/>
      <c r="D24" s="31"/>
      <c r="E24" s="32"/>
      <c r="F24" s="33"/>
      <c r="G24" s="34" t="e">
        <f t="shared" si="0"/>
        <v>#DIV/0!</v>
      </c>
      <c r="H24" s="33"/>
      <c r="I24" s="34" t="e">
        <f t="shared" si="1"/>
        <v>#DIV/0!</v>
      </c>
      <c r="J24" s="36">
        <f t="shared" si="2"/>
        <v>0</v>
      </c>
      <c r="K24" s="37" t="str">
        <f t="shared" si="3"/>
        <v/>
      </c>
      <c r="L24" s="38"/>
      <c r="M24" s="39">
        <f t="shared" si="4"/>
        <v>0</v>
      </c>
      <c r="N24" s="40">
        <f t="shared" si="4"/>
        <v>0</v>
      </c>
      <c r="O24" s="34" t="e">
        <f t="shared" si="5"/>
        <v>#DIV/0!</v>
      </c>
      <c r="P24" s="40">
        <f t="shared" si="6"/>
        <v>0</v>
      </c>
      <c r="Q24" s="66" t="e">
        <f t="shared" si="7"/>
        <v>#DIV/0!</v>
      </c>
      <c r="R24" s="41">
        <f t="shared" si="8"/>
        <v>0</v>
      </c>
      <c r="S24" s="37" t="e">
        <f t="shared" si="9"/>
        <v>#DIV/0!</v>
      </c>
      <c r="T24" s="59">
        <f t="shared" si="10"/>
        <v>0</v>
      </c>
      <c r="U24" s="40">
        <f t="shared" si="10"/>
        <v>0</v>
      </c>
      <c r="V24" s="40">
        <f t="shared" si="11"/>
        <v>0</v>
      </c>
      <c r="W24" s="43">
        <f t="shared" si="12"/>
        <v>0</v>
      </c>
      <c r="X24" s="60"/>
      <c r="Y24" s="44"/>
      <c r="Z24" s="45"/>
      <c r="AA24" s="33"/>
      <c r="AB24" s="34" t="e">
        <f t="shared" si="13"/>
        <v>#DIV/0!</v>
      </c>
      <c r="AC24" s="33"/>
      <c r="AD24" s="35" t="e">
        <f t="shared" si="14"/>
        <v>#DIV/0!</v>
      </c>
      <c r="AE24" s="46">
        <f t="shared" si="15"/>
        <v>0</v>
      </c>
      <c r="AF24" s="37" t="str">
        <f t="shared" si="16"/>
        <v/>
      </c>
      <c r="AG24" s="47"/>
      <c r="AH24" s="45"/>
      <c r="AI24" s="33"/>
      <c r="AJ24" s="34" t="e">
        <f t="shared" si="17"/>
        <v>#DIV/0!</v>
      </c>
      <c r="AK24" s="33"/>
      <c r="AL24" s="35" t="e">
        <f t="shared" si="18"/>
        <v>#DIV/0!</v>
      </c>
      <c r="AM24" s="46">
        <f t="shared" si="19"/>
        <v>0</v>
      </c>
      <c r="AN24" s="48" t="str">
        <f t="shared" si="20"/>
        <v/>
      </c>
      <c r="AO24" s="61">
        <f t="shared" si="21"/>
        <v>0</v>
      </c>
      <c r="AP24" s="60">
        <f t="shared" si="22"/>
        <v>0</v>
      </c>
      <c r="AQ24" s="60">
        <f t="shared" si="23"/>
        <v>0</v>
      </c>
      <c r="AR24" s="50">
        <f t="shared" si="24"/>
        <v>0</v>
      </c>
      <c r="AS24" s="51">
        <f t="shared" si="25"/>
        <v>0</v>
      </c>
      <c r="AT24" s="52"/>
      <c r="AU24" s="53"/>
      <c r="AV24" s="53"/>
      <c r="AW24" s="54"/>
      <c r="AX24" s="54"/>
      <c r="AY24" s="54"/>
      <c r="AZ24" s="54"/>
      <c r="BA24" s="55">
        <f t="shared" si="26"/>
        <v>0</v>
      </c>
      <c r="BB24" s="28">
        <v>20</v>
      </c>
      <c r="BC24" s="56">
        <f t="shared" si="27"/>
        <v>0</v>
      </c>
    </row>
    <row r="25" spans="2:55" ht="18">
      <c r="B25" s="64">
        <f t="shared" si="28"/>
        <v>45037</v>
      </c>
      <c r="C25" s="58"/>
      <c r="D25" s="31"/>
      <c r="E25" s="32"/>
      <c r="F25" s="33"/>
      <c r="G25" s="34" t="e">
        <f t="shared" si="0"/>
        <v>#DIV/0!</v>
      </c>
      <c r="H25" s="33"/>
      <c r="I25" s="34" t="e">
        <f t="shared" si="1"/>
        <v>#DIV/0!</v>
      </c>
      <c r="J25" s="36">
        <f t="shared" si="2"/>
        <v>0</v>
      </c>
      <c r="K25" s="37" t="str">
        <f t="shared" si="3"/>
        <v/>
      </c>
      <c r="L25" s="38"/>
      <c r="M25" s="39">
        <f t="shared" si="4"/>
        <v>0</v>
      </c>
      <c r="N25" s="40">
        <f t="shared" si="4"/>
        <v>0</v>
      </c>
      <c r="O25" s="34" t="e">
        <f t="shared" si="5"/>
        <v>#DIV/0!</v>
      </c>
      <c r="P25" s="40">
        <f t="shared" si="6"/>
        <v>0</v>
      </c>
      <c r="Q25" s="66" t="e">
        <f t="shared" si="7"/>
        <v>#DIV/0!</v>
      </c>
      <c r="R25" s="41">
        <f t="shared" si="8"/>
        <v>0</v>
      </c>
      <c r="S25" s="37" t="e">
        <f t="shared" si="9"/>
        <v>#DIV/0!</v>
      </c>
      <c r="T25" s="59">
        <f t="shared" si="10"/>
        <v>0</v>
      </c>
      <c r="U25" s="40">
        <f t="shared" si="10"/>
        <v>0</v>
      </c>
      <c r="V25" s="40">
        <f t="shared" si="11"/>
        <v>0</v>
      </c>
      <c r="W25" s="43">
        <f t="shared" si="12"/>
        <v>0</v>
      </c>
      <c r="X25" s="60"/>
      <c r="Y25" s="44"/>
      <c r="Z25" s="45"/>
      <c r="AA25" s="33"/>
      <c r="AB25" s="34" t="e">
        <f t="shared" si="13"/>
        <v>#DIV/0!</v>
      </c>
      <c r="AC25" s="33"/>
      <c r="AD25" s="35" t="e">
        <f t="shared" si="14"/>
        <v>#DIV/0!</v>
      </c>
      <c r="AE25" s="46">
        <f t="shared" si="15"/>
        <v>0</v>
      </c>
      <c r="AF25" s="37" t="str">
        <f t="shared" si="16"/>
        <v/>
      </c>
      <c r="AG25" s="47"/>
      <c r="AH25" s="45"/>
      <c r="AI25" s="33"/>
      <c r="AJ25" s="34" t="e">
        <f t="shared" si="17"/>
        <v>#DIV/0!</v>
      </c>
      <c r="AK25" s="33"/>
      <c r="AL25" s="35" t="e">
        <f t="shared" si="18"/>
        <v>#DIV/0!</v>
      </c>
      <c r="AM25" s="46">
        <f t="shared" si="19"/>
        <v>0</v>
      </c>
      <c r="AN25" s="48" t="str">
        <f t="shared" si="20"/>
        <v/>
      </c>
      <c r="AO25" s="61">
        <f t="shared" si="21"/>
        <v>0</v>
      </c>
      <c r="AP25" s="60">
        <f t="shared" si="22"/>
        <v>0</v>
      </c>
      <c r="AQ25" s="60">
        <f t="shared" si="23"/>
        <v>0</v>
      </c>
      <c r="AR25" s="50">
        <f t="shared" si="24"/>
        <v>0</v>
      </c>
      <c r="AS25" s="51">
        <f t="shared" si="25"/>
        <v>0</v>
      </c>
      <c r="AT25" s="52"/>
      <c r="AU25" s="53"/>
      <c r="AV25" s="53"/>
      <c r="AW25" s="54"/>
      <c r="AX25" s="54"/>
      <c r="AY25" s="54"/>
      <c r="AZ25" s="54"/>
      <c r="BA25" s="55">
        <f t="shared" si="26"/>
        <v>0</v>
      </c>
      <c r="BB25" s="28">
        <v>21</v>
      </c>
      <c r="BC25" s="56">
        <f t="shared" si="27"/>
        <v>0</v>
      </c>
    </row>
    <row r="26" spans="2:55" ht="18">
      <c r="B26" s="57">
        <f t="shared" si="28"/>
        <v>45038</v>
      </c>
      <c r="C26" s="58"/>
      <c r="D26" s="31"/>
      <c r="E26" s="32"/>
      <c r="F26" s="33"/>
      <c r="G26" s="34" t="e">
        <f t="shared" si="0"/>
        <v>#DIV/0!</v>
      </c>
      <c r="H26" s="33"/>
      <c r="I26" s="34" t="e">
        <f t="shared" si="1"/>
        <v>#DIV/0!</v>
      </c>
      <c r="J26" s="36">
        <f t="shared" si="2"/>
        <v>0</v>
      </c>
      <c r="K26" s="37" t="str">
        <f t="shared" si="3"/>
        <v/>
      </c>
      <c r="L26" s="38"/>
      <c r="M26" s="39">
        <f t="shared" si="4"/>
        <v>0</v>
      </c>
      <c r="N26" s="40">
        <f t="shared" si="4"/>
        <v>0</v>
      </c>
      <c r="O26" s="34" t="e">
        <f t="shared" si="5"/>
        <v>#DIV/0!</v>
      </c>
      <c r="P26" s="40">
        <f t="shared" si="6"/>
        <v>0</v>
      </c>
      <c r="Q26" s="66" t="e">
        <f t="shared" si="7"/>
        <v>#DIV/0!</v>
      </c>
      <c r="R26" s="41">
        <f t="shared" si="8"/>
        <v>0</v>
      </c>
      <c r="S26" s="37" t="e">
        <f t="shared" si="9"/>
        <v>#DIV/0!</v>
      </c>
      <c r="T26" s="59">
        <f t="shared" si="10"/>
        <v>0</v>
      </c>
      <c r="U26" s="40">
        <f t="shared" si="10"/>
        <v>0</v>
      </c>
      <c r="V26" s="40">
        <f t="shared" si="11"/>
        <v>0</v>
      </c>
      <c r="W26" s="43">
        <f t="shared" si="12"/>
        <v>0</v>
      </c>
      <c r="X26" s="60"/>
      <c r="Y26" s="44"/>
      <c r="Z26" s="45"/>
      <c r="AA26" s="33"/>
      <c r="AB26" s="34" t="e">
        <f t="shared" si="13"/>
        <v>#DIV/0!</v>
      </c>
      <c r="AC26" s="33"/>
      <c r="AD26" s="35" t="e">
        <f t="shared" si="14"/>
        <v>#DIV/0!</v>
      </c>
      <c r="AE26" s="46">
        <f t="shared" si="15"/>
        <v>0</v>
      </c>
      <c r="AF26" s="37" t="str">
        <f t="shared" si="16"/>
        <v/>
      </c>
      <c r="AG26" s="47"/>
      <c r="AH26" s="45"/>
      <c r="AI26" s="33"/>
      <c r="AJ26" s="34" t="e">
        <f t="shared" si="17"/>
        <v>#DIV/0!</v>
      </c>
      <c r="AK26" s="33"/>
      <c r="AL26" s="35" t="e">
        <f t="shared" si="18"/>
        <v>#DIV/0!</v>
      </c>
      <c r="AM26" s="46">
        <f t="shared" si="19"/>
        <v>0</v>
      </c>
      <c r="AN26" s="48" t="str">
        <f t="shared" si="20"/>
        <v/>
      </c>
      <c r="AO26" s="61">
        <f t="shared" si="21"/>
        <v>0</v>
      </c>
      <c r="AP26" s="60">
        <f t="shared" si="22"/>
        <v>0</v>
      </c>
      <c r="AQ26" s="60">
        <f t="shared" si="23"/>
        <v>0</v>
      </c>
      <c r="AR26" s="50">
        <f t="shared" si="24"/>
        <v>0</v>
      </c>
      <c r="AS26" s="51">
        <f t="shared" si="25"/>
        <v>0</v>
      </c>
      <c r="AT26" s="52"/>
      <c r="AU26" s="53"/>
      <c r="AV26" s="53"/>
      <c r="AW26" s="54"/>
      <c r="AX26" s="54"/>
      <c r="AY26" s="54"/>
      <c r="AZ26" s="54"/>
      <c r="BA26" s="55">
        <f t="shared" si="26"/>
        <v>0</v>
      </c>
      <c r="BB26" s="28">
        <v>22</v>
      </c>
      <c r="BC26" s="56">
        <f t="shared" si="27"/>
        <v>0</v>
      </c>
    </row>
    <row r="27" spans="2:55" ht="18">
      <c r="B27" s="57">
        <f t="shared" si="28"/>
        <v>45039</v>
      </c>
      <c r="C27" s="58"/>
      <c r="D27" s="31"/>
      <c r="E27" s="32"/>
      <c r="F27" s="33"/>
      <c r="G27" s="34" t="e">
        <f t="shared" si="0"/>
        <v>#DIV/0!</v>
      </c>
      <c r="H27" s="33"/>
      <c r="I27" s="34" t="e">
        <f t="shared" si="1"/>
        <v>#DIV/0!</v>
      </c>
      <c r="J27" s="36">
        <f t="shared" si="2"/>
        <v>0</v>
      </c>
      <c r="K27" s="37" t="str">
        <f t="shared" si="3"/>
        <v/>
      </c>
      <c r="L27" s="38"/>
      <c r="M27" s="39">
        <f t="shared" si="4"/>
        <v>0</v>
      </c>
      <c r="N27" s="40">
        <f t="shared" si="4"/>
        <v>0</v>
      </c>
      <c r="O27" s="34" t="e">
        <f t="shared" si="5"/>
        <v>#DIV/0!</v>
      </c>
      <c r="P27" s="40">
        <f t="shared" si="6"/>
        <v>0</v>
      </c>
      <c r="Q27" s="35" t="e">
        <f t="shared" si="7"/>
        <v>#DIV/0!</v>
      </c>
      <c r="R27" s="41">
        <f t="shared" si="8"/>
        <v>0</v>
      </c>
      <c r="S27" s="37" t="e">
        <f t="shared" si="9"/>
        <v>#DIV/0!</v>
      </c>
      <c r="T27" s="59">
        <f t="shared" si="10"/>
        <v>0</v>
      </c>
      <c r="U27" s="40">
        <f t="shared" si="10"/>
        <v>0</v>
      </c>
      <c r="V27" s="40">
        <f t="shared" si="11"/>
        <v>0</v>
      </c>
      <c r="W27" s="43">
        <f t="shared" si="12"/>
        <v>0</v>
      </c>
      <c r="X27" s="60"/>
      <c r="Y27" s="44"/>
      <c r="Z27" s="45"/>
      <c r="AA27" s="33"/>
      <c r="AB27" s="34" t="e">
        <f t="shared" si="13"/>
        <v>#DIV/0!</v>
      </c>
      <c r="AC27" s="33"/>
      <c r="AD27" s="35" t="e">
        <f t="shared" si="14"/>
        <v>#DIV/0!</v>
      </c>
      <c r="AE27" s="46">
        <f t="shared" si="15"/>
        <v>0</v>
      </c>
      <c r="AF27" s="37" t="str">
        <f t="shared" si="16"/>
        <v/>
      </c>
      <c r="AG27" s="47"/>
      <c r="AH27" s="45"/>
      <c r="AI27" s="33"/>
      <c r="AJ27" s="34" t="e">
        <f t="shared" si="17"/>
        <v>#DIV/0!</v>
      </c>
      <c r="AK27" s="33"/>
      <c r="AL27" s="35" t="e">
        <f t="shared" si="18"/>
        <v>#DIV/0!</v>
      </c>
      <c r="AM27" s="46">
        <f t="shared" si="19"/>
        <v>0</v>
      </c>
      <c r="AN27" s="48" t="str">
        <f t="shared" si="20"/>
        <v/>
      </c>
      <c r="AO27" s="61">
        <f t="shared" si="21"/>
        <v>0</v>
      </c>
      <c r="AP27" s="60">
        <f t="shared" si="22"/>
        <v>0</v>
      </c>
      <c r="AQ27" s="60">
        <f t="shared" si="23"/>
        <v>0</v>
      </c>
      <c r="AR27" s="50">
        <f t="shared" si="24"/>
        <v>0</v>
      </c>
      <c r="AS27" s="51">
        <f t="shared" si="25"/>
        <v>0</v>
      </c>
      <c r="AT27" s="52"/>
      <c r="AU27" s="53"/>
      <c r="AV27" s="53"/>
      <c r="AW27" s="54"/>
      <c r="AX27" s="54"/>
      <c r="AY27" s="54"/>
      <c r="AZ27" s="54"/>
      <c r="BA27" s="55">
        <f t="shared" si="26"/>
        <v>0</v>
      </c>
      <c r="BB27" s="28">
        <v>23</v>
      </c>
      <c r="BC27" s="56">
        <f t="shared" si="27"/>
        <v>0</v>
      </c>
    </row>
    <row r="28" spans="2:55" ht="29" customHeight="1">
      <c r="B28" s="67">
        <f t="shared" si="28"/>
        <v>45040</v>
      </c>
      <c r="C28" s="58" t="s">
        <v>39</v>
      </c>
      <c r="D28" s="31"/>
      <c r="E28" s="32">
        <v>10</v>
      </c>
      <c r="F28" s="33">
        <v>16280</v>
      </c>
      <c r="G28" s="34">
        <f t="shared" si="0"/>
        <v>1480</v>
      </c>
      <c r="H28" s="33">
        <v>1800</v>
      </c>
      <c r="I28" s="34">
        <f t="shared" si="1"/>
        <v>163.6</v>
      </c>
      <c r="J28" s="36">
        <f t="shared" si="2"/>
        <v>18080</v>
      </c>
      <c r="K28" s="37">
        <f t="shared" si="3"/>
        <v>1808</v>
      </c>
      <c r="L28" s="38"/>
      <c r="M28" s="39">
        <f t="shared" si="4"/>
        <v>10</v>
      </c>
      <c r="N28" s="40">
        <f t="shared" si="4"/>
        <v>0</v>
      </c>
      <c r="O28" s="34">
        <f t="shared" si="5"/>
        <v>0</v>
      </c>
      <c r="P28" s="40">
        <f t="shared" si="6"/>
        <v>0</v>
      </c>
      <c r="Q28" s="35">
        <f t="shared" si="7"/>
        <v>0</v>
      </c>
      <c r="R28" s="41">
        <f t="shared" si="8"/>
        <v>0</v>
      </c>
      <c r="S28" s="37">
        <f t="shared" si="9"/>
        <v>0</v>
      </c>
      <c r="T28" s="59">
        <f t="shared" si="10"/>
        <v>20</v>
      </c>
      <c r="U28" s="40">
        <f t="shared" si="10"/>
        <v>16280</v>
      </c>
      <c r="V28" s="40">
        <f t="shared" si="11"/>
        <v>1800</v>
      </c>
      <c r="W28" s="43">
        <f t="shared" si="12"/>
        <v>18080</v>
      </c>
      <c r="X28" s="60"/>
      <c r="Y28" s="44"/>
      <c r="Z28" s="45"/>
      <c r="AA28" s="33"/>
      <c r="AB28" s="34" t="e">
        <f t="shared" si="13"/>
        <v>#DIV/0!</v>
      </c>
      <c r="AC28" s="33"/>
      <c r="AD28" s="35" t="e">
        <f t="shared" si="14"/>
        <v>#DIV/0!</v>
      </c>
      <c r="AE28" s="46">
        <f t="shared" si="15"/>
        <v>0</v>
      </c>
      <c r="AF28" s="37" t="str">
        <f t="shared" si="16"/>
        <v/>
      </c>
      <c r="AG28" s="47"/>
      <c r="AH28" s="45"/>
      <c r="AI28" s="33"/>
      <c r="AJ28" s="34" t="e">
        <f t="shared" si="17"/>
        <v>#DIV/0!</v>
      </c>
      <c r="AK28" s="33"/>
      <c r="AL28" s="35" t="e">
        <f t="shared" si="18"/>
        <v>#DIV/0!</v>
      </c>
      <c r="AM28" s="46">
        <f t="shared" si="19"/>
        <v>0</v>
      </c>
      <c r="AN28" s="48" t="str">
        <f t="shared" si="20"/>
        <v/>
      </c>
      <c r="AO28" s="61">
        <f t="shared" si="21"/>
        <v>20</v>
      </c>
      <c r="AP28" s="60">
        <f t="shared" si="22"/>
        <v>16280</v>
      </c>
      <c r="AQ28" s="60">
        <f t="shared" si="23"/>
        <v>1800</v>
      </c>
      <c r="AR28" s="50">
        <f t="shared" si="24"/>
        <v>18080</v>
      </c>
      <c r="AS28" s="51">
        <f t="shared" si="25"/>
        <v>0</v>
      </c>
      <c r="AT28" s="52">
        <v>20</v>
      </c>
      <c r="AU28" s="53">
        <v>16280</v>
      </c>
      <c r="AV28" s="53">
        <v>1800</v>
      </c>
      <c r="AW28" s="54"/>
      <c r="AX28" s="54"/>
      <c r="AY28" s="54"/>
      <c r="AZ28" s="54"/>
      <c r="BA28" s="55">
        <f t="shared" si="26"/>
        <v>18080</v>
      </c>
      <c r="BB28" s="28">
        <v>24</v>
      </c>
      <c r="BC28" s="56">
        <f t="shared" si="27"/>
        <v>18080</v>
      </c>
    </row>
    <row r="29" spans="2:55" ht="18">
      <c r="B29" s="62">
        <f t="shared" si="28"/>
        <v>45041</v>
      </c>
      <c r="C29" s="58" t="s">
        <v>39</v>
      </c>
      <c r="D29" s="31"/>
      <c r="E29" s="32">
        <v>13</v>
      </c>
      <c r="F29" s="33">
        <v>39325</v>
      </c>
      <c r="G29" s="34">
        <f t="shared" si="0"/>
        <v>2750</v>
      </c>
      <c r="H29" s="33">
        <v>7200</v>
      </c>
      <c r="I29" s="34">
        <f t="shared" si="1"/>
        <v>503.46153846153845</v>
      </c>
      <c r="J29" s="36">
        <f t="shared" si="2"/>
        <v>46525</v>
      </c>
      <c r="K29" s="37">
        <f t="shared" si="3"/>
        <v>3578.8461538461538</v>
      </c>
      <c r="L29" s="38"/>
      <c r="M29" s="39">
        <f t="shared" si="4"/>
        <v>8</v>
      </c>
      <c r="N29" s="40">
        <f t="shared" si="4"/>
        <v>0</v>
      </c>
      <c r="O29" s="34">
        <f t="shared" si="5"/>
        <v>0</v>
      </c>
      <c r="P29" s="40">
        <f t="shared" si="6"/>
        <v>0</v>
      </c>
      <c r="Q29" s="35">
        <f t="shared" si="7"/>
        <v>0</v>
      </c>
      <c r="R29" s="41">
        <f t="shared" si="8"/>
        <v>0</v>
      </c>
      <c r="S29" s="37">
        <f t="shared" si="9"/>
        <v>0</v>
      </c>
      <c r="T29" s="59">
        <f t="shared" si="10"/>
        <v>21</v>
      </c>
      <c r="U29" s="40">
        <f t="shared" si="10"/>
        <v>39325</v>
      </c>
      <c r="V29" s="40">
        <f t="shared" si="11"/>
        <v>7200</v>
      </c>
      <c r="W29" s="43">
        <f t="shared" si="12"/>
        <v>46525</v>
      </c>
      <c r="X29" s="60"/>
      <c r="Y29" s="44"/>
      <c r="Z29" s="45"/>
      <c r="AA29" s="33"/>
      <c r="AB29" s="34" t="e">
        <f t="shared" si="13"/>
        <v>#DIV/0!</v>
      </c>
      <c r="AC29" s="33"/>
      <c r="AD29" s="35" t="e">
        <f t="shared" si="14"/>
        <v>#DIV/0!</v>
      </c>
      <c r="AE29" s="46">
        <f t="shared" si="15"/>
        <v>0</v>
      </c>
      <c r="AF29" s="37" t="str">
        <f t="shared" si="16"/>
        <v/>
      </c>
      <c r="AG29" s="47"/>
      <c r="AH29" s="45"/>
      <c r="AI29" s="33"/>
      <c r="AJ29" s="34" t="e">
        <f t="shared" si="17"/>
        <v>#DIV/0!</v>
      </c>
      <c r="AK29" s="33"/>
      <c r="AL29" s="35" t="e">
        <f t="shared" si="18"/>
        <v>#DIV/0!</v>
      </c>
      <c r="AM29" s="46">
        <f t="shared" si="19"/>
        <v>0</v>
      </c>
      <c r="AN29" s="48" t="str">
        <f t="shared" si="20"/>
        <v/>
      </c>
      <c r="AO29" s="61">
        <f t="shared" si="21"/>
        <v>21</v>
      </c>
      <c r="AP29" s="60">
        <f t="shared" si="22"/>
        <v>39325</v>
      </c>
      <c r="AQ29" s="60">
        <f t="shared" si="23"/>
        <v>7200</v>
      </c>
      <c r="AR29" s="50">
        <f t="shared" si="24"/>
        <v>46525</v>
      </c>
      <c r="AS29" s="51">
        <f t="shared" si="25"/>
        <v>0</v>
      </c>
      <c r="AT29" s="52">
        <v>21</v>
      </c>
      <c r="AU29" s="53">
        <v>39325</v>
      </c>
      <c r="AV29" s="53">
        <v>7200</v>
      </c>
      <c r="AW29" s="54"/>
      <c r="AX29" s="54"/>
      <c r="AY29" s="54"/>
      <c r="AZ29" s="54"/>
      <c r="BA29" s="55">
        <f t="shared" si="26"/>
        <v>46525</v>
      </c>
      <c r="BB29" s="28">
        <v>25</v>
      </c>
      <c r="BC29" s="56">
        <f t="shared" si="27"/>
        <v>46525</v>
      </c>
    </row>
    <row r="30" spans="2:55" ht="18">
      <c r="B30" s="64">
        <f t="shared" si="28"/>
        <v>45042</v>
      </c>
      <c r="C30" s="58" t="s">
        <v>39</v>
      </c>
      <c r="D30" s="31"/>
      <c r="E30" s="32">
        <v>24</v>
      </c>
      <c r="F30" s="33">
        <v>54340</v>
      </c>
      <c r="G30" s="34">
        <f t="shared" si="0"/>
        <v>2058.3333333333335</v>
      </c>
      <c r="H30" s="33">
        <v>14400</v>
      </c>
      <c r="I30" s="34">
        <f t="shared" si="1"/>
        <v>545.41666666666663</v>
      </c>
      <c r="J30" s="36">
        <f t="shared" si="2"/>
        <v>68740</v>
      </c>
      <c r="K30" s="37">
        <f t="shared" si="3"/>
        <v>2864.1666666666665</v>
      </c>
      <c r="L30" s="38"/>
      <c r="M30" s="39">
        <f t="shared" si="4"/>
        <v>14</v>
      </c>
      <c r="N30" s="40">
        <f t="shared" si="4"/>
        <v>0</v>
      </c>
      <c r="O30" s="34">
        <f t="shared" si="5"/>
        <v>0</v>
      </c>
      <c r="P30" s="40">
        <f t="shared" si="6"/>
        <v>0</v>
      </c>
      <c r="Q30" s="34">
        <f t="shared" si="7"/>
        <v>0</v>
      </c>
      <c r="R30" s="41">
        <f t="shared" si="8"/>
        <v>0</v>
      </c>
      <c r="S30" s="37">
        <f t="shared" si="9"/>
        <v>0</v>
      </c>
      <c r="T30" s="59">
        <f t="shared" si="10"/>
        <v>38</v>
      </c>
      <c r="U30" s="40">
        <f t="shared" si="10"/>
        <v>54340</v>
      </c>
      <c r="V30" s="40">
        <f t="shared" si="11"/>
        <v>14400</v>
      </c>
      <c r="W30" s="43">
        <f t="shared" si="12"/>
        <v>68740</v>
      </c>
      <c r="X30" s="60"/>
      <c r="Y30" s="44"/>
      <c r="Z30" s="45"/>
      <c r="AA30" s="33"/>
      <c r="AB30" s="34" t="e">
        <f t="shared" si="13"/>
        <v>#DIV/0!</v>
      </c>
      <c r="AC30" s="33"/>
      <c r="AD30" s="35" t="e">
        <f t="shared" si="14"/>
        <v>#DIV/0!</v>
      </c>
      <c r="AE30" s="46">
        <f t="shared" si="15"/>
        <v>0</v>
      </c>
      <c r="AF30" s="37" t="str">
        <f t="shared" si="16"/>
        <v/>
      </c>
      <c r="AG30" s="47"/>
      <c r="AH30" s="45"/>
      <c r="AI30" s="33"/>
      <c r="AJ30" s="34" t="e">
        <f t="shared" si="17"/>
        <v>#DIV/0!</v>
      </c>
      <c r="AK30" s="33"/>
      <c r="AL30" s="35" t="e">
        <f t="shared" si="18"/>
        <v>#DIV/0!</v>
      </c>
      <c r="AM30" s="46">
        <f t="shared" si="19"/>
        <v>0</v>
      </c>
      <c r="AN30" s="48" t="str">
        <f t="shared" si="20"/>
        <v/>
      </c>
      <c r="AO30" s="61">
        <f t="shared" si="21"/>
        <v>38</v>
      </c>
      <c r="AP30" s="60">
        <f t="shared" si="22"/>
        <v>54340</v>
      </c>
      <c r="AQ30" s="60">
        <f t="shared" si="23"/>
        <v>14400</v>
      </c>
      <c r="AR30" s="50">
        <f t="shared" si="24"/>
        <v>68740</v>
      </c>
      <c r="AS30" s="51">
        <f t="shared" si="25"/>
        <v>0</v>
      </c>
      <c r="AT30" s="52">
        <v>38</v>
      </c>
      <c r="AU30" s="53">
        <v>54340</v>
      </c>
      <c r="AV30" s="53">
        <v>14400</v>
      </c>
      <c r="AW30" s="54"/>
      <c r="AX30" s="54"/>
      <c r="AY30" s="54"/>
      <c r="AZ30" s="54"/>
      <c r="BA30" s="55">
        <f t="shared" si="26"/>
        <v>68740</v>
      </c>
      <c r="BB30" s="28">
        <v>26</v>
      </c>
      <c r="BC30" s="56">
        <f t="shared" si="27"/>
        <v>68740</v>
      </c>
    </row>
    <row r="31" spans="2:55" ht="18">
      <c r="B31" s="57">
        <f t="shared" si="28"/>
        <v>45043</v>
      </c>
      <c r="C31" s="58" t="s">
        <v>40</v>
      </c>
      <c r="D31" s="31"/>
      <c r="E31" s="32"/>
      <c r="F31" s="33"/>
      <c r="G31" s="34" t="e">
        <f t="shared" si="0"/>
        <v>#DIV/0!</v>
      </c>
      <c r="H31" s="33"/>
      <c r="I31" s="34" t="e">
        <f t="shared" si="1"/>
        <v>#DIV/0!</v>
      </c>
      <c r="J31" s="36">
        <f t="shared" si="2"/>
        <v>0</v>
      </c>
      <c r="K31" s="37" t="str">
        <f t="shared" si="3"/>
        <v/>
      </c>
      <c r="L31" s="38"/>
      <c r="M31" s="39">
        <f t="shared" si="4"/>
        <v>0</v>
      </c>
      <c r="N31" s="40">
        <f t="shared" si="4"/>
        <v>0</v>
      </c>
      <c r="O31" s="34" t="e">
        <f t="shared" si="5"/>
        <v>#DIV/0!</v>
      </c>
      <c r="P31" s="40">
        <f t="shared" si="6"/>
        <v>0</v>
      </c>
      <c r="Q31" s="34" t="e">
        <f t="shared" si="7"/>
        <v>#DIV/0!</v>
      </c>
      <c r="R31" s="41">
        <f t="shared" si="8"/>
        <v>0</v>
      </c>
      <c r="S31" s="37" t="e">
        <f t="shared" si="9"/>
        <v>#DIV/0!</v>
      </c>
      <c r="T31" s="59">
        <f t="shared" si="10"/>
        <v>0</v>
      </c>
      <c r="U31" s="40">
        <f t="shared" si="10"/>
        <v>0</v>
      </c>
      <c r="V31" s="40">
        <f t="shared" si="11"/>
        <v>0</v>
      </c>
      <c r="W31" s="43">
        <f t="shared" si="12"/>
        <v>0</v>
      </c>
      <c r="X31" s="60"/>
      <c r="Y31" s="44"/>
      <c r="Z31" s="45"/>
      <c r="AA31" s="33"/>
      <c r="AB31" s="34" t="e">
        <f t="shared" si="13"/>
        <v>#DIV/0!</v>
      </c>
      <c r="AC31" s="33"/>
      <c r="AD31" s="35" t="e">
        <f t="shared" si="14"/>
        <v>#DIV/0!</v>
      </c>
      <c r="AE31" s="46">
        <f t="shared" si="15"/>
        <v>0</v>
      </c>
      <c r="AF31" s="37" t="str">
        <f t="shared" si="16"/>
        <v/>
      </c>
      <c r="AG31" s="47"/>
      <c r="AH31" s="45"/>
      <c r="AI31" s="33"/>
      <c r="AJ31" s="34" t="e">
        <f t="shared" si="17"/>
        <v>#DIV/0!</v>
      </c>
      <c r="AK31" s="33"/>
      <c r="AL31" s="35" t="e">
        <f t="shared" si="18"/>
        <v>#DIV/0!</v>
      </c>
      <c r="AM31" s="46">
        <f t="shared" si="19"/>
        <v>0</v>
      </c>
      <c r="AN31" s="48" t="str">
        <f t="shared" si="20"/>
        <v/>
      </c>
      <c r="AO31" s="61">
        <f t="shared" si="21"/>
        <v>0</v>
      </c>
      <c r="AP31" s="60">
        <f t="shared" si="22"/>
        <v>0</v>
      </c>
      <c r="AQ31" s="60">
        <f t="shared" si="23"/>
        <v>0</v>
      </c>
      <c r="AR31" s="50">
        <f t="shared" si="24"/>
        <v>0</v>
      </c>
      <c r="AS31" s="51">
        <f t="shared" si="25"/>
        <v>0</v>
      </c>
      <c r="AT31" s="52"/>
      <c r="AU31" s="53"/>
      <c r="AV31" s="53"/>
      <c r="AW31" s="54"/>
      <c r="AX31" s="54"/>
      <c r="AY31" s="54"/>
      <c r="AZ31" s="54"/>
      <c r="BA31" s="55">
        <f t="shared" si="26"/>
        <v>0</v>
      </c>
      <c r="BB31" s="28">
        <v>27</v>
      </c>
      <c r="BC31" s="56">
        <f t="shared" si="27"/>
        <v>0</v>
      </c>
    </row>
    <row r="32" spans="2:55" ht="31">
      <c r="B32" s="68">
        <f t="shared" si="28"/>
        <v>45044</v>
      </c>
      <c r="C32" s="58" t="s">
        <v>41</v>
      </c>
      <c r="D32" s="31"/>
      <c r="E32" s="32">
        <v>30</v>
      </c>
      <c r="F32" s="33">
        <v>99000</v>
      </c>
      <c r="G32" s="34">
        <f t="shared" si="0"/>
        <v>3000</v>
      </c>
      <c r="H32" s="33">
        <v>1760</v>
      </c>
      <c r="I32" s="34">
        <f t="shared" si="1"/>
        <v>53.333333333333336</v>
      </c>
      <c r="J32" s="36">
        <f t="shared" si="2"/>
        <v>100760</v>
      </c>
      <c r="K32" s="37">
        <f t="shared" si="3"/>
        <v>3358.6666666666665</v>
      </c>
      <c r="L32" s="38"/>
      <c r="M32" s="39">
        <f t="shared" si="4"/>
        <v>21</v>
      </c>
      <c r="N32" s="40">
        <f t="shared" si="4"/>
        <v>237070</v>
      </c>
      <c r="O32" s="34">
        <f t="shared" si="5"/>
        <v>10262.761904761905</v>
      </c>
      <c r="P32" s="40">
        <f t="shared" si="6"/>
        <v>99000</v>
      </c>
      <c r="Q32" s="34">
        <f t="shared" si="7"/>
        <v>4285.7142857142853</v>
      </c>
      <c r="R32" s="41">
        <f t="shared" si="8"/>
        <v>336070</v>
      </c>
      <c r="S32" s="37">
        <f t="shared" si="9"/>
        <v>16003.333333333334</v>
      </c>
      <c r="T32" s="59">
        <f t="shared" si="10"/>
        <v>51</v>
      </c>
      <c r="U32" s="40">
        <f t="shared" si="10"/>
        <v>336070</v>
      </c>
      <c r="V32" s="40">
        <f t="shared" si="11"/>
        <v>100760</v>
      </c>
      <c r="W32" s="43">
        <f t="shared" si="12"/>
        <v>436830</v>
      </c>
      <c r="X32" s="60"/>
      <c r="Y32" s="44"/>
      <c r="Z32" s="45">
        <v>3</v>
      </c>
      <c r="AA32" s="33">
        <v>2500</v>
      </c>
      <c r="AB32" s="34">
        <f t="shared" si="13"/>
        <v>833.33333333333337</v>
      </c>
      <c r="AC32" s="33"/>
      <c r="AD32" s="35">
        <f t="shared" si="14"/>
        <v>0</v>
      </c>
      <c r="AE32" s="46">
        <f t="shared" si="15"/>
        <v>2500</v>
      </c>
      <c r="AF32" s="37">
        <f t="shared" si="16"/>
        <v>833.33333333333337</v>
      </c>
      <c r="AG32" s="47"/>
      <c r="AH32" s="45"/>
      <c r="AI32" s="33"/>
      <c r="AJ32" s="34" t="e">
        <f t="shared" si="17"/>
        <v>#DIV/0!</v>
      </c>
      <c r="AK32" s="33"/>
      <c r="AL32" s="35" t="e">
        <f t="shared" si="18"/>
        <v>#DIV/0!</v>
      </c>
      <c r="AM32" s="46">
        <f t="shared" si="19"/>
        <v>0</v>
      </c>
      <c r="AN32" s="48" t="str">
        <f t="shared" si="20"/>
        <v/>
      </c>
      <c r="AO32" s="61">
        <f t="shared" si="21"/>
        <v>51</v>
      </c>
      <c r="AP32" s="60">
        <f t="shared" si="22"/>
        <v>338570</v>
      </c>
      <c r="AQ32" s="60">
        <f t="shared" si="23"/>
        <v>100760</v>
      </c>
      <c r="AR32" s="50">
        <f t="shared" si="24"/>
        <v>439330</v>
      </c>
      <c r="AS32" s="51">
        <f t="shared" si="25"/>
        <v>0</v>
      </c>
      <c r="AT32" s="52">
        <v>51</v>
      </c>
      <c r="AU32" s="53">
        <f>334770+1300</f>
        <v>336070</v>
      </c>
      <c r="AV32" s="53">
        <v>100760</v>
      </c>
      <c r="AW32" s="54"/>
      <c r="AX32" s="54"/>
      <c r="AY32" s="54"/>
      <c r="AZ32" s="54"/>
      <c r="BA32" s="55">
        <f t="shared" si="26"/>
        <v>436830</v>
      </c>
      <c r="BB32" s="28">
        <v>28</v>
      </c>
      <c r="BC32" s="56">
        <f t="shared" si="27"/>
        <v>436830</v>
      </c>
    </row>
    <row r="33" spans="2:55" ht="18">
      <c r="B33" s="57">
        <f t="shared" si="28"/>
        <v>45045</v>
      </c>
      <c r="C33" s="58"/>
      <c r="D33" s="31"/>
      <c r="E33" s="32">
        <v>30</v>
      </c>
      <c r="F33" s="33">
        <f>87030+50820</f>
        <v>137850</v>
      </c>
      <c r="G33" s="34">
        <f t="shared" si="0"/>
        <v>4177.2666666666664</v>
      </c>
      <c r="H33" s="33">
        <f>15790+3300</f>
        <v>19090</v>
      </c>
      <c r="I33" s="34">
        <f t="shared" si="1"/>
        <v>578.4666666666667</v>
      </c>
      <c r="J33" s="36">
        <f t="shared" si="2"/>
        <v>156940</v>
      </c>
      <c r="K33" s="37">
        <f t="shared" si="3"/>
        <v>5231.333333333333</v>
      </c>
      <c r="L33" s="38"/>
      <c r="M33" s="39">
        <f t="shared" si="4"/>
        <v>26</v>
      </c>
      <c r="N33" s="40">
        <f t="shared" si="4"/>
        <v>251830</v>
      </c>
      <c r="O33" s="34">
        <f t="shared" si="5"/>
        <v>8805.2307692307695</v>
      </c>
      <c r="P33" s="40">
        <f t="shared" si="6"/>
        <v>45830</v>
      </c>
      <c r="Q33" s="34">
        <f t="shared" si="7"/>
        <v>1602.4230769230769</v>
      </c>
      <c r="R33" s="41">
        <f t="shared" si="8"/>
        <v>297660</v>
      </c>
      <c r="S33" s="37">
        <f t="shared" si="9"/>
        <v>11448.461538461539</v>
      </c>
      <c r="T33" s="59">
        <f t="shared" si="10"/>
        <v>56</v>
      </c>
      <c r="U33" s="40">
        <f t="shared" si="10"/>
        <v>389680</v>
      </c>
      <c r="V33" s="40">
        <f t="shared" si="11"/>
        <v>64920</v>
      </c>
      <c r="W33" s="43">
        <f t="shared" si="12"/>
        <v>454600</v>
      </c>
      <c r="X33" s="60"/>
      <c r="Y33" s="44"/>
      <c r="Z33" s="45">
        <v>16</v>
      </c>
      <c r="AA33" s="33">
        <v>7700</v>
      </c>
      <c r="AB33" s="34">
        <f t="shared" si="13"/>
        <v>481.25</v>
      </c>
      <c r="AC33" s="33"/>
      <c r="AD33" s="35">
        <f t="shared" si="14"/>
        <v>0</v>
      </c>
      <c r="AE33" s="46">
        <f t="shared" si="15"/>
        <v>7700</v>
      </c>
      <c r="AF33" s="37">
        <f t="shared" si="16"/>
        <v>481.25</v>
      </c>
      <c r="AG33" s="47"/>
      <c r="AH33" s="45"/>
      <c r="AI33" s="33"/>
      <c r="AJ33" s="34" t="e">
        <f t="shared" si="17"/>
        <v>#DIV/0!</v>
      </c>
      <c r="AK33" s="33"/>
      <c r="AL33" s="35" t="e">
        <f t="shared" si="18"/>
        <v>#DIV/0!</v>
      </c>
      <c r="AM33" s="46">
        <f t="shared" si="19"/>
        <v>0</v>
      </c>
      <c r="AN33" s="48" t="str">
        <f t="shared" si="20"/>
        <v/>
      </c>
      <c r="AO33" s="61">
        <f t="shared" si="21"/>
        <v>56</v>
      </c>
      <c r="AP33" s="60">
        <f t="shared" si="22"/>
        <v>397380</v>
      </c>
      <c r="AQ33" s="60">
        <f t="shared" si="23"/>
        <v>64920</v>
      </c>
      <c r="AR33" s="50">
        <f t="shared" si="24"/>
        <v>462300</v>
      </c>
      <c r="AS33" s="51">
        <f t="shared" si="25"/>
        <v>0</v>
      </c>
      <c r="AT33" s="52">
        <v>56</v>
      </c>
      <c r="AU33" s="53">
        <v>389680</v>
      </c>
      <c r="AV33" s="53">
        <v>64920</v>
      </c>
      <c r="AW33" s="54"/>
      <c r="AX33" s="54"/>
      <c r="AY33" s="54"/>
      <c r="AZ33" s="54"/>
      <c r="BA33" s="55">
        <f t="shared" si="26"/>
        <v>454600</v>
      </c>
      <c r="BB33" s="28">
        <v>29</v>
      </c>
      <c r="BC33" s="56">
        <f t="shared" si="27"/>
        <v>454600</v>
      </c>
    </row>
    <row r="34" spans="2:55" ht="18">
      <c r="B34" s="57">
        <f t="shared" si="28"/>
        <v>45046</v>
      </c>
      <c r="C34" s="58"/>
      <c r="D34" s="31"/>
      <c r="E34" s="32">
        <v>29</v>
      </c>
      <c r="F34" s="33">
        <v>122760</v>
      </c>
      <c r="G34" s="34">
        <f t="shared" si="0"/>
        <v>3848.2758620689656</v>
      </c>
      <c r="H34" s="33">
        <v>23870</v>
      </c>
      <c r="I34" s="34">
        <f t="shared" si="1"/>
        <v>748.27586206896547</v>
      </c>
      <c r="J34" s="36">
        <f t="shared" si="2"/>
        <v>146630</v>
      </c>
      <c r="K34" s="37">
        <f t="shared" si="3"/>
        <v>5056.2068965517237</v>
      </c>
      <c r="L34" s="38"/>
      <c r="M34" s="39">
        <f t="shared" si="4"/>
        <v>13</v>
      </c>
      <c r="N34" s="40">
        <f t="shared" si="4"/>
        <v>132160</v>
      </c>
      <c r="O34" s="34">
        <f t="shared" si="5"/>
        <v>9241.9230769230762</v>
      </c>
      <c r="P34" s="40">
        <f t="shared" si="6"/>
        <v>29750</v>
      </c>
      <c r="Q34" s="34">
        <f t="shared" si="7"/>
        <v>2080.3846153846152</v>
      </c>
      <c r="R34" s="41">
        <f t="shared" si="8"/>
        <v>161910</v>
      </c>
      <c r="S34" s="37">
        <f t="shared" si="9"/>
        <v>12454.615384615385</v>
      </c>
      <c r="T34" s="59">
        <f t="shared" si="10"/>
        <v>42</v>
      </c>
      <c r="U34" s="40">
        <f t="shared" si="10"/>
        <v>254920</v>
      </c>
      <c r="V34" s="40">
        <f t="shared" si="11"/>
        <v>53620</v>
      </c>
      <c r="W34" s="43">
        <f t="shared" si="12"/>
        <v>308540</v>
      </c>
      <c r="X34" s="60"/>
      <c r="Y34" s="69"/>
      <c r="Z34" s="70">
        <v>5</v>
      </c>
      <c r="AA34" s="71">
        <v>1950</v>
      </c>
      <c r="AB34" s="34">
        <f t="shared" si="13"/>
        <v>390</v>
      </c>
      <c r="AC34" s="71"/>
      <c r="AD34" s="35">
        <f t="shared" si="14"/>
        <v>0</v>
      </c>
      <c r="AE34" s="46">
        <f t="shared" si="15"/>
        <v>1950</v>
      </c>
      <c r="AF34" s="37">
        <f t="shared" si="16"/>
        <v>390</v>
      </c>
      <c r="AG34" s="47"/>
      <c r="AH34" s="70"/>
      <c r="AI34" s="71"/>
      <c r="AJ34" s="34" t="e">
        <f t="shared" si="17"/>
        <v>#DIV/0!</v>
      </c>
      <c r="AK34" s="71"/>
      <c r="AL34" s="35" t="e">
        <f t="shared" si="18"/>
        <v>#DIV/0!</v>
      </c>
      <c r="AM34" s="46">
        <f t="shared" si="19"/>
        <v>0</v>
      </c>
      <c r="AN34" s="48" t="str">
        <f t="shared" si="20"/>
        <v/>
      </c>
      <c r="AO34" s="61">
        <f t="shared" si="21"/>
        <v>42</v>
      </c>
      <c r="AP34" s="60">
        <f t="shared" si="22"/>
        <v>256870</v>
      </c>
      <c r="AQ34" s="60">
        <f t="shared" si="23"/>
        <v>53620</v>
      </c>
      <c r="AR34" s="50">
        <f t="shared" si="24"/>
        <v>310490</v>
      </c>
      <c r="AS34" s="51">
        <f t="shared" si="25"/>
        <v>0</v>
      </c>
      <c r="AT34" s="52">
        <v>42</v>
      </c>
      <c r="AU34" s="53">
        <v>254920</v>
      </c>
      <c r="AV34" s="53">
        <v>53620</v>
      </c>
      <c r="AW34" s="54"/>
      <c r="AX34" s="54"/>
      <c r="AY34" s="54"/>
      <c r="AZ34" s="54"/>
      <c r="BA34" s="55">
        <f t="shared" si="26"/>
        <v>308540</v>
      </c>
      <c r="BB34" s="28">
        <v>30</v>
      </c>
      <c r="BC34" s="56">
        <f t="shared" si="27"/>
        <v>308540</v>
      </c>
    </row>
    <row r="35" spans="2:55" ht="19" thickBot="1">
      <c r="B35" s="57"/>
      <c r="C35" s="58"/>
      <c r="D35" s="31"/>
      <c r="E35" s="32"/>
      <c r="F35" s="33"/>
      <c r="G35" s="34" t="e">
        <f t="shared" si="0"/>
        <v>#DIV/0!</v>
      </c>
      <c r="H35" s="33"/>
      <c r="I35" s="34" t="e">
        <f t="shared" si="1"/>
        <v>#DIV/0!</v>
      </c>
      <c r="J35" s="36">
        <f t="shared" si="2"/>
        <v>0</v>
      </c>
      <c r="K35" s="37" t="str">
        <f t="shared" si="3"/>
        <v/>
      </c>
      <c r="L35" s="38"/>
      <c r="M35" s="72">
        <f t="shared" si="4"/>
        <v>0</v>
      </c>
      <c r="N35" s="40">
        <f t="shared" si="4"/>
        <v>0</v>
      </c>
      <c r="O35" s="34" t="e">
        <f t="shared" si="5"/>
        <v>#DIV/0!</v>
      </c>
      <c r="P35" s="40">
        <f t="shared" si="6"/>
        <v>0</v>
      </c>
      <c r="Q35" s="34" t="e">
        <f t="shared" si="7"/>
        <v>#DIV/0!</v>
      </c>
      <c r="R35" s="41">
        <f t="shared" si="8"/>
        <v>0</v>
      </c>
      <c r="S35" s="37" t="e">
        <f t="shared" si="9"/>
        <v>#DIV/0!</v>
      </c>
      <c r="T35" s="73">
        <f t="shared" si="10"/>
        <v>0</v>
      </c>
      <c r="U35" s="74">
        <f t="shared" si="10"/>
        <v>0</v>
      </c>
      <c r="V35" s="74">
        <f t="shared" si="11"/>
        <v>0</v>
      </c>
      <c r="W35" s="75">
        <f t="shared" si="12"/>
        <v>0</v>
      </c>
      <c r="X35" s="74"/>
      <c r="Y35" s="76"/>
      <c r="Z35" s="77"/>
      <c r="AA35" s="78"/>
      <c r="AB35" s="79" t="e">
        <f t="shared" si="13"/>
        <v>#DIV/0!</v>
      </c>
      <c r="AC35" s="78"/>
      <c r="AD35" s="80" t="e">
        <f t="shared" si="14"/>
        <v>#DIV/0!</v>
      </c>
      <c r="AE35" s="81">
        <f t="shared" si="15"/>
        <v>0</v>
      </c>
      <c r="AF35" s="37" t="str">
        <f t="shared" si="16"/>
        <v/>
      </c>
      <c r="AG35" s="82"/>
      <c r="AH35" s="77"/>
      <c r="AI35" s="78"/>
      <c r="AJ35" s="79" t="e">
        <f t="shared" si="17"/>
        <v>#DIV/0!</v>
      </c>
      <c r="AK35" s="78"/>
      <c r="AL35" s="80" t="e">
        <f t="shared" si="18"/>
        <v>#DIV/0!</v>
      </c>
      <c r="AM35" s="81">
        <f t="shared" si="19"/>
        <v>0</v>
      </c>
      <c r="AN35" s="48" t="str">
        <f t="shared" si="20"/>
        <v/>
      </c>
      <c r="AO35" s="83">
        <f t="shared" si="21"/>
        <v>0</v>
      </c>
      <c r="AP35" s="74">
        <f t="shared" si="22"/>
        <v>0</v>
      </c>
      <c r="AQ35" s="74">
        <f t="shared" si="23"/>
        <v>0</v>
      </c>
      <c r="AR35" s="50">
        <f t="shared" si="24"/>
        <v>0</v>
      </c>
      <c r="AS35" s="51">
        <f t="shared" si="25"/>
        <v>0</v>
      </c>
      <c r="AT35" s="84"/>
      <c r="AU35" s="85"/>
      <c r="AV35" s="85"/>
      <c r="AW35" s="86"/>
      <c r="AX35" s="86"/>
      <c r="AY35" s="86"/>
      <c r="AZ35" s="86"/>
      <c r="BA35" s="87">
        <f t="shared" si="26"/>
        <v>0</v>
      </c>
      <c r="BB35" s="28">
        <v>31</v>
      </c>
      <c r="BC35" s="56">
        <f t="shared" si="27"/>
        <v>0</v>
      </c>
    </row>
    <row r="36" spans="2:55" s="108" customFormat="1" ht="19" thickTop="1">
      <c r="B36" s="88" t="s">
        <v>27</v>
      </c>
      <c r="C36" s="89">
        <f>SUM(C5:C35)</f>
        <v>0</v>
      </c>
      <c r="D36" s="90">
        <f>SUM(D5:D35)</f>
        <v>0</v>
      </c>
      <c r="E36" s="91">
        <f>SUM(E5:E35)</f>
        <v>136</v>
      </c>
      <c r="F36" s="92">
        <f>SUM(F5:F35)</f>
        <v>469555</v>
      </c>
      <c r="G36" s="93">
        <f>F36/E36</f>
        <v>3452.6102941176468</v>
      </c>
      <c r="H36" s="89">
        <f>SUM(H5:H35)</f>
        <v>68120</v>
      </c>
      <c r="I36" s="94">
        <f>H36/E36</f>
        <v>500.88235294117646</v>
      </c>
      <c r="J36" s="95">
        <f>SUM(J5:J35)</f>
        <v>537675</v>
      </c>
      <c r="K36" s="96">
        <f>J36/E36</f>
        <v>3953.4926470588234</v>
      </c>
      <c r="L36" s="97">
        <f>SUM(L5:L35)</f>
        <v>0</v>
      </c>
      <c r="M36" s="91">
        <f>SUM(M5:M35)</f>
        <v>92</v>
      </c>
      <c r="N36" s="92">
        <f>SUM(N5:N35)</f>
        <v>621060</v>
      </c>
      <c r="O36" s="93">
        <f>N36/M36</f>
        <v>6750.652173913043</v>
      </c>
      <c r="P36" s="98">
        <f>SUM(P5:P35)</f>
        <v>174580</v>
      </c>
      <c r="Q36" s="94">
        <f>P36/M36</f>
        <v>1897.608695652174</v>
      </c>
      <c r="R36" s="99">
        <f>SUM(R5:R35)+AW36</f>
        <v>795640</v>
      </c>
      <c r="S36" s="100">
        <f>R36/M36</f>
        <v>8648.2608695652179</v>
      </c>
      <c r="T36" s="91">
        <f t="shared" ref="T36:AA36" si="29">SUM(T5:T35)</f>
        <v>228</v>
      </c>
      <c r="U36" s="98">
        <f t="shared" si="29"/>
        <v>1090615</v>
      </c>
      <c r="V36" s="98">
        <f t="shared" si="29"/>
        <v>242700</v>
      </c>
      <c r="W36" s="95">
        <f>SUM(W5:W35)+AW36</f>
        <v>1333315</v>
      </c>
      <c r="X36" s="101">
        <f t="shared" si="29"/>
        <v>0</v>
      </c>
      <c r="Y36" s="90">
        <f t="shared" si="29"/>
        <v>0</v>
      </c>
      <c r="Z36" s="91">
        <f t="shared" si="29"/>
        <v>24</v>
      </c>
      <c r="AA36" s="93">
        <f t="shared" si="29"/>
        <v>12150</v>
      </c>
      <c r="AB36" s="93"/>
      <c r="AC36" s="89">
        <f>SUM(AC5:AC35)</f>
        <v>0</v>
      </c>
      <c r="AD36" s="94"/>
      <c r="AE36" s="99">
        <f>SUM(AE5:AE35)</f>
        <v>12150</v>
      </c>
      <c r="AF36" s="102">
        <f>AE36/Z36</f>
        <v>506.25</v>
      </c>
      <c r="AG36" s="103">
        <f t="shared" ref="AG36:AI36" si="30">SUM(AG5:AG35)</f>
        <v>0</v>
      </c>
      <c r="AH36" s="91">
        <f t="shared" si="30"/>
        <v>0</v>
      </c>
      <c r="AI36" s="93">
        <f t="shared" si="30"/>
        <v>0</v>
      </c>
      <c r="AJ36" s="93"/>
      <c r="AK36" s="89">
        <f>SUM(AK5:AK35)</f>
        <v>0</v>
      </c>
      <c r="AL36" s="94"/>
      <c r="AM36" s="99">
        <f>SUM(AM5:AM35)</f>
        <v>0</v>
      </c>
      <c r="AN36" s="104" t="e">
        <f>AM36/AH36</f>
        <v>#DIV/0!</v>
      </c>
      <c r="AO36" s="105">
        <f t="shared" ref="AO36:BA36" si="31">SUM(AO5:AO35)</f>
        <v>228</v>
      </c>
      <c r="AP36" s="98">
        <f t="shared" si="31"/>
        <v>1102765</v>
      </c>
      <c r="AQ36" s="98">
        <f t="shared" si="31"/>
        <v>242700</v>
      </c>
      <c r="AR36" s="99">
        <f t="shared" si="31"/>
        <v>1345465</v>
      </c>
      <c r="AS36" s="106">
        <f t="shared" si="31"/>
        <v>0</v>
      </c>
      <c r="AT36" s="107">
        <f t="shared" si="31"/>
        <v>228</v>
      </c>
      <c r="AU36" s="107">
        <f t="shared" si="31"/>
        <v>1090615</v>
      </c>
      <c r="AV36" s="107">
        <f t="shared" si="31"/>
        <v>242700</v>
      </c>
      <c r="AW36" s="107">
        <f t="shared" si="31"/>
        <v>0</v>
      </c>
      <c r="AX36" s="107">
        <f t="shared" si="31"/>
        <v>0</v>
      </c>
      <c r="AY36" s="107">
        <f t="shared" si="31"/>
        <v>0</v>
      </c>
      <c r="AZ36" s="107">
        <f t="shared" si="31"/>
        <v>0</v>
      </c>
      <c r="BA36" s="107">
        <f t="shared" si="31"/>
        <v>1333315</v>
      </c>
      <c r="BC36" s="109">
        <f>SUM(BC5:BC35)</f>
        <v>1333315</v>
      </c>
    </row>
    <row r="37" spans="2:55" s="108" customFormat="1" ht="18">
      <c r="E37" s="110" t="s">
        <v>42</v>
      </c>
      <c r="F37" s="111">
        <f>F36/1.1</f>
        <v>426868.18181818177</v>
      </c>
      <c r="G37" s="112">
        <f>F37/E36</f>
        <v>3138.7366310160423</v>
      </c>
      <c r="H37" s="113">
        <f>H36/1.1</f>
        <v>61927.272727272721</v>
      </c>
      <c r="I37" s="112">
        <f>H37/E36</f>
        <v>455.34759358288767</v>
      </c>
      <c r="J37" s="114">
        <f>J36/1.1</f>
        <v>488795.45454545453</v>
      </c>
      <c r="K37" s="115">
        <f>G37+I37</f>
        <v>3594.0842245989302</v>
      </c>
      <c r="L37" s="116"/>
      <c r="M37" s="110" t="s">
        <v>42</v>
      </c>
      <c r="N37" s="111">
        <f>N36/1.1</f>
        <v>564600</v>
      </c>
      <c r="O37" s="112">
        <f>N37/M36</f>
        <v>6136.95652173913</v>
      </c>
      <c r="P37" s="113">
        <f>P36/1.1</f>
        <v>158709.09090909088</v>
      </c>
      <c r="Q37" s="112">
        <f>P37/M36</f>
        <v>1725.0988142292488</v>
      </c>
      <c r="R37" s="112">
        <f>R36/1.1</f>
        <v>723309.09090909082</v>
      </c>
      <c r="S37" s="117">
        <f>R37/M36</f>
        <v>7862.0553359683781</v>
      </c>
      <c r="T37" s="110" t="s">
        <v>42</v>
      </c>
      <c r="U37" s="111">
        <f>U36/1.1</f>
        <v>991468.18181818177</v>
      </c>
      <c r="V37" s="111">
        <f>V36/1.1</f>
        <v>220636.36363636362</v>
      </c>
      <c r="W37" s="114">
        <f>W36/1.1</f>
        <v>1212104.5454545454</v>
      </c>
      <c r="X37" s="118"/>
      <c r="Y37" s="116"/>
      <c r="Z37" s="110" t="s">
        <v>42</v>
      </c>
      <c r="AA37" s="111">
        <f>AA36/1.1</f>
        <v>11045.454545454544</v>
      </c>
      <c r="AB37" s="113">
        <f>AA37/Z36</f>
        <v>460.22727272727269</v>
      </c>
      <c r="AC37" s="113">
        <f>AC36/1.1</f>
        <v>0</v>
      </c>
      <c r="AD37" s="113">
        <f>AC37/Z36</f>
        <v>0</v>
      </c>
      <c r="AE37" s="112">
        <f>AE36/1.1</f>
        <v>11045.454545454544</v>
      </c>
      <c r="AF37" s="119" t="e">
        <f>AE37/Y36</f>
        <v>#DIV/0!</v>
      </c>
      <c r="AG37" s="116"/>
      <c r="AH37" s="110" t="s">
        <v>42</v>
      </c>
      <c r="AI37" s="111">
        <f>AI36/1.1</f>
        <v>0</v>
      </c>
      <c r="AJ37" s="113" t="e">
        <f>AI37/AH36</f>
        <v>#DIV/0!</v>
      </c>
      <c r="AK37" s="113">
        <f>AK36/1.1</f>
        <v>0</v>
      </c>
      <c r="AL37" s="113" t="e">
        <f>AK37/AH36</f>
        <v>#DIV/0!</v>
      </c>
      <c r="AM37" s="112">
        <f>AM36/1.1</f>
        <v>0</v>
      </c>
      <c r="AN37" s="120" t="e">
        <f>AM37/AG36</f>
        <v>#DIV/0!</v>
      </c>
      <c r="AO37" s="121" t="s">
        <v>42</v>
      </c>
      <c r="AP37" s="111">
        <f>AP36/1.1</f>
        <v>1002513.6363636362</v>
      </c>
      <c r="AQ37" s="111">
        <f>AQ36/1.1</f>
        <v>220636.36363636362</v>
      </c>
      <c r="AR37" s="112">
        <f>AR36/1.1</f>
        <v>1223150</v>
      </c>
      <c r="AS37" s="122">
        <f>AS36/1.1</f>
        <v>0</v>
      </c>
      <c r="AX37" s="123"/>
      <c r="BA37" s="124"/>
      <c r="BC37" s="124"/>
    </row>
    <row r="38" spans="2:55">
      <c r="E38" s="125" t="s">
        <v>43</v>
      </c>
      <c r="F38" s="126">
        <f>E36/G38</f>
        <v>6.4761904761904763</v>
      </c>
      <c r="G38" s="127">
        <v>21</v>
      </c>
      <c r="H38" s="126"/>
      <c r="I38" s="126"/>
      <c r="J38" s="128" t="s">
        <v>44</v>
      </c>
      <c r="K38" s="129">
        <f>J37/G38</f>
        <v>23275.974025974025</v>
      </c>
      <c r="M38" s="125" t="s">
        <v>43</v>
      </c>
      <c r="N38" s="126">
        <f>M36/O38</f>
        <v>4</v>
      </c>
      <c r="O38" s="127">
        <v>23</v>
      </c>
      <c r="P38" s="126"/>
      <c r="Q38" s="126"/>
      <c r="R38" s="128" t="s">
        <v>44</v>
      </c>
      <c r="S38" s="130">
        <f>R37/O38</f>
        <v>31448.221343873513</v>
      </c>
      <c r="W38" s="131"/>
      <c r="X38" s="56"/>
      <c r="AA38" s="132">
        <v>25</v>
      </c>
      <c r="AB38" s="126"/>
      <c r="AC38" s="126"/>
      <c r="AD38" s="126"/>
      <c r="AE38" s="126"/>
      <c r="AF38" s="129">
        <f>AE37/AA38</f>
        <v>441.81818181818176</v>
      </c>
      <c r="AI38" s="132">
        <v>25</v>
      </c>
      <c r="AJ38" s="126"/>
      <c r="AK38" s="126"/>
      <c r="AL38" s="126"/>
      <c r="AM38" s="126"/>
      <c r="AN38" s="129">
        <f>AM37/AI38</f>
        <v>0</v>
      </c>
      <c r="AR38" s="131"/>
      <c r="AS38" s="56" t="e">
        <f>AR37/AT37</f>
        <v>#DIV/0!</v>
      </c>
      <c r="AT38" s="133">
        <f>AO36+T36</f>
        <v>456</v>
      </c>
      <c r="AX38" s="131"/>
    </row>
    <row r="39" spans="2:55">
      <c r="D39" s="134" t="s">
        <v>45</v>
      </c>
      <c r="E39" s="135"/>
      <c r="F39" s="126"/>
      <c r="G39" s="136"/>
      <c r="H39" s="126"/>
      <c r="I39" s="126"/>
      <c r="J39" s="128"/>
      <c r="K39" s="129"/>
      <c r="L39" s="137" t="s">
        <v>46</v>
      </c>
      <c r="M39" s="125"/>
      <c r="N39" s="126"/>
      <c r="O39" s="126"/>
      <c r="P39" s="126"/>
      <c r="Q39" s="126"/>
      <c r="R39" s="128"/>
      <c r="S39" s="129"/>
      <c r="W39" s="131"/>
      <c r="X39" s="56"/>
      <c r="Y39" s="137" t="s">
        <v>47</v>
      </c>
      <c r="AA39" s="126"/>
      <c r="AB39" s="126"/>
      <c r="AC39" s="126"/>
      <c r="AD39" s="126"/>
      <c r="AE39" s="126"/>
      <c r="AF39" s="129"/>
      <c r="AG39" s="129"/>
      <c r="AH39" s="129"/>
      <c r="AI39" s="129"/>
      <c r="AJ39" s="129"/>
      <c r="AK39" s="129"/>
      <c r="AL39" s="129"/>
      <c r="AM39" s="129"/>
      <c r="AN39" s="129"/>
      <c r="AR39" s="56">
        <f>AR36+AS36</f>
        <v>1345465</v>
      </c>
      <c r="AS39" s="138">
        <f>AR39/G38</f>
        <v>64069.761904761908</v>
      </c>
      <c r="AT39" s="28" t="s">
        <v>48</v>
      </c>
      <c r="AX39" s="131"/>
    </row>
    <row r="40" spans="2:55" ht="21.5" customHeight="1">
      <c r="C40" s="137"/>
      <c r="D40" s="216" t="s">
        <v>49</v>
      </c>
      <c r="E40" s="216"/>
      <c r="F40" s="216"/>
      <c r="G40" s="216"/>
      <c r="H40" s="216"/>
      <c r="I40" s="216"/>
      <c r="J40" s="216"/>
      <c r="K40" s="216"/>
      <c r="L40" s="216" t="s">
        <v>50</v>
      </c>
      <c r="M40" s="216"/>
      <c r="N40" s="216"/>
      <c r="O40" s="216"/>
      <c r="P40" s="216"/>
      <c r="Q40" s="216"/>
      <c r="R40" s="216"/>
      <c r="S40" s="216"/>
      <c r="W40" s="56"/>
      <c r="Y40" s="216" t="s">
        <v>51</v>
      </c>
      <c r="Z40" s="216"/>
      <c r="AA40" s="216"/>
      <c r="AB40" s="216"/>
      <c r="AC40" s="216"/>
      <c r="AD40" s="216"/>
      <c r="AE40" s="216"/>
      <c r="AF40" s="216"/>
      <c r="AG40" s="139"/>
      <c r="AH40" s="139"/>
      <c r="AI40" s="139"/>
      <c r="AJ40" s="139"/>
      <c r="AK40" s="139"/>
      <c r="AL40" s="139"/>
      <c r="AM40" s="139"/>
      <c r="AN40" s="139"/>
      <c r="AR40" s="140">
        <f>AR37+AS37</f>
        <v>1223150</v>
      </c>
    </row>
    <row r="41" spans="2:55" ht="21.5" customHeight="1">
      <c r="C41" s="137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W41" s="131"/>
      <c r="Y41" s="216"/>
      <c r="Z41" s="216"/>
      <c r="AA41" s="216"/>
      <c r="AB41" s="216"/>
      <c r="AC41" s="216"/>
      <c r="AD41" s="216"/>
      <c r="AE41" s="216"/>
      <c r="AF41" s="216"/>
      <c r="AG41" s="139"/>
      <c r="AH41" s="139"/>
      <c r="AI41" s="139"/>
      <c r="AJ41" s="139"/>
      <c r="AK41" s="139"/>
      <c r="AL41" s="139"/>
      <c r="AM41" s="139"/>
      <c r="AN41" s="139"/>
      <c r="AR41" s="56"/>
      <c r="AS41" s="138">
        <f>AR40/G38</f>
        <v>58245.238095238092</v>
      </c>
      <c r="AT41" s="28" t="s">
        <v>52</v>
      </c>
    </row>
    <row r="42" spans="2:55" ht="21.5" customHeight="1">
      <c r="C42" s="137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W42" s="56"/>
      <c r="Y42" s="216"/>
      <c r="Z42" s="216"/>
      <c r="AA42" s="216"/>
      <c r="AB42" s="216"/>
      <c r="AC42" s="216"/>
      <c r="AD42" s="216"/>
      <c r="AE42" s="216"/>
      <c r="AF42" s="216"/>
      <c r="AG42" s="139"/>
      <c r="AH42" s="139"/>
      <c r="AI42" s="139"/>
      <c r="AJ42" s="139"/>
      <c r="AK42" s="139"/>
      <c r="AL42" s="139"/>
      <c r="AM42" s="139"/>
      <c r="AN42" s="139"/>
    </row>
    <row r="43" spans="2:55" ht="21.5" customHeight="1">
      <c r="C43" s="137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Y43" s="216"/>
      <c r="Z43" s="216"/>
      <c r="AA43" s="216"/>
      <c r="AB43" s="216"/>
      <c r="AC43" s="216"/>
      <c r="AD43" s="216"/>
      <c r="AE43" s="216"/>
      <c r="AF43" s="216"/>
      <c r="AG43" s="139"/>
      <c r="AH43" s="139"/>
      <c r="AI43" s="139"/>
      <c r="AJ43" s="139"/>
      <c r="AK43" s="139"/>
      <c r="AL43" s="139"/>
      <c r="AM43" s="139"/>
      <c r="AN43" s="139"/>
      <c r="AR43" s="131">
        <f>AR37+AS37</f>
        <v>1223150</v>
      </c>
      <c r="AS43" s="141"/>
    </row>
    <row r="44" spans="2:55" ht="21.5" customHeight="1">
      <c r="C44" s="137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Y44" s="216"/>
      <c r="Z44" s="216"/>
      <c r="AA44" s="216"/>
      <c r="AB44" s="216"/>
      <c r="AC44" s="216"/>
      <c r="AD44" s="216"/>
      <c r="AE44" s="216"/>
      <c r="AF44" s="216"/>
      <c r="AG44" s="139"/>
      <c r="AH44" s="139"/>
      <c r="AI44" s="139"/>
      <c r="AJ44" s="139"/>
      <c r="AK44" s="139"/>
      <c r="AL44" s="139"/>
      <c r="AM44" s="139"/>
      <c r="AN44" s="139"/>
      <c r="AP44" s="108"/>
      <c r="AQ44" s="142" t="s">
        <v>53</v>
      </c>
      <c r="AR44" s="124">
        <f>J45+R45+AE45+AS44</f>
        <v>3946350</v>
      </c>
      <c r="AS44" s="143"/>
      <c r="AT44" s="108"/>
    </row>
    <row r="45" spans="2:55" ht="21" customHeight="1">
      <c r="H45" s="144"/>
      <c r="I45" s="145" t="s">
        <v>54</v>
      </c>
      <c r="J45" s="124">
        <v>708000</v>
      </c>
      <c r="K45" s="146" t="s">
        <v>55</v>
      </c>
      <c r="L45" s="108"/>
      <c r="M45" s="108"/>
      <c r="N45" s="108"/>
      <c r="O45" s="108"/>
      <c r="P45" s="108"/>
      <c r="Q45" s="145" t="s">
        <v>56</v>
      </c>
      <c r="R45" s="124">
        <v>2641950</v>
      </c>
      <c r="S45" s="146" t="s">
        <v>55</v>
      </c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44" t="s">
        <v>57</v>
      </c>
      <c r="AE45" s="124">
        <v>596400</v>
      </c>
      <c r="AF45" s="146" t="s">
        <v>55</v>
      </c>
      <c r="AG45" s="146"/>
      <c r="AH45" s="146"/>
      <c r="AI45" s="146"/>
      <c r="AJ45" s="146"/>
      <c r="AK45" s="146"/>
      <c r="AL45" s="146"/>
      <c r="AM45" s="146"/>
      <c r="AN45" s="146"/>
      <c r="AO45" s="108"/>
      <c r="AP45" s="108"/>
      <c r="AQ45" s="142" t="s">
        <v>58</v>
      </c>
      <c r="AR45" s="123">
        <f>AR44-AR37-AS37</f>
        <v>2723200</v>
      </c>
      <c r="AS45" s="123"/>
      <c r="AT45" s="147" t="e">
        <f>AS37/AS44</f>
        <v>#DIV/0!</v>
      </c>
      <c r="AY45" s="56"/>
      <c r="BC45" s="28"/>
    </row>
    <row r="46" spans="2:55" ht="21" customHeight="1">
      <c r="H46" s="144"/>
      <c r="I46" s="144" t="s">
        <v>58</v>
      </c>
      <c r="J46" s="123">
        <f>J45-J37</f>
        <v>219204.54545454547</v>
      </c>
      <c r="K46" s="148">
        <v>0</v>
      </c>
      <c r="L46" s="108"/>
      <c r="M46" s="108"/>
      <c r="N46" s="108"/>
      <c r="O46" s="108"/>
      <c r="P46" s="108"/>
      <c r="Q46" s="144" t="s">
        <v>58</v>
      </c>
      <c r="R46" s="123">
        <f>R45-R37</f>
        <v>1918640.9090909092</v>
      </c>
      <c r="S46" s="108">
        <f>K46</f>
        <v>0</v>
      </c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44" t="s">
        <v>58</v>
      </c>
      <c r="AE46" s="123">
        <f>AE45-AE37</f>
        <v>585354.54545454541</v>
      </c>
      <c r="AF46" s="108">
        <f>K46</f>
        <v>0</v>
      </c>
      <c r="AG46" s="108"/>
      <c r="AH46" s="108"/>
      <c r="AI46" s="108"/>
      <c r="AJ46" s="108"/>
      <c r="AK46" s="108"/>
      <c r="AL46" s="108"/>
      <c r="AM46" s="108"/>
      <c r="AN46" s="108"/>
      <c r="AO46" s="108"/>
      <c r="AP46" s="149"/>
      <c r="AQ46" s="150" t="s">
        <v>59</v>
      </c>
      <c r="AR46" s="151" t="e">
        <f>AR45/K46</f>
        <v>#DIV/0!</v>
      </c>
      <c r="AS46" s="152">
        <f>(AR37+AS37)/AR44</f>
        <v>0.30994463238182118</v>
      </c>
      <c r="AT46" s="149"/>
      <c r="AU46" s="153"/>
      <c r="AY46" s="56"/>
      <c r="BC46" s="28"/>
    </row>
    <row r="47" spans="2:55" s="153" customFormat="1" ht="26" customHeight="1">
      <c r="B47" s="149"/>
      <c r="H47" s="154"/>
      <c r="I47" s="150" t="s">
        <v>59</v>
      </c>
      <c r="J47" s="155" t="e">
        <f>J46/K46</f>
        <v>#DIV/0!</v>
      </c>
      <c r="K47" s="156">
        <f>J37/J45</f>
        <v>0.69038906009244994</v>
      </c>
      <c r="L47" s="149"/>
      <c r="M47" s="149"/>
      <c r="N47" s="149"/>
      <c r="O47" s="149"/>
      <c r="P47" s="149"/>
      <c r="Q47" s="150" t="s">
        <v>59</v>
      </c>
      <c r="R47" s="151" t="e">
        <f>R46/S46</f>
        <v>#DIV/0!</v>
      </c>
      <c r="S47" s="156">
        <f>R37/R45</f>
        <v>0.27377849350256089</v>
      </c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50" t="s">
        <v>59</v>
      </c>
      <c r="AE47" s="155" t="e">
        <f>AE46/AF46</f>
        <v>#DIV/0!</v>
      </c>
      <c r="AF47" s="156">
        <f>AE37/AE45</f>
        <v>1.8520212182184012E-2</v>
      </c>
      <c r="AG47" s="156"/>
      <c r="AH47" s="156"/>
      <c r="AI47" s="156"/>
      <c r="AJ47" s="156"/>
      <c r="AK47" s="156"/>
      <c r="AL47" s="156"/>
      <c r="AM47" s="156"/>
      <c r="AN47" s="156"/>
      <c r="AO47" s="149"/>
      <c r="AP47" s="28"/>
      <c r="AQ47" s="28"/>
      <c r="AR47" s="131"/>
      <c r="AS47" s="28"/>
      <c r="AT47" s="28"/>
      <c r="AU47" s="28"/>
      <c r="AY47" s="157"/>
      <c r="BA47" s="157"/>
    </row>
    <row r="48" spans="2:55">
      <c r="AP48" s="158"/>
      <c r="AQ48" s="158"/>
      <c r="AR48" s="158"/>
      <c r="AS48" s="158"/>
      <c r="AT48" s="158"/>
      <c r="AU48" s="158"/>
      <c r="AY48" s="56"/>
      <c r="BC48" s="28"/>
    </row>
    <row r="49" spans="2:53" s="158" customFormat="1" ht="36" customHeight="1">
      <c r="B49" s="159"/>
      <c r="L49" s="160"/>
      <c r="M49" s="28"/>
      <c r="N49" s="28"/>
      <c r="O49" s="28"/>
      <c r="P49" s="28"/>
      <c r="Q49" s="28"/>
      <c r="R49" s="160"/>
      <c r="AP49" s="1"/>
      <c r="AQ49" s="1"/>
      <c r="AR49" s="1"/>
      <c r="AS49" s="1"/>
      <c r="AT49" s="1"/>
      <c r="AU49" s="1"/>
      <c r="AY49" s="161"/>
      <c r="BA49" s="161"/>
    </row>
    <row r="50" spans="2:53" s="1" customFormat="1" ht="36" customHeight="1">
      <c r="B50" s="144"/>
      <c r="L50" s="162"/>
      <c r="M50" s="28"/>
      <c r="N50" s="28"/>
      <c r="O50" s="28"/>
      <c r="P50" s="28"/>
      <c r="Q50" s="28"/>
      <c r="R50" s="162"/>
      <c r="S50" s="162"/>
      <c r="Z50" s="163"/>
      <c r="AP50" s="158"/>
      <c r="AQ50" s="158"/>
      <c r="AR50" s="158"/>
      <c r="AS50" s="158"/>
      <c r="AT50" s="158"/>
      <c r="AU50" s="158"/>
      <c r="AY50" s="164"/>
      <c r="BA50" s="164"/>
    </row>
    <row r="51" spans="2:53" s="158" customFormat="1" ht="36" customHeight="1">
      <c r="B51" s="159"/>
      <c r="K51" s="1"/>
      <c r="L51" s="162"/>
      <c r="M51" s="28"/>
      <c r="N51" s="28"/>
      <c r="O51" s="28"/>
      <c r="P51" s="28"/>
      <c r="Q51" s="28"/>
      <c r="R51" s="165"/>
      <c r="S51" s="166"/>
      <c r="T51" s="166"/>
      <c r="U51" s="166"/>
      <c r="V51" s="166"/>
      <c r="W51" s="167"/>
      <c r="X51" s="168"/>
      <c r="Y51" s="169"/>
      <c r="Z51" s="170"/>
      <c r="AY51" s="161"/>
      <c r="BA51" s="161"/>
    </row>
    <row r="52" spans="2:53" s="158" customFormat="1" ht="36" customHeight="1">
      <c r="B52" s="159"/>
      <c r="K52" s="1"/>
      <c r="L52" s="162"/>
      <c r="M52" s="28"/>
      <c r="N52" s="28"/>
      <c r="O52" s="28"/>
      <c r="P52" s="28"/>
      <c r="Q52" s="28"/>
      <c r="R52" s="167"/>
      <c r="S52" s="166"/>
      <c r="T52" s="166"/>
      <c r="U52" s="166"/>
      <c r="V52" s="166"/>
      <c r="W52" s="167"/>
      <c r="X52" s="168"/>
      <c r="Y52" s="169"/>
      <c r="Z52" s="170"/>
      <c r="AY52" s="161"/>
      <c r="BA52" s="161"/>
    </row>
    <row r="53" spans="2:53" s="158" customFormat="1" ht="36" customHeight="1">
      <c r="B53" s="159"/>
      <c r="K53" s="1"/>
      <c r="L53" s="162"/>
      <c r="M53" s="28"/>
      <c r="N53" s="28"/>
      <c r="O53" s="28"/>
      <c r="P53" s="28"/>
      <c r="Q53" s="28"/>
      <c r="R53" s="167"/>
      <c r="S53" s="166"/>
      <c r="T53" s="166"/>
      <c r="U53" s="166"/>
      <c r="V53" s="166"/>
      <c r="W53" s="167"/>
      <c r="X53" s="168"/>
      <c r="Y53" s="169"/>
      <c r="Z53" s="170"/>
      <c r="AY53" s="161"/>
      <c r="BA53" s="161"/>
    </row>
    <row r="54" spans="2:53" s="158" customFormat="1" ht="36" customHeight="1">
      <c r="B54" s="159"/>
      <c r="K54" s="1"/>
      <c r="L54" s="162"/>
      <c r="M54" s="28"/>
      <c r="N54" s="28"/>
      <c r="O54" s="28"/>
      <c r="P54" s="28"/>
      <c r="Q54" s="28"/>
      <c r="R54" s="167"/>
      <c r="S54" s="166"/>
      <c r="T54" s="166"/>
      <c r="U54" s="166"/>
      <c r="V54" s="166"/>
      <c r="W54" s="167"/>
      <c r="X54" s="168"/>
      <c r="Y54" s="169"/>
      <c r="Z54" s="170"/>
      <c r="AY54" s="161"/>
      <c r="BA54" s="161"/>
    </row>
    <row r="55" spans="2:53" s="158" customFormat="1" ht="36" customHeight="1">
      <c r="B55" s="159"/>
      <c r="L55" s="160"/>
      <c r="M55" s="28"/>
      <c r="N55" s="28"/>
      <c r="O55" s="28"/>
      <c r="P55" s="28"/>
      <c r="Q55" s="28"/>
      <c r="R55" s="171"/>
      <c r="S55" s="166"/>
      <c r="T55" s="166"/>
      <c r="U55" s="166"/>
      <c r="V55" s="166"/>
      <c r="W55" s="168"/>
      <c r="X55" s="168"/>
      <c r="Y55" s="169"/>
      <c r="Z55" s="170"/>
      <c r="AP55" s="28"/>
      <c r="AQ55" s="28"/>
      <c r="AR55" s="28"/>
      <c r="AS55" s="28"/>
      <c r="AT55" s="28"/>
      <c r="AU55" s="28"/>
      <c r="AY55" s="161"/>
      <c r="BA55" s="161"/>
    </row>
    <row r="56" spans="2:53">
      <c r="Y56" s="169"/>
      <c r="Z56" s="169"/>
    </row>
    <row r="57" spans="2:53">
      <c r="Y57" s="158"/>
      <c r="Z57" s="158"/>
    </row>
  </sheetData>
  <mergeCells count="11">
    <mergeCell ref="AO3:AS3"/>
    <mergeCell ref="AT3:BA3"/>
    <mergeCell ref="D40:K44"/>
    <mergeCell ref="L40:S44"/>
    <mergeCell ref="Y40:AF44"/>
    <mergeCell ref="AG3:AN3"/>
    <mergeCell ref="B3:B4"/>
    <mergeCell ref="D3:K3"/>
    <mergeCell ref="L3:S3"/>
    <mergeCell ref="T3:X3"/>
    <mergeCell ref="Y3:AF3"/>
  </mergeCells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05F3-A9BD-1943-9BBD-890A8B0B3ECE}">
  <dimension ref="A1:BK57"/>
  <sheetViews>
    <sheetView workbookViewId="0">
      <selection activeCell="A9" sqref="A9"/>
    </sheetView>
  </sheetViews>
  <sheetFormatPr baseColWidth="10" defaultColWidth="11.140625" defaultRowHeight="18"/>
  <cols>
    <col min="1" max="1" width="11.140625" style="28"/>
    <col min="2" max="2" width="10.42578125" style="189" customWidth="1"/>
    <col min="3" max="3" width="12.42578125" style="28" customWidth="1"/>
    <col min="4" max="4" width="4.140625" style="28" customWidth="1"/>
    <col min="5" max="9" width="8.42578125" style="28" customWidth="1"/>
    <col min="10" max="10" width="12" style="28" customWidth="1"/>
    <col min="11" max="11" width="8.42578125" style="28" customWidth="1"/>
    <col min="12" max="12" width="3.85546875" style="28" customWidth="1"/>
    <col min="13" max="17" width="8.42578125" style="28" customWidth="1"/>
    <col min="18" max="18" width="12.42578125" style="28" customWidth="1"/>
    <col min="19" max="19" width="8.42578125" style="28" customWidth="1"/>
    <col min="20" max="23" width="11.140625" style="28"/>
    <col min="24" max="24" width="7.5703125" style="28" customWidth="1"/>
    <col min="25" max="25" width="3" style="28" customWidth="1"/>
    <col min="26" max="30" width="7.5703125" style="28" customWidth="1"/>
    <col min="31" max="31" width="10" style="28" customWidth="1"/>
    <col min="32" max="32" width="7.5703125" style="28" customWidth="1"/>
    <col min="33" max="33" width="3.5703125" style="28" customWidth="1"/>
    <col min="34" max="38" width="7.5703125" style="28" customWidth="1"/>
    <col min="39" max="39" width="11.85546875" style="28" customWidth="1"/>
    <col min="40" max="40" width="7.5703125" style="28" customWidth="1"/>
    <col min="41" max="41" width="4.140625" style="28" customWidth="1"/>
    <col min="42" max="42" width="10.28515625" style="28" customWidth="1"/>
    <col min="43" max="46" width="7.5703125" style="28" customWidth="1"/>
    <col min="47" max="47" width="11.28515625" style="28" customWidth="1"/>
    <col min="48" max="48" width="7.5703125" style="28" customWidth="1"/>
    <col min="49" max="49" width="5.7109375" style="28" customWidth="1"/>
    <col min="50" max="51" width="9.140625" style="28" customWidth="1"/>
    <col min="52" max="52" width="13.5703125" style="28" customWidth="1"/>
    <col min="53" max="60" width="11.140625" style="28"/>
    <col min="61" max="61" width="11.140625" style="190"/>
    <col min="62" max="62" width="11.140625" style="28"/>
    <col min="63" max="63" width="11.140625" style="56"/>
    <col min="64" max="16384" width="11.140625" style="28"/>
  </cols>
  <sheetData>
    <row r="1" spans="1:63" s="3" customFormat="1">
      <c r="A1" s="1" t="s">
        <v>0</v>
      </c>
      <c r="B1" s="172"/>
      <c r="BI1" s="173"/>
      <c r="BK1" s="4"/>
    </row>
    <row r="2" spans="1:63" s="3" customFormat="1" ht="35" thickBot="1">
      <c r="A2" s="5">
        <v>2023</v>
      </c>
      <c r="B2" s="174">
        <v>5</v>
      </c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X2" s="3" t="s">
        <v>1</v>
      </c>
      <c r="Y2" s="2"/>
      <c r="Z2" s="2"/>
      <c r="AA2" s="2"/>
      <c r="AB2" s="2"/>
      <c r="AC2" s="2"/>
      <c r="AD2" s="2"/>
      <c r="BA2" s="3" t="s">
        <v>1</v>
      </c>
      <c r="BI2" s="173"/>
      <c r="BK2" s="4"/>
    </row>
    <row r="3" spans="1:63" s="3" customFormat="1" ht="33" customHeight="1" thickTop="1" thickBot="1">
      <c r="A3" s="7"/>
      <c r="B3" s="206" t="s">
        <v>2</v>
      </c>
      <c r="C3" s="8"/>
      <c r="D3" s="207" t="s">
        <v>3</v>
      </c>
      <c r="E3" s="207"/>
      <c r="F3" s="207"/>
      <c r="G3" s="207"/>
      <c r="H3" s="207"/>
      <c r="I3" s="207"/>
      <c r="J3" s="207"/>
      <c r="K3" s="207"/>
      <c r="L3" s="208" t="s">
        <v>4</v>
      </c>
      <c r="M3" s="208"/>
      <c r="N3" s="208"/>
      <c r="O3" s="208"/>
      <c r="P3" s="208"/>
      <c r="Q3" s="208"/>
      <c r="R3" s="208"/>
      <c r="S3" s="208"/>
      <c r="T3" s="209" t="s">
        <v>5</v>
      </c>
      <c r="U3" s="209"/>
      <c r="V3" s="209"/>
      <c r="W3" s="209"/>
      <c r="X3" s="209"/>
      <c r="Y3" s="210" t="s">
        <v>6</v>
      </c>
      <c r="Z3" s="210"/>
      <c r="AA3" s="210"/>
      <c r="AB3" s="210"/>
      <c r="AC3" s="210"/>
      <c r="AD3" s="210"/>
      <c r="AE3" s="210"/>
      <c r="AF3" s="210"/>
      <c r="AG3" s="217" t="s">
        <v>7</v>
      </c>
      <c r="AH3" s="218"/>
      <c r="AI3" s="218"/>
      <c r="AJ3" s="218"/>
      <c r="AK3" s="218"/>
      <c r="AL3" s="218"/>
      <c r="AM3" s="218"/>
      <c r="AN3" s="219"/>
      <c r="AO3" s="220" t="s">
        <v>60</v>
      </c>
      <c r="AP3" s="221"/>
      <c r="AQ3" s="221"/>
      <c r="AR3" s="221"/>
      <c r="AS3" s="221"/>
      <c r="AT3" s="221"/>
      <c r="AU3" s="221"/>
      <c r="AV3" s="222"/>
      <c r="AW3" s="211" t="s">
        <v>8</v>
      </c>
      <c r="AX3" s="209"/>
      <c r="AY3" s="209"/>
      <c r="AZ3" s="209"/>
      <c r="BA3" s="212"/>
      <c r="BB3" s="213" t="s">
        <v>9</v>
      </c>
      <c r="BC3" s="214"/>
      <c r="BD3" s="214"/>
      <c r="BE3" s="214"/>
      <c r="BF3" s="214"/>
      <c r="BG3" s="214"/>
      <c r="BH3" s="214"/>
      <c r="BI3" s="215"/>
      <c r="BK3" s="4"/>
    </row>
    <row r="4" spans="1:63" s="2" customFormat="1" ht="53.25" customHeight="1" thickTop="1" thickBot="1">
      <c r="A4" s="9"/>
      <c r="B4" s="206"/>
      <c r="C4" s="10" t="s">
        <v>10</v>
      </c>
      <c r="D4" s="11" t="s">
        <v>11</v>
      </c>
      <c r="E4" s="12" t="s">
        <v>12</v>
      </c>
      <c r="F4" s="11" t="s">
        <v>13</v>
      </c>
      <c r="G4" s="13" t="s">
        <v>14</v>
      </c>
      <c r="H4" s="11" t="s">
        <v>15</v>
      </c>
      <c r="I4" s="14" t="s">
        <v>16</v>
      </c>
      <c r="J4" s="12" t="s">
        <v>17</v>
      </c>
      <c r="K4" s="11" t="s">
        <v>18</v>
      </c>
      <c r="L4" s="11" t="s">
        <v>19</v>
      </c>
      <c r="M4" s="15" t="s">
        <v>12</v>
      </c>
      <c r="N4" s="11" t="s">
        <v>13</v>
      </c>
      <c r="O4" s="13" t="s">
        <v>14</v>
      </c>
      <c r="P4" s="11" t="s">
        <v>15</v>
      </c>
      <c r="Q4" s="14" t="s">
        <v>16</v>
      </c>
      <c r="R4" s="12" t="s">
        <v>17</v>
      </c>
      <c r="S4" s="16" t="s">
        <v>18</v>
      </c>
      <c r="T4" s="17" t="s">
        <v>20</v>
      </c>
      <c r="U4" s="18" t="s">
        <v>21</v>
      </c>
      <c r="V4" s="18" t="s">
        <v>22</v>
      </c>
      <c r="W4" s="19" t="s">
        <v>23</v>
      </c>
      <c r="X4" s="18"/>
      <c r="Y4" s="20" t="s">
        <v>24</v>
      </c>
      <c r="Z4" s="11" t="s">
        <v>12</v>
      </c>
      <c r="AA4" s="11" t="s">
        <v>21</v>
      </c>
      <c r="AB4" s="13" t="s">
        <v>25</v>
      </c>
      <c r="AC4" s="11" t="s">
        <v>22</v>
      </c>
      <c r="AD4" s="14" t="s">
        <v>26</v>
      </c>
      <c r="AE4" s="15" t="s">
        <v>27</v>
      </c>
      <c r="AF4" s="21" t="s">
        <v>18</v>
      </c>
      <c r="AG4" s="22" t="s">
        <v>28</v>
      </c>
      <c r="AH4" s="11" t="s">
        <v>12</v>
      </c>
      <c r="AI4" s="11" t="s">
        <v>21</v>
      </c>
      <c r="AJ4" s="13" t="s">
        <v>25</v>
      </c>
      <c r="AK4" s="11" t="s">
        <v>22</v>
      </c>
      <c r="AL4" s="14" t="s">
        <v>26</v>
      </c>
      <c r="AM4" s="15" t="s">
        <v>27</v>
      </c>
      <c r="AN4" s="23" t="s">
        <v>18</v>
      </c>
      <c r="AO4" s="175" t="s">
        <v>28</v>
      </c>
      <c r="AP4" s="11" t="s">
        <v>12</v>
      </c>
      <c r="AQ4" s="11" t="s">
        <v>21</v>
      </c>
      <c r="AR4" s="13" t="s">
        <v>25</v>
      </c>
      <c r="AS4" s="11" t="s">
        <v>22</v>
      </c>
      <c r="AT4" s="14" t="s">
        <v>26</v>
      </c>
      <c r="AU4" s="15" t="s">
        <v>27</v>
      </c>
      <c r="AV4" s="23" t="s">
        <v>18</v>
      </c>
      <c r="AW4" s="23" t="s">
        <v>20</v>
      </c>
      <c r="AX4" s="18" t="s">
        <v>21</v>
      </c>
      <c r="AY4" s="18" t="s">
        <v>22</v>
      </c>
      <c r="AZ4" s="19" t="s">
        <v>23</v>
      </c>
      <c r="BA4" s="19" t="s">
        <v>29</v>
      </c>
      <c r="BB4" s="24" t="s">
        <v>30</v>
      </c>
      <c r="BC4" s="25" t="s">
        <v>31</v>
      </c>
      <c r="BD4" s="25" t="s">
        <v>32</v>
      </c>
      <c r="BE4" s="25" t="s">
        <v>61</v>
      </c>
      <c r="BF4" s="25" t="s">
        <v>34</v>
      </c>
      <c r="BG4" s="25" t="s">
        <v>35</v>
      </c>
      <c r="BH4" s="25" t="s">
        <v>62</v>
      </c>
      <c r="BI4" s="176" t="s">
        <v>37</v>
      </c>
      <c r="BK4" s="27"/>
    </row>
    <row r="5" spans="1:63" ht="20" customHeight="1" thickTop="1">
      <c r="B5" s="177">
        <f>DATE($A$2,$B$2,1)</f>
        <v>45047</v>
      </c>
      <c r="C5" s="30"/>
      <c r="D5" s="31"/>
      <c r="E5" s="32">
        <v>32</v>
      </c>
      <c r="F5" s="33">
        <v>103150</v>
      </c>
      <c r="G5" s="34">
        <f t="shared" ref="G5:G35" si="0">ROUNDDOWN(F5/1.1,0)/E5</f>
        <v>2930.375</v>
      </c>
      <c r="H5" s="33">
        <v>21670</v>
      </c>
      <c r="I5" s="35">
        <f t="shared" ref="I5:I35" si="1">ROUNDDOWN(H5/1.1,0)/E5</f>
        <v>615.625</v>
      </c>
      <c r="J5" s="36">
        <f t="shared" ref="J5:J35" si="2">F5+H5</f>
        <v>124820</v>
      </c>
      <c r="K5" s="37">
        <f t="shared" ref="K5:K35" si="3">IF(E5="","",J5/E5)</f>
        <v>3900.625</v>
      </c>
      <c r="L5" s="38"/>
      <c r="M5" s="39">
        <f t="shared" ref="M5:N35" si="4">BB5-E5</f>
        <v>4</v>
      </c>
      <c r="N5" s="40">
        <f t="shared" si="4"/>
        <v>38830</v>
      </c>
      <c r="O5" s="34">
        <f t="shared" ref="O5:O35" si="5">ROUNDDOWN(N5/1.1,0)/M5</f>
        <v>8825</v>
      </c>
      <c r="P5" s="40">
        <f t="shared" ref="P5:P35" si="6">BD5-H5</f>
        <v>5330</v>
      </c>
      <c r="Q5" s="35">
        <f t="shared" ref="Q5:Q35" si="7">ROUNDDOWN(P5/1.1,0)/M5</f>
        <v>1211.25</v>
      </c>
      <c r="R5" s="41">
        <f t="shared" ref="R5:R35" si="8">N5+P5</f>
        <v>44160</v>
      </c>
      <c r="S5" s="37">
        <f t="shared" ref="S5:S35" si="9">IF(M5="","",R5/M5)</f>
        <v>11040</v>
      </c>
      <c r="T5" s="42">
        <f t="shared" ref="T5:U35" si="10">E5+M5</f>
        <v>36</v>
      </c>
      <c r="U5" s="40">
        <f t="shared" si="10"/>
        <v>141980</v>
      </c>
      <c r="V5" s="40">
        <f t="shared" ref="V5:V35" si="11">H5+P5</f>
        <v>27000</v>
      </c>
      <c r="W5" s="43">
        <f t="shared" ref="W5:W35" si="12">J5+R5</f>
        <v>168980</v>
      </c>
      <c r="X5" s="40"/>
      <c r="Y5" s="44"/>
      <c r="Z5" s="45">
        <v>1</v>
      </c>
      <c r="AA5" s="33">
        <v>450</v>
      </c>
      <c r="AB5" s="34">
        <f t="shared" ref="AB5:AB35" si="13">AA5/Z5</f>
        <v>450</v>
      </c>
      <c r="AC5" s="33">
        <v>0</v>
      </c>
      <c r="AD5" s="35">
        <f t="shared" ref="AD5:AD35" si="14">AC5/Z5</f>
        <v>0</v>
      </c>
      <c r="AE5" s="46">
        <f t="shared" ref="AE5:AE35" si="15">AA5+AC5</f>
        <v>450</v>
      </c>
      <c r="AF5" s="37">
        <f t="shared" ref="AF5:AF35" si="16">IF(Z5="","",AE5/Z5)</f>
        <v>450</v>
      </c>
      <c r="AG5" s="47"/>
      <c r="AH5" s="45"/>
      <c r="AI5" s="33"/>
      <c r="AJ5" s="34" t="e">
        <f t="shared" ref="AJ5:AJ35" si="17">AI5/AH5</f>
        <v>#DIV/0!</v>
      </c>
      <c r="AK5" s="33"/>
      <c r="AL5" s="35" t="e">
        <f t="shared" ref="AL5:AL35" si="18">AK5/AH5</f>
        <v>#DIV/0!</v>
      </c>
      <c r="AM5" s="46">
        <f t="shared" ref="AM5:AM35" si="19">AI5+AK5</f>
        <v>0</v>
      </c>
      <c r="AN5" s="48" t="str">
        <f t="shared" ref="AN5:AN35" si="20">IF(AH5="","",AM5/AH5)</f>
        <v/>
      </c>
      <c r="AO5" s="178"/>
      <c r="AP5" s="45"/>
      <c r="AQ5" s="33"/>
      <c r="AR5" s="34" t="e">
        <f t="shared" ref="AR5:AR35" si="21">AQ5/AP5</f>
        <v>#DIV/0!</v>
      </c>
      <c r="AS5" s="33"/>
      <c r="AT5" s="35" t="e">
        <f t="shared" ref="AT5:AT35" si="22">AS5/AP5</f>
        <v>#DIV/0!</v>
      </c>
      <c r="AU5" s="46">
        <f t="shared" ref="AU5:AU35" si="23">AQ5+AS5</f>
        <v>0</v>
      </c>
      <c r="AV5" s="48" t="str">
        <f t="shared" ref="AV5:AV35" si="24">IF(AP5="","",AU5/AP5)</f>
        <v/>
      </c>
      <c r="AW5" s="49">
        <f t="shared" ref="AW5:AW35" si="25">SUM(E5,M5)</f>
        <v>36</v>
      </c>
      <c r="AX5" s="40">
        <f>U5+AA5+AI5+AQ5</f>
        <v>142430</v>
      </c>
      <c r="AY5" s="40">
        <f>V5+AC5+AK5+AS5</f>
        <v>27000</v>
      </c>
      <c r="AZ5" s="50">
        <f>W5+AE5+AM5+AU5</f>
        <v>169430</v>
      </c>
      <c r="BA5" s="51">
        <f t="shared" ref="BA5:BA35" si="26">BE5+BF5+BG5</f>
        <v>0</v>
      </c>
      <c r="BB5" s="52">
        <v>36</v>
      </c>
      <c r="BC5" s="53">
        <v>141980</v>
      </c>
      <c r="BD5" s="53">
        <v>27000</v>
      </c>
      <c r="BE5" s="54"/>
      <c r="BF5" s="54"/>
      <c r="BG5" s="54"/>
      <c r="BH5" s="54"/>
      <c r="BI5" s="179">
        <f t="shared" ref="BI5:BI35" si="27">SUM(BC5:BG5)</f>
        <v>168980</v>
      </c>
      <c r="BJ5" s="28">
        <v>1</v>
      </c>
      <c r="BK5" s="56">
        <f t="shared" ref="BK5:BK35" si="28">BH5+BI5</f>
        <v>168980</v>
      </c>
    </row>
    <row r="6" spans="1:63" ht="20" customHeight="1">
      <c r="B6" s="180">
        <f t="shared" ref="B6:B35" si="29">B5+1</f>
        <v>45048</v>
      </c>
      <c r="C6" s="58"/>
      <c r="D6" s="31"/>
      <c r="E6" s="32">
        <v>29</v>
      </c>
      <c r="F6" s="33">
        <v>101170</v>
      </c>
      <c r="G6" s="34">
        <f t="shared" si="0"/>
        <v>3171.4482758620688</v>
      </c>
      <c r="H6" s="33">
        <v>13010</v>
      </c>
      <c r="I6" s="35">
        <f t="shared" si="1"/>
        <v>407.82758620689657</v>
      </c>
      <c r="J6" s="36">
        <f t="shared" si="2"/>
        <v>114180</v>
      </c>
      <c r="K6" s="37">
        <f t="shared" si="3"/>
        <v>3937.2413793103447</v>
      </c>
      <c r="L6" s="38"/>
      <c r="M6" s="39">
        <f t="shared" si="4"/>
        <v>26</v>
      </c>
      <c r="N6" s="40">
        <f t="shared" si="4"/>
        <v>233970</v>
      </c>
      <c r="O6" s="34">
        <f t="shared" si="5"/>
        <v>8180.7692307692305</v>
      </c>
      <c r="P6" s="40">
        <f t="shared" si="6"/>
        <v>54270</v>
      </c>
      <c r="Q6" s="35">
        <f t="shared" si="7"/>
        <v>1897.5384615384614</v>
      </c>
      <c r="R6" s="41">
        <f t="shared" si="8"/>
        <v>288240</v>
      </c>
      <c r="S6" s="37">
        <f t="shared" si="9"/>
        <v>11086.153846153846</v>
      </c>
      <c r="T6" s="59">
        <f t="shared" si="10"/>
        <v>55</v>
      </c>
      <c r="U6" s="40">
        <f t="shared" si="10"/>
        <v>335140</v>
      </c>
      <c r="V6" s="40">
        <f t="shared" si="11"/>
        <v>67280</v>
      </c>
      <c r="W6" s="43">
        <f t="shared" si="12"/>
        <v>402420</v>
      </c>
      <c r="X6" s="60"/>
      <c r="Y6" s="44"/>
      <c r="Z6" s="45">
        <v>3</v>
      </c>
      <c r="AA6" s="33">
        <v>1350</v>
      </c>
      <c r="AB6" s="34">
        <f t="shared" si="13"/>
        <v>450</v>
      </c>
      <c r="AC6" s="33">
        <v>500</v>
      </c>
      <c r="AD6" s="35">
        <f t="shared" si="14"/>
        <v>166.66666666666666</v>
      </c>
      <c r="AE6" s="46">
        <f>AA6+AC6</f>
        <v>1850</v>
      </c>
      <c r="AF6" s="37">
        <f t="shared" si="16"/>
        <v>616.66666666666663</v>
      </c>
      <c r="AG6" s="47"/>
      <c r="AH6" s="45"/>
      <c r="AI6" s="33"/>
      <c r="AJ6" s="34" t="e">
        <f t="shared" si="17"/>
        <v>#DIV/0!</v>
      </c>
      <c r="AK6" s="33"/>
      <c r="AL6" s="35" t="e">
        <f t="shared" si="18"/>
        <v>#DIV/0!</v>
      </c>
      <c r="AM6" s="46">
        <f t="shared" si="19"/>
        <v>0</v>
      </c>
      <c r="AN6" s="48" t="str">
        <f t="shared" si="20"/>
        <v/>
      </c>
      <c r="AO6" s="178"/>
      <c r="AP6" s="45"/>
      <c r="AQ6" s="33"/>
      <c r="AR6" s="34" t="e">
        <f t="shared" si="21"/>
        <v>#DIV/0!</v>
      </c>
      <c r="AS6" s="33"/>
      <c r="AT6" s="35" t="e">
        <f t="shared" si="22"/>
        <v>#DIV/0!</v>
      </c>
      <c r="AU6" s="46">
        <f t="shared" si="23"/>
        <v>0</v>
      </c>
      <c r="AV6" s="48" t="str">
        <f t="shared" si="24"/>
        <v/>
      </c>
      <c r="AW6" s="61">
        <f t="shared" si="25"/>
        <v>55</v>
      </c>
      <c r="AX6" s="40">
        <f t="shared" ref="AX6:AX35" si="30">U6+AA6+AI6+AQ6</f>
        <v>336490</v>
      </c>
      <c r="AY6" s="40">
        <f t="shared" ref="AY6:AY35" si="31">V6+AC6+AK6+AS6</f>
        <v>67780</v>
      </c>
      <c r="AZ6" s="50">
        <f t="shared" ref="AZ6:AZ35" si="32">W6+AE6+AM6+AU6</f>
        <v>404270</v>
      </c>
      <c r="BA6" s="51">
        <f t="shared" si="26"/>
        <v>0</v>
      </c>
      <c r="BB6" s="52">
        <v>55</v>
      </c>
      <c r="BC6" s="53">
        <v>335140</v>
      </c>
      <c r="BD6" s="53">
        <v>67280</v>
      </c>
      <c r="BE6" s="54"/>
      <c r="BF6" s="54"/>
      <c r="BG6" s="54"/>
      <c r="BH6" s="54"/>
      <c r="BI6" s="179">
        <f t="shared" si="27"/>
        <v>402420</v>
      </c>
      <c r="BJ6" s="28">
        <v>2</v>
      </c>
      <c r="BK6" s="56">
        <f t="shared" si="28"/>
        <v>402420</v>
      </c>
    </row>
    <row r="7" spans="1:63" ht="20" customHeight="1">
      <c r="B7" s="181">
        <f>B6+1</f>
        <v>45049</v>
      </c>
      <c r="C7" s="182"/>
      <c r="D7" s="31"/>
      <c r="E7" s="32">
        <v>25</v>
      </c>
      <c r="F7" s="33">
        <v>98310</v>
      </c>
      <c r="G7" s="34">
        <f t="shared" si="0"/>
        <v>3574.88</v>
      </c>
      <c r="H7" s="33">
        <v>16810</v>
      </c>
      <c r="I7" s="35">
        <f t="shared" si="1"/>
        <v>611.24</v>
      </c>
      <c r="J7" s="36">
        <f t="shared" si="2"/>
        <v>115120</v>
      </c>
      <c r="K7" s="37">
        <f t="shared" si="3"/>
        <v>4604.8</v>
      </c>
      <c r="L7" s="38"/>
      <c r="M7" s="39">
        <f t="shared" si="4"/>
        <v>30</v>
      </c>
      <c r="N7" s="40">
        <f t="shared" si="4"/>
        <v>348700</v>
      </c>
      <c r="O7" s="34">
        <f t="shared" si="5"/>
        <v>10566.666666666666</v>
      </c>
      <c r="P7" s="40">
        <f t="shared" si="6"/>
        <v>75330</v>
      </c>
      <c r="Q7" s="35">
        <f t="shared" si="7"/>
        <v>2282.6999999999998</v>
      </c>
      <c r="R7" s="41">
        <f t="shared" si="8"/>
        <v>424030</v>
      </c>
      <c r="S7" s="37">
        <f t="shared" si="9"/>
        <v>14134.333333333334</v>
      </c>
      <c r="T7" s="59">
        <f t="shared" si="10"/>
        <v>55</v>
      </c>
      <c r="U7" s="40">
        <f t="shared" si="10"/>
        <v>447010</v>
      </c>
      <c r="V7" s="40">
        <f t="shared" si="11"/>
        <v>92140</v>
      </c>
      <c r="W7" s="43">
        <f t="shared" si="12"/>
        <v>539150</v>
      </c>
      <c r="X7" s="60"/>
      <c r="Y7" s="44"/>
      <c r="Z7" s="45">
        <v>3</v>
      </c>
      <c r="AA7" s="33">
        <v>1800</v>
      </c>
      <c r="AB7" s="34">
        <f t="shared" si="13"/>
        <v>600</v>
      </c>
      <c r="AC7" s="33">
        <v>1000</v>
      </c>
      <c r="AD7" s="35">
        <f t="shared" si="14"/>
        <v>333.33333333333331</v>
      </c>
      <c r="AE7" s="46">
        <f t="shared" si="15"/>
        <v>2800</v>
      </c>
      <c r="AF7" s="37">
        <f t="shared" si="16"/>
        <v>933.33333333333337</v>
      </c>
      <c r="AG7" s="47"/>
      <c r="AH7" s="45"/>
      <c r="AI7" s="33"/>
      <c r="AJ7" s="34" t="e">
        <f t="shared" si="17"/>
        <v>#DIV/0!</v>
      </c>
      <c r="AK7" s="33"/>
      <c r="AL7" s="35" t="e">
        <f t="shared" si="18"/>
        <v>#DIV/0!</v>
      </c>
      <c r="AM7" s="46">
        <f t="shared" si="19"/>
        <v>0</v>
      </c>
      <c r="AN7" s="48" t="str">
        <f t="shared" si="20"/>
        <v/>
      </c>
      <c r="AO7" s="178"/>
      <c r="AP7" s="45"/>
      <c r="AQ7" s="33"/>
      <c r="AR7" s="34" t="e">
        <f t="shared" si="21"/>
        <v>#DIV/0!</v>
      </c>
      <c r="AS7" s="33"/>
      <c r="AT7" s="35" t="e">
        <f t="shared" si="22"/>
        <v>#DIV/0!</v>
      </c>
      <c r="AU7" s="46">
        <f t="shared" si="23"/>
        <v>0</v>
      </c>
      <c r="AV7" s="48" t="str">
        <f t="shared" si="24"/>
        <v/>
      </c>
      <c r="AW7" s="61">
        <f t="shared" si="25"/>
        <v>55</v>
      </c>
      <c r="AX7" s="40">
        <f t="shared" si="30"/>
        <v>448810</v>
      </c>
      <c r="AY7" s="40">
        <f t="shared" si="31"/>
        <v>93140</v>
      </c>
      <c r="AZ7" s="50">
        <f t="shared" si="32"/>
        <v>541950</v>
      </c>
      <c r="BA7" s="51">
        <f t="shared" si="26"/>
        <v>0</v>
      </c>
      <c r="BB7" s="52">
        <v>55</v>
      </c>
      <c r="BC7" s="53">
        <v>447010</v>
      </c>
      <c r="BD7" s="53">
        <v>92140</v>
      </c>
      <c r="BE7" s="54"/>
      <c r="BF7" s="54"/>
      <c r="BG7" s="54"/>
      <c r="BH7" s="54"/>
      <c r="BI7" s="179">
        <f t="shared" si="27"/>
        <v>539150</v>
      </c>
      <c r="BJ7" s="28">
        <v>3</v>
      </c>
      <c r="BK7" s="56">
        <f t="shared" si="28"/>
        <v>539150</v>
      </c>
    </row>
    <row r="8" spans="1:63" ht="20" customHeight="1">
      <c r="B8" s="181">
        <f t="shared" si="29"/>
        <v>45050</v>
      </c>
      <c r="C8" s="182"/>
      <c r="D8" s="31"/>
      <c r="E8" s="32">
        <v>32</v>
      </c>
      <c r="F8" s="33">
        <v>146680</v>
      </c>
      <c r="G8" s="34">
        <f t="shared" si="0"/>
        <v>4167.03125</v>
      </c>
      <c r="H8" s="33">
        <v>16260</v>
      </c>
      <c r="I8" s="35">
        <f t="shared" si="1"/>
        <v>461.90625</v>
      </c>
      <c r="J8" s="36">
        <f t="shared" si="2"/>
        <v>162940</v>
      </c>
      <c r="K8" s="37">
        <f t="shared" si="3"/>
        <v>5091.875</v>
      </c>
      <c r="L8" s="38"/>
      <c r="M8" s="39">
        <f t="shared" si="4"/>
        <v>25</v>
      </c>
      <c r="N8" s="40">
        <f t="shared" si="4"/>
        <v>294030</v>
      </c>
      <c r="O8" s="34">
        <f t="shared" si="5"/>
        <v>10692</v>
      </c>
      <c r="P8" s="40">
        <f t="shared" si="6"/>
        <v>57100</v>
      </c>
      <c r="Q8" s="35">
        <f t="shared" si="7"/>
        <v>2076.36</v>
      </c>
      <c r="R8" s="41">
        <f t="shared" si="8"/>
        <v>351130</v>
      </c>
      <c r="S8" s="37">
        <f t="shared" si="9"/>
        <v>14045.2</v>
      </c>
      <c r="T8" s="59">
        <f t="shared" si="10"/>
        <v>57</v>
      </c>
      <c r="U8" s="40">
        <f t="shared" si="10"/>
        <v>440710</v>
      </c>
      <c r="V8" s="40">
        <f t="shared" si="11"/>
        <v>73360</v>
      </c>
      <c r="W8" s="43">
        <f t="shared" si="12"/>
        <v>514070</v>
      </c>
      <c r="X8" s="60"/>
      <c r="Y8" s="44"/>
      <c r="Z8" s="45">
        <v>7</v>
      </c>
      <c r="AA8" s="33">
        <v>3500</v>
      </c>
      <c r="AB8" s="34">
        <f t="shared" si="13"/>
        <v>500</v>
      </c>
      <c r="AC8" s="33">
        <v>0</v>
      </c>
      <c r="AD8" s="35">
        <f t="shared" si="14"/>
        <v>0</v>
      </c>
      <c r="AE8" s="46">
        <f t="shared" si="15"/>
        <v>3500</v>
      </c>
      <c r="AF8" s="37">
        <f t="shared" si="16"/>
        <v>500</v>
      </c>
      <c r="AG8" s="47"/>
      <c r="AH8" s="45"/>
      <c r="AI8" s="33"/>
      <c r="AJ8" s="34" t="e">
        <f t="shared" si="17"/>
        <v>#DIV/0!</v>
      </c>
      <c r="AK8" s="33"/>
      <c r="AL8" s="35" t="e">
        <f t="shared" si="18"/>
        <v>#DIV/0!</v>
      </c>
      <c r="AM8" s="46">
        <f t="shared" si="19"/>
        <v>0</v>
      </c>
      <c r="AN8" s="48" t="str">
        <f t="shared" si="20"/>
        <v/>
      </c>
      <c r="AO8" s="178"/>
      <c r="AP8" s="45"/>
      <c r="AQ8" s="33"/>
      <c r="AR8" s="34" t="e">
        <f t="shared" si="21"/>
        <v>#DIV/0!</v>
      </c>
      <c r="AS8" s="33"/>
      <c r="AT8" s="35" t="e">
        <f t="shared" si="22"/>
        <v>#DIV/0!</v>
      </c>
      <c r="AU8" s="46">
        <f t="shared" si="23"/>
        <v>0</v>
      </c>
      <c r="AV8" s="48" t="str">
        <f t="shared" si="24"/>
        <v/>
      </c>
      <c r="AW8" s="61">
        <f t="shared" si="25"/>
        <v>57</v>
      </c>
      <c r="AX8" s="40">
        <f t="shared" si="30"/>
        <v>444210</v>
      </c>
      <c r="AY8" s="40">
        <f t="shared" si="31"/>
        <v>73360</v>
      </c>
      <c r="AZ8" s="50">
        <f t="shared" si="32"/>
        <v>517570</v>
      </c>
      <c r="BA8" s="51">
        <f t="shared" si="26"/>
        <v>0</v>
      </c>
      <c r="BB8" s="52">
        <v>57</v>
      </c>
      <c r="BC8" s="53">
        <v>440710</v>
      </c>
      <c r="BD8" s="53">
        <v>73360</v>
      </c>
      <c r="BE8" s="54"/>
      <c r="BF8" s="54"/>
      <c r="BG8" s="54"/>
      <c r="BH8" s="54"/>
      <c r="BI8" s="179">
        <f t="shared" si="27"/>
        <v>514070</v>
      </c>
      <c r="BJ8" s="28">
        <v>4</v>
      </c>
      <c r="BK8" s="56">
        <f t="shared" si="28"/>
        <v>514070</v>
      </c>
    </row>
    <row r="9" spans="1:63" ht="20" customHeight="1">
      <c r="B9" s="181">
        <f t="shared" si="29"/>
        <v>45051</v>
      </c>
      <c r="C9" s="182"/>
      <c r="D9" s="31"/>
      <c r="E9" s="32">
        <v>32</v>
      </c>
      <c r="F9" s="33">
        <v>152680</v>
      </c>
      <c r="G9" s="34">
        <f t="shared" si="0"/>
        <v>4337.5</v>
      </c>
      <c r="H9" s="33">
        <v>19730</v>
      </c>
      <c r="I9" s="35">
        <f t="shared" si="1"/>
        <v>560.5</v>
      </c>
      <c r="J9" s="36">
        <f t="shared" si="2"/>
        <v>172410</v>
      </c>
      <c r="K9" s="37">
        <f t="shared" si="3"/>
        <v>5387.8125</v>
      </c>
      <c r="L9" s="38"/>
      <c r="M9" s="39">
        <f t="shared" si="4"/>
        <v>19</v>
      </c>
      <c r="N9" s="40">
        <f t="shared" si="4"/>
        <v>212260</v>
      </c>
      <c r="O9" s="34">
        <f t="shared" si="5"/>
        <v>10155.947368421053</v>
      </c>
      <c r="P9" s="40">
        <f t="shared" si="6"/>
        <v>46910</v>
      </c>
      <c r="Q9" s="35">
        <f t="shared" si="7"/>
        <v>2244.4736842105262</v>
      </c>
      <c r="R9" s="41">
        <f t="shared" si="8"/>
        <v>259170</v>
      </c>
      <c r="S9" s="37">
        <f t="shared" si="9"/>
        <v>13640.526315789473</v>
      </c>
      <c r="T9" s="59">
        <f t="shared" si="10"/>
        <v>51</v>
      </c>
      <c r="U9" s="40">
        <f t="shared" si="10"/>
        <v>364940</v>
      </c>
      <c r="V9" s="40">
        <f t="shared" si="11"/>
        <v>66640</v>
      </c>
      <c r="W9" s="43">
        <f t="shared" si="12"/>
        <v>431580</v>
      </c>
      <c r="X9" s="60"/>
      <c r="Y9" s="44"/>
      <c r="Z9" s="45">
        <v>0</v>
      </c>
      <c r="AA9" s="33">
        <v>0</v>
      </c>
      <c r="AB9" s="34" t="e">
        <f t="shared" si="13"/>
        <v>#DIV/0!</v>
      </c>
      <c r="AC9" s="33">
        <v>0</v>
      </c>
      <c r="AD9" s="35" t="e">
        <f t="shared" si="14"/>
        <v>#DIV/0!</v>
      </c>
      <c r="AE9" s="46">
        <f t="shared" si="15"/>
        <v>0</v>
      </c>
      <c r="AF9" s="37" t="e">
        <f t="shared" si="16"/>
        <v>#DIV/0!</v>
      </c>
      <c r="AG9" s="47"/>
      <c r="AH9" s="45"/>
      <c r="AI9" s="33"/>
      <c r="AJ9" s="34" t="e">
        <f t="shared" si="17"/>
        <v>#DIV/0!</v>
      </c>
      <c r="AK9" s="33"/>
      <c r="AL9" s="35" t="e">
        <f t="shared" si="18"/>
        <v>#DIV/0!</v>
      </c>
      <c r="AM9" s="46">
        <f t="shared" si="19"/>
        <v>0</v>
      </c>
      <c r="AN9" s="48" t="str">
        <f t="shared" si="20"/>
        <v/>
      </c>
      <c r="AO9" s="178"/>
      <c r="AP9" s="45"/>
      <c r="AQ9" s="33"/>
      <c r="AR9" s="34" t="e">
        <f t="shared" si="21"/>
        <v>#DIV/0!</v>
      </c>
      <c r="AS9" s="33"/>
      <c r="AT9" s="35" t="e">
        <f t="shared" si="22"/>
        <v>#DIV/0!</v>
      </c>
      <c r="AU9" s="46">
        <f t="shared" si="23"/>
        <v>0</v>
      </c>
      <c r="AV9" s="48" t="str">
        <f t="shared" si="24"/>
        <v/>
      </c>
      <c r="AW9" s="61">
        <f t="shared" si="25"/>
        <v>51</v>
      </c>
      <c r="AX9" s="40">
        <f t="shared" si="30"/>
        <v>364940</v>
      </c>
      <c r="AY9" s="40">
        <f t="shared" si="31"/>
        <v>66640</v>
      </c>
      <c r="AZ9" s="50">
        <f t="shared" si="32"/>
        <v>431580</v>
      </c>
      <c r="BA9" s="51">
        <f t="shared" si="26"/>
        <v>0</v>
      </c>
      <c r="BB9" s="52">
        <v>51</v>
      </c>
      <c r="BC9" s="53">
        <v>364940</v>
      </c>
      <c r="BD9" s="53">
        <v>66640</v>
      </c>
      <c r="BE9" s="54"/>
      <c r="BF9" s="54"/>
      <c r="BG9" s="54"/>
      <c r="BH9" s="54"/>
      <c r="BI9" s="179">
        <f t="shared" si="27"/>
        <v>431580</v>
      </c>
      <c r="BJ9" s="28">
        <v>5</v>
      </c>
      <c r="BK9" s="56">
        <f t="shared" si="28"/>
        <v>431580</v>
      </c>
    </row>
    <row r="10" spans="1:63" ht="20" customHeight="1">
      <c r="B10" s="181">
        <f t="shared" si="29"/>
        <v>45052</v>
      </c>
      <c r="C10" s="182"/>
      <c r="D10" s="31"/>
      <c r="E10" s="32">
        <v>25</v>
      </c>
      <c r="F10" s="33">
        <v>116980</v>
      </c>
      <c r="G10" s="34">
        <f t="shared" si="0"/>
        <v>4253.8</v>
      </c>
      <c r="H10" s="33">
        <v>31770</v>
      </c>
      <c r="I10" s="35">
        <f t="shared" si="1"/>
        <v>1155.24</v>
      </c>
      <c r="J10" s="36">
        <f t="shared" si="2"/>
        <v>148750</v>
      </c>
      <c r="K10" s="37">
        <f t="shared" si="3"/>
        <v>5950</v>
      </c>
      <c r="L10" s="38"/>
      <c r="M10" s="39">
        <f t="shared" si="4"/>
        <v>27</v>
      </c>
      <c r="N10" s="40">
        <f t="shared" si="4"/>
        <v>294300</v>
      </c>
      <c r="O10" s="34">
        <f t="shared" si="5"/>
        <v>9909.0740740740748</v>
      </c>
      <c r="P10" s="40">
        <f t="shared" si="6"/>
        <v>35610</v>
      </c>
      <c r="Q10" s="35">
        <f t="shared" si="7"/>
        <v>1198.962962962963</v>
      </c>
      <c r="R10" s="41">
        <f t="shared" si="8"/>
        <v>329910</v>
      </c>
      <c r="S10" s="37">
        <f t="shared" si="9"/>
        <v>12218.888888888889</v>
      </c>
      <c r="T10" s="59">
        <f t="shared" si="10"/>
        <v>52</v>
      </c>
      <c r="U10" s="40">
        <f t="shared" si="10"/>
        <v>411280</v>
      </c>
      <c r="V10" s="40">
        <f t="shared" si="11"/>
        <v>67380</v>
      </c>
      <c r="W10" s="43">
        <f t="shared" si="12"/>
        <v>478660</v>
      </c>
      <c r="X10" s="60"/>
      <c r="Y10" s="44"/>
      <c r="Z10" s="45">
        <v>11</v>
      </c>
      <c r="AA10" s="33">
        <v>5550</v>
      </c>
      <c r="AB10" s="34">
        <f t="shared" si="13"/>
        <v>504.54545454545456</v>
      </c>
      <c r="AC10" s="33">
        <v>2500</v>
      </c>
      <c r="AD10" s="35">
        <f t="shared" si="14"/>
        <v>227.27272727272728</v>
      </c>
      <c r="AE10" s="46">
        <f t="shared" si="15"/>
        <v>8050</v>
      </c>
      <c r="AF10" s="37">
        <f t="shared" si="16"/>
        <v>731.81818181818187</v>
      </c>
      <c r="AG10" s="47"/>
      <c r="AH10" s="45"/>
      <c r="AI10" s="33"/>
      <c r="AJ10" s="34" t="e">
        <f t="shared" si="17"/>
        <v>#DIV/0!</v>
      </c>
      <c r="AK10" s="33"/>
      <c r="AL10" s="35" t="e">
        <f t="shared" si="18"/>
        <v>#DIV/0!</v>
      </c>
      <c r="AM10" s="46">
        <f t="shared" si="19"/>
        <v>0</v>
      </c>
      <c r="AN10" s="48" t="str">
        <f t="shared" si="20"/>
        <v/>
      </c>
      <c r="AO10" s="178"/>
      <c r="AP10" s="45"/>
      <c r="AQ10" s="33"/>
      <c r="AR10" s="34" t="e">
        <f t="shared" si="21"/>
        <v>#DIV/0!</v>
      </c>
      <c r="AS10" s="33"/>
      <c r="AT10" s="35" t="e">
        <f t="shared" si="22"/>
        <v>#DIV/0!</v>
      </c>
      <c r="AU10" s="46">
        <f t="shared" si="23"/>
        <v>0</v>
      </c>
      <c r="AV10" s="48" t="str">
        <f t="shared" si="24"/>
        <v/>
      </c>
      <c r="AW10" s="61">
        <f t="shared" si="25"/>
        <v>52</v>
      </c>
      <c r="AX10" s="40">
        <f t="shared" si="30"/>
        <v>416830</v>
      </c>
      <c r="AY10" s="40">
        <f t="shared" si="31"/>
        <v>69880</v>
      </c>
      <c r="AZ10" s="50">
        <f t="shared" si="32"/>
        <v>486710</v>
      </c>
      <c r="BA10" s="51">
        <f t="shared" si="26"/>
        <v>0</v>
      </c>
      <c r="BB10" s="52">
        <v>52</v>
      </c>
      <c r="BC10" s="53">
        <f>410680+600</f>
        <v>411280</v>
      </c>
      <c r="BD10" s="53">
        <v>67380</v>
      </c>
      <c r="BE10" s="54"/>
      <c r="BF10" s="54"/>
      <c r="BG10" s="54"/>
      <c r="BH10" s="54"/>
      <c r="BI10" s="179">
        <f t="shared" si="27"/>
        <v>478660</v>
      </c>
      <c r="BJ10" s="28">
        <v>6</v>
      </c>
      <c r="BK10" s="56">
        <f t="shared" si="28"/>
        <v>478660</v>
      </c>
    </row>
    <row r="11" spans="1:63" ht="20" customHeight="1">
      <c r="B11" s="181">
        <f t="shared" si="29"/>
        <v>45053</v>
      </c>
      <c r="C11" s="182"/>
      <c r="D11" s="31"/>
      <c r="E11" s="32">
        <v>36</v>
      </c>
      <c r="F11" s="33">
        <v>166120</v>
      </c>
      <c r="G11" s="34">
        <f t="shared" si="0"/>
        <v>4194.9444444444443</v>
      </c>
      <c r="H11" s="33">
        <v>43430</v>
      </c>
      <c r="I11" s="35">
        <f t="shared" si="1"/>
        <v>1096.6944444444443</v>
      </c>
      <c r="J11" s="36">
        <f t="shared" si="2"/>
        <v>209550</v>
      </c>
      <c r="K11" s="37">
        <f t="shared" si="3"/>
        <v>5820.833333333333</v>
      </c>
      <c r="L11" s="38"/>
      <c r="M11" s="39">
        <f t="shared" si="4"/>
        <v>2</v>
      </c>
      <c r="N11" s="40">
        <f t="shared" si="4"/>
        <v>25300</v>
      </c>
      <c r="O11" s="34">
        <f t="shared" si="5"/>
        <v>11500</v>
      </c>
      <c r="P11" s="40">
        <f t="shared" si="6"/>
        <v>8470</v>
      </c>
      <c r="Q11" s="35">
        <f t="shared" si="7"/>
        <v>3850</v>
      </c>
      <c r="R11" s="41">
        <f t="shared" si="8"/>
        <v>33770</v>
      </c>
      <c r="S11" s="37">
        <f t="shared" si="9"/>
        <v>16885</v>
      </c>
      <c r="T11" s="59">
        <f t="shared" si="10"/>
        <v>38</v>
      </c>
      <c r="U11" s="40">
        <f t="shared" si="10"/>
        <v>191420</v>
      </c>
      <c r="V11" s="40">
        <f t="shared" si="11"/>
        <v>51900</v>
      </c>
      <c r="W11" s="43">
        <f t="shared" si="12"/>
        <v>243320</v>
      </c>
      <c r="X11" s="60"/>
      <c r="Y11" s="44"/>
      <c r="Z11" s="45">
        <v>7</v>
      </c>
      <c r="AA11" s="33">
        <v>3850</v>
      </c>
      <c r="AB11" s="34">
        <f t="shared" si="13"/>
        <v>550</v>
      </c>
      <c r="AC11" s="33">
        <v>0</v>
      </c>
      <c r="AD11" s="35">
        <f t="shared" si="14"/>
        <v>0</v>
      </c>
      <c r="AE11" s="46">
        <f t="shared" si="15"/>
        <v>3850</v>
      </c>
      <c r="AF11" s="37">
        <f t="shared" si="16"/>
        <v>550</v>
      </c>
      <c r="AG11" s="47"/>
      <c r="AH11" s="45"/>
      <c r="AI11" s="33"/>
      <c r="AJ11" s="34" t="e">
        <f t="shared" si="17"/>
        <v>#DIV/0!</v>
      </c>
      <c r="AK11" s="33"/>
      <c r="AL11" s="35" t="e">
        <f t="shared" si="18"/>
        <v>#DIV/0!</v>
      </c>
      <c r="AM11" s="46">
        <f t="shared" si="19"/>
        <v>0</v>
      </c>
      <c r="AN11" s="48" t="str">
        <f t="shared" si="20"/>
        <v/>
      </c>
      <c r="AO11" s="178"/>
      <c r="AP11" s="45"/>
      <c r="AQ11" s="33"/>
      <c r="AR11" s="34" t="e">
        <f t="shared" si="21"/>
        <v>#DIV/0!</v>
      </c>
      <c r="AS11" s="33"/>
      <c r="AT11" s="35" t="e">
        <f t="shared" si="22"/>
        <v>#DIV/0!</v>
      </c>
      <c r="AU11" s="46">
        <f t="shared" si="23"/>
        <v>0</v>
      </c>
      <c r="AV11" s="48" t="str">
        <f t="shared" si="24"/>
        <v/>
      </c>
      <c r="AW11" s="61">
        <f t="shared" si="25"/>
        <v>38</v>
      </c>
      <c r="AX11" s="40">
        <f t="shared" si="30"/>
        <v>195270</v>
      </c>
      <c r="AY11" s="40">
        <f t="shared" si="31"/>
        <v>51900</v>
      </c>
      <c r="AZ11" s="50">
        <f t="shared" si="32"/>
        <v>247170</v>
      </c>
      <c r="BA11" s="51">
        <f t="shared" si="26"/>
        <v>0</v>
      </c>
      <c r="BB11" s="52">
        <v>38</v>
      </c>
      <c r="BC11" s="53">
        <v>191420</v>
      </c>
      <c r="BD11" s="53">
        <v>51900</v>
      </c>
      <c r="BE11" s="54"/>
      <c r="BF11" s="54"/>
      <c r="BG11" s="54"/>
      <c r="BH11" s="54"/>
      <c r="BI11" s="179">
        <f t="shared" si="27"/>
        <v>243320</v>
      </c>
      <c r="BJ11" s="28">
        <v>7</v>
      </c>
      <c r="BK11" s="56">
        <f t="shared" si="28"/>
        <v>243320</v>
      </c>
    </row>
    <row r="12" spans="1:63" ht="20" customHeight="1">
      <c r="B12" s="180">
        <f t="shared" si="29"/>
        <v>45054</v>
      </c>
      <c r="C12" s="65"/>
      <c r="D12" s="31"/>
      <c r="E12" s="32">
        <v>33</v>
      </c>
      <c r="F12" s="33">
        <v>120010</v>
      </c>
      <c r="G12" s="34">
        <f t="shared" si="0"/>
        <v>3306.060606060606</v>
      </c>
      <c r="H12" s="33">
        <v>14170</v>
      </c>
      <c r="I12" s="35">
        <f t="shared" si="1"/>
        <v>390.33333333333331</v>
      </c>
      <c r="J12" s="36">
        <f t="shared" si="2"/>
        <v>134180</v>
      </c>
      <c r="K12" s="37">
        <f t="shared" si="3"/>
        <v>4066.060606060606</v>
      </c>
      <c r="L12" s="38"/>
      <c r="M12" s="39">
        <f t="shared" si="4"/>
        <v>4</v>
      </c>
      <c r="N12" s="40">
        <f t="shared" si="4"/>
        <v>50200</v>
      </c>
      <c r="O12" s="34">
        <f t="shared" si="5"/>
        <v>11409</v>
      </c>
      <c r="P12" s="40">
        <f t="shared" si="6"/>
        <v>5600</v>
      </c>
      <c r="Q12" s="66">
        <f t="shared" si="7"/>
        <v>1272.5</v>
      </c>
      <c r="R12" s="41">
        <f t="shared" si="8"/>
        <v>55800</v>
      </c>
      <c r="S12" s="37">
        <f t="shared" si="9"/>
        <v>13950</v>
      </c>
      <c r="T12" s="59">
        <f t="shared" si="10"/>
        <v>37</v>
      </c>
      <c r="U12" s="40">
        <f t="shared" si="10"/>
        <v>170210</v>
      </c>
      <c r="V12" s="40">
        <f t="shared" si="11"/>
        <v>19770</v>
      </c>
      <c r="W12" s="43">
        <f t="shared" si="12"/>
        <v>189980</v>
      </c>
      <c r="X12" s="60"/>
      <c r="Y12" s="44"/>
      <c r="Z12" s="45">
        <v>1</v>
      </c>
      <c r="AA12" s="33">
        <v>500</v>
      </c>
      <c r="AB12" s="34">
        <f t="shared" si="13"/>
        <v>500</v>
      </c>
      <c r="AC12" s="33">
        <v>0</v>
      </c>
      <c r="AD12" s="35">
        <f t="shared" si="14"/>
        <v>0</v>
      </c>
      <c r="AE12" s="46">
        <f t="shared" si="15"/>
        <v>500</v>
      </c>
      <c r="AF12" s="37">
        <f t="shared" si="16"/>
        <v>500</v>
      </c>
      <c r="AG12" s="47"/>
      <c r="AH12" s="45"/>
      <c r="AI12" s="33"/>
      <c r="AJ12" s="34" t="e">
        <f t="shared" si="17"/>
        <v>#DIV/0!</v>
      </c>
      <c r="AK12" s="33"/>
      <c r="AL12" s="35" t="e">
        <f t="shared" si="18"/>
        <v>#DIV/0!</v>
      </c>
      <c r="AM12" s="46">
        <f t="shared" si="19"/>
        <v>0</v>
      </c>
      <c r="AN12" s="48" t="str">
        <f t="shared" si="20"/>
        <v/>
      </c>
      <c r="AO12" s="178"/>
      <c r="AP12" s="45"/>
      <c r="AQ12" s="33"/>
      <c r="AR12" s="34" t="e">
        <f t="shared" si="21"/>
        <v>#DIV/0!</v>
      </c>
      <c r="AS12" s="33"/>
      <c r="AT12" s="35" t="e">
        <f t="shared" si="22"/>
        <v>#DIV/0!</v>
      </c>
      <c r="AU12" s="46">
        <f t="shared" si="23"/>
        <v>0</v>
      </c>
      <c r="AV12" s="48" t="str">
        <f t="shared" si="24"/>
        <v/>
      </c>
      <c r="AW12" s="61">
        <f t="shared" si="25"/>
        <v>37</v>
      </c>
      <c r="AX12" s="40">
        <f t="shared" si="30"/>
        <v>170710</v>
      </c>
      <c r="AY12" s="40">
        <f t="shared" si="31"/>
        <v>19770</v>
      </c>
      <c r="AZ12" s="50">
        <f t="shared" si="32"/>
        <v>190480</v>
      </c>
      <c r="BA12" s="51">
        <f t="shared" si="26"/>
        <v>0</v>
      </c>
      <c r="BB12" s="52">
        <v>37</v>
      </c>
      <c r="BC12" s="53">
        <v>170210</v>
      </c>
      <c r="BD12" s="53">
        <v>19770</v>
      </c>
      <c r="BE12" s="54"/>
      <c r="BF12" s="54"/>
      <c r="BG12" s="54"/>
      <c r="BH12" s="54"/>
      <c r="BI12" s="179">
        <f t="shared" si="27"/>
        <v>189980</v>
      </c>
      <c r="BJ12" s="28">
        <v>8</v>
      </c>
      <c r="BK12" s="56">
        <f t="shared" si="28"/>
        <v>189980</v>
      </c>
    </row>
    <row r="13" spans="1:63" ht="20" customHeight="1">
      <c r="B13" s="180">
        <f t="shared" si="29"/>
        <v>45055</v>
      </c>
      <c r="C13" s="58"/>
      <c r="D13" s="31"/>
      <c r="E13" s="32">
        <v>30</v>
      </c>
      <c r="F13" s="33">
        <v>123750</v>
      </c>
      <c r="G13" s="34">
        <f t="shared" si="0"/>
        <v>3750</v>
      </c>
      <c r="H13" s="33">
        <v>23130</v>
      </c>
      <c r="I13" s="35">
        <f t="shared" si="1"/>
        <v>700.9</v>
      </c>
      <c r="J13" s="36">
        <f t="shared" si="2"/>
        <v>146880</v>
      </c>
      <c r="K13" s="37">
        <f t="shared" si="3"/>
        <v>4896</v>
      </c>
      <c r="L13" s="38"/>
      <c r="M13" s="39">
        <f t="shared" si="4"/>
        <v>2</v>
      </c>
      <c r="N13" s="40">
        <f t="shared" si="4"/>
        <v>12760</v>
      </c>
      <c r="O13" s="34">
        <f t="shared" si="5"/>
        <v>5800</v>
      </c>
      <c r="P13" s="40">
        <f t="shared" si="6"/>
        <v>1590</v>
      </c>
      <c r="Q13" s="35">
        <f t="shared" si="7"/>
        <v>722.5</v>
      </c>
      <c r="R13" s="41">
        <f t="shared" si="8"/>
        <v>14350</v>
      </c>
      <c r="S13" s="37">
        <f t="shared" si="9"/>
        <v>7175</v>
      </c>
      <c r="T13" s="59">
        <f t="shared" si="10"/>
        <v>32</v>
      </c>
      <c r="U13" s="40">
        <f t="shared" si="10"/>
        <v>136510</v>
      </c>
      <c r="V13" s="40">
        <f t="shared" si="11"/>
        <v>24720</v>
      </c>
      <c r="W13" s="43">
        <f t="shared" si="12"/>
        <v>161230</v>
      </c>
      <c r="X13" s="60"/>
      <c r="Y13" s="44"/>
      <c r="Z13" s="45">
        <v>4</v>
      </c>
      <c r="AA13" s="33">
        <v>2350</v>
      </c>
      <c r="AB13" s="34">
        <f t="shared" si="13"/>
        <v>587.5</v>
      </c>
      <c r="AC13" s="33">
        <v>0</v>
      </c>
      <c r="AD13" s="35">
        <f t="shared" si="14"/>
        <v>0</v>
      </c>
      <c r="AE13" s="46">
        <f t="shared" si="15"/>
        <v>2350</v>
      </c>
      <c r="AF13" s="37">
        <f t="shared" si="16"/>
        <v>587.5</v>
      </c>
      <c r="AG13" s="47"/>
      <c r="AH13" s="45"/>
      <c r="AI13" s="33"/>
      <c r="AJ13" s="34" t="e">
        <f t="shared" si="17"/>
        <v>#DIV/0!</v>
      </c>
      <c r="AK13" s="33"/>
      <c r="AL13" s="35" t="e">
        <f t="shared" si="18"/>
        <v>#DIV/0!</v>
      </c>
      <c r="AM13" s="46">
        <f t="shared" si="19"/>
        <v>0</v>
      </c>
      <c r="AN13" s="48" t="str">
        <f t="shared" si="20"/>
        <v/>
      </c>
      <c r="AO13" s="178"/>
      <c r="AP13" s="45"/>
      <c r="AQ13" s="33"/>
      <c r="AR13" s="34" t="e">
        <f t="shared" si="21"/>
        <v>#DIV/0!</v>
      </c>
      <c r="AS13" s="33"/>
      <c r="AT13" s="35" t="e">
        <f t="shared" si="22"/>
        <v>#DIV/0!</v>
      </c>
      <c r="AU13" s="46">
        <f t="shared" si="23"/>
        <v>0</v>
      </c>
      <c r="AV13" s="48" t="str">
        <f t="shared" si="24"/>
        <v/>
      </c>
      <c r="AW13" s="61">
        <f t="shared" si="25"/>
        <v>32</v>
      </c>
      <c r="AX13" s="40">
        <f t="shared" si="30"/>
        <v>138860</v>
      </c>
      <c r="AY13" s="40">
        <f t="shared" si="31"/>
        <v>24720</v>
      </c>
      <c r="AZ13" s="50">
        <f t="shared" si="32"/>
        <v>163580</v>
      </c>
      <c r="BA13" s="51">
        <f t="shared" si="26"/>
        <v>0</v>
      </c>
      <c r="BB13" s="52">
        <v>32</v>
      </c>
      <c r="BC13" s="53">
        <v>136510</v>
      </c>
      <c r="BD13" s="53">
        <v>24720</v>
      </c>
      <c r="BE13" s="54"/>
      <c r="BF13" s="54"/>
      <c r="BG13" s="54"/>
      <c r="BH13" s="54"/>
      <c r="BI13" s="179">
        <f t="shared" si="27"/>
        <v>161230</v>
      </c>
      <c r="BJ13" s="28">
        <v>9</v>
      </c>
      <c r="BK13" s="56">
        <f t="shared" si="28"/>
        <v>161230</v>
      </c>
    </row>
    <row r="14" spans="1:63" ht="20" customHeight="1">
      <c r="B14" s="180">
        <f t="shared" si="29"/>
        <v>45056</v>
      </c>
      <c r="C14" s="58"/>
      <c r="D14" s="31"/>
      <c r="E14" s="32">
        <v>31</v>
      </c>
      <c r="F14" s="33">
        <v>146630</v>
      </c>
      <c r="G14" s="34">
        <f t="shared" si="0"/>
        <v>4300</v>
      </c>
      <c r="H14" s="33">
        <v>19070</v>
      </c>
      <c r="I14" s="35">
        <f t="shared" si="1"/>
        <v>559.22580645161293</v>
      </c>
      <c r="J14" s="36">
        <f t="shared" si="2"/>
        <v>165700</v>
      </c>
      <c r="K14" s="37">
        <f t="shared" si="3"/>
        <v>5345.1612903225805</v>
      </c>
      <c r="L14" s="38"/>
      <c r="M14" s="39">
        <f t="shared" si="4"/>
        <v>7</v>
      </c>
      <c r="N14" s="40">
        <f t="shared" si="4"/>
        <v>87350</v>
      </c>
      <c r="O14" s="34">
        <f t="shared" si="5"/>
        <v>11344.142857142857</v>
      </c>
      <c r="P14" s="40">
        <f t="shared" si="6"/>
        <v>24810</v>
      </c>
      <c r="Q14" s="35">
        <f t="shared" si="7"/>
        <v>3222</v>
      </c>
      <c r="R14" s="41">
        <f t="shared" si="8"/>
        <v>112160</v>
      </c>
      <c r="S14" s="37">
        <f t="shared" si="9"/>
        <v>16022.857142857143</v>
      </c>
      <c r="T14" s="59">
        <f t="shared" si="10"/>
        <v>38</v>
      </c>
      <c r="U14" s="40">
        <f t="shared" si="10"/>
        <v>233980</v>
      </c>
      <c r="V14" s="40">
        <f t="shared" si="11"/>
        <v>43880</v>
      </c>
      <c r="W14" s="43">
        <f t="shared" si="12"/>
        <v>277860</v>
      </c>
      <c r="X14" s="60"/>
      <c r="Y14" s="44"/>
      <c r="Z14" s="45">
        <v>4</v>
      </c>
      <c r="AA14" s="33">
        <v>1700</v>
      </c>
      <c r="AB14" s="34">
        <f t="shared" si="13"/>
        <v>425</v>
      </c>
      <c r="AC14" s="33">
        <v>2000</v>
      </c>
      <c r="AD14" s="35">
        <f t="shared" si="14"/>
        <v>500</v>
      </c>
      <c r="AE14" s="46">
        <f t="shared" si="15"/>
        <v>3700</v>
      </c>
      <c r="AF14" s="37">
        <f t="shared" si="16"/>
        <v>925</v>
      </c>
      <c r="AG14" s="47"/>
      <c r="AH14" s="45"/>
      <c r="AI14" s="33"/>
      <c r="AJ14" s="34" t="e">
        <f t="shared" si="17"/>
        <v>#DIV/0!</v>
      </c>
      <c r="AK14" s="33"/>
      <c r="AL14" s="35" t="e">
        <f t="shared" si="18"/>
        <v>#DIV/0!</v>
      </c>
      <c r="AM14" s="46">
        <f t="shared" si="19"/>
        <v>0</v>
      </c>
      <c r="AN14" s="48" t="str">
        <f t="shared" si="20"/>
        <v/>
      </c>
      <c r="AO14" s="178"/>
      <c r="AP14" s="45"/>
      <c r="AQ14" s="33"/>
      <c r="AR14" s="34" t="e">
        <f t="shared" si="21"/>
        <v>#DIV/0!</v>
      </c>
      <c r="AS14" s="33"/>
      <c r="AT14" s="35" t="e">
        <f t="shared" si="22"/>
        <v>#DIV/0!</v>
      </c>
      <c r="AU14" s="46">
        <f t="shared" si="23"/>
        <v>0</v>
      </c>
      <c r="AV14" s="48" t="str">
        <f t="shared" si="24"/>
        <v/>
      </c>
      <c r="AW14" s="61">
        <f t="shared" si="25"/>
        <v>38</v>
      </c>
      <c r="AX14" s="40">
        <f t="shared" si="30"/>
        <v>235680</v>
      </c>
      <c r="AY14" s="40">
        <f t="shared" si="31"/>
        <v>45880</v>
      </c>
      <c r="AZ14" s="50">
        <f t="shared" si="32"/>
        <v>281560</v>
      </c>
      <c r="BA14" s="51">
        <f t="shared" si="26"/>
        <v>0</v>
      </c>
      <c r="BB14" s="52">
        <v>38</v>
      </c>
      <c r="BC14" s="53">
        <v>233980</v>
      </c>
      <c r="BD14" s="53">
        <v>43880</v>
      </c>
      <c r="BE14" s="54"/>
      <c r="BF14" s="54"/>
      <c r="BG14" s="54"/>
      <c r="BH14" s="54"/>
      <c r="BI14" s="179">
        <f t="shared" si="27"/>
        <v>277860</v>
      </c>
      <c r="BJ14" s="28">
        <v>10</v>
      </c>
      <c r="BK14" s="56">
        <f t="shared" si="28"/>
        <v>277860</v>
      </c>
    </row>
    <row r="15" spans="1:63" ht="20" customHeight="1">
      <c r="B15" s="180">
        <f t="shared" si="29"/>
        <v>45057</v>
      </c>
      <c r="C15" s="65"/>
      <c r="D15" s="31"/>
      <c r="E15" s="32">
        <v>38</v>
      </c>
      <c r="F15" s="33">
        <v>147730</v>
      </c>
      <c r="G15" s="34">
        <f t="shared" si="0"/>
        <v>3534.2105263157896</v>
      </c>
      <c r="H15" s="33">
        <v>25400</v>
      </c>
      <c r="I15" s="35">
        <f t="shared" si="1"/>
        <v>607.63157894736844</v>
      </c>
      <c r="J15" s="36">
        <f t="shared" si="2"/>
        <v>173130</v>
      </c>
      <c r="K15" s="37">
        <f t="shared" si="3"/>
        <v>4556.0526315789475</v>
      </c>
      <c r="L15" s="38"/>
      <c r="M15" s="39">
        <f t="shared" si="4"/>
        <v>20</v>
      </c>
      <c r="N15" s="40">
        <f t="shared" si="4"/>
        <v>172370</v>
      </c>
      <c r="O15" s="34">
        <f t="shared" si="5"/>
        <v>7835</v>
      </c>
      <c r="P15" s="40">
        <f t="shared" si="6"/>
        <v>64040</v>
      </c>
      <c r="Q15" s="35">
        <f t="shared" si="7"/>
        <v>2910.9</v>
      </c>
      <c r="R15" s="41">
        <f t="shared" si="8"/>
        <v>236410</v>
      </c>
      <c r="S15" s="37">
        <f t="shared" si="9"/>
        <v>11820.5</v>
      </c>
      <c r="T15" s="59">
        <f t="shared" si="10"/>
        <v>58</v>
      </c>
      <c r="U15" s="40">
        <f t="shared" si="10"/>
        <v>320100</v>
      </c>
      <c r="V15" s="40">
        <f t="shared" si="11"/>
        <v>89440</v>
      </c>
      <c r="W15" s="43">
        <f t="shared" si="12"/>
        <v>409540</v>
      </c>
      <c r="X15" s="60"/>
      <c r="Y15" s="44"/>
      <c r="Z15" s="45">
        <v>3</v>
      </c>
      <c r="AA15" s="33">
        <v>1500</v>
      </c>
      <c r="AB15" s="34">
        <f t="shared" si="13"/>
        <v>500</v>
      </c>
      <c r="AC15" s="33">
        <v>950</v>
      </c>
      <c r="AD15" s="35">
        <f t="shared" si="14"/>
        <v>316.66666666666669</v>
      </c>
      <c r="AE15" s="46">
        <f t="shared" si="15"/>
        <v>2450</v>
      </c>
      <c r="AF15" s="37">
        <f t="shared" si="16"/>
        <v>816.66666666666663</v>
      </c>
      <c r="AG15" s="47"/>
      <c r="AH15" s="45"/>
      <c r="AI15" s="33"/>
      <c r="AJ15" s="34" t="e">
        <f t="shared" si="17"/>
        <v>#DIV/0!</v>
      </c>
      <c r="AK15" s="33"/>
      <c r="AL15" s="35" t="e">
        <f t="shared" si="18"/>
        <v>#DIV/0!</v>
      </c>
      <c r="AM15" s="46">
        <f t="shared" si="19"/>
        <v>0</v>
      </c>
      <c r="AN15" s="48" t="str">
        <f t="shared" si="20"/>
        <v/>
      </c>
      <c r="AO15" s="178"/>
      <c r="AP15" s="45"/>
      <c r="AQ15" s="33"/>
      <c r="AR15" s="34" t="e">
        <f t="shared" si="21"/>
        <v>#DIV/0!</v>
      </c>
      <c r="AS15" s="33"/>
      <c r="AT15" s="35" t="e">
        <f t="shared" si="22"/>
        <v>#DIV/0!</v>
      </c>
      <c r="AU15" s="46">
        <f t="shared" si="23"/>
        <v>0</v>
      </c>
      <c r="AV15" s="48" t="str">
        <f t="shared" si="24"/>
        <v/>
      </c>
      <c r="AW15" s="61">
        <f t="shared" si="25"/>
        <v>58</v>
      </c>
      <c r="AX15" s="40">
        <f t="shared" si="30"/>
        <v>321600</v>
      </c>
      <c r="AY15" s="40">
        <f t="shared" si="31"/>
        <v>90390</v>
      </c>
      <c r="AZ15" s="50">
        <f t="shared" si="32"/>
        <v>411990</v>
      </c>
      <c r="BA15" s="51">
        <f t="shared" si="26"/>
        <v>0</v>
      </c>
      <c r="BB15" s="52">
        <v>58</v>
      </c>
      <c r="BC15" s="53">
        <v>320100</v>
      </c>
      <c r="BD15" s="53">
        <v>89440</v>
      </c>
      <c r="BE15" s="54"/>
      <c r="BF15" s="54"/>
      <c r="BG15" s="54"/>
      <c r="BH15" s="54"/>
      <c r="BI15" s="179">
        <f t="shared" si="27"/>
        <v>409540</v>
      </c>
      <c r="BJ15" s="28">
        <v>11</v>
      </c>
      <c r="BK15" s="56">
        <f t="shared" si="28"/>
        <v>409540</v>
      </c>
    </row>
    <row r="16" spans="1:63" ht="20" customHeight="1">
      <c r="B16" s="180">
        <f t="shared" si="29"/>
        <v>45058</v>
      </c>
      <c r="C16" s="58"/>
      <c r="D16" s="31"/>
      <c r="E16" s="32">
        <v>24</v>
      </c>
      <c r="F16" s="33">
        <v>95160</v>
      </c>
      <c r="G16" s="34">
        <f t="shared" si="0"/>
        <v>3604.5416666666665</v>
      </c>
      <c r="H16" s="33">
        <v>10570</v>
      </c>
      <c r="I16" s="35">
        <f t="shared" si="1"/>
        <v>400.375</v>
      </c>
      <c r="J16" s="36">
        <f t="shared" si="2"/>
        <v>105730</v>
      </c>
      <c r="K16" s="37">
        <f t="shared" si="3"/>
        <v>4405.416666666667</v>
      </c>
      <c r="L16" s="38"/>
      <c r="M16" s="39">
        <f t="shared" si="4"/>
        <v>23</v>
      </c>
      <c r="N16" s="40">
        <f t="shared" si="4"/>
        <v>237170</v>
      </c>
      <c r="O16" s="34">
        <f t="shared" si="5"/>
        <v>9374.3043478260861</v>
      </c>
      <c r="P16" s="40">
        <f t="shared" si="6"/>
        <v>70950</v>
      </c>
      <c r="Q16" s="35">
        <f t="shared" si="7"/>
        <v>2804.3478260869565</v>
      </c>
      <c r="R16" s="41">
        <f t="shared" si="8"/>
        <v>308120</v>
      </c>
      <c r="S16" s="37">
        <f t="shared" si="9"/>
        <v>13396.521739130434</v>
      </c>
      <c r="T16" s="59">
        <f t="shared" si="10"/>
        <v>47</v>
      </c>
      <c r="U16" s="40">
        <f t="shared" si="10"/>
        <v>332330</v>
      </c>
      <c r="V16" s="40">
        <f t="shared" si="11"/>
        <v>81520</v>
      </c>
      <c r="W16" s="43">
        <f t="shared" si="12"/>
        <v>413850</v>
      </c>
      <c r="X16" s="60"/>
      <c r="Y16" s="44"/>
      <c r="Z16" s="45">
        <v>7</v>
      </c>
      <c r="AA16" s="33">
        <v>4100</v>
      </c>
      <c r="AB16" s="34">
        <f t="shared" si="13"/>
        <v>585.71428571428567</v>
      </c>
      <c r="AC16" s="33">
        <v>500</v>
      </c>
      <c r="AD16" s="35">
        <f t="shared" si="14"/>
        <v>71.428571428571431</v>
      </c>
      <c r="AE16" s="46">
        <f t="shared" si="15"/>
        <v>4600</v>
      </c>
      <c r="AF16" s="37">
        <f t="shared" si="16"/>
        <v>657.14285714285711</v>
      </c>
      <c r="AG16" s="47"/>
      <c r="AH16" s="45"/>
      <c r="AI16" s="33"/>
      <c r="AJ16" s="34" t="e">
        <f t="shared" si="17"/>
        <v>#DIV/0!</v>
      </c>
      <c r="AK16" s="33"/>
      <c r="AL16" s="35" t="e">
        <f t="shared" si="18"/>
        <v>#DIV/0!</v>
      </c>
      <c r="AM16" s="46">
        <f t="shared" si="19"/>
        <v>0</v>
      </c>
      <c r="AN16" s="48" t="str">
        <f t="shared" si="20"/>
        <v/>
      </c>
      <c r="AO16" s="178"/>
      <c r="AP16" s="45"/>
      <c r="AQ16" s="33"/>
      <c r="AR16" s="34" t="e">
        <f t="shared" si="21"/>
        <v>#DIV/0!</v>
      </c>
      <c r="AS16" s="33"/>
      <c r="AT16" s="35" t="e">
        <f t="shared" si="22"/>
        <v>#DIV/0!</v>
      </c>
      <c r="AU16" s="46">
        <f t="shared" si="23"/>
        <v>0</v>
      </c>
      <c r="AV16" s="48" t="str">
        <f t="shared" si="24"/>
        <v/>
      </c>
      <c r="AW16" s="61">
        <f t="shared" si="25"/>
        <v>47</v>
      </c>
      <c r="AX16" s="40">
        <f t="shared" si="30"/>
        <v>336430</v>
      </c>
      <c r="AY16" s="40">
        <f t="shared" si="31"/>
        <v>82020</v>
      </c>
      <c r="AZ16" s="50">
        <f t="shared" si="32"/>
        <v>418450</v>
      </c>
      <c r="BA16" s="51">
        <f t="shared" si="26"/>
        <v>0</v>
      </c>
      <c r="BB16" s="52">
        <v>47</v>
      </c>
      <c r="BC16" s="53">
        <v>332330</v>
      </c>
      <c r="BD16" s="53">
        <v>81520</v>
      </c>
      <c r="BE16" s="54"/>
      <c r="BF16" s="54"/>
      <c r="BG16" s="54"/>
      <c r="BH16" s="54"/>
      <c r="BI16" s="179">
        <f t="shared" si="27"/>
        <v>413850</v>
      </c>
      <c r="BJ16" s="28">
        <v>12</v>
      </c>
      <c r="BK16" s="56">
        <f t="shared" si="28"/>
        <v>413850</v>
      </c>
    </row>
    <row r="17" spans="2:63" ht="20" customHeight="1">
      <c r="B17" s="180">
        <f t="shared" si="29"/>
        <v>45059</v>
      </c>
      <c r="C17" s="65"/>
      <c r="D17" s="31"/>
      <c r="E17" s="32">
        <v>27</v>
      </c>
      <c r="F17" s="33">
        <v>120890</v>
      </c>
      <c r="G17" s="34">
        <f t="shared" si="0"/>
        <v>4070.3703703703704</v>
      </c>
      <c r="H17" s="33">
        <v>17820</v>
      </c>
      <c r="I17" s="35">
        <f t="shared" si="1"/>
        <v>600</v>
      </c>
      <c r="J17" s="36">
        <f t="shared" si="2"/>
        <v>138710</v>
      </c>
      <c r="K17" s="37">
        <f t="shared" si="3"/>
        <v>5137.4074074074078</v>
      </c>
      <c r="L17" s="38"/>
      <c r="M17" s="39">
        <f t="shared" si="4"/>
        <v>35</v>
      </c>
      <c r="N17" s="40">
        <f t="shared" si="4"/>
        <v>394340</v>
      </c>
      <c r="O17" s="34">
        <f t="shared" si="5"/>
        <v>10242.571428571429</v>
      </c>
      <c r="P17" s="40">
        <f t="shared" si="6"/>
        <v>82210</v>
      </c>
      <c r="Q17" s="35">
        <f t="shared" si="7"/>
        <v>2135.3142857142857</v>
      </c>
      <c r="R17" s="41">
        <f t="shared" si="8"/>
        <v>476550</v>
      </c>
      <c r="S17" s="37">
        <f t="shared" si="9"/>
        <v>13615.714285714286</v>
      </c>
      <c r="T17" s="59">
        <f t="shared" si="10"/>
        <v>62</v>
      </c>
      <c r="U17" s="40">
        <f t="shared" si="10"/>
        <v>515230</v>
      </c>
      <c r="V17" s="40">
        <f t="shared" si="11"/>
        <v>100030</v>
      </c>
      <c r="W17" s="43">
        <f t="shared" si="12"/>
        <v>615260</v>
      </c>
      <c r="X17" s="60"/>
      <c r="Y17" s="44"/>
      <c r="Z17" s="45">
        <v>6</v>
      </c>
      <c r="AA17" s="33">
        <v>3300</v>
      </c>
      <c r="AB17" s="34">
        <f t="shared" si="13"/>
        <v>550</v>
      </c>
      <c r="AC17" s="33">
        <v>1000</v>
      </c>
      <c r="AD17" s="35">
        <f t="shared" si="14"/>
        <v>166.66666666666666</v>
      </c>
      <c r="AE17" s="46">
        <f t="shared" si="15"/>
        <v>4300</v>
      </c>
      <c r="AF17" s="37">
        <f t="shared" si="16"/>
        <v>716.66666666666663</v>
      </c>
      <c r="AG17" s="47"/>
      <c r="AH17" s="45"/>
      <c r="AI17" s="33"/>
      <c r="AJ17" s="34" t="e">
        <f t="shared" si="17"/>
        <v>#DIV/0!</v>
      </c>
      <c r="AK17" s="33"/>
      <c r="AL17" s="35" t="e">
        <f t="shared" si="18"/>
        <v>#DIV/0!</v>
      </c>
      <c r="AM17" s="46">
        <f t="shared" si="19"/>
        <v>0</v>
      </c>
      <c r="AN17" s="48" t="str">
        <f t="shared" si="20"/>
        <v/>
      </c>
      <c r="AO17" s="178"/>
      <c r="AP17" s="45"/>
      <c r="AQ17" s="33"/>
      <c r="AR17" s="34" t="e">
        <f t="shared" si="21"/>
        <v>#DIV/0!</v>
      </c>
      <c r="AS17" s="33"/>
      <c r="AT17" s="35" t="e">
        <f t="shared" si="22"/>
        <v>#DIV/0!</v>
      </c>
      <c r="AU17" s="46">
        <f t="shared" si="23"/>
        <v>0</v>
      </c>
      <c r="AV17" s="48" t="str">
        <f t="shared" si="24"/>
        <v/>
      </c>
      <c r="AW17" s="61">
        <f t="shared" si="25"/>
        <v>62</v>
      </c>
      <c r="AX17" s="40">
        <f t="shared" si="30"/>
        <v>518530</v>
      </c>
      <c r="AY17" s="40">
        <f t="shared" si="31"/>
        <v>101030</v>
      </c>
      <c r="AZ17" s="50">
        <f t="shared" si="32"/>
        <v>619560</v>
      </c>
      <c r="BA17" s="51">
        <f t="shared" si="26"/>
        <v>9900</v>
      </c>
      <c r="BB17" s="52">
        <v>62</v>
      </c>
      <c r="BC17" s="53">
        <v>515230</v>
      </c>
      <c r="BD17" s="53">
        <v>100030</v>
      </c>
      <c r="BE17" s="54">
        <v>9900</v>
      </c>
      <c r="BF17" s="54"/>
      <c r="BG17" s="54"/>
      <c r="BH17" s="54"/>
      <c r="BI17" s="179">
        <f t="shared" si="27"/>
        <v>625160</v>
      </c>
      <c r="BJ17" s="28">
        <v>13</v>
      </c>
      <c r="BK17" s="56">
        <f t="shared" si="28"/>
        <v>625160</v>
      </c>
    </row>
    <row r="18" spans="2:63" ht="20" customHeight="1">
      <c r="B18" s="180">
        <f t="shared" si="29"/>
        <v>45060</v>
      </c>
      <c r="C18" s="58"/>
      <c r="D18" s="31"/>
      <c r="E18" s="32">
        <v>28</v>
      </c>
      <c r="F18" s="33">
        <v>124300</v>
      </c>
      <c r="G18" s="34">
        <f t="shared" si="0"/>
        <v>4035.7142857142858</v>
      </c>
      <c r="H18" s="33">
        <v>17780</v>
      </c>
      <c r="I18" s="35">
        <f t="shared" si="1"/>
        <v>577.25</v>
      </c>
      <c r="J18" s="36">
        <f t="shared" si="2"/>
        <v>142080</v>
      </c>
      <c r="K18" s="37">
        <f t="shared" si="3"/>
        <v>5074.2857142857147</v>
      </c>
      <c r="L18" s="38"/>
      <c r="M18" s="39">
        <f t="shared" si="4"/>
        <v>11</v>
      </c>
      <c r="N18" s="40">
        <f t="shared" si="4"/>
        <v>130020</v>
      </c>
      <c r="O18" s="34">
        <f t="shared" si="5"/>
        <v>10745.454545454546</v>
      </c>
      <c r="P18" s="40">
        <f t="shared" si="6"/>
        <v>32450</v>
      </c>
      <c r="Q18" s="35">
        <f t="shared" si="7"/>
        <v>2681.818181818182</v>
      </c>
      <c r="R18" s="41">
        <f t="shared" si="8"/>
        <v>162470</v>
      </c>
      <c r="S18" s="37">
        <f t="shared" si="9"/>
        <v>14770</v>
      </c>
      <c r="T18" s="59">
        <f t="shared" si="10"/>
        <v>39</v>
      </c>
      <c r="U18" s="40">
        <f t="shared" si="10"/>
        <v>254320</v>
      </c>
      <c r="V18" s="40">
        <f t="shared" si="11"/>
        <v>50230</v>
      </c>
      <c r="W18" s="43">
        <f t="shared" si="12"/>
        <v>304550</v>
      </c>
      <c r="X18" s="60"/>
      <c r="Y18" s="44"/>
      <c r="Z18" s="45">
        <v>7</v>
      </c>
      <c r="AA18" s="33">
        <v>3100</v>
      </c>
      <c r="AB18" s="34">
        <f t="shared" si="13"/>
        <v>442.85714285714283</v>
      </c>
      <c r="AC18" s="33">
        <v>2000</v>
      </c>
      <c r="AD18" s="35">
        <f t="shared" si="14"/>
        <v>285.71428571428572</v>
      </c>
      <c r="AE18" s="46">
        <f t="shared" si="15"/>
        <v>5100</v>
      </c>
      <c r="AF18" s="37">
        <f t="shared" si="16"/>
        <v>728.57142857142856</v>
      </c>
      <c r="AG18" s="47"/>
      <c r="AH18" s="45"/>
      <c r="AI18" s="33"/>
      <c r="AJ18" s="34" t="e">
        <f t="shared" si="17"/>
        <v>#DIV/0!</v>
      </c>
      <c r="AK18" s="33"/>
      <c r="AL18" s="35" t="e">
        <f t="shared" si="18"/>
        <v>#DIV/0!</v>
      </c>
      <c r="AM18" s="46">
        <f t="shared" si="19"/>
        <v>0</v>
      </c>
      <c r="AN18" s="48" t="str">
        <f t="shared" si="20"/>
        <v/>
      </c>
      <c r="AO18" s="178"/>
      <c r="AP18" s="45"/>
      <c r="AQ18" s="33"/>
      <c r="AR18" s="34" t="e">
        <f t="shared" si="21"/>
        <v>#DIV/0!</v>
      </c>
      <c r="AS18" s="33"/>
      <c r="AT18" s="35" t="e">
        <f t="shared" si="22"/>
        <v>#DIV/0!</v>
      </c>
      <c r="AU18" s="46">
        <f t="shared" si="23"/>
        <v>0</v>
      </c>
      <c r="AV18" s="48" t="str">
        <f t="shared" si="24"/>
        <v/>
      </c>
      <c r="AW18" s="61">
        <f t="shared" si="25"/>
        <v>39</v>
      </c>
      <c r="AX18" s="40">
        <f t="shared" si="30"/>
        <v>257420</v>
      </c>
      <c r="AY18" s="40">
        <f t="shared" si="31"/>
        <v>52230</v>
      </c>
      <c r="AZ18" s="50">
        <f t="shared" si="32"/>
        <v>309650</v>
      </c>
      <c r="BA18" s="51">
        <f t="shared" si="26"/>
        <v>0</v>
      </c>
      <c r="BB18" s="52">
        <v>39</v>
      </c>
      <c r="BC18" s="53">
        <v>254320</v>
      </c>
      <c r="BD18" s="53">
        <v>50230</v>
      </c>
      <c r="BE18" s="54"/>
      <c r="BF18" s="54"/>
      <c r="BG18" s="54"/>
      <c r="BH18" s="54"/>
      <c r="BI18" s="179">
        <f t="shared" si="27"/>
        <v>304550</v>
      </c>
      <c r="BJ18" s="28">
        <v>14</v>
      </c>
      <c r="BK18" s="56">
        <f t="shared" si="28"/>
        <v>304550</v>
      </c>
    </row>
    <row r="19" spans="2:63" ht="20" customHeight="1">
      <c r="B19" s="180">
        <f t="shared" si="29"/>
        <v>45061</v>
      </c>
      <c r="C19" s="58"/>
      <c r="D19" s="31"/>
      <c r="E19" s="32">
        <v>37</v>
      </c>
      <c r="F19" s="33">
        <v>141820</v>
      </c>
      <c r="G19" s="34">
        <f t="shared" si="0"/>
        <v>3484.5135135135133</v>
      </c>
      <c r="H19" s="33">
        <v>22280</v>
      </c>
      <c r="I19" s="35">
        <f t="shared" si="1"/>
        <v>547.40540540540542</v>
      </c>
      <c r="J19" s="36">
        <f t="shared" si="2"/>
        <v>164100</v>
      </c>
      <c r="K19" s="37">
        <f t="shared" si="3"/>
        <v>4435.135135135135</v>
      </c>
      <c r="L19" s="38"/>
      <c r="M19" s="39">
        <f t="shared" si="4"/>
        <v>2</v>
      </c>
      <c r="N19" s="40">
        <f t="shared" si="4"/>
        <v>13560</v>
      </c>
      <c r="O19" s="34">
        <f t="shared" si="5"/>
        <v>6163.5</v>
      </c>
      <c r="P19" s="40">
        <f t="shared" si="6"/>
        <v>8140</v>
      </c>
      <c r="Q19" s="66">
        <f t="shared" si="7"/>
        <v>3700</v>
      </c>
      <c r="R19" s="41">
        <f t="shared" si="8"/>
        <v>21700</v>
      </c>
      <c r="S19" s="37">
        <f t="shared" si="9"/>
        <v>10850</v>
      </c>
      <c r="T19" s="59">
        <f t="shared" si="10"/>
        <v>39</v>
      </c>
      <c r="U19" s="40">
        <f t="shared" si="10"/>
        <v>155380</v>
      </c>
      <c r="V19" s="40">
        <f t="shared" si="11"/>
        <v>30420</v>
      </c>
      <c r="W19" s="43">
        <f t="shared" si="12"/>
        <v>185800</v>
      </c>
      <c r="X19" s="60"/>
      <c r="Y19" s="44"/>
      <c r="Z19" s="45">
        <v>6</v>
      </c>
      <c r="AA19" s="33">
        <v>3000</v>
      </c>
      <c r="AB19" s="34">
        <f t="shared" si="13"/>
        <v>500</v>
      </c>
      <c r="AC19" s="33">
        <v>1850</v>
      </c>
      <c r="AD19" s="35">
        <f t="shared" si="14"/>
        <v>308.33333333333331</v>
      </c>
      <c r="AE19" s="46">
        <f t="shared" si="15"/>
        <v>4850</v>
      </c>
      <c r="AF19" s="37">
        <f t="shared" si="16"/>
        <v>808.33333333333337</v>
      </c>
      <c r="AG19" s="47"/>
      <c r="AH19" s="45"/>
      <c r="AI19" s="33"/>
      <c r="AJ19" s="34" t="e">
        <f t="shared" si="17"/>
        <v>#DIV/0!</v>
      </c>
      <c r="AK19" s="33"/>
      <c r="AL19" s="35" t="e">
        <f t="shared" si="18"/>
        <v>#DIV/0!</v>
      </c>
      <c r="AM19" s="46">
        <f t="shared" si="19"/>
        <v>0</v>
      </c>
      <c r="AN19" s="48" t="str">
        <f t="shared" si="20"/>
        <v/>
      </c>
      <c r="AO19" s="178"/>
      <c r="AP19" s="45"/>
      <c r="AQ19" s="33"/>
      <c r="AR19" s="34" t="e">
        <f t="shared" si="21"/>
        <v>#DIV/0!</v>
      </c>
      <c r="AS19" s="33"/>
      <c r="AT19" s="35" t="e">
        <f t="shared" si="22"/>
        <v>#DIV/0!</v>
      </c>
      <c r="AU19" s="46">
        <f t="shared" si="23"/>
        <v>0</v>
      </c>
      <c r="AV19" s="48" t="str">
        <f t="shared" si="24"/>
        <v/>
      </c>
      <c r="AW19" s="61">
        <f t="shared" si="25"/>
        <v>39</v>
      </c>
      <c r="AX19" s="40">
        <f t="shared" si="30"/>
        <v>158380</v>
      </c>
      <c r="AY19" s="40">
        <f t="shared" si="31"/>
        <v>32270</v>
      </c>
      <c r="AZ19" s="50">
        <f t="shared" si="32"/>
        <v>190650</v>
      </c>
      <c r="BA19" s="51">
        <f t="shared" si="26"/>
        <v>0</v>
      </c>
      <c r="BB19" s="52">
        <v>39</v>
      </c>
      <c r="BC19" s="53">
        <v>155380</v>
      </c>
      <c r="BD19" s="53">
        <v>30420</v>
      </c>
      <c r="BE19" s="54"/>
      <c r="BF19" s="54"/>
      <c r="BG19" s="54"/>
      <c r="BH19" s="54"/>
      <c r="BI19" s="179">
        <f t="shared" si="27"/>
        <v>185800</v>
      </c>
      <c r="BJ19" s="28">
        <v>15</v>
      </c>
      <c r="BK19" s="56">
        <f t="shared" si="28"/>
        <v>185800</v>
      </c>
    </row>
    <row r="20" spans="2:63" ht="20" customHeight="1">
      <c r="B20" s="180">
        <f t="shared" si="29"/>
        <v>45062</v>
      </c>
      <c r="C20" s="58"/>
      <c r="D20" s="31"/>
      <c r="E20" s="32">
        <v>29</v>
      </c>
      <c r="F20" s="33">
        <v>116050</v>
      </c>
      <c r="G20" s="34">
        <f t="shared" si="0"/>
        <v>3637.9310344827586</v>
      </c>
      <c r="H20" s="33">
        <v>16200</v>
      </c>
      <c r="I20" s="34">
        <f t="shared" si="1"/>
        <v>507.82758620689657</v>
      </c>
      <c r="J20" s="36">
        <f t="shared" si="2"/>
        <v>132250</v>
      </c>
      <c r="K20" s="37">
        <f t="shared" si="3"/>
        <v>4560.3448275862065</v>
      </c>
      <c r="L20" s="38"/>
      <c r="M20" s="39">
        <f t="shared" si="4"/>
        <v>12</v>
      </c>
      <c r="N20" s="40">
        <f t="shared" si="4"/>
        <v>109340</v>
      </c>
      <c r="O20" s="34">
        <f t="shared" si="5"/>
        <v>8283.3333333333339</v>
      </c>
      <c r="P20" s="40">
        <f t="shared" si="6"/>
        <v>53240</v>
      </c>
      <c r="Q20" s="66">
        <f t="shared" si="7"/>
        <v>4033.3333333333335</v>
      </c>
      <c r="R20" s="41">
        <f t="shared" si="8"/>
        <v>162580</v>
      </c>
      <c r="S20" s="37">
        <f t="shared" si="9"/>
        <v>13548.333333333334</v>
      </c>
      <c r="T20" s="59">
        <f t="shared" si="10"/>
        <v>41</v>
      </c>
      <c r="U20" s="40">
        <f t="shared" si="10"/>
        <v>225390</v>
      </c>
      <c r="V20" s="40">
        <f t="shared" si="11"/>
        <v>69440</v>
      </c>
      <c r="W20" s="43">
        <f t="shared" si="12"/>
        <v>294830</v>
      </c>
      <c r="X20" s="60"/>
      <c r="Y20" s="44"/>
      <c r="Z20" s="45">
        <v>4</v>
      </c>
      <c r="AA20" s="33">
        <v>1700</v>
      </c>
      <c r="AB20" s="34">
        <f t="shared" si="13"/>
        <v>425</v>
      </c>
      <c r="AC20" s="33">
        <v>1500</v>
      </c>
      <c r="AD20" s="35">
        <f t="shared" si="14"/>
        <v>375</v>
      </c>
      <c r="AE20" s="46">
        <f t="shared" si="15"/>
        <v>3200</v>
      </c>
      <c r="AF20" s="37">
        <f t="shared" si="16"/>
        <v>800</v>
      </c>
      <c r="AG20" s="47"/>
      <c r="AH20" s="45"/>
      <c r="AI20" s="33"/>
      <c r="AJ20" s="34" t="e">
        <f t="shared" si="17"/>
        <v>#DIV/0!</v>
      </c>
      <c r="AK20" s="33"/>
      <c r="AL20" s="35" t="e">
        <f t="shared" si="18"/>
        <v>#DIV/0!</v>
      </c>
      <c r="AM20" s="46">
        <f t="shared" si="19"/>
        <v>0</v>
      </c>
      <c r="AN20" s="48" t="str">
        <f t="shared" si="20"/>
        <v/>
      </c>
      <c r="AO20" s="178"/>
      <c r="AP20" s="45"/>
      <c r="AQ20" s="33"/>
      <c r="AR20" s="34" t="e">
        <f t="shared" si="21"/>
        <v>#DIV/0!</v>
      </c>
      <c r="AS20" s="33"/>
      <c r="AT20" s="35" t="e">
        <f t="shared" si="22"/>
        <v>#DIV/0!</v>
      </c>
      <c r="AU20" s="46">
        <f t="shared" si="23"/>
        <v>0</v>
      </c>
      <c r="AV20" s="48" t="str">
        <f t="shared" si="24"/>
        <v/>
      </c>
      <c r="AW20" s="61">
        <f t="shared" si="25"/>
        <v>41</v>
      </c>
      <c r="AX20" s="40">
        <f t="shared" si="30"/>
        <v>227090</v>
      </c>
      <c r="AY20" s="40">
        <f t="shared" si="31"/>
        <v>70940</v>
      </c>
      <c r="AZ20" s="50">
        <f t="shared" si="32"/>
        <v>298030</v>
      </c>
      <c r="BA20" s="51">
        <f t="shared" si="26"/>
        <v>0</v>
      </c>
      <c r="BB20" s="52">
        <v>41</v>
      </c>
      <c r="BC20" s="53">
        <v>225390</v>
      </c>
      <c r="BD20" s="53">
        <v>69440</v>
      </c>
      <c r="BE20" s="54"/>
      <c r="BF20" s="54"/>
      <c r="BG20" s="54"/>
      <c r="BH20" s="54"/>
      <c r="BI20" s="179">
        <f t="shared" si="27"/>
        <v>294830</v>
      </c>
      <c r="BJ20" s="28">
        <v>16</v>
      </c>
      <c r="BK20" s="56">
        <f t="shared" si="28"/>
        <v>294830</v>
      </c>
    </row>
    <row r="21" spans="2:63" ht="20" customHeight="1">
      <c r="B21" s="180">
        <f t="shared" si="29"/>
        <v>45063</v>
      </c>
      <c r="C21" s="58"/>
      <c r="D21" s="31"/>
      <c r="E21" s="32">
        <v>40</v>
      </c>
      <c r="F21" s="33">
        <v>152160</v>
      </c>
      <c r="G21" s="34">
        <f t="shared" si="0"/>
        <v>3458.1750000000002</v>
      </c>
      <c r="H21" s="33">
        <v>23160</v>
      </c>
      <c r="I21" s="34">
        <f t="shared" si="1"/>
        <v>526.35</v>
      </c>
      <c r="J21" s="36">
        <f t="shared" si="2"/>
        <v>175320</v>
      </c>
      <c r="K21" s="37">
        <f t="shared" si="3"/>
        <v>4383</v>
      </c>
      <c r="L21" s="38"/>
      <c r="M21" s="39">
        <f t="shared" si="4"/>
        <v>13</v>
      </c>
      <c r="N21" s="40">
        <f t="shared" si="4"/>
        <v>137170</v>
      </c>
      <c r="O21" s="34">
        <f t="shared" si="5"/>
        <v>9592.3076923076915</v>
      </c>
      <c r="P21" s="40">
        <f t="shared" si="6"/>
        <v>48510</v>
      </c>
      <c r="Q21" s="66">
        <f t="shared" si="7"/>
        <v>3392.3076923076924</v>
      </c>
      <c r="R21" s="41">
        <f t="shared" si="8"/>
        <v>185680</v>
      </c>
      <c r="S21" s="37">
        <f t="shared" si="9"/>
        <v>14283.076923076924</v>
      </c>
      <c r="T21" s="59">
        <f t="shared" si="10"/>
        <v>53</v>
      </c>
      <c r="U21" s="40">
        <f t="shared" si="10"/>
        <v>289330</v>
      </c>
      <c r="V21" s="40">
        <f t="shared" si="11"/>
        <v>71670</v>
      </c>
      <c r="W21" s="43">
        <f t="shared" si="12"/>
        <v>361000</v>
      </c>
      <c r="X21" s="60"/>
      <c r="Y21" s="44"/>
      <c r="Z21" s="45">
        <v>2</v>
      </c>
      <c r="AA21" s="33">
        <v>950</v>
      </c>
      <c r="AB21" s="34">
        <f t="shared" si="13"/>
        <v>475</v>
      </c>
      <c r="AC21" s="33">
        <v>0</v>
      </c>
      <c r="AD21" s="35">
        <f t="shared" si="14"/>
        <v>0</v>
      </c>
      <c r="AE21" s="46">
        <f t="shared" si="15"/>
        <v>950</v>
      </c>
      <c r="AF21" s="37">
        <f t="shared" si="16"/>
        <v>475</v>
      </c>
      <c r="AG21" s="47"/>
      <c r="AH21" s="45"/>
      <c r="AI21" s="33"/>
      <c r="AJ21" s="34" t="e">
        <f t="shared" si="17"/>
        <v>#DIV/0!</v>
      </c>
      <c r="AK21" s="33"/>
      <c r="AL21" s="35" t="e">
        <f t="shared" si="18"/>
        <v>#DIV/0!</v>
      </c>
      <c r="AM21" s="46">
        <f t="shared" si="19"/>
        <v>0</v>
      </c>
      <c r="AN21" s="48" t="str">
        <f t="shared" si="20"/>
        <v/>
      </c>
      <c r="AO21" s="178"/>
      <c r="AP21" s="45"/>
      <c r="AQ21" s="33"/>
      <c r="AR21" s="34" t="e">
        <f t="shared" si="21"/>
        <v>#DIV/0!</v>
      </c>
      <c r="AS21" s="33"/>
      <c r="AT21" s="35" t="e">
        <f t="shared" si="22"/>
        <v>#DIV/0!</v>
      </c>
      <c r="AU21" s="46">
        <f t="shared" si="23"/>
        <v>0</v>
      </c>
      <c r="AV21" s="48" t="str">
        <f t="shared" si="24"/>
        <v/>
      </c>
      <c r="AW21" s="61">
        <f t="shared" si="25"/>
        <v>53</v>
      </c>
      <c r="AX21" s="40">
        <f t="shared" si="30"/>
        <v>290280</v>
      </c>
      <c r="AY21" s="40">
        <f t="shared" si="31"/>
        <v>71670</v>
      </c>
      <c r="AZ21" s="50">
        <f t="shared" si="32"/>
        <v>361950</v>
      </c>
      <c r="BA21" s="51">
        <f t="shared" si="26"/>
        <v>7150</v>
      </c>
      <c r="BB21" s="52">
        <v>53</v>
      </c>
      <c r="BC21" s="53">
        <v>289330</v>
      </c>
      <c r="BD21" s="53">
        <v>71670</v>
      </c>
      <c r="BE21" s="54">
        <v>7150</v>
      </c>
      <c r="BF21" s="54"/>
      <c r="BG21" s="54"/>
      <c r="BH21" s="54"/>
      <c r="BI21" s="179">
        <f t="shared" si="27"/>
        <v>368150</v>
      </c>
      <c r="BJ21" s="28">
        <v>17</v>
      </c>
      <c r="BK21" s="56">
        <f t="shared" si="28"/>
        <v>368150</v>
      </c>
    </row>
    <row r="22" spans="2:63" ht="20" customHeight="1">
      <c r="B22" s="180">
        <f t="shared" si="29"/>
        <v>45064</v>
      </c>
      <c r="C22" s="58"/>
      <c r="D22" s="31"/>
      <c r="E22" s="32">
        <v>33</v>
      </c>
      <c r="F22" s="33">
        <v>141350</v>
      </c>
      <c r="G22" s="34">
        <f t="shared" si="0"/>
        <v>3893.939393939394</v>
      </c>
      <c r="H22" s="33">
        <v>7140</v>
      </c>
      <c r="I22" s="34">
        <f t="shared" si="1"/>
        <v>196.66666666666666</v>
      </c>
      <c r="J22" s="36">
        <f t="shared" si="2"/>
        <v>148490</v>
      </c>
      <c r="K22" s="37">
        <f t="shared" si="3"/>
        <v>4499.69696969697</v>
      </c>
      <c r="L22" s="38"/>
      <c r="M22" s="39">
        <f t="shared" si="4"/>
        <v>5</v>
      </c>
      <c r="N22" s="40">
        <f t="shared" si="4"/>
        <v>39160</v>
      </c>
      <c r="O22" s="34">
        <f t="shared" si="5"/>
        <v>7120</v>
      </c>
      <c r="P22" s="40">
        <f t="shared" si="6"/>
        <v>27050</v>
      </c>
      <c r="Q22" s="66">
        <f t="shared" si="7"/>
        <v>4918</v>
      </c>
      <c r="R22" s="41">
        <f t="shared" si="8"/>
        <v>66210</v>
      </c>
      <c r="S22" s="37">
        <f t="shared" si="9"/>
        <v>13242</v>
      </c>
      <c r="T22" s="59">
        <f t="shared" si="10"/>
        <v>38</v>
      </c>
      <c r="U22" s="40">
        <f t="shared" si="10"/>
        <v>180510</v>
      </c>
      <c r="V22" s="40">
        <f t="shared" si="11"/>
        <v>34190</v>
      </c>
      <c r="W22" s="43">
        <f t="shared" si="12"/>
        <v>214700</v>
      </c>
      <c r="X22" s="60"/>
      <c r="Y22" s="44"/>
      <c r="Z22" s="45">
        <v>0</v>
      </c>
      <c r="AA22" s="33">
        <v>0</v>
      </c>
      <c r="AB22" s="34" t="e">
        <f t="shared" si="13"/>
        <v>#DIV/0!</v>
      </c>
      <c r="AC22" s="33">
        <v>0</v>
      </c>
      <c r="AD22" s="35" t="e">
        <f t="shared" si="14"/>
        <v>#DIV/0!</v>
      </c>
      <c r="AE22" s="46">
        <f t="shared" si="15"/>
        <v>0</v>
      </c>
      <c r="AF22" s="37" t="e">
        <f t="shared" si="16"/>
        <v>#DIV/0!</v>
      </c>
      <c r="AG22" s="47"/>
      <c r="AH22" s="45">
        <v>71</v>
      </c>
      <c r="AI22" s="33">
        <v>277965</v>
      </c>
      <c r="AJ22" s="34">
        <f t="shared" si="17"/>
        <v>3915</v>
      </c>
      <c r="AK22" s="33">
        <v>101268</v>
      </c>
      <c r="AL22" s="35">
        <f t="shared" si="18"/>
        <v>1426.3098591549297</v>
      </c>
      <c r="AM22" s="46">
        <f t="shared" si="19"/>
        <v>379233</v>
      </c>
      <c r="AN22" s="48">
        <f t="shared" si="20"/>
        <v>5341.3098591549297</v>
      </c>
      <c r="AO22" s="178"/>
      <c r="AP22" s="45"/>
      <c r="AQ22" s="33"/>
      <c r="AR22" s="34" t="e">
        <f t="shared" si="21"/>
        <v>#DIV/0!</v>
      </c>
      <c r="AS22" s="33"/>
      <c r="AT22" s="35" t="e">
        <f t="shared" si="22"/>
        <v>#DIV/0!</v>
      </c>
      <c r="AU22" s="46">
        <f t="shared" si="23"/>
        <v>0</v>
      </c>
      <c r="AV22" s="48" t="str">
        <f t="shared" si="24"/>
        <v/>
      </c>
      <c r="AW22" s="61">
        <f t="shared" si="25"/>
        <v>38</v>
      </c>
      <c r="AX22" s="40">
        <f t="shared" si="30"/>
        <v>458475</v>
      </c>
      <c r="AY22" s="40">
        <f t="shared" si="31"/>
        <v>135458</v>
      </c>
      <c r="AZ22" s="50">
        <f t="shared" si="32"/>
        <v>593933</v>
      </c>
      <c r="BA22" s="51">
        <f t="shared" si="26"/>
        <v>0</v>
      </c>
      <c r="BB22" s="52">
        <v>38</v>
      </c>
      <c r="BC22" s="53">
        <v>180510</v>
      </c>
      <c r="BD22" s="53">
        <v>34190</v>
      </c>
      <c r="BE22" s="54"/>
      <c r="BF22" s="54"/>
      <c r="BG22" s="54"/>
      <c r="BH22" s="54"/>
      <c r="BI22" s="179">
        <f t="shared" si="27"/>
        <v>214700</v>
      </c>
      <c r="BJ22" s="28">
        <v>18</v>
      </c>
      <c r="BK22" s="56">
        <f t="shared" si="28"/>
        <v>214700</v>
      </c>
    </row>
    <row r="23" spans="2:63" ht="20" customHeight="1">
      <c r="B23" s="180">
        <f t="shared" si="29"/>
        <v>45065</v>
      </c>
      <c r="C23" s="58"/>
      <c r="D23" s="31"/>
      <c r="E23" s="32">
        <v>36</v>
      </c>
      <c r="F23" s="33">
        <v>122540</v>
      </c>
      <c r="G23" s="34">
        <f t="shared" si="0"/>
        <v>3094.4444444444443</v>
      </c>
      <c r="H23" s="33">
        <v>12630</v>
      </c>
      <c r="I23" s="34">
        <f t="shared" si="1"/>
        <v>318.91666666666669</v>
      </c>
      <c r="J23" s="36">
        <f t="shared" si="2"/>
        <v>135170</v>
      </c>
      <c r="K23" s="37">
        <f t="shared" si="3"/>
        <v>3754.7222222222222</v>
      </c>
      <c r="L23" s="38"/>
      <c r="M23" s="39">
        <f t="shared" si="4"/>
        <v>13</v>
      </c>
      <c r="N23" s="40">
        <f t="shared" si="4"/>
        <v>143880</v>
      </c>
      <c r="O23" s="34">
        <f t="shared" si="5"/>
        <v>10061.538461538461</v>
      </c>
      <c r="P23" s="40">
        <f t="shared" si="6"/>
        <v>32750</v>
      </c>
      <c r="Q23" s="66">
        <f t="shared" si="7"/>
        <v>2290.1538461538462</v>
      </c>
      <c r="R23" s="41">
        <f t="shared" si="8"/>
        <v>176630</v>
      </c>
      <c r="S23" s="37">
        <f t="shared" si="9"/>
        <v>13586.923076923076</v>
      </c>
      <c r="T23" s="59">
        <f t="shared" si="10"/>
        <v>49</v>
      </c>
      <c r="U23" s="40">
        <f t="shared" si="10"/>
        <v>266420</v>
      </c>
      <c r="V23" s="40">
        <f t="shared" si="11"/>
        <v>45380</v>
      </c>
      <c r="W23" s="43">
        <f t="shared" si="12"/>
        <v>311800</v>
      </c>
      <c r="X23" s="60"/>
      <c r="Y23" s="44"/>
      <c r="Z23" s="45">
        <v>10</v>
      </c>
      <c r="AA23" s="33">
        <v>1300</v>
      </c>
      <c r="AB23" s="34">
        <f t="shared" si="13"/>
        <v>130</v>
      </c>
      <c r="AC23" s="33">
        <v>5000</v>
      </c>
      <c r="AD23" s="35">
        <f t="shared" si="14"/>
        <v>500</v>
      </c>
      <c r="AE23" s="46">
        <f t="shared" si="15"/>
        <v>6300</v>
      </c>
      <c r="AF23" s="37">
        <f t="shared" si="16"/>
        <v>630</v>
      </c>
      <c r="AG23" s="47"/>
      <c r="AH23" s="45"/>
      <c r="AI23" s="33"/>
      <c r="AJ23" s="34" t="e">
        <f t="shared" si="17"/>
        <v>#DIV/0!</v>
      </c>
      <c r="AK23" s="33"/>
      <c r="AL23" s="35" t="e">
        <f t="shared" si="18"/>
        <v>#DIV/0!</v>
      </c>
      <c r="AM23" s="46">
        <f t="shared" si="19"/>
        <v>0</v>
      </c>
      <c r="AN23" s="48" t="str">
        <f t="shared" si="20"/>
        <v/>
      </c>
      <c r="AO23" s="178"/>
      <c r="AP23" s="45"/>
      <c r="AQ23" s="33"/>
      <c r="AR23" s="34" t="e">
        <f t="shared" si="21"/>
        <v>#DIV/0!</v>
      </c>
      <c r="AS23" s="33"/>
      <c r="AT23" s="35" t="e">
        <f t="shared" si="22"/>
        <v>#DIV/0!</v>
      </c>
      <c r="AU23" s="46">
        <f t="shared" si="23"/>
        <v>0</v>
      </c>
      <c r="AV23" s="48" t="str">
        <f t="shared" si="24"/>
        <v/>
      </c>
      <c r="AW23" s="61">
        <f t="shared" si="25"/>
        <v>49</v>
      </c>
      <c r="AX23" s="40">
        <f t="shared" si="30"/>
        <v>267720</v>
      </c>
      <c r="AY23" s="40">
        <f t="shared" si="31"/>
        <v>50380</v>
      </c>
      <c r="AZ23" s="50">
        <f t="shared" si="32"/>
        <v>318100</v>
      </c>
      <c r="BA23" s="51">
        <f t="shared" si="26"/>
        <v>0</v>
      </c>
      <c r="BB23" s="52">
        <v>49</v>
      </c>
      <c r="BC23" s="53">
        <v>266420</v>
      </c>
      <c r="BD23" s="53">
        <v>45380</v>
      </c>
      <c r="BE23" s="54"/>
      <c r="BF23" s="54"/>
      <c r="BG23" s="54"/>
      <c r="BH23" s="54"/>
      <c r="BI23" s="179">
        <f t="shared" si="27"/>
        <v>311800</v>
      </c>
      <c r="BJ23" s="28">
        <v>19</v>
      </c>
      <c r="BK23" s="56">
        <f t="shared" si="28"/>
        <v>311800</v>
      </c>
    </row>
    <row r="24" spans="2:63" ht="20" customHeight="1">
      <c r="B24" s="180">
        <f t="shared" si="29"/>
        <v>45066</v>
      </c>
      <c r="C24" s="58"/>
      <c r="D24" s="31"/>
      <c r="E24" s="32">
        <v>33</v>
      </c>
      <c r="F24" s="33">
        <v>131340</v>
      </c>
      <c r="G24" s="34">
        <f t="shared" si="0"/>
        <v>3618.181818181818</v>
      </c>
      <c r="H24" s="33">
        <v>28780</v>
      </c>
      <c r="I24" s="34">
        <f t="shared" si="1"/>
        <v>792.81818181818187</v>
      </c>
      <c r="J24" s="36">
        <f t="shared" si="2"/>
        <v>160120</v>
      </c>
      <c r="K24" s="37">
        <f t="shared" si="3"/>
        <v>4852.121212121212</v>
      </c>
      <c r="L24" s="38"/>
      <c r="M24" s="39">
        <f t="shared" si="4"/>
        <v>12</v>
      </c>
      <c r="N24" s="40">
        <f t="shared" si="4"/>
        <v>141230</v>
      </c>
      <c r="O24" s="34">
        <f t="shared" si="5"/>
        <v>10699.166666666666</v>
      </c>
      <c r="P24" s="40">
        <f t="shared" si="6"/>
        <v>31790</v>
      </c>
      <c r="Q24" s="66">
        <f t="shared" si="7"/>
        <v>2408.3333333333335</v>
      </c>
      <c r="R24" s="41">
        <f t="shared" si="8"/>
        <v>173020</v>
      </c>
      <c r="S24" s="37">
        <f t="shared" si="9"/>
        <v>14418.333333333334</v>
      </c>
      <c r="T24" s="59">
        <f t="shared" si="10"/>
        <v>45</v>
      </c>
      <c r="U24" s="40">
        <f t="shared" si="10"/>
        <v>272570</v>
      </c>
      <c r="V24" s="40">
        <f t="shared" si="11"/>
        <v>60570</v>
      </c>
      <c r="W24" s="43">
        <f t="shared" si="12"/>
        <v>333140</v>
      </c>
      <c r="X24" s="60"/>
      <c r="Y24" s="44"/>
      <c r="Z24" s="45">
        <v>13</v>
      </c>
      <c r="AA24" s="33">
        <v>6050</v>
      </c>
      <c r="AB24" s="34">
        <f t="shared" si="13"/>
        <v>465.38461538461536</v>
      </c>
      <c r="AC24" s="33">
        <v>3500</v>
      </c>
      <c r="AD24" s="35">
        <f t="shared" si="14"/>
        <v>269.23076923076923</v>
      </c>
      <c r="AE24" s="46">
        <f t="shared" si="15"/>
        <v>9550</v>
      </c>
      <c r="AF24" s="37">
        <f t="shared" si="16"/>
        <v>734.61538461538464</v>
      </c>
      <c r="AG24" s="47"/>
      <c r="AH24" s="45"/>
      <c r="AI24" s="33"/>
      <c r="AJ24" s="34" t="e">
        <f t="shared" si="17"/>
        <v>#DIV/0!</v>
      </c>
      <c r="AK24" s="33"/>
      <c r="AL24" s="35" t="e">
        <f t="shared" si="18"/>
        <v>#DIV/0!</v>
      </c>
      <c r="AM24" s="46">
        <f t="shared" si="19"/>
        <v>0</v>
      </c>
      <c r="AN24" s="48" t="str">
        <f t="shared" si="20"/>
        <v/>
      </c>
      <c r="AO24" s="178"/>
      <c r="AP24" s="45"/>
      <c r="AQ24" s="33"/>
      <c r="AR24" s="34" t="e">
        <f t="shared" si="21"/>
        <v>#DIV/0!</v>
      </c>
      <c r="AS24" s="33"/>
      <c r="AT24" s="35" t="e">
        <f t="shared" si="22"/>
        <v>#DIV/0!</v>
      </c>
      <c r="AU24" s="46">
        <f t="shared" si="23"/>
        <v>0</v>
      </c>
      <c r="AV24" s="48" t="str">
        <f t="shared" si="24"/>
        <v/>
      </c>
      <c r="AW24" s="61">
        <f t="shared" si="25"/>
        <v>45</v>
      </c>
      <c r="AX24" s="40">
        <f t="shared" si="30"/>
        <v>278620</v>
      </c>
      <c r="AY24" s="40">
        <f t="shared" si="31"/>
        <v>64070</v>
      </c>
      <c r="AZ24" s="50">
        <f t="shared" si="32"/>
        <v>342690</v>
      </c>
      <c r="BA24" s="51">
        <f t="shared" si="26"/>
        <v>0</v>
      </c>
      <c r="BB24" s="52">
        <v>45</v>
      </c>
      <c r="BC24" s="53">
        <v>272570</v>
      </c>
      <c r="BD24" s="53">
        <v>60570</v>
      </c>
      <c r="BE24" s="54"/>
      <c r="BF24" s="54"/>
      <c r="BG24" s="54"/>
      <c r="BH24" s="54"/>
      <c r="BI24" s="179">
        <f t="shared" si="27"/>
        <v>333140</v>
      </c>
      <c r="BJ24" s="28">
        <v>20</v>
      </c>
      <c r="BK24" s="56">
        <f t="shared" si="28"/>
        <v>333140</v>
      </c>
    </row>
    <row r="25" spans="2:63" ht="20" customHeight="1">
      <c r="B25" s="180">
        <f t="shared" si="29"/>
        <v>45067</v>
      </c>
      <c r="C25" s="58"/>
      <c r="D25" s="31"/>
      <c r="E25" s="32">
        <v>34</v>
      </c>
      <c r="F25" s="33">
        <v>147910</v>
      </c>
      <c r="G25" s="34">
        <f t="shared" si="0"/>
        <v>3954.794117647059</v>
      </c>
      <c r="H25" s="33">
        <v>28590</v>
      </c>
      <c r="I25" s="34">
        <f t="shared" si="1"/>
        <v>764.41176470588232</v>
      </c>
      <c r="J25" s="36">
        <f t="shared" si="2"/>
        <v>176500</v>
      </c>
      <c r="K25" s="37">
        <f t="shared" si="3"/>
        <v>5191.1764705882351</v>
      </c>
      <c r="L25" s="38"/>
      <c r="M25" s="39">
        <f t="shared" si="4"/>
        <v>18</v>
      </c>
      <c r="N25" s="40">
        <f t="shared" si="4"/>
        <v>205100</v>
      </c>
      <c r="O25" s="34">
        <f t="shared" si="5"/>
        <v>10358.555555555555</v>
      </c>
      <c r="P25" s="40">
        <f t="shared" si="6"/>
        <v>52120</v>
      </c>
      <c r="Q25" s="66">
        <f t="shared" si="7"/>
        <v>2632.2777777777778</v>
      </c>
      <c r="R25" s="41">
        <f t="shared" si="8"/>
        <v>257220</v>
      </c>
      <c r="S25" s="37">
        <f t="shared" si="9"/>
        <v>14290</v>
      </c>
      <c r="T25" s="59">
        <f t="shared" si="10"/>
        <v>52</v>
      </c>
      <c r="U25" s="40">
        <f t="shared" si="10"/>
        <v>353010</v>
      </c>
      <c r="V25" s="40">
        <f t="shared" si="11"/>
        <v>80710</v>
      </c>
      <c r="W25" s="43">
        <f t="shared" si="12"/>
        <v>433720</v>
      </c>
      <c r="X25" s="60"/>
      <c r="Y25" s="44"/>
      <c r="Z25" s="45">
        <v>26</v>
      </c>
      <c r="AA25" s="33">
        <v>12500</v>
      </c>
      <c r="AB25" s="34">
        <f t="shared" si="13"/>
        <v>480.76923076923077</v>
      </c>
      <c r="AC25" s="33">
        <v>1000</v>
      </c>
      <c r="AD25" s="35">
        <f t="shared" si="14"/>
        <v>38.46153846153846</v>
      </c>
      <c r="AE25" s="46">
        <f t="shared" si="15"/>
        <v>13500</v>
      </c>
      <c r="AF25" s="37">
        <f t="shared" si="16"/>
        <v>519.23076923076928</v>
      </c>
      <c r="AG25" s="47"/>
      <c r="AH25" s="45"/>
      <c r="AI25" s="33"/>
      <c r="AJ25" s="34" t="e">
        <f t="shared" si="17"/>
        <v>#DIV/0!</v>
      </c>
      <c r="AK25" s="33"/>
      <c r="AL25" s="35" t="e">
        <f t="shared" si="18"/>
        <v>#DIV/0!</v>
      </c>
      <c r="AM25" s="46">
        <f t="shared" si="19"/>
        <v>0</v>
      </c>
      <c r="AN25" s="48" t="str">
        <f t="shared" si="20"/>
        <v/>
      </c>
      <c r="AO25" s="178"/>
      <c r="AP25" s="45"/>
      <c r="AQ25" s="33"/>
      <c r="AR25" s="34" t="e">
        <f t="shared" si="21"/>
        <v>#DIV/0!</v>
      </c>
      <c r="AS25" s="33"/>
      <c r="AT25" s="35" t="e">
        <f t="shared" si="22"/>
        <v>#DIV/0!</v>
      </c>
      <c r="AU25" s="46">
        <f t="shared" si="23"/>
        <v>0</v>
      </c>
      <c r="AV25" s="48" t="str">
        <f t="shared" si="24"/>
        <v/>
      </c>
      <c r="AW25" s="61">
        <f t="shared" si="25"/>
        <v>52</v>
      </c>
      <c r="AX25" s="40">
        <f t="shared" si="30"/>
        <v>365510</v>
      </c>
      <c r="AY25" s="40">
        <f t="shared" si="31"/>
        <v>81710</v>
      </c>
      <c r="AZ25" s="50">
        <f t="shared" si="32"/>
        <v>447220</v>
      </c>
      <c r="BA25" s="51">
        <f t="shared" si="26"/>
        <v>2750</v>
      </c>
      <c r="BB25" s="52">
        <v>52</v>
      </c>
      <c r="BC25" s="53">
        <v>353010</v>
      </c>
      <c r="BD25" s="53">
        <v>80710</v>
      </c>
      <c r="BE25" s="54">
        <v>2750</v>
      </c>
      <c r="BF25" s="54"/>
      <c r="BG25" s="54"/>
      <c r="BH25" s="54"/>
      <c r="BI25" s="179">
        <f t="shared" si="27"/>
        <v>436470</v>
      </c>
      <c r="BJ25" s="28">
        <v>21</v>
      </c>
      <c r="BK25" s="56">
        <f t="shared" si="28"/>
        <v>436470</v>
      </c>
    </row>
    <row r="26" spans="2:63" ht="20" customHeight="1">
      <c r="B26" s="180">
        <f t="shared" si="29"/>
        <v>45068</v>
      </c>
      <c r="C26" s="58"/>
      <c r="D26" s="31"/>
      <c r="E26" s="32">
        <v>44</v>
      </c>
      <c r="F26" s="33">
        <v>120850</v>
      </c>
      <c r="G26" s="34">
        <f t="shared" si="0"/>
        <v>2496.8863636363635</v>
      </c>
      <c r="H26" s="33">
        <v>9240</v>
      </c>
      <c r="I26" s="34">
        <f t="shared" si="1"/>
        <v>190.90909090909091</v>
      </c>
      <c r="J26" s="36">
        <f t="shared" si="2"/>
        <v>130090</v>
      </c>
      <c r="K26" s="37">
        <f t="shared" si="3"/>
        <v>2956.590909090909</v>
      </c>
      <c r="L26" s="38"/>
      <c r="M26" s="39">
        <f t="shared" si="4"/>
        <v>3</v>
      </c>
      <c r="N26" s="40">
        <f t="shared" si="4"/>
        <v>26400</v>
      </c>
      <c r="O26" s="34">
        <f t="shared" si="5"/>
        <v>8000</v>
      </c>
      <c r="P26" s="40">
        <f t="shared" si="6"/>
        <v>44650</v>
      </c>
      <c r="Q26" s="66">
        <f t="shared" si="7"/>
        <v>13530</v>
      </c>
      <c r="R26" s="41">
        <f t="shared" si="8"/>
        <v>71050</v>
      </c>
      <c r="S26" s="37">
        <f t="shared" si="9"/>
        <v>23683.333333333332</v>
      </c>
      <c r="T26" s="59">
        <f t="shared" si="10"/>
        <v>47</v>
      </c>
      <c r="U26" s="40">
        <f t="shared" si="10"/>
        <v>147250</v>
      </c>
      <c r="V26" s="40">
        <f t="shared" si="11"/>
        <v>53890</v>
      </c>
      <c r="W26" s="43">
        <f t="shared" si="12"/>
        <v>201140</v>
      </c>
      <c r="X26" s="60"/>
      <c r="Y26" s="44"/>
      <c r="Z26" s="45">
        <v>4</v>
      </c>
      <c r="AA26" s="33">
        <v>2000</v>
      </c>
      <c r="AB26" s="34">
        <f t="shared" si="13"/>
        <v>500</v>
      </c>
      <c r="AC26" s="33">
        <v>1250</v>
      </c>
      <c r="AD26" s="35">
        <f t="shared" si="14"/>
        <v>312.5</v>
      </c>
      <c r="AE26" s="46">
        <f t="shared" si="15"/>
        <v>3250</v>
      </c>
      <c r="AF26" s="37">
        <f t="shared" si="16"/>
        <v>812.5</v>
      </c>
      <c r="AG26" s="47"/>
      <c r="AH26" s="45">
        <v>12</v>
      </c>
      <c r="AI26" s="33">
        <v>46980</v>
      </c>
      <c r="AJ26" s="34">
        <f t="shared" si="17"/>
        <v>3915</v>
      </c>
      <c r="AK26" s="33">
        <v>15660</v>
      </c>
      <c r="AL26" s="35">
        <f t="shared" si="18"/>
        <v>1305</v>
      </c>
      <c r="AM26" s="46">
        <f t="shared" si="19"/>
        <v>62640</v>
      </c>
      <c r="AN26" s="48">
        <f t="shared" si="20"/>
        <v>5220</v>
      </c>
      <c r="AO26" s="178"/>
      <c r="AP26" s="45"/>
      <c r="AQ26" s="33"/>
      <c r="AR26" s="34" t="e">
        <f t="shared" si="21"/>
        <v>#DIV/0!</v>
      </c>
      <c r="AS26" s="33"/>
      <c r="AT26" s="35" t="e">
        <f t="shared" si="22"/>
        <v>#DIV/0!</v>
      </c>
      <c r="AU26" s="46">
        <f t="shared" si="23"/>
        <v>0</v>
      </c>
      <c r="AV26" s="48" t="str">
        <f t="shared" si="24"/>
        <v/>
      </c>
      <c r="AW26" s="61">
        <f t="shared" si="25"/>
        <v>47</v>
      </c>
      <c r="AX26" s="40">
        <f t="shared" si="30"/>
        <v>196230</v>
      </c>
      <c r="AY26" s="40">
        <f t="shared" si="31"/>
        <v>70800</v>
      </c>
      <c r="AZ26" s="50">
        <f t="shared" si="32"/>
        <v>267030</v>
      </c>
      <c r="BA26" s="51">
        <f t="shared" si="26"/>
        <v>0</v>
      </c>
      <c r="BB26" s="52">
        <v>47</v>
      </c>
      <c r="BC26" s="53">
        <v>147250</v>
      </c>
      <c r="BD26" s="53">
        <v>53890</v>
      </c>
      <c r="BE26" s="54"/>
      <c r="BF26" s="54"/>
      <c r="BG26" s="54"/>
      <c r="BH26" s="54"/>
      <c r="BI26" s="179">
        <f t="shared" si="27"/>
        <v>201140</v>
      </c>
      <c r="BJ26" s="28">
        <v>22</v>
      </c>
      <c r="BK26" s="56">
        <f t="shared" si="28"/>
        <v>201140</v>
      </c>
    </row>
    <row r="27" spans="2:63" ht="20" customHeight="1">
      <c r="B27" s="180">
        <f t="shared" si="29"/>
        <v>45069</v>
      </c>
      <c r="C27" s="58"/>
      <c r="D27" s="31"/>
      <c r="E27" s="32">
        <v>37</v>
      </c>
      <c r="F27" s="33">
        <v>150840</v>
      </c>
      <c r="G27" s="34">
        <f t="shared" si="0"/>
        <v>3706.135135135135</v>
      </c>
      <c r="H27" s="33">
        <v>16990</v>
      </c>
      <c r="I27" s="34">
        <f t="shared" si="1"/>
        <v>417.43243243243245</v>
      </c>
      <c r="J27" s="36">
        <f t="shared" si="2"/>
        <v>167830</v>
      </c>
      <c r="K27" s="37">
        <f t="shared" si="3"/>
        <v>4535.9459459459458</v>
      </c>
      <c r="L27" s="38"/>
      <c r="M27" s="39">
        <f t="shared" si="4"/>
        <v>12</v>
      </c>
      <c r="N27" s="40">
        <f t="shared" si="4"/>
        <v>97270</v>
      </c>
      <c r="O27" s="34">
        <f t="shared" si="5"/>
        <v>7368.916666666667</v>
      </c>
      <c r="P27" s="40">
        <f t="shared" si="6"/>
        <v>21347</v>
      </c>
      <c r="Q27" s="35">
        <f t="shared" si="7"/>
        <v>1617.1666666666667</v>
      </c>
      <c r="R27" s="41">
        <f t="shared" si="8"/>
        <v>118617</v>
      </c>
      <c r="S27" s="37">
        <f t="shared" si="9"/>
        <v>9884.75</v>
      </c>
      <c r="T27" s="59">
        <f t="shared" si="10"/>
        <v>49</v>
      </c>
      <c r="U27" s="40">
        <f t="shared" si="10"/>
        <v>248110</v>
      </c>
      <c r="V27" s="40">
        <f t="shared" si="11"/>
        <v>38337</v>
      </c>
      <c r="W27" s="43">
        <f t="shared" si="12"/>
        <v>286447</v>
      </c>
      <c r="X27" s="60"/>
      <c r="Y27" s="44"/>
      <c r="Z27" s="45">
        <v>13</v>
      </c>
      <c r="AA27" s="33">
        <v>8150</v>
      </c>
      <c r="AB27" s="34">
        <f t="shared" si="13"/>
        <v>626.92307692307691</v>
      </c>
      <c r="AC27" s="33">
        <v>3500</v>
      </c>
      <c r="AD27" s="35">
        <f t="shared" si="14"/>
        <v>269.23076923076923</v>
      </c>
      <c r="AE27" s="46">
        <f t="shared" si="15"/>
        <v>11650</v>
      </c>
      <c r="AF27" s="37">
        <f t="shared" si="16"/>
        <v>896.15384615384619</v>
      </c>
      <c r="AG27" s="47"/>
      <c r="AH27" s="45"/>
      <c r="AI27" s="33"/>
      <c r="AJ27" s="34" t="e">
        <f t="shared" si="17"/>
        <v>#DIV/0!</v>
      </c>
      <c r="AK27" s="33"/>
      <c r="AL27" s="35" t="e">
        <f t="shared" si="18"/>
        <v>#DIV/0!</v>
      </c>
      <c r="AM27" s="46">
        <f t="shared" si="19"/>
        <v>0</v>
      </c>
      <c r="AN27" s="48" t="str">
        <f t="shared" si="20"/>
        <v/>
      </c>
      <c r="AO27" s="178"/>
      <c r="AP27" s="45"/>
      <c r="AQ27" s="33"/>
      <c r="AR27" s="34" t="e">
        <f t="shared" si="21"/>
        <v>#DIV/0!</v>
      </c>
      <c r="AS27" s="33"/>
      <c r="AT27" s="35" t="e">
        <f t="shared" si="22"/>
        <v>#DIV/0!</v>
      </c>
      <c r="AU27" s="46">
        <f t="shared" si="23"/>
        <v>0</v>
      </c>
      <c r="AV27" s="48" t="str">
        <f t="shared" si="24"/>
        <v/>
      </c>
      <c r="AW27" s="61">
        <f t="shared" si="25"/>
        <v>49</v>
      </c>
      <c r="AX27" s="40">
        <f t="shared" si="30"/>
        <v>256260</v>
      </c>
      <c r="AY27" s="40">
        <f t="shared" si="31"/>
        <v>41837</v>
      </c>
      <c r="AZ27" s="50">
        <f t="shared" si="32"/>
        <v>298097</v>
      </c>
      <c r="BA27" s="51">
        <f t="shared" si="26"/>
        <v>0</v>
      </c>
      <c r="BB27" s="52">
        <v>49</v>
      </c>
      <c r="BC27" s="53">
        <v>248110</v>
      </c>
      <c r="BD27" s="53">
        <v>38337</v>
      </c>
      <c r="BE27" s="54"/>
      <c r="BF27" s="54"/>
      <c r="BG27" s="54"/>
      <c r="BH27" s="54"/>
      <c r="BI27" s="179">
        <f t="shared" si="27"/>
        <v>286447</v>
      </c>
      <c r="BJ27" s="28">
        <v>23</v>
      </c>
      <c r="BK27" s="56">
        <f t="shared" si="28"/>
        <v>286447</v>
      </c>
    </row>
    <row r="28" spans="2:63" ht="20" customHeight="1">
      <c r="B28" s="180">
        <f t="shared" si="29"/>
        <v>45070</v>
      </c>
      <c r="C28" s="58"/>
      <c r="D28" s="31"/>
      <c r="E28" s="32">
        <v>34</v>
      </c>
      <c r="F28" s="33">
        <v>122830</v>
      </c>
      <c r="G28" s="34">
        <f t="shared" si="0"/>
        <v>3284.205882352941</v>
      </c>
      <c r="H28" s="33">
        <v>18410</v>
      </c>
      <c r="I28" s="34">
        <f t="shared" si="1"/>
        <v>492.23529411764707</v>
      </c>
      <c r="J28" s="36">
        <f t="shared" si="2"/>
        <v>141240</v>
      </c>
      <c r="K28" s="37">
        <f t="shared" si="3"/>
        <v>4154.1176470588234</v>
      </c>
      <c r="L28" s="38"/>
      <c r="M28" s="39">
        <f t="shared" si="4"/>
        <v>12</v>
      </c>
      <c r="N28" s="40">
        <f t="shared" si="4"/>
        <v>123860</v>
      </c>
      <c r="O28" s="34">
        <f t="shared" si="5"/>
        <v>9383.3333333333339</v>
      </c>
      <c r="P28" s="40">
        <f t="shared" si="6"/>
        <v>25830</v>
      </c>
      <c r="Q28" s="35">
        <f t="shared" si="7"/>
        <v>1956.75</v>
      </c>
      <c r="R28" s="41">
        <f t="shared" si="8"/>
        <v>149690</v>
      </c>
      <c r="S28" s="37">
        <f t="shared" si="9"/>
        <v>12474.166666666666</v>
      </c>
      <c r="T28" s="59">
        <f t="shared" si="10"/>
        <v>46</v>
      </c>
      <c r="U28" s="40">
        <f t="shared" si="10"/>
        <v>246690</v>
      </c>
      <c r="V28" s="40">
        <f t="shared" si="11"/>
        <v>44240</v>
      </c>
      <c r="W28" s="43">
        <f t="shared" si="12"/>
        <v>290930</v>
      </c>
      <c r="X28" s="60"/>
      <c r="Y28" s="44"/>
      <c r="Z28" s="45">
        <v>4</v>
      </c>
      <c r="AA28" s="33">
        <v>2200</v>
      </c>
      <c r="AB28" s="34">
        <f t="shared" si="13"/>
        <v>550</v>
      </c>
      <c r="AC28" s="33">
        <v>1000</v>
      </c>
      <c r="AD28" s="35">
        <f t="shared" si="14"/>
        <v>250</v>
      </c>
      <c r="AE28" s="46">
        <f t="shared" si="15"/>
        <v>3200</v>
      </c>
      <c r="AF28" s="37">
        <f t="shared" si="16"/>
        <v>800</v>
      </c>
      <c r="AG28" s="47"/>
      <c r="AH28" s="45"/>
      <c r="AI28" s="33"/>
      <c r="AJ28" s="34" t="e">
        <f t="shared" si="17"/>
        <v>#DIV/0!</v>
      </c>
      <c r="AK28" s="33"/>
      <c r="AL28" s="35" t="e">
        <f t="shared" si="18"/>
        <v>#DIV/0!</v>
      </c>
      <c r="AM28" s="46">
        <f t="shared" si="19"/>
        <v>0</v>
      </c>
      <c r="AN28" s="48" t="str">
        <f t="shared" si="20"/>
        <v/>
      </c>
      <c r="AO28" s="178"/>
      <c r="AP28" s="45"/>
      <c r="AQ28" s="33"/>
      <c r="AR28" s="34" t="e">
        <f t="shared" si="21"/>
        <v>#DIV/0!</v>
      </c>
      <c r="AS28" s="33"/>
      <c r="AT28" s="35" t="e">
        <f t="shared" si="22"/>
        <v>#DIV/0!</v>
      </c>
      <c r="AU28" s="46">
        <f t="shared" si="23"/>
        <v>0</v>
      </c>
      <c r="AV28" s="48" t="str">
        <f t="shared" si="24"/>
        <v/>
      </c>
      <c r="AW28" s="61">
        <f t="shared" si="25"/>
        <v>46</v>
      </c>
      <c r="AX28" s="40">
        <f t="shared" si="30"/>
        <v>248890</v>
      </c>
      <c r="AY28" s="40">
        <f t="shared" si="31"/>
        <v>45240</v>
      </c>
      <c r="AZ28" s="50">
        <f t="shared" si="32"/>
        <v>294130</v>
      </c>
      <c r="BA28" s="51">
        <f t="shared" si="26"/>
        <v>2200</v>
      </c>
      <c r="BB28" s="52">
        <v>46</v>
      </c>
      <c r="BC28" s="53">
        <v>246690</v>
      </c>
      <c r="BD28" s="53">
        <v>44240</v>
      </c>
      <c r="BE28" s="54">
        <v>2200</v>
      </c>
      <c r="BF28" s="54"/>
      <c r="BG28" s="54"/>
      <c r="BH28" s="54"/>
      <c r="BI28" s="179">
        <f t="shared" si="27"/>
        <v>293130</v>
      </c>
      <c r="BJ28" s="28">
        <v>24</v>
      </c>
      <c r="BK28" s="56">
        <f t="shared" si="28"/>
        <v>293130</v>
      </c>
    </row>
    <row r="29" spans="2:63" ht="20" customHeight="1">
      <c r="B29" s="180">
        <f t="shared" si="29"/>
        <v>45071</v>
      </c>
      <c r="C29" s="58"/>
      <c r="D29" s="31"/>
      <c r="E29" s="32">
        <v>30</v>
      </c>
      <c r="F29" s="33">
        <v>119240</v>
      </c>
      <c r="G29" s="34">
        <f t="shared" si="0"/>
        <v>3613.3333333333335</v>
      </c>
      <c r="H29" s="33">
        <v>5330</v>
      </c>
      <c r="I29" s="34">
        <f t="shared" si="1"/>
        <v>161.5</v>
      </c>
      <c r="J29" s="36">
        <f t="shared" si="2"/>
        <v>124570</v>
      </c>
      <c r="K29" s="37">
        <f t="shared" si="3"/>
        <v>4152.333333333333</v>
      </c>
      <c r="L29" s="38"/>
      <c r="M29" s="39">
        <f t="shared" si="4"/>
        <v>17</v>
      </c>
      <c r="N29" s="40">
        <f t="shared" si="4"/>
        <v>213620</v>
      </c>
      <c r="O29" s="34">
        <f t="shared" si="5"/>
        <v>11423.529411764706</v>
      </c>
      <c r="P29" s="40">
        <f t="shared" si="6"/>
        <v>54110</v>
      </c>
      <c r="Q29" s="35">
        <f t="shared" si="7"/>
        <v>2893.5294117647059</v>
      </c>
      <c r="R29" s="41">
        <f t="shared" si="8"/>
        <v>267730</v>
      </c>
      <c r="S29" s="37">
        <f t="shared" si="9"/>
        <v>15748.823529411764</v>
      </c>
      <c r="T29" s="59">
        <f t="shared" si="10"/>
        <v>47</v>
      </c>
      <c r="U29" s="40">
        <f t="shared" si="10"/>
        <v>332860</v>
      </c>
      <c r="V29" s="40">
        <f t="shared" si="11"/>
        <v>59440</v>
      </c>
      <c r="W29" s="43">
        <f t="shared" si="12"/>
        <v>392300</v>
      </c>
      <c r="X29" s="60"/>
      <c r="Y29" s="44"/>
      <c r="Z29" s="45">
        <v>5</v>
      </c>
      <c r="AA29" s="33">
        <v>3000</v>
      </c>
      <c r="AB29" s="34">
        <f t="shared" si="13"/>
        <v>600</v>
      </c>
      <c r="AC29" s="33"/>
      <c r="AD29" s="35">
        <f t="shared" si="14"/>
        <v>0</v>
      </c>
      <c r="AE29" s="46">
        <f t="shared" si="15"/>
        <v>3000</v>
      </c>
      <c r="AF29" s="37">
        <f t="shared" si="16"/>
        <v>600</v>
      </c>
      <c r="AG29" s="47"/>
      <c r="AH29" s="45">
        <v>27</v>
      </c>
      <c r="AI29" s="33">
        <v>152685</v>
      </c>
      <c r="AJ29" s="34">
        <f t="shared" si="17"/>
        <v>5655</v>
      </c>
      <c r="AK29" s="33">
        <v>35235</v>
      </c>
      <c r="AL29" s="35">
        <f t="shared" si="18"/>
        <v>1305</v>
      </c>
      <c r="AM29" s="46">
        <f t="shared" si="19"/>
        <v>187920</v>
      </c>
      <c r="AN29" s="48">
        <f t="shared" si="20"/>
        <v>6960</v>
      </c>
      <c r="AO29" s="178"/>
      <c r="AP29" s="45"/>
      <c r="AQ29" s="33"/>
      <c r="AR29" s="34" t="e">
        <f t="shared" si="21"/>
        <v>#DIV/0!</v>
      </c>
      <c r="AS29" s="33"/>
      <c r="AT29" s="35" t="e">
        <f t="shared" si="22"/>
        <v>#DIV/0!</v>
      </c>
      <c r="AU29" s="46">
        <f t="shared" si="23"/>
        <v>0</v>
      </c>
      <c r="AV29" s="48" t="str">
        <f t="shared" si="24"/>
        <v/>
      </c>
      <c r="AW29" s="61">
        <f t="shared" si="25"/>
        <v>47</v>
      </c>
      <c r="AX29" s="40">
        <f t="shared" si="30"/>
        <v>488545</v>
      </c>
      <c r="AY29" s="40">
        <f t="shared" si="31"/>
        <v>94675</v>
      </c>
      <c r="AZ29" s="50">
        <f t="shared" si="32"/>
        <v>583220</v>
      </c>
      <c r="BA29" s="51">
        <f t="shared" si="26"/>
        <v>1000</v>
      </c>
      <c r="BB29" s="52">
        <v>47</v>
      </c>
      <c r="BC29" s="53">
        <v>332860</v>
      </c>
      <c r="BD29" s="53">
        <v>59440</v>
      </c>
      <c r="BE29" s="54">
        <v>1000</v>
      </c>
      <c r="BF29" s="54"/>
      <c r="BG29" s="54"/>
      <c r="BH29" s="54"/>
      <c r="BI29" s="179">
        <f t="shared" si="27"/>
        <v>393300</v>
      </c>
      <c r="BJ29" s="28">
        <v>25</v>
      </c>
      <c r="BK29" s="56">
        <f t="shared" si="28"/>
        <v>393300</v>
      </c>
    </row>
    <row r="30" spans="2:63" ht="20" customHeight="1">
      <c r="B30" s="180">
        <f t="shared" si="29"/>
        <v>45072</v>
      </c>
      <c r="C30" s="58"/>
      <c r="D30" s="31"/>
      <c r="E30" s="32">
        <v>27</v>
      </c>
      <c r="F30" s="33">
        <v>88990</v>
      </c>
      <c r="G30" s="34">
        <f t="shared" si="0"/>
        <v>2996.2962962962961</v>
      </c>
      <c r="H30" s="33">
        <v>4160</v>
      </c>
      <c r="I30" s="34">
        <f t="shared" si="1"/>
        <v>140.03703703703704</v>
      </c>
      <c r="J30" s="36">
        <f t="shared" si="2"/>
        <v>93150</v>
      </c>
      <c r="K30" s="37">
        <f t="shared" si="3"/>
        <v>3450</v>
      </c>
      <c r="L30" s="38"/>
      <c r="M30" s="39">
        <f t="shared" si="4"/>
        <v>16</v>
      </c>
      <c r="N30" s="40">
        <f t="shared" si="4"/>
        <v>170200</v>
      </c>
      <c r="O30" s="34">
        <f t="shared" si="5"/>
        <v>9670.4375</v>
      </c>
      <c r="P30" s="40">
        <f t="shared" si="6"/>
        <v>35490</v>
      </c>
      <c r="Q30" s="34">
        <f t="shared" si="7"/>
        <v>2016.4375</v>
      </c>
      <c r="R30" s="41">
        <f t="shared" si="8"/>
        <v>205690</v>
      </c>
      <c r="S30" s="37">
        <f t="shared" si="9"/>
        <v>12855.625</v>
      </c>
      <c r="T30" s="59">
        <f t="shared" si="10"/>
        <v>43</v>
      </c>
      <c r="U30" s="40">
        <f t="shared" si="10"/>
        <v>259190</v>
      </c>
      <c r="V30" s="40">
        <f t="shared" si="11"/>
        <v>39650</v>
      </c>
      <c r="W30" s="43">
        <f t="shared" si="12"/>
        <v>298840</v>
      </c>
      <c r="X30" s="60"/>
      <c r="Y30" s="44"/>
      <c r="Z30" s="45">
        <v>5</v>
      </c>
      <c r="AA30" s="33">
        <v>2300</v>
      </c>
      <c r="AB30" s="34">
        <f t="shared" si="13"/>
        <v>460</v>
      </c>
      <c r="AC30" s="33">
        <v>2000</v>
      </c>
      <c r="AD30" s="35">
        <f t="shared" si="14"/>
        <v>400</v>
      </c>
      <c r="AE30" s="46">
        <f t="shared" si="15"/>
        <v>4300</v>
      </c>
      <c r="AF30" s="37">
        <f t="shared" si="16"/>
        <v>860</v>
      </c>
      <c r="AG30" s="47"/>
      <c r="AH30" s="45">
        <v>65</v>
      </c>
      <c r="AI30" s="33">
        <v>152250</v>
      </c>
      <c r="AJ30" s="34">
        <f t="shared" si="17"/>
        <v>2342.3076923076924</v>
      </c>
      <c r="AK30" s="33">
        <v>84825</v>
      </c>
      <c r="AL30" s="35">
        <f t="shared" si="18"/>
        <v>1305</v>
      </c>
      <c r="AM30" s="46">
        <f t="shared" si="19"/>
        <v>237075</v>
      </c>
      <c r="AN30" s="48">
        <f t="shared" si="20"/>
        <v>3647.3076923076924</v>
      </c>
      <c r="AO30" s="178"/>
      <c r="AP30" s="45"/>
      <c r="AQ30" s="33"/>
      <c r="AR30" s="34" t="e">
        <f t="shared" si="21"/>
        <v>#DIV/0!</v>
      </c>
      <c r="AS30" s="33"/>
      <c r="AT30" s="35" t="e">
        <f t="shared" si="22"/>
        <v>#DIV/0!</v>
      </c>
      <c r="AU30" s="46">
        <f t="shared" si="23"/>
        <v>0</v>
      </c>
      <c r="AV30" s="48" t="str">
        <f t="shared" si="24"/>
        <v/>
      </c>
      <c r="AW30" s="61">
        <f t="shared" si="25"/>
        <v>43</v>
      </c>
      <c r="AX30" s="40">
        <f t="shared" si="30"/>
        <v>413740</v>
      </c>
      <c r="AY30" s="40">
        <f t="shared" si="31"/>
        <v>126475</v>
      </c>
      <c r="AZ30" s="50">
        <f t="shared" si="32"/>
        <v>540215</v>
      </c>
      <c r="BA30" s="51">
        <f t="shared" si="26"/>
        <v>3300</v>
      </c>
      <c r="BB30" s="52">
        <v>43</v>
      </c>
      <c r="BC30" s="53">
        <v>259190</v>
      </c>
      <c r="BD30" s="53">
        <v>39650</v>
      </c>
      <c r="BE30" s="54">
        <v>3300</v>
      </c>
      <c r="BF30" s="54"/>
      <c r="BG30" s="54"/>
      <c r="BH30" s="54">
        <v>23100</v>
      </c>
      <c r="BI30" s="179">
        <f t="shared" si="27"/>
        <v>302140</v>
      </c>
      <c r="BJ30" s="28">
        <v>26</v>
      </c>
      <c r="BK30" s="56">
        <f t="shared" si="28"/>
        <v>325240</v>
      </c>
    </row>
    <row r="31" spans="2:63" ht="20" customHeight="1">
      <c r="B31" s="180">
        <f t="shared" si="29"/>
        <v>45073</v>
      </c>
      <c r="C31" s="58"/>
      <c r="D31" s="31"/>
      <c r="E31" s="32">
        <v>29</v>
      </c>
      <c r="F31" s="33">
        <v>133540</v>
      </c>
      <c r="G31" s="34">
        <f t="shared" si="0"/>
        <v>4186.2068965517237</v>
      </c>
      <c r="H31" s="33">
        <v>18240</v>
      </c>
      <c r="I31" s="34">
        <f t="shared" si="1"/>
        <v>571.75862068965512</v>
      </c>
      <c r="J31" s="36">
        <f t="shared" si="2"/>
        <v>151780</v>
      </c>
      <c r="K31" s="37">
        <f t="shared" si="3"/>
        <v>5233.7931034482763</v>
      </c>
      <c r="L31" s="38"/>
      <c r="M31" s="39">
        <f t="shared" si="4"/>
        <v>27</v>
      </c>
      <c r="N31" s="40">
        <f t="shared" si="4"/>
        <v>273680</v>
      </c>
      <c r="O31" s="34">
        <f t="shared" si="5"/>
        <v>9214.8148148148157</v>
      </c>
      <c r="P31" s="40">
        <f t="shared" si="6"/>
        <v>52930</v>
      </c>
      <c r="Q31" s="34">
        <f t="shared" si="7"/>
        <v>1782.148148148148</v>
      </c>
      <c r="R31" s="41">
        <f t="shared" si="8"/>
        <v>326610</v>
      </c>
      <c r="S31" s="37">
        <f t="shared" si="9"/>
        <v>12096.666666666666</v>
      </c>
      <c r="T31" s="59">
        <f t="shared" si="10"/>
        <v>56</v>
      </c>
      <c r="U31" s="40">
        <f t="shared" si="10"/>
        <v>407220</v>
      </c>
      <c r="V31" s="40">
        <f t="shared" si="11"/>
        <v>71170</v>
      </c>
      <c r="W31" s="43">
        <f t="shared" si="12"/>
        <v>478390</v>
      </c>
      <c r="X31" s="60"/>
      <c r="Y31" s="44"/>
      <c r="Z31" s="45">
        <v>23</v>
      </c>
      <c r="AA31" s="33">
        <v>10300</v>
      </c>
      <c r="AB31" s="34">
        <f t="shared" si="13"/>
        <v>447.82608695652175</v>
      </c>
      <c r="AC31" s="33">
        <v>1000</v>
      </c>
      <c r="AD31" s="35">
        <f t="shared" si="14"/>
        <v>43.478260869565219</v>
      </c>
      <c r="AE31" s="46">
        <f t="shared" si="15"/>
        <v>11300</v>
      </c>
      <c r="AF31" s="37">
        <f t="shared" si="16"/>
        <v>491.30434782608694</v>
      </c>
      <c r="AG31" s="47"/>
      <c r="AH31" s="45"/>
      <c r="AI31" s="33"/>
      <c r="AJ31" s="34" t="e">
        <f t="shared" si="17"/>
        <v>#DIV/0!</v>
      </c>
      <c r="AK31" s="33"/>
      <c r="AL31" s="35" t="e">
        <f t="shared" si="18"/>
        <v>#DIV/0!</v>
      </c>
      <c r="AM31" s="46">
        <f t="shared" si="19"/>
        <v>0</v>
      </c>
      <c r="AN31" s="48" t="str">
        <f t="shared" si="20"/>
        <v/>
      </c>
      <c r="AO31" s="178"/>
      <c r="AP31" s="45">
        <v>247</v>
      </c>
      <c r="AQ31" s="33">
        <v>554550</v>
      </c>
      <c r="AR31" s="34">
        <f t="shared" si="21"/>
        <v>2245.1417004048585</v>
      </c>
      <c r="AS31" s="33">
        <v>329450</v>
      </c>
      <c r="AT31" s="35">
        <f t="shared" si="22"/>
        <v>1333.8056680161944</v>
      </c>
      <c r="AU31" s="46">
        <f t="shared" si="23"/>
        <v>884000</v>
      </c>
      <c r="AV31" s="48">
        <f t="shared" si="24"/>
        <v>3578.9473684210525</v>
      </c>
      <c r="AW31" s="61">
        <f t="shared" si="25"/>
        <v>56</v>
      </c>
      <c r="AX31" s="40">
        <f t="shared" si="30"/>
        <v>972070</v>
      </c>
      <c r="AY31" s="40">
        <f t="shared" si="31"/>
        <v>401620</v>
      </c>
      <c r="AZ31" s="50">
        <f t="shared" si="32"/>
        <v>1373690</v>
      </c>
      <c r="BA31" s="51">
        <f t="shared" si="26"/>
        <v>0</v>
      </c>
      <c r="BB31" s="52">
        <v>56</v>
      </c>
      <c r="BC31" s="53">
        <v>407220</v>
      </c>
      <c r="BD31" s="53">
        <v>71170</v>
      </c>
      <c r="BE31" s="54"/>
      <c r="BF31" s="54"/>
      <c r="BG31" s="54"/>
      <c r="BH31" s="54"/>
      <c r="BI31" s="179">
        <f t="shared" si="27"/>
        <v>478390</v>
      </c>
      <c r="BJ31" s="28">
        <v>27</v>
      </c>
      <c r="BK31" s="56">
        <f t="shared" si="28"/>
        <v>478390</v>
      </c>
    </row>
    <row r="32" spans="2:63" ht="20" customHeight="1">
      <c r="B32" s="180">
        <f t="shared" si="29"/>
        <v>45074</v>
      </c>
      <c r="C32" s="58"/>
      <c r="D32" s="31"/>
      <c r="E32" s="32">
        <v>23</v>
      </c>
      <c r="F32" s="33">
        <v>95920</v>
      </c>
      <c r="G32" s="34">
        <f t="shared" si="0"/>
        <v>3791.304347826087</v>
      </c>
      <c r="H32" s="33">
        <v>18000</v>
      </c>
      <c r="I32" s="34">
        <f t="shared" si="1"/>
        <v>711.43478260869563</v>
      </c>
      <c r="J32" s="36">
        <f t="shared" si="2"/>
        <v>113920</v>
      </c>
      <c r="K32" s="37">
        <f t="shared" si="3"/>
        <v>4953.04347826087</v>
      </c>
      <c r="L32" s="38"/>
      <c r="M32" s="39">
        <f t="shared" si="4"/>
        <v>9</v>
      </c>
      <c r="N32" s="40">
        <f t="shared" si="4"/>
        <v>102520</v>
      </c>
      <c r="O32" s="34">
        <f t="shared" si="5"/>
        <v>10355.555555555555</v>
      </c>
      <c r="P32" s="40">
        <f t="shared" si="6"/>
        <v>19560</v>
      </c>
      <c r="Q32" s="34">
        <f t="shared" si="7"/>
        <v>1975.6666666666667</v>
      </c>
      <c r="R32" s="41">
        <f t="shared" si="8"/>
        <v>122080</v>
      </c>
      <c r="S32" s="37">
        <f t="shared" si="9"/>
        <v>13564.444444444445</v>
      </c>
      <c r="T32" s="59">
        <f t="shared" si="10"/>
        <v>32</v>
      </c>
      <c r="U32" s="40">
        <f t="shared" si="10"/>
        <v>198440</v>
      </c>
      <c r="V32" s="40">
        <f t="shared" si="11"/>
        <v>37560</v>
      </c>
      <c r="W32" s="43">
        <f t="shared" si="12"/>
        <v>236000</v>
      </c>
      <c r="X32" s="60"/>
      <c r="Y32" s="44"/>
      <c r="Z32" s="45">
        <v>9</v>
      </c>
      <c r="AA32" s="33">
        <v>4250</v>
      </c>
      <c r="AB32" s="34">
        <f t="shared" si="13"/>
        <v>472.22222222222223</v>
      </c>
      <c r="AC32" s="33">
        <v>2500</v>
      </c>
      <c r="AD32" s="35">
        <f t="shared" si="14"/>
        <v>277.77777777777777</v>
      </c>
      <c r="AE32" s="46">
        <f t="shared" si="15"/>
        <v>6750</v>
      </c>
      <c r="AF32" s="37">
        <f t="shared" si="16"/>
        <v>750</v>
      </c>
      <c r="AG32" s="47"/>
      <c r="AH32" s="45"/>
      <c r="AI32" s="33"/>
      <c r="AJ32" s="34" t="e">
        <f t="shared" si="17"/>
        <v>#DIV/0!</v>
      </c>
      <c r="AK32" s="33"/>
      <c r="AL32" s="35" t="e">
        <f t="shared" si="18"/>
        <v>#DIV/0!</v>
      </c>
      <c r="AM32" s="46">
        <f t="shared" si="19"/>
        <v>0</v>
      </c>
      <c r="AN32" s="48" t="str">
        <f t="shared" si="20"/>
        <v/>
      </c>
      <c r="AO32" s="178"/>
      <c r="AP32" s="45">
        <v>130</v>
      </c>
      <c r="AQ32" s="33">
        <v>385200</v>
      </c>
      <c r="AR32" s="34">
        <f t="shared" si="21"/>
        <v>2963.0769230769229</v>
      </c>
      <c r="AS32" s="33">
        <v>191000</v>
      </c>
      <c r="AT32" s="35">
        <f t="shared" si="22"/>
        <v>1469.2307692307693</v>
      </c>
      <c r="AU32" s="46">
        <f t="shared" si="23"/>
        <v>576200</v>
      </c>
      <c r="AV32" s="48">
        <f t="shared" si="24"/>
        <v>4432.3076923076924</v>
      </c>
      <c r="AW32" s="61">
        <f t="shared" si="25"/>
        <v>32</v>
      </c>
      <c r="AX32" s="40">
        <f t="shared" si="30"/>
        <v>587890</v>
      </c>
      <c r="AY32" s="40">
        <f t="shared" si="31"/>
        <v>231060</v>
      </c>
      <c r="AZ32" s="50">
        <f t="shared" si="32"/>
        <v>818950</v>
      </c>
      <c r="BA32" s="51">
        <f t="shared" si="26"/>
        <v>2750</v>
      </c>
      <c r="BB32" s="52">
        <v>32</v>
      </c>
      <c r="BC32" s="53">
        <v>198440</v>
      </c>
      <c r="BD32" s="53">
        <v>37560</v>
      </c>
      <c r="BE32" s="54">
        <v>2750</v>
      </c>
      <c r="BF32" s="54"/>
      <c r="BG32" s="54"/>
      <c r="BH32" s="54">
        <v>9900</v>
      </c>
      <c r="BI32" s="179">
        <f t="shared" si="27"/>
        <v>238750</v>
      </c>
      <c r="BJ32" s="28">
        <v>28</v>
      </c>
      <c r="BK32" s="56">
        <f t="shared" si="28"/>
        <v>248650</v>
      </c>
    </row>
    <row r="33" spans="2:63" ht="20" customHeight="1">
      <c r="B33" s="180">
        <f t="shared" si="29"/>
        <v>45075</v>
      </c>
      <c r="C33" s="58"/>
      <c r="D33" s="31"/>
      <c r="E33" s="32">
        <v>17</v>
      </c>
      <c r="F33" s="33">
        <v>52800</v>
      </c>
      <c r="G33" s="34">
        <f t="shared" si="0"/>
        <v>2823.5294117647059</v>
      </c>
      <c r="H33" s="33">
        <v>3900</v>
      </c>
      <c r="I33" s="34">
        <f t="shared" si="1"/>
        <v>208.52941176470588</v>
      </c>
      <c r="J33" s="36">
        <f t="shared" si="2"/>
        <v>56700</v>
      </c>
      <c r="K33" s="37">
        <f t="shared" si="3"/>
        <v>3335.294117647059</v>
      </c>
      <c r="L33" s="38"/>
      <c r="M33" s="39">
        <f t="shared" si="4"/>
        <v>21</v>
      </c>
      <c r="N33" s="40">
        <f t="shared" si="4"/>
        <v>195250</v>
      </c>
      <c r="O33" s="34">
        <f t="shared" si="5"/>
        <v>8452.3809523809523</v>
      </c>
      <c r="P33" s="40">
        <f t="shared" si="6"/>
        <v>61570</v>
      </c>
      <c r="Q33" s="34">
        <f t="shared" si="7"/>
        <v>2665.3333333333335</v>
      </c>
      <c r="R33" s="41">
        <f t="shared" si="8"/>
        <v>256820</v>
      </c>
      <c r="S33" s="37">
        <f t="shared" si="9"/>
        <v>12229.523809523809</v>
      </c>
      <c r="T33" s="59">
        <f t="shared" si="10"/>
        <v>38</v>
      </c>
      <c r="U33" s="40">
        <f t="shared" si="10"/>
        <v>248050</v>
      </c>
      <c r="V33" s="40">
        <f t="shared" si="11"/>
        <v>65470</v>
      </c>
      <c r="W33" s="43">
        <f t="shared" si="12"/>
        <v>313520</v>
      </c>
      <c r="X33" s="60"/>
      <c r="Y33" s="44"/>
      <c r="Z33" s="45">
        <v>12</v>
      </c>
      <c r="AA33" s="33">
        <v>5800</v>
      </c>
      <c r="AB33" s="34">
        <f t="shared" si="13"/>
        <v>483.33333333333331</v>
      </c>
      <c r="AC33" s="33"/>
      <c r="AD33" s="35">
        <f t="shared" si="14"/>
        <v>0</v>
      </c>
      <c r="AE33" s="46">
        <f t="shared" si="15"/>
        <v>5800</v>
      </c>
      <c r="AF33" s="37">
        <f t="shared" si="16"/>
        <v>483.33333333333331</v>
      </c>
      <c r="AG33" s="47"/>
      <c r="AH33" s="45">
        <v>10</v>
      </c>
      <c r="AI33" s="33">
        <v>39150</v>
      </c>
      <c r="AJ33" s="34">
        <f t="shared" si="17"/>
        <v>3915</v>
      </c>
      <c r="AK33" s="33">
        <v>13050</v>
      </c>
      <c r="AL33" s="35">
        <f t="shared" si="18"/>
        <v>1305</v>
      </c>
      <c r="AM33" s="46">
        <f t="shared" si="19"/>
        <v>52200</v>
      </c>
      <c r="AN33" s="48">
        <f t="shared" si="20"/>
        <v>5220</v>
      </c>
      <c r="AO33" s="178"/>
      <c r="AP33" s="45">
        <v>40</v>
      </c>
      <c r="AQ33" s="33">
        <v>132100</v>
      </c>
      <c r="AR33" s="34">
        <f t="shared" si="21"/>
        <v>3302.5</v>
      </c>
      <c r="AS33" s="33">
        <v>65700</v>
      </c>
      <c r="AT33" s="35">
        <f t="shared" si="22"/>
        <v>1642.5</v>
      </c>
      <c r="AU33" s="46">
        <f t="shared" si="23"/>
        <v>197800</v>
      </c>
      <c r="AV33" s="48">
        <f t="shared" si="24"/>
        <v>4945</v>
      </c>
      <c r="AW33" s="61">
        <f t="shared" si="25"/>
        <v>38</v>
      </c>
      <c r="AX33" s="40">
        <f t="shared" si="30"/>
        <v>425100</v>
      </c>
      <c r="AY33" s="40">
        <f t="shared" si="31"/>
        <v>144220</v>
      </c>
      <c r="AZ33" s="50">
        <f t="shared" si="32"/>
        <v>569320</v>
      </c>
      <c r="BA33" s="51">
        <f t="shared" si="26"/>
        <v>0</v>
      </c>
      <c r="BB33" s="52">
        <v>38</v>
      </c>
      <c r="BC33" s="53">
        <v>248050</v>
      </c>
      <c r="BD33" s="53">
        <v>65470</v>
      </c>
      <c r="BE33" s="54"/>
      <c r="BF33" s="54"/>
      <c r="BG33" s="54"/>
      <c r="BH33" s="54"/>
      <c r="BI33" s="179">
        <f t="shared" si="27"/>
        <v>313520</v>
      </c>
      <c r="BJ33" s="28">
        <v>29</v>
      </c>
      <c r="BK33" s="56">
        <f t="shared" si="28"/>
        <v>313520</v>
      </c>
    </row>
    <row r="34" spans="2:63" ht="20" customHeight="1">
      <c r="B34" s="180">
        <f t="shared" si="29"/>
        <v>45076</v>
      </c>
      <c r="C34" s="58"/>
      <c r="D34" s="31"/>
      <c r="E34" s="32">
        <v>30</v>
      </c>
      <c r="F34" s="33">
        <v>110990</v>
      </c>
      <c r="G34" s="34">
        <f t="shared" si="0"/>
        <v>3363.3333333333335</v>
      </c>
      <c r="H34" s="33">
        <v>7080</v>
      </c>
      <c r="I34" s="34">
        <f t="shared" si="1"/>
        <v>214.53333333333333</v>
      </c>
      <c r="J34" s="36">
        <f t="shared" si="2"/>
        <v>118070</v>
      </c>
      <c r="K34" s="37">
        <f t="shared" si="3"/>
        <v>3935.6666666666665</v>
      </c>
      <c r="L34" s="38"/>
      <c r="M34" s="39">
        <f t="shared" si="4"/>
        <v>12</v>
      </c>
      <c r="N34" s="40">
        <f t="shared" si="4"/>
        <v>116600</v>
      </c>
      <c r="O34" s="34">
        <f t="shared" si="5"/>
        <v>8833.3333333333339</v>
      </c>
      <c r="P34" s="40">
        <f t="shared" si="6"/>
        <v>28980</v>
      </c>
      <c r="Q34" s="34">
        <f t="shared" si="7"/>
        <v>2195.4166666666665</v>
      </c>
      <c r="R34" s="41">
        <f t="shared" si="8"/>
        <v>145580</v>
      </c>
      <c r="S34" s="37">
        <f t="shared" si="9"/>
        <v>12131.666666666666</v>
      </c>
      <c r="T34" s="59">
        <f t="shared" si="10"/>
        <v>42</v>
      </c>
      <c r="U34" s="40">
        <f t="shared" si="10"/>
        <v>227590</v>
      </c>
      <c r="V34" s="40">
        <f t="shared" si="11"/>
        <v>36060</v>
      </c>
      <c r="W34" s="43">
        <f t="shared" si="12"/>
        <v>263650</v>
      </c>
      <c r="X34" s="60"/>
      <c r="Y34" s="69"/>
      <c r="Z34" s="70">
        <v>3</v>
      </c>
      <c r="AA34" s="71">
        <v>2100</v>
      </c>
      <c r="AB34" s="34">
        <f t="shared" si="13"/>
        <v>700</v>
      </c>
      <c r="AC34" s="71"/>
      <c r="AD34" s="35">
        <f t="shared" si="14"/>
        <v>0</v>
      </c>
      <c r="AE34" s="46">
        <f t="shared" si="15"/>
        <v>2100</v>
      </c>
      <c r="AF34" s="37">
        <f t="shared" si="16"/>
        <v>700</v>
      </c>
      <c r="AG34" s="47"/>
      <c r="AH34" s="70"/>
      <c r="AI34" s="71"/>
      <c r="AJ34" s="34" t="e">
        <f t="shared" si="17"/>
        <v>#DIV/0!</v>
      </c>
      <c r="AK34" s="71"/>
      <c r="AL34" s="35" t="e">
        <f t="shared" si="18"/>
        <v>#DIV/0!</v>
      </c>
      <c r="AM34" s="46">
        <f t="shared" si="19"/>
        <v>0</v>
      </c>
      <c r="AN34" s="48" t="str">
        <f t="shared" si="20"/>
        <v/>
      </c>
      <c r="AO34" s="178"/>
      <c r="AP34" s="70">
        <v>19</v>
      </c>
      <c r="AQ34" s="71">
        <v>47200</v>
      </c>
      <c r="AR34" s="34">
        <f t="shared" si="21"/>
        <v>2484.2105263157896</v>
      </c>
      <c r="AS34" s="71">
        <v>27700</v>
      </c>
      <c r="AT34" s="35">
        <f t="shared" si="22"/>
        <v>1457.8947368421052</v>
      </c>
      <c r="AU34" s="46">
        <f t="shared" si="23"/>
        <v>74900</v>
      </c>
      <c r="AV34" s="48">
        <f t="shared" si="24"/>
        <v>3942.1052631578946</v>
      </c>
      <c r="AW34" s="61">
        <f t="shared" si="25"/>
        <v>42</v>
      </c>
      <c r="AX34" s="40">
        <f t="shared" si="30"/>
        <v>276890</v>
      </c>
      <c r="AY34" s="40">
        <f t="shared" si="31"/>
        <v>63760</v>
      </c>
      <c r="AZ34" s="50">
        <f t="shared" si="32"/>
        <v>340650</v>
      </c>
      <c r="BA34" s="51">
        <f t="shared" si="26"/>
        <v>0</v>
      </c>
      <c r="BB34" s="52">
        <v>42</v>
      </c>
      <c r="BC34" s="53">
        <v>227590</v>
      </c>
      <c r="BD34" s="53">
        <v>36060</v>
      </c>
      <c r="BE34" s="54"/>
      <c r="BF34" s="54"/>
      <c r="BG34" s="54"/>
      <c r="BH34" s="54"/>
      <c r="BI34" s="179">
        <f t="shared" si="27"/>
        <v>263650</v>
      </c>
      <c r="BJ34" s="28">
        <v>30</v>
      </c>
      <c r="BK34" s="56">
        <f t="shared" si="28"/>
        <v>263650</v>
      </c>
    </row>
    <row r="35" spans="2:63" ht="20" customHeight="1" thickBot="1">
      <c r="B35" s="183">
        <f t="shared" si="29"/>
        <v>45077</v>
      </c>
      <c r="C35" s="58"/>
      <c r="D35" s="31"/>
      <c r="E35" s="32">
        <v>35</v>
      </c>
      <c r="F35" s="33">
        <v>126280</v>
      </c>
      <c r="G35" s="34">
        <f t="shared" si="0"/>
        <v>3280</v>
      </c>
      <c r="H35" s="33">
        <v>8770</v>
      </c>
      <c r="I35" s="34">
        <f t="shared" si="1"/>
        <v>227.77142857142857</v>
      </c>
      <c r="J35" s="36">
        <f t="shared" si="2"/>
        <v>135050</v>
      </c>
      <c r="K35" s="37">
        <f t="shared" si="3"/>
        <v>3858.5714285714284</v>
      </c>
      <c r="L35" s="38"/>
      <c r="M35" s="72">
        <f t="shared" si="4"/>
        <v>17</v>
      </c>
      <c r="N35" s="40">
        <f t="shared" si="4"/>
        <v>44660</v>
      </c>
      <c r="O35" s="34">
        <f t="shared" si="5"/>
        <v>2388.2352941176468</v>
      </c>
      <c r="P35" s="40">
        <f t="shared" si="6"/>
        <v>31900</v>
      </c>
      <c r="Q35" s="34">
        <f t="shared" si="7"/>
        <v>1705.8823529411766</v>
      </c>
      <c r="R35" s="41">
        <f t="shared" si="8"/>
        <v>76560</v>
      </c>
      <c r="S35" s="37">
        <f t="shared" si="9"/>
        <v>4503.5294117647063</v>
      </c>
      <c r="T35" s="73">
        <f t="shared" si="10"/>
        <v>52</v>
      </c>
      <c r="U35" s="74">
        <f t="shared" si="10"/>
        <v>170940</v>
      </c>
      <c r="V35" s="74">
        <f t="shared" si="11"/>
        <v>40670</v>
      </c>
      <c r="W35" s="75">
        <f t="shared" si="12"/>
        <v>211610</v>
      </c>
      <c r="X35" s="74"/>
      <c r="Y35" s="76"/>
      <c r="Z35" s="77">
        <v>5</v>
      </c>
      <c r="AA35" s="78">
        <v>2050</v>
      </c>
      <c r="AB35" s="79">
        <f t="shared" si="13"/>
        <v>410</v>
      </c>
      <c r="AC35" s="78"/>
      <c r="AD35" s="80">
        <f t="shared" si="14"/>
        <v>0</v>
      </c>
      <c r="AE35" s="81">
        <f t="shared" si="15"/>
        <v>2050</v>
      </c>
      <c r="AF35" s="37">
        <f t="shared" si="16"/>
        <v>410</v>
      </c>
      <c r="AG35" s="82"/>
      <c r="AH35" s="77"/>
      <c r="AI35" s="78"/>
      <c r="AJ35" s="79" t="e">
        <f t="shared" si="17"/>
        <v>#DIV/0!</v>
      </c>
      <c r="AK35" s="78"/>
      <c r="AL35" s="80" t="e">
        <f t="shared" si="18"/>
        <v>#DIV/0!</v>
      </c>
      <c r="AM35" s="81">
        <f t="shared" si="19"/>
        <v>0</v>
      </c>
      <c r="AN35" s="48" t="str">
        <f t="shared" si="20"/>
        <v/>
      </c>
      <c r="AO35" s="184"/>
      <c r="AP35" s="77">
        <v>70</v>
      </c>
      <c r="AQ35" s="78">
        <v>154250</v>
      </c>
      <c r="AR35" s="79">
        <f t="shared" si="21"/>
        <v>2203.5714285714284</v>
      </c>
      <c r="AS35" s="78">
        <v>87600</v>
      </c>
      <c r="AT35" s="80">
        <f t="shared" si="22"/>
        <v>1251.4285714285713</v>
      </c>
      <c r="AU35" s="81">
        <f t="shared" si="23"/>
        <v>241850</v>
      </c>
      <c r="AV35" s="48">
        <f t="shared" si="24"/>
        <v>3455</v>
      </c>
      <c r="AW35" s="83">
        <f t="shared" si="25"/>
        <v>52</v>
      </c>
      <c r="AX35" s="40">
        <f t="shared" si="30"/>
        <v>327240</v>
      </c>
      <c r="AY35" s="40">
        <f t="shared" si="31"/>
        <v>128270</v>
      </c>
      <c r="AZ35" s="50">
        <f t="shared" si="32"/>
        <v>455510</v>
      </c>
      <c r="BA35" s="51">
        <f t="shared" si="26"/>
        <v>0</v>
      </c>
      <c r="BB35" s="84">
        <v>52</v>
      </c>
      <c r="BC35" s="85">
        <v>170940</v>
      </c>
      <c r="BD35" s="85">
        <v>40670</v>
      </c>
      <c r="BE35" s="86"/>
      <c r="BF35" s="86"/>
      <c r="BG35" s="86"/>
      <c r="BH35" s="86"/>
      <c r="BI35" s="185">
        <f t="shared" si="27"/>
        <v>211610</v>
      </c>
      <c r="BJ35" s="28">
        <v>31</v>
      </c>
      <c r="BK35" s="56">
        <f t="shared" si="28"/>
        <v>211610</v>
      </c>
    </row>
    <row r="36" spans="2:63" s="108" customFormat="1" ht="20" customHeight="1" thickTop="1">
      <c r="B36" s="186" t="s">
        <v>27</v>
      </c>
      <c r="C36" s="89">
        <f>SUM(C5:C35)</f>
        <v>0</v>
      </c>
      <c r="D36" s="90">
        <f>SUM(D5:D35)</f>
        <v>0</v>
      </c>
      <c r="E36" s="91">
        <f>SUM(E5:E35)</f>
        <v>970</v>
      </c>
      <c r="F36" s="92">
        <f>SUM(F5:F35)</f>
        <v>3839010</v>
      </c>
      <c r="G36" s="93">
        <f>F36/E36</f>
        <v>3957.7422680412369</v>
      </c>
      <c r="H36" s="89">
        <f>SUM(H5:H35)</f>
        <v>539520</v>
      </c>
      <c r="I36" s="94">
        <f>H36/E36</f>
        <v>556.20618556701027</v>
      </c>
      <c r="J36" s="95">
        <f>SUM(J5:J35)</f>
        <v>4378530</v>
      </c>
      <c r="K36" s="96">
        <f>J36/E36</f>
        <v>4513.9484536082473</v>
      </c>
      <c r="L36" s="97">
        <f>SUM(L5:L35)</f>
        <v>0</v>
      </c>
      <c r="M36" s="91">
        <f>SUM(M5:M35)</f>
        <v>456</v>
      </c>
      <c r="N36" s="92">
        <f>SUM(N5:N35)</f>
        <v>4685100</v>
      </c>
      <c r="O36" s="93">
        <f>N36/M36</f>
        <v>10274.342105263158</v>
      </c>
      <c r="P36" s="98">
        <f>SUM(P5:P35)</f>
        <v>1194637</v>
      </c>
      <c r="Q36" s="94">
        <f>P36/M36</f>
        <v>2619.8179824561403</v>
      </c>
      <c r="R36" s="99">
        <f>SUM(R5:R35)+BE36</f>
        <v>5908787</v>
      </c>
      <c r="S36" s="100">
        <f>R36/M36</f>
        <v>12957.866228070176</v>
      </c>
      <c r="T36" s="91">
        <f t="shared" ref="T36:AA36" si="33">SUM(T5:T35)</f>
        <v>1426</v>
      </c>
      <c r="U36" s="98">
        <f t="shared" si="33"/>
        <v>8524110</v>
      </c>
      <c r="V36" s="98">
        <f t="shared" si="33"/>
        <v>1734157</v>
      </c>
      <c r="W36" s="95">
        <f>SUM(W5:W35)+BE36</f>
        <v>10287317</v>
      </c>
      <c r="X36" s="101">
        <f t="shared" si="33"/>
        <v>0</v>
      </c>
      <c r="Y36" s="90">
        <f t="shared" si="33"/>
        <v>0</v>
      </c>
      <c r="Z36" s="91">
        <f t="shared" si="33"/>
        <v>208</v>
      </c>
      <c r="AA36" s="93">
        <f t="shared" si="33"/>
        <v>100700</v>
      </c>
      <c r="AB36" s="93"/>
      <c r="AC36" s="89">
        <f>SUM(AC5:AC35)</f>
        <v>34550</v>
      </c>
      <c r="AD36" s="94"/>
      <c r="AE36" s="99">
        <f>SUM(AE5:AE35)</f>
        <v>135250</v>
      </c>
      <c r="AF36" s="102">
        <f>AE36/Z36</f>
        <v>650.24038461538464</v>
      </c>
      <c r="AG36" s="103">
        <f t="shared" ref="AG36:AI36" si="34">SUM(AG5:AG35)</f>
        <v>0</v>
      </c>
      <c r="AH36" s="91">
        <f t="shared" si="34"/>
        <v>185</v>
      </c>
      <c r="AI36" s="93">
        <f t="shared" si="34"/>
        <v>669030</v>
      </c>
      <c r="AJ36" s="93"/>
      <c r="AK36" s="89">
        <f>SUM(AK5:AK35)</f>
        <v>250038</v>
      </c>
      <c r="AL36" s="94"/>
      <c r="AM36" s="99">
        <f>SUM(AM5:AM35)</f>
        <v>919068</v>
      </c>
      <c r="AN36" s="104">
        <f>AM36/AH36</f>
        <v>4967.9351351351352</v>
      </c>
      <c r="AO36" s="187">
        <f t="shared" ref="AO36:AQ36" si="35">SUM(AO5:AO35)</f>
        <v>0</v>
      </c>
      <c r="AP36" s="91">
        <f t="shared" si="35"/>
        <v>506</v>
      </c>
      <c r="AQ36" s="93">
        <f t="shared" si="35"/>
        <v>1273300</v>
      </c>
      <c r="AR36" s="93"/>
      <c r="AS36" s="89">
        <f>SUM(AS5:AS35)</f>
        <v>701450</v>
      </c>
      <c r="AT36" s="94"/>
      <c r="AU36" s="99">
        <f>SUM(AU5:AU35)</f>
        <v>1974750</v>
      </c>
      <c r="AV36" s="104">
        <f>AU36/AP36</f>
        <v>3902.6679841897235</v>
      </c>
      <c r="AW36" s="105">
        <f t="shared" ref="AW36:BI36" si="36">SUM(AW5:AW35)</f>
        <v>1426</v>
      </c>
      <c r="AX36" s="98">
        <f t="shared" si="36"/>
        <v>10567140</v>
      </c>
      <c r="AY36" s="98">
        <f t="shared" si="36"/>
        <v>2720195</v>
      </c>
      <c r="AZ36" s="99">
        <f t="shared" si="36"/>
        <v>13287335</v>
      </c>
      <c r="BA36" s="106">
        <f t="shared" si="36"/>
        <v>29050</v>
      </c>
      <c r="BB36" s="107">
        <f t="shared" si="36"/>
        <v>1426</v>
      </c>
      <c r="BC36" s="107">
        <f t="shared" si="36"/>
        <v>8524110</v>
      </c>
      <c r="BD36" s="107">
        <f t="shared" si="36"/>
        <v>1734157</v>
      </c>
      <c r="BE36" s="107">
        <f t="shared" si="36"/>
        <v>29050</v>
      </c>
      <c r="BF36" s="107">
        <f t="shared" si="36"/>
        <v>0</v>
      </c>
      <c r="BG36" s="107">
        <f t="shared" si="36"/>
        <v>0</v>
      </c>
      <c r="BH36" s="107">
        <f t="shared" si="36"/>
        <v>33000</v>
      </c>
      <c r="BI36" s="188">
        <f t="shared" si="36"/>
        <v>10287317</v>
      </c>
      <c r="BK36" s="109">
        <f>SUM(BK5:BK35)</f>
        <v>10320317</v>
      </c>
    </row>
    <row r="37" spans="2:63" s="108" customFormat="1">
      <c r="B37" s="189"/>
      <c r="E37" s="110" t="s">
        <v>42</v>
      </c>
      <c r="F37" s="111">
        <f>F36/1.1</f>
        <v>3490009.0909090908</v>
      </c>
      <c r="G37" s="112">
        <f>F37/E36</f>
        <v>3597.9475164011246</v>
      </c>
      <c r="H37" s="113">
        <f>H36/1.1</f>
        <v>490472.72727272724</v>
      </c>
      <c r="I37" s="112">
        <f>H37/E36</f>
        <v>505.64198687910022</v>
      </c>
      <c r="J37" s="114">
        <f>J36/1.1</f>
        <v>3980481.8181818179</v>
      </c>
      <c r="K37" s="115">
        <f>G37+I37</f>
        <v>4103.5895032802246</v>
      </c>
      <c r="L37" s="116"/>
      <c r="M37" s="110" t="s">
        <v>42</v>
      </c>
      <c r="N37" s="111">
        <f>N36/1.1</f>
        <v>4259181.8181818174</v>
      </c>
      <c r="O37" s="112">
        <f>N37/M36</f>
        <v>9340.3110047846876</v>
      </c>
      <c r="P37" s="113">
        <f>P36/1.1</f>
        <v>1086033.6363636362</v>
      </c>
      <c r="Q37" s="112">
        <f>P37/M36</f>
        <v>2381.6527113237635</v>
      </c>
      <c r="R37" s="112">
        <f>R36/1.1</f>
        <v>5371624.5454545449</v>
      </c>
      <c r="S37" s="117">
        <f>R37/M36</f>
        <v>11779.878389154705</v>
      </c>
      <c r="T37" s="110" t="s">
        <v>42</v>
      </c>
      <c r="U37" s="111">
        <f>U36/1.1</f>
        <v>7749190.9090909082</v>
      </c>
      <c r="V37" s="111">
        <f>V36/1.1</f>
        <v>1576506.3636363635</v>
      </c>
      <c r="W37" s="114">
        <f>W36/1.1</f>
        <v>9352106.3636363633</v>
      </c>
      <c r="X37" s="118"/>
      <c r="Y37" s="116"/>
      <c r="Z37" s="110" t="s">
        <v>42</v>
      </c>
      <c r="AA37" s="111">
        <f>AA36/1.1</f>
        <v>91545.454545454544</v>
      </c>
      <c r="AB37" s="113">
        <f>AA37/Z36</f>
        <v>440.1223776223776</v>
      </c>
      <c r="AC37" s="113">
        <f>AC36/1.1</f>
        <v>31409.090909090908</v>
      </c>
      <c r="AD37" s="113">
        <f>AC37/Z36</f>
        <v>151.00524475524475</v>
      </c>
      <c r="AE37" s="112">
        <f>AE36/1.1</f>
        <v>122954.54545454544</v>
      </c>
      <c r="AF37" s="119" t="e">
        <f>AE37/Y36</f>
        <v>#DIV/0!</v>
      </c>
      <c r="AG37" s="116"/>
      <c r="AH37" s="110" t="s">
        <v>42</v>
      </c>
      <c r="AI37" s="111">
        <f>AI36/1.1</f>
        <v>608209.09090909082</v>
      </c>
      <c r="AJ37" s="113">
        <f>AI37/AH36</f>
        <v>3287.6167076167071</v>
      </c>
      <c r="AK37" s="113">
        <f>AK36/1.1</f>
        <v>227307.27272727271</v>
      </c>
      <c r="AL37" s="113">
        <f>AK37/AH36</f>
        <v>1228.6879606879606</v>
      </c>
      <c r="AM37" s="112">
        <f>AM36/1.1</f>
        <v>835516.36363636353</v>
      </c>
      <c r="AN37" s="120" t="e">
        <f>AM37/AG36</f>
        <v>#DIV/0!</v>
      </c>
      <c r="AO37" s="116"/>
      <c r="AP37" s="110" t="s">
        <v>42</v>
      </c>
      <c r="AQ37" s="111">
        <f>AQ36/1.1</f>
        <v>1157545.4545454544</v>
      </c>
      <c r="AR37" s="113">
        <f>AQ37/AP36</f>
        <v>2287.6392382321233</v>
      </c>
      <c r="AS37" s="113">
        <f>AS36/1.1</f>
        <v>637681.81818181812</v>
      </c>
      <c r="AT37" s="113">
        <f>AS37/AP36</f>
        <v>1260.2407473948974</v>
      </c>
      <c r="AU37" s="112">
        <f>AU36/1.1</f>
        <v>1795227.2727272725</v>
      </c>
      <c r="AV37" s="120">
        <f>AU37/AP36</f>
        <v>3547.8799856270207</v>
      </c>
      <c r="AW37" s="121" t="s">
        <v>42</v>
      </c>
      <c r="AX37" s="111">
        <f>AX36/1.1</f>
        <v>9606490.9090909082</v>
      </c>
      <c r="AY37" s="111">
        <f>AY36/1.1</f>
        <v>2472904.5454545454</v>
      </c>
      <c r="AZ37" s="112">
        <f>AZ36/1.1</f>
        <v>12079395.454545453</v>
      </c>
      <c r="BA37" s="122">
        <f>BA36/1.1</f>
        <v>26409.090909090908</v>
      </c>
      <c r="BF37" s="123"/>
      <c r="BI37" s="190"/>
      <c r="BK37" s="124"/>
    </row>
    <row r="38" spans="2:63">
      <c r="E38" s="125" t="s">
        <v>43</v>
      </c>
      <c r="F38" s="126">
        <f>E36/G38</f>
        <v>32.333333333333336</v>
      </c>
      <c r="G38" s="127">
        <v>30</v>
      </c>
      <c r="H38" s="126"/>
      <c r="I38" s="126"/>
      <c r="J38" s="128" t="s">
        <v>44</v>
      </c>
      <c r="K38" s="129">
        <f>J37/G38</f>
        <v>132682.72727272726</v>
      </c>
      <c r="M38" s="125" t="s">
        <v>43</v>
      </c>
      <c r="N38" s="126">
        <f>M36/O38</f>
        <v>14.709677419354838</v>
      </c>
      <c r="O38" s="127">
        <v>31</v>
      </c>
      <c r="P38" s="126"/>
      <c r="Q38" s="126"/>
      <c r="R38" s="128" t="s">
        <v>44</v>
      </c>
      <c r="S38" s="130">
        <f>R37/O38</f>
        <v>173278.21114369499</v>
      </c>
      <c r="W38" s="131"/>
      <c r="X38" s="56"/>
      <c r="AA38" s="132">
        <v>29</v>
      </c>
      <c r="AB38" s="126"/>
      <c r="AC38" s="126"/>
      <c r="AD38" s="126"/>
      <c r="AE38" s="126"/>
      <c r="AF38" s="129">
        <f>AE37/AA38</f>
        <v>4239.8119122257049</v>
      </c>
      <c r="AI38" s="132">
        <v>29</v>
      </c>
      <c r="AJ38" s="126"/>
      <c r="AK38" s="126"/>
      <c r="AL38" s="126"/>
      <c r="AM38" s="126"/>
      <c r="AN38" s="129">
        <f>AM37/AI38</f>
        <v>28810.909090909088</v>
      </c>
      <c r="AQ38" s="132">
        <v>3</v>
      </c>
      <c r="AR38" s="126"/>
      <c r="AS38" s="126"/>
      <c r="AT38" s="126"/>
      <c r="AU38" s="126"/>
      <c r="AV38" s="129">
        <f>AU37/AQ38</f>
        <v>598409.09090909082</v>
      </c>
      <c r="AZ38" s="131"/>
      <c r="BA38" s="56" t="e">
        <f>AZ37/BB37</f>
        <v>#DIV/0!</v>
      </c>
      <c r="BB38" s="133">
        <f>AW36+T36</f>
        <v>2852</v>
      </c>
      <c r="BF38" s="131"/>
    </row>
    <row r="39" spans="2:63">
      <c r="D39" s="134" t="s">
        <v>45</v>
      </c>
      <c r="E39" s="135"/>
      <c r="F39" s="126"/>
      <c r="G39" s="136"/>
      <c r="H39" s="126"/>
      <c r="I39" s="126"/>
      <c r="J39" s="128"/>
      <c r="K39" s="129"/>
      <c r="L39" s="137" t="s">
        <v>46</v>
      </c>
      <c r="M39" s="125"/>
      <c r="N39" s="126"/>
      <c r="O39" s="126"/>
      <c r="P39" s="126"/>
      <c r="Q39" s="126"/>
      <c r="R39" s="128"/>
      <c r="S39" s="129"/>
      <c r="W39" s="131"/>
      <c r="X39" s="56"/>
      <c r="Y39" s="137" t="s">
        <v>63</v>
      </c>
      <c r="AA39" s="126"/>
      <c r="AB39" s="126"/>
      <c r="AC39" s="126"/>
      <c r="AD39" s="126"/>
      <c r="AE39" s="126"/>
      <c r="AF39" s="129"/>
      <c r="AG39" s="137" t="s">
        <v>64</v>
      </c>
      <c r="AI39" s="126"/>
      <c r="AJ39" s="126"/>
      <c r="AK39" s="126"/>
      <c r="AL39" s="126"/>
      <c r="AM39" s="126"/>
      <c r="AN39" s="129"/>
      <c r="AO39" s="137" t="s">
        <v>65</v>
      </c>
      <c r="AQ39" s="126"/>
      <c r="AR39" s="126"/>
      <c r="AS39" s="126"/>
      <c r="AT39" s="126"/>
      <c r="AU39" s="126"/>
      <c r="AV39" s="129"/>
      <c r="AZ39" s="56">
        <f>AZ36+BA36</f>
        <v>13316385</v>
      </c>
      <c r="BA39" s="138">
        <f>AZ39/G38</f>
        <v>443879.5</v>
      </c>
      <c r="BB39" s="28" t="s">
        <v>48</v>
      </c>
      <c r="BF39" s="131"/>
    </row>
    <row r="40" spans="2:63" ht="21.5" customHeight="1">
      <c r="C40" s="137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W40" s="5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  <c r="AI40" s="216"/>
      <c r="AJ40" s="216"/>
      <c r="AK40" s="216"/>
      <c r="AL40" s="216"/>
      <c r="AM40" s="216"/>
      <c r="AN40" s="216"/>
      <c r="AO40" s="216"/>
      <c r="AP40" s="216"/>
      <c r="AQ40" s="216"/>
      <c r="AR40" s="216"/>
      <c r="AS40" s="216"/>
      <c r="AT40" s="216"/>
      <c r="AU40" s="216"/>
      <c r="AV40" s="216"/>
      <c r="AZ40" s="140">
        <f>AZ37+BA37</f>
        <v>12105804.545454545</v>
      </c>
    </row>
    <row r="41" spans="2:63" ht="21.5" customHeight="1">
      <c r="C41" s="137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W41" s="131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  <c r="AI41" s="216"/>
      <c r="AJ41" s="216"/>
      <c r="AK41" s="216"/>
      <c r="AL41" s="216"/>
      <c r="AM41" s="216"/>
      <c r="AN41" s="216"/>
      <c r="AO41" s="216"/>
      <c r="AP41" s="216"/>
      <c r="AQ41" s="216"/>
      <c r="AR41" s="216"/>
      <c r="AS41" s="216"/>
      <c r="AT41" s="216"/>
      <c r="AU41" s="216"/>
      <c r="AV41" s="216"/>
      <c r="AZ41" s="56"/>
      <c r="BA41" s="138">
        <f>AZ40/G38</f>
        <v>403526.81818181818</v>
      </c>
      <c r="BB41" s="28" t="s">
        <v>52</v>
      </c>
    </row>
    <row r="42" spans="2:63" ht="21.5" customHeight="1">
      <c r="C42" s="137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W42" s="5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</row>
    <row r="43" spans="2:63" ht="21.5" customHeight="1">
      <c r="C43" s="137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Z43" s="131">
        <f>AZ37+BA37</f>
        <v>12105804.545454545</v>
      </c>
      <c r="BA43" s="141" t="s">
        <v>66</v>
      </c>
    </row>
    <row r="44" spans="2:63" ht="21.5" customHeight="1">
      <c r="C44" s="137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X44" s="108"/>
      <c r="AY44" s="142" t="s">
        <v>53</v>
      </c>
      <c r="AZ44" s="124">
        <f>J45+R45+AE45+BA44+AM45+AU45</f>
        <v>20595680</v>
      </c>
      <c r="BA44" s="143"/>
      <c r="BB44" s="108"/>
    </row>
    <row r="45" spans="2:63" ht="21" customHeight="1">
      <c r="H45" s="144"/>
      <c r="I45" s="145" t="s">
        <v>54</v>
      </c>
      <c r="J45" s="124">
        <v>4131680</v>
      </c>
      <c r="K45" s="146" t="s">
        <v>55</v>
      </c>
      <c r="L45" s="108"/>
      <c r="M45" s="108"/>
      <c r="N45" s="108"/>
      <c r="O45" s="108"/>
      <c r="P45" s="108"/>
      <c r="Q45" s="145" t="s">
        <v>56</v>
      </c>
      <c r="R45" s="124">
        <v>8370000</v>
      </c>
      <c r="S45" s="146" t="s">
        <v>55</v>
      </c>
      <c r="T45" s="108"/>
      <c r="U45" s="108"/>
      <c r="V45" s="145" t="s">
        <v>67</v>
      </c>
      <c r="W45" s="124">
        <f>J45+R45</f>
        <v>12501680</v>
      </c>
      <c r="X45" s="146" t="s">
        <v>55</v>
      </c>
      <c r="Y45" s="108"/>
      <c r="Z45" s="108"/>
      <c r="AA45" s="108"/>
      <c r="AB45" s="108"/>
      <c r="AC45" s="108"/>
      <c r="AD45" s="144" t="s">
        <v>57</v>
      </c>
      <c r="AE45" s="124">
        <v>700000</v>
      </c>
      <c r="AF45" s="146" t="s">
        <v>55</v>
      </c>
      <c r="AG45" s="146"/>
      <c r="AH45" s="146"/>
      <c r="AI45" s="146"/>
      <c r="AJ45" s="146"/>
      <c r="AK45" s="108"/>
      <c r="AL45" s="145" t="s">
        <v>68</v>
      </c>
      <c r="AM45" s="124">
        <v>504000</v>
      </c>
      <c r="AN45" s="146" t="s">
        <v>55</v>
      </c>
      <c r="AO45" s="146"/>
      <c r="AP45" s="146"/>
      <c r="AQ45" s="146"/>
      <c r="AR45" s="146"/>
      <c r="AS45" s="108"/>
      <c r="AT45" s="145" t="s">
        <v>69</v>
      </c>
      <c r="AU45" s="124">
        <v>6890000</v>
      </c>
      <c r="AV45" s="146" t="s">
        <v>55</v>
      </c>
      <c r="AW45" s="108"/>
      <c r="AX45" s="108"/>
      <c r="AY45" s="142" t="s">
        <v>58</v>
      </c>
      <c r="AZ45" s="123">
        <f>AZ44-AZ37-BA37</f>
        <v>8489875.4545454551</v>
      </c>
      <c r="BA45" s="123"/>
      <c r="BB45" s="147" t="e">
        <f>BA37/BA44</f>
        <v>#DIV/0!</v>
      </c>
      <c r="BG45" s="56"/>
      <c r="BK45" s="28"/>
    </row>
    <row r="46" spans="2:63" ht="21" customHeight="1">
      <c r="H46" s="144"/>
      <c r="I46" s="144" t="s">
        <v>58</v>
      </c>
      <c r="J46" s="123">
        <f>J45-J37</f>
        <v>151198.18181818211</v>
      </c>
      <c r="K46" s="148">
        <v>0</v>
      </c>
      <c r="L46" s="108"/>
      <c r="M46" s="108"/>
      <c r="N46" s="108"/>
      <c r="O46" s="108"/>
      <c r="P46" s="108"/>
      <c r="Q46" s="144" t="s">
        <v>58</v>
      </c>
      <c r="R46" s="123">
        <f>R45-R37</f>
        <v>2998375.4545454551</v>
      </c>
      <c r="S46" s="108">
        <f>K46</f>
        <v>0</v>
      </c>
      <c r="T46" s="108"/>
      <c r="U46" s="108"/>
      <c r="V46" s="144" t="s">
        <v>58</v>
      </c>
      <c r="W46" s="123">
        <f>W45-W37</f>
        <v>3149573.6363636367</v>
      </c>
      <c r="X46" s="108">
        <f>P46</f>
        <v>0</v>
      </c>
      <c r="Y46" s="108"/>
      <c r="Z46" s="108"/>
      <c r="AA46" s="108"/>
      <c r="AB46" s="108"/>
      <c r="AC46" s="108"/>
      <c r="AD46" s="144" t="s">
        <v>58</v>
      </c>
      <c r="AE46" s="123">
        <f>AE45-AE37</f>
        <v>577045.45454545459</v>
      </c>
      <c r="AF46" s="108">
        <f>K46</f>
        <v>0</v>
      </c>
      <c r="AG46" s="108"/>
      <c r="AH46" s="108"/>
      <c r="AI46" s="108"/>
      <c r="AJ46" s="108"/>
      <c r="AK46" s="108"/>
      <c r="AL46" s="144" t="s">
        <v>58</v>
      </c>
      <c r="AM46" s="123">
        <f>AM45-AM37</f>
        <v>-331516.36363636353</v>
      </c>
      <c r="AN46" s="108">
        <f>AF46</f>
        <v>0</v>
      </c>
      <c r="AO46" s="108"/>
      <c r="AP46" s="108"/>
      <c r="AQ46" s="108"/>
      <c r="AR46" s="108"/>
      <c r="AS46" s="108"/>
      <c r="AT46" s="144" t="s">
        <v>58</v>
      </c>
      <c r="AU46" s="123">
        <f>AU45-AU37</f>
        <v>5094772.7272727275</v>
      </c>
      <c r="AV46" s="108">
        <f>AN46</f>
        <v>0</v>
      </c>
      <c r="AW46" s="108"/>
      <c r="AX46" s="149"/>
      <c r="AY46" s="150" t="s">
        <v>59</v>
      </c>
      <c r="AZ46" s="151" t="e">
        <f>AZ45/K46</f>
        <v>#DIV/0!</v>
      </c>
      <c r="BA46" s="152">
        <f>(AZ37+BA37)/AZ44</f>
        <v>0.58778367820118316</v>
      </c>
      <c r="BB46" s="149"/>
      <c r="BC46" s="153"/>
      <c r="BG46" s="56"/>
      <c r="BK46" s="28"/>
    </row>
    <row r="47" spans="2:63" s="153" customFormat="1" ht="26" customHeight="1">
      <c r="B47" s="191"/>
      <c r="H47" s="154"/>
      <c r="I47" s="150" t="s">
        <v>59</v>
      </c>
      <c r="J47" s="155" t="e">
        <f>J46/K46</f>
        <v>#DIV/0!</v>
      </c>
      <c r="K47" s="156">
        <f>J37/J45</f>
        <v>0.9634051567841212</v>
      </c>
      <c r="L47" s="149"/>
      <c r="M47" s="149"/>
      <c r="N47" s="149"/>
      <c r="O47" s="149"/>
      <c r="P47" s="149"/>
      <c r="Q47" s="150" t="s">
        <v>59</v>
      </c>
      <c r="R47" s="151" t="e">
        <f>R46/S46</f>
        <v>#DIV/0!</v>
      </c>
      <c r="S47" s="156">
        <f>R37/R45</f>
        <v>0.64177115238405558</v>
      </c>
      <c r="T47" s="149"/>
      <c r="U47" s="149"/>
      <c r="V47" s="150" t="s">
        <v>59</v>
      </c>
      <c r="W47" s="151" t="e">
        <f>W46/X46</f>
        <v>#DIV/0!</v>
      </c>
      <c r="X47" s="156">
        <f>W37/W45</f>
        <v>0.74806796875590831</v>
      </c>
      <c r="Y47" s="149"/>
      <c r="Z47" s="149"/>
      <c r="AA47" s="149"/>
      <c r="AB47" s="149"/>
      <c r="AC47" s="149"/>
      <c r="AD47" s="150" t="s">
        <v>59</v>
      </c>
      <c r="AE47" s="155" t="e">
        <f>AE46/AF46</f>
        <v>#DIV/0!</v>
      </c>
      <c r="AF47" s="156">
        <f>AE37/AE45</f>
        <v>0.17564935064935064</v>
      </c>
      <c r="AG47" s="156"/>
      <c r="AH47" s="156"/>
      <c r="AI47" s="156"/>
      <c r="AJ47" s="156"/>
      <c r="AK47" s="149"/>
      <c r="AL47" s="150" t="s">
        <v>59</v>
      </c>
      <c r="AM47" s="151" t="e">
        <f>AM46/AN46</f>
        <v>#DIV/0!</v>
      </c>
      <c r="AN47" s="156">
        <f>AM37/AM45</f>
        <v>1.6577705627705626</v>
      </c>
      <c r="AO47" s="156"/>
      <c r="AP47" s="156"/>
      <c r="AQ47" s="156"/>
      <c r="AR47" s="156"/>
      <c r="AS47" s="149"/>
      <c r="AT47" s="150" t="s">
        <v>59</v>
      </c>
      <c r="AU47" s="151" t="e">
        <f>AU46/AV46</f>
        <v>#DIV/0!</v>
      </c>
      <c r="AV47" s="156">
        <f>AU37/AU45</f>
        <v>0.26055548225359543</v>
      </c>
      <c r="AW47" s="149"/>
      <c r="AX47" s="28"/>
      <c r="AY47" s="28"/>
      <c r="AZ47" s="131"/>
      <c r="BA47" s="28"/>
      <c r="BB47" s="28"/>
      <c r="BC47" s="28"/>
      <c r="BG47" s="157"/>
      <c r="BI47" s="192"/>
    </row>
    <row r="48" spans="2:63">
      <c r="AX48" s="158"/>
      <c r="AY48" s="158"/>
      <c r="AZ48" s="158"/>
      <c r="BA48" s="158"/>
      <c r="BB48" s="158"/>
      <c r="BC48" s="158"/>
      <c r="BG48" s="56"/>
      <c r="BK48" s="28"/>
    </row>
    <row r="49" spans="2:61" s="158" customFormat="1" ht="36" customHeight="1">
      <c r="B49" s="159"/>
      <c r="L49" s="160"/>
      <c r="M49" s="28"/>
      <c r="N49" s="28"/>
      <c r="O49" s="28"/>
      <c r="P49" s="28"/>
      <c r="Q49" s="28"/>
      <c r="R49" s="160"/>
      <c r="AX49" s="1"/>
      <c r="AY49" s="1"/>
      <c r="AZ49" s="1"/>
      <c r="BA49" s="1"/>
      <c r="BB49" s="1"/>
      <c r="BC49" s="1"/>
      <c r="BG49" s="161"/>
      <c r="BI49" s="193"/>
    </row>
    <row r="50" spans="2:61" s="1" customFormat="1" ht="36" customHeight="1">
      <c r="B50" s="159"/>
      <c r="L50" s="162"/>
      <c r="M50" s="28"/>
      <c r="N50" s="28"/>
      <c r="O50" s="28"/>
      <c r="P50" s="28"/>
      <c r="Q50" s="28"/>
      <c r="R50" s="162"/>
      <c r="S50" s="162"/>
      <c r="Z50" s="163"/>
      <c r="AX50" s="158"/>
      <c r="AY50" s="158"/>
      <c r="AZ50" s="158"/>
      <c r="BA50" s="158"/>
      <c r="BB50" s="158"/>
      <c r="BC50" s="158"/>
      <c r="BG50" s="164"/>
      <c r="BI50" s="194"/>
    </row>
    <row r="51" spans="2:61" s="158" customFormat="1" ht="36" customHeight="1">
      <c r="B51" s="159"/>
      <c r="K51" s="1"/>
      <c r="L51" s="162"/>
      <c r="M51" s="28"/>
      <c r="N51" s="28"/>
      <c r="O51" s="28"/>
      <c r="P51" s="28"/>
      <c r="Q51" s="28"/>
      <c r="R51" s="165"/>
      <c r="S51" s="166"/>
      <c r="T51" s="166"/>
      <c r="U51" s="166"/>
      <c r="V51" s="166"/>
      <c r="W51" s="167"/>
      <c r="X51" s="168"/>
      <c r="Y51" s="169"/>
      <c r="Z51" s="170"/>
      <c r="BG51" s="161"/>
      <c r="BI51" s="193"/>
    </row>
    <row r="52" spans="2:61" s="158" customFormat="1" ht="36" customHeight="1">
      <c r="B52" s="159"/>
      <c r="K52" s="1"/>
      <c r="L52" s="162"/>
      <c r="M52" s="28"/>
      <c r="N52" s="28"/>
      <c r="O52" s="28"/>
      <c r="P52" s="28"/>
      <c r="Q52" s="28"/>
      <c r="R52" s="167"/>
      <c r="S52" s="166"/>
      <c r="T52" s="166"/>
      <c r="U52" s="166"/>
      <c r="V52" s="166"/>
      <c r="W52" s="167"/>
      <c r="X52" s="168"/>
      <c r="Y52" s="169"/>
      <c r="Z52" s="170"/>
      <c r="BG52" s="161"/>
      <c r="BI52" s="193"/>
    </row>
    <row r="53" spans="2:61" s="158" customFormat="1" ht="36" customHeight="1">
      <c r="B53" s="159"/>
      <c r="K53" s="1"/>
      <c r="L53" s="162"/>
      <c r="M53" s="28"/>
      <c r="N53" s="28"/>
      <c r="O53" s="28"/>
      <c r="P53" s="28"/>
      <c r="Q53" s="28"/>
      <c r="R53" s="167"/>
      <c r="S53" s="166"/>
      <c r="T53" s="166"/>
      <c r="U53" s="166"/>
      <c r="V53" s="166"/>
      <c r="W53" s="167"/>
      <c r="X53" s="168"/>
      <c r="Y53" s="169"/>
      <c r="Z53" s="170"/>
      <c r="BG53" s="161"/>
      <c r="BI53" s="193"/>
    </row>
    <row r="54" spans="2:61" s="158" customFormat="1" ht="36" customHeight="1">
      <c r="B54" s="159"/>
      <c r="K54" s="1"/>
      <c r="L54" s="162"/>
      <c r="M54" s="28"/>
      <c r="N54" s="28"/>
      <c r="O54" s="28"/>
      <c r="P54" s="28"/>
      <c r="Q54" s="28"/>
      <c r="R54" s="167"/>
      <c r="S54" s="166"/>
      <c r="T54" s="166"/>
      <c r="U54" s="166"/>
      <c r="V54" s="166"/>
      <c r="W54" s="167"/>
      <c r="X54" s="168"/>
      <c r="Y54" s="169"/>
      <c r="Z54" s="170"/>
      <c r="BG54" s="161"/>
      <c r="BI54" s="193"/>
    </row>
    <row r="55" spans="2:61" s="158" customFormat="1" ht="36" customHeight="1">
      <c r="B55" s="159"/>
      <c r="L55" s="160"/>
      <c r="M55" s="28"/>
      <c r="N55" s="28"/>
      <c r="O55" s="28"/>
      <c r="P55" s="28"/>
      <c r="Q55" s="28"/>
      <c r="R55" s="171"/>
      <c r="S55" s="166"/>
      <c r="T55" s="166"/>
      <c r="U55" s="166"/>
      <c r="V55" s="166"/>
      <c r="W55" s="168"/>
      <c r="X55" s="168"/>
      <c r="Y55" s="169"/>
      <c r="Z55" s="170"/>
      <c r="AX55" s="28"/>
      <c r="AY55" s="28"/>
      <c r="AZ55" s="28"/>
      <c r="BA55" s="28"/>
      <c r="BB55" s="28"/>
      <c r="BC55" s="28"/>
      <c r="BG55" s="161"/>
      <c r="BI55" s="193"/>
    </row>
    <row r="56" spans="2:61">
      <c r="Y56" s="169"/>
      <c r="Z56" s="169"/>
    </row>
    <row r="57" spans="2:61">
      <c r="Y57" s="158"/>
      <c r="Z57" s="158"/>
    </row>
  </sheetData>
  <mergeCells count="14">
    <mergeCell ref="AO3:AV3"/>
    <mergeCell ref="AW3:BA3"/>
    <mergeCell ref="BB3:BI3"/>
    <mergeCell ref="D40:K44"/>
    <mergeCell ref="L40:S44"/>
    <mergeCell ref="Y40:AF44"/>
    <mergeCell ref="AG40:AN44"/>
    <mergeCell ref="AO40:AV44"/>
    <mergeCell ref="AG3:AN3"/>
    <mergeCell ref="B3:B4"/>
    <mergeCell ref="D3:K3"/>
    <mergeCell ref="L3:S3"/>
    <mergeCell ref="T3:X3"/>
    <mergeCell ref="Y3:AF3"/>
  </mergeCells>
  <phoneticPr fontId="4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382F-6DB8-724F-89CC-C0DB6EB1908E}">
  <dimension ref="A1:BL59"/>
  <sheetViews>
    <sheetView tabSelected="1" workbookViewId="0">
      <selection activeCell="C39" sqref="C39"/>
    </sheetView>
  </sheetViews>
  <sheetFormatPr baseColWidth="10" defaultColWidth="11.140625" defaultRowHeight="16"/>
  <cols>
    <col min="1" max="1" width="11.140625" style="28"/>
    <col min="2" max="2" width="10.42578125" style="189" customWidth="1"/>
    <col min="3" max="3" width="12.42578125" style="28" customWidth="1"/>
    <col min="4" max="4" width="4.140625" style="28" customWidth="1"/>
    <col min="5" max="9" width="8.42578125" style="28" customWidth="1"/>
    <col min="10" max="10" width="12" style="28" customWidth="1"/>
    <col min="11" max="11" width="8.42578125" style="28" customWidth="1"/>
    <col min="12" max="12" width="3.85546875" style="28" customWidth="1"/>
    <col min="13" max="17" width="8.42578125" style="28" customWidth="1"/>
    <col min="18" max="18" width="12.42578125" style="28" customWidth="1"/>
    <col min="19" max="19" width="8.42578125" style="28" customWidth="1"/>
    <col min="20" max="23" width="11.140625" style="28"/>
    <col min="24" max="24" width="7.5703125" style="28" customWidth="1"/>
    <col min="25" max="25" width="3" style="28" customWidth="1"/>
    <col min="26" max="30" width="7.5703125" style="28" customWidth="1"/>
    <col min="31" max="31" width="10" style="28" customWidth="1"/>
    <col min="32" max="32" width="7.5703125" style="28" customWidth="1"/>
    <col min="33" max="33" width="3.5703125" style="28" customWidth="1"/>
    <col min="34" max="38" width="7.5703125" style="28" customWidth="1"/>
    <col min="39" max="39" width="11.85546875" style="28" customWidth="1"/>
    <col min="40" max="40" width="7.5703125" style="28" customWidth="1"/>
    <col min="41" max="41" width="4.140625" style="28" customWidth="1"/>
    <col min="42" max="46" width="7.5703125" style="28" customWidth="1"/>
    <col min="47" max="47" width="9.140625" style="28" customWidth="1"/>
    <col min="48" max="48" width="11.28515625" style="28" customWidth="1"/>
    <col min="49" max="49" width="7.5703125" style="28" customWidth="1"/>
    <col min="50" max="50" width="5.7109375" style="28" customWidth="1"/>
    <col min="51" max="52" width="9.140625" style="28" customWidth="1"/>
    <col min="53" max="53" width="13.5703125" style="28" customWidth="1"/>
    <col min="54" max="61" width="11.140625" style="28"/>
    <col min="62" max="62" width="11.140625" style="56"/>
    <col min="63" max="63" width="11.140625" style="28"/>
    <col min="64" max="64" width="11.140625" style="56"/>
    <col min="65" max="16384" width="11.140625" style="28"/>
  </cols>
  <sheetData>
    <row r="1" spans="1:64" s="3" customFormat="1">
      <c r="A1" s="1" t="s">
        <v>0</v>
      </c>
      <c r="B1" s="172"/>
      <c r="BJ1" s="4"/>
      <c r="BL1" s="4"/>
    </row>
    <row r="2" spans="1:64" s="3" customFormat="1" ht="35" thickBot="1">
      <c r="A2" s="5">
        <v>2023</v>
      </c>
      <c r="B2" s="174">
        <v>6</v>
      </c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X2" s="3" t="s">
        <v>1</v>
      </c>
      <c r="Y2" s="2"/>
      <c r="Z2" s="2"/>
      <c r="AA2" s="2"/>
      <c r="AB2" s="2"/>
      <c r="AC2" s="2"/>
      <c r="AD2" s="2"/>
      <c r="BB2" s="3" t="s">
        <v>1</v>
      </c>
      <c r="BJ2" s="4"/>
      <c r="BL2" s="4"/>
    </row>
    <row r="3" spans="1:64" s="3" customFormat="1" ht="33" customHeight="1" thickTop="1" thickBot="1">
      <c r="A3" s="7"/>
      <c r="B3" s="206" t="s">
        <v>2</v>
      </c>
      <c r="C3" s="8"/>
      <c r="D3" s="207" t="s">
        <v>3</v>
      </c>
      <c r="E3" s="207"/>
      <c r="F3" s="207"/>
      <c r="G3" s="207"/>
      <c r="H3" s="207"/>
      <c r="I3" s="207"/>
      <c r="J3" s="207"/>
      <c r="K3" s="207"/>
      <c r="L3" s="208" t="s">
        <v>4</v>
      </c>
      <c r="M3" s="208"/>
      <c r="N3" s="208"/>
      <c r="O3" s="208"/>
      <c r="P3" s="208"/>
      <c r="Q3" s="208"/>
      <c r="R3" s="208"/>
      <c r="S3" s="208"/>
      <c r="T3" s="209" t="s">
        <v>5</v>
      </c>
      <c r="U3" s="209"/>
      <c r="V3" s="209"/>
      <c r="W3" s="209"/>
      <c r="X3" s="209"/>
      <c r="Y3" s="210" t="s">
        <v>70</v>
      </c>
      <c r="Z3" s="210"/>
      <c r="AA3" s="210"/>
      <c r="AB3" s="210"/>
      <c r="AC3" s="210"/>
      <c r="AD3" s="210"/>
      <c r="AE3" s="210"/>
      <c r="AF3" s="210"/>
      <c r="AG3" s="217" t="s">
        <v>7</v>
      </c>
      <c r="AH3" s="218"/>
      <c r="AI3" s="218"/>
      <c r="AJ3" s="218"/>
      <c r="AK3" s="218"/>
      <c r="AL3" s="218"/>
      <c r="AM3" s="218"/>
      <c r="AN3" s="219"/>
      <c r="AO3" s="220" t="s">
        <v>60</v>
      </c>
      <c r="AP3" s="221"/>
      <c r="AQ3" s="221"/>
      <c r="AR3" s="221"/>
      <c r="AS3" s="221"/>
      <c r="AT3" s="221"/>
      <c r="AU3" s="221"/>
      <c r="AV3" s="221"/>
      <c r="AW3" s="222"/>
      <c r="AX3" s="211" t="s">
        <v>71</v>
      </c>
      <c r="AY3" s="209"/>
      <c r="AZ3" s="209"/>
      <c r="BA3" s="209"/>
      <c r="BB3" s="212"/>
      <c r="BC3" s="213" t="s">
        <v>9</v>
      </c>
      <c r="BD3" s="214"/>
      <c r="BE3" s="214"/>
      <c r="BF3" s="214"/>
      <c r="BG3" s="214"/>
      <c r="BH3" s="214"/>
      <c r="BI3" s="214"/>
      <c r="BJ3" s="215"/>
      <c r="BL3" s="4"/>
    </row>
    <row r="4" spans="1:64" s="2" customFormat="1" ht="53.25" customHeight="1" thickTop="1" thickBot="1">
      <c r="A4" s="9"/>
      <c r="B4" s="206"/>
      <c r="C4" s="10" t="s">
        <v>10</v>
      </c>
      <c r="D4" s="11" t="s">
        <v>11</v>
      </c>
      <c r="E4" s="12" t="s">
        <v>12</v>
      </c>
      <c r="F4" s="11" t="s">
        <v>13</v>
      </c>
      <c r="G4" s="13" t="s">
        <v>14</v>
      </c>
      <c r="H4" s="11" t="s">
        <v>15</v>
      </c>
      <c r="I4" s="14" t="s">
        <v>16</v>
      </c>
      <c r="J4" s="12" t="s">
        <v>17</v>
      </c>
      <c r="K4" s="11" t="s">
        <v>18</v>
      </c>
      <c r="L4" s="11" t="s">
        <v>19</v>
      </c>
      <c r="M4" s="15" t="s">
        <v>12</v>
      </c>
      <c r="N4" s="11" t="s">
        <v>13</v>
      </c>
      <c r="O4" s="13" t="s">
        <v>14</v>
      </c>
      <c r="P4" s="11" t="s">
        <v>15</v>
      </c>
      <c r="Q4" s="14" t="s">
        <v>16</v>
      </c>
      <c r="R4" s="12" t="s">
        <v>17</v>
      </c>
      <c r="S4" s="16" t="s">
        <v>18</v>
      </c>
      <c r="T4" s="17" t="s">
        <v>20</v>
      </c>
      <c r="U4" s="18" t="s">
        <v>21</v>
      </c>
      <c r="V4" s="18" t="s">
        <v>22</v>
      </c>
      <c r="W4" s="19" t="s">
        <v>23</v>
      </c>
      <c r="X4" s="18"/>
      <c r="Y4" s="20" t="s">
        <v>24</v>
      </c>
      <c r="Z4" s="11" t="s">
        <v>12</v>
      </c>
      <c r="AA4" s="11" t="s">
        <v>21</v>
      </c>
      <c r="AB4" s="13" t="s">
        <v>25</v>
      </c>
      <c r="AC4" s="11" t="s">
        <v>22</v>
      </c>
      <c r="AD4" s="14" t="s">
        <v>26</v>
      </c>
      <c r="AE4" s="15" t="s">
        <v>27</v>
      </c>
      <c r="AF4" s="21" t="s">
        <v>18</v>
      </c>
      <c r="AG4" s="22" t="s">
        <v>28</v>
      </c>
      <c r="AH4" s="11" t="s">
        <v>12</v>
      </c>
      <c r="AI4" s="11" t="s">
        <v>21</v>
      </c>
      <c r="AJ4" s="13" t="s">
        <v>25</v>
      </c>
      <c r="AK4" s="11" t="s">
        <v>22</v>
      </c>
      <c r="AL4" s="14" t="s">
        <v>26</v>
      </c>
      <c r="AM4" s="15" t="s">
        <v>27</v>
      </c>
      <c r="AN4" s="23" t="s">
        <v>18</v>
      </c>
      <c r="AO4" s="175" t="s">
        <v>28</v>
      </c>
      <c r="AP4" s="11" t="s">
        <v>12</v>
      </c>
      <c r="AQ4" s="11" t="s">
        <v>21</v>
      </c>
      <c r="AR4" s="13" t="s">
        <v>25</v>
      </c>
      <c r="AS4" s="11" t="s">
        <v>22</v>
      </c>
      <c r="AT4" s="14" t="s">
        <v>26</v>
      </c>
      <c r="AU4" s="14" t="s">
        <v>72</v>
      </c>
      <c r="AV4" s="15" t="s">
        <v>27</v>
      </c>
      <c r="AW4" s="23" t="s">
        <v>18</v>
      </c>
      <c r="AX4" s="23" t="s">
        <v>20</v>
      </c>
      <c r="AY4" s="18" t="s">
        <v>21</v>
      </c>
      <c r="AZ4" s="18" t="s">
        <v>22</v>
      </c>
      <c r="BA4" s="19" t="s">
        <v>23</v>
      </c>
      <c r="BB4" s="19" t="s">
        <v>29</v>
      </c>
      <c r="BC4" s="24" t="s">
        <v>30</v>
      </c>
      <c r="BD4" s="25" t="s">
        <v>31</v>
      </c>
      <c r="BE4" s="25" t="s">
        <v>32</v>
      </c>
      <c r="BF4" s="25" t="s">
        <v>61</v>
      </c>
      <c r="BG4" s="25" t="s">
        <v>34</v>
      </c>
      <c r="BH4" s="25" t="s">
        <v>73</v>
      </c>
      <c r="BI4" s="25" t="s">
        <v>62</v>
      </c>
      <c r="BJ4" s="26" t="s">
        <v>37</v>
      </c>
      <c r="BL4" s="27"/>
    </row>
    <row r="5" spans="1:64" ht="20" customHeight="1" thickTop="1">
      <c r="B5" s="177">
        <f>DATE($A$2,$B$2,1)</f>
        <v>45078</v>
      </c>
      <c r="C5" s="30"/>
      <c r="D5" s="31"/>
      <c r="E5" s="32">
        <v>29</v>
      </c>
      <c r="F5" s="33">
        <v>103620</v>
      </c>
      <c r="G5" s="34">
        <f t="shared" ref="G5:G35" si="0">ROUNDDOWN(F5/1.1,0)/E5</f>
        <v>3248.2758620689656</v>
      </c>
      <c r="H5" s="33">
        <v>5370</v>
      </c>
      <c r="I5" s="35">
        <f t="shared" ref="I5:I35" si="1">ROUNDDOWN(H5/1.1,0)/E5</f>
        <v>168.31034482758622</v>
      </c>
      <c r="J5" s="36">
        <f t="shared" ref="J5:J35" si="2">F5+H5</f>
        <v>108990</v>
      </c>
      <c r="K5" s="37">
        <f t="shared" ref="K5:K35" si="3">IF(E5="","",J5/E5)</f>
        <v>3758.2758620689656</v>
      </c>
      <c r="L5" s="38"/>
      <c r="M5" s="39">
        <f t="shared" ref="M5:N35" si="4">BC5-E5</f>
        <v>10</v>
      </c>
      <c r="N5" s="40">
        <f t="shared" si="4"/>
        <v>132000</v>
      </c>
      <c r="O5" s="34">
        <f t="shared" ref="O5:O35" si="5">ROUNDDOWN(N5/1.1,0)/M5</f>
        <v>12000</v>
      </c>
      <c r="P5" s="40">
        <f t="shared" ref="P5:P35" si="6">BE5-H5</f>
        <v>39500</v>
      </c>
      <c r="Q5" s="35">
        <f t="shared" ref="Q5:Q35" si="7">ROUNDDOWN(P5/1.1,0)/M5</f>
        <v>3590.9</v>
      </c>
      <c r="R5" s="41">
        <f t="shared" ref="R5:R35" si="8">N5+P5</f>
        <v>171500</v>
      </c>
      <c r="S5" s="37">
        <f t="shared" ref="S5:S35" si="9">IF(M5="","",R5/M5)</f>
        <v>17150</v>
      </c>
      <c r="T5" s="42">
        <f t="shared" ref="T5:U35" si="10">E5+M5</f>
        <v>39</v>
      </c>
      <c r="U5" s="40">
        <f t="shared" si="10"/>
        <v>235620</v>
      </c>
      <c r="V5" s="40">
        <f t="shared" ref="V5:V35" si="11">H5+P5</f>
        <v>44870</v>
      </c>
      <c r="W5" s="43">
        <f t="shared" ref="W5:W35" si="12">J5+R5</f>
        <v>280490</v>
      </c>
      <c r="X5" s="40"/>
      <c r="Y5" s="44"/>
      <c r="Z5" s="45">
        <v>11</v>
      </c>
      <c r="AA5" s="33">
        <v>5150</v>
      </c>
      <c r="AB5" s="34">
        <f t="shared" ref="AB5:AB35" si="13">AA5/Z5</f>
        <v>468.18181818181819</v>
      </c>
      <c r="AC5" s="33">
        <v>1200</v>
      </c>
      <c r="AD5" s="35">
        <f t="shared" ref="AD5:AD35" si="14">AC5/Z5</f>
        <v>109.09090909090909</v>
      </c>
      <c r="AE5" s="46">
        <f t="shared" ref="AE5:AE35" si="15">AA5+AC5</f>
        <v>6350</v>
      </c>
      <c r="AF5" s="37">
        <f t="shared" ref="AF5:AF35" si="16">IF(Z5="","",AE5/Z5)</f>
        <v>577.27272727272725</v>
      </c>
      <c r="AG5" s="47"/>
      <c r="AH5" s="45">
        <v>66</v>
      </c>
      <c r="AI5" s="33">
        <v>200970</v>
      </c>
      <c r="AJ5" s="34">
        <f t="shared" ref="AJ5:AJ35" si="17">AI5/AH5</f>
        <v>3045</v>
      </c>
      <c r="AK5" s="33">
        <v>86130</v>
      </c>
      <c r="AL5" s="35">
        <f t="shared" ref="AL5:AL35" si="18">AK5/AH5</f>
        <v>1305</v>
      </c>
      <c r="AM5" s="46">
        <f>AI5+AK5</f>
        <v>287100</v>
      </c>
      <c r="AN5" s="48">
        <f t="shared" ref="AN5:AN35" si="19">IF(AH5="","",AM5/AH5)</f>
        <v>4350</v>
      </c>
      <c r="AO5" s="195">
        <v>59</v>
      </c>
      <c r="AP5" s="45">
        <v>122</v>
      </c>
      <c r="AQ5" s="33">
        <v>267250</v>
      </c>
      <c r="AR5" s="34">
        <f t="shared" ref="AR5:AR35" si="20">AQ5/AP5</f>
        <v>2190.5737704918033</v>
      </c>
      <c r="AS5" s="33">
        <v>165950</v>
      </c>
      <c r="AT5" s="35">
        <f t="shared" ref="AT5:AT35" si="21">AS5/AP5</f>
        <v>1360.2459016393443</v>
      </c>
      <c r="AU5" s="35">
        <v>0</v>
      </c>
      <c r="AV5" s="196">
        <f>AQ5+AS5+AU5</f>
        <v>433200</v>
      </c>
      <c r="AW5" s="48">
        <f t="shared" ref="AW5:AW35" si="22">IF(AP5="","",AV5/AP5)</f>
        <v>3550.8196721311474</v>
      </c>
      <c r="AX5" s="49">
        <f t="shared" ref="AX5:AX35" si="23">SUM(E5,M5)</f>
        <v>39</v>
      </c>
      <c r="AY5" s="40">
        <f t="shared" ref="AY5:AY35" si="24">U5+AA5+AI5+AQ5</f>
        <v>708990</v>
      </c>
      <c r="AZ5" s="40">
        <f t="shared" ref="AZ5:AZ35" si="25">V5+AC5+AK5+AS5</f>
        <v>298150</v>
      </c>
      <c r="BA5" s="50">
        <f t="shared" ref="BA5:BA35" si="26">W5+AE5+AM5+AV5</f>
        <v>1007140</v>
      </c>
      <c r="BB5" s="51">
        <f>BF5+BG5</f>
        <v>0</v>
      </c>
      <c r="BC5" s="52">
        <v>39</v>
      </c>
      <c r="BD5" s="53">
        <v>235620</v>
      </c>
      <c r="BE5" s="53">
        <v>44870</v>
      </c>
      <c r="BF5" s="54"/>
      <c r="BG5" s="54"/>
      <c r="BH5" s="54"/>
      <c r="BI5" s="54"/>
      <c r="BJ5" s="179">
        <f t="shared" ref="BJ5:BJ35" si="27">SUM(BD5:BH5)</f>
        <v>280490</v>
      </c>
      <c r="BK5" s="28">
        <v>1</v>
      </c>
      <c r="BL5" s="56">
        <f t="shared" ref="BL5:BL35" si="28">BI5+BJ5</f>
        <v>280490</v>
      </c>
    </row>
    <row r="6" spans="1:64" ht="20" customHeight="1">
      <c r="B6" s="180">
        <f t="shared" ref="B6:B34" si="29">B5+1</f>
        <v>45079</v>
      </c>
      <c r="C6" s="58"/>
      <c r="D6" s="31"/>
      <c r="E6" s="32">
        <v>29</v>
      </c>
      <c r="F6" s="33">
        <v>99440</v>
      </c>
      <c r="G6" s="34">
        <f t="shared" si="0"/>
        <v>3117.2413793103447</v>
      </c>
      <c r="H6" s="33">
        <v>16000</v>
      </c>
      <c r="I6" s="35">
        <f t="shared" si="1"/>
        <v>501.55172413793105</v>
      </c>
      <c r="J6" s="36">
        <f t="shared" si="2"/>
        <v>115440</v>
      </c>
      <c r="K6" s="37">
        <f t="shared" si="3"/>
        <v>3980.6896551724139</v>
      </c>
      <c r="L6" s="38"/>
      <c r="M6" s="39">
        <f t="shared" si="4"/>
        <v>20</v>
      </c>
      <c r="N6" s="40">
        <f t="shared" si="4"/>
        <v>216920</v>
      </c>
      <c r="O6" s="34">
        <f t="shared" si="5"/>
        <v>9860</v>
      </c>
      <c r="P6" s="40">
        <f t="shared" si="6"/>
        <v>77910</v>
      </c>
      <c r="Q6" s="35">
        <f t="shared" si="7"/>
        <v>3541.35</v>
      </c>
      <c r="R6" s="41">
        <f t="shared" si="8"/>
        <v>294830</v>
      </c>
      <c r="S6" s="37">
        <f t="shared" si="9"/>
        <v>14741.5</v>
      </c>
      <c r="T6" s="59">
        <f t="shared" si="10"/>
        <v>49</v>
      </c>
      <c r="U6" s="40">
        <f t="shared" si="10"/>
        <v>316360</v>
      </c>
      <c r="V6" s="40">
        <f t="shared" si="11"/>
        <v>93910</v>
      </c>
      <c r="W6" s="43">
        <f t="shared" si="12"/>
        <v>410270</v>
      </c>
      <c r="X6" s="60"/>
      <c r="Y6" s="44"/>
      <c r="Z6" s="45">
        <v>11</v>
      </c>
      <c r="AA6" s="33">
        <v>5900</v>
      </c>
      <c r="AB6" s="34">
        <f t="shared" si="13"/>
        <v>536.36363636363637</v>
      </c>
      <c r="AC6" s="33"/>
      <c r="AD6" s="35">
        <f t="shared" si="14"/>
        <v>0</v>
      </c>
      <c r="AE6" s="46">
        <f>AA6+AC6</f>
        <v>5900</v>
      </c>
      <c r="AF6" s="37">
        <f t="shared" si="16"/>
        <v>536.36363636363637</v>
      </c>
      <c r="AG6" s="47"/>
      <c r="AH6" s="45"/>
      <c r="AI6" s="33"/>
      <c r="AJ6" s="34" t="e">
        <f t="shared" si="17"/>
        <v>#DIV/0!</v>
      </c>
      <c r="AK6" s="33"/>
      <c r="AL6" s="35" t="e">
        <f t="shared" si="18"/>
        <v>#DIV/0!</v>
      </c>
      <c r="AM6" s="46">
        <f t="shared" ref="AM6:AM35" si="30">AI6+AK6</f>
        <v>0</v>
      </c>
      <c r="AN6" s="48" t="str">
        <f t="shared" si="19"/>
        <v/>
      </c>
      <c r="AO6" s="195">
        <v>38</v>
      </c>
      <c r="AP6" s="45">
        <v>86</v>
      </c>
      <c r="AQ6" s="33">
        <v>251600</v>
      </c>
      <c r="AR6" s="34">
        <f t="shared" si="20"/>
        <v>2925.5813953488373</v>
      </c>
      <c r="AS6" s="33">
        <v>138150</v>
      </c>
      <c r="AT6" s="35">
        <f t="shared" si="21"/>
        <v>1606.3953488372092</v>
      </c>
      <c r="AU6" s="35">
        <v>3300</v>
      </c>
      <c r="AV6" s="196">
        <f t="shared" ref="AV6:AV35" si="31">AQ6+AS6+AU6</f>
        <v>393050</v>
      </c>
      <c r="AW6" s="48">
        <f t="shared" si="22"/>
        <v>4570.3488372093025</v>
      </c>
      <c r="AX6" s="61">
        <f t="shared" si="23"/>
        <v>49</v>
      </c>
      <c r="AY6" s="40">
        <f t="shared" si="24"/>
        <v>573860</v>
      </c>
      <c r="AZ6" s="40">
        <f t="shared" si="25"/>
        <v>232060</v>
      </c>
      <c r="BA6" s="50">
        <f t="shared" si="26"/>
        <v>809220</v>
      </c>
      <c r="BB6" s="51">
        <f t="shared" ref="BB6:BB35" si="32">BF6+BG6</f>
        <v>0</v>
      </c>
      <c r="BC6" s="52">
        <v>49</v>
      </c>
      <c r="BD6" s="53">
        <v>316360</v>
      </c>
      <c r="BE6" s="53">
        <v>93910</v>
      </c>
      <c r="BF6" s="54"/>
      <c r="BG6" s="54"/>
      <c r="BH6" s="54"/>
      <c r="BI6" s="54"/>
      <c r="BJ6" s="179">
        <f t="shared" si="27"/>
        <v>410270</v>
      </c>
      <c r="BK6" s="28">
        <v>2</v>
      </c>
      <c r="BL6" s="56">
        <f t="shared" si="28"/>
        <v>410270</v>
      </c>
    </row>
    <row r="7" spans="1:64" ht="20" customHeight="1">
      <c r="B7" s="180">
        <f>B6+1</f>
        <v>45080</v>
      </c>
      <c r="C7" s="58"/>
      <c r="D7" s="31"/>
      <c r="E7" s="32">
        <v>30</v>
      </c>
      <c r="F7" s="33">
        <v>117040</v>
      </c>
      <c r="G7" s="34">
        <f t="shared" si="0"/>
        <v>3546.6666666666665</v>
      </c>
      <c r="H7" s="33">
        <v>13780</v>
      </c>
      <c r="I7" s="35">
        <f t="shared" si="1"/>
        <v>417.56666666666666</v>
      </c>
      <c r="J7" s="36">
        <f t="shared" si="2"/>
        <v>130820</v>
      </c>
      <c r="K7" s="37">
        <f t="shared" si="3"/>
        <v>4360.666666666667</v>
      </c>
      <c r="L7" s="38"/>
      <c r="M7" s="39">
        <f t="shared" si="4"/>
        <v>21</v>
      </c>
      <c r="N7" s="40">
        <f t="shared" si="4"/>
        <v>195800</v>
      </c>
      <c r="O7" s="34">
        <f t="shared" si="5"/>
        <v>8476.1904761904771</v>
      </c>
      <c r="P7" s="40">
        <f t="shared" si="6"/>
        <v>59500</v>
      </c>
      <c r="Q7" s="35">
        <f t="shared" si="7"/>
        <v>2575.7142857142858</v>
      </c>
      <c r="R7" s="41">
        <f t="shared" si="8"/>
        <v>255300</v>
      </c>
      <c r="S7" s="37">
        <f t="shared" si="9"/>
        <v>12157.142857142857</v>
      </c>
      <c r="T7" s="59">
        <f t="shared" si="10"/>
        <v>51</v>
      </c>
      <c r="U7" s="40">
        <f t="shared" si="10"/>
        <v>312840</v>
      </c>
      <c r="V7" s="40">
        <f t="shared" si="11"/>
        <v>73280</v>
      </c>
      <c r="W7" s="43">
        <f t="shared" si="12"/>
        <v>386120</v>
      </c>
      <c r="X7" s="60"/>
      <c r="Y7" s="44"/>
      <c r="Z7" s="45">
        <v>20</v>
      </c>
      <c r="AA7" s="33">
        <v>10450</v>
      </c>
      <c r="AB7" s="34">
        <f t="shared" si="13"/>
        <v>522.5</v>
      </c>
      <c r="AC7" s="33">
        <v>5500</v>
      </c>
      <c r="AD7" s="35">
        <f t="shared" si="14"/>
        <v>275</v>
      </c>
      <c r="AE7" s="46">
        <f t="shared" si="15"/>
        <v>15950</v>
      </c>
      <c r="AF7" s="37">
        <f t="shared" si="16"/>
        <v>797.5</v>
      </c>
      <c r="AG7" s="47"/>
      <c r="AH7" s="45"/>
      <c r="AI7" s="33"/>
      <c r="AJ7" s="34" t="e">
        <f t="shared" si="17"/>
        <v>#DIV/0!</v>
      </c>
      <c r="AK7" s="33"/>
      <c r="AL7" s="35" t="e">
        <f t="shared" si="18"/>
        <v>#DIV/0!</v>
      </c>
      <c r="AM7" s="46">
        <f t="shared" si="30"/>
        <v>0</v>
      </c>
      <c r="AN7" s="48" t="str">
        <f t="shared" si="19"/>
        <v/>
      </c>
      <c r="AO7" s="195">
        <v>33</v>
      </c>
      <c r="AP7" s="45">
        <v>89</v>
      </c>
      <c r="AQ7" s="33">
        <v>211600</v>
      </c>
      <c r="AR7" s="34">
        <f t="shared" si="20"/>
        <v>2377.5280898876404</v>
      </c>
      <c r="AS7" s="33">
        <v>127000</v>
      </c>
      <c r="AT7" s="35">
        <f t="shared" si="21"/>
        <v>1426.9662921348315</v>
      </c>
      <c r="AU7" s="35">
        <v>3850</v>
      </c>
      <c r="AV7" s="196">
        <f t="shared" si="31"/>
        <v>342450</v>
      </c>
      <c r="AW7" s="48">
        <f t="shared" si="22"/>
        <v>3847.7528089887642</v>
      </c>
      <c r="AX7" s="61">
        <f t="shared" si="23"/>
        <v>51</v>
      </c>
      <c r="AY7" s="40">
        <f t="shared" si="24"/>
        <v>534890</v>
      </c>
      <c r="AZ7" s="40">
        <f t="shared" si="25"/>
        <v>205780</v>
      </c>
      <c r="BA7" s="50">
        <f t="shared" si="26"/>
        <v>744520</v>
      </c>
      <c r="BB7" s="51">
        <f t="shared" si="32"/>
        <v>3300</v>
      </c>
      <c r="BC7" s="52">
        <v>51</v>
      </c>
      <c r="BD7" s="53">
        <v>312840</v>
      </c>
      <c r="BE7" s="53">
        <v>73280</v>
      </c>
      <c r="BF7" s="54">
        <v>3300</v>
      </c>
      <c r="BG7" s="54"/>
      <c r="BH7" s="54"/>
      <c r="BI7" s="54"/>
      <c r="BJ7" s="179">
        <f t="shared" si="27"/>
        <v>389420</v>
      </c>
      <c r="BK7" s="28">
        <v>3</v>
      </c>
      <c r="BL7" s="56">
        <f t="shared" si="28"/>
        <v>389420</v>
      </c>
    </row>
    <row r="8" spans="1:64" ht="20" customHeight="1">
      <c r="B8" s="180">
        <f t="shared" si="29"/>
        <v>45081</v>
      </c>
      <c r="C8" s="58"/>
      <c r="D8" s="31"/>
      <c r="E8" s="32">
        <v>32</v>
      </c>
      <c r="F8" s="33">
        <v>140030</v>
      </c>
      <c r="G8" s="34">
        <f t="shared" si="0"/>
        <v>3978.125</v>
      </c>
      <c r="H8" s="33">
        <v>35760</v>
      </c>
      <c r="I8" s="35">
        <f t="shared" si="1"/>
        <v>1015.90625</v>
      </c>
      <c r="J8" s="36">
        <f t="shared" si="2"/>
        <v>175790</v>
      </c>
      <c r="K8" s="37">
        <f t="shared" si="3"/>
        <v>5493.4375</v>
      </c>
      <c r="L8" s="38"/>
      <c r="M8" s="39">
        <f t="shared" si="4"/>
        <v>11</v>
      </c>
      <c r="N8" s="40">
        <f t="shared" si="4"/>
        <v>116710</v>
      </c>
      <c r="O8" s="34">
        <f t="shared" si="5"/>
        <v>9645.454545454546</v>
      </c>
      <c r="P8" s="40">
        <f t="shared" si="6"/>
        <v>21520</v>
      </c>
      <c r="Q8" s="35">
        <f t="shared" si="7"/>
        <v>1778.4545454545455</v>
      </c>
      <c r="R8" s="41">
        <f t="shared" si="8"/>
        <v>138230</v>
      </c>
      <c r="S8" s="37">
        <f t="shared" si="9"/>
        <v>12566.363636363636</v>
      </c>
      <c r="T8" s="59">
        <f t="shared" si="10"/>
        <v>43</v>
      </c>
      <c r="U8" s="40">
        <f t="shared" si="10"/>
        <v>256740</v>
      </c>
      <c r="V8" s="40">
        <f t="shared" si="11"/>
        <v>57280</v>
      </c>
      <c r="W8" s="43">
        <f t="shared" si="12"/>
        <v>314020</v>
      </c>
      <c r="X8" s="60"/>
      <c r="Y8" s="44"/>
      <c r="Z8" s="45">
        <v>9</v>
      </c>
      <c r="AA8" s="33">
        <v>5650</v>
      </c>
      <c r="AB8" s="34">
        <f t="shared" si="13"/>
        <v>627.77777777777783</v>
      </c>
      <c r="AC8" s="33">
        <v>1500</v>
      </c>
      <c r="AD8" s="35">
        <f t="shared" si="14"/>
        <v>166.66666666666666</v>
      </c>
      <c r="AE8" s="46">
        <f t="shared" si="15"/>
        <v>7150</v>
      </c>
      <c r="AF8" s="37">
        <f t="shared" si="16"/>
        <v>794.44444444444446</v>
      </c>
      <c r="AG8" s="47"/>
      <c r="AH8" s="45"/>
      <c r="AI8" s="33"/>
      <c r="AJ8" s="34" t="e">
        <f t="shared" si="17"/>
        <v>#DIV/0!</v>
      </c>
      <c r="AK8" s="33"/>
      <c r="AL8" s="35" t="e">
        <f t="shared" si="18"/>
        <v>#DIV/0!</v>
      </c>
      <c r="AM8" s="46">
        <f t="shared" si="30"/>
        <v>0</v>
      </c>
      <c r="AN8" s="48" t="str">
        <f t="shared" si="19"/>
        <v/>
      </c>
      <c r="AO8" s="195">
        <v>22</v>
      </c>
      <c r="AP8" s="45">
        <v>65</v>
      </c>
      <c r="AQ8" s="33">
        <v>141300</v>
      </c>
      <c r="AR8" s="34">
        <f t="shared" si="20"/>
        <v>2173.8461538461538</v>
      </c>
      <c r="AS8" s="33">
        <v>91750</v>
      </c>
      <c r="AT8" s="35">
        <f t="shared" si="21"/>
        <v>1411.5384615384614</v>
      </c>
      <c r="AU8" s="35">
        <v>1650</v>
      </c>
      <c r="AV8" s="196">
        <f t="shared" si="31"/>
        <v>234700</v>
      </c>
      <c r="AW8" s="48">
        <f t="shared" si="22"/>
        <v>3610.7692307692309</v>
      </c>
      <c r="AX8" s="61">
        <f t="shared" si="23"/>
        <v>43</v>
      </c>
      <c r="AY8" s="40">
        <f t="shared" si="24"/>
        <v>403690</v>
      </c>
      <c r="AZ8" s="40">
        <f t="shared" si="25"/>
        <v>150530</v>
      </c>
      <c r="BA8" s="50">
        <f t="shared" si="26"/>
        <v>555870</v>
      </c>
      <c r="BB8" s="51">
        <f t="shared" si="32"/>
        <v>10450</v>
      </c>
      <c r="BC8" s="52">
        <v>43</v>
      </c>
      <c r="BD8" s="53">
        <v>256740</v>
      </c>
      <c r="BE8" s="53">
        <v>57280</v>
      </c>
      <c r="BF8" s="54">
        <v>10450</v>
      </c>
      <c r="BG8" s="54"/>
      <c r="BH8" s="54"/>
      <c r="BI8" s="54"/>
      <c r="BJ8" s="179">
        <f t="shared" si="27"/>
        <v>324470</v>
      </c>
      <c r="BK8" s="28">
        <v>4</v>
      </c>
      <c r="BL8" s="56">
        <f t="shared" si="28"/>
        <v>324470</v>
      </c>
    </row>
    <row r="9" spans="1:64" ht="20" customHeight="1">
      <c r="B9" s="180">
        <f t="shared" si="29"/>
        <v>45082</v>
      </c>
      <c r="C9" s="58"/>
      <c r="D9" s="31"/>
      <c r="E9" s="32">
        <v>33</v>
      </c>
      <c r="F9" s="33">
        <v>119240</v>
      </c>
      <c r="G9" s="34">
        <f t="shared" si="0"/>
        <v>3284.848484848485</v>
      </c>
      <c r="H9" s="33">
        <v>13850</v>
      </c>
      <c r="I9" s="35">
        <f t="shared" si="1"/>
        <v>381.5151515151515</v>
      </c>
      <c r="J9" s="36">
        <f t="shared" si="2"/>
        <v>133090</v>
      </c>
      <c r="K9" s="37">
        <f t="shared" si="3"/>
        <v>4033.030303030303</v>
      </c>
      <c r="L9" s="38"/>
      <c r="M9" s="39">
        <f t="shared" si="4"/>
        <v>6</v>
      </c>
      <c r="N9" s="40">
        <f t="shared" si="4"/>
        <v>91740</v>
      </c>
      <c r="O9" s="34">
        <f t="shared" si="5"/>
        <v>13900</v>
      </c>
      <c r="P9" s="40">
        <f t="shared" si="6"/>
        <v>8690</v>
      </c>
      <c r="Q9" s="35">
        <f t="shared" si="7"/>
        <v>1316.6666666666667</v>
      </c>
      <c r="R9" s="41">
        <f t="shared" si="8"/>
        <v>100430</v>
      </c>
      <c r="S9" s="37">
        <f t="shared" si="9"/>
        <v>16738.333333333332</v>
      </c>
      <c r="T9" s="59">
        <f t="shared" si="10"/>
        <v>39</v>
      </c>
      <c r="U9" s="40">
        <f t="shared" si="10"/>
        <v>210980</v>
      </c>
      <c r="V9" s="40">
        <f t="shared" si="11"/>
        <v>22540</v>
      </c>
      <c r="W9" s="43">
        <f t="shared" si="12"/>
        <v>233520</v>
      </c>
      <c r="X9" s="60"/>
      <c r="Y9" s="44"/>
      <c r="Z9" s="45">
        <v>5</v>
      </c>
      <c r="AA9" s="33">
        <v>2250</v>
      </c>
      <c r="AB9" s="34">
        <f t="shared" si="13"/>
        <v>450</v>
      </c>
      <c r="AC9" s="33">
        <v>1000</v>
      </c>
      <c r="AD9" s="35">
        <f t="shared" si="14"/>
        <v>200</v>
      </c>
      <c r="AE9" s="46">
        <f t="shared" si="15"/>
        <v>3250</v>
      </c>
      <c r="AF9" s="37">
        <f t="shared" si="16"/>
        <v>650</v>
      </c>
      <c r="AG9" s="47"/>
      <c r="AH9" s="45"/>
      <c r="AI9" s="33"/>
      <c r="AJ9" s="34" t="e">
        <f t="shared" si="17"/>
        <v>#DIV/0!</v>
      </c>
      <c r="AK9" s="33"/>
      <c r="AL9" s="35" t="e">
        <f t="shared" si="18"/>
        <v>#DIV/0!</v>
      </c>
      <c r="AM9" s="46">
        <f t="shared" si="30"/>
        <v>0</v>
      </c>
      <c r="AN9" s="48" t="str">
        <f t="shared" si="19"/>
        <v/>
      </c>
      <c r="AO9" s="195">
        <v>14</v>
      </c>
      <c r="AP9" s="45">
        <v>29</v>
      </c>
      <c r="AQ9" s="33">
        <v>72850</v>
      </c>
      <c r="AR9" s="34">
        <f t="shared" si="20"/>
        <v>2512.0689655172414</v>
      </c>
      <c r="AS9" s="33">
        <v>31500</v>
      </c>
      <c r="AT9" s="35">
        <f t="shared" si="21"/>
        <v>1086.2068965517242</v>
      </c>
      <c r="AU9" s="35">
        <v>1100</v>
      </c>
      <c r="AV9" s="196">
        <f t="shared" si="31"/>
        <v>105450</v>
      </c>
      <c r="AW9" s="48">
        <f>IF(AP9="","",AV9/AP9)</f>
        <v>3636.2068965517242</v>
      </c>
      <c r="AX9" s="61">
        <f t="shared" si="23"/>
        <v>39</v>
      </c>
      <c r="AY9" s="40">
        <f t="shared" si="24"/>
        <v>286080</v>
      </c>
      <c r="AZ9" s="40">
        <f t="shared" si="25"/>
        <v>55040</v>
      </c>
      <c r="BA9" s="50">
        <f t="shared" si="26"/>
        <v>342220</v>
      </c>
      <c r="BB9" s="51">
        <f t="shared" si="32"/>
        <v>0</v>
      </c>
      <c r="BC9" s="52">
        <v>39</v>
      </c>
      <c r="BD9" s="53">
        <v>210980</v>
      </c>
      <c r="BE9" s="53">
        <v>22540</v>
      </c>
      <c r="BF9" s="54"/>
      <c r="BG9" s="54"/>
      <c r="BH9" s="54">
        <v>3300</v>
      </c>
      <c r="BI9" s="54"/>
      <c r="BJ9" s="179">
        <f t="shared" si="27"/>
        <v>236820</v>
      </c>
      <c r="BK9" s="28">
        <v>5</v>
      </c>
      <c r="BL9" s="56">
        <f t="shared" si="28"/>
        <v>236820</v>
      </c>
    </row>
    <row r="10" spans="1:64" ht="20" customHeight="1">
      <c r="B10" s="180">
        <f t="shared" si="29"/>
        <v>45083</v>
      </c>
      <c r="C10" s="58"/>
      <c r="D10" s="31"/>
      <c r="E10" s="32">
        <v>34</v>
      </c>
      <c r="F10" s="33">
        <v>128920</v>
      </c>
      <c r="G10" s="34">
        <f t="shared" si="0"/>
        <v>3447.0588235294117</v>
      </c>
      <c r="H10" s="33">
        <v>24850</v>
      </c>
      <c r="I10" s="35">
        <f t="shared" si="1"/>
        <v>664.41176470588232</v>
      </c>
      <c r="J10" s="36">
        <f t="shared" si="2"/>
        <v>153770</v>
      </c>
      <c r="K10" s="37">
        <f t="shared" si="3"/>
        <v>4522.6470588235297</v>
      </c>
      <c r="L10" s="38"/>
      <c r="M10" s="39">
        <f t="shared" si="4"/>
        <v>13</v>
      </c>
      <c r="N10" s="40">
        <f t="shared" si="4"/>
        <v>156700</v>
      </c>
      <c r="O10" s="34">
        <f t="shared" si="5"/>
        <v>10958</v>
      </c>
      <c r="P10" s="40">
        <f t="shared" si="6"/>
        <v>59880</v>
      </c>
      <c r="Q10" s="35">
        <f t="shared" si="7"/>
        <v>4187.3846153846152</v>
      </c>
      <c r="R10" s="41">
        <f t="shared" si="8"/>
        <v>216580</v>
      </c>
      <c r="S10" s="37">
        <f t="shared" si="9"/>
        <v>16660</v>
      </c>
      <c r="T10" s="59">
        <f t="shared" si="10"/>
        <v>47</v>
      </c>
      <c r="U10" s="40">
        <f t="shared" si="10"/>
        <v>285620</v>
      </c>
      <c r="V10" s="40">
        <f t="shared" si="11"/>
        <v>84730</v>
      </c>
      <c r="W10" s="43">
        <f t="shared" si="12"/>
        <v>370350</v>
      </c>
      <c r="X10" s="60"/>
      <c r="Y10" s="44"/>
      <c r="Z10" s="45">
        <v>9</v>
      </c>
      <c r="AA10" s="33">
        <v>4400</v>
      </c>
      <c r="AB10" s="34">
        <f t="shared" si="13"/>
        <v>488.88888888888891</v>
      </c>
      <c r="AC10" s="33">
        <v>1200</v>
      </c>
      <c r="AD10" s="35">
        <f t="shared" si="14"/>
        <v>133.33333333333334</v>
      </c>
      <c r="AE10" s="46">
        <f t="shared" si="15"/>
        <v>5600</v>
      </c>
      <c r="AF10" s="37">
        <f t="shared" si="16"/>
        <v>622.22222222222217</v>
      </c>
      <c r="AG10" s="47"/>
      <c r="AH10" s="45"/>
      <c r="AI10" s="33"/>
      <c r="AJ10" s="34" t="e">
        <f t="shared" si="17"/>
        <v>#DIV/0!</v>
      </c>
      <c r="AK10" s="33"/>
      <c r="AL10" s="35" t="e">
        <f t="shared" si="18"/>
        <v>#DIV/0!</v>
      </c>
      <c r="AM10" s="46">
        <f t="shared" si="30"/>
        <v>0</v>
      </c>
      <c r="AN10" s="48" t="str">
        <f t="shared" si="19"/>
        <v/>
      </c>
      <c r="AO10" s="195">
        <v>27</v>
      </c>
      <c r="AP10" s="45">
        <v>63</v>
      </c>
      <c r="AQ10" s="33">
        <v>164050</v>
      </c>
      <c r="AR10" s="34">
        <f t="shared" si="20"/>
        <v>2603.968253968254</v>
      </c>
      <c r="AS10" s="33">
        <v>90300</v>
      </c>
      <c r="AT10" s="35">
        <f t="shared" si="21"/>
        <v>1433.3333333333333</v>
      </c>
      <c r="AU10" s="35">
        <v>0</v>
      </c>
      <c r="AV10" s="196">
        <f t="shared" si="31"/>
        <v>254350</v>
      </c>
      <c r="AW10" s="48">
        <f t="shared" si="22"/>
        <v>4037.3015873015875</v>
      </c>
      <c r="AX10" s="61">
        <f t="shared" si="23"/>
        <v>47</v>
      </c>
      <c r="AY10" s="40">
        <f t="shared" si="24"/>
        <v>454070</v>
      </c>
      <c r="AZ10" s="40">
        <f t="shared" si="25"/>
        <v>176230</v>
      </c>
      <c r="BA10" s="50">
        <f t="shared" si="26"/>
        <v>630300</v>
      </c>
      <c r="BB10" s="51">
        <f t="shared" si="32"/>
        <v>9350</v>
      </c>
      <c r="BC10" s="52">
        <v>47</v>
      </c>
      <c r="BD10" s="53">
        <v>285620</v>
      </c>
      <c r="BE10" s="53">
        <v>84730</v>
      </c>
      <c r="BF10" s="54">
        <v>9350</v>
      </c>
      <c r="BG10" s="54"/>
      <c r="BH10" s="54"/>
      <c r="BI10" s="54"/>
      <c r="BJ10" s="179">
        <f t="shared" si="27"/>
        <v>379700</v>
      </c>
      <c r="BK10" s="28">
        <v>6</v>
      </c>
      <c r="BL10" s="56">
        <f t="shared" si="28"/>
        <v>379700</v>
      </c>
    </row>
    <row r="11" spans="1:64" ht="20" customHeight="1">
      <c r="B11" s="180">
        <f t="shared" si="29"/>
        <v>45084</v>
      </c>
      <c r="C11" s="58"/>
      <c r="D11" s="31"/>
      <c r="E11" s="32">
        <v>29</v>
      </c>
      <c r="F11" s="33">
        <v>93870</v>
      </c>
      <c r="G11" s="34">
        <f t="shared" si="0"/>
        <v>2942.6206896551726</v>
      </c>
      <c r="H11" s="33">
        <v>5920</v>
      </c>
      <c r="I11" s="35">
        <f t="shared" si="1"/>
        <v>185.55172413793105</v>
      </c>
      <c r="J11" s="36">
        <f t="shared" si="2"/>
        <v>99790</v>
      </c>
      <c r="K11" s="37">
        <f t="shared" si="3"/>
        <v>3441.0344827586205</v>
      </c>
      <c r="L11" s="38"/>
      <c r="M11" s="39">
        <f t="shared" si="4"/>
        <v>7</v>
      </c>
      <c r="N11" s="40">
        <f t="shared" si="4"/>
        <v>80850</v>
      </c>
      <c r="O11" s="34">
        <f t="shared" si="5"/>
        <v>10500</v>
      </c>
      <c r="P11" s="40">
        <f t="shared" si="6"/>
        <v>31130</v>
      </c>
      <c r="Q11" s="35">
        <f t="shared" si="7"/>
        <v>4042.8571428571427</v>
      </c>
      <c r="R11" s="41">
        <f t="shared" si="8"/>
        <v>111980</v>
      </c>
      <c r="S11" s="37">
        <f t="shared" si="9"/>
        <v>15997.142857142857</v>
      </c>
      <c r="T11" s="59">
        <f t="shared" si="10"/>
        <v>36</v>
      </c>
      <c r="U11" s="40">
        <f t="shared" si="10"/>
        <v>174720</v>
      </c>
      <c r="V11" s="40">
        <f t="shared" si="11"/>
        <v>37050</v>
      </c>
      <c r="W11" s="43">
        <f t="shared" si="12"/>
        <v>211770</v>
      </c>
      <c r="X11" s="60"/>
      <c r="Y11" s="44"/>
      <c r="Z11" s="45">
        <v>5</v>
      </c>
      <c r="AA11" s="33">
        <v>2250</v>
      </c>
      <c r="AB11" s="34">
        <f t="shared" si="13"/>
        <v>450</v>
      </c>
      <c r="AC11" s="33"/>
      <c r="AD11" s="35">
        <f t="shared" si="14"/>
        <v>0</v>
      </c>
      <c r="AE11" s="46">
        <f t="shared" si="15"/>
        <v>2250</v>
      </c>
      <c r="AF11" s="37">
        <f t="shared" si="16"/>
        <v>450</v>
      </c>
      <c r="AG11" s="47"/>
      <c r="AH11" s="45"/>
      <c r="AI11" s="33"/>
      <c r="AJ11" s="34" t="e">
        <f t="shared" si="17"/>
        <v>#DIV/0!</v>
      </c>
      <c r="AK11" s="33"/>
      <c r="AL11" s="35" t="e">
        <f t="shared" si="18"/>
        <v>#DIV/0!</v>
      </c>
      <c r="AM11" s="46">
        <f t="shared" si="30"/>
        <v>0</v>
      </c>
      <c r="AN11" s="48" t="str">
        <f t="shared" si="19"/>
        <v/>
      </c>
      <c r="AO11" s="195">
        <v>17</v>
      </c>
      <c r="AP11" s="45">
        <v>43</v>
      </c>
      <c r="AQ11" s="33">
        <v>120750</v>
      </c>
      <c r="AR11" s="34">
        <f t="shared" si="20"/>
        <v>2808.1395348837209</v>
      </c>
      <c r="AS11" s="33">
        <v>58900</v>
      </c>
      <c r="AT11" s="35">
        <f t="shared" si="21"/>
        <v>1369.7674418604652</v>
      </c>
      <c r="AU11" s="35">
        <v>1100</v>
      </c>
      <c r="AV11" s="196">
        <f t="shared" si="31"/>
        <v>180750</v>
      </c>
      <c r="AW11" s="48">
        <f t="shared" si="22"/>
        <v>4203.4883720930229</v>
      </c>
      <c r="AX11" s="61">
        <f t="shared" si="23"/>
        <v>36</v>
      </c>
      <c r="AY11" s="40">
        <f t="shared" si="24"/>
        <v>297720</v>
      </c>
      <c r="AZ11" s="40">
        <f t="shared" si="25"/>
        <v>95950</v>
      </c>
      <c r="BA11" s="50">
        <f t="shared" si="26"/>
        <v>394770</v>
      </c>
      <c r="BB11" s="51">
        <f t="shared" si="32"/>
        <v>5500</v>
      </c>
      <c r="BC11" s="52">
        <v>36</v>
      </c>
      <c r="BD11" s="53">
        <v>174720</v>
      </c>
      <c r="BE11" s="53">
        <v>37050</v>
      </c>
      <c r="BF11" s="54">
        <v>5500</v>
      </c>
      <c r="BG11" s="54"/>
      <c r="BH11" s="54"/>
      <c r="BI11" s="54"/>
      <c r="BJ11" s="179">
        <f t="shared" si="27"/>
        <v>217270</v>
      </c>
      <c r="BK11" s="28">
        <v>7</v>
      </c>
      <c r="BL11" s="56">
        <f t="shared" si="28"/>
        <v>217270</v>
      </c>
    </row>
    <row r="12" spans="1:64" ht="20" customHeight="1">
      <c r="B12" s="180">
        <f t="shared" si="29"/>
        <v>45085</v>
      </c>
      <c r="C12" s="65"/>
      <c r="D12" s="31"/>
      <c r="E12" s="32">
        <v>34</v>
      </c>
      <c r="F12" s="33">
        <v>123860</v>
      </c>
      <c r="G12" s="34">
        <f t="shared" si="0"/>
        <v>3311.7647058823532</v>
      </c>
      <c r="H12" s="33">
        <v>10960</v>
      </c>
      <c r="I12" s="35">
        <f t="shared" si="1"/>
        <v>293.02941176470586</v>
      </c>
      <c r="J12" s="36">
        <f t="shared" si="2"/>
        <v>134820</v>
      </c>
      <c r="K12" s="37">
        <f t="shared" si="3"/>
        <v>3965.294117647059</v>
      </c>
      <c r="L12" s="38"/>
      <c r="M12" s="39">
        <f t="shared" si="4"/>
        <v>18</v>
      </c>
      <c r="N12" s="40">
        <f t="shared" si="4"/>
        <v>169960</v>
      </c>
      <c r="O12" s="34">
        <f t="shared" si="5"/>
        <v>8583.8333333333339</v>
      </c>
      <c r="P12" s="40">
        <f t="shared" si="6"/>
        <v>29860</v>
      </c>
      <c r="Q12" s="66">
        <f t="shared" si="7"/>
        <v>1508.0555555555557</v>
      </c>
      <c r="R12" s="41">
        <f t="shared" si="8"/>
        <v>199820</v>
      </c>
      <c r="S12" s="37">
        <f t="shared" si="9"/>
        <v>11101.111111111111</v>
      </c>
      <c r="T12" s="59">
        <f t="shared" si="10"/>
        <v>52</v>
      </c>
      <c r="U12" s="40">
        <f t="shared" si="10"/>
        <v>293820</v>
      </c>
      <c r="V12" s="40">
        <f t="shared" si="11"/>
        <v>40820</v>
      </c>
      <c r="W12" s="43">
        <f t="shared" si="12"/>
        <v>334640</v>
      </c>
      <c r="X12" s="60"/>
      <c r="Y12" s="44"/>
      <c r="Z12" s="45">
        <v>7</v>
      </c>
      <c r="AA12" s="33">
        <v>3150</v>
      </c>
      <c r="AB12" s="34">
        <f t="shared" si="13"/>
        <v>450</v>
      </c>
      <c r="AC12" s="33"/>
      <c r="AD12" s="35">
        <f t="shared" si="14"/>
        <v>0</v>
      </c>
      <c r="AE12" s="46">
        <f t="shared" si="15"/>
        <v>3150</v>
      </c>
      <c r="AF12" s="37">
        <f t="shared" si="16"/>
        <v>450</v>
      </c>
      <c r="AG12" s="47"/>
      <c r="AH12" s="45"/>
      <c r="AI12" s="33"/>
      <c r="AJ12" s="34" t="e">
        <f t="shared" si="17"/>
        <v>#DIV/0!</v>
      </c>
      <c r="AK12" s="33"/>
      <c r="AL12" s="35" t="e">
        <f t="shared" si="18"/>
        <v>#DIV/0!</v>
      </c>
      <c r="AM12" s="46">
        <f t="shared" si="30"/>
        <v>0</v>
      </c>
      <c r="AN12" s="48" t="str">
        <f t="shared" si="19"/>
        <v/>
      </c>
      <c r="AO12" s="195">
        <v>60</v>
      </c>
      <c r="AP12" s="45">
        <v>132</v>
      </c>
      <c r="AQ12" s="33">
        <v>294300</v>
      </c>
      <c r="AR12" s="34">
        <f t="shared" si="20"/>
        <v>2229.5454545454545</v>
      </c>
      <c r="AS12" s="33">
        <v>213750</v>
      </c>
      <c r="AT12" s="35">
        <f t="shared" si="21"/>
        <v>1619.3181818181818</v>
      </c>
      <c r="AU12" s="35">
        <v>0</v>
      </c>
      <c r="AV12" s="196">
        <f t="shared" si="31"/>
        <v>508050</v>
      </c>
      <c r="AW12" s="48">
        <f t="shared" si="22"/>
        <v>3848.8636363636365</v>
      </c>
      <c r="AX12" s="61">
        <f t="shared" si="23"/>
        <v>52</v>
      </c>
      <c r="AY12" s="40">
        <f t="shared" si="24"/>
        <v>591270</v>
      </c>
      <c r="AZ12" s="40">
        <f t="shared" si="25"/>
        <v>254570</v>
      </c>
      <c r="BA12" s="50">
        <f t="shared" si="26"/>
        <v>845840</v>
      </c>
      <c r="BB12" s="51">
        <f t="shared" si="32"/>
        <v>9900</v>
      </c>
      <c r="BC12" s="52">
        <v>52</v>
      </c>
      <c r="BD12" s="53">
        <v>293820</v>
      </c>
      <c r="BE12" s="53">
        <v>40820</v>
      </c>
      <c r="BF12" s="54">
        <v>9900</v>
      </c>
      <c r="BG12" s="54"/>
      <c r="BH12" s="54"/>
      <c r="BI12" s="54"/>
      <c r="BJ12" s="179">
        <f t="shared" si="27"/>
        <v>344540</v>
      </c>
      <c r="BK12" s="28">
        <v>8</v>
      </c>
      <c r="BL12" s="56">
        <f t="shared" si="28"/>
        <v>344540</v>
      </c>
    </row>
    <row r="13" spans="1:64" ht="20" customHeight="1">
      <c r="B13" s="180">
        <f t="shared" si="29"/>
        <v>45086</v>
      </c>
      <c r="C13" s="58"/>
      <c r="D13" s="31"/>
      <c r="E13" s="32">
        <v>31</v>
      </c>
      <c r="F13" s="33">
        <v>115060</v>
      </c>
      <c r="G13" s="34">
        <f t="shared" si="0"/>
        <v>3374.1935483870966</v>
      </c>
      <c r="H13" s="33">
        <v>7950</v>
      </c>
      <c r="I13" s="35">
        <f t="shared" si="1"/>
        <v>233.12903225806451</v>
      </c>
      <c r="J13" s="36">
        <f t="shared" si="2"/>
        <v>123010</v>
      </c>
      <c r="K13" s="37">
        <f t="shared" si="3"/>
        <v>3968.0645161290322</v>
      </c>
      <c r="L13" s="38"/>
      <c r="M13" s="39">
        <f t="shared" si="4"/>
        <v>26</v>
      </c>
      <c r="N13" s="40">
        <f t="shared" si="4"/>
        <v>300560</v>
      </c>
      <c r="O13" s="34">
        <f t="shared" si="5"/>
        <v>10509.076923076924</v>
      </c>
      <c r="P13" s="40">
        <f t="shared" si="6"/>
        <v>61740</v>
      </c>
      <c r="Q13" s="35">
        <f t="shared" si="7"/>
        <v>2158.7307692307691</v>
      </c>
      <c r="R13" s="41">
        <f t="shared" si="8"/>
        <v>362300</v>
      </c>
      <c r="S13" s="37">
        <f t="shared" si="9"/>
        <v>13934.615384615385</v>
      </c>
      <c r="T13" s="59">
        <f t="shared" si="10"/>
        <v>57</v>
      </c>
      <c r="U13" s="40">
        <f t="shared" si="10"/>
        <v>415620</v>
      </c>
      <c r="V13" s="40">
        <f t="shared" si="11"/>
        <v>69690</v>
      </c>
      <c r="W13" s="43">
        <f t="shared" si="12"/>
        <v>485310</v>
      </c>
      <c r="X13" s="60"/>
      <c r="Y13" s="44"/>
      <c r="Z13" s="45">
        <v>14</v>
      </c>
      <c r="AA13" s="33">
        <v>6200</v>
      </c>
      <c r="AB13" s="34">
        <f t="shared" si="13"/>
        <v>442.85714285714283</v>
      </c>
      <c r="AC13" s="33">
        <v>2000</v>
      </c>
      <c r="AD13" s="35">
        <f t="shared" si="14"/>
        <v>142.85714285714286</v>
      </c>
      <c r="AE13" s="46">
        <f t="shared" si="15"/>
        <v>8200</v>
      </c>
      <c r="AF13" s="37">
        <f t="shared" si="16"/>
        <v>585.71428571428567</v>
      </c>
      <c r="AG13" s="47"/>
      <c r="AH13" s="45"/>
      <c r="AI13" s="33"/>
      <c r="AJ13" s="34" t="e">
        <f t="shared" si="17"/>
        <v>#DIV/0!</v>
      </c>
      <c r="AK13" s="33"/>
      <c r="AL13" s="35" t="e">
        <f t="shared" si="18"/>
        <v>#DIV/0!</v>
      </c>
      <c r="AM13" s="46">
        <f t="shared" si="30"/>
        <v>0</v>
      </c>
      <c r="AN13" s="48" t="str">
        <f t="shared" si="19"/>
        <v/>
      </c>
      <c r="AO13" s="195">
        <v>17</v>
      </c>
      <c r="AP13" s="45">
        <v>44</v>
      </c>
      <c r="AQ13" s="33">
        <v>101050</v>
      </c>
      <c r="AR13" s="34">
        <f t="shared" si="20"/>
        <v>2296.590909090909</v>
      </c>
      <c r="AS13" s="33">
        <v>67800</v>
      </c>
      <c r="AT13" s="35">
        <f t="shared" si="21"/>
        <v>1540.909090909091</v>
      </c>
      <c r="AU13" s="35">
        <v>2750</v>
      </c>
      <c r="AV13" s="196">
        <f t="shared" si="31"/>
        <v>171600</v>
      </c>
      <c r="AW13" s="48">
        <f t="shared" si="22"/>
        <v>3900</v>
      </c>
      <c r="AX13" s="61">
        <f t="shared" si="23"/>
        <v>57</v>
      </c>
      <c r="AY13" s="40">
        <f t="shared" si="24"/>
        <v>522870</v>
      </c>
      <c r="AZ13" s="40">
        <f t="shared" si="25"/>
        <v>139490</v>
      </c>
      <c r="BA13" s="50">
        <f t="shared" si="26"/>
        <v>665110</v>
      </c>
      <c r="BB13" s="51">
        <f t="shared" si="32"/>
        <v>1100</v>
      </c>
      <c r="BC13" s="52">
        <v>57</v>
      </c>
      <c r="BD13" s="53">
        <v>415620</v>
      </c>
      <c r="BE13" s="53">
        <v>69690</v>
      </c>
      <c r="BF13" s="54">
        <v>1100</v>
      </c>
      <c r="BG13" s="54"/>
      <c r="BH13" s="54"/>
      <c r="BI13" s="54"/>
      <c r="BJ13" s="179">
        <f t="shared" si="27"/>
        <v>486410</v>
      </c>
      <c r="BK13" s="28">
        <v>9</v>
      </c>
      <c r="BL13" s="56">
        <f t="shared" si="28"/>
        <v>486410</v>
      </c>
    </row>
    <row r="14" spans="1:64" ht="20" customHeight="1">
      <c r="B14" s="180">
        <f t="shared" si="29"/>
        <v>45087</v>
      </c>
      <c r="C14" s="58"/>
      <c r="D14" s="31"/>
      <c r="E14" s="32">
        <v>32</v>
      </c>
      <c r="F14" s="33">
        <v>135520</v>
      </c>
      <c r="G14" s="34">
        <f t="shared" si="0"/>
        <v>3850</v>
      </c>
      <c r="H14" s="33">
        <v>15830</v>
      </c>
      <c r="I14" s="35">
        <f t="shared" si="1"/>
        <v>449.6875</v>
      </c>
      <c r="J14" s="36">
        <f t="shared" si="2"/>
        <v>151350</v>
      </c>
      <c r="K14" s="37">
        <f t="shared" si="3"/>
        <v>4729.6875</v>
      </c>
      <c r="L14" s="38"/>
      <c r="M14" s="39">
        <f t="shared" si="4"/>
        <v>24</v>
      </c>
      <c r="N14" s="40">
        <f t="shared" si="4"/>
        <v>244640</v>
      </c>
      <c r="O14" s="34">
        <f t="shared" si="5"/>
        <v>9266.6666666666661</v>
      </c>
      <c r="P14" s="40">
        <f t="shared" si="6"/>
        <v>49030</v>
      </c>
      <c r="Q14" s="35">
        <f t="shared" si="7"/>
        <v>1857.1666666666667</v>
      </c>
      <c r="R14" s="41">
        <f t="shared" si="8"/>
        <v>293670</v>
      </c>
      <c r="S14" s="37">
        <f t="shared" si="9"/>
        <v>12236.25</v>
      </c>
      <c r="T14" s="59">
        <f t="shared" si="10"/>
        <v>56</v>
      </c>
      <c r="U14" s="40">
        <f t="shared" si="10"/>
        <v>380160</v>
      </c>
      <c r="V14" s="40">
        <f t="shared" si="11"/>
        <v>64860</v>
      </c>
      <c r="W14" s="43">
        <f t="shared" si="12"/>
        <v>445020</v>
      </c>
      <c r="X14" s="60"/>
      <c r="Y14" s="44"/>
      <c r="Z14" s="45">
        <v>19</v>
      </c>
      <c r="AA14" s="33">
        <v>8600</v>
      </c>
      <c r="AB14" s="34">
        <f t="shared" si="13"/>
        <v>452.63157894736844</v>
      </c>
      <c r="AC14" s="33">
        <v>850</v>
      </c>
      <c r="AD14" s="35">
        <f t="shared" si="14"/>
        <v>44.736842105263158</v>
      </c>
      <c r="AE14" s="46">
        <f t="shared" si="15"/>
        <v>9450</v>
      </c>
      <c r="AF14" s="37">
        <f t="shared" si="16"/>
        <v>497.36842105263156</v>
      </c>
      <c r="AG14" s="47"/>
      <c r="AH14" s="45"/>
      <c r="AI14" s="33"/>
      <c r="AJ14" s="34" t="e">
        <f t="shared" si="17"/>
        <v>#DIV/0!</v>
      </c>
      <c r="AK14" s="33"/>
      <c r="AL14" s="35" t="e">
        <f t="shared" si="18"/>
        <v>#DIV/0!</v>
      </c>
      <c r="AM14" s="46">
        <f t="shared" si="30"/>
        <v>0</v>
      </c>
      <c r="AN14" s="48" t="str">
        <f t="shared" si="19"/>
        <v/>
      </c>
      <c r="AO14" s="195">
        <v>91</v>
      </c>
      <c r="AP14" s="45">
        <v>251</v>
      </c>
      <c r="AQ14" s="33">
        <v>475300</v>
      </c>
      <c r="AR14" s="34">
        <f t="shared" si="20"/>
        <v>1893.6254980079682</v>
      </c>
      <c r="AS14" s="33">
        <v>298450</v>
      </c>
      <c r="AT14" s="35">
        <f t="shared" si="21"/>
        <v>1189.0438247011953</v>
      </c>
      <c r="AU14" s="35">
        <v>2200</v>
      </c>
      <c r="AV14" s="196">
        <f t="shared" si="31"/>
        <v>775950</v>
      </c>
      <c r="AW14" s="48">
        <f t="shared" si="22"/>
        <v>3091.4342629482071</v>
      </c>
      <c r="AX14" s="61">
        <f t="shared" si="23"/>
        <v>56</v>
      </c>
      <c r="AY14" s="40">
        <f t="shared" si="24"/>
        <v>864060</v>
      </c>
      <c r="AZ14" s="40">
        <f t="shared" si="25"/>
        <v>364160</v>
      </c>
      <c r="BA14" s="50">
        <f t="shared" si="26"/>
        <v>1230420</v>
      </c>
      <c r="BB14" s="51">
        <f t="shared" si="32"/>
        <v>6600</v>
      </c>
      <c r="BC14" s="52">
        <v>56</v>
      </c>
      <c r="BD14" s="53">
        <v>380160</v>
      </c>
      <c r="BE14" s="53">
        <v>64860</v>
      </c>
      <c r="BF14" s="54">
        <v>6600</v>
      </c>
      <c r="BG14" s="54"/>
      <c r="BH14" s="54"/>
      <c r="BI14" s="54"/>
      <c r="BJ14" s="179">
        <f t="shared" si="27"/>
        <v>451620</v>
      </c>
      <c r="BK14" s="28">
        <v>10</v>
      </c>
      <c r="BL14" s="56">
        <f t="shared" si="28"/>
        <v>451620</v>
      </c>
    </row>
    <row r="15" spans="1:64" ht="20" customHeight="1">
      <c r="B15" s="180">
        <f t="shared" si="29"/>
        <v>45088</v>
      </c>
      <c r="C15" s="65"/>
      <c r="D15" s="31"/>
      <c r="E15" s="32">
        <v>26</v>
      </c>
      <c r="F15" s="33">
        <v>118800</v>
      </c>
      <c r="G15" s="34">
        <f t="shared" si="0"/>
        <v>4153.8461538461543</v>
      </c>
      <c r="H15" s="33">
        <v>19700</v>
      </c>
      <c r="I15" s="35">
        <f t="shared" si="1"/>
        <v>688.80769230769226</v>
      </c>
      <c r="J15" s="36">
        <f t="shared" si="2"/>
        <v>138500</v>
      </c>
      <c r="K15" s="37">
        <f t="shared" si="3"/>
        <v>5326.9230769230771</v>
      </c>
      <c r="L15" s="38"/>
      <c r="M15" s="39">
        <f t="shared" si="4"/>
        <v>16</v>
      </c>
      <c r="N15" s="40">
        <f t="shared" si="4"/>
        <v>137170</v>
      </c>
      <c r="O15" s="34">
        <f t="shared" si="5"/>
        <v>7793.75</v>
      </c>
      <c r="P15" s="40">
        <f t="shared" si="6"/>
        <v>32530</v>
      </c>
      <c r="Q15" s="35">
        <f t="shared" si="7"/>
        <v>1848.25</v>
      </c>
      <c r="R15" s="41">
        <f t="shared" si="8"/>
        <v>169700</v>
      </c>
      <c r="S15" s="37">
        <f t="shared" si="9"/>
        <v>10606.25</v>
      </c>
      <c r="T15" s="59">
        <f t="shared" si="10"/>
        <v>42</v>
      </c>
      <c r="U15" s="40">
        <f t="shared" si="10"/>
        <v>255970</v>
      </c>
      <c r="V15" s="40">
        <f t="shared" si="11"/>
        <v>52230</v>
      </c>
      <c r="W15" s="43">
        <f t="shared" si="12"/>
        <v>308200</v>
      </c>
      <c r="X15" s="60"/>
      <c r="Y15" s="44"/>
      <c r="Z15" s="45">
        <v>18</v>
      </c>
      <c r="AA15" s="33">
        <v>7950</v>
      </c>
      <c r="AB15" s="34">
        <f t="shared" si="13"/>
        <v>441.66666666666669</v>
      </c>
      <c r="AC15" s="33"/>
      <c r="AD15" s="35">
        <f t="shared" si="14"/>
        <v>0</v>
      </c>
      <c r="AE15" s="46">
        <f t="shared" si="15"/>
        <v>7950</v>
      </c>
      <c r="AF15" s="37">
        <f t="shared" si="16"/>
        <v>441.66666666666669</v>
      </c>
      <c r="AG15" s="47"/>
      <c r="AH15" s="45"/>
      <c r="AI15" s="33"/>
      <c r="AJ15" s="34" t="e">
        <f t="shared" si="17"/>
        <v>#DIV/0!</v>
      </c>
      <c r="AK15" s="33"/>
      <c r="AL15" s="35" t="e">
        <f t="shared" si="18"/>
        <v>#DIV/0!</v>
      </c>
      <c r="AM15" s="46">
        <f t="shared" si="30"/>
        <v>0</v>
      </c>
      <c r="AN15" s="48" t="str">
        <f t="shared" si="19"/>
        <v/>
      </c>
      <c r="AO15" s="195">
        <v>132</v>
      </c>
      <c r="AP15" s="45">
        <v>357</v>
      </c>
      <c r="AQ15" s="33">
        <v>883900</v>
      </c>
      <c r="AR15" s="34">
        <f t="shared" si="20"/>
        <v>2475.9103641456581</v>
      </c>
      <c r="AS15" s="33">
        <v>474900</v>
      </c>
      <c r="AT15" s="35">
        <f t="shared" si="21"/>
        <v>1330.2521008403362</v>
      </c>
      <c r="AU15" s="35">
        <v>10450</v>
      </c>
      <c r="AV15" s="196">
        <f t="shared" si="31"/>
        <v>1369250</v>
      </c>
      <c r="AW15" s="48">
        <f t="shared" si="22"/>
        <v>3835.4341736694678</v>
      </c>
      <c r="AX15" s="61">
        <f t="shared" si="23"/>
        <v>42</v>
      </c>
      <c r="AY15" s="40">
        <f t="shared" si="24"/>
        <v>1147820</v>
      </c>
      <c r="AZ15" s="40">
        <f t="shared" si="25"/>
        <v>527130</v>
      </c>
      <c r="BA15" s="50">
        <f t="shared" si="26"/>
        <v>1685400</v>
      </c>
      <c r="BB15" s="51">
        <f t="shared" si="32"/>
        <v>2200</v>
      </c>
      <c r="BC15" s="52">
        <v>42</v>
      </c>
      <c r="BD15" s="53">
        <v>255970</v>
      </c>
      <c r="BE15" s="53">
        <v>52230</v>
      </c>
      <c r="BF15" s="54">
        <v>2200</v>
      </c>
      <c r="BG15" s="54"/>
      <c r="BH15" s="54"/>
      <c r="BI15" s="54"/>
      <c r="BJ15" s="179">
        <f t="shared" si="27"/>
        <v>310400</v>
      </c>
      <c r="BK15" s="28">
        <v>11</v>
      </c>
      <c r="BL15" s="56">
        <f t="shared" si="28"/>
        <v>310400</v>
      </c>
    </row>
    <row r="16" spans="1:64" ht="20" customHeight="1">
      <c r="B16" s="180">
        <f t="shared" si="29"/>
        <v>45089</v>
      </c>
      <c r="C16" s="58"/>
      <c r="D16" s="31"/>
      <c r="E16" s="32">
        <v>38</v>
      </c>
      <c r="F16" s="33">
        <v>145680</v>
      </c>
      <c r="G16" s="34">
        <f t="shared" si="0"/>
        <v>3485.1578947368421</v>
      </c>
      <c r="H16" s="33">
        <v>11730</v>
      </c>
      <c r="I16" s="35">
        <f t="shared" si="1"/>
        <v>280.60526315789474</v>
      </c>
      <c r="J16" s="36">
        <f t="shared" si="2"/>
        <v>157410</v>
      </c>
      <c r="K16" s="37">
        <f t="shared" si="3"/>
        <v>4142.3684210526317</v>
      </c>
      <c r="L16" s="38"/>
      <c r="M16" s="39">
        <f t="shared" si="4"/>
        <v>10</v>
      </c>
      <c r="N16" s="40">
        <f t="shared" si="4"/>
        <v>101970</v>
      </c>
      <c r="O16" s="34">
        <f t="shared" si="5"/>
        <v>9270</v>
      </c>
      <c r="P16" s="40">
        <f t="shared" si="6"/>
        <v>18190</v>
      </c>
      <c r="Q16" s="35">
        <f t="shared" si="7"/>
        <v>1653.6</v>
      </c>
      <c r="R16" s="41">
        <f t="shared" si="8"/>
        <v>120160</v>
      </c>
      <c r="S16" s="37">
        <f t="shared" si="9"/>
        <v>12016</v>
      </c>
      <c r="T16" s="59">
        <f t="shared" si="10"/>
        <v>48</v>
      </c>
      <c r="U16" s="40">
        <f t="shared" si="10"/>
        <v>247650</v>
      </c>
      <c r="V16" s="40">
        <f t="shared" si="11"/>
        <v>29920</v>
      </c>
      <c r="W16" s="43">
        <f t="shared" si="12"/>
        <v>277570</v>
      </c>
      <c r="X16" s="60"/>
      <c r="Y16" s="44"/>
      <c r="Z16" s="45">
        <v>8</v>
      </c>
      <c r="AA16" s="33">
        <v>3600</v>
      </c>
      <c r="AB16" s="34">
        <f t="shared" si="13"/>
        <v>450</v>
      </c>
      <c r="AC16" s="33"/>
      <c r="AD16" s="35">
        <f t="shared" si="14"/>
        <v>0</v>
      </c>
      <c r="AE16" s="46">
        <f t="shared" si="15"/>
        <v>3600</v>
      </c>
      <c r="AF16" s="37">
        <f t="shared" si="16"/>
        <v>450</v>
      </c>
      <c r="AG16" s="47"/>
      <c r="AH16" s="45"/>
      <c r="AI16" s="33"/>
      <c r="AJ16" s="34" t="e">
        <f t="shared" si="17"/>
        <v>#DIV/0!</v>
      </c>
      <c r="AK16" s="33"/>
      <c r="AL16" s="35" t="e">
        <f t="shared" si="18"/>
        <v>#DIV/0!</v>
      </c>
      <c r="AM16" s="46">
        <f t="shared" si="30"/>
        <v>0</v>
      </c>
      <c r="AN16" s="48" t="str">
        <f t="shared" si="19"/>
        <v/>
      </c>
      <c r="AO16" s="195">
        <v>49</v>
      </c>
      <c r="AP16" s="45">
        <v>133</v>
      </c>
      <c r="AQ16" s="33">
        <v>326800</v>
      </c>
      <c r="AR16" s="34">
        <f t="shared" si="20"/>
        <v>2457.1428571428573</v>
      </c>
      <c r="AS16" s="33">
        <v>207900</v>
      </c>
      <c r="AT16" s="35">
        <f t="shared" si="21"/>
        <v>1563.1578947368421</v>
      </c>
      <c r="AU16" s="35">
        <v>0</v>
      </c>
      <c r="AV16" s="196">
        <f t="shared" si="31"/>
        <v>534700</v>
      </c>
      <c r="AW16" s="48">
        <f t="shared" si="22"/>
        <v>4020.3007518796994</v>
      </c>
      <c r="AX16" s="61">
        <f t="shared" si="23"/>
        <v>48</v>
      </c>
      <c r="AY16" s="40">
        <f t="shared" si="24"/>
        <v>578050</v>
      </c>
      <c r="AZ16" s="40">
        <f t="shared" si="25"/>
        <v>237820</v>
      </c>
      <c r="BA16" s="50">
        <f t="shared" si="26"/>
        <v>815870</v>
      </c>
      <c r="BB16" s="51">
        <f t="shared" si="32"/>
        <v>7700</v>
      </c>
      <c r="BC16" s="52">
        <v>48</v>
      </c>
      <c r="BD16" s="53">
        <v>247650</v>
      </c>
      <c r="BE16" s="53">
        <v>29920</v>
      </c>
      <c r="BF16" s="54">
        <v>7700</v>
      </c>
      <c r="BG16" s="54"/>
      <c r="BH16" s="54"/>
      <c r="BI16" s="54"/>
      <c r="BJ16" s="179">
        <f t="shared" si="27"/>
        <v>285270</v>
      </c>
      <c r="BK16" s="28">
        <v>12</v>
      </c>
      <c r="BL16" s="56">
        <f t="shared" si="28"/>
        <v>285270</v>
      </c>
    </row>
    <row r="17" spans="2:64" ht="20" customHeight="1">
      <c r="B17" s="180">
        <f t="shared" si="29"/>
        <v>45090</v>
      </c>
      <c r="C17" s="65"/>
      <c r="D17" s="31"/>
      <c r="E17" s="32">
        <v>25</v>
      </c>
      <c r="F17" s="33">
        <v>93940</v>
      </c>
      <c r="G17" s="34">
        <f t="shared" si="0"/>
        <v>3416</v>
      </c>
      <c r="H17" s="33">
        <v>5500</v>
      </c>
      <c r="I17" s="35">
        <f t="shared" si="1"/>
        <v>200</v>
      </c>
      <c r="J17" s="36">
        <f t="shared" si="2"/>
        <v>99440</v>
      </c>
      <c r="K17" s="37">
        <f t="shared" si="3"/>
        <v>3977.6</v>
      </c>
      <c r="L17" s="38"/>
      <c r="M17" s="39">
        <f t="shared" si="4"/>
        <v>13</v>
      </c>
      <c r="N17" s="40">
        <f t="shared" si="4"/>
        <v>106920</v>
      </c>
      <c r="O17" s="34">
        <f t="shared" si="5"/>
        <v>7476.9230769230771</v>
      </c>
      <c r="P17" s="40">
        <f t="shared" si="6"/>
        <v>38770</v>
      </c>
      <c r="Q17" s="35">
        <f t="shared" si="7"/>
        <v>2711.1538461538462</v>
      </c>
      <c r="R17" s="41">
        <f t="shared" si="8"/>
        <v>145690</v>
      </c>
      <c r="S17" s="37">
        <f t="shared" si="9"/>
        <v>11206.923076923076</v>
      </c>
      <c r="T17" s="59">
        <f t="shared" si="10"/>
        <v>38</v>
      </c>
      <c r="U17" s="40">
        <f t="shared" si="10"/>
        <v>200860</v>
      </c>
      <c r="V17" s="40">
        <f t="shared" si="11"/>
        <v>44270</v>
      </c>
      <c r="W17" s="43">
        <f t="shared" si="12"/>
        <v>245130</v>
      </c>
      <c r="X17" s="60"/>
      <c r="Y17" s="44"/>
      <c r="Z17" s="45">
        <v>8</v>
      </c>
      <c r="AA17" s="33">
        <v>4150</v>
      </c>
      <c r="AB17" s="34">
        <f t="shared" si="13"/>
        <v>518.75</v>
      </c>
      <c r="AC17" s="33">
        <v>1000</v>
      </c>
      <c r="AD17" s="35">
        <f t="shared" si="14"/>
        <v>125</v>
      </c>
      <c r="AE17" s="46">
        <f t="shared" si="15"/>
        <v>5150</v>
      </c>
      <c r="AF17" s="37">
        <f t="shared" si="16"/>
        <v>643.75</v>
      </c>
      <c r="AG17" s="47"/>
      <c r="AH17" s="45"/>
      <c r="AI17" s="33"/>
      <c r="AJ17" s="34" t="e">
        <f t="shared" si="17"/>
        <v>#DIV/0!</v>
      </c>
      <c r="AK17" s="33"/>
      <c r="AL17" s="35" t="e">
        <f t="shared" si="18"/>
        <v>#DIV/0!</v>
      </c>
      <c r="AM17" s="46">
        <f t="shared" si="30"/>
        <v>0</v>
      </c>
      <c r="AN17" s="48" t="str">
        <f t="shared" si="19"/>
        <v/>
      </c>
      <c r="AO17" s="195">
        <v>29</v>
      </c>
      <c r="AP17" s="45">
        <v>82</v>
      </c>
      <c r="AQ17" s="33">
        <v>198000</v>
      </c>
      <c r="AR17" s="34">
        <f t="shared" si="20"/>
        <v>2414.6341463414633</v>
      </c>
      <c r="AS17" s="33">
        <v>108850</v>
      </c>
      <c r="AT17" s="35">
        <f t="shared" si="21"/>
        <v>1327.439024390244</v>
      </c>
      <c r="AU17" s="35">
        <v>0</v>
      </c>
      <c r="AV17" s="196">
        <f t="shared" si="31"/>
        <v>306850</v>
      </c>
      <c r="AW17" s="48">
        <f t="shared" si="22"/>
        <v>3742.0731707317073</v>
      </c>
      <c r="AX17" s="61">
        <f t="shared" si="23"/>
        <v>38</v>
      </c>
      <c r="AY17" s="40">
        <f t="shared" si="24"/>
        <v>403010</v>
      </c>
      <c r="AZ17" s="40">
        <f t="shared" si="25"/>
        <v>154120</v>
      </c>
      <c r="BA17" s="50">
        <f t="shared" si="26"/>
        <v>557130</v>
      </c>
      <c r="BB17" s="51">
        <f t="shared" si="32"/>
        <v>0</v>
      </c>
      <c r="BC17" s="52">
        <v>38</v>
      </c>
      <c r="BD17" s="53">
        <v>200860</v>
      </c>
      <c r="BE17" s="53">
        <v>44270</v>
      </c>
      <c r="BF17" s="54">
        <v>0</v>
      </c>
      <c r="BG17" s="54"/>
      <c r="BH17" s="54"/>
      <c r="BI17" s="54"/>
      <c r="BJ17" s="179">
        <f t="shared" si="27"/>
        <v>245130</v>
      </c>
      <c r="BK17" s="28">
        <v>13</v>
      </c>
      <c r="BL17" s="56">
        <f t="shared" si="28"/>
        <v>245130</v>
      </c>
    </row>
    <row r="18" spans="2:64" ht="20" customHeight="1">
      <c r="B18" s="180">
        <f t="shared" si="29"/>
        <v>45091</v>
      </c>
      <c r="C18" s="58"/>
      <c r="D18" s="31"/>
      <c r="E18" s="32">
        <v>39</v>
      </c>
      <c r="F18" s="33">
        <v>175450</v>
      </c>
      <c r="G18" s="34">
        <f t="shared" si="0"/>
        <v>4089.7435897435898</v>
      </c>
      <c r="H18" s="33">
        <v>29520</v>
      </c>
      <c r="I18" s="35">
        <f t="shared" si="1"/>
        <v>688.10256410256409</v>
      </c>
      <c r="J18" s="36">
        <f t="shared" si="2"/>
        <v>204970</v>
      </c>
      <c r="K18" s="37">
        <f t="shared" si="3"/>
        <v>5255.6410256410254</v>
      </c>
      <c r="L18" s="38"/>
      <c r="M18" s="39">
        <f t="shared" si="4"/>
        <v>9</v>
      </c>
      <c r="N18" s="40">
        <f t="shared" si="4"/>
        <v>62260</v>
      </c>
      <c r="O18" s="34">
        <f t="shared" si="5"/>
        <v>6288.8888888888887</v>
      </c>
      <c r="P18" s="40">
        <f t="shared" si="6"/>
        <v>12470</v>
      </c>
      <c r="Q18" s="35">
        <f t="shared" si="7"/>
        <v>1259.5555555555557</v>
      </c>
      <c r="R18" s="41">
        <f t="shared" si="8"/>
        <v>74730</v>
      </c>
      <c r="S18" s="37">
        <f t="shared" si="9"/>
        <v>8303.3333333333339</v>
      </c>
      <c r="T18" s="59">
        <f t="shared" si="10"/>
        <v>48</v>
      </c>
      <c r="U18" s="40">
        <f t="shared" si="10"/>
        <v>237710</v>
      </c>
      <c r="V18" s="40">
        <f t="shared" si="11"/>
        <v>41990</v>
      </c>
      <c r="W18" s="43">
        <f t="shared" si="12"/>
        <v>279700</v>
      </c>
      <c r="X18" s="60"/>
      <c r="Y18" s="44"/>
      <c r="Z18" s="45">
        <v>16</v>
      </c>
      <c r="AA18" s="33">
        <v>7000</v>
      </c>
      <c r="AB18" s="34">
        <f t="shared" si="13"/>
        <v>437.5</v>
      </c>
      <c r="AC18" s="33"/>
      <c r="AD18" s="35">
        <f t="shared" si="14"/>
        <v>0</v>
      </c>
      <c r="AE18" s="46">
        <f t="shared" si="15"/>
        <v>7000</v>
      </c>
      <c r="AF18" s="37">
        <f t="shared" si="16"/>
        <v>437.5</v>
      </c>
      <c r="AG18" s="47"/>
      <c r="AH18" s="45">
        <v>22</v>
      </c>
      <c r="AI18" s="33">
        <v>124410</v>
      </c>
      <c r="AJ18" s="34">
        <f t="shared" si="17"/>
        <v>5655</v>
      </c>
      <c r="AK18" s="33">
        <v>28710</v>
      </c>
      <c r="AL18" s="35">
        <f t="shared" si="18"/>
        <v>1305</v>
      </c>
      <c r="AM18" s="46">
        <f t="shared" si="30"/>
        <v>153120</v>
      </c>
      <c r="AN18" s="48">
        <f t="shared" si="19"/>
        <v>6960</v>
      </c>
      <c r="AO18" s="195">
        <v>56</v>
      </c>
      <c r="AP18" s="45">
        <v>140</v>
      </c>
      <c r="AQ18" s="33">
        <v>250550</v>
      </c>
      <c r="AR18" s="34">
        <f t="shared" si="20"/>
        <v>1789.6428571428571</v>
      </c>
      <c r="AS18" s="33">
        <v>164400</v>
      </c>
      <c r="AT18" s="35">
        <f t="shared" si="21"/>
        <v>1174.2857142857142</v>
      </c>
      <c r="AU18" s="35">
        <v>0</v>
      </c>
      <c r="AV18" s="196">
        <f t="shared" si="31"/>
        <v>414950</v>
      </c>
      <c r="AW18" s="48">
        <f t="shared" si="22"/>
        <v>2963.9285714285716</v>
      </c>
      <c r="AX18" s="61">
        <f t="shared" si="23"/>
        <v>48</v>
      </c>
      <c r="AY18" s="40">
        <f t="shared" si="24"/>
        <v>619670</v>
      </c>
      <c r="AZ18" s="40">
        <f t="shared" si="25"/>
        <v>235100</v>
      </c>
      <c r="BA18" s="50">
        <f t="shared" si="26"/>
        <v>854770</v>
      </c>
      <c r="BB18" s="51">
        <f t="shared" si="32"/>
        <v>6600</v>
      </c>
      <c r="BC18" s="52">
        <v>48</v>
      </c>
      <c r="BD18" s="53">
        <v>237710</v>
      </c>
      <c r="BE18" s="53">
        <v>41990</v>
      </c>
      <c r="BF18" s="54">
        <v>6600</v>
      </c>
      <c r="BG18" s="54"/>
      <c r="BH18" s="54"/>
      <c r="BI18" s="54"/>
      <c r="BJ18" s="179">
        <f t="shared" si="27"/>
        <v>286300</v>
      </c>
      <c r="BK18" s="28">
        <v>14</v>
      </c>
      <c r="BL18" s="56">
        <f t="shared" si="28"/>
        <v>286300</v>
      </c>
    </row>
    <row r="19" spans="2:64" ht="20" customHeight="1">
      <c r="B19" s="180">
        <f t="shared" si="29"/>
        <v>45092</v>
      </c>
      <c r="C19" s="58"/>
      <c r="D19" s="31"/>
      <c r="E19" s="32">
        <v>31</v>
      </c>
      <c r="F19" s="33">
        <v>107360</v>
      </c>
      <c r="G19" s="34">
        <f t="shared" si="0"/>
        <v>3148.3870967741937</v>
      </c>
      <c r="H19" s="33">
        <v>39110</v>
      </c>
      <c r="I19" s="35">
        <f t="shared" si="1"/>
        <v>1146.9032258064517</v>
      </c>
      <c r="J19" s="36">
        <f t="shared" si="2"/>
        <v>146470</v>
      </c>
      <c r="K19" s="37">
        <f t="shared" si="3"/>
        <v>4724.8387096774195</v>
      </c>
      <c r="L19" s="38"/>
      <c r="M19" s="39">
        <f t="shared" si="4"/>
        <v>3</v>
      </c>
      <c r="N19" s="40">
        <f t="shared" si="4"/>
        <v>19140</v>
      </c>
      <c r="O19" s="34">
        <f t="shared" si="5"/>
        <v>5800</v>
      </c>
      <c r="P19" s="40">
        <f t="shared" si="6"/>
        <v>8470</v>
      </c>
      <c r="Q19" s="66">
        <f t="shared" si="7"/>
        <v>2566.6666666666665</v>
      </c>
      <c r="R19" s="41">
        <f t="shared" si="8"/>
        <v>27610</v>
      </c>
      <c r="S19" s="37">
        <f t="shared" si="9"/>
        <v>9203.3333333333339</v>
      </c>
      <c r="T19" s="59">
        <f t="shared" si="10"/>
        <v>34</v>
      </c>
      <c r="U19" s="40">
        <f t="shared" si="10"/>
        <v>126500</v>
      </c>
      <c r="V19" s="40">
        <f t="shared" si="11"/>
        <v>47580</v>
      </c>
      <c r="W19" s="43">
        <f t="shared" si="12"/>
        <v>174080</v>
      </c>
      <c r="X19" s="60"/>
      <c r="Y19" s="44"/>
      <c r="Z19" s="45">
        <v>3</v>
      </c>
      <c r="AA19" s="33">
        <v>1500</v>
      </c>
      <c r="AB19" s="34">
        <f t="shared" si="13"/>
        <v>500</v>
      </c>
      <c r="AC19" s="33">
        <v>1500</v>
      </c>
      <c r="AD19" s="35">
        <f t="shared" si="14"/>
        <v>500</v>
      </c>
      <c r="AE19" s="46">
        <f t="shared" si="15"/>
        <v>3000</v>
      </c>
      <c r="AF19" s="37">
        <f t="shared" si="16"/>
        <v>1000</v>
      </c>
      <c r="AG19" s="47"/>
      <c r="AH19" s="45"/>
      <c r="AI19" s="33"/>
      <c r="AJ19" s="34" t="e">
        <f t="shared" si="17"/>
        <v>#DIV/0!</v>
      </c>
      <c r="AK19" s="33"/>
      <c r="AL19" s="35" t="e">
        <f t="shared" si="18"/>
        <v>#DIV/0!</v>
      </c>
      <c r="AM19" s="46">
        <f t="shared" si="30"/>
        <v>0</v>
      </c>
      <c r="AN19" s="48" t="str">
        <f t="shared" si="19"/>
        <v/>
      </c>
      <c r="AO19" s="195">
        <v>55</v>
      </c>
      <c r="AP19" s="45">
        <v>302</v>
      </c>
      <c r="AQ19" s="33">
        <v>879850</v>
      </c>
      <c r="AR19" s="34">
        <f t="shared" si="20"/>
        <v>2913.4105960264901</v>
      </c>
      <c r="AS19" s="33">
        <v>491900</v>
      </c>
      <c r="AT19" s="35">
        <f t="shared" si="21"/>
        <v>1628.8079470198675</v>
      </c>
      <c r="AU19" s="35">
        <v>0</v>
      </c>
      <c r="AV19" s="196">
        <f t="shared" si="31"/>
        <v>1371750</v>
      </c>
      <c r="AW19" s="48">
        <f t="shared" si="22"/>
        <v>4542.2185430463578</v>
      </c>
      <c r="AX19" s="61">
        <f t="shared" si="23"/>
        <v>34</v>
      </c>
      <c r="AY19" s="40">
        <f t="shared" si="24"/>
        <v>1007850</v>
      </c>
      <c r="AZ19" s="40">
        <f t="shared" si="25"/>
        <v>540980</v>
      </c>
      <c r="BA19" s="50">
        <f t="shared" si="26"/>
        <v>1548830</v>
      </c>
      <c r="BB19" s="51">
        <f t="shared" si="32"/>
        <v>1100</v>
      </c>
      <c r="BC19" s="52">
        <v>34</v>
      </c>
      <c r="BD19" s="53">
        <v>126500</v>
      </c>
      <c r="BE19" s="53">
        <v>47580</v>
      </c>
      <c r="BF19" s="54">
        <v>1100</v>
      </c>
      <c r="BG19" s="54"/>
      <c r="BH19" s="54"/>
      <c r="BI19" s="54"/>
      <c r="BJ19" s="179">
        <f t="shared" si="27"/>
        <v>175180</v>
      </c>
      <c r="BK19" s="28">
        <v>15</v>
      </c>
      <c r="BL19" s="56">
        <f t="shared" si="28"/>
        <v>175180</v>
      </c>
    </row>
    <row r="20" spans="2:64" ht="20" customHeight="1">
      <c r="B20" s="180">
        <f t="shared" si="29"/>
        <v>45093</v>
      </c>
      <c r="C20" s="58"/>
      <c r="D20" s="31"/>
      <c r="E20" s="32">
        <v>32</v>
      </c>
      <c r="F20" s="33">
        <v>111320</v>
      </c>
      <c r="G20" s="34">
        <f t="shared" si="0"/>
        <v>3162.5</v>
      </c>
      <c r="H20" s="33">
        <v>7690</v>
      </c>
      <c r="I20" s="34">
        <f t="shared" si="1"/>
        <v>218.4375</v>
      </c>
      <c r="J20" s="36">
        <f t="shared" si="2"/>
        <v>119010</v>
      </c>
      <c r="K20" s="37">
        <f t="shared" si="3"/>
        <v>3719.0625</v>
      </c>
      <c r="L20" s="38"/>
      <c r="M20" s="39">
        <f t="shared" si="4"/>
        <v>28</v>
      </c>
      <c r="N20" s="40">
        <f t="shared" si="4"/>
        <v>288200</v>
      </c>
      <c r="O20" s="34">
        <f t="shared" si="5"/>
        <v>9357.1428571428569</v>
      </c>
      <c r="P20" s="40">
        <f t="shared" si="6"/>
        <v>91450</v>
      </c>
      <c r="Q20" s="66">
        <f t="shared" si="7"/>
        <v>2969.1428571428573</v>
      </c>
      <c r="R20" s="41">
        <f t="shared" si="8"/>
        <v>379650</v>
      </c>
      <c r="S20" s="37">
        <f t="shared" si="9"/>
        <v>13558.928571428571</v>
      </c>
      <c r="T20" s="59">
        <f t="shared" si="10"/>
        <v>60</v>
      </c>
      <c r="U20" s="40">
        <f t="shared" si="10"/>
        <v>399520</v>
      </c>
      <c r="V20" s="40">
        <f t="shared" si="11"/>
        <v>99140</v>
      </c>
      <c r="W20" s="43">
        <f t="shared" si="12"/>
        <v>498660</v>
      </c>
      <c r="X20" s="60"/>
      <c r="Y20" s="44"/>
      <c r="Z20" s="45">
        <v>15</v>
      </c>
      <c r="AA20" s="33">
        <v>7300</v>
      </c>
      <c r="AB20" s="34">
        <f t="shared" si="13"/>
        <v>486.66666666666669</v>
      </c>
      <c r="AC20" s="33">
        <v>500</v>
      </c>
      <c r="AD20" s="35">
        <f t="shared" si="14"/>
        <v>33.333333333333336</v>
      </c>
      <c r="AE20" s="46">
        <f t="shared" si="15"/>
        <v>7800</v>
      </c>
      <c r="AF20" s="37">
        <f t="shared" si="16"/>
        <v>520</v>
      </c>
      <c r="AG20" s="47"/>
      <c r="AH20" s="45"/>
      <c r="AI20" s="33"/>
      <c r="AJ20" s="34" t="e">
        <f t="shared" si="17"/>
        <v>#DIV/0!</v>
      </c>
      <c r="AK20" s="33"/>
      <c r="AL20" s="35" t="e">
        <f t="shared" si="18"/>
        <v>#DIV/0!</v>
      </c>
      <c r="AM20" s="46">
        <f t="shared" si="30"/>
        <v>0</v>
      </c>
      <c r="AN20" s="48" t="str">
        <f t="shared" si="19"/>
        <v/>
      </c>
      <c r="AO20" s="195">
        <v>91</v>
      </c>
      <c r="AP20" s="45">
        <v>219</v>
      </c>
      <c r="AQ20" s="33">
        <v>535200</v>
      </c>
      <c r="AR20" s="34">
        <f t="shared" si="20"/>
        <v>2443.8356164383563</v>
      </c>
      <c r="AS20" s="33">
        <v>338000</v>
      </c>
      <c r="AT20" s="35">
        <f t="shared" si="21"/>
        <v>1543.3789954337899</v>
      </c>
      <c r="AU20" s="35">
        <v>1650</v>
      </c>
      <c r="AV20" s="196">
        <f t="shared" si="31"/>
        <v>874850</v>
      </c>
      <c r="AW20" s="48">
        <f t="shared" si="22"/>
        <v>3994.7488584474886</v>
      </c>
      <c r="AX20" s="61">
        <f t="shared" si="23"/>
        <v>60</v>
      </c>
      <c r="AY20" s="40">
        <f t="shared" si="24"/>
        <v>942020</v>
      </c>
      <c r="AZ20" s="40">
        <f t="shared" si="25"/>
        <v>437640</v>
      </c>
      <c r="BA20" s="50">
        <f t="shared" si="26"/>
        <v>1381310</v>
      </c>
      <c r="BB20" s="51">
        <f t="shared" si="32"/>
        <v>5500</v>
      </c>
      <c r="BC20" s="52">
        <v>60</v>
      </c>
      <c r="BD20" s="53">
        <v>399520</v>
      </c>
      <c r="BE20" s="53">
        <v>99140</v>
      </c>
      <c r="BF20" s="54">
        <v>5500</v>
      </c>
      <c r="BG20" s="54"/>
      <c r="BH20" s="54"/>
      <c r="BI20" s="54"/>
      <c r="BJ20" s="179">
        <f t="shared" si="27"/>
        <v>504160</v>
      </c>
      <c r="BK20" s="28">
        <v>16</v>
      </c>
      <c r="BL20" s="56">
        <f t="shared" si="28"/>
        <v>504160</v>
      </c>
    </row>
    <row r="21" spans="2:64" ht="20" customHeight="1">
      <c r="B21" s="180">
        <f t="shared" si="29"/>
        <v>45094</v>
      </c>
      <c r="C21" s="58"/>
      <c r="D21" s="31"/>
      <c r="E21" s="32">
        <v>32</v>
      </c>
      <c r="F21" s="33">
        <v>151250</v>
      </c>
      <c r="G21" s="34">
        <f t="shared" si="0"/>
        <v>4296.875</v>
      </c>
      <c r="H21" s="33">
        <v>32090</v>
      </c>
      <c r="I21" s="34">
        <f t="shared" si="1"/>
        <v>911.625</v>
      </c>
      <c r="J21" s="36">
        <f t="shared" si="2"/>
        <v>183340</v>
      </c>
      <c r="K21" s="37">
        <f t="shared" si="3"/>
        <v>5729.375</v>
      </c>
      <c r="L21" s="38"/>
      <c r="M21" s="39">
        <f t="shared" si="4"/>
        <v>33</v>
      </c>
      <c r="N21" s="40">
        <f t="shared" si="4"/>
        <v>310340</v>
      </c>
      <c r="O21" s="34">
        <f t="shared" si="5"/>
        <v>8549.30303030303</v>
      </c>
      <c r="P21" s="40">
        <f t="shared" si="6"/>
        <v>75950</v>
      </c>
      <c r="Q21" s="66">
        <f t="shared" si="7"/>
        <v>2092.2727272727275</v>
      </c>
      <c r="R21" s="41">
        <f t="shared" si="8"/>
        <v>386290</v>
      </c>
      <c r="S21" s="37">
        <f t="shared" si="9"/>
        <v>11705.757575757576</v>
      </c>
      <c r="T21" s="59">
        <f t="shared" si="10"/>
        <v>65</v>
      </c>
      <c r="U21" s="40">
        <f t="shared" si="10"/>
        <v>461590</v>
      </c>
      <c r="V21" s="40">
        <f t="shared" si="11"/>
        <v>108040</v>
      </c>
      <c r="W21" s="43">
        <f t="shared" si="12"/>
        <v>569630</v>
      </c>
      <c r="X21" s="60"/>
      <c r="Y21" s="44"/>
      <c r="Z21" s="45">
        <v>18</v>
      </c>
      <c r="AA21" s="33">
        <v>8700</v>
      </c>
      <c r="AB21" s="34">
        <f t="shared" si="13"/>
        <v>483.33333333333331</v>
      </c>
      <c r="AC21" s="33"/>
      <c r="AD21" s="35">
        <f t="shared" si="14"/>
        <v>0</v>
      </c>
      <c r="AE21" s="46">
        <f t="shared" si="15"/>
        <v>8700</v>
      </c>
      <c r="AF21" s="37">
        <f t="shared" si="16"/>
        <v>483.33333333333331</v>
      </c>
      <c r="AG21" s="47"/>
      <c r="AH21" s="45"/>
      <c r="AI21" s="33"/>
      <c r="AJ21" s="34" t="e">
        <f t="shared" si="17"/>
        <v>#DIV/0!</v>
      </c>
      <c r="AK21" s="33"/>
      <c r="AL21" s="35" t="e">
        <f t="shared" si="18"/>
        <v>#DIV/0!</v>
      </c>
      <c r="AM21" s="46">
        <f t="shared" si="30"/>
        <v>0</v>
      </c>
      <c r="AN21" s="48" t="str">
        <f t="shared" si="19"/>
        <v/>
      </c>
      <c r="AO21" s="195">
        <v>176</v>
      </c>
      <c r="AP21" s="45">
        <v>443</v>
      </c>
      <c r="AQ21" s="33">
        <v>1093200</v>
      </c>
      <c r="AR21" s="34">
        <f t="shared" si="20"/>
        <v>2467.7200902934537</v>
      </c>
      <c r="AS21" s="33">
        <v>666750</v>
      </c>
      <c r="AT21" s="35">
        <f t="shared" si="21"/>
        <v>1505.0790067720091</v>
      </c>
      <c r="AU21" s="35">
        <v>11000</v>
      </c>
      <c r="AV21" s="196">
        <f t="shared" si="31"/>
        <v>1770950</v>
      </c>
      <c r="AW21" s="48">
        <f t="shared" si="22"/>
        <v>3997.6297968397289</v>
      </c>
      <c r="AX21" s="61">
        <f t="shared" si="23"/>
        <v>65</v>
      </c>
      <c r="AY21" s="40">
        <f t="shared" si="24"/>
        <v>1563490</v>
      </c>
      <c r="AZ21" s="40">
        <f t="shared" si="25"/>
        <v>774790</v>
      </c>
      <c r="BA21" s="50">
        <f>W21+AE21+AM21+AV21</f>
        <v>2349280</v>
      </c>
      <c r="BB21" s="51">
        <f t="shared" si="32"/>
        <v>9900</v>
      </c>
      <c r="BC21" s="52">
        <v>65</v>
      </c>
      <c r="BD21" s="53">
        <v>461590</v>
      </c>
      <c r="BE21" s="53">
        <v>108040</v>
      </c>
      <c r="BF21" s="54">
        <v>9900</v>
      </c>
      <c r="BG21" s="54"/>
      <c r="BH21" s="54"/>
      <c r="BI21" s="54"/>
      <c r="BJ21" s="179">
        <f t="shared" si="27"/>
        <v>579530</v>
      </c>
      <c r="BK21" s="28">
        <v>17</v>
      </c>
      <c r="BL21" s="56">
        <f t="shared" si="28"/>
        <v>579530</v>
      </c>
    </row>
    <row r="22" spans="2:64" ht="20" customHeight="1">
      <c r="B22" s="180">
        <f t="shared" si="29"/>
        <v>45095</v>
      </c>
      <c r="C22" s="58"/>
      <c r="D22" s="31"/>
      <c r="E22" s="32">
        <v>31</v>
      </c>
      <c r="F22" s="33">
        <v>144430</v>
      </c>
      <c r="G22" s="34">
        <f t="shared" si="0"/>
        <v>4235.4838709677415</v>
      </c>
      <c r="H22" s="33">
        <v>12290</v>
      </c>
      <c r="I22" s="34">
        <f t="shared" si="1"/>
        <v>360.38709677419354</v>
      </c>
      <c r="J22" s="36">
        <f t="shared" si="2"/>
        <v>156720</v>
      </c>
      <c r="K22" s="37">
        <f t="shared" si="3"/>
        <v>5055.4838709677415</v>
      </c>
      <c r="L22" s="38"/>
      <c r="M22" s="39">
        <f t="shared" si="4"/>
        <v>12</v>
      </c>
      <c r="N22" s="40">
        <f t="shared" si="4"/>
        <v>139980</v>
      </c>
      <c r="O22" s="34">
        <f t="shared" si="5"/>
        <v>10604.5</v>
      </c>
      <c r="P22" s="40">
        <f t="shared" si="6"/>
        <v>34430</v>
      </c>
      <c r="Q22" s="66">
        <f t="shared" si="7"/>
        <v>2608.3333333333335</v>
      </c>
      <c r="R22" s="41">
        <f t="shared" si="8"/>
        <v>174410</v>
      </c>
      <c r="S22" s="37">
        <f t="shared" si="9"/>
        <v>14534.166666666666</v>
      </c>
      <c r="T22" s="59">
        <f t="shared" si="10"/>
        <v>43</v>
      </c>
      <c r="U22" s="40">
        <f t="shared" si="10"/>
        <v>284410</v>
      </c>
      <c r="V22" s="40">
        <f t="shared" si="11"/>
        <v>46720</v>
      </c>
      <c r="W22" s="43">
        <f t="shared" si="12"/>
        <v>331130</v>
      </c>
      <c r="X22" s="60"/>
      <c r="Y22" s="44"/>
      <c r="Z22" s="45">
        <v>8</v>
      </c>
      <c r="AA22" s="33">
        <v>4150</v>
      </c>
      <c r="AB22" s="34">
        <f t="shared" si="13"/>
        <v>518.75</v>
      </c>
      <c r="AC22" s="33">
        <v>500</v>
      </c>
      <c r="AD22" s="35">
        <f t="shared" si="14"/>
        <v>62.5</v>
      </c>
      <c r="AE22" s="46">
        <f t="shared" si="15"/>
        <v>4650</v>
      </c>
      <c r="AF22" s="37">
        <f t="shared" si="16"/>
        <v>581.25</v>
      </c>
      <c r="AG22" s="47"/>
      <c r="AH22" s="45"/>
      <c r="AI22" s="33"/>
      <c r="AJ22" s="34" t="e">
        <f t="shared" si="17"/>
        <v>#DIV/0!</v>
      </c>
      <c r="AK22" s="33"/>
      <c r="AL22" s="35" t="e">
        <f t="shared" si="18"/>
        <v>#DIV/0!</v>
      </c>
      <c r="AM22" s="46">
        <f t="shared" si="30"/>
        <v>0</v>
      </c>
      <c r="AN22" s="48" t="str">
        <f t="shared" si="19"/>
        <v/>
      </c>
      <c r="AO22" s="195">
        <v>50</v>
      </c>
      <c r="AP22" s="45">
        <v>137</v>
      </c>
      <c r="AQ22" s="33">
        <v>388350</v>
      </c>
      <c r="AR22" s="34">
        <f t="shared" si="20"/>
        <v>2834.6715328467153</v>
      </c>
      <c r="AS22" s="33">
        <v>197550</v>
      </c>
      <c r="AT22" s="35">
        <f t="shared" si="21"/>
        <v>1441.9708029197079</v>
      </c>
      <c r="AU22" s="35">
        <v>4400</v>
      </c>
      <c r="AV22" s="196">
        <f t="shared" si="31"/>
        <v>590300</v>
      </c>
      <c r="AW22" s="48">
        <f t="shared" si="22"/>
        <v>4308.7591240875909</v>
      </c>
      <c r="AX22" s="61">
        <f t="shared" si="23"/>
        <v>43</v>
      </c>
      <c r="AY22" s="40">
        <f t="shared" si="24"/>
        <v>676910</v>
      </c>
      <c r="AZ22" s="40">
        <f t="shared" si="25"/>
        <v>244770</v>
      </c>
      <c r="BA22" s="50">
        <f t="shared" si="26"/>
        <v>926080</v>
      </c>
      <c r="BB22" s="51">
        <f t="shared" si="32"/>
        <v>3300</v>
      </c>
      <c r="BC22" s="52">
        <v>43</v>
      </c>
      <c r="BD22" s="53">
        <v>284410</v>
      </c>
      <c r="BE22" s="53">
        <v>46720</v>
      </c>
      <c r="BF22" s="54">
        <v>3300</v>
      </c>
      <c r="BG22" s="54"/>
      <c r="BH22" s="54"/>
      <c r="BI22" s="54"/>
      <c r="BJ22" s="179">
        <f t="shared" si="27"/>
        <v>334430</v>
      </c>
      <c r="BK22" s="28">
        <v>18</v>
      </c>
      <c r="BL22" s="56">
        <f t="shared" si="28"/>
        <v>334430</v>
      </c>
    </row>
    <row r="23" spans="2:64" ht="20" customHeight="1">
      <c r="B23" s="180">
        <f t="shared" si="29"/>
        <v>45096</v>
      </c>
      <c r="C23" s="58"/>
      <c r="D23" s="31"/>
      <c r="E23" s="32">
        <v>36</v>
      </c>
      <c r="F23" s="33">
        <v>130570</v>
      </c>
      <c r="G23" s="34">
        <f t="shared" si="0"/>
        <v>3297.2222222222222</v>
      </c>
      <c r="H23" s="33">
        <v>13110</v>
      </c>
      <c r="I23" s="34">
        <f t="shared" si="1"/>
        <v>331.05555555555554</v>
      </c>
      <c r="J23" s="36">
        <f t="shared" si="2"/>
        <v>143680</v>
      </c>
      <c r="K23" s="37">
        <f t="shared" si="3"/>
        <v>3991.1111111111113</v>
      </c>
      <c r="L23" s="38"/>
      <c r="M23" s="39">
        <f t="shared" si="4"/>
        <v>4</v>
      </c>
      <c r="N23" s="40">
        <f t="shared" si="4"/>
        <v>44000</v>
      </c>
      <c r="O23" s="34">
        <f t="shared" si="5"/>
        <v>10000</v>
      </c>
      <c r="P23" s="40">
        <f t="shared" si="6"/>
        <v>7970</v>
      </c>
      <c r="Q23" s="66">
        <f t="shared" si="7"/>
        <v>1811.25</v>
      </c>
      <c r="R23" s="41">
        <f t="shared" si="8"/>
        <v>51970</v>
      </c>
      <c r="S23" s="37">
        <f t="shared" si="9"/>
        <v>12992.5</v>
      </c>
      <c r="T23" s="59">
        <f t="shared" si="10"/>
        <v>40</v>
      </c>
      <c r="U23" s="40">
        <f t="shared" si="10"/>
        <v>174570</v>
      </c>
      <c r="V23" s="40">
        <f t="shared" si="11"/>
        <v>21080</v>
      </c>
      <c r="W23" s="43">
        <f t="shared" si="12"/>
        <v>195650</v>
      </c>
      <c r="X23" s="60"/>
      <c r="Y23" s="44"/>
      <c r="Z23" s="45">
        <v>10</v>
      </c>
      <c r="AA23" s="33">
        <v>4500</v>
      </c>
      <c r="AB23" s="34">
        <f t="shared" si="13"/>
        <v>450</v>
      </c>
      <c r="AC23" s="33">
        <v>1000</v>
      </c>
      <c r="AD23" s="35">
        <f t="shared" si="14"/>
        <v>100</v>
      </c>
      <c r="AE23" s="46">
        <f t="shared" si="15"/>
        <v>5500</v>
      </c>
      <c r="AF23" s="37">
        <f t="shared" si="16"/>
        <v>550</v>
      </c>
      <c r="AG23" s="47"/>
      <c r="AH23" s="45">
        <v>31</v>
      </c>
      <c r="AI23" s="33">
        <v>175305</v>
      </c>
      <c r="AJ23" s="34">
        <f t="shared" si="17"/>
        <v>5655</v>
      </c>
      <c r="AK23" s="33">
        <v>40455</v>
      </c>
      <c r="AL23" s="35">
        <f t="shared" si="18"/>
        <v>1305</v>
      </c>
      <c r="AM23" s="46">
        <f t="shared" si="30"/>
        <v>215760</v>
      </c>
      <c r="AN23" s="48">
        <f t="shared" si="19"/>
        <v>6960</v>
      </c>
      <c r="AO23" s="195">
        <v>53</v>
      </c>
      <c r="AP23" s="45">
        <v>132</v>
      </c>
      <c r="AQ23" s="33">
        <v>344400</v>
      </c>
      <c r="AR23" s="34">
        <f t="shared" si="20"/>
        <v>2609.090909090909</v>
      </c>
      <c r="AS23" s="33">
        <v>207700</v>
      </c>
      <c r="AT23" s="35">
        <f t="shared" si="21"/>
        <v>1573.4848484848485</v>
      </c>
      <c r="AU23" s="35">
        <v>8800</v>
      </c>
      <c r="AV23" s="196">
        <f t="shared" si="31"/>
        <v>560900</v>
      </c>
      <c r="AW23" s="48">
        <f t="shared" si="22"/>
        <v>4249.242424242424</v>
      </c>
      <c r="AX23" s="61">
        <f t="shared" si="23"/>
        <v>40</v>
      </c>
      <c r="AY23" s="40">
        <f t="shared" si="24"/>
        <v>698775</v>
      </c>
      <c r="AZ23" s="40">
        <f t="shared" si="25"/>
        <v>270235</v>
      </c>
      <c r="BA23" s="50">
        <f t="shared" si="26"/>
        <v>977810</v>
      </c>
      <c r="BB23" s="51">
        <f t="shared" si="32"/>
        <v>1650</v>
      </c>
      <c r="BC23" s="52">
        <v>40</v>
      </c>
      <c r="BD23" s="53">
        <v>174570</v>
      </c>
      <c r="BE23" s="53">
        <v>21080</v>
      </c>
      <c r="BF23" s="54">
        <v>1650</v>
      </c>
      <c r="BG23" s="54"/>
      <c r="BH23" s="54"/>
      <c r="BI23" s="54"/>
      <c r="BJ23" s="179">
        <f t="shared" si="27"/>
        <v>197300</v>
      </c>
      <c r="BK23" s="28">
        <v>19</v>
      </c>
      <c r="BL23" s="56">
        <f t="shared" si="28"/>
        <v>197300</v>
      </c>
    </row>
    <row r="24" spans="2:64" ht="20" customHeight="1">
      <c r="B24" s="180">
        <f t="shared" si="29"/>
        <v>45097</v>
      </c>
      <c r="C24" s="58"/>
      <c r="D24" s="31"/>
      <c r="E24" s="32">
        <v>40</v>
      </c>
      <c r="F24" s="33">
        <v>133870</v>
      </c>
      <c r="G24" s="34">
        <f t="shared" si="0"/>
        <v>3042.5</v>
      </c>
      <c r="H24" s="33">
        <v>20660</v>
      </c>
      <c r="I24" s="34">
        <f t="shared" si="1"/>
        <v>469.52499999999998</v>
      </c>
      <c r="J24" s="36">
        <f t="shared" si="2"/>
        <v>154530</v>
      </c>
      <c r="K24" s="37">
        <f t="shared" si="3"/>
        <v>3863.25</v>
      </c>
      <c r="L24" s="38"/>
      <c r="M24" s="39">
        <f t="shared" si="4"/>
        <v>16</v>
      </c>
      <c r="N24" s="40">
        <f t="shared" si="4"/>
        <v>144210</v>
      </c>
      <c r="O24" s="34">
        <f t="shared" si="5"/>
        <v>8193.75</v>
      </c>
      <c r="P24" s="40">
        <f t="shared" si="6"/>
        <v>37450</v>
      </c>
      <c r="Q24" s="66">
        <f t="shared" si="7"/>
        <v>2127.8125</v>
      </c>
      <c r="R24" s="41">
        <f t="shared" si="8"/>
        <v>181660</v>
      </c>
      <c r="S24" s="37">
        <f t="shared" si="9"/>
        <v>11353.75</v>
      </c>
      <c r="T24" s="59">
        <f t="shared" si="10"/>
        <v>56</v>
      </c>
      <c r="U24" s="40">
        <f t="shared" si="10"/>
        <v>278080</v>
      </c>
      <c r="V24" s="40">
        <f t="shared" si="11"/>
        <v>58110</v>
      </c>
      <c r="W24" s="43">
        <f t="shared" si="12"/>
        <v>336190</v>
      </c>
      <c r="X24" s="60"/>
      <c r="Y24" s="44"/>
      <c r="Z24" s="45">
        <v>9</v>
      </c>
      <c r="AA24" s="33">
        <v>3150</v>
      </c>
      <c r="AB24" s="34">
        <f t="shared" si="13"/>
        <v>350</v>
      </c>
      <c r="AC24" s="33"/>
      <c r="AD24" s="35">
        <f t="shared" si="14"/>
        <v>0</v>
      </c>
      <c r="AE24" s="46">
        <f t="shared" si="15"/>
        <v>3150</v>
      </c>
      <c r="AF24" s="37">
        <f t="shared" si="16"/>
        <v>350</v>
      </c>
      <c r="AG24" s="47"/>
      <c r="AH24" s="45">
        <v>6</v>
      </c>
      <c r="AI24" s="33">
        <v>2610</v>
      </c>
      <c r="AJ24" s="34">
        <f t="shared" si="17"/>
        <v>435</v>
      </c>
      <c r="AK24" s="33">
        <v>2871</v>
      </c>
      <c r="AL24" s="35">
        <f t="shared" si="18"/>
        <v>478.5</v>
      </c>
      <c r="AM24" s="46">
        <f t="shared" si="30"/>
        <v>5481</v>
      </c>
      <c r="AN24" s="48">
        <f t="shared" si="19"/>
        <v>913.5</v>
      </c>
      <c r="AO24" s="195">
        <v>55</v>
      </c>
      <c r="AP24" s="45">
        <v>169</v>
      </c>
      <c r="AQ24" s="33">
        <v>438050</v>
      </c>
      <c r="AR24" s="34">
        <f t="shared" si="20"/>
        <v>2592.0118343195268</v>
      </c>
      <c r="AS24" s="33">
        <v>268950</v>
      </c>
      <c r="AT24" s="35">
        <f t="shared" si="21"/>
        <v>1591.4201183431953</v>
      </c>
      <c r="AU24" s="35">
        <v>5500</v>
      </c>
      <c r="AV24" s="196">
        <f t="shared" si="31"/>
        <v>712500</v>
      </c>
      <c r="AW24" s="48">
        <f t="shared" si="22"/>
        <v>4215.9763313609465</v>
      </c>
      <c r="AX24" s="61">
        <f t="shared" si="23"/>
        <v>56</v>
      </c>
      <c r="AY24" s="40">
        <f t="shared" si="24"/>
        <v>721890</v>
      </c>
      <c r="AZ24" s="40">
        <f t="shared" si="25"/>
        <v>329931</v>
      </c>
      <c r="BA24" s="50">
        <f t="shared" si="26"/>
        <v>1057321</v>
      </c>
      <c r="BB24" s="51">
        <f t="shared" si="32"/>
        <v>4950</v>
      </c>
      <c r="BC24" s="52">
        <v>56</v>
      </c>
      <c r="BD24" s="53">
        <v>278080</v>
      </c>
      <c r="BE24" s="53">
        <v>58110</v>
      </c>
      <c r="BF24" s="54">
        <v>4950</v>
      </c>
      <c r="BG24" s="54"/>
      <c r="BH24" s="54"/>
      <c r="BI24" s="54"/>
      <c r="BJ24" s="179">
        <f t="shared" si="27"/>
        <v>341140</v>
      </c>
      <c r="BK24" s="28">
        <v>20</v>
      </c>
      <c r="BL24" s="56">
        <f t="shared" si="28"/>
        <v>341140</v>
      </c>
    </row>
    <row r="25" spans="2:64" ht="20" customHeight="1">
      <c r="B25" s="180">
        <f t="shared" si="29"/>
        <v>45098</v>
      </c>
      <c r="C25" s="58"/>
      <c r="D25" s="31"/>
      <c r="E25" s="32">
        <v>30</v>
      </c>
      <c r="F25" s="33">
        <v>130570</v>
      </c>
      <c r="G25" s="34">
        <f t="shared" si="0"/>
        <v>3956.6666666666665</v>
      </c>
      <c r="H25" s="33">
        <v>32440</v>
      </c>
      <c r="I25" s="34">
        <f t="shared" si="1"/>
        <v>983</v>
      </c>
      <c r="J25" s="36">
        <f t="shared" si="2"/>
        <v>163010</v>
      </c>
      <c r="K25" s="37">
        <f t="shared" si="3"/>
        <v>5433.666666666667</v>
      </c>
      <c r="L25" s="38"/>
      <c r="M25" s="39">
        <f t="shared" si="4"/>
        <v>21</v>
      </c>
      <c r="N25" s="40">
        <f t="shared" si="4"/>
        <v>216700</v>
      </c>
      <c r="O25" s="34">
        <f t="shared" si="5"/>
        <v>9380.9523809523816</v>
      </c>
      <c r="P25" s="40">
        <f t="shared" si="6"/>
        <v>38980</v>
      </c>
      <c r="Q25" s="66">
        <f t="shared" si="7"/>
        <v>1687.4285714285713</v>
      </c>
      <c r="R25" s="41">
        <f t="shared" si="8"/>
        <v>255680</v>
      </c>
      <c r="S25" s="37">
        <f t="shared" si="9"/>
        <v>12175.238095238095</v>
      </c>
      <c r="T25" s="59">
        <f t="shared" si="10"/>
        <v>51</v>
      </c>
      <c r="U25" s="40">
        <f t="shared" si="10"/>
        <v>347270</v>
      </c>
      <c r="V25" s="40">
        <f t="shared" si="11"/>
        <v>71420</v>
      </c>
      <c r="W25" s="43">
        <f t="shared" si="12"/>
        <v>418690</v>
      </c>
      <c r="X25" s="60"/>
      <c r="Y25" s="44"/>
      <c r="Z25" s="45">
        <v>10</v>
      </c>
      <c r="AA25" s="33">
        <v>4700</v>
      </c>
      <c r="AB25" s="34">
        <f t="shared" si="13"/>
        <v>470</v>
      </c>
      <c r="AC25" s="33"/>
      <c r="AD25" s="35">
        <f t="shared" si="14"/>
        <v>0</v>
      </c>
      <c r="AE25" s="46">
        <f t="shared" si="15"/>
        <v>4700</v>
      </c>
      <c r="AF25" s="37">
        <f t="shared" si="16"/>
        <v>470</v>
      </c>
      <c r="AG25" s="47"/>
      <c r="AH25" s="45"/>
      <c r="AI25" s="33"/>
      <c r="AJ25" s="34" t="e">
        <f t="shared" si="17"/>
        <v>#DIV/0!</v>
      </c>
      <c r="AK25" s="33"/>
      <c r="AL25" s="35" t="e">
        <f t="shared" si="18"/>
        <v>#DIV/0!</v>
      </c>
      <c r="AM25" s="46">
        <f t="shared" si="30"/>
        <v>0</v>
      </c>
      <c r="AN25" s="48" t="str">
        <f t="shared" si="19"/>
        <v/>
      </c>
      <c r="AO25" s="195">
        <v>88</v>
      </c>
      <c r="AP25" s="45">
        <v>200</v>
      </c>
      <c r="AQ25" s="33">
        <v>509950</v>
      </c>
      <c r="AR25" s="34">
        <f t="shared" si="20"/>
        <v>2549.75</v>
      </c>
      <c r="AS25" s="33">
        <v>326300</v>
      </c>
      <c r="AT25" s="35">
        <f t="shared" si="21"/>
        <v>1631.5</v>
      </c>
      <c r="AU25" s="35">
        <v>3300</v>
      </c>
      <c r="AV25" s="196">
        <f t="shared" si="31"/>
        <v>839550</v>
      </c>
      <c r="AW25" s="48">
        <f t="shared" si="22"/>
        <v>4197.75</v>
      </c>
      <c r="AX25" s="61">
        <f t="shared" si="23"/>
        <v>51</v>
      </c>
      <c r="AY25" s="40">
        <f t="shared" si="24"/>
        <v>861920</v>
      </c>
      <c r="AZ25" s="40">
        <f t="shared" si="25"/>
        <v>397720</v>
      </c>
      <c r="BA25" s="50">
        <f t="shared" si="26"/>
        <v>1262940</v>
      </c>
      <c r="BB25" s="51">
        <f t="shared" si="32"/>
        <v>12650</v>
      </c>
      <c r="BC25" s="52">
        <v>51</v>
      </c>
      <c r="BD25" s="53">
        <v>347270</v>
      </c>
      <c r="BE25" s="53">
        <v>71420</v>
      </c>
      <c r="BF25" s="54">
        <v>12650</v>
      </c>
      <c r="BG25" s="54"/>
      <c r="BH25" s="54"/>
      <c r="BI25" s="54"/>
      <c r="BJ25" s="179">
        <f t="shared" si="27"/>
        <v>431340</v>
      </c>
      <c r="BK25" s="28">
        <v>21</v>
      </c>
      <c r="BL25" s="56">
        <f t="shared" si="28"/>
        <v>431340</v>
      </c>
    </row>
    <row r="26" spans="2:64" ht="20" customHeight="1">
      <c r="B26" s="180">
        <f t="shared" si="29"/>
        <v>45099</v>
      </c>
      <c r="C26" s="58"/>
      <c r="D26" s="31"/>
      <c r="E26" s="32">
        <v>34</v>
      </c>
      <c r="F26" s="33">
        <v>120670</v>
      </c>
      <c r="G26" s="34">
        <f t="shared" si="0"/>
        <v>3226.4705882352941</v>
      </c>
      <c r="H26" s="33">
        <v>15930</v>
      </c>
      <c r="I26" s="34">
        <f t="shared" si="1"/>
        <v>425.91176470588238</v>
      </c>
      <c r="J26" s="36">
        <f t="shared" si="2"/>
        <v>136600</v>
      </c>
      <c r="K26" s="37">
        <f t="shared" si="3"/>
        <v>4017.6470588235293</v>
      </c>
      <c r="L26" s="38"/>
      <c r="M26" s="39">
        <f t="shared" si="4"/>
        <v>16</v>
      </c>
      <c r="N26" s="40">
        <f t="shared" si="4"/>
        <v>166050</v>
      </c>
      <c r="O26" s="34">
        <f t="shared" si="5"/>
        <v>9434.625</v>
      </c>
      <c r="P26" s="40">
        <f t="shared" si="6"/>
        <v>39750</v>
      </c>
      <c r="Q26" s="66">
        <f t="shared" si="7"/>
        <v>2258.5</v>
      </c>
      <c r="R26" s="41">
        <f t="shared" si="8"/>
        <v>205800</v>
      </c>
      <c r="S26" s="37">
        <f t="shared" si="9"/>
        <v>12862.5</v>
      </c>
      <c r="T26" s="59">
        <f t="shared" si="10"/>
        <v>50</v>
      </c>
      <c r="U26" s="40">
        <f t="shared" si="10"/>
        <v>286720</v>
      </c>
      <c r="V26" s="40">
        <f t="shared" si="11"/>
        <v>55680</v>
      </c>
      <c r="W26" s="43">
        <f t="shared" si="12"/>
        <v>342400</v>
      </c>
      <c r="X26" s="60"/>
      <c r="Y26" s="44"/>
      <c r="Z26" s="45">
        <v>10</v>
      </c>
      <c r="AA26" s="33">
        <v>4300</v>
      </c>
      <c r="AB26" s="34">
        <f t="shared" si="13"/>
        <v>430</v>
      </c>
      <c r="AC26" s="33">
        <v>850</v>
      </c>
      <c r="AD26" s="35">
        <f t="shared" si="14"/>
        <v>85</v>
      </c>
      <c r="AE26" s="46">
        <f t="shared" si="15"/>
        <v>5150</v>
      </c>
      <c r="AF26" s="37" t="s">
        <v>74</v>
      </c>
      <c r="AG26" s="47"/>
      <c r="AH26" s="45"/>
      <c r="AI26" s="33"/>
      <c r="AJ26" s="34" t="e">
        <f t="shared" si="17"/>
        <v>#DIV/0!</v>
      </c>
      <c r="AK26" s="33"/>
      <c r="AL26" s="35" t="e">
        <f t="shared" si="18"/>
        <v>#DIV/0!</v>
      </c>
      <c r="AM26" s="46">
        <f t="shared" si="30"/>
        <v>0</v>
      </c>
      <c r="AN26" s="48" t="str">
        <f t="shared" si="19"/>
        <v/>
      </c>
      <c r="AO26" s="195">
        <v>55</v>
      </c>
      <c r="AP26" s="45">
        <v>149</v>
      </c>
      <c r="AQ26" s="33">
        <v>335050</v>
      </c>
      <c r="AR26" s="34">
        <f t="shared" si="20"/>
        <v>2248.6577181208054</v>
      </c>
      <c r="AS26" s="33">
        <v>199500</v>
      </c>
      <c r="AT26" s="35">
        <f t="shared" si="21"/>
        <v>1338.9261744966443</v>
      </c>
      <c r="AU26" s="35">
        <v>0</v>
      </c>
      <c r="AV26" s="196">
        <f t="shared" si="31"/>
        <v>534550</v>
      </c>
      <c r="AW26" s="48">
        <f t="shared" si="22"/>
        <v>3587.5838926174497</v>
      </c>
      <c r="AX26" s="61">
        <f t="shared" si="23"/>
        <v>50</v>
      </c>
      <c r="AY26" s="40">
        <f t="shared" si="24"/>
        <v>626070</v>
      </c>
      <c r="AZ26" s="40">
        <f t="shared" si="25"/>
        <v>256030</v>
      </c>
      <c r="BA26" s="50">
        <f t="shared" si="26"/>
        <v>882100</v>
      </c>
      <c r="BB26" s="51">
        <f t="shared" si="32"/>
        <v>1100</v>
      </c>
      <c r="BC26" s="52">
        <v>50</v>
      </c>
      <c r="BD26" s="53">
        <v>286720</v>
      </c>
      <c r="BE26" s="53">
        <v>55680</v>
      </c>
      <c r="BF26" s="54">
        <v>1100</v>
      </c>
      <c r="BG26" s="54"/>
      <c r="BH26" s="54"/>
      <c r="BI26" s="54"/>
      <c r="BJ26" s="179">
        <f t="shared" si="27"/>
        <v>343500</v>
      </c>
      <c r="BK26" s="28">
        <v>22</v>
      </c>
      <c r="BL26" s="56">
        <f t="shared" si="28"/>
        <v>343500</v>
      </c>
    </row>
    <row r="27" spans="2:64" ht="20" customHeight="1">
      <c r="B27" s="180">
        <f t="shared" si="29"/>
        <v>45100</v>
      </c>
      <c r="C27" s="58"/>
      <c r="D27" s="31"/>
      <c r="E27" s="32">
        <v>17</v>
      </c>
      <c r="F27" s="33">
        <v>56540</v>
      </c>
      <c r="G27" s="34">
        <f t="shared" si="0"/>
        <v>3023.5294117647059</v>
      </c>
      <c r="H27" s="33">
        <v>5930</v>
      </c>
      <c r="I27" s="34">
        <f t="shared" si="1"/>
        <v>317.05882352941177</v>
      </c>
      <c r="J27" s="36">
        <f t="shared" si="2"/>
        <v>62470</v>
      </c>
      <c r="K27" s="37">
        <f t="shared" si="3"/>
        <v>3674.705882352941</v>
      </c>
      <c r="L27" s="38"/>
      <c r="M27" s="39">
        <f t="shared" si="4"/>
        <v>16</v>
      </c>
      <c r="N27" s="40">
        <f t="shared" si="4"/>
        <v>163600</v>
      </c>
      <c r="O27" s="34">
        <f t="shared" si="5"/>
        <v>9295.4375</v>
      </c>
      <c r="P27" s="40">
        <f t="shared" si="6"/>
        <v>38500</v>
      </c>
      <c r="Q27" s="35">
        <f t="shared" si="7"/>
        <v>2187.5</v>
      </c>
      <c r="R27" s="41">
        <f t="shared" si="8"/>
        <v>202100</v>
      </c>
      <c r="S27" s="37">
        <f t="shared" si="9"/>
        <v>12631.25</v>
      </c>
      <c r="T27" s="59">
        <f t="shared" si="10"/>
        <v>33</v>
      </c>
      <c r="U27" s="40">
        <f t="shared" si="10"/>
        <v>220140</v>
      </c>
      <c r="V27" s="40">
        <f t="shared" si="11"/>
        <v>44430</v>
      </c>
      <c r="W27" s="43">
        <f t="shared" si="12"/>
        <v>264570</v>
      </c>
      <c r="X27" s="60"/>
      <c r="Y27" s="44"/>
      <c r="Z27" s="45">
        <v>10</v>
      </c>
      <c r="AA27" s="33">
        <v>10100</v>
      </c>
      <c r="AB27" s="34">
        <f t="shared" si="13"/>
        <v>1010</v>
      </c>
      <c r="AC27" s="33"/>
      <c r="AD27" s="35">
        <f t="shared" si="14"/>
        <v>0</v>
      </c>
      <c r="AE27" s="46">
        <f t="shared" si="15"/>
        <v>10100</v>
      </c>
      <c r="AF27" s="37">
        <f t="shared" si="16"/>
        <v>1010</v>
      </c>
      <c r="AG27" s="47"/>
      <c r="AH27" s="45">
        <v>120</v>
      </c>
      <c r="AI27" s="33">
        <v>391500</v>
      </c>
      <c r="AJ27" s="34">
        <f t="shared" si="17"/>
        <v>3262.5</v>
      </c>
      <c r="AK27" s="33">
        <f>130500+33017</f>
        <v>163517</v>
      </c>
      <c r="AL27" s="35">
        <f t="shared" si="18"/>
        <v>1362.6416666666667</v>
      </c>
      <c r="AM27" s="46">
        <f t="shared" si="30"/>
        <v>555017</v>
      </c>
      <c r="AN27" s="48">
        <f t="shared" si="19"/>
        <v>4625.1416666666664</v>
      </c>
      <c r="AO27" s="195">
        <v>60</v>
      </c>
      <c r="AP27" s="45">
        <v>160</v>
      </c>
      <c r="AQ27" s="33">
        <v>434850</v>
      </c>
      <c r="AR27" s="34">
        <f t="shared" si="20"/>
        <v>2717.8125</v>
      </c>
      <c r="AS27" s="33">
        <v>222300</v>
      </c>
      <c r="AT27" s="35">
        <f t="shared" si="21"/>
        <v>1389.375</v>
      </c>
      <c r="AU27" s="35">
        <v>14850</v>
      </c>
      <c r="AV27" s="196">
        <f t="shared" si="31"/>
        <v>672000</v>
      </c>
      <c r="AW27" s="48">
        <f t="shared" si="22"/>
        <v>4200</v>
      </c>
      <c r="AX27" s="61">
        <f t="shared" si="23"/>
        <v>33</v>
      </c>
      <c r="AY27" s="40">
        <f t="shared" si="24"/>
        <v>1056590</v>
      </c>
      <c r="AZ27" s="40">
        <f t="shared" si="25"/>
        <v>430247</v>
      </c>
      <c r="BA27" s="50">
        <f>W27+AE27+AM27+AV27</f>
        <v>1501687</v>
      </c>
      <c r="BB27" s="51">
        <f t="shared" si="32"/>
        <v>0</v>
      </c>
      <c r="BC27" s="52">
        <v>33</v>
      </c>
      <c r="BD27" s="53">
        <v>220140</v>
      </c>
      <c r="BE27" s="53">
        <v>44430</v>
      </c>
      <c r="BF27" s="54"/>
      <c r="BG27" s="54"/>
      <c r="BH27" s="54"/>
      <c r="BI27" s="54">
        <v>33000</v>
      </c>
      <c r="BJ27" s="179">
        <f t="shared" si="27"/>
        <v>264570</v>
      </c>
      <c r="BK27" s="28">
        <v>23</v>
      </c>
      <c r="BL27" s="56">
        <f t="shared" si="28"/>
        <v>297570</v>
      </c>
    </row>
    <row r="28" spans="2:64" ht="20" customHeight="1">
      <c r="B28" s="180">
        <f t="shared" si="29"/>
        <v>45101</v>
      </c>
      <c r="C28" s="58"/>
      <c r="D28" s="31"/>
      <c r="E28" s="32">
        <v>38</v>
      </c>
      <c r="F28" s="33">
        <v>157300</v>
      </c>
      <c r="G28" s="34">
        <f t="shared" si="0"/>
        <v>3763.1578947368421</v>
      </c>
      <c r="H28" s="33">
        <v>39320</v>
      </c>
      <c r="I28" s="34">
        <f t="shared" si="1"/>
        <v>940.65789473684208</v>
      </c>
      <c r="J28" s="36">
        <f t="shared" si="2"/>
        <v>196620</v>
      </c>
      <c r="K28" s="37">
        <f t="shared" si="3"/>
        <v>5174.2105263157891</v>
      </c>
      <c r="L28" s="38"/>
      <c r="M28" s="39">
        <f t="shared" si="4"/>
        <v>14</v>
      </c>
      <c r="N28" s="40">
        <f t="shared" si="4"/>
        <v>146850</v>
      </c>
      <c r="O28" s="34">
        <f t="shared" si="5"/>
        <v>9535.7142857142862</v>
      </c>
      <c r="P28" s="40">
        <f t="shared" si="6"/>
        <v>33870</v>
      </c>
      <c r="Q28" s="35">
        <f>ROUNDDOWN(P28/1.1,0)/M28</f>
        <v>2199.2857142857142</v>
      </c>
      <c r="R28" s="41">
        <f t="shared" si="8"/>
        <v>180720</v>
      </c>
      <c r="S28" s="37">
        <f t="shared" si="9"/>
        <v>12908.571428571429</v>
      </c>
      <c r="T28" s="59">
        <f t="shared" si="10"/>
        <v>52</v>
      </c>
      <c r="U28" s="40">
        <f t="shared" si="10"/>
        <v>304150</v>
      </c>
      <c r="V28" s="40">
        <f t="shared" si="11"/>
        <v>73190</v>
      </c>
      <c r="W28" s="43">
        <f t="shared" si="12"/>
        <v>377340</v>
      </c>
      <c r="X28" s="60"/>
      <c r="Y28" s="44"/>
      <c r="Z28" s="45">
        <v>23</v>
      </c>
      <c r="AA28" s="33">
        <v>10100</v>
      </c>
      <c r="AB28" s="34">
        <f t="shared" si="13"/>
        <v>439.13043478260869</v>
      </c>
      <c r="AC28" s="33">
        <v>1500</v>
      </c>
      <c r="AD28" s="35">
        <f t="shared" si="14"/>
        <v>65.217391304347828</v>
      </c>
      <c r="AE28" s="46">
        <f t="shared" si="15"/>
        <v>11600</v>
      </c>
      <c r="AF28" s="37">
        <f t="shared" si="16"/>
        <v>504.3478260869565</v>
      </c>
      <c r="AG28" s="47"/>
      <c r="AH28" s="45">
        <v>51</v>
      </c>
      <c r="AI28" s="33">
        <v>199665</v>
      </c>
      <c r="AJ28" s="34">
        <f t="shared" si="17"/>
        <v>3915</v>
      </c>
      <c r="AK28" s="33">
        <f>66555+2610</f>
        <v>69165</v>
      </c>
      <c r="AL28" s="35">
        <f t="shared" si="18"/>
        <v>1356.1764705882354</v>
      </c>
      <c r="AM28" s="46">
        <f t="shared" si="30"/>
        <v>268830</v>
      </c>
      <c r="AN28" s="48">
        <f t="shared" si="19"/>
        <v>5271.1764705882351</v>
      </c>
      <c r="AO28" s="195">
        <v>151</v>
      </c>
      <c r="AP28" s="45">
        <v>413</v>
      </c>
      <c r="AQ28" s="33">
        <v>1040950</v>
      </c>
      <c r="AR28" s="34">
        <f t="shared" si="20"/>
        <v>2520.46004842615</v>
      </c>
      <c r="AS28" s="33">
        <v>632850</v>
      </c>
      <c r="AT28" s="35">
        <f t="shared" si="21"/>
        <v>1532.3244552058111</v>
      </c>
      <c r="AU28" s="35">
        <v>4400</v>
      </c>
      <c r="AV28" s="196">
        <f t="shared" si="31"/>
        <v>1678200</v>
      </c>
      <c r="AW28" s="48">
        <f t="shared" si="22"/>
        <v>4063.4382566585955</v>
      </c>
      <c r="AX28" s="61">
        <f t="shared" si="23"/>
        <v>52</v>
      </c>
      <c r="AY28" s="40">
        <f t="shared" si="24"/>
        <v>1554865</v>
      </c>
      <c r="AZ28" s="40">
        <f t="shared" si="25"/>
        <v>776705</v>
      </c>
      <c r="BA28" s="50">
        <f t="shared" si="26"/>
        <v>2335970</v>
      </c>
      <c r="BB28" s="51">
        <f t="shared" si="32"/>
        <v>5500</v>
      </c>
      <c r="BC28" s="52">
        <v>52</v>
      </c>
      <c r="BD28" s="53">
        <v>304150</v>
      </c>
      <c r="BE28" s="53">
        <v>73190</v>
      </c>
      <c r="BF28" s="54">
        <v>5500</v>
      </c>
      <c r="BG28" s="54"/>
      <c r="BH28" s="54"/>
      <c r="BI28" s="54"/>
      <c r="BJ28" s="179">
        <f t="shared" si="27"/>
        <v>382840</v>
      </c>
      <c r="BK28" s="28">
        <v>24</v>
      </c>
      <c r="BL28" s="56">
        <f t="shared" si="28"/>
        <v>382840</v>
      </c>
    </row>
    <row r="29" spans="2:64" ht="20" customHeight="1">
      <c r="B29" s="180">
        <f t="shared" si="29"/>
        <v>45102</v>
      </c>
      <c r="C29" s="58"/>
      <c r="D29" s="31"/>
      <c r="E29" s="32">
        <v>36</v>
      </c>
      <c r="F29" s="33">
        <v>145970</v>
      </c>
      <c r="G29" s="34">
        <f t="shared" si="0"/>
        <v>3686.1111111111113</v>
      </c>
      <c r="H29" s="33">
        <v>27680</v>
      </c>
      <c r="I29" s="34">
        <f t="shared" si="1"/>
        <v>698.97222222222217</v>
      </c>
      <c r="J29" s="36">
        <f t="shared" si="2"/>
        <v>173650</v>
      </c>
      <c r="K29" s="37">
        <f t="shared" si="3"/>
        <v>4823.6111111111113</v>
      </c>
      <c r="L29" s="38"/>
      <c r="M29" s="39">
        <f t="shared" si="4"/>
        <v>20</v>
      </c>
      <c r="N29" s="40">
        <f t="shared" si="4"/>
        <v>203610</v>
      </c>
      <c r="O29" s="34">
        <f t="shared" si="5"/>
        <v>9255</v>
      </c>
      <c r="P29" s="40">
        <f t="shared" si="6"/>
        <v>37550</v>
      </c>
      <c r="Q29" s="35">
        <f t="shared" si="7"/>
        <v>1706.8</v>
      </c>
      <c r="R29" s="41">
        <f t="shared" si="8"/>
        <v>241160</v>
      </c>
      <c r="S29" s="37">
        <f t="shared" si="9"/>
        <v>12058</v>
      </c>
      <c r="T29" s="59">
        <f t="shared" si="10"/>
        <v>56</v>
      </c>
      <c r="U29" s="40">
        <f t="shared" si="10"/>
        <v>349580</v>
      </c>
      <c r="V29" s="40">
        <f t="shared" si="11"/>
        <v>65230</v>
      </c>
      <c r="W29" s="43">
        <f t="shared" si="12"/>
        <v>414810</v>
      </c>
      <c r="X29" s="60"/>
      <c r="Y29" s="44"/>
      <c r="Z29" s="45">
        <v>12</v>
      </c>
      <c r="AA29" s="33">
        <v>7300</v>
      </c>
      <c r="AB29" s="34">
        <f t="shared" si="13"/>
        <v>608.33333333333337</v>
      </c>
      <c r="AC29" s="33">
        <v>3900</v>
      </c>
      <c r="AD29" s="35">
        <f t="shared" si="14"/>
        <v>325</v>
      </c>
      <c r="AE29" s="46">
        <f t="shared" si="15"/>
        <v>11200</v>
      </c>
      <c r="AF29" s="37">
        <f t="shared" si="16"/>
        <v>933.33333333333337</v>
      </c>
      <c r="AG29" s="47"/>
      <c r="AH29" s="45"/>
      <c r="AI29" s="33"/>
      <c r="AJ29" s="34" t="e">
        <f t="shared" si="17"/>
        <v>#DIV/0!</v>
      </c>
      <c r="AK29" s="33"/>
      <c r="AL29" s="35" t="e">
        <f t="shared" si="18"/>
        <v>#DIV/0!</v>
      </c>
      <c r="AM29" s="46">
        <f t="shared" si="30"/>
        <v>0</v>
      </c>
      <c r="AN29" s="48" t="str">
        <f t="shared" si="19"/>
        <v/>
      </c>
      <c r="AO29" s="195">
        <v>180</v>
      </c>
      <c r="AP29" s="45">
        <v>435</v>
      </c>
      <c r="AQ29" s="33">
        <v>1115450</v>
      </c>
      <c r="AR29" s="34">
        <f t="shared" si="20"/>
        <v>2564.2528735632186</v>
      </c>
      <c r="AS29" s="33">
        <v>675450</v>
      </c>
      <c r="AT29" s="35">
        <f t="shared" si="21"/>
        <v>1552.7586206896551</v>
      </c>
      <c r="AU29" s="35">
        <v>2200</v>
      </c>
      <c r="AV29" s="196">
        <f t="shared" si="31"/>
        <v>1793100</v>
      </c>
      <c r="AW29" s="48">
        <f t="shared" si="22"/>
        <v>4122.0689655172409</v>
      </c>
      <c r="AX29" s="61">
        <f t="shared" si="23"/>
        <v>56</v>
      </c>
      <c r="AY29" s="40">
        <f t="shared" si="24"/>
        <v>1472330</v>
      </c>
      <c r="AZ29" s="40">
        <f t="shared" si="25"/>
        <v>744580</v>
      </c>
      <c r="BA29" s="50">
        <f t="shared" si="26"/>
        <v>2219110</v>
      </c>
      <c r="BB29" s="51">
        <f t="shared" si="32"/>
        <v>7700</v>
      </c>
      <c r="BC29" s="52">
        <v>56</v>
      </c>
      <c r="BD29" s="53">
        <v>349580</v>
      </c>
      <c r="BE29" s="53">
        <v>65230</v>
      </c>
      <c r="BF29" s="54">
        <v>7700</v>
      </c>
      <c r="BG29" s="54"/>
      <c r="BH29" s="54"/>
      <c r="BI29" s="54"/>
      <c r="BJ29" s="179">
        <f t="shared" si="27"/>
        <v>422510</v>
      </c>
      <c r="BK29" s="28">
        <v>25</v>
      </c>
      <c r="BL29" s="56">
        <f t="shared" si="28"/>
        <v>422510</v>
      </c>
    </row>
    <row r="30" spans="2:64" ht="20" customHeight="1">
      <c r="B30" s="180">
        <f t="shared" si="29"/>
        <v>45103</v>
      </c>
      <c r="C30" s="58"/>
      <c r="D30" s="31"/>
      <c r="E30" s="32">
        <v>37</v>
      </c>
      <c r="F30" s="33">
        <v>139480</v>
      </c>
      <c r="G30" s="34">
        <f t="shared" si="0"/>
        <v>3427.0270270270271</v>
      </c>
      <c r="H30" s="33">
        <v>23800</v>
      </c>
      <c r="I30" s="34">
        <f t="shared" si="1"/>
        <v>584.75675675675677</v>
      </c>
      <c r="J30" s="36">
        <f t="shared" si="2"/>
        <v>163280</v>
      </c>
      <c r="K30" s="37">
        <f t="shared" si="3"/>
        <v>4412.9729729729734</v>
      </c>
      <c r="L30" s="38"/>
      <c r="M30" s="39">
        <f t="shared" si="4"/>
        <v>13</v>
      </c>
      <c r="N30" s="40">
        <f t="shared" si="4"/>
        <v>144760</v>
      </c>
      <c r="O30" s="34">
        <f t="shared" si="5"/>
        <v>10123.076923076924</v>
      </c>
      <c r="P30" s="40">
        <f t="shared" si="6"/>
        <v>23410</v>
      </c>
      <c r="Q30" s="34">
        <f t="shared" si="7"/>
        <v>1637</v>
      </c>
      <c r="R30" s="41">
        <f t="shared" si="8"/>
        <v>168170</v>
      </c>
      <c r="S30" s="37">
        <f t="shared" si="9"/>
        <v>12936.153846153846</v>
      </c>
      <c r="T30" s="59">
        <f t="shared" si="10"/>
        <v>50</v>
      </c>
      <c r="U30" s="40">
        <f t="shared" si="10"/>
        <v>284240</v>
      </c>
      <c r="V30" s="40">
        <f t="shared" si="11"/>
        <v>47210</v>
      </c>
      <c r="W30" s="43">
        <f t="shared" si="12"/>
        <v>331450</v>
      </c>
      <c r="X30" s="60"/>
      <c r="Y30" s="44"/>
      <c r="Z30" s="45">
        <v>5</v>
      </c>
      <c r="AA30" s="33">
        <v>1950</v>
      </c>
      <c r="AB30" s="34">
        <f t="shared" si="13"/>
        <v>390</v>
      </c>
      <c r="AC30" s="33"/>
      <c r="AD30" s="35">
        <f t="shared" si="14"/>
        <v>0</v>
      </c>
      <c r="AE30" s="46">
        <f t="shared" si="15"/>
        <v>1950</v>
      </c>
      <c r="AF30" s="37">
        <f t="shared" si="16"/>
        <v>390</v>
      </c>
      <c r="AG30" s="47"/>
      <c r="AH30" s="45"/>
      <c r="AI30" s="33"/>
      <c r="AJ30" s="34" t="e">
        <f t="shared" si="17"/>
        <v>#DIV/0!</v>
      </c>
      <c r="AK30" s="33"/>
      <c r="AL30" s="35" t="e">
        <f t="shared" si="18"/>
        <v>#DIV/0!</v>
      </c>
      <c r="AM30" s="46">
        <f t="shared" si="30"/>
        <v>0</v>
      </c>
      <c r="AN30" s="48" t="str">
        <f t="shared" si="19"/>
        <v/>
      </c>
      <c r="AO30" s="195">
        <v>83</v>
      </c>
      <c r="AP30" s="45">
        <v>210</v>
      </c>
      <c r="AQ30" s="33">
        <v>441450</v>
      </c>
      <c r="AR30" s="34">
        <f t="shared" si="20"/>
        <v>2102.1428571428573</v>
      </c>
      <c r="AS30" s="33">
        <v>292650</v>
      </c>
      <c r="AT30" s="35">
        <f t="shared" si="21"/>
        <v>1393.5714285714287</v>
      </c>
      <c r="AU30" s="35">
        <v>2200</v>
      </c>
      <c r="AV30" s="196">
        <f t="shared" si="31"/>
        <v>736300</v>
      </c>
      <c r="AW30" s="48">
        <f t="shared" si="22"/>
        <v>3506.1904761904761</v>
      </c>
      <c r="AX30" s="61">
        <f t="shared" si="23"/>
        <v>50</v>
      </c>
      <c r="AY30" s="40">
        <f t="shared" si="24"/>
        <v>727640</v>
      </c>
      <c r="AZ30" s="40">
        <f t="shared" si="25"/>
        <v>339860</v>
      </c>
      <c r="BA30" s="50">
        <f t="shared" si="26"/>
        <v>1069700</v>
      </c>
      <c r="BB30" s="51">
        <f t="shared" si="32"/>
        <v>5500</v>
      </c>
      <c r="BC30" s="52">
        <v>50</v>
      </c>
      <c r="BD30" s="53">
        <v>284240</v>
      </c>
      <c r="BE30" s="53">
        <v>47210</v>
      </c>
      <c r="BF30" s="54">
        <v>5500</v>
      </c>
      <c r="BG30" s="54"/>
      <c r="BH30" s="54"/>
      <c r="BI30" s="54">
        <v>11000</v>
      </c>
      <c r="BJ30" s="179">
        <f t="shared" si="27"/>
        <v>336950</v>
      </c>
      <c r="BK30" s="28">
        <v>26</v>
      </c>
      <c r="BL30" s="56">
        <f t="shared" si="28"/>
        <v>347950</v>
      </c>
    </row>
    <row r="31" spans="2:64" ht="20" customHeight="1">
      <c r="B31" s="180">
        <f t="shared" si="29"/>
        <v>45104</v>
      </c>
      <c r="C31" s="58"/>
      <c r="D31" s="31"/>
      <c r="E31" s="32">
        <v>33</v>
      </c>
      <c r="F31" s="33">
        <v>110770</v>
      </c>
      <c r="G31" s="34">
        <f t="shared" si="0"/>
        <v>3051.5151515151515</v>
      </c>
      <c r="H31" s="33">
        <v>9890</v>
      </c>
      <c r="I31" s="34">
        <f t="shared" si="1"/>
        <v>272.42424242424244</v>
      </c>
      <c r="J31" s="36">
        <f t="shared" si="2"/>
        <v>120660</v>
      </c>
      <c r="K31" s="37">
        <f t="shared" si="3"/>
        <v>3656.3636363636365</v>
      </c>
      <c r="L31" s="38"/>
      <c r="M31" s="39">
        <f t="shared" si="4"/>
        <v>27</v>
      </c>
      <c r="N31" s="40">
        <f t="shared" si="4"/>
        <v>251900</v>
      </c>
      <c r="O31" s="34">
        <f t="shared" si="5"/>
        <v>8481.4814814814818</v>
      </c>
      <c r="P31" s="40">
        <f t="shared" si="6"/>
        <v>42460</v>
      </c>
      <c r="Q31" s="34">
        <f t="shared" si="7"/>
        <v>1429.6296296296296</v>
      </c>
      <c r="R31" s="41">
        <f t="shared" si="8"/>
        <v>294360</v>
      </c>
      <c r="S31" s="37">
        <f t="shared" si="9"/>
        <v>10902.222222222223</v>
      </c>
      <c r="T31" s="59">
        <f t="shared" si="10"/>
        <v>60</v>
      </c>
      <c r="U31" s="40">
        <f t="shared" si="10"/>
        <v>362670</v>
      </c>
      <c r="V31" s="40">
        <f t="shared" si="11"/>
        <v>52350</v>
      </c>
      <c r="W31" s="43">
        <f t="shared" si="12"/>
        <v>415020</v>
      </c>
      <c r="X31" s="60"/>
      <c r="Y31" s="44"/>
      <c r="Z31" s="45">
        <v>3</v>
      </c>
      <c r="AA31" s="33">
        <v>1350</v>
      </c>
      <c r="AB31" s="34">
        <f t="shared" si="13"/>
        <v>450</v>
      </c>
      <c r="AC31" s="33"/>
      <c r="AD31" s="35">
        <f t="shared" si="14"/>
        <v>0</v>
      </c>
      <c r="AE31" s="46">
        <f t="shared" si="15"/>
        <v>1350</v>
      </c>
      <c r="AF31" s="37">
        <f t="shared" si="16"/>
        <v>450</v>
      </c>
      <c r="AG31" s="47"/>
      <c r="AH31" s="45">
        <v>15</v>
      </c>
      <c r="AI31" s="33">
        <v>84825</v>
      </c>
      <c r="AJ31" s="34">
        <f t="shared" si="17"/>
        <v>5655</v>
      </c>
      <c r="AK31" s="33">
        <v>22185</v>
      </c>
      <c r="AL31" s="35">
        <f t="shared" si="18"/>
        <v>1479</v>
      </c>
      <c r="AM31" s="46">
        <f t="shared" si="30"/>
        <v>107010</v>
      </c>
      <c r="AN31" s="48">
        <f t="shared" si="19"/>
        <v>7134</v>
      </c>
      <c r="AO31" s="195">
        <v>98</v>
      </c>
      <c r="AP31" s="45">
        <v>259</v>
      </c>
      <c r="AQ31" s="33">
        <v>660050</v>
      </c>
      <c r="AR31" s="34">
        <f t="shared" si="20"/>
        <v>2548.4555984555986</v>
      </c>
      <c r="AS31" s="33">
        <v>435850</v>
      </c>
      <c r="AT31" s="35">
        <f t="shared" si="21"/>
        <v>1682.8185328185327</v>
      </c>
      <c r="AU31" s="35">
        <v>6600</v>
      </c>
      <c r="AV31" s="196">
        <f t="shared" si="31"/>
        <v>1102500</v>
      </c>
      <c r="AW31" s="48">
        <f t="shared" si="22"/>
        <v>4256.7567567567567</v>
      </c>
      <c r="AX31" s="61">
        <f t="shared" si="23"/>
        <v>60</v>
      </c>
      <c r="AY31" s="40">
        <f t="shared" si="24"/>
        <v>1108895</v>
      </c>
      <c r="AZ31" s="40">
        <f t="shared" si="25"/>
        <v>510385</v>
      </c>
      <c r="BA31" s="50">
        <f t="shared" si="26"/>
        <v>1625880</v>
      </c>
      <c r="BB31" s="51">
        <f t="shared" si="32"/>
        <v>11000</v>
      </c>
      <c r="BC31" s="52">
        <v>60</v>
      </c>
      <c r="BD31" s="53">
        <v>362670</v>
      </c>
      <c r="BE31" s="53">
        <v>52350</v>
      </c>
      <c r="BF31" s="54">
        <v>11000</v>
      </c>
      <c r="BG31" s="54"/>
      <c r="BH31" s="54"/>
      <c r="BI31" s="54">
        <v>80000</v>
      </c>
      <c r="BJ31" s="179">
        <f t="shared" si="27"/>
        <v>426020</v>
      </c>
      <c r="BK31" s="28">
        <v>27</v>
      </c>
      <c r="BL31" s="56">
        <f t="shared" si="28"/>
        <v>506020</v>
      </c>
    </row>
    <row r="32" spans="2:64" ht="20" customHeight="1">
      <c r="B32" s="180">
        <f t="shared" si="29"/>
        <v>45105</v>
      </c>
      <c r="C32" s="58"/>
      <c r="D32" s="31"/>
      <c r="E32" s="32">
        <v>31</v>
      </c>
      <c r="F32" s="33">
        <v>117370</v>
      </c>
      <c r="G32" s="34">
        <f t="shared" si="0"/>
        <v>3441.9354838709678</v>
      </c>
      <c r="H32" s="33">
        <v>9440</v>
      </c>
      <c r="I32" s="34">
        <f t="shared" si="1"/>
        <v>276.80645161290323</v>
      </c>
      <c r="J32" s="36">
        <f t="shared" si="2"/>
        <v>126810</v>
      </c>
      <c r="K32" s="37">
        <f t="shared" si="3"/>
        <v>4090.6451612903224</v>
      </c>
      <c r="L32" s="38"/>
      <c r="M32" s="39">
        <f t="shared" si="4"/>
        <v>18</v>
      </c>
      <c r="N32" s="40">
        <f t="shared" si="4"/>
        <v>183040</v>
      </c>
      <c r="O32" s="34">
        <f t="shared" si="5"/>
        <v>9244.4444444444453</v>
      </c>
      <c r="P32" s="40">
        <f t="shared" si="6"/>
        <v>31885</v>
      </c>
      <c r="Q32" s="34">
        <f t="shared" si="7"/>
        <v>1610.3333333333333</v>
      </c>
      <c r="R32" s="41">
        <f t="shared" si="8"/>
        <v>214925</v>
      </c>
      <c r="S32" s="37">
        <f t="shared" si="9"/>
        <v>11940.277777777777</v>
      </c>
      <c r="T32" s="59">
        <f t="shared" si="10"/>
        <v>49</v>
      </c>
      <c r="U32" s="40">
        <f t="shared" si="10"/>
        <v>300410</v>
      </c>
      <c r="V32" s="40">
        <f t="shared" si="11"/>
        <v>41325</v>
      </c>
      <c r="W32" s="43">
        <f t="shared" si="12"/>
        <v>341735</v>
      </c>
      <c r="X32" s="60"/>
      <c r="Y32" s="44"/>
      <c r="Z32" s="45">
        <v>8</v>
      </c>
      <c r="AA32" s="33">
        <v>3600</v>
      </c>
      <c r="AB32" s="34">
        <f t="shared" si="13"/>
        <v>450</v>
      </c>
      <c r="AC32" s="33">
        <v>1000</v>
      </c>
      <c r="AD32" s="35">
        <f t="shared" si="14"/>
        <v>125</v>
      </c>
      <c r="AE32" s="46">
        <f t="shared" si="15"/>
        <v>4600</v>
      </c>
      <c r="AF32" s="37">
        <f t="shared" si="16"/>
        <v>575</v>
      </c>
      <c r="AG32" s="47"/>
      <c r="AH32" s="45">
        <v>27</v>
      </c>
      <c r="AI32" s="33">
        <v>105705</v>
      </c>
      <c r="AJ32" s="34">
        <f t="shared" si="17"/>
        <v>3915</v>
      </c>
      <c r="AK32" s="33">
        <v>41325</v>
      </c>
      <c r="AL32" s="35">
        <f t="shared" si="18"/>
        <v>1530.5555555555557</v>
      </c>
      <c r="AM32" s="46">
        <f t="shared" si="30"/>
        <v>147030</v>
      </c>
      <c r="AN32" s="48">
        <f t="shared" si="19"/>
        <v>5445.5555555555557</v>
      </c>
      <c r="AO32" s="195">
        <v>97</v>
      </c>
      <c r="AP32" s="45">
        <v>240</v>
      </c>
      <c r="AQ32" s="33">
        <v>564400</v>
      </c>
      <c r="AR32" s="34">
        <f t="shared" si="20"/>
        <v>2351.6666666666665</v>
      </c>
      <c r="AS32" s="33">
        <v>332600</v>
      </c>
      <c r="AT32" s="35">
        <f t="shared" si="21"/>
        <v>1385.8333333333333</v>
      </c>
      <c r="AU32" s="35">
        <v>0</v>
      </c>
      <c r="AV32" s="196">
        <f t="shared" si="31"/>
        <v>897000</v>
      </c>
      <c r="AW32" s="48">
        <f t="shared" si="22"/>
        <v>3737.5</v>
      </c>
      <c r="AX32" s="61">
        <f t="shared" si="23"/>
        <v>49</v>
      </c>
      <c r="AY32" s="40">
        <f t="shared" si="24"/>
        <v>974115</v>
      </c>
      <c r="AZ32" s="40">
        <f t="shared" si="25"/>
        <v>416250</v>
      </c>
      <c r="BA32" s="50">
        <f t="shared" si="26"/>
        <v>1390365</v>
      </c>
      <c r="BB32" s="51">
        <f t="shared" si="32"/>
        <v>2200</v>
      </c>
      <c r="BC32" s="52">
        <v>49</v>
      </c>
      <c r="BD32" s="53">
        <v>300410</v>
      </c>
      <c r="BE32" s="53">
        <v>41325</v>
      </c>
      <c r="BF32" s="54">
        <v>2200</v>
      </c>
      <c r="BG32" s="54"/>
      <c r="BH32" s="54"/>
      <c r="BI32" s="54"/>
      <c r="BJ32" s="179">
        <f t="shared" si="27"/>
        <v>343935</v>
      </c>
      <c r="BK32" s="28">
        <v>28</v>
      </c>
      <c r="BL32" s="56">
        <f t="shared" si="28"/>
        <v>343935</v>
      </c>
    </row>
    <row r="33" spans="2:64" ht="20" customHeight="1">
      <c r="B33" s="180">
        <f t="shared" si="29"/>
        <v>45106</v>
      </c>
      <c r="C33" s="58"/>
      <c r="D33" s="31"/>
      <c r="E33" s="32">
        <v>33</v>
      </c>
      <c r="F33" s="33">
        <v>131950</v>
      </c>
      <c r="G33" s="34">
        <f t="shared" si="0"/>
        <v>3634.969696969697</v>
      </c>
      <c r="H33" s="33">
        <v>13900</v>
      </c>
      <c r="I33" s="34">
        <f t="shared" si="1"/>
        <v>382.90909090909093</v>
      </c>
      <c r="J33" s="36">
        <f t="shared" si="2"/>
        <v>145850</v>
      </c>
      <c r="K33" s="37">
        <f t="shared" si="3"/>
        <v>4419.69696969697</v>
      </c>
      <c r="L33" s="38"/>
      <c r="M33" s="39">
        <f t="shared" si="4"/>
        <v>33</v>
      </c>
      <c r="N33" s="40">
        <f t="shared" si="4"/>
        <v>495000</v>
      </c>
      <c r="O33" s="34">
        <f t="shared" si="5"/>
        <v>13636.363636363636</v>
      </c>
      <c r="P33" s="40">
        <f t="shared" si="6"/>
        <v>165000</v>
      </c>
      <c r="Q33" s="34">
        <f t="shared" si="7"/>
        <v>4545.454545454545</v>
      </c>
      <c r="R33" s="41">
        <f t="shared" si="8"/>
        <v>660000</v>
      </c>
      <c r="S33" s="37">
        <f t="shared" si="9"/>
        <v>20000</v>
      </c>
      <c r="T33" s="59">
        <f t="shared" si="10"/>
        <v>66</v>
      </c>
      <c r="U33" s="40">
        <f t="shared" si="10"/>
        <v>626950</v>
      </c>
      <c r="V33" s="40">
        <f t="shared" si="11"/>
        <v>178900</v>
      </c>
      <c r="W33" s="43">
        <f t="shared" si="12"/>
        <v>805850</v>
      </c>
      <c r="X33" s="60"/>
      <c r="Y33" s="44"/>
      <c r="Z33" s="45">
        <v>11</v>
      </c>
      <c r="AA33" s="33">
        <v>4950</v>
      </c>
      <c r="AB33" s="34">
        <f t="shared" si="13"/>
        <v>450</v>
      </c>
      <c r="AC33" s="33"/>
      <c r="AD33" s="35">
        <f t="shared" si="14"/>
        <v>0</v>
      </c>
      <c r="AE33" s="46">
        <f t="shared" si="15"/>
        <v>4950</v>
      </c>
      <c r="AF33" s="37">
        <f t="shared" si="16"/>
        <v>450</v>
      </c>
      <c r="AG33" s="47"/>
      <c r="AH33" s="45"/>
      <c r="AI33" s="33"/>
      <c r="AJ33" s="34" t="e">
        <f t="shared" si="17"/>
        <v>#DIV/0!</v>
      </c>
      <c r="AK33" s="33"/>
      <c r="AL33" s="35" t="e">
        <f t="shared" si="18"/>
        <v>#DIV/0!</v>
      </c>
      <c r="AM33" s="46">
        <f t="shared" si="30"/>
        <v>0</v>
      </c>
      <c r="AN33" s="48" t="str">
        <f t="shared" si="19"/>
        <v/>
      </c>
      <c r="AO33" s="195">
        <v>39</v>
      </c>
      <c r="AP33" s="45">
        <v>87</v>
      </c>
      <c r="AQ33" s="33">
        <v>190300</v>
      </c>
      <c r="AR33" s="34">
        <f t="shared" si="20"/>
        <v>2187.3563218390805</v>
      </c>
      <c r="AS33" s="33">
        <v>145100</v>
      </c>
      <c r="AT33" s="35">
        <f t="shared" si="21"/>
        <v>1667.816091954023</v>
      </c>
      <c r="AU33" s="35">
        <v>5500</v>
      </c>
      <c r="AV33" s="196">
        <f t="shared" si="31"/>
        <v>340900</v>
      </c>
      <c r="AW33" s="48">
        <f t="shared" si="22"/>
        <v>3918.3908045977009</v>
      </c>
      <c r="AX33" s="61">
        <f t="shared" si="23"/>
        <v>66</v>
      </c>
      <c r="AY33" s="40">
        <f t="shared" si="24"/>
        <v>822200</v>
      </c>
      <c r="AZ33" s="40">
        <f t="shared" si="25"/>
        <v>324000</v>
      </c>
      <c r="BA33" s="50">
        <f t="shared" si="26"/>
        <v>1151700</v>
      </c>
      <c r="BB33" s="51">
        <f t="shared" si="32"/>
        <v>2750</v>
      </c>
      <c r="BC33" s="52">
        <v>66</v>
      </c>
      <c r="BD33" s="53">
        <v>626950</v>
      </c>
      <c r="BE33" s="53">
        <v>178900</v>
      </c>
      <c r="BF33" s="54">
        <v>2750</v>
      </c>
      <c r="BG33" s="54"/>
      <c r="BH33" s="54"/>
      <c r="BI33" s="54"/>
      <c r="BJ33" s="179">
        <f t="shared" si="27"/>
        <v>808600</v>
      </c>
      <c r="BK33" s="28">
        <v>29</v>
      </c>
      <c r="BL33" s="56">
        <f t="shared" si="28"/>
        <v>808600</v>
      </c>
    </row>
    <row r="34" spans="2:64" ht="20" customHeight="1">
      <c r="B34" s="180">
        <f t="shared" si="29"/>
        <v>45107</v>
      </c>
      <c r="C34" s="58"/>
      <c r="D34" s="31"/>
      <c r="E34" s="32">
        <v>22</v>
      </c>
      <c r="F34" s="33">
        <v>74140</v>
      </c>
      <c r="G34" s="34">
        <f t="shared" si="0"/>
        <v>3063.6363636363635</v>
      </c>
      <c r="H34" s="33">
        <v>7470</v>
      </c>
      <c r="I34" s="34">
        <f t="shared" si="1"/>
        <v>308.63636363636363</v>
      </c>
      <c r="J34" s="36">
        <f t="shared" si="2"/>
        <v>81610</v>
      </c>
      <c r="K34" s="37">
        <f t="shared" si="3"/>
        <v>3709.5454545454545</v>
      </c>
      <c r="L34" s="38"/>
      <c r="M34" s="39">
        <f t="shared" si="4"/>
        <v>10</v>
      </c>
      <c r="N34" s="40">
        <f t="shared" si="4"/>
        <v>103950</v>
      </c>
      <c r="O34" s="34">
        <f t="shared" si="5"/>
        <v>9450</v>
      </c>
      <c r="P34" s="40">
        <f t="shared" si="6"/>
        <v>34980</v>
      </c>
      <c r="Q34" s="34">
        <f t="shared" si="7"/>
        <v>3180</v>
      </c>
      <c r="R34" s="41">
        <f t="shared" si="8"/>
        <v>138930</v>
      </c>
      <c r="S34" s="37">
        <f t="shared" si="9"/>
        <v>13893</v>
      </c>
      <c r="T34" s="59">
        <f t="shared" si="10"/>
        <v>32</v>
      </c>
      <c r="U34" s="40">
        <f t="shared" si="10"/>
        <v>178090</v>
      </c>
      <c r="V34" s="40">
        <f t="shared" si="11"/>
        <v>42450</v>
      </c>
      <c r="W34" s="43">
        <f t="shared" si="12"/>
        <v>220540</v>
      </c>
      <c r="X34" s="60"/>
      <c r="Y34" s="69"/>
      <c r="Z34" s="70">
        <v>15</v>
      </c>
      <c r="AA34" s="71">
        <v>6750</v>
      </c>
      <c r="AB34" s="34">
        <f t="shared" si="13"/>
        <v>450</v>
      </c>
      <c r="AC34" s="71">
        <v>1700</v>
      </c>
      <c r="AD34" s="35">
        <f t="shared" si="14"/>
        <v>113.33333333333333</v>
      </c>
      <c r="AE34" s="46">
        <f t="shared" si="15"/>
        <v>8450</v>
      </c>
      <c r="AF34" s="37">
        <f t="shared" si="16"/>
        <v>563.33333333333337</v>
      </c>
      <c r="AG34" s="47"/>
      <c r="AH34" s="70">
        <v>18</v>
      </c>
      <c r="AI34" s="71">
        <v>70470</v>
      </c>
      <c r="AJ34" s="34">
        <f t="shared" si="17"/>
        <v>3915</v>
      </c>
      <c r="AK34" s="71">
        <v>31320</v>
      </c>
      <c r="AL34" s="35">
        <f t="shared" si="18"/>
        <v>1740</v>
      </c>
      <c r="AM34" s="46">
        <f t="shared" si="30"/>
        <v>101790</v>
      </c>
      <c r="AN34" s="48">
        <f t="shared" si="19"/>
        <v>5655</v>
      </c>
      <c r="AO34" s="195">
        <v>40</v>
      </c>
      <c r="AP34" s="70">
        <v>118</v>
      </c>
      <c r="AQ34" s="71">
        <v>282200</v>
      </c>
      <c r="AR34" s="34">
        <f t="shared" si="20"/>
        <v>2391.5254237288136</v>
      </c>
      <c r="AS34" s="71">
        <v>158650</v>
      </c>
      <c r="AT34" s="35">
        <f t="shared" si="21"/>
        <v>1344.4915254237287</v>
      </c>
      <c r="AU34" s="35">
        <v>13200</v>
      </c>
      <c r="AV34" s="196">
        <f t="shared" si="31"/>
        <v>454050</v>
      </c>
      <c r="AW34" s="48">
        <f t="shared" si="22"/>
        <v>3847.8813559322034</v>
      </c>
      <c r="AX34" s="61">
        <f t="shared" si="23"/>
        <v>32</v>
      </c>
      <c r="AY34" s="40">
        <f t="shared" si="24"/>
        <v>537510</v>
      </c>
      <c r="AZ34" s="40">
        <f t="shared" si="25"/>
        <v>234120</v>
      </c>
      <c r="BA34" s="50">
        <f t="shared" si="26"/>
        <v>784830</v>
      </c>
      <c r="BB34" s="51">
        <f t="shared" si="32"/>
        <v>9900</v>
      </c>
      <c r="BC34" s="52">
        <v>32</v>
      </c>
      <c r="BD34" s="53">
        <v>178090</v>
      </c>
      <c r="BE34" s="53">
        <v>42450</v>
      </c>
      <c r="BF34" s="54">
        <v>9900</v>
      </c>
      <c r="BG34" s="54"/>
      <c r="BH34" s="54"/>
      <c r="BI34" s="54"/>
      <c r="BJ34" s="179">
        <f t="shared" si="27"/>
        <v>230440</v>
      </c>
      <c r="BK34" s="28">
        <v>30</v>
      </c>
      <c r="BL34" s="56">
        <f t="shared" si="28"/>
        <v>230440</v>
      </c>
    </row>
    <row r="35" spans="2:64" ht="20" customHeight="1" thickBot="1">
      <c r="B35" s="183"/>
      <c r="C35" s="58"/>
      <c r="D35" s="31"/>
      <c r="E35" s="32"/>
      <c r="F35" s="33"/>
      <c r="G35" s="34" t="e">
        <f t="shared" si="0"/>
        <v>#DIV/0!</v>
      </c>
      <c r="H35" s="33"/>
      <c r="I35" s="34" t="e">
        <f t="shared" si="1"/>
        <v>#DIV/0!</v>
      </c>
      <c r="J35" s="36">
        <f t="shared" si="2"/>
        <v>0</v>
      </c>
      <c r="K35" s="37" t="str">
        <f t="shared" si="3"/>
        <v/>
      </c>
      <c r="L35" s="38"/>
      <c r="M35" s="72">
        <f t="shared" si="4"/>
        <v>0</v>
      </c>
      <c r="N35" s="40">
        <f t="shared" si="4"/>
        <v>0</v>
      </c>
      <c r="O35" s="34" t="e">
        <f t="shared" si="5"/>
        <v>#DIV/0!</v>
      </c>
      <c r="P35" s="40">
        <f t="shared" si="6"/>
        <v>0</v>
      </c>
      <c r="Q35" s="34" t="e">
        <f t="shared" si="7"/>
        <v>#DIV/0!</v>
      </c>
      <c r="R35" s="41">
        <f t="shared" si="8"/>
        <v>0</v>
      </c>
      <c r="S35" s="37" t="e">
        <f t="shared" si="9"/>
        <v>#DIV/0!</v>
      </c>
      <c r="T35" s="73">
        <f t="shared" si="10"/>
        <v>0</v>
      </c>
      <c r="U35" s="74">
        <f t="shared" si="10"/>
        <v>0</v>
      </c>
      <c r="V35" s="74">
        <f t="shared" si="11"/>
        <v>0</v>
      </c>
      <c r="W35" s="75">
        <f t="shared" si="12"/>
        <v>0</v>
      </c>
      <c r="X35" s="74"/>
      <c r="Y35" s="76"/>
      <c r="Z35" s="77"/>
      <c r="AA35" s="78"/>
      <c r="AB35" s="79" t="e">
        <f t="shared" si="13"/>
        <v>#DIV/0!</v>
      </c>
      <c r="AC35" s="78"/>
      <c r="AD35" s="80" t="e">
        <f t="shared" si="14"/>
        <v>#DIV/0!</v>
      </c>
      <c r="AE35" s="81">
        <f t="shared" si="15"/>
        <v>0</v>
      </c>
      <c r="AF35" s="37" t="str">
        <f t="shared" si="16"/>
        <v/>
      </c>
      <c r="AG35" s="82"/>
      <c r="AH35" s="77"/>
      <c r="AI35" s="78"/>
      <c r="AJ35" s="79" t="e">
        <f t="shared" si="17"/>
        <v>#DIV/0!</v>
      </c>
      <c r="AK35" s="78"/>
      <c r="AL35" s="80" t="e">
        <f t="shared" si="18"/>
        <v>#DIV/0!</v>
      </c>
      <c r="AM35" s="46">
        <f t="shared" si="30"/>
        <v>0</v>
      </c>
      <c r="AN35" s="48" t="str">
        <f t="shared" si="19"/>
        <v/>
      </c>
      <c r="AO35" s="197"/>
      <c r="AP35" s="77"/>
      <c r="AQ35" s="78"/>
      <c r="AR35" s="79" t="e">
        <f t="shared" si="20"/>
        <v>#DIV/0!</v>
      </c>
      <c r="AS35" s="78"/>
      <c r="AT35" s="80" t="e">
        <f t="shared" si="21"/>
        <v>#DIV/0!</v>
      </c>
      <c r="AU35" s="80"/>
      <c r="AV35" s="196">
        <f t="shared" si="31"/>
        <v>0</v>
      </c>
      <c r="AW35" s="48" t="str">
        <f t="shared" si="22"/>
        <v/>
      </c>
      <c r="AX35" s="83">
        <f t="shared" si="23"/>
        <v>0</v>
      </c>
      <c r="AY35" s="40">
        <f t="shared" si="24"/>
        <v>0</v>
      </c>
      <c r="AZ35" s="40">
        <f t="shared" si="25"/>
        <v>0</v>
      </c>
      <c r="BA35" s="50">
        <f t="shared" si="26"/>
        <v>0</v>
      </c>
      <c r="BB35" s="51">
        <f t="shared" si="32"/>
        <v>0</v>
      </c>
      <c r="BC35" s="84"/>
      <c r="BD35" s="85"/>
      <c r="BE35" s="85"/>
      <c r="BF35" s="86"/>
      <c r="BG35" s="86"/>
      <c r="BH35" s="86"/>
      <c r="BI35" s="86"/>
      <c r="BJ35" s="185">
        <f t="shared" si="27"/>
        <v>0</v>
      </c>
      <c r="BK35" s="28">
        <v>31</v>
      </c>
      <c r="BL35" s="56">
        <f t="shared" si="28"/>
        <v>0</v>
      </c>
    </row>
    <row r="36" spans="2:64" s="108" customFormat="1" ht="20" customHeight="1" thickTop="1">
      <c r="B36" s="186" t="s">
        <v>27</v>
      </c>
      <c r="C36" s="89">
        <f>SUM(C5:C35)</f>
        <v>0</v>
      </c>
      <c r="D36" s="90">
        <f>SUM(D5:D35)</f>
        <v>0</v>
      </c>
      <c r="E36" s="91">
        <f>SUM(E5:E35)</f>
        <v>954</v>
      </c>
      <c r="F36" s="92">
        <f>SUM(F5:F35)</f>
        <v>3674030</v>
      </c>
      <c r="G36" s="93">
        <f>F36/E36</f>
        <v>3851.1844863731658</v>
      </c>
      <c r="H36" s="89">
        <f>SUM(H5:H35)</f>
        <v>527470</v>
      </c>
      <c r="I36" s="94">
        <f>H36/E36</f>
        <v>552.90356394129981</v>
      </c>
      <c r="J36" s="95">
        <f>SUM(J5:J35)</f>
        <v>4201500</v>
      </c>
      <c r="K36" s="96">
        <f>J36/E36</f>
        <v>4404.0880503144654</v>
      </c>
      <c r="L36" s="97">
        <f>SUM(L5:L35)</f>
        <v>0</v>
      </c>
      <c r="M36" s="91">
        <f>SUM(M5:M35)</f>
        <v>488</v>
      </c>
      <c r="N36" s="92">
        <f>SUM(N5:N35)</f>
        <v>5135530</v>
      </c>
      <c r="O36" s="93">
        <f>N36/M36</f>
        <v>10523.627049180328</v>
      </c>
      <c r="P36" s="98">
        <f>SUM(P5:P35)</f>
        <v>1282825</v>
      </c>
      <c r="Q36" s="94">
        <f>P36/M36</f>
        <v>2628.7397540983607</v>
      </c>
      <c r="R36" s="99">
        <f>SUM(R5:R35)+BF36</f>
        <v>6565755</v>
      </c>
      <c r="S36" s="100">
        <f>R36/M36</f>
        <v>13454.415983606557</v>
      </c>
      <c r="T36" s="91">
        <f t="shared" ref="T36:AA36" si="33">SUM(T5:T35)</f>
        <v>1442</v>
      </c>
      <c r="U36" s="98">
        <f t="shared" si="33"/>
        <v>8809560</v>
      </c>
      <c r="V36" s="98">
        <f t="shared" si="33"/>
        <v>1810295</v>
      </c>
      <c r="W36" s="95">
        <f>SUM(W5:W35)+BF36</f>
        <v>10767255</v>
      </c>
      <c r="X36" s="101">
        <f t="shared" si="33"/>
        <v>0</v>
      </c>
      <c r="Y36" s="90">
        <f t="shared" si="33"/>
        <v>0</v>
      </c>
      <c r="Z36" s="91">
        <f t="shared" si="33"/>
        <v>330</v>
      </c>
      <c r="AA36" s="93">
        <f t="shared" si="33"/>
        <v>161100</v>
      </c>
      <c r="AB36" s="93"/>
      <c r="AC36" s="89">
        <f>SUM(AC5:AC35)</f>
        <v>26700</v>
      </c>
      <c r="AD36" s="94"/>
      <c r="AE36" s="99">
        <f>SUM(AE5:AE35)</f>
        <v>187800</v>
      </c>
      <c r="AF36" s="102">
        <f>AE36/Z36</f>
        <v>569.09090909090912</v>
      </c>
      <c r="AG36" s="103">
        <f t="shared" ref="AG36:AI36" si="34">SUM(AG5:AG35)</f>
        <v>0</v>
      </c>
      <c r="AH36" s="91">
        <f t="shared" si="34"/>
        <v>356</v>
      </c>
      <c r="AI36" s="93">
        <f t="shared" si="34"/>
        <v>1355460</v>
      </c>
      <c r="AJ36" s="93"/>
      <c r="AK36" s="89">
        <f>SUM(AK5:AK35)</f>
        <v>485678</v>
      </c>
      <c r="AL36" s="94"/>
      <c r="AM36" s="99">
        <f>SUM(AM5:AM35)</f>
        <v>1841138</v>
      </c>
      <c r="AN36" s="104">
        <f>AM36/AH36</f>
        <v>5171.7359550561796</v>
      </c>
      <c r="AO36" s="198">
        <f t="shared" ref="AO36:AQ36" si="35">SUM(AO5:AO35)</f>
        <v>2015</v>
      </c>
      <c r="AP36" s="91">
        <f t="shared" si="35"/>
        <v>5309</v>
      </c>
      <c r="AQ36" s="93">
        <f t="shared" si="35"/>
        <v>13013000</v>
      </c>
      <c r="AR36" s="93"/>
      <c r="AS36" s="89">
        <f>SUM(AS5:AS35)</f>
        <v>7831700</v>
      </c>
      <c r="AT36" s="94"/>
      <c r="AU36" s="89">
        <f>SUM(AU5:AU35)</f>
        <v>110000</v>
      </c>
      <c r="AV36" s="99">
        <f>SUM(AV5:AV35)</f>
        <v>20954700</v>
      </c>
      <c r="AW36" s="104">
        <f>AV36/AP36</f>
        <v>3947.0145036730082</v>
      </c>
      <c r="AX36" s="105">
        <f t="shared" ref="AX36:BJ36" si="36">SUM(AX5:AX35)</f>
        <v>1442</v>
      </c>
      <c r="AY36" s="98">
        <f t="shared" si="36"/>
        <v>23339120</v>
      </c>
      <c r="AZ36" s="98">
        <f t="shared" si="36"/>
        <v>10154373</v>
      </c>
      <c r="BA36" s="99">
        <f t="shared" si="36"/>
        <v>33603493</v>
      </c>
      <c r="BB36" s="106">
        <f t="shared" si="36"/>
        <v>147400</v>
      </c>
      <c r="BC36" s="107">
        <f t="shared" si="36"/>
        <v>1442</v>
      </c>
      <c r="BD36" s="107">
        <f t="shared" si="36"/>
        <v>8809560</v>
      </c>
      <c r="BE36" s="107">
        <f t="shared" si="36"/>
        <v>1810295</v>
      </c>
      <c r="BF36" s="107">
        <f t="shared" si="36"/>
        <v>147400</v>
      </c>
      <c r="BG36" s="107">
        <f t="shared" si="36"/>
        <v>0</v>
      </c>
      <c r="BH36" s="107">
        <f t="shared" si="36"/>
        <v>3300</v>
      </c>
      <c r="BI36" s="107">
        <f t="shared" si="36"/>
        <v>124000</v>
      </c>
      <c r="BJ36" s="188">
        <f t="shared" si="36"/>
        <v>10770555</v>
      </c>
      <c r="BL36" s="109">
        <f>SUM(BL5:BL35)</f>
        <v>10894555</v>
      </c>
    </row>
    <row r="37" spans="2:64" s="108" customFormat="1" ht="18">
      <c r="B37" s="189"/>
      <c r="E37" s="110" t="s">
        <v>42</v>
      </c>
      <c r="F37" s="111">
        <f>F36/1.1</f>
        <v>3340027.2727272725</v>
      </c>
      <c r="G37" s="112">
        <f>F37/E36</f>
        <v>3501.0768057937867</v>
      </c>
      <c r="H37" s="113">
        <f>H36/1.1</f>
        <v>479518.18181818177</v>
      </c>
      <c r="I37" s="112">
        <f>H37/E36</f>
        <v>502.63960358299977</v>
      </c>
      <c r="J37" s="114">
        <f>J36/1.1</f>
        <v>3819545.4545454541</v>
      </c>
      <c r="K37" s="115">
        <f>G37+I37</f>
        <v>4003.7164093767865</v>
      </c>
      <c r="L37" s="116"/>
      <c r="M37" s="110" t="s">
        <v>42</v>
      </c>
      <c r="N37" s="111">
        <f>N36/1.1</f>
        <v>4668663.6363636358</v>
      </c>
      <c r="O37" s="112">
        <f>N37/M36</f>
        <v>9566.9336810730238</v>
      </c>
      <c r="P37" s="113">
        <f>P36/1.1</f>
        <v>1166204.5454545454</v>
      </c>
      <c r="Q37" s="112">
        <f>P37/M36</f>
        <v>2389.7634128166915</v>
      </c>
      <c r="R37" s="112">
        <f>R36/1.1</f>
        <v>5968868.1818181816</v>
      </c>
      <c r="S37" s="117">
        <f>R37/M36</f>
        <v>12231.287257824142</v>
      </c>
      <c r="T37" s="110" t="s">
        <v>42</v>
      </c>
      <c r="U37" s="111">
        <f>U36/1.1</f>
        <v>8008690.9090909082</v>
      </c>
      <c r="V37" s="111">
        <f>V36/1.1</f>
        <v>1645722.7272727271</v>
      </c>
      <c r="W37" s="114">
        <f>W36/1.1</f>
        <v>9788413.6363636348</v>
      </c>
      <c r="X37" s="118"/>
      <c r="Y37" s="116"/>
      <c r="Z37" s="110" t="s">
        <v>42</v>
      </c>
      <c r="AA37" s="111">
        <f>AA36/1.1</f>
        <v>146454.54545454544</v>
      </c>
      <c r="AB37" s="113">
        <f>AA37/Z36</f>
        <v>443.80165289256195</v>
      </c>
      <c r="AC37" s="113">
        <f>AC36/1.1</f>
        <v>24272.727272727272</v>
      </c>
      <c r="AD37" s="113">
        <f>AC37/Z36</f>
        <v>73.553719008264466</v>
      </c>
      <c r="AE37" s="112">
        <f>AE36/1.1</f>
        <v>170727.27272727271</v>
      </c>
      <c r="AF37" s="119" t="e">
        <f>AE37/Y36</f>
        <v>#DIV/0!</v>
      </c>
      <c r="AG37" s="116"/>
      <c r="AH37" s="110" t="s">
        <v>42</v>
      </c>
      <c r="AI37" s="111">
        <f>AI36/1.1</f>
        <v>1232236.3636363635</v>
      </c>
      <c r="AJ37" s="113">
        <f>AI37/AH36</f>
        <v>3461.3381001021448</v>
      </c>
      <c r="AK37" s="113">
        <f>AK36/1.1</f>
        <v>441525.45454545453</v>
      </c>
      <c r="AL37" s="113">
        <f>AK37/AH36</f>
        <v>1240.2400408580183</v>
      </c>
      <c r="AM37" s="112">
        <f>AM36/1.1</f>
        <v>1673761.8181818181</v>
      </c>
      <c r="AN37" s="120" t="e">
        <f>AM37/AG36</f>
        <v>#DIV/0!</v>
      </c>
      <c r="AO37" s="116"/>
      <c r="AP37" s="110" t="s">
        <v>42</v>
      </c>
      <c r="AQ37" s="111">
        <f>AQ36/1.1</f>
        <v>11829999.999999998</v>
      </c>
      <c r="AR37" s="113">
        <f>AQ37/AP36</f>
        <v>2228.2915803352794</v>
      </c>
      <c r="AS37" s="113">
        <f>AS36/1.1</f>
        <v>7119727.2727272725</v>
      </c>
      <c r="AT37" s="113">
        <f>AS37/AP36</f>
        <v>1341.0674840322608</v>
      </c>
      <c r="AU37" s="113">
        <f>AU36/1.1</f>
        <v>99999.999999999985</v>
      </c>
      <c r="AV37" s="112">
        <f>AV36/1.1</f>
        <v>19049727.27272727</v>
      </c>
      <c r="AW37" s="120">
        <f>AV37/AP36</f>
        <v>3588.1950033390976</v>
      </c>
      <c r="AX37" s="121" t="s">
        <v>42</v>
      </c>
      <c r="AY37" s="111">
        <f>AY36/1.1</f>
        <v>21217381.818181816</v>
      </c>
      <c r="AZ37" s="111">
        <f>AZ36/1.1</f>
        <v>9231248.1818181816</v>
      </c>
      <c r="BA37" s="112">
        <f>BA36/1.1</f>
        <v>30548629.999999996</v>
      </c>
      <c r="BB37" s="122">
        <f>BB36/1.1</f>
        <v>134000</v>
      </c>
      <c r="BG37" s="123"/>
      <c r="BJ37" s="124"/>
      <c r="BL37" s="124"/>
    </row>
    <row r="38" spans="2:64">
      <c r="E38" s="125" t="s">
        <v>43</v>
      </c>
      <c r="F38" s="126">
        <f>E36/G38</f>
        <v>31.8</v>
      </c>
      <c r="G38" s="127">
        <v>30</v>
      </c>
      <c r="H38" s="126"/>
      <c r="I38" s="126"/>
      <c r="J38" s="128" t="s">
        <v>44</v>
      </c>
      <c r="K38" s="129">
        <f>J37/G38</f>
        <v>127318.18181818181</v>
      </c>
      <c r="M38" s="125" t="s">
        <v>43</v>
      </c>
      <c r="N38" s="126">
        <f>M36/O38</f>
        <v>16.266666666666666</v>
      </c>
      <c r="O38" s="127">
        <f>G38</f>
        <v>30</v>
      </c>
      <c r="P38" s="126"/>
      <c r="Q38" s="126"/>
      <c r="R38" s="128" t="s">
        <v>44</v>
      </c>
      <c r="S38" s="130">
        <f>R37/O38</f>
        <v>198962.27272727274</v>
      </c>
      <c r="U38" s="199">
        <f>O38</f>
        <v>30</v>
      </c>
      <c r="W38" s="131">
        <f>W37/U38</f>
        <v>326280.45454545447</v>
      </c>
      <c r="X38" s="56"/>
      <c r="AA38" s="132">
        <f>G38</f>
        <v>30</v>
      </c>
      <c r="AB38" s="126"/>
      <c r="AC38" s="126"/>
      <c r="AD38" s="126"/>
      <c r="AE38" s="126"/>
      <c r="AF38" s="129">
        <f>AE37/AA38</f>
        <v>5690.9090909090901</v>
      </c>
      <c r="AI38" s="132">
        <v>4</v>
      </c>
      <c r="AJ38" s="126"/>
      <c r="AK38" s="126"/>
      <c r="AL38" s="126"/>
      <c r="AM38" s="126"/>
      <c r="AN38" s="129">
        <f>AM37/AI38</f>
        <v>418440.45454545453</v>
      </c>
      <c r="AQ38" s="132">
        <f>G38</f>
        <v>30</v>
      </c>
      <c r="AR38" s="126"/>
      <c r="AS38" s="126"/>
      <c r="AT38" s="126"/>
      <c r="AU38" s="126"/>
      <c r="AV38" s="126"/>
      <c r="AW38" s="129">
        <f>AV37/AQ38</f>
        <v>634990.90909090894</v>
      </c>
      <c r="BA38" s="131"/>
      <c r="BB38" s="56" t="e">
        <f>BA37/BC37</f>
        <v>#DIV/0!</v>
      </c>
      <c r="BC38" s="133">
        <f>AX36+T36</f>
        <v>2884</v>
      </c>
      <c r="BG38" s="131"/>
    </row>
    <row r="39" spans="2:64">
      <c r="D39" s="134" t="s">
        <v>45</v>
      </c>
      <c r="E39" s="135"/>
      <c r="F39" s="126"/>
      <c r="G39" s="136"/>
      <c r="H39" s="126"/>
      <c r="I39" s="126"/>
      <c r="J39" s="128"/>
      <c r="K39" s="129"/>
      <c r="L39" s="137" t="s">
        <v>46</v>
      </c>
      <c r="M39" s="125"/>
      <c r="N39" s="126"/>
      <c r="O39" s="126"/>
      <c r="P39" s="126"/>
      <c r="Q39" s="126"/>
      <c r="R39" s="128"/>
      <c r="S39" s="129"/>
      <c r="W39" s="131"/>
      <c r="X39" s="56"/>
      <c r="Y39" s="137" t="s">
        <v>63</v>
      </c>
      <c r="AA39" s="126"/>
      <c r="AB39" s="126"/>
      <c r="AC39" s="126"/>
      <c r="AD39" s="126"/>
      <c r="AE39" s="126"/>
      <c r="AF39" s="129"/>
      <c r="AG39" s="137" t="s">
        <v>64</v>
      </c>
      <c r="AI39" s="126"/>
      <c r="AJ39" s="126"/>
      <c r="AK39" s="126"/>
      <c r="AL39" s="126"/>
      <c r="AM39" s="126"/>
      <c r="AN39" s="129"/>
      <c r="AO39" s="137" t="s">
        <v>65</v>
      </c>
      <c r="AQ39" s="126"/>
      <c r="AR39" s="126"/>
      <c r="AS39" s="126"/>
      <c r="AT39" s="126"/>
      <c r="AU39" s="126"/>
      <c r="AV39" s="126"/>
      <c r="AW39" s="129"/>
      <c r="BA39" s="56">
        <f>BA36+BB36</f>
        <v>33750893</v>
      </c>
      <c r="BB39" s="138">
        <f>BA39/G38</f>
        <v>1125029.7666666666</v>
      </c>
      <c r="BC39" s="28" t="s">
        <v>48</v>
      </c>
      <c r="BG39" s="131"/>
    </row>
    <row r="40" spans="2:64" ht="21.5" customHeight="1">
      <c r="C40" s="137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W40" s="5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  <c r="AI40" s="216"/>
      <c r="AJ40" s="216"/>
      <c r="AK40" s="216"/>
      <c r="AL40" s="216"/>
      <c r="AM40" s="216"/>
      <c r="AN40" s="216"/>
      <c r="AO40" s="216"/>
      <c r="AP40" s="216"/>
      <c r="AQ40" s="216"/>
      <c r="AR40" s="216"/>
      <c r="AS40" s="216"/>
      <c r="AT40" s="216"/>
      <c r="AU40" s="216"/>
      <c r="AV40" s="216"/>
      <c r="AW40" s="216"/>
      <c r="BA40" s="140">
        <f>BA37+BB37</f>
        <v>30682629.999999996</v>
      </c>
    </row>
    <row r="41" spans="2:64" ht="21.5" customHeight="1">
      <c r="C41" s="137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W41" s="131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  <c r="AI41" s="216"/>
      <c r="AJ41" s="216"/>
      <c r="AK41" s="216"/>
      <c r="AL41" s="216"/>
      <c r="AM41" s="216"/>
      <c r="AN41" s="216"/>
      <c r="AO41" s="216"/>
      <c r="AP41" s="216"/>
      <c r="AQ41" s="216"/>
      <c r="AR41" s="216"/>
      <c r="AS41" s="216"/>
      <c r="AT41" s="216"/>
      <c r="AU41" s="216"/>
      <c r="AV41" s="216"/>
      <c r="AW41" s="216"/>
      <c r="BA41" s="56"/>
      <c r="BB41" s="138">
        <f>BA40/G38</f>
        <v>1022754.3333333333</v>
      </c>
      <c r="BC41" s="28" t="s">
        <v>52</v>
      </c>
    </row>
    <row r="42" spans="2:64" ht="21.5" customHeight="1">
      <c r="C42" s="137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W42" s="5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  <c r="AW42" s="216"/>
    </row>
    <row r="43" spans="2:64" ht="21.5" customHeight="1">
      <c r="C43" s="137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BA43" s="131">
        <f>BA37+BB37</f>
        <v>30682629.999999996</v>
      </c>
      <c r="BB43" s="141" t="s">
        <v>66</v>
      </c>
    </row>
    <row r="44" spans="2:64" ht="21.5" customHeight="1">
      <c r="C44" s="137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W44" s="216"/>
      <c r="AY44" s="108"/>
      <c r="AZ44" s="142" t="s">
        <v>53</v>
      </c>
      <c r="BA44" s="124">
        <f>J45+R45+AE45+BB44+AM45+AV45</f>
        <v>40016800</v>
      </c>
      <c r="BB44" s="143"/>
      <c r="BC44" s="108"/>
    </row>
    <row r="45" spans="2:64" ht="21" customHeight="1">
      <c r="H45" s="144"/>
      <c r="I45" s="145" t="s">
        <v>54</v>
      </c>
      <c r="J45" s="124">
        <v>3998400</v>
      </c>
      <c r="K45" s="146" t="s">
        <v>55</v>
      </c>
      <c r="L45" s="108"/>
      <c r="M45" s="108"/>
      <c r="N45" s="108"/>
      <c r="O45" s="108"/>
      <c r="P45" s="108"/>
      <c r="Q45" s="145" t="s">
        <v>56</v>
      </c>
      <c r="R45" s="124">
        <v>9374400</v>
      </c>
      <c r="S45" s="146" t="s">
        <v>55</v>
      </c>
      <c r="T45" s="108"/>
      <c r="U45" s="108"/>
      <c r="V45" s="145" t="s">
        <v>67</v>
      </c>
      <c r="W45" s="124">
        <f>J45+R45</f>
        <v>13372800</v>
      </c>
      <c r="X45" s="146" t="s">
        <v>55</v>
      </c>
      <c r="Y45" s="108"/>
      <c r="Z45" s="108"/>
      <c r="AA45" s="108"/>
      <c r="AB45" s="108"/>
      <c r="AC45" s="108"/>
      <c r="AD45" s="144" t="s">
        <v>57</v>
      </c>
      <c r="AE45" s="124">
        <v>700000</v>
      </c>
      <c r="AF45" s="146" t="s">
        <v>55</v>
      </c>
      <c r="AG45" s="146"/>
      <c r="AH45" s="146"/>
      <c r="AI45" s="146"/>
      <c r="AJ45" s="146"/>
      <c r="AK45" s="108"/>
      <c r="AL45" s="145" t="s">
        <v>68</v>
      </c>
      <c r="AM45" s="124">
        <v>504000</v>
      </c>
      <c r="AN45" s="146" t="s">
        <v>55</v>
      </c>
      <c r="AO45" s="146"/>
      <c r="AP45" s="146"/>
      <c r="AQ45" s="146"/>
      <c r="AR45" s="146"/>
      <c r="AS45" s="108"/>
      <c r="AT45" s="145" t="s">
        <v>69</v>
      </c>
      <c r="AU45" s="145"/>
      <c r="AV45" s="124">
        <v>25440000</v>
      </c>
      <c r="AW45" s="146" t="s">
        <v>55</v>
      </c>
      <c r="AX45" s="108"/>
      <c r="AY45" s="108"/>
      <c r="AZ45" s="142" t="s">
        <v>58</v>
      </c>
      <c r="BA45" s="123">
        <f>BA44-BA37-BB37</f>
        <v>9334170.0000000037</v>
      </c>
      <c r="BB45" s="123">
        <f>BB44-BB37</f>
        <v>-134000</v>
      </c>
      <c r="BC45" s="147" t="e">
        <f>BB37/BB44</f>
        <v>#DIV/0!</v>
      </c>
      <c r="BH45" s="56"/>
      <c r="BL45" s="28"/>
    </row>
    <row r="46" spans="2:64" ht="21" customHeight="1">
      <c r="H46" s="144"/>
      <c r="I46" s="144" t="s">
        <v>58</v>
      </c>
      <c r="J46" s="123">
        <f>J45-J37</f>
        <v>178854.54545454588</v>
      </c>
      <c r="K46" s="148">
        <v>0</v>
      </c>
      <c r="L46" s="108"/>
      <c r="M46" s="108"/>
      <c r="N46" s="108"/>
      <c r="O46" s="108"/>
      <c r="P46" s="108"/>
      <c r="Q46" s="144" t="s">
        <v>58</v>
      </c>
      <c r="R46" s="123">
        <f>R45-R37</f>
        <v>3405531.8181818184</v>
      </c>
      <c r="S46" s="108">
        <f>K46</f>
        <v>0</v>
      </c>
      <c r="T46" s="108"/>
      <c r="U46" s="108"/>
      <c r="V46" s="144" t="s">
        <v>58</v>
      </c>
      <c r="W46" s="123">
        <f>W45-W37</f>
        <v>3584386.3636363652</v>
      </c>
      <c r="X46" s="108">
        <f>P46</f>
        <v>0</v>
      </c>
      <c r="Y46" s="108"/>
      <c r="Z46" s="108"/>
      <c r="AA46" s="108"/>
      <c r="AB46" s="108"/>
      <c r="AC46" s="108"/>
      <c r="AD46" s="144" t="s">
        <v>58</v>
      </c>
      <c r="AE46" s="123">
        <f>AE45-AE37</f>
        <v>529272.72727272729</v>
      </c>
      <c r="AF46" s="108">
        <f>K46</f>
        <v>0</v>
      </c>
      <c r="AG46" s="108"/>
      <c r="AH46" s="108"/>
      <c r="AI46" s="108"/>
      <c r="AJ46" s="108"/>
      <c r="AK46" s="108"/>
      <c r="AL46" s="144" t="s">
        <v>58</v>
      </c>
      <c r="AM46" s="123">
        <f>AM45-AM37</f>
        <v>-1169761.8181818181</v>
      </c>
      <c r="AN46" s="108">
        <f>AF46</f>
        <v>0</v>
      </c>
      <c r="AO46" s="108"/>
      <c r="AP46" s="108"/>
      <c r="AQ46" s="108"/>
      <c r="AR46" s="108"/>
      <c r="AS46" s="108"/>
      <c r="AT46" s="144" t="s">
        <v>58</v>
      </c>
      <c r="AU46" s="144"/>
      <c r="AV46" s="123">
        <f>AV45-AV37</f>
        <v>6390272.7272727303</v>
      </c>
      <c r="AW46" s="108">
        <f>AN46</f>
        <v>0</v>
      </c>
      <c r="AX46" s="108"/>
      <c r="AY46" s="149"/>
      <c r="AZ46" s="150" t="s">
        <v>59</v>
      </c>
      <c r="BA46" s="151" t="e">
        <f>BA45/K46</f>
        <v>#DIV/0!</v>
      </c>
      <c r="BB46" s="152">
        <f>(BA37+BB37)/BA44</f>
        <v>0.76674371763859173</v>
      </c>
      <c r="BC46" s="149"/>
      <c r="BD46" s="153"/>
      <c r="BH46" s="56"/>
      <c r="BL46" s="28"/>
    </row>
    <row r="47" spans="2:64" s="153" customFormat="1" ht="26" customHeight="1">
      <c r="B47" s="191"/>
      <c r="H47" s="154"/>
      <c r="I47" s="150" t="s">
        <v>59</v>
      </c>
      <c r="J47" s="155" t="e">
        <f>J46/K46</f>
        <v>#DIV/0!</v>
      </c>
      <c r="K47" s="156">
        <f>J37/J45</f>
        <v>0.95526847102477341</v>
      </c>
      <c r="L47" s="149"/>
      <c r="M47" s="149"/>
      <c r="N47" s="149"/>
      <c r="O47" s="149"/>
      <c r="P47" s="149"/>
      <c r="Q47" s="150" t="s">
        <v>59</v>
      </c>
      <c r="R47" s="151" t="e">
        <f>R46/S46</f>
        <v>#DIV/0!</v>
      </c>
      <c r="S47" s="156">
        <f>R37/R45</f>
        <v>0.63672002280873252</v>
      </c>
      <c r="T47" s="149"/>
      <c r="U47" s="149"/>
      <c r="V47" s="150" t="s">
        <v>59</v>
      </c>
      <c r="W47" s="151" t="e">
        <f>W46/X46</f>
        <v>#DIV/0!</v>
      </c>
      <c r="X47" s="156">
        <f>W37/W45</f>
        <v>0.7319644080793577</v>
      </c>
      <c r="Y47" s="149"/>
      <c r="Z47" s="149"/>
      <c r="AA47" s="149"/>
      <c r="AB47" s="149"/>
      <c r="AC47" s="149"/>
      <c r="AD47" s="150" t="s">
        <v>59</v>
      </c>
      <c r="AE47" s="155" t="e">
        <f>AE46/AF46</f>
        <v>#DIV/0!</v>
      </c>
      <c r="AF47" s="156">
        <f>AE37/AE45</f>
        <v>0.24389610389610386</v>
      </c>
      <c r="AG47" s="156"/>
      <c r="AH47" s="156"/>
      <c r="AI47" s="156"/>
      <c r="AJ47" s="156"/>
      <c r="AK47" s="149"/>
      <c r="AL47" s="150" t="s">
        <v>59</v>
      </c>
      <c r="AM47" s="151" t="e">
        <f>AM46/AN46</f>
        <v>#DIV/0!</v>
      </c>
      <c r="AN47" s="156">
        <f>AM37/AM45</f>
        <v>3.3209559884559883</v>
      </c>
      <c r="AO47" s="156"/>
      <c r="AP47" s="156"/>
      <c r="AQ47" s="156"/>
      <c r="AR47" s="156"/>
      <c r="AS47" s="149"/>
      <c r="AT47" s="150" t="s">
        <v>59</v>
      </c>
      <c r="AU47" s="150"/>
      <c r="AV47" s="151" t="e">
        <f>AV46/AW46</f>
        <v>#DIV/0!</v>
      </c>
      <c r="AW47" s="156">
        <f>AV37/AV45</f>
        <v>0.74881003430531723</v>
      </c>
      <c r="AX47" s="149"/>
      <c r="AY47" s="28"/>
      <c r="AZ47" s="28"/>
      <c r="BA47" s="131"/>
      <c r="BB47" s="28"/>
      <c r="BC47" s="28"/>
      <c r="BD47" s="28"/>
      <c r="BH47" s="157"/>
      <c r="BJ47" s="157"/>
    </row>
    <row r="48" spans="2:64">
      <c r="AY48" s="158"/>
      <c r="AZ48" s="158"/>
      <c r="BA48" s="158"/>
      <c r="BB48" s="158"/>
      <c r="BC48" s="158"/>
      <c r="BD48" s="158"/>
      <c r="BH48" s="56"/>
      <c r="BL48" s="28"/>
    </row>
    <row r="49" spans="2:62" s="158" customFormat="1" ht="36" customHeight="1">
      <c r="B49" s="159"/>
      <c r="J49" s="200"/>
      <c r="L49" s="160"/>
      <c r="M49" s="28"/>
      <c r="N49" s="28"/>
      <c r="O49" s="28"/>
      <c r="P49" s="28"/>
      <c r="Q49" s="28"/>
      <c r="R49" s="160"/>
      <c r="AY49" s="1"/>
      <c r="AZ49" s="1"/>
      <c r="BA49" s="1"/>
      <c r="BB49" s="1"/>
      <c r="BC49" s="1"/>
      <c r="BD49" s="1"/>
      <c r="BH49" s="161"/>
      <c r="BJ49" s="161"/>
    </row>
    <row r="50" spans="2:62" s="1" customFormat="1" ht="36" customHeight="1">
      <c r="B50" s="159"/>
      <c r="J50" s="201">
        <f>J37</f>
        <v>3819545.4545454541</v>
      </c>
      <c r="L50" s="162"/>
      <c r="M50" s="28"/>
      <c r="N50" s="28"/>
      <c r="O50" s="28"/>
      <c r="P50" s="28"/>
      <c r="Q50" s="28"/>
      <c r="R50" s="162"/>
      <c r="S50" s="162"/>
      <c r="Z50" s="163"/>
      <c r="AY50" s="158"/>
      <c r="AZ50" s="158"/>
      <c r="BA50" s="158"/>
      <c r="BB50" s="158"/>
      <c r="BC50" s="158"/>
      <c r="BD50" s="158"/>
      <c r="BH50" s="164"/>
      <c r="BJ50" s="164"/>
    </row>
    <row r="51" spans="2:62" s="158" customFormat="1" ht="36" customHeight="1">
      <c r="B51" s="159"/>
      <c r="J51" s="201">
        <f>'[1]2023(5)'!J37</f>
        <v>3980481.8181818179</v>
      </c>
      <c r="K51" s="1"/>
      <c r="L51" s="162"/>
      <c r="M51" s="28"/>
      <c r="N51" s="28"/>
      <c r="O51" s="28"/>
      <c r="P51" s="28"/>
      <c r="Q51" s="28"/>
      <c r="R51" s="165"/>
      <c r="S51" s="166"/>
      <c r="T51" s="166"/>
      <c r="U51" s="166" t="s">
        <v>75</v>
      </c>
      <c r="V51" s="166"/>
      <c r="W51" s="167"/>
      <c r="X51" s="168"/>
      <c r="Y51" s="169"/>
      <c r="Z51" s="170"/>
      <c r="BH51" s="161"/>
      <c r="BJ51" s="161"/>
    </row>
    <row r="52" spans="2:62" s="158" customFormat="1" ht="36" customHeight="1">
      <c r="B52" s="159"/>
      <c r="J52" s="201">
        <f>'[1]2023(4)'!J37</f>
        <v>488795.45454545453</v>
      </c>
      <c r="K52" s="1"/>
      <c r="L52" s="162"/>
      <c r="M52" s="28"/>
      <c r="N52" s="28"/>
      <c r="O52" s="28"/>
      <c r="P52" s="28"/>
      <c r="Q52" s="28"/>
      <c r="R52" s="167"/>
      <c r="S52" s="166"/>
      <c r="T52" s="166"/>
      <c r="U52" s="226" t="s">
        <v>76</v>
      </c>
      <c r="V52" s="202" t="s">
        <v>77</v>
      </c>
      <c r="W52" s="203">
        <v>826627</v>
      </c>
      <c r="X52" s="204">
        <f>W52/Y52</f>
        <v>9.8876036513801766E-2</v>
      </c>
      <c r="Y52" s="227">
        <f>W52+W53</f>
        <v>8360236</v>
      </c>
      <c r="Z52" s="228"/>
      <c r="AA52" s="228"/>
      <c r="BH52" s="161"/>
      <c r="BJ52" s="161"/>
    </row>
    <row r="53" spans="2:62" s="158" customFormat="1" ht="36" customHeight="1">
      <c r="B53" s="159"/>
      <c r="J53" s="200"/>
      <c r="K53" s="1"/>
      <c r="L53" s="162"/>
      <c r="M53" s="28"/>
      <c r="N53" s="28"/>
      <c r="O53" s="28"/>
      <c r="P53" s="28"/>
      <c r="Q53" s="28"/>
      <c r="R53" s="167"/>
      <c r="S53" s="166"/>
      <c r="T53" s="166"/>
      <c r="U53" s="226"/>
      <c r="V53" s="202" t="s">
        <v>78</v>
      </c>
      <c r="W53" s="203">
        <v>7533609</v>
      </c>
      <c r="X53" s="204">
        <f>W53/Y52</f>
        <v>0.90112396348619828</v>
      </c>
      <c r="Y53" s="228"/>
      <c r="Z53" s="228"/>
      <c r="AA53" s="228"/>
      <c r="BH53" s="161"/>
      <c r="BJ53" s="161"/>
    </row>
    <row r="54" spans="2:62" s="158" customFormat="1" ht="36" customHeight="1">
      <c r="B54" s="159"/>
      <c r="J54" s="200"/>
      <c r="K54" s="1"/>
      <c r="L54" s="162"/>
      <c r="M54" s="28"/>
      <c r="N54" s="28"/>
      <c r="O54" s="28"/>
      <c r="P54" s="28"/>
      <c r="Q54" s="28"/>
      <c r="R54" s="167"/>
      <c r="S54" s="166"/>
      <c r="T54" s="166"/>
      <c r="U54" s="229" t="s">
        <v>79</v>
      </c>
      <c r="V54" s="202" t="s">
        <v>77</v>
      </c>
      <c r="W54" s="203">
        <v>2585291</v>
      </c>
      <c r="X54" s="204">
        <f t="shared" ref="X54" si="37">W54/Y54</f>
        <v>0.35697611608412699</v>
      </c>
      <c r="Y54" s="227">
        <f t="shared" ref="Y54" si="38">W54+W55</f>
        <v>7242196</v>
      </c>
      <c r="Z54" s="228"/>
      <c r="AA54" s="228"/>
      <c r="BH54" s="161"/>
      <c r="BJ54" s="161"/>
    </row>
    <row r="55" spans="2:62" s="158" customFormat="1" ht="36" customHeight="1">
      <c r="B55" s="159"/>
      <c r="J55" s="200"/>
      <c r="L55" s="160"/>
      <c r="M55" s="28"/>
      <c r="N55" s="28"/>
      <c r="O55" s="28"/>
      <c r="P55" s="28"/>
      <c r="Q55" s="28"/>
      <c r="R55" s="171"/>
      <c r="S55" s="166"/>
      <c r="T55" s="166"/>
      <c r="U55" s="229"/>
      <c r="V55" s="202" t="s">
        <v>78</v>
      </c>
      <c r="W55" s="203">
        <v>4656905</v>
      </c>
      <c r="X55" s="204">
        <f t="shared" ref="X55" si="39">W55/Y54</f>
        <v>0.64302388391587306</v>
      </c>
      <c r="Y55" s="228"/>
      <c r="Z55" s="228"/>
      <c r="AA55" s="228"/>
      <c r="AY55" s="28"/>
      <c r="AZ55" s="28"/>
      <c r="BA55" s="28"/>
      <c r="BB55" s="28"/>
      <c r="BC55" s="28"/>
      <c r="BD55" s="28"/>
      <c r="BH55" s="161"/>
      <c r="BJ55" s="161"/>
    </row>
    <row r="56" spans="2:62" ht="41" customHeight="1">
      <c r="J56" s="125"/>
      <c r="U56" s="230" t="s">
        <v>2</v>
      </c>
      <c r="V56" s="205" t="s">
        <v>77</v>
      </c>
      <c r="W56" s="203">
        <v>3081491</v>
      </c>
      <c r="X56" s="204">
        <f t="shared" ref="X56:X58" si="40">W56/Y56</f>
        <v>0.41896802903620756</v>
      </c>
      <c r="Y56" s="227">
        <f t="shared" ref="Y56" si="41">W56+W57</f>
        <v>7354955</v>
      </c>
      <c r="Z56" s="228"/>
      <c r="AA56" s="228"/>
    </row>
    <row r="57" spans="2:62" ht="41" customHeight="1">
      <c r="U57" s="230"/>
      <c r="V57" s="205" t="s">
        <v>78</v>
      </c>
      <c r="W57" s="203">
        <v>4273464</v>
      </c>
      <c r="X57" s="204">
        <f t="shared" ref="X57:X59" si="42">W57/Y56</f>
        <v>0.58103197096379244</v>
      </c>
      <c r="Y57" s="228"/>
      <c r="Z57" s="228"/>
      <c r="AA57" s="228"/>
    </row>
    <row r="58" spans="2:62" ht="38" customHeight="1">
      <c r="U58" s="223" t="s">
        <v>80</v>
      </c>
      <c r="V58" s="205" t="s">
        <v>77</v>
      </c>
      <c r="W58" s="203">
        <f>W52+W54+W56</f>
        <v>6493409</v>
      </c>
      <c r="X58" s="204">
        <f t="shared" si="40"/>
        <v>0.28284617060295231</v>
      </c>
      <c r="Y58" s="224">
        <f>SUM(Y52:AA56)</f>
        <v>22957387</v>
      </c>
      <c r="Z58" s="225"/>
      <c r="AA58" s="225"/>
    </row>
    <row r="59" spans="2:62" ht="38" customHeight="1">
      <c r="U59" s="223"/>
      <c r="V59" s="205" t="s">
        <v>78</v>
      </c>
      <c r="W59" s="203">
        <f>W53+W55+W57</f>
        <v>16463978</v>
      </c>
      <c r="X59" s="204">
        <f t="shared" si="42"/>
        <v>0.71715382939704764</v>
      </c>
      <c r="Y59" s="225"/>
      <c r="Z59" s="225"/>
      <c r="AA59" s="225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AG3:AN3"/>
    <mergeCell ref="B3:B4"/>
    <mergeCell ref="D3:K3"/>
    <mergeCell ref="L3:S3"/>
    <mergeCell ref="T3:X3"/>
    <mergeCell ref="Y3:AF3"/>
  </mergeCells>
  <phoneticPr fontId="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2023.04</vt:lpstr>
      <vt:lpstr>2023.05</vt:lpstr>
      <vt:lpstr>2023.06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IGA</dc:creator>
  <cp:lastModifiedBy>SATOSHI IGA</cp:lastModifiedBy>
  <dcterms:created xsi:type="dcterms:W3CDTF">2026-02-11T08:58:33Z</dcterms:created>
  <dcterms:modified xsi:type="dcterms:W3CDTF">2026-02-11T10:25:17Z</dcterms:modified>
</cp:coreProperties>
</file>