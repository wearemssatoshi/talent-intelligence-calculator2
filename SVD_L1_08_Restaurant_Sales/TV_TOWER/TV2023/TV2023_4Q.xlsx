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oshiiga/Desktop/"/>
    </mc:Choice>
  </mc:AlternateContent>
  <xr:revisionPtr revIDLastSave="0" documentId="8_{E0FC9023-6D26-7846-A4E8-A7E4E6922CC4}" xr6:coauthVersionLast="47" xr6:coauthVersionMax="47" xr10:uidLastSave="{00000000-0000-0000-0000-000000000000}"/>
  <bookViews>
    <workbookView xWindow="7600" yWindow="660" windowWidth="28300" windowHeight="17360" activeTab="2" xr2:uid="{A7D3BE59-EE11-FE46-9AC3-3DF88A946E43}"/>
  </bookViews>
  <sheets>
    <sheet name="2024.01" sheetId="1" r:id="rId1"/>
    <sheet name="2024.02" sheetId="2" r:id="rId2"/>
    <sheet name="2024.03" sheetId="3" r:id="rId3"/>
  </sheets>
  <externalReferences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70" i="3" l="1"/>
  <c r="BH70" i="3"/>
  <c r="BJ70" i="3" s="1"/>
  <c r="BI69" i="3"/>
  <c r="BH69" i="3"/>
  <c r="BJ69" i="3" s="1"/>
  <c r="BI68" i="3"/>
  <c r="BJ68" i="3" s="1"/>
  <c r="BH68" i="3"/>
  <c r="BI67" i="3"/>
  <c r="BH67" i="3"/>
  <c r="BJ67" i="3" s="1"/>
  <c r="BI66" i="3"/>
  <c r="BH66" i="3"/>
  <c r="BJ66" i="3" s="1"/>
  <c r="BI65" i="3"/>
  <c r="BH65" i="3"/>
  <c r="BJ65" i="3" s="1"/>
  <c r="BI64" i="3"/>
  <c r="BH64" i="3"/>
  <c r="BJ64" i="3" s="1"/>
  <c r="BI63" i="3"/>
  <c r="BH63" i="3"/>
  <c r="BJ63" i="3" s="1"/>
  <c r="BI62" i="3"/>
  <c r="BH62" i="3"/>
  <c r="BJ62" i="3" s="1"/>
  <c r="BI61" i="3"/>
  <c r="BH61" i="3"/>
  <c r="BJ61" i="3" s="1"/>
  <c r="BI60" i="3"/>
  <c r="BJ60" i="3" s="1"/>
  <c r="BH60" i="3"/>
  <c r="BI59" i="3"/>
  <c r="BH59" i="3"/>
  <c r="BJ59" i="3" s="1"/>
  <c r="BI58" i="3"/>
  <c r="BJ58" i="3" s="1"/>
  <c r="BH58" i="3"/>
  <c r="BI57" i="3"/>
  <c r="BH57" i="3"/>
  <c r="BJ57" i="3" s="1"/>
  <c r="BI56" i="3"/>
  <c r="BH56" i="3"/>
  <c r="BJ56" i="3" s="1"/>
  <c r="Y56" i="3"/>
  <c r="X57" i="3" s="1"/>
  <c r="X56" i="3"/>
  <c r="BI55" i="3"/>
  <c r="BH55" i="3"/>
  <c r="BJ55" i="3" s="1"/>
  <c r="X55" i="3"/>
  <c r="BJ54" i="3"/>
  <c r="BI54" i="3"/>
  <c r="BH54" i="3"/>
  <c r="Y54" i="3"/>
  <c r="X54" i="3" s="1"/>
  <c r="BI53" i="3"/>
  <c r="BH53" i="3"/>
  <c r="BJ53" i="3" s="1"/>
  <c r="BI52" i="3"/>
  <c r="BH52" i="3"/>
  <c r="Y52" i="3"/>
  <c r="X52" i="3"/>
  <c r="BI51" i="3"/>
  <c r="BH51" i="3"/>
  <c r="BJ51" i="3" s="1"/>
  <c r="BI50" i="3"/>
  <c r="BH50" i="3"/>
  <c r="AQ50" i="3"/>
  <c r="AS49" i="3"/>
  <c r="AS50" i="3" s="1"/>
  <c r="AR49" i="3"/>
  <c r="AR50" i="3" s="1"/>
  <c r="AQ49" i="3"/>
  <c r="AE49" i="3"/>
  <c r="S48" i="3"/>
  <c r="Q48" i="3"/>
  <c r="K48" i="3"/>
  <c r="I48" i="3"/>
  <c r="AF46" i="3"/>
  <c r="AN46" i="3" s="1"/>
  <c r="AW46" i="3" s="1"/>
  <c r="K46" i="3"/>
  <c r="S46" i="3" s="1"/>
  <c r="X46" i="3" s="1"/>
  <c r="BG45" i="3"/>
  <c r="W45" i="3"/>
  <c r="BG44" i="3"/>
  <c r="BA44" i="3"/>
  <c r="BE43" i="3"/>
  <c r="BG43" i="3" s="1"/>
  <c r="V41" i="3"/>
  <c r="AQ38" i="3"/>
  <c r="AI38" i="3"/>
  <c r="AA38" i="3"/>
  <c r="O38" i="3"/>
  <c r="U38" i="3" s="1"/>
  <c r="AS37" i="3"/>
  <c r="AT37" i="3" s="1"/>
  <c r="AC37" i="3"/>
  <c r="AD37" i="3" s="1"/>
  <c r="H37" i="3"/>
  <c r="I37" i="3" s="1"/>
  <c r="BI36" i="3"/>
  <c r="BH36" i="3"/>
  <c r="BG36" i="3"/>
  <c r="BF36" i="3"/>
  <c r="BE36" i="3"/>
  <c r="BD36" i="3"/>
  <c r="BC36" i="3"/>
  <c r="BB36" i="3"/>
  <c r="AU36" i="3"/>
  <c r="AU37" i="3" s="1"/>
  <c r="AS36" i="3"/>
  <c r="AQ36" i="3"/>
  <c r="AQ37" i="3" s="1"/>
  <c r="AR37" i="3" s="1"/>
  <c r="AP36" i="3"/>
  <c r="AO36" i="3"/>
  <c r="AK36" i="3"/>
  <c r="AK37" i="3" s="1"/>
  <c r="AL37" i="3" s="1"/>
  <c r="AI36" i="3"/>
  <c r="AI37" i="3" s="1"/>
  <c r="AJ37" i="3" s="1"/>
  <c r="AH36" i="3"/>
  <c r="AG36" i="3"/>
  <c r="AC36" i="3"/>
  <c r="AD36" i="3" s="1"/>
  <c r="AA36" i="3"/>
  <c r="Z36" i="3"/>
  <c r="Y36" i="3"/>
  <c r="X36" i="3"/>
  <c r="L36" i="3"/>
  <c r="H36" i="3"/>
  <c r="F36" i="3"/>
  <c r="E36" i="3"/>
  <c r="D36" i="3"/>
  <c r="C36" i="3"/>
  <c r="BJ35" i="3"/>
  <c r="BL35" i="3" s="1"/>
  <c r="BB35" i="3"/>
  <c r="AW35" i="3"/>
  <c r="AV35" i="3"/>
  <c r="AT35" i="3"/>
  <c r="AR35" i="3"/>
  <c r="AN35" i="3"/>
  <c r="AM35" i="3"/>
  <c r="AL35" i="3"/>
  <c r="AJ35" i="3"/>
  <c r="AF35" i="3"/>
  <c r="AE35" i="3"/>
  <c r="AD35" i="3"/>
  <c r="AB35" i="3"/>
  <c r="V35" i="3"/>
  <c r="AZ35" i="3" s="1"/>
  <c r="U35" i="3"/>
  <c r="AY35" i="3" s="1"/>
  <c r="T35" i="3"/>
  <c r="P35" i="3"/>
  <c r="R35" i="3" s="1"/>
  <c r="S35" i="3" s="1"/>
  <c r="O35" i="3"/>
  <c r="N35" i="3"/>
  <c r="M35" i="3"/>
  <c r="AX35" i="3" s="1"/>
  <c r="J35" i="3"/>
  <c r="K35" i="3" s="1"/>
  <c r="I35" i="3"/>
  <c r="G35" i="3"/>
  <c r="BJ34" i="3"/>
  <c r="BL34" i="3" s="1"/>
  <c r="BB34" i="3"/>
  <c r="AX34" i="3"/>
  <c r="AW34" i="3"/>
  <c r="AV34" i="3"/>
  <c r="AT34" i="3"/>
  <c r="AR34" i="3"/>
  <c r="AN34" i="3"/>
  <c r="AM34" i="3"/>
  <c r="AL34" i="3"/>
  <c r="AJ34" i="3"/>
  <c r="AF34" i="3"/>
  <c r="AE34" i="3"/>
  <c r="AD34" i="3"/>
  <c r="AB34" i="3"/>
  <c r="T34" i="3"/>
  <c r="Q34" i="3"/>
  <c r="P34" i="3"/>
  <c r="V34" i="3" s="1"/>
  <c r="AZ34" i="3" s="1"/>
  <c r="N34" i="3"/>
  <c r="R34" i="3" s="1"/>
  <c r="S34" i="3" s="1"/>
  <c r="M34" i="3"/>
  <c r="J34" i="3"/>
  <c r="K34" i="3" s="1"/>
  <c r="I34" i="3"/>
  <c r="G34" i="3"/>
  <c r="BJ33" i="3"/>
  <c r="BL33" i="3" s="1"/>
  <c r="BB33" i="3"/>
  <c r="AW33" i="3"/>
  <c r="AV33" i="3"/>
  <c r="AT33" i="3"/>
  <c r="AR33" i="3"/>
  <c r="AN33" i="3"/>
  <c r="AM33" i="3"/>
  <c r="AL33" i="3"/>
  <c r="AJ33" i="3"/>
  <c r="AE33" i="3"/>
  <c r="AF33" i="3" s="1"/>
  <c r="AD33" i="3"/>
  <c r="AB33" i="3"/>
  <c r="T33" i="3"/>
  <c r="P33" i="3"/>
  <c r="N33" i="3"/>
  <c r="O33" i="3" s="1"/>
  <c r="M33" i="3"/>
  <c r="AX33" i="3" s="1"/>
  <c r="J33" i="3"/>
  <c r="K33" i="3" s="1"/>
  <c r="I33" i="3"/>
  <c r="G33" i="3"/>
  <c r="BL32" i="3"/>
  <c r="BJ32" i="3"/>
  <c r="BB32" i="3"/>
  <c r="AZ32" i="3"/>
  <c r="AY32" i="3"/>
  <c r="AW32" i="3"/>
  <c r="AV32" i="3"/>
  <c r="AT32" i="3"/>
  <c r="AR32" i="3"/>
  <c r="AN32" i="3"/>
  <c r="AM32" i="3"/>
  <c r="AL32" i="3"/>
  <c r="AJ32" i="3"/>
  <c r="AE32" i="3"/>
  <c r="AF32" i="3" s="1"/>
  <c r="AD32" i="3"/>
  <c r="AB32" i="3"/>
  <c r="P32" i="3"/>
  <c r="V32" i="3" s="1"/>
  <c r="N32" i="3"/>
  <c r="U32" i="3" s="1"/>
  <c r="M32" i="3"/>
  <c r="K32" i="3"/>
  <c r="J32" i="3"/>
  <c r="I32" i="3"/>
  <c r="G32" i="3"/>
  <c r="BJ31" i="3"/>
  <c r="BL31" i="3" s="1"/>
  <c r="BB31" i="3"/>
  <c r="AX31" i="3"/>
  <c r="AW31" i="3"/>
  <c r="AV31" i="3"/>
  <c r="AT31" i="3"/>
  <c r="AR31" i="3"/>
  <c r="AM31" i="3"/>
  <c r="AN31" i="3" s="1"/>
  <c r="AL31" i="3"/>
  <c r="AJ31" i="3"/>
  <c r="AE31" i="3"/>
  <c r="AF31" i="3" s="1"/>
  <c r="AD31" i="3"/>
  <c r="AB31" i="3"/>
  <c r="R31" i="3"/>
  <c r="Q31" i="3"/>
  <c r="P31" i="3"/>
  <c r="V31" i="3" s="1"/>
  <c r="AZ31" i="3" s="1"/>
  <c r="N31" i="3"/>
  <c r="M31" i="3"/>
  <c r="J31" i="3"/>
  <c r="I31" i="3"/>
  <c r="G31" i="3"/>
  <c r="BJ30" i="3"/>
  <c r="BL30" i="3" s="1"/>
  <c r="BB30" i="3"/>
  <c r="AX30" i="3"/>
  <c r="AW30" i="3"/>
  <c r="AV30" i="3"/>
  <c r="AT30" i="3"/>
  <c r="AR30" i="3"/>
  <c r="AM30" i="3"/>
  <c r="AN30" i="3" s="1"/>
  <c r="AL30" i="3"/>
  <c r="AJ30" i="3"/>
  <c r="AE30" i="3"/>
  <c r="AF30" i="3" s="1"/>
  <c r="AD30" i="3"/>
  <c r="AB30" i="3"/>
  <c r="P30" i="3"/>
  <c r="N30" i="3"/>
  <c r="U30" i="3" s="1"/>
  <c r="AY30" i="3" s="1"/>
  <c r="M30" i="3"/>
  <c r="J30" i="3"/>
  <c r="I30" i="3"/>
  <c r="G30" i="3"/>
  <c r="BJ29" i="3"/>
  <c r="BL29" i="3" s="1"/>
  <c r="BB29" i="3"/>
  <c r="AX29" i="3"/>
  <c r="AW29" i="3"/>
  <c r="AV29" i="3"/>
  <c r="AT29" i="3"/>
  <c r="AR29" i="3"/>
  <c r="AN29" i="3"/>
  <c r="AM29" i="3"/>
  <c r="AL29" i="3"/>
  <c r="AJ29" i="3"/>
  <c r="AF29" i="3"/>
  <c r="AE29" i="3"/>
  <c r="AD29" i="3"/>
  <c r="AB29" i="3"/>
  <c r="V29" i="3"/>
  <c r="AZ29" i="3" s="1"/>
  <c r="U29" i="3"/>
  <c r="AY29" i="3" s="1"/>
  <c r="P29" i="3"/>
  <c r="Q29" i="3" s="1"/>
  <c r="O29" i="3"/>
  <c r="N29" i="3"/>
  <c r="R29" i="3" s="1"/>
  <c r="W29" i="3" s="1"/>
  <c r="BA29" i="3" s="1"/>
  <c r="M29" i="3"/>
  <c r="T29" i="3" s="1"/>
  <c r="K29" i="3"/>
  <c r="J29" i="3"/>
  <c r="I29" i="3"/>
  <c r="G29" i="3"/>
  <c r="BJ28" i="3"/>
  <c r="BL28" i="3" s="1"/>
  <c r="BB28" i="3"/>
  <c r="AX28" i="3"/>
  <c r="AW28" i="3"/>
  <c r="AV28" i="3"/>
  <c r="AT28" i="3"/>
  <c r="AR28" i="3"/>
  <c r="AN28" i="3"/>
  <c r="AM28" i="3"/>
  <c r="AL28" i="3"/>
  <c r="AJ28" i="3"/>
  <c r="AE28" i="3"/>
  <c r="AF28" i="3" s="1"/>
  <c r="AD28" i="3"/>
  <c r="AB28" i="3"/>
  <c r="V28" i="3"/>
  <c r="AZ28" i="3" s="1"/>
  <c r="U28" i="3"/>
  <c r="AY28" i="3" s="1"/>
  <c r="T28" i="3"/>
  <c r="P28" i="3"/>
  <c r="Q28" i="3" s="1"/>
  <c r="N28" i="3"/>
  <c r="R28" i="3" s="1"/>
  <c r="M28" i="3"/>
  <c r="S28" i="3" s="1"/>
  <c r="J28" i="3"/>
  <c r="K28" i="3" s="1"/>
  <c r="I28" i="3"/>
  <c r="G28" i="3"/>
  <c r="BJ27" i="3"/>
  <c r="BL27" i="3" s="1"/>
  <c r="BB27" i="3"/>
  <c r="AZ27" i="3"/>
  <c r="AW27" i="3"/>
  <c r="AV27" i="3"/>
  <c r="AT27" i="3"/>
  <c r="AR27" i="3"/>
  <c r="AN27" i="3"/>
  <c r="AM27" i="3"/>
  <c r="AL27" i="3"/>
  <c r="AJ27" i="3"/>
  <c r="AE27" i="3"/>
  <c r="AF27" i="3" s="1"/>
  <c r="AD27" i="3"/>
  <c r="AB27" i="3"/>
  <c r="V27" i="3"/>
  <c r="T27" i="3"/>
  <c r="P27" i="3"/>
  <c r="N27" i="3"/>
  <c r="M27" i="3"/>
  <c r="J27" i="3"/>
  <c r="K27" i="3" s="1"/>
  <c r="I27" i="3"/>
  <c r="J50" i="3" s="1"/>
  <c r="G27" i="3"/>
  <c r="BL26" i="3"/>
  <c r="BJ26" i="3"/>
  <c r="BB26" i="3"/>
  <c r="AW26" i="3"/>
  <c r="AV26" i="3"/>
  <c r="AT26" i="3"/>
  <c r="AR26" i="3"/>
  <c r="AN26" i="3"/>
  <c r="AM26" i="3"/>
  <c r="AL26" i="3"/>
  <c r="AJ26" i="3"/>
  <c r="AE26" i="3"/>
  <c r="AF26" i="3" s="1"/>
  <c r="AD26" i="3"/>
  <c r="AB26" i="3"/>
  <c r="V26" i="3"/>
  <c r="AZ26" i="3" s="1"/>
  <c r="U26" i="3"/>
  <c r="AY26" i="3" s="1"/>
  <c r="R26" i="3"/>
  <c r="P26" i="3"/>
  <c r="N26" i="3"/>
  <c r="M26" i="3"/>
  <c r="K26" i="3"/>
  <c r="J26" i="3"/>
  <c r="I26" i="3"/>
  <c r="G26" i="3"/>
  <c r="BL25" i="3"/>
  <c r="BJ25" i="3"/>
  <c r="BB25" i="3"/>
  <c r="AX25" i="3"/>
  <c r="AW25" i="3"/>
  <c r="AV25" i="3"/>
  <c r="AT25" i="3"/>
  <c r="AR25" i="3"/>
  <c r="AN25" i="3"/>
  <c r="AM25" i="3"/>
  <c r="AL25" i="3"/>
  <c r="AJ25" i="3"/>
  <c r="AF25" i="3"/>
  <c r="AE25" i="3"/>
  <c r="AD25" i="3"/>
  <c r="AB25" i="3"/>
  <c r="W25" i="3"/>
  <c r="BA25" i="3" s="1"/>
  <c r="V25" i="3"/>
  <c r="AZ25" i="3" s="1"/>
  <c r="U25" i="3"/>
  <c r="AY25" i="3" s="1"/>
  <c r="T25" i="3"/>
  <c r="S25" i="3"/>
  <c r="R25" i="3"/>
  <c r="Q25" i="3"/>
  <c r="P25" i="3"/>
  <c r="N25" i="3"/>
  <c r="M25" i="3"/>
  <c r="O25" i="3" s="1"/>
  <c r="J25" i="3"/>
  <c r="K25" i="3" s="1"/>
  <c r="I25" i="3"/>
  <c r="G25" i="3"/>
  <c r="BJ24" i="3"/>
  <c r="BL24" i="3" s="1"/>
  <c r="BB24" i="3"/>
  <c r="AX24" i="3"/>
  <c r="AW24" i="3"/>
  <c r="AV24" i="3"/>
  <c r="AT24" i="3"/>
  <c r="AR24" i="3"/>
  <c r="AN24" i="3"/>
  <c r="AM24" i="3"/>
  <c r="AL24" i="3"/>
  <c r="AJ24" i="3"/>
  <c r="AF24" i="3"/>
  <c r="AE24" i="3"/>
  <c r="AD24" i="3"/>
  <c r="AB24" i="3"/>
  <c r="U24" i="3"/>
  <c r="AY24" i="3" s="1"/>
  <c r="T24" i="3"/>
  <c r="R24" i="3"/>
  <c r="Q24" i="3"/>
  <c r="P24" i="3"/>
  <c r="V24" i="3" s="1"/>
  <c r="AZ24" i="3" s="1"/>
  <c r="O24" i="3"/>
  <c r="N24" i="3"/>
  <c r="M24" i="3"/>
  <c r="J24" i="3"/>
  <c r="K24" i="3" s="1"/>
  <c r="I24" i="3"/>
  <c r="G24" i="3"/>
  <c r="BJ23" i="3"/>
  <c r="BL23" i="3" s="1"/>
  <c r="BB23" i="3"/>
  <c r="AW23" i="3"/>
  <c r="AV23" i="3"/>
  <c r="AT23" i="3"/>
  <c r="AR23" i="3"/>
  <c r="AN23" i="3"/>
  <c r="AM23" i="3"/>
  <c r="AL23" i="3"/>
  <c r="AJ23" i="3"/>
  <c r="AF23" i="3"/>
  <c r="AE23" i="3"/>
  <c r="AD23" i="3"/>
  <c r="AB23" i="3"/>
  <c r="V23" i="3"/>
  <c r="AZ23" i="3" s="1"/>
  <c r="U23" i="3"/>
  <c r="AY23" i="3" s="1"/>
  <c r="T23" i="3"/>
  <c r="P23" i="3"/>
  <c r="O23" i="3"/>
  <c r="N23" i="3"/>
  <c r="M23" i="3"/>
  <c r="AX23" i="3" s="1"/>
  <c r="J23" i="3"/>
  <c r="K23" i="3" s="1"/>
  <c r="I23" i="3"/>
  <c r="G23" i="3"/>
  <c r="BL22" i="3"/>
  <c r="BJ22" i="3"/>
  <c r="BB22" i="3"/>
  <c r="AW22" i="3"/>
  <c r="AV22" i="3"/>
  <c r="AT22" i="3"/>
  <c r="AR22" i="3"/>
  <c r="AN22" i="3"/>
  <c r="AM22" i="3"/>
  <c r="AL22" i="3"/>
  <c r="AJ22" i="3"/>
  <c r="AE22" i="3"/>
  <c r="AF22" i="3" s="1"/>
  <c r="AD22" i="3"/>
  <c r="AB22" i="3"/>
  <c r="T22" i="3"/>
  <c r="P22" i="3"/>
  <c r="N22" i="3"/>
  <c r="R22" i="3" s="1"/>
  <c r="M22" i="3"/>
  <c r="AX22" i="3" s="1"/>
  <c r="K22" i="3"/>
  <c r="J22" i="3"/>
  <c r="I22" i="3"/>
  <c r="G22" i="3"/>
  <c r="BJ21" i="3"/>
  <c r="BL21" i="3" s="1"/>
  <c r="BB21" i="3"/>
  <c r="AZ21" i="3"/>
  <c r="AW21" i="3"/>
  <c r="AV21" i="3"/>
  <c r="AT21" i="3"/>
  <c r="AR21" i="3"/>
  <c r="AN21" i="3"/>
  <c r="AM21" i="3"/>
  <c r="AL21" i="3"/>
  <c r="AJ21" i="3"/>
  <c r="AE21" i="3"/>
  <c r="AF21" i="3" s="1"/>
  <c r="AD21" i="3"/>
  <c r="AB21" i="3"/>
  <c r="P21" i="3"/>
  <c r="V21" i="3" s="1"/>
  <c r="N21" i="3"/>
  <c r="M21" i="3"/>
  <c r="J21" i="3"/>
  <c r="K21" i="3" s="1"/>
  <c r="I21" i="3"/>
  <c r="G21" i="3"/>
  <c r="BL20" i="3"/>
  <c r="BJ20" i="3"/>
  <c r="BB20" i="3"/>
  <c r="AW20" i="3"/>
  <c r="AV20" i="3"/>
  <c r="AT20" i="3"/>
  <c r="AR20" i="3"/>
  <c r="AM20" i="3"/>
  <c r="AN20" i="3" s="1"/>
  <c r="AL20" i="3"/>
  <c r="AJ20" i="3"/>
  <c r="AF20" i="3"/>
  <c r="AE20" i="3"/>
  <c r="AD20" i="3"/>
  <c r="AB20" i="3"/>
  <c r="P20" i="3"/>
  <c r="N20" i="3"/>
  <c r="M20" i="3"/>
  <c r="K20" i="3"/>
  <c r="J20" i="3"/>
  <c r="I20" i="3"/>
  <c r="G20" i="3"/>
  <c r="BL19" i="3"/>
  <c r="BJ19" i="3"/>
  <c r="BB19" i="3"/>
  <c r="AZ19" i="3"/>
  <c r="AY19" i="3"/>
  <c r="AX19" i="3"/>
  <c r="AW19" i="3"/>
  <c r="AV19" i="3"/>
  <c r="AT19" i="3"/>
  <c r="AR19" i="3"/>
  <c r="AN19" i="3"/>
  <c r="AM19" i="3"/>
  <c r="AL19" i="3"/>
  <c r="AJ19" i="3"/>
  <c r="AE19" i="3"/>
  <c r="AF19" i="3" s="1"/>
  <c r="AD19" i="3"/>
  <c r="AB19" i="3"/>
  <c r="V19" i="3"/>
  <c r="R19" i="3"/>
  <c r="Q19" i="3"/>
  <c r="P19" i="3"/>
  <c r="N19" i="3"/>
  <c r="U19" i="3" s="1"/>
  <c r="M19" i="3"/>
  <c r="T19" i="3" s="1"/>
  <c r="J19" i="3"/>
  <c r="W19" i="3" s="1"/>
  <c r="I19" i="3"/>
  <c r="G19" i="3"/>
  <c r="BJ18" i="3"/>
  <c r="BL18" i="3" s="1"/>
  <c r="BB18" i="3"/>
  <c r="AX18" i="3"/>
  <c r="AW18" i="3"/>
  <c r="AV18" i="3"/>
  <c r="AT18" i="3"/>
  <c r="AR18" i="3"/>
  <c r="AN18" i="3"/>
  <c r="AM18" i="3"/>
  <c r="AL18" i="3"/>
  <c r="AJ18" i="3"/>
  <c r="AE18" i="3"/>
  <c r="AF18" i="3" s="1"/>
  <c r="AD18" i="3"/>
  <c r="AB18" i="3"/>
  <c r="P18" i="3"/>
  <c r="V18" i="3" s="1"/>
  <c r="AZ18" i="3" s="1"/>
  <c r="N18" i="3"/>
  <c r="M18" i="3"/>
  <c r="J18" i="3"/>
  <c r="K18" i="3" s="1"/>
  <c r="I18" i="3"/>
  <c r="G18" i="3"/>
  <c r="BJ17" i="3"/>
  <c r="BL17" i="3" s="1"/>
  <c r="BB17" i="3"/>
  <c r="AY17" i="3"/>
  <c r="AX17" i="3"/>
  <c r="AW17" i="3"/>
  <c r="AV17" i="3"/>
  <c r="AT17" i="3"/>
  <c r="AR17" i="3"/>
  <c r="AN17" i="3"/>
  <c r="AM17" i="3"/>
  <c r="AL17" i="3"/>
  <c r="AJ17" i="3"/>
  <c r="AF17" i="3"/>
  <c r="AE17" i="3"/>
  <c r="AD17" i="3"/>
  <c r="AB17" i="3"/>
  <c r="W17" i="3"/>
  <c r="V17" i="3"/>
  <c r="AZ17" i="3" s="1"/>
  <c r="U17" i="3"/>
  <c r="P17" i="3"/>
  <c r="Q17" i="3" s="1"/>
  <c r="N17" i="3"/>
  <c r="R17" i="3" s="1"/>
  <c r="M17" i="3"/>
  <c r="J17" i="3"/>
  <c r="K17" i="3" s="1"/>
  <c r="I17" i="3"/>
  <c r="G17" i="3"/>
  <c r="BL16" i="3"/>
  <c r="BJ16" i="3"/>
  <c r="BB16" i="3"/>
  <c r="AX16" i="3"/>
  <c r="AW16" i="3"/>
  <c r="AV16" i="3"/>
  <c r="AT16" i="3"/>
  <c r="AR16" i="3"/>
  <c r="AN16" i="3"/>
  <c r="AM16" i="3"/>
  <c r="AL16" i="3"/>
  <c r="AJ16" i="3"/>
  <c r="AE16" i="3"/>
  <c r="AF16" i="3" s="1"/>
  <c r="AD16" i="3"/>
  <c r="AB16" i="3"/>
  <c r="V16" i="3"/>
  <c r="AZ16" i="3" s="1"/>
  <c r="T16" i="3"/>
  <c r="P16" i="3"/>
  <c r="Q16" i="3" s="1"/>
  <c r="N16" i="3"/>
  <c r="M16" i="3"/>
  <c r="J16" i="3"/>
  <c r="K16" i="3" s="1"/>
  <c r="I16" i="3"/>
  <c r="G16" i="3"/>
  <c r="BJ15" i="3"/>
  <c r="BL15" i="3" s="1"/>
  <c r="BB15" i="3"/>
  <c r="AW15" i="3"/>
  <c r="AV15" i="3"/>
  <c r="AT15" i="3"/>
  <c r="AR15" i="3"/>
  <c r="AN15" i="3"/>
  <c r="AM15" i="3"/>
  <c r="AL15" i="3"/>
  <c r="AJ15" i="3"/>
  <c r="AE15" i="3"/>
  <c r="AF15" i="3" s="1"/>
  <c r="AD15" i="3"/>
  <c r="AB15" i="3"/>
  <c r="V15" i="3"/>
  <c r="AZ15" i="3" s="1"/>
  <c r="P15" i="3"/>
  <c r="N15" i="3"/>
  <c r="M15" i="3"/>
  <c r="J15" i="3"/>
  <c r="K15" i="3" s="1"/>
  <c r="I15" i="3"/>
  <c r="G15" i="3"/>
  <c r="BL14" i="3"/>
  <c r="BJ14" i="3"/>
  <c r="BB14" i="3"/>
  <c r="AW14" i="3"/>
  <c r="AV14" i="3"/>
  <c r="AT14" i="3"/>
  <c r="AR14" i="3"/>
  <c r="AN14" i="3"/>
  <c r="AM14" i="3"/>
  <c r="AL14" i="3"/>
  <c r="AJ14" i="3"/>
  <c r="AE14" i="3"/>
  <c r="AF14" i="3" s="1"/>
  <c r="AD14" i="3"/>
  <c r="AB14" i="3"/>
  <c r="V14" i="3"/>
  <c r="AZ14" i="3" s="1"/>
  <c r="P14" i="3"/>
  <c r="N14" i="3"/>
  <c r="M14" i="3"/>
  <c r="K14" i="3"/>
  <c r="J14" i="3"/>
  <c r="I14" i="3"/>
  <c r="G14" i="3"/>
  <c r="BL13" i="3"/>
  <c r="BJ13" i="3"/>
  <c r="BB13" i="3"/>
  <c r="AX13" i="3"/>
  <c r="AW13" i="3"/>
  <c r="AV13" i="3"/>
  <c r="AT13" i="3"/>
  <c r="AR13" i="3"/>
  <c r="AM13" i="3"/>
  <c r="AN13" i="3" s="1"/>
  <c r="AL13" i="3"/>
  <c r="AJ13" i="3"/>
  <c r="AF13" i="3"/>
  <c r="AE13" i="3"/>
  <c r="AD13" i="3"/>
  <c r="AB13" i="3"/>
  <c r="W13" i="3"/>
  <c r="BA13" i="3" s="1"/>
  <c r="U13" i="3"/>
  <c r="AY13" i="3" s="1"/>
  <c r="R13" i="3"/>
  <c r="Q13" i="3"/>
  <c r="P13" i="3"/>
  <c r="V13" i="3" s="1"/>
  <c r="AZ13" i="3" s="1"/>
  <c r="N13" i="3"/>
  <c r="M13" i="3"/>
  <c r="O13" i="3" s="1"/>
  <c r="J13" i="3"/>
  <c r="K13" i="3" s="1"/>
  <c r="I13" i="3"/>
  <c r="G13" i="3"/>
  <c r="BJ12" i="3"/>
  <c r="BL12" i="3" s="1"/>
  <c r="BB12" i="3"/>
  <c r="AX12" i="3"/>
  <c r="AW12" i="3"/>
  <c r="AV12" i="3"/>
  <c r="AT12" i="3"/>
  <c r="AR12" i="3"/>
  <c r="AN12" i="3"/>
  <c r="AM12" i="3"/>
  <c r="AL12" i="3"/>
  <c r="AJ12" i="3"/>
  <c r="AE12" i="3"/>
  <c r="AF12" i="3" s="1"/>
  <c r="AD12" i="3"/>
  <c r="AB12" i="3"/>
  <c r="T12" i="3"/>
  <c r="P12" i="3"/>
  <c r="N12" i="3"/>
  <c r="O12" i="3" s="1"/>
  <c r="M12" i="3"/>
  <c r="K12" i="3"/>
  <c r="J12" i="3"/>
  <c r="I12" i="3"/>
  <c r="G12" i="3"/>
  <c r="BL11" i="3"/>
  <c r="BJ11" i="3"/>
  <c r="BB11" i="3"/>
  <c r="AW11" i="3"/>
  <c r="AV11" i="3"/>
  <c r="AT11" i="3"/>
  <c r="AR11" i="3"/>
  <c r="AN11" i="3"/>
  <c r="AM11" i="3"/>
  <c r="AL11" i="3"/>
  <c r="AJ11" i="3"/>
  <c r="AF11" i="3"/>
  <c r="AE11" i="3"/>
  <c r="AD11" i="3"/>
  <c r="AB11" i="3"/>
  <c r="W11" i="3"/>
  <c r="BA11" i="3" s="1"/>
  <c r="V11" i="3"/>
  <c r="AZ11" i="3" s="1"/>
  <c r="U11" i="3"/>
  <c r="AY11" i="3" s="1"/>
  <c r="P11" i="3"/>
  <c r="R11" i="3" s="1"/>
  <c r="S11" i="3" s="1"/>
  <c r="O11" i="3"/>
  <c r="N11" i="3"/>
  <c r="M11" i="3"/>
  <c r="AX11" i="3" s="1"/>
  <c r="J11" i="3"/>
  <c r="K11" i="3" s="1"/>
  <c r="I11" i="3"/>
  <c r="G11" i="3"/>
  <c r="BJ10" i="3"/>
  <c r="BL10" i="3" s="1"/>
  <c r="BB10" i="3"/>
  <c r="AW10" i="3"/>
  <c r="AV10" i="3"/>
  <c r="AT10" i="3"/>
  <c r="AR10" i="3"/>
  <c r="AN10" i="3"/>
  <c r="AM10" i="3"/>
  <c r="AL10" i="3"/>
  <c r="AJ10" i="3"/>
  <c r="AF10" i="3"/>
  <c r="AE10" i="3"/>
  <c r="AD10" i="3"/>
  <c r="AB10" i="3"/>
  <c r="T10" i="3"/>
  <c r="P10" i="3"/>
  <c r="V10" i="3" s="1"/>
  <c r="AZ10" i="3" s="1"/>
  <c r="N10" i="3"/>
  <c r="M10" i="3"/>
  <c r="AX10" i="3" s="1"/>
  <c r="K10" i="3"/>
  <c r="J10" i="3"/>
  <c r="I10" i="3"/>
  <c r="G10" i="3"/>
  <c r="BJ9" i="3"/>
  <c r="BL9" i="3" s="1"/>
  <c r="BB9" i="3"/>
  <c r="AZ9" i="3"/>
  <c r="AW9" i="3"/>
  <c r="AV9" i="3"/>
  <c r="AT9" i="3"/>
  <c r="AR9" i="3"/>
  <c r="AN9" i="3"/>
  <c r="AM9" i="3"/>
  <c r="AL9" i="3"/>
  <c r="AJ9" i="3"/>
  <c r="AE9" i="3"/>
  <c r="AF9" i="3" s="1"/>
  <c r="AD9" i="3"/>
  <c r="AB9" i="3"/>
  <c r="U9" i="3"/>
  <c r="AY9" i="3" s="1"/>
  <c r="P9" i="3"/>
  <c r="V9" i="3" s="1"/>
  <c r="N9" i="3"/>
  <c r="R9" i="3" s="1"/>
  <c r="M9" i="3"/>
  <c r="T9" i="3" s="1"/>
  <c r="J9" i="3"/>
  <c r="K9" i="3" s="1"/>
  <c r="I9" i="3"/>
  <c r="G9" i="3"/>
  <c r="BL8" i="3"/>
  <c r="BJ8" i="3"/>
  <c r="BB8" i="3"/>
  <c r="AW8" i="3"/>
  <c r="AV8" i="3"/>
  <c r="AT8" i="3"/>
  <c r="AR8" i="3"/>
  <c r="AN8" i="3"/>
  <c r="AM8" i="3"/>
  <c r="AL8" i="3"/>
  <c r="AJ8" i="3"/>
  <c r="AE8" i="3"/>
  <c r="AF8" i="3" s="1"/>
  <c r="AD8" i="3"/>
  <c r="AB8" i="3"/>
  <c r="P8" i="3"/>
  <c r="N8" i="3"/>
  <c r="M8" i="3"/>
  <c r="K8" i="3"/>
  <c r="J8" i="3"/>
  <c r="I8" i="3"/>
  <c r="G8" i="3"/>
  <c r="BL7" i="3"/>
  <c r="BJ7" i="3"/>
  <c r="BB7" i="3"/>
  <c r="AZ7" i="3"/>
  <c r="AY7" i="3"/>
  <c r="AX7" i="3"/>
  <c r="AW7" i="3"/>
  <c r="AV7" i="3"/>
  <c r="AT7" i="3"/>
  <c r="AR7" i="3"/>
  <c r="AN7" i="3"/>
  <c r="AM7" i="3"/>
  <c r="AL7" i="3"/>
  <c r="AJ7" i="3"/>
  <c r="AE7" i="3"/>
  <c r="AF7" i="3" s="1"/>
  <c r="AD7" i="3"/>
  <c r="AB7" i="3"/>
  <c r="V7" i="3"/>
  <c r="R7" i="3"/>
  <c r="P7" i="3"/>
  <c r="N7" i="3"/>
  <c r="U7" i="3" s="1"/>
  <c r="M7" i="3"/>
  <c r="T7" i="3" s="1"/>
  <c r="J7" i="3"/>
  <c r="W7" i="3" s="1"/>
  <c r="I7" i="3"/>
  <c r="G7" i="3"/>
  <c r="BL6" i="3"/>
  <c r="BJ6" i="3"/>
  <c r="BB6" i="3"/>
  <c r="AW6" i="3"/>
  <c r="AV6" i="3"/>
  <c r="AT6" i="3"/>
  <c r="AR6" i="3"/>
  <c r="AN6" i="3"/>
  <c r="AM6" i="3"/>
  <c r="AL6" i="3"/>
  <c r="AJ6" i="3"/>
  <c r="AE6" i="3"/>
  <c r="AD6" i="3"/>
  <c r="AB6" i="3"/>
  <c r="P6" i="3"/>
  <c r="V6" i="3" s="1"/>
  <c r="AZ6" i="3" s="1"/>
  <c r="N6" i="3"/>
  <c r="M6" i="3"/>
  <c r="AX6" i="3" s="1"/>
  <c r="K6" i="3"/>
  <c r="J6" i="3"/>
  <c r="I6" i="3"/>
  <c r="G6" i="3"/>
  <c r="BJ5" i="3"/>
  <c r="BB5" i="3"/>
  <c r="AY5" i="3"/>
  <c r="AX5" i="3"/>
  <c r="AW5" i="3"/>
  <c r="AV5" i="3"/>
  <c r="AT5" i="3"/>
  <c r="AR5" i="3"/>
  <c r="AN5" i="3"/>
  <c r="AM5" i="3"/>
  <c r="AL5" i="3"/>
  <c r="AJ5" i="3"/>
  <c r="AF5" i="3"/>
  <c r="AE5" i="3"/>
  <c r="AD5" i="3"/>
  <c r="AB5" i="3"/>
  <c r="W5" i="3"/>
  <c r="V5" i="3"/>
  <c r="U5" i="3"/>
  <c r="P5" i="3"/>
  <c r="N5" i="3"/>
  <c r="R5" i="3" s="1"/>
  <c r="M5" i="3"/>
  <c r="J5" i="3"/>
  <c r="K5" i="3" s="1"/>
  <c r="I5" i="3"/>
  <c r="G5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I70" i="2"/>
  <c r="BH70" i="2"/>
  <c r="BJ70" i="2" s="1"/>
  <c r="BJ69" i="2"/>
  <c r="BI69" i="2"/>
  <c r="BH69" i="2"/>
  <c r="BI68" i="2"/>
  <c r="BJ68" i="2" s="1"/>
  <c r="BH68" i="2"/>
  <c r="BI67" i="2"/>
  <c r="BH67" i="2"/>
  <c r="BJ67" i="2" s="1"/>
  <c r="BI66" i="2"/>
  <c r="BH66" i="2"/>
  <c r="BJ66" i="2" s="1"/>
  <c r="BJ65" i="2"/>
  <c r="BI65" i="2"/>
  <c r="BH65" i="2"/>
  <c r="BI64" i="2"/>
  <c r="BH64" i="2"/>
  <c r="BJ64" i="2" s="1"/>
  <c r="BI63" i="2"/>
  <c r="BH63" i="2"/>
  <c r="BJ63" i="2" s="1"/>
  <c r="BI62" i="2"/>
  <c r="BH62" i="2"/>
  <c r="BJ62" i="2" s="1"/>
  <c r="BJ61" i="2"/>
  <c r="BI61" i="2"/>
  <c r="BH61" i="2"/>
  <c r="BI60" i="2"/>
  <c r="BH60" i="2"/>
  <c r="BJ60" i="2" s="1"/>
  <c r="BI59" i="2"/>
  <c r="BH59" i="2"/>
  <c r="BJ59" i="2" s="1"/>
  <c r="BJ58" i="2"/>
  <c r="BI58" i="2"/>
  <c r="BH58" i="2"/>
  <c r="BI57" i="2"/>
  <c r="BH57" i="2"/>
  <c r="BJ57" i="2" s="1"/>
  <c r="BI56" i="2"/>
  <c r="BH56" i="2"/>
  <c r="BJ56" i="2" s="1"/>
  <c r="Y56" i="2"/>
  <c r="X57" i="2" s="1"/>
  <c r="X56" i="2"/>
  <c r="BJ55" i="2"/>
  <c r="BI55" i="2"/>
  <c r="BH55" i="2"/>
  <c r="X55" i="2"/>
  <c r="BI54" i="2"/>
  <c r="BJ54" i="2" s="1"/>
  <c r="BH54" i="2"/>
  <c r="Y54" i="2"/>
  <c r="X54" i="2" s="1"/>
  <c r="BI53" i="2"/>
  <c r="BH53" i="2"/>
  <c r="BJ53" i="2" s="1"/>
  <c r="BI52" i="2"/>
  <c r="BH52" i="2"/>
  <c r="BJ52" i="2" s="1"/>
  <c r="Y52" i="2"/>
  <c r="X52" i="2"/>
  <c r="BI51" i="2"/>
  <c r="BH51" i="2"/>
  <c r="BJ51" i="2" s="1"/>
  <c r="BI50" i="2"/>
  <c r="BH50" i="2"/>
  <c r="AS50" i="2"/>
  <c r="AQ50" i="2"/>
  <c r="AQ49" i="2"/>
  <c r="AE49" i="2"/>
  <c r="S48" i="2"/>
  <c r="K48" i="2"/>
  <c r="K46" i="2"/>
  <c r="BG45" i="2"/>
  <c r="W45" i="2"/>
  <c r="BG44" i="2"/>
  <c r="BA44" i="2"/>
  <c r="BG43" i="2"/>
  <c r="BE43" i="2"/>
  <c r="BE42" i="2"/>
  <c r="BE46" i="2" s="1"/>
  <c r="AQ38" i="2"/>
  <c r="AI38" i="2"/>
  <c r="O38" i="2"/>
  <c r="U38" i="2" s="1"/>
  <c r="AS37" i="2"/>
  <c r="AT37" i="2" s="1"/>
  <c r="AC37" i="2"/>
  <c r="AD37" i="2" s="1"/>
  <c r="H37" i="2"/>
  <c r="F37" i="2"/>
  <c r="BI36" i="2"/>
  <c r="BH36" i="2"/>
  <c r="BG36" i="2"/>
  <c r="BF36" i="2"/>
  <c r="BE36" i="2"/>
  <c r="BD36" i="2"/>
  <c r="BC36" i="2"/>
  <c r="AU36" i="2"/>
  <c r="AU37" i="2" s="1"/>
  <c r="AS36" i="2"/>
  <c r="AQ36" i="2"/>
  <c r="AQ37" i="2" s="1"/>
  <c r="AR37" i="2" s="1"/>
  <c r="AP36" i="2"/>
  <c r="AO36" i="2"/>
  <c r="AK36" i="2"/>
  <c r="AK37" i="2" s="1"/>
  <c r="AI36" i="2"/>
  <c r="AI37" i="2" s="1"/>
  <c r="AH36" i="2"/>
  <c r="AG36" i="2"/>
  <c r="AC36" i="2"/>
  <c r="AD36" i="2" s="1"/>
  <c r="AA36" i="2"/>
  <c r="AB36" i="2" s="1"/>
  <c r="Z36" i="2"/>
  <c r="Y36" i="2"/>
  <c r="X36" i="2"/>
  <c r="L36" i="2"/>
  <c r="H36" i="2"/>
  <c r="F36" i="2"/>
  <c r="E36" i="2"/>
  <c r="D36" i="2"/>
  <c r="C36" i="2"/>
  <c r="BJ35" i="2"/>
  <c r="BL35" i="2" s="1"/>
  <c r="BB35" i="2"/>
  <c r="AX35" i="2"/>
  <c r="AW35" i="2"/>
  <c r="AV35" i="2"/>
  <c r="AT35" i="2"/>
  <c r="AR35" i="2"/>
  <c r="AN35" i="2"/>
  <c r="AM35" i="2"/>
  <c r="AL35" i="2"/>
  <c r="AJ35" i="2"/>
  <c r="AF35" i="2"/>
  <c r="AE35" i="2"/>
  <c r="AD35" i="2"/>
  <c r="AB35" i="2"/>
  <c r="T35" i="2"/>
  <c r="P35" i="2"/>
  <c r="O35" i="2"/>
  <c r="N35" i="2"/>
  <c r="M35" i="2"/>
  <c r="K35" i="2"/>
  <c r="J35" i="2"/>
  <c r="I35" i="2"/>
  <c r="G35" i="2"/>
  <c r="BL34" i="2"/>
  <c r="BJ34" i="2"/>
  <c r="BB34" i="2"/>
  <c r="AZ34" i="2"/>
  <c r="AY34" i="2"/>
  <c r="AW34" i="2"/>
  <c r="AV34" i="2"/>
  <c r="AT34" i="2"/>
  <c r="AR34" i="2"/>
  <c r="AN34" i="2"/>
  <c r="AM34" i="2"/>
  <c r="AL34" i="2"/>
  <c r="AJ34" i="2"/>
  <c r="AF34" i="2"/>
  <c r="AE34" i="2"/>
  <c r="AD34" i="2"/>
  <c r="AB34" i="2"/>
  <c r="T34" i="2"/>
  <c r="R34" i="2"/>
  <c r="S34" i="2" s="1"/>
  <c r="P34" i="2"/>
  <c r="V34" i="2" s="1"/>
  <c r="O34" i="2"/>
  <c r="N34" i="2"/>
  <c r="U34" i="2" s="1"/>
  <c r="M34" i="2"/>
  <c r="AX34" i="2" s="1"/>
  <c r="K34" i="2"/>
  <c r="J34" i="2"/>
  <c r="I34" i="2"/>
  <c r="G34" i="2"/>
  <c r="BJ33" i="2"/>
  <c r="BL33" i="2" s="1"/>
  <c r="BB33" i="2"/>
  <c r="AZ33" i="2"/>
  <c r="AW33" i="2"/>
  <c r="AV33" i="2"/>
  <c r="AT33" i="2"/>
  <c r="AR33" i="2"/>
  <c r="AN33" i="2"/>
  <c r="AM33" i="2"/>
  <c r="AL33" i="2"/>
  <c r="AJ33" i="2"/>
  <c r="AE33" i="2"/>
  <c r="AF33" i="2" s="1"/>
  <c r="AD33" i="2"/>
  <c r="AB33" i="2"/>
  <c r="P33" i="2"/>
  <c r="V33" i="2" s="1"/>
  <c r="N33" i="2"/>
  <c r="R33" i="2" s="1"/>
  <c r="M33" i="2"/>
  <c r="K33" i="2"/>
  <c r="J33" i="2"/>
  <c r="I33" i="2"/>
  <c r="G33" i="2"/>
  <c r="BJ32" i="2"/>
  <c r="BL32" i="2" s="1"/>
  <c r="BB32" i="2"/>
  <c r="AW32" i="2"/>
  <c r="AV32" i="2"/>
  <c r="AT32" i="2"/>
  <c r="AR32" i="2"/>
  <c r="AN32" i="2"/>
  <c r="AM32" i="2"/>
  <c r="AL32" i="2"/>
  <c r="AJ32" i="2"/>
  <c r="AE32" i="2"/>
  <c r="AF32" i="2" s="1"/>
  <c r="AD32" i="2"/>
  <c r="AB32" i="2"/>
  <c r="P32" i="2"/>
  <c r="N32" i="2"/>
  <c r="U32" i="2" s="1"/>
  <c r="AY32" i="2" s="1"/>
  <c r="M32" i="2"/>
  <c r="J32" i="2"/>
  <c r="I32" i="2"/>
  <c r="G32" i="2"/>
  <c r="BJ31" i="2"/>
  <c r="BL31" i="2" s="1"/>
  <c r="BB31" i="2"/>
  <c r="AX31" i="2"/>
  <c r="AW31" i="2"/>
  <c r="AV31" i="2"/>
  <c r="AT31" i="2"/>
  <c r="AR31" i="2"/>
  <c r="AM31" i="2"/>
  <c r="AN31" i="2" s="1"/>
  <c r="AL31" i="2"/>
  <c r="AJ31" i="2"/>
  <c r="AF31" i="2"/>
  <c r="AE31" i="2"/>
  <c r="AD31" i="2"/>
  <c r="AB31" i="2"/>
  <c r="P31" i="2"/>
  <c r="O31" i="2"/>
  <c r="N31" i="2"/>
  <c r="U31" i="2" s="1"/>
  <c r="AY31" i="2" s="1"/>
  <c r="M31" i="2"/>
  <c r="T31" i="2" s="1"/>
  <c r="J31" i="2"/>
  <c r="I31" i="2"/>
  <c r="G31" i="2"/>
  <c r="BJ30" i="2"/>
  <c r="BL30" i="2" s="1"/>
  <c r="BB30" i="2"/>
  <c r="AX30" i="2"/>
  <c r="AW30" i="2"/>
  <c r="AV30" i="2"/>
  <c r="AT30" i="2"/>
  <c r="AR30" i="2"/>
  <c r="AN30" i="2"/>
  <c r="AM30" i="2"/>
  <c r="AL30" i="2"/>
  <c r="AJ30" i="2"/>
  <c r="AE30" i="2"/>
  <c r="AF30" i="2" s="1"/>
  <c r="AD30" i="2"/>
  <c r="AB30" i="2"/>
  <c r="U30" i="2"/>
  <c r="AY30" i="2" s="1"/>
  <c r="P30" i="2"/>
  <c r="O30" i="2"/>
  <c r="N30" i="2"/>
  <c r="M30" i="2"/>
  <c r="T30" i="2" s="1"/>
  <c r="J30" i="2"/>
  <c r="K30" i="2" s="1"/>
  <c r="I30" i="2"/>
  <c r="G30" i="2"/>
  <c r="BL29" i="2"/>
  <c r="BJ29" i="2"/>
  <c r="BB29" i="2"/>
  <c r="AW29" i="2"/>
  <c r="AV29" i="2"/>
  <c r="AT29" i="2"/>
  <c r="AR29" i="2"/>
  <c r="AN29" i="2"/>
  <c r="AM29" i="2"/>
  <c r="AL29" i="2"/>
  <c r="AJ29" i="2"/>
  <c r="AE29" i="2"/>
  <c r="AF29" i="2" s="1"/>
  <c r="AD29" i="2"/>
  <c r="AB29" i="2"/>
  <c r="V29" i="2"/>
  <c r="AZ29" i="2" s="1"/>
  <c r="P29" i="2"/>
  <c r="N29" i="2"/>
  <c r="R29" i="2" s="1"/>
  <c r="M29" i="2"/>
  <c r="J29" i="2"/>
  <c r="K29" i="2" s="1"/>
  <c r="I29" i="2"/>
  <c r="G29" i="2"/>
  <c r="BJ28" i="2"/>
  <c r="BL28" i="2" s="1"/>
  <c r="BB28" i="2"/>
  <c r="AZ28" i="2"/>
  <c r="AW28" i="2"/>
  <c r="AV28" i="2"/>
  <c r="AT28" i="2"/>
  <c r="AR28" i="2"/>
  <c r="AN28" i="2"/>
  <c r="AM28" i="2"/>
  <c r="AL28" i="2"/>
  <c r="AJ28" i="2"/>
  <c r="AE28" i="2"/>
  <c r="AF28" i="2" s="1"/>
  <c r="AD28" i="2"/>
  <c r="AB28" i="2"/>
  <c r="V28" i="2"/>
  <c r="U28" i="2"/>
  <c r="AY28" i="2" s="1"/>
  <c r="T28" i="2"/>
  <c r="P28" i="2"/>
  <c r="Q28" i="2" s="1"/>
  <c r="N28" i="2"/>
  <c r="M28" i="2"/>
  <c r="AX28" i="2" s="1"/>
  <c r="K28" i="2"/>
  <c r="J28" i="2"/>
  <c r="I28" i="2"/>
  <c r="G28" i="2"/>
  <c r="BL27" i="2"/>
  <c r="BJ27" i="2"/>
  <c r="BB27" i="2"/>
  <c r="AZ27" i="2"/>
  <c r="AY27" i="2"/>
  <c r="AW27" i="2"/>
  <c r="AV27" i="2"/>
  <c r="AT27" i="2"/>
  <c r="AR27" i="2"/>
  <c r="AN27" i="2"/>
  <c r="AM27" i="2"/>
  <c r="AL27" i="2"/>
  <c r="AJ27" i="2"/>
  <c r="AE27" i="2"/>
  <c r="AF27" i="2" s="1"/>
  <c r="AD27" i="2"/>
  <c r="AB27" i="2"/>
  <c r="V27" i="2"/>
  <c r="U27" i="2"/>
  <c r="T27" i="2"/>
  <c r="S27" i="2"/>
  <c r="R27" i="2"/>
  <c r="P27" i="2"/>
  <c r="N27" i="2"/>
  <c r="M27" i="2"/>
  <c r="Q27" i="2" s="1"/>
  <c r="J27" i="2"/>
  <c r="I27" i="2"/>
  <c r="G27" i="2"/>
  <c r="BJ26" i="2"/>
  <c r="BL26" i="2" s="1"/>
  <c r="BB26" i="2"/>
  <c r="AY26" i="2"/>
  <c r="AX26" i="2"/>
  <c r="AW26" i="2"/>
  <c r="AV26" i="2"/>
  <c r="AT26" i="2"/>
  <c r="AR26" i="2"/>
  <c r="AN26" i="2"/>
  <c r="AM26" i="2"/>
  <c r="AL26" i="2"/>
  <c r="AJ26" i="2"/>
  <c r="AF26" i="2"/>
  <c r="AE26" i="2"/>
  <c r="AD26" i="2"/>
  <c r="AB26" i="2"/>
  <c r="V26" i="2"/>
  <c r="AZ26" i="2" s="1"/>
  <c r="U26" i="2"/>
  <c r="T26" i="2"/>
  <c r="S26" i="2"/>
  <c r="R26" i="2"/>
  <c r="W26" i="2" s="1"/>
  <c r="BA26" i="2" s="1"/>
  <c r="Q26" i="2"/>
  <c r="P26" i="2"/>
  <c r="N26" i="2"/>
  <c r="O26" i="2" s="1"/>
  <c r="M26" i="2"/>
  <c r="K26" i="2"/>
  <c r="J26" i="2"/>
  <c r="I26" i="2"/>
  <c r="G26" i="2"/>
  <c r="BJ25" i="2"/>
  <c r="BL25" i="2" s="1"/>
  <c r="BB25" i="2"/>
  <c r="AX25" i="2"/>
  <c r="AW25" i="2"/>
  <c r="AV25" i="2"/>
  <c r="AT25" i="2"/>
  <c r="AR25" i="2"/>
  <c r="AN25" i="2"/>
  <c r="AM25" i="2"/>
  <c r="AL25" i="2"/>
  <c r="AJ25" i="2"/>
  <c r="AE25" i="2"/>
  <c r="AF25" i="2" s="1"/>
  <c r="AD25" i="2"/>
  <c r="AB25" i="2"/>
  <c r="V25" i="2"/>
  <c r="AZ25" i="2" s="1"/>
  <c r="U25" i="2"/>
  <c r="AY25" i="2" s="1"/>
  <c r="T25" i="2"/>
  <c r="R25" i="2"/>
  <c r="S25" i="2" s="1"/>
  <c r="Q25" i="2"/>
  <c r="P25" i="2"/>
  <c r="N25" i="2"/>
  <c r="O25" i="2" s="1"/>
  <c r="M25" i="2"/>
  <c r="J25" i="2"/>
  <c r="K25" i="2" s="1"/>
  <c r="I25" i="2"/>
  <c r="G25" i="2"/>
  <c r="BJ24" i="2"/>
  <c r="BL24" i="2" s="1"/>
  <c r="BB24" i="2"/>
  <c r="AW24" i="2"/>
  <c r="AV24" i="2"/>
  <c r="AT24" i="2"/>
  <c r="AR24" i="2"/>
  <c r="AM24" i="2"/>
  <c r="AN24" i="2" s="1"/>
  <c r="AL24" i="2"/>
  <c r="AJ24" i="2"/>
  <c r="AF24" i="2"/>
  <c r="AE24" i="2"/>
  <c r="AD24" i="2"/>
  <c r="AB24" i="2"/>
  <c r="V24" i="2"/>
  <c r="AZ24" i="2" s="1"/>
  <c r="U24" i="2"/>
  <c r="AY24" i="2" s="1"/>
  <c r="T24" i="2"/>
  <c r="Q24" i="2"/>
  <c r="P24" i="2"/>
  <c r="R24" i="2" s="1"/>
  <c r="S24" i="2" s="1"/>
  <c r="O24" i="2"/>
  <c r="N24" i="2"/>
  <c r="M24" i="2"/>
  <c r="AX24" i="2" s="1"/>
  <c r="J24" i="2"/>
  <c r="W24" i="2" s="1"/>
  <c r="I24" i="2"/>
  <c r="G24" i="2"/>
  <c r="BJ23" i="2"/>
  <c r="BL23" i="2" s="1"/>
  <c r="BB23" i="2"/>
  <c r="AW23" i="2"/>
  <c r="AV23" i="2"/>
  <c r="AT23" i="2"/>
  <c r="AR23" i="2"/>
  <c r="AN23" i="2"/>
  <c r="AM23" i="2"/>
  <c r="AL23" i="2"/>
  <c r="AJ23" i="2"/>
  <c r="AE23" i="2"/>
  <c r="AF23" i="2" s="1"/>
  <c r="AD23" i="2"/>
  <c r="AB23" i="2"/>
  <c r="T23" i="2"/>
  <c r="P23" i="2"/>
  <c r="N23" i="2"/>
  <c r="M23" i="2"/>
  <c r="AX23" i="2" s="1"/>
  <c r="K23" i="2"/>
  <c r="J23" i="2"/>
  <c r="I23" i="2"/>
  <c r="G23" i="2"/>
  <c r="BJ22" i="2"/>
  <c r="BL22" i="2" s="1"/>
  <c r="BB22" i="2"/>
  <c r="AW22" i="2"/>
  <c r="AV22" i="2"/>
  <c r="AT22" i="2"/>
  <c r="AR22" i="2"/>
  <c r="AN22" i="2"/>
  <c r="AM22" i="2"/>
  <c r="AL22" i="2"/>
  <c r="AJ22" i="2"/>
  <c r="AE22" i="2"/>
  <c r="AF22" i="2" s="1"/>
  <c r="AD22" i="2"/>
  <c r="AB22" i="2"/>
  <c r="U22" i="2"/>
  <c r="AY22" i="2" s="1"/>
  <c r="T22" i="2"/>
  <c r="P22" i="2"/>
  <c r="N22" i="2"/>
  <c r="R22" i="2" s="1"/>
  <c r="S22" i="2" s="1"/>
  <c r="M22" i="2"/>
  <c r="AX22" i="2" s="1"/>
  <c r="K22" i="2"/>
  <c r="J22" i="2"/>
  <c r="I22" i="2"/>
  <c r="G22" i="2"/>
  <c r="BL21" i="2"/>
  <c r="BJ21" i="2"/>
  <c r="BB21" i="2"/>
  <c r="AZ21" i="2"/>
  <c r="AW21" i="2"/>
  <c r="AV21" i="2"/>
  <c r="AT21" i="2"/>
  <c r="AR21" i="2"/>
  <c r="AN21" i="2"/>
  <c r="AM21" i="2"/>
  <c r="AL21" i="2"/>
  <c r="AJ21" i="2"/>
  <c r="AE21" i="2"/>
  <c r="AF21" i="2" s="1"/>
  <c r="AD21" i="2"/>
  <c r="AB21" i="2"/>
  <c r="P21" i="2"/>
  <c r="V21" i="2" s="1"/>
  <c r="N21" i="2"/>
  <c r="M21" i="2"/>
  <c r="J21" i="2"/>
  <c r="K21" i="2" s="1"/>
  <c r="I21" i="2"/>
  <c r="G21" i="2"/>
  <c r="BL20" i="2"/>
  <c r="BJ20" i="2"/>
  <c r="BB20" i="2"/>
  <c r="AX20" i="2"/>
  <c r="AW20" i="2"/>
  <c r="AV20" i="2"/>
  <c r="AT20" i="2"/>
  <c r="AR20" i="2"/>
  <c r="AM20" i="2"/>
  <c r="AN20" i="2" s="1"/>
  <c r="AL20" i="2"/>
  <c r="AJ20" i="2"/>
  <c r="AE20" i="2"/>
  <c r="AF20" i="2" s="1"/>
  <c r="AD20" i="2"/>
  <c r="AB20" i="2"/>
  <c r="Q20" i="2"/>
  <c r="P20" i="2"/>
  <c r="V20" i="2" s="1"/>
  <c r="AZ20" i="2" s="1"/>
  <c r="N20" i="2"/>
  <c r="M20" i="2"/>
  <c r="T20" i="2" s="1"/>
  <c r="K20" i="2"/>
  <c r="J20" i="2"/>
  <c r="I20" i="2"/>
  <c r="G20" i="2"/>
  <c r="BJ19" i="2"/>
  <c r="BL19" i="2" s="1"/>
  <c r="BB19" i="2"/>
  <c r="AZ19" i="2"/>
  <c r="AX19" i="2"/>
  <c r="AW19" i="2"/>
  <c r="AV19" i="2"/>
  <c r="AT19" i="2"/>
  <c r="AR19" i="2"/>
  <c r="AN19" i="2"/>
  <c r="AM19" i="2"/>
  <c r="AL19" i="2"/>
  <c r="AJ19" i="2"/>
  <c r="AE19" i="2"/>
  <c r="AF19" i="2" s="1"/>
  <c r="AD19" i="2"/>
  <c r="AB19" i="2"/>
  <c r="R19" i="2"/>
  <c r="P19" i="2"/>
  <c r="V19" i="2" s="1"/>
  <c r="N19" i="2"/>
  <c r="M19" i="2"/>
  <c r="J19" i="2"/>
  <c r="K19" i="2" s="1"/>
  <c r="I19" i="2"/>
  <c r="G19" i="2"/>
  <c r="BJ18" i="2"/>
  <c r="BL18" i="2" s="1"/>
  <c r="BB18" i="2"/>
  <c r="BA18" i="2"/>
  <c r="AY18" i="2"/>
  <c r="AW18" i="2"/>
  <c r="AV18" i="2"/>
  <c r="AT18" i="2"/>
  <c r="AR18" i="2"/>
  <c r="AN18" i="2"/>
  <c r="AM18" i="2"/>
  <c r="AL18" i="2"/>
  <c r="AJ18" i="2"/>
  <c r="AF18" i="2"/>
  <c r="AE18" i="2"/>
  <c r="AD18" i="2"/>
  <c r="AB18" i="2"/>
  <c r="P18" i="2"/>
  <c r="R18" i="2" s="1"/>
  <c r="O18" i="2"/>
  <c r="N18" i="2"/>
  <c r="U18" i="2" s="1"/>
  <c r="M18" i="2"/>
  <c r="J18" i="2"/>
  <c r="W18" i="2" s="1"/>
  <c r="I18" i="2"/>
  <c r="G18" i="2"/>
  <c r="BJ17" i="2"/>
  <c r="BL17" i="2" s="1"/>
  <c r="BB17" i="2"/>
  <c r="AX17" i="2"/>
  <c r="AW17" i="2"/>
  <c r="AV17" i="2"/>
  <c r="AT17" i="2"/>
  <c r="AR17" i="2"/>
  <c r="AM17" i="2"/>
  <c r="AN17" i="2" s="1"/>
  <c r="AL17" i="2"/>
  <c r="AJ17" i="2"/>
  <c r="AF17" i="2"/>
  <c r="AE17" i="2"/>
  <c r="AD17" i="2"/>
  <c r="AB17" i="2"/>
  <c r="W17" i="2"/>
  <c r="V17" i="2"/>
  <c r="AZ17" i="2" s="1"/>
  <c r="U17" i="2"/>
  <c r="AY17" i="2" s="1"/>
  <c r="P17" i="2"/>
  <c r="Q17" i="2" s="1"/>
  <c r="N17" i="2"/>
  <c r="R17" i="2" s="1"/>
  <c r="M17" i="2"/>
  <c r="T17" i="2" s="1"/>
  <c r="K17" i="2"/>
  <c r="J17" i="2"/>
  <c r="I17" i="2"/>
  <c r="G17" i="2"/>
  <c r="BJ16" i="2"/>
  <c r="BL16" i="2" s="1"/>
  <c r="BB16" i="2"/>
  <c r="AZ16" i="2"/>
  <c r="AW16" i="2"/>
  <c r="AV16" i="2"/>
  <c r="AT16" i="2"/>
  <c r="AR16" i="2"/>
  <c r="AN16" i="2"/>
  <c r="AM16" i="2"/>
  <c r="AL16" i="2"/>
  <c r="AJ16" i="2"/>
  <c r="AE16" i="2"/>
  <c r="AF16" i="2" s="1"/>
  <c r="AD16" i="2"/>
  <c r="AB16" i="2"/>
  <c r="V16" i="2"/>
  <c r="U16" i="2"/>
  <c r="AY16" i="2" s="1"/>
  <c r="T16" i="2"/>
  <c r="P16" i="2"/>
  <c r="N16" i="2"/>
  <c r="R16" i="2" s="1"/>
  <c r="M16" i="2"/>
  <c r="J16" i="2"/>
  <c r="K16" i="2" s="1"/>
  <c r="I16" i="2"/>
  <c r="G16" i="2"/>
  <c r="BJ15" i="2"/>
  <c r="BL15" i="2" s="1"/>
  <c r="BB15" i="2"/>
  <c r="AZ15" i="2"/>
  <c r="AW15" i="2"/>
  <c r="AV15" i="2"/>
  <c r="AT15" i="2"/>
  <c r="AR15" i="2"/>
  <c r="AN15" i="2"/>
  <c r="AM15" i="2"/>
  <c r="AL15" i="2"/>
  <c r="AJ15" i="2"/>
  <c r="AE15" i="2"/>
  <c r="AF15" i="2" s="1"/>
  <c r="AD15" i="2"/>
  <c r="AB15" i="2"/>
  <c r="V15" i="2"/>
  <c r="P15" i="2"/>
  <c r="N15" i="2"/>
  <c r="M15" i="2"/>
  <c r="K15" i="2"/>
  <c r="J15" i="2"/>
  <c r="I15" i="2"/>
  <c r="G15" i="2"/>
  <c r="BL14" i="2"/>
  <c r="BJ14" i="2"/>
  <c r="BB14" i="2"/>
  <c r="AW14" i="2"/>
  <c r="AV14" i="2"/>
  <c r="AT14" i="2"/>
  <c r="AS49" i="2" s="1"/>
  <c r="AR14" i="2"/>
  <c r="AR49" i="2" s="1"/>
  <c r="AR50" i="2" s="1"/>
  <c r="AN14" i="2"/>
  <c r="AM14" i="2"/>
  <c r="AL14" i="2"/>
  <c r="AJ14" i="2"/>
  <c r="AE14" i="2"/>
  <c r="AF14" i="2" s="1"/>
  <c r="AD14" i="2"/>
  <c r="AB14" i="2"/>
  <c r="W14" i="2"/>
  <c r="U14" i="2"/>
  <c r="AY14" i="2" s="1"/>
  <c r="T14" i="2"/>
  <c r="R14" i="2"/>
  <c r="P14" i="2"/>
  <c r="N14" i="2"/>
  <c r="M14" i="2"/>
  <c r="K14" i="2"/>
  <c r="J14" i="2"/>
  <c r="I14" i="2"/>
  <c r="G14" i="2"/>
  <c r="BJ13" i="2"/>
  <c r="BL13" i="2" s="1"/>
  <c r="BB13" i="2"/>
  <c r="AW13" i="2"/>
  <c r="AV13" i="2"/>
  <c r="AT13" i="2"/>
  <c r="AR13" i="2"/>
  <c r="AN13" i="2"/>
  <c r="AM13" i="2"/>
  <c r="AL13" i="2"/>
  <c r="AJ13" i="2"/>
  <c r="AE13" i="2"/>
  <c r="AF13" i="2" s="1"/>
  <c r="AD13" i="2"/>
  <c r="AB13" i="2"/>
  <c r="W13" i="2"/>
  <c r="V13" i="2"/>
  <c r="AZ13" i="2" s="1"/>
  <c r="R13" i="2"/>
  <c r="P13" i="2"/>
  <c r="N13" i="2"/>
  <c r="U13" i="2" s="1"/>
  <c r="AY13" i="2" s="1"/>
  <c r="M13" i="2"/>
  <c r="K13" i="2"/>
  <c r="J13" i="2"/>
  <c r="I13" i="2"/>
  <c r="G13" i="2"/>
  <c r="BL12" i="2"/>
  <c r="BJ12" i="2"/>
  <c r="BB12" i="2"/>
  <c r="AX12" i="2"/>
  <c r="AW12" i="2"/>
  <c r="AV12" i="2"/>
  <c r="AT12" i="2"/>
  <c r="AR12" i="2"/>
  <c r="AN12" i="2"/>
  <c r="AM12" i="2"/>
  <c r="AL12" i="2"/>
  <c r="AJ12" i="2"/>
  <c r="AE12" i="2"/>
  <c r="AF12" i="2" s="1"/>
  <c r="AD12" i="2"/>
  <c r="AB12" i="2"/>
  <c r="U12" i="2"/>
  <c r="AY12" i="2" s="1"/>
  <c r="T12" i="2"/>
  <c r="P12" i="2"/>
  <c r="V12" i="2" s="1"/>
  <c r="AZ12" i="2" s="1"/>
  <c r="N12" i="2"/>
  <c r="O12" i="2" s="1"/>
  <c r="M12" i="2"/>
  <c r="K12" i="2"/>
  <c r="J12" i="2"/>
  <c r="I12" i="2"/>
  <c r="G12" i="2"/>
  <c r="BJ11" i="2"/>
  <c r="BL11" i="2" s="1"/>
  <c r="BB11" i="2"/>
  <c r="AW11" i="2"/>
  <c r="AV11" i="2"/>
  <c r="AT11" i="2"/>
  <c r="AR11" i="2"/>
  <c r="AN11" i="2"/>
  <c r="AM11" i="2"/>
  <c r="AL11" i="2"/>
  <c r="AJ11" i="2"/>
  <c r="AF11" i="2"/>
  <c r="AE11" i="2"/>
  <c r="AD11" i="2"/>
  <c r="AB11" i="2"/>
  <c r="V11" i="2"/>
  <c r="AZ11" i="2" s="1"/>
  <c r="U11" i="2"/>
  <c r="AY11" i="2" s="1"/>
  <c r="T11" i="2"/>
  <c r="P11" i="2"/>
  <c r="R11" i="2" s="1"/>
  <c r="O11" i="2"/>
  <c r="N11" i="2"/>
  <c r="M11" i="2"/>
  <c r="AX11" i="2" s="1"/>
  <c r="J11" i="2"/>
  <c r="I11" i="2"/>
  <c r="G11" i="2"/>
  <c r="BJ10" i="2"/>
  <c r="BL10" i="2" s="1"/>
  <c r="BB10" i="2"/>
  <c r="AW10" i="2"/>
  <c r="AV10" i="2"/>
  <c r="AT10" i="2"/>
  <c r="AR10" i="2"/>
  <c r="AN10" i="2"/>
  <c r="AM10" i="2"/>
  <c r="AL10" i="2"/>
  <c r="AJ10" i="2"/>
  <c r="AE10" i="2"/>
  <c r="AF10" i="2" s="1"/>
  <c r="AD10" i="2"/>
  <c r="AB10" i="2"/>
  <c r="T10" i="2"/>
  <c r="S10" i="2"/>
  <c r="Q10" i="2"/>
  <c r="P10" i="2"/>
  <c r="V10" i="2" s="1"/>
  <c r="AZ10" i="2" s="1"/>
  <c r="N10" i="2"/>
  <c r="R10" i="2" s="1"/>
  <c r="M10" i="2"/>
  <c r="AX10" i="2" s="1"/>
  <c r="K10" i="2"/>
  <c r="J10" i="2"/>
  <c r="I10" i="2"/>
  <c r="G10" i="2"/>
  <c r="BL9" i="2"/>
  <c r="BJ9" i="2"/>
  <c r="BB9" i="2"/>
  <c r="AW9" i="2"/>
  <c r="AV9" i="2"/>
  <c r="AT9" i="2"/>
  <c r="AR9" i="2"/>
  <c r="AN9" i="2"/>
  <c r="AM9" i="2"/>
  <c r="AL9" i="2"/>
  <c r="AJ9" i="2"/>
  <c r="AF9" i="2"/>
  <c r="AE9" i="2"/>
  <c r="AD9" i="2"/>
  <c r="AB9" i="2"/>
  <c r="U9" i="2"/>
  <c r="AY9" i="2" s="1"/>
  <c r="P9" i="2"/>
  <c r="N9" i="2"/>
  <c r="R9" i="2" s="1"/>
  <c r="M9" i="2"/>
  <c r="K9" i="2"/>
  <c r="J9" i="2"/>
  <c r="I9" i="2"/>
  <c r="G9" i="2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L8" i="2"/>
  <c r="BJ8" i="2"/>
  <c r="BB8" i="2"/>
  <c r="AY8" i="2"/>
  <c r="AX8" i="2"/>
  <c r="AW8" i="2"/>
  <c r="AV8" i="2"/>
  <c r="AT8" i="2"/>
  <c r="AR8" i="2"/>
  <c r="AN8" i="2"/>
  <c r="AM8" i="2"/>
  <c r="AL8" i="2"/>
  <c r="AJ8" i="2"/>
  <c r="AE8" i="2"/>
  <c r="AF8" i="2" s="1"/>
  <c r="AD8" i="2"/>
  <c r="AB8" i="2"/>
  <c r="T8" i="2"/>
  <c r="R8" i="2"/>
  <c r="S8" i="2" s="1"/>
  <c r="Q8" i="2"/>
  <c r="P8" i="2"/>
  <c r="V8" i="2" s="1"/>
  <c r="AZ8" i="2" s="1"/>
  <c r="O8" i="2"/>
  <c r="N8" i="2"/>
  <c r="U8" i="2" s="1"/>
  <c r="M8" i="2"/>
  <c r="K8" i="2"/>
  <c r="J8" i="2"/>
  <c r="W8" i="2" s="1"/>
  <c r="I8" i="2"/>
  <c r="G8" i="2"/>
  <c r="B8" i="2"/>
  <c r="BJ7" i="2"/>
  <c r="BL7" i="2" s="1"/>
  <c r="BB7" i="2"/>
  <c r="AZ7" i="2"/>
  <c r="AW7" i="2"/>
  <c r="AV7" i="2"/>
  <c r="AT7" i="2"/>
  <c r="AR7" i="2"/>
  <c r="AN7" i="2"/>
  <c r="AM7" i="2"/>
  <c r="AL7" i="2"/>
  <c r="AJ7" i="2"/>
  <c r="AE7" i="2"/>
  <c r="AF7" i="2" s="1"/>
  <c r="AD7" i="2"/>
  <c r="AB7" i="2"/>
  <c r="P7" i="2"/>
  <c r="V7" i="2" s="1"/>
  <c r="N7" i="2"/>
  <c r="M7" i="2"/>
  <c r="J7" i="2"/>
  <c r="I7" i="2"/>
  <c r="G7" i="2"/>
  <c r="BL6" i="2"/>
  <c r="BJ6" i="2"/>
  <c r="BB6" i="2"/>
  <c r="AX6" i="2"/>
  <c r="AW6" i="2"/>
  <c r="AV6" i="2"/>
  <c r="AT6" i="2"/>
  <c r="AR6" i="2"/>
  <c r="AN6" i="2"/>
  <c r="AM6" i="2"/>
  <c r="AM36" i="2" s="1"/>
  <c r="AL6" i="2"/>
  <c r="AJ6" i="2"/>
  <c r="AF6" i="2"/>
  <c r="AE6" i="2"/>
  <c r="AD6" i="2"/>
  <c r="AB6" i="2"/>
  <c r="V6" i="2"/>
  <c r="AZ6" i="2" s="1"/>
  <c r="P6" i="2"/>
  <c r="R6" i="2" s="1"/>
  <c r="W6" i="2" s="1"/>
  <c r="BA6" i="2" s="1"/>
  <c r="O6" i="2"/>
  <c r="N6" i="2"/>
  <c r="U6" i="2" s="1"/>
  <c r="AY6" i="2" s="1"/>
  <c r="M6" i="2"/>
  <c r="J6" i="2"/>
  <c r="K6" i="2" s="1"/>
  <c r="I6" i="2"/>
  <c r="J50" i="2" s="1"/>
  <c r="G6" i="2"/>
  <c r="BJ5" i="2"/>
  <c r="BL5" i="2" s="1"/>
  <c r="BB5" i="2"/>
  <c r="AX5" i="2"/>
  <c r="AW5" i="2"/>
  <c r="AV5" i="2"/>
  <c r="AT5" i="2"/>
  <c r="AR5" i="2"/>
  <c r="AM5" i="2"/>
  <c r="AN5" i="2" s="1"/>
  <c r="AL5" i="2"/>
  <c r="AJ5" i="2"/>
  <c r="AF5" i="2"/>
  <c r="AE5" i="2"/>
  <c r="AD5" i="2"/>
  <c r="AB5" i="2"/>
  <c r="V5" i="2"/>
  <c r="U5" i="2"/>
  <c r="P5" i="2"/>
  <c r="Q5" i="2" s="1"/>
  <c r="N5" i="2"/>
  <c r="O5" i="2" s="1"/>
  <c r="M5" i="2"/>
  <c r="T5" i="2" s="1"/>
  <c r="J5" i="2"/>
  <c r="I5" i="2"/>
  <c r="G5" i="2"/>
  <c r="B5" i="2"/>
  <c r="B6" i="2" s="1"/>
  <c r="B7" i="2" s="1"/>
  <c r="BI70" i="1"/>
  <c r="BH70" i="1"/>
  <c r="BJ70" i="1" s="1"/>
  <c r="BJ69" i="1"/>
  <c r="BI69" i="1"/>
  <c r="BH69" i="1"/>
  <c r="BI68" i="1"/>
  <c r="BJ68" i="1" s="1"/>
  <c r="BH68" i="1"/>
  <c r="BI67" i="1"/>
  <c r="BH67" i="1"/>
  <c r="BJ67" i="1" s="1"/>
  <c r="BI66" i="1"/>
  <c r="BH66" i="1"/>
  <c r="BJ66" i="1" s="1"/>
  <c r="BJ65" i="1"/>
  <c r="BI65" i="1"/>
  <c r="BH65" i="1"/>
  <c r="BI64" i="1"/>
  <c r="BH64" i="1"/>
  <c r="BJ64" i="1" s="1"/>
  <c r="BI63" i="1"/>
  <c r="BH63" i="1"/>
  <c r="BJ63" i="1" s="1"/>
  <c r="BI62" i="1"/>
  <c r="BH62" i="1"/>
  <c r="BJ62" i="1" s="1"/>
  <c r="BJ61" i="1"/>
  <c r="BI61" i="1"/>
  <c r="BH61" i="1"/>
  <c r="BI60" i="1"/>
  <c r="BH60" i="1"/>
  <c r="BJ60" i="1" s="1"/>
  <c r="BI59" i="1"/>
  <c r="BH59" i="1"/>
  <c r="BJ59" i="1" s="1"/>
  <c r="BJ58" i="1"/>
  <c r="BI58" i="1"/>
  <c r="BH58" i="1"/>
  <c r="BI57" i="1"/>
  <c r="BH57" i="1"/>
  <c r="BJ57" i="1" s="1"/>
  <c r="BI56" i="1"/>
  <c r="BH56" i="1"/>
  <c r="BJ56" i="1" s="1"/>
  <c r="Y56" i="1"/>
  <c r="X57" i="1" s="1"/>
  <c r="X56" i="1"/>
  <c r="BJ55" i="1"/>
  <c r="BI55" i="1"/>
  <c r="BH55" i="1"/>
  <c r="X55" i="1"/>
  <c r="BI54" i="1"/>
  <c r="BJ54" i="1" s="1"/>
  <c r="BH54" i="1"/>
  <c r="Y54" i="1"/>
  <c r="X54" i="1"/>
  <c r="BI53" i="1"/>
  <c r="BH53" i="1"/>
  <c r="BJ53" i="1" s="1"/>
  <c r="BI52" i="1"/>
  <c r="BH52" i="1"/>
  <c r="BJ52" i="1" s="1"/>
  <c r="Y52" i="1"/>
  <c r="Y58" i="1" s="1"/>
  <c r="BI51" i="1"/>
  <c r="BH51" i="1"/>
  <c r="BJ51" i="1" s="1"/>
  <c r="BI50" i="1"/>
  <c r="BH50" i="1"/>
  <c r="AQ50" i="1"/>
  <c r="AR49" i="1"/>
  <c r="AR50" i="1" s="1"/>
  <c r="AQ49" i="1"/>
  <c r="AE49" i="1"/>
  <c r="S48" i="1"/>
  <c r="K48" i="1"/>
  <c r="K46" i="1"/>
  <c r="BG45" i="1"/>
  <c r="W45" i="1"/>
  <c r="BG44" i="1"/>
  <c r="BA44" i="1"/>
  <c r="BG43" i="1"/>
  <c r="BE43" i="1"/>
  <c r="AQ38" i="1"/>
  <c r="AA38" i="1"/>
  <c r="AI38" i="1" s="1"/>
  <c r="U38" i="1"/>
  <c r="O38" i="1"/>
  <c r="F38" i="1"/>
  <c r="AQ37" i="1"/>
  <c r="AR37" i="1" s="1"/>
  <c r="AK37" i="1"/>
  <c r="AI37" i="1"/>
  <c r="AJ37" i="1" s="1"/>
  <c r="G37" i="1"/>
  <c r="F37" i="1"/>
  <c r="BI36" i="1"/>
  <c r="BH36" i="1"/>
  <c r="BG36" i="1"/>
  <c r="BF36" i="1"/>
  <c r="BE36" i="1"/>
  <c r="BD36" i="1"/>
  <c r="BC36" i="1"/>
  <c r="AU36" i="1"/>
  <c r="AU37" i="1" s="1"/>
  <c r="AS36" i="1"/>
  <c r="AS37" i="1" s="1"/>
  <c r="AT37" i="1" s="1"/>
  <c r="AQ36" i="1"/>
  <c r="AP36" i="1"/>
  <c r="AO36" i="1"/>
  <c r="AK36" i="1"/>
  <c r="AI36" i="1"/>
  <c r="AH36" i="1"/>
  <c r="AG36" i="1"/>
  <c r="AC36" i="1"/>
  <c r="AD36" i="1" s="1"/>
  <c r="AA36" i="1"/>
  <c r="AB36" i="1" s="1"/>
  <c r="Z36" i="1"/>
  <c r="Y36" i="1"/>
  <c r="X36" i="1"/>
  <c r="L36" i="1"/>
  <c r="I36" i="1"/>
  <c r="H36" i="1"/>
  <c r="H37" i="1" s="1"/>
  <c r="I37" i="1" s="1"/>
  <c r="F36" i="1"/>
  <c r="G36" i="1" s="1"/>
  <c r="E36" i="1"/>
  <c r="D36" i="1"/>
  <c r="C36" i="1"/>
  <c r="BJ35" i="1"/>
  <c r="BL35" i="1" s="1"/>
  <c r="BB35" i="1"/>
  <c r="AW35" i="1"/>
  <c r="AV35" i="1"/>
  <c r="AT35" i="1"/>
  <c r="AR35" i="1"/>
  <c r="AN35" i="1"/>
  <c r="AM35" i="1"/>
  <c r="AL35" i="1"/>
  <c r="AJ35" i="1"/>
  <c r="AE35" i="1"/>
  <c r="AF35" i="1" s="1"/>
  <c r="AD35" i="1"/>
  <c r="AB35" i="1"/>
  <c r="R35" i="1"/>
  <c r="P35" i="1"/>
  <c r="V35" i="1" s="1"/>
  <c r="AZ35" i="1" s="1"/>
  <c r="N35" i="1"/>
  <c r="M35" i="1"/>
  <c r="T35" i="1" s="1"/>
  <c r="K35" i="1"/>
  <c r="J35" i="1"/>
  <c r="I35" i="1"/>
  <c r="G35" i="1"/>
  <c r="BJ34" i="1"/>
  <c r="BL34" i="1" s="1"/>
  <c r="BB34" i="1"/>
  <c r="AX34" i="1"/>
  <c r="AW34" i="1"/>
  <c r="AV34" i="1"/>
  <c r="AT34" i="1"/>
  <c r="AR34" i="1"/>
  <c r="AN34" i="1"/>
  <c r="AM34" i="1"/>
  <c r="AL34" i="1"/>
  <c r="AJ34" i="1"/>
  <c r="AE34" i="1"/>
  <c r="AF34" i="1" s="1"/>
  <c r="AD34" i="1"/>
  <c r="AB34" i="1"/>
  <c r="P34" i="1"/>
  <c r="V34" i="1" s="1"/>
  <c r="AZ34" i="1" s="1"/>
  <c r="N34" i="1"/>
  <c r="U34" i="1" s="1"/>
  <c r="AY34" i="1" s="1"/>
  <c r="M34" i="1"/>
  <c r="J34" i="1"/>
  <c r="K34" i="1" s="1"/>
  <c r="I34" i="1"/>
  <c r="G34" i="1"/>
  <c r="BJ33" i="1"/>
  <c r="BL33" i="1" s="1"/>
  <c r="BB33" i="1"/>
  <c r="AX33" i="1"/>
  <c r="AW33" i="1"/>
  <c r="AV33" i="1"/>
  <c r="AT33" i="1"/>
  <c r="AR33" i="1"/>
  <c r="AN33" i="1"/>
  <c r="AM33" i="1"/>
  <c r="AL33" i="1"/>
  <c r="AJ33" i="1"/>
  <c r="AF33" i="1"/>
  <c r="AE33" i="1"/>
  <c r="AD33" i="1"/>
  <c r="AB33" i="1"/>
  <c r="V33" i="1"/>
  <c r="AZ33" i="1" s="1"/>
  <c r="Q33" i="1"/>
  <c r="P33" i="1"/>
  <c r="R33" i="1" s="1"/>
  <c r="O33" i="1"/>
  <c r="N33" i="1"/>
  <c r="U33" i="1" s="1"/>
  <c r="AY33" i="1" s="1"/>
  <c r="M33" i="1"/>
  <c r="T33" i="1" s="1"/>
  <c r="J33" i="1"/>
  <c r="K33" i="1" s="1"/>
  <c r="I33" i="1"/>
  <c r="G33" i="1"/>
  <c r="BJ32" i="1"/>
  <c r="BL32" i="1" s="1"/>
  <c r="BB32" i="1"/>
  <c r="AX32" i="1"/>
  <c r="AW32" i="1"/>
  <c r="AV32" i="1"/>
  <c r="AT32" i="1"/>
  <c r="AR32" i="1"/>
  <c r="AN32" i="1"/>
  <c r="AM32" i="1"/>
  <c r="AL32" i="1"/>
  <c r="AJ32" i="1"/>
  <c r="AE32" i="1"/>
  <c r="AF32" i="1" s="1"/>
  <c r="AD32" i="1"/>
  <c r="AB32" i="1"/>
  <c r="P32" i="1"/>
  <c r="Q32" i="1" s="1"/>
  <c r="N32" i="1"/>
  <c r="R32" i="1" s="1"/>
  <c r="M32" i="1"/>
  <c r="T32" i="1" s="1"/>
  <c r="J32" i="1"/>
  <c r="K32" i="1" s="1"/>
  <c r="I32" i="1"/>
  <c r="G32" i="1"/>
  <c r="BJ31" i="1"/>
  <c r="BL31" i="1" s="1"/>
  <c r="BB31" i="1"/>
  <c r="AW31" i="1"/>
  <c r="AV31" i="1"/>
  <c r="AT31" i="1"/>
  <c r="AR31" i="1"/>
  <c r="AN31" i="1"/>
  <c r="AM31" i="1"/>
  <c r="AL31" i="1"/>
  <c r="AJ31" i="1"/>
  <c r="AE31" i="1"/>
  <c r="AF31" i="1" s="1"/>
  <c r="AD31" i="1"/>
  <c r="AB31" i="1"/>
  <c r="V31" i="1"/>
  <c r="AZ31" i="1" s="1"/>
  <c r="U31" i="1"/>
  <c r="AY31" i="1" s="1"/>
  <c r="T31" i="1"/>
  <c r="P31" i="1"/>
  <c r="N31" i="1"/>
  <c r="R31" i="1" s="1"/>
  <c r="M31" i="1"/>
  <c r="J31" i="1"/>
  <c r="K31" i="1" s="1"/>
  <c r="I31" i="1"/>
  <c r="G31" i="1"/>
  <c r="BJ30" i="1"/>
  <c r="BL30" i="1" s="1"/>
  <c r="BB30" i="1"/>
  <c r="AZ30" i="1"/>
  <c r="AY30" i="1"/>
  <c r="AX30" i="1"/>
  <c r="AW30" i="1"/>
  <c r="AV30" i="1"/>
  <c r="AT30" i="1"/>
  <c r="AR30" i="1"/>
  <c r="AN30" i="1"/>
  <c r="AM30" i="1"/>
  <c r="AL30" i="1"/>
  <c r="AJ30" i="1"/>
  <c r="AE30" i="1"/>
  <c r="AF30" i="1" s="1"/>
  <c r="AD30" i="1"/>
  <c r="AB30" i="1"/>
  <c r="V30" i="1"/>
  <c r="U30" i="1"/>
  <c r="T30" i="1"/>
  <c r="P30" i="1"/>
  <c r="Q30" i="1" s="1"/>
  <c r="N30" i="1"/>
  <c r="M30" i="1"/>
  <c r="K30" i="1"/>
  <c r="J30" i="1"/>
  <c r="I30" i="1"/>
  <c r="G30" i="1"/>
  <c r="BL29" i="1"/>
  <c r="BJ29" i="1"/>
  <c r="BB29" i="1"/>
  <c r="AZ29" i="1"/>
  <c r="AW29" i="1"/>
  <c r="AV29" i="1"/>
  <c r="AT29" i="1"/>
  <c r="AR29" i="1"/>
  <c r="AN29" i="1"/>
  <c r="AM29" i="1"/>
  <c r="AL29" i="1"/>
  <c r="AJ29" i="1"/>
  <c r="AE29" i="1"/>
  <c r="AF29" i="1" s="1"/>
  <c r="AD29" i="1"/>
  <c r="AB29" i="1"/>
  <c r="V29" i="1"/>
  <c r="R29" i="1"/>
  <c r="S29" i="1" s="1"/>
  <c r="P29" i="1"/>
  <c r="Q29" i="1" s="1"/>
  <c r="N29" i="1"/>
  <c r="O29" i="1" s="1"/>
  <c r="M29" i="1"/>
  <c r="AX29" i="1" s="1"/>
  <c r="J29" i="1"/>
  <c r="W29" i="1" s="1"/>
  <c r="BA29" i="1" s="1"/>
  <c r="I29" i="1"/>
  <c r="G29" i="1"/>
  <c r="BJ28" i="1"/>
  <c r="BL28" i="1" s="1"/>
  <c r="BB28" i="1"/>
  <c r="AY28" i="1"/>
  <c r="AX28" i="1"/>
  <c r="AW28" i="1"/>
  <c r="AV28" i="1"/>
  <c r="AT28" i="1"/>
  <c r="AR28" i="1"/>
  <c r="AN28" i="1"/>
  <c r="AM28" i="1"/>
  <c r="AL28" i="1"/>
  <c r="AJ28" i="1"/>
  <c r="AE28" i="1"/>
  <c r="AF28" i="1" s="1"/>
  <c r="AD28" i="1"/>
  <c r="AB28" i="1"/>
  <c r="W28" i="1"/>
  <c r="V28" i="1"/>
  <c r="AZ28" i="1" s="1"/>
  <c r="U28" i="1"/>
  <c r="R28" i="1"/>
  <c r="S28" i="1" s="1"/>
  <c r="Q28" i="1"/>
  <c r="P28" i="1"/>
  <c r="N28" i="1"/>
  <c r="O28" i="1" s="1"/>
  <c r="M28" i="1"/>
  <c r="T28" i="1" s="1"/>
  <c r="J28" i="1"/>
  <c r="K28" i="1" s="1"/>
  <c r="I28" i="1"/>
  <c r="G28" i="1"/>
  <c r="BL27" i="1"/>
  <c r="BJ27" i="1"/>
  <c r="BB27" i="1"/>
  <c r="AX27" i="1"/>
  <c r="AW27" i="1"/>
  <c r="AV27" i="1"/>
  <c r="AT27" i="1"/>
  <c r="AR27" i="1"/>
  <c r="AN27" i="1"/>
  <c r="AM27" i="1"/>
  <c r="AL27" i="1"/>
  <c r="AJ27" i="1"/>
  <c r="AE27" i="1"/>
  <c r="AF27" i="1" s="1"/>
  <c r="AD27" i="1"/>
  <c r="AB27" i="1"/>
  <c r="V27" i="1"/>
  <c r="AZ27" i="1" s="1"/>
  <c r="U27" i="1"/>
  <c r="AY27" i="1" s="1"/>
  <c r="T27" i="1"/>
  <c r="P27" i="1"/>
  <c r="R27" i="1" s="1"/>
  <c r="S27" i="1" s="1"/>
  <c r="N27" i="1"/>
  <c r="O27" i="1" s="1"/>
  <c r="M27" i="1"/>
  <c r="J27" i="1"/>
  <c r="K27" i="1" s="1"/>
  <c r="I27" i="1"/>
  <c r="G27" i="1"/>
  <c r="BJ26" i="1"/>
  <c r="BL26" i="1" s="1"/>
  <c r="BB26" i="1"/>
  <c r="AX26" i="1"/>
  <c r="AW26" i="1"/>
  <c r="AV26" i="1"/>
  <c r="AT26" i="1"/>
  <c r="AR26" i="1"/>
  <c r="AN26" i="1"/>
  <c r="AM26" i="1"/>
  <c r="AL26" i="1"/>
  <c r="AJ26" i="1"/>
  <c r="AF26" i="1"/>
  <c r="AE26" i="1"/>
  <c r="AD26" i="1"/>
  <c r="AB26" i="1"/>
  <c r="U26" i="1"/>
  <c r="AY26" i="1" s="1"/>
  <c r="T26" i="1"/>
  <c r="P26" i="1"/>
  <c r="R26" i="1" s="1"/>
  <c r="S26" i="1" s="1"/>
  <c r="O26" i="1"/>
  <c r="N26" i="1"/>
  <c r="M26" i="1"/>
  <c r="J26" i="1"/>
  <c r="K26" i="1" s="1"/>
  <c r="I26" i="1"/>
  <c r="G26" i="1"/>
  <c r="BJ25" i="1"/>
  <c r="BL25" i="1" s="1"/>
  <c r="BB25" i="1"/>
  <c r="AX25" i="1"/>
  <c r="AW25" i="1"/>
  <c r="AV25" i="1"/>
  <c r="AT25" i="1"/>
  <c r="AR25" i="1"/>
  <c r="AN25" i="1"/>
  <c r="AM25" i="1"/>
  <c r="AL25" i="1"/>
  <c r="AJ25" i="1"/>
  <c r="AE25" i="1"/>
  <c r="AF25" i="1" s="1"/>
  <c r="AD25" i="1"/>
  <c r="AB25" i="1"/>
  <c r="U25" i="1"/>
  <c r="AY25" i="1" s="1"/>
  <c r="T25" i="1"/>
  <c r="P25" i="1"/>
  <c r="Q25" i="1" s="1"/>
  <c r="N25" i="1"/>
  <c r="M25" i="1"/>
  <c r="J25" i="1"/>
  <c r="K25" i="1" s="1"/>
  <c r="I25" i="1"/>
  <c r="G25" i="1"/>
  <c r="BL24" i="1"/>
  <c r="BJ24" i="1"/>
  <c r="BB24" i="1"/>
  <c r="AZ24" i="1"/>
  <c r="AW24" i="1"/>
  <c r="AV24" i="1"/>
  <c r="AT24" i="1"/>
  <c r="AR24" i="1"/>
  <c r="AN24" i="1"/>
  <c r="AM24" i="1"/>
  <c r="AL24" i="1"/>
  <c r="AJ24" i="1"/>
  <c r="AE24" i="1"/>
  <c r="AF24" i="1" s="1"/>
  <c r="AD24" i="1"/>
  <c r="AB24" i="1"/>
  <c r="R24" i="1"/>
  <c r="P24" i="1"/>
  <c r="V24" i="1" s="1"/>
  <c r="O24" i="1"/>
  <c r="N24" i="1"/>
  <c r="U24" i="1" s="1"/>
  <c r="AY24" i="1" s="1"/>
  <c r="M24" i="1"/>
  <c r="AX24" i="1" s="1"/>
  <c r="J24" i="1"/>
  <c r="K24" i="1" s="1"/>
  <c r="I24" i="1"/>
  <c r="G24" i="1"/>
  <c r="BJ23" i="1"/>
  <c r="BL23" i="1" s="1"/>
  <c r="BB23" i="1"/>
  <c r="AX23" i="1"/>
  <c r="AW23" i="1"/>
  <c r="AV23" i="1"/>
  <c r="AT23" i="1"/>
  <c r="AR23" i="1"/>
  <c r="AN23" i="1"/>
  <c r="AM23" i="1"/>
  <c r="AL23" i="1"/>
  <c r="AJ23" i="1"/>
  <c r="AE23" i="1"/>
  <c r="AF23" i="1" s="1"/>
  <c r="AD23" i="1"/>
  <c r="AB23" i="1"/>
  <c r="T23" i="1"/>
  <c r="Q23" i="1"/>
  <c r="P23" i="1"/>
  <c r="V23" i="1" s="1"/>
  <c r="AZ23" i="1" s="1"/>
  <c r="N23" i="1"/>
  <c r="M23" i="1"/>
  <c r="K23" i="1"/>
  <c r="J23" i="1"/>
  <c r="I23" i="1"/>
  <c r="G23" i="1"/>
  <c r="BJ22" i="1"/>
  <c r="BL22" i="1" s="1"/>
  <c r="BB22" i="1"/>
  <c r="AZ22" i="1"/>
  <c r="AW22" i="1"/>
  <c r="AV22" i="1"/>
  <c r="AT22" i="1"/>
  <c r="AR22" i="1"/>
  <c r="AN22" i="1"/>
  <c r="AM22" i="1"/>
  <c r="AL22" i="1"/>
  <c r="AJ22" i="1"/>
  <c r="AE22" i="1"/>
  <c r="AF22" i="1" s="1"/>
  <c r="AD22" i="1"/>
  <c r="AB22" i="1"/>
  <c r="P22" i="1"/>
  <c r="V22" i="1" s="1"/>
  <c r="N22" i="1"/>
  <c r="M22" i="1"/>
  <c r="AX22" i="1" s="1"/>
  <c r="K22" i="1"/>
  <c r="J22" i="1"/>
  <c r="I22" i="1"/>
  <c r="G22" i="1"/>
  <c r="BJ21" i="1"/>
  <c r="BL21" i="1" s="1"/>
  <c r="BB21" i="1"/>
  <c r="AW21" i="1"/>
  <c r="AV21" i="1"/>
  <c r="AT21" i="1"/>
  <c r="AR21" i="1"/>
  <c r="AN21" i="1"/>
  <c r="AM21" i="1"/>
  <c r="AL21" i="1"/>
  <c r="AJ21" i="1"/>
  <c r="AE21" i="1"/>
  <c r="AF21" i="1" s="1"/>
  <c r="AD21" i="1"/>
  <c r="AB21" i="1"/>
  <c r="R21" i="1"/>
  <c r="W21" i="1" s="1"/>
  <c r="BA21" i="1" s="1"/>
  <c r="P21" i="1"/>
  <c r="V21" i="1" s="1"/>
  <c r="AZ21" i="1" s="1"/>
  <c r="N21" i="1"/>
  <c r="U21" i="1" s="1"/>
  <c r="AY21" i="1" s="1"/>
  <c r="M21" i="1"/>
  <c r="T21" i="1" s="1"/>
  <c r="K21" i="1"/>
  <c r="J21" i="1"/>
  <c r="I21" i="1"/>
  <c r="G21" i="1"/>
  <c r="BJ20" i="1"/>
  <c r="BL20" i="1" s="1"/>
  <c r="BB20" i="1"/>
  <c r="AX20" i="1"/>
  <c r="AW20" i="1"/>
  <c r="AV20" i="1"/>
  <c r="AT20" i="1"/>
  <c r="AR20" i="1"/>
  <c r="AM20" i="1"/>
  <c r="AN20" i="1" s="1"/>
  <c r="AL20" i="1"/>
  <c r="AJ20" i="1"/>
  <c r="AF20" i="1"/>
  <c r="AE20" i="1"/>
  <c r="AD20" i="1"/>
  <c r="AB20" i="1"/>
  <c r="P20" i="1"/>
  <c r="V20" i="1" s="1"/>
  <c r="AZ20" i="1" s="1"/>
  <c r="O20" i="1"/>
  <c r="N20" i="1"/>
  <c r="U20" i="1" s="1"/>
  <c r="AY20" i="1" s="1"/>
  <c r="M20" i="1"/>
  <c r="T20" i="1" s="1"/>
  <c r="J20" i="1"/>
  <c r="K20" i="1" s="1"/>
  <c r="I20" i="1"/>
  <c r="G20" i="1"/>
  <c r="BJ19" i="1"/>
  <c r="BL19" i="1" s="1"/>
  <c r="BB19" i="1"/>
  <c r="AX19" i="1"/>
  <c r="AW19" i="1"/>
  <c r="AV19" i="1"/>
  <c r="AT19" i="1"/>
  <c r="AR19" i="1"/>
  <c r="AN19" i="1"/>
  <c r="AM19" i="1"/>
  <c r="AL19" i="1"/>
  <c r="AJ19" i="1"/>
  <c r="AE19" i="1"/>
  <c r="AF19" i="1" s="1"/>
  <c r="AD19" i="1"/>
  <c r="AB19" i="1"/>
  <c r="P19" i="1"/>
  <c r="V19" i="1" s="1"/>
  <c r="AZ19" i="1" s="1"/>
  <c r="N19" i="1"/>
  <c r="R19" i="1" s="1"/>
  <c r="M19" i="1"/>
  <c r="T19" i="1" s="1"/>
  <c r="J19" i="1"/>
  <c r="K19" i="1" s="1"/>
  <c r="I19" i="1"/>
  <c r="G19" i="1"/>
  <c r="BJ18" i="1"/>
  <c r="BL18" i="1" s="1"/>
  <c r="BB18" i="1"/>
  <c r="AW18" i="1"/>
  <c r="AV18" i="1"/>
  <c r="AT18" i="1"/>
  <c r="AR18" i="1"/>
  <c r="AN18" i="1"/>
  <c r="AM18" i="1"/>
  <c r="AL18" i="1"/>
  <c r="AJ18" i="1"/>
  <c r="AE18" i="1"/>
  <c r="AF18" i="1" s="1"/>
  <c r="AD18" i="1"/>
  <c r="AB18" i="1"/>
  <c r="V18" i="1"/>
  <c r="AZ18" i="1" s="1"/>
  <c r="U18" i="1"/>
  <c r="AY18" i="1" s="1"/>
  <c r="T18" i="1"/>
  <c r="P18" i="1"/>
  <c r="N18" i="1"/>
  <c r="R18" i="1" s="1"/>
  <c r="M18" i="1"/>
  <c r="J18" i="1"/>
  <c r="K18" i="1" s="1"/>
  <c r="I18" i="1"/>
  <c r="G18" i="1"/>
  <c r="BJ17" i="1"/>
  <c r="BL17" i="1" s="1"/>
  <c r="BB17" i="1"/>
  <c r="AZ17" i="1"/>
  <c r="AW17" i="1"/>
  <c r="AV17" i="1"/>
  <c r="AT17" i="1"/>
  <c r="AR17" i="1"/>
  <c r="AN17" i="1"/>
  <c r="AM17" i="1"/>
  <c r="AL17" i="1"/>
  <c r="AJ17" i="1"/>
  <c r="AE17" i="1"/>
  <c r="AF17" i="1" s="1"/>
  <c r="AD17" i="1"/>
  <c r="AB17" i="1"/>
  <c r="V17" i="1"/>
  <c r="U17" i="1"/>
  <c r="AY17" i="1" s="1"/>
  <c r="T17" i="1"/>
  <c r="P17" i="1"/>
  <c r="N17" i="1"/>
  <c r="R17" i="1" s="1"/>
  <c r="M17" i="1"/>
  <c r="S17" i="1" s="1"/>
  <c r="K17" i="1"/>
  <c r="J17" i="1"/>
  <c r="W17" i="1" s="1"/>
  <c r="BA17" i="1" s="1"/>
  <c r="I17" i="1"/>
  <c r="G17" i="1"/>
  <c r="BL16" i="1"/>
  <c r="BJ16" i="1"/>
  <c r="BB16" i="1"/>
  <c r="AZ16" i="1"/>
  <c r="AW16" i="1"/>
  <c r="AV16" i="1"/>
  <c r="AT16" i="1"/>
  <c r="AR16" i="1"/>
  <c r="AN16" i="1"/>
  <c r="AM16" i="1"/>
  <c r="AL16" i="1"/>
  <c r="AJ16" i="1"/>
  <c r="AE16" i="1"/>
  <c r="AF16" i="1" s="1"/>
  <c r="AD16" i="1"/>
  <c r="AB16" i="1"/>
  <c r="V16" i="1"/>
  <c r="P16" i="1"/>
  <c r="N16" i="1"/>
  <c r="M16" i="1"/>
  <c r="T16" i="1" s="1"/>
  <c r="K16" i="1"/>
  <c r="J16" i="1"/>
  <c r="I16" i="1"/>
  <c r="G16" i="1"/>
  <c r="BJ15" i="1"/>
  <c r="BL15" i="1" s="1"/>
  <c r="BB15" i="1"/>
  <c r="AY15" i="1"/>
  <c r="AW15" i="1"/>
  <c r="AV15" i="1"/>
  <c r="AT15" i="1"/>
  <c r="AR15" i="1"/>
  <c r="AN15" i="1"/>
  <c r="AM15" i="1"/>
  <c r="AL15" i="1"/>
  <c r="AJ15" i="1"/>
  <c r="AF15" i="1"/>
  <c r="AE15" i="1"/>
  <c r="AD15" i="1"/>
  <c r="AB15" i="1"/>
  <c r="W15" i="1"/>
  <c r="V15" i="1"/>
  <c r="AZ15" i="1" s="1"/>
  <c r="U15" i="1"/>
  <c r="R15" i="1"/>
  <c r="P15" i="1"/>
  <c r="N15" i="1"/>
  <c r="M15" i="1"/>
  <c r="Q15" i="1" s="1"/>
  <c r="K15" i="1"/>
  <c r="J15" i="1"/>
  <c r="I15" i="1"/>
  <c r="G15" i="1"/>
  <c r="BJ14" i="1"/>
  <c r="BL14" i="1" s="1"/>
  <c r="BB14" i="1"/>
  <c r="AX14" i="1"/>
  <c r="AW14" i="1"/>
  <c r="AV14" i="1"/>
  <c r="AT14" i="1"/>
  <c r="AS49" i="1" s="1"/>
  <c r="AS50" i="1" s="1"/>
  <c r="AR14" i="1"/>
  <c r="AN14" i="1"/>
  <c r="AM14" i="1"/>
  <c r="AL14" i="1"/>
  <c r="AJ14" i="1"/>
  <c r="AE14" i="1"/>
  <c r="AF14" i="1" s="1"/>
  <c r="AD14" i="1"/>
  <c r="AB14" i="1"/>
  <c r="U14" i="1"/>
  <c r="AY14" i="1" s="1"/>
  <c r="T14" i="1"/>
  <c r="R14" i="1"/>
  <c r="S14" i="1" s="1"/>
  <c r="Q14" i="1"/>
  <c r="P14" i="1"/>
  <c r="V14" i="1" s="1"/>
  <c r="AZ14" i="1" s="1"/>
  <c r="N14" i="1"/>
  <c r="O14" i="1" s="1"/>
  <c r="M14" i="1"/>
  <c r="J14" i="1"/>
  <c r="W14" i="1" s="1"/>
  <c r="BA14" i="1" s="1"/>
  <c r="I14" i="1"/>
  <c r="G14" i="1"/>
  <c r="BJ13" i="1"/>
  <c r="BL13" i="1" s="1"/>
  <c r="BB13" i="1"/>
  <c r="AW13" i="1"/>
  <c r="AV13" i="1"/>
  <c r="AT13" i="1"/>
  <c r="AR13" i="1"/>
  <c r="AN13" i="1"/>
  <c r="AM13" i="1"/>
  <c r="AM36" i="1" s="1"/>
  <c r="AL13" i="1"/>
  <c r="AJ13" i="1"/>
  <c r="AF13" i="1"/>
  <c r="AE13" i="1"/>
  <c r="AD13" i="1"/>
  <c r="AB13" i="1"/>
  <c r="W13" i="1"/>
  <c r="BA13" i="1" s="1"/>
  <c r="V13" i="1"/>
  <c r="AZ13" i="1" s="1"/>
  <c r="U13" i="1"/>
  <c r="AY13" i="1" s="1"/>
  <c r="T13" i="1"/>
  <c r="R13" i="1"/>
  <c r="S13" i="1" s="1"/>
  <c r="Q13" i="1"/>
  <c r="P13" i="1"/>
  <c r="O13" i="1"/>
  <c r="N13" i="1"/>
  <c r="M13" i="1"/>
  <c r="AX13" i="1" s="1"/>
  <c r="J13" i="1"/>
  <c r="K13" i="1" s="1"/>
  <c r="I13" i="1"/>
  <c r="G13" i="1"/>
  <c r="BJ12" i="1"/>
  <c r="BL12" i="1" s="1"/>
  <c r="BB12" i="1"/>
  <c r="AX12" i="1"/>
  <c r="AW12" i="1"/>
  <c r="AV12" i="1"/>
  <c r="AT12" i="1"/>
  <c r="AR12" i="1"/>
  <c r="AN12" i="1"/>
  <c r="AM12" i="1"/>
  <c r="AL12" i="1"/>
  <c r="AJ12" i="1"/>
  <c r="AE12" i="1"/>
  <c r="AF12" i="1" s="1"/>
  <c r="AD12" i="1"/>
  <c r="AB12" i="1"/>
  <c r="T12" i="1"/>
  <c r="P12" i="1"/>
  <c r="Q12" i="1" s="1"/>
  <c r="N12" i="1"/>
  <c r="M12" i="1"/>
  <c r="J12" i="1"/>
  <c r="K12" i="1" s="1"/>
  <c r="I12" i="1"/>
  <c r="G12" i="1"/>
  <c r="BL11" i="1"/>
  <c r="BJ11" i="1"/>
  <c r="BB11" i="1"/>
  <c r="AW11" i="1"/>
  <c r="AV11" i="1"/>
  <c r="AT11" i="1"/>
  <c r="AR11" i="1"/>
  <c r="AN11" i="1"/>
  <c r="AM11" i="1"/>
  <c r="AL11" i="1"/>
  <c r="AJ11" i="1"/>
  <c r="AE11" i="1"/>
  <c r="AF11" i="1" s="1"/>
  <c r="AD11" i="1"/>
  <c r="AB11" i="1"/>
  <c r="U11" i="1"/>
  <c r="AY11" i="1" s="1"/>
  <c r="T11" i="1"/>
  <c r="R11" i="1"/>
  <c r="S11" i="1" s="1"/>
  <c r="P11" i="1"/>
  <c r="N11" i="1"/>
  <c r="M11" i="1"/>
  <c r="AX11" i="1" s="1"/>
  <c r="J11" i="1"/>
  <c r="K11" i="1" s="1"/>
  <c r="I11" i="1"/>
  <c r="G11" i="1"/>
  <c r="BJ10" i="1"/>
  <c r="BL10" i="1" s="1"/>
  <c r="BB10" i="1"/>
  <c r="AZ10" i="1"/>
  <c r="AW10" i="1"/>
  <c r="AV10" i="1"/>
  <c r="AT10" i="1"/>
  <c r="AR10" i="1"/>
  <c r="AN10" i="1"/>
  <c r="AM10" i="1"/>
  <c r="AL10" i="1"/>
  <c r="AJ10" i="1"/>
  <c r="AF10" i="1"/>
  <c r="AE10" i="1"/>
  <c r="AD10" i="1"/>
  <c r="AB10" i="1"/>
  <c r="V10" i="1"/>
  <c r="R10" i="1"/>
  <c r="P10" i="1"/>
  <c r="N10" i="1"/>
  <c r="U10" i="1" s="1"/>
  <c r="AY10" i="1" s="1"/>
  <c r="M10" i="1"/>
  <c r="T10" i="1" s="1"/>
  <c r="K10" i="1"/>
  <c r="J10" i="1"/>
  <c r="I10" i="1"/>
  <c r="G10" i="1"/>
  <c r="BJ9" i="1"/>
  <c r="BL9" i="1" s="1"/>
  <c r="BB9" i="1"/>
  <c r="AZ9" i="1"/>
  <c r="AX9" i="1"/>
  <c r="AW9" i="1"/>
  <c r="AV9" i="1"/>
  <c r="AT9" i="1"/>
  <c r="AR9" i="1"/>
  <c r="AN9" i="1"/>
  <c r="AM9" i="1"/>
  <c r="AL9" i="1"/>
  <c r="AJ9" i="1"/>
  <c r="AE9" i="1"/>
  <c r="AF9" i="1" s="1"/>
  <c r="AD9" i="1"/>
  <c r="AB9" i="1"/>
  <c r="P9" i="1"/>
  <c r="V9" i="1" s="1"/>
  <c r="N9" i="1"/>
  <c r="M9" i="1"/>
  <c r="T9" i="1" s="1"/>
  <c r="J9" i="1"/>
  <c r="K9" i="1" s="1"/>
  <c r="I9" i="1"/>
  <c r="G9" i="1"/>
  <c r="BJ8" i="1"/>
  <c r="BJ36" i="1" s="1"/>
  <c r="BJ37" i="1" s="1"/>
  <c r="BB8" i="1"/>
  <c r="AW8" i="1"/>
  <c r="AV8" i="1"/>
  <c r="AT8" i="1"/>
  <c r="AR8" i="1"/>
  <c r="AN8" i="1"/>
  <c r="AM8" i="1"/>
  <c r="AL8" i="1"/>
  <c r="AJ8" i="1"/>
  <c r="AF8" i="1"/>
  <c r="AE8" i="1"/>
  <c r="AD8" i="1"/>
  <c r="AB8" i="1"/>
  <c r="V8" i="1"/>
  <c r="AZ8" i="1" s="1"/>
  <c r="R8" i="1"/>
  <c r="W8" i="1" s="1"/>
  <c r="BA8" i="1" s="1"/>
  <c r="Q8" i="1"/>
  <c r="P8" i="1"/>
  <c r="N8" i="1"/>
  <c r="U8" i="1" s="1"/>
  <c r="AY8" i="1" s="1"/>
  <c r="M8" i="1"/>
  <c r="K8" i="1"/>
  <c r="J8" i="1"/>
  <c r="I8" i="1"/>
  <c r="G8" i="1"/>
  <c r="BJ7" i="1"/>
  <c r="BL7" i="1" s="1"/>
  <c r="BB7" i="1"/>
  <c r="AZ7" i="1"/>
  <c r="AX7" i="1"/>
  <c r="AW7" i="1"/>
  <c r="AV7" i="1"/>
  <c r="AT7" i="1"/>
  <c r="AR7" i="1"/>
  <c r="AN7" i="1"/>
  <c r="AM7" i="1"/>
  <c r="AL7" i="1"/>
  <c r="AJ7" i="1"/>
  <c r="AE7" i="1"/>
  <c r="AF7" i="1" s="1"/>
  <c r="AD7" i="1"/>
  <c r="AB7" i="1"/>
  <c r="V7" i="1"/>
  <c r="U7" i="1"/>
  <c r="AY7" i="1" s="1"/>
  <c r="Q7" i="1"/>
  <c r="P7" i="1"/>
  <c r="N7" i="1"/>
  <c r="R7" i="1" s="1"/>
  <c r="S7" i="1" s="1"/>
  <c r="M7" i="1"/>
  <c r="T7" i="1" s="1"/>
  <c r="J7" i="1"/>
  <c r="K7" i="1" s="1"/>
  <c r="I7" i="1"/>
  <c r="G7" i="1"/>
  <c r="BL6" i="1"/>
  <c r="BJ6" i="1"/>
  <c r="BB6" i="1"/>
  <c r="BB36" i="1" s="1"/>
  <c r="AW6" i="1"/>
  <c r="AV6" i="1"/>
  <c r="AT6" i="1"/>
  <c r="AR6" i="1"/>
  <c r="AN6" i="1"/>
  <c r="AM6" i="1"/>
  <c r="AL6" i="1"/>
  <c r="AJ6" i="1"/>
  <c r="AE6" i="1"/>
  <c r="AF6" i="1" s="1"/>
  <c r="AD6" i="1"/>
  <c r="AB6" i="1"/>
  <c r="U6" i="1"/>
  <c r="AY6" i="1" s="1"/>
  <c r="T6" i="1"/>
  <c r="P6" i="1"/>
  <c r="V6" i="1" s="1"/>
  <c r="N6" i="1"/>
  <c r="M6" i="1"/>
  <c r="J6" i="1"/>
  <c r="K6" i="1" s="1"/>
  <c r="I6" i="1"/>
  <c r="J50" i="1" s="1"/>
  <c r="G6" i="1"/>
  <c r="BJ5" i="1"/>
  <c r="BL5" i="1" s="1"/>
  <c r="BB5" i="1"/>
  <c r="AZ5" i="1"/>
  <c r="AY5" i="1"/>
  <c r="AW5" i="1"/>
  <c r="AV5" i="1"/>
  <c r="AV36" i="1" s="1"/>
  <c r="AT5" i="1"/>
  <c r="AR5" i="1"/>
  <c r="AN5" i="1"/>
  <c r="AM5" i="1"/>
  <c r="AL5" i="1"/>
  <c r="AJ5" i="1"/>
  <c r="AF5" i="1"/>
  <c r="AE5" i="1"/>
  <c r="AD5" i="1"/>
  <c r="AB5" i="1"/>
  <c r="V5" i="1"/>
  <c r="U5" i="1"/>
  <c r="T5" i="1"/>
  <c r="S5" i="1"/>
  <c r="P5" i="1"/>
  <c r="N5" i="1"/>
  <c r="R5" i="1" s="1"/>
  <c r="M5" i="1"/>
  <c r="Q5" i="1" s="1"/>
  <c r="K5" i="1"/>
  <c r="J5" i="1"/>
  <c r="W5" i="1" s="1"/>
  <c r="BA5" i="1" s="1"/>
  <c r="I5" i="1"/>
  <c r="G5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R16" i="3" l="1"/>
  <c r="W16" i="3" s="1"/>
  <c r="BA16" i="3" s="1"/>
  <c r="U16" i="3"/>
  <c r="AY16" i="3" s="1"/>
  <c r="AX26" i="3"/>
  <c r="T26" i="3"/>
  <c r="S26" i="3"/>
  <c r="J36" i="3"/>
  <c r="U6" i="3"/>
  <c r="AY6" i="3" s="1"/>
  <c r="AY36" i="3" s="1"/>
  <c r="AY37" i="3" s="1"/>
  <c r="O6" i="3"/>
  <c r="R6" i="3"/>
  <c r="R36" i="3" s="1"/>
  <c r="AX8" i="3"/>
  <c r="AX36" i="3" s="1"/>
  <c r="U10" i="3"/>
  <c r="AY10" i="3" s="1"/>
  <c r="R10" i="3"/>
  <c r="AX14" i="3"/>
  <c r="T14" i="3"/>
  <c r="R15" i="3"/>
  <c r="W15" i="3" s="1"/>
  <c r="BA15" i="3" s="1"/>
  <c r="U15" i="3"/>
  <c r="AY15" i="3" s="1"/>
  <c r="O15" i="3"/>
  <c r="AX20" i="3"/>
  <c r="S20" i="3"/>
  <c r="AX21" i="3"/>
  <c r="Q26" i="3"/>
  <c r="Q30" i="3"/>
  <c r="V30" i="3"/>
  <c r="AZ30" i="3" s="1"/>
  <c r="AZ5" i="3"/>
  <c r="AV36" i="3"/>
  <c r="U8" i="3"/>
  <c r="AY8" i="3" s="1"/>
  <c r="R8" i="3"/>
  <c r="S8" i="3" s="1"/>
  <c r="O10" i="3"/>
  <c r="O14" i="3"/>
  <c r="R14" i="3"/>
  <c r="S14" i="3" s="1"/>
  <c r="Q18" i="3"/>
  <c r="U20" i="3"/>
  <c r="AY20" i="3" s="1"/>
  <c r="R20" i="3"/>
  <c r="O21" i="3"/>
  <c r="BA5" i="3"/>
  <c r="Q6" i="3"/>
  <c r="O8" i="3"/>
  <c r="V12" i="3"/>
  <c r="AZ12" i="3" s="1"/>
  <c r="R12" i="3"/>
  <c r="Q12" i="3"/>
  <c r="Q14" i="3"/>
  <c r="BA17" i="3"/>
  <c r="O20" i="3"/>
  <c r="O22" i="3"/>
  <c r="R23" i="3"/>
  <c r="S23" i="3" s="1"/>
  <c r="Q23" i="3"/>
  <c r="BB37" i="3"/>
  <c r="U14" i="3"/>
  <c r="AY14" i="3" s="1"/>
  <c r="T21" i="3"/>
  <c r="V22" i="3"/>
  <c r="AZ22" i="3" s="1"/>
  <c r="Q22" i="3"/>
  <c r="T32" i="3"/>
  <c r="BA19" i="3"/>
  <c r="AX9" i="3"/>
  <c r="S9" i="3"/>
  <c r="O16" i="3"/>
  <c r="U18" i="3"/>
  <c r="AY18" i="3" s="1"/>
  <c r="O18" i="3"/>
  <c r="R18" i="3"/>
  <c r="W18" i="3" s="1"/>
  <c r="BA18" i="3" s="1"/>
  <c r="O26" i="3"/>
  <c r="U22" i="3"/>
  <c r="AY22" i="3" s="1"/>
  <c r="W24" i="3"/>
  <c r="BA24" i="3" s="1"/>
  <c r="S24" i="3"/>
  <c r="BJ36" i="3"/>
  <c r="BJ37" i="3" s="1"/>
  <c r="BL5" i="3"/>
  <c r="BL36" i="3" s="1"/>
  <c r="BA7" i="3"/>
  <c r="AM36" i="3"/>
  <c r="K19" i="3"/>
  <c r="T8" i="3"/>
  <c r="T20" i="3"/>
  <c r="W31" i="3"/>
  <c r="BA31" i="3" s="1"/>
  <c r="K31" i="3"/>
  <c r="U33" i="3"/>
  <c r="AY33" i="3" s="1"/>
  <c r="R33" i="3"/>
  <c r="S33" i="3" s="1"/>
  <c r="M36" i="3"/>
  <c r="N38" i="3" s="1"/>
  <c r="N36" i="3"/>
  <c r="AX32" i="3"/>
  <c r="V33" i="3"/>
  <c r="AZ33" i="3" s="1"/>
  <c r="Q33" i="3"/>
  <c r="T5" i="3"/>
  <c r="S5" i="3"/>
  <c r="O5" i="3"/>
  <c r="K7" i="3"/>
  <c r="S16" i="3"/>
  <c r="T17" i="3"/>
  <c r="S17" i="3"/>
  <c r="O17" i="3"/>
  <c r="K30" i="3"/>
  <c r="BE42" i="3"/>
  <c r="BE46" i="3" s="1"/>
  <c r="BH46" i="3" s="1"/>
  <c r="BI71" i="3"/>
  <c r="J49" i="3"/>
  <c r="V8" i="3"/>
  <c r="AZ8" i="3" s="1"/>
  <c r="Q8" i="3"/>
  <c r="V20" i="3"/>
  <c r="AZ20" i="3" s="1"/>
  <c r="Q20" i="3"/>
  <c r="W28" i="3"/>
  <c r="BA28" i="3" s="1"/>
  <c r="Q10" i="3"/>
  <c r="Q27" i="3"/>
  <c r="AX27" i="3"/>
  <c r="T30" i="3"/>
  <c r="T31" i="3"/>
  <c r="S31" i="3"/>
  <c r="O34" i="3"/>
  <c r="O7" i="3"/>
  <c r="Q15" i="3"/>
  <c r="AX15" i="3"/>
  <c r="O19" i="3"/>
  <c r="R27" i="3"/>
  <c r="S27" i="3" s="1"/>
  <c r="O27" i="3"/>
  <c r="U31" i="3"/>
  <c r="AY31" i="3" s="1"/>
  <c r="O31" i="3"/>
  <c r="BH71" i="3"/>
  <c r="BJ50" i="3"/>
  <c r="BJ71" i="3" s="1"/>
  <c r="BF46" i="3" s="1"/>
  <c r="Q7" i="3"/>
  <c r="P36" i="3"/>
  <c r="S7" i="3"/>
  <c r="Q11" i="3"/>
  <c r="S15" i="3"/>
  <c r="S19" i="3"/>
  <c r="W22" i="3"/>
  <c r="BA22" i="3" s="1"/>
  <c r="U27" i="3"/>
  <c r="AY27" i="3" s="1"/>
  <c r="Q35" i="3"/>
  <c r="G36" i="3"/>
  <c r="AB36" i="3"/>
  <c r="O9" i="3"/>
  <c r="O32" i="3"/>
  <c r="U34" i="3"/>
  <c r="AY34" i="3" s="1"/>
  <c r="I36" i="3"/>
  <c r="F38" i="3"/>
  <c r="Q5" i="3"/>
  <c r="Q9" i="3"/>
  <c r="W10" i="3"/>
  <c r="BA10" i="3" s="1"/>
  <c r="S13" i="3"/>
  <c r="T15" i="3"/>
  <c r="W20" i="3"/>
  <c r="BA20" i="3" s="1"/>
  <c r="Q21" i="3"/>
  <c r="W26" i="3"/>
  <c r="BA26" i="3" s="1"/>
  <c r="O28" i="3"/>
  <c r="R32" i="3"/>
  <c r="S32" i="3" s="1"/>
  <c r="X53" i="3"/>
  <c r="Y58" i="3"/>
  <c r="U21" i="3"/>
  <c r="AY21" i="3" s="1"/>
  <c r="R21" i="3"/>
  <c r="S21" i="3" s="1"/>
  <c r="AE36" i="3"/>
  <c r="AF6" i="3"/>
  <c r="T6" i="3"/>
  <c r="T13" i="3"/>
  <c r="T18" i="3"/>
  <c r="S18" i="3"/>
  <c r="W27" i="3"/>
  <c r="BA27" i="3" s="1"/>
  <c r="F37" i="3"/>
  <c r="G37" i="3" s="1"/>
  <c r="K37" i="3" s="1"/>
  <c r="BJ52" i="3"/>
  <c r="AA37" i="3"/>
  <c r="AB37" i="3" s="1"/>
  <c r="S10" i="3"/>
  <c r="T11" i="3"/>
  <c r="U12" i="3"/>
  <c r="AY12" i="3" s="1"/>
  <c r="S22" i="3"/>
  <c r="O30" i="3"/>
  <c r="Q32" i="3"/>
  <c r="W23" i="3"/>
  <c r="BA23" i="3" s="1"/>
  <c r="R30" i="3"/>
  <c r="S30" i="3" s="1"/>
  <c r="W35" i="3"/>
  <c r="BA35" i="3" s="1"/>
  <c r="W34" i="3"/>
  <c r="BA34" i="3" s="1"/>
  <c r="W9" i="3"/>
  <c r="BA9" i="3" s="1"/>
  <c r="W21" i="3"/>
  <c r="BA21" i="3" s="1"/>
  <c r="S29" i="3"/>
  <c r="O13" i="2"/>
  <c r="S13" i="2"/>
  <c r="Q13" i="2"/>
  <c r="AX13" i="2"/>
  <c r="BB36" i="2"/>
  <c r="AX14" i="2"/>
  <c r="S14" i="2"/>
  <c r="T33" i="2"/>
  <c r="AX33" i="2"/>
  <c r="S33" i="2"/>
  <c r="Q33" i="2"/>
  <c r="K5" i="2"/>
  <c r="BA17" i="2"/>
  <c r="BL36" i="2"/>
  <c r="O14" i="2"/>
  <c r="U20" i="2"/>
  <c r="AY20" i="2" s="1"/>
  <c r="R20" i="2"/>
  <c r="S20" i="2" s="1"/>
  <c r="AX21" i="2"/>
  <c r="T21" i="2"/>
  <c r="S21" i="2"/>
  <c r="I36" i="2"/>
  <c r="I37" i="2"/>
  <c r="F38" i="2"/>
  <c r="AJ37" i="2"/>
  <c r="K27" i="2"/>
  <c r="W27" i="2"/>
  <c r="BA27" i="2" s="1"/>
  <c r="T7" i="2"/>
  <c r="AX7" i="2"/>
  <c r="AX36" i="2" s="1"/>
  <c r="AX9" i="2"/>
  <c r="S9" i="2"/>
  <c r="S29" i="2"/>
  <c r="AX29" i="2"/>
  <c r="T29" i="2"/>
  <c r="R31" i="2"/>
  <c r="V31" i="2"/>
  <c r="AZ31" i="2" s="1"/>
  <c r="BA24" i="2"/>
  <c r="Q30" i="2"/>
  <c r="V30" i="2"/>
  <c r="AZ30" i="2" s="1"/>
  <c r="P36" i="2"/>
  <c r="Q31" i="2"/>
  <c r="AZ5" i="2"/>
  <c r="T9" i="2"/>
  <c r="T36" i="2" s="1"/>
  <c r="AE36" i="2"/>
  <c r="AX15" i="2"/>
  <c r="T15" i="2"/>
  <c r="O20" i="2"/>
  <c r="U21" i="2"/>
  <c r="AY21" i="2" s="1"/>
  <c r="O21" i="2"/>
  <c r="R21" i="2"/>
  <c r="R23" i="2"/>
  <c r="S23" i="2" s="1"/>
  <c r="U23" i="2"/>
  <c r="AY23" i="2" s="1"/>
  <c r="AL37" i="2"/>
  <c r="AN36" i="2"/>
  <c r="AM37" i="2"/>
  <c r="W31" i="2"/>
  <c r="BA31" i="2" s="1"/>
  <c r="K31" i="2"/>
  <c r="V32" i="2"/>
  <c r="AZ32" i="2" s="1"/>
  <c r="R32" i="2"/>
  <c r="Q32" i="2"/>
  <c r="U7" i="2"/>
  <c r="AY7" i="2" s="1"/>
  <c r="O7" i="2"/>
  <c r="R7" i="2"/>
  <c r="W7" i="2" s="1"/>
  <c r="BA7" i="2" s="1"/>
  <c r="K11" i="2"/>
  <c r="W11" i="2"/>
  <c r="BA11" i="2" s="1"/>
  <c r="W28" i="2"/>
  <c r="BA28" i="2" s="1"/>
  <c r="AV36" i="2"/>
  <c r="AY5" i="2"/>
  <c r="BA8" i="2"/>
  <c r="T13" i="2"/>
  <c r="R15" i="2"/>
  <c r="S15" i="2" s="1"/>
  <c r="O15" i="2"/>
  <c r="U15" i="2"/>
  <c r="AY15" i="2" s="1"/>
  <c r="W19" i="2"/>
  <c r="BA19" i="2" s="1"/>
  <c r="O22" i="2"/>
  <c r="O23" i="2"/>
  <c r="W32" i="2"/>
  <c r="BA32" i="2" s="1"/>
  <c r="R35" i="2"/>
  <c r="S35" i="2" s="1"/>
  <c r="U35" i="2"/>
  <c r="AY35" i="2" s="1"/>
  <c r="BJ36" i="2"/>
  <c r="BJ37" i="2" s="1"/>
  <c r="Y58" i="2"/>
  <c r="X53" i="2"/>
  <c r="AF46" i="2"/>
  <c r="AN46" i="2" s="1"/>
  <c r="AW46" i="2" s="1"/>
  <c r="S46" i="2"/>
  <c r="X46" i="2" s="1"/>
  <c r="BJ50" i="2"/>
  <c r="BJ71" i="2" s="1"/>
  <c r="BF46" i="2" s="1"/>
  <c r="BG46" i="2" s="1"/>
  <c r="BH71" i="2"/>
  <c r="BA13" i="2"/>
  <c r="Q14" i="2"/>
  <c r="V22" i="2"/>
  <c r="AZ22" i="2" s="1"/>
  <c r="Q22" i="2"/>
  <c r="W35" i="2"/>
  <c r="BA35" i="2" s="1"/>
  <c r="BI71" i="2"/>
  <c r="Q6" i="2"/>
  <c r="O10" i="2"/>
  <c r="Q12" i="2"/>
  <c r="W15" i="2"/>
  <c r="BA15" i="2" s="1"/>
  <c r="W16" i="2"/>
  <c r="BA16" i="2" s="1"/>
  <c r="O17" i="2"/>
  <c r="K18" i="2"/>
  <c r="K32" i="2"/>
  <c r="J49" i="2"/>
  <c r="K7" i="2"/>
  <c r="W9" i="2"/>
  <c r="BA9" i="2" s="1"/>
  <c r="R12" i="2"/>
  <c r="T18" i="2"/>
  <c r="S18" i="2"/>
  <c r="W25" i="2"/>
  <c r="BA25" i="2" s="1"/>
  <c r="AX27" i="2"/>
  <c r="R28" i="2"/>
  <c r="S28" i="2" s="1"/>
  <c r="O28" i="2"/>
  <c r="S32" i="2"/>
  <c r="T32" i="2"/>
  <c r="W33" i="2"/>
  <c r="BA33" i="2" s="1"/>
  <c r="AA37" i="2"/>
  <c r="AB37" i="2" s="1"/>
  <c r="G36" i="2"/>
  <c r="Q15" i="2"/>
  <c r="S16" i="2"/>
  <c r="AX16" i="2"/>
  <c r="Q18" i="2"/>
  <c r="W34" i="2"/>
  <c r="BA34" i="2" s="1"/>
  <c r="V9" i="2"/>
  <c r="AZ9" i="2" s="1"/>
  <c r="Q9" i="2"/>
  <c r="V18" i="2"/>
  <c r="AZ18" i="2" s="1"/>
  <c r="U19" i="2"/>
  <c r="AY19" i="2" s="1"/>
  <c r="O19" i="2"/>
  <c r="W22" i="2"/>
  <c r="BA22" i="2" s="1"/>
  <c r="BN22" i="2" s="1"/>
  <c r="O27" i="2"/>
  <c r="Q29" i="2"/>
  <c r="AX32" i="2"/>
  <c r="BA14" i="2"/>
  <c r="V23" i="2"/>
  <c r="AZ23" i="2" s="1"/>
  <c r="Q23" i="2"/>
  <c r="V35" i="2"/>
  <c r="AZ35" i="2" s="1"/>
  <c r="Q35" i="2"/>
  <c r="Q7" i="2"/>
  <c r="O9" i="2"/>
  <c r="S19" i="2"/>
  <c r="T19" i="2"/>
  <c r="Q11" i="2"/>
  <c r="O16" i="2"/>
  <c r="U33" i="2"/>
  <c r="AY33" i="2" s="1"/>
  <c r="O33" i="2"/>
  <c r="R5" i="2"/>
  <c r="W5" i="2" s="1"/>
  <c r="N36" i="2"/>
  <c r="U10" i="2"/>
  <c r="AY10" i="2" s="1"/>
  <c r="O29" i="2"/>
  <c r="G37" i="2"/>
  <c r="K37" i="2" s="1"/>
  <c r="T6" i="2"/>
  <c r="S6" i="2"/>
  <c r="M36" i="2"/>
  <c r="N38" i="2" s="1"/>
  <c r="W10" i="2"/>
  <c r="BA10" i="2" s="1"/>
  <c r="Q16" i="2"/>
  <c r="AX18" i="2"/>
  <c r="Q19" i="2"/>
  <c r="U29" i="2"/>
  <c r="AY29" i="2" s="1"/>
  <c r="R30" i="2"/>
  <c r="W30" i="2" s="1"/>
  <c r="BA30" i="2" s="1"/>
  <c r="W29" i="2"/>
  <c r="BA29" i="2" s="1"/>
  <c r="S11" i="2"/>
  <c r="V14" i="2"/>
  <c r="AZ14" i="2" s="1"/>
  <c r="Q21" i="2"/>
  <c r="O32" i="2"/>
  <c r="Q34" i="2"/>
  <c r="K24" i="2"/>
  <c r="S31" i="2"/>
  <c r="S17" i="2"/>
  <c r="W21" i="2"/>
  <c r="BA21" i="2" s="1"/>
  <c r="S30" i="2"/>
  <c r="AZ6" i="1"/>
  <c r="J36" i="1"/>
  <c r="BB37" i="1"/>
  <c r="AM37" i="1"/>
  <c r="AN36" i="1"/>
  <c r="AW36" i="1"/>
  <c r="AV37" i="1"/>
  <c r="U23" i="1"/>
  <c r="AY23" i="1" s="1"/>
  <c r="O23" i="1"/>
  <c r="AF46" i="1"/>
  <c r="AN46" i="1" s="1"/>
  <c r="AW46" i="1" s="1"/>
  <c r="S46" i="1"/>
  <c r="X46" i="1" s="1"/>
  <c r="BH71" i="1"/>
  <c r="BJ50" i="1"/>
  <c r="BJ71" i="1" s="1"/>
  <c r="BF46" i="1" s="1"/>
  <c r="T8" i="1"/>
  <c r="T36" i="1" s="1"/>
  <c r="S8" i="1"/>
  <c r="K14" i="1"/>
  <c r="S18" i="1"/>
  <c r="AX18" i="1"/>
  <c r="Q20" i="1"/>
  <c r="S31" i="1"/>
  <c r="AX31" i="1"/>
  <c r="BI71" i="1"/>
  <c r="AX6" i="1"/>
  <c r="BL8" i="1"/>
  <c r="O10" i="1"/>
  <c r="BA15" i="1"/>
  <c r="O16" i="1"/>
  <c r="U16" i="1"/>
  <c r="AY16" i="1" s="1"/>
  <c r="R20" i="1"/>
  <c r="S20" i="1" s="1"/>
  <c r="W27" i="1"/>
  <c r="BA27" i="1" s="1"/>
  <c r="W33" i="1"/>
  <c r="BA33" i="1" s="1"/>
  <c r="Q34" i="1"/>
  <c r="U35" i="1"/>
  <c r="AY35" i="1" s="1"/>
  <c r="O35" i="1"/>
  <c r="R6" i="1"/>
  <c r="R36" i="1" s="1"/>
  <c r="W7" i="1"/>
  <c r="BA7" i="1" s="1"/>
  <c r="O8" i="1"/>
  <c r="R12" i="1"/>
  <c r="S12" i="1" s="1"/>
  <c r="AX15" i="1"/>
  <c r="Q16" i="1"/>
  <c r="AX17" i="1"/>
  <c r="O18" i="1"/>
  <c r="R23" i="1"/>
  <c r="S23" i="1" s="1"/>
  <c r="K29" i="1"/>
  <c r="O31" i="1"/>
  <c r="R34" i="1"/>
  <c r="W34" i="1" s="1"/>
  <c r="BA34" i="1" s="1"/>
  <c r="AX5" i="1"/>
  <c r="O6" i="1"/>
  <c r="Q10" i="1"/>
  <c r="O12" i="1"/>
  <c r="R16" i="1"/>
  <c r="Q18" i="1"/>
  <c r="W20" i="1"/>
  <c r="BA20" i="1" s="1"/>
  <c r="Q21" i="1"/>
  <c r="V25" i="1"/>
  <c r="AZ25" i="1" s="1"/>
  <c r="Q31" i="1"/>
  <c r="Q35" i="1"/>
  <c r="BE42" i="1"/>
  <c r="BE46" i="1" s="1"/>
  <c r="BH46" i="1" s="1"/>
  <c r="X52" i="1"/>
  <c r="X59" i="1"/>
  <c r="X58" i="1"/>
  <c r="AE36" i="1"/>
  <c r="U22" i="1"/>
  <c r="AY22" i="1" s="1"/>
  <c r="O22" i="1"/>
  <c r="AX21" i="1"/>
  <c r="U9" i="1"/>
  <c r="O9" i="1"/>
  <c r="AX16" i="1"/>
  <c r="Q19" i="1"/>
  <c r="Q22" i="1"/>
  <c r="S24" i="1"/>
  <c r="W30" i="1"/>
  <c r="BA30" i="1" s="1"/>
  <c r="BL36" i="1"/>
  <c r="AX8" i="1"/>
  <c r="AX10" i="1"/>
  <c r="U12" i="1"/>
  <c r="AY12" i="1" s="1"/>
  <c r="O17" i="1"/>
  <c r="U19" i="1"/>
  <c r="AY19" i="1" s="1"/>
  <c r="R22" i="1"/>
  <c r="W22" i="1" s="1"/>
  <c r="BA22" i="1" s="1"/>
  <c r="BN22" i="1" s="1"/>
  <c r="W23" i="1"/>
  <c r="BA23" i="1" s="1"/>
  <c r="T24" i="1"/>
  <c r="V26" i="1"/>
  <c r="AZ26" i="1" s="1"/>
  <c r="Q27" i="1"/>
  <c r="T29" i="1"/>
  <c r="V32" i="1"/>
  <c r="AZ32" i="1" s="1"/>
  <c r="N36" i="1"/>
  <c r="K37" i="1"/>
  <c r="AL37" i="1"/>
  <c r="P36" i="1"/>
  <c r="Q6" i="1"/>
  <c r="U32" i="1"/>
  <c r="AY32" i="1" s="1"/>
  <c r="X53" i="1"/>
  <c r="O5" i="1"/>
  <c r="O7" i="1"/>
  <c r="Q9" i="1"/>
  <c r="O11" i="1"/>
  <c r="V12" i="1"/>
  <c r="AZ12" i="1" s="1"/>
  <c r="Q17" i="1"/>
  <c r="S22" i="1"/>
  <c r="R25" i="1"/>
  <c r="S25" i="1" s="1"/>
  <c r="W26" i="1"/>
  <c r="BA26" i="1" s="1"/>
  <c r="W32" i="1"/>
  <c r="BA32" i="1" s="1"/>
  <c r="J49" i="1"/>
  <c r="AA37" i="1"/>
  <c r="AB37" i="1" s="1"/>
  <c r="S10" i="1"/>
  <c r="O15" i="1"/>
  <c r="T15" i="1"/>
  <c r="O19" i="1"/>
  <c r="S21" i="1"/>
  <c r="Q26" i="1"/>
  <c r="BA28" i="1"/>
  <c r="O32" i="1"/>
  <c r="S35" i="1"/>
  <c r="AX35" i="1"/>
  <c r="M36" i="1"/>
  <c r="N38" i="1" s="1"/>
  <c r="W6" i="1"/>
  <c r="BA6" i="1" s="1"/>
  <c r="W10" i="1"/>
  <c r="BA10" i="1" s="1"/>
  <c r="R9" i="1"/>
  <c r="S9" i="1" s="1"/>
  <c r="V11" i="1"/>
  <c r="AZ11" i="1" s="1"/>
  <c r="AZ36" i="1" s="1"/>
  <c r="AZ37" i="1" s="1"/>
  <c r="Q11" i="1"/>
  <c r="S15" i="1"/>
  <c r="W19" i="1"/>
  <c r="BA19" i="1" s="1"/>
  <c r="T22" i="1"/>
  <c r="O25" i="1"/>
  <c r="R30" i="1"/>
  <c r="S30" i="1" s="1"/>
  <c r="O30" i="1"/>
  <c r="S34" i="1"/>
  <c r="T34" i="1"/>
  <c r="W35" i="1"/>
  <c r="BA35" i="1" s="1"/>
  <c r="W18" i="1"/>
  <c r="BA18" i="1" s="1"/>
  <c r="U29" i="1"/>
  <c r="AY29" i="1" s="1"/>
  <c r="W31" i="1"/>
  <c r="BA31" i="1" s="1"/>
  <c r="O21" i="1"/>
  <c r="Q24" i="1"/>
  <c r="O34" i="1"/>
  <c r="W25" i="1"/>
  <c r="BA25" i="1" s="1"/>
  <c r="S33" i="1"/>
  <c r="AC37" i="1"/>
  <c r="AD37" i="1" s="1"/>
  <c r="W11" i="1"/>
  <c r="BA11" i="1" s="1"/>
  <c r="S19" i="1"/>
  <c r="W24" i="1"/>
  <c r="BA24" i="1" s="1"/>
  <c r="S32" i="1"/>
  <c r="R37" i="3" l="1"/>
  <c r="S36" i="3"/>
  <c r="W6" i="3"/>
  <c r="S6" i="3"/>
  <c r="W32" i="3"/>
  <c r="BA32" i="3" s="1"/>
  <c r="BG46" i="3"/>
  <c r="AW36" i="3"/>
  <c r="AV37" i="3"/>
  <c r="J37" i="3"/>
  <c r="K36" i="3"/>
  <c r="U36" i="3"/>
  <c r="U37" i="3" s="1"/>
  <c r="AZ36" i="3"/>
  <c r="AZ37" i="3" s="1"/>
  <c r="W33" i="3"/>
  <c r="BA33" i="3" s="1"/>
  <c r="W14" i="3"/>
  <c r="BA14" i="3" s="1"/>
  <c r="V36" i="3"/>
  <c r="V37" i="3" s="1"/>
  <c r="AN36" i="3"/>
  <c r="AM37" i="3"/>
  <c r="W30" i="3"/>
  <c r="BA30" i="3" s="1"/>
  <c r="P37" i="3"/>
  <c r="Q37" i="3" s="1"/>
  <c r="Q36" i="3"/>
  <c r="W12" i="3"/>
  <c r="BA12" i="3" s="1"/>
  <c r="S12" i="3"/>
  <c r="BC45" i="3"/>
  <c r="BB45" i="3"/>
  <c r="AF36" i="3"/>
  <c r="AE37" i="3"/>
  <c r="O36" i="3"/>
  <c r="N37" i="3"/>
  <c r="O37" i="3" s="1"/>
  <c r="T36" i="3"/>
  <c r="BC38" i="3" s="1"/>
  <c r="X59" i="3"/>
  <c r="X58" i="3"/>
  <c r="W8" i="3"/>
  <c r="BA8" i="3" s="1"/>
  <c r="BA5" i="2"/>
  <c r="BC38" i="2"/>
  <c r="V36" i="2"/>
  <c r="V37" i="2" s="1"/>
  <c r="R36" i="2"/>
  <c r="BB37" i="2"/>
  <c r="J36" i="2"/>
  <c r="N37" i="2"/>
  <c r="O37" i="2" s="1"/>
  <c r="O36" i="2"/>
  <c r="S7" i="2"/>
  <c r="S5" i="2"/>
  <c r="BH46" i="2"/>
  <c r="AY36" i="2"/>
  <c r="AY37" i="2" s="1"/>
  <c r="AZ36" i="2"/>
  <c r="AZ37" i="2" s="1"/>
  <c r="W12" i="2"/>
  <c r="BA12" i="2" s="1"/>
  <c r="S12" i="2"/>
  <c r="W20" i="2"/>
  <c r="BA20" i="2" s="1"/>
  <c r="W23" i="2"/>
  <c r="BA23" i="2" s="1"/>
  <c r="U36" i="2"/>
  <c r="U37" i="2" s="1"/>
  <c r="P37" i="2"/>
  <c r="Q37" i="2" s="1"/>
  <c r="P38" i="2"/>
  <c r="P39" i="2" s="1"/>
  <c r="Q39" i="2" s="1"/>
  <c r="Q36" i="2"/>
  <c r="X59" i="2"/>
  <c r="X58" i="2"/>
  <c r="AW36" i="2"/>
  <c r="AV37" i="2"/>
  <c r="AM46" i="2"/>
  <c r="AM47" i="2" s="1"/>
  <c r="AN47" i="2"/>
  <c r="AN37" i="2"/>
  <c r="AN38" i="2"/>
  <c r="AF36" i="2"/>
  <c r="AE37" i="2"/>
  <c r="S36" i="1"/>
  <c r="R37" i="1"/>
  <c r="AM46" i="1"/>
  <c r="AM47" i="1" s="1"/>
  <c r="AN47" i="1"/>
  <c r="AN38" i="1"/>
  <c r="AN37" i="1"/>
  <c r="AV46" i="1"/>
  <c r="AV47" i="1" s="1"/>
  <c r="AW47" i="1"/>
  <c r="AW37" i="1"/>
  <c r="AW38" i="1"/>
  <c r="S6" i="1"/>
  <c r="W12" i="1"/>
  <c r="BA12" i="1" s="1"/>
  <c r="N37" i="1"/>
  <c r="O37" i="1" s="1"/>
  <c r="O36" i="1"/>
  <c r="S16" i="1"/>
  <c r="W16" i="1"/>
  <c r="BA16" i="1" s="1"/>
  <c r="W9" i="1"/>
  <c r="BA9" i="1" s="1"/>
  <c r="AX36" i="1"/>
  <c r="BC38" i="1" s="1"/>
  <c r="BG46" i="1"/>
  <c r="AY9" i="1"/>
  <c r="AY36" i="1" s="1"/>
  <c r="AY37" i="1" s="1"/>
  <c r="U36" i="1"/>
  <c r="U37" i="1" s="1"/>
  <c r="V36" i="1"/>
  <c r="V37" i="1" s="1"/>
  <c r="AE37" i="1"/>
  <c r="AF36" i="1"/>
  <c r="BC45" i="1"/>
  <c r="BB45" i="1"/>
  <c r="J37" i="1"/>
  <c r="K36" i="1"/>
  <c r="Q36" i="1"/>
  <c r="P37" i="1"/>
  <c r="Q37" i="1" s="1"/>
  <c r="J46" i="3" l="1"/>
  <c r="J47" i="3" s="1"/>
  <c r="K38" i="3"/>
  <c r="K47" i="3"/>
  <c r="AW37" i="3"/>
  <c r="AV46" i="3"/>
  <c r="AV47" i="3" s="1"/>
  <c r="AW47" i="3"/>
  <c r="AW38" i="3"/>
  <c r="BA6" i="3"/>
  <c r="BA36" i="3" s="1"/>
  <c r="W36" i="3"/>
  <c r="W37" i="3" s="1"/>
  <c r="AF37" i="3"/>
  <c r="AE46" i="3"/>
  <c r="AE47" i="3" s="1"/>
  <c r="AF38" i="3"/>
  <c r="AF47" i="3"/>
  <c r="AM46" i="3"/>
  <c r="AM47" i="3" s="1"/>
  <c r="AN47" i="3"/>
  <c r="AN38" i="3"/>
  <c r="AN37" i="3"/>
  <c r="S38" i="3"/>
  <c r="S47" i="3"/>
  <c r="R46" i="3"/>
  <c r="R47" i="3" s="1"/>
  <c r="S37" i="3"/>
  <c r="AF37" i="2"/>
  <c r="AF38" i="2"/>
  <c r="AE46" i="2"/>
  <c r="AE47" i="2" s="1"/>
  <c r="AF47" i="2"/>
  <c r="J37" i="2"/>
  <c r="K36" i="2"/>
  <c r="BC45" i="2"/>
  <c r="BB45" i="2"/>
  <c r="AV46" i="2"/>
  <c r="AV47" i="2" s="1"/>
  <c r="AW37" i="2"/>
  <c r="AW47" i="2"/>
  <c r="AW38" i="2"/>
  <c r="BA36" i="2"/>
  <c r="S36" i="2"/>
  <c r="R37" i="2"/>
  <c r="W36" i="2"/>
  <c r="W37" i="2" s="1"/>
  <c r="AF38" i="1"/>
  <c r="AF37" i="1"/>
  <c r="AE46" i="1"/>
  <c r="AE47" i="1" s="1"/>
  <c r="AF47" i="1"/>
  <c r="K47" i="1"/>
  <c r="K38" i="1"/>
  <c r="J46" i="1"/>
  <c r="J47" i="1" s="1"/>
  <c r="BA36" i="1"/>
  <c r="S38" i="1"/>
  <c r="S47" i="1"/>
  <c r="R46" i="1"/>
  <c r="R47" i="1" s="1"/>
  <c r="S37" i="1"/>
  <c r="W36" i="1"/>
  <c r="W37" i="1" s="1"/>
  <c r="X47" i="3" l="1"/>
  <c r="W38" i="3"/>
  <c r="W46" i="3"/>
  <c r="W47" i="3" s="1"/>
  <c r="BA37" i="3"/>
  <c r="BA39" i="3"/>
  <c r="BB39" i="3" s="1"/>
  <c r="K47" i="2"/>
  <c r="K38" i="2"/>
  <c r="J46" i="2"/>
  <c r="J47" i="2" s="1"/>
  <c r="S47" i="2"/>
  <c r="S38" i="2"/>
  <c r="R46" i="2"/>
  <c r="R47" i="2" s="1"/>
  <c r="S37" i="2"/>
  <c r="X47" i="2"/>
  <c r="W38" i="2"/>
  <c r="W46" i="2"/>
  <c r="W47" i="2" s="1"/>
  <c r="BA39" i="2"/>
  <c r="BB39" i="2" s="1"/>
  <c r="BA37" i="2"/>
  <c r="BA39" i="1"/>
  <c r="BB39" i="1" s="1"/>
  <c r="BA37" i="1"/>
  <c r="X47" i="1"/>
  <c r="W38" i="1"/>
  <c r="W46" i="1"/>
  <c r="W47" i="1" s="1"/>
  <c r="BA40" i="3" l="1"/>
  <c r="BB41" i="3" s="1"/>
  <c r="BB38" i="3"/>
  <c r="BA43" i="3"/>
  <c r="BB46" i="3"/>
  <c r="BA45" i="3"/>
  <c r="BA46" i="3" s="1"/>
  <c r="BA43" i="2"/>
  <c r="BB46" i="2"/>
  <c r="BA40" i="2"/>
  <c r="BB41" i="2" s="1"/>
  <c r="BB38" i="2"/>
  <c r="BA45" i="2"/>
  <c r="BA46" i="2" s="1"/>
  <c r="BB38" i="1"/>
  <c r="BA43" i="1"/>
  <c r="BB46" i="1"/>
  <c r="BA40" i="1"/>
  <c r="BB41" i="1" s="1"/>
  <c r="BA45" i="1"/>
  <c r="BA4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30F151DF-6EE0-B541-A375-C2A94293F06B}">
      <text>
        <r>
          <rPr>
            <sz val="11"/>
            <color indexed="10"/>
            <rFont val="游ゴシック"/>
            <family val="3"/>
          </rPr>
          <t>月の数字のみ入力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6E377DF1-126D-B94B-8D86-BAA9ABEFB9E3}">
      <text>
        <r>
          <rPr>
            <sz val="11"/>
            <color indexed="10"/>
            <rFont val="游ゴシック"/>
            <family val="3"/>
          </rPr>
          <t>月の数字のみ入力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392BABEF-C287-7249-851B-BAFF783FF971}">
      <text>
        <r>
          <rPr>
            <sz val="11"/>
            <color indexed="10"/>
            <rFont val="游ゴシック"/>
            <family val="3"/>
          </rPr>
          <t>月の数字のみ入力</t>
        </r>
      </text>
    </comment>
  </commentList>
</comments>
</file>

<file path=xl/sharedStrings.xml><?xml version="1.0" encoding="utf-8"?>
<sst xmlns="http://schemas.openxmlformats.org/spreadsheetml/2006/main" count="501" uniqueCount="106">
  <si>
    <t>※割引反映前</t>
  </si>
  <si>
    <t>金額：(税込)</t>
  </si>
  <si>
    <t>GA</t>
    <phoneticPr fontId="8"/>
  </si>
  <si>
    <t>LUNCH</t>
  </si>
  <si>
    <t>DINNER（計算式あり・入力不要）</t>
  </si>
  <si>
    <t>レストランTOTAL売上（税込）</t>
  </si>
  <si>
    <t>EAT-IN・T/O（税込）</t>
    <phoneticPr fontId="8"/>
  </si>
  <si>
    <t>宴会（テレビ塔ケータリング）手数料払い出し済み</t>
    <rPh sb="0" eb="2">
      <t xml:space="preserve">エンカイ </t>
    </rPh>
    <rPh sb="14" eb="17">
      <t xml:space="preserve">テスウリョウ </t>
    </rPh>
    <rPh sb="17" eb="18">
      <t xml:space="preserve">ハライダシズミ </t>
    </rPh>
    <phoneticPr fontId="8"/>
  </si>
  <si>
    <t>ビアガーデン 9/3まで　ピコレワインフェア9/9~10/1まで</t>
    <phoneticPr fontId="8"/>
  </si>
  <si>
    <t>L+D＋T/O＋宴会場+BG（人数は含まず）TOTAL</t>
    <rPh sb="19" eb="22">
      <t xml:space="preserve">エンカイジョウ </t>
    </rPh>
    <phoneticPr fontId="8"/>
  </si>
  <si>
    <t>レストラン営業終了後トータル売上（入力用税込）</t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</si>
  <si>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</si>
  <si>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</si>
  <si>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</si>
  <si>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</si>
  <si>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</si>
  <si>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</si>
  <si>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</si>
  <si>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</si>
  <si>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</si>
  <si>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</si>
  <si>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</si>
  <si>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</si>
  <si>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</si>
  <si>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</si>
  <si>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</si>
  <si>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t>料理単価</t>
  </si>
  <si>
    <t>飲料単価</t>
  </si>
  <si>
    <t>合計</t>
  </si>
  <si>
    <t>件数</t>
    <rPh sb="0" eb="2">
      <t xml:space="preserve">ケンスウ </t>
    </rPh>
    <phoneticPr fontId="8"/>
  </si>
  <si>
    <t>テント利用料</t>
    <rPh sb="3" eb="6">
      <t xml:space="preserve">リヨウリョウ </t>
    </rPh>
    <phoneticPr fontId="8"/>
  </si>
  <si>
    <t>その他</t>
    <phoneticPr fontId="8"/>
  </si>
  <si>
    <t>客数</t>
  </si>
  <si>
    <t>料理</t>
  </si>
  <si>
    <t>飲料</t>
  </si>
  <si>
    <t>室料</t>
    <rPh sb="0" eb="2">
      <t xml:space="preserve">シツリョウ </t>
    </rPh>
    <phoneticPr fontId="8"/>
  </si>
  <si>
    <t>展望台チケット（各種利用料）</t>
    <rPh sb="0" eb="3">
      <t xml:space="preserve">テンボウダイ </t>
    </rPh>
    <rPh sb="8" eb="10">
      <t xml:space="preserve">カクシュ </t>
    </rPh>
    <rPh sb="10" eb="13">
      <t xml:space="preserve">リヨウリョウ </t>
    </rPh>
    <phoneticPr fontId="8"/>
  </si>
  <si>
    <t>花束（各種利用料）</t>
    <rPh sb="3" eb="5">
      <t xml:space="preserve">カクシュ </t>
    </rPh>
    <rPh sb="5" eb="8">
      <t xml:space="preserve">リヨウリョウ </t>
    </rPh>
    <phoneticPr fontId="8"/>
  </si>
  <si>
    <t>招待券</t>
    <phoneticPr fontId="8"/>
  </si>
  <si>
    <t>売上合計　　　　　（花束預り金除く）</t>
  </si>
  <si>
    <t>アイス割引開始</t>
    <rPh sb="3" eb="5">
      <t>ワリビキ</t>
    </rPh>
    <rPh sb="5" eb="7">
      <t>カイシ</t>
    </rPh>
    <phoneticPr fontId="11"/>
  </si>
  <si>
    <t>税抜金額</t>
  </si>
  <si>
    <t>入客</t>
  </si>
  <si>
    <t>一日平均</t>
  </si>
  <si>
    <t>■ランチコメント</t>
  </si>
  <si>
    <t>■ディナーコメント</t>
  </si>
  <si>
    <t>■EAT-INコメント</t>
    <phoneticPr fontId="8"/>
  </si>
  <si>
    <t>■宴会コメント</t>
    <rPh sb="1" eb="3">
      <t xml:space="preserve">エンカイ </t>
    </rPh>
    <phoneticPr fontId="8"/>
  </si>
  <si>
    <t>■BGコメント</t>
    <phoneticPr fontId="8"/>
  </si>
  <si>
    <t>　1日売上平均（税込）</t>
  </si>
  <si>
    <t>　1日売上平均</t>
  </si>
  <si>
    <t>その他予算</t>
  </si>
  <si>
    <t>TOTAL予算</t>
  </si>
  <si>
    <t>7/25現在</t>
    <rPh sb="4" eb="6">
      <t xml:space="preserve">ゲンザイ </t>
    </rPh>
    <phoneticPr fontId="8"/>
  </si>
  <si>
    <t>ランチ予算</t>
  </si>
  <si>
    <t>当月残り日数</t>
  </si>
  <si>
    <t>ディナー予算</t>
  </si>
  <si>
    <t>レストラン予算</t>
    <phoneticPr fontId="8"/>
  </si>
  <si>
    <t>テイク予算</t>
  </si>
  <si>
    <t>宴会予算</t>
    <rPh sb="0" eb="2">
      <t xml:space="preserve">エンカイ </t>
    </rPh>
    <phoneticPr fontId="8"/>
  </si>
  <si>
    <t>ビアガーデン予算</t>
    <phoneticPr fontId="8"/>
  </si>
  <si>
    <t>予算まで</t>
  </si>
  <si>
    <t>粗利</t>
    <rPh sb="0" eb="2">
      <t xml:space="preserve">アラリ </t>
    </rPh>
    <phoneticPr fontId="8"/>
  </si>
  <si>
    <t>達成まで一日あたり</t>
  </si>
  <si>
    <t>平日BV単価</t>
    <rPh sb="0" eb="2">
      <t>ヘイジツ</t>
    </rPh>
    <rPh sb="4" eb="6">
      <t>タンカ</t>
    </rPh>
    <phoneticPr fontId="8"/>
  </si>
  <si>
    <t>スタートから</t>
    <phoneticPr fontId="8"/>
  </si>
  <si>
    <t>単価</t>
    <rPh sb="0" eb="2">
      <t xml:space="preserve">タンカ </t>
    </rPh>
    <phoneticPr fontId="8"/>
  </si>
  <si>
    <t>数量</t>
    <rPh sb="0" eb="2">
      <t xml:space="preserve">スウリョウ </t>
    </rPh>
    <phoneticPr fontId="8"/>
  </si>
  <si>
    <t>残数</t>
    <rPh sb="0" eb="2">
      <t xml:space="preserve">ザンスウ </t>
    </rPh>
    <phoneticPr fontId="8"/>
  </si>
  <si>
    <t>発注数</t>
    <rPh sb="0" eb="3">
      <t xml:space="preserve">ハッチュウスウ </t>
    </rPh>
    <phoneticPr fontId="8"/>
  </si>
  <si>
    <t>発注金額</t>
    <rPh sb="0" eb="4">
      <t xml:space="preserve">ハッチュウキンガク </t>
    </rPh>
    <phoneticPr fontId="8"/>
  </si>
  <si>
    <t>棚卸</t>
    <rPh sb="0" eb="2">
      <t xml:space="preserve">タナオロシ </t>
    </rPh>
    <phoneticPr fontId="8"/>
  </si>
  <si>
    <t>使用金額</t>
    <rPh sb="0" eb="4">
      <t xml:space="preserve">シヨウキンガク </t>
    </rPh>
    <phoneticPr fontId="8"/>
  </si>
  <si>
    <t>週末BV単価</t>
    <rPh sb="0" eb="2">
      <t>シュウマツ</t>
    </rPh>
    <rPh sb="4" eb="6">
      <t>タンカ</t>
    </rPh>
    <phoneticPr fontId="8"/>
  </si>
  <si>
    <t>焼酎</t>
    <rPh sb="0" eb="2">
      <t xml:space="preserve">ショウチュウ </t>
    </rPh>
    <phoneticPr fontId="8"/>
  </si>
  <si>
    <t>24日終了時点</t>
    <rPh sb="2" eb="3">
      <t xml:space="preserve">ニチ </t>
    </rPh>
    <rPh sb="3" eb="7">
      <t xml:space="preserve">シュウリョウジテン </t>
    </rPh>
    <phoneticPr fontId="8"/>
  </si>
  <si>
    <t>クラシック20</t>
    <phoneticPr fontId="8"/>
  </si>
  <si>
    <t>JW</t>
    <phoneticPr fontId="8"/>
  </si>
  <si>
    <t>L</t>
    <phoneticPr fontId="8"/>
  </si>
  <si>
    <t>ソラチ10</t>
    <phoneticPr fontId="8"/>
  </si>
  <si>
    <t>D</t>
    <phoneticPr fontId="8"/>
  </si>
  <si>
    <t>ç</t>
    <phoneticPr fontId="8"/>
  </si>
  <si>
    <t>余市ケルナー</t>
    <rPh sb="0" eb="2">
      <t xml:space="preserve">ヨイチ </t>
    </rPh>
    <phoneticPr fontId="8"/>
  </si>
  <si>
    <t>NP</t>
    <phoneticPr fontId="8"/>
  </si>
  <si>
    <t>余市ツバい</t>
    <rPh sb="0" eb="1">
      <t xml:space="preserve">ヨイチ </t>
    </rPh>
    <phoneticPr fontId="8"/>
  </si>
  <si>
    <t>ポールスター</t>
    <phoneticPr fontId="8"/>
  </si>
  <si>
    <t>テタンジェ</t>
    <phoneticPr fontId="8"/>
  </si>
  <si>
    <t>ノクターン</t>
    <phoneticPr fontId="8"/>
  </si>
  <si>
    <t>TOTAL</t>
    <phoneticPr fontId="8"/>
  </si>
  <si>
    <t>カベルネ史ラーズ</t>
    <rPh sb="4" eb="5">
      <t xml:space="preserve">シラーズ </t>
    </rPh>
    <phoneticPr fontId="8"/>
  </si>
  <si>
    <t>シャルドネ</t>
    <phoneticPr fontId="8"/>
  </si>
  <si>
    <t>ベリンじゃ</t>
    <phoneticPr fontId="8"/>
  </si>
  <si>
    <t>氷彩サワー</t>
    <rPh sb="0" eb="1">
      <t xml:space="preserve">コオリ </t>
    </rPh>
    <rPh sb="1" eb="2">
      <t xml:space="preserve">イロドル </t>
    </rPh>
    <phoneticPr fontId="8"/>
  </si>
  <si>
    <t>デュワーズ</t>
    <phoneticPr fontId="8"/>
  </si>
  <si>
    <t>カシス</t>
    <phoneticPr fontId="8"/>
  </si>
  <si>
    <t>ピーチ</t>
    <phoneticPr fontId="8"/>
  </si>
  <si>
    <t>ウーロン</t>
    <phoneticPr fontId="8"/>
  </si>
  <si>
    <t>プレミアムフリー</t>
    <phoneticPr fontId="8"/>
  </si>
  <si>
    <t>コーン茶</t>
    <phoneticPr fontId="8"/>
  </si>
  <si>
    <t>オレンジセコマ</t>
    <phoneticPr fontId="8"/>
  </si>
  <si>
    <t>オレンジリボン</t>
    <phoneticPr fontId="8"/>
  </si>
  <si>
    <t>炭酸ガス</t>
    <rPh sb="0" eb="2">
      <t xml:space="preserve">タンサンガス </t>
    </rPh>
    <phoneticPr fontId="8"/>
  </si>
  <si>
    <t>ディナー貸切</t>
    <rPh sb="4" eb="6">
      <t>カシキリ</t>
    </rPh>
    <phoneticPr fontId="11"/>
  </si>
  <si>
    <t>割引4000円</t>
    <rPh sb="0" eb="2">
      <t>ワリビキ</t>
    </rPh>
    <rPh sb="6" eb="7">
      <t>エン</t>
    </rPh>
    <phoneticPr fontId="11"/>
  </si>
  <si>
    <t>JWから１件</t>
    <rPh sb="5" eb="6">
      <t>ケン</t>
    </rPh>
    <phoneticPr fontId="11"/>
  </si>
  <si>
    <t>ランチ個11名前日に売上あり</t>
    <rPh sb="3" eb="4">
      <t>コ</t>
    </rPh>
    <rPh sb="6" eb="7">
      <t>メイ</t>
    </rPh>
    <rPh sb="7" eb="9">
      <t>ゼンジツ</t>
    </rPh>
    <rPh sb="10" eb="12">
      <t>ウリアゲ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</si>
</sst>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  <numFmt numFmtId="187" formatCode="0.0_ "/>
    <numFmt numFmtId="188" formatCode="0_ "/>
  </numFmts>
  <fonts count="23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1"/>
      <color indexed="8"/>
      <name val="游ゴシック"/>
      <family val="3"/>
    </font>
    <font>
      <sz val="9"/>
      <color indexed="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indexed="8"/>
      <name val="游ゴシック"/>
      <family val="3"/>
      <charset val="128"/>
      <scheme val="minor"/>
    </font>
    <font>
      <sz val="8"/>
      <color indexed="8"/>
      <name val="游ゴシック"/>
      <family val="3"/>
      <charset val="128"/>
      <scheme val="minor"/>
    </font>
    <font>
      <b/>
      <sz val="12"/>
      <color indexed="8"/>
      <name val="游ゴシック"/>
      <family val="3"/>
      <charset val="128"/>
      <scheme val="minor"/>
    </font>
    <font>
      <sz val="6"/>
      <name val="07LogoTypeGothic-Condense"/>
      <family val="3"/>
      <charset val="128"/>
    </font>
    <font>
      <b/>
      <sz val="11"/>
      <color indexed="8"/>
      <name val="游ゴシック"/>
      <family val="3"/>
      <charset val="128"/>
      <scheme val="minor"/>
    </font>
    <font>
      <b/>
      <sz val="8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8"/>
      <color indexed="8"/>
      <name val="游ゴシック"/>
      <family val="3"/>
      <charset val="128"/>
      <scheme val="minor"/>
    </font>
    <font>
      <b/>
      <sz val="7"/>
      <color indexed="8"/>
      <name val="游ゴシック"/>
      <family val="3"/>
      <charset val="128"/>
      <scheme val="minor"/>
    </font>
    <font>
      <b/>
      <sz val="6"/>
      <color indexed="8"/>
      <name val="游ゴシック"/>
      <family val="3"/>
      <charset val="128"/>
      <scheme val="minor"/>
    </font>
    <font>
      <sz val="9"/>
      <color indexed="10"/>
      <name val="游ゴシック"/>
      <family val="3"/>
      <charset val="128"/>
      <scheme val="minor"/>
    </font>
    <font>
      <b/>
      <sz val="14"/>
      <color indexed="8"/>
      <name val="游ゴシック"/>
      <family val="3"/>
      <charset val="128"/>
      <scheme val="minor"/>
    </font>
    <font>
      <sz val="11"/>
      <color indexed="8"/>
      <name val="游ゴシック"/>
      <family val="3"/>
      <charset val="128"/>
      <scheme val="minor"/>
    </font>
    <font>
      <b/>
      <sz val="11"/>
      <color indexed="8"/>
      <name val="游ゴシック (本文)"/>
      <family val="3"/>
      <charset val="128"/>
    </font>
    <font>
      <b/>
      <sz val="10"/>
      <color indexed="8"/>
      <name val="游ゴシック"/>
      <family val="3"/>
      <charset val="128"/>
      <scheme val="minor"/>
    </font>
    <font>
      <sz val="12"/>
      <color indexed="8"/>
      <name val="游ゴシック"/>
      <family val="3"/>
      <charset val="128"/>
      <scheme val="minor"/>
    </font>
    <font>
      <b/>
      <sz val="16"/>
      <color indexed="8"/>
      <name val="游ゴシック"/>
      <family val="3"/>
      <charset val="128"/>
      <scheme val="minor"/>
    </font>
    <font>
      <sz val="11"/>
      <color indexed="10"/>
      <name val="游ゴシック"/>
      <family val="3"/>
    </font>
  </fonts>
  <fills count="20">
    <fill>
      <patternFill patternType="none"/>
    </fill>
    <fill>
      <patternFill patternType="gray125"/>
    </fill>
    <fill>
      <patternFill patternType="solid">
        <fgColor indexed="26"/>
        <bgColor indexed="43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43"/>
      </patternFill>
    </fill>
    <fill>
      <patternFill patternType="solid">
        <fgColor theme="9" tint="0.79998168889431442"/>
        <bgColor indexed="43"/>
      </patternFill>
    </fill>
    <fill>
      <patternFill patternType="solid">
        <fgColor theme="7" tint="0.59999389629810485"/>
        <bgColor indexed="43"/>
      </patternFill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5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8" tint="0.79998168889431442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38" fontId="2" fillId="0" borderId="0"/>
    <xf numFmtId="184" fontId="2" fillId="0" borderId="0"/>
  </cellStyleXfs>
  <cellXfs count="220">
    <xf numFmtId="0" fontId="0" fillId="0" borderId="0" xfId="0">
      <alignment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left" vertical="center" wrapText="1"/>
    </xf>
    <xf numFmtId="0" fontId="3" fillId="0" borderId="0" xfId="3" applyFont="1" applyAlignment="1">
      <alignment horizontal="center" vertical="center" wrapText="1"/>
    </xf>
    <xf numFmtId="38" fontId="3" fillId="0" borderId="0" xfId="4" applyFont="1" applyAlignment="1">
      <alignment horizontal="center" vertical="center" wrapText="1"/>
    </xf>
    <xf numFmtId="176" fontId="6" fillId="0" borderId="0" xfId="3" applyNumberFormat="1" applyFont="1" applyAlignment="1">
      <alignment horizontal="center" vertical="center" wrapText="1"/>
    </xf>
    <xf numFmtId="177" fontId="5" fillId="0" borderId="0" xfId="3" applyNumberFormat="1" applyFont="1" applyAlignment="1">
      <alignment horizontal="left" vertical="center" wrapText="1"/>
    </xf>
    <xf numFmtId="177" fontId="5" fillId="0" borderId="0" xfId="3" applyNumberFormat="1" applyFont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176" fontId="3" fillId="0" borderId="0" xfId="3" applyNumberFormat="1" applyFont="1" applyAlignment="1">
      <alignment horizontal="center" vertical="center" wrapText="1"/>
    </xf>
    <xf numFmtId="177" fontId="7" fillId="0" borderId="1" xfId="3" applyNumberFormat="1" applyFont="1" applyBorder="1" applyAlignment="1">
      <alignment horizontal="center" vertical="center" wrapText="1"/>
    </xf>
    <xf numFmtId="177" fontId="3" fillId="0" borderId="2" xfId="3" applyNumberFormat="1" applyFont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 wrapText="1"/>
    </xf>
    <xf numFmtId="0" fontId="9" fillId="0" borderId="4" xfId="3" applyFont="1" applyBorder="1" applyAlignment="1">
      <alignment horizontal="center" vertical="center" wrapText="1"/>
    </xf>
    <xf numFmtId="0" fontId="9" fillId="4" borderId="3" xfId="3" applyFont="1" applyFill="1" applyBorder="1" applyAlignment="1">
      <alignment horizontal="center" vertical="center" wrapText="1"/>
    </xf>
    <xf numFmtId="0" fontId="9" fillId="5" borderId="5" xfId="3" applyFont="1" applyFill="1" applyBorder="1" applyAlignment="1">
      <alignment horizontal="center" vertical="center" wrapText="1"/>
    </xf>
    <xf numFmtId="0" fontId="9" fillId="5" borderId="6" xfId="3" applyFont="1" applyFill="1" applyBorder="1" applyAlignment="1">
      <alignment horizontal="center" vertical="center" wrapText="1"/>
    </xf>
    <xf numFmtId="0" fontId="9" fillId="5" borderId="7" xfId="3" applyFont="1" applyFill="1" applyBorder="1" applyAlignment="1">
      <alignment horizontal="center" vertical="center" wrapText="1"/>
    </xf>
    <xf numFmtId="0" fontId="9" fillId="6" borderId="5" xfId="3" applyFont="1" applyFill="1" applyBorder="1" applyAlignment="1">
      <alignment horizontal="center" vertical="center" wrapText="1"/>
    </xf>
    <xf numFmtId="0" fontId="9" fillId="6" borderId="6" xfId="3" applyFont="1" applyFill="1" applyBorder="1" applyAlignment="1">
      <alignment horizontal="center" vertical="center" wrapText="1"/>
    </xf>
    <xf numFmtId="0" fontId="9" fillId="6" borderId="7" xfId="3" applyFont="1" applyFill="1" applyBorder="1" applyAlignment="1">
      <alignment horizontal="center" vertical="center" wrapText="1"/>
    </xf>
    <xf numFmtId="0" fontId="9" fillId="0" borderId="7" xfId="3" applyFont="1" applyBorder="1" applyAlignment="1">
      <alignment horizontal="center" vertical="center" wrapText="1"/>
    </xf>
    <xf numFmtId="0" fontId="9" fillId="0" borderId="8" xfId="3" applyFont="1" applyBorder="1" applyAlignment="1">
      <alignment horizontal="center" vertical="center" wrapText="1"/>
    </xf>
    <xf numFmtId="0" fontId="9" fillId="7" borderId="9" xfId="3" applyFont="1" applyFill="1" applyBorder="1" applyAlignment="1">
      <alignment horizontal="center" vertical="center" wrapText="1"/>
    </xf>
    <xf numFmtId="0" fontId="9" fillId="7" borderId="10" xfId="3" applyFont="1" applyFill="1" applyBorder="1" applyAlignment="1">
      <alignment horizontal="center" vertical="center" wrapText="1"/>
    </xf>
    <xf numFmtId="0" fontId="9" fillId="7" borderId="11" xfId="3" applyFont="1" applyFill="1" applyBorder="1" applyAlignment="1">
      <alignment horizontal="center" vertical="center" wrapText="1"/>
    </xf>
    <xf numFmtId="176" fontId="5" fillId="0" borderId="0" xfId="3" applyNumberFormat="1" applyFont="1" applyAlignment="1">
      <alignment horizontal="center" vertical="center" wrapText="1"/>
    </xf>
    <xf numFmtId="177" fontId="5" fillId="0" borderId="12" xfId="3" applyNumberFormat="1" applyFont="1" applyBorder="1" applyAlignment="1">
      <alignment horizontal="center" vertical="center" wrapText="1"/>
    </xf>
    <xf numFmtId="0" fontId="5" fillId="0" borderId="13" xfId="3" applyFont="1" applyBorder="1" applyAlignment="1">
      <alignment horizontal="center" vertical="center" wrapText="1"/>
    </xf>
    <xf numFmtId="0" fontId="5" fillId="2" borderId="13" xfId="3" applyFont="1" applyFill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3" borderId="13" xfId="3" applyFont="1" applyFill="1" applyBorder="1" applyAlignment="1">
      <alignment horizontal="center" vertical="center" wrapText="1"/>
    </xf>
    <xf numFmtId="0" fontId="5" fillId="0" borderId="15" xfId="3" applyFont="1" applyBorder="1" applyAlignment="1">
      <alignment horizontal="center" vertical="center" wrapText="1"/>
    </xf>
    <xf numFmtId="0" fontId="5" fillId="0" borderId="16" xfId="3" applyFont="1" applyBorder="1" applyAlignment="1">
      <alignment horizontal="center" vertical="center" wrapText="1"/>
    </xf>
    <xf numFmtId="0" fontId="5" fillId="0" borderId="12" xfId="3" applyFont="1" applyBorder="1" applyAlignment="1">
      <alignment horizontal="center" vertical="center" wrapText="1"/>
    </xf>
    <xf numFmtId="0" fontId="5" fillId="0" borderId="17" xfId="3" applyFont="1" applyBorder="1" applyAlignment="1">
      <alignment horizontal="center" vertical="center" wrapText="1"/>
    </xf>
    <xf numFmtId="0" fontId="5" fillId="4" borderId="13" xfId="3" applyFont="1" applyFill="1" applyBorder="1" applyAlignment="1">
      <alignment horizontal="center" vertical="center" wrapText="1"/>
    </xf>
    <xf numFmtId="0" fontId="5" fillId="0" borderId="18" xfId="3" applyFont="1" applyBorder="1" applyAlignment="1">
      <alignment horizontal="center" vertical="center" wrapText="1"/>
    </xf>
    <xf numFmtId="0" fontId="5" fillId="5" borderId="13" xfId="3" applyFont="1" applyFill="1" applyBorder="1" applyAlignment="1">
      <alignment horizontal="center" vertical="center" wrapText="1"/>
    </xf>
    <xf numFmtId="0" fontId="5" fillId="0" borderId="19" xfId="3" applyFont="1" applyBorder="1" applyAlignment="1">
      <alignment horizontal="center" vertical="center" wrapText="1"/>
    </xf>
    <xf numFmtId="0" fontId="5" fillId="6" borderId="13" xfId="3" applyFont="1" applyFill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 wrapText="1"/>
    </xf>
    <xf numFmtId="0" fontId="5" fillId="0" borderId="20" xfId="3" applyFont="1" applyBorder="1" applyAlignment="1">
      <alignment horizontal="center" vertical="center" wrapText="1"/>
    </xf>
    <xf numFmtId="38" fontId="5" fillId="0" borderId="21" xfId="4" applyFont="1" applyBorder="1" applyAlignment="1">
      <alignment horizontal="center" vertical="center" wrapText="1"/>
    </xf>
    <xf numFmtId="38" fontId="5" fillId="0" borderId="0" xfId="4" applyFont="1" applyAlignment="1">
      <alignment horizontal="center" vertical="center" wrapText="1"/>
    </xf>
    <xf numFmtId="0" fontId="3" fillId="0" borderId="0" xfId="3" applyFont="1"/>
    <xf numFmtId="178" fontId="10" fillId="0" borderId="22" xfId="3" applyNumberFormat="1" applyFont="1" applyBorder="1" applyAlignment="1">
      <alignment horizontal="left"/>
    </xf>
    <xf numFmtId="38" fontId="3" fillId="0" borderId="22" xfId="3" applyNumberFormat="1" applyFont="1" applyBorder="1"/>
    <xf numFmtId="179" fontId="3" fillId="0" borderId="23" xfId="3" applyNumberFormat="1" applyFont="1" applyBorder="1"/>
    <xf numFmtId="180" fontId="3" fillId="2" borderId="23" xfId="4" applyNumberFormat="1" applyFont="1" applyFill="1" applyBorder="1"/>
    <xf numFmtId="38" fontId="3" fillId="8" borderId="23" xfId="4" applyFont="1" applyFill="1" applyBorder="1"/>
    <xf numFmtId="38" fontId="5" fillId="0" borderId="24" xfId="4" applyFont="1" applyBorder="1"/>
    <xf numFmtId="38" fontId="5" fillId="0" borderId="22" xfId="4" applyFont="1" applyBorder="1"/>
    <xf numFmtId="38" fontId="9" fillId="2" borderId="23" xfId="4" applyFont="1" applyFill="1" applyBorder="1"/>
    <xf numFmtId="40" fontId="3" fillId="0" borderId="25" xfId="3" applyNumberFormat="1" applyFont="1" applyBorder="1"/>
    <xf numFmtId="181" fontId="3" fillId="0" borderId="23" xfId="3" applyNumberFormat="1" applyFont="1" applyBorder="1"/>
    <xf numFmtId="180" fontId="3" fillId="3" borderId="23" xfId="4" applyNumberFormat="1" applyFont="1" applyFill="1" applyBorder="1"/>
    <xf numFmtId="38" fontId="3" fillId="0" borderId="23" xfId="4" applyFont="1" applyBorder="1"/>
    <xf numFmtId="38" fontId="9" fillId="0" borderId="20" xfId="4" applyFont="1" applyBorder="1"/>
    <xf numFmtId="180" fontId="3" fillId="0" borderId="26" xfId="4" applyNumberFormat="1" applyFont="1" applyBorder="1"/>
    <xf numFmtId="38" fontId="3" fillId="9" borderId="22" xfId="4" applyFont="1" applyFill="1" applyBorder="1"/>
    <xf numFmtId="179" fontId="3" fillId="4" borderId="23" xfId="3" applyNumberFormat="1" applyFont="1" applyFill="1" applyBorder="1"/>
    <xf numFmtId="180" fontId="3" fillId="10" borderId="23" xfId="4" applyNumberFormat="1" applyFont="1" applyFill="1" applyBorder="1"/>
    <xf numFmtId="38" fontId="3" fillId="3" borderId="20" xfId="4" applyFont="1" applyFill="1" applyBorder="1"/>
    <xf numFmtId="40" fontId="3" fillId="11" borderId="20" xfId="3" applyNumberFormat="1" applyFont="1" applyFill="1" applyBorder="1"/>
    <xf numFmtId="40" fontId="3" fillId="0" borderId="24" xfId="3" applyNumberFormat="1" applyFont="1" applyBorder="1"/>
    <xf numFmtId="38" fontId="3" fillId="12" borderId="20" xfId="3" applyNumberFormat="1" applyFont="1" applyFill="1" applyBorder="1"/>
    <xf numFmtId="38" fontId="5" fillId="3" borderId="20" xfId="4" applyFont="1" applyFill="1" applyBorder="1"/>
    <xf numFmtId="180" fontId="3" fillId="0" borderId="24" xfId="4" applyNumberFormat="1" applyFont="1" applyBorder="1"/>
    <xf numFmtId="38" fontId="9" fillId="0" borderId="22" xfId="4" applyFont="1" applyBorder="1"/>
    <xf numFmtId="38" fontId="3" fillId="0" borderId="22" xfId="4" applyFont="1" applyBorder="1"/>
    <xf numFmtId="38" fontId="3" fillId="13" borderId="4" xfId="4" applyFont="1" applyFill="1" applyBorder="1"/>
    <xf numFmtId="38" fontId="3" fillId="13" borderId="20" xfId="4" applyFont="1" applyFill="1" applyBorder="1"/>
    <xf numFmtId="38" fontId="5" fillId="13" borderId="20" xfId="4" applyFont="1" applyFill="1" applyBorder="1"/>
    <xf numFmtId="38" fontId="9" fillId="9" borderId="21" xfId="4" applyFont="1" applyFill="1" applyBorder="1"/>
    <xf numFmtId="38" fontId="3" fillId="0" borderId="0" xfId="4" applyFont="1"/>
    <xf numFmtId="178" fontId="10" fillId="0" borderId="5" xfId="3" applyNumberFormat="1" applyFont="1" applyBorder="1" applyAlignment="1">
      <alignment horizontal="left"/>
    </xf>
    <xf numFmtId="38" fontId="3" fillId="0" borderId="5" xfId="3" applyNumberFormat="1" applyFont="1" applyBorder="1"/>
    <xf numFmtId="180" fontId="3" fillId="0" borderId="4" xfId="4" applyNumberFormat="1" applyFont="1" applyBorder="1"/>
    <xf numFmtId="38" fontId="3" fillId="0" borderId="20" xfId="4" applyFont="1" applyBorder="1"/>
    <xf numFmtId="180" fontId="3" fillId="0" borderId="7" xfId="4" applyNumberFormat="1" applyFont="1" applyBorder="1"/>
    <xf numFmtId="38" fontId="6" fillId="0" borderId="5" xfId="3" applyNumberFormat="1" applyFont="1" applyBorder="1"/>
    <xf numFmtId="38" fontId="5" fillId="14" borderId="22" xfId="4" applyFont="1" applyFill="1" applyBorder="1"/>
    <xf numFmtId="38" fontId="3" fillId="0" borderId="0" xfId="3" applyNumberFormat="1" applyFont="1"/>
    <xf numFmtId="38" fontId="5" fillId="15" borderId="20" xfId="4" applyFont="1" applyFill="1" applyBorder="1"/>
    <xf numFmtId="179" fontId="3" fillId="4" borderId="20" xfId="3" applyNumberFormat="1" applyFont="1" applyFill="1" applyBorder="1"/>
    <xf numFmtId="180" fontId="3" fillId="10" borderId="20" xfId="4" applyNumberFormat="1" applyFont="1" applyFill="1" applyBorder="1"/>
    <xf numFmtId="38" fontId="3" fillId="8" borderId="20" xfId="4" applyFont="1" applyFill="1" applyBorder="1"/>
    <xf numFmtId="180" fontId="3" fillId="3" borderId="2" xfId="4" applyNumberFormat="1" applyFont="1" applyFill="1" applyBorder="1"/>
    <xf numFmtId="180" fontId="3" fillId="0" borderId="27" xfId="4" applyNumberFormat="1" applyFont="1" applyBorder="1"/>
    <xf numFmtId="38" fontId="3" fillId="0" borderId="2" xfId="4" applyFont="1" applyBorder="1"/>
    <xf numFmtId="38" fontId="3" fillId="9" borderId="3" xfId="4" applyFont="1" applyFill="1" applyBorder="1"/>
    <xf numFmtId="179" fontId="3" fillId="4" borderId="2" xfId="3" applyNumberFormat="1" applyFont="1" applyFill="1" applyBorder="1"/>
    <xf numFmtId="180" fontId="3" fillId="10" borderId="2" xfId="4" applyNumberFormat="1" applyFont="1" applyFill="1" applyBorder="1"/>
    <xf numFmtId="38" fontId="3" fillId="8" borderId="2" xfId="4" applyFont="1" applyFill="1" applyBorder="1"/>
    <xf numFmtId="38" fontId="5" fillId="0" borderId="28" xfId="4" applyFont="1" applyBorder="1"/>
    <xf numFmtId="38" fontId="5" fillId="0" borderId="29" xfId="4" applyFont="1" applyBorder="1"/>
    <xf numFmtId="38" fontId="3" fillId="3" borderId="2" xfId="4" applyFont="1" applyFill="1" applyBorder="1"/>
    <xf numFmtId="40" fontId="3" fillId="11" borderId="2" xfId="3" applyNumberFormat="1" applyFont="1" applyFill="1" applyBorder="1"/>
    <xf numFmtId="38" fontId="3" fillId="12" borderId="2" xfId="3" applyNumberFormat="1" applyFont="1" applyFill="1" applyBorder="1"/>
    <xf numFmtId="180" fontId="3" fillId="0" borderId="28" xfId="4" applyNumberFormat="1" applyFont="1" applyBorder="1"/>
    <xf numFmtId="38" fontId="3" fillId="13" borderId="30" xfId="4" applyFont="1" applyFill="1" applyBorder="1"/>
    <xf numFmtId="38" fontId="3" fillId="13" borderId="13" xfId="4" applyFont="1" applyFill="1" applyBorder="1"/>
    <xf numFmtId="38" fontId="5" fillId="13" borderId="13" xfId="4" applyFont="1" applyFill="1" applyBorder="1"/>
    <xf numFmtId="0" fontId="5" fillId="0" borderId="31" xfId="3" applyFont="1" applyBorder="1" applyAlignment="1">
      <alignment horizontal="left"/>
    </xf>
    <xf numFmtId="38" fontId="5" fillId="0" borderId="10" xfId="3" applyNumberFormat="1" applyFont="1" applyBorder="1"/>
    <xf numFmtId="179" fontId="5" fillId="0" borderId="32" xfId="3" applyNumberFormat="1" applyFont="1" applyBorder="1"/>
    <xf numFmtId="180" fontId="5" fillId="0" borderId="10" xfId="3" applyNumberFormat="1" applyFont="1" applyBorder="1"/>
    <xf numFmtId="38" fontId="12" fillId="0" borderId="32" xfId="3" applyNumberFormat="1" applyFont="1" applyBorder="1"/>
    <xf numFmtId="38" fontId="5" fillId="0" borderId="32" xfId="3" applyNumberFormat="1" applyFont="1" applyBorder="1"/>
    <xf numFmtId="38" fontId="5" fillId="0" borderId="31" xfId="3" applyNumberFormat="1" applyFont="1" applyBorder="1"/>
    <xf numFmtId="38" fontId="5" fillId="7" borderId="10" xfId="3" applyNumberFormat="1" applyFont="1" applyFill="1" applyBorder="1"/>
    <xf numFmtId="182" fontId="5" fillId="0" borderId="10" xfId="3" applyNumberFormat="1" applyFont="1" applyBorder="1" applyAlignment="1">
      <alignment shrinkToFit="1"/>
    </xf>
    <xf numFmtId="181" fontId="5" fillId="0" borderId="32" xfId="3" applyNumberFormat="1" applyFont="1" applyBorder="1"/>
    <xf numFmtId="38" fontId="12" fillId="0" borderId="10" xfId="3" applyNumberFormat="1" applyFont="1" applyBorder="1"/>
    <xf numFmtId="38" fontId="9" fillId="7" borderId="10" xfId="3" applyNumberFormat="1" applyFont="1" applyFill="1" applyBorder="1"/>
    <xf numFmtId="182" fontId="13" fillId="0" borderId="32" xfId="3" applyNumberFormat="1" applyFont="1" applyBorder="1" applyAlignment="1">
      <alignment shrinkToFit="1"/>
    </xf>
    <xf numFmtId="0" fontId="5" fillId="0" borderId="10" xfId="3" applyFont="1" applyBorder="1"/>
    <xf numFmtId="182" fontId="5" fillId="0" borderId="33" xfId="3" applyNumberFormat="1" applyFont="1" applyBorder="1"/>
    <xf numFmtId="179" fontId="5" fillId="11" borderId="32" xfId="3" applyNumberFormat="1" applyFont="1" applyFill="1" applyBorder="1"/>
    <xf numFmtId="182" fontId="5" fillId="0" borderId="32" xfId="3" applyNumberFormat="1" applyFont="1" applyBorder="1"/>
    <xf numFmtId="179" fontId="14" fillId="12" borderId="32" xfId="3" applyNumberFormat="1" applyFont="1" applyFill="1" applyBorder="1"/>
    <xf numFmtId="180" fontId="5" fillId="0" borderId="32" xfId="3" applyNumberFormat="1" applyFont="1" applyBorder="1"/>
    <xf numFmtId="38" fontId="5" fillId="0" borderId="10" xfId="4" applyFont="1" applyBorder="1"/>
    <xf numFmtId="38" fontId="5" fillId="7" borderId="23" xfId="4" applyFont="1" applyFill="1" applyBorder="1"/>
    <xf numFmtId="38" fontId="9" fillId="7" borderId="23" xfId="4" applyFont="1" applyFill="1" applyBorder="1"/>
    <xf numFmtId="0" fontId="5" fillId="0" borderId="0" xfId="3" applyFont="1"/>
    <xf numFmtId="38" fontId="5" fillId="14" borderId="20" xfId="4" applyFont="1" applyFill="1" applyBorder="1"/>
    <xf numFmtId="0" fontId="5" fillId="0" borderId="0" xfId="3" applyFont="1" applyAlignment="1">
      <alignment horizontal="left"/>
    </xf>
    <xf numFmtId="0" fontId="5" fillId="0" borderId="5" xfId="3" applyFont="1" applyBorder="1"/>
    <xf numFmtId="38" fontId="12" fillId="0" borderId="20" xfId="4" applyFont="1" applyBorder="1"/>
    <xf numFmtId="38" fontId="9" fillId="7" borderId="20" xfId="4" applyFont="1" applyFill="1" applyBorder="1"/>
    <xf numFmtId="38" fontId="5" fillId="0" borderId="20" xfId="4" applyFont="1" applyBorder="1"/>
    <xf numFmtId="38" fontId="5" fillId="7" borderId="20" xfId="4" applyFont="1" applyFill="1" applyBorder="1"/>
    <xf numFmtId="182" fontId="5" fillId="0" borderId="0" xfId="3" applyNumberFormat="1" applyFont="1" applyAlignment="1">
      <alignment shrinkToFit="1"/>
    </xf>
    <xf numFmtId="179" fontId="5" fillId="0" borderId="0" xfId="3" applyNumberFormat="1" applyFont="1"/>
    <xf numFmtId="182" fontId="12" fillId="0" borderId="0" xfId="3" applyNumberFormat="1" applyFont="1"/>
    <xf numFmtId="0" fontId="5" fillId="0" borderId="7" xfId="3" applyFont="1" applyBorder="1"/>
    <xf numFmtId="182" fontId="5" fillId="0" borderId="0" xfId="3" applyNumberFormat="1" applyFont="1"/>
    <xf numFmtId="182" fontId="5" fillId="0" borderId="34" xfId="3" applyNumberFormat="1" applyFont="1" applyBorder="1"/>
    <xf numFmtId="0" fontId="5" fillId="0" borderId="6" xfId="3" applyFont="1" applyBorder="1"/>
    <xf numFmtId="38" fontId="5" fillId="0" borderId="7" xfId="4" applyFont="1" applyBorder="1"/>
    <xf numFmtId="38" fontId="5" fillId="0" borderId="0" xfId="3" applyNumberFormat="1" applyFont="1"/>
    <xf numFmtId="38" fontId="5" fillId="0" borderId="0" xfId="4" applyFont="1"/>
    <xf numFmtId="0" fontId="3" fillId="0" borderId="0" xfId="3" applyFont="1" applyAlignment="1">
      <alignment horizontal="right"/>
    </xf>
    <xf numFmtId="183" fontId="5" fillId="0" borderId="0" xfId="3" applyNumberFormat="1" applyFont="1"/>
    <xf numFmtId="183" fontId="5" fillId="8" borderId="0" xfId="3" applyNumberFormat="1" applyFont="1" applyFill="1"/>
    <xf numFmtId="183" fontId="5" fillId="0" borderId="0" xfId="3" applyNumberFormat="1" applyFont="1" applyAlignment="1">
      <alignment horizontal="right"/>
    </xf>
    <xf numFmtId="184" fontId="5" fillId="0" borderId="0" xfId="5" applyFont="1"/>
    <xf numFmtId="184" fontId="5" fillId="0" borderId="0" xfId="5" applyFont="1" applyAlignment="1">
      <alignment shrinkToFit="1"/>
    </xf>
    <xf numFmtId="183" fontId="3" fillId="0" borderId="0" xfId="3" applyNumberFormat="1" applyFont="1"/>
    <xf numFmtId="183" fontId="5" fillId="4" borderId="0" xfId="3" applyNumberFormat="1" applyFont="1" applyFill="1"/>
    <xf numFmtId="180" fontId="3" fillId="0" borderId="0" xfId="3" applyNumberFormat="1" applyFont="1"/>
    <xf numFmtId="0" fontId="3" fillId="0" borderId="24" xfId="3" applyFont="1" applyBorder="1"/>
    <xf numFmtId="0" fontId="3" fillId="0" borderId="29" xfId="3" applyFont="1" applyBorder="1" applyAlignment="1">
      <alignment horizontal="right"/>
    </xf>
    <xf numFmtId="183" fontId="5" fillId="14" borderId="0" xfId="3" applyNumberFormat="1" applyFont="1" applyFill="1"/>
    <xf numFmtId="0" fontId="3" fillId="0" borderId="34" xfId="3" applyFont="1" applyBorder="1"/>
    <xf numFmtId="185" fontId="3" fillId="0" borderId="0" xfId="4" applyNumberFormat="1" applyFont="1"/>
    <xf numFmtId="0" fontId="15" fillId="0" borderId="20" xfId="3" applyFont="1" applyBorder="1" applyAlignment="1">
      <alignment horizontal="left" vertical="top" wrapText="1"/>
    </xf>
    <xf numFmtId="38" fontId="16" fillId="0" borderId="0" xfId="3" applyNumberFormat="1" applyFont="1" applyAlignment="1">
      <alignment vertical="center"/>
    </xf>
    <xf numFmtId="0" fontId="3" fillId="0" borderId="0" xfId="3" applyFont="1" applyAlignment="1">
      <alignment horizontal="center"/>
    </xf>
    <xf numFmtId="38" fontId="3" fillId="0" borderId="0" xfId="1" applyFont="1" applyAlignment="1"/>
    <xf numFmtId="10" fontId="1" fillId="0" borderId="0" xfId="2" applyNumberFormat="1" applyAlignment="1"/>
    <xf numFmtId="0" fontId="5" fillId="0" borderId="0" xfId="3" applyFont="1" applyAlignment="1">
      <alignment horizontal="center"/>
    </xf>
    <xf numFmtId="38" fontId="5" fillId="0" borderId="0" xfId="4" applyFont="1" applyAlignment="1">
      <alignment horizontal="right" vertical="center"/>
    </xf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horizontal="right" vertical="center"/>
    </xf>
    <xf numFmtId="0" fontId="5" fillId="0" borderId="0" xfId="3" applyFont="1" applyAlignment="1">
      <alignment horizontal="center" vertical="center" shrinkToFit="1"/>
    </xf>
    <xf numFmtId="186" fontId="5" fillId="0" borderId="0" xfId="2" applyNumberFormat="1" applyFont="1" applyAlignment="1"/>
    <xf numFmtId="187" fontId="5" fillId="7" borderId="0" xfId="3" applyNumberFormat="1" applyFont="1" applyFill="1"/>
    <xf numFmtId="0" fontId="9" fillId="0" borderId="0" xfId="3" applyFont="1" applyAlignment="1">
      <alignment vertical="center"/>
    </xf>
    <xf numFmtId="0" fontId="9" fillId="0" borderId="0" xfId="3" applyFont="1" applyAlignment="1">
      <alignment horizontal="right" vertical="center"/>
    </xf>
    <xf numFmtId="184" fontId="9" fillId="0" borderId="0" xfId="5" applyFont="1" applyAlignment="1">
      <alignment vertical="center"/>
    </xf>
    <xf numFmtId="10" fontId="9" fillId="0" borderId="0" xfId="2" applyNumberFormat="1" applyFont="1" applyAlignment="1">
      <alignment vertical="center"/>
    </xf>
    <xf numFmtId="0" fontId="17" fillId="0" borderId="0" xfId="3" applyFont="1" applyAlignment="1">
      <alignment vertical="center"/>
    </xf>
    <xf numFmtId="38" fontId="18" fillId="0" borderId="0" xfId="3" applyNumberFormat="1" applyFont="1"/>
    <xf numFmtId="38" fontId="18" fillId="0" borderId="0" xfId="1" applyFont="1" applyAlignment="1"/>
    <xf numFmtId="10" fontId="18" fillId="0" borderId="0" xfId="2" applyNumberFormat="1" applyFont="1" applyAlignment="1"/>
    <xf numFmtId="38" fontId="18" fillId="0" borderId="0" xfId="4" applyFont="1"/>
    <xf numFmtId="0" fontId="9" fillId="0" borderId="0" xfId="3" applyFont="1" applyAlignment="1">
      <alignment horizontal="left" vertical="center"/>
    </xf>
    <xf numFmtId="0" fontId="9" fillId="0" borderId="0" xfId="3" applyFont="1" applyAlignment="1">
      <alignment horizontal="center" vertical="center"/>
    </xf>
    <xf numFmtId="184" fontId="19" fillId="0" borderId="0" xfId="5" applyFont="1" applyAlignment="1">
      <alignment vertical="center"/>
    </xf>
    <xf numFmtId="10" fontId="19" fillId="0" borderId="0" xfId="2" applyNumberFormat="1" applyFont="1" applyAlignment="1">
      <alignment vertical="center"/>
    </xf>
    <xf numFmtId="38" fontId="17" fillId="0" borderId="0" xfId="4" applyFont="1" applyAlignment="1">
      <alignment vertical="center"/>
    </xf>
    <xf numFmtId="0" fontId="3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38" fontId="3" fillId="0" borderId="0" xfId="3" applyNumberFormat="1" applyFont="1" applyAlignment="1">
      <alignment horizontal="center" vertical="center"/>
    </xf>
    <xf numFmtId="0" fontId="20" fillId="0" borderId="0" xfId="3" applyFont="1" applyAlignment="1">
      <alignment horizontal="left" vertical="center"/>
    </xf>
    <xf numFmtId="180" fontId="3" fillId="0" borderId="0" xfId="3" applyNumberFormat="1" applyFont="1" applyAlignment="1">
      <alignment horizontal="left" vertical="center"/>
    </xf>
    <xf numFmtId="38" fontId="3" fillId="0" borderId="0" xfId="3" applyNumberFormat="1" applyFont="1" applyAlignment="1">
      <alignment horizontal="left" vertical="center"/>
    </xf>
    <xf numFmtId="0" fontId="3" fillId="0" borderId="0" xfId="3" applyFont="1" applyAlignment="1">
      <alignment vertical="center"/>
    </xf>
    <xf numFmtId="38" fontId="3" fillId="0" borderId="0" xfId="4" applyFont="1" applyAlignment="1">
      <alignment horizontal="left" vertical="center"/>
    </xf>
    <xf numFmtId="0" fontId="20" fillId="0" borderId="0" xfId="3" applyFont="1" applyAlignment="1">
      <alignment horizontal="center" vertical="center"/>
    </xf>
    <xf numFmtId="0" fontId="17" fillId="0" borderId="0" xfId="3" applyFont="1" applyAlignment="1">
      <alignment horizontal="center" vertical="center"/>
    </xf>
    <xf numFmtId="188" fontId="3" fillId="0" borderId="0" xfId="3" applyNumberFormat="1" applyFont="1" applyAlignment="1">
      <alignment horizontal="center" vertical="center"/>
    </xf>
    <xf numFmtId="38" fontId="3" fillId="0" borderId="0" xfId="1" applyFont="1" applyAlignment="1">
      <alignment horizontal="right" vertical="center"/>
    </xf>
    <xf numFmtId="38" fontId="0" fillId="0" borderId="0" xfId="1" applyFont="1" applyAlignment="1">
      <alignment horizontal="right" vertical="center"/>
    </xf>
    <xf numFmtId="38" fontId="3" fillId="0" borderId="0" xfId="4" applyFont="1" applyAlignment="1">
      <alignment vertical="center"/>
    </xf>
    <xf numFmtId="38" fontId="7" fillId="0" borderId="0" xfId="4" applyFont="1" applyAlignment="1">
      <alignment vertical="center"/>
    </xf>
    <xf numFmtId="38" fontId="5" fillId="0" borderId="0" xfId="4" applyFont="1" applyAlignment="1">
      <alignment vertical="center"/>
    </xf>
    <xf numFmtId="38" fontId="20" fillId="0" borderId="0" xfId="4" applyFont="1" applyAlignment="1">
      <alignment vertical="center"/>
    </xf>
    <xf numFmtId="0" fontId="20" fillId="0" borderId="0" xfId="3" applyFont="1" applyAlignment="1">
      <alignment vertical="center"/>
    </xf>
    <xf numFmtId="38" fontId="5" fillId="16" borderId="35" xfId="4" applyFont="1" applyFill="1" applyBorder="1" applyAlignment="1">
      <alignment horizontal="center" vertical="center"/>
    </xf>
    <xf numFmtId="38" fontId="5" fillId="0" borderId="35" xfId="4" applyFont="1" applyBorder="1" applyAlignment="1">
      <alignment horizontal="center" vertical="center"/>
    </xf>
    <xf numFmtId="38" fontId="20" fillId="0" borderId="35" xfId="1" applyFont="1" applyBorder="1" applyAlignment="1">
      <alignment horizontal="right" vertical="center"/>
    </xf>
    <xf numFmtId="186" fontId="1" fillId="0" borderId="35" xfId="2" applyNumberFormat="1" applyBorder="1" applyAlignment="1">
      <alignment horizontal="right" vertical="center"/>
    </xf>
    <xf numFmtId="38" fontId="7" fillId="0" borderId="35" xfId="3" applyNumberFormat="1" applyFont="1" applyBorder="1" applyAlignment="1">
      <alignment horizontal="right" vertical="center"/>
    </xf>
    <xf numFmtId="0" fontId="7" fillId="0" borderId="35" xfId="3" applyFont="1" applyBorder="1" applyAlignment="1">
      <alignment horizontal="right" vertical="center"/>
    </xf>
    <xf numFmtId="38" fontId="5" fillId="17" borderId="35" xfId="4" applyFont="1" applyFill="1" applyBorder="1" applyAlignment="1">
      <alignment horizontal="center" vertical="center"/>
    </xf>
    <xf numFmtId="38" fontId="20" fillId="0" borderId="0" xfId="3" applyNumberFormat="1" applyFont="1" applyAlignment="1">
      <alignment vertical="center"/>
    </xf>
    <xf numFmtId="38" fontId="3" fillId="0" borderId="0" xfId="1" applyFont="1" applyAlignment="1">
      <alignment horizontal="right"/>
    </xf>
    <xf numFmtId="0" fontId="5" fillId="18" borderId="35" xfId="3" applyFont="1" applyFill="1" applyBorder="1" applyAlignment="1">
      <alignment horizontal="center" vertical="center"/>
    </xf>
    <xf numFmtId="0" fontId="5" fillId="0" borderId="35" xfId="3" applyFont="1" applyBorder="1" applyAlignment="1">
      <alignment horizontal="center" vertical="center"/>
    </xf>
    <xf numFmtId="0" fontId="5" fillId="0" borderId="35" xfId="3" applyFont="1" applyBorder="1" applyAlignment="1">
      <alignment horizontal="center" vertical="center"/>
    </xf>
    <xf numFmtId="38" fontId="21" fillId="0" borderId="35" xfId="3" applyNumberFormat="1" applyFont="1" applyBorder="1" applyAlignment="1">
      <alignment horizontal="right" vertical="center"/>
    </xf>
    <xf numFmtId="0" fontId="21" fillId="0" borderId="35" xfId="3" applyFont="1" applyBorder="1" applyAlignment="1">
      <alignment horizontal="right" vertical="center"/>
    </xf>
    <xf numFmtId="38" fontId="9" fillId="0" borderId="0" xfId="3" applyNumberFormat="1" applyFont="1"/>
    <xf numFmtId="179" fontId="3" fillId="19" borderId="23" xfId="3" applyNumberFormat="1" applyFont="1" applyFill="1" applyBorder="1"/>
  </cellXfs>
  <cellStyles count="6">
    <cellStyle name="Excel Built-in Comma [0]" xfId="4" xr:uid="{DE180D58-E028-514B-B2DF-9FED38BAAB48}"/>
    <cellStyle name="Excel Built-in Currency [0]" xfId="5" xr:uid="{FE6F3DE5-E9C8-7B43-ADFA-EEACE320A69A}"/>
    <cellStyle name="Excel Built-in Normal 1" xfId="3" xr:uid="{EB75B75B-4FFD-EA45-988A-AE5832604BCB}"/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toshiiga/Desktop/GA&#22770;&#19978;&#26085;&#22577;.xlsx" TargetMode="External"/><Relationship Id="rId1" Type="http://schemas.openxmlformats.org/officeDocument/2006/relationships/externalLinkPath" Target="GA&#22770;&#19978;&#26085;&#225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料飲部全体進捗（月終了時点）"/>
      <sheetName val="R7GA予算"/>
      <sheetName val="2026(2)"/>
      <sheetName val="2025(2)"/>
      <sheetName val="2026(1)"/>
      <sheetName val="2025(1)"/>
      <sheetName val="2025(12)"/>
      <sheetName val="2024(12)"/>
      <sheetName val="2025(11)"/>
      <sheetName val="2024(11)"/>
      <sheetName val="2025(10)"/>
      <sheetName val="2024(10)"/>
      <sheetName val="2023(10)"/>
      <sheetName val="2025(9)"/>
      <sheetName val="2024(9)"/>
      <sheetName val="2023(9)"/>
      <sheetName val="2025(8)"/>
      <sheetName val="2024(8)"/>
      <sheetName val="2023(8)"/>
      <sheetName val="2025(7)"/>
      <sheetName val="2024(7)"/>
      <sheetName val="2023(7)"/>
      <sheetName val="2025(6)"/>
      <sheetName val="2024(6)"/>
      <sheetName val="2023(6)"/>
      <sheetName val="2025(5)"/>
      <sheetName val="2024(5)"/>
      <sheetName val="2025(4)"/>
      <sheetName val="2024(4)"/>
      <sheetName val="2025(3)"/>
      <sheetName val="2024(3)"/>
      <sheetName val="2024(2)"/>
      <sheetName val="2024(1)"/>
      <sheetName val="2023(12)"/>
      <sheetName val="2023(11)"/>
      <sheetName val="1stQuarter"/>
      <sheetName val="2023(5)"/>
      <sheetName val="料飲部全体進捗（8月終了時点） (2)"/>
      <sheetName val="2023(4)"/>
      <sheetName val="FBテイクアウト売上比率（JW）"/>
      <sheetName val="顧客リスト（リピーター）流入（JW）"/>
      <sheetName val="R4_ R3対比（客数・客単価）"/>
      <sheetName val="R4施策"/>
      <sheetName val="2022 (1)"/>
      <sheetName val="2022 (12)"/>
      <sheetName val="2021 (12)"/>
      <sheetName val="2022 (11)"/>
      <sheetName val="2021 (11)"/>
      <sheetName val="2022 (10)"/>
      <sheetName val="2021 (10)"/>
      <sheetName val="2022 (9)"/>
      <sheetName val="2021 (9)"/>
      <sheetName val="2022 (8)"/>
      <sheetName val="2021 (8)"/>
      <sheetName val="2022 (7)"/>
      <sheetName val="2021 (7)"/>
      <sheetName val="2022 (6)"/>
      <sheetName val="2021 (6)"/>
      <sheetName val="2022 (5)"/>
      <sheetName val="2021 (5)"/>
      <sheetName val="2022 (4)"/>
      <sheetName val="2021 (4)"/>
      <sheetName val="下期ー年度累計数値報告 (2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7">
          <cell r="AS37">
            <v>15843636.363636361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2690-CC1C-A942-8A14-CC48DF125CF7}">
  <dimension ref="A1:BO224"/>
  <sheetViews>
    <sheetView workbookViewId="0">
      <selection sqref="A1:XFD1048576"/>
    </sheetView>
  </sheetViews>
  <sheetFormatPr baseColWidth="10" defaultColWidth="11.140625" defaultRowHeight="16"/>
  <cols>
    <col min="1" max="1" width="11.140625" style="47"/>
    <col min="2" max="2" width="10.42578125" style="130" customWidth="1"/>
    <col min="3" max="3" width="12.42578125" style="47" customWidth="1"/>
    <col min="4" max="4" width="4.140625" style="47" customWidth="1"/>
    <col min="5" max="9" width="8.42578125" style="47" customWidth="1"/>
    <col min="10" max="10" width="12" style="47" customWidth="1"/>
    <col min="11" max="11" width="8.42578125" style="47" customWidth="1"/>
    <col min="12" max="12" width="3.85546875" style="47" customWidth="1"/>
    <col min="13" max="17" width="8.42578125" style="47" customWidth="1"/>
    <col min="18" max="18" width="12.42578125" style="47" customWidth="1"/>
    <col min="19" max="19" width="8.42578125" style="47" customWidth="1"/>
    <col min="20" max="23" width="11.140625" style="47"/>
    <col min="24" max="24" width="7.5703125" style="47" customWidth="1"/>
    <col min="25" max="25" width="3" style="47" customWidth="1"/>
    <col min="26" max="30" width="7.5703125" style="47" customWidth="1"/>
    <col min="31" max="31" width="10" style="47" customWidth="1"/>
    <col min="32" max="32" width="7.5703125" style="47" customWidth="1"/>
    <col min="33" max="33" width="3.5703125" style="47" customWidth="1"/>
    <col min="34" max="38" width="7.5703125" style="47" customWidth="1"/>
    <col min="39" max="39" width="11.85546875" style="47" customWidth="1"/>
    <col min="40" max="40" width="10" style="47" customWidth="1"/>
    <col min="41" max="41" width="4.140625" style="47" customWidth="1"/>
    <col min="42" max="46" width="7.5703125" style="47" customWidth="1"/>
    <col min="47" max="47" width="9.140625" style="47" customWidth="1"/>
    <col min="48" max="48" width="11.28515625" style="47" customWidth="1"/>
    <col min="49" max="49" width="7.5703125" style="47" customWidth="1"/>
    <col min="50" max="50" width="5.7109375" style="47" customWidth="1"/>
    <col min="51" max="52" width="9.140625" style="47" customWidth="1"/>
    <col min="53" max="53" width="13.5703125" style="47" customWidth="1"/>
    <col min="54" max="54" width="11.140625" style="47"/>
    <col min="55" max="55" width="14.85546875" style="47" customWidth="1"/>
    <col min="56" max="61" width="11.140625" style="47"/>
    <col min="62" max="62" width="11.140625" style="77"/>
    <col min="63" max="63" width="11.140625" style="47"/>
    <col min="64" max="64" width="11.140625" style="77"/>
    <col min="65" max="16384" width="11.140625" style="47"/>
  </cols>
  <sheetData>
    <row r="1" spans="1:64" s="3" customFormat="1">
      <c r="A1" s="1" t="s">
        <v>0</v>
      </c>
      <c r="B1" s="2"/>
      <c r="BJ1" s="4"/>
      <c r="BL1" s="4"/>
    </row>
    <row r="2" spans="1:64" s="3" customFormat="1" ht="35" thickBot="1">
      <c r="A2" s="5">
        <v>2024</v>
      </c>
      <c r="B2" s="6">
        <v>1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BB2" s="3" t="s">
        <v>1</v>
      </c>
      <c r="BJ2" s="4"/>
      <c r="BL2" s="4"/>
    </row>
    <row r="3" spans="1:64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5"/>
      <c r="AG3" s="16" t="s">
        <v>7</v>
      </c>
      <c r="AH3" s="17"/>
      <c r="AI3" s="17"/>
      <c r="AJ3" s="17"/>
      <c r="AK3" s="17"/>
      <c r="AL3" s="17"/>
      <c r="AM3" s="17"/>
      <c r="AN3" s="18"/>
      <c r="AO3" s="19" t="s">
        <v>8</v>
      </c>
      <c r="AP3" s="20"/>
      <c r="AQ3" s="20"/>
      <c r="AR3" s="20"/>
      <c r="AS3" s="20"/>
      <c r="AT3" s="20"/>
      <c r="AU3" s="20"/>
      <c r="AV3" s="20"/>
      <c r="AW3" s="21"/>
      <c r="AX3" s="22" t="s">
        <v>9</v>
      </c>
      <c r="AY3" s="14"/>
      <c r="AZ3" s="14"/>
      <c r="BA3" s="14"/>
      <c r="BB3" s="23"/>
      <c r="BC3" s="24" t="s">
        <v>10</v>
      </c>
      <c r="BD3" s="25"/>
      <c r="BE3" s="25"/>
      <c r="BF3" s="25"/>
      <c r="BG3" s="25"/>
      <c r="BH3" s="25"/>
      <c r="BI3" s="25"/>
      <c r="BJ3" s="26"/>
      <c r="BL3" s="4"/>
    </row>
    <row r="4" spans="1:64" s="8" customFormat="1" ht="53.25" customHeight="1" thickTop="1" thickBot="1">
      <c r="A4" s="27"/>
      <c r="B4" s="10"/>
      <c r="C4" s="28" t="s">
        <v>11</v>
      </c>
      <c r="D4" s="29" t="s">
        <v>12</v>
      </c>
      <c r="E4" s="30" t="s">
        <v>13</v>
      </c>
      <c r="F4" s="29" t="s">
        <v>14</v>
      </c>
      <c r="G4" s="31" t="s">
        <v>15</v>
      </c>
      <c r="H4" s="29" t="s">
        <v>16</v>
      </c>
      <c r="I4" s="32" t="s">
        <v>17</v>
      </c>
      <c r="J4" s="30" t="s">
        <v>18</v>
      </c>
      <c r="K4" s="29" t="s">
        <v>19</v>
      </c>
      <c r="L4" s="29" t="s">
        <v>20</v>
      </c>
      <c r="M4" s="33" t="s">
        <v>13</v>
      </c>
      <c r="N4" s="29" t="s">
        <v>14</v>
      </c>
      <c r="O4" s="31" t="s">
        <v>15</v>
      </c>
      <c r="P4" s="29" t="s">
        <v>16</v>
      </c>
      <c r="Q4" s="32" t="s">
        <v>17</v>
      </c>
      <c r="R4" s="30" t="s">
        <v>18</v>
      </c>
      <c r="S4" s="34" t="s">
        <v>19</v>
      </c>
      <c r="T4" s="35" t="s">
        <v>21</v>
      </c>
      <c r="U4" s="36" t="s">
        <v>22</v>
      </c>
      <c r="V4" s="36" t="s">
        <v>23</v>
      </c>
      <c r="W4" s="37" t="s">
        <v>24</v>
      </c>
      <c r="X4" s="36"/>
      <c r="Y4" s="38" t="s">
        <v>25</v>
      </c>
      <c r="Z4" s="29" t="s">
        <v>13</v>
      </c>
      <c r="AA4" s="29" t="s">
        <v>22</v>
      </c>
      <c r="AB4" s="31" t="s">
        <v>26</v>
      </c>
      <c r="AC4" s="29" t="s">
        <v>23</v>
      </c>
      <c r="AD4" s="32" t="s">
        <v>27</v>
      </c>
      <c r="AE4" s="33" t="s">
        <v>28</v>
      </c>
      <c r="AF4" s="39" t="s">
        <v>19</v>
      </c>
      <c r="AG4" s="40" t="s">
        <v>29</v>
      </c>
      <c r="AH4" s="29" t="s">
        <v>13</v>
      </c>
      <c r="AI4" s="29" t="s">
        <v>22</v>
      </c>
      <c r="AJ4" s="31" t="s">
        <v>26</v>
      </c>
      <c r="AK4" s="29" t="s">
        <v>23</v>
      </c>
      <c r="AL4" s="32" t="s">
        <v>27</v>
      </c>
      <c r="AM4" s="33" t="s">
        <v>28</v>
      </c>
      <c r="AN4" s="41" t="s">
        <v>19</v>
      </c>
      <c r="AO4" s="42" t="s">
        <v>29</v>
      </c>
      <c r="AP4" s="29" t="s">
        <v>13</v>
      </c>
      <c r="AQ4" s="29" t="s">
        <v>22</v>
      </c>
      <c r="AR4" s="31" t="s">
        <v>26</v>
      </c>
      <c r="AS4" s="29" t="s">
        <v>23</v>
      </c>
      <c r="AT4" s="32" t="s">
        <v>27</v>
      </c>
      <c r="AU4" s="32" t="s">
        <v>30</v>
      </c>
      <c r="AV4" s="33" t="s">
        <v>28</v>
      </c>
      <c r="AW4" s="41" t="s">
        <v>19</v>
      </c>
      <c r="AX4" s="41" t="s">
        <v>21</v>
      </c>
      <c r="AY4" s="36" t="s">
        <v>22</v>
      </c>
      <c r="AZ4" s="36" t="s">
        <v>23</v>
      </c>
      <c r="BA4" s="37" t="s">
        <v>24</v>
      </c>
      <c r="BB4" s="37" t="s">
        <v>31</v>
      </c>
      <c r="BC4" s="43" t="s">
        <v>32</v>
      </c>
      <c r="BD4" s="44" t="s">
        <v>33</v>
      </c>
      <c r="BE4" s="44" t="s">
        <v>34</v>
      </c>
      <c r="BF4" s="44" t="s">
        <v>35</v>
      </c>
      <c r="BG4" s="44" t="s">
        <v>36</v>
      </c>
      <c r="BH4" s="44" t="s">
        <v>37</v>
      </c>
      <c r="BI4" s="44" t="s">
        <v>38</v>
      </c>
      <c r="BJ4" s="45" t="s">
        <v>39</v>
      </c>
      <c r="BL4" s="46"/>
    </row>
    <row r="5" spans="1:64" ht="20" customHeight="1" thickTop="1">
      <c r="B5" s="48">
        <f>DATE($A$2,$B$2,1)</f>
        <v>45292</v>
      </c>
      <c r="C5" s="49"/>
      <c r="D5" s="50"/>
      <c r="E5" s="51"/>
      <c r="F5" s="52"/>
      <c r="G5" s="53" t="e">
        <f t="shared" ref="G5:G35" si="0">ROUNDDOWN(F5/1.1,0)/E5</f>
        <v>#DIV/0!</v>
      </c>
      <c r="H5" s="52"/>
      <c r="I5" s="54" t="e">
        <f t="shared" ref="I5:I35" si="1">ROUNDDOWN(H5/1.1,0)/E5</f>
        <v>#DIV/0!</v>
      </c>
      <c r="J5" s="55">
        <f t="shared" ref="J5:J35" si="2">F5+H5</f>
        <v>0</v>
      </c>
      <c r="K5" s="56" t="str">
        <f t="shared" ref="K5:K35" si="3">IF(E5="","",J5/E5)</f>
        <v/>
      </c>
      <c r="L5" s="57"/>
      <c r="M5" s="58">
        <f t="shared" ref="M5:N35" si="4">BC5-E5</f>
        <v>0</v>
      </c>
      <c r="N5" s="59">
        <f t="shared" si="4"/>
        <v>0</v>
      </c>
      <c r="O5" s="53" t="e">
        <f t="shared" ref="O5:O35" si="5">ROUNDDOWN(N5/1.1,0)/M5</f>
        <v>#DIV/0!</v>
      </c>
      <c r="P5" s="59">
        <f t="shared" ref="P5:P35" si="6">BE5-H5</f>
        <v>0</v>
      </c>
      <c r="Q5" s="54" t="e">
        <f t="shared" ref="Q5:Q35" si="7">ROUNDDOWN(P5/1.1,0)/M5</f>
        <v>#DIV/0!</v>
      </c>
      <c r="R5" s="60">
        <f t="shared" ref="R5:R35" si="8">N5+P5</f>
        <v>0</v>
      </c>
      <c r="S5" s="56" t="e">
        <f t="shared" ref="S5:S35" si="9">IF(M5="","",R5/M5)</f>
        <v>#DIV/0!</v>
      </c>
      <c r="T5" s="61">
        <f t="shared" ref="T5:U35" si="10">E5+M5</f>
        <v>0</v>
      </c>
      <c r="U5" s="59">
        <f t="shared" si="10"/>
        <v>0</v>
      </c>
      <c r="V5" s="59">
        <f t="shared" ref="V5:V35" si="11">H5+P5</f>
        <v>0</v>
      </c>
      <c r="W5" s="62">
        <f t="shared" ref="W5:W35" si="12">J5+R5</f>
        <v>0</v>
      </c>
      <c r="X5" s="59"/>
      <c r="Y5" s="63"/>
      <c r="Z5" s="64"/>
      <c r="AA5" s="52"/>
      <c r="AB5" s="53" t="e">
        <f t="shared" ref="AB5:AB35" si="13">AA5/Z5</f>
        <v>#DIV/0!</v>
      </c>
      <c r="AC5" s="52"/>
      <c r="AD5" s="54" t="e">
        <f t="shared" ref="AD5:AD35" si="14">AC5/Z5</f>
        <v>#DIV/0!</v>
      </c>
      <c r="AE5" s="65">
        <f t="shared" ref="AE5:AE35" si="15">AA5+AC5</f>
        <v>0</v>
      </c>
      <c r="AF5" s="56" t="str">
        <f t="shared" ref="AF5:AF35" si="16">IF(Z5="","",AE5/Z5)</f>
        <v/>
      </c>
      <c r="AG5" s="66"/>
      <c r="AH5" s="64"/>
      <c r="AI5" s="52"/>
      <c r="AJ5" s="53" t="e">
        <f t="shared" ref="AJ5:AJ35" si="17">AI5/AH5</f>
        <v>#DIV/0!</v>
      </c>
      <c r="AK5" s="52"/>
      <c r="AL5" s="54" t="e">
        <f t="shared" ref="AL5:AL35" si="18">AK5/AH5</f>
        <v>#DIV/0!</v>
      </c>
      <c r="AM5" s="65">
        <f>AI5+AK5</f>
        <v>0</v>
      </c>
      <c r="AN5" s="67" t="str">
        <f t="shared" ref="AN5:AN35" si="19">IF(AH5="","",AM5/AH5)</f>
        <v/>
      </c>
      <c r="AO5" s="68"/>
      <c r="AP5" s="64"/>
      <c r="AQ5" s="52"/>
      <c r="AR5" s="53" t="e">
        <f t="shared" ref="AR5:AR35" si="20">AQ5/AP5</f>
        <v>#DIV/0!</v>
      </c>
      <c r="AS5" s="52"/>
      <c r="AT5" s="54" t="e">
        <f t="shared" ref="AT5:AT35" si="21">AS5/AP5</f>
        <v>#DIV/0!</v>
      </c>
      <c r="AU5" s="54"/>
      <c r="AV5" s="69">
        <f>AQ5+AS5+AU5</f>
        <v>0</v>
      </c>
      <c r="AW5" s="67" t="str">
        <f t="shared" ref="AW5:AW35" si="22">IF(AP5="","",AV5/AP5)</f>
        <v/>
      </c>
      <c r="AX5" s="70">
        <f t="shared" ref="AX5:AX35" si="23">SUM(E5,M5)</f>
        <v>0</v>
      </c>
      <c r="AY5" s="59">
        <f t="shared" ref="AY5:AY35" si="24">U5+AA5+AI5+AQ5</f>
        <v>0</v>
      </c>
      <c r="AZ5" s="59">
        <f t="shared" ref="AZ5:AZ35" si="25">V5+AC5+AK5+AS5</f>
        <v>0</v>
      </c>
      <c r="BA5" s="71">
        <f t="shared" ref="BA5:BA35" si="26">W5+AE5+AM5+AV5</f>
        <v>0</v>
      </c>
      <c r="BB5" s="72">
        <f>BF5+BG5</f>
        <v>0</v>
      </c>
      <c r="BC5" s="73"/>
      <c r="BD5" s="74"/>
      <c r="BE5" s="74"/>
      <c r="BF5" s="75"/>
      <c r="BG5" s="75"/>
      <c r="BH5" s="75"/>
      <c r="BI5" s="75"/>
      <c r="BJ5" s="76">
        <f>SUM(BD5:BG5)</f>
        <v>0</v>
      </c>
      <c r="BK5" s="47">
        <v>1</v>
      </c>
      <c r="BL5" s="77">
        <f t="shared" ref="BL5:BL35" si="27">BI5+BJ5</f>
        <v>0</v>
      </c>
    </row>
    <row r="6" spans="1:64" ht="20" customHeight="1">
      <c r="B6" s="78">
        <f t="shared" ref="B6:B35" si="28">B5+1</f>
        <v>45293</v>
      </c>
      <c r="C6" s="79"/>
      <c r="D6" s="50"/>
      <c r="E6" s="51">
        <v>19</v>
      </c>
      <c r="F6" s="52">
        <v>110550</v>
      </c>
      <c r="G6" s="53">
        <f t="shared" si="0"/>
        <v>5289.4736842105267</v>
      </c>
      <c r="H6" s="52">
        <v>15030</v>
      </c>
      <c r="I6" s="54">
        <f t="shared" si="1"/>
        <v>719.10526315789468</v>
      </c>
      <c r="J6" s="55">
        <f t="shared" si="2"/>
        <v>125580</v>
      </c>
      <c r="K6" s="56">
        <f t="shared" si="3"/>
        <v>6609.4736842105267</v>
      </c>
      <c r="L6" s="57"/>
      <c r="M6" s="58">
        <f t="shared" si="4"/>
        <v>28</v>
      </c>
      <c r="N6" s="59">
        <f t="shared" si="4"/>
        <v>257640</v>
      </c>
      <c r="O6" s="53">
        <f t="shared" si="5"/>
        <v>8364.9285714285706</v>
      </c>
      <c r="P6" s="59">
        <f t="shared" si="6"/>
        <v>67110</v>
      </c>
      <c r="Q6" s="54">
        <f t="shared" si="7"/>
        <v>2178.8928571428573</v>
      </c>
      <c r="R6" s="60">
        <f t="shared" si="8"/>
        <v>324750</v>
      </c>
      <c r="S6" s="56">
        <f t="shared" si="9"/>
        <v>11598.214285714286</v>
      </c>
      <c r="T6" s="80">
        <f t="shared" si="10"/>
        <v>47</v>
      </c>
      <c r="U6" s="59">
        <f t="shared" si="10"/>
        <v>368190</v>
      </c>
      <c r="V6" s="59">
        <f t="shared" si="11"/>
        <v>82140</v>
      </c>
      <c r="W6" s="62">
        <f t="shared" si="12"/>
        <v>450330</v>
      </c>
      <c r="X6" s="81"/>
      <c r="Y6" s="63"/>
      <c r="Z6" s="64">
        <v>5</v>
      </c>
      <c r="AA6" s="52">
        <v>2450</v>
      </c>
      <c r="AB6" s="53">
        <f t="shared" si="13"/>
        <v>490</v>
      </c>
      <c r="AC6" s="52">
        <v>4050</v>
      </c>
      <c r="AD6" s="54">
        <f t="shared" si="14"/>
        <v>810</v>
      </c>
      <c r="AE6" s="65">
        <f>AA6+AC6</f>
        <v>6500</v>
      </c>
      <c r="AF6" s="56">
        <f t="shared" si="16"/>
        <v>1300</v>
      </c>
      <c r="AG6" s="66"/>
      <c r="AH6" s="64"/>
      <c r="AI6" s="52"/>
      <c r="AJ6" s="53" t="e">
        <f t="shared" si="17"/>
        <v>#DIV/0!</v>
      </c>
      <c r="AK6" s="52"/>
      <c r="AL6" s="54" t="e">
        <f t="shared" si="18"/>
        <v>#DIV/0!</v>
      </c>
      <c r="AM6" s="65">
        <f t="shared" ref="AM6:AM35" si="29">AI6+AK6</f>
        <v>0</v>
      </c>
      <c r="AN6" s="67" t="str">
        <f t="shared" si="19"/>
        <v/>
      </c>
      <c r="AO6" s="68"/>
      <c r="AP6" s="64"/>
      <c r="AQ6" s="52"/>
      <c r="AR6" s="53" t="e">
        <f t="shared" si="20"/>
        <v>#DIV/0!</v>
      </c>
      <c r="AS6" s="52"/>
      <c r="AT6" s="54" t="e">
        <f t="shared" si="21"/>
        <v>#DIV/0!</v>
      </c>
      <c r="AU6" s="54"/>
      <c r="AV6" s="69">
        <f t="shared" ref="AV6:AV35" si="30">AQ6+AS6+AU6</f>
        <v>0</v>
      </c>
      <c r="AW6" s="67" t="str">
        <f t="shared" si="22"/>
        <v/>
      </c>
      <c r="AX6" s="82">
        <f t="shared" si="23"/>
        <v>47</v>
      </c>
      <c r="AY6" s="59">
        <f t="shared" si="24"/>
        <v>370640</v>
      </c>
      <c r="AZ6" s="59">
        <f t="shared" si="25"/>
        <v>86190</v>
      </c>
      <c r="BA6" s="71">
        <f>W6+AE6+AM6+AV6</f>
        <v>456830</v>
      </c>
      <c r="BB6" s="72">
        <f t="shared" ref="BB6:BB35" si="31">BF6+BG6</f>
        <v>3850</v>
      </c>
      <c r="BC6" s="73">
        <v>47</v>
      </c>
      <c r="BD6" s="74">
        <v>368190</v>
      </c>
      <c r="BE6" s="74">
        <v>82140</v>
      </c>
      <c r="BF6" s="75">
        <v>3850</v>
      </c>
      <c r="BG6" s="75"/>
      <c r="BH6" s="75"/>
      <c r="BI6" s="75"/>
      <c r="BJ6" s="76">
        <f t="shared" ref="BJ6:BJ35" si="32">SUM(BD6:BG6)</f>
        <v>454180</v>
      </c>
      <c r="BK6" s="47">
        <v>2</v>
      </c>
      <c r="BL6" s="77">
        <f t="shared" si="27"/>
        <v>454180</v>
      </c>
    </row>
    <row r="7" spans="1:64" ht="20" customHeight="1">
      <c r="B7" s="78">
        <f>B6+1</f>
        <v>45294</v>
      </c>
      <c r="C7" s="79"/>
      <c r="D7" s="50"/>
      <c r="E7" s="51">
        <v>25</v>
      </c>
      <c r="F7" s="52">
        <v>110990</v>
      </c>
      <c r="G7" s="53">
        <f t="shared" si="0"/>
        <v>4036</v>
      </c>
      <c r="H7" s="52">
        <v>24010</v>
      </c>
      <c r="I7" s="54">
        <f t="shared" si="1"/>
        <v>873.08</v>
      </c>
      <c r="J7" s="55">
        <f t="shared" si="2"/>
        <v>135000</v>
      </c>
      <c r="K7" s="56">
        <f t="shared" si="3"/>
        <v>5400</v>
      </c>
      <c r="L7" s="57"/>
      <c r="M7" s="58">
        <f t="shared" si="4"/>
        <v>21</v>
      </c>
      <c r="N7" s="59">
        <f t="shared" si="4"/>
        <v>206470</v>
      </c>
      <c r="O7" s="53">
        <f t="shared" si="5"/>
        <v>8938.0952380952385</v>
      </c>
      <c r="P7" s="59">
        <f t="shared" si="6"/>
        <v>50360</v>
      </c>
      <c r="Q7" s="54">
        <f t="shared" si="7"/>
        <v>2180.0476190476193</v>
      </c>
      <c r="R7" s="60">
        <f t="shared" si="8"/>
        <v>256830</v>
      </c>
      <c r="S7" s="56">
        <f t="shared" si="9"/>
        <v>12230</v>
      </c>
      <c r="T7" s="80">
        <f t="shared" si="10"/>
        <v>46</v>
      </c>
      <c r="U7" s="59">
        <f t="shared" si="10"/>
        <v>317460</v>
      </c>
      <c r="V7" s="59">
        <f t="shared" si="11"/>
        <v>74370</v>
      </c>
      <c r="W7" s="62">
        <f t="shared" si="12"/>
        <v>391830</v>
      </c>
      <c r="X7" s="81"/>
      <c r="Y7" s="63"/>
      <c r="Z7" s="64">
        <v>5</v>
      </c>
      <c r="AA7" s="52">
        <v>2460</v>
      </c>
      <c r="AB7" s="53">
        <f t="shared" si="13"/>
        <v>492</v>
      </c>
      <c r="AC7" s="52">
        <v>1500</v>
      </c>
      <c r="AD7" s="54">
        <f t="shared" si="14"/>
        <v>300</v>
      </c>
      <c r="AE7" s="65">
        <f t="shared" si="15"/>
        <v>3960</v>
      </c>
      <c r="AF7" s="56">
        <f t="shared" si="16"/>
        <v>792</v>
      </c>
      <c r="AG7" s="66"/>
      <c r="AH7" s="64"/>
      <c r="AI7" s="52"/>
      <c r="AJ7" s="53" t="e">
        <f t="shared" si="17"/>
        <v>#DIV/0!</v>
      </c>
      <c r="AK7" s="52"/>
      <c r="AL7" s="54" t="e">
        <f t="shared" si="18"/>
        <v>#DIV/0!</v>
      </c>
      <c r="AM7" s="65">
        <f t="shared" si="29"/>
        <v>0</v>
      </c>
      <c r="AN7" s="67" t="str">
        <f t="shared" si="19"/>
        <v/>
      </c>
      <c r="AO7" s="68"/>
      <c r="AP7" s="64"/>
      <c r="AQ7" s="52"/>
      <c r="AR7" s="53" t="e">
        <f t="shared" si="20"/>
        <v>#DIV/0!</v>
      </c>
      <c r="AS7" s="52"/>
      <c r="AT7" s="54" t="e">
        <f t="shared" si="21"/>
        <v>#DIV/0!</v>
      </c>
      <c r="AU7" s="54"/>
      <c r="AV7" s="69">
        <f t="shared" si="30"/>
        <v>0</v>
      </c>
      <c r="AW7" s="67" t="str">
        <f t="shared" si="22"/>
        <v/>
      </c>
      <c r="AX7" s="82">
        <f t="shared" si="23"/>
        <v>46</v>
      </c>
      <c r="AY7" s="59">
        <f t="shared" si="24"/>
        <v>319920</v>
      </c>
      <c r="AZ7" s="59">
        <f t="shared" si="25"/>
        <v>75870</v>
      </c>
      <c r="BA7" s="71">
        <f t="shared" si="26"/>
        <v>395790</v>
      </c>
      <c r="BB7" s="72">
        <f t="shared" si="31"/>
        <v>2200</v>
      </c>
      <c r="BC7" s="73">
        <v>46</v>
      </c>
      <c r="BD7" s="74">
        <v>317460</v>
      </c>
      <c r="BE7" s="74">
        <v>74370</v>
      </c>
      <c r="BF7" s="75">
        <v>2200</v>
      </c>
      <c r="BG7" s="75"/>
      <c r="BH7" s="75">
        <v>3300</v>
      </c>
      <c r="BI7" s="75"/>
      <c r="BJ7" s="76">
        <f t="shared" si="32"/>
        <v>394030</v>
      </c>
      <c r="BK7" s="47">
        <v>3</v>
      </c>
      <c r="BL7" s="77">
        <f t="shared" si="27"/>
        <v>394030</v>
      </c>
    </row>
    <row r="8" spans="1:64" ht="20" customHeight="1">
      <c r="B8" s="78">
        <f t="shared" si="28"/>
        <v>45295</v>
      </c>
      <c r="C8" s="79"/>
      <c r="D8" s="50"/>
      <c r="E8" s="51">
        <v>13</v>
      </c>
      <c r="F8" s="52">
        <v>67870</v>
      </c>
      <c r="G8" s="53">
        <f t="shared" si="0"/>
        <v>4746.1538461538457</v>
      </c>
      <c r="H8" s="52">
        <v>30460</v>
      </c>
      <c r="I8" s="54">
        <f t="shared" si="1"/>
        <v>2130</v>
      </c>
      <c r="J8" s="55">
        <f t="shared" si="2"/>
        <v>98330</v>
      </c>
      <c r="K8" s="56">
        <f t="shared" si="3"/>
        <v>7563.8461538461543</v>
      </c>
      <c r="L8" s="57"/>
      <c r="M8" s="58">
        <f t="shared" si="4"/>
        <v>10</v>
      </c>
      <c r="N8" s="59">
        <f t="shared" si="4"/>
        <v>94930</v>
      </c>
      <c r="O8" s="53">
        <f t="shared" si="5"/>
        <v>8630</v>
      </c>
      <c r="P8" s="59">
        <f t="shared" si="6"/>
        <v>20260</v>
      </c>
      <c r="Q8" s="54">
        <f t="shared" si="7"/>
        <v>1841.8</v>
      </c>
      <c r="R8" s="60">
        <f t="shared" si="8"/>
        <v>115190</v>
      </c>
      <c r="S8" s="56">
        <f t="shared" si="9"/>
        <v>11519</v>
      </c>
      <c r="T8" s="80">
        <f t="shared" si="10"/>
        <v>23</v>
      </c>
      <c r="U8" s="59">
        <f t="shared" si="10"/>
        <v>162800</v>
      </c>
      <c r="V8" s="59">
        <f t="shared" si="11"/>
        <v>50720</v>
      </c>
      <c r="W8" s="62">
        <f t="shared" si="12"/>
        <v>213520</v>
      </c>
      <c r="X8" s="81"/>
      <c r="Y8" s="63"/>
      <c r="Z8" s="64">
        <v>7</v>
      </c>
      <c r="AA8" s="52">
        <v>3350</v>
      </c>
      <c r="AB8" s="53">
        <f t="shared" si="13"/>
        <v>478.57142857142856</v>
      </c>
      <c r="AC8" s="52">
        <v>2900</v>
      </c>
      <c r="AD8" s="54">
        <f t="shared" si="14"/>
        <v>414.28571428571428</v>
      </c>
      <c r="AE8" s="65">
        <f t="shared" si="15"/>
        <v>6250</v>
      </c>
      <c r="AF8" s="56">
        <f t="shared" si="16"/>
        <v>892.85714285714289</v>
      </c>
      <c r="AG8" s="66"/>
      <c r="AH8" s="64"/>
      <c r="AI8" s="52"/>
      <c r="AJ8" s="53" t="e">
        <f t="shared" si="17"/>
        <v>#DIV/0!</v>
      </c>
      <c r="AK8" s="52"/>
      <c r="AL8" s="54" t="e">
        <f t="shared" si="18"/>
        <v>#DIV/0!</v>
      </c>
      <c r="AM8" s="65">
        <f t="shared" si="29"/>
        <v>0</v>
      </c>
      <c r="AN8" s="67" t="str">
        <f t="shared" si="19"/>
        <v/>
      </c>
      <c r="AO8" s="68"/>
      <c r="AP8" s="64"/>
      <c r="AQ8" s="52"/>
      <c r="AR8" s="53" t="e">
        <f t="shared" si="20"/>
        <v>#DIV/0!</v>
      </c>
      <c r="AS8" s="52"/>
      <c r="AT8" s="54" t="e">
        <f t="shared" si="21"/>
        <v>#DIV/0!</v>
      </c>
      <c r="AU8" s="54"/>
      <c r="AV8" s="69">
        <f t="shared" si="30"/>
        <v>0</v>
      </c>
      <c r="AW8" s="67" t="str">
        <f t="shared" si="22"/>
        <v/>
      </c>
      <c r="AX8" s="82">
        <f t="shared" si="23"/>
        <v>23</v>
      </c>
      <c r="AY8" s="59">
        <f t="shared" si="24"/>
        <v>166150</v>
      </c>
      <c r="AZ8" s="59">
        <f t="shared" si="25"/>
        <v>53620</v>
      </c>
      <c r="BA8" s="71">
        <f t="shared" si="26"/>
        <v>219770</v>
      </c>
      <c r="BB8" s="72">
        <f t="shared" si="31"/>
        <v>0</v>
      </c>
      <c r="BC8" s="73">
        <v>23</v>
      </c>
      <c r="BD8" s="74">
        <v>162800</v>
      </c>
      <c r="BE8" s="74">
        <v>50720</v>
      </c>
      <c r="BF8" s="75"/>
      <c r="BG8" s="75"/>
      <c r="BH8" s="75"/>
      <c r="BI8" s="75">
        <v>14740</v>
      </c>
      <c r="BJ8" s="76">
        <f t="shared" si="32"/>
        <v>213520</v>
      </c>
      <c r="BK8" s="47">
        <v>4</v>
      </c>
      <c r="BL8" s="77">
        <f t="shared" si="27"/>
        <v>228260</v>
      </c>
    </row>
    <row r="9" spans="1:64" ht="20" customHeight="1">
      <c r="B9" s="78">
        <f t="shared" si="28"/>
        <v>45296</v>
      </c>
      <c r="C9" s="79"/>
      <c r="D9" s="50"/>
      <c r="E9" s="51">
        <v>17</v>
      </c>
      <c r="F9" s="52">
        <v>57200</v>
      </c>
      <c r="G9" s="53">
        <f t="shared" si="0"/>
        <v>3058.8235294117649</v>
      </c>
      <c r="H9" s="52">
        <v>8190</v>
      </c>
      <c r="I9" s="54">
        <f t="shared" si="1"/>
        <v>437.94117647058823</v>
      </c>
      <c r="J9" s="55">
        <f t="shared" si="2"/>
        <v>65390</v>
      </c>
      <c r="K9" s="56">
        <f t="shared" si="3"/>
        <v>3846.4705882352941</v>
      </c>
      <c r="L9" s="57"/>
      <c r="M9" s="58">
        <f t="shared" si="4"/>
        <v>14</v>
      </c>
      <c r="N9" s="59">
        <f t="shared" si="4"/>
        <v>92620</v>
      </c>
      <c r="O9" s="53">
        <f t="shared" si="5"/>
        <v>6014.2857142857147</v>
      </c>
      <c r="P9" s="59">
        <f t="shared" si="6"/>
        <v>32190</v>
      </c>
      <c r="Q9" s="54">
        <f t="shared" si="7"/>
        <v>2090.2142857142858</v>
      </c>
      <c r="R9" s="60">
        <f t="shared" si="8"/>
        <v>124810</v>
      </c>
      <c r="S9" s="56">
        <f t="shared" si="9"/>
        <v>8915</v>
      </c>
      <c r="T9" s="80">
        <f t="shared" si="10"/>
        <v>31</v>
      </c>
      <c r="U9" s="59">
        <f t="shared" si="10"/>
        <v>149820</v>
      </c>
      <c r="V9" s="59">
        <f t="shared" si="11"/>
        <v>40380</v>
      </c>
      <c r="W9" s="62">
        <f t="shared" si="12"/>
        <v>190200</v>
      </c>
      <c r="X9" s="81"/>
      <c r="Y9" s="63"/>
      <c r="Z9" s="64">
        <v>16</v>
      </c>
      <c r="AA9" s="52">
        <v>8280</v>
      </c>
      <c r="AB9" s="53">
        <f t="shared" si="13"/>
        <v>517.5</v>
      </c>
      <c r="AC9" s="52">
        <v>5900</v>
      </c>
      <c r="AD9" s="54">
        <f t="shared" si="14"/>
        <v>368.75</v>
      </c>
      <c r="AE9" s="65">
        <f t="shared" si="15"/>
        <v>14180</v>
      </c>
      <c r="AF9" s="56">
        <f t="shared" si="16"/>
        <v>886.25</v>
      </c>
      <c r="AG9" s="66"/>
      <c r="AH9" s="64"/>
      <c r="AI9" s="52"/>
      <c r="AJ9" s="53" t="e">
        <f t="shared" si="17"/>
        <v>#DIV/0!</v>
      </c>
      <c r="AK9" s="52"/>
      <c r="AL9" s="54" t="e">
        <f t="shared" si="18"/>
        <v>#DIV/0!</v>
      </c>
      <c r="AM9" s="65">
        <f t="shared" si="29"/>
        <v>0</v>
      </c>
      <c r="AN9" s="67" t="str">
        <f t="shared" si="19"/>
        <v/>
      </c>
      <c r="AO9" s="68"/>
      <c r="AP9" s="64"/>
      <c r="AQ9" s="52"/>
      <c r="AR9" s="53" t="e">
        <f t="shared" si="20"/>
        <v>#DIV/0!</v>
      </c>
      <c r="AS9" s="52"/>
      <c r="AT9" s="54" t="e">
        <f t="shared" si="21"/>
        <v>#DIV/0!</v>
      </c>
      <c r="AU9" s="54"/>
      <c r="AV9" s="69">
        <f t="shared" si="30"/>
        <v>0</v>
      </c>
      <c r="AW9" s="67" t="str">
        <f>IF(AP9="","",AV9/AP9)</f>
        <v/>
      </c>
      <c r="AX9" s="82">
        <f t="shared" si="23"/>
        <v>31</v>
      </c>
      <c r="AY9" s="59">
        <f t="shared" si="24"/>
        <v>158100</v>
      </c>
      <c r="AZ9" s="59">
        <f t="shared" si="25"/>
        <v>46280</v>
      </c>
      <c r="BA9" s="71">
        <f t="shared" si="26"/>
        <v>204380</v>
      </c>
      <c r="BB9" s="72">
        <f t="shared" si="31"/>
        <v>0</v>
      </c>
      <c r="BC9" s="73">
        <v>31</v>
      </c>
      <c r="BD9" s="74">
        <v>149820</v>
      </c>
      <c r="BE9" s="74">
        <v>40380</v>
      </c>
      <c r="BF9" s="75"/>
      <c r="BG9" s="75"/>
      <c r="BH9" s="75"/>
      <c r="BI9" s="75"/>
      <c r="BJ9" s="76">
        <f t="shared" si="32"/>
        <v>190200</v>
      </c>
      <c r="BK9" s="47">
        <v>5</v>
      </c>
      <c r="BL9" s="77">
        <f t="shared" si="27"/>
        <v>190200</v>
      </c>
    </row>
    <row r="10" spans="1:64" ht="20" customHeight="1">
      <c r="B10" s="78">
        <f t="shared" si="28"/>
        <v>45297</v>
      </c>
      <c r="C10" s="79"/>
      <c r="D10" s="50"/>
      <c r="E10" s="51">
        <v>23</v>
      </c>
      <c r="F10" s="52">
        <v>86790</v>
      </c>
      <c r="G10" s="53">
        <f t="shared" si="0"/>
        <v>3430.4347826086955</v>
      </c>
      <c r="H10" s="52">
        <v>6090</v>
      </c>
      <c r="I10" s="54">
        <f t="shared" si="1"/>
        <v>240.69565217391303</v>
      </c>
      <c r="J10" s="55">
        <f t="shared" si="2"/>
        <v>92880</v>
      </c>
      <c r="K10" s="56">
        <f t="shared" si="3"/>
        <v>4038.2608695652175</v>
      </c>
      <c r="L10" s="57"/>
      <c r="M10" s="58">
        <f t="shared" si="4"/>
        <v>25</v>
      </c>
      <c r="N10" s="59">
        <f t="shared" si="4"/>
        <v>256300</v>
      </c>
      <c r="O10" s="53">
        <f t="shared" si="5"/>
        <v>9320</v>
      </c>
      <c r="P10" s="59">
        <f t="shared" si="6"/>
        <v>54640</v>
      </c>
      <c r="Q10" s="54">
        <f t="shared" si="7"/>
        <v>1986.88</v>
      </c>
      <c r="R10" s="60">
        <f t="shared" si="8"/>
        <v>310940</v>
      </c>
      <c r="S10" s="56">
        <f t="shared" si="9"/>
        <v>12437.6</v>
      </c>
      <c r="T10" s="80">
        <f t="shared" si="10"/>
        <v>48</v>
      </c>
      <c r="U10" s="59">
        <f t="shared" si="10"/>
        <v>343090</v>
      </c>
      <c r="V10" s="59">
        <f t="shared" si="11"/>
        <v>60730</v>
      </c>
      <c r="W10" s="62">
        <f t="shared" si="12"/>
        <v>403820</v>
      </c>
      <c r="X10" s="81"/>
      <c r="Y10" s="63"/>
      <c r="Z10" s="64">
        <v>11</v>
      </c>
      <c r="AA10" s="52">
        <v>6800</v>
      </c>
      <c r="AB10" s="53">
        <f t="shared" si="13"/>
        <v>618.18181818181813</v>
      </c>
      <c r="AC10" s="52">
        <v>3700</v>
      </c>
      <c r="AD10" s="54">
        <f t="shared" si="14"/>
        <v>336.36363636363637</v>
      </c>
      <c r="AE10" s="65">
        <f t="shared" si="15"/>
        <v>10500</v>
      </c>
      <c r="AF10" s="56">
        <f t="shared" si="16"/>
        <v>954.5454545454545</v>
      </c>
      <c r="AG10" s="66"/>
      <c r="AH10" s="64"/>
      <c r="AI10" s="52"/>
      <c r="AJ10" s="53" t="e">
        <f t="shared" si="17"/>
        <v>#DIV/0!</v>
      </c>
      <c r="AK10" s="52"/>
      <c r="AL10" s="54" t="e">
        <f t="shared" si="18"/>
        <v>#DIV/0!</v>
      </c>
      <c r="AM10" s="65">
        <f t="shared" si="29"/>
        <v>0</v>
      </c>
      <c r="AN10" s="67" t="str">
        <f t="shared" si="19"/>
        <v/>
      </c>
      <c r="AO10" s="68"/>
      <c r="AP10" s="64"/>
      <c r="AQ10" s="52"/>
      <c r="AR10" s="53" t="e">
        <f t="shared" si="20"/>
        <v>#DIV/0!</v>
      </c>
      <c r="AS10" s="52"/>
      <c r="AT10" s="54" t="e">
        <f t="shared" si="21"/>
        <v>#DIV/0!</v>
      </c>
      <c r="AU10" s="54"/>
      <c r="AV10" s="69">
        <f t="shared" si="30"/>
        <v>0</v>
      </c>
      <c r="AW10" s="67" t="str">
        <f t="shared" si="22"/>
        <v/>
      </c>
      <c r="AX10" s="82">
        <f t="shared" si="23"/>
        <v>48</v>
      </c>
      <c r="AY10" s="59">
        <f t="shared" si="24"/>
        <v>349890</v>
      </c>
      <c r="AZ10" s="59">
        <f t="shared" si="25"/>
        <v>64430</v>
      </c>
      <c r="BA10" s="71">
        <f t="shared" si="26"/>
        <v>414320</v>
      </c>
      <c r="BB10" s="72">
        <f t="shared" si="31"/>
        <v>0</v>
      </c>
      <c r="BC10" s="73">
        <v>48</v>
      </c>
      <c r="BD10" s="74">
        <v>343090</v>
      </c>
      <c r="BE10" s="74">
        <v>60730</v>
      </c>
      <c r="BF10" s="75"/>
      <c r="BG10" s="75"/>
      <c r="BH10" s="75"/>
      <c r="BI10" s="75"/>
      <c r="BJ10" s="76">
        <f t="shared" si="32"/>
        <v>403820</v>
      </c>
      <c r="BK10" s="47">
        <v>6</v>
      </c>
      <c r="BL10" s="77">
        <f t="shared" si="27"/>
        <v>403820</v>
      </c>
    </row>
    <row r="11" spans="1:64" ht="20" customHeight="1">
      <c r="B11" s="78">
        <f t="shared" si="28"/>
        <v>45298</v>
      </c>
      <c r="C11" s="79"/>
      <c r="D11" s="50"/>
      <c r="E11" s="51">
        <v>23</v>
      </c>
      <c r="F11" s="52">
        <v>97350</v>
      </c>
      <c r="G11" s="53">
        <f t="shared" si="0"/>
        <v>3847.8260869565215</v>
      </c>
      <c r="H11" s="52">
        <v>22980</v>
      </c>
      <c r="I11" s="54">
        <f t="shared" si="1"/>
        <v>908.26086956521738</v>
      </c>
      <c r="J11" s="55">
        <f t="shared" si="2"/>
        <v>120330</v>
      </c>
      <c r="K11" s="56">
        <f t="shared" si="3"/>
        <v>5231.739130434783</v>
      </c>
      <c r="L11" s="57"/>
      <c r="M11" s="58">
        <f t="shared" si="4"/>
        <v>11</v>
      </c>
      <c r="N11" s="59">
        <f t="shared" si="4"/>
        <v>108240</v>
      </c>
      <c r="O11" s="53">
        <f t="shared" si="5"/>
        <v>8945.454545454546</v>
      </c>
      <c r="P11" s="59">
        <f t="shared" si="6"/>
        <v>14310</v>
      </c>
      <c r="Q11" s="54">
        <f t="shared" si="7"/>
        <v>1182.6363636363637</v>
      </c>
      <c r="R11" s="60">
        <f t="shared" si="8"/>
        <v>122550</v>
      </c>
      <c r="S11" s="56">
        <f t="shared" si="9"/>
        <v>11140.90909090909</v>
      </c>
      <c r="T11" s="80">
        <f t="shared" si="10"/>
        <v>34</v>
      </c>
      <c r="U11" s="59">
        <f t="shared" si="10"/>
        <v>205590</v>
      </c>
      <c r="V11" s="59">
        <f t="shared" si="11"/>
        <v>37290</v>
      </c>
      <c r="W11" s="62">
        <f t="shared" si="12"/>
        <v>242880</v>
      </c>
      <c r="X11" s="81"/>
      <c r="Y11" s="63"/>
      <c r="Z11" s="64">
        <v>6</v>
      </c>
      <c r="AA11" s="52">
        <v>3110</v>
      </c>
      <c r="AB11" s="53">
        <f t="shared" si="13"/>
        <v>518.33333333333337</v>
      </c>
      <c r="AC11" s="52">
        <v>2690</v>
      </c>
      <c r="AD11" s="54">
        <f t="shared" si="14"/>
        <v>448.33333333333331</v>
      </c>
      <c r="AE11" s="65">
        <f t="shared" si="15"/>
        <v>5800</v>
      </c>
      <c r="AF11" s="56">
        <f t="shared" si="16"/>
        <v>966.66666666666663</v>
      </c>
      <c r="AG11" s="66"/>
      <c r="AH11" s="64"/>
      <c r="AI11" s="52"/>
      <c r="AJ11" s="53" t="e">
        <f t="shared" si="17"/>
        <v>#DIV/0!</v>
      </c>
      <c r="AK11" s="52"/>
      <c r="AL11" s="54" t="e">
        <f t="shared" si="18"/>
        <v>#DIV/0!</v>
      </c>
      <c r="AM11" s="65">
        <f t="shared" si="29"/>
        <v>0</v>
      </c>
      <c r="AN11" s="67" t="str">
        <f t="shared" si="19"/>
        <v/>
      </c>
      <c r="AO11" s="68"/>
      <c r="AP11" s="64"/>
      <c r="AQ11" s="52"/>
      <c r="AR11" s="53" t="e">
        <f t="shared" si="20"/>
        <v>#DIV/0!</v>
      </c>
      <c r="AS11" s="52"/>
      <c r="AT11" s="54" t="e">
        <f t="shared" si="21"/>
        <v>#DIV/0!</v>
      </c>
      <c r="AU11" s="54"/>
      <c r="AV11" s="69">
        <f t="shared" si="30"/>
        <v>0</v>
      </c>
      <c r="AW11" s="67" t="str">
        <f t="shared" si="22"/>
        <v/>
      </c>
      <c r="AX11" s="82">
        <f t="shared" si="23"/>
        <v>34</v>
      </c>
      <c r="AY11" s="59">
        <f t="shared" si="24"/>
        <v>208700</v>
      </c>
      <c r="AZ11" s="59">
        <f t="shared" si="25"/>
        <v>39980</v>
      </c>
      <c r="BA11" s="71">
        <f t="shared" si="26"/>
        <v>248680</v>
      </c>
      <c r="BB11" s="72">
        <f t="shared" si="31"/>
        <v>2200</v>
      </c>
      <c r="BC11" s="73">
        <v>34</v>
      </c>
      <c r="BD11" s="74">
        <v>205590</v>
      </c>
      <c r="BE11" s="74">
        <v>37290</v>
      </c>
      <c r="BF11" s="75">
        <v>2200</v>
      </c>
      <c r="BG11" s="75"/>
      <c r="BH11" s="75"/>
      <c r="BI11" s="75"/>
      <c r="BJ11" s="76">
        <f t="shared" si="32"/>
        <v>245080</v>
      </c>
      <c r="BK11" s="47">
        <v>7</v>
      </c>
      <c r="BL11" s="77">
        <f t="shared" si="27"/>
        <v>245080</v>
      </c>
    </row>
    <row r="12" spans="1:64" ht="20" customHeight="1">
      <c r="B12" s="78">
        <f t="shared" si="28"/>
        <v>45299</v>
      </c>
      <c r="C12" s="83"/>
      <c r="D12" s="50"/>
      <c r="E12" s="51">
        <v>31</v>
      </c>
      <c r="F12" s="52">
        <v>147950</v>
      </c>
      <c r="G12" s="53">
        <f t="shared" si="0"/>
        <v>4338.7096774193551</v>
      </c>
      <c r="H12" s="52">
        <v>28080</v>
      </c>
      <c r="I12" s="54">
        <f t="shared" si="1"/>
        <v>823.45161290322585</v>
      </c>
      <c r="J12" s="55">
        <f t="shared" si="2"/>
        <v>176030</v>
      </c>
      <c r="K12" s="56">
        <f t="shared" si="3"/>
        <v>5678.3870967741932</v>
      </c>
      <c r="L12" s="57"/>
      <c r="M12" s="58">
        <f t="shared" si="4"/>
        <v>13</v>
      </c>
      <c r="N12" s="59">
        <f t="shared" si="4"/>
        <v>99748</v>
      </c>
      <c r="O12" s="53">
        <f t="shared" si="5"/>
        <v>6975.3846153846152</v>
      </c>
      <c r="P12" s="59">
        <f t="shared" si="6"/>
        <v>31035</v>
      </c>
      <c r="Q12" s="84">
        <f t="shared" si="7"/>
        <v>2170.2307692307691</v>
      </c>
      <c r="R12" s="60">
        <f t="shared" si="8"/>
        <v>130783</v>
      </c>
      <c r="S12" s="56">
        <f t="shared" si="9"/>
        <v>10060.23076923077</v>
      </c>
      <c r="T12" s="80">
        <f t="shared" si="10"/>
        <v>44</v>
      </c>
      <c r="U12" s="59">
        <f t="shared" si="10"/>
        <v>247698</v>
      </c>
      <c r="V12" s="59">
        <f t="shared" si="11"/>
        <v>59115</v>
      </c>
      <c r="W12" s="62">
        <f t="shared" si="12"/>
        <v>306813</v>
      </c>
      <c r="X12" s="81"/>
      <c r="Y12" s="63"/>
      <c r="Z12" s="64">
        <v>5</v>
      </c>
      <c r="AA12" s="52">
        <v>2950</v>
      </c>
      <c r="AB12" s="53">
        <f t="shared" si="13"/>
        <v>590</v>
      </c>
      <c r="AC12" s="52">
        <v>12500</v>
      </c>
      <c r="AD12" s="54">
        <f t="shared" si="14"/>
        <v>2500</v>
      </c>
      <c r="AE12" s="65">
        <f t="shared" si="15"/>
        <v>15450</v>
      </c>
      <c r="AF12" s="56">
        <f t="shared" si="16"/>
        <v>3090</v>
      </c>
      <c r="AG12" s="66"/>
      <c r="AH12" s="64"/>
      <c r="AI12" s="52"/>
      <c r="AJ12" s="53" t="e">
        <f t="shared" si="17"/>
        <v>#DIV/0!</v>
      </c>
      <c r="AK12" s="52"/>
      <c r="AL12" s="54" t="e">
        <f t="shared" si="18"/>
        <v>#DIV/0!</v>
      </c>
      <c r="AM12" s="65">
        <f t="shared" si="29"/>
        <v>0</v>
      </c>
      <c r="AN12" s="67" t="str">
        <f t="shared" si="19"/>
        <v/>
      </c>
      <c r="AO12" s="68"/>
      <c r="AP12" s="64"/>
      <c r="AQ12" s="52"/>
      <c r="AR12" s="53" t="e">
        <f t="shared" si="20"/>
        <v>#DIV/0!</v>
      </c>
      <c r="AS12" s="52"/>
      <c r="AT12" s="54" t="e">
        <f t="shared" si="21"/>
        <v>#DIV/0!</v>
      </c>
      <c r="AU12" s="54"/>
      <c r="AV12" s="69">
        <f t="shared" si="30"/>
        <v>0</v>
      </c>
      <c r="AW12" s="67" t="str">
        <f t="shared" si="22"/>
        <v/>
      </c>
      <c r="AX12" s="82">
        <f t="shared" si="23"/>
        <v>44</v>
      </c>
      <c r="AY12" s="59">
        <f t="shared" si="24"/>
        <v>250648</v>
      </c>
      <c r="AZ12" s="59">
        <f t="shared" si="25"/>
        <v>71615</v>
      </c>
      <c r="BA12" s="71">
        <f t="shared" si="26"/>
        <v>322263</v>
      </c>
      <c r="BB12" s="72">
        <f t="shared" si="31"/>
        <v>4400</v>
      </c>
      <c r="BC12" s="73">
        <v>44</v>
      </c>
      <c r="BD12" s="74">
        <v>247698</v>
      </c>
      <c r="BE12" s="74">
        <v>59115</v>
      </c>
      <c r="BF12" s="75">
        <v>4400</v>
      </c>
      <c r="BG12" s="75"/>
      <c r="BH12" s="75"/>
      <c r="BI12" s="75">
        <v>3300</v>
      </c>
      <c r="BJ12" s="76">
        <f t="shared" si="32"/>
        <v>311213</v>
      </c>
      <c r="BK12" s="47">
        <v>8</v>
      </c>
      <c r="BL12" s="77">
        <f t="shared" si="27"/>
        <v>314513</v>
      </c>
    </row>
    <row r="13" spans="1:64" ht="20" customHeight="1">
      <c r="B13" s="78">
        <f t="shared" si="28"/>
        <v>45300</v>
      </c>
      <c r="C13" s="79"/>
      <c r="D13" s="50"/>
      <c r="E13" s="51">
        <v>23</v>
      </c>
      <c r="F13" s="52">
        <v>85580</v>
      </c>
      <c r="G13" s="53">
        <f t="shared" si="0"/>
        <v>3382.608695652174</v>
      </c>
      <c r="H13" s="52">
        <v>14630</v>
      </c>
      <c r="I13" s="54">
        <f t="shared" si="1"/>
        <v>578.26086956521738</v>
      </c>
      <c r="J13" s="55">
        <f t="shared" si="2"/>
        <v>100210</v>
      </c>
      <c r="K13" s="56">
        <f t="shared" si="3"/>
        <v>4356.95652173913</v>
      </c>
      <c r="L13" s="57"/>
      <c r="M13" s="58">
        <f t="shared" si="4"/>
        <v>12</v>
      </c>
      <c r="N13" s="59">
        <f t="shared" si="4"/>
        <v>113520</v>
      </c>
      <c r="O13" s="53">
        <f t="shared" si="5"/>
        <v>8600</v>
      </c>
      <c r="P13" s="59">
        <f t="shared" si="6"/>
        <v>13970</v>
      </c>
      <c r="Q13" s="54">
        <f t="shared" si="7"/>
        <v>1058.3333333333333</v>
      </c>
      <c r="R13" s="60">
        <f t="shared" si="8"/>
        <v>127490</v>
      </c>
      <c r="S13" s="56">
        <f t="shared" si="9"/>
        <v>10624.166666666666</v>
      </c>
      <c r="T13" s="80">
        <f t="shared" si="10"/>
        <v>35</v>
      </c>
      <c r="U13" s="59">
        <f t="shared" si="10"/>
        <v>199100</v>
      </c>
      <c r="V13" s="59">
        <f t="shared" si="11"/>
        <v>28600</v>
      </c>
      <c r="W13" s="62">
        <f t="shared" si="12"/>
        <v>227700</v>
      </c>
      <c r="X13" s="81"/>
      <c r="Y13" s="63"/>
      <c r="Z13" s="64">
        <v>3</v>
      </c>
      <c r="AA13" s="52">
        <v>1650</v>
      </c>
      <c r="AB13" s="53">
        <f t="shared" si="13"/>
        <v>550</v>
      </c>
      <c r="AC13" s="52">
        <v>2400</v>
      </c>
      <c r="AD13" s="54">
        <f t="shared" si="14"/>
        <v>800</v>
      </c>
      <c r="AE13" s="65">
        <f t="shared" si="15"/>
        <v>4050</v>
      </c>
      <c r="AF13" s="56">
        <f t="shared" si="16"/>
        <v>1350</v>
      </c>
      <c r="AG13" s="66"/>
      <c r="AH13" s="64"/>
      <c r="AI13" s="52"/>
      <c r="AJ13" s="53" t="e">
        <f t="shared" si="17"/>
        <v>#DIV/0!</v>
      </c>
      <c r="AK13" s="52"/>
      <c r="AL13" s="54" t="e">
        <f t="shared" si="18"/>
        <v>#DIV/0!</v>
      </c>
      <c r="AM13" s="65">
        <f t="shared" si="29"/>
        <v>0</v>
      </c>
      <c r="AN13" s="67" t="str">
        <f t="shared" si="19"/>
        <v/>
      </c>
      <c r="AO13" s="68"/>
      <c r="AP13" s="64"/>
      <c r="AQ13" s="52"/>
      <c r="AR13" s="53" t="e">
        <f t="shared" si="20"/>
        <v>#DIV/0!</v>
      </c>
      <c r="AS13" s="52"/>
      <c r="AT13" s="54" t="e">
        <f t="shared" si="21"/>
        <v>#DIV/0!</v>
      </c>
      <c r="AU13" s="54"/>
      <c r="AV13" s="69">
        <f>AQ13+AS13+AU13</f>
        <v>0</v>
      </c>
      <c r="AW13" s="67" t="str">
        <f t="shared" si="22"/>
        <v/>
      </c>
      <c r="AX13" s="82">
        <f t="shared" si="23"/>
        <v>35</v>
      </c>
      <c r="AY13" s="59">
        <f t="shared" si="24"/>
        <v>200750</v>
      </c>
      <c r="AZ13" s="59">
        <f t="shared" si="25"/>
        <v>31000</v>
      </c>
      <c r="BA13" s="71">
        <f t="shared" si="26"/>
        <v>231750</v>
      </c>
      <c r="BB13" s="72">
        <f t="shared" si="31"/>
        <v>2200</v>
      </c>
      <c r="BC13" s="73">
        <v>35</v>
      </c>
      <c r="BD13" s="74">
        <v>199100</v>
      </c>
      <c r="BE13" s="74">
        <v>28600</v>
      </c>
      <c r="BF13" s="75">
        <v>2200</v>
      </c>
      <c r="BG13" s="75"/>
      <c r="BH13" s="75"/>
      <c r="BI13" s="75"/>
      <c r="BJ13" s="76">
        <f t="shared" si="32"/>
        <v>229900</v>
      </c>
      <c r="BK13" s="47">
        <v>9</v>
      </c>
      <c r="BL13" s="77">
        <f t="shared" si="27"/>
        <v>229900</v>
      </c>
    </row>
    <row r="14" spans="1:64" ht="20" customHeight="1">
      <c r="B14" s="78">
        <f t="shared" si="28"/>
        <v>45301</v>
      </c>
      <c r="C14" s="79"/>
      <c r="D14" s="50"/>
      <c r="E14" s="51">
        <v>24</v>
      </c>
      <c r="F14" s="52">
        <v>86790</v>
      </c>
      <c r="G14" s="53">
        <f t="shared" si="0"/>
        <v>3287.5</v>
      </c>
      <c r="H14" s="52">
        <v>7700</v>
      </c>
      <c r="I14" s="54">
        <f t="shared" si="1"/>
        <v>291.66666666666669</v>
      </c>
      <c r="J14" s="55">
        <f t="shared" si="2"/>
        <v>94490</v>
      </c>
      <c r="K14" s="56">
        <f t="shared" si="3"/>
        <v>3937.0833333333335</v>
      </c>
      <c r="L14" s="57"/>
      <c r="M14" s="58">
        <f t="shared" si="4"/>
        <v>7</v>
      </c>
      <c r="N14" s="59">
        <f t="shared" si="4"/>
        <v>49500</v>
      </c>
      <c r="O14" s="53">
        <f t="shared" si="5"/>
        <v>6428.5714285714284</v>
      </c>
      <c r="P14" s="59">
        <f t="shared" si="6"/>
        <v>13090</v>
      </c>
      <c r="Q14" s="54">
        <f t="shared" si="7"/>
        <v>1700</v>
      </c>
      <c r="R14" s="60">
        <f t="shared" si="8"/>
        <v>62590</v>
      </c>
      <c r="S14" s="56">
        <f t="shared" si="9"/>
        <v>8941.4285714285706</v>
      </c>
      <c r="T14" s="80">
        <f t="shared" si="10"/>
        <v>31</v>
      </c>
      <c r="U14" s="59">
        <f t="shared" si="10"/>
        <v>136290</v>
      </c>
      <c r="V14" s="59">
        <f t="shared" si="11"/>
        <v>20790</v>
      </c>
      <c r="W14" s="62">
        <f t="shared" si="12"/>
        <v>157080</v>
      </c>
      <c r="X14" s="81"/>
      <c r="Y14" s="63"/>
      <c r="Z14" s="64">
        <v>5</v>
      </c>
      <c r="AA14" s="52">
        <v>2350</v>
      </c>
      <c r="AB14" s="53">
        <f t="shared" si="13"/>
        <v>470</v>
      </c>
      <c r="AC14" s="52">
        <v>3000</v>
      </c>
      <c r="AD14" s="54">
        <f t="shared" si="14"/>
        <v>600</v>
      </c>
      <c r="AE14" s="65">
        <f t="shared" si="15"/>
        <v>5350</v>
      </c>
      <c r="AF14" s="56">
        <f t="shared" si="16"/>
        <v>1070</v>
      </c>
      <c r="AG14" s="66"/>
      <c r="AH14" s="64"/>
      <c r="AI14" s="52"/>
      <c r="AJ14" s="53" t="e">
        <f t="shared" si="17"/>
        <v>#DIV/0!</v>
      </c>
      <c r="AK14" s="52"/>
      <c r="AL14" s="54" t="e">
        <f t="shared" si="18"/>
        <v>#DIV/0!</v>
      </c>
      <c r="AM14" s="65">
        <f t="shared" si="29"/>
        <v>0</v>
      </c>
      <c r="AN14" s="67" t="str">
        <f t="shared" si="19"/>
        <v/>
      </c>
      <c r="AO14" s="68"/>
      <c r="AP14" s="64"/>
      <c r="AQ14" s="52"/>
      <c r="AR14" s="53" t="e">
        <f t="shared" si="20"/>
        <v>#DIV/0!</v>
      </c>
      <c r="AS14" s="52"/>
      <c r="AT14" s="54" t="e">
        <f t="shared" si="21"/>
        <v>#DIV/0!</v>
      </c>
      <c r="AU14" s="54"/>
      <c r="AV14" s="69">
        <f t="shared" si="30"/>
        <v>0</v>
      </c>
      <c r="AW14" s="67" t="str">
        <f t="shared" si="22"/>
        <v/>
      </c>
      <c r="AX14" s="82">
        <f t="shared" si="23"/>
        <v>31</v>
      </c>
      <c r="AY14" s="59">
        <f t="shared" si="24"/>
        <v>138640</v>
      </c>
      <c r="AZ14" s="59">
        <f t="shared" si="25"/>
        <v>23790</v>
      </c>
      <c r="BA14" s="71">
        <f t="shared" si="26"/>
        <v>162430</v>
      </c>
      <c r="BB14" s="72">
        <f t="shared" si="31"/>
        <v>7700</v>
      </c>
      <c r="BC14" s="73">
        <v>31</v>
      </c>
      <c r="BD14" s="74">
        <v>136290</v>
      </c>
      <c r="BE14" s="74">
        <v>20790</v>
      </c>
      <c r="BF14" s="75">
        <v>7700</v>
      </c>
      <c r="BG14" s="75"/>
      <c r="BH14" s="75"/>
      <c r="BI14" s="75"/>
      <c r="BJ14" s="76">
        <f t="shared" si="32"/>
        <v>164780</v>
      </c>
      <c r="BK14" s="47">
        <v>10</v>
      </c>
      <c r="BL14" s="77">
        <f t="shared" si="27"/>
        <v>164780</v>
      </c>
    </row>
    <row r="15" spans="1:64" ht="20" customHeight="1">
      <c r="B15" s="78">
        <f t="shared" si="28"/>
        <v>45302</v>
      </c>
      <c r="C15" s="83"/>
      <c r="D15" s="50"/>
      <c r="E15" s="51">
        <v>22</v>
      </c>
      <c r="F15" s="52">
        <v>84590</v>
      </c>
      <c r="G15" s="53">
        <f t="shared" si="0"/>
        <v>3495.4545454545455</v>
      </c>
      <c r="H15" s="52">
        <v>10560</v>
      </c>
      <c r="I15" s="54">
        <f t="shared" si="1"/>
        <v>436.36363636363637</v>
      </c>
      <c r="J15" s="55">
        <f t="shared" si="2"/>
        <v>95150</v>
      </c>
      <c r="K15" s="56">
        <f t="shared" si="3"/>
        <v>4325</v>
      </c>
      <c r="L15" s="57"/>
      <c r="M15" s="58">
        <f t="shared" si="4"/>
        <v>4</v>
      </c>
      <c r="N15" s="59">
        <f t="shared" si="4"/>
        <v>44000</v>
      </c>
      <c r="O15" s="53">
        <f t="shared" si="5"/>
        <v>10000</v>
      </c>
      <c r="P15" s="59">
        <f t="shared" si="6"/>
        <v>5820</v>
      </c>
      <c r="Q15" s="54">
        <f t="shared" si="7"/>
        <v>1322.5</v>
      </c>
      <c r="R15" s="60">
        <f t="shared" si="8"/>
        <v>49820</v>
      </c>
      <c r="S15" s="56">
        <f t="shared" si="9"/>
        <v>12455</v>
      </c>
      <c r="T15" s="80">
        <f t="shared" si="10"/>
        <v>26</v>
      </c>
      <c r="U15" s="59">
        <f t="shared" si="10"/>
        <v>128590</v>
      </c>
      <c r="V15" s="59">
        <f t="shared" si="11"/>
        <v>16380</v>
      </c>
      <c r="W15" s="62">
        <f t="shared" si="12"/>
        <v>144970</v>
      </c>
      <c r="X15" s="81"/>
      <c r="Y15" s="63"/>
      <c r="Z15" s="64">
        <v>2</v>
      </c>
      <c r="AA15" s="52">
        <v>1100</v>
      </c>
      <c r="AB15" s="53">
        <f t="shared" si="13"/>
        <v>550</v>
      </c>
      <c r="AC15" s="52">
        <v>0</v>
      </c>
      <c r="AD15" s="54">
        <f t="shared" si="14"/>
        <v>0</v>
      </c>
      <c r="AE15" s="65">
        <f t="shared" si="15"/>
        <v>1100</v>
      </c>
      <c r="AF15" s="56">
        <f t="shared" si="16"/>
        <v>550</v>
      </c>
      <c r="AG15" s="66"/>
      <c r="AH15" s="64"/>
      <c r="AI15" s="52"/>
      <c r="AJ15" s="53" t="e">
        <f t="shared" si="17"/>
        <v>#DIV/0!</v>
      </c>
      <c r="AK15" s="52"/>
      <c r="AL15" s="54" t="e">
        <f t="shared" si="18"/>
        <v>#DIV/0!</v>
      </c>
      <c r="AM15" s="65">
        <f t="shared" si="29"/>
        <v>0</v>
      </c>
      <c r="AN15" s="67" t="str">
        <f t="shared" si="19"/>
        <v/>
      </c>
      <c r="AO15" s="68"/>
      <c r="AP15" s="64"/>
      <c r="AQ15" s="52"/>
      <c r="AR15" s="53" t="e">
        <f t="shared" si="20"/>
        <v>#DIV/0!</v>
      </c>
      <c r="AS15" s="52"/>
      <c r="AT15" s="54" t="e">
        <f t="shared" si="21"/>
        <v>#DIV/0!</v>
      </c>
      <c r="AU15" s="54"/>
      <c r="AV15" s="69">
        <f t="shared" si="30"/>
        <v>0</v>
      </c>
      <c r="AW15" s="67" t="str">
        <f t="shared" si="22"/>
        <v/>
      </c>
      <c r="AX15" s="82">
        <f t="shared" si="23"/>
        <v>26</v>
      </c>
      <c r="AY15" s="59">
        <f t="shared" si="24"/>
        <v>129690</v>
      </c>
      <c r="AZ15" s="59">
        <f t="shared" si="25"/>
        <v>16380</v>
      </c>
      <c r="BA15" s="71">
        <f t="shared" si="26"/>
        <v>146070</v>
      </c>
      <c r="BB15" s="72">
        <f t="shared" si="31"/>
        <v>0</v>
      </c>
      <c r="BC15" s="73">
        <v>26</v>
      </c>
      <c r="BD15" s="74">
        <v>128590</v>
      </c>
      <c r="BE15" s="74">
        <v>16380</v>
      </c>
      <c r="BF15" s="75"/>
      <c r="BG15" s="75"/>
      <c r="BH15" s="75"/>
      <c r="BI15" s="75"/>
      <c r="BJ15" s="76">
        <f t="shared" si="32"/>
        <v>144970</v>
      </c>
      <c r="BK15" s="47">
        <v>11</v>
      </c>
      <c r="BL15" s="77">
        <f t="shared" si="27"/>
        <v>144970</v>
      </c>
    </row>
    <row r="16" spans="1:64" ht="20" customHeight="1">
      <c r="B16" s="78">
        <f t="shared" si="28"/>
        <v>45303</v>
      </c>
      <c r="C16" s="79"/>
      <c r="D16" s="50"/>
      <c r="E16" s="51">
        <v>35</v>
      </c>
      <c r="F16" s="52">
        <v>128700</v>
      </c>
      <c r="G16" s="53">
        <f t="shared" si="0"/>
        <v>3342.8571428571427</v>
      </c>
      <c r="H16" s="52">
        <v>16530</v>
      </c>
      <c r="I16" s="54">
        <f t="shared" si="1"/>
        <v>429.34285714285716</v>
      </c>
      <c r="J16" s="55">
        <f t="shared" si="2"/>
        <v>145230</v>
      </c>
      <c r="K16" s="56">
        <f t="shared" si="3"/>
        <v>4149.4285714285716</v>
      </c>
      <c r="L16" s="57"/>
      <c r="M16" s="58">
        <f t="shared" si="4"/>
        <v>5</v>
      </c>
      <c r="N16" s="59">
        <f t="shared" si="4"/>
        <v>61050</v>
      </c>
      <c r="O16" s="53">
        <f t="shared" si="5"/>
        <v>11100</v>
      </c>
      <c r="P16" s="59">
        <f t="shared" si="6"/>
        <v>30630</v>
      </c>
      <c r="Q16" s="54">
        <f t="shared" si="7"/>
        <v>5569</v>
      </c>
      <c r="R16" s="60">
        <f t="shared" si="8"/>
        <v>91680</v>
      </c>
      <c r="S16" s="56">
        <f t="shared" si="9"/>
        <v>18336</v>
      </c>
      <c r="T16" s="80">
        <f t="shared" si="10"/>
        <v>40</v>
      </c>
      <c r="U16" s="59">
        <f t="shared" si="10"/>
        <v>189750</v>
      </c>
      <c r="V16" s="59">
        <f t="shared" si="11"/>
        <v>47160</v>
      </c>
      <c r="W16" s="62">
        <f t="shared" si="12"/>
        <v>236910</v>
      </c>
      <c r="X16" s="81"/>
      <c r="Y16" s="63"/>
      <c r="Z16" s="64">
        <v>9</v>
      </c>
      <c r="AA16" s="52">
        <v>4670</v>
      </c>
      <c r="AB16" s="53">
        <f t="shared" si="13"/>
        <v>518.88888888888891</v>
      </c>
      <c r="AC16" s="52">
        <v>5090</v>
      </c>
      <c r="AD16" s="54">
        <f t="shared" si="14"/>
        <v>565.55555555555554</v>
      </c>
      <c r="AE16" s="65">
        <f t="shared" si="15"/>
        <v>9760</v>
      </c>
      <c r="AF16" s="56">
        <f t="shared" si="16"/>
        <v>1084.4444444444443</v>
      </c>
      <c r="AG16" s="66"/>
      <c r="AH16" s="64"/>
      <c r="AI16" s="52"/>
      <c r="AJ16" s="53" t="e">
        <f t="shared" si="17"/>
        <v>#DIV/0!</v>
      </c>
      <c r="AK16" s="52"/>
      <c r="AL16" s="54" t="e">
        <f t="shared" si="18"/>
        <v>#DIV/0!</v>
      </c>
      <c r="AM16" s="65">
        <f t="shared" si="29"/>
        <v>0</v>
      </c>
      <c r="AN16" s="67" t="str">
        <f t="shared" si="19"/>
        <v/>
      </c>
      <c r="AO16" s="68"/>
      <c r="AP16" s="64"/>
      <c r="AQ16" s="52"/>
      <c r="AR16" s="53" t="e">
        <f t="shared" si="20"/>
        <v>#DIV/0!</v>
      </c>
      <c r="AS16" s="52"/>
      <c r="AT16" s="54" t="e">
        <f t="shared" si="21"/>
        <v>#DIV/0!</v>
      </c>
      <c r="AU16" s="54"/>
      <c r="AV16" s="69">
        <f t="shared" si="30"/>
        <v>0</v>
      </c>
      <c r="AW16" s="67" t="str">
        <f t="shared" si="22"/>
        <v/>
      </c>
      <c r="AX16" s="82">
        <f t="shared" si="23"/>
        <v>40</v>
      </c>
      <c r="AY16" s="59">
        <f t="shared" si="24"/>
        <v>194420</v>
      </c>
      <c r="AZ16" s="59">
        <f t="shared" si="25"/>
        <v>52250</v>
      </c>
      <c r="BA16" s="71">
        <f t="shared" si="26"/>
        <v>246670</v>
      </c>
      <c r="BB16" s="72">
        <f t="shared" si="31"/>
        <v>6600</v>
      </c>
      <c r="BC16" s="73">
        <v>40</v>
      </c>
      <c r="BD16" s="74">
        <v>189750</v>
      </c>
      <c r="BE16" s="74">
        <v>47160</v>
      </c>
      <c r="BF16" s="75">
        <v>6600</v>
      </c>
      <c r="BG16" s="75"/>
      <c r="BH16" s="75"/>
      <c r="BI16" s="75"/>
      <c r="BJ16" s="76">
        <f t="shared" si="32"/>
        <v>243510</v>
      </c>
      <c r="BK16" s="47">
        <v>12</v>
      </c>
      <c r="BL16" s="77">
        <f t="shared" si="27"/>
        <v>243510</v>
      </c>
    </row>
    <row r="17" spans="2:67" ht="20" customHeight="1">
      <c r="B17" s="78">
        <f t="shared" si="28"/>
        <v>45304</v>
      </c>
      <c r="C17" s="83"/>
      <c r="D17" s="50"/>
      <c r="E17" s="51">
        <v>16</v>
      </c>
      <c r="F17" s="52">
        <v>66330</v>
      </c>
      <c r="G17" s="53">
        <f t="shared" si="0"/>
        <v>3768.75</v>
      </c>
      <c r="H17" s="52">
        <v>8690</v>
      </c>
      <c r="I17" s="54">
        <f t="shared" si="1"/>
        <v>493.75</v>
      </c>
      <c r="J17" s="55">
        <f t="shared" si="2"/>
        <v>75020</v>
      </c>
      <c r="K17" s="56">
        <f t="shared" si="3"/>
        <v>4688.75</v>
      </c>
      <c r="L17" s="57"/>
      <c r="M17" s="58">
        <f t="shared" si="4"/>
        <v>4</v>
      </c>
      <c r="N17" s="59">
        <f t="shared" si="4"/>
        <v>49500</v>
      </c>
      <c r="O17" s="53">
        <f t="shared" si="5"/>
        <v>11250</v>
      </c>
      <c r="P17" s="59">
        <f t="shared" si="6"/>
        <v>6980</v>
      </c>
      <c r="Q17" s="54">
        <f t="shared" si="7"/>
        <v>1586.25</v>
      </c>
      <c r="R17" s="60">
        <f t="shared" si="8"/>
        <v>56480</v>
      </c>
      <c r="S17" s="56">
        <f t="shared" si="9"/>
        <v>14120</v>
      </c>
      <c r="T17" s="80">
        <f>E17+M17</f>
        <v>20</v>
      </c>
      <c r="U17" s="59">
        <f t="shared" si="10"/>
        <v>115830</v>
      </c>
      <c r="V17" s="59">
        <f t="shared" si="11"/>
        <v>15670</v>
      </c>
      <c r="W17" s="62">
        <f t="shared" si="12"/>
        <v>131500</v>
      </c>
      <c r="X17" s="81"/>
      <c r="Y17" s="63"/>
      <c r="Z17" s="64">
        <v>3</v>
      </c>
      <c r="AA17" s="52">
        <v>1300</v>
      </c>
      <c r="AB17" s="53">
        <f t="shared" si="13"/>
        <v>433.33333333333331</v>
      </c>
      <c r="AC17" s="52">
        <v>4300</v>
      </c>
      <c r="AD17" s="54">
        <f t="shared" si="14"/>
        <v>1433.3333333333333</v>
      </c>
      <c r="AE17" s="65">
        <f t="shared" si="15"/>
        <v>5600</v>
      </c>
      <c r="AF17" s="56">
        <f t="shared" si="16"/>
        <v>1866.6666666666667</v>
      </c>
      <c r="AG17" s="66"/>
      <c r="AH17" s="64"/>
      <c r="AI17" s="52"/>
      <c r="AJ17" s="53" t="e">
        <f t="shared" si="17"/>
        <v>#DIV/0!</v>
      </c>
      <c r="AK17" s="52"/>
      <c r="AL17" s="54" t="e">
        <f t="shared" si="18"/>
        <v>#DIV/0!</v>
      </c>
      <c r="AM17" s="65">
        <f t="shared" si="29"/>
        <v>0</v>
      </c>
      <c r="AN17" s="67" t="str">
        <f t="shared" si="19"/>
        <v/>
      </c>
      <c r="AO17" s="68"/>
      <c r="AP17" s="64"/>
      <c r="AQ17" s="52"/>
      <c r="AR17" s="53" t="e">
        <f t="shared" si="20"/>
        <v>#DIV/0!</v>
      </c>
      <c r="AS17" s="52"/>
      <c r="AT17" s="54" t="e">
        <f t="shared" si="21"/>
        <v>#DIV/0!</v>
      </c>
      <c r="AU17" s="54"/>
      <c r="AV17" s="69">
        <f t="shared" si="30"/>
        <v>0</v>
      </c>
      <c r="AW17" s="67" t="str">
        <f t="shared" si="22"/>
        <v/>
      </c>
      <c r="AX17" s="82">
        <f t="shared" si="23"/>
        <v>20</v>
      </c>
      <c r="AY17" s="59">
        <f t="shared" si="24"/>
        <v>117130</v>
      </c>
      <c r="AZ17" s="59">
        <f t="shared" si="25"/>
        <v>19970</v>
      </c>
      <c r="BA17" s="71">
        <f t="shared" si="26"/>
        <v>137100</v>
      </c>
      <c r="BB17" s="72">
        <f t="shared" si="31"/>
        <v>3300</v>
      </c>
      <c r="BC17" s="73">
        <v>20</v>
      </c>
      <c r="BD17" s="74">
        <v>115830</v>
      </c>
      <c r="BE17" s="74">
        <v>15670</v>
      </c>
      <c r="BF17" s="75">
        <v>3300</v>
      </c>
      <c r="BG17" s="75"/>
      <c r="BH17" s="75"/>
      <c r="BI17" s="75"/>
      <c r="BJ17" s="76">
        <f t="shared" si="32"/>
        <v>134800</v>
      </c>
      <c r="BK17" s="47">
        <v>13</v>
      </c>
      <c r="BL17" s="77">
        <f t="shared" si="27"/>
        <v>134800</v>
      </c>
    </row>
    <row r="18" spans="2:67" ht="20" customHeight="1">
      <c r="B18" s="78">
        <f t="shared" si="28"/>
        <v>45305</v>
      </c>
      <c r="C18" s="79"/>
      <c r="D18" s="50"/>
      <c r="E18" s="51">
        <v>31</v>
      </c>
      <c r="F18" s="52">
        <v>137830</v>
      </c>
      <c r="G18" s="53">
        <f t="shared" si="0"/>
        <v>4041.9354838709678</v>
      </c>
      <c r="H18" s="52">
        <v>27190</v>
      </c>
      <c r="I18" s="54">
        <f t="shared" si="1"/>
        <v>797.35483870967744</v>
      </c>
      <c r="J18" s="55">
        <f t="shared" si="2"/>
        <v>165020</v>
      </c>
      <c r="K18" s="56">
        <f t="shared" si="3"/>
        <v>5323.2258064516127</v>
      </c>
      <c r="L18" s="57"/>
      <c r="M18" s="58">
        <f t="shared" si="4"/>
        <v>5</v>
      </c>
      <c r="N18" s="59">
        <f t="shared" si="4"/>
        <v>57750</v>
      </c>
      <c r="O18" s="53">
        <f t="shared" si="5"/>
        <v>10500</v>
      </c>
      <c r="P18" s="59">
        <f t="shared" si="6"/>
        <v>20130</v>
      </c>
      <c r="Q18" s="54">
        <f t="shared" si="7"/>
        <v>3660</v>
      </c>
      <c r="R18" s="60">
        <f t="shared" si="8"/>
        <v>77880</v>
      </c>
      <c r="S18" s="56">
        <f t="shared" si="9"/>
        <v>15576</v>
      </c>
      <c r="T18" s="80">
        <f t="shared" si="10"/>
        <v>36</v>
      </c>
      <c r="U18" s="59">
        <f t="shared" si="10"/>
        <v>195580</v>
      </c>
      <c r="V18" s="59">
        <f t="shared" si="11"/>
        <v>47320</v>
      </c>
      <c r="W18" s="62">
        <f t="shared" si="12"/>
        <v>242900</v>
      </c>
      <c r="X18" s="81"/>
      <c r="Y18" s="63"/>
      <c r="Z18" s="64">
        <v>20</v>
      </c>
      <c r="AA18" s="52">
        <v>11600</v>
      </c>
      <c r="AB18" s="53">
        <f t="shared" si="13"/>
        <v>580</v>
      </c>
      <c r="AC18" s="52">
        <v>7300</v>
      </c>
      <c r="AD18" s="54">
        <f t="shared" si="14"/>
        <v>365</v>
      </c>
      <c r="AE18" s="65">
        <f t="shared" si="15"/>
        <v>18900</v>
      </c>
      <c r="AF18" s="56">
        <f t="shared" si="16"/>
        <v>945</v>
      </c>
      <c r="AG18" s="66"/>
      <c r="AH18" s="64"/>
      <c r="AI18" s="52"/>
      <c r="AJ18" s="53" t="e">
        <f t="shared" si="17"/>
        <v>#DIV/0!</v>
      </c>
      <c r="AK18" s="52"/>
      <c r="AL18" s="54" t="e">
        <f t="shared" si="18"/>
        <v>#DIV/0!</v>
      </c>
      <c r="AM18" s="65">
        <f t="shared" si="29"/>
        <v>0</v>
      </c>
      <c r="AN18" s="67" t="str">
        <f t="shared" si="19"/>
        <v/>
      </c>
      <c r="AO18" s="68"/>
      <c r="AP18" s="64"/>
      <c r="AQ18" s="52"/>
      <c r="AR18" s="53" t="e">
        <f t="shared" si="20"/>
        <v>#DIV/0!</v>
      </c>
      <c r="AS18" s="52"/>
      <c r="AT18" s="54" t="e">
        <f t="shared" si="21"/>
        <v>#DIV/0!</v>
      </c>
      <c r="AU18" s="54"/>
      <c r="AV18" s="69">
        <f t="shared" si="30"/>
        <v>0</v>
      </c>
      <c r="AW18" s="67" t="str">
        <f t="shared" si="22"/>
        <v/>
      </c>
      <c r="AX18" s="82">
        <f t="shared" si="23"/>
        <v>36</v>
      </c>
      <c r="AY18" s="59">
        <f t="shared" si="24"/>
        <v>207180</v>
      </c>
      <c r="AZ18" s="59">
        <f t="shared" si="25"/>
        <v>54620</v>
      </c>
      <c r="BA18" s="71">
        <f t="shared" si="26"/>
        <v>261800</v>
      </c>
      <c r="BB18" s="72">
        <f t="shared" si="31"/>
        <v>4950</v>
      </c>
      <c r="BC18" s="73">
        <v>36</v>
      </c>
      <c r="BD18" s="74">
        <v>195580</v>
      </c>
      <c r="BE18" s="74">
        <v>47320</v>
      </c>
      <c r="BF18" s="75">
        <v>4950</v>
      </c>
      <c r="BG18" s="75"/>
      <c r="BH18" s="75"/>
      <c r="BI18" s="75"/>
      <c r="BJ18" s="76">
        <f t="shared" si="32"/>
        <v>247850</v>
      </c>
      <c r="BK18" s="47">
        <v>14</v>
      </c>
      <c r="BL18" s="77">
        <f t="shared" si="27"/>
        <v>247850</v>
      </c>
    </row>
    <row r="19" spans="2:67" ht="20" customHeight="1">
      <c r="B19" s="78">
        <f t="shared" si="28"/>
        <v>45306</v>
      </c>
      <c r="C19" s="79"/>
      <c r="D19" s="50"/>
      <c r="E19" s="51">
        <v>31</v>
      </c>
      <c r="F19" s="52">
        <v>107250</v>
      </c>
      <c r="G19" s="53">
        <f t="shared" si="0"/>
        <v>3145.1612903225805</v>
      </c>
      <c r="H19" s="52">
        <v>3180</v>
      </c>
      <c r="I19" s="54">
        <f t="shared" si="1"/>
        <v>93.225806451612897</v>
      </c>
      <c r="J19" s="55">
        <f t="shared" si="2"/>
        <v>110430</v>
      </c>
      <c r="K19" s="56">
        <f t="shared" si="3"/>
        <v>3562.2580645161293</v>
      </c>
      <c r="L19" s="57"/>
      <c r="M19" s="58">
        <f t="shared" si="4"/>
        <v>8</v>
      </c>
      <c r="N19" s="59">
        <f t="shared" si="4"/>
        <v>92400</v>
      </c>
      <c r="O19" s="53">
        <f t="shared" si="5"/>
        <v>10500</v>
      </c>
      <c r="P19" s="59">
        <f t="shared" si="6"/>
        <v>44100</v>
      </c>
      <c r="Q19" s="84">
        <f t="shared" si="7"/>
        <v>5011.25</v>
      </c>
      <c r="R19" s="60">
        <f t="shared" si="8"/>
        <v>136500</v>
      </c>
      <c r="S19" s="56">
        <f t="shared" si="9"/>
        <v>17062.5</v>
      </c>
      <c r="T19" s="80">
        <f t="shared" si="10"/>
        <v>39</v>
      </c>
      <c r="U19" s="59">
        <f t="shared" si="10"/>
        <v>199650</v>
      </c>
      <c r="V19" s="59">
        <f t="shared" si="11"/>
        <v>47280</v>
      </c>
      <c r="W19" s="62">
        <f t="shared" si="12"/>
        <v>246930</v>
      </c>
      <c r="X19" s="81"/>
      <c r="Y19" s="63"/>
      <c r="Z19" s="64">
        <v>6</v>
      </c>
      <c r="AA19" s="52">
        <v>3300</v>
      </c>
      <c r="AB19" s="53">
        <f t="shared" si="13"/>
        <v>550</v>
      </c>
      <c r="AC19" s="52">
        <v>4000</v>
      </c>
      <c r="AD19" s="54">
        <f t="shared" si="14"/>
        <v>666.66666666666663</v>
      </c>
      <c r="AE19" s="65">
        <f t="shared" si="15"/>
        <v>7300</v>
      </c>
      <c r="AF19" s="56">
        <f t="shared" si="16"/>
        <v>1216.6666666666667</v>
      </c>
      <c r="AG19" s="66"/>
      <c r="AH19" s="64"/>
      <c r="AI19" s="52"/>
      <c r="AJ19" s="53" t="e">
        <f t="shared" si="17"/>
        <v>#DIV/0!</v>
      </c>
      <c r="AK19" s="52"/>
      <c r="AL19" s="54" t="e">
        <f t="shared" si="18"/>
        <v>#DIV/0!</v>
      </c>
      <c r="AM19" s="65">
        <f t="shared" si="29"/>
        <v>0</v>
      </c>
      <c r="AN19" s="67" t="str">
        <f t="shared" si="19"/>
        <v/>
      </c>
      <c r="AO19" s="68"/>
      <c r="AP19" s="64"/>
      <c r="AQ19" s="52"/>
      <c r="AR19" s="53" t="e">
        <f t="shared" si="20"/>
        <v>#DIV/0!</v>
      </c>
      <c r="AS19" s="52"/>
      <c r="AT19" s="54" t="e">
        <f t="shared" si="21"/>
        <v>#DIV/0!</v>
      </c>
      <c r="AU19" s="54"/>
      <c r="AV19" s="69">
        <f t="shared" si="30"/>
        <v>0</v>
      </c>
      <c r="AW19" s="67" t="str">
        <f t="shared" si="22"/>
        <v/>
      </c>
      <c r="AX19" s="82">
        <f t="shared" si="23"/>
        <v>39</v>
      </c>
      <c r="AY19" s="59">
        <f t="shared" si="24"/>
        <v>202950</v>
      </c>
      <c r="AZ19" s="59">
        <f t="shared" si="25"/>
        <v>51280</v>
      </c>
      <c r="BA19" s="71">
        <f t="shared" si="26"/>
        <v>254230</v>
      </c>
      <c r="BB19" s="72">
        <f t="shared" si="31"/>
        <v>9900</v>
      </c>
      <c r="BC19" s="73">
        <v>39</v>
      </c>
      <c r="BD19" s="74">
        <v>199650</v>
      </c>
      <c r="BE19" s="74">
        <v>47280</v>
      </c>
      <c r="BF19" s="75">
        <v>9900</v>
      </c>
      <c r="BG19" s="75"/>
      <c r="BH19" s="75"/>
      <c r="BI19" s="75"/>
      <c r="BJ19" s="76">
        <f t="shared" si="32"/>
        <v>256830</v>
      </c>
      <c r="BK19" s="47">
        <v>15</v>
      </c>
      <c r="BL19" s="77">
        <f t="shared" si="27"/>
        <v>256830</v>
      </c>
    </row>
    <row r="20" spans="2:67" ht="20" customHeight="1">
      <c r="B20" s="78">
        <f t="shared" si="28"/>
        <v>45307</v>
      </c>
      <c r="C20" s="79"/>
      <c r="D20" s="50"/>
      <c r="E20" s="51">
        <v>14</v>
      </c>
      <c r="F20" s="52">
        <v>45430</v>
      </c>
      <c r="G20" s="53">
        <f t="shared" si="0"/>
        <v>2950</v>
      </c>
      <c r="H20" s="52">
        <v>5720</v>
      </c>
      <c r="I20" s="53">
        <f t="shared" si="1"/>
        <v>371.42857142857144</v>
      </c>
      <c r="J20" s="55">
        <f t="shared" si="2"/>
        <v>51150</v>
      </c>
      <c r="K20" s="56">
        <f t="shared" si="3"/>
        <v>3653.5714285714284</v>
      </c>
      <c r="L20" s="57"/>
      <c r="M20" s="58">
        <f t="shared" si="4"/>
        <v>9</v>
      </c>
      <c r="N20" s="59">
        <f t="shared" si="4"/>
        <v>96800</v>
      </c>
      <c r="O20" s="53">
        <f t="shared" si="5"/>
        <v>9777.7777777777774</v>
      </c>
      <c r="P20" s="59">
        <f t="shared" si="6"/>
        <v>37070</v>
      </c>
      <c r="Q20" s="84">
        <f t="shared" si="7"/>
        <v>3744.4444444444443</v>
      </c>
      <c r="R20" s="60">
        <f t="shared" si="8"/>
        <v>133870</v>
      </c>
      <c r="S20" s="56">
        <f t="shared" si="9"/>
        <v>14874.444444444445</v>
      </c>
      <c r="T20" s="80">
        <f t="shared" si="10"/>
        <v>23</v>
      </c>
      <c r="U20" s="59">
        <f t="shared" si="10"/>
        <v>142230</v>
      </c>
      <c r="V20" s="59">
        <f t="shared" si="11"/>
        <v>42790</v>
      </c>
      <c r="W20" s="62">
        <f t="shared" si="12"/>
        <v>185020</v>
      </c>
      <c r="X20" s="81"/>
      <c r="Y20" s="63"/>
      <c r="Z20" s="64">
        <v>6</v>
      </c>
      <c r="AA20" s="52">
        <v>3210</v>
      </c>
      <c r="AB20" s="53">
        <f t="shared" si="13"/>
        <v>535</v>
      </c>
      <c r="AC20" s="52">
        <v>3200</v>
      </c>
      <c r="AD20" s="54">
        <f t="shared" si="14"/>
        <v>533.33333333333337</v>
      </c>
      <c r="AE20" s="65">
        <f t="shared" si="15"/>
        <v>6410</v>
      </c>
      <c r="AF20" s="56">
        <f t="shared" si="16"/>
        <v>1068.3333333333333</v>
      </c>
      <c r="AG20" s="66"/>
      <c r="AH20" s="64">
        <v>20</v>
      </c>
      <c r="AI20" s="52">
        <v>78300</v>
      </c>
      <c r="AJ20" s="53">
        <f t="shared" si="17"/>
        <v>3915</v>
      </c>
      <c r="AK20" s="52">
        <v>26100</v>
      </c>
      <c r="AL20" s="54">
        <f t="shared" si="18"/>
        <v>1305</v>
      </c>
      <c r="AM20" s="65">
        <f t="shared" si="29"/>
        <v>104400</v>
      </c>
      <c r="AN20" s="67">
        <f t="shared" si="19"/>
        <v>5220</v>
      </c>
      <c r="AO20" s="68"/>
      <c r="AP20" s="64"/>
      <c r="AQ20" s="52"/>
      <c r="AR20" s="53" t="e">
        <f t="shared" si="20"/>
        <v>#DIV/0!</v>
      </c>
      <c r="AS20" s="52"/>
      <c r="AT20" s="54" t="e">
        <f t="shared" si="21"/>
        <v>#DIV/0!</v>
      </c>
      <c r="AU20" s="54"/>
      <c r="AV20" s="69">
        <f t="shared" si="30"/>
        <v>0</v>
      </c>
      <c r="AW20" s="67" t="str">
        <f t="shared" si="22"/>
        <v/>
      </c>
      <c r="AX20" s="82">
        <f t="shared" si="23"/>
        <v>23</v>
      </c>
      <c r="AY20" s="59">
        <f t="shared" si="24"/>
        <v>223740</v>
      </c>
      <c r="AZ20" s="59">
        <f t="shared" si="25"/>
        <v>72090</v>
      </c>
      <c r="BA20" s="71">
        <f t="shared" si="26"/>
        <v>295830</v>
      </c>
      <c r="BB20" s="72">
        <f t="shared" si="31"/>
        <v>0</v>
      </c>
      <c r="BC20" s="73">
        <v>23</v>
      </c>
      <c r="BD20" s="74">
        <v>142230</v>
      </c>
      <c r="BE20" s="74">
        <v>42790</v>
      </c>
      <c r="BF20" s="75"/>
      <c r="BG20" s="75"/>
      <c r="BH20" s="75">
        <v>3300</v>
      </c>
      <c r="BI20" s="75"/>
      <c r="BJ20" s="76">
        <f t="shared" si="32"/>
        <v>185020</v>
      </c>
      <c r="BK20" s="47">
        <v>16</v>
      </c>
      <c r="BL20" s="77">
        <f t="shared" si="27"/>
        <v>185020</v>
      </c>
    </row>
    <row r="21" spans="2:67" ht="20" customHeight="1">
      <c r="B21" s="78">
        <f t="shared" si="28"/>
        <v>45308</v>
      </c>
      <c r="C21" s="79"/>
      <c r="D21" s="50"/>
      <c r="E21" s="51">
        <v>31</v>
      </c>
      <c r="F21" s="52">
        <v>118690</v>
      </c>
      <c r="G21" s="53">
        <f t="shared" si="0"/>
        <v>3480.6451612903224</v>
      </c>
      <c r="H21" s="52">
        <v>12120</v>
      </c>
      <c r="I21" s="53">
        <f t="shared" si="1"/>
        <v>355.41935483870969</v>
      </c>
      <c r="J21" s="55">
        <f t="shared" si="2"/>
        <v>130810</v>
      </c>
      <c r="K21" s="56">
        <f t="shared" si="3"/>
        <v>4219.677419354839</v>
      </c>
      <c r="L21" s="57"/>
      <c r="M21" s="58">
        <f t="shared" si="4"/>
        <v>12</v>
      </c>
      <c r="N21" s="59">
        <f t="shared" si="4"/>
        <v>155100</v>
      </c>
      <c r="O21" s="53">
        <f t="shared" si="5"/>
        <v>11750</v>
      </c>
      <c r="P21" s="59">
        <f t="shared" si="6"/>
        <v>68640</v>
      </c>
      <c r="Q21" s="84">
        <f t="shared" si="7"/>
        <v>5200</v>
      </c>
      <c r="R21" s="60">
        <f t="shared" si="8"/>
        <v>223740</v>
      </c>
      <c r="S21" s="56">
        <f t="shared" si="9"/>
        <v>18645</v>
      </c>
      <c r="T21" s="80">
        <f t="shared" si="10"/>
        <v>43</v>
      </c>
      <c r="U21" s="59">
        <f t="shared" si="10"/>
        <v>273790</v>
      </c>
      <c r="V21" s="59">
        <f t="shared" si="11"/>
        <v>80760</v>
      </c>
      <c r="W21" s="62">
        <f t="shared" si="12"/>
        <v>354550</v>
      </c>
      <c r="X21" s="81"/>
      <c r="Y21" s="63"/>
      <c r="Z21" s="64">
        <v>14</v>
      </c>
      <c r="AA21" s="52">
        <v>8220</v>
      </c>
      <c r="AB21" s="53">
        <f t="shared" si="13"/>
        <v>587.14285714285711</v>
      </c>
      <c r="AC21" s="52">
        <v>4300</v>
      </c>
      <c r="AD21" s="54">
        <f t="shared" si="14"/>
        <v>307.14285714285717</v>
      </c>
      <c r="AE21" s="65">
        <f t="shared" si="15"/>
        <v>12520</v>
      </c>
      <c r="AF21" s="56">
        <f t="shared" si="16"/>
        <v>894.28571428571433</v>
      </c>
      <c r="AG21" s="66"/>
      <c r="AH21" s="64"/>
      <c r="AI21" s="52"/>
      <c r="AJ21" s="53" t="e">
        <f t="shared" si="17"/>
        <v>#DIV/0!</v>
      </c>
      <c r="AK21" s="52"/>
      <c r="AL21" s="54" t="e">
        <f t="shared" si="18"/>
        <v>#DIV/0!</v>
      </c>
      <c r="AM21" s="65">
        <f t="shared" si="29"/>
        <v>0</v>
      </c>
      <c r="AN21" s="67" t="str">
        <f t="shared" si="19"/>
        <v/>
      </c>
      <c r="AO21" s="68"/>
      <c r="AP21" s="64"/>
      <c r="AQ21" s="52"/>
      <c r="AR21" s="53" t="e">
        <f t="shared" si="20"/>
        <v>#DIV/0!</v>
      </c>
      <c r="AS21" s="52"/>
      <c r="AT21" s="54" t="e">
        <f t="shared" si="21"/>
        <v>#DIV/0!</v>
      </c>
      <c r="AU21" s="54"/>
      <c r="AV21" s="69">
        <f t="shared" si="30"/>
        <v>0</v>
      </c>
      <c r="AW21" s="67" t="str">
        <f t="shared" si="22"/>
        <v/>
      </c>
      <c r="AX21" s="82">
        <f t="shared" si="23"/>
        <v>43</v>
      </c>
      <c r="AY21" s="59">
        <f t="shared" si="24"/>
        <v>282010</v>
      </c>
      <c r="AZ21" s="59">
        <f t="shared" si="25"/>
        <v>85060</v>
      </c>
      <c r="BA21" s="71">
        <f>W21+AE21+AM21+AV21</f>
        <v>367070</v>
      </c>
      <c r="BB21" s="72">
        <f t="shared" si="31"/>
        <v>8250</v>
      </c>
      <c r="BC21" s="73">
        <v>43</v>
      </c>
      <c r="BD21" s="74">
        <v>273790</v>
      </c>
      <c r="BE21" s="74">
        <v>80760</v>
      </c>
      <c r="BF21" s="75">
        <v>8250</v>
      </c>
      <c r="BG21" s="75"/>
      <c r="BH21" s="75"/>
      <c r="BI21" s="75"/>
      <c r="BJ21" s="76">
        <f t="shared" si="32"/>
        <v>362800</v>
      </c>
      <c r="BK21" s="47">
        <v>17</v>
      </c>
      <c r="BL21" s="77">
        <f t="shared" si="27"/>
        <v>362800</v>
      </c>
    </row>
    <row r="22" spans="2:67" ht="20" customHeight="1">
      <c r="B22" s="78">
        <f t="shared" si="28"/>
        <v>45309</v>
      </c>
      <c r="C22" s="79"/>
      <c r="D22" s="50"/>
      <c r="E22" s="51">
        <v>13</v>
      </c>
      <c r="F22" s="52">
        <v>39710</v>
      </c>
      <c r="G22" s="53">
        <f t="shared" si="0"/>
        <v>2776.9230769230771</v>
      </c>
      <c r="H22" s="52">
        <v>8250</v>
      </c>
      <c r="I22" s="53">
        <f t="shared" si="1"/>
        <v>576.92307692307691</v>
      </c>
      <c r="J22" s="55">
        <f t="shared" si="2"/>
        <v>47960</v>
      </c>
      <c r="K22" s="56">
        <f t="shared" si="3"/>
        <v>3689.2307692307691</v>
      </c>
      <c r="L22" s="57"/>
      <c r="M22" s="58">
        <f t="shared" si="4"/>
        <v>8</v>
      </c>
      <c r="N22" s="59">
        <f t="shared" si="4"/>
        <v>84370</v>
      </c>
      <c r="O22" s="53">
        <f t="shared" si="5"/>
        <v>9587.5</v>
      </c>
      <c r="P22" s="59">
        <f t="shared" si="6"/>
        <v>52400</v>
      </c>
      <c r="Q22" s="84">
        <f t="shared" si="7"/>
        <v>5954.5</v>
      </c>
      <c r="R22" s="60">
        <f t="shared" si="8"/>
        <v>136770</v>
      </c>
      <c r="S22" s="56">
        <f t="shared" si="9"/>
        <v>17096.25</v>
      </c>
      <c r="T22" s="80">
        <f t="shared" si="10"/>
        <v>21</v>
      </c>
      <c r="U22" s="59">
        <f t="shared" si="10"/>
        <v>124080</v>
      </c>
      <c r="V22" s="59">
        <f t="shared" si="11"/>
        <v>60650</v>
      </c>
      <c r="W22" s="62">
        <f t="shared" si="12"/>
        <v>184730</v>
      </c>
      <c r="X22" s="81"/>
      <c r="Y22" s="63"/>
      <c r="Z22" s="64">
        <v>29</v>
      </c>
      <c r="AA22" s="52">
        <v>11980</v>
      </c>
      <c r="AB22" s="53">
        <f t="shared" si="13"/>
        <v>413.10344827586209</v>
      </c>
      <c r="AC22" s="52">
        <v>4900</v>
      </c>
      <c r="AD22" s="54">
        <f t="shared" si="14"/>
        <v>168.9655172413793</v>
      </c>
      <c r="AE22" s="65">
        <f t="shared" si="15"/>
        <v>16880</v>
      </c>
      <c r="AF22" s="56">
        <f t="shared" si="16"/>
        <v>582.06896551724139</v>
      </c>
      <c r="AG22" s="66"/>
      <c r="AH22" s="64"/>
      <c r="AI22" s="52"/>
      <c r="AJ22" s="53" t="e">
        <f t="shared" si="17"/>
        <v>#DIV/0!</v>
      </c>
      <c r="AK22" s="52"/>
      <c r="AL22" s="54" t="e">
        <f t="shared" si="18"/>
        <v>#DIV/0!</v>
      </c>
      <c r="AM22" s="65">
        <f t="shared" si="29"/>
        <v>0</v>
      </c>
      <c r="AN22" s="67" t="str">
        <f t="shared" si="19"/>
        <v/>
      </c>
      <c r="AO22" s="68"/>
      <c r="AP22" s="64"/>
      <c r="AQ22" s="52"/>
      <c r="AR22" s="53" t="e">
        <f t="shared" si="20"/>
        <v>#DIV/0!</v>
      </c>
      <c r="AS22" s="52"/>
      <c r="AT22" s="54" t="e">
        <f t="shared" si="21"/>
        <v>#DIV/0!</v>
      </c>
      <c r="AU22" s="54"/>
      <c r="AV22" s="69">
        <f t="shared" si="30"/>
        <v>0</v>
      </c>
      <c r="AW22" s="67" t="str">
        <f t="shared" si="22"/>
        <v/>
      </c>
      <c r="AX22" s="82">
        <f t="shared" si="23"/>
        <v>21</v>
      </c>
      <c r="AY22" s="59">
        <f t="shared" si="24"/>
        <v>136060</v>
      </c>
      <c r="AZ22" s="59">
        <f t="shared" si="25"/>
        <v>65550</v>
      </c>
      <c r="BA22" s="71">
        <f t="shared" si="26"/>
        <v>201610</v>
      </c>
      <c r="BB22" s="72">
        <f t="shared" si="31"/>
        <v>0</v>
      </c>
      <c r="BC22" s="73">
        <v>21</v>
      </c>
      <c r="BD22" s="74">
        <v>124080</v>
      </c>
      <c r="BE22" s="74">
        <v>60650</v>
      </c>
      <c r="BF22" s="75"/>
      <c r="BG22" s="75"/>
      <c r="BH22" s="75"/>
      <c r="BI22" s="75"/>
      <c r="BJ22" s="76">
        <f t="shared" si="32"/>
        <v>184730</v>
      </c>
      <c r="BK22" s="47">
        <v>18</v>
      </c>
      <c r="BL22" s="77">
        <f t="shared" si="27"/>
        <v>184730</v>
      </c>
      <c r="BM22" s="47">
        <v>15002</v>
      </c>
      <c r="BN22" s="85">
        <f>BA22-BM22</f>
        <v>186608</v>
      </c>
      <c r="BO22" s="47" t="s">
        <v>40</v>
      </c>
    </row>
    <row r="23" spans="2:67" ht="20" customHeight="1">
      <c r="B23" s="78">
        <f t="shared" si="28"/>
        <v>45310</v>
      </c>
      <c r="C23" s="79"/>
      <c r="D23" s="50"/>
      <c r="E23" s="51">
        <v>25</v>
      </c>
      <c r="F23" s="52">
        <v>100540</v>
      </c>
      <c r="G23" s="53">
        <f t="shared" si="0"/>
        <v>3656</v>
      </c>
      <c r="H23" s="52">
        <v>8970</v>
      </c>
      <c r="I23" s="53">
        <f t="shared" si="1"/>
        <v>326.16000000000003</v>
      </c>
      <c r="J23" s="55">
        <f t="shared" si="2"/>
        <v>109510</v>
      </c>
      <c r="K23" s="56">
        <f t="shared" si="3"/>
        <v>4380.3999999999996</v>
      </c>
      <c r="L23" s="57"/>
      <c r="M23" s="58">
        <f t="shared" si="4"/>
        <v>11</v>
      </c>
      <c r="N23" s="59">
        <f t="shared" si="4"/>
        <v>112640</v>
      </c>
      <c r="O23" s="53">
        <f t="shared" si="5"/>
        <v>9309.0909090909099</v>
      </c>
      <c r="P23" s="59">
        <f t="shared" si="6"/>
        <v>23140</v>
      </c>
      <c r="Q23" s="84">
        <f t="shared" si="7"/>
        <v>1912.3636363636363</v>
      </c>
      <c r="R23" s="60">
        <f t="shared" si="8"/>
        <v>135780</v>
      </c>
      <c r="S23" s="56">
        <f t="shared" si="9"/>
        <v>12343.636363636364</v>
      </c>
      <c r="T23" s="80">
        <f t="shared" si="10"/>
        <v>36</v>
      </c>
      <c r="U23" s="59">
        <f t="shared" si="10"/>
        <v>213180</v>
      </c>
      <c r="V23" s="59">
        <f t="shared" si="11"/>
        <v>32110</v>
      </c>
      <c r="W23" s="62">
        <f t="shared" si="12"/>
        <v>245290</v>
      </c>
      <c r="X23" s="81"/>
      <c r="Y23" s="63"/>
      <c r="Z23" s="64">
        <v>13</v>
      </c>
      <c r="AA23" s="52">
        <v>6160</v>
      </c>
      <c r="AB23" s="53">
        <f t="shared" si="13"/>
        <v>473.84615384615387</v>
      </c>
      <c r="AC23" s="52">
        <v>1400</v>
      </c>
      <c r="AD23" s="54">
        <f t="shared" si="14"/>
        <v>107.69230769230769</v>
      </c>
      <c r="AE23" s="65">
        <f t="shared" si="15"/>
        <v>7560</v>
      </c>
      <c r="AF23" s="56">
        <f t="shared" si="16"/>
        <v>581.53846153846155</v>
      </c>
      <c r="AG23" s="66"/>
      <c r="AH23" s="64">
        <v>22</v>
      </c>
      <c r="AI23" s="52">
        <v>124410</v>
      </c>
      <c r="AJ23" s="53">
        <f t="shared" si="17"/>
        <v>5655</v>
      </c>
      <c r="AK23" s="52">
        <v>28710</v>
      </c>
      <c r="AL23" s="54">
        <f t="shared" si="18"/>
        <v>1305</v>
      </c>
      <c r="AM23" s="65">
        <f t="shared" si="29"/>
        <v>153120</v>
      </c>
      <c r="AN23" s="67">
        <f t="shared" si="19"/>
        <v>6960</v>
      </c>
      <c r="AO23" s="68"/>
      <c r="AP23" s="64"/>
      <c r="AQ23" s="52"/>
      <c r="AR23" s="53" t="e">
        <f t="shared" si="20"/>
        <v>#DIV/0!</v>
      </c>
      <c r="AS23" s="52"/>
      <c r="AT23" s="54" t="e">
        <f t="shared" si="21"/>
        <v>#DIV/0!</v>
      </c>
      <c r="AU23" s="54"/>
      <c r="AV23" s="69">
        <f t="shared" si="30"/>
        <v>0</v>
      </c>
      <c r="AW23" s="67" t="str">
        <f>IF(AP23="","",AV23/AP23)</f>
        <v/>
      </c>
      <c r="AX23" s="82">
        <f t="shared" si="23"/>
        <v>36</v>
      </c>
      <c r="AY23" s="59">
        <f t="shared" si="24"/>
        <v>343750</v>
      </c>
      <c r="AZ23" s="59">
        <f t="shared" si="25"/>
        <v>62220</v>
      </c>
      <c r="BA23" s="71">
        <f t="shared" si="26"/>
        <v>405970</v>
      </c>
      <c r="BB23" s="72">
        <f t="shared" si="31"/>
        <v>7700</v>
      </c>
      <c r="BC23" s="73">
        <v>36</v>
      </c>
      <c r="BD23" s="74">
        <v>213180</v>
      </c>
      <c r="BE23" s="74">
        <v>32110</v>
      </c>
      <c r="BF23" s="75">
        <v>7700</v>
      </c>
      <c r="BG23" s="75"/>
      <c r="BH23" s="75">
        <v>3300</v>
      </c>
      <c r="BI23" s="75"/>
      <c r="BJ23" s="76">
        <f>SUM(BD23:BG23)</f>
        <v>252990</v>
      </c>
      <c r="BK23" s="47">
        <v>19</v>
      </c>
      <c r="BL23" s="77">
        <f t="shared" si="27"/>
        <v>252990</v>
      </c>
    </row>
    <row r="24" spans="2:67" ht="20" customHeight="1">
      <c r="B24" s="78">
        <f t="shared" si="28"/>
        <v>45311</v>
      </c>
      <c r="C24" s="79"/>
      <c r="D24" s="50"/>
      <c r="E24" s="51">
        <v>23</v>
      </c>
      <c r="F24" s="52">
        <v>89540</v>
      </c>
      <c r="G24" s="53">
        <f t="shared" si="0"/>
        <v>3539.1304347826085</v>
      </c>
      <c r="H24" s="52">
        <v>11310</v>
      </c>
      <c r="I24" s="53">
        <f t="shared" si="1"/>
        <v>447</v>
      </c>
      <c r="J24" s="55">
        <f t="shared" si="2"/>
        <v>100850</v>
      </c>
      <c r="K24" s="56">
        <f t="shared" si="3"/>
        <v>4384.782608695652</v>
      </c>
      <c r="L24" s="57"/>
      <c r="M24" s="58">
        <f t="shared" si="4"/>
        <v>24</v>
      </c>
      <c r="N24" s="59">
        <f t="shared" si="4"/>
        <v>235180</v>
      </c>
      <c r="O24" s="53">
        <f t="shared" si="5"/>
        <v>8908.3333333333339</v>
      </c>
      <c r="P24" s="59">
        <f t="shared" si="6"/>
        <v>99150</v>
      </c>
      <c r="Q24" s="84">
        <f t="shared" si="7"/>
        <v>3755.6666666666665</v>
      </c>
      <c r="R24" s="60">
        <f t="shared" si="8"/>
        <v>334330</v>
      </c>
      <c r="S24" s="56">
        <f t="shared" si="9"/>
        <v>13930.416666666666</v>
      </c>
      <c r="T24" s="80">
        <f t="shared" si="10"/>
        <v>47</v>
      </c>
      <c r="U24" s="59">
        <f t="shared" si="10"/>
        <v>324720</v>
      </c>
      <c r="V24" s="59">
        <f t="shared" si="11"/>
        <v>110460</v>
      </c>
      <c r="W24" s="62">
        <f t="shared" si="12"/>
        <v>435180</v>
      </c>
      <c r="X24" s="81"/>
      <c r="Y24" s="63"/>
      <c r="Z24" s="64">
        <v>28</v>
      </c>
      <c r="AA24" s="52">
        <v>12680</v>
      </c>
      <c r="AB24" s="53">
        <f t="shared" si="13"/>
        <v>452.85714285714283</v>
      </c>
      <c r="AC24" s="52">
        <v>8190</v>
      </c>
      <c r="AD24" s="54">
        <f t="shared" si="14"/>
        <v>292.5</v>
      </c>
      <c r="AE24" s="65">
        <f t="shared" si="15"/>
        <v>20870</v>
      </c>
      <c r="AF24" s="56">
        <f t="shared" si="16"/>
        <v>745.35714285714289</v>
      </c>
      <c r="AG24" s="66"/>
      <c r="AH24" s="64"/>
      <c r="AI24" s="52"/>
      <c r="AJ24" s="53" t="e">
        <f t="shared" si="17"/>
        <v>#DIV/0!</v>
      </c>
      <c r="AK24" s="52"/>
      <c r="AL24" s="54" t="e">
        <f t="shared" si="18"/>
        <v>#DIV/0!</v>
      </c>
      <c r="AM24" s="65">
        <f t="shared" si="29"/>
        <v>0</v>
      </c>
      <c r="AN24" s="67" t="str">
        <f t="shared" si="19"/>
        <v/>
      </c>
      <c r="AO24" s="68"/>
      <c r="AP24" s="64"/>
      <c r="AQ24" s="52"/>
      <c r="AR24" s="53" t="e">
        <f t="shared" si="20"/>
        <v>#DIV/0!</v>
      </c>
      <c r="AS24" s="52"/>
      <c r="AT24" s="54" t="e">
        <f t="shared" si="21"/>
        <v>#DIV/0!</v>
      </c>
      <c r="AU24" s="54"/>
      <c r="AV24" s="69">
        <f t="shared" si="30"/>
        <v>0</v>
      </c>
      <c r="AW24" s="67" t="str">
        <f t="shared" si="22"/>
        <v/>
      </c>
      <c r="AX24" s="82">
        <f t="shared" si="23"/>
        <v>47</v>
      </c>
      <c r="AY24" s="59">
        <f t="shared" si="24"/>
        <v>337400</v>
      </c>
      <c r="AZ24" s="59">
        <f t="shared" si="25"/>
        <v>118650</v>
      </c>
      <c r="BA24" s="71">
        <f t="shared" si="26"/>
        <v>456050</v>
      </c>
      <c r="BB24" s="72">
        <f t="shared" si="31"/>
        <v>5500</v>
      </c>
      <c r="BC24" s="73">
        <v>47</v>
      </c>
      <c r="BD24" s="74">
        <v>324720</v>
      </c>
      <c r="BE24" s="74">
        <v>110460</v>
      </c>
      <c r="BF24" s="75">
        <v>5500</v>
      </c>
      <c r="BG24" s="75"/>
      <c r="BH24" s="75">
        <v>3300</v>
      </c>
      <c r="BI24" s="75"/>
      <c r="BJ24" s="76">
        <f t="shared" si="32"/>
        <v>440680</v>
      </c>
      <c r="BK24" s="47">
        <v>20</v>
      </c>
      <c r="BL24" s="77">
        <f t="shared" si="27"/>
        <v>440680</v>
      </c>
    </row>
    <row r="25" spans="2:67" ht="20" customHeight="1">
      <c r="B25" s="78">
        <f t="shared" si="28"/>
        <v>45312</v>
      </c>
      <c r="C25" s="79"/>
      <c r="D25" s="50"/>
      <c r="E25" s="51">
        <v>27</v>
      </c>
      <c r="F25" s="52">
        <v>111650</v>
      </c>
      <c r="G25" s="53">
        <f t="shared" si="0"/>
        <v>3759.2592592592591</v>
      </c>
      <c r="H25" s="52">
        <v>38740</v>
      </c>
      <c r="I25" s="53">
        <f t="shared" si="1"/>
        <v>1304.3703703703704</v>
      </c>
      <c r="J25" s="55">
        <f t="shared" si="2"/>
        <v>150390</v>
      </c>
      <c r="K25" s="56">
        <f t="shared" si="3"/>
        <v>5570</v>
      </c>
      <c r="L25" s="57"/>
      <c r="M25" s="58">
        <f t="shared" si="4"/>
        <v>7</v>
      </c>
      <c r="N25" s="59">
        <f t="shared" si="4"/>
        <v>69850</v>
      </c>
      <c r="O25" s="53">
        <f t="shared" si="5"/>
        <v>9071.4285714285706</v>
      </c>
      <c r="P25" s="59">
        <f t="shared" si="6"/>
        <v>25670</v>
      </c>
      <c r="Q25" s="84">
        <f t="shared" si="7"/>
        <v>3333.7142857142858</v>
      </c>
      <c r="R25" s="60">
        <f t="shared" si="8"/>
        <v>95520</v>
      </c>
      <c r="S25" s="56">
        <f t="shared" si="9"/>
        <v>13645.714285714286</v>
      </c>
      <c r="T25" s="80">
        <f t="shared" si="10"/>
        <v>34</v>
      </c>
      <c r="U25" s="59">
        <f t="shared" si="10"/>
        <v>181500</v>
      </c>
      <c r="V25" s="59">
        <f t="shared" si="11"/>
        <v>64410</v>
      </c>
      <c r="W25" s="62">
        <f t="shared" si="12"/>
        <v>245910</v>
      </c>
      <c r="X25" s="81"/>
      <c r="Y25" s="63"/>
      <c r="Z25" s="64">
        <v>16</v>
      </c>
      <c r="AA25" s="52">
        <v>7320</v>
      </c>
      <c r="AB25" s="53">
        <f t="shared" si="13"/>
        <v>457.5</v>
      </c>
      <c r="AC25" s="52">
        <v>2300</v>
      </c>
      <c r="AD25" s="54">
        <f t="shared" si="14"/>
        <v>143.75</v>
      </c>
      <c r="AE25" s="65">
        <f t="shared" si="15"/>
        <v>9620</v>
      </c>
      <c r="AF25" s="56">
        <f t="shared" si="16"/>
        <v>601.25</v>
      </c>
      <c r="AG25" s="66"/>
      <c r="AH25" s="64"/>
      <c r="AI25" s="52"/>
      <c r="AJ25" s="53" t="e">
        <f t="shared" si="17"/>
        <v>#DIV/0!</v>
      </c>
      <c r="AK25" s="52"/>
      <c r="AL25" s="54" t="e">
        <f t="shared" si="18"/>
        <v>#DIV/0!</v>
      </c>
      <c r="AM25" s="65">
        <f t="shared" si="29"/>
        <v>0</v>
      </c>
      <c r="AN25" s="67" t="str">
        <f t="shared" si="19"/>
        <v/>
      </c>
      <c r="AO25" s="68"/>
      <c r="AP25" s="64"/>
      <c r="AQ25" s="52"/>
      <c r="AR25" s="53" t="e">
        <f t="shared" si="20"/>
        <v>#DIV/0!</v>
      </c>
      <c r="AS25" s="52"/>
      <c r="AT25" s="54" t="e">
        <f t="shared" si="21"/>
        <v>#DIV/0!</v>
      </c>
      <c r="AU25" s="54"/>
      <c r="AV25" s="69">
        <f t="shared" si="30"/>
        <v>0</v>
      </c>
      <c r="AW25" s="67" t="str">
        <f t="shared" si="22"/>
        <v/>
      </c>
      <c r="AX25" s="82">
        <f t="shared" si="23"/>
        <v>34</v>
      </c>
      <c r="AY25" s="59">
        <f t="shared" si="24"/>
        <v>188820</v>
      </c>
      <c r="AZ25" s="59">
        <f t="shared" si="25"/>
        <v>66710</v>
      </c>
      <c r="BA25" s="71">
        <f t="shared" si="26"/>
        <v>255530</v>
      </c>
      <c r="BB25" s="72">
        <f t="shared" si="31"/>
        <v>3850</v>
      </c>
      <c r="BC25" s="73">
        <v>34</v>
      </c>
      <c r="BD25" s="74">
        <v>181500</v>
      </c>
      <c r="BE25" s="74">
        <v>64410</v>
      </c>
      <c r="BF25" s="75">
        <v>3850</v>
      </c>
      <c r="BG25" s="75"/>
      <c r="BH25" s="75"/>
      <c r="BI25" s="75"/>
      <c r="BJ25" s="76">
        <f t="shared" si="32"/>
        <v>249760</v>
      </c>
      <c r="BK25" s="47">
        <v>21</v>
      </c>
      <c r="BL25" s="77">
        <f t="shared" si="27"/>
        <v>249760</v>
      </c>
    </row>
    <row r="26" spans="2:67" ht="20" customHeight="1">
      <c r="B26" s="78">
        <f t="shared" si="28"/>
        <v>45313</v>
      </c>
      <c r="C26" s="79"/>
      <c r="D26" s="50"/>
      <c r="E26" s="51">
        <v>19</v>
      </c>
      <c r="F26" s="52">
        <v>73700</v>
      </c>
      <c r="G26" s="53">
        <f t="shared" si="0"/>
        <v>3526.3157894736842</v>
      </c>
      <c r="H26" s="52">
        <v>13140</v>
      </c>
      <c r="I26" s="53">
        <f t="shared" si="1"/>
        <v>628.68421052631584</v>
      </c>
      <c r="J26" s="55">
        <f t="shared" si="2"/>
        <v>86840</v>
      </c>
      <c r="K26" s="56">
        <f t="shared" si="3"/>
        <v>4570.5263157894733</v>
      </c>
      <c r="L26" s="57"/>
      <c r="M26" s="58">
        <f t="shared" si="4"/>
        <v>5</v>
      </c>
      <c r="N26" s="59">
        <f t="shared" si="4"/>
        <v>62700</v>
      </c>
      <c r="O26" s="53">
        <f t="shared" si="5"/>
        <v>11400</v>
      </c>
      <c r="P26" s="59">
        <f t="shared" si="6"/>
        <v>36430</v>
      </c>
      <c r="Q26" s="84">
        <f t="shared" si="7"/>
        <v>6623.6</v>
      </c>
      <c r="R26" s="60">
        <f t="shared" si="8"/>
        <v>99130</v>
      </c>
      <c r="S26" s="56">
        <f t="shared" si="9"/>
        <v>19826</v>
      </c>
      <c r="T26" s="80">
        <f t="shared" si="10"/>
        <v>24</v>
      </c>
      <c r="U26" s="59">
        <f t="shared" si="10"/>
        <v>136400</v>
      </c>
      <c r="V26" s="59">
        <f t="shared" si="11"/>
        <v>49570</v>
      </c>
      <c r="W26" s="62">
        <f t="shared" si="12"/>
        <v>185970</v>
      </c>
      <c r="X26" s="81"/>
      <c r="Y26" s="63"/>
      <c r="Z26" s="64">
        <v>22</v>
      </c>
      <c r="AA26" s="52">
        <v>8900</v>
      </c>
      <c r="AB26" s="53">
        <f t="shared" si="13"/>
        <v>404.54545454545456</v>
      </c>
      <c r="AC26" s="52">
        <v>0</v>
      </c>
      <c r="AD26" s="54">
        <f t="shared" si="14"/>
        <v>0</v>
      </c>
      <c r="AE26" s="65">
        <f t="shared" si="15"/>
        <v>8900</v>
      </c>
      <c r="AF26" s="56">
        <f t="shared" si="16"/>
        <v>404.54545454545456</v>
      </c>
      <c r="AG26" s="66"/>
      <c r="AH26" s="64"/>
      <c r="AI26" s="52"/>
      <c r="AJ26" s="53" t="e">
        <f t="shared" si="17"/>
        <v>#DIV/0!</v>
      </c>
      <c r="AK26" s="52"/>
      <c r="AL26" s="54" t="e">
        <f t="shared" si="18"/>
        <v>#DIV/0!</v>
      </c>
      <c r="AM26" s="65">
        <f t="shared" si="29"/>
        <v>0</v>
      </c>
      <c r="AN26" s="67" t="str">
        <f t="shared" si="19"/>
        <v/>
      </c>
      <c r="AO26" s="68"/>
      <c r="AP26" s="64"/>
      <c r="AQ26" s="52"/>
      <c r="AR26" s="53" t="e">
        <f t="shared" si="20"/>
        <v>#DIV/0!</v>
      </c>
      <c r="AS26" s="52"/>
      <c r="AT26" s="54" t="e">
        <f t="shared" si="21"/>
        <v>#DIV/0!</v>
      </c>
      <c r="AU26" s="54"/>
      <c r="AV26" s="69">
        <f t="shared" si="30"/>
        <v>0</v>
      </c>
      <c r="AW26" s="67" t="str">
        <f t="shared" si="22"/>
        <v/>
      </c>
      <c r="AX26" s="82">
        <f t="shared" si="23"/>
        <v>24</v>
      </c>
      <c r="AY26" s="59">
        <f t="shared" si="24"/>
        <v>145300</v>
      </c>
      <c r="AZ26" s="59">
        <f t="shared" si="25"/>
        <v>49570</v>
      </c>
      <c r="BA26" s="71">
        <f>W26+AE26+AM26+AV26</f>
        <v>194870</v>
      </c>
      <c r="BB26" s="72">
        <f>BF26+BG26</f>
        <v>2200</v>
      </c>
      <c r="BC26" s="73">
        <v>24</v>
      </c>
      <c r="BD26" s="74">
        <v>136400</v>
      </c>
      <c r="BE26" s="74">
        <v>49570</v>
      </c>
      <c r="BF26" s="75">
        <v>2200</v>
      </c>
      <c r="BG26" s="75"/>
      <c r="BH26" s="75"/>
      <c r="BI26" s="75"/>
      <c r="BJ26" s="76">
        <f t="shared" si="32"/>
        <v>188170</v>
      </c>
      <c r="BK26" s="47">
        <v>22</v>
      </c>
      <c r="BL26" s="77">
        <f t="shared" si="27"/>
        <v>188170</v>
      </c>
    </row>
    <row r="27" spans="2:67" ht="20" customHeight="1">
      <c r="B27" s="78">
        <f t="shared" si="28"/>
        <v>45314</v>
      </c>
      <c r="C27" s="79"/>
      <c r="D27" s="50"/>
      <c r="E27" s="51">
        <v>25</v>
      </c>
      <c r="F27" s="52">
        <v>102300</v>
      </c>
      <c r="G27" s="53">
        <f t="shared" si="0"/>
        <v>3720</v>
      </c>
      <c r="H27" s="52">
        <v>13080</v>
      </c>
      <c r="I27" s="53">
        <f t="shared" si="1"/>
        <v>475.6</v>
      </c>
      <c r="J27" s="55">
        <f t="shared" si="2"/>
        <v>115380</v>
      </c>
      <c r="K27" s="56">
        <f t="shared" si="3"/>
        <v>4615.2</v>
      </c>
      <c r="L27" s="57"/>
      <c r="M27" s="58">
        <f t="shared" si="4"/>
        <v>9</v>
      </c>
      <c r="N27" s="59">
        <f t="shared" si="4"/>
        <v>51040</v>
      </c>
      <c r="O27" s="53">
        <f t="shared" si="5"/>
        <v>5155.5555555555557</v>
      </c>
      <c r="P27" s="59">
        <f t="shared" si="6"/>
        <v>14300</v>
      </c>
      <c r="Q27" s="54">
        <f t="shared" si="7"/>
        <v>1444.4444444444443</v>
      </c>
      <c r="R27" s="60">
        <f t="shared" si="8"/>
        <v>65340</v>
      </c>
      <c r="S27" s="56">
        <f t="shared" si="9"/>
        <v>7260</v>
      </c>
      <c r="T27" s="80">
        <f t="shared" si="10"/>
        <v>34</v>
      </c>
      <c r="U27" s="59">
        <f t="shared" si="10"/>
        <v>153340</v>
      </c>
      <c r="V27" s="59">
        <f t="shared" si="11"/>
        <v>27380</v>
      </c>
      <c r="W27" s="62">
        <f t="shared" si="12"/>
        <v>180720</v>
      </c>
      <c r="X27" s="81"/>
      <c r="Y27" s="63"/>
      <c r="Z27" s="64">
        <v>12</v>
      </c>
      <c r="AA27" s="52">
        <v>4200</v>
      </c>
      <c r="AB27" s="53">
        <f t="shared" si="13"/>
        <v>350</v>
      </c>
      <c r="AC27" s="52">
        <v>1000</v>
      </c>
      <c r="AD27" s="54">
        <f t="shared" si="14"/>
        <v>83.333333333333329</v>
      </c>
      <c r="AE27" s="65">
        <f t="shared" si="15"/>
        <v>5200</v>
      </c>
      <c r="AF27" s="56">
        <f t="shared" si="16"/>
        <v>433.33333333333331</v>
      </c>
      <c r="AG27" s="66"/>
      <c r="AH27" s="64"/>
      <c r="AI27" s="52"/>
      <c r="AJ27" s="53" t="e">
        <f t="shared" si="17"/>
        <v>#DIV/0!</v>
      </c>
      <c r="AK27" s="52"/>
      <c r="AL27" s="54" t="e">
        <f t="shared" si="18"/>
        <v>#DIV/0!</v>
      </c>
      <c r="AM27" s="65">
        <f t="shared" si="29"/>
        <v>0</v>
      </c>
      <c r="AN27" s="67" t="str">
        <f t="shared" si="19"/>
        <v/>
      </c>
      <c r="AO27" s="68"/>
      <c r="AP27" s="64"/>
      <c r="AQ27" s="52"/>
      <c r="AR27" s="53" t="e">
        <f t="shared" si="20"/>
        <v>#DIV/0!</v>
      </c>
      <c r="AS27" s="52"/>
      <c r="AT27" s="54" t="e">
        <f t="shared" si="21"/>
        <v>#DIV/0!</v>
      </c>
      <c r="AU27" s="54"/>
      <c r="AV27" s="69">
        <f t="shared" si="30"/>
        <v>0</v>
      </c>
      <c r="AW27" s="67" t="str">
        <f t="shared" si="22"/>
        <v/>
      </c>
      <c r="AX27" s="82">
        <f t="shared" si="23"/>
        <v>34</v>
      </c>
      <c r="AY27" s="59">
        <f t="shared" si="24"/>
        <v>157540</v>
      </c>
      <c r="AZ27" s="59">
        <f t="shared" si="25"/>
        <v>28380</v>
      </c>
      <c r="BA27" s="71">
        <f>W27+AE27+AM27+AV27</f>
        <v>185920</v>
      </c>
      <c r="BB27" s="72">
        <f t="shared" si="31"/>
        <v>0</v>
      </c>
      <c r="BC27" s="73">
        <v>34</v>
      </c>
      <c r="BD27" s="74">
        <v>153340</v>
      </c>
      <c r="BE27" s="74">
        <v>27380</v>
      </c>
      <c r="BF27" s="75"/>
      <c r="BG27" s="75"/>
      <c r="BH27" s="75"/>
      <c r="BI27" s="75"/>
      <c r="BJ27" s="76">
        <f t="shared" si="32"/>
        <v>180720</v>
      </c>
      <c r="BK27" s="47">
        <v>23</v>
      </c>
      <c r="BL27" s="77">
        <f t="shared" si="27"/>
        <v>180720</v>
      </c>
    </row>
    <row r="28" spans="2:67" ht="20" customHeight="1">
      <c r="B28" s="78">
        <f>B27+1</f>
        <v>45315</v>
      </c>
      <c r="C28" s="79"/>
      <c r="D28" s="50"/>
      <c r="E28" s="51">
        <v>25</v>
      </c>
      <c r="F28" s="52">
        <v>89980</v>
      </c>
      <c r="G28" s="53">
        <f t="shared" si="0"/>
        <v>3272</v>
      </c>
      <c r="H28" s="52">
        <v>14130</v>
      </c>
      <c r="I28" s="53">
        <f t="shared" si="1"/>
        <v>513.79999999999995</v>
      </c>
      <c r="J28" s="55">
        <f t="shared" si="2"/>
        <v>104110</v>
      </c>
      <c r="K28" s="56">
        <f t="shared" si="3"/>
        <v>4164.3999999999996</v>
      </c>
      <c r="L28" s="57"/>
      <c r="M28" s="58">
        <f t="shared" si="4"/>
        <v>27</v>
      </c>
      <c r="N28" s="59">
        <f t="shared" si="4"/>
        <v>281765</v>
      </c>
      <c r="O28" s="53">
        <f t="shared" si="5"/>
        <v>9487.0370370370365</v>
      </c>
      <c r="P28" s="59">
        <f t="shared" si="6"/>
        <v>81170</v>
      </c>
      <c r="Q28" s="54">
        <f>ROUNDDOWN(P28/1.1,0)/M28</f>
        <v>2732.962962962963</v>
      </c>
      <c r="R28" s="60">
        <f t="shared" si="8"/>
        <v>362935</v>
      </c>
      <c r="S28" s="56">
        <f t="shared" si="9"/>
        <v>13442.037037037036</v>
      </c>
      <c r="T28" s="80">
        <f t="shared" si="10"/>
        <v>52</v>
      </c>
      <c r="U28" s="59">
        <f t="shared" si="10"/>
        <v>371745</v>
      </c>
      <c r="V28" s="59">
        <f t="shared" si="11"/>
        <v>95300</v>
      </c>
      <c r="W28" s="62">
        <f t="shared" si="12"/>
        <v>467045</v>
      </c>
      <c r="X28" s="81"/>
      <c r="Y28" s="63"/>
      <c r="Z28" s="64">
        <v>24</v>
      </c>
      <c r="AA28" s="52">
        <v>9800</v>
      </c>
      <c r="AB28" s="53">
        <f t="shared" si="13"/>
        <v>408.33333333333331</v>
      </c>
      <c r="AC28" s="52">
        <v>2400</v>
      </c>
      <c r="AD28" s="54">
        <f t="shared" si="14"/>
        <v>100</v>
      </c>
      <c r="AE28" s="65">
        <f t="shared" si="15"/>
        <v>12200</v>
      </c>
      <c r="AF28" s="56">
        <f t="shared" si="16"/>
        <v>508.33333333333331</v>
      </c>
      <c r="AG28" s="66"/>
      <c r="AH28" s="64"/>
      <c r="AI28" s="52"/>
      <c r="AJ28" s="53" t="e">
        <f t="shared" si="17"/>
        <v>#DIV/0!</v>
      </c>
      <c r="AK28" s="52"/>
      <c r="AL28" s="54" t="e">
        <f t="shared" si="18"/>
        <v>#DIV/0!</v>
      </c>
      <c r="AM28" s="65">
        <f t="shared" si="29"/>
        <v>0</v>
      </c>
      <c r="AN28" s="67" t="str">
        <f t="shared" si="19"/>
        <v/>
      </c>
      <c r="AO28" s="68"/>
      <c r="AP28" s="64"/>
      <c r="AQ28" s="52"/>
      <c r="AR28" s="53" t="e">
        <f t="shared" si="20"/>
        <v>#DIV/0!</v>
      </c>
      <c r="AS28" s="52"/>
      <c r="AT28" s="54" t="e">
        <f t="shared" si="21"/>
        <v>#DIV/0!</v>
      </c>
      <c r="AU28" s="54"/>
      <c r="AV28" s="86">
        <f t="shared" si="30"/>
        <v>0</v>
      </c>
      <c r="AW28" s="67" t="str">
        <f t="shared" si="22"/>
        <v/>
      </c>
      <c r="AX28" s="82">
        <f t="shared" si="23"/>
        <v>52</v>
      </c>
      <c r="AY28" s="59">
        <f t="shared" si="24"/>
        <v>381545</v>
      </c>
      <c r="AZ28" s="59">
        <f t="shared" si="25"/>
        <v>97700</v>
      </c>
      <c r="BA28" s="71">
        <f t="shared" si="26"/>
        <v>479245</v>
      </c>
      <c r="BB28" s="72">
        <f t="shared" si="31"/>
        <v>6600</v>
      </c>
      <c r="BC28" s="73">
        <v>52</v>
      </c>
      <c r="BD28" s="74">
        <v>371745</v>
      </c>
      <c r="BE28" s="74">
        <v>95300</v>
      </c>
      <c r="BF28" s="75">
        <v>6600</v>
      </c>
      <c r="BG28" s="75"/>
      <c r="BH28" s="75"/>
      <c r="BI28" s="75"/>
      <c r="BJ28" s="76">
        <f t="shared" si="32"/>
        <v>473645</v>
      </c>
      <c r="BK28" s="47">
        <v>24</v>
      </c>
      <c r="BL28" s="77">
        <f t="shared" si="27"/>
        <v>473645</v>
      </c>
    </row>
    <row r="29" spans="2:67" ht="20" customHeight="1">
      <c r="B29" s="78">
        <f t="shared" si="28"/>
        <v>45316</v>
      </c>
      <c r="C29" s="79"/>
      <c r="D29" s="50"/>
      <c r="E29" s="51">
        <v>16</v>
      </c>
      <c r="F29" s="52">
        <v>71390</v>
      </c>
      <c r="G29" s="53">
        <f t="shared" si="0"/>
        <v>4056.25</v>
      </c>
      <c r="H29" s="52">
        <v>4660</v>
      </c>
      <c r="I29" s="53">
        <f t="shared" si="1"/>
        <v>264.75</v>
      </c>
      <c r="J29" s="55">
        <f t="shared" si="2"/>
        <v>76050</v>
      </c>
      <c r="K29" s="56">
        <f t="shared" si="3"/>
        <v>4753.125</v>
      </c>
      <c r="L29" s="57"/>
      <c r="M29" s="58">
        <f t="shared" si="4"/>
        <v>21</v>
      </c>
      <c r="N29" s="59">
        <f t="shared" si="4"/>
        <v>106740</v>
      </c>
      <c r="O29" s="53">
        <f t="shared" si="5"/>
        <v>4620.7619047619046</v>
      </c>
      <c r="P29" s="59">
        <f t="shared" si="6"/>
        <v>42320</v>
      </c>
      <c r="Q29" s="54">
        <f t="shared" si="7"/>
        <v>1832</v>
      </c>
      <c r="R29" s="60">
        <f t="shared" si="8"/>
        <v>149060</v>
      </c>
      <c r="S29" s="56">
        <f t="shared" si="9"/>
        <v>7098.0952380952385</v>
      </c>
      <c r="T29" s="80">
        <f t="shared" si="10"/>
        <v>37</v>
      </c>
      <c r="U29" s="59">
        <f t="shared" si="10"/>
        <v>178130</v>
      </c>
      <c r="V29" s="59">
        <f t="shared" si="11"/>
        <v>46980</v>
      </c>
      <c r="W29" s="62">
        <f t="shared" si="12"/>
        <v>225110</v>
      </c>
      <c r="X29" s="81"/>
      <c r="Y29" s="63"/>
      <c r="Z29" s="64">
        <v>13</v>
      </c>
      <c r="AA29" s="52">
        <v>6670</v>
      </c>
      <c r="AB29" s="53">
        <f t="shared" si="13"/>
        <v>513.07692307692309</v>
      </c>
      <c r="AC29" s="52">
        <v>5100</v>
      </c>
      <c r="AD29" s="54">
        <f t="shared" si="14"/>
        <v>392.30769230769232</v>
      </c>
      <c r="AE29" s="65">
        <f t="shared" si="15"/>
        <v>11770</v>
      </c>
      <c r="AF29" s="56">
        <f t="shared" si="16"/>
        <v>905.38461538461536</v>
      </c>
      <c r="AG29" s="66"/>
      <c r="AH29" s="64"/>
      <c r="AI29" s="52"/>
      <c r="AJ29" s="53" t="e">
        <f t="shared" si="17"/>
        <v>#DIV/0!</v>
      </c>
      <c r="AK29" s="52"/>
      <c r="AL29" s="54" t="e">
        <f t="shared" si="18"/>
        <v>#DIV/0!</v>
      </c>
      <c r="AM29" s="65">
        <f t="shared" si="29"/>
        <v>0</v>
      </c>
      <c r="AN29" s="67" t="str">
        <f t="shared" si="19"/>
        <v/>
      </c>
      <c r="AO29" s="68"/>
      <c r="AP29" s="64"/>
      <c r="AQ29" s="52"/>
      <c r="AR29" s="53" t="e">
        <f t="shared" si="20"/>
        <v>#DIV/0!</v>
      </c>
      <c r="AS29" s="52"/>
      <c r="AT29" s="54" t="e">
        <f t="shared" si="21"/>
        <v>#DIV/0!</v>
      </c>
      <c r="AU29" s="54"/>
      <c r="AV29" s="69">
        <f t="shared" si="30"/>
        <v>0</v>
      </c>
      <c r="AW29" s="67" t="str">
        <f t="shared" si="22"/>
        <v/>
      </c>
      <c r="AX29" s="82">
        <f t="shared" si="23"/>
        <v>37</v>
      </c>
      <c r="AY29" s="59">
        <f t="shared" si="24"/>
        <v>184800</v>
      </c>
      <c r="AZ29" s="59">
        <f t="shared" si="25"/>
        <v>52080</v>
      </c>
      <c r="BA29" s="71">
        <f t="shared" si="26"/>
        <v>236880</v>
      </c>
      <c r="BB29" s="72">
        <f t="shared" si="31"/>
        <v>1100</v>
      </c>
      <c r="BC29" s="73">
        <v>37</v>
      </c>
      <c r="BD29" s="74">
        <v>178130</v>
      </c>
      <c r="BE29" s="74">
        <v>46980</v>
      </c>
      <c r="BF29" s="75">
        <v>1100</v>
      </c>
      <c r="BG29" s="75"/>
      <c r="BH29" s="75">
        <v>3300</v>
      </c>
      <c r="BI29" s="75"/>
      <c r="BJ29" s="76">
        <f t="shared" si="32"/>
        <v>226210</v>
      </c>
      <c r="BK29" s="47">
        <v>25</v>
      </c>
      <c r="BL29" s="77">
        <f t="shared" si="27"/>
        <v>226210</v>
      </c>
    </row>
    <row r="30" spans="2:67" ht="20" customHeight="1">
      <c r="B30" s="78">
        <f t="shared" si="28"/>
        <v>45317</v>
      </c>
      <c r="C30" s="79"/>
      <c r="D30" s="50"/>
      <c r="E30" s="51">
        <v>21</v>
      </c>
      <c r="F30" s="52">
        <v>79970</v>
      </c>
      <c r="G30" s="53">
        <f t="shared" si="0"/>
        <v>3461.9047619047619</v>
      </c>
      <c r="H30" s="52">
        <v>11590</v>
      </c>
      <c r="I30" s="53">
        <f t="shared" si="1"/>
        <v>501.71428571428572</v>
      </c>
      <c r="J30" s="55">
        <f t="shared" si="2"/>
        <v>91560</v>
      </c>
      <c r="K30" s="56">
        <f t="shared" si="3"/>
        <v>4360</v>
      </c>
      <c r="L30" s="57"/>
      <c r="M30" s="58">
        <f t="shared" si="4"/>
        <v>27</v>
      </c>
      <c r="N30" s="59">
        <f t="shared" si="4"/>
        <v>260630</v>
      </c>
      <c r="O30" s="53">
        <f t="shared" si="5"/>
        <v>8775.4074074074069</v>
      </c>
      <c r="P30" s="59">
        <f t="shared" si="6"/>
        <v>83750</v>
      </c>
      <c r="Q30" s="53">
        <f t="shared" si="7"/>
        <v>2819.8518518518517</v>
      </c>
      <c r="R30" s="60">
        <f t="shared" si="8"/>
        <v>344380</v>
      </c>
      <c r="S30" s="56">
        <f t="shared" si="9"/>
        <v>12754.814814814816</v>
      </c>
      <c r="T30" s="80">
        <f t="shared" si="10"/>
        <v>48</v>
      </c>
      <c r="U30" s="59">
        <f t="shared" si="10"/>
        <v>340600</v>
      </c>
      <c r="V30" s="59">
        <f t="shared" si="11"/>
        <v>95340</v>
      </c>
      <c r="W30" s="62">
        <f t="shared" si="12"/>
        <v>435940</v>
      </c>
      <c r="X30" s="81"/>
      <c r="Y30" s="63"/>
      <c r="Z30" s="64">
        <v>38</v>
      </c>
      <c r="AA30" s="52">
        <v>14400</v>
      </c>
      <c r="AB30" s="53">
        <f t="shared" si="13"/>
        <v>378.94736842105266</v>
      </c>
      <c r="AC30" s="52">
        <v>1550</v>
      </c>
      <c r="AD30" s="54">
        <f t="shared" si="14"/>
        <v>40.789473684210527</v>
      </c>
      <c r="AE30" s="65">
        <f t="shared" si="15"/>
        <v>15950</v>
      </c>
      <c r="AF30" s="56">
        <f t="shared" si="16"/>
        <v>419.73684210526318</v>
      </c>
      <c r="AG30" s="66"/>
      <c r="AH30" s="64"/>
      <c r="AI30" s="52"/>
      <c r="AJ30" s="53" t="e">
        <f t="shared" si="17"/>
        <v>#DIV/0!</v>
      </c>
      <c r="AK30" s="52"/>
      <c r="AL30" s="54" t="e">
        <f t="shared" si="18"/>
        <v>#DIV/0!</v>
      </c>
      <c r="AM30" s="65">
        <f t="shared" si="29"/>
        <v>0</v>
      </c>
      <c r="AN30" s="67" t="str">
        <f t="shared" si="19"/>
        <v/>
      </c>
      <c r="AO30" s="68"/>
      <c r="AP30" s="64"/>
      <c r="AQ30" s="52"/>
      <c r="AR30" s="53" t="e">
        <f t="shared" si="20"/>
        <v>#DIV/0!</v>
      </c>
      <c r="AS30" s="52"/>
      <c r="AT30" s="54" t="e">
        <f t="shared" si="21"/>
        <v>#DIV/0!</v>
      </c>
      <c r="AU30" s="54"/>
      <c r="AV30" s="69">
        <f t="shared" si="30"/>
        <v>0</v>
      </c>
      <c r="AW30" s="67" t="str">
        <f t="shared" si="22"/>
        <v/>
      </c>
      <c r="AX30" s="82">
        <f t="shared" si="23"/>
        <v>48</v>
      </c>
      <c r="AY30" s="59">
        <f t="shared" si="24"/>
        <v>355000</v>
      </c>
      <c r="AZ30" s="59">
        <f t="shared" si="25"/>
        <v>96890</v>
      </c>
      <c r="BA30" s="71">
        <f t="shared" si="26"/>
        <v>451890</v>
      </c>
      <c r="BB30" s="72">
        <f>BF30+BG30</f>
        <v>0</v>
      </c>
      <c r="BC30" s="73">
        <v>48</v>
      </c>
      <c r="BD30" s="74">
        <v>340600</v>
      </c>
      <c r="BE30" s="74">
        <v>95340</v>
      </c>
      <c r="BF30" s="75"/>
      <c r="BG30" s="75"/>
      <c r="BH30" s="75"/>
      <c r="BI30" s="75"/>
      <c r="BJ30" s="76">
        <f t="shared" si="32"/>
        <v>435940</v>
      </c>
      <c r="BK30" s="47">
        <v>26</v>
      </c>
      <c r="BL30" s="77">
        <f t="shared" si="27"/>
        <v>435940</v>
      </c>
    </row>
    <row r="31" spans="2:67" ht="20" customHeight="1">
      <c r="B31" s="78">
        <f t="shared" si="28"/>
        <v>45318</v>
      </c>
      <c r="C31" s="79"/>
      <c r="D31" s="50"/>
      <c r="E31" s="51">
        <v>32</v>
      </c>
      <c r="F31" s="52">
        <v>173140</v>
      </c>
      <c r="G31" s="53">
        <f t="shared" si="0"/>
        <v>4918.75</v>
      </c>
      <c r="H31" s="52">
        <v>38010</v>
      </c>
      <c r="I31" s="53">
        <f t="shared" si="1"/>
        <v>1079.8125</v>
      </c>
      <c r="J31" s="55">
        <f t="shared" si="2"/>
        <v>211150</v>
      </c>
      <c r="K31" s="56">
        <f t="shared" si="3"/>
        <v>6598.4375</v>
      </c>
      <c r="L31" s="57"/>
      <c r="M31" s="58">
        <f t="shared" si="4"/>
        <v>24</v>
      </c>
      <c r="N31" s="59">
        <f t="shared" si="4"/>
        <v>258830</v>
      </c>
      <c r="O31" s="53">
        <f t="shared" si="5"/>
        <v>9804.1666666666661</v>
      </c>
      <c r="P31" s="59">
        <f t="shared" si="6"/>
        <v>80090</v>
      </c>
      <c r="Q31" s="53">
        <f t="shared" si="7"/>
        <v>3033.7083333333335</v>
      </c>
      <c r="R31" s="60">
        <f t="shared" si="8"/>
        <v>338920</v>
      </c>
      <c r="S31" s="56">
        <f t="shared" si="9"/>
        <v>14121.666666666666</v>
      </c>
      <c r="T31" s="80">
        <f t="shared" si="10"/>
        <v>56</v>
      </c>
      <c r="U31" s="59">
        <f t="shared" si="10"/>
        <v>431970</v>
      </c>
      <c r="V31" s="59">
        <f t="shared" si="11"/>
        <v>118100</v>
      </c>
      <c r="W31" s="62">
        <f t="shared" si="12"/>
        <v>550070</v>
      </c>
      <c r="X31" s="81"/>
      <c r="Y31" s="63"/>
      <c r="Z31" s="64">
        <v>39</v>
      </c>
      <c r="AA31" s="52">
        <v>15730</v>
      </c>
      <c r="AB31" s="53">
        <f t="shared" si="13"/>
        <v>403.33333333333331</v>
      </c>
      <c r="AC31" s="52">
        <v>4540</v>
      </c>
      <c r="AD31" s="54">
        <f t="shared" si="14"/>
        <v>116.41025641025641</v>
      </c>
      <c r="AE31" s="65">
        <f t="shared" si="15"/>
        <v>20270</v>
      </c>
      <c r="AF31" s="56">
        <f t="shared" si="16"/>
        <v>519.74358974358972</v>
      </c>
      <c r="AG31" s="66"/>
      <c r="AH31" s="64"/>
      <c r="AI31" s="52"/>
      <c r="AJ31" s="53" t="e">
        <f t="shared" si="17"/>
        <v>#DIV/0!</v>
      </c>
      <c r="AK31" s="52"/>
      <c r="AL31" s="54" t="e">
        <f t="shared" si="18"/>
        <v>#DIV/0!</v>
      </c>
      <c r="AM31" s="65">
        <f t="shared" si="29"/>
        <v>0</v>
      </c>
      <c r="AN31" s="67" t="str">
        <f t="shared" si="19"/>
        <v/>
      </c>
      <c r="AO31" s="68"/>
      <c r="AP31" s="64"/>
      <c r="AQ31" s="52"/>
      <c r="AR31" s="53" t="e">
        <f t="shared" si="20"/>
        <v>#DIV/0!</v>
      </c>
      <c r="AS31" s="52"/>
      <c r="AT31" s="54" t="e">
        <f t="shared" si="21"/>
        <v>#DIV/0!</v>
      </c>
      <c r="AU31" s="54"/>
      <c r="AV31" s="69">
        <f t="shared" si="30"/>
        <v>0</v>
      </c>
      <c r="AW31" s="67" t="str">
        <f t="shared" si="22"/>
        <v/>
      </c>
      <c r="AX31" s="82">
        <f t="shared" si="23"/>
        <v>56</v>
      </c>
      <c r="AY31" s="59">
        <f t="shared" si="24"/>
        <v>447700</v>
      </c>
      <c r="AZ31" s="59">
        <f t="shared" si="25"/>
        <v>122640</v>
      </c>
      <c r="BA31" s="71">
        <f>W31+AE31+AM31+AV31</f>
        <v>570340</v>
      </c>
      <c r="BB31" s="72">
        <f t="shared" si="31"/>
        <v>3300</v>
      </c>
      <c r="BC31" s="73">
        <v>56</v>
      </c>
      <c r="BD31" s="74">
        <v>431970</v>
      </c>
      <c r="BE31" s="74">
        <v>118100</v>
      </c>
      <c r="BF31" s="75">
        <v>3300</v>
      </c>
      <c r="BG31" s="75"/>
      <c r="BH31" s="75"/>
      <c r="BI31" s="75"/>
      <c r="BJ31" s="76">
        <f t="shared" si="32"/>
        <v>553370</v>
      </c>
      <c r="BK31" s="47">
        <v>27</v>
      </c>
      <c r="BL31" s="77">
        <f t="shared" si="27"/>
        <v>553370</v>
      </c>
    </row>
    <row r="32" spans="2:67" ht="20" customHeight="1">
      <c r="B32" s="78">
        <f t="shared" si="28"/>
        <v>45319</v>
      </c>
      <c r="C32" s="79"/>
      <c r="D32" s="50"/>
      <c r="E32" s="51">
        <v>24</v>
      </c>
      <c r="F32" s="52">
        <v>133540</v>
      </c>
      <c r="G32" s="53">
        <f t="shared" si="0"/>
        <v>5058.333333333333</v>
      </c>
      <c r="H32" s="52">
        <v>21370</v>
      </c>
      <c r="I32" s="53">
        <f t="shared" si="1"/>
        <v>809.45833333333337</v>
      </c>
      <c r="J32" s="55">
        <f t="shared" si="2"/>
        <v>154910</v>
      </c>
      <c r="K32" s="56">
        <f t="shared" si="3"/>
        <v>6454.583333333333</v>
      </c>
      <c r="L32" s="57"/>
      <c r="M32" s="58">
        <f t="shared" si="4"/>
        <v>20</v>
      </c>
      <c r="N32" s="59">
        <f t="shared" si="4"/>
        <v>213730</v>
      </c>
      <c r="O32" s="53">
        <f t="shared" si="5"/>
        <v>9715</v>
      </c>
      <c r="P32" s="59">
        <f t="shared" si="6"/>
        <v>38150</v>
      </c>
      <c r="Q32" s="53">
        <f t="shared" si="7"/>
        <v>1734.05</v>
      </c>
      <c r="R32" s="60">
        <f t="shared" si="8"/>
        <v>251880</v>
      </c>
      <c r="S32" s="56">
        <f t="shared" si="9"/>
        <v>12594</v>
      </c>
      <c r="T32" s="80">
        <f t="shared" si="10"/>
        <v>44</v>
      </c>
      <c r="U32" s="59">
        <f t="shared" si="10"/>
        <v>347270</v>
      </c>
      <c r="V32" s="59">
        <f t="shared" si="11"/>
        <v>59520</v>
      </c>
      <c r="W32" s="62">
        <f t="shared" si="12"/>
        <v>406790</v>
      </c>
      <c r="X32" s="81"/>
      <c r="Y32" s="63"/>
      <c r="Z32" s="64">
        <v>15</v>
      </c>
      <c r="AA32" s="52">
        <v>7210</v>
      </c>
      <c r="AB32" s="53">
        <f t="shared" si="13"/>
        <v>480.66666666666669</v>
      </c>
      <c r="AC32" s="52">
        <v>4500</v>
      </c>
      <c r="AD32" s="54">
        <f t="shared" si="14"/>
        <v>300</v>
      </c>
      <c r="AE32" s="65">
        <f t="shared" si="15"/>
        <v>11710</v>
      </c>
      <c r="AF32" s="56">
        <f t="shared" si="16"/>
        <v>780.66666666666663</v>
      </c>
      <c r="AG32" s="66"/>
      <c r="AH32" s="64"/>
      <c r="AI32" s="52"/>
      <c r="AJ32" s="53" t="e">
        <f t="shared" si="17"/>
        <v>#DIV/0!</v>
      </c>
      <c r="AK32" s="52"/>
      <c r="AL32" s="54" t="e">
        <f t="shared" si="18"/>
        <v>#DIV/0!</v>
      </c>
      <c r="AM32" s="65">
        <f t="shared" si="29"/>
        <v>0</v>
      </c>
      <c r="AN32" s="67" t="str">
        <f t="shared" si="19"/>
        <v/>
      </c>
      <c r="AO32" s="68"/>
      <c r="AP32" s="64"/>
      <c r="AQ32" s="52"/>
      <c r="AR32" s="53" t="e">
        <f t="shared" si="20"/>
        <v>#DIV/0!</v>
      </c>
      <c r="AS32" s="52"/>
      <c r="AT32" s="54" t="e">
        <f t="shared" si="21"/>
        <v>#DIV/0!</v>
      </c>
      <c r="AU32" s="54"/>
      <c r="AV32" s="69">
        <f t="shared" si="30"/>
        <v>0</v>
      </c>
      <c r="AW32" s="67" t="str">
        <f t="shared" si="22"/>
        <v/>
      </c>
      <c r="AX32" s="82">
        <f t="shared" si="23"/>
        <v>44</v>
      </c>
      <c r="AY32" s="59">
        <f>U32+AA32+AI32+AQ32</f>
        <v>354480</v>
      </c>
      <c r="AZ32" s="59">
        <f t="shared" si="25"/>
        <v>64020</v>
      </c>
      <c r="BA32" s="71">
        <f>W32+AE32+AM32+AV32</f>
        <v>418500</v>
      </c>
      <c r="BB32" s="72">
        <f>BF32+BG32</f>
        <v>0</v>
      </c>
      <c r="BC32" s="73">
        <v>44</v>
      </c>
      <c r="BD32" s="74">
        <v>347270</v>
      </c>
      <c r="BE32" s="74">
        <v>59520</v>
      </c>
      <c r="BF32" s="75"/>
      <c r="BG32" s="75"/>
      <c r="BH32" s="75"/>
      <c r="BI32" s="75"/>
      <c r="BJ32" s="76">
        <f>SUM(BD32:BG32)</f>
        <v>406790</v>
      </c>
      <c r="BK32" s="47">
        <v>28</v>
      </c>
      <c r="BL32" s="77">
        <f t="shared" si="27"/>
        <v>406790</v>
      </c>
    </row>
    <row r="33" spans="2:64" ht="20" customHeight="1">
      <c r="B33" s="78">
        <f t="shared" si="28"/>
        <v>45320</v>
      </c>
      <c r="C33" s="79"/>
      <c r="D33" s="50"/>
      <c r="E33" s="51">
        <v>24</v>
      </c>
      <c r="F33" s="52">
        <v>98560</v>
      </c>
      <c r="G33" s="53">
        <f t="shared" si="0"/>
        <v>3733.3333333333335</v>
      </c>
      <c r="H33" s="52">
        <v>12240</v>
      </c>
      <c r="I33" s="53">
        <f t="shared" si="1"/>
        <v>463.625</v>
      </c>
      <c r="J33" s="55">
        <f t="shared" si="2"/>
        <v>110800</v>
      </c>
      <c r="K33" s="56">
        <f t="shared" si="3"/>
        <v>4616.666666666667</v>
      </c>
      <c r="L33" s="57"/>
      <c r="M33" s="58">
        <f t="shared" si="4"/>
        <v>9</v>
      </c>
      <c r="N33" s="59">
        <f t="shared" si="4"/>
        <v>100910</v>
      </c>
      <c r="O33" s="53">
        <f t="shared" si="5"/>
        <v>10192.888888888889</v>
      </c>
      <c r="P33" s="59">
        <f t="shared" si="6"/>
        <v>18840</v>
      </c>
      <c r="Q33" s="53">
        <f t="shared" si="7"/>
        <v>1903</v>
      </c>
      <c r="R33" s="60">
        <f t="shared" si="8"/>
        <v>119750</v>
      </c>
      <c r="S33" s="56">
        <f t="shared" si="9"/>
        <v>13305.555555555555</v>
      </c>
      <c r="T33" s="80">
        <f t="shared" si="10"/>
        <v>33</v>
      </c>
      <c r="U33" s="59">
        <f t="shared" si="10"/>
        <v>199470</v>
      </c>
      <c r="V33" s="59">
        <f t="shared" si="11"/>
        <v>31080</v>
      </c>
      <c r="W33" s="62">
        <f>J33+R33</f>
        <v>230550</v>
      </c>
      <c r="X33" s="81"/>
      <c r="Y33" s="63"/>
      <c r="Z33" s="64">
        <v>11</v>
      </c>
      <c r="AA33" s="52">
        <v>3950</v>
      </c>
      <c r="AB33" s="53">
        <f t="shared" si="13"/>
        <v>359.09090909090907</v>
      </c>
      <c r="AC33" s="52">
        <v>2500</v>
      </c>
      <c r="AD33" s="54">
        <f t="shared" si="14"/>
        <v>227.27272727272728</v>
      </c>
      <c r="AE33" s="65">
        <f t="shared" si="15"/>
        <v>6450</v>
      </c>
      <c r="AF33" s="56">
        <f t="shared" si="16"/>
        <v>586.36363636363637</v>
      </c>
      <c r="AG33" s="66"/>
      <c r="AH33" s="64"/>
      <c r="AI33" s="52"/>
      <c r="AJ33" s="53" t="e">
        <f t="shared" si="17"/>
        <v>#DIV/0!</v>
      </c>
      <c r="AK33" s="52"/>
      <c r="AL33" s="54" t="e">
        <f t="shared" si="18"/>
        <v>#DIV/0!</v>
      </c>
      <c r="AM33" s="65">
        <f t="shared" si="29"/>
        <v>0</v>
      </c>
      <c r="AN33" s="67" t="str">
        <f t="shared" si="19"/>
        <v/>
      </c>
      <c r="AO33" s="68"/>
      <c r="AP33" s="64"/>
      <c r="AQ33" s="52"/>
      <c r="AR33" s="53" t="e">
        <f t="shared" si="20"/>
        <v>#DIV/0!</v>
      </c>
      <c r="AS33" s="52"/>
      <c r="AT33" s="54" t="e">
        <f t="shared" si="21"/>
        <v>#DIV/0!</v>
      </c>
      <c r="AU33" s="54"/>
      <c r="AV33" s="69">
        <f t="shared" si="30"/>
        <v>0</v>
      </c>
      <c r="AW33" s="67" t="str">
        <f t="shared" si="22"/>
        <v/>
      </c>
      <c r="AX33" s="82">
        <f t="shared" si="23"/>
        <v>33</v>
      </c>
      <c r="AY33" s="59">
        <f t="shared" si="24"/>
        <v>203420</v>
      </c>
      <c r="AZ33" s="59">
        <f t="shared" si="25"/>
        <v>33580</v>
      </c>
      <c r="BA33" s="71">
        <f>W33+AE33+AM33+AV33</f>
        <v>237000</v>
      </c>
      <c r="BB33" s="72">
        <f t="shared" si="31"/>
        <v>5500</v>
      </c>
      <c r="BC33" s="73">
        <v>33</v>
      </c>
      <c r="BD33" s="74">
        <v>199470</v>
      </c>
      <c r="BE33" s="74">
        <v>31080</v>
      </c>
      <c r="BF33" s="75">
        <v>5500</v>
      </c>
      <c r="BG33" s="75"/>
      <c r="BH33" s="75"/>
      <c r="BI33" s="75"/>
      <c r="BJ33" s="76">
        <f t="shared" si="32"/>
        <v>236050</v>
      </c>
      <c r="BK33" s="47">
        <v>29</v>
      </c>
      <c r="BL33" s="77">
        <f t="shared" si="27"/>
        <v>236050</v>
      </c>
    </row>
    <row r="34" spans="2:64" ht="20" customHeight="1">
      <c r="B34" s="78">
        <f t="shared" si="28"/>
        <v>45321</v>
      </c>
      <c r="C34" s="79"/>
      <c r="D34" s="50"/>
      <c r="E34" s="51">
        <v>26</v>
      </c>
      <c r="F34" s="52">
        <v>112970</v>
      </c>
      <c r="G34" s="53">
        <f t="shared" si="0"/>
        <v>3950</v>
      </c>
      <c r="H34" s="52">
        <v>19390</v>
      </c>
      <c r="I34" s="53">
        <f t="shared" si="1"/>
        <v>677.96153846153845</v>
      </c>
      <c r="J34" s="55">
        <f t="shared" si="2"/>
        <v>132360</v>
      </c>
      <c r="K34" s="56">
        <f t="shared" si="3"/>
        <v>5090.7692307692305</v>
      </c>
      <c r="L34" s="57"/>
      <c r="M34" s="58">
        <f t="shared" si="4"/>
        <v>45</v>
      </c>
      <c r="N34" s="59">
        <f t="shared" si="4"/>
        <v>335170</v>
      </c>
      <c r="O34" s="53">
        <f t="shared" si="5"/>
        <v>6771.1111111111113</v>
      </c>
      <c r="P34" s="59">
        <f t="shared" si="6"/>
        <v>80360</v>
      </c>
      <c r="Q34" s="53">
        <f t="shared" si="7"/>
        <v>1623.4222222222222</v>
      </c>
      <c r="R34" s="60">
        <f t="shared" si="8"/>
        <v>415530</v>
      </c>
      <c r="S34" s="56">
        <f t="shared" si="9"/>
        <v>9234</v>
      </c>
      <c r="T34" s="80">
        <f t="shared" si="10"/>
        <v>71</v>
      </c>
      <c r="U34" s="59">
        <f t="shared" si="10"/>
        <v>448140</v>
      </c>
      <c r="V34" s="59">
        <f t="shared" si="11"/>
        <v>99750</v>
      </c>
      <c r="W34" s="62">
        <f t="shared" si="12"/>
        <v>547890</v>
      </c>
      <c r="X34" s="81"/>
      <c r="Y34" s="87"/>
      <c r="Z34" s="88">
        <v>24</v>
      </c>
      <c r="AA34" s="89">
        <v>10860</v>
      </c>
      <c r="AB34" s="53">
        <f t="shared" si="13"/>
        <v>452.5</v>
      </c>
      <c r="AC34" s="89">
        <v>4140</v>
      </c>
      <c r="AD34" s="54">
        <f t="shared" si="14"/>
        <v>172.5</v>
      </c>
      <c r="AE34" s="65">
        <f t="shared" si="15"/>
        <v>15000</v>
      </c>
      <c r="AF34" s="56">
        <f t="shared" si="16"/>
        <v>625</v>
      </c>
      <c r="AG34" s="66"/>
      <c r="AH34" s="88"/>
      <c r="AI34" s="89"/>
      <c r="AJ34" s="53" t="e">
        <f t="shared" si="17"/>
        <v>#DIV/0!</v>
      </c>
      <c r="AK34" s="89"/>
      <c r="AL34" s="54" t="e">
        <f t="shared" si="18"/>
        <v>#DIV/0!</v>
      </c>
      <c r="AM34" s="65">
        <f t="shared" si="29"/>
        <v>0</v>
      </c>
      <c r="AN34" s="67" t="str">
        <f t="shared" si="19"/>
        <v/>
      </c>
      <c r="AO34" s="68"/>
      <c r="AP34" s="88"/>
      <c r="AQ34" s="89"/>
      <c r="AR34" s="53" t="e">
        <f t="shared" si="20"/>
        <v>#DIV/0!</v>
      </c>
      <c r="AS34" s="89"/>
      <c r="AT34" s="54" t="e">
        <f t="shared" si="21"/>
        <v>#DIV/0!</v>
      </c>
      <c r="AU34" s="54"/>
      <c r="AV34" s="69">
        <f t="shared" si="30"/>
        <v>0</v>
      </c>
      <c r="AW34" s="67" t="str">
        <f t="shared" si="22"/>
        <v/>
      </c>
      <c r="AX34" s="82">
        <f t="shared" si="23"/>
        <v>71</v>
      </c>
      <c r="AY34" s="59">
        <f>U34+AA34+AI34+AQ34</f>
        <v>459000</v>
      </c>
      <c r="AZ34" s="59">
        <f t="shared" si="25"/>
        <v>103890</v>
      </c>
      <c r="BA34" s="71">
        <f>W34+AE34+AM34+AV34</f>
        <v>562890</v>
      </c>
      <c r="BB34" s="72">
        <f t="shared" si="31"/>
        <v>2200</v>
      </c>
      <c r="BC34" s="73">
        <v>71</v>
      </c>
      <c r="BD34" s="74">
        <v>448140</v>
      </c>
      <c r="BE34" s="74">
        <v>99750</v>
      </c>
      <c r="BF34" s="75">
        <v>2200</v>
      </c>
      <c r="BG34" s="75"/>
      <c r="BH34" s="75"/>
      <c r="BI34" s="75"/>
      <c r="BJ34" s="76">
        <f t="shared" si="32"/>
        <v>550090</v>
      </c>
      <c r="BK34" s="47">
        <v>30</v>
      </c>
      <c r="BL34" s="77">
        <f t="shared" si="27"/>
        <v>550090</v>
      </c>
    </row>
    <row r="35" spans="2:64" ht="20" customHeight="1" thickBot="1">
      <c r="B35" s="78">
        <f t="shared" si="28"/>
        <v>45322</v>
      </c>
      <c r="C35" s="79"/>
      <c r="D35" s="50"/>
      <c r="E35" s="51">
        <v>31</v>
      </c>
      <c r="F35" s="52">
        <v>120780</v>
      </c>
      <c r="G35" s="53">
        <f t="shared" si="0"/>
        <v>3541.9354838709678</v>
      </c>
      <c r="H35" s="52">
        <v>6100</v>
      </c>
      <c r="I35" s="53">
        <f t="shared" si="1"/>
        <v>178.87096774193549</v>
      </c>
      <c r="J35" s="55">
        <f t="shared" si="2"/>
        <v>126880</v>
      </c>
      <c r="K35" s="56">
        <f t="shared" si="3"/>
        <v>4092.9032258064517</v>
      </c>
      <c r="L35" s="57"/>
      <c r="M35" s="90">
        <f t="shared" si="4"/>
        <v>3</v>
      </c>
      <c r="N35" s="59">
        <f t="shared" si="4"/>
        <v>30360</v>
      </c>
      <c r="O35" s="53">
        <f t="shared" si="5"/>
        <v>9200</v>
      </c>
      <c r="P35" s="59">
        <f t="shared" si="6"/>
        <v>5170</v>
      </c>
      <c r="Q35" s="53">
        <f t="shared" si="7"/>
        <v>1566.6666666666667</v>
      </c>
      <c r="R35" s="60">
        <f t="shared" si="8"/>
        <v>35530</v>
      </c>
      <c r="S35" s="56">
        <f t="shared" si="9"/>
        <v>11843.333333333334</v>
      </c>
      <c r="T35" s="91">
        <f t="shared" si="10"/>
        <v>34</v>
      </c>
      <c r="U35" s="92">
        <f t="shared" si="10"/>
        <v>151140</v>
      </c>
      <c r="V35" s="92">
        <f t="shared" si="11"/>
        <v>11270</v>
      </c>
      <c r="W35" s="93">
        <f t="shared" si="12"/>
        <v>162410</v>
      </c>
      <c r="X35" s="92"/>
      <c r="Y35" s="94"/>
      <c r="Z35" s="95">
        <v>16</v>
      </c>
      <c r="AA35" s="96">
        <v>7350</v>
      </c>
      <c r="AB35" s="97">
        <f t="shared" si="13"/>
        <v>459.375</v>
      </c>
      <c r="AC35" s="96">
        <v>6300</v>
      </c>
      <c r="AD35" s="98">
        <f t="shared" si="14"/>
        <v>393.75</v>
      </c>
      <c r="AE35" s="99">
        <f t="shared" si="15"/>
        <v>13650</v>
      </c>
      <c r="AF35" s="56">
        <f t="shared" si="16"/>
        <v>853.125</v>
      </c>
      <c r="AG35" s="100"/>
      <c r="AH35" s="95"/>
      <c r="AI35" s="96"/>
      <c r="AJ35" s="97" t="e">
        <f t="shared" si="17"/>
        <v>#DIV/0!</v>
      </c>
      <c r="AK35" s="96"/>
      <c r="AL35" s="98" t="e">
        <f t="shared" si="18"/>
        <v>#DIV/0!</v>
      </c>
      <c r="AM35" s="65">
        <f t="shared" si="29"/>
        <v>0</v>
      </c>
      <c r="AN35" s="67" t="str">
        <f t="shared" si="19"/>
        <v/>
      </c>
      <c r="AO35" s="101"/>
      <c r="AP35" s="95"/>
      <c r="AQ35" s="96"/>
      <c r="AR35" s="97" t="e">
        <f t="shared" si="20"/>
        <v>#DIV/0!</v>
      </c>
      <c r="AS35" s="96"/>
      <c r="AT35" s="98" t="e">
        <f t="shared" si="21"/>
        <v>#DIV/0!</v>
      </c>
      <c r="AU35" s="98"/>
      <c r="AV35" s="69">
        <f t="shared" si="30"/>
        <v>0</v>
      </c>
      <c r="AW35" s="67" t="str">
        <f t="shared" si="22"/>
        <v/>
      </c>
      <c r="AX35" s="102">
        <f t="shared" si="23"/>
        <v>34</v>
      </c>
      <c r="AY35" s="59">
        <f t="shared" si="24"/>
        <v>158490</v>
      </c>
      <c r="AZ35" s="59">
        <f t="shared" si="25"/>
        <v>17570</v>
      </c>
      <c r="BA35" s="71">
        <f t="shared" si="26"/>
        <v>176060</v>
      </c>
      <c r="BB35" s="72">
        <f t="shared" si="31"/>
        <v>0</v>
      </c>
      <c r="BC35" s="103">
        <v>34</v>
      </c>
      <c r="BD35" s="104">
        <v>151140</v>
      </c>
      <c r="BE35" s="104">
        <v>11270</v>
      </c>
      <c r="BF35" s="105"/>
      <c r="BG35" s="105"/>
      <c r="BH35" s="105"/>
      <c r="BI35" s="105"/>
      <c r="BJ35" s="76">
        <f t="shared" si="32"/>
        <v>162410</v>
      </c>
      <c r="BK35" s="47">
        <v>31</v>
      </c>
      <c r="BL35" s="77">
        <f t="shared" si="27"/>
        <v>162410</v>
      </c>
    </row>
    <row r="36" spans="2:64" s="128" customFormat="1" ht="20" customHeight="1" thickTop="1">
      <c r="B36" s="106" t="s">
        <v>28</v>
      </c>
      <c r="C36" s="107">
        <f>SUM(C5:C35)</f>
        <v>0</v>
      </c>
      <c r="D36" s="108">
        <f>SUM(D5:D35)</f>
        <v>0</v>
      </c>
      <c r="E36" s="109">
        <f>SUM(E5:E35)</f>
        <v>709</v>
      </c>
      <c r="F36" s="110">
        <f>SUM(F5:F35)</f>
        <v>2937660</v>
      </c>
      <c r="G36" s="111">
        <f>F36/E36</f>
        <v>4143.3850493653035</v>
      </c>
      <c r="H36" s="107">
        <f>SUM(H5:H35)</f>
        <v>462140</v>
      </c>
      <c r="I36" s="112">
        <f>H36/E36</f>
        <v>651.81946403385052</v>
      </c>
      <c r="J36" s="113">
        <f>SUM(J5:J35)+BB36/2</f>
        <v>3446550</v>
      </c>
      <c r="K36" s="114">
        <f>J36/E36</f>
        <v>4861.1424541607903</v>
      </c>
      <c r="L36" s="115">
        <f>SUM(L5:L35)</f>
        <v>0</v>
      </c>
      <c r="M36" s="109">
        <f>SUM(M5:M35)</f>
        <v>428</v>
      </c>
      <c r="N36" s="110">
        <f>SUM(N5:N35)</f>
        <v>4039483</v>
      </c>
      <c r="O36" s="111">
        <f>N36/M36</f>
        <v>9438.0443925233649</v>
      </c>
      <c r="P36" s="116">
        <f>SUM(P5:P35)</f>
        <v>1191275</v>
      </c>
      <c r="Q36" s="112">
        <f>P36/M36</f>
        <v>2783.3528037383176</v>
      </c>
      <c r="R36" s="117">
        <f>SUM(R5:R35)+BB36/2</f>
        <v>5277508</v>
      </c>
      <c r="S36" s="118">
        <f>R36/M36</f>
        <v>12330.626168224298</v>
      </c>
      <c r="T36" s="109">
        <f t="shared" ref="T36:AA36" si="33">SUM(T5:T35)</f>
        <v>1137</v>
      </c>
      <c r="U36" s="116">
        <f t="shared" si="33"/>
        <v>6977143</v>
      </c>
      <c r="V36" s="116">
        <f t="shared" si="33"/>
        <v>1653415</v>
      </c>
      <c r="W36" s="113">
        <f>SUM(W5:W35)+BF36</f>
        <v>8724058</v>
      </c>
      <c r="X36" s="119">
        <f t="shared" si="33"/>
        <v>0</v>
      </c>
      <c r="Y36" s="108">
        <f t="shared" si="33"/>
        <v>0</v>
      </c>
      <c r="Z36" s="109">
        <f t="shared" si="33"/>
        <v>423</v>
      </c>
      <c r="AA36" s="111">
        <f t="shared" si="33"/>
        <v>194010</v>
      </c>
      <c r="AB36" s="111">
        <f>AA36/Z36</f>
        <v>458.65248226950354</v>
      </c>
      <c r="AC36" s="107">
        <f>SUM(AC5:AC35)</f>
        <v>115650</v>
      </c>
      <c r="AD36" s="112">
        <f>AC36/Z36</f>
        <v>273.40425531914894</v>
      </c>
      <c r="AE36" s="117">
        <f>SUM(AE5:AE35)</f>
        <v>309660</v>
      </c>
      <c r="AF36" s="120">
        <f>AE36/Z36</f>
        <v>732.05673758865248</v>
      </c>
      <c r="AG36" s="121">
        <f t="shared" ref="AG36:AI36" si="34">SUM(AG5:AG35)</f>
        <v>0</v>
      </c>
      <c r="AH36" s="109">
        <f t="shared" si="34"/>
        <v>42</v>
      </c>
      <c r="AI36" s="111">
        <f t="shared" si="34"/>
        <v>202710</v>
      </c>
      <c r="AJ36" s="111"/>
      <c r="AK36" s="107">
        <f>SUM(AK5:AK35)</f>
        <v>54810</v>
      </c>
      <c r="AL36" s="112"/>
      <c r="AM36" s="117">
        <f>SUM(AM5:AM35)</f>
        <v>257520</v>
      </c>
      <c r="AN36" s="122">
        <f>AM36/AH36</f>
        <v>6131.4285714285716</v>
      </c>
      <c r="AO36" s="123">
        <f t="shared" ref="AO36:AQ36" si="35">SUM(AO5:AO35)</f>
        <v>0</v>
      </c>
      <c r="AP36" s="109">
        <f t="shared" si="35"/>
        <v>0</v>
      </c>
      <c r="AQ36" s="111">
        <f t="shared" si="35"/>
        <v>0</v>
      </c>
      <c r="AR36" s="111"/>
      <c r="AS36" s="107">
        <f>SUM(AS5:AS35)</f>
        <v>0</v>
      </c>
      <c r="AT36" s="112"/>
      <c r="AU36" s="107">
        <f>SUM(AU5:AU35)</f>
        <v>0</v>
      </c>
      <c r="AV36" s="117">
        <f>SUM(AV5:AV35)</f>
        <v>0</v>
      </c>
      <c r="AW36" s="122" t="e">
        <f>AV36/AP36</f>
        <v>#DIV/0!</v>
      </c>
      <c r="AX36" s="124">
        <f t="shared" ref="AX36:BJ36" si="36">SUM(AX5:AX35)</f>
        <v>1137</v>
      </c>
      <c r="AY36" s="116">
        <f t="shared" si="36"/>
        <v>7373863</v>
      </c>
      <c r="AZ36" s="116">
        <f t="shared" si="36"/>
        <v>1823875</v>
      </c>
      <c r="BA36" s="117">
        <f>SUM(BA5:BA35)</f>
        <v>9197738</v>
      </c>
      <c r="BB36" s="125">
        <f>SUM(BB5:BB35)</f>
        <v>93500</v>
      </c>
      <c r="BC36" s="126">
        <f t="shared" si="36"/>
        <v>1137</v>
      </c>
      <c r="BD36" s="126">
        <f t="shared" si="36"/>
        <v>6977143</v>
      </c>
      <c r="BE36" s="126">
        <f t="shared" si="36"/>
        <v>1653415</v>
      </c>
      <c r="BF36" s="126">
        <f t="shared" si="36"/>
        <v>93500</v>
      </c>
      <c r="BG36" s="126">
        <f t="shared" si="36"/>
        <v>0</v>
      </c>
      <c r="BH36" s="126">
        <f t="shared" si="36"/>
        <v>16500</v>
      </c>
      <c r="BI36" s="126">
        <f t="shared" si="36"/>
        <v>18040</v>
      </c>
      <c r="BJ36" s="127">
        <f t="shared" si="36"/>
        <v>8724058</v>
      </c>
      <c r="BL36" s="129">
        <f>SUM(BL5:BL35)</f>
        <v>8742098</v>
      </c>
    </row>
    <row r="37" spans="2:64" s="128" customFormat="1" ht="18">
      <c r="B37" s="130"/>
      <c r="E37" s="131" t="s">
        <v>41</v>
      </c>
      <c r="F37" s="132">
        <f>F36/1.1</f>
        <v>2670600</v>
      </c>
      <c r="G37" s="133">
        <f>F37/E36</f>
        <v>3766.713681241185</v>
      </c>
      <c r="H37" s="134">
        <f>H36/1.1</f>
        <v>420127.27272727271</v>
      </c>
      <c r="I37" s="133">
        <f>H37/E36</f>
        <v>592.56314912168227</v>
      </c>
      <c r="J37" s="135">
        <f>J36/1.1</f>
        <v>3133227.2727272725</v>
      </c>
      <c r="K37" s="136">
        <f>G37+I37</f>
        <v>4359.2768303628673</v>
      </c>
      <c r="L37" s="137"/>
      <c r="M37" s="131" t="s">
        <v>41</v>
      </c>
      <c r="N37" s="132">
        <f>N36/1.1</f>
        <v>3672257.2727272725</v>
      </c>
      <c r="O37" s="133">
        <f>N37/M36</f>
        <v>8580.0403568394213</v>
      </c>
      <c r="P37" s="134">
        <f>P36/1.1</f>
        <v>1082977.2727272727</v>
      </c>
      <c r="Q37" s="133">
        <f>P37/M36</f>
        <v>2530.3207306711979</v>
      </c>
      <c r="R37" s="133">
        <f>R36/1.1</f>
        <v>4797734.5454545449</v>
      </c>
      <c r="S37" s="138">
        <f>R37/M36</f>
        <v>11209.660152931179</v>
      </c>
      <c r="T37" s="131" t="s">
        <v>41</v>
      </c>
      <c r="U37" s="132">
        <f>U36/1.1</f>
        <v>6342857.2727272725</v>
      </c>
      <c r="V37" s="132">
        <f>V36/1.1</f>
        <v>1503104.5454545454</v>
      </c>
      <c r="W37" s="135">
        <f>W36/1.1</f>
        <v>7930961.8181818174</v>
      </c>
      <c r="X37" s="139"/>
      <c r="Y37" s="137"/>
      <c r="Z37" s="131" t="s">
        <v>41</v>
      </c>
      <c r="AA37" s="132">
        <f>AA36/1.1</f>
        <v>176372.72727272726</v>
      </c>
      <c r="AB37" s="134">
        <f>AA37/Z36</f>
        <v>416.95680206318502</v>
      </c>
      <c r="AC37" s="134">
        <f>AC36/1.1</f>
        <v>105136.36363636363</v>
      </c>
      <c r="AD37" s="134">
        <f>AC37/Z36</f>
        <v>248.54932301740811</v>
      </c>
      <c r="AE37" s="133">
        <f>AE36/1.1</f>
        <v>281509.09090909088</v>
      </c>
      <c r="AF37" s="140" t="e">
        <f>AE37/Y36</f>
        <v>#DIV/0!</v>
      </c>
      <c r="AG37" s="137"/>
      <c r="AH37" s="131" t="s">
        <v>41</v>
      </c>
      <c r="AI37" s="132">
        <f>AI36/1.1</f>
        <v>184281.81818181818</v>
      </c>
      <c r="AJ37" s="134">
        <f>AI37/AH36</f>
        <v>4387.6623376623374</v>
      </c>
      <c r="AK37" s="134">
        <f>AK36/1.1</f>
        <v>49827.272727272721</v>
      </c>
      <c r="AL37" s="134">
        <f>AK37/AH36</f>
        <v>1186.3636363636363</v>
      </c>
      <c r="AM37" s="133">
        <f>AM36/1.1</f>
        <v>234109.09090909088</v>
      </c>
      <c r="AN37" s="141" t="e">
        <f>AM37/AG36</f>
        <v>#DIV/0!</v>
      </c>
      <c r="AO37" s="137"/>
      <c r="AP37" s="131" t="s">
        <v>41</v>
      </c>
      <c r="AQ37" s="132">
        <f>AQ36/1.1</f>
        <v>0</v>
      </c>
      <c r="AR37" s="134" t="e">
        <f>AQ37/AP36</f>
        <v>#DIV/0!</v>
      </c>
      <c r="AS37" s="134">
        <f>AS36/1.1</f>
        <v>0</v>
      </c>
      <c r="AT37" s="134" t="e">
        <f>AS37/AP36</f>
        <v>#DIV/0!</v>
      </c>
      <c r="AU37" s="134">
        <f>AU36/1.1</f>
        <v>0</v>
      </c>
      <c r="AV37" s="133">
        <f>AV36/1.1</f>
        <v>0</v>
      </c>
      <c r="AW37" s="141" t="e">
        <f>AV37/AP36</f>
        <v>#DIV/0!</v>
      </c>
      <c r="AX37" s="142" t="s">
        <v>41</v>
      </c>
      <c r="AY37" s="132">
        <f>AY36/1.1</f>
        <v>6703511.8181818174</v>
      </c>
      <c r="AZ37" s="132">
        <f>AZ36/1.1</f>
        <v>1658068.1818181816</v>
      </c>
      <c r="BA37" s="133">
        <f>BA36/1.1</f>
        <v>8361579.9999999991</v>
      </c>
      <c r="BB37" s="143">
        <f>BB36/1.1</f>
        <v>85000</v>
      </c>
      <c r="BG37" s="144"/>
      <c r="BJ37" s="145">
        <f>BJ36/1.1</f>
        <v>7930961.8181818174</v>
      </c>
      <c r="BL37" s="145"/>
    </row>
    <row r="38" spans="2:64">
      <c r="C38" s="47">
        <v>31</v>
      </c>
      <c r="E38" s="146" t="s">
        <v>42</v>
      </c>
      <c r="F38" s="147">
        <f>E36/G38</f>
        <v>22.870967741935484</v>
      </c>
      <c r="G38" s="148">
        <v>31</v>
      </c>
      <c r="H38" s="147"/>
      <c r="I38" s="147"/>
      <c r="J38" s="149" t="s">
        <v>43</v>
      </c>
      <c r="K38" s="150">
        <f>J37/G38</f>
        <v>101071.84750733137</v>
      </c>
      <c r="M38" s="146" t="s">
        <v>42</v>
      </c>
      <c r="N38" s="147">
        <f>M36/O38</f>
        <v>13.806451612903226</v>
      </c>
      <c r="O38" s="148">
        <f>G38</f>
        <v>31</v>
      </c>
      <c r="P38" s="147"/>
      <c r="Q38" s="147"/>
      <c r="R38" s="149" t="s">
        <v>43</v>
      </c>
      <c r="S38" s="151">
        <f>R37/O38</f>
        <v>154765.63049853372</v>
      </c>
      <c r="U38" s="152">
        <f>O38</f>
        <v>31</v>
      </c>
      <c r="W38" s="85">
        <f>W37/U38</f>
        <v>255837.47800586506</v>
      </c>
      <c r="X38" s="77"/>
      <c r="AA38" s="153">
        <f>G38</f>
        <v>31</v>
      </c>
      <c r="AB38" s="147"/>
      <c r="AC38" s="147"/>
      <c r="AD38" s="147"/>
      <c r="AE38" s="147"/>
      <c r="AF38" s="150">
        <f>AE37/AA38</f>
        <v>9080.9384164222865</v>
      </c>
      <c r="AI38" s="153">
        <f>AA38</f>
        <v>31</v>
      </c>
      <c r="AJ38" s="147"/>
      <c r="AK38" s="147"/>
      <c r="AL38" s="147"/>
      <c r="AM38" s="147"/>
      <c r="AN38" s="150">
        <f>AM37/AI38</f>
        <v>7551.9061583577704</v>
      </c>
      <c r="AQ38" s="153">
        <f>G38</f>
        <v>31</v>
      </c>
      <c r="AR38" s="147"/>
      <c r="AS38" s="147"/>
      <c r="AT38" s="147"/>
      <c r="AU38" s="147"/>
      <c r="AV38" s="147"/>
      <c r="AW38" s="150">
        <f>AV37/AQ38</f>
        <v>0</v>
      </c>
      <c r="BA38" s="85"/>
      <c r="BB38" s="77" t="e">
        <f>BA37/BC37</f>
        <v>#DIV/0!</v>
      </c>
      <c r="BC38" s="154">
        <f>AX36+T36</f>
        <v>2274</v>
      </c>
      <c r="BG38" s="85"/>
    </row>
    <row r="39" spans="2:64">
      <c r="D39" s="155" t="s">
        <v>44</v>
      </c>
      <c r="E39" s="156"/>
      <c r="F39" s="147"/>
      <c r="G39" s="157"/>
      <c r="H39" s="147"/>
      <c r="I39" s="147"/>
      <c r="J39" s="149"/>
      <c r="K39" s="150"/>
      <c r="L39" s="158" t="s">
        <v>45</v>
      </c>
      <c r="M39" s="146"/>
      <c r="N39" s="147"/>
      <c r="O39" s="147"/>
      <c r="P39" s="147"/>
      <c r="Q39" s="147"/>
      <c r="R39" s="149"/>
      <c r="S39" s="150"/>
      <c r="W39" s="85"/>
      <c r="X39" s="77"/>
      <c r="Y39" s="158" t="s">
        <v>46</v>
      </c>
      <c r="AA39" s="147"/>
      <c r="AB39" s="147"/>
      <c r="AC39" s="147"/>
      <c r="AD39" s="147"/>
      <c r="AE39" s="147"/>
      <c r="AF39" s="150"/>
      <c r="AG39" s="158" t="s">
        <v>47</v>
      </c>
      <c r="AI39" s="147"/>
      <c r="AJ39" s="147"/>
      <c r="AK39" s="147"/>
      <c r="AL39" s="147"/>
      <c r="AM39" s="147"/>
      <c r="AN39" s="150"/>
      <c r="AO39" s="158" t="s">
        <v>48</v>
      </c>
      <c r="AQ39" s="147"/>
      <c r="AR39" s="147"/>
      <c r="AS39" s="147"/>
      <c r="AT39" s="147"/>
      <c r="AU39" s="147"/>
      <c r="AV39" s="147"/>
      <c r="AW39" s="150"/>
      <c r="BA39" s="77">
        <f>BA36+BB36</f>
        <v>9291238</v>
      </c>
      <c r="BB39" s="159">
        <f>BA39/G38</f>
        <v>299717.3548387097</v>
      </c>
      <c r="BC39" s="47" t="s">
        <v>49</v>
      </c>
      <c r="BG39" s="85"/>
    </row>
    <row r="40" spans="2:64" ht="21.5" customHeight="1">
      <c r="C40" s="158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W40" s="77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BA40" s="161">
        <f>BA37+BB37</f>
        <v>8446580</v>
      </c>
    </row>
    <row r="41" spans="2:64" ht="21.5" customHeight="1">
      <c r="C41" s="158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W41" s="85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BA41" s="77"/>
      <c r="BB41" s="159">
        <f>BA40/G38</f>
        <v>272470.32258064515</v>
      </c>
      <c r="BC41" s="47" t="s">
        <v>50</v>
      </c>
      <c r="BD41" s="47">
        <v>9</v>
      </c>
    </row>
    <row r="42" spans="2:64" ht="21.5" customHeight="1">
      <c r="C42" s="158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W42" s="77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  <c r="BD42" s="47">
        <v>8</v>
      </c>
      <c r="BE42" s="85">
        <f>AS37</f>
        <v>0</v>
      </c>
    </row>
    <row r="43" spans="2:64" ht="21.5" customHeight="1">
      <c r="C43" s="158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BA43" s="85">
        <f>BA37+BB37</f>
        <v>8446580</v>
      </c>
      <c r="BB43" s="162" t="s">
        <v>51</v>
      </c>
      <c r="BD43" s="47">
        <v>7</v>
      </c>
      <c r="BE43" s="163">
        <f>'[1]2023(7)'!AS37</f>
        <v>15843636.363636361</v>
      </c>
      <c r="BF43" s="163">
        <v>6266320</v>
      </c>
      <c r="BG43" s="164">
        <f>BF43/BE43</f>
        <v>0.39551021344962134</v>
      </c>
    </row>
    <row r="44" spans="2:64" ht="21.5" customHeight="1">
      <c r="C44" s="158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Y44" s="128"/>
      <c r="AZ44" s="165" t="s">
        <v>52</v>
      </c>
      <c r="BA44" s="145">
        <f>J45+R45+AE45+BB44+AM45+AV45</f>
        <v>11869600</v>
      </c>
      <c r="BB44" s="166"/>
      <c r="BC44" s="128"/>
      <c r="BD44" s="47">
        <v>6</v>
      </c>
      <c r="BE44" s="163">
        <v>7119727</v>
      </c>
      <c r="BF44" s="163">
        <v>2680643</v>
      </c>
      <c r="BG44" s="164">
        <f t="shared" ref="BG44:BG45" si="37">BF44/BE44</f>
        <v>0.37650923975034434</v>
      </c>
      <c r="BH44" s="47" t="s">
        <v>53</v>
      </c>
    </row>
    <row r="45" spans="2:64" ht="21" customHeight="1">
      <c r="H45" s="167"/>
      <c r="I45" s="168" t="s">
        <v>54</v>
      </c>
      <c r="J45" s="145">
        <v>3645600</v>
      </c>
      <c r="K45" s="169" t="s">
        <v>55</v>
      </c>
      <c r="L45" s="128"/>
      <c r="M45" s="128"/>
      <c r="N45" s="128"/>
      <c r="O45" s="128"/>
      <c r="P45" s="128"/>
      <c r="Q45" s="168" t="s">
        <v>56</v>
      </c>
      <c r="R45" s="145">
        <v>7020000</v>
      </c>
      <c r="S45" s="169" t="s">
        <v>55</v>
      </c>
      <c r="T45" s="128"/>
      <c r="U45" s="128"/>
      <c r="V45" s="168" t="s">
        <v>57</v>
      </c>
      <c r="W45" s="145">
        <f>J45+R45</f>
        <v>10665600</v>
      </c>
      <c r="X45" s="169" t="s">
        <v>55</v>
      </c>
      <c r="Y45" s="128"/>
      <c r="Z45" s="128"/>
      <c r="AA45" s="128"/>
      <c r="AB45" s="128"/>
      <c r="AC45" s="128"/>
      <c r="AD45" s="167" t="s">
        <v>58</v>
      </c>
      <c r="AE45" s="145">
        <v>700000</v>
      </c>
      <c r="AF45" s="169" t="s">
        <v>55</v>
      </c>
      <c r="AG45" s="169"/>
      <c r="AH45" s="169"/>
      <c r="AI45" s="169"/>
      <c r="AJ45" s="169"/>
      <c r="AK45" s="128"/>
      <c r="AL45" s="168" t="s">
        <v>59</v>
      </c>
      <c r="AM45" s="145">
        <v>504000</v>
      </c>
      <c r="AN45" s="169" t="s">
        <v>55</v>
      </c>
      <c r="AO45" s="169"/>
      <c r="AP45" s="169"/>
      <c r="AQ45" s="169"/>
      <c r="AR45" s="169"/>
      <c r="AS45" s="128"/>
      <c r="AT45" s="168" t="s">
        <v>60</v>
      </c>
      <c r="AU45" s="168"/>
      <c r="AV45" s="145"/>
      <c r="AW45" s="169" t="s">
        <v>55</v>
      </c>
      <c r="AX45" s="128"/>
      <c r="AY45" s="128"/>
      <c r="AZ45" s="165" t="s">
        <v>61</v>
      </c>
      <c r="BA45" s="144">
        <f>BA44-BA37-BB37</f>
        <v>3423020.0000000009</v>
      </c>
      <c r="BB45" s="144">
        <f>BB44-BB37</f>
        <v>-85000</v>
      </c>
      <c r="BC45" s="170" t="e">
        <f>BB37/BB44</f>
        <v>#DIV/0!</v>
      </c>
      <c r="BD45" s="47">
        <v>5</v>
      </c>
      <c r="BE45" s="163">
        <v>637682</v>
      </c>
      <c r="BF45" s="163"/>
      <c r="BG45" s="164">
        <f t="shared" si="37"/>
        <v>0</v>
      </c>
      <c r="BH45" s="77" t="s">
        <v>62</v>
      </c>
      <c r="BL45" s="47"/>
    </row>
    <row r="46" spans="2:64" ht="21" customHeight="1">
      <c r="H46" s="167"/>
      <c r="I46" s="167" t="s">
        <v>61</v>
      </c>
      <c r="J46" s="144">
        <f>J45-J37</f>
        <v>512372.72727272753</v>
      </c>
      <c r="K46" s="171">
        <f>C38-G38</f>
        <v>0</v>
      </c>
      <c r="L46" s="128"/>
      <c r="M46" s="128"/>
      <c r="N46" s="128"/>
      <c r="O46" s="128"/>
      <c r="P46" s="128"/>
      <c r="Q46" s="167" t="s">
        <v>61</v>
      </c>
      <c r="R46" s="144">
        <f>R45-R37</f>
        <v>2222265.4545454551</v>
      </c>
      <c r="S46" s="128">
        <f>K46</f>
        <v>0</v>
      </c>
      <c r="T46" s="128"/>
      <c r="U46" s="128"/>
      <c r="V46" s="167" t="s">
        <v>61</v>
      </c>
      <c r="W46" s="144">
        <f>W45-W37</f>
        <v>2734638.1818181826</v>
      </c>
      <c r="X46" s="128">
        <f>S46</f>
        <v>0</v>
      </c>
      <c r="Y46" s="128"/>
      <c r="Z46" s="128"/>
      <c r="AA46" s="128"/>
      <c r="AB46" s="128"/>
      <c r="AC46" s="128"/>
      <c r="AD46" s="167" t="s">
        <v>61</v>
      </c>
      <c r="AE46" s="144">
        <f>AE45-AE37</f>
        <v>418490.90909090912</v>
      </c>
      <c r="AF46" s="128">
        <f>K46</f>
        <v>0</v>
      </c>
      <c r="AG46" s="128"/>
      <c r="AH46" s="128"/>
      <c r="AI46" s="128"/>
      <c r="AJ46" s="128"/>
      <c r="AK46" s="128"/>
      <c r="AL46" s="167" t="s">
        <v>61</v>
      </c>
      <c r="AM46" s="144">
        <f>AM45-AM37</f>
        <v>269890.90909090912</v>
      </c>
      <c r="AN46" s="128">
        <f>AF46</f>
        <v>0</v>
      </c>
      <c r="AO46" s="128"/>
      <c r="AP46" s="128"/>
      <c r="AQ46" s="128"/>
      <c r="AR46" s="128"/>
      <c r="AS46" s="128"/>
      <c r="AT46" s="167" t="s">
        <v>61</v>
      </c>
      <c r="AU46" s="167"/>
      <c r="AV46" s="144">
        <f>AV45-AV37</f>
        <v>0</v>
      </c>
      <c r="AW46" s="128">
        <f>AN46</f>
        <v>0</v>
      </c>
      <c r="AX46" s="128"/>
      <c r="AY46" s="172"/>
      <c r="AZ46" s="173" t="s">
        <v>63</v>
      </c>
      <c r="BA46" s="174" t="e">
        <f>BA45/K46</f>
        <v>#DIV/0!</v>
      </c>
      <c r="BB46" s="175">
        <f>(BA37+BB37)/BA44</f>
        <v>0.71161454471928287</v>
      </c>
      <c r="BC46" s="172"/>
      <c r="BD46" s="176"/>
      <c r="BE46" s="177">
        <f>SUM(BE41:BE45)</f>
        <v>23601045.36363636</v>
      </c>
      <c r="BF46" s="178">
        <f>BJ71</f>
        <v>9138052</v>
      </c>
      <c r="BG46" s="179">
        <f>BF46/BE46</f>
        <v>0.38718844268142383</v>
      </c>
      <c r="BH46" s="180">
        <f>BE46-BF46</f>
        <v>14462993.36363636</v>
      </c>
      <c r="BL46" s="47"/>
    </row>
    <row r="47" spans="2:64" s="176" customFormat="1" ht="26" customHeight="1">
      <c r="B47" s="181"/>
      <c r="H47" s="182"/>
      <c r="I47" s="173" t="s">
        <v>63</v>
      </c>
      <c r="J47" s="183" t="e">
        <f>J46/K46</f>
        <v>#DIV/0!</v>
      </c>
      <c r="K47" s="184">
        <f>J37/J45</f>
        <v>0.85945448560655924</v>
      </c>
      <c r="L47" s="172"/>
      <c r="M47" s="172"/>
      <c r="N47" s="172"/>
      <c r="O47" s="172"/>
      <c r="P47" s="172"/>
      <c r="Q47" s="173" t="s">
        <v>63</v>
      </c>
      <c r="R47" s="174" t="e">
        <f>R46/S46</f>
        <v>#DIV/0!</v>
      </c>
      <c r="S47" s="184">
        <f>R37/R45</f>
        <v>0.68343796943796942</v>
      </c>
      <c r="T47" s="172"/>
      <c r="U47" s="172"/>
      <c r="V47" s="173" t="s">
        <v>63</v>
      </c>
      <c r="W47" s="174" t="e">
        <f>W46/X46</f>
        <v>#DIV/0!</v>
      </c>
      <c r="X47" s="184">
        <f>W37/W45</f>
        <v>0.7436020306576111</v>
      </c>
      <c r="Y47" s="172"/>
      <c r="Z47" s="172"/>
      <c r="AA47" s="172"/>
      <c r="AB47" s="172"/>
      <c r="AC47" s="172"/>
      <c r="AD47" s="173" t="s">
        <v>63</v>
      </c>
      <c r="AE47" s="183" t="e">
        <f>AE46/AF46</f>
        <v>#DIV/0!</v>
      </c>
      <c r="AF47" s="184">
        <f>AE37/AE45</f>
        <v>0.4021558441558441</v>
      </c>
      <c r="AG47" s="184"/>
      <c r="AH47" s="184"/>
      <c r="AI47" s="184"/>
      <c r="AJ47" s="184"/>
      <c r="AK47" s="172"/>
      <c r="AL47" s="173" t="s">
        <v>63</v>
      </c>
      <c r="AM47" s="174" t="e">
        <f>AM46/AN46</f>
        <v>#DIV/0!</v>
      </c>
      <c r="AN47" s="184">
        <f>AM37/AM45</f>
        <v>0.46450216450216447</v>
      </c>
      <c r="AO47" s="184"/>
      <c r="AP47" s="184"/>
      <c r="AQ47" s="184"/>
      <c r="AR47" s="184"/>
      <c r="AS47" s="172"/>
      <c r="AT47" s="173" t="s">
        <v>63</v>
      </c>
      <c r="AU47" s="173"/>
      <c r="AV47" s="174" t="e">
        <f>AV46/AW46</f>
        <v>#DIV/0!</v>
      </c>
      <c r="AW47" s="184" t="e">
        <f>AV37/AV45</f>
        <v>#DIV/0!</v>
      </c>
      <c r="AX47" s="172"/>
      <c r="AY47" s="47"/>
      <c r="AZ47" s="47"/>
      <c r="BA47" s="85"/>
      <c r="BB47" s="47"/>
      <c r="BC47" s="47"/>
      <c r="BD47" s="47"/>
      <c r="BH47" s="185"/>
      <c r="BJ47" s="185"/>
    </row>
    <row r="48" spans="2:64">
      <c r="K48" s="47">
        <f>J45/30</f>
        <v>121520</v>
      </c>
      <c r="S48" s="47">
        <f>R45/30</f>
        <v>234000</v>
      </c>
      <c r="AY48" s="186"/>
      <c r="AZ48" s="186"/>
      <c r="BA48" s="186"/>
      <c r="BB48" s="186"/>
      <c r="BC48" s="186"/>
      <c r="BD48" s="186"/>
      <c r="BH48" s="77"/>
      <c r="BL48" s="47"/>
    </row>
    <row r="49" spans="2:62" s="186" customFormat="1" ht="24" customHeight="1">
      <c r="B49" s="187"/>
      <c r="I49" s="186" t="s">
        <v>64</v>
      </c>
      <c r="J49" s="188" t="e">
        <f>(I5+I8+I9+I10+I11+I12+I15+I16+I17+I18+I19+I22+I23+I24+I25+I26)/16</f>
        <v>#DIV/0!</v>
      </c>
      <c r="K49" s="186">
        <v>800000</v>
      </c>
      <c r="L49" s="189"/>
      <c r="M49" s="47"/>
      <c r="N49" s="47"/>
      <c r="O49" s="47"/>
      <c r="P49" s="47"/>
      <c r="Q49" s="47"/>
      <c r="R49" s="189">
        <v>400000</v>
      </c>
      <c r="AE49" s="186">
        <f>AE45/30</f>
        <v>23333.333333333332</v>
      </c>
      <c r="AQ49" s="190">
        <f>AP14+AP21</f>
        <v>0</v>
      </c>
      <c r="AR49" s="191" t="e">
        <f>AR14+AR21</f>
        <v>#DIV/0!</v>
      </c>
      <c r="AS49" s="191" t="e">
        <f>AT14+AT21</f>
        <v>#DIV/0!</v>
      </c>
      <c r="AY49" s="1"/>
      <c r="AZ49" s="1"/>
      <c r="BA49" s="1"/>
      <c r="BB49" s="1"/>
      <c r="BC49" s="192" t="s">
        <v>65</v>
      </c>
      <c r="BD49" s="1" t="s">
        <v>66</v>
      </c>
      <c r="BE49" s="1" t="s">
        <v>67</v>
      </c>
      <c r="BF49" s="1" t="s">
        <v>68</v>
      </c>
      <c r="BG49" s="1" t="s">
        <v>69</v>
      </c>
      <c r="BH49" s="193" t="s">
        <v>70</v>
      </c>
      <c r="BI49" s="193" t="s">
        <v>71</v>
      </c>
      <c r="BJ49" s="193" t="s">
        <v>72</v>
      </c>
    </row>
    <row r="50" spans="2:62" s="1" customFormat="1" ht="24" customHeight="1">
      <c r="B50" s="187"/>
      <c r="I50" s="1" t="s">
        <v>73</v>
      </c>
      <c r="J50" s="188">
        <f>(I6+I7+I13+I14+I20+I21+I27)/7</f>
        <v>523.50867509386569</v>
      </c>
      <c r="L50" s="194"/>
      <c r="M50" s="47"/>
      <c r="N50" s="47"/>
      <c r="O50" s="47"/>
      <c r="P50" s="47"/>
      <c r="Q50" s="47"/>
      <c r="R50" s="194"/>
      <c r="S50" s="194"/>
      <c r="Z50" s="195"/>
      <c r="AQ50" s="1">
        <f>AQ49/2</f>
        <v>0</v>
      </c>
      <c r="AR50" s="196" t="e">
        <f t="shared" ref="AR50:AS50" si="38">AR49/2</f>
        <v>#DIV/0!</v>
      </c>
      <c r="AS50" s="196" t="e">
        <f t="shared" si="38"/>
        <v>#DIV/0!</v>
      </c>
      <c r="AY50" s="186"/>
      <c r="AZ50" s="186"/>
      <c r="BA50" s="186"/>
      <c r="BB50" s="186"/>
      <c r="BC50" s="192" t="s">
        <v>74</v>
      </c>
      <c r="BD50" s="197">
        <v>1800</v>
      </c>
      <c r="BE50" s="197">
        <v>21</v>
      </c>
      <c r="BF50" s="198">
        <v>0</v>
      </c>
      <c r="BG50" s="197"/>
      <c r="BH50" s="199">
        <f>BE50*BD50</f>
        <v>37800</v>
      </c>
      <c r="BI50" s="199">
        <f>BD50*BF50</f>
        <v>0</v>
      </c>
      <c r="BJ50" s="199">
        <f>BH50-BI50</f>
        <v>37800</v>
      </c>
    </row>
    <row r="51" spans="2:62" s="186" customFormat="1" ht="24" customHeight="1">
      <c r="B51" s="187"/>
      <c r="K51" s="1"/>
      <c r="L51" s="194"/>
      <c r="M51" s="47"/>
      <c r="N51" s="47"/>
      <c r="O51" s="47"/>
      <c r="P51" s="47"/>
      <c r="Q51" s="47"/>
      <c r="R51" s="200"/>
      <c r="S51" s="201"/>
      <c r="T51" s="201"/>
      <c r="U51" s="201" t="s">
        <v>75</v>
      </c>
      <c r="V51" s="201"/>
      <c r="W51" s="202"/>
      <c r="X51" s="203"/>
      <c r="Y51" s="192"/>
      <c r="Z51" s="199"/>
      <c r="BC51" s="192" t="s">
        <v>76</v>
      </c>
      <c r="BD51" s="197">
        <v>10800</v>
      </c>
      <c r="BE51" s="197">
        <v>640</v>
      </c>
      <c r="BF51" s="197">
        <v>20</v>
      </c>
      <c r="BG51" s="197"/>
      <c r="BH51" s="199">
        <f t="shared" ref="BH51:BH70" si="39">BD51*BE51</f>
        <v>6912000</v>
      </c>
      <c r="BI51" s="199">
        <f t="shared" ref="BI51:BI70" si="40">BD51*BF51</f>
        <v>216000</v>
      </c>
      <c r="BJ51" s="199">
        <f t="shared" ref="BJ51:BJ70" si="41">BH51-BI51</f>
        <v>6696000</v>
      </c>
    </row>
    <row r="52" spans="2:62" s="186" customFormat="1" ht="24" customHeight="1">
      <c r="B52" s="187"/>
      <c r="K52" s="1"/>
      <c r="L52" s="194"/>
      <c r="M52" s="47"/>
      <c r="N52" s="47"/>
      <c r="O52" s="47"/>
      <c r="P52" s="47"/>
      <c r="Q52" s="47"/>
      <c r="R52" s="202"/>
      <c r="S52" s="201"/>
      <c r="T52" s="201"/>
      <c r="U52" s="204" t="s">
        <v>77</v>
      </c>
      <c r="V52" s="205" t="s">
        <v>78</v>
      </c>
      <c r="W52" s="206"/>
      <c r="X52" s="207" t="e">
        <f>W52/Y52</f>
        <v>#DIV/0!</v>
      </c>
      <c r="Y52" s="208">
        <f>W52+W53</f>
        <v>0</v>
      </c>
      <c r="Z52" s="209"/>
      <c r="AA52" s="209"/>
      <c r="BC52" s="192" t="s">
        <v>79</v>
      </c>
      <c r="BD52" s="197">
        <v>6120</v>
      </c>
      <c r="BE52" s="197">
        <v>40</v>
      </c>
      <c r="BF52" s="197">
        <v>4</v>
      </c>
      <c r="BG52" s="197"/>
      <c r="BH52" s="199">
        <f t="shared" si="39"/>
        <v>244800</v>
      </c>
      <c r="BI52" s="199">
        <f t="shared" si="40"/>
        <v>24480</v>
      </c>
      <c r="BJ52" s="199">
        <f t="shared" si="41"/>
        <v>220320</v>
      </c>
    </row>
    <row r="53" spans="2:62" s="186" customFormat="1" ht="24" customHeight="1">
      <c r="B53" s="187"/>
      <c r="K53" s="1"/>
      <c r="L53" s="194"/>
      <c r="M53" s="47"/>
      <c r="N53" s="47"/>
      <c r="O53" s="47"/>
      <c r="P53" s="47"/>
      <c r="Q53" s="47"/>
      <c r="R53" s="202"/>
      <c r="S53" s="201"/>
      <c r="T53" s="201"/>
      <c r="U53" s="204"/>
      <c r="V53" s="205" t="s">
        <v>80</v>
      </c>
      <c r="W53" s="206"/>
      <c r="X53" s="207" t="e">
        <f>W53/Y52</f>
        <v>#DIV/0!</v>
      </c>
      <c r="Y53" s="209"/>
      <c r="Z53" s="209"/>
      <c r="AA53" s="209"/>
      <c r="BA53" s="186" t="s">
        <v>81</v>
      </c>
      <c r="BC53" s="192" t="s">
        <v>82</v>
      </c>
      <c r="BD53" s="197">
        <v>1780</v>
      </c>
      <c r="BE53" s="197">
        <v>24</v>
      </c>
      <c r="BF53" s="197">
        <v>4</v>
      </c>
      <c r="BG53" s="197"/>
      <c r="BH53" s="199">
        <f t="shared" si="39"/>
        <v>42720</v>
      </c>
      <c r="BI53" s="199">
        <f t="shared" si="40"/>
        <v>7120</v>
      </c>
      <c r="BJ53" s="199">
        <f t="shared" si="41"/>
        <v>35600</v>
      </c>
    </row>
    <row r="54" spans="2:62" s="186" customFormat="1" ht="24" customHeight="1">
      <c r="B54" s="187"/>
      <c r="K54" s="1"/>
      <c r="L54" s="194"/>
      <c r="M54" s="47"/>
      <c r="N54" s="47"/>
      <c r="O54" s="47"/>
      <c r="P54" s="47"/>
      <c r="Q54" s="47"/>
      <c r="R54" s="202"/>
      <c r="S54" s="201"/>
      <c r="T54" s="201"/>
      <c r="U54" s="210" t="s">
        <v>83</v>
      </c>
      <c r="V54" s="205" t="s">
        <v>78</v>
      </c>
      <c r="W54" s="206"/>
      <c r="X54" s="207" t="e">
        <f t="shared" ref="X54" si="42">W54/Y54</f>
        <v>#DIV/0!</v>
      </c>
      <c r="Y54" s="208">
        <f t="shared" ref="Y54" si="43">W54+W55</f>
        <v>0</v>
      </c>
      <c r="Z54" s="209"/>
      <c r="AA54" s="209"/>
      <c r="BC54" s="192" t="s">
        <v>84</v>
      </c>
      <c r="BD54" s="197">
        <v>1780</v>
      </c>
      <c r="BE54" s="197">
        <v>24</v>
      </c>
      <c r="BF54" s="197">
        <v>20</v>
      </c>
      <c r="BG54" s="197"/>
      <c r="BH54" s="199">
        <f t="shared" si="39"/>
        <v>42720</v>
      </c>
      <c r="BI54" s="199">
        <f t="shared" si="40"/>
        <v>35600</v>
      </c>
      <c r="BJ54" s="199">
        <f t="shared" si="41"/>
        <v>7120</v>
      </c>
    </row>
    <row r="55" spans="2:62" s="186" customFormat="1" ht="24" customHeight="1">
      <c r="B55" s="187"/>
      <c r="L55" s="189"/>
      <c r="M55" s="47"/>
      <c r="N55" s="47"/>
      <c r="O55" s="47"/>
      <c r="P55" s="47"/>
      <c r="Q55" s="47"/>
      <c r="R55" s="211"/>
      <c r="S55" s="201"/>
      <c r="T55" s="201"/>
      <c r="U55" s="210"/>
      <c r="V55" s="205" t="s">
        <v>80</v>
      </c>
      <c r="W55" s="206"/>
      <c r="X55" s="207" t="e">
        <f t="shared" ref="X55" si="44">W55/Y54</f>
        <v>#DIV/0!</v>
      </c>
      <c r="Y55" s="209"/>
      <c r="Z55" s="209"/>
      <c r="AA55" s="209"/>
      <c r="AY55" s="47"/>
      <c r="AZ55" s="47"/>
      <c r="BA55" s="47"/>
      <c r="BB55" s="47"/>
      <c r="BC55" s="192" t="s">
        <v>85</v>
      </c>
      <c r="BD55" s="212">
        <v>8190</v>
      </c>
      <c r="BE55" s="197">
        <v>13</v>
      </c>
      <c r="BF55" s="197">
        <v>4</v>
      </c>
      <c r="BG55" s="197"/>
      <c r="BH55" s="199">
        <f t="shared" si="39"/>
        <v>106470</v>
      </c>
      <c r="BI55" s="199">
        <f t="shared" si="40"/>
        <v>32760</v>
      </c>
      <c r="BJ55" s="199">
        <f t="shared" si="41"/>
        <v>73710</v>
      </c>
    </row>
    <row r="56" spans="2:62" ht="24" customHeight="1">
      <c r="U56" s="213" t="s">
        <v>2</v>
      </c>
      <c r="V56" s="214" t="s">
        <v>78</v>
      </c>
      <c r="W56" s="206"/>
      <c r="X56" s="207" t="e">
        <f t="shared" ref="X56:X58" si="45">W56/Y56</f>
        <v>#DIV/0!</v>
      </c>
      <c r="Y56" s="208">
        <f t="shared" ref="Y56" si="46">W56+W57</f>
        <v>0</v>
      </c>
      <c r="Z56" s="209"/>
      <c r="AA56" s="209"/>
      <c r="BC56" s="192" t="s">
        <v>86</v>
      </c>
      <c r="BD56" s="212">
        <v>5784</v>
      </c>
      <c r="BE56" s="212">
        <v>36</v>
      </c>
      <c r="BF56" s="212">
        <v>28</v>
      </c>
      <c r="BG56" s="212"/>
      <c r="BH56" s="199">
        <f t="shared" si="39"/>
        <v>208224</v>
      </c>
      <c r="BI56" s="199">
        <f t="shared" si="40"/>
        <v>161952</v>
      </c>
      <c r="BJ56" s="199">
        <f t="shared" si="41"/>
        <v>46272</v>
      </c>
    </row>
    <row r="57" spans="2:62" ht="24" customHeight="1">
      <c r="U57" s="213"/>
      <c r="V57" s="214" t="s">
        <v>80</v>
      </c>
      <c r="W57" s="206"/>
      <c r="X57" s="207" t="e">
        <f t="shared" ref="X57:X59" si="47">W57/Y56</f>
        <v>#DIV/0!</v>
      </c>
      <c r="Y57" s="209"/>
      <c r="Z57" s="209"/>
      <c r="AA57" s="209"/>
      <c r="BC57" s="192" t="s">
        <v>87</v>
      </c>
      <c r="BD57" s="212">
        <v>6775</v>
      </c>
      <c r="BE57" s="212">
        <v>12</v>
      </c>
      <c r="BF57" s="212">
        <v>11</v>
      </c>
      <c r="BG57" s="212"/>
      <c r="BH57" s="199">
        <f t="shared" si="39"/>
        <v>81300</v>
      </c>
      <c r="BI57" s="199">
        <f t="shared" si="40"/>
        <v>74525</v>
      </c>
      <c r="BJ57" s="199">
        <f t="shared" si="41"/>
        <v>6775</v>
      </c>
    </row>
    <row r="58" spans="2:62" ht="24" customHeight="1">
      <c r="U58" s="215" t="s">
        <v>88</v>
      </c>
      <c r="V58" s="214" t="s">
        <v>78</v>
      </c>
      <c r="W58" s="206"/>
      <c r="X58" s="207" t="e">
        <f t="shared" si="45"/>
        <v>#DIV/0!</v>
      </c>
      <c r="Y58" s="216">
        <f>SUM(Y52:AA56)</f>
        <v>0</v>
      </c>
      <c r="Z58" s="217"/>
      <c r="AA58" s="217"/>
      <c r="BC58" s="192" t="s">
        <v>89</v>
      </c>
      <c r="BD58" s="212">
        <v>1755</v>
      </c>
      <c r="BE58" s="212">
        <v>14</v>
      </c>
      <c r="BF58" s="212">
        <v>2</v>
      </c>
      <c r="BG58" s="212"/>
      <c r="BH58" s="199">
        <f t="shared" si="39"/>
        <v>24570</v>
      </c>
      <c r="BI58" s="199">
        <f t="shared" si="40"/>
        <v>3510</v>
      </c>
      <c r="BJ58" s="199">
        <f t="shared" si="41"/>
        <v>21060</v>
      </c>
    </row>
    <row r="59" spans="2:62" ht="24" customHeight="1">
      <c r="U59" s="215"/>
      <c r="V59" s="214" t="s">
        <v>80</v>
      </c>
      <c r="W59" s="206"/>
      <c r="X59" s="207" t="e">
        <f t="shared" si="47"/>
        <v>#DIV/0!</v>
      </c>
      <c r="Y59" s="217"/>
      <c r="Z59" s="217"/>
      <c r="AA59" s="217"/>
      <c r="BC59" s="192" t="s">
        <v>90</v>
      </c>
      <c r="BD59" s="212">
        <v>1755</v>
      </c>
      <c r="BE59" s="212">
        <v>10</v>
      </c>
      <c r="BF59" s="212">
        <v>0</v>
      </c>
      <c r="BG59" s="212"/>
      <c r="BH59" s="199">
        <f t="shared" si="39"/>
        <v>17550</v>
      </c>
      <c r="BI59" s="199">
        <f t="shared" si="40"/>
        <v>0</v>
      </c>
      <c r="BJ59" s="199">
        <f t="shared" si="41"/>
        <v>17550</v>
      </c>
    </row>
    <row r="60" spans="2:62" ht="24" customHeight="1">
      <c r="BC60" s="192" t="s">
        <v>91</v>
      </c>
      <c r="BD60" s="212">
        <v>1075</v>
      </c>
      <c r="BE60" s="212">
        <v>96</v>
      </c>
      <c r="BF60" s="212">
        <v>38</v>
      </c>
      <c r="BG60" s="212"/>
      <c r="BH60" s="199">
        <f t="shared" si="39"/>
        <v>103200</v>
      </c>
      <c r="BI60" s="199">
        <f t="shared" si="40"/>
        <v>40850</v>
      </c>
      <c r="BJ60" s="199">
        <f t="shared" si="41"/>
        <v>62350</v>
      </c>
    </row>
    <row r="61" spans="2:62" ht="24" customHeight="1">
      <c r="BC61" s="192" t="s">
        <v>92</v>
      </c>
      <c r="BD61" s="212">
        <v>3860</v>
      </c>
      <c r="BE61" s="212">
        <v>166</v>
      </c>
      <c r="BF61" s="212">
        <v>13</v>
      </c>
      <c r="BG61" s="212"/>
      <c r="BH61" s="199">
        <f t="shared" si="39"/>
        <v>640760</v>
      </c>
      <c r="BI61" s="199">
        <f t="shared" si="40"/>
        <v>50180</v>
      </c>
      <c r="BJ61" s="199">
        <f t="shared" si="41"/>
        <v>590580</v>
      </c>
    </row>
    <row r="62" spans="2:62" ht="24" customHeight="1">
      <c r="BC62" s="192" t="s">
        <v>93</v>
      </c>
      <c r="BD62" s="212">
        <v>6450</v>
      </c>
      <c r="BE62" s="212">
        <v>137</v>
      </c>
      <c r="BF62" s="212">
        <v>12</v>
      </c>
      <c r="BG62" s="212"/>
      <c r="BH62" s="199">
        <f t="shared" si="39"/>
        <v>883650</v>
      </c>
      <c r="BI62" s="199">
        <f t="shared" si="40"/>
        <v>77400</v>
      </c>
      <c r="BJ62" s="199">
        <f t="shared" si="41"/>
        <v>806250</v>
      </c>
    </row>
    <row r="63" spans="2:62" ht="24" customHeight="1">
      <c r="BC63" s="192" t="s">
        <v>94</v>
      </c>
      <c r="BD63" s="212">
        <v>1380</v>
      </c>
      <c r="BE63" s="212">
        <v>35</v>
      </c>
      <c r="BF63" s="212">
        <v>5</v>
      </c>
      <c r="BG63" s="212"/>
      <c r="BH63" s="199">
        <f t="shared" si="39"/>
        <v>48300</v>
      </c>
      <c r="BI63" s="199">
        <f t="shared" si="40"/>
        <v>6900</v>
      </c>
      <c r="BJ63" s="199">
        <f t="shared" si="41"/>
        <v>41400</v>
      </c>
    </row>
    <row r="64" spans="2:62" ht="24" customHeight="1">
      <c r="BC64" s="192" t="s">
        <v>95</v>
      </c>
      <c r="BD64" s="212">
        <v>1380</v>
      </c>
      <c r="BE64" s="212">
        <v>39</v>
      </c>
      <c r="BF64" s="212">
        <v>6</v>
      </c>
      <c r="BG64" s="212"/>
      <c r="BH64" s="199">
        <f t="shared" si="39"/>
        <v>53820</v>
      </c>
      <c r="BI64" s="199">
        <f t="shared" si="40"/>
        <v>8280</v>
      </c>
      <c r="BJ64" s="199">
        <f t="shared" si="41"/>
        <v>45540</v>
      </c>
    </row>
    <row r="65" spans="55:62" ht="24" customHeight="1">
      <c r="BC65" s="192" t="s">
        <v>96</v>
      </c>
      <c r="BD65" s="212">
        <v>160</v>
      </c>
      <c r="BE65" s="212">
        <v>594</v>
      </c>
      <c r="BF65" s="212">
        <v>53</v>
      </c>
      <c r="BG65" s="212"/>
      <c r="BH65" s="199">
        <f t="shared" si="39"/>
        <v>95040</v>
      </c>
      <c r="BI65" s="199">
        <f t="shared" si="40"/>
        <v>8480</v>
      </c>
      <c r="BJ65" s="199">
        <f t="shared" si="41"/>
        <v>86560</v>
      </c>
    </row>
    <row r="66" spans="55:62" ht="24" customHeight="1">
      <c r="BC66" s="192" t="s">
        <v>97</v>
      </c>
      <c r="BD66" s="212">
        <v>160</v>
      </c>
      <c r="BE66" s="212">
        <v>300</v>
      </c>
      <c r="BF66" s="212">
        <v>47</v>
      </c>
      <c r="BG66" s="212"/>
      <c r="BH66" s="199">
        <f t="shared" si="39"/>
        <v>48000</v>
      </c>
      <c r="BI66" s="199">
        <f t="shared" si="40"/>
        <v>7520</v>
      </c>
      <c r="BJ66" s="199">
        <f t="shared" si="41"/>
        <v>40480</v>
      </c>
    </row>
    <row r="67" spans="55:62" ht="24" customHeight="1">
      <c r="BC67" s="192" t="s">
        <v>98</v>
      </c>
      <c r="BD67" s="212">
        <v>205</v>
      </c>
      <c r="BE67" s="212">
        <v>366</v>
      </c>
      <c r="BF67" s="212">
        <v>49</v>
      </c>
      <c r="BG67" s="212"/>
      <c r="BH67" s="199">
        <f t="shared" si="39"/>
        <v>75030</v>
      </c>
      <c r="BI67" s="199">
        <f t="shared" si="40"/>
        <v>10045</v>
      </c>
      <c r="BJ67" s="199">
        <f t="shared" si="41"/>
        <v>64985</v>
      </c>
    </row>
    <row r="68" spans="55:62" ht="24" customHeight="1">
      <c r="BC68" s="192" t="s">
        <v>99</v>
      </c>
      <c r="BD68" s="212">
        <v>295</v>
      </c>
      <c r="BE68" s="212">
        <v>612</v>
      </c>
      <c r="BF68" s="212">
        <v>86</v>
      </c>
      <c r="BG68" s="212"/>
      <c r="BH68" s="199">
        <f t="shared" si="39"/>
        <v>180540</v>
      </c>
      <c r="BI68" s="199">
        <f t="shared" si="40"/>
        <v>25370</v>
      </c>
      <c r="BJ68" s="199">
        <f t="shared" si="41"/>
        <v>155170</v>
      </c>
    </row>
    <row r="69" spans="55:62" ht="24" customHeight="1">
      <c r="BC69" s="192" t="s">
        <v>100</v>
      </c>
      <c r="BD69" s="212">
        <v>70</v>
      </c>
      <c r="BE69" s="212">
        <v>480</v>
      </c>
      <c r="BF69" s="212">
        <v>71</v>
      </c>
      <c r="BG69" s="212"/>
      <c r="BH69" s="199">
        <f t="shared" si="39"/>
        <v>33600</v>
      </c>
      <c r="BI69" s="199">
        <f t="shared" si="40"/>
        <v>4970</v>
      </c>
      <c r="BJ69" s="199">
        <f t="shared" si="41"/>
        <v>28630</v>
      </c>
    </row>
    <row r="70" spans="55:62" ht="24" customHeight="1">
      <c r="BC70" s="192" t="s">
        <v>101</v>
      </c>
      <c r="BD70" s="212">
        <v>2450</v>
      </c>
      <c r="BE70" s="212">
        <v>31</v>
      </c>
      <c r="BF70" s="212">
        <v>9</v>
      </c>
      <c r="BG70" s="212"/>
      <c r="BH70" s="199">
        <f t="shared" si="39"/>
        <v>75950</v>
      </c>
      <c r="BI70" s="199">
        <f t="shared" si="40"/>
        <v>22050</v>
      </c>
      <c r="BJ70" s="199">
        <f t="shared" si="41"/>
        <v>53900</v>
      </c>
    </row>
    <row r="71" spans="55:62" ht="24" customHeight="1">
      <c r="BC71" s="192"/>
      <c r="BH71" s="218">
        <f>SUM(BH50:BH70)</f>
        <v>9956044</v>
      </c>
      <c r="BI71" s="218">
        <f t="shared" ref="BI71:BJ71" si="48">SUM(BI50:BI70)</f>
        <v>817992</v>
      </c>
      <c r="BJ71" s="218">
        <f t="shared" si="48"/>
        <v>9138052</v>
      </c>
    </row>
    <row r="72" spans="55:62" ht="24" customHeight="1">
      <c r="BC72" s="192"/>
    </row>
    <row r="73" spans="55:62" ht="24" customHeight="1">
      <c r="BC73" s="192"/>
    </row>
    <row r="74" spans="55:62" ht="24" customHeight="1">
      <c r="BC74" s="192"/>
    </row>
    <row r="75" spans="55:62" ht="24" customHeight="1">
      <c r="BC75" s="192"/>
    </row>
    <row r="76" spans="55:62" ht="24" customHeight="1">
      <c r="BC76" s="192"/>
    </row>
    <row r="77" spans="55:62" ht="24" customHeight="1">
      <c r="BC77" s="192"/>
    </row>
    <row r="78" spans="55:62" ht="24" customHeight="1">
      <c r="BC78" s="192"/>
    </row>
    <row r="79" spans="55:62" ht="24" customHeight="1">
      <c r="BC79" s="192"/>
    </row>
    <row r="80" spans="55:62" ht="24" customHeight="1">
      <c r="BC80" s="192"/>
    </row>
    <row r="81" spans="55:55" ht="24" customHeight="1">
      <c r="BC81" s="192"/>
    </row>
    <row r="82" spans="55:55" ht="24" customHeight="1">
      <c r="BC82" s="192"/>
    </row>
    <row r="83" spans="55:55" ht="24" customHeight="1">
      <c r="BC83" s="192"/>
    </row>
    <row r="84" spans="55:55" ht="24" customHeight="1">
      <c r="BC84" s="192"/>
    </row>
    <row r="85" spans="55:55" ht="24" customHeight="1">
      <c r="BC85" s="192"/>
    </row>
    <row r="86" spans="55:55" ht="24" customHeight="1">
      <c r="BC86" s="192"/>
    </row>
    <row r="87" spans="55:55" ht="24" customHeight="1">
      <c r="BC87" s="192"/>
    </row>
    <row r="88" spans="55:55" ht="24" customHeight="1">
      <c r="BC88" s="192"/>
    </row>
    <row r="89" spans="55:55" ht="24" customHeight="1">
      <c r="BC89" s="192"/>
    </row>
    <row r="90" spans="55:55" ht="24" customHeight="1">
      <c r="BC90" s="192"/>
    </row>
    <row r="91" spans="55:55" ht="24" customHeight="1">
      <c r="BC91" s="192"/>
    </row>
    <row r="92" spans="55:55" ht="24" customHeight="1">
      <c r="BC92" s="192"/>
    </row>
    <row r="93" spans="55:55" ht="24" customHeight="1">
      <c r="BC93" s="192"/>
    </row>
    <row r="94" spans="55:55" ht="24" customHeight="1">
      <c r="BC94" s="192"/>
    </row>
    <row r="95" spans="55:55" ht="24" customHeight="1">
      <c r="BC95" s="192"/>
    </row>
    <row r="96" spans="55:55" ht="24" customHeight="1">
      <c r="BC96" s="192"/>
    </row>
    <row r="97" spans="55:55" ht="24" customHeight="1">
      <c r="BC97" s="192"/>
    </row>
    <row r="98" spans="55:55" ht="24" customHeight="1">
      <c r="BC98" s="192"/>
    </row>
    <row r="99" spans="55:55" ht="24" customHeight="1">
      <c r="BC99" s="192"/>
    </row>
    <row r="100" spans="55:55" ht="24" customHeight="1">
      <c r="BC100" s="192"/>
    </row>
    <row r="101" spans="55:55" ht="24" customHeight="1">
      <c r="BC101" s="192"/>
    </row>
    <row r="102" spans="55:55" ht="24" customHeight="1">
      <c r="BC102" s="192"/>
    </row>
    <row r="103" spans="55:55" ht="24" customHeight="1">
      <c r="BC103" s="192"/>
    </row>
    <row r="104" spans="55:55" ht="24" customHeight="1">
      <c r="BC104" s="192"/>
    </row>
    <row r="105" spans="55:55" ht="24" customHeight="1">
      <c r="BC105" s="192"/>
    </row>
    <row r="106" spans="55:55" ht="24" customHeight="1">
      <c r="BC106" s="192"/>
    </row>
    <row r="107" spans="55:55" ht="24" customHeight="1">
      <c r="BC107" s="192"/>
    </row>
    <row r="108" spans="55:55" ht="24" customHeight="1">
      <c r="BC108" s="192"/>
    </row>
    <row r="109" spans="55:55" ht="24" customHeight="1">
      <c r="BC109" s="192"/>
    </row>
    <row r="110" spans="55:55" ht="24" customHeight="1">
      <c r="BC110" s="192"/>
    </row>
    <row r="111" spans="55:55" ht="24" customHeight="1">
      <c r="BC111" s="192"/>
    </row>
    <row r="112" spans="55:55" ht="24" customHeight="1">
      <c r="BC112" s="192"/>
    </row>
    <row r="113" spans="55:55" ht="24" customHeight="1">
      <c r="BC113" s="192"/>
    </row>
    <row r="114" spans="55:55" ht="24" customHeight="1">
      <c r="BC114" s="192"/>
    </row>
    <row r="115" spans="55:55" ht="24" customHeight="1">
      <c r="BC115" s="192"/>
    </row>
    <row r="116" spans="55:55" ht="24" customHeight="1">
      <c r="BC116" s="192"/>
    </row>
    <row r="117" spans="55:55" ht="24" customHeight="1">
      <c r="BC117" s="192"/>
    </row>
    <row r="118" spans="55:55" ht="24" customHeight="1">
      <c r="BC118" s="192"/>
    </row>
    <row r="119" spans="55:55" ht="24" customHeight="1">
      <c r="BC119" s="192"/>
    </row>
    <row r="120" spans="55:55" ht="24" customHeight="1">
      <c r="BC120" s="192"/>
    </row>
    <row r="121" spans="55:55" ht="24" customHeight="1">
      <c r="BC121" s="192"/>
    </row>
    <row r="122" spans="55:55" ht="24" customHeight="1">
      <c r="BC122" s="192"/>
    </row>
    <row r="123" spans="55:55" ht="24" customHeight="1">
      <c r="BC123" s="192"/>
    </row>
    <row r="124" spans="55:55" ht="24" customHeight="1">
      <c r="BC124" s="192"/>
    </row>
    <row r="125" spans="55:55" ht="24" customHeight="1">
      <c r="BC125" s="192"/>
    </row>
    <row r="126" spans="55:55" ht="24" customHeight="1">
      <c r="BC126" s="192"/>
    </row>
    <row r="127" spans="55:55" ht="24" customHeight="1">
      <c r="BC127" s="192"/>
    </row>
    <row r="128" spans="55:55" ht="24" customHeight="1">
      <c r="BC128" s="192"/>
    </row>
    <row r="129" spans="55:55" ht="24" customHeight="1">
      <c r="BC129" s="192"/>
    </row>
    <row r="130" spans="55:55" ht="24" customHeight="1">
      <c r="BC130" s="192"/>
    </row>
    <row r="131" spans="55:55" ht="24" customHeight="1">
      <c r="BC131" s="192"/>
    </row>
    <row r="132" spans="55:55" ht="24" customHeight="1">
      <c r="BC132" s="192"/>
    </row>
    <row r="133" spans="55:55" ht="24" customHeight="1">
      <c r="BC133" s="192"/>
    </row>
    <row r="134" spans="55:55" ht="24" customHeight="1">
      <c r="BC134" s="192"/>
    </row>
    <row r="135" spans="55:55" ht="24" customHeight="1">
      <c r="BC135" s="192"/>
    </row>
    <row r="136" spans="55:55" ht="24" customHeight="1">
      <c r="BC136" s="192"/>
    </row>
    <row r="137" spans="55:55" ht="24" customHeight="1">
      <c r="BC137" s="192"/>
    </row>
    <row r="138" spans="55:55" ht="24" customHeight="1">
      <c r="BC138" s="192"/>
    </row>
    <row r="139" spans="55:55" ht="24" customHeight="1">
      <c r="BC139" s="192"/>
    </row>
    <row r="140" spans="55:55" ht="24" customHeight="1">
      <c r="BC140" s="192"/>
    </row>
    <row r="141" spans="55:55" ht="24" customHeight="1">
      <c r="BC141" s="192"/>
    </row>
    <row r="142" spans="55:55" ht="24" customHeight="1">
      <c r="BC142" s="192"/>
    </row>
    <row r="143" spans="55:55" ht="24" customHeight="1">
      <c r="BC143" s="192"/>
    </row>
    <row r="144" spans="55:55" ht="24" customHeight="1">
      <c r="BC144" s="192"/>
    </row>
    <row r="145" spans="55:55" ht="24" customHeight="1">
      <c r="BC145" s="192"/>
    </row>
    <row r="146" spans="55:55" ht="24" customHeight="1">
      <c r="BC146" s="192"/>
    </row>
    <row r="147" spans="55:55" ht="24" customHeight="1">
      <c r="BC147" s="192"/>
    </row>
    <row r="148" spans="55:55" ht="24" customHeight="1">
      <c r="BC148" s="192"/>
    </row>
    <row r="149" spans="55:55" ht="24" customHeight="1">
      <c r="BC149" s="192"/>
    </row>
    <row r="150" spans="55:55" ht="24" customHeight="1">
      <c r="BC150" s="192"/>
    </row>
    <row r="151" spans="55:55" ht="24" customHeight="1">
      <c r="BC151" s="192"/>
    </row>
    <row r="152" spans="55:55" ht="24" customHeight="1">
      <c r="BC152" s="192"/>
    </row>
    <row r="153" spans="55:55" ht="24" customHeight="1">
      <c r="BC153" s="192"/>
    </row>
    <row r="154" spans="55:55" ht="24" customHeight="1">
      <c r="BC154" s="192"/>
    </row>
    <row r="155" spans="55:55" ht="24" customHeight="1">
      <c r="BC155" s="192"/>
    </row>
    <row r="156" spans="55:55" ht="24" customHeight="1">
      <c r="BC156" s="192"/>
    </row>
    <row r="157" spans="55:55" ht="24" customHeight="1">
      <c r="BC157" s="192"/>
    </row>
    <row r="158" spans="55:55" ht="24" customHeight="1">
      <c r="BC158" s="192"/>
    </row>
    <row r="159" spans="55:55" ht="24" customHeight="1">
      <c r="BC159" s="192"/>
    </row>
    <row r="160" spans="55:55" ht="24" customHeight="1">
      <c r="BC160" s="192"/>
    </row>
    <row r="161" spans="55:55" ht="24" customHeight="1">
      <c r="BC161" s="192"/>
    </row>
    <row r="162" spans="55:55" ht="24" customHeight="1">
      <c r="BC162" s="192"/>
    </row>
    <row r="163" spans="55:55" ht="24" customHeight="1">
      <c r="BC163" s="192"/>
    </row>
    <row r="164" spans="55:55" ht="24" customHeight="1">
      <c r="BC164" s="192"/>
    </row>
    <row r="165" spans="55:55" ht="24" customHeight="1">
      <c r="BC165" s="192"/>
    </row>
    <row r="166" spans="55:55" ht="24" customHeight="1">
      <c r="BC166" s="192"/>
    </row>
    <row r="167" spans="55:55" ht="24" customHeight="1">
      <c r="BC167" s="192"/>
    </row>
    <row r="168" spans="55:55" ht="24" customHeight="1">
      <c r="BC168" s="192"/>
    </row>
    <row r="169" spans="55:55" ht="24" customHeight="1">
      <c r="BC169" s="192"/>
    </row>
    <row r="170" spans="55:55" ht="24" customHeight="1">
      <c r="BC170" s="192"/>
    </row>
    <row r="171" spans="55:55" ht="24" customHeight="1">
      <c r="BC171" s="192"/>
    </row>
    <row r="172" spans="55:55" ht="24" customHeight="1">
      <c r="BC172" s="192"/>
    </row>
    <row r="173" spans="55:55" ht="24" customHeight="1">
      <c r="BC173" s="192"/>
    </row>
    <row r="174" spans="55:55" ht="24" customHeight="1">
      <c r="BC174" s="192"/>
    </row>
    <row r="175" spans="55:55" ht="24" customHeight="1">
      <c r="BC175" s="192"/>
    </row>
    <row r="176" spans="55:55" ht="24" customHeight="1">
      <c r="BC176" s="192"/>
    </row>
    <row r="177" spans="55:55" ht="24" customHeight="1">
      <c r="BC177" s="192"/>
    </row>
    <row r="178" spans="55:55" ht="24" customHeight="1">
      <c r="BC178" s="192"/>
    </row>
    <row r="179" spans="55:55" ht="24" customHeight="1">
      <c r="BC179" s="192"/>
    </row>
    <row r="180" spans="55:55" ht="24" customHeight="1">
      <c r="BC180" s="192"/>
    </row>
    <row r="181" spans="55:55" ht="24" customHeight="1">
      <c r="BC181" s="192"/>
    </row>
    <row r="182" spans="55:55" ht="24" customHeight="1">
      <c r="BC182" s="192"/>
    </row>
    <row r="183" spans="55:55" ht="24" customHeight="1">
      <c r="BC183" s="192"/>
    </row>
    <row r="184" spans="55:55">
      <c r="BC184" s="192"/>
    </row>
    <row r="185" spans="55:55">
      <c r="BC185" s="192"/>
    </row>
    <row r="186" spans="55:55">
      <c r="BC186" s="192"/>
    </row>
    <row r="187" spans="55:55">
      <c r="BC187" s="192"/>
    </row>
    <row r="188" spans="55:55">
      <c r="BC188" s="192"/>
    </row>
    <row r="189" spans="55:55">
      <c r="BC189" s="192"/>
    </row>
    <row r="190" spans="55:55">
      <c r="BC190" s="192"/>
    </row>
    <row r="191" spans="55:55">
      <c r="BC191" s="192"/>
    </row>
    <row r="192" spans="55:55">
      <c r="BC192" s="192"/>
    </row>
    <row r="193" spans="55:55">
      <c r="BC193" s="192"/>
    </row>
    <row r="194" spans="55:55">
      <c r="BC194" s="192"/>
    </row>
    <row r="195" spans="55:55">
      <c r="BC195" s="192"/>
    </row>
    <row r="196" spans="55:55">
      <c r="BC196" s="192"/>
    </row>
    <row r="197" spans="55:55">
      <c r="BC197" s="192"/>
    </row>
    <row r="198" spans="55:55">
      <c r="BC198" s="192"/>
    </row>
    <row r="199" spans="55:55">
      <c r="BC199" s="192"/>
    </row>
    <row r="200" spans="55:55">
      <c r="BC200" s="192"/>
    </row>
    <row r="201" spans="55:55">
      <c r="BC201" s="192"/>
    </row>
    <row r="202" spans="55:55">
      <c r="BC202" s="192"/>
    </row>
    <row r="203" spans="55:55">
      <c r="BC203" s="192"/>
    </row>
    <row r="204" spans="55:55">
      <c r="BC204" s="192"/>
    </row>
    <row r="205" spans="55:55">
      <c r="BC205" s="192"/>
    </row>
    <row r="206" spans="55:55">
      <c r="BC206" s="192"/>
    </row>
    <row r="207" spans="55:55">
      <c r="BC207" s="192"/>
    </row>
    <row r="208" spans="55:55">
      <c r="BC208" s="192"/>
    </row>
    <row r="209" spans="55:55">
      <c r="BC209" s="192"/>
    </row>
    <row r="210" spans="55:55">
      <c r="BC210" s="192"/>
    </row>
    <row r="211" spans="55:55">
      <c r="BC211" s="192"/>
    </row>
    <row r="212" spans="55:55">
      <c r="BC212" s="192"/>
    </row>
    <row r="213" spans="55:55">
      <c r="BC213" s="192"/>
    </row>
    <row r="214" spans="55:55">
      <c r="BC214" s="192"/>
    </row>
    <row r="215" spans="55:55">
      <c r="BC215" s="192"/>
    </row>
    <row r="216" spans="55:55">
      <c r="BC216" s="192"/>
    </row>
    <row r="217" spans="55:55">
      <c r="BC217" s="192"/>
    </row>
    <row r="218" spans="55:55">
      <c r="BC218" s="192"/>
    </row>
    <row r="219" spans="55:55">
      <c r="BC219" s="192"/>
    </row>
    <row r="220" spans="55:55">
      <c r="BC220" s="192"/>
    </row>
    <row r="221" spans="55:55">
      <c r="BC221" s="192"/>
    </row>
    <row r="222" spans="55:55">
      <c r="BC222" s="192"/>
    </row>
    <row r="223" spans="55:55">
      <c r="BC223" s="192"/>
    </row>
    <row r="224" spans="55:55">
      <c r="BC224" s="192"/>
    </row>
  </sheetData>
  <mergeCells count="22">
    <mergeCell ref="U58:U59"/>
    <mergeCell ref="Y58:AA59"/>
    <mergeCell ref="U52:U53"/>
    <mergeCell ref="Y52:AA53"/>
    <mergeCell ref="U54:U55"/>
    <mergeCell ref="Y54:AA55"/>
    <mergeCell ref="U56:U57"/>
    <mergeCell ref="Y56:AA57"/>
    <mergeCell ref="AO3:AW3"/>
    <mergeCell ref="AX3:BB3"/>
    <mergeCell ref="BC3:BJ3"/>
    <mergeCell ref="D40:K44"/>
    <mergeCell ref="L40:S44"/>
    <mergeCell ref="Y40:AF44"/>
    <mergeCell ref="AG40:AN44"/>
    <mergeCell ref="AO40:AW44"/>
    <mergeCell ref="B3:B4"/>
    <mergeCell ref="D3:K3"/>
    <mergeCell ref="L3:S3"/>
    <mergeCell ref="T3:X3"/>
    <mergeCell ref="Y3:AF3"/>
    <mergeCell ref="AG3:AN3"/>
  </mergeCells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6BC6C-227F-8E4D-94FD-8E8A31299C27}">
  <dimension ref="A1:BO224"/>
  <sheetViews>
    <sheetView workbookViewId="0">
      <selection sqref="A1:XFD1048576"/>
    </sheetView>
  </sheetViews>
  <sheetFormatPr baseColWidth="10" defaultColWidth="11.140625" defaultRowHeight="16"/>
  <cols>
    <col min="1" max="1" width="11.140625" style="47"/>
    <col min="2" max="2" width="10.42578125" style="130" customWidth="1"/>
    <col min="3" max="3" width="12.42578125" style="47" customWidth="1"/>
    <col min="4" max="4" width="4.140625" style="47" customWidth="1"/>
    <col min="5" max="9" width="8.42578125" style="47" customWidth="1"/>
    <col min="10" max="10" width="12" style="47" customWidth="1"/>
    <col min="11" max="11" width="8.42578125" style="47" customWidth="1"/>
    <col min="12" max="12" width="3.85546875" style="47" customWidth="1"/>
    <col min="13" max="17" width="8.42578125" style="47" customWidth="1"/>
    <col min="18" max="18" width="12.42578125" style="47" customWidth="1"/>
    <col min="19" max="19" width="8.42578125" style="47" customWidth="1"/>
    <col min="20" max="23" width="11.140625" style="47"/>
    <col min="24" max="24" width="7.5703125" style="47" customWidth="1"/>
    <col min="25" max="25" width="3" style="47" customWidth="1"/>
    <col min="26" max="30" width="7.5703125" style="47" customWidth="1"/>
    <col min="31" max="31" width="10" style="47" customWidth="1"/>
    <col min="32" max="32" width="7.5703125" style="47" customWidth="1"/>
    <col min="33" max="33" width="3.5703125" style="47" customWidth="1"/>
    <col min="34" max="38" width="7.5703125" style="47" customWidth="1"/>
    <col min="39" max="39" width="11.85546875" style="47" customWidth="1"/>
    <col min="40" max="40" width="10" style="47" customWidth="1"/>
    <col min="41" max="41" width="4.140625" style="47" customWidth="1"/>
    <col min="42" max="46" width="7.5703125" style="47" customWidth="1"/>
    <col min="47" max="47" width="9.140625" style="47" customWidth="1"/>
    <col min="48" max="48" width="11.28515625" style="47" customWidth="1"/>
    <col min="49" max="49" width="7.5703125" style="47" customWidth="1"/>
    <col min="50" max="50" width="5.7109375" style="47" customWidth="1"/>
    <col min="51" max="52" width="9.140625" style="47" customWidth="1"/>
    <col min="53" max="53" width="13.5703125" style="47" customWidth="1"/>
    <col min="54" max="54" width="11.140625" style="47"/>
    <col min="55" max="55" width="14.85546875" style="47" customWidth="1"/>
    <col min="56" max="61" width="11.140625" style="47"/>
    <col min="62" max="62" width="11.140625" style="77"/>
    <col min="63" max="63" width="11.140625" style="47"/>
    <col min="64" max="64" width="11.140625" style="77"/>
    <col min="65" max="16384" width="11.140625" style="47"/>
  </cols>
  <sheetData>
    <row r="1" spans="1:64" s="3" customFormat="1">
      <c r="A1" s="1" t="s">
        <v>0</v>
      </c>
      <c r="B1" s="2"/>
      <c r="BJ1" s="4"/>
      <c r="BL1" s="4"/>
    </row>
    <row r="2" spans="1:64" s="3" customFormat="1" ht="35" thickBot="1">
      <c r="A2" s="5">
        <v>2024</v>
      </c>
      <c r="B2" s="6">
        <v>2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BB2" s="3" t="s">
        <v>1</v>
      </c>
      <c r="BJ2" s="4"/>
      <c r="BL2" s="4"/>
    </row>
    <row r="3" spans="1:64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5"/>
      <c r="AG3" s="16" t="s">
        <v>7</v>
      </c>
      <c r="AH3" s="17"/>
      <c r="AI3" s="17"/>
      <c r="AJ3" s="17"/>
      <c r="AK3" s="17"/>
      <c r="AL3" s="17"/>
      <c r="AM3" s="17"/>
      <c r="AN3" s="18"/>
      <c r="AO3" s="19" t="s">
        <v>8</v>
      </c>
      <c r="AP3" s="20"/>
      <c r="AQ3" s="20"/>
      <c r="AR3" s="20"/>
      <c r="AS3" s="20"/>
      <c r="AT3" s="20"/>
      <c r="AU3" s="20"/>
      <c r="AV3" s="20"/>
      <c r="AW3" s="21"/>
      <c r="AX3" s="22" t="s">
        <v>9</v>
      </c>
      <c r="AY3" s="14"/>
      <c r="AZ3" s="14"/>
      <c r="BA3" s="14"/>
      <c r="BB3" s="23"/>
      <c r="BC3" s="24" t="s">
        <v>10</v>
      </c>
      <c r="BD3" s="25"/>
      <c r="BE3" s="25"/>
      <c r="BF3" s="25"/>
      <c r="BG3" s="25"/>
      <c r="BH3" s="25"/>
      <c r="BI3" s="25"/>
      <c r="BJ3" s="26"/>
      <c r="BL3" s="4"/>
    </row>
    <row r="4" spans="1:64" s="8" customFormat="1" ht="53.25" customHeight="1" thickTop="1" thickBot="1">
      <c r="A4" s="27"/>
      <c r="B4" s="10"/>
      <c r="C4" s="28" t="s">
        <v>11</v>
      </c>
      <c r="D4" s="29" t="s">
        <v>12</v>
      </c>
      <c r="E4" s="30" t="s">
        <v>13</v>
      </c>
      <c r="F4" s="29" t="s">
        <v>14</v>
      </c>
      <c r="G4" s="31" t="s">
        <v>15</v>
      </c>
      <c r="H4" s="29" t="s">
        <v>16</v>
      </c>
      <c r="I4" s="32" t="s">
        <v>17</v>
      </c>
      <c r="J4" s="30" t="s">
        <v>18</v>
      </c>
      <c r="K4" s="29" t="s">
        <v>19</v>
      </c>
      <c r="L4" s="29" t="s">
        <v>20</v>
      </c>
      <c r="M4" s="33" t="s">
        <v>13</v>
      </c>
      <c r="N4" s="29" t="s">
        <v>14</v>
      </c>
      <c r="O4" s="31" t="s">
        <v>15</v>
      </c>
      <c r="P4" s="29" t="s">
        <v>16</v>
      </c>
      <c r="Q4" s="32" t="s">
        <v>17</v>
      </c>
      <c r="R4" s="30" t="s">
        <v>18</v>
      </c>
      <c r="S4" s="34" t="s">
        <v>19</v>
      </c>
      <c r="T4" s="35" t="s">
        <v>21</v>
      </c>
      <c r="U4" s="36" t="s">
        <v>22</v>
      </c>
      <c r="V4" s="36" t="s">
        <v>23</v>
      </c>
      <c r="W4" s="37" t="s">
        <v>24</v>
      </c>
      <c r="X4" s="36"/>
      <c r="Y4" s="38" t="s">
        <v>25</v>
      </c>
      <c r="Z4" s="29" t="s">
        <v>13</v>
      </c>
      <c r="AA4" s="29" t="s">
        <v>22</v>
      </c>
      <c r="AB4" s="31" t="s">
        <v>26</v>
      </c>
      <c r="AC4" s="29" t="s">
        <v>23</v>
      </c>
      <c r="AD4" s="32" t="s">
        <v>27</v>
      </c>
      <c r="AE4" s="33" t="s">
        <v>28</v>
      </c>
      <c r="AF4" s="39" t="s">
        <v>19</v>
      </c>
      <c r="AG4" s="40" t="s">
        <v>29</v>
      </c>
      <c r="AH4" s="29" t="s">
        <v>13</v>
      </c>
      <c r="AI4" s="29" t="s">
        <v>22</v>
      </c>
      <c r="AJ4" s="31" t="s">
        <v>26</v>
      </c>
      <c r="AK4" s="29" t="s">
        <v>23</v>
      </c>
      <c r="AL4" s="32" t="s">
        <v>27</v>
      </c>
      <c r="AM4" s="33" t="s">
        <v>28</v>
      </c>
      <c r="AN4" s="41" t="s">
        <v>19</v>
      </c>
      <c r="AO4" s="42" t="s">
        <v>29</v>
      </c>
      <c r="AP4" s="29" t="s">
        <v>13</v>
      </c>
      <c r="AQ4" s="29" t="s">
        <v>22</v>
      </c>
      <c r="AR4" s="31" t="s">
        <v>26</v>
      </c>
      <c r="AS4" s="29" t="s">
        <v>23</v>
      </c>
      <c r="AT4" s="32" t="s">
        <v>27</v>
      </c>
      <c r="AU4" s="32" t="s">
        <v>30</v>
      </c>
      <c r="AV4" s="33" t="s">
        <v>28</v>
      </c>
      <c r="AW4" s="41" t="s">
        <v>19</v>
      </c>
      <c r="AX4" s="41" t="s">
        <v>21</v>
      </c>
      <c r="AY4" s="36" t="s">
        <v>22</v>
      </c>
      <c r="AZ4" s="36" t="s">
        <v>23</v>
      </c>
      <c r="BA4" s="37" t="s">
        <v>24</v>
      </c>
      <c r="BB4" s="37" t="s">
        <v>31</v>
      </c>
      <c r="BC4" s="43" t="s">
        <v>32</v>
      </c>
      <c r="BD4" s="44" t="s">
        <v>33</v>
      </c>
      <c r="BE4" s="44" t="s">
        <v>34</v>
      </c>
      <c r="BF4" s="44" t="s">
        <v>35</v>
      </c>
      <c r="BG4" s="44" t="s">
        <v>36</v>
      </c>
      <c r="BH4" s="44" t="s">
        <v>37</v>
      </c>
      <c r="BI4" s="44" t="s">
        <v>38</v>
      </c>
      <c r="BJ4" s="45" t="s">
        <v>39</v>
      </c>
      <c r="BL4" s="46"/>
    </row>
    <row r="5" spans="1:64" ht="20" customHeight="1" thickTop="1">
      <c r="B5" s="48">
        <f>DATE($A$2,$B$2,1)</f>
        <v>45323</v>
      </c>
      <c r="C5" s="49"/>
      <c r="D5" s="50"/>
      <c r="E5" s="51">
        <v>15</v>
      </c>
      <c r="F5" s="52">
        <v>48730</v>
      </c>
      <c r="G5" s="53">
        <f t="shared" ref="G5:G35" si="0">ROUNDDOWN(F5/1.1,0)/E5</f>
        <v>2953.3333333333335</v>
      </c>
      <c r="H5" s="52">
        <v>6050</v>
      </c>
      <c r="I5" s="54">
        <f t="shared" ref="I5:I35" si="1">ROUNDDOWN(H5/1.1,0)/E5</f>
        <v>366.66666666666669</v>
      </c>
      <c r="J5" s="55">
        <f t="shared" ref="J5:J35" si="2">F5+H5</f>
        <v>54780</v>
      </c>
      <c r="K5" s="56">
        <f t="shared" ref="K5:K35" si="3">IF(E5="","",J5/E5)</f>
        <v>3652</v>
      </c>
      <c r="L5" s="57"/>
      <c r="M5" s="58">
        <f t="shared" ref="M5:N35" si="4">BC5-E5</f>
        <v>12</v>
      </c>
      <c r="N5" s="59">
        <f t="shared" si="4"/>
        <v>125730</v>
      </c>
      <c r="O5" s="53">
        <f t="shared" ref="O5:O35" si="5">ROUNDDOWN(N5/1.1,0)/M5</f>
        <v>9525</v>
      </c>
      <c r="P5" s="59">
        <f t="shared" ref="P5:P35" si="6">BE5-H5</f>
        <v>39560</v>
      </c>
      <c r="Q5" s="54">
        <f t="shared" ref="Q5:Q35" si="7">ROUNDDOWN(P5/1.1,0)/M5</f>
        <v>2996.9166666666665</v>
      </c>
      <c r="R5" s="60">
        <f t="shared" ref="R5:R35" si="8">N5+P5</f>
        <v>165290</v>
      </c>
      <c r="S5" s="56">
        <f t="shared" ref="S5:S35" si="9">IF(M5="","",R5/M5)</f>
        <v>13774.166666666666</v>
      </c>
      <c r="T5" s="61">
        <f t="shared" ref="T5:U35" si="10">E5+M5</f>
        <v>27</v>
      </c>
      <c r="U5" s="59">
        <f t="shared" si="10"/>
        <v>174460</v>
      </c>
      <c r="V5" s="59">
        <f t="shared" ref="V5:V35" si="11">H5+P5</f>
        <v>45610</v>
      </c>
      <c r="W5" s="62">
        <f t="shared" ref="W5:W35" si="12">J5+R5</f>
        <v>220070</v>
      </c>
      <c r="X5" s="59"/>
      <c r="Y5" s="63"/>
      <c r="Z5" s="64">
        <v>1</v>
      </c>
      <c r="AA5" s="52">
        <v>350</v>
      </c>
      <c r="AB5" s="53">
        <f t="shared" ref="AB5:AB35" si="13">AA5/Z5</f>
        <v>350</v>
      </c>
      <c r="AC5" s="52">
        <v>1000</v>
      </c>
      <c r="AD5" s="54">
        <f t="shared" ref="AD5:AD35" si="14">AC5/Z5</f>
        <v>1000</v>
      </c>
      <c r="AE5" s="65">
        <f t="shared" ref="AE5:AE35" si="15">AA5+AC5</f>
        <v>1350</v>
      </c>
      <c r="AF5" s="56">
        <f t="shared" ref="AF5:AF35" si="16">IF(Z5="","",AE5/Z5)</f>
        <v>1350</v>
      </c>
      <c r="AG5" s="66">
        <v>1</v>
      </c>
      <c r="AH5" s="64">
        <v>29</v>
      </c>
      <c r="AI5" s="52">
        <v>163995</v>
      </c>
      <c r="AJ5" s="53">
        <f t="shared" ref="AJ5:AJ35" si="17">AI5/AH5</f>
        <v>5655</v>
      </c>
      <c r="AK5" s="52">
        <v>37845</v>
      </c>
      <c r="AL5" s="54">
        <f t="shared" ref="AL5:AL35" si="18">AK5/AH5</f>
        <v>1305</v>
      </c>
      <c r="AM5" s="65">
        <f>AI5+AK5</f>
        <v>201840</v>
      </c>
      <c r="AN5" s="67">
        <f t="shared" ref="AN5:AN35" si="19">IF(AH5="","",AM5/AH5)</f>
        <v>6960</v>
      </c>
      <c r="AO5" s="68"/>
      <c r="AP5" s="64"/>
      <c r="AQ5" s="52"/>
      <c r="AR5" s="53" t="e">
        <f t="shared" ref="AR5:AR35" si="20">AQ5/AP5</f>
        <v>#DIV/0!</v>
      </c>
      <c r="AS5" s="52"/>
      <c r="AT5" s="54" t="e">
        <f t="shared" ref="AT5:AT35" si="21">AS5/AP5</f>
        <v>#DIV/0!</v>
      </c>
      <c r="AU5" s="54"/>
      <c r="AV5" s="69">
        <f>AQ5+AS5+AU5</f>
        <v>0</v>
      </c>
      <c r="AW5" s="67" t="str">
        <f t="shared" ref="AW5:AW35" si="22">IF(AP5="","",AV5/AP5)</f>
        <v/>
      </c>
      <c r="AX5" s="70">
        <f t="shared" ref="AX5:AX35" si="23">SUM(E5,M5)</f>
        <v>27</v>
      </c>
      <c r="AY5" s="59">
        <f t="shared" ref="AY5:AY35" si="24">U5+AA5+AI5+AQ5</f>
        <v>338805</v>
      </c>
      <c r="AZ5" s="59">
        <f t="shared" ref="AZ5:AZ35" si="25">V5+AC5+AK5+AS5</f>
        <v>84455</v>
      </c>
      <c r="BA5" s="71">
        <f t="shared" ref="BA5:BA35" si="26">W5+AE5+AM5+AV5</f>
        <v>423260</v>
      </c>
      <c r="BB5" s="72">
        <f>BF5+BG5</f>
        <v>1100</v>
      </c>
      <c r="BC5" s="73">
        <v>27</v>
      </c>
      <c r="BD5" s="74">
        <v>174460</v>
      </c>
      <c r="BE5" s="74">
        <v>45610</v>
      </c>
      <c r="BF5" s="75">
        <v>1100</v>
      </c>
      <c r="BG5" s="75"/>
      <c r="BH5" s="75">
        <v>1650</v>
      </c>
      <c r="BI5" s="75"/>
      <c r="BJ5" s="76">
        <f>SUM(BD5:BG5)</f>
        <v>221170</v>
      </c>
      <c r="BK5" s="47">
        <v>1</v>
      </c>
      <c r="BL5" s="77">
        <f t="shared" ref="BL5:BL35" si="27">BI5+BJ5</f>
        <v>221170</v>
      </c>
    </row>
    <row r="6" spans="1:64" ht="20" customHeight="1">
      <c r="B6" s="78">
        <f t="shared" ref="B6:B35" si="28">B5+1</f>
        <v>45324</v>
      </c>
      <c r="C6" s="79"/>
      <c r="D6" s="50"/>
      <c r="E6" s="51">
        <v>15</v>
      </c>
      <c r="F6" s="52">
        <v>65230</v>
      </c>
      <c r="G6" s="53">
        <f t="shared" si="0"/>
        <v>3953.3333333333335</v>
      </c>
      <c r="H6" s="52">
        <v>5550</v>
      </c>
      <c r="I6" s="54">
        <f t="shared" si="1"/>
        <v>336.33333333333331</v>
      </c>
      <c r="J6" s="55">
        <f t="shared" si="2"/>
        <v>70780</v>
      </c>
      <c r="K6" s="56">
        <f t="shared" si="3"/>
        <v>4718.666666666667</v>
      </c>
      <c r="L6" s="57"/>
      <c r="M6" s="58">
        <f t="shared" si="4"/>
        <v>15</v>
      </c>
      <c r="N6" s="59">
        <f t="shared" si="4"/>
        <v>132990</v>
      </c>
      <c r="O6" s="53">
        <f t="shared" si="5"/>
        <v>8060</v>
      </c>
      <c r="P6" s="59">
        <f t="shared" si="6"/>
        <v>33290</v>
      </c>
      <c r="Q6" s="54">
        <f t="shared" si="7"/>
        <v>2017.5333333333333</v>
      </c>
      <c r="R6" s="60">
        <f t="shared" si="8"/>
        <v>166280</v>
      </c>
      <c r="S6" s="56">
        <f t="shared" si="9"/>
        <v>11085.333333333334</v>
      </c>
      <c r="T6" s="80">
        <f t="shared" si="10"/>
        <v>30</v>
      </c>
      <c r="U6" s="59">
        <f t="shared" si="10"/>
        <v>198220</v>
      </c>
      <c r="V6" s="59">
        <f t="shared" si="11"/>
        <v>38840</v>
      </c>
      <c r="W6" s="62">
        <f t="shared" si="12"/>
        <v>237060</v>
      </c>
      <c r="X6" s="81"/>
      <c r="Y6" s="63"/>
      <c r="Z6" s="64">
        <v>22</v>
      </c>
      <c r="AA6" s="52">
        <v>9610</v>
      </c>
      <c r="AB6" s="53">
        <f t="shared" si="13"/>
        <v>436.81818181818181</v>
      </c>
      <c r="AC6" s="52">
        <v>3150</v>
      </c>
      <c r="AD6" s="54">
        <f t="shared" si="14"/>
        <v>143.18181818181819</v>
      </c>
      <c r="AE6" s="65">
        <f>AA6+AC6</f>
        <v>12760</v>
      </c>
      <c r="AF6" s="56">
        <f t="shared" si="16"/>
        <v>580</v>
      </c>
      <c r="AG6" s="66"/>
      <c r="AH6" s="64"/>
      <c r="AI6" s="52"/>
      <c r="AJ6" s="53" t="e">
        <f t="shared" si="17"/>
        <v>#DIV/0!</v>
      </c>
      <c r="AK6" s="52"/>
      <c r="AL6" s="54" t="e">
        <f t="shared" si="18"/>
        <v>#DIV/0!</v>
      </c>
      <c r="AM6" s="65">
        <f t="shared" ref="AM6:AM35" si="29">AI6+AK6</f>
        <v>0</v>
      </c>
      <c r="AN6" s="67" t="str">
        <f t="shared" si="19"/>
        <v/>
      </c>
      <c r="AO6" s="68"/>
      <c r="AP6" s="64"/>
      <c r="AQ6" s="52"/>
      <c r="AR6" s="53" t="e">
        <f t="shared" si="20"/>
        <v>#DIV/0!</v>
      </c>
      <c r="AS6" s="52"/>
      <c r="AT6" s="54" t="e">
        <f t="shared" si="21"/>
        <v>#DIV/0!</v>
      </c>
      <c r="AU6" s="54"/>
      <c r="AV6" s="69">
        <f t="shared" ref="AV6:AV35" si="30">AQ6+AS6+AU6</f>
        <v>0</v>
      </c>
      <c r="AW6" s="67" t="str">
        <f t="shared" si="22"/>
        <v/>
      </c>
      <c r="AX6" s="82">
        <f t="shared" si="23"/>
        <v>30</v>
      </c>
      <c r="AY6" s="59">
        <f t="shared" si="24"/>
        <v>207830</v>
      </c>
      <c r="AZ6" s="59">
        <f t="shared" si="25"/>
        <v>41990</v>
      </c>
      <c r="BA6" s="71">
        <f t="shared" si="26"/>
        <v>249820</v>
      </c>
      <c r="BB6" s="72">
        <f t="shared" ref="BB6:BB35" si="31">BF6+BG6</f>
        <v>0</v>
      </c>
      <c r="BC6" s="73">
        <v>30</v>
      </c>
      <c r="BD6" s="74">
        <v>198220</v>
      </c>
      <c r="BE6" s="74">
        <v>38840</v>
      </c>
      <c r="BF6" s="75"/>
      <c r="BG6" s="75"/>
      <c r="BH6" s="75"/>
      <c r="BI6" s="75"/>
      <c r="BJ6" s="76">
        <f t="shared" ref="BJ6:BJ35" si="32">SUM(BD6:BG6)</f>
        <v>237060</v>
      </c>
      <c r="BK6" s="47">
        <v>2</v>
      </c>
      <c r="BL6" s="77">
        <f t="shared" si="27"/>
        <v>237060</v>
      </c>
    </row>
    <row r="7" spans="1:64" ht="20" customHeight="1">
      <c r="B7" s="78">
        <f>B6+1</f>
        <v>45325</v>
      </c>
      <c r="C7" s="79"/>
      <c r="D7" s="50"/>
      <c r="E7" s="51">
        <v>28</v>
      </c>
      <c r="F7" s="52">
        <v>111430</v>
      </c>
      <c r="G7" s="53">
        <f t="shared" si="0"/>
        <v>3617.8571428571427</v>
      </c>
      <c r="H7" s="52">
        <v>18640</v>
      </c>
      <c r="I7" s="54">
        <f t="shared" si="1"/>
        <v>605.17857142857144</v>
      </c>
      <c r="J7" s="55">
        <f t="shared" si="2"/>
        <v>130070</v>
      </c>
      <c r="K7" s="56">
        <f t="shared" si="3"/>
        <v>4645.3571428571431</v>
      </c>
      <c r="L7" s="57"/>
      <c r="M7" s="58">
        <f t="shared" si="4"/>
        <v>29</v>
      </c>
      <c r="N7" s="59">
        <f t="shared" si="4"/>
        <v>264990</v>
      </c>
      <c r="O7" s="53">
        <f t="shared" si="5"/>
        <v>8306.8965517241377</v>
      </c>
      <c r="P7" s="59">
        <f t="shared" si="6"/>
        <v>130790</v>
      </c>
      <c r="Q7" s="54">
        <f t="shared" si="7"/>
        <v>4100</v>
      </c>
      <c r="R7" s="60">
        <f t="shared" si="8"/>
        <v>395780</v>
      </c>
      <c r="S7" s="56">
        <f t="shared" si="9"/>
        <v>13647.586206896553</v>
      </c>
      <c r="T7" s="80">
        <f t="shared" si="10"/>
        <v>57</v>
      </c>
      <c r="U7" s="59">
        <f t="shared" si="10"/>
        <v>376420</v>
      </c>
      <c r="V7" s="59">
        <f t="shared" si="11"/>
        <v>149430</v>
      </c>
      <c r="W7" s="62">
        <f t="shared" si="12"/>
        <v>525850</v>
      </c>
      <c r="X7" s="81"/>
      <c r="Y7" s="63"/>
      <c r="Z7" s="64">
        <v>14</v>
      </c>
      <c r="AA7" s="52">
        <v>9750</v>
      </c>
      <c r="AB7" s="53">
        <f t="shared" si="13"/>
        <v>696.42857142857144</v>
      </c>
      <c r="AC7" s="52">
        <v>6600</v>
      </c>
      <c r="AD7" s="54">
        <f t="shared" si="14"/>
        <v>471.42857142857144</v>
      </c>
      <c r="AE7" s="65">
        <f t="shared" si="15"/>
        <v>16350</v>
      </c>
      <c r="AF7" s="56">
        <f t="shared" si="16"/>
        <v>1167.8571428571429</v>
      </c>
      <c r="AG7" s="66"/>
      <c r="AH7" s="64"/>
      <c r="AI7" s="52"/>
      <c r="AJ7" s="53" t="e">
        <f t="shared" si="17"/>
        <v>#DIV/0!</v>
      </c>
      <c r="AK7" s="52"/>
      <c r="AL7" s="54" t="e">
        <f t="shared" si="18"/>
        <v>#DIV/0!</v>
      </c>
      <c r="AM7" s="65">
        <f t="shared" si="29"/>
        <v>0</v>
      </c>
      <c r="AN7" s="67" t="str">
        <f t="shared" si="19"/>
        <v/>
      </c>
      <c r="AO7" s="68"/>
      <c r="AP7" s="64"/>
      <c r="AQ7" s="52"/>
      <c r="AR7" s="53" t="e">
        <f t="shared" si="20"/>
        <v>#DIV/0!</v>
      </c>
      <c r="AS7" s="52"/>
      <c r="AT7" s="54" t="e">
        <f t="shared" si="21"/>
        <v>#DIV/0!</v>
      </c>
      <c r="AU7" s="54"/>
      <c r="AV7" s="69">
        <f t="shared" si="30"/>
        <v>0</v>
      </c>
      <c r="AW7" s="67" t="str">
        <f t="shared" si="22"/>
        <v/>
      </c>
      <c r="AX7" s="82">
        <f t="shared" si="23"/>
        <v>57</v>
      </c>
      <c r="AY7" s="59">
        <f t="shared" si="24"/>
        <v>386170</v>
      </c>
      <c r="AZ7" s="59">
        <f t="shared" si="25"/>
        <v>156030</v>
      </c>
      <c r="BA7" s="71">
        <f t="shared" si="26"/>
        <v>542200</v>
      </c>
      <c r="BB7" s="72">
        <f t="shared" si="31"/>
        <v>0</v>
      </c>
      <c r="BC7" s="73">
        <v>57</v>
      </c>
      <c r="BD7" s="74">
        <v>376420</v>
      </c>
      <c r="BE7" s="74">
        <v>149430</v>
      </c>
      <c r="BF7" s="75"/>
      <c r="BG7" s="75"/>
      <c r="BH7" s="75"/>
      <c r="BI7" s="75"/>
      <c r="BJ7" s="76">
        <f t="shared" si="32"/>
        <v>525850</v>
      </c>
      <c r="BK7" s="47">
        <v>3</v>
      </c>
      <c r="BL7" s="77">
        <f t="shared" si="27"/>
        <v>525850</v>
      </c>
    </row>
    <row r="8" spans="1:64" ht="20" customHeight="1">
      <c r="B8" s="78">
        <f t="shared" si="28"/>
        <v>45326</v>
      </c>
      <c r="C8" s="79"/>
      <c r="D8" s="219"/>
      <c r="E8" s="51">
        <v>37</v>
      </c>
      <c r="F8" s="52">
        <v>156060</v>
      </c>
      <c r="G8" s="53">
        <f t="shared" si="0"/>
        <v>3834.3783783783783</v>
      </c>
      <c r="H8" s="52">
        <v>42290</v>
      </c>
      <c r="I8" s="54">
        <f t="shared" si="1"/>
        <v>1039.0540540540539</v>
      </c>
      <c r="J8" s="55">
        <f t="shared" si="2"/>
        <v>198350</v>
      </c>
      <c r="K8" s="56">
        <f t="shared" si="3"/>
        <v>5360.8108108108108</v>
      </c>
      <c r="L8" s="57"/>
      <c r="M8" s="58">
        <f t="shared" si="4"/>
        <v>30</v>
      </c>
      <c r="N8" s="59">
        <f t="shared" si="4"/>
        <v>312510</v>
      </c>
      <c r="O8" s="53">
        <f t="shared" si="5"/>
        <v>9470</v>
      </c>
      <c r="P8" s="59">
        <f t="shared" si="6"/>
        <v>67860</v>
      </c>
      <c r="Q8" s="54">
        <f t="shared" si="7"/>
        <v>2056.3333333333335</v>
      </c>
      <c r="R8" s="60">
        <f t="shared" si="8"/>
        <v>380370</v>
      </c>
      <c r="S8" s="56">
        <f t="shared" si="9"/>
        <v>12679</v>
      </c>
      <c r="T8" s="80">
        <f t="shared" si="10"/>
        <v>67</v>
      </c>
      <c r="U8" s="59">
        <f t="shared" si="10"/>
        <v>468570</v>
      </c>
      <c r="V8" s="59">
        <f t="shared" si="11"/>
        <v>110150</v>
      </c>
      <c r="W8" s="62">
        <f t="shared" si="12"/>
        <v>578720</v>
      </c>
      <c r="X8" s="81"/>
      <c r="Y8" s="63"/>
      <c r="Z8" s="64">
        <v>50</v>
      </c>
      <c r="AA8" s="52">
        <v>22030</v>
      </c>
      <c r="AB8" s="53">
        <f t="shared" si="13"/>
        <v>440.6</v>
      </c>
      <c r="AC8" s="52">
        <v>5690</v>
      </c>
      <c r="AD8" s="54">
        <f t="shared" si="14"/>
        <v>113.8</v>
      </c>
      <c r="AE8" s="65">
        <f t="shared" si="15"/>
        <v>27720</v>
      </c>
      <c r="AF8" s="56">
        <f t="shared" si="16"/>
        <v>554.4</v>
      </c>
      <c r="AG8" s="66"/>
      <c r="AH8" s="64"/>
      <c r="AI8" s="52"/>
      <c r="AJ8" s="53" t="e">
        <f t="shared" si="17"/>
        <v>#DIV/0!</v>
      </c>
      <c r="AK8" s="52"/>
      <c r="AL8" s="54" t="e">
        <f t="shared" si="18"/>
        <v>#DIV/0!</v>
      </c>
      <c r="AM8" s="65">
        <f t="shared" si="29"/>
        <v>0</v>
      </c>
      <c r="AN8" s="67" t="str">
        <f t="shared" si="19"/>
        <v/>
      </c>
      <c r="AO8" s="68"/>
      <c r="AP8" s="64"/>
      <c r="AQ8" s="52"/>
      <c r="AR8" s="53" t="e">
        <f t="shared" si="20"/>
        <v>#DIV/0!</v>
      </c>
      <c r="AS8" s="52"/>
      <c r="AT8" s="54" t="e">
        <f t="shared" si="21"/>
        <v>#DIV/0!</v>
      </c>
      <c r="AU8" s="54"/>
      <c r="AV8" s="69">
        <f t="shared" si="30"/>
        <v>0</v>
      </c>
      <c r="AW8" s="67" t="str">
        <f t="shared" si="22"/>
        <v/>
      </c>
      <c r="AX8" s="82">
        <f t="shared" si="23"/>
        <v>67</v>
      </c>
      <c r="AY8" s="59">
        <f t="shared" si="24"/>
        <v>490600</v>
      </c>
      <c r="AZ8" s="59">
        <f t="shared" si="25"/>
        <v>115840</v>
      </c>
      <c r="BA8" s="71">
        <f t="shared" si="26"/>
        <v>606440</v>
      </c>
      <c r="BB8" s="72">
        <f t="shared" si="31"/>
        <v>2200</v>
      </c>
      <c r="BC8" s="73">
        <v>67</v>
      </c>
      <c r="BD8" s="74">
        <v>468570</v>
      </c>
      <c r="BE8" s="74">
        <v>110150</v>
      </c>
      <c r="BF8" s="75">
        <v>2200</v>
      </c>
      <c r="BG8" s="75"/>
      <c r="BH8" s="75"/>
      <c r="BI8" s="75"/>
      <c r="BJ8" s="76">
        <f t="shared" si="32"/>
        <v>580920</v>
      </c>
      <c r="BK8" s="47">
        <v>4</v>
      </c>
      <c r="BL8" s="77">
        <f t="shared" si="27"/>
        <v>580920</v>
      </c>
    </row>
    <row r="9" spans="1:64" ht="20" customHeight="1">
      <c r="B9" s="78">
        <f t="shared" si="28"/>
        <v>45327</v>
      </c>
      <c r="C9" s="79"/>
      <c r="D9" s="219"/>
      <c r="E9" s="51">
        <v>35</v>
      </c>
      <c r="F9" s="52">
        <v>141570</v>
      </c>
      <c r="G9" s="53">
        <f t="shared" si="0"/>
        <v>3677.1428571428573</v>
      </c>
      <c r="H9" s="52">
        <v>17460</v>
      </c>
      <c r="I9" s="54">
        <f t="shared" si="1"/>
        <v>453.48571428571427</v>
      </c>
      <c r="J9" s="55">
        <f t="shared" si="2"/>
        <v>159030</v>
      </c>
      <c r="K9" s="56">
        <f t="shared" si="3"/>
        <v>4543.7142857142853</v>
      </c>
      <c r="L9" s="57"/>
      <c r="M9" s="58">
        <f t="shared" si="4"/>
        <v>32</v>
      </c>
      <c r="N9" s="59">
        <f t="shared" si="4"/>
        <v>366300</v>
      </c>
      <c r="O9" s="53">
        <f t="shared" si="5"/>
        <v>10406.25</v>
      </c>
      <c r="P9" s="59">
        <f t="shared" si="6"/>
        <v>103280</v>
      </c>
      <c r="Q9" s="54">
        <f t="shared" si="7"/>
        <v>2934.0625</v>
      </c>
      <c r="R9" s="60">
        <f t="shared" si="8"/>
        <v>469580</v>
      </c>
      <c r="S9" s="56">
        <f t="shared" si="9"/>
        <v>14674.375</v>
      </c>
      <c r="T9" s="80">
        <f t="shared" si="10"/>
        <v>67</v>
      </c>
      <c r="U9" s="59">
        <f t="shared" si="10"/>
        <v>507870</v>
      </c>
      <c r="V9" s="59">
        <f t="shared" si="11"/>
        <v>120740</v>
      </c>
      <c r="W9" s="62">
        <f t="shared" si="12"/>
        <v>628610</v>
      </c>
      <c r="X9" s="81"/>
      <c r="Y9" s="63"/>
      <c r="Z9" s="64">
        <v>25</v>
      </c>
      <c r="AA9" s="52">
        <v>10100</v>
      </c>
      <c r="AB9" s="53">
        <f t="shared" si="13"/>
        <v>404</v>
      </c>
      <c r="AC9" s="52">
        <v>4100</v>
      </c>
      <c r="AD9" s="54">
        <f t="shared" si="14"/>
        <v>164</v>
      </c>
      <c r="AE9" s="65">
        <f t="shared" si="15"/>
        <v>14200</v>
      </c>
      <c r="AF9" s="56">
        <f t="shared" si="16"/>
        <v>568</v>
      </c>
      <c r="AG9" s="66"/>
      <c r="AH9" s="64"/>
      <c r="AI9" s="52"/>
      <c r="AJ9" s="53" t="e">
        <f t="shared" si="17"/>
        <v>#DIV/0!</v>
      </c>
      <c r="AK9" s="52"/>
      <c r="AL9" s="54" t="e">
        <f t="shared" si="18"/>
        <v>#DIV/0!</v>
      </c>
      <c r="AM9" s="65">
        <f t="shared" si="29"/>
        <v>0</v>
      </c>
      <c r="AN9" s="67" t="str">
        <f t="shared" si="19"/>
        <v/>
      </c>
      <c r="AO9" s="68"/>
      <c r="AP9" s="64"/>
      <c r="AQ9" s="52"/>
      <c r="AR9" s="53" t="e">
        <f t="shared" si="20"/>
        <v>#DIV/0!</v>
      </c>
      <c r="AS9" s="52"/>
      <c r="AT9" s="54" t="e">
        <f t="shared" si="21"/>
        <v>#DIV/0!</v>
      </c>
      <c r="AU9" s="54"/>
      <c r="AV9" s="69">
        <f t="shared" si="30"/>
        <v>0</v>
      </c>
      <c r="AW9" s="67" t="str">
        <f>IF(AP9="","",AV9/AP9)</f>
        <v/>
      </c>
      <c r="AX9" s="82">
        <f t="shared" si="23"/>
        <v>67</v>
      </c>
      <c r="AY9" s="59">
        <f t="shared" si="24"/>
        <v>517970</v>
      </c>
      <c r="AZ9" s="59">
        <f t="shared" si="25"/>
        <v>124840</v>
      </c>
      <c r="BA9" s="71">
        <f t="shared" si="26"/>
        <v>642810</v>
      </c>
      <c r="BB9" s="72">
        <f t="shared" si="31"/>
        <v>7700</v>
      </c>
      <c r="BC9" s="73">
        <v>67</v>
      </c>
      <c r="BD9" s="74">
        <v>507870</v>
      </c>
      <c r="BE9" s="74">
        <v>120740</v>
      </c>
      <c r="BF9" s="75">
        <v>7700</v>
      </c>
      <c r="BG9" s="75"/>
      <c r="BH9" s="75"/>
      <c r="BI9" s="75"/>
      <c r="BJ9" s="76">
        <f t="shared" si="32"/>
        <v>636310</v>
      </c>
      <c r="BK9" s="47">
        <v>5</v>
      </c>
      <c r="BL9" s="77">
        <f t="shared" si="27"/>
        <v>636310</v>
      </c>
    </row>
    <row r="10" spans="1:64" ht="20" customHeight="1">
      <c r="B10" s="78">
        <f t="shared" si="28"/>
        <v>45328</v>
      </c>
      <c r="C10" s="79"/>
      <c r="D10" s="219"/>
      <c r="E10" s="51">
        <v>32</v>
      </c>
      <c r="F10" s="52">
        <v>108900</v>
      </c>
      <c r="G10" s="53">
        <f t="shared" si="0"/>
        <v>3093.75</v>
      </c>
      <c r="H10" s="52">
        <v>8630</v>
      </c>
      <c r="I10" s="54">
        <f t="shared" si="1"/>
        <v>245.15625</v>
      </c>
      <c r="J10" s="55">
        <f t="shared" si="2"/>
        <v>117530</v>
      </c>
      <c r="K10" s="56">
        <f t="shared" si="3"/>
        <v>3672.8125</v>
      </c>
      <c r="L10" s="57"/>
      <c r="M10" s="58">
        <f t="shared" si="4"/>
        <v>27</v>
      </c>
      <c r="N10" s="59">
        <f t="shared" si="4"/>
        <v>251020</v>
      </c>
      <c r="O10" s="53">
        <f t="shared" si="5"/>
        <v>8451.8518518518522</v>
      </c>
      <c r="P10" s="59">
        <f t="shared" si="6"/>
        <v>86870</v>
      </c>
      <c r="Q10" s="54">
        <f t="shared" si="7"/>
        <v>2924.8888888888887</v>
      </c>
      <c r="R10" s="60">
        <f t="shared" si="8"/>
        <v>337890</v>
      </c>
      <c r="S10" s="56">
        <f t="shared" si="9"/>
        <v>12514.444444444445</v>
      </c>
      <c r="T10" s="80">
        <f t="shared" si="10"/>
        <v>59</v>
      </c>
      <c r="U10" s="59">
        <f t="shared" si="10"/>
        <v>359920</v>
      </c>
      <c r="V10" s="59">
        <f t="shared" si="11"/>
        <v>95500</v>
      </c>
      <c r="W10" s="62">
        <f t="shared" si="12"/>
        <v>455420</v>
      </c>
      <c r="X10" s="81"/>
      <c r="Y10" s="63"/>
      <c r="Z10" s="64">
        <v>24</v>
      </c>
      <c r="AA10" s="52">
        <v>10260</v>
      </c>
      <c r="AB10" s="53">
        <f t="shared" si="13"/>
        <v>427.5</v>
      </c>
      <c r="AC10" s="52">
        <v>7340</v>
      </c>
      <c r="AD10" s="54">
        <f t="shared" si="14"/>
        <v>305.83333333333331</v>
      </c>
      <c r="AE10" s="65">
        <f t="shared" si="15"/>
        <v>17600</v>
      </c>
      <c r="AF10" s="56">
        <f t="shared" si="16"/>
        <v>733.33333333333337</v>
      </c>
      <c r="AG10" s="66"/>
      <c r="AH10" s="64"/>
      <c r="AI10" s="52"/>
      <c r="AJ10" s="53" t="e">
        <f t="shared" si="17"/>
        <v>#DIV/0!</v>
      </c>
      <c r="AK10" s="52"/>
      <c r="AL10" s="54" t="e">
        <f t="shared" si="18"/>
        <v>#DIV/0!</v>
      </c>
      <c r="AM10" s="65">
        <f t="shared" si="29"/>
        <v>0</v>
      </c>
      <c r="AN10" s="67" t="str">
        <f t="shared" si="19"/>
        <v/>
      </c>
      <c r="AO10" s="68"/>
      <c r="AP10" s="64"/>
      <c r="AQ10" s="52"/>
      <c r="AR10" s="53" t="e">
        <f t="shared" si="20"/>
        <v>#DIV/0!</v>
      </c>
      <c r="AS10" s="52"/>
      <c r="AT10" s="54" t="e">
        <f t="shared" si="21"/>
        <v>#DIV/0!</v>
      </c>
      <c r="AU10" s="54"/>
      <c r="AV10" s="69">
        <f t="shared" si="30"/>
        <v>0</v>
      </c>
      <c r="AW10" s="67" t="str">
        <f t="shared" si="22"/>
        <v/>
      </c>
      <c r="AX10" s="82">
        <f t="shared" si="23"/>
        <v>59</v>
      </c>
      <c r="AY10" s="59">
        <f t="shared" si="24"/>
        <v>370180</v>
      </c>
      <c r="AZ10" s="59">
        <f t="shared" si="25"/>
        <v>102840</v>
      </c>
      <c r="BA10" s="71">
        <f t="shared" si="26"/>
        <v>473020</v>
      </c>
      <c r="BB10" s="72">
        <f t="shared" si="31"/>
        <v>1100</v>
      </c>
      <c r="BC10" s="73">
        <v>59</v>
      </c>
      <c r="BD10" s="74">
        <v>359920</v>
      </c>
      <c r="BE10" s="74">
        <v>95500</v>
      </c>
      <c r="BF10" s="75">
        <v>1100</v>
      </c>
      <c r="BG10" s="75"/>
      <c r="BH10" s="75"/>
      <c r="BI10" s="75"/>
      <c r="BJ10" s="76">
        <f t="shared" si="32"/>
        <v>456520</v>
      </c>
      <c r="BK10" s="47">
        <v>6</v>
      </c>
      <c r="BL10" s="77">
        <f t="shared" si="27"/>
        <v>456520</v>
      </c>
    </row>
    <row r="11" spans="1:64" ht="20" customHeight="1">
      <c r="B11" s="78">
        <f t="shared" si="28"/>
        <v>45329</v>
      </c>
      <c r="C11" s="79"/>
      <c r="D11" s="219"/>
      <c r="E11" s="51">
        <v>34</v>
      </c>
      <c r="F11" s="52">
        <v>146080</v>
      </c>
      <c r="G11" s="53">
        <f t="shared" si="0"/>
        <v>3905.8823529411766</v>
      </c>
      <c r="H11" s="52">
        <v>21970</v>
      </c>
      <c r="I11" s="54">
        <f t="shared" si="1"/>
        <v>587.41176470588232</v>
      </c>
      <c r="J11" s="55">
        <f t="shared" si="2"/>
        <v>168050</v>
      </c>
      <c r="K11" s="56">
        <f t="shared" si="3"/>
        <v>4942.6470588235297</v>
      </c>
      <c r="L11" s="57"/>
      <c r="M11" s="58">
        <f t="shared" si="4"/>
        <v>25</v>
      </c>
      <c r="N11" s="59">
        <f t="shared" si="4"/>
        <v>242990</v>
      </c>
      <c r="O11" s="53">
        <f t="shared" si="5"/>
        <v>8836</v>
      </c>
      <c r="P11" s="59">
        <f t="shared" si="6"/>
        <v>59430</v>
      </c>
      <c r="Q11" s="54">
        <f t="shared" si="7"/>
        <v>2161.08</v>
      </c>
      <c r="R11" s="60">
        <f t="shared" si="8"/>
        <v>302420</v>
      </c>
      <c r="S11" s="56">
        <f t="shared" si="9"/>
        <v>12096.8</v>
      </c>
      <c r="T11" s="80">
        <f t="shared" si="10"/>
        <v>59</v>
      </c>
      <c r="U11" s="59">
        <f t="shared" si="10"/>
        <v>389070</v>
      </c>
      <c r="V11" s="59">
        <f t="shared" si="11"/>
        <v>81400</v>
      </c>
      <c r="W11" s="62">
        <f t="shared" si="12"/>
        <v>470470</v>
      </c>
      <c r="X11" s="81"/>
      <c r="Y11" s="63"/>
      <c r="Z11" s="64">
        <v>29</v>
      </c>
      <c r="AA11" s="52">
        <v>11670</v>
      </c>
      <c r="AB11" s="53">
        <f t="shared" si="13"/>
        <v>402.41379310344826</v>
      </c>
      <c r="AC11" s="52">
        <v>5750</v>
      </c>
      <c r="AD11" s="54">
        <f t="shared" si="14"/>
        <v>198.27586206896552</v>
      </c>
      <c r="AE11" s="65">
        <f t="shared" si="15"/>
        <v>17420</v>
      </c>
      <c r="AF11" s="56">
        <f t="shared" si="16"/>
        <v>600.68965517241384</v>
      </c>
      <c r="AG11" s="66"/>
      <c r="AH11" s="64"/>
      <c r="AI11" s="52"/>
      <c r="AJ11" s="53" t="e">
        <f t="shared" si="17"/>
        <v>#DIV/0!</v>
      </c>
      <c r="AK11" s="52"/>
      <c r="AL11" s="54" t="e">
        <f t="shared" si="18"/>
        <v>#DIV/0!</v>
      </c>
      <c r="AM11" s="65">
        <f t="shared" si="29"/>
        <v>0</v>
      </c>
      <c r="AN11" s="67" t="str">
        <f t="shared" si="19"/>
        <v/>
      </c>
      <c r="AO11" s="68"/>
      <c r="AP11" s="64"/>
      <c r="AQ11" s="52"/>
      <c r="AR11" s="53" t="e">
        <f t="shared" si="20"/>
        <v>#DIV/0!</v>
      </c>
      <c r="AS11" s="52"/>
      <c r="AT11" s="54" t="e">
        <f t="shared" si="21"/>
        <v>#DIV/0!</v>
      </c>
      <c r="AU11" s="54"/>
      <c r="AV11" s="69">
        <f t="shared" si="30"/>
        <v>0</v>
      </c>
      <c r="AW11" s="67" t="str">
        <f t="shared" si="22"/>
        <v/>
      </c>
      <c r="AX11" s="82">
        <f t="shared" si="23"/>
        <v>59</v>
      </c>
      <c r="AY11" s="59">
        <f t="shared" si="24"/>
        <v>400740</v>
      </c>
      <c r="AZ11" s="59">
        <f t="shared" si="25"/>
        <v>87150</v>
      </c>
      <c r="BA11" s="71">
        <f t="shared" si="26"/>
        <v>487890</v>
      </c>
      <c r="BB11" s="72">
        <f t="shared" si="31"/>
        <v>2750</v>
      </c>
      <c r="BC11" s="73">
        <v>59</v>
      </c>
      <c r="BD11" s="74">
        <v>389070</v>
      </c>
      <c r="BE11" s="74">
        <v>81400</v>
      </c>
      <c r="BF11" s="75">
        <v>2750</v>
      </c>
      <c r="BG11" s="75"/>
      <c r="BH11" s="75"/>
      <c r="BI11" s="75"/>
      <c r="BJ11" s="76">
        <f t="shared" si="32"/>
        <v>473220</v>
      </c>
      <c r="BK11" s="47">
        <v>7</v>
      </c>
      <c r="BL11" s="77">
        <f t="shared" si="27"/>
        <v>473220</v>
      </c>
    </row>
    <row r="12" spans="1:64" ht="20" customHeight="1">
      <c r="B12" s="78">
        <f t="shared" si="28"/>
        <v>45330</v>
      </c>
      <c r="C12" s="83"/>
      <c r="D12" s="219"/>
      <c r="E12" s="51">
        <v>31</v>
      </c>
      <c r="F12" s="52">
        <v>117920</v>
      </c>
      <c r="G12" s="53">
        <f t="shared" si="0"/>
        <v>3458.0645161290322</v>
      </c>
      <c r="H12" s="52">
        <v>4280</v>
      </c>
      <c r="I12" s="54">
        <f t="shared" si="1"/>
        <v>125.48387096774194</v>
      </c>
      <c r="J12" s="55">
        <f t="shared" si="2"/>
        <v>122200</v>
      </c>
      <c r="K12" s="56">
        <f t="shared" si="3"/>
        <v>3941.9354838709678</v>
      </c>
      <c r="L12" s="57"/>
      <c r="M12" s="58">
        <f t="shared" si="4"/>
        <v>21</v>
      </c>
      <c r="N12" s="59">
        <f t="shared" si="4"/>
        <v>157080</v>
      </c>
      <c r="O12" s="53">
        <f t="shared" si="5"/>
        <v>6800</v>
      </c>
      <c r="P12" s="59">
        <f t="shared" si="6"/>
        <v>44100</v>
      </c>
      <c r="Q12" s="84">
        <f t="shared" si="7"/>
        <v>1909.047619047619</v>
      </c>
      <c r="R12" s="60">
        <f t="shared" si="8"/>
        <v>201180</v>
      </c>
      <c r="S12" s="56">
        <f t="shared" si="9"/>
        <v>9580</v>
      </c>
      <c r="T12" s="80">
        <f t="shared" si="10"/>
        <v>52</v>
      </c>
      <c r="U12" s="59">
        <f t="shared" si="10"/>
        <v>275000</v>
      </c>
      <c r="V12" s="59">
        <f t="shared" si="11"/>
        <v>48380</v>
      </c>
      <c r="W12" s="62">
        <f t="shared" si="12"/>
        <v>323380</v>
      </c>
      <c r="X12" s="81"/>
      <c r="Y12" s="63"/>
      <c r="Z12" s="64">
        <v>29</v>
      </c>
      <c r="AA12" s="52">
        <v>13390</v>
      </c>
      <c r="AB12" s="53">
        <f t="shared" si="13"/>
        <v>461.72413793103448</v>
      </c>
      <c r="AC12" s="52">
        <v>12740</v>
      </c>
      <c r="AD12" s="54">
        <f t="shared" si="14"/>
        <v>439.31034482758622</v>
      </c>
      <c r="AE12" s="65">
        <f t="shared" si="15"/>
        <v>26130</v>
      </c>
      <c r="AF12" s="56">
        <f t="shared" si="16"/>
        <v>901.0344827586207</v>
      </c>
      <c r="AG12" s="66"/>
      <c r="AH12" s="64"/>
      <c r="AI12" s="52"/>
      <c r="AJ12" s="53" t="e">
        <f t="shared" si="17"/>
        <v>#DIV/0!</v>
      </c>
      <c r="AK12" s="52"/>
      <c r="AL12" s="54" t="e">
        <f t="shared" si="18"/>
        <v>#DIV/0!</v>
      </c>
      <c r="AM12" s="65">
        <f t="shared" si="29"/>
        <v>0</v>
      </c>
      <c r="AN12" s="67" t="str">
        <f t="shared" si="19"/>
        <v/>
      </c>
      <c r="AO12" s="68"/>
      <c r="AP12" s="64"/>
      <c r="AQ12" s="52"/>
      <c r="AR12" s="53" t="e">
        <f t="shared" si="20"/>
        <v>#DIV/0!</v>
      </c>
      <c r="AS12" s="52"/>
      <c r="AT12" s="54" t="e">
        <f t="shared" si="21"/>
        <v>#DIV/0!</v>
      </c>
      <c r="AU12" s="54"/>
      <c r="AV12" s="69">
        <f t="shared" si="30"/>
        <v>0</v>
      </c>
      <c r="AW12" s="67" t="str">
        <f t="shared" si="22"/>
        <v/>
      </c>
      <c r="AX12" s="82">
        <f t="shared" si="23"/>
        <v>52</v>
      </c>
      <c r="AY12" s="59">
        <f t="shared" si="24"/>
        <v>288390</v>
      </c>
      <c r="AZ12" s="59">
        <f t="shared" si="25"/>
        <v>61120</v>
      </c>
      <c r="BA12" s="71">
        <f t="shared" si="26"/>
        <v>349510</v>
      </c>
      <c r="BB12" s="72">
        <f t="shared" si="31"/>
        <v>1650</v>
      </c>
      <c r="BC12" s="73">
        <v>52</v>
      </c>
      <c r="BD12" s="74">
        <v>275000</v>
      </c>
      <c r="BE12" s="74">
        <v>48380</v>
      </c>
      <c r="BF12" s="75">
        <v>1650</v>
      </c>
      <c r="BG12" s="75"/>
      <c r="BH12" s="75"/>
      <c r="BI12" s="75"/>
      <c r="BJ12" s="76">
        <f t="shared" si="32"/>
        <v>325030</v>
      </c>
      <c r="BK12" s="47">
        <v>8</v>
      </c>
      <c r="BL12" s="77">
        <f t="shared" si="27"/>
        <v>325030</v>
      </c>
    </row>
    <row r="13" spans="1:64" ht="20" customHeight="1">
      <c r="B13" s="78">
        <f t="shared" si="28"/>
        <v>45331</v>
      </c>
      <c r="C13" s="79"/>
      <c r="D13" s="219"/>
      <c r="E13" s="51">
        <v>25</v>
      </c>
      <c r="F13" s="52">
        <v>119570</v>
      </c>
      <c r="G13" s="53">
        <f t="shared" si="0"/>
        <v>4348</v>
      </c>
      <c r="H13" s="52">
        <v>17660</v>
      </c>
      <c r="I13" s="54">
        <f t="shared" si="1"/>
        <v>642.16</v>
      </c>
      <c r="J13" s="55">
        <f t="shared" si="2"/>
        <v>137230</v>
      </c>
      <c r="K13" s="56">
        <f t="shared" si="3"/>
        <v>5489.2</v>
      </c>
      <c r="L13" s="57"/>
      <c r="M13" s="58">
        <f t="shared" si="4"/>
        <v>25</v>
      </c>
      <c r="N13" s="59">
        <f t="shared" si="4"/>
        <v>223850</v>
      </c>
      <c r="O13" s="53">
        <f t="shared" si="5"/>
        <v>8140</v>
      </c>
      <c r="P13" s="59">
        <f t="shared" si="6"/>
        <v>42530</v>
      </c>
      <c r="Q13" s="54">
        <f t="shared" si="7"/>
        <v>1546.52</v>
      </c>
      <c r="R13" s="60">
        <f t="shared" si="8"/>
        <v>266380</v>
      </c>
      <c r="S13" s="56">
        <f t="shared" si="9"/>
        <v>10655.2</v>
      </c>
      <c r="T13" s="80">
        <f t="shared" si="10"/>
        <v>50</v>
      </c>
      <c r="U13" s="59">
        <f t="shared" si="10"/>
        <v>343420</v>
      </c>
      <c r="V13" s="59">
        <f t="shared" si="11"/>
        <v>60190</v>
      </c>
      <c r="W13" s="62">
        <f t="shared" si="12"/>
        <v>403610</v>
      </c>
      <c r="X13" s="81"/>
      <c r="Y13" s="63"/>
      <c r="Z13" s="64">
        <v>24</v>
      </c>
      <c r="AA13" s="52">
        <v>8650</v>
      </c>
      <c r="AB13" s="53">
        <f t="shared" si="13"/>
        <v>360.41666666666669</v>
      </c>
      <c r="AC13" s="52">
        <v>4050</v>
      </c>
      <c r="AD13" s="54">
        <f t="shared" si="14"/>
        <v>168.75</v>
      </c>
      <c r="AE13" s="65">
        <f t="shared" si="15"/>
        <v>12700</v>
      </c>
      <c r="AF13" s="56">
        <f t="shared" si="16"/>
        <v>529.16666666666663</v>
      </c>
      <c r="AG13" s="66"/>
      <c r="AH13" s="64"/>
      <c r="AI13" s="52"/>
      <c r="AJ13" s="53" t="e">
        <f t="shared" si="17"/>
        <v>#DIV/0!</v>
      </c>
      <c r="AK13" s="52"/>
      <c r="AL13" s="54" t="e">
        <f t="shared" si="18"/>
        <v>#DIV/0!</v>
      </c>
      <c r="AM13" s="65">
        <f t="shared" si="29"/>
        <v>0</v>
      </c>
      <c r="AN13" s="67" t="str">
        <f t="shared" si="19"/>
        <v/>
      </c>
      <c r="AO13" s="68"/>
      <c r="AP13" s="64"/>
      <c r="AQ13" s="52"/>
      <c r="AR13" s="53" t="e">
        <f t="shared" si="20"/>
        <v>#DIV/0!</v>
      </c>
      <c r="AS13" s="52"/>
      <c r="AT13" s="54" t="e">
        <f t="shared" si="21"/>
        <v>#DIV/0!</v>
      </c>
      <c r="AU13" s="54"/>
      <c r="AV13" s="69">
        <f>AQ13+AS13+AU13</f>
        <v>0</v>
      </c>
      <c r="AW13" s="67" t="str">
        <f t="shared" si="22"/>
        <v/>
      </c>
      <c r="AX13" s="82">
        <f t="shared" si="23"/>
        <v>50</v>
      </c>
      <c r="AY13" s="59">
        <f t="shared" si="24"/>
        <v>352070</v>
      </c>
      <c r="AZ13" s="59">
        <f t="shared" si="25"/>
        <v>64240</v>
      </c>
      <c r="BA13" s="71">
        <f t="shared" si="26"/>
        <v>416310</v>
      </c>
      <c r="BB13" s="72">
        <f t="shared" si="31"/>
        <v>4950</v>
      </c>
      <c r="BC13" s="73">
        <v>50</v>
      </c>
      <c r="BD13" s="74">
        <v>343420</v>
      </c>
      <c r="BE13" s="74">
        <v>60190</v>
      </c>
      <c r="BF13" s="75">
        <v>4950</v>
      </c>
      <c r="BG13" s="75"/>
      <c r="BH13" s="75"/>
      <c r="BI13" s="75"/>
      <c r="BJ13" s="76">
        <f t="shared" si="32"/>
        <v>408560</v>
      </c>
      <c r="BK13" s="47">
        <v>9</v>
      </c>
      <c r="BL13" s="77">
        <f t="shared" si="27"/>
        <v>408560</v>
      </c>
    </row>
    <row r="14" spans="1:64" ht="20" customHeight="1">
      <c r="B14" s="78">
        <f t="shared" si="28"/>
        <v>45332</v>
      </c>
      <c r="C14" s="79"/>
      <c r="D14" s="219"/>
      <c r="E14" s="51">
        <v>29</v>
      </c>
      <c r="F14" s="52">
        <v>120560</v>
      </c>
      <c r="G14" s="53">
        <f t="shared" si="0"/>
        <v>3779.3103448275861</v>
      </c>
      <c r="H14" s="52">
        <v>22860</v>
      </c>
      <c r="I14" s="54">
        <f t="shared" si="1"/>
        <v>716.58620689655174</v>
      </c>
      <c r="J14" s="55">
        <f t="shared" si="2"/>
        <v>143420</v>
      </c>
      <c r="K14" s="56">
        <f t="shared" si="3"/>
        <v>4945.5172413793107</v>
      </c>
      <c r="L14" s="57"/>
      <c r="M14" s="58">
        <f t="shared" si="4"/>
        <v>26</v>
      </c>
      <c r="N14" s="59">
        <f t="shared" si="4"/>
        <v>275990</v>
      </c>
      <c r="O14" s="53">
        <f t="shared" si="5"/>
        <v>9650</v>
      </c>
      <c r="P14" s="59">
        <f t="shared" si="6"/>
        <v>72210</v>
      </c>
      <c r="Q14" s="54">
        <f t="shared" si="7"/>
        <v>2524.8076923076924</v>
      </c>
      <c r="R14" s="60">
        <f t="shared" si="8"/>
        <v>348200</v>
      </c>
      <c r="S14" s="56">
        <f t="shared" si="9"/>
        <v>13392.307692307691</v>
      </c>
      <c r="T14" s="80">
        <f t="shared" si="10"/>
        <v>55</v>
      </c>
      <c r="U14" s="59">
        <f t="shared" si="10"/>
        <v>396550</v>
      </c>
      <c r="V14" s="59">
        <f t="shared" si="11"/>
        <v>95070</v>
      </c>
      <c r="W14" s="62">
        <f t="shared" si="12"/>
        <v>491620</v>
      </c>
      <c r="X14" s="81"/>
      <c r="Y14" s="63"/>
      <c r="Z14" s="64">
        <v>47</v>
      </c>
      <c r="AA14" s="52">
        <v>20650</v>
      </c>
      <c r="AB14" s="53">
        <f t="shared" si="13"/>
        <v>439.36170212765956</v>
      </c>
      <c r="AC14" s="52">
        <v>10170</v>
      </c>
      <c r="AD14" s="54">
        <f t="shared" si="14"/>
        <v>216.38297872340425</v>
      </c>
      <c r="AE14" s="65">
        <f t="shared" si="15"/>
        <v>30820</v>
      </c>
      <c r="AF14" s="56">
        <f t="shared" si="16"/>
        <v>655.74468085106378</v>
      </c>
      <c r="AG14" s="66"/>
      <c r="AH14" s="64"/>
      <c r="AI14" s="52"/>
      <c r="AJ14" s="53" t="e">
        <f t="shared" si="17"/>
        <v>#DIV/0!</v>
      </c>
      <c r="AK14" s="52"/>
      <c r="AL14" s="54" t="e">
        <f t="shared" si="18"/>
        <v>#DIV/0!</v>
      </c>
      <c r="AM14" s="65">
        <f t="shared" si="29"/>
        <v>0</v>
      </c>
      <c r="AN14" s="67" t="str">
        <f t="shared" si="19"/>
        <v/>
      </c>
      <c r="AO14" s="68"/>
      <c r="AP14" s="64"/>
      <c r="AQ14" s="52"/>
      <c r="AR14" s="53" t="e">
        <f t="shared" si="20"/>
        <v>#DIV/0!</v>
      </c>
      <c r="AS14" s="52"/>
      <c r="AT14" s="54" t="e">
        <f t="shared" si="21"/>
        <v>#DIV/0!</v>
      </c>
      <c r="AU14" s="54"/>
      <c r="AV14" s="69">
        <f t="shared" si="30"/>
        <v>0</v>
      </c>
      <c r="AW14" s="67" t="str">
        <f t="shared" si="22"/>
        <v/>
      </c>
      <c r="AX14" s="82">
        <f t="shared" si="23"/>
        <v>55</v>
      </c>
      <c r="AY14" s="59">
        <f t="shared" si="24"/>
        <v>417200</v>
      </c>
      <c r="AZ14" s="59">
        <f t="shared" si="25"/>
        <v>105240</v>
      </c>
      <c r="BA14" s="71">
        <f t="shared" si="26"/>
        <v>522440</v>
      </c>
      <c r="BB14" s="72">
        <f t="shared" si="31"/>
        <v>0</v>
      </c>
      <c r="BC14" s="73">
        <v>55</v>
      </c>
      <c r="BD14" s="74">
        <v>396550</v>
      </c>
      <c r="BE14" s="74">
        <v>95070</v>
      </c>
      <c r="BF14" s="75"/>
      <c r="BG14" s="75"/>
      <c r="BH14" s="75"/>
      <c r="BI14" s="75"/>
      <c r="BJ14" s="76">
        <f t="shared" si="32"/>
        <v>491620</v>
      </c>
      <c r="BK14" s="47">
        <v>10</v>
      </c>
      <c r="BL14" s="77">
        <f t="shared" si="27"/>
        <v>491620</v>
      </c>
    </row>
    <row r="15" spans="1:64" ht="20" customHeight="1">
      <c r="B15" s="78">
        <f t="shared" si="28"/>
        <v>45333</v>
      </c>
      <c r="C15" s="83"/>
      <c r="D15" s="219"/>
      <c r="E15" s="51">
        <v>22</v>
      </c>
      <c r="F15" s="52">
        <v>109230</v>
      </c>
      <c r="G15" s="53">
        <f t="shared" si="0"/>
        <v>4513.636363636364</v>
      </c>
      <c r="H15" s="52">
        <v>21500</v>
      </c>
      <c r="I15" s="54">
        <f t="shared" si="1"/>
        <v>888.40909090909088</v>
      </c>
      <c r="J15" s="55">
        <f t="shared" si="2"/>
        <v>130730</v>
      </c>
      <c r="K15" s="56">
        <f t="shared" si="3"/>
        <v>5942.272727272727</v>
      </c>
      <c r="L15" s="57"/>
      <c r="M15" s="58">
        <f t="shared" si="4"/>
        <v>35</v>
      </c>
      <c r="N15" s="59">
        <f t="shared" si="4"/>
        <v>320650</v>
      </c>
      <c r="O15" s="53">
        <f t="shared" si="5"/>
        <v>8328.5714285714294</v>
      </c>
      <c r="P15" s="59">
        <f t="shared" si="6"/>
        <v>96550</v>
      </c>
      <c r="Q15" s="54">
        <f t="shared" si="7"/>
        <v>2507.7714285714287</v>
      </c>
      <c r="R15" s="60">
        <f t="shared" si="8"/>
        <v>417200</v>
      </c>
      <c r="S15" s="56">
        <f t="shared" si="9"/>
        <v>11920</v>
      </c>
      <c r="T15" s="80">
        <f t="shared" si="10"/>
        <v>57</v>
      </c>
      <c r="U15" s="59">
        <f t="shared" si="10"/>
        <v>429880</v>
      </c>
      <c r="V15" s="59">
        <f t="shared" si="11"/>
        <v>118050</v>
      </c>
      <c r="W15" s="62">
        <f t="shared" si="12"/>
        <v>547930</v>
      </c>
      <c r="X15" s="81"/>
      <c r="Y15" s="63"/>
      <c r="Z15" s="64">
        <v>41</v>
      </c>
      <c r="AA15" s="52">
        <v>16370</v>
      </c>
      <c r="AB15" s="53">
        <f t="shared" si="13"/>
        <v>399.26829268292681</v>
      </c>
      <c r="AC15" s="52">
        <v>11000</v>
      </c>
      <c r="AD15" s="54">
        <f t="shared" si="14"/>
        <v>268.29268292682929</v>
      </c>
      <c r="AE15" s="65">
        <f t="shared" si="15"/>
        <v>27370</v>
      </c>
      <c r="AF15" s="56">
        <f t="shared" si="16"/>
        <v>667.56097560975604</v>
      </c>
      <c r="AG15" s="66"/>
      <c r="AH15" s="64"/>
      <c r="AI15" s="52"/>
      <c r="AJ15" s="53" t="e">
        <f t="shared" si="17"/>
        <v>#DIV/0!</v>
      </c>
      <c r="AK15" s="52"/>
      <c r="AL15" s="54" t="e">
        <f t="shared" si="18"/>
        <v>#DIV/0!</v>
      </c>
      <c r="AM15" s="65">
        <f t="shared" si="29"/>
        <v>0</v>
      </c>
      <c r="AN15" s="67" t="str">
        <f t="shared" si="19"/>
        <v/>
      </c>
      <c r="AO15" s="68"/>
      <c r="AP15" s="64"/>
      <c r="AQ15" s="52"/>
      <c r="AR15" s="53" t="e">
        <f t="shared" si="20"/>
        <v>#DIV/0!</v>
      </c>
      <c r="AS15" s="52"/>
      <c r="AT15" s="54" t="e">
        <f t="shared" si="21"/>
        <v>#DIV/0!</v>
      </c>
      <c r="AU15" s="54"/>
      <c r="AV15" s="69">
        <f t="shared" si="30"/>
        <v>0</v>
      </c>
      <c r="AW15" s="67" t="str">
        <f t="shared" si="22"/>
        <v/>
      </c>
      <c r="AX15" s="82">
        <f t="shared" si="23"/>
        <v>57</v>
      </c>
      <c r="AY15" s="59">
        <f t="shared" si="24"/>
        <v>446250</v>
      </c>
      <c r="AZ15" s="59">
        <f t="shared" si="25"/>
        <v>129050</v>
      </c>
      <c r="BA15" s="71">
        <f t="shared" si="26"/>
        <v>575300</v>
      </c>
      <c r="BB15" s="72">
        <f t="shared" si="31"/>
        <v>2200</v>
      </c>
      <c r="BC15" s="73">
        <v>57</v>
      </c>
      <c r="BD15" s="74">
        <v>429880</v>
      </c>
      <c r="BE15" s="74">
        <v>118050</v>
      </c>
      <c r="BF15" s="75">
        <v>2200</v>
      </c>
      <c r="BG15" s="75"/>
      <c r="BH15" s="75"/>
      <c r="BI15" s="75"/>
      <c r="BJ15" s="76">
        <f t="shared" si="32"/>
        <v>550130</v>
      </c>
      <c r="BK15" s="47">
        <v>11</v>
      </c>
      <c r="BL15" s="77">
        <f t="shared" si="27"/>
        <v>550130</v>
      </c>
    </row>
    <row r="16" spans="1:64" ht="20" customHeight="1">
      <c r="B16" s="78">
        <f t="shared" si="28"/>
        <v>45334</v>
      </c>
      <c r="C16" s="79"/>
      <c r="D16" s="50"/>
      <c r="E16" s="51">
        <v>18</v>
      </c>
      <c r="F16" s="52">
        <v>70070</v>
      </c>
      <c r="G16" s="53">
        <f t="shared" si="0"/>
        <v>3538.8888888888887</v>
      </c>
      <c r="H16" s="52">
        <v>7020</v>
      </c>
      <c r="I16" s="54">
        <f t="shared" si="1"/>
        <v>354.5</v>
      </c>
      <c r="J16" s="55">
        <f t="shared" si="2"/>
        <v>77090</v>
      </c>
      <c r="K16" s="56">
        <f t="shared" si="3"/>
        <v>4282.7777777777774</v>
      </c>
      <c r="L16" s="57"/>
      <c r="M16" s="58">
        <f t="shared" si="4"/>
        <v>9</v>
      </c>
      <c r="N16" s="59">
        <f t="shared" si="4"/>
        <v>84150</v>
      </c>
      <c r="O16" s="53">
        <f t="shared" si="5"/>
        <v>8500</v>
      </c>
      <c r="P16" s="59">
        <f t="shared" si="6"/>
        <v>21100</v>
      </c>
      <c r="Q16" s="54">
        <f t="shared" si="7"/>
        <v>2131.2222222222222</v>
      </c>
      <c r="R16" s="60">
        <f t="shared" si="8"/>
        <v>105250</v>
      </c>
      <c r="S16" s="56">
        <f t="shared" si="9"/>
        <v>11694.444444444445</v>
      </c>
      <c r="T16" s="80">
        <f t="shared" si="10"/>
        <v>27</v>
      </c>
      <c r="U16" s="59">
        <f t="shared" si="10"/>
        <v>154220</v>
      </c>
      <c r="V16" s="59">
        <f t="shared" si="11"/>
        <v>28120</v>
      </c>
      <c r="W16" s="62">
        <f t="shared" si="12"/>
        <v>182340</v>
      </c>
      <c r="X16" s="81"/>
      <c r="Y16" s="63"/>
      <c r="Z16" s="64">
        <v>18</v>
      </c>
      <c r="AA16" s="52">
        <v>7830</v>
      </c>
      <c r="AB16" s="53">
        <f t="shared" si="13"/>
        <v>435</v>
      </c>
      <c r="AC16" s="52">
        <v>6750</v>
      </c>
      <c r="AD16" s="54">
        <f t="shared" si="14"/>
        <v>375</v>
      </c>
      <c r="AE16" s="65">
        <f t="shared" si="15"/>
        <v>14580</v>
      </c>
      <c r="AF16" s="56">
        <f t="shared" si="16"/>
        <v>810</v>
      </c>
      <c r="AG16" s="66"/>
      <c r="AH16" s="64"/>
      <c r="AI16" s="52"/>
      <c r="AJ16" s="53" t="e">
        <f t="shared" si="17"/>
        <v>#DIV/0!</v>
      </c>
      <c r="AK16" s="52"/>
      <c r="AL16" s="54" t="e">
        <f t="shared" si="18"/>
        <v>#DIV/0!</v>
      </c>
      <c r="AM16" s="65">
        <f t="shared" si="29"/>
        <v>0</v>
      </c>
      <c r="AN16" s="67" t="str">
        <f t="shared" si="19"/>
        <v/>
      </c>
      <c r="AO16" s="68"/>
      <c r="AP16" s="64"/>
      <c r="AQ16" s="52"/>
      <c r="AR16" s="53" t="e">
        <f t="shared" si="20"/>
        <v>#DIV/0!</v>
      </c>
      <c r="AS16" s="52"/>
      <c r="AT16" s="54" t="e">
        <f t="shared" si="21"/>
        <v>#DIV/0!</v>
      </c>
      <c r="AU16" s="54"/>
      <c r="AV16" s="69">
        <f t="shared" si="30"/>
        <v>0</v>
      </c>
      <c r="AW16" s="67" t="str">
        <f t="shared" si="22"/>
        <v/>
      </c>
      <c r="AX16" s="82">
        <f t="shared" si="23"/>
        <v>27</v>
      </c>
      <c r="AY16" s="59">
        <f t="shared" si="24"/>
        <v>162050</v>
      </c>
      <c r="AZ16" s="59">
        <f t="shared" si="25"/>
        <v>34870</v>
      </c>
      <c r="BA16" s="71">
        <f t="shared" si="26"/>
        <v>196920</v>
      </c>
      <c r="BB16" s="72">
        <f t="shared" si="31"/>
        <v>2750</v>
      </c>
      <c r="BC16" s="73">
        <v>27</v>
      </c>
      <c r="BD16" s="74">
        <v>154220</v>
      </c>
      <c r="BE16" s="74">
        <v>28120</v>
      </c>
      <c r="BF16" s="75">
        <v>2750</v>
      </c>
      <c r="BG16" s="75"/>
      <c r="BH16" s="75">
        <v>3000</v>
      </c>
      <c r="BI16" s="75"/>
      <c r="BJ16" s="76">
        <f t="shared" si="32"/>
        <v>185090</v>
      </c>
      <c r="BK16" s="47">
        <v>12</v>
      </c>
      <c r="BL16" s="77">
        <f t="shared" si="27"/>
        <v>185090</v>
      </c>
    </row>
    <row r="17" spans="2:67" ht="20" customHeight="1">
      <c r="B17" s="78">
        <f t="shared" si="28"/>
        <v>45335</v>
      </c>
      <c r="C17" s="83"/>
      <c r="D17" s="50"/>
      <c r="E17" s="51">
        <v>27</v>
      </c>
      <c r="F17" s="52">
        <v>100980</v>
      </c>
      <c r="G17" s="53">
        <f t="shared" si="0"/>
        <v>3400</v>
      </c>
      <c r="H17" s="52">
        <v>12580</v>
      </c>
      <c r="I17" s="54">
        <f t="shared" si="1"/>
        <v>423.55555555555554</v>
      </c>
      <c r="J17" s="55">
        <f t="shared" si="2"/>
        <v>113560</v>
      </c>
      <c r="K17" s="56">
        <f t="shared" si="3"/>
        <v>4205.9259259259261</v>
      </c>
      <c r="L17" s="57"/>
      <c r="M17" s="58">
        <f t="shared" si="4"/>
        <v>9</v>
      </c>
      <c r="N17" s="59">
        <f t="shared" si="4"/>
        <v>110550</v>
      </c>
      <c r="O17" s="53">
        <f t="shared" si="5"/>
        <v>11166.666666666666</v>
      </c>
      <c r="P17" s="59">
        <f t="shared" si="6"/>
        <v>35750</v>
      </c>
      <c r="Q17" s="54">
        <f t="shared" si="7"/>
        <v>3611.1111111111113</v>
      </c>
      <c r="R17" s="60">
        <f t="shared" si="8"/>
        <v>146300</v>
      </c>
      <c r="S17" s="56">
        <f t="shared" si="9"/>
        <v>16255.555555555555</v>
      </c>
      <c r="T17" s="80">
        <f>E17+M17</f>
        <v>36</v>
      </c>
      <c r="U17" s="59">
        <f t="shared" si="10"/>
        <v>211530</v>
      </c>
      <c r="V17" s="59">
        <f t="shared" si="11"/>
        <v>48330</v>
      </c>
      <c r="W17" s="62">
        <f t="shared" si="12"/>
        <v>259860</v>
      </c>
      <c r="X17" s="81"/>
      <c r="Y17" s="63"/>
      <c r="Z17" s="64">
        <v>42</v>
      </c>
      <c r="AA17" s="52">
        <v>15700</v>
      </c>
      <c r="AB17" s="53">
        <f t="shared" si="13"/>
        <v>373.8095238095238</v>
      </c>
      <c r="AC17" s="52">
        <v>3100</v>
      </c>
      <c r="AD17" s="54">
        <f t="shared" si="14"/>
        <v>73.80952380952381</v>
      </c>
      <c r="AE17" s="65">
        <f t="shared" si="15"/>
        <v>18800</v>
      </c>
      <c r="AF17" s="56">
        <f t="shared" si="16"/>
        <v>447.61904761904759</v>
      </c>
      <c r="AG17" s="66">
        <v>2</v>
      </c>
      <c r="AH17" s="64">
        <v>65</v>
      </c>
      <c r="AI17" s="52">
        <v>340605</v>
      </c>
      <c r="AJ17" s="53">
        <f t="shared" si="17"/>
        <v>5240.0769230769229</v>
      </c>
      <c r="AK17" s="52">
        <v>84825</v>
      </c>
      <c r="AL17" s="54">
        <f t="shared" si="18"/>
        <v>1305</v>
      </c>
      <c r="AM17" s="65">
        <f t="shared" si="29"/>
        <v>425430</v>
      </c>
      <c r="AN17" s="67">
        <f t="shared" si="19"/>
        <v>6545.0769230769229</v>
      </c>
      <c r="AO17" s="68"/>
      <c r="AP17" s="64"/>
      <c r="AQ17" s="52"/>
      <c r="AR17" s="53" t="e">
        <f t="shared" si="20"/>
        <v>#DIV/0!</v>
      </c>
      <c r="AS17" s="52"/>
      <c r="AT17" s="54" t="e">
        <f t="shared" si="21"/>
        <v>#DIV/0!</v>
      </c>
      <c r="AU17" s="54"/>
      <c r="AV17" s="69">
        <f t="shared" si="30"/>
        <v>0</v>
      </c>
      <c r="AW17" s="67" t="str">
        <f t="shared" si="22"/>
        <v/>
      </c>
      <c r="AX17" s="82">
        <f t="shared" si="23"/>
        <v>36</v>
      </c>
      <c r="AY17" s="59">
        <f t="shared" si="24"/>
        <v>567835</v>
      </c>
      <c r="AZ17" s="59">
        <f t="shared" si="25"/>
        <v>136255</v>
      </c>
      <c r="BA17" s="71">
        <f t="shared" si="26"/>
        <v>704090</v>
      </c>
      <c r="BB17" s="72">
        <f t="shared" si="31"/>
        <v>1100</v>
      </c>
      <c r="BC17" s="73">
        <v>36</v>
      </c>
      <c r="BD17" s="74">
        <v>211530</v>
      </c>
      <c r="BE17" s="74">
        <v>48330</v>
      </c>
      <c r="BF17" s="75">
        <v>1100</v>
      </c>
      <c r="BG17" s="75"/>
      <c r="BH17" s="75"/>
      <c r="BI17" s="75"/>
      <c r="BJ17" s="76">
        <f t="shared" si="32"/>
        <v>260960</v>
      </c>
      <c r="BK17" s="47">
        <v>13</v>
      </c>
      <c r="BL17" s="77">
        <f t="shared" si="27"/>
        <v>260960</v>
      </c>
    </row>
    <row r="18" spans="2:67" ht="20" customHeight="1">
      <c r="B18" s="78">
        <f t="shared" si="28"/>
        <v>45336</v>
      </c>
      <c r="C18" s="79"/>
      <c r="D18" s="50"/>
      <c r="E18" s="51">
        <v>15</v>
      </c>
      <c r="F18" s="52">
        <v>50050</v>
      </c>
      <c r="G18" s="53">
        <f t="shared" si="0"/>
        <v>3033.3333333333335</v>
      </c>
      <c r="H18" s="52">
        <v>5490</v>
      </c>
      <c r="I18" s="54">
        <f t="shared" si="1"/>
        <v>332.66666666666669</v>
      </c>
      <c r="J18" s="55">
        <f t="shared" si="2"/>
        <v>55540</v>
      </c>
      <c r="K18" s="56">
        <f t="shared" si="3"/>
        <v>3702.6666666666665</v>
      </c>
      <c r="L18" s="57"/>
      <c r="M18" s="58">
        <f t="shared" si="4"/>
        <v>9</v>
      </c>
      <c r="N18" s="59">
        <f t="shared" si="4"/>
        <v>85980</v>
      </c>
      <c r="O18" s="53">
        <f t="shared" si="5"/>
        <v>8684.7777777777774</v>
      </c>
      <c r="P18" s="59">
        <f t="shared" si="6"/>
        <v>10510</v>
      </c>
      <c r="Q18" s="54">
        <f t="shared" si="7"/>
        <v>1061.5555555555557</v>
      </c>
      <c r="R18" s="60">
        <f t="shared" si="8"/>
        <v>96490</v>
      </c>
      <c r="S18" s="56">
        <f t="shared" si="9"/>
        <v>10721.111111111111</v>
      </c>
      <c r="T18" s="80">
        <f t="shared" si="10"/>
        <v>24</v>
      </c>
      <c r="U18" s="59">
        <f t="shared" si="10"/>
        <v>136030</v>
      </c>
      <c r="V18" s="59">
        <f t="shared" si="11"/>
        <v>16000</v>
      </c>
      <c r="W18" s="62">
        <f t="shared" si="12"/>
        <v>152030</v>
      </c>
      <c r="X18" s="81"/>
      <c r="Y18" s="63"/>
      <c r="Z18" s="64">
        <v>33</v>
      </c>
      <c r="AA18" s="52">
        <v>15010</v>
      </c>
      <c r="AB18" s="53">
        <f t="shared" si="13"/>
        <v>454.84848484848487</v>
      </c>
      <c r="AC18" s="52">
        <v>2500</v>
      </c>
      <c r="AD18" s="54">
        <f t="shared" si="14"/>
        <v>75.757575757575751</v>
      </c>
      <c r="AE18" s="65">
        <f t="shared" si="15"/>
        <v>17510</v>
      </c>
      <c r="AF18" s="56">
        <f t="shared" si="16"/>
        <v>530.60606060606062</v>
      </c>
      <c r="AG18" s="66"/>
      <c r="AH18" s="64"/>
      <c r="AI18" s="52"/>
      <c r="AJ18" s="53" t="e">
        <f t="shared" si="17"/>
        <v>#DIV/0!</v>
      </c>
      <c r="AK18" s="52"/>
      <c r="AL18" s="54" t="e">
        <f t="shared" si="18"/>
        <v>#DIV/0!</v>
      </c>
      <c r="AM18" s="65">
        <f t="shared" si="29"/>
        <v>0</v>
      </c>
      <c r="AN18" s="67" t="str">
        <f t="shared" si="19"/>
        <v/>
      </c>
      <c r="AO18" s="68"/>
      <c r="AP18" s="64"/>
      <c r="AQ18" s="52"/>
      <c r="AR18" s="53" t="e">
        <f t="shared" si="20"/>
        <v>#DIV/0!</v>
      </c>
      <c r="AS18" s="52"/>
      <c r="AT18" s="54" t="e">
        <f t="shared" si="21"/>
        <v>#DIV/0!</v>
      </c>
      <c r="AU18" s="54"/>
      <c r="AV18" s="69">
        <f t="shared" si="30"/>
        <v>0</v>
      </c>
      <c r="AW18" s="67" t="str">
        <f t="shared" si="22"/>
        <v/>
      </c>
      <c r="AX18" s="82">
        <f t="shared" si="23"/>
        <v>24</v>
      </c>
      <c r="AY18" s="59">
        <f t="shared" si="24"/>
        <v>151040</v>
      </c>
      <c r="AZ18" s="59">
        <f t="shared" si="25"/>
        <v>18500</v>
      </c>
      <c r="BA18" s="71">
        <f t="shared" si="26"/>
        <v>169540</v>
      </c>
      <c r="BB18" s="72">
        <f t="shared" si="31"/>
        <v>0</v>
      </c>
      <c r="BC18" s="73">
        <v>24</v>
      </c>
      <c r="BD18" s="74">
        <v>136030</v>
      </c>
      <c r="BE18" s="74">
        <v>16000</v>
      </c>
      <c r="BF18" s="75"/>
      <c r="BG18" s="75"/>
      <c r="BH18" s="75"/>
      <c r="BI18" s="75"/>
      <c r="BJ18" s="76">
        <f t="shared" si="32"/>
        <v>152030</v>
      </c>
      <c r="BK18" s="47">
        <v>14</v>
      </c>
      <c r="BL18" s="77">
        <f t="shared" si="27"/>
        <v>152030</v>
      </c>
    </row>
    <row r="19" spans="2:67" ht="20" customHeight="1">
      <c r="B19" s="78">
        <f t="shared" si="28"/>
        <v>45337</v>
      </c>
      <c r="C19" s="79"/>
      <c r="D19" s="50"/>
      <c r="E19" s="51">
        <v>16</v>
      </c>
      <c r="F19" s="52">
        <v>56550</v>
      </c>
      <c r="G19" s="53">
        <f t="shared" si="0"/>
        <v>3213.0625</v>
      </c>
      <c r="H19" s="52">
        <v>2570</v>
      </c>
      <c r="I19" s="54">
        <f t="shared" si="1"/>
        <v>146</v>
      </c>
      <c r="J19" s="55">
        <f t="shared" si="2"/>
        <v>59120</v>
      </c>
      <c r="K19" s="56">
        <f t="shared" si="3"/>
        <v>3695</v>
      </c>
      <c r="L19" s="57"/>
      <c r="M19" s="58">
        <f t="shared" si="4"/>
        <v>18</v>
      </c>
      <c r="N19" s="59">
        <f t="shared" si="4"/>
        <v>174240</v>
      </c>
      <c r="O19" s="53">
        <f t="shared" si="5"/>
        <v>8800</v>
      </c>
      <c r="P19" s="59">
        <f t="shared" si="6"/>
        <v>22330</v>
      </c>
      <c r="Q19" s="84">
        <f t="shared" si="7"/>
        <v>1127.7777777777778</v>
      </c>
      <c r="R19" s="60">
        <f t="shared" si="8"/>
        <v>196570</v>
      </c>
      <c r="S19" s="56">
        <f t="shared" si="9"/>
        <v>10920.555555555555</v>
      </c>
      <c r="T19" s="80">
        <f t="shared" si="10"/>
        <v>34</v>
      </c>
      <c r="U19" s="59">
        <f t="shared" si="10"/>
        <v>230790</v>
      </c>
      <c r="V19" s="59">
        <f t="shared" si="11"/>
        <v>24900</v>
      </c>
      <c r="W19" s="62">
        <f t="shared" si="12"/>
        <v>255690</v>
      </c>
      <c r="X19" s="81"/>
      <c r="Y19" s="63"/>
      <c r="Z19" s="64">
        <v>36</v>
      </c>
      <c r="AA19" s="52">
        <v>14560</v>
      </c>
      <c r="AB19" s="53">
        <f t="shared" si="13"/>
        <v>404.44444444444446</v>
      </c>
      <c r="AC19" s="52"/>
      <c r="AD19" s="54">
        <f t="shared" si="14"/>
        <v>0</v>
      </c>
      <c r="AE19" s="65">
        <f t="shared" si="15"/>
        <v>14560</v>
      </c>
      <c r="AF19" s="56">
        <f t="shared" si="16"/>
        <v>404.44444444444446</v>
      </c>
      <c r="AG19" s="66"/>
      <c r="AH19" s="64"/>
      <c r="AI19" s="52"/>
      <c r="AJ19" s="53" t="e">
        <f t="shared" si="17"/>
        <v>#DIV/0!</v>
      </c>
      <c r="AK19" s="52"/>
      <c r="AL19" s="54" t="e">
        <f t="shared" si="18"/>
        <v>#DIV/0!</v>
      </c>
      <c r="AM19" s="65">
        <f t="shared" si="29"/>
        <v>0</v>
      </c>
      <c r="AN19" s="67" t="str">
        <f t="shared" si="19"/>
        <v/>
      </c>
      <c r="AO19" s="68"/>
      <c r="AP19" s="64"/>
      <c r="AQ19" s="52"/>
      <c r="AR19" s="53" t="e">
        <f t="shared" si="20"/>
        <v>#DIV/0!</v>
      </c>
      <c r="AS19" s="52"/>
      <c r="AT19" s="54" t="e">
        <f t="shared" si="21"/>
        <v>#DIV/0!</v>
      </c>
      <c r="AU19" s="54"/>
      <c r="AV19" s="69">
        <f t="shared" si="30"/>
        <v>0</v>
      </c>
      <c r="AW19" s="67" t="str">
        <f t="shared" si="22"/>
        <v/>
      </c>
      <c r="AX19" s="82">
        <f t="shared" si="23"/>
        <v>34</v>
      </c>
      <c r="AY19" s="59">
        <f t="shared" si="24"/>
        <v>245350</v>
      </c>
      <c r="AZ19" s="59">
        <f t="shared" si="25"/>
        <v>24900</v>
      </c>
      <c r="BA19" s="71">
        <f t="shared" si="26"/>
        <v>270250</v>
      </c>
      <c r="BB19" s="72">
        <f t="shared" si="31"/>
        <v>2200</v>
      </c>
      <c r="BC19" s="73">
        <v>34</v>
      </c>
      <c r="BD19" s="74">
        <v>230790</v>
      </c>
      <c r="BE19" s="74">
        <v>24900</v>
      </c>
      <c r="BF19" s="75">
        <v>2200</v>
      </c>
      <c r="BG19" s="75"/>
      <c r="BH19" s="75"/>
      <c r="BI19" s="75">
        <v>9900</v>
      </c>
      <c r="BJ19" s="76">
        <f t="shared" si="32"/>
        <v>257890</v>
      </c>
      <c r="BK19" s="47">
        <v>15</v>
      </c>
      <c r="BL19" s="77">
        <f t="shared" si="27"/>
        <v>267790</v>
      </c>
    </row>
    <row r="20" spans="2:67" ht="20" customHeight="1">
      <c r="B20" s="78">
        <f t="shared" si="28"/>
        <v>45338</v>
      </c>
      <c r="C20" s="79"/>
      <c r="D20" s="50"/>
      <c r="E20" s="51">
        <v>24</v>
      </c>
      <c r="F20" s="52">
        <v>87120</v>
      </c>
      <c r="G20" s="53">
        <f t="shared" si="0"/>
        <v>3300</v>
      </c>
      <c r="H20" s="52">
        <v>5710</v>
      </c>
      <c r="I20" s="53">
        <f t="shared" si="1"/>
        <v>216.25</v>
      </c>
      <c r="J20" s="55">
        <f t="shared" si="2"/>
        <v>92830</v>
      </c>
      <c r="K20" s="56">
        <f t="shared" si="3"/>
        <v>3867.9166666666665</v>
      </c>
      <c r="L20" s="57"/>
      <c r="M20" s="58">
        <f t="shared" si="4"/>
        <v>8</v>
      </c>
      <c r="N20" s="59">
        <f t="shared" si="4"/>
        <v>99000</v>
      </c>
      <c r="O20" s="53">
        <f t="shared" si="5"/>
        <v>11250</v>
      </c>
      <c r="P20" s="59">
        <f t="shared" si="6"/>
        <v>44930</v>
      </c>
      <c r="Q20" s="84">
        <f t="shared" si="7"/>
        <v>5105.625</v>
      </c>
      <c r="R20" s="60">
        <f t="shared" si="8"/>
        <v>143930</v>
      </c>
      <c r="S20" s="56">
        <f t="shared" si="9"/>
        <v>17991.25</v>
      </c>
      <c r="T20" s="80">
        <f t="shared" si="10"/>
        <v>32</v>
      </c>
      <c r="U20" s="59">
        <f t="shared" si="10"/>
        <v>186120</v>
      </c>
      <c r="V20" s="59">
        <f t="shared" si="11"/>
        <v>50640</v>
      </c>
      <c r="W20" s="62">
        <f t="shared" si="12"/>
        <v>236760</v>
      </c>
      <c r="X20" s="81"/>
      <c r="Y20" s="63"/>
      <c r="Z20" s="64">
        <v>26</v>
      </c>
      <c r="AA20" s="52">
        <v>9900</v>
      </c>
      <c r="AB20" s="53">
        <f t="shared" si="13"/>
        <v>380.76923076923077</v>
      </c>
      <c r="AC20" s="52">
        <v>1700</v>
      </c>
      <c r="AD20" s="54">
        <f t="shared" si="14"/>
        <v>65.384615384615387</v>
      </c>
      <c r="AE20" s="65">
        <f t="shared" si="15"/>
        <v>11600</v>
      </c>
      <c r="AF20" s="56">
        <f t="shared" si="16"/>
        <v>446.15384615384613</v>
      </c>
      <c r="AG20" s="66">
        <v>1</v>
      </c>
      <c r="AH20" s="64">
        <v>29</v>
      </c>
      <c r="AI20" s="52">
        <v>158949</v>
      </c>
      <c r="AJ20" s="53">
        <f t="shared" si="17"/>
        <v>5481</v>
      </c>
      <c r="AK20" s="52">
        <v>37845</v>
      </c>
      <c r="AL20" s="54">
        <f t="shared" si="18"/>
        <v>1305</v>
      </c>
      <c r="AM20" s="65">
        <f t="shared" si="29"/>
        <v>196794</v>
      </c>
      <c r="AN20" s="67">
        <f t="shared" si="19"/>
        <v>6786</v>
      </c>
      <c r="AO20" s="68"/>
      <c r="AP20" s="64"/>
      <c r="AQ20" s="52"/>
      <c r="AR20" s="53" t="e">
        <f t="shared" si="20"/>
        <v>#DIV/0!</v>
      </c>
      <c r="AS20" s="52"/>
      <c r="AT20" s="54" t="e">
        <f t="shared" si="21"/>
        <v>#DIV/0!</v>
      </c>
      <c r="AU20" s="54"/>
      <c r="AV20" s="69">
        <f t="shared" si="30"/>
        <v>0</v>
      </c>
      <c r="AW20" s="67" t="str">
        <f t="shared" si="22"/>
        <v/>
      </c>
      <c r="AX20" s="82">
        <f t="shared" si="23"/>
        <v>32</v>
      </c>
      <c r="AY20" s="59">
        <f t="shared" si="24"/>
        <v>354969</v>
      </c>
      <c r="AZ20" s="59">
        <f t="shared" si="25"/>
        <v>90185</v>
      </c>
      <c r="BA20" s="71">
        <f t="shared" si="26"/>
        <v>445154</v>
      </c>
      <c r="BB20" s="72">
        <f t="shared" si="31"/>
        <v>0</v>
      </c>
      <c r="BC20" s="73">
        <v>32</v>
      </c>
      <c r="BD20" s="74">
        <v>186120</v>
      </c>
      <c r="BE20" s="74">
        <v>50640</v>
      </c>
      <c r="BF20" s="75"/>
      <c r="BG20" s="75"/>
      <c r="BH20" s="75"/>
      <c r="BI20" s="75"/>
      <c r="BJ20" s="76">
        <f t="shared" si="32"/>
        <v>236760</v>
      </c>
      <c r="BK20" s="47">
        <v>16</v>
      </c>
      <c r="BL20" s="77">
        <f t="shared" si="27"/>
        <v>236760</v>
      </c>
    </row>
    <row r="21" spans="2:67" ht="20" customHeight="1">
      <c r="B21" s="78">
        <f t="shared" si="28"/>
        <v>45339</v>
      </c>
      <c r="C21" s="79"/>
      <c r="D21" s="50"/>
      <c r="E21" s="51">
        <v>28</v>
      </c>
      <c r="F21" s="52">
        <v>127710</v>
      </c>
      <c r="G21" s="53">
        <f t="shared" si="0"/>
        <v>4146.4285714285716</v>
      </c>
      <c r="H21" s="52">
        <v>28120</v>
      </c>
      <c r="I21" s="53">
        <f t="shared" si="1"/>
        <v>912.96428571428567</v>
      </c>
      <c r="J21" s="55">
        <f t="shared" si="2"/>
        <v>155830</v>
      </c>
      <c r="K21" s="56">
        <f t="shared" si="3"/>
        <v>5565.3571428571431</v>
      </c>
      <c r="L21" s="57"/>
      <c r="M21" s="58">
        <f t="shared" si="4"/>
        <v>17</v>
      </c>
      <c r="N21" s="59">
        <f t="shared" si="4"/>
        <v>179740</v>
      </c>
      <c r="O21" s="53">
        <f t="shared" si="5"/>
        <v>9611.7647058823532</v>
      </c>
      <c r="P21" s="59">
        <f t="shared" si="6"/>
        <v>78950</v>
      </c>
      <c r="Q21" s="84">
        <f t="shared" si="7"/>
        <v>4221.8823529411766</v>
      </c>
      <c r="R21" s="60">
        <f t="shared" si="8"/>
        <v>258690</v>
      </c>
      <c r="S21" s="56">
        <f t="shared" si="9"/>
        <v>15217.058823529413</v>
      </c>
      <c r="T21" s="80">
        <f t="shared" si="10"/>
        <v>45</v>
      </c>
      <c r="U21" s="59">
        <f t="shared" si="10"/>
        <v>307450</v>
      </c>
      <c r="V21" s="59">
        <f t="shared" si="11"/>
        <v>107070</v>
      </c>
      <c r="W21" s="62">
        <f t="shared" si="12"/>
        <v>414520</v>
      </c>
      <c r="X21" s="81"/>
      <c r="Y21" s="63"/>
      <c r="Z21" s="64">
        <v>23</v>
      </c>
      <c r="AA21" s="52">
        <v>9370</v>
      </c>
      <c r="AB21" s="53">
        <f t="shared" si="13"/>
        <v>407.39130434782606</v>
      </c>
      <c r="AC21" s="52">
        <v>6500</v>
      </c>
      <c r="AD21" s="54">
        <f t="shared" si="14"/>
        <v>282.60869565217394</v>
      </c>
      <c r="AE21" s="65">
        <f t="shared" si="15"/>
        <v>15870</v>
      </c>
      <c r="AF21" s="56">
        <f t="shared" si="16"/>
        <v>690</v>
      </c>
      <c r="AG21" s="66"/>
      <c r="AH21" s="64"/>
      <c r="AI21" s="52"/>
      <c r="AJ21" s="53" t="e">
        <f t="shared" si="17"/>
        <v>#DIV/0!</v>
      </c>
      <c r="AK21" s="52"/>
      <c r="AL21" s="54" t="e">
        <f t="shared" si="18"/>
        <v>#DIV/0!</v>
      </c>
      <c r="AM21" s="65">
        <f t="shared" si="29"/>
        <v>0</v>
      </c>
      <c r="AN21" s="67" t="str">
        <f t="shared" si="19"/>
        <v/>
      </c>
      <c r="AO21" s="68"/>
      <c r="AP21" s="64"/>
      <c r="AQ21" s="52"/>
      <c r="AR21" s="53" t="e">
        <f t="shared" si="20"/>
        <v>#DIV/0!</v>
      </c>
      <c r="AS21" s="52"/>
      <c r="AT21" s="54" t="e">
        <f t="shared" si="21"/>
        <v>#DIV/0!</v>
      </c>
      <c r="AU21" s="54"/>
      <c r="AV21" s="69">
        <f t="shared" si="30"/>
        <v>0</v>
      </c>
      <c r="AW21" s="67" t="str">
        <f t="shared" si="22"/>
        <v/>
      </c>
      <c r="AX21" s="82">
        <f t="shared" si="23"/>
        <v>45</v>
      </c>
      <c r="AY21" s="59">
        <f t="shared" si="24"/>
        <v>316820</v>
      </c>
      <c r="AZ21" s="59">
        <f t="shared" si="25"/>
        <v>113570</v>
      </c>
      <c r="BA21" s="71">
        <f>W21+AE21+AM21+AV21</f>
        <v>430390</v>
      </c>
      <c r="BB21" s="72">
        <f t="shared" si="31"/>
        <v>4400</v>
      </c>
      <c r="BC21" s="73">
        <v>45</v>
      </c>
      <c r="BD21" s="74">
        <v>307450</v>
      </c>
      <c r="BE21" s="74">
        <v>107070</v>
      </c>
      <c r="BF21" s="75">
        <v>4400</v>
      </c>
      <c r="BG21" s="75"/>
      <c r="BH21" s="75"/>
      <c r="BI21" s="75"/>
      <c r="BJ21" s="76">
        <f t="shared" si="32"/>
        <v>418920</v>
      </c>
      <c r="BK21" s="47">
        <v>17</v>
      </c>
      <c r="BL21" s="77">
        <f t="shared" si="27"/>
        <v>418920</v>
      </c>
    </row>
    <row r="22" spans="2:67" ht="20" customHeight="1">
      <c r="B22" s="78">
        <f t="shared" si="28"/>
        <v>45340</v>
      </c>
      <c r="C22" s="79"/>
      <c r="D22" s="50"/>
      <c r="E22" s="51">
        <v>22</v>
      </c>
      <c r="F22" s="52">
        <v>117480</v>
      </c>
      <c r="G22" s="53">
        <f t="shared" si="0"/>
        <v>4854.545454545455</v>
      </c>
      <c r="H22" s="52">
        <v>17220</v>
      </c>
      <c r="I22" s="53">
        <f t="shared" si="1"/>
        <v>711.5454545454545</v>
      </c>
      <c r="J22" s="55">
        <f t="shared" si="2"/>
        <v>134700</v>
      </c>
      <c r="K22" s="56">
        <f t="shared" si="3"/>
        <v>6122.727272727273</v>
      </c>
      <c r="L22" s="57"/>
      <c r="M22" s="58">
        <f t="shared" si="4"/>
        <v>14</v>
      </c>
      <c r="N22" s="59">
        <f t="shared" si="4"/>
        <v>143000</v>
      </c>
      <c r="O22" s="53">
        <f t="shared" si="5"/>
        <v>9285.7142857142862</v>
      </c>
      <c r="P22" s="59">
        <f t="shared" si="6"/>
        <v>24200</v>
      </c>
      <c r="Q22" s="84">
        <f t="shared" si="7"/>
        <v>1571.4285714285713</v>
      </c>
      <c r="R22" s="60">
        <f t="shared" si="8"/>
        <v>167200</v>
      </c>
      <c r="S22" s="56">
        <f t="shared" si="9"/>
        <v>11942.857142857143</v>
      </c>
      <c r="T22" s="80">
        <f t="shared" si="10"/>
        <v>36</v>
      </c>
      <c r="U22" s="59">
        <f t="shared" si="10"/>
        <v>260480</v>
      </c>
      <c r="V22" s="59">
        <f t="shared" si="11"/>
        <v>41420</v>
      </c>
      <c r="W22" s="62">
        <f t="shared" si="12"/>
        <v>301900</v>
      </c>
      <c r="X22" s="81"/>
      <c r="Y22" s="63"/>
      <c r="Z22" s="64">
        <v>37</v>
      </c>
      <c r="AA22" s="52">
        <v>17300</v>
      </c>
      <c r="AB22" s="53">
        <f t="shared" si="13"/>
        <v>467.56756756756755</v>
      </c>
      <c r="AC22" s="52">
        <v>4050</v>
      </c>
      <c r="AD22" s="54">
        <f t="shared" si="14"/>
        <v>109.45945945945945</v>
      </c>
      <c r="AE22" s="65">
        <f t="shared" si="15"/>
        <v>21350</v>
      </c>
      <c r="AF22" s="56">
        <f t="shared" si="16"/>
        <v>577.02702702702697</v>
      </c>
      <c r="AG22" s="66"/>
      <c r="AH22" s="64"/>
      <c r="AI22" s="52"/>
      <c r="AJ22" s="53" t="e">
        <f t="shared" si="17"/>
        <v>#DIV/0!</v>
      </c>
      <c r="AK22" s="52"/>
      <c r="AL22" s="54" t="e">
        <f t="shared" si="18"/>
        <v>#DIV/0!</v>
      </c>
      <c r="AM22" s="65">
        <f t="shared" si="29"/>
        <v>0</v>
      </c>
      <c r="AN22" s="67" t="str">
        <f t="shared" si="19"/>
        <v/>
      </c>
      <c r="AO22" s="68"/>
      <c r="AP22" s="64"/>
      <c r="AQ22" s="52"/>
      <c r="AR22" s="53" t="e">
        <f t="shared" si="20"/>
        <v>#DIV/0!</v>
      </c>
      <c r="AS22" s="52"/>
      <c r="AT22" s="54" t="e">
        <f t="shared" si="21"/>
        <v>#DIV/0!</v>
      </c>
      <c r="AU22" s="54"/>
      <c r="AV22" s="69">
        <f t="shared" si="30"/>
        <v>0</v>
      </c>
      <c r="AW22" s="67" t="str">
        <f t="shared" si="22"/>
        <v/>
      </c>
      <c r="AX22" s="82">
        <f t="shared" si="23"/>
        <v>36</v>
      </c>
      <c r="AY22" s="59">
        <f t="shared" si="24"/>
        <v>277780</v>
      </c>
      <c r="AZ22" s="59">
        <f t="shared" si="25"/>
        <v>45470</v>
      </c>
      <c r="BA22" s="71">
        <f t="shared" si="26"/>
        <v>323250</v>
      </c>
      <c r="BB22" s="72">
        <f t="shared" si="31"/>
        <v>3850</v>
      </c>
      <c r="BC22" s="73">
        <v>36</v>
      </c>
      <c r="BD22" s="74">
        <v>260480</v>
      </c>
      <c r="BE22" s="74">
        <v>41420</v>
      </c>
      <c r="BF22" s="75">
        <v>3850</v>
      </c>
      <c r="BG22" s="75"/>
      <c r="BH22" s="75"/>
      <c r="BI22" s="75"/>
      <c r="BJ22" s="76">
        <f t="shared" si="32"/>
        <v>305750</v>
      </c>
      <c r="BK22" s="47">
        <v>18</v>
      </c>
      <c r="BL22" s="77">
        <f t="shared" si="27"/>
        <v>305750</v>
      </c>
      <c r="BM22" s="47">
        <v>15002</v>
      </c>
      <c r="BN22" s="85">
        <f>BA22-BM22</f>
        <v>308248</v>
      </c>
      <c r="BO22" s="47" t="s">
        <v>40</v>
      </c>
    </row>
    <row r="23" spans="2:67" ht="20" customHeight="1">
      <c r="B23" s="78">
        <f t="shared" si="28"/>
        <v>45341</v>
      </c>
      <c r="C23" s="79"/>
      <c r="D23" s="50"/>
      <c r="E23" s="51">
        <v>30</v>
      </c>
      <c r="F23" s="52">
        <v>103180</v>
      </c>
      <c r="G23" s="53">
        <f t="shared" si="0"/>
        <v>3126.6666666666665</v>
      </c>
      <c r="H23" s="52">
        <v>9280</v>
      </c>
      <c r="I23" s="53">
        <f t="shared" si="1"/>
        <v>281.2</v>
      </c>
      <c r="J23" s="55">
        <f t="shared" si="2"/>
        <v>112460</v>
      </c>
      <c r="K23" s="56">
        <f t="shared" si="3"/>
        <v>3748.6666666666665</v>
      </c>
      <c r="L23" s="57"/>
      <c r="M23" s="58">
        <f t="shared" si="4"/>
        <v>7</v>
      </c>
      <c r="N23" s="59">
        <f t="shared" si="4"/>
        <v>75460</v>
      </c>
      <c r="O23" s="53">
        <f t="shared" si="5"/>
        <v>9800</v>
      </c>
      <c r="P23" s="59">
        <f t="shared" si="6"/>
        <v>6690</v>
      </c>
      <c r="Q23" s="84">
        <f t="shared" si="7"/>
        <v>868.71428571428567</v>
      </c>
      <c r="R23" s="60">
        <f t="shared" si="8"/>
        <v>82150</v>
      </c>
      <c r="S23" s="56">
        <f t="shared" si="9"/>
        <v>11735.714285714286</v>
      </c>
      <c r="T23" s="80">
        <f t="shared" si="10"/>
        <v>37</v>
      </c>
      <c r="U23" s="59">
        <f t="shared" si="10"/>
        <v>178640</v>
      </c>
      <c r="V23" s="59">
        <f t="shared" si="11"/>
        <v>15970</v>
      </c>
      <c r="W23" s="62">
        <f t="shared" si="12"/>
        <v>194610</v>
      </c>
      <c r="X23" s="81"/>
      <c r="Y23" s="63"/>
      <c r="Z23" s="64">
        <v>30</v>
      </c>
      <c r="AA23" s="52">
        <v>12040</v>
      </c>
      <c r="AB23" s="53">
        <f t="shared" si="13"/>
        <v>401.33333333333331</v>
      </c>
      <c r="AC23" s="52">
        <v>2800</v>
      </c>
      <c r="AD23" s="54">
        <f t="shared" si="14"/>
        <v>93.333333333333329</v>
      </c>
      <c r="AE23" s="65">
        <f t="shared" si="15"/>
        <v>14840</v>
      </c>
      <c r="AF23" s="56">
        <f t="shared" si="16"/>
        <v>494.66666666666669</v>
      </c>
      <c r="AG23" s="66"/>
      <c r="AH23" s="64"/>
      <c r="AI23" s="52"/>
      <c r="AJ23" s="53" t="e">
        <f t="shared" si="17"/>
        <v>#DIV/0!</v>
      </c>
      <c r="AK23" s="52"/>
      <c r="AL23" s="54" t="e">
        <f t="shared" si="18"/>
        <v>#DIV/0!</v>
      </c>
      <c r="AM23" s="65">
        <f t="shared" si="29"/>
        <v>0</v>
      </c>
      <c r="AN23" s="67" t="str">
        <f t="shared" si="19"/>
        <v/>
      </c>
      <c r="AO23" s="68"/>
      <c r="AP23" s="64"/>
      <c r="AQ23" s="52"/>
      <c r="AR23" s="53" t="e">
        <f t="shared" si="20"/>
        <v>#DIV/0!</v>
      </c>
      <c r="AS23" s="52"/>
      <c r="AT23" s="54" t="e">
        <f t="shared" si="21"/>
        <v>#DIV/0!</v>
      </c>
      <c r="AU23" s="54"/>
      <c r="AV23" s="69">
        <f t="shared" si="30"/>
        <v>0</v>
      </c>
      <c r="AW23" s="67" t="str">
        <f>IF(AP23="","",AV23/AP23)</f>
        <v/>
      </c>
      <c r="AX23" s="82">
        <f t="shared" si="23"/>
        <v>37</v>
      </c>
      <c r="AY23" s="59">
        <f t="shared" si="24"/>
        <v>190680</v>
      </c>
      <c r="AZ23" s="59">
        <f t="shared" si="25"/>
        <v>18770</v>
      </c>
      <c r="BA23" s="71">
        <f t="shared" si="26"/>
        <v>209450</v>
      </c>
      <c r="BB23" s="72">
        <f t="shared" si="31"/>
        <v>1100</v>
      </c>
      <c r="BC23" s="73">
        <v>37</v>
      </c>
      <c r="BD23" s="74">
        <v>178640</v>
      </c>
      <c r="BE23" s="74">
        <v>15970</v>
      </c>
      <c r="BF23" s="75">
        <v>1100</v>
      </c>
      <c r="BG23" s="75"/>
      <c r="BH23" s="75"/>
      <c r="BI23" s="75"/>
      <c r="BJ23" s="76">
        <f>SUM(BD23:BG23)</f>
        <v>195710</v>
      </c>
      <c r="BK23" s="47">
        <v>19</v>
      </c>
      <c r="BL23" s="77">
        <f t="shared" si="27"/>
        <v>195710</v>
      </c>
    </row>
    <row r="24" spans="2:67" ht="20" customHeight="1">
      <c r="B24" s="78">
        <f t="shared" si="28"/>
        <v>45342</v>
      </c>
      <c r="C24" s="79"/>
      <c r="D24" s="50"/>
      <c r="E24" s="51">
        <v>19</v>
      </c>
      <c r="F24" s="52">
        <v>67100</v>
      </c>
      <c r="G24" s="53">
        <f t="shared" si="0"/>
        <v>3210.5263157894738</v>
      </c>
      <c r="H24" s="52">
        <v>2400</v>
      </c>
      <c r="I24" s="53">
        <f t="shared" si="1"/>
        <v>114.78947368421052</v>
      </c>
      <c r="J24" s="55">
        <f t="shared" si="2"/>
        <v>69500</v>
      </c>
      <c r="K24" s="56">
        <f t="shared" si="3"/>
        <v>3657.8947368421054</v>
      </c>
      <c r="L24" s="57"/>
      <c r="M24" s="58">
        <f t="shared" si="4"/>
        <v>15</v>
      </c>
      <c r="N24" s="59">
        <f t="shared" si="4"/>
        <v>136400</v>
      </c>
      <c r="O24" s="53">
        <f t="shared" si="5"/>
        <v>8266.6666666666661</v>
      </c>
      <c r="P24" s="59">
        <f t="shared" si="6"/>
        <v>26990</v>
      </c>
      <c r="Q24" s="84">
        <f t="shared" si="7"/>
        <v>1635.7333333333333</v>
      </c>
      <c r="R24" s="60">
        <f t="shared" si="8"/>
        <v>163390</v>
      </c>
      <c r="S24" s="56">
        <f t="shared" si="9"/>
        <v>10892.666666666666</v>
      </c>
      <c r="T24" s="80">
        <f t="shared" si="10"/>
        <v>34</v>
      </c>
      <c r="U24" s="59">
        <f t="shared" si="10"/>
        <v>203500</v>
      </c>
      <c r="V24" s="59">
        <f t="shared" si="11"/>
        <v>29390</v>
      </c>
      <c r="W24" s="62">
        <f t="shared" si="12"/>
        <v>232890</v>
      </c>
      <c r="X24" s="81"/>
      <c r="Y24" s="63"/>
      <c r="Z24" s="64">
        <v>21</v>
      </c>
      <c r="AA24" s="52">
        <v>8770</v>
      </c>
      <c r="AB24" s="53">
        <f t="shared" si="13"/>
        <v>417.61904761904759</v>
      </c>
      <c r="AC24" s="52">
        <v>1600</v>
      </c>
      <c r="AD24" s="54">
        <f t="shared" si="14"/>
        <v>76.19047619047619</v>
      </c>
      <c r="AE24" s="65">
        <f t="shared" si="15"/>
        <v>10370</v>
      </c>
      <c r="AF24" s="56">
        <f t="shared" si="16"/>
        <v>493.8095238095238</v>
      </c>
      <c r="AG24" s="66">
        <v>1</v>
      </c>
      <c r="AH24" s="64">
        <v>14</v>
      </c>
      <c r="AI24" s="52">
        <v>54810</v>
      </c>
      <c r="AJ24" s="53">
        <f t="shared" si="17"/>
        <v>3915</v>
      </c>
      <c r="AK24" s="52">
        <v>18270</v>
      </c>
      <c r="AL24" s="54">
        <f t="shared" si="18"/>
        <v>1305</v>
      </c>
      <c r="AM24" s="65">
        <f t="shared" si="29"/>
        <v>73080</v>
      </c>
      <c r="AN24" s="67">
        <f t="shared" si="19"/>
        <v>5220</v>
      </c>
      <c r="AO24" s="68"/>
      <c r="AP24" s="64"/>
      <c r="AQ24" s="52"/>
      <c r="AR24" s="53" t="e">
        <f t="shared" si="20"/>
        <v>#DIV/0!</v>
      </c>
      <c r="AS24" s="52"/>
      <c r="AT24" s="54" t="e">
        <f t="shared" si="21"/>
        <v>#DIV/0!</v>
      </c>
      <c r="AU24" s="54"/>
      <c r="AV24" s="69">
        <f t="shared" si="30"/>
        <v>0</v>
      </c>
      <c r="AW24" s="67" t="str">
        <f t="shared" si="22"/>
        <v/>
      </c>
      <c r="AX24" s="82">
        <f t="shared" si="23"/>
        <v>34</v>
      </c>
      <c r="AY24" s="59">
        <f t="shared" si="24"/>
        <v>267080</v>
      </c>
      <c r="AZ24" s="59">
        <f t="shared" si="25"/>
        <v>49260</v>
      </c>
      <c r="BA24" s="71">
        <f t="shared" si="26"/>
        <v>316340</v>
      </c>
      <c r="BB24" s="72">
        <f t="shared" si="31"/>
        <v>0</v>
      </c>
      <c r="BC24" s="73">
        <v>34</v>
      </c>
      <c r="BD24" s="74">
        <v>203500</v>
      </c>
      <c r="BE24" s="74">
        <v>29390</v>
      </c>
      <c r="BF24" s="75"/>
      <c r="BG24" s="75"/>
      <c r="BH24" s="75"/>
      <c r="BI24" s="75"/>
      <c r="BJ24" s="76">
        <f t="shared" si="32"/>
        <v>232890</v>
      </c>
      <c r="BK24" s="47">
        <v>20</v>
      </c>
      <c r="BL24" s="77">
        <f t="shared" si="27"/>
        <v>232890</v>
      </c>
    </row>
    <row r="25" spans="2:67" ht="20" customHeight="1">
      <c r="B25" s="78">
        <f t="shared" si="28"/>
        <v>45343</v>
      </c>
      <c r="C25" s="79"/>
      <c r="D25" s="50"/>
      <c r="E25" s="51">
        <v>32</v>
      </c>
      <c r="F25" s="52">
        <v>142670</v>
      </c>
      <c r="G25" s="53">
        <f t="shared" si="0"/>
        <v>4053.125</v>
      </c>
      <c r="H25" s="52">
        <v>14670</v>
      </c>
      <c r="I25" s="53">
        <f t="shared" si="1"/>
        <v>416.75</v>
      </c>
      <c r="J25" s="55">
        <f t="shared" si="2"/>
        <v>157340</v>
      </c>
      <c r="K25" s="56">
        <f t="shared" si="3"/>
        <v>4916.875</v>
      </c>
      <c r="L25" s="57"/>
      <c r="M25" s="58">
        <f t="shared" si="4"/>
        <v>13</v>
      </c>
      <c r="N25" s="59">
        <f t="shared" si="4"/>
        <v>179300</v>
      </c>
      <c r="O25" s="53">
        <f t="shared" si="5"/>
        <v>12538.461538461539</v>
      </c>
      <c r="P25" s="59">
        <f t="shared" si="6"/>
        <v>42180</v>
      </c>
      <c r="Q25" s="84">
        <f t="shared" si="7"/>
        <v>2949.6153846153848</v>
      </c>
      <c r="R25" s="60">
        <f t="shared" si="8"/>
        <v>221480</v>
      </c>
      <c r="S25" s="56">
        <f t="shared" si="9"/>
        <v>17036.923076923078</v>
      </c>
      <c r="T25" s="80">
        <f t="shared" si="10"/>
        <v>45</v>
      </c>
      <c r="U25" s="59">
        <f t="shared" si="10"/>
        <v>321970</v>
      </c>
      <c r="V25" s="59">
        <f t="shared" si="11"/>
        <v>56850</v>
      </c>
      <c r="W25" s="62">
        <f t="shared" si="12"/>
        <v>378820</v>
      </c>
      <c r="X25" s="81"/>
      <c r="Y25" s="63"/>
      <c r="Z25" s="64">
        <v>10</v>
      </c>
      <c r="AA25" s="52">
        <v>3700</v>
      </c>
      <c r="AB25" s="53">
        <f t="shared" si="13"/>
        <v>370</v>
      </c>
      <c r="AC25" s="52">
        <v>1000</v>
      </c>
      <c r="AD25" s="54">
        <f t="shared" si="14"/>
        <v>100</v>
      </c>
      <c r="AE25" s="65">
        <f t="shared" si="15"/>
        <v>4700</v>
      </c>
      <c r="AF25" s="56">
        <f t="shared" si="16"/>
        <v>470</v>
      </c>
      <c r="AG25" s="66"/>
      <c r="AH25" s="64"/>
      <c r="AI25" s="52"/>
      <c r="AJ25" s="53" t="e">
        <f t="shared" si="17"/>
        <v>#DIV/0!</v>
      </c>
      <c r="AK25" s="52"/>
      <c r="AL25" s="54" t="e">
        <f t="shared" si="18"/>
        <v>#DIV/0!</v>
      </c>
      <c r="AM25" s="65">
        <f t="shared" si="29"/>
        <v>0</v>
      </c>
      <c r="AN25" s="67" t="str">
        <f t="shared" si="19"/>
        <v/>
      </c>
      <c r="AO25" s="68"/>
      <c r="AP25" s="64"/>
      <c r="AQ25" s="52"/>
      <c r="AR25" s="53" t="e">
        <f t="shared" si="20"/>
        <v>#DIV/0!</v>
      </c>
      <c r="AS25" s="52"/>
      <c r="AT25" s="54" t="e">
        <f t="shared" si="21"/>
        <v>#DIV/0!</v>
      </c>
      <c r="AU25" s="54"/>
      <c r="AV25" s="69">
        <f t="shared" si="30"/>
        <v>0</v>
      </c>
      <c r="AW25" s="67" t="str">
        <f t="shared" si="22"/>
        <v/>
      </c>
      <c r="AX25" s="82">
        <f t="shared" si="23"/>
        <v>45</v>
      </c>
      <c r="AY25" s="59">
        <f t="shared" si="24"/>
        <v>325670</v>
      </c>
      <c r="AZ25" s="59">
        <f t="shared" si="25"/>
        <v>57850</v>
      </c>
      <c r="BA25" s="71">
        <f t="shared" si="26"/>
        <v>383520</v>
      </c>
      <c r="BB25" s="72">
        <f t="shared" si="31"/>
        <v>7700</v>
      </c>
      <c r="BC25" s="73">
        <v>45</v>
      </c>
      <c r="BD25" s="74">
        <v>321970</v>
      </c>
      <c r="BE25" s="74">
        <v>56850</v>
      </c>
      <c r="BF25" s="75">
        <v>7700</v>
      </c>
      <c r="BG25" s="75"/>
      <c r="BH25" s="75"/>
      <c r="BI25" s="75"/>
      <c r="BJ25" s="76">
        <f t="shared" si="32"/>
        <v>386520</v>
      </c>
      <c r="BK25" s="47">
        <v>21</v>
      </c>
      <c r="BL25" s="77">
        <f t="shared" si="27"/>
        <v>386520</v>
      </c>
    </row>
    <row r="26" spans="2:67" ht="20" customHeight="1">
      <c r="B26" s="78">
        <f t="shared" si="28"/>
        <v>45344</v>
      </c>
      <c r="C26" s="79"/>
      <c r="D26" s="50"/>
      <c r="E26" s="51">
        <v>27</v>
      </c>
      <c r="F26" s="52">
        <v>90200</v>
      </c>
      <c r="G26" s="53">
        <f t="shared" si="0"/>
        <v>3037.037037037037</v>
      </c>
      <c r="H26" s="52">
        <v>7920</v>
      </c>
      <c r="I26" s="53">
        <f t="shared" si="1"/>
        <v>266.66666666666669</v>
      </c>
      <c r="J26" s="55">
        <f t="shared" si="2"/>
        <v>98120</v>
      </c>
      <c r="K26" s="56">
        <f t="shared" si="3"/>
        <v>3634.0740740740739</v>
      </c>
      <c r="L26" s="57"/>
      <c r="M26" s="58">
        <f t="shared" si="4"/>
        <v>13</v>
      </c>
      <c r="N26" s="59">
        <f t="shared" si="4"/>
        <v>115115</v>
      </c>
      <c r="O26" s="53">
        <f t="shared" si="5"/>
        <v>8050</v>
      </c>
      <c r="P26" s="59">
        <f t="shared" si="6"/>
        <v>37990</v>
      </c>
      <c r="Q26" s="84">
        <f t="shared" si="7"/>
        <v>2656.6153846153848</v>
      </c>
      <c r="R26" s="60">
        <f t="shared" si="8"/>
        <v>153105</v>
      </c>
      <c r="S26" s="56">
        <f t="shared" si="9"/>
        <v>11777.307692307691</v>
      </c>
      <c r="T26" s="80">
        <f t="shared" si="10"/>
        <v>40</v>
      </c>
      <c r="U26" s="59">
        <f t="shared" si="10"/>
        <v>205315</v>
      </c>
      <c r="V26" s="59">
        <f t="shared" si="11"/>
        <v>45910</v>
      </c>
      <c r="W26" s="62">
        <f t="shared" si="12"/>
        <v>251225</v>
      </c>
      <c r="X26" s="81"/>
      <c r="Y26" s="63"/>
      <c r="Z26" s="64">
        <v>11</v>
      </c>
      <c r="AA26" s="52">
        <v>5770</v>
      </c>
      <c r="AB26" s="53">
        <f t="shared" si="13"/>
        <v>524.5454545454545</v>
      </c>
      <c r="AC26" s="52">
        <v>2500</v>
      </c>
      <c r="AD26" s="54">
        <f t="shared" si="14"/>
        <v>227.27272727272728</v>
      </c>
      <c r="AE26" s="65">
        <f t="shared" si="15"/>
        <v>8270</v>
      </c>
      <c r="AF26" s="56">
        <f t="shared" si="16"/>
        <v>751.81818181818187</v>
      </c>
      <c r="AG26" s="66">
        <v>1</v>
      </c>
      <c r="AH26" s="64">
        <v>49</v>
      </c>
      <c r="AI26" s="52">
        <v>174000</v>
      </c>
      <c r="AJ26" s="53">
        <f t="shared" si="17"/>
        <v>3551.0204081632655</v>
      </c>
      <c r="AK26" s="52">
        <v>63945</v>
      </c>
      <c r="AL26" s="54">
        <f t="shared" si="18"/>
        <v>1305</v>
      </c>
      <c r="AM26" s="65">
        <f t="shared" si="29"/>
        <v>237945</v>
      </c>
      <c r="AN26" s="67">
        <f t="shared" si="19"/>
        <v>4856.0204081632655</v>
      </c>
      <c r="AO26" s="68"/>
      <c r="AP26" s="64"/>
      <c r="AQ26" s="52"/>
      <c r="AR26" s="53" t="e">
        <f t="shared" si="20"/>
        <v>#DIV/0!</v>
      </c>
      <c r="AS26" s="52"/>
      <c r="AT26" s="54" t="e">
        <f t="shared" si="21"/>
        <v>#DIV/0!</v>
      </c>
      <c r="AU26" s="54"/>
      <c r="AV26" s="69">
        <f t="shared" si="30"/>
        <v>0</v>
      </c>
      <c r="AW26" s="67" t="str">
        <f t="shared" si="22"/>
        <v/>
      </c>
      <c r="AX26" s="82">
        <f t="shared" si="23"/>
        <v>40</v>
      </c>
      <c r="AY26" s="59">
        <f t="shared" si="24"/>
        <v>385085</v>
      </c>
      <c r="AZ26" s="59">
        <f t="shared" si="25"/>
        <v>112355</v>
      </c>
      <c r="BA26" s="71">
        <f>W26+AE26+AM26+AV26</f>
        <v>497440</v>
      </c>
      <c r="BB26" s="72">
        <f>BF26+BG26</f>
        <v>4400</v>
      </c>
      <c r="BC26" s="73">
        <v>40</v>
      </c>
      <c r="BD26" s="74">
        <v>205315</v>
      </c>
      <c r="BE26" s="74">
        <v>45910</v>
      </c>
      <c r="BF26" s="75">
        <v>4400</v>
      </c>
      <c r="BG26" s="75"/>
      <c r="BH26" s="75"/>
      <c r="BI26" s="75"/>
      <c r="BJ26" s="76">
        <f t="shared" si="32"/>
        <v>255625</v>
      </c>
      <c r="BK26" s="47">
        <v>22</v>
      </c>
      <c r="BL26" s="77">
        <f t="shared" si="27"/>
        <v>255625</v>
      </c>
    </row>
    <row r="27" spans="2:67" ht="20" customHeight="1">
      <c r="B27" s="78">
        <f t="shared" si="28"/>
        <v>45345</v>
      </c>
      <c r="C27" s="79"/>
      <c r="D27" s="50"/>
      <c r="E27" s="51">
        <v>31</v>
      </c>
      <c r="F27" s="52">
        <v>139810</v>
      </c>
      <c r="G27" s="53">
        <f t="shared" si="0"/>
        <v>4100</v>
      </c>
      <c r="H27" s="52">
        <v>20160</v>
      </c>
      <c r="I27" s="53">
        <f t="shared" si="1"/>
        <v>591.19354838709683</v>
      </c>
      <c r="J27" s="55">
        <f t="shared" si="2"/>
        <v>159970</v>
      </c>
      <c r="K27" s="56">
        <f t="shared" si="3"/>
        <v>5160.322580645161</v>
      </c>
      <c r="L27" s="57"/>
      <c r="M27" s="58">
        <f t="shared" si="4"/>
        <v>18</v>
      </c>
      <c r="N27" s="59">
        <f t="shared" si="4"/>
        <v>166330</v>
      </c>
      <c r="O27" s="53">
        <f t="shared" si="5"/>
        <v>8400.5</v>
      </c>
      <c r="P27" s="59">
        <f t="shared" si="6"/>
        <v>65870</v>
      </c>
      <c r="Q27" s="54">
        <f t="shared" si="7"/>
        <v>3326.7222222222222</v>
      </c>
      <c r="R27" s="60">
        <f t="shared" si="8"/>
        <v>232200</v>
      </c>
      <c r="S27" s="56">
        <f t="shared" si="9"/>
        <v>12900</v>
      </c>
      <c r="T27" s="80">
        <f t="shared" si="10"/>
        <v>49</v>
      </c>
      <c r="U27" s="59">
        <f t="shared" si="10"/>
        <v>306140</v>
      </c>
      <c r="V27" s="59">
        <f t="shared" si="11"/>
        <v>86030</v>
      </c>
      <c r="W27" s="62">
        <f t="shared" si="12"/>
        <v>392170</v>
      </c>
      <c r="X27" s="81"/>
      <c r="Y27" s="63"/>
      <c r="Z27" s="64">
        <v>19</v>
      </c>
      <c r="AA27" s="52">
        <v>7770</v>
      </c>
      <c r="AB27" s="53">
        <f t="shared" si="13"/>
        <v>408.94736842105266</v>
      </c>
      <c r="AC27" s="52">
        <v>2700</v>
      </c>
      <c r="AD27" s="54">
        <f t="shared" si="14"/>
        <v>142.10526315789474</v>
      </c>
      <c r="AE27" s="65">
        <f t="shared" si="15"/>
        <v>10470</v>
      </c>
      <c r="AF27" s="56">
        <f t="shared" si="16"/>
        <v>551.0526315789474</v>
      </c>
      <c r="AG27" s="66"/>
      <c r="AH27" s="64"/>
      <c r="AI27" s="52"/>
      <c r="AJ27" s="53" t="e">
        <f t="shared" si="17"/>
        <v>#DIV/0!</v>
      </c>
      <c r="AK27" s="52"/>
      <c r="AL27" s="54" t="e">
        <f t="shared" si="18"/>
        <v>#DIV/0!</v>
      </c>
      <c r="AM27" s="65">
        <f t="shared" si="29"/>
        <v>0</v>
      </c>
      <c r="AN27" s="67" t="str">
        <f t="shared" si="19"/>
        <v/>
      </c>
      <c r="AO27" s="68"/>
      <c r="AP27" s="64"/>
      <c r="AQ27" s="52"/>
      <c r="AR27" s="53" t="e">
        <f t="shared" si="20"/>
        <v>#DIV/0!</v>
      </c>
      <c r="AS27" s="52"/>
      <c r="AT27" s="54" t="e">
        <f t="shared" si="21"/>
        <v>#DIV/0!</v>
      </c>
      <c r="AU27" s="54"/>
      <c r="AV27" s="69">
        <f t="shared" si="30"/>
        <v>0</v>
      </c>
      <c r="AW27" s="67" t="str">
        <f t="shared" si="22"/>
        <v/>
      </c>
      <c r="AX27" s="82">
        <f t="shared" si="23"/>
        <v>49</v>
      </c>
      <c r="AY27" s="59">
        <f t="shared" si="24"/>
        <v>313910</v>
      </c>
      <c r="AZ27" s="59">
        <f t="shared" si="25"/>
        <v>88730</v>
      </c>
      <c r="BA27" s="71">
        <f>W27+AE27+AM27+AV27</f>
        <v>402640</v>
      </c>
      <c r="BB27" s="72">
        <f t="shared" si="31"/>
        <v>6050</v>
      </c>
      <c r="BC27" s="73">
        <v>49</v>
      </c>
      <c r="BD27" s="74">
        <v>306140</v>
      </c>
      <c r="BE27" s="74">
        <v>86030</v>
      </c>
      <c r="BF27" s="75">
        <v>6050</v>
      </c>
      <c r="BG27" s="75"/>
      <c r="BH27" s="75"/>
      <c r="BI27" s="75"/>
      <c r="BJ27" s="76">
        <f t="shared" si="32"/>
        <v>398220</v>
      </c>
      <c r="BK27" s="47">
        <v>23</v>
      </c>
      <c r="BL27" s="77">
        <f t="shared" si="27"/>
        <v>398220</v>
      </c>
    </row>
    <row r="28" spans="2:67" ht="20" customHeight="1">
      <c r="B28" s="78">
        <f>B27+1</f>
        <v>45346</v>
      </c>
      <c r="C28" s="79"/>
      <c r="D28" s="50"/>
      <c r="E28" s="51">
        <v>30</v>
      </c>
      <c r="F28" s="52">
        <v>112090</v>
      </c>
      <c r="G28" s="53">
        <f t="shared" si="0"/>
        <v>3396.6666666666665</v>
      </c>
      <c r="H28" s="52">
        <v>19520</v>
      </c>
      <c r="I28" s="53">
        <f t="shared" si="1"/>
        <v>591.5</v>
      </c>
      <c r="J28" s="55">
        <f t="shared" si="2"/>
        <v>131610</v>
      </c>
      <c r="K28" s="56">
        <f t="shared" si="3"/>
        <v>4387</v>
      </c>
      <c r="L28" s="57"/>
      <c r="M28" s="58">
        <f t="shared" si="4"/>
        <v>8</v>
      </c>
      <c r="N28" s="59">
        <f t="shared" si="4"/>
        <v>61270</v>
      </c>
      <c r="O28" s="53">
        <f t="shared" si="5"/>
        <v>6962.5</v>
      </c>
      <c r="P28" s="59">
        <f t="shared" si="6"/>
        <v>9900</v>
      </c>
      <c r="Q28" s="54">
        <f>ROUNDDOWN(P28/1.1,0)/M28</f>
        <v>1125</v>
      </c>
      <c r="R28" s="60">
        <f t="shared" si="8"/>
        <v>71170</v>
      </c>
      <c r="S28" s="56">
        <f t="shared" si="9"/>
        <v>8896.25</v>
      </c>
      <c r="T28" s="80">
        <f t="shared" si="10"/>
        <v>38</v>
      </c>
      <c r="U28" s="59">
        <f t="shared" si="10"/>
        <v>173360</v>
      </c>
      <c r="V28" s="59">
        <f t="shared" si="11"/>
        <v>29420</v>
      </c>
      <c r="W28" s="62">
        <f t="shared" si="12"/>
        <v>202780</v>
      </c>
      <c r="X28" s="81"/>
      <c r="Y28" s="63"/>
      <c r="Z28" s="64">
        <v>32</v>
      </c>
      <c r="AA28" s="52">
        <v>13820</v>
      </c>
      <c r="AB28" s="53">
        <f t="shared" si="13"/>
        <v>431.875</v>
      </c>
      <c r="AC28" s="52">
        <v>5200</v>
      </c>
      <c r="AD28" s="54">
        <f t="shared" si="14"/>
        <v>162.5</v>
      </c>
      <c r="AE28" s="65">
        <f t="shared" si="15"/>
        <v>19020</v>
      </c>
      <c r="AF28" s="56">
        <f t="shared" si="16"/>
        <v>594.375</v>
      </c>
      <c r="AG28" s="66"/>
      <c r="AH28" s="64"/>
      <c r="AI28" s="52"/>
      <c r="AJ28" s="53" t="e">
        <f t="shared" si="17"/>
        <v>#DIV/0!</v>
      </c>
      <c r="AK28" s="52"/>
      <c r="AL28" s="54" t="e">
        <f t="shared" si="18"/>
        <v>#DIV/0!</v>
      </c>
      <c r="AM28" s="65">
        <f t="shared" si="29"/>
        <v>0</v>
      </c>
      <c r="AN28" s="67" t="str">
        <f t="shared" si="19"/>
        <v/>
      </c>
      <c r="AO28" s="68"/>
      <c r="AP28" s="64"/>
      <c r="AQ28" s="52"/>
      <c r="AR28" s="53" t="e">
        <f t="shared" si="20"/>
        <v>#DIV/0!</v>
      </c>
      <c r="AS28" s="52"/>
      <c r="AT28" s="54" t="e">
        <f t="shared" si="21"/>
        <v>#DIV/0!</v>
      </c>
      <c r="AU28" s="54"/>
      <c r="AV28" s="86">
        <f t="shared" si="30"/>
        <v>0</v>
      </c>
      <c r="AW28" s="67" t="str">
        <f t="shared" si="22"/>
        <v/>
      </c>
      <c r="AX28" s="82">
        <f t="shared" si="23"/>
        <v>38</v>
      </c>
      <c r="AY28" s="59">
        <f t="shared" si="24"/>
        <v>187180</v>
      </c>
      <c r="AZ28" s="59">
        <f t="shared" si="25"/>
        <v>34620</v>
      </c>
      <c r="BA28" s="71">
        <f t="shared" si="26"/>
        <v>221800</v>
      </c>
      <c r="BB28" s="72">
        <f t="shared" si="31"/>
        <v>3300</v>
      </c>
      <c r="BC28" s="73">
        <v>38</v>
      </c>
      <c r="BD28" s="74">
        <v>173360</v>
      </c>
      <c r="BE28" s="74">
        <v>29420</v>
      </c>
      <c r="BF28" s="75">
        <v>3300</v>
      </c>
      <c r="BG28" s="75"/>
      <c r="BH28" s="75"/>
      <c r="BI28" s="75"/>
      <c r="BJ28" s="76">
        <f t="shared" si="32"/>
        <v>206080</v>
      </c>
      <c r="BK28" s="47">
        <v>24</v>
      </c>
      <c r="BL28" s="77">
        <f t="shared" si="27"/>
        <v>206080</v>
      </c>
    </row>
    <row r="29" spans="2:67" ht="20" customHeight="1">
      <c r="B29" s="78">
        <f t="shared" si="28"/>
        <v>45347</v>
      </c>
      <c r="C29" s="79"/>
      <c r="D29" s="50"/>
      <c r="E29" s="51">
        <v>20</v>
      </c>
      <c r="F29" s="52">
        <v>82280</v>
      </c>
      <c r="G29" s="53">
        <f t="shared" si="0"/>
        <v>3740</v>
      </c>
      <c r="H29" s="52">
        <v>16990</v>
      </c>
      <c r="I29" s="53">
        <f t="shared" si="1"/>
        <v>772.25</v>
      </c>
      <c r="J29" s="55">
        <f t="shared" si="2"/>
        <v>99270</v>
      </c>
      <c r="K29" s="56">
        <f t="shared" si="3"/>
        <v>4963.5</v>
      </c>
      <c r="L29" s="57"/>
      <c r="M29" s="58">
        <f t="shared" si="4"/>
        <v>7</v>
      </c>
      <c r="N29" s="59">
        <f t="shared" si="4"/>
        <v>75900</v>
      </c>
      <c r="O29" s="53">
        <f t="shared" si="5"/>
        <v>9857.1428571428569</v>
      </c>
      <c r="P29" s="59">
        <f t="shared" si="6"/>
        <v>16200</v>
      </c>
      <c r="Q29" s="54">
        <f t="shared" si="7"/>
        <v>2103.8571428571427</v>
      </c>
      <c r="R29" s="60">
        <f t="shared" si="8"/>
        <v>92100</v>
      </c>
      <c r="S29" s="56">
        <f t="shared" si="9"/>
        <v>13157.142857142857</v>
      </c>
      <c r="T29" s="80">
        <f t="shared" si="10"/>
        <v>27</v>
      </c>
      <c r="U29" s="59">
        <f t="shared" si="10"/>
        <v>158180</v>
      </c>
      <c r="V29" s="59">
        <f t="shared" si="11"/>
        <v>33190</v>
      </c>
      <c r="W29" s="62">
        <f t="shared" si="12"/>
        <v>191370</v>
      </c>
      <c r="X29" s="81"/>
      <c r="Y29" s="63"/>
      <c r="Z29" s="64">
        <v>57</v>
      </c>
      <c r="AA29" s="52">
        <v>25380</v>
      </c>
      <c r="AB29" s="53">
        <f t="shared" si="13"/>
        <v>445.26315789473682</v>
      </c>
      <c r="AC29" s="52">
        <v>7700</v>
      </c>
      <c r="AD29" s="54">
        <f t="shared" si="14"/>
        <v>135.08771929824562</v>
      </c>
      <c r="AE29" s="65">
        <f t="shared" si="15"/>
        <v>33080</v>
      </c>
      <c r="AF29" s="56">
        <f t="shared" si="16"/>
        <v>580.35087719298247</v>
      </c>
      <c r="AG29" s="66"/>
      <c r="AH29" s="64"/>
      <c r="AI29" s="52"/>
      <c r="AJ29" s="53" t="e">
        <f t="shared" si="17"/>
        <v>#DIV/0!</v>
      </c>
      <c r="AK29" s="52"/>
      <c r="AL29" s="54" t="e">
        <f t="shared" si="18"/>
        <v>#DIV/0!</v>
      </c>
      <c r="AM29" s="65">
        <f t="shared" si="29"/>
        <v>0</v>
      </c>
      <c r="AN29" s="67" t="str">
        <f t="shared" si="19"/>
        <v/>
      </c>
      <c r="AO29" s="68"/>
      <c r="AP29" s="64"/>
      <c r="AQ29" s="52"/>
      <c r="AR29" s="53" t="e">
        <f t="shared" si="20"/>
        <v>#DIV/0!</v>
      </c>
      <c r="AS29" s="52"/>
      <c r="AT29" s="54" t="e">
        <f t="shared" si="21"/>
        <v>#DIV/0!</v>
      </c>
      <c r="AU29" s="54"/>
      <c r="AV29" s="69">
        <f t="shared" si="30"/>
        <v>0</v>
      </c>
      <c r="AW29" s="67" t="str">
        <f t="shared" si="22"/>
        <v/>
      </c>
      <c r="AX29" s="82">
        <f t="shared" si="23"/>
        <v>27</v>
      </c>
      <c r="AY29" s="59">
        <f t="shared" si="24"/>
        <v>183560</v>
      </c>
      <c r="AZ29" s="59">
        <f t="shared" si="25"/>
        <v>40890</v>
      </c>
      <c r="BA29" s="71">
        <f t="shared" si="26"/>
        <v>224450</v>
      </c>
      <c r="BB29" s="72">
        <f t="shared" si="31"/>
        <v>1650</v>
      </c>
      <c r="BC29" s="73">
        <v>27</v>
      </c>
      <c r="BD29" s="74">
        <v>158180</v>
      </c>
      <c r="BE29" s="74">
        <v>33190</v>
      </c>
      <c r="BF29" s="75">
        <v>1650</v>
      </c>
      <c r="BG29" s="75"/>
      <c r="BH29" s="75"/>
      <c r="BI29" s="75"/>
      <c r="BJ29" s="76">
        <f t="shared" si="32"/>
        <v>193020</v>
      </c>
      <c r="BK29" s="47">
        <v>25</v>
      </c>
      <c r="BL29" s="77">
        <f t="shared" si="27"/>
        <v>193020</v>
      </c>
    </row>
    <row r="30" spans="2:67" ht="20" customHeight="1">
      <c r="B30" s="78">
        <f t="shared" si="28"/>
        <v>45348</v>
      </c>
      <c r="C30" s="79"/>
      <c r="D30" s="50"/>
      <c r="E30" s="51">
        <v>20</v>
      </c>
      <c r="F30" s="52">
        <v>72930</v>
      </c>
      <c r="G30" s="53">
        <f t="shared" si="0"/>
        <v>3315</v>
      </c>
      <c r="H30" s="52">
        <v>6920</v>
      </c>
      <c r="I30" s="53">
        <f t="shared" si="1"/>
        <v>314.5</v>
      </c>
      <c r="J30" s="55">
        <f t="shared" si="2"/>
        <v>79850</v>
      </c>
      <c r="K30" s="56">
        <f t="shared" si="3"/>
        <v>3992.5</v>
      </c>
      <c r="L30" s="57"/>
      <c r="M30" s="58">
        <f t="shared" si="4"/>
        <v>4</v>
      </c>
      <c r="N30" s="59">
        <f t="shared" si="4"/>
        <v>52200</v>
      </c>
      <c r="O30" s="53">
        <f t="shared" si="5"/>
        <v>11863.5</v>
      </c>
      <c r="P30" s="59">
        <f t="shared" si="6"/>
        <v>11660</v>
      </c>
      <c r="Q30" s="53">
        <f t="shared" si="7"/>
        <v>2650</v>
      </c>
      <c r="R30" s="60">
        <f t="shared" si="8"/>
        <v>63860</v>
      </c>
      <c r="S30" s="56">
        <f t="shared" si="9"/>
        <v>15965</v>
      </c>
      <c r="T30" s="80">
        <f t="shared" si="10"/>
        <v>24</v>
      </c>
      <c r="U30" s="59">
        <f t="shared" si="10"/>
        <v>125130</v>
      </c>
      <c r="V30" s="59">
        <f t="shared" si="11"/>
        <v>18580</v>
      </c>
      <c r="W30" s="62">
        <f t="shared" si="12"/>
        <v>143710</v>
      </c>
      <c r="X30" s="81"/>
      <c r="Y30" s="63"/>
      <c r="Z30" s="64">
        <v>5</v>
      </c>
      <c r="AA30" s="52">
        <v>1850</v>
      </c>
      <c r="AB30" s="53">
        <f t="shared" si="13"/>
        <v>370</v>
      </c>
      <c r="AC30" s="52">
        <v>0</v>
      </c>
      <c r="AD30" s="54">
        <f t="shared" si="14"/>
        <v>0</v>
      </c>
      <c r="AE30" s="65">
        <f t="shared" si="15"/>
        <v>1850</v>
      </c>
      <c r="AF30" s="56">
        <f t="shared" si="16"/>
        <v>370</v>
      </c>
      <c r="AG30" s="66">
        <v>1</v>
      </c>
      <c r="AH30" s="64">
        <v>61</v>
      </c>
      <c r="AI30" s="52">
        <v>238815</v>
      </c>
      <c r="AJ30" s="53">
        <f t="shared" si="17"/>
        <v>3915</v>
      </c>
      <c r="AK30" s="52">
        <v>79605</v>
      </c>
      <c r="AL30" s="54">
        <f t="shared" si="18"/>
        <v>1305</v>
      </c>
      <c r="AM30" s="65">
        <f t="shared" si="29"/>
        <v>318420</v>
      </c>
      <c r="AN30" s="67">
        <f t="shared" si="19"/>
        <v>5220</v>
      </c>
      <c r="AO30" s="68"/>
      <c r="AP30" s="64"/>
      <c r="AQ30" s="52"/>
      <c r="AR30" s="53" t="e">
        <f t="shared" si="20"/>
        <v>#DIV/0!</v>
      </c>
      <c r="AS30" s="52"/>
      <c r="AT30" s="54" t="e">
        <f t="shared" si="21"/>
        <v>#DIV/0!</v>
      </c>
      <c r="AU30" s="54"/>
      <c r="AV30" s="69">
        <f t="shared" si="30"/>
        <v>0</v>
      </c>
      <c r="AW30" s="67" t="str">
        <f t="shared" si="22"/>
        <v/>
      </c>
      <c r="AX30" s="82">
        <f t="shared" si="23"/>
        <v>24</v>
      </c>
      <c r="AY30" s="59">
        <f t="shared" si="24"/>
        <v>365795</v>
      </c>
      <c r="AZ30" s="59">
        <f t="shared" si="25"/>
        <v>98185</v>
      </c>
      <c r="BA30" s="71">
        <f t="shared" si="26"/>
        <v>463980</v>
      </c>
      <c r="BB30" s="72">
        <f>BF30+BG30</f>
        <v>2200</v>
      </c>
      <c r="BC30" s="73">
        <v>24</v>
      </c>
      <c r="BD30" s="74">
        <v>125130</v>
      </c>
      <c r="BE30" s="74">
        <v>18580</v>
      </c>
      <c r="BF30" s="75">
        <v>2200</v>
      </c>
      <c r="BG30" s="75"/>
      <c r="BH30" s="75"/>
      <c r="BI30" s="75">
        <v>40000</v>
      </c>
      <c r="BJ30" s="76">
        <f t="shared" si="32"/>
        <v>145910</v>
      </c>
      <c r="BK30" s="47">
        <v>26</v>
      </c>
      <c r="BL30" s="77">
        <f t="shared" si="27"/>
        <v>185910</v>
      </c>
    </row>
    <row r="31" spans="2:67" ht="20" customHeight="1">
      <c r="B31" s="78">
        <f t="shared" si="28"/>
        <v>45349</v>
      </c>
      <c r="C31" s="79"/>
      <c r="D31" s="50"/>
      <c r="E31" s="51">
        <v>26</v>
      </c>
      <c r="F31" s="52">
        <v>89540</v>
      </c>
      <c r="G31" s="53">
        <f t="shared" si="0"/>
        <v>3130.7692307692309</v>
      </c>
      <c r="H31" s="52">
        <v>8790</v>
      </c>
      <c r="I31" s="53">
        <f t="shared" si="1"/>
        <v>307.30769230769232</v>
      </c>
      <c r="J31" s="55">
        <f t="shared" si="2"/>
        <v>98330</v>
      </c>
      <c r="K31" s="56">
        <f t="shared" si="3"/>
        <v>3781.9230769230771</v>
      </c>
      <c r="L31" s="57"/>
      <c r="M31" s="58">
        <f t="shared" si="4"/>
        <v>3</v>
      </c>
      <c r="N31" s="59">
        <f t="shared" si="4"/>
        <v>26400</v>
      </c>
      <c r="O31" s="53">
        <f t="shared" si="5"/>
        <v>8000</v>
      </c>
      <c r="P31" s="59">
        <f t="shared" si="6"/>
        <v>6100</v>
      </c>
      <c r="Q31" s="53">
        <f t="shared" si="7"/>
        <v>1848.3333333333333</v>
      </c>
      <c r="R31" s="60">
        <f t="shared" si="8"/>
        <v>32500</v>
      </c>
      <c r="S31" s="56">
        <f t="shared" si="9"/>
        <v>10833.333333333334</v>
      </c>
      <c r="T31" s="80">
        <f t="shared" si="10"/>
        <v>29</v>
      </c>
      <c r="U31" s="59">
        <f t="shared" si="10"/>
        <v>115940</v>
      </c>
      <c r="V31" s="59">
        <f t="shared" si="11"/>
        <v>14890</v>
      </c>
      <c r="W31" s="62">
        <f t="shared" si="12"/>
        <v>130830</v>
      </c>
      <c r="X31" s="81"/>
      <c r="Y31" s="63"/>
      <c r="Z31" s="64">
        <v>14</v>
      </c>
      <c r="AA31" s="52">
        <v>5090</v>
      </c>
      <c r="AB31" s="53">
        <f t="shared" si="13"/>
        <v>363.57142857142856</v>
      </c>
      <c r="AC31" s="52">
        <v>6050</v>
      </c>
      <c r="AD31" s="54">
        <f t="shared" si="14"/>
        <v>432.14285714285717</v>
      </c>
      <c r="AE31" s="65">
        <f t="shared" si="15"/>
        <v>11140</v>
      </c>
      <c r="AF31" s="56">
        <f t="shared" si="16"/>
        <v>795.71428571428567</v>
      </c>
      <c r="AG31" s="66">
        <v>1</v>
      </c>
      <c r="AH31" s="64">
        <v>27</v>
      </c>
      <c r="AI31" s="52">
        <v>105705</v>
      </c>
      <c r="AJ31" s="53">
        <f t="shared" si="17"/>
        <v>3915</v>
      </c>
      <c r="AK31" s="52">
        <v>35235</v>
      </c>
      <c r="AL31" s="54">
        <f t="shared" si="18"/>
        <v>1305</v>
      </c>
      <c r="AM31" s="65">
        <f t="shared" si="29"/>
        <v>140940</v>
      </c>
      <c r="AN31" s="67">
        <f t="shared" si="19"/>
        <v>5220</v>
      </c>
      <c r="AO31" s="68"/>
      <c r="AP31" s="64"/>
      <c r="AQ31" s="52"/>
      <c r="AR31" s="53" t="e">
        <f t="shared" si="20"/>
        <v>#DIV/0!</v>
      </c>
      <c r="AS31" s="52"/>
      <c r="AT31" s="54" t="e">
        <f t="shared" si="21"/>
        <v>#DIV/0!</v>
      </c>
      <c r="AU31" s="54"/>
      <c r="AV31" s="69">
        <f t="shared" si="30"/>
        <v>0</v>
      </c>
      <c r="AW31" s="67" t="str">
        <f t="shared" si="22"/>
        <v/>
      </c>
      <c r="AX31" s="82">
        <f t="shared" si="23"/>
        <v>29</v>
      </c>
      <c r="AY31" s="59">
        <f t="shared" si="24"/>
        <v>226735</v>
      </c>
      <c r="AZ31" s="59">
        <f t="shared" si="25"/>
        <v>56175</v>
      </c>
      <c r="BA31" s="71">
        <f>W31+AE31+AM31+AV31</f>
        <v>282910</v>
      </c>
      <c r="BB31" s="72">
        <f t="shared" si="31"/>
        <v>3300</v>
      </c>
      <c r="BC31" s="73">
        <v>29</v>
      </c>
      <c r="BD31" s="74">
        <v>115940</v>
      </c>
      <c r="BE31" s="74">
        <v>14890</v>
      </c>
      <c r="BF31" s="75">
        <v>3300</v>
      </c>
      <c r="BG31" s="75"/>
      <c r="BH31" s="75"/>
      <c r="BI31" s="75"/>
      <c r="BJ31" s="76">
        <f t="shared" si="32"/>
        <v>134130</v>
      </c>
      <c r="BK31" s="47">
        <v>27</v>
      </c>
      <c r="BL31" s="77">
        <f t="shared" si="27"/>
        <v>134130</v>
      </c>
    </row>
    <row r="32" spans="2:67" ht="20" customHeight="1">
      <c r="B32" s="78">
        <f t="shared" si="28"/>
        <v>45350</v>
      </c>
      <c r="C32" s="79"/>
      <c r="D32" s="50"/>
      <c r="E32" s="51">
        <v>20</v>
      </c>
      <c r="F32" s="52">
        <v>81950</v>
      </c>
      <c r="G32" s="53">
        <f t="shared" si="0"/>
        <v>3725</v>
      </c>
      <c r="H32" s="52">
        <v>8510</v>
      </c>
      <c r="I32" s="53">
        <f t="shared" si="1"/>
        <v>386.8</v>
      </c>
      <c r="J32" s="55">
        <f t="shared" si="2"/>
        <v>90460</v>
      </c>
      <c r="K32" s="56">
        <f t="shared" si="3"/>
        <v>4523</v>
      </c>
      <c r="L32" s="57"/>
      <c r="M32" s="58">
        <f t="shared" si="4"/>
        <v>31</v>
      </c>
      <c r="N32" s="59">
        <f t="shared" si="4"/>
        <v>217000</v>
      </c>
      <c r="O32" s="53">
        <f t="shared" si="5"/>
        <v>6363.6129032258068</v>
      </c>
      <c r="P32" s="59">
        <f t="shared" si="6"/>
        <v>93000</v>
      </c>
      <c r="Q32" s="53">
        <f t="shared" si="7"/>
        <v>2727.2580645161293</v>
      </c>
      <c r="R32" s="60">
        <f t="shared" si="8"/>
        <v>310000</v>
      </c>
      <c r="S32" s="56">
        <f t="shared" si="9"/>
        <v>10000</v>
      </c>
      <c r="T32" s="80">
        <f t="shared" si="10"/>
        <v>51</v>
      </c>
      <c r="U32" s="59">
        <f t="shared" si="10"/>
        <v>298950</v>
      </c>
      <c r="V32" s="59">
        <f t="shared" si="11"/>
        <v>101510</v>
      </c>
      <c r="W32" s="62">
        <f t="shared" si="12"/>
        <v>400460</v>
      </c>
      <c r="X32" s="81"/>
      <c r="Y32" s="63"/>
      <c r="Z32" s="64">
        <v>44</v>
      </c>
      <c r="AA32" s="52">
        <v>17120</v>
      </c>
      <c r="AB32" s="53">
        <f t="shared" si="13"/>
        <v>389.09090909090907</v>
      </c>
      <c r="AC32" s="52">
        <v>900</v>
      </c>
      <c r="AD32" s="54">
        <f t="shared" si="14"/>
        <v>20.454545454545453</v>
      </c>
      <c r="AE32" s="65">
        <f t="shared" si="15"/>
        <v>18020</v>
      </c>
      <c r="AF32" s="56">
        <f t="shared" si="16"/>
        <v>409.54545454545456</v>
      </c>
      <c r="AG32" s="66"/>
      <c r="AH32" s="64"/>
      <c r="AI32" s="52"/>
      <c r="AJ32" s="53" t="e">
        <f t="shared" si="17"/>
        <v>#DIV/0!</v>
      </c>
      <c r="AK32" s="52"/>
      <c r="AL32" s="54" t="e">
        <f t="shared" si="18"/>
        <v>#DIV/0!</v>
      </c>
      <c r="AM32" s="65">
        <f t="shared" si="29"/>
        <v>0</v>
      </c>
      <c r="AN32" s="67" t="str">
        <f t="shared" si="19"/>
        <v/>
      </c>
      <c r="AO32" s="68"/>
      <c r="AP32" s="64"/>
      <c r="AQ32" s="52"/>
      <c r="AR32" s="53" t="e">
        <f t="shared" si="20"/>
        <v>#DIV/0!</v>
      </c>
      <c r="AS32" s="52"/>
      <c r="AT32" s="54" t="e">
        <f t="shared" si="21"/>
        <v>#DIV/0!</v>
      </c>
      <c r="AU32" s="54"/>
      <c r="AV32" s="69">
        <f t="shared" si="30"/>
        <v>0</v>
      </c>
      <c r="AW32" s="67" t="str">
        <f t="shared" si="22"/>
        <v/>
      </c>
      <c r="AX32" s="82">
        <f t="shared" si="23"/>
        <v>51</v>
      </c>
      <c r="AY32" s="59">
        <f>U32+AA32+AI32+AQ32</f>
        <v>316070</v>
      </c>
      <c r="AZ32" s="59">
        <f t="shared" si="25"/>
        <v>102410</v>
      </c>
      <c r="BA32" s="71">
        <f>W32+AE32+AM32+AV32</f>
        <v>418480</v>
      </c>
      <c r="BB32" s="72">
        <f>BF32+BG32</f>
        <v>0</v>
      </c>
      <c r="BC32" s="73">
        <v>51</v>
      </c>
      <c r="BD32" s="74">
        <v>298950</v>
      </c>
      <c r="BE32" s="74">
        <v>101510</v>
      </c>
      <c r="BF32" s="75"/>
      <c r="BG32" s="75"/>
      <c r="BH32" s="75"/>
      <c r="BI32" s="75"/>
      <c r="BJ32" s="76">
        <f>SUM(BD32:BG32)</f>
        <v>400460</v>
      </c>
      <c r="BK32" s="47">
        <v>28</v>
      </c>
      <c r="BL32" s="77">
        <f t="shared" si="27"/>
        <v>400460</v>
      </c>
      <c r="BM32" s="47" t="s">
        <v>102</v>
      </c>
    </row>
    <row r="33" spans="2:64" ht="20" customHeight="1">
      <c r="B33" s="78">
        <f t="shared" si="28"/>
        <v>45351</v>
      </c>
      <c r="C33" s="79"/>
      <c r="D33" s="50"/>
      <c r="E33" s="51">
        <v>30</v>
      </c>
      <c r="F33" s="52">
        <v>120230</v>
      </c>
      <c r="G33" s="53">
        <f t="shared" si="0"/>
        <v>3643.3333333333335</v>
      </c>
      <c r="H33" s="52">
        <v>9670</v>
      </c>
      <c r="I33" s="53">
        <f t="shared" si="1"/>
        <v>293</v>
      </c>
      <c r="J33" s="55">
        <f t="shared" si="2"/>
        <v>129900</v>
      </c>
      <c r="K33" s="56">
        <f t="shared" si="3"/>
        <v>4330</v>
      </c>
      <c r="L33" s="57"/>
      <c r="M33" s="58">
        <f t="shared" si="4"/>
        <v>7</v>
      </c>
      <c r="N33" s="59">
        <f t="shared" si="4"/>
        <v>45870</v>
      </c>
      <c r="O33" s="53">
        <f t="shared" si="5"/>
        <v>5957.1428571428569</v>
      </c>
      <c r="P33" s="59">
        <f t="shared" si="6"/>
        <v>7020</v>
      </c>
      <c r="Q33" s="53">
        <f t="shared" si="7"/>
        <v>911.57142857142856</v>
      </c>
      <c r="R33" s="60">
        <f t="shared" si="8"/>
        <v>52890</v>
      </c>
      <c r="S33" s="56">
        <f t="shared" si="9"/>
        <v>7555.7142857142853</v>
      </c>
      <c r="T33" s="80">
        <f t="shared" si="10"/>
        <v>37</v>
      </c>
      <c r="U33" s="59">
        <f t="shared" si="10"/>
        <v>166100</v>
      </c>
      <c r="V33" s="59">
        <f t="shared" si="11"/>
        <v>16690</v>
      </c>
      <c r="W33" s="62">
        <f>J33+R33</f>
        <v>182790</v>
      </c>
      <c r="X33" s="81"/>
      <c r="Y33" s="63"/>
      <c r="Z33" s="64">
        <v>13</v>
      </c>
      <c r="AA33" s="52">
        <v>5770</v>
      </c>
      <c r="AB33" s="53">
        <f t="shared" si="13"/>
        <v>443.84615384615387</v>
      </c>
      <c r="AC33" s="52">
        <v>2000</v>
      </c>
      <c r="AD33" s="54">
        <f t="shared" si="14"/>
        <v>153.84615384615384</v>
      </c>
      <c r="AE33" s="65">
        <f t="shared" si="15"/>
        <v>7770</v>
      </c>
      <c r="AF33" s="56">
        <f t="shared" si="16"/>
        <v>597.69230769230774</v>
      </c>
      <c r="AG33" s="66"/>
      <c r="AH33" s="64"/>
      <c r="AI33" s="52"/>
      <c r="AJ33" s="53" t="e">
        <f t="shared" si="17"/>
        <v>#DIV/0!</v>
      </c>
      <c r="AK33" s="52"/>
      <c r="AL33" s="54" t="e">
        <f t="shared" si="18"/>
        <v>#DIV/0!</v>
      </c>
      <c r="AM33" s="65">
        <f t="shared" si="29"/>
        <v>0</v>
      </c>
      <c r="AN33" s="67" t="str">
        <f t="shared" si="19"/>
        <v/>
      </c>
      <c r="AO33" s="68"/>
      <c r="AP33" s="64"/>
      <c r="AQ33" s="52"/>
      <c r="AR33" s="53" t="e">
        <f t="shared" si="20"/>
        <v>#DIV/0!</v>
      </c>
      <c r="AS33" s="52"/>
      <c r="AT33" s="54" t="e">
        <f t="shared" si="21"/>
        <v>#DIV/0!</v>
      </c>
      <c r="AU33" s="54"/>
      <c r="AV33" s="69">
        <f t="shared" si="30"/>
        <v>0</v>
      </c>
      <c r="AW33" s="67" t="str">
        <f t="shared" si="22"/>
        <v/>
      </c>
      <c r="AX33" s="82">
        <f t="shared" si="23"/>
        <v>37</v>
      </c>
      <c r="AY33" s="59">
        <f t="shared" si="24"/>
        <v>171870</v>
      </c>
      <c r="AZ33" s="59">
        <f t="shared" si="25"/>
        <v>18690</v>
      </c>
      <c r="BA33" s="71">
        <f>W33+AE33+AM33+AV33</f>
        <v>190560</v>
      </c>
      <c r="BB33" s="72">
        <f t="shared" si="31"/>
        <v>0</v>
      </c>
      <c r="BC33" s="73">
        <v>37</v>
      </c>
      <c r="BD33" s="74">
        <v>166100</v>
      </c>
      <c r="BE33" s="74">
        <v>16690</v>
      </c>
      <c r="BF33" s="75"/>
      <c r="BG33" s="75"/>
      <c r="BH33" s="75"/>
      <c r="BI33" s="75"/>
      <c r="BJ33" s="76">
        <f t="shared" si="32"/>
        <v>182790</v>
      </c>
      <c r="BK33" s="47">
        <v>29</v>
      </c>
      <c r="BL33" s="77">
        <f t="shared" si="27"/>
        <v>182790</v>
      </c>
    </row>
    <row r="34" spans="2:64" ht="20" customHeight="1">
      <c r="B34" s="78">
        <f t="shared" si="28"/>
        <v>45352</v>
      </c>
      <c r="C34" s="79"/>
      <c r="D34" s="50"/>
      <c r="E34" s="51"/>
      <c r="F34" s="52"/>
      <c r="G34" s="53" t="e">
        <f t="shared" si="0"/>
        <v>#DIV/0!</v>
      </c>
      <c r="H34" s="52"/>
      <c r="I34" s="53" t="e">
        <f t="shared" si="1"/>
        <v>#DIV/0!</v>
      </c>
      <c r="J34" s="55">
        <f t="shared" si="2"/>
        <v>0</v>
      </c>
      <c r="K34" s="56" t="str">
        <f t="shared" si="3"/>
        <v/>
      </c>
      <c r="L34" s="57"/>
      <c r="M34" s="58">
        <f t="shared" si="4"/>
        <v>0</v>
      </c>
      <c r="N34" s="59">
        <f t="shared" si="4"/>
        <v>0</v>
      </c>
      <c r="O34" s="53" t="e">
        <f t="shared" si="5"/>
        <v>#DIV/0!</v>
      </c>
      <c r="P34" s="59">
        <f t="shared" si="6"/>
        <v>0</v>
      </c>
      <c r="Q34" s="53" t="e">
        <f t="shared" si="7"/>
        <v>#DIV/0!</v>
      </c>
      <c r="R34" s="60">
        <f t="shared" si="8"/>
        <v>0</v>
      </c>
      <c r="S34" s="56" t="e">
        <f t="shared" si="9"/>
        <v>#DIV/0!</v>
      </c>
      <c r="T34" s="80">
        <f t="shared" si="10"/>
        <v>0</v>
      </c>
      <c r="U34" s="59">
        <f t="shared" si="10"/>
        <v>0</v>
      </c>
      <c r="V34" s="59">
        <f t="shared" si="11"/>
        <v>0</v>
      </c>
      <c r="W34" s="62">
        <f t="shared" si="12"/>
        <v>0</v>
      </c>
      <c r="X34" s="81"/>
      <c r="Y34" s="87"/>
      <c r="Z34" s="88"/>
      <c r="AA34" s="89"/>
      <c r="AB34" s="53" t="e">
        <f t="shared" si="13"/>
        <v>#DIV/0!</v>
      </c>
      <c r="AC34" s="89"/>
      <c r="AD34" s="54" t="e">
        <f t="shared" si="14"/>
        <v>#DIV/0!</v>
      </c>
      <c r="AE34" s="65">
        <f t="shared" si="15"/>
        <v>0</v>
      </c>
      <c r="AF34" s="56" t="str">
        <f t="shared" si="16"/>
        <v/>
      </c>
      <c r="AG34" s="66"/>
      <c r="AH34" s="88"/>
      <c r="AI34" s="89"/>
      <c r="AJ34" s="53" t="e">
        <f t="shared" si="17"/>
        <v>#DIV/0!</v>
      </c>
      <c r="AK34" s="89"/>
      <c r="AL34" s="54" t="e">
        <f t="shared" si="18"/>
        <v>#DIV/0!</v>
      </c>
      <c r="AM34" s="65">
        <f t="shared" si="29"/>
        <v>0</v>
      </c>
      <c r="AN34" s="67" t="str">
        <f t="shared" si="19"/>
        <v/>
      </c>
      <c r="AO34" s="68"/>
      <c r="AP34" s="88"/>
      <c r="AQ34" s="89"/>
      <c r="AR34" s="53" t="e">
        <f t="shared" si="20"/>
        <v>#DIV/0!</v>
      </c>
      <c r="AS34" s="89"/>
      <c r="AT34" s="54" t="e">
        <f t="shared" si="21"/>
        <v>#DIV/0!</v>
      </c>
      <c r="AU34" s="54"/>
      <c r="AV34" s="69">
        <f t="shared" si="30"/>
        <v>0</v>
      </c>
      <c r="AW34" s="67" t="str">
        <f t="shared" si="22"/>
        <v/>
      </c>
      <c r="AX34" s="82">
        <f t="shared" si="23"/>
        <v>0</v>
      </c>
      <c r="AY34" s="59">
        <f t="shared" si="24"/>
        <v>0</v>
      </c>
      <c r="AZ34" s="59">
        <f t="shared" si="25"/>
        <v>0</v>
      </c>
      <c r="BA34" s="71">
        <f>W34+AE34+AM34+AV34</f>
        <v>0</v>
      </c>
      <c r="BB34" s="72">
        <f t="shared" si="31"/>
        <v>0</v>
      </c>
      <c r="BC34" s="73"/>
      <c r="BD34" s="74"/>
      <c r="BE34" s="74"/>
      <c r="BF34" s="75"/>
      <c r="BG34" s="75"/>
      <c r="BH34" s="75"/>
      <c r="BI34" s="75"/>
      <c r="BJ34" s="76">
        <f t="shared" si="32"/>
        <v>0</v>
      </c>
      <c r="BK34" s="47">
        <v>30</v>
      </c>
      <c r="BL34" s="77">
        <f t="shared" si="27"/>
        <v>0</v>
      </c>
    </row>
    <row r="35" spans="2:64" ht="20" customHeight="1" thickBot="1">
      <c r="B35" s="78">
        <f t="shared" si="28"/>
        <v>45353</v>
      </c>
      <c r="C35" s="79"/>
      <c r="D35" s="50"/>
      <c r="E35" s="51"/>
      <c r="F35" s="52"/>
      <c r="G35" s="53" t="e">
        <f t="shared" si="0"/>
        <v>#DIV/0!</v>
      </c>
      <c r="H35" s="52"/>
      <c r="I35" s="53" t="e">
        <f t="shared" si="1"/>
        <v>#DIV/0!</v>
      </c>
      <c r="J35" s="55">
        <f t="shared" si="2"/>
        <v>0</v>
      </c>
      <c r="K35" s="56" t="str">
        <f t="shared" si="3"/>
        <v/>
      </c>
      <c r="L35" s="57"/>
      <c r="M35" s="90">
        <f t="shared" si="4"/>
        <v>0</v>
      </c>
      <c r="N35" s="59">
        <f t="shared" si="4"/>
        <v>0</v>
      </c>
      <c r="O35" s="53" t="e">
        <f t="shared" si="5"/>
        <v>#DIV/0!</v>
      </c>
      <c r="P35" s="59">
        <f t="shared" si="6"/>
        <v>0</v>
      </c>
      <c r="Q35" s="53" t="e">
        <f t="shared" si="7"/>
        <v>#DIV/0!</v>
      </c>
      <c r="R35" s="60">
        <f t="shared" si="8"/>
        <v>0</v>
      </c>
      <c r="S35" s="56" t="e">
        <f t="shared" si="9"/>
        <v>#DIV/0!</v>
      </c>
      <c r="T35" s="91">
        <f t="shared" si="10"/>
        <v>0</v>
      </c>
      <c r="U35" s="92">
        <f t="shared" si="10"/>
        <v>0</v>
      </c>
      <c r="V35" s="92">
        <f t="shared" si="11"/>
        <v>0</v>
      </c>
      <c r="W35" s="93">
        <f t="shared" si="12"/>
        <v>0</v>
      </c>
      <c r="X35" s="92"/>
      <c r="Y35" s="94"/>
      <c r="Z35" s="95"/>
      <c r="AA35" s="96"/>
      <c r="AB35" s="97" t="e">
        <f t="shared" si="13"/>
        <v>#DIV/0!</v>
      </c>
      <c r="AC35" s="96"/>
      <c r="AD35" s="98" t="e">
        <f t="shared" si="14"/>
        <v>#DIV/0!</v>
      </c>
      <c r="AE35" s="99">
        <f t="shared" si="15"/>
        <v>0</v>
      </c>
      <c r="AF35" s="56" t="str">
        <f t="shared" si="16"/>
        <v/>
      </c>
      <c r="AG35" s="100"/>
      <c r="AH35" s="95"/>
      <c r="AI35" s="96"/>
      <c r="AJ35" s="97" t="e">
        <f t="shared" si="17"/>
        <v>#DIV/0!</v>
      </c>
      <c r="AK35" s="96"/>
      <c r="AL35" s="98" t="e">
        <f t="shared" si="18"/>
        <v>#DIV/0!</v>
      </c>
      <c r="AM35" s="65">
        <f t="shared" si="29"/>
        <v>0</v>
      </c>
      <c r="AN35" s="67" t="str">
        <f t="shared" si="19"/>
        <v/>
      </c>
      <c r="AO35" s="101"/>
      <c r="AP35" s="95"/>
      <c r="AQ35" s="96"/>
      <c r="AR35" s="97" t="e">
        <f t="shared" si="20"/>
        <v>#DIV/0!</v>
      </c>
      <c r="AS35" s="96"/>
      <c r="AT35" s="98" t="e">
        <f t="shared" si="21"/>
        <v>#DIV/0!</v>
      </c>
      <c r="AU35" s="98"/>
      <c r="AV35" s="69">
        <f t="shared" si="30"/>
        <v>0</v>
      </c>
      <c r="AW35" s="67" t="str">
        <f t="shared" si="22"/>
        <v/>
      </c>
      <c r="AX35" s="102">
        <f t="shared" si="23"/>
        <v>0</v>
      </c>
      <c r="AY35" s="59">
        <f t="shared" si="24"/>
        <v>0</v>
      </c>
      <c r="AZ35" s="59">
        <f t="shared" si="25"/>
        <v>0</v>
      </c>
      <c r="BA35" s="71">
        <f t="shared" si="26"/>
        <v>0</v>
      </c>
      <c r="BB35" s="72">
        <f t="shared" si="31"/>
        <v>0</v>
      </c>
      <c r="BC35" s="103"/>
      <c r="BD35" s="104"/>
      <c r="BE35" s="104"/>
      <c r="BF35" s="105"/>
      <c r="BG35" s="105"/>
      <c r="BH35" s="105"/>
      <c r="BI35" s="105"/>
      <c r="BJ35" s="76">
        <f t="shared" si="32"/>
        <v>0</v>
      </c>
      <c r="BK35" s="47">
        <v>31</v>
      </c>
      <c r="BL35" s="77">
        <f t="shared" si="27"/>
        <v>0</v>
      </c>
    </row>
    <row r="36" spans="2:64" s="128" customFormat="1" ht="20" customHeight="1" thickTop="1">
      <c r="B36" s="106" t="s">
        <v>28</v>
      </c>
      <c r="C36" s="107">
        <f>SUM(C5:C35)</f>
        <v>0</v>
      </c>
      <c r="D36" s="108">
        <f>SUM(D5:D35)</f>
        <v>0</v>
      </c>
      <c r="E36" s="109">
        <f>SUM(E5:E35)</f>
        <v>738</v>
      </c>
      <c r="F36" s="110">
        <f>SUM(F5:F35)</f>
        <v>2957220</v>
      </c>
      <c r="G36" s="111">
        <f>F36/E36</f>
        <v>4007.0731707317073</v>
      </c>
      <c r="H36" s="107">
        <f>SUM(H5:H35)</f>
        <v>390430</v>
      </c>
      <c r="I36" s="112">
        <f>H36/E36</f>
        <v>529.03794037940384</v>
      </c>
      <c r="J36" s="113">
        <f>SUM(J5:J35)+BB36/2</f>
        <v>3381475</v>
      </c>
      <c r="K36" s="114">
        <f>J36/E36</f>
        <v>4581.9444444444443</v>
      </c>
      <c r="L36" s="115">
        <f>SUM(L5:L35)</f>
        <v>0</v>
      </c>
      <c r="M36" s="109">
        <f>SUM(M5:M35)</f>
        <v>487</v>
      </c>
      <c r="N36" s="110">
        <f>SUM(N5:N35)</f>
        <v>4702005</v>
      </c>
      <c r="O36" s="111">
        <f>N36/M36</f>
        <v>9655.0410677618074</v>
      </c>
      <c r="P36" s="116">
        <f>SUM(P5:P35)</f>
        <v>1337840</v>
      </c>
      <c r="Q36" s="112">
        <f>P36/M36</f>
        <v>2747.1047227926078</v>
      </c>
      <c r="R36" s="117">
        <f>SUM(R5:R35)+BB36/2</f>
        <v>6073670</v>
      </c>
      <c r="S36" s="118">
        <f>R36/M36</f>
        <v>12471.601642710471</v>
      </c>
      <c r="T36" s="109">
        <f t="shared" ref="T36:AA36" si="33">SUM(T5:T35)</f>
        <v>1225</v>
      </c>
      <c r="U36" s="116">
        <f t="shared" si="33"/>
        <v>7659225</v>
      </c>
      <c r="V36" s="116">
        <f t="shared" si="33"/>
        <v>1728270</v>
      </c>
      <c r="W36" s="113">
        <f>SUM(W5:W35)+BF36</f>
        <v>9455145</v>
      </c>
      <c r="X36" s="119">
        <f t="shared" si="33"/>
        <v>0</v>
      </c>
      <c r="Y36" s="108">
        <f t="shared" si="33"/>
        <v>0</v>
      </c>
      <c r="Z36" s="109">
        <f t="shared" si="33"/>
        <v>777</v>
      </c>
      <c r="AA36" s="111">
        <f t="shared" si="33"/>
        <v>329580</v>
      </c>
      <c r="AB36" s="111">
        <f>AA36/Z36</f>
        <v>424.16988416988414</v>
      </c>
      <c r="AC36" s="107">
        <f>SUM(AC5:AC35)</f>
        <v>128640</v>
      </c>
      <c r="AD36" s="112">
        <f>AC36/Z36</f>
        <v>165.55984555984557</v>
      </c>
      <c r="AE36" s="117">
        <f>SUM(AE5:AE35)</f>
        <v>458220</v>
      </c>
      <c r="AF36" s="120">
        <f>AE36/Z36</f>
        <v>589.72972972972968</v>
      </c>
      <c r="AG36" s="121">
        <f t="shared" ref="AG36:AI36" si="34">SUM(AG5:AG35)</f>
        <v>8</v>
      </c>
      <c r="AH36" s="109">
        <f t="shared" si="34"/>
        <v>274</v>
      </c>
      <c r="AI36" s="111">
        <f t="shared" si="34"/>
        <v>1236879</v>
      </c>
      <c r="AJ36" s="111"/>
      <c r="AK36" s="107">
        <f>SUM(AK5:AK35)</f>
        <v>357570</v>
      </c>
      <c r="AL36" s="112"/>
      <c r="AM36" s="117">
        <f>SUM(AM5:AM35)</f>
        <v>1594449</v>
      </c>
      <c r="AN36" s="122">
        <f>AM36/AH36</f>
        <v>5819.1569343065694</v>
      </c>
      <c r="AO36" s="123">
        <f t="shared" ref="AO36:AQ36" si="35">SUM(AO5:AO35)</f>
        <v>0</v>
      </c>
      <c r="AP36" s="109">
        <f t="shared" si="35"/>
        <v>0</v>
      </c>
      <c r="AQ36" s="111">
        <f t="shared" si="35"/>
        <v>0</v>
      </c>
      <c r="AR36" s="111"/>
      <c r="AS36" s="107">
        <f>SUM(AS5:AS35)</f>
        <v>0</v>
      </c>
      <c r="AT36" s="112"/>
      <c r="AU36" s="107">
        <f>SUM(AU5:AU35)</f>
        <v>0</v>
      </c>
      <c r="AV36" s="117">
        <f>SUM(AV5:AV35)</f>
        <v>0</v>
      </c>
      <c r="AW36" s="122" t="e">
        <f>AV36/AP36</f>
        <v>#DIV/0!</v>
      </c>
      <c r="AX36" s="124">
        <f t="shared" ref="AX36:BJ36" si="36">SUM(AX5:AX35)</f>
        <v>1225</v>
      </c>
      <c r="AY36" s="116">
        <f t="shared" si="36"/>
        <v>9225684</v>
      </c>
      <c r="AZ36" s="116">
        <f t="shared" si="36"/>
        <v>2214480</v>
      </c>
      <c r="BA36" s="117">
        <f>SUM(BA5:BA35)</f>
        <v>11440164</v>
      </c>
      <c r="BB36" s="125">
        <f t="shared" si="36"/>
        <v>67650</v>
      </c>
      <c r="BC36" s="126">
        <f t="shared" si="36"/>
        <v>1225</v>
      </c>
      <c r="BD36" s="126">
        <f t="shared" si="36"/>
        <v>7659225</v>
      </c>
      <c r="BE36" s="126">
        <f t="shared" si="36"/>
        <v>1728270</v>
      </c>
      <c r="BF36" s="126">
        <f t="shared" si="36"/>
        <v>67650</v>
      </c>
      <c r="BG36" s="126">
        <f t="shared" si="36"/>
        <v>0</v>
      </c>
      <c r="BH36" s="126">
        <f t="shared" si="36"/>
        <v>4650</v>
      </c>
      <c r="BI36" s="126">
        <f t="shared" si="36"/>
        <v>49900</v>
      </c>
      <c r="BJ36" s="127">
        <f t="shared" si="36"/>
        <v>9455145</v>
      </c>
      <c r="BL36" s="129">
        <f>SUM(BL5:BL35)</f>
        <v>9505045</v>
      </c>
    </row>
    <row r="37" spans="2:64" s="128" customFormat="1" ht="18">
      <c r="B37" s="130"/>
      <c r="E37" s="131" t="s">
        <v>41</v>
      </c>
      <c r="F37" s="132">
        <f>F36/1.1</f>
        <v>2688381.8181818179</v>
      </c>
      <c r="G37" s="133">
        <f>F37/E36</f>
        <v>3642.7937915742791</v>
      </c>
      <c r="H37" s="134">
        <f>H36/1.1</f>
        <v>354936.36363636359</v>
      </c>
      <c r="I37" s="133">
        <f>H37/E36</f>
        <v>480.94358216309428</v>
      </c>
      <c r="J37" s="135">
        <f>J36/1.1</f>
        <v>3074068.1818181816</v>
      </c>
      <c r="K37" s="136">
        <f>G37+I37</f>
        <v>4123.7373737373737</v>
      </c>
      <c r="L37" s="137"/>
      <c r="M37" s="131" t="s">
        <v>41</v>
      </c>
      <c r="N37" s="132">
        <f>N36/1.1</f>
        <v>4274550</v>
      </c>
      <c r="O37" s="133">
        <f>N37/M36</f>
        <v>8777.3100616016436</v>
      </c>
      <c r="P37" s="134">
        <f>P36/1.1</f>
        <v>1216218.1818181816</v>
      </c>
      <c r="Q37" s="133">
        <f>P37/M36</f>
        <v>2497.3679298114612</v>
      </c>
      <c r="R37" s="133">
        <f>R36/1.1</f>
        <v>5521518.1818181816</v>
      </c>
      <c r="S37" s="138">
        <f>R37/M36</f>
        <v>11337.819675191338</v>
      </c>
      <c r="T37" s="131" t="s">
        <v>41</v>
      </c>
      <c r="U37" s="132">
        <f>U36/1.1</f>
        <v>6962931.8181818174</v>
      </c>
      <c r="V37" s="132">
        <f>V36/1.1</f>
        <v>1571154.5454545454</v>
      </c>
      <c r="W37" s="135">
        <f>W36/1.1</f>
        <v>8595586.3636363633</v>
      </c>
      <c r="X37" s="139"/>
      <c r="Y37" s="137"/>
      <c r="Z37" s="131" t="s">
        <v>41</v>
      </c>
      <c r="AA37" s="132">
        <f>AA36/1.1</f>
        <v>299618.18181818177</v>
      </c>
      <c r="AB37" s="134">
        <f>AA37/Z36</f>
        <v>385.60898560898556</v>
      </c>
      <c r="AC37" s="134">
        <f>AC36/1.1</f>
        <v>116945.45454545453</v>
      </c>
      <c r="AD37" s="134">
        <f>AC37/Z36</f>
        <v>150.50895050895048</v>
      </c>
      <c r="AE37" s="133">
        <f>AE36/1.1</f>
        <v>416563.63636363635</v>
      </c>
      <c r="AF37" s="140" t="e">
        <f>AE37/Y36</f>
        <v>#DIV/0!</v>
      </c>
      <c r="AG37" s="137"/>
      <c r="AH37" s="131" t="s">
        <v>41</v>
      </c>
      <c r="AI37" s="132">
        <f>AI36/1.1</f>
        <v>1124435.4545454544</v>
      </c>
      <c r="AJ37" s="134">
        <f>AI37/AH36</f>
        <v>4103.7790311877898</v>
      </c>
      <c r="AK37" s="134">
        <f>AK36/1.1</f>
        <v>325063.63636363635</v>
      </c>
      <c r="AL37" s="134">
        <f>AK37/AH36</f>
        <v>1186.3636363636363</v>
      </c>
      <c r="AM37" s="133">
        <f>AM36/1.1</f>
        <v>1449499.0909090908</v>
      </c>
      <c r="AN37" s="141">
        <f>AM37/AG36</f>
        <v>181187.38636363635</v>
      </c>
      <c r="AO37" s="137"/>
      <c r="AP37" s="131" t="s">
        <v>41</v>
      </c>
      <c r="AQ37" s="132">
        <f>AQ36/1.1</f>
        <v>0</v>
      </c>
      <c r="AR37" s="134" t="e">
        <f>AQ37/AP36</f>
        <v>#DIV/0!</v>
      </c>
      <c r="AS37" s="134">
        <f>AS36/1.1</f>
        <v>0</v>
      </c>
      <c r="AT37" s="134" t="e">
        <f>AS37/AP36</f>
        <v>#DIV/0!</v>
      </c>
      <c r="AU37" s="134">
        <f>AU36/1.1</f>
        <v>0</v>
      </c>
      <c r="AV37" s="133">
        <f>AV36/1.1</f>
        <v>0</v>
      </c>
      <c r="AW37" s="141" t="e">
        <f>AV37/AP36</f>
        <v>#DIV/0!</v>
      </c>
      <c r="AX37" s="142" t="s">
        <v>41</v>
      </c>
      <c r="AY37" s="132">
        <f>AY36/1.1</f>
        <v>8386985.4545454541</v>
      </c>
      <c r="AZ37" s="132">
        <f>AZ36/1.1</f>
        <v>2013163.6363636362</v>
      </c>
      <c r="BA37" s="133">
        <f>BA36/1.1</f>
        <v>10400149.09090909</v>
      </c>
      <c r="BB37" s="143">
        <f>BB36/1.1</f>
        <v>61499.999999999993</v>
      </c>
      <c r="BG37" s="144"/>
      <c r="BJ37" s="145">
        <f>BJ36/1.1</f>
        <v>8595586.3636363633</v>
      </c>
      <c r="BL37" s="145"/>
    </row>
    <row r="38" spans="2:64">
      <c r="C38" s="47">
        <v>29</v>
      </c>
      <c r="E38" s="146" t="s">
        <v>42</v>
      </c>
      <c r="F38" s="147">
        <f>E36/G38</f>
        <v>25.448275862068964</v>
      </c>
      <c r="G38" s="148">
        <v>29</v>
      </c>
      <c r="H38" s="147"/>
      <c r="I38" s="147"/>
      <c r="J38" s="149" t="s">
        <v>43</v>
      </c>
      <c r="K38" s="150">
        <f>J37/G38</f>
        <v>106002.35109717867</v>
      </c>
      <c r="M38" s="146" t="s">
        <v>42</v>
      </c>
      <c r="N38" s="147">
        <f>M36/O38</f>
        <v>16.793103448275861</v>
      </c>
      <c r="O38" s="148">
        <f>G38</f>
        <v>29</v>
      </c>
      <c r="P38" s="147">
        <f>P36-84500</f>
        <v>1253340</v>
      </c>
      <c r="Q38" s="147"/>
      <c r="R38" s="149" t="s">
        <v>43</v>
      </c>
      <c r="S38" s="151">
        <f>R37/O38</f>
        <v>190397.17868338557</v>
      </c>
      <c r="U38" s="152">
        <f>O38</f>
        <v>29</v>
      </c>
      <c r="W38" s="85">
        <f>W37/U38</f>
        <v>296399.52978056425</v>
      </c>
      <c r="X38" s="77"/>
      <c r="AA38" s="153">
        <v>18</v>
      </c>
      <c r="AB38" s="147"/>
      <c r="AC38" s="147"/>
      <c r="AD38" s="147"/>
      <c r="AE38" s="147"/>
      <c r="AF38" s="150">
        <f>AE37/AA38</f>
        <v>23142.42424242424</v>
      </c>
      <c r="AI38" s="153">
        <f>AA38</f>
        <v>18</v>
      </c>
      <c r="AJ38" s="147"/>
      <c r="AK38" s="147"/>
      <c r="AL38" s="147"/>
      <c r="AM38" s="147"/>
      <c r="AN38" s="150">
        <f>AM37/AI38</f>
        <v>80527.727272727265</v>
      </c>
      <c r="AQ38" s="153">
        <f>G38</f>
        <v>29</v>
      </c>
      <c r="AR38" s="147"/>
      <c r="AS38" s="147"/>
      <c r="AT38" s="147"/>
      <c r="AU38" s="147"/>
      <c r="AV38" s="147"/>
      <c r="AW38" s="150">
        <f>AV37/AQ38</f>
        <v>0</v>
      </c>
      <c r="BA38" s="85"/>
      <c r="BB38" s="77" t="e">
        <f>BA37/BC37</f>
        <v>#DIV/0!</v>
      </c>
      <c r="BC38" s="154">
        <f>AX36+T36</f>
        <v>2450</v>
      </c>
      <c r="BG38" s="85"/>
    </row>
    <row r="39" spans="2:64">
      <c r="D39" s="155" t="s">
        <v>44</v>
      </c>
      <c r="E39" s="156"/>
      <c r="F39" s="147"/>
      <c r="G39" s="157"/>
      <c r="H39" s="147"/>
      <c r="I39" s="147"/>
      <c r="J39" s="149"/>
      <c r="K39" s="150"/>
      <c r="L39" s="158" t="s">
        <v>45</v>
      </c>
      <c r="M39" s="146"/>
      <c r="N39" s="147"/>
      <c r="O39" s="147"/>
      <c r="P39" s="147">
        <f>P38/1.1</f>
        <v>1139400</v>
      </c>
      <c r="Q39" s="147">
        <f>P39/477</f>
        <v>2388.6792452830186</v>
      </c>
      <c r="R39" s="149"/>
      <c r="S39" s="150"/>
      <c r="W39" s="85"/>
      <c r="X39" s="77"/>
      <c r="Y39" s="158" t="s">
        <v>46</v>
      </c>
      <c r="AA39" s="147"/>
      <c r="AB39" s="147"/>
      <c r="AC39" s="147"/>
      <c r="AD39" s="147"/>
      <c r="AE39" s="147"/>
      <c r="AF39" s="150"/>
      <c r="AG39" s="158" t="s">
        <v>47</v>
      </c>
      <c r="AI39" s="147"/>
      <c r="AJ39" s="147"/>
      <c r="AK39" s="147"/>
      <c r="AL39" s="147"/>
      <c r="AM39" s="147"/>
      <c r="AN39" s="150"/>
      <c r="AO39" s="158" t="s">
        <v>48</v>
      </c>
      <c r="AQ39" s="147"/>
      <c r="AR39" s="147"/>
      <c r="AS39" s="147"/>
      <c r="AT39" s="147"/>
      <c r="AU39" s="147"/>
      <c r="AV39" s="147"/>
      <c r="AW39" s="150"/>
      <c r="BA39" s="77">
        <f>BA36+BB36</f>
        <v>11507814</v>
      </c>
      <c r="BB39" s="159">
        <f>BA39/G38</f>
        <v>396821.1724137931</v>
      </c>
      <c r="BC39" s="47" t="s">
        <v>49</v>
      </c>
      <c r="BG39" s="85"/>
    </row>
    <row r="40" spans="2:64" ht="21.5" customHeight="1">
      <c r="C40" s="158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47">
        <v>25</v>
      </c>
      <c r="W40" s="77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BA40" s="161">
        <f>BA37+BB37</f>
        <v>10461649.09090909</v>
      </c>
    </row>
    <row r="41" spans="2:64" ht="21.5" customHeight="1">
      <c r="C41" s="158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47">
        <v>15</v>
      </c>
      <c r="W41" s="85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BA41" s="77"/>
      <c r="BB41" s="159">
        <f>BA40/G38</f>
        <v>360746.52037617553</v>
      </c>
      <c r="BC41" s="47" t="s">
        <v>50</v>
      </c>
      <c r="BD41" s="47">
        <v>9</v>
      </c>
    </row>
    <row r="42" spans="2:64" ht="21.5" customHeight="1">
      <c r="C42" s="158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47">
        <v>13</v>
      </c>
      <c r="W42" s="77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  <c r="BD42" s="47">
        <v>8</v>
      </c>
      <c r="BE42" s="85">
        <f>AS37</f>
        <v>0</v>
      </c>
    </row>
    <row r="43" spans="2:64" ht="21.5" customHeight="1">
      <c r="C43" s="158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47">
        <v>10</v>
      </c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BA43" s="85">
        <f>BA37+BB37</f>
        <v>10461649.09090909</v>
      </c>
      <c r="BB43" s="162" t="s">
        <v>51</v>
      </c>
      <c r="BD43" s="47">
        <v>7</v>
      </c>
      <c r="BE43" s="163">
        <f>'[1]2023(7)'!AS37</f>
        <v>15843636.363636361</v>
      </c>
      <c r="BF43" s="163">
        <v>6266320</v>
      </c>
      <c r="BG43" s="164">
        <f>BF43/BE43</f>
        <v>0.39551021344962134</v>
      </c>
    </row>
    <row r="44" spans="2:64" ht="21.5" customHeight="1">
      <c r="C44" s="158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47">
        <v>40</v>
      </c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Y44" s="128"/>
      <c r="AZ44" s="165" t="s">
        <v>52</v>
      </c>
      <c r="BA44" s="145">
        <f>J45+R45+AE45+BB44+AM45+AV45</f>
        <v>12579840</v>
      </c>
      <c r="BB44" s="166"/>
      <c r="BC44" s="128"/>
      <c r="BD44" s="47">
        <v>6</v>
      </c>
      <c r="BE44" s="163">
        <v>7119727</v>
      </c>
      <c r="BF44" s="163">
        <v>2680643</v>
      </c>
      <c r="BG44" s="164">
        <f t="shared" ref="BG44:BG45" si="37">BF44/BE44</f>
        <v>0.37650923975034434</v>
      </c>
      <c r="BH44" s="47" t="s">
        <v>53</v>
      </c>
    </row>
    <row r="45" spans="2:64" ht="21" customHeight="1">
      <c r="H45" s="167"/>
      <c r="I45" s="168" t="s">
        <v>54</v>
      </c>
      <c r="J45" s="145">
        <v>3731840</v>
      </c>
      <c r="K45" s="169" t="s">
        <v>55</v>
      </c>
      <c r="L45" s="128"/>
      <c r="M45" s="128"/>
      <c r="N45" s="128"/>
      <c r="O45" s="128"/>
      <c r="P45" s="128"/>
      <c r="Q45" s="168" t="s">
        <v>56</v>
      </c>
      <c r="R45" s="145">
        <v>7560000</v>
      </c>
      <c r="S45" s="169" t="s">
        <v>55</v>
      </c>
      <c r="T45" s="128">
        <v>10</v>
      </c>
      <c r="U45" s="128"/>
      <c r="V45" s="168" t="s">
        <v>57</v>
      </c>
      <c r="W45" s="145">
        <f>J45+R45</f>
        <v>11291840</v>
      </c>
      <c r="X45" s="169" t="s">
        <v>55</v>
      </c>
      <c r="Y45" s="128"/>
      <c r="Z45" s="128"/>
      <c r="AA45" s="128"/>
      <c r="AB45" s="128"/>
      <c r="AC45" s="128"/>
      <c r="AD45" s="167" t="s">
        <v>58</v>
      </c>
      <c r="AE45" s="145">
        <v>784000</v>
      </c>
      <c r="AF45" s="169" t="s">
        <v>55</v>
      </c>
      <c r="AG45" s="169"/>
      <c r="AH45" s="169"/>
      <c r="AI45" s="169"/>
      <c r="AJ45" s="169"/>
      <c r="AK45" s="128"/>
      <c r="AL45" s="168" t="s">
        <v>59</v>
      </c>
      <c r="AM45" s="145">
        <v>504000</v>
      </c>
      <c r="AN45" s="169" t="s">
        <v>55</v>
      </c>
      <c r="AO45" s="169"/>
      <c r="AP45" s="169"/>
      <c r="AQ45" s="169"/>
      <c r="AR45" s="169"/>
      <c r="AS45" s="128"/>
      <c r="AT45" s="168" t="s">
        <v>60</v>
      </c>
      <c r="AU45" s="168"/>
      <c r="AV45" s="145"/>
      <c r="AW45" s="169" t="s">
        <v>55</v>
      </c>
      <c r="AX45" s="128"/>
      <c r="AY45" s="128"/>
      <c r="AZ45" s="165" t="s">
        <v>61</v>
      </c>
      <c r="BA45" s="144">
        <f>BA44-BA37-BB37</f>
        <v>2118190.9090909101</v>
      </c>
      <c r="BB45" s="144">
        <f>BB44-BB37</f>
        <v>-61499.999999999993</v>
      </c>
      <c r="BC45" s="170" t="e">
        <f>BB37/BB44</f>
        <v>#DIV/0!</v>
      </c>
      <c r="BD45" s="47">
        <v>5</v>
      </c>
      <c r="BE45" s="163">
        <v>637682</v>
      </c>
      <c r="BF45" s="163"/>
      <c r="BG45" s="164">
        <f t="shared" si="37"/>
        <v>0</v>
      </c>
      <c r="BH45" s="77" t="s">
        <v>62</v>
      </c>
      <c r="BL45" s="47"/>
    </row>
    <row r="46" spans="2:64" ht="21" customHeight="1">
      <c r="H46" s="167"/>
      <c r="I46" s="167" t="s">
        <v>61</v>
      </c>
      <c r="J46" s="144">
        <f>J45-J37</f>
        <v>657771.81818181835</v>
      </c>
      <c r="K46" s="171">
        <f>C38-G38</f>
        <v>0</v>
      </c>
      <c r="L46" s="128"/>
      <c r="M46" s="128"/>
      <c r="N46" s="128"/>
      <c r="O46" s="128"/>
      <c r="P46" s="128"/>
      <c r="Q46" s="167" t="s">
        <v>61</v>
      </c>
      <c r="R46" s="144">
        <f>R37-R45</f>
        <v>-2038481.8181818184</v>
      </c>
      <c r="S46" s="128">
        <f>K46</f>
        <v>0</v>
      </c>
      <c r="T46" s="128"/>
      <c r="U46" s="128"/>
      <c r="V46" s="167" t="s">
        <v>61</v>
      </c>
      <c r="W46" s="144">
        <f>W45-W37</f>
        <v>2696253.6363636367</v>
      </c>
      <c r="X46" s="128">
        <f>S46</f>
        <v>0</v>
      </c>
      <c r="Y46" s="128"/>
      <c r="Z46" s="128"/>
      <c r="AA46" s="128"/>
      <c r="AB46" s="128"/>
      <c r="AC46" s="128"/>
      <c r="AD46" s="167" t="s">
        <v>61</v>
      </c>
      <c r="AE46" s="144">
        <f>AE45-AE37</f>
        <v>367436.36363636365</v>
      </c>
      <c r="AF46" s="128">
        <f>K46</f>
        <v>0</v>
      </c>
      <c r="AG46" s="128"/>
      <c r="AH46" s="128"/>
      <c r="AI46" s="128"/>
      <c r="AJ46" s="128"/>
      <c r="AK46" s="128"/>
      <c r="AL46" s="167" t="s">
        <v>61</v>
      </c>
      <c r="AM46" s="144">
        <f>AM45-AM37</f>
        <v>-945499.09090909082</v>
      </c>
      <c r="AN46" s="128">
        <f>AF46</f>
        <v>0</v>
      </c>
      <c r="AO46" s="128"/>
      <c r="AP46" s="128"/>
      <c r="AQ46" s="128"/>
      <c r="AR46" s="128"/>
      <c r="AS46" s="128"/>
      <c r="AT46" s="167" t="s">
        <v>61</v>
      </c>
      <c r="AU46" s="167"/>
      <c r="AV46" s="144">
        <f>AV45-AV37</f>
        <v>0</v>
      </c>
      <c r="AW46" s="128">
        <f>AN46</f>
        <v>0</v>
      </c>
      <c r="AX46" s="128"/>
      <c r="AY46" s="172"/>
      <c r="AZ46" s="173" t="s">
        <v>63</v>
      </c>
      <c r="BA46" s="174" t="e">
        <f>BA45/K46</f>
        <v>#DIV/0!</v>
      </c>
      <c r="BB46" s="175">
        <f>(BA37+BB37)/BA44</f>
        <v>0.83162020271395265</v>
      </c>
      <c r="BC46" s="172"/>
      <c r="BD46" s="176"/>
      <c r="BE46" s="177">
        <f>SUM(BE41:BE45)</f>
        <v>23601045.36363636</v>
      </c>
      <c r="BF46" s="178">
        <f>BJ71</f>
        <v>9138052</v>
      </c>
      <c r="BG46" s="179">
        <f>BF46/BE46</f>
        <v>0.38718844268142383</v>
      </c>
      <c r="BH46" s="180">
        <f>BE46-BF46</f>
        <v>14462993.36363636</v>
      </c>
      <c r="BL46" s="47"/>
    </row>
    <row r="47" spans="2:64" s="176" customFormat="1" ht="26" customHeight="1">
      <c r="B47" s="181"/>
      <c r="H47" s="182"/>
      <c r="I47" s="173" t="s">
        <v>63</v>
      </c>
      <c r="J47" s="183" t="e">
        <f>J46/K46</f>
        <v>#DIV/0!</v>
      </c>
      <c r="K47" s="184">
        <f>J37/J45</f>
        <v>0.8237406163764206</v>
      </c>
      <c r="L47" s="172"/>
      <c r="M47" s="172"/>
      <c r="N47" s="172"/>
      <c r="O47" s="172"/>
      <c r="P47" s="172"/>
      <c r="Q47" s="173" t="s">
        <v>63</v>
      </c>
      <c r="R47" s="174" t="e">
        <f>R46/S46</f>
        <v>#DIV/0!</v>
      </c>
      <c r="S47" s="184">
        <f>R37/R45</f>
        <v>0.73035954785954782</v>
      </c>
      <c r="T47" s="172"/>
      <c r="U47" s="172"/>
      <c r="V47" s="173" t="s">
        <v>63</v>
      </c>
      <c r="W47" s="174" t="e">
        <f>W46/X46</f>
        <v>#DIV/0!</v>
      </c>
      <c r="X47" s="184">
        <f>W37/W45</f>
        <v>0.76122105552650088</v>
      </c>
      <c r="Y47" s="172"/>
      <c r="Z47" s="172"/>
      <c r="AA47" s="172"/>
      <c r="AB47" s="172"/>
      <c r="AC47" s="172"/>
      <c r="AD47" s="173" t="s">
        <v>63</v>
      </c>
      <c r="AE47" s="183" t="e">
        <f>AE46/AF46</f>
        <v>#DIV/0!</v>
      </c>
      <c r="AF47" s="184">
        <f>AE37/AE45</f>
        <v>0.53133116883116882</v>
      </c>
      <c r="AG47" s="184"/>
      <c r="AH47" s="184"/>
      <c r="AI47" s="184"/>
      <c r="AJ47" s="184"/>
      <c r="AK47" s="172"/>
      <c r="AL47" s="173" t="s">
        <v>63</v>
      </c>
      <c r="AM47" s="174" t="e">
        <f>AM46/AN46</f>
        <v>#DIV/0!</v>
      </c>
      <c r="AN47" s="184">
        <f>AM37/AM45</f>
        <v>2.8759902597402598</v>
      </c>
      <c r="AO47" s="184"/>
      <c r="AP47" s="184"/>
      <c r="AQ47" s="184"/>
      <c r="AR47" s="184"/>
      <c r="AS47" s="172"/>
      <c r="AT47" s="173" t="s">
        <v>63</v>
      </c>
      <c r="AU47" s="173"/>
      <c r="AV47" s="174" t="e">
        <f>AV46/AW46</f>
        <v>#DIV/0!</v>
      </c>
      <c r="AW47" s="184" t="e">
        <f>AV37/AV45</f>
        <v>#DIV/0!</v>
      </c>
      <c r="AX47" s="172"/>
      <c r="AY47" s="47"/>
      <c r="AZ47" s="47"/>
      <c r="BA47" s="85"/>
      <c r="BB47" s="47"/>
      <c r="BC47" s="47"/>
      <c r="BD47" s="47"/>
      <c r="BH47" s="185"/>
      <c r="BJ47" s="185"/>
    </row>
    <row r="48" spans="2:64">
      <c r="H48" s="47">
        <v>952</v>
      </c>
      <c r="K48" s="47">
        <f>J45/30</f>
        <v>124394.66666666667</v>
      </c>
      <c r="P48" s="47">
        <v>700</v>
      </c>
      <c r="S48" s="47">
        <f>R45/30</f>
        <v>252000</v>
      </c>
      <c r="AY48" s="186"/>
      <c r="AZ48" s="186"/>
      <c r="BA48" s="186"/>
      <c r="BB48" s="186"/>
      <c r="BC48" s="186"/>
      <c r="BD48" s="186"/>
      <c r="BH48" s="77"/>
      <c r="BL48" s="47"/>
    </row>
    <row r="49" spans="2:62" s="186" customFormat="1" ht="24" customHeight="1">
      <c r="B49" s="187"/>
      <c r="I49" s="186" t="s">
        <v>64</v>
      </c>
      <c r="J49" s="188">
        <f>(I5+I8+I9+I10+I11+I12+I15+I16+I17+I18+I19+I22+I23+I24+I25+I26)/16</f>
        <v>422.08382679423158</v>
      </c>
      <c r="K49" s="186">
        <v>800000</v>
      </c>
      <c r="L49" s="189"/>
      <c r="M49" s="47"/>
      <c r="N49" s="47"/>
      <c r="O49" s="47"/>
      <c r="P49" s="47"/>
      <c r="Q49" s="47"/>
      <c r="R49" s="189">
        <v>400000</v>
      </c>
      <c r="AE49" s="186">
        <f>AE45/30</f>
        <v>26133.333333333332</v>
      </c>
      <c r="AQ49" s="190">
        <f>AP14+AP21</f>
        <v>0</v>
      </c>
      <c r="AR49" s="191" t="e">
        <f>AR14+AR21</f>
        <v>#DIV/0!</v>
      </c>
      <c r="AS49" s="191" t="e">
        <f>AT14+AT21</f>
        <v>#DIV/0!</v>
      </c>
      <c r="AY49" s="1"/>
      <c r="AZ49" s="1"/>
      <c r="BA49" s="1"/>
      <c r="BB49" s="1"/>
      <c r="BC49" s="192" t="s">
        <v>65</v>
      </c>
      <c r="BD49" s="1" t="s">
        <v>66</v>
      </c>
      <c r="BE49" s="1" t="s">
        <v>67</v>
      </c>
      <c r="BF49" s="1" t="s">
        <v>68</v>
      </c>
      <c r="BG49" s="1" t="s">
        <v>69</v>
      </c>
      <c r="BH49" s="193" t="s">
        <v>70</v>
      </c>
      <c r="BI49" s="193" t="s">
        <v>71</v>
      </c>
      <c r="BJ49" s="193" t="s">
        <v>72</v>
      </c>
    </row>
    <row r="50" spans="2:62" s="1" customFormat="1" ht="24" customHeight="1">
      <c r="B50" s="187"/>
      <c r="I50" s="1" t="s">
        <v>73</v>
      </c>
      <c r="J50" s="188">
        <f>(I6+I7+I13+I14+I20+I21+I27)/7</f>
        <v>574.38084939426267</v>
      </c>
      <c r="L50" s="194"/>
      <c r="M50" s="47"/>
      <c r="N50" s="47"/>
      <c r="O50" s="47"/>
      <c r="P50" s="47"/>
      <c r="Q50" s="47"/>
      <c r="R50" s="194"/>
      <c r="S50" s="194"/>
      <c r="Z50" s="195"/>
      <c r="AQ50" s="1">
        <f>AQ49/2</f>
        <v>0</v>
      </c>
      <c r="AR50" s="196" t="e">
        <f t="shared" ref="AR50:AS50" si="38">AR49/2</f>
        <v>#DIV/0!</v>
      </c>
      <c r="AS50" s="196" t="e">
        <f t="shared" si="38"/>
        <v>#DIV/0!</v>
      </c>
      <c r="AY50" s="186"/>
      <c r="AZ50" s="186"/>
      <c r="BA50" s="186"/>
      <c r="BB50" s="186"/>
      <c r="BC50" s="192" t="s">
        <v>74</v>
      </c>
      <c r="BD50" s="197">
        <v>1800</v>
      </c>
      <c r="BE50" s="197">
        <v>21</v>
      </c>
      <c r="BF50" s="198">
        <v>0</v>
      </c>
      <c r="BG50" s="197"/>
      <c r="BH50" s="199">
        <f>BE50*BD50</f>
        <v>37800</v>
      </c>
      <c r="BI50" s="199">
        <f>BD50*BF50</f>
        <v>0</v>
      </c>
      <c r="BJ50" s="199">
        <f>BH50-BI50</f>
        <v>37800</v>
      </c>
    </row>
    <row r="51" spans="2:62" s="186" customFormat="1" ht="24" customHeight="1">
      <c r="B51" s="187"/>
      <c r="K51" s="1"/>
      <c r="L51" s="194"/>
      <c r="M51" s="47"/>
      <c r="N51" s="47"/>
      <c r="O51" s="47"/>
      <c r="P51" s="47"/>
      <c r="Q51" s="47"/>
      <c r="R51" s="200"/>
      <c r="S51" s="201"/>
      <c r="T51" s="201"/>
      <c r="U51" s="201" t="s">
        <v>75</v>
      </c>
      <c r="V51" s="201"/>
      <c r="W51" s="202"/>
      <c r="X51" s="203"/>
      <c r="Y51" s="192"/>
      <c r="Z51" s="199"/>
      <c r="BC51" s="192" t="s">
        <v>76</v>
      </c>
      <c r="BD51" s="197">
        <v>10800</v>
      </c>
      <c r="BE51" s="197">
        <v>640</v>
      </c>
      <c r="BF51" s="197">
        <v>20</v>
      </c>
      <c r="BG51" s="197"/>
      <c r="BH51" s="199">
        <f t="shared" ref="BH51:BH70" si="39">BD51*BE51</f>
        <v>6912000</v>
      </c>
      <c r="BI51" s="199">
        <f t="shared" ref="BI51:BI70" si="40">BD51*BF51</f>
        <v>216000</v>
      </c>
      <c r="BJ51" s="199">
        <f t="shared" ref="BJ51:BJ70" si="41">BH51-BI51</f>
        <v>6696000</v>
      </c>
    </row>
    <row r="52" spans="2:62" s="186" customFormat="1" ht="24" customHeight="1">
      <c r="B52" s="187"/>
      <c r="K52" s="1"/>
      <c r="L52" s="194"/>
      <c r="M52" s="47"/>
      <c r="N52" s="47"/>
      <c r="O52" s="47"/>
      <c r="P52" s="47"/>
      <c r="Q52" s="47"/>
      <c r="R52" s="202"/>
      <c r="S52" s="201"/>
      <c r="T52" s="201"/>
      <c r="U52" s="204" t="s">
        <v>77</v>
      </c>
      <c r="V52" s="205" t="s">
        <v>78</v>
      </c>
      <c r="W52" s="206"/>
      <c r="X52" s="207" t="e">
        <f>W52/Y52</f>
        <v>#DIV/0!</v>
      </c>
      <c r="Y52" s="208">
        <f>W52+W53</f>
        <v>0</v>
      </c>
      <c r="Z52" s="209"/>
      <c r="AA52" s="209"/>
      <c r="BC52" s="192" t="s">
        <v>79</v>
      </c>
      <c r="BD52" s="197">
        <v>6120</v>
      </c>
      <c r="BE52" s="197">
        <v>40</v>
      </c>
      <c r="BF52" s="197">
        <v>4</v>
      </c>
      <c r="BG52" s="197"/>
      <c r="BH52" s="199">
        <f t="shared" si="39"/>
        <v>244800</v>
      </c>
      <c r="BI52" s="199">
        <f t="shared" si="40"/>
        <v>24480</v>
      </c>
      <c r="BJ52" s="199">
        <f t="shared" si="41"/>
        <v>220320</v>
      </c>
    </row>
    <row r="53" spans="2:62" s="186" customFormat="1" ht="24" customHeight="1">
      <c r="B53" s="187"/>
      <c r="K53" s="1"/>
      <c r="L53" s="194"/>
      <c r="M53" s="47"/>
      <c r="N53" s="47"/>
      <c r="O53" s="47"/>
      <c r="P53" s="47"/>
      <c r="Q53" s="47"/>
      <c r="R53" s="202"/>
      <c r="S53" s="201"/>
      <c r="T53" s="201"/>
      <c r="U53" s="204"/>
      <c r="V53" s="205" t="s">
        <v>80</v>
      </c>
      <c r="W53" s="206"/>
      <c r="X53" s="207" t="e">
        <f>W53/Y52</f>
        <v>#DIV/0!</v>
      </c>
      <c r="Y53" s="209"/>
      <c r="Z53" s="209"/>
      <c r="AA53" s="209"/>
      <c r="BA53" s="186" t="s">
        <v>81</v>
      </c>
      <c r="BC53" s="192" t="s">
        <v>82</v>
      </c>
      <c r="BD53" s="197">
        <v>1780</v>
      </c>
      <c r="BE53" s="197">
        <v>24</v>
      </c>
      <c r="BF53" s="197">
        <v>4</v>
      </c>
      <c r="BG53" s="197"/>
      <c r="BH53" s="199">
        <f t="shared" si="39"/>
        <v>42720</v>
      </c>
      <c r="BI53" s="199">
        <f t="shared" si="40"/>
        <v>7120</v>
      </c>
      <c r="BJ53" s="199">
        <f t="shared" si="41"/>
        <v>35600</v>
      </c>
    </row>
    <row r="54" spans="2:62" s="186" customFormat="1" ht="24" customHeight="1">
      <c r="B54" s="187"/>
      <c r="K54" s="1"/>
      <c r="L54" s="194"/>
      <c r="M54" s="47"/>
      <c r="N54" s="47"/>
      <c r="O54" s="47"/>
      <c r="P54" s="47"/>
      <c r="Q54" s="47"/>
      <c r="R54" s="202"/>
      <c r="S54" s="201"/>
      <c r="T54" s="201"/>
      <c r="U54" s="210" t="s">
        <v>83</v>
      </c>
      <c r="V54" s="205" t="s">
        <v>78</v>
      </c>
      <c r="W54" s="206"/>
      <c r="X54" s="207" t="e">
        <f t="shared" ref="X54" si="42">W54/Y54</f>
        <v>#DIV/0!</v>
      </c>
      <c r="Y54" s="208">
        <f t="shared" ref="Y54" si="43">W54+W55</f>
        <v>0</v>
      </c>
      <c r="Z54" s="209"/>
      <c r="AA54" s="209"/>
      <c r="BC54" s="192" t="s">
        <v>84</v>
      </c>
      <c r="BD54" s="197">
        <v>1780</v>
      </c>
      <c r="BE54" s="197">
        <v>24</v>
      </c>
      <c r="BF54" s="197">
        <v>20</v>
      </c>
      <c r="BG54" s="197"/>
      <c r="BH54" s="199">
        <f t="shared" si="39"/>
        <v>42720</v>
      </c>
      <c r="BI54" s="199">
        <f t="shared" si="40"/>
        <v>35600</v>
      </c>
      <c r="BJ54" s="199">
        <f t="shared" si="41"/>
        <v>7120</v>
      </c>
    </row>
    <row r="55" spans="2:62" s="186" customFormat="1" ht="24" customHeight="1">
      <c r="B55" s="187"/>
      <c r="L55" s="189"/>
      <c r="M55" s="47"/>
      <c r="N55" s="47"/>
      <c r="O55" s="47"/>
      <c r="P55" s="47"/>
      <c r="Q55" s="47"/>
      <c r="R55" s="211"/>
      <c r="S55" s="201"/>
      <c r="T55" s="201"/>
      <c r="U55" s="210"/>
      <c r="V55" s="205" t="s">
        <v>80</v>
      </c>
      <c r="W55" s="206"/>
      <c r="X55" s="207" t="e">
        <f t="shared" ref="X55" si="44">W55/Y54</f>
        <v>#DIV/0!</v>
      </c>
      <c r="Y55" s="209"/>
      <c r="Z55" s="209"/>
      <c r="AA55" s="209"/>
      <c r="AY55" s="47"/>
      <c r="AZ55" s="47"/>
      <c r="BA55" s="47"/>
      <c r="BB55" s="47"/>
      <c r="BC55" s="192" t="s">
        <v>85</v>
      </c>
      <c r="BD55" s="212">
        <v>8190</v>
      </c>
      <c r="BE55" s="197">
        <v>13</v>
      </c>
      <c r="BF55" s="197">
        <v>4</v>
      </c>
      <c r="BG55" s="197"/>
      <c r="BH55" s="199">
        <f t="shared" si="39"/>
        <v>106470</v>
      </c>
      <c r="BI55" s="199">
        <f t="shared" si="40"/>
        <v>32760</v>
      </c>
      <c r="BJ55" s="199">
        <f t="shared" si="41"/>
        <v>73710</v>
      </c>
    </row>
    <row r="56" spans="2:62" ht="24" customHeight="1">
      <c r="U56" s="213" t="s">
        <v>2</v>
      </c>
      <c r="V56" s="214" t="s">
        <v>78</v>
      </c>
      <c r="W56" s="206"/>
      <c r="X56" s="207" t="e">
        <f t="shared" ref="X56:X58" si="45">W56/Y56</f>
        <v>#DIV/0!</v>
      </c>
      <c r="Y56" s="208">
        <f t="shared" ref="Y56" si="46">W56+W57</f>
        <v>0</v>
      </c>
      <c r="Z56" s="209"/>
      <c r="AA56" s="209"/>
      <c r="BC56" s="192" t="s">
        <v>86</v>
      </c>
      <c r="BD56" s="212">
        <v>5784</v>
      </c>
      <c r="BE56" s="212">
        <v>36</v>
      </c>
      <c r="BF56" s="212">
        <v>28</v>
      </c>
      <c r="BG56" s="212"/>
      <c r="BH56" s="199">
        <f t="shared" si="39"/>
        <v>208224</v>
      </c>
      <c r="BI56" s="199">
        <f t="shared" si="40"/>
        <v>161952</v>
      </c>
      <c r="BJ56" s="199">
        <f t="shared" si="41"/>
        <v>46272</v>
      </c>
    </row>
    <row r="57" spans="2:62" ht="24" customHeight="1">
      <c r="U57" s="213"/>
      <c r="V57" s="214" t="s">
        <v>80</v>
      </c>
      <c r="W57" s="206"/>
      <c r="X57" s="207" t="e">
        <f t="shared" ref="X57:X59" si="47">W57/Y56</f>
        <v>#DIV/0!</v>
      </c>
      <c r="Y57" s="209"/>
      <c r="Z57" s="209"/>
      <c r="AA57" s="209"/>
      <c r="BC57" s="192" t="s">
        <v>87</v>
      </c>
      <c r="BD57" s="212">
        <v>6775</v>
      </c>
      <c r="BE57" s="212">
        <v>12</v>
      </c>
      <c r="BF57" s="212">
        <v>11</v>
      </c>
      <c r="BG57" s="212"/>
      <c r="BH57" s="199">
        <f t="shared" si="39"/>
        <v>81300</v>
      </c>
      <c r="BI57" s="199">
        <f t="shared" si="40"/>
        <v>74525</v>
      </c>
      <c r="BJ57" s="199">
        <f t="shared" si="41"/>
        <v>6775</v>
      </c>
    </row>
    <row r="58" spans="2:62" ht="24" customHeight="1">
      <c r="U58" s="215" t="s">
        <v>88</v>
      </c>
      <c r="V58" s="214" t="s">
        <v>78</v>
      </c>
      <c r="W58" s="206"/>
      <c r="X58" s="207" t="e">
        <f t="shared" si="45"/>
        <v>#DIV/0!</v>
      </c>
      <c r="Y58" s="216">
        <f>SUM(Y52:AA56)</f>
        <v>0</v>
      </c>
      <c r="Z58" s="217"/>
      <c r="AA58" s="217"/>
      <c r="BC58" s="192" t="s">
        <v>89</v>
      </c>
      <c r="BD58" s="212">
        <v>1755</v>
      </c>
      <c r="BE58" s="212">
        <v>14</v>
      </c>
      <c r="BF58" s="212">
        <v>2</v>
      </c>
      <c r="BG58" s="212"/>
      <c r="BH58" s="199">
        <f t="shared" si="39"/>
        <v>24570</v>
      </c>
      <c r="BI58" s="199">
        <f t="shared" si="40"/>
        <v>3510</v>
      </c>
      <c r="BJ58" s="199">
        <f t="shared" si="41"/>
        <v>21060</v>
      </c>
    </row>
    <row r="59" spans="2:62" ht="24" customHeight="1">
      <c r="U59" s="215"/>
      <c r="V59" s="214" t="s">
        <v>80</v>
      </c>
      <c r="W59" s="206"/>
      <c r="X59" s="207" t="e">
        <f t="shared" si="47"/>
        <v>#DIV/0!</v>
      </c>
      <c r="Y59" s="217"/>
      <c r="Z59" s="217"/>
      <c r="AA59" s="217"/>
      <c r="BC59" s="192" t="s">
        <v>90</v>
      </c>
      <c r="BD59" s="212">
        <v>1755</v>
      </c>
      <c r="BE59" s="212">
        <v>10</v>
      </c>
      <c r="BF59" s="212">
        <v>0</v>
      </c>
      <c r="BG59" s="212"/>
      <c r="BH59" s="199">
        <f t="shared" si="39"/>
        <v>17550</v>
      </c>
      <c r="BI59" s="199">
        <f t="shared" si="40"/>
        <v>0</v>
      </c>
      <c r="BJ59" s="199">
        <f t="shared" si="41"/>
        <v>17550</v>
      </c>
    </row>
    <row r="60" spans="2:62" ht="24" customHeight="1">
      <c r="BC60" s="192" t="s">
        <v>91</v>
      </c>
      <c r="BD60" s="212">
        <v>1075</v>
      </c>
      <c r="BE60" s="212">
        <v>96</v>
      </c>
      <c r="BF60" s="212">
        <v>38</v>
      </c>
      <c r="BG60" s="212"/>
      <c r="BH60" s="199">
        <f t="shared" si="39"/>
        <v>103200</v>
      </c>
      <c r="BI60" s="199">
        <f t="shared" si="40"/>
        <v>40850</v>
      </c>
      <c r="BJ60" s="199">
        <f t="shared" si="41"/>
        <v>62350</v>
      </c>
    </row>
    <row r="61" spans="2:62" ht="24" customHeight="1">
      <c r="BC61" s="192" t="s">
        <v>92</v>
      </c>
      <c r="BD61" s="212">
        <v>3860</v>
      </c>
      <c r="BE61" s="212">
        <v>166</v>
      </c>
      <c r="BF61" s="212">
        <v>13</v>
      </c>
      <c r="BG61" s="212"/>
      <c r="BH61" s="199">
        <f t="shared" si="39"/>
        <v>640760</v>
      </c>
      <c r="BI61" s="199">
        <f t="shared" si="40"/>
        <v>50180</v>
      </c>
      <c r="BJ61" s="199">
        <f t="shared" si="41"/>
        <v>590580</v>
      </c>
    </row>
    <row r="62" spans="2:62" ht="24" customHeight="1">
      <c r="BC62" s="192" t="s">
        <v>93</v>
      </c>
      <c r="BD62" s="212">
        <v>6450</v>
      </c>
      <c r="BE62" s="212">
        <v>137</v>
      </c>
      <c r="BF62" s="212">
        <v>12</v>
      </c>
      <c r="BG62" s="212"/>
      <c r="BH62" s="199">
        <f t="shared" si="39"/>
        <v>883650</v>
      </c>
      <c r="BI62" s="199">
        <f t="shared" si="40"/>
        <v>77400</v>
      </c>
      <c r="BJ62" s="199">
        <f t="shared" si="41"/>
        <v>806250</v>
      </c>
    </row>
    <row r="63" spans="2:62" ht="24" customHeight="1">
      <c r="BC63" s="192" t="s">
        <v>94</v>
      </c>
      <c r="BD63" s="212">
        <v>1380</v>
      </c>
      <c r="BE63" s="212">
        <v>35</v>
      </c>
      <c r="BF63" s="212">
        <v>5</v>
      </c>
      <c r="BG63" s="212"/>
      <c r="BH63" s="199">
        <f t="shared" si="39"/>
        <v>48300</v>
      </c>
      <c r="BI63" s="199">
        <f t="shared" si="40"/>
        <v>6900</v>
      </c>
      <c r="BJ63" s="199">
        <f t="shared" si="41"/>
        <v>41400</v>
      </c>
    </row>
    <row r="64" spans="2:62" ht="24" customHeight="1">
      <c r="BC64" s="192" t="s">
        <v>95</v>
      </c>
      <c r="BD64" s="212">
        <v>1380</v>
      </c>
      <c r="BE64" s="212">
        <v>39</v>
      </c>
      <c r="BF64" s="212">
        <v>6</v>
      </c>
      <c r="BG64" s="212"/>
      <c r="BH64" s="199">
        <f t="shared" si="39"/>
        <v>53820</v>
      </c>
      <c r="BI64" s="199">
        <f t="shared" si="40"/>
        <v>8280</v>
      </c>
      <c r="BJ64" s="199">
        <f t="shared" si="41"/>
        <v>45540</v>
      </c>
    </row>
    <row r="65" spans="55:62" ht="24" customHeight="1">
      <c r="BC65" s="192" t="s">
        <v>96</v>
      </c>
      <c r="BD65" s="212">
        <v>160</v>
      </c>
      <c r="BE65" s="212">
        <v>594</v>
      </c>
      <c r="BF65" s="212">
        <v>53</v>
      </c>
      <c r="BG65" s="212"/>
      <c r="BH65" s="199">
        <f t="shared" si="39"/>
        <v>95040</v>
      </c>
      <c r="BI65" s="199">
        <f t="shared" si="40"/>
        <v>8480</v>
      </c>
      <c r="BJ65" s="199">
        <f t="shared" si="41"/>
        <v>86560</v>
      </c>
    </row>
    <row r="66" spans="55:62" ht="24" customHeight="1">
      <c r="BC66" s="192" t="s">
        <v>97</v>
      </c>
      <c r="BD66" s="212">
        <v>160</v>
      </c>
      <c r="BE66" s="212">
        <v>300</v>
      </c>
      <c r="BF66" s="212">
        <v>47</v>
      </c>
      <c r="BG66" s="212"/>
      <c r="BH66" s="199">
        <f t="shared" si="39"/>
        <v>48000</v>
      </c>
      <c r="BI66" s="199">
        <f t="shared" si="40"/>
        <v>7520</v>
      </c>
      <c r="BJ66" s="199">
        <f t="shared" si="41"/>
        <v>40480</v>
      </c>
    </row>
    <row r="67" spans="55:62" ht="24" customHeight="1">
      <c r="BC67" s="192" t="s">
        <v>98</v>
      </c>
      <c r="BD67" s="212">
        <v>205</v>
      </c>
      <c r="BE67" s="212">
        <v>366</v>
      </c>
      <c r="BF67" s="212">
        <v>49</v>
      </c>
      <c r="BG67" s="212"/>
      <c r="BH67" s="199">
        <f t="shared" si="39"/>
        <v>75030</v>
      </c>
      <c r="BI67" s="199">
        <f t="shared" si="40"/>
        <v>10045</v>
      </c>
      <c r="BJ67" s="199">
        <f t="shared" si="41"/>
        <v>64985</v>
      </c>
    </row>
    <row r="68" spans="55:62" ht="24" customHeight="1">
      <c r="BC68" s="192" t="s">
        <v>99</v>
      </c>
      <c r="BD68" s="212">
        <v>295</v>
      </c>
      <c r="BE68" s="212">
        <v>612</v>
      </c>
      <c r="BF68" s="212">
        <v>86</v>
      </c>
      <c r="BG68" s="212"/>
      <c r="BH68" s="199">
        <f t="shared" si="39"/>
        <v>180540</v>
      </c>
      <c r="BI68" s="199">
        <f t="shared" si="40"/>
        <v>25370</v>
      </c>
      <c r="BJ68" s="199">
        <f t="shared" si="41"/>
        <v>155170</v>
      </c>
    </row>
    <row r="69" spans="55:62" ht="24" customHeight="1">
      <c r="BC69" s="192" t="s">
        <v>100</v>
      </c>
      <c r="BD69" s="212">
        <v>70</v>
      </c>
      <c r="BE69" s="212">
        <v>480</v>
      </c>
      <c r="BF69" s="212">
        <v>71</v>
      </c>
      <c r="BG69" s="212"/>
      <c r="BH69" s="199">
        <f t="shared" si="39"/>
        <v>33600</v>
      </c>
      <c r="BI69" s="199">
        <f t="shared" si="40"/>
        <v>4970</v>
      </c>
      <c r="BJ69" s="199">
        <f t="shared" si="41"/>
        <v>28630</v>
      </c>
    </row>
    <row r="70" spans="55:62" ht="24" customHeight="1">
      <c r="BC70" s="192" t="s">
        <v>101</v>
      </c>
      <c r="BD70" s="212">
        <v>2450</v>
      </c>
      <c r="BE70" s="212">
        <v>31</v>
      </c>
      <c r="BF70" s="212">
        <v>9</v>
      </c>
      <c r="BG70" s="212"/>
      <c r="BH70" s="199">
        <f t="shared" si="39"/>
        <v>75950</v>
      </c>
      <c r="BI70" s="199">
        <f t="shared" si="40"/>
        <v>22050</v>
      </c>
      <c r="BJ70" s="199">
        <f t="shared" si="41"/>
        <v>53900</v>
      </c>
    </row>
    <row r="71" spans="55:62" ht="24" customHeight="1">
      <c r="BC71" s="192"/>
      <c r="BH71" s="218">
        <f>SUM(BH50:BH70)</f>
        <v>9956044</v>
      </c>
      <c r="BI71" s="218">
        <f t="shared" ref="BI71:BJ71" si="48">SUM(BI50:BI70)</f>
        <v>817992</v>
      </c>
      <c r="BJ71" s="218">
        <f t="shared" si="48"/>
        <v>9138052</v>
      </c>
    </row>
    <row r="72" spans="55:62" ht="24" customHeight="1">
      <c r="BC72" s="192"/>
    </row>
    <row r="73" spans="55:62" ht="24" customHeight="1">
      <c r="BC73" s="192"/>
    </row>
    <row r="74" spans="55:62" ht="24" customHeight="1">
      <c r="BC74" s="192"/>
    </row>
    <row r="75" spans="55:62" ht="24" customHeight="1">
      <c r="BC75" s="192"/>
    </row>
    <row r="76" spans="55:62" ht="24" customHeight="1">
      <c r="BC76" s="192"/>
    </row>
    <row r="77" spans="55:62" ht="24" customHeight="1">
      <c r="BC77" s="192"/>
    </row>
    <row r="78" spans="55:62" ht="24" customHeight="1">
      <c r="BC78" s="192"/>
    </row>
    <row r="79" spans="55:62" ht="24" customHeight="1">
      <c r="BC79" s="192"/>
    </row>
    <row r="80" spans="55:62" ht="24" customHeight="1">
      <c r="BC80" s="192"/>
    </row>
    <row r="81" spans="55:55" ht="24" customHeight="1">
      <c r="BC81" s="192"/>
    </row>
    <row r="82" spans="55:55" ht="24" customHeight="1">
      <c r="BC82" s="192"/>
    </row>
    <row r="83" spans="55:55" ht="24" customHeight="1">
      <c r="BC83" s="192"/>
    </row>
    <row r="84" spans="55:55" ht="24" customHeight="1">
      <c r="BC84" s="192"/>
    </row>
    <row r="85" spans="55:55" ht="24" customHeight="1">
      <c r="BC85" s="192"/>
    </row>
    <row r="86" spans="55:55" ht="24" customHeight="1">
      <c r="BC86" s="192"/>
    </row>
    <row r="87" spans="55:55" ht="24" customHeight="1">
      <c r="BC87" s="192"/>
    </row>
    <row r="88" spans="55:55" ht="24" customHeight="1">
      <c r="BC88" s="192"/>
    </row>
    <row r="89" spans="55:55" ht="24" customHeight="1">
      <c r="BC89" s="192"/>
    </row>
    <row r="90" spans="55:55" ht="24" customHeight="1">
      <c r="BC90" s="192"/>
    </row>
    <row r="91" spans="55:55" ht="24" customHeight="1">
      <c r="BC91" s="192"/>
    </row>
    <row r="92" spans="55:55" ht="24" customHeight="1">
      <c r="BC92" s="192"/>
    </row>
    <row r="93" spans="55:55" ht="24" customHeight="1">
      <c r="BC93" s="192"/>
    </row>
    <row r="94" spans="55:55" ht="24" customHeight="1">
      <c r="BC94" s="192"/>
    </row>
    <row r="95" spans="55:55" ht="24" customHeight="1">
      <c r="BC95" s="192"/>
    </row>
    <row r="96" spans="55:55" ht="24" customHeight="1">
      <c r="BC96" s="192"/>
    </row>
    <row r="97" spans="55:55" ht="24" customHeight="1">
      <c r="BC97" s="192"/>
    </row>
    <row r="98" spans="55:55" ht="24" customHeight="1">
      <c r="BC98" s="192"/>
    </row>
    <row r="99" spans="55:55" ht="24" customHeight="1">
      <c r="BC99" s="192"/>
    </row>
    <row r="100" spans="55:55" ht="24" customHeight="1">
      <c r="BC100" s="192"/>
    </row>
    <row r="101" spans="55:55" ht="24" customHeight="1">
      <c r="BC101" s="192"/>
    </row>
    <row r="102" spans="55:55" ht="24" customHeight="1">
      <c r="BC102" s="192"/>
    </row>
    <row r="103" spans="55:55" ht="24" customHeight="1">
      <c r="BC103" s="192"/>
    </row>
    <row r="104" spans="55:55" ht="24" customHeight="1">
      <c r="BC104" s="192"/>
    </row>
    <row r="105" spans="55:55" ht="24" customHeight="1">
      <c r="BC105" s="192"/>
    </row>
    <row r="106" spans="55:55" ht="24" customHeight="1">
      <c r="BC106" s="192"/>
    </row>
    <row r="107" spans="55:55" ht="24" customHeight="1">
      <c r="BC107" s="192"/>
    </row>
    <row r="108" spans="55:55" ht="24" customHeight="1">
      <c r="BC108" s="192"/>
    </row>
    <row r="109" spans="55:55" ht="24" customHeight="1">
      <c r="BC109" s="192"/>
    </row>
    <row r="110" spans="55:55" ht="24" customHeight="1">
      <c r="BC110" s="192"/>
    </row>
    <row r="111" spans="55:55" ht="24" customHeight="1">
      <c r="BC111" s="192"/>
    </row>
    <row r="112" spans="55:55" ht="24" customHeight="1">
      <c r="BC112" s="192"/>
    </row>
    <row r="113" spans="55:55" ht="24" customHeight="1">
      <c r="BC113" s="192"/>
    </row>
    <row r="114" spans="55:55" ht="24" customHeight="1">
      <c r="BC114" s="192"/>
    </row>
    <row r="115" spans="55:55" ht="24" customHeight="1">
      <c r="BC115" s="192"/>
    </row>
    <row r="116" spans="55:55" ht="24" customHeight="1">
      <c r="BC116" s="192"/>
    </row>
    <row r="117" spans="55:55" ht="24" customHeight="1">
      <c r="BC117" s="192"/>
    </row>
    <row r="118" spans="55:55" ht="24" customHeight="1">
      <c r="BC118" s="192"/>
    </row>
    <row r="119" spans="55:55" ht="24" customHeight="1">
      <c r="BC119" s="192"/>
    </row>
    <row r="120" spans="55:55" ht="24" customHeight="1">
      <c r="BC120" s="192"/>
    </row>
    <row r="121" spans="55:55" ht="24" customHeight="1">
      <c r="BC121" s="192"/>
    </row>
    <row r="122" spans="55:55" ht="24" customHeight="1">
      <c r="BC122" s="192"/>
    </row>
    <row r="123" spans="55:55" ht="24" customHeight="1">
      <c r="BC123" s="192"/>
    </row>
    <row r="124" spans="55:55" ht="24" customHeight="1">
      <c r="BC124" s="192"/>
    </row>
    <row r="125" spans="55:55" ht="24" customHeight="1">
      <c r="BC125" s="192"/>
    </row>
    <row r="126" spans="55:55" ht="24" customHeight="1">
      <c r="BC126" s="192"/>
    </row>
    <row r="127" spans="55:55" ht="24" customHeight="1">
      <c r="BC127" s="192"/>
    </row>
    <row r="128" spans="55:55" ht="24" customHeight="1">
      <c r="BC128" s="192"/>
    </row>
    <row r="129" spans="55:55" ht="24" customHeight="1">
      <c r="BC129" s="192"/>
    </row>
    <row r="130" spans="55:55" ht="24" customHeight="1">
      <c r="BC130" s="192"/>
    </row>
    <row r="131" spans="55:55" ht="24" customHeight="1">
      <c r="BC131" s="192"/>
    </row>
    <row r="132" spans="55:55" ht="24" customHeight="1">
      <c r="BC132" s="192"/>
    </row>
    <row r="133" spans="55:55" ht="24" customHeight="1">
      <c r="BC133" s="192"/>
    </row>
    <row r="134" spans="55:55" ht="24" customHeight="1">
      <c r="BC134" s="192"/>
    </row>
    <row r="135" spans="55:55" ht="24" customHeight="1">
      <c r="BC135" s="192"/>
    </row>
    <row r="136" spans="55:55" ht="24" customHeight="1">
      <c r="BC136" s="192"/>
    </row>
    <row r="137" spans="55:55" ht="24" customHeight="1">
      <c r="BC137" s="192"/>
    </row>
    <row r="138" spans="55:55" ht="24" customHeight="1">
      <c r="BC138" s="192"/>
    </row>
    <row r="139" spans="55:55" ht="24" customHeight="1">
      <c r="BC139" s="192"/>
    </row>
    <row r="140" spans="55:55" ht="24" customHeight="1">
      <c r="BC140" s="192"/>
    </row>
    <row r="141" spans="55:55" ht="24" customHeight="1">
      <c r="BC141" s="192"/>
    </row>
    <row r="142" spans="55:55" ht="24" customHeight="1">
      <c r="BC142" s="192"/>
    </row>
    <row r="143" spans="55:55" ht="24" customHeight="1">
      <c r="BC143" s="192"/>
    </row>
    <row r="144" spans="55:55" ht="24" customHeight="1">
      <c r="BC144" s="192"/>
    </row>
    <row r="145" spans="55:55" ht="24" customHeight="1">
      <c r="BC145" s="192"/>
    </row>
    <row r="146" spans="55:55" ht="24" customHeight="1">
      <c r="BC146" s="192"/>
    </row>
    <row r="147" spans="55:55" ht="24" customHeight="1">
      <c r="BC147" s="192"/>
    </row>
    <row r="148" spans="55:55" ht="24" customHeight="1">
      <c r="BC148" s="192"/>
    </row>
    <row r="149" spans="55:55" ht="24" customHeight="1">
      <c r="BC149" s="192"/>
    </row>
    <row r="150" spans="55:55" ht="24" customHeight="1">
      <c r="BC150" s="192"/>
    </row>
    <row r="151" spans="55:55" ht="24" customHeight="1">
      <c r="BC151" s="192"/>
    </row>
    <row r="152" spans="55:55" ht="24" customHeight="1">
      <c r="BC152" s="192"/>
    </row>
    <row r="153" spans="55:55" ht="24" customHeight="1">
      <c r="BC153" s="192"/>
    </row>
    <row r="154" spans="55:55" ht="24" customHeight="1">
      <c r="BC154" s="192"/>
    </row>
    <row r="155" spans="55:55" ht="24" customHeight="1">
      <c r="BC155" s="192"/>
    </row>
    <row r="156" spans="55:55" ht="24" customHeight="1">
      <c r="BC156" s="192"/>
    </row>
    <row r="157" spans="55:55" ht="24" customHeight="1">
      <c r="BC157" s="192"/>
    </row>
    <row r="158" spans="55:55" ht="24" customHeight="1">
      <c r="BC158" s="192"/>
    </row>
    <row r="159" spans="55:55" ht="24" customHeight="1">
      <c r="BC159" s="192"/>
    </row>
    <row r="160" spans="55:55" ht="24" customHeight="1">
      <c r="BC160" s="192"/>
    </row>
    <row r="161" spans="55:55" ht="24" customHeight="1">
      <c r="BC161" s="192"/>
    </row>
    <row r="162" spans="55:55" ht="24" customHeight="1">
      <c r="BC162" s="192"/>
    </row>
    <row r="163" spans="55:55" ht="24" customHeight="1">
      <c r="BC163" s="192"/>
    </row>
    <row r="164" spans="55:55" ht="24" customHeight="1">
      <c r="BC164" s="192"/>
    </row>
    <row r="165" spans="55:55" ht="24" customHeight="1">
      <c r="BC165" s="192"/>
    </row>
    <row r="166" spans="55:55" ht="24" customHeight="1">
      <c r="BC166" s="192"/>
    </row>
    <row r="167" spans="55:55" ht="24" customHeight="1">
      <c r="BC167" s="192"/>
    </row>
    <row r="168" spans="55:55" ht="24" customHeight="1">
      <c r="BC168" s="192"/>
    </row>
    <row r="169" spans="55:55" ht="24" customHeight="1">
      <c r="BC169" s="192"/>
    </row>
    <row r="170" spans="55:55" ht="24" customHeight="1">
      <c r="BC170" s="192"/>
    </row>
    <row r="171" spans="55:55" ht="24" customHeight="1">
      <c r="BC171" s="192"/>
    </row>
    <row r="172" spans="55:55" ht="24" customHeight="1">
      <c r="BC172" s="192"/>
    </row>
    <row r="173" spans="55:55" ht="24" customHeight="1">
      <c r="BC173" s="192"/>
    </row>
    <row r="174" spans="55:55" ht="24" customHeight="1">
      <c r="BC174" s="192"/>
    </row>
    <row r="175" spans="55:55" ht="24" customHeight="1">
      <c r="BC175" s="192"/>
    </row>
    <row r="176" spans="55:55" ht="24" customHeight="1">
      <c r="BC176" s="192"/>
    </row>
    <row r="177" spans="55:55" ht="24" customHeight="1">
      <c r="BC177" s="192"/>
    </row>
    <row r="178" spans="55:55" ht="24" customHeight="1">
      <c r="BC178" s="192"/>
    </row>
    <row r="179" spans="55:55" ht="24" customHeight="1">
      <c r="BC179" s="192"/>
    </row>
    <row r="180" spans="55:55" ht="24" customHeight="1">
      <c r="BC180" s="192"/>
    </row>
    <row r="181" spans="55:55" ht="24" customHeight="1">
      <c r="BC181" s="192"/>
    </row>
    <row r="182" spans="55:55" ht="24" customHeight="1">
      <c r="BC182" s="192"/>
    </row>
    <row r="183" spans="55:55" ht="24" customHeight="1">
      <c r="BC183" s="192"/>
    </row>
    <row r="184" spans="55:55">
      <c r="BC184" s="192"/>
    </row>
    <row r="185" spans="55:55">
      <c r="BC185" s="192"/>
    </row>
    <row r="186" spans="55:55">
      <c r="BC186" s="192"/>
    </row>
    <row r="187" spans="55:55">
      <c r="BC187" s="192"/>
    </row>
    <row r="188" spans="55:55">
      <c r="BC188" s="192"/>
    </row>
    <row r="189" spans="55:55">
      <c r="BC189" s="192"/>
    </row>
    <row r="190" spans="55:55">
      <c r="BC190" s="192"/>
    </row>
    <row r="191" spans="55:55">
      <c r="BC191" s="192"/>
    </row>
    <row r="192" spans="55:55">
      <c r="BC192" s="192"/>
    </row>
    <row r="193" spans="55:55">
      <c r="BC193" s="192"/>
    </row>
    <row r="194" spans="55:55">
      <c r="BC194" s="192"/>
    </row>
    <row r="195" spans="55:55">
      <c r="BC195" s="192"/>
    </row>
    <row r="196" spans="55:55">
      <c r="BC196" s="192"/>
    </row>
    <row r="197" spans="55:55">
      <c r="BC197" s="192"/>
    </row>
    <row r="198" spans="55:55">
      <c r="BC198" s="192"/>
    </row>
    <row r="199" spans="55:55">
      <c r="BC199" s="192"/>
    </row>
    <row r="200" spans="55:55">
      <c r="BC200" s="192"/>
    </row>
    <row r="201" spans="55:55">
      <c r="BC201" s="192"/>
    </row>
    <row r="202" spans="55:55">
      <c r="BC202" s="192"/>
    </row>
    <row r="203" spans="55:55">
      <c r="BC203" s="192"/>
    </row>
    <row r="204" spans="55:55">
      <c r="BC204" s="192"/>
    </row>
    <row r="205" spans="55:55">
      <c r="BC205" s="192"/>
    </row>
    <row r="206" spans="55:55">
      <c r="BC206" s="192"/>
    </row>
    <row r="207" spans="55:55">
      <c r="BC207" s="192"/>
    </row>
    <row r="208" spans="55:55">
      <c r="BC208" s="192"/>
    </row>
    <row r="209" spans="55:55">
      <c r="BC209" s="192"/>
    </row>
    <row r="210" spans="55:55">
      <c r="BC210" s="192"/>
    </row>
    <row r="211" spans="55:55">
      <c r="BC211" s="192"/>
    </row>
    <row r="212" spans="55:55">
      <c r="BC212" s="192"/>
    </row>
    <row r="213" spans="55:55">
      <c r="BC213" s="192"/>
    </row>
    <row r="214" spans="55:55">
      <c r="BC214" s="192"/>
    </row>
    <row r="215" spans="55:55">
      <c r="BC215" s="192"/>
    </row>
    <row r="216" spans="55:55">
      <c r="BC216" s="192"/>
    </row>
    <row r="217" spans="55:55">
      <c r="BC217" s="192"/>
    </row>
    <row r="218" spans="55:55">
      <c r="BC218" s="192"/>
    </row>
    <row r="219" spans="55:55">
      <c r="BC219" s="192"/>
    </row>
    <row r="220" spans="55:55">
      <c r="BC220" s="192"/>
    </row>
    <row r="221" spans="55:55">
      <c r="BC221" s="192"/>
    </row>
    <row r="222" spans="55:55">
      <c r="BC222" s="192"/>
    </row>
    <row r="223" spans="55:55">
      <c r="BC223" s="192"/>
    </row>
    <row r="224" spans="55:55">
      <c r="BC224" s="192"/>
    </row>
  </sheetData>
  <mergeCells count="22">
    <mergeCell ref="U58:U59"/>
    <mergeCell ref="Y58:AA59"/>
    <mergeCell ref="U52:U53"/>
    <mergeCell ref="Y52:AA53"/>
    <mergeCell ref="U54:U55"/>
    <mergeCell ref="Y54:AA55"/>
    <mergeCell ref="U56:U57"/>
    <mergeCell ref="Y56:AA57"/>
    <mergeCell ref="AO3:AW3"/>
    <mergeCell ref="AX3:BB3"/>
    <mergeCell ref="BC3:BJ3"/>
    <mergeCell ref="D40:K44"/>
    <mergeCell ref="L40:S44"/>
    <mergeCell ref="Y40:AF44"/>
    <mergeCell ref="AG40:AN44"/>
    <mergeCell ref="AO40:AW44"/>
    <mergeCell ref="B3:B4"/>
    <mergeCell ref="D3:K3"/>
    <mergeCell ref="L3:S3"/>
    <mergeCell ref="T3:X3"/>
    <mergeCell ref="Y3:AF3"/>
    <mergeCell ref="AG3:AN3"/>
  </mergeCells>
  <phoneticPr fontId="4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9ADC-BCAD-C14F-951F-9CF9D9605F58}">
  <dimension ref="A1:BN224"/>
  <sheetViews>
    <sheetView tabSelected="1" workbookViewId="0">
      <selection activeCell="D24" sqref="D24"/>
    </sheetView>
  </sheetViews>
  <sheetFormatPr baseColWidth="10" defaultColWidth="11.140625" defaultRowHeight="16"/>
  <cols>
    <col min="1" max="1" width="11.140625" style="47"/>
    <col min="2" max="2" width="10.42578125" style="130" customWidth="1"/>
    <col min="3" max="3" width="12.42578125" style="47" customWidth="1"/>
    <col min="4" max="4" width="4.140625" style="47" customWidth="1"/>
    <col min="5" max="9" width="8.42578125" style="47" customWidth="1"/>
    <col min="10" max="10" width="12" style="47" customWidth="1"/>
    <col min="11" max="11" width="8.42578125" style="47" customWidth="1"/>
    <col min="12" max="12" width="3.85546875" style="47" customWidth="1"/>
    <col min="13" max="17" width="8.42578125" style="47" customWidth="1"/>
    <col min="18" max="18" width="12.42578125" style="47" customWidth="1"/>
    <col min="19" max="19" width="8.42578125" style="47" customWidth="1"/>
    <col min="20" max="23" width="11.140625" style="47"/>
    <col min="24" max="24" width="7.5703125" style="47" customWidth="1"/>
    <col min="25" max="25" width="3" style="47" customWidth="1"/>
    <col min="26" max="30" width="7.5703125" style="47" customWidth="1"/>
    <col min="31" max="31" width="10" style="47" customWidth="1"/>
    <col min="32" max="32" width="7.5703125" style="47" customWidth="1"/>
    <col min="33" max="33" width="3.5703125" style="47" customWidth="1"/>
    <col min="34" max="38" width="7.5703125" style="47" customWidth="1"/>
    <col min="39" max="39" width="11.85546875" style="47" customWidth="1"/>
    <col min="40" max="40" width="10" style="47" customWidth="1"/>
    <col min="41" max="41" width="4.140625" style="47" customWidth="1"/>
    <col min="42" max="46" width="7.5703125" style="47" customWidth="1"/>
    <col min="47" max="47" width="9.140625" style="47" customWidth="1"/>
    <col min="48" max="48" width="11.28515625" style="47" customWidth="1"/>
    <col min="49" max="49" width="7.5703125" style="47" customWidth="1"/>
    <col min="50" max="50" width="5.7109375" style="47" customWidth="1"/>
    <col min="51" max="52" width="9.140625" style="47" customWidth="1"/>
    <col min="53" max="53" width="13.5703125" style="47" customWidth="1"/>
    <col min="54" max="54" width="11.140625" style="47"/>
    <col min="55" max="55" width="14.85546875" style="47" customWidth="1"/>
    <col min="56" max="61" width="11.140625" style="47"/>
    <col min="62" max="62" width="11.140625" style="77"/>
    <col min="63" max="63" width="11.140625" style="47"/>
    <col min="64" max="64" width="11.140625" style="77"/>
    <col min="65" max="16384" width="11.140625" style="47"/>
  </cols>
  <sheetData>
    <row r="1" spans="1:65" s="3" customFormat="1">
      <c r="A1" s="1" t="s">
        <v>0</v>
      </c>
      <c r="B1" s="2"/>
      <c r="BJ1" s="4"/>
      <c r="BL1" s="4"/>
    </row>
    <row r="2" spans="1:65" s="3" customFormat="1" ht="35" thickBot="1">
      <c r="A2" s="5">
        <v>2024</v>
      </c>
      <c r="B2" s="6">
        <v>3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BB2" s="3" t="s">
        <v>1</v>
      </c>
      <c r="BJ2" s="4"/>
      <c r="BL2" s="4"/>
    </row>
    <row r="3" spans="1:65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5"/>
      <c r="AG3" s="16" t="s">
        <v>7</v>
      </c>
      <c r="AH3" s="17"/>
      <c r="AI3" s="17"/>
      <c r="AJ3" s="17"/>
      <c r="AK3" s="17"/>
      <c r="AL3" s="17"/>
      <c r="AM3" s="17"/>
      <c r="AN3" s="18"/>
      <c r="AO3" s="19" t="s">
        <v>8</v>
      </c>
      <c r="AP3" s="20"/>
      <c r="AQ3" s="20"/>
      <c r="AR3" s="20"/>
      <c r="AS3" s="20"/>
      <c r="AT3" s="20"/>
      <c r="AU3" s="20"/>
      <c r="AV3" s="20"/>
      <c r="AW3" s="21"/>
      <c r="AX3" s="22" t="s">
        <v>9</v>
      </c>
      <c r="AY3" s="14"/>
      <c r="AZ3" s="14"/>
      <c r="BA3" s="14"/>
      <c r="BB3" s="23"/>
      <c r="BC3" s="24" t="s">
        <v>10</v>
      </c>
      <c r="BD3" s="25"/>
      <c r="BE3" s="25"/>
      <c r="BF3" s="25"/>
      <c r="BG3" s="25"/>
      <c r="BH3" s="25"/>
      <c r="BI3" s="25"/>
      <c r="BJ3" s="26"/>
      <c r="BL3" s="4"/>
    </row>
    <row r="4" spans="1:65" s="8" customFormat="1" ht="53.25" customHeight="1" thickTop="1" thickBot="1">
      <c r="A4" s="27"/>
      <c r="B4" s="10"/>
      <c r="C4" s="28" t="s">
        <v>11</v>
      </c>
      <c r="D4" s="29" t="s">
        <v>12</v>
      </c>
      <c r="E4" s="30" t="s">
        <v>13</v>
      </c>
      <c r="F4" s="29" t="s">
        <v>14</v>
      </c>
      <c r="G4" s="31" t="s">
        <v>15</v>
      </c>
      <c r="H4" s="29" t="s">
        <v>16</v>
      </c>
      <c r="I4" s="32" t="s">
        <v>17</v>
      </c>
      <c r="J4" s="30" t="s">
        <v>18</v>
      </c>
      <c r="K4" s="29" t="s">
        <v>19</v>
      </c>
      <c r="L4" s="29" t="s">
        <v>20</v>
      </c>
      <c r="M4" s="33" t="s">
        <v>13</v>
      </c>
      <c r="N4" s="29" t="s">
        <v>14</v>
      </c>
      <c r="O4" s="31" t="s">
        <v>15</v>
      </c>
      <c r="P4" s="29" t="s">
        <v>16</v>
      </c>
      <c r="Q4" s="32" t="s">
        <v>17</v>
      </c>
      <c r="R4" s="30" t="s">
        <v>18</v>
      </c>
      <c r="S4" s="34" t="s">
        <v>19</v>
      </c>
      <c r="T4" s="35" t="s">
        <v>21</v>
      </c>
      <c r="U4" s="36" t="s">
        <v>22</v>
      </c>
      <c r="V4" s="36" t="s">
        <v>23</v>
      </c>
      <c r="W4" s="37" t="s">
        <v>24</v>
      </c>
      <c r="X4" s="36"/>
      <c r="Y4" s="38" t="s">
        <v>25</v>
      </c>
      <c r="Z4" s="29" t="s">
        <v>13</v>
      </c>
      <c r="AA4" s="29" t="s">
        <v>22</v>
      </c>
      <c r="AB4" s="31" t="s">
        <v>26</v>
      </c>
      <c r="AC4" s="29" t="s">
        <v>23</v>
      </c>
      <c r="AD4" s="32" t="s">
        <v>27</v>
      </c>
      <c r="AE4" s="33" t="s">
        <v>28</v>
      </c>
      <c r="AF4" s="39" t="s">
        <v>19</v>
      </c>
      <c r="AG4" s="40" t="s">
        <v>29</v>
      </c>
      <c r="AH4" s="29" t="s">
        <v>13</v>
      </c>
      <c r="AI4" s="29" t="s">
        <v>22</v>
      </c>
      <c r="AJ4" s="31" t="s">
        <v>26</v>
      </c>
      <c r="AK4" s="29" t="s">
        <v>23</v>
      </c>
      <c r="AL4" s="32" t="s">
        <v>27</v>
      </c>
      <c r="AM4" s="33" t="s">
        <v>28</v>
      </c>
      <c r="AN4" s="41" t="s">
        <v>19</v>
      </c>
      <c r="AO4" s="42" t="s">
        <v>29</v>
      </c>
      <c r="AP4" s="29" t="s">
        <v>13</v>
      </c>
      <c r="AQ4" s="29" t="s">
        <v>22</v>
      </c>
      <c r="AR4" s="31" t="s">
        <v>26</v>
      </c>
      <c r="AS4" s="29" t="s">
        <v>23</v>
      </c>
      <c r="AT4" s="32" t="s">
        <v>27</v>
      </c>
      <c r="AU4" s="32" t="s">
        <v>30</v>
      </c>
      <c r="AV4" s="33" t="s">
        <v>28</v>
      </c>
      <c r="AW4" s="41" t="s">
        <v>19</v>
      </c>
      <c r="AX4" s="41" t="s">
        <v>21</v>
      </c>
      <c r="AY4" s="36" t="s">
        <v>22</v>
      </c>
      <c r="AZ4" s="36" t="s">
        <v>23</v>
      </c>
      <c r="BA4" s="37" t="s">
        <v>24</v>
      </c>
      <c r="BB4" s="37" t="s">
        <v>31</v>
      </c>
      <c r="BC4" s="43" t="s">
        <v>32</v>
      </c>
      <c r="BD4" s="44" t="s">
        <v>33</v>
      </c>
      <c r="BE4" s="44" t="s">
        <v>34</v>
      </c>
      <c r="BF4" s="44" t="s">
        <v>35</v>
      </c>
      <c r="BG4" s="44" t="s">
        <v>36</v>
      </c>
      <c r="BH4" s="44" t="s">
        <v>37</v>
      </c>
      <c r="BI4" s="44" t="s">
        <v>38</v>
      </c>
      <c r="BJ4" s="45" t="s">
        <v>39</v>
      </c>
      <c r="BL4" s="46"/>
    </row>
    <row r="5" spans="1:65" ht="20" customHeight="1" thickTop="1">
      <c r="B5" s="48">
        <f>DATE($A$2,$B$2,1)</f>
        <v>45352</v>
      </c>
      <c r="C5" s="49"/>
      <c r="D5" s="50"/>
      <c r="E5" s="51">
        <v>21</v>
      </c>
      <c r="F5" s="52">
        <v>59180</v>
      </c>
      <c r="G5" s="53">
        <f t="shared" ref="G5:G35" si="0">ROUNDDOWN(F5/1.1,0)/E5</f>
        <v>2561.9047619047619</v>
      </c>
      <c r="H5" s="52">
        <v>4710</v>
      </c>
      <c r="I5" s="54">
        <f t="shared" ref="I5:I35" si="1">ROUNDDOWN(H5/1.1,0)/E5</f>
        <v>203.85714285714286</v>
      </c>
      <c r="J5" s="55">
        <f t="shared" ref="J5:J35" si="2">F5+H5</f>
        <v>63890</v>
      </c>
      <c r="K5" s="56">
        <f t="shared" ref="K5:K35" si="3">IF(E5="","",J5/E5)</f>
        <v>3042.3809523809523</v>
      </c>
      <c r="L5" s="57"/>
      <c r="M5" s="58">
        <f t="shared" ref="M5:N35" si="4">BC5-E5</f>
        <v>8</v>
      </c>
      <c r="N5" s="59">
        <f t="shared" si="4"/>
        <v>72720</v>
      </c>
      <c r="O5" s="53">
        <f t="shared" ref="O5:O35" si="5">ROUNDDOWN(N5/1.1,0)/M5</f>
        <v>8263.625</v>
      </c>
      <c r="P5" s="59">
        <f t="shared" ref="P5:P35" si="6">BE5-H5</f>
        <v>15510</v>
      </c>
      <c r="Q5" s="54">
        <f t="shared" ref="Q5:Q35" si="7">ROUNDDOWN(P5/1.1,0)/M5</f>
        <v>1762.5</v>
      </c>
      <c r="R5" s="60">
        <f t="shared" ref="R5:R35" si="8">N5+P5</f>
        <v>88230</v>
      </c>
      <c r="S5" s="56">
        <f t="shared" ref="S5:S35" si="9">IF(M5="","",R5/M5)</f>
        <v>11028.75</v>
      </c>
      <c r="T5" s="61">
        <f t="shared" ref="T5:U35" si="10">E5+M5</f>
        <v>29</v>
      </c>
      <c r="U5" s="59">
        <f t="shared" si="10"/>
        <v>131900</v>
      </c>
      <c r="V5" s="59">
        <f t="shared" ref="V5:V35" si="11">H5+P5</f>
        <v>20220</v>
      </c>
      <c r="W5" s="62">
        <f t="shared" ref="W5:W35" si="12">J5+R5</f>
        <v>152120</v>
      </c>
      <c r="X5" s="59"/>
      <c r="Y5" s="63"/>
      <c r="Z5" s="64">
        <v>23</v>
      </c>
      <c r="AA5" s="52">
        <v>9650</v>
      </c>
      <c r="AB5" s="53">
        <f t="shared" ref="AB5:AB35" si="13">AA5/Z5</f>
        <v>419.56521739130437</v>
      </c>
      <c r="AC5" s="52">
        <v>8300</v>
      </c>
      <c r="AD5" s="54">
        <f t="shared" ref="AD5:AD35" si="14">AC5/Z5</f>
        <v>360.86956521739131</v>
      </c>
      <c r="AE5" s="65">
        <f t="shared" ref="AE5:AE35" si="15">AA5+AC5</f>
        <v>17950</v>
      </c>
      <c r="AF5" s="56">
        <f t="shared" ref="AF5:AF35" si="16">IF(Z5="","",AE5/Z5)</f>
        <v>780.43478260869563</v>
      </c>
      <c r="AG5" s="66"/>
      <c r="AH5" s="64">
        <v>31</v>
      </c>
      <c r="AI5" s="52">
        <v>121365</v>
      </c>
      <c r="AJ5" s="53">
        <f t="shared" ref="AJ5:AJ35" si="17">AI5/AH5</f>
        <v>3915</v>
      </c>
      <c r="AK5" s="52">
        <v>40455</v>
      </c>
      <c r="AL5" s="54">
        <f t="shared" ref="AL5:AL35" si="18">AK5/AH5</f>
        <v>1305</v>
      </c>
      <c r="AM5" s="65">
        <f>AI5+AK5</f>
        <v>161820</v>
      </c>
      <c r="AN5" s="67">
        <f t="shared" ref="AN5:AN35" si="19">IF(AH5="","",AM5/AH5)</f>
        <v>5220</v>
      </c>
      <c r="AO5" s="68"/>
      <c r="AP5" s="64"/>
      <c r="AQ5" s="52"/>
      <c r="AR5" s="53" t="e">
        <f t="shared" ref="AR5:AR35" si="20">AQ5/AP5</f>
        <v>#DIV/0!</v>
      </c>
      <c r="AS5" s="52"/>
      <c r="AT5" s="54" t="e">
        <f t="shared" ref="AT5:AT35" si="21">AS5/AP5</f>
        <v>#DIV/0!</v>
      </c>
      <c r="AU5" s="54"/>
      <c r="AV5" s="69">
        <f>AQ5+AS5+AU5</f>
        <v>0</v>
      </c>
      <c r="AW5" s="67" t="str">
        <f t="shared" ref="AW5:AW35" si="22">IF(AP5="","",AV5/AP5)</f>
        <v/>
      </c>
      <c r="AX5" s="70">
        <f t="shared" ref="AX5:AX35" si="23">SUM(E5,M5)</f>
        <v>29</v>
      </c>
      <c r="AY5" s="59">
        <f t="shared" ref="AY5:AY35" si="24">U5+AA5+AI5+AQ5</f>
        <v>262915</v>
      </c>
      <c r="AZ5" s="59">
        <f t="shared" ref="AZ5:AZ35" si="25">V5+AC5+AK5+AS5</f>
        <v>68975</v>
      </c>
      <c r="BA5" s="71">
        <f t="shared" ref="BA5:BA35" si="26">W5+AE5+AM5+AV5</f>
        <v>331890</v>
      </c>
      <c r="BB5" s="72">
        <f>BF5+BG5</f>
        <v>0</v>
      </c>
      <c r="BC5" s="73">
        <v>29</v>
      </c>
      <c r="BD5" s="74">
        <v>131900</v>
      </c>
      <c r="BE5" s="74">
        <v>20220</v>
      </c>
      <c r="BF5" s="75"/>
      <c r="BG5" s="75"/>
      <c r="BH5" s="75"/>
      <c r="BI5" s="75"/>
      <c r="BJ5" s="76">
        <f>SUM(BD5:BG5)</f>
        <v>152120</v>
      </c>
      <c r="BK5" s="47">
        <v>1</v>
      </c>
      <c r="BL5" s="77">
        <f t="shared" ref="BL5:BL35" si="27">BI5+BJ5</f>
        <v>152120</v>
      </c>
    </row>
    <row r="6" spans="1:65" ht="20" customHeight="1">
      <c r="B6" s="78">
        <f t="shared" ref="B6:B35" si="28">B5+1</f>
        <v>45353</v>
      </c>
      <c r="C6" s="79"/>
      <c r="D6" s="50"/>
      <c r="E6" s="51">
        <v>22</v>
      </c>
      <c r="F6" s="52">
        <v>84590</v>
      </c>
      <c r="G6" s="53">
        <f t="shared" si="0"/>
        <v>3495.4545454545455</v>
      </c>
      <c r="H6" s="52">
        <v>14880</v>
      </c>
      <c r="I6" s="54">
        <f t="shared" si="1"/>
        <v>614.86363636363637</v>
      </c>
      <c r="J6" s="55">
        <f t="shared" si="2"/>
        <v>99470</v>
      </c>
      <c r="K6" s="56">
        <f t="shared" si="3"/>
        <v>4521.363636363636</v>
      </c>
      <c r="L6" s="57"/>
      <c r="M6" s="58">
        <f t="shared" si="4"/>
        <v>12</v>
      </c>
      <c r="N6" s="59">
        <f t="shared" si="4"/>
        <v>112420</v>
      </c>
      <c r="O6" s="53">
        <f t="shared" si="5"/>
        <v>8516.6666666666661</v>
      </c>
      <c r="P6" s="59">
        <f t="shared" si="6"/>
        <v>23870</v>
      </c>
      <c r="Q6" s="54">
        <f t="shared" si="7"/>
        <v>1808.3333333333333</v>
      </c>
      <c r="R6" s="60">
        <f t="shared" si="8"/>
        <v>136290</v>
      </c>
      <c r="S6" s="56">
        <f t="shared" si="9"/>
        <v>11357.5</v>
      </c>
      <c r="T6" s="80">
        <f t="shared" si="10"/>
        <v>34</v>
      </c>
      <c r="U6" s="59">
        <f t="shared" si="10"/>
        <v>197010</v>
      </c>
      <c r="V6" s="59">
        <f t="shared" si="11"/>
        <v>38750</v>
      </c>
      <c r="W6" s="62">
        <f t="shared" si="12"/>
        <v>235760</v>
      </c>
      <c r="X6" s="81"/>
      <c r="Y6" s="63"/>
      <c r="Z6" s="64">
        <v>23</v>
      </c>
      <c r="AA6" s="52">
        <v>9670</v>
      </c>
      <c r="AB6" s="53">
        <f t="shared" si="13"/>
        <v>420.43478260869563</v>
      </c>
      <c r="AC6" s="52">
        <v>4280</v>
      </c>
      <c r="AD6" s="54">
        <f t="shared" si="14"/>
        <v>186.08695652173913</v>
      </c>
      <c r="AE6" s="65">
        <f>AA6+AC6</f>
        <v>13950</v>
      </c>
      <c r="AF6" s="56">
        <f t="shared" si="16"/>
        <v>606.52173913043475</v>
      </c>
      <c r="AG6" s="66"/>
      <c r="AH6" s="64"/>
      <c r="AI6" s="52"/>
      <c r="AJ6" s="53" t="e">
        <f t="shared" si="17"/>
        <v>#DIV/0!</v>
      </c>
      <c r="AK6" s="52"/>
      <c r="AL6" s="54" t="e">
        <f t="shared" si="18"/>
        <v>#DIV/0!</v>
      </c>
      <c r="AM6" s="65">
        <f t="shared" ref="AM6:AM35" si="29">AI6+AK6</f>
        <v>0</v>
      </c>
      <c r="AN6" s="67" t="str">
        <f t="shared" si="19"/>
        <v/>
      </c>
      <c r="AO6" s="68"/>
      <c r="AP6" s="64"/>
      <c r="AQ6" s="52"/>
      <c r="AR6" s="53" t="e">
        <f t="shared" si="20"/>
        <v>#DIV/0!</v>
      </c>
      <c r="AS6" s="52"/>
      <c r="AT6" s="54" t="e">
        <f t="shared" si="21"/>
        <v>#DIV/0!</v>
      </c>
      <c r="AU6" s="54"/>
      <c r="AV6" s="69">
        <f t="shared" ref="AV6:AV35" si="30">AQ6+AS6+AU6</f>
        <v>0</v>
      </c>
      <c r="AW6" s="67" t="str">
        <f t="shared" si="22"/>
        <v/>
      </c>
      <c r="AX6" s="82">
        <f t="shared" si="23"/>
        <v>34</v>
      </c>
      <c r="AY6" s="59">
        <f t="shared" si="24"/>
        <v>206680</v>
      </c>
      <c r="AZ6" s="59">
        <f t="shared" si="25"/>
        <v>43030</v>
      </c>
      <c r="BA6" s="71">
        <f t="shared" si="26"/>
        <v>249710</v>
      </c>
      <c r="BB6" s="72">
        <f t="shared" ref="BB6:BB35" si="31">BF6+BG6</f>
        <v>0</v>
      </c>
      <c r="BC6" s="73">
        <v>34</v>
      </c>
      <c r="BD6" s="74">
        <v>197010</v>
      </c>
      <c r="BE6" s="74">
        <v>38750</v>
      </c>
      <c r="BF6" s="75"/>
      <c r="BG6" s="75"/>
      <c r="BH6" s="75"/>
      <c r="BI6" s="75"/>
      <c r="BJ6" s="76">
        <f t="shared" ref="BJ6:BJ35" si="32">SUM(BD6:BG6)</f>
        <v>235760</v>
      </c>
      <c r="BK6" s="47">
        <v>2</v>
      </c>
      <c r="BL6" s="77">
        <f t="shared" si="27"/>
        <v>235760</v>
      </c>
    </row>
    <row r="7" spans="1:65" ht="20" customHeight="1">
      <c r="B7" s="78">
        <f>B6+1</f>
        <v>45354</v>
      </c>
      <c r="C7" s="79"/>
      <c r="D7" s="50"/>
      <c r="E7" s="51">
        <v>25</v>
      </c>
      <c r="F7" s="52">
        <v>99000</v>
      </c>
      <c r="G7" s="53">
        <f t="shared" si="0"/>
        <v>3600</v>
      </c>
      <c r="H7" s="52">
        <v>17660</v>
      </c>
      <c r="I7" s="54">
        <f t="shared" si="1"/>
        <v>642.16</v>
      </c>
      <c r="J7" s="55">
        <f t="shared" si="2"/>
        <v>116660</v>
      </c>
      <c r="K7" s="56">
        <f t="shared" si="3"/>
        <v>4666.3999999999996</v>
      </c>
      <c r="L7" s="57"/>
      <c r="M7" s="58">
        <f t="shared" si="4"/>
        <v>9</v>
      </c>
      <c r="N7" s="59">
        <f t="shared" si="4"/>
        <v>108900</v>
      </c>
      <c r="O7" s="53">
        <f t="shared" si="5"/>
        <v>11000</v>
      </c>
      <c r="P7" s="59">
        <f t="shared" si="6"/>
        <v>20230</v>
      </c>
      <c r="Q7" s="54">
        <f t="shared" si="7"/>
        <v>2043.3333333333333</v>
      </c>
      <c r="R7" s="60">
        <f t="shared" si="8"/>
        <v>129130</v>
      </c>
      <c r="S7" s="56">
        <f t="shared" si="9"/>
        <v>14347.777777777777</v>
      </c>
      <c r="T7" s="80">
        <f t="shared" si="10"/>
        <v>34</v>
      </c>
      <c r="U7" s="59">
        <f t="shared" si="10"/>
        <v>207900</v>
      </c>
      <c r="V7" s="59">
        <f t="shared" si="11"/>
        <v>37890</v>
      </c>
      <c r="W7" s="62">
        <f t="shared" si="12"/>
        <v>245790</v>
      </c>
      <c r="X7" s="81"/>
      <c r="Y7" s="63"/>
      <c r="Z7" s="64">
        <v>30</v>
      </c>
      <c r="AA7" s="52">
        <v>12700</v>
      </c>
      <c r="AB7" s="53">
        <f t="shared" si="13"/>
        <v>423.33333333333331</v>
      </c>
      <c r="AC7" s="52">
        <v>900</v>
      </c>
      <c r="AD7" s="54">
        <f t="shared" si="14"/>
        <v>30</v>
      </c>
      <c r="AE7" s="65">
        <f t="shared" si="15"/>
        <v>13600</v>
      </c>
      <c r="AF7" s="56">
        <f t="shared" si="16"/>
        <v>453.33333333333331</v>
      </c>
      <c r="AG7" s="66"/>
      <c r="AH7" s="64"/>
      <c r="AI7" s="52"/>
      <c r="AJ7" s="53" t="e">
        <f t="shared" si="17"/>
        <v>#DIV/0!</v>
      </c>
      <c r="AK7" s="52"/>
      <c r="AL7" s="54" t="e">
        <f t="shared" si="18"/>
        <v>#DIV/0!</v>
      </c>
      <c r="AM7" s="65">
        <f t="shared" si="29"/>
        <v>0</v>
      </c>
      <c r="AN7" s="67" t="str">
        <f t="shared" si="19"/>
        <v/>
      </c>
      <c r="AO7" s="68"/>
      <c r="AP7" s="64"/>
      <c r="AQ7" s="52"/>
      <c r="AR7" s="53" t="e">
        <f t="shared" si="20"/>
        <v>#DIV/0!</v>
      </c>
      <c r="AS7" s="52"/>
      <c r="AT7" s="54" t="e">
        <f t="shared" si="21"/>
        <v>#DIV/0!</v>
      </c>
      <c r="AU7" s="54"/>
      <c r="AV7" s="69">
        <f t="shared" si="30"/>
        <v>0</v>
      </c>
      <c r="AW7" s="67" t="str">
        <f t="shared" si="22"/>
        <v/>
      </c>
      <c r="AX7" s="82">
        <f t="shared" si="23"/>
        <v>34</v>
      </c>
      <c r="AY7" s="59">
        <f t="shared" si="24"/>
        <v>220600</v>
      </c>
      <c r="AZ7" s="59">
        <f t="shared" si="25"/>
        <v>38790</v>
      </c>
      <c r="BA7" s="71">
        <f t="shared" si="26"/>
        <v>259390</v>
      </c>
      <c r="BB7" s="72">
        <f t="shared" si="31"/>
        <v>6050</v>
      </c>
      <c r="BC7" s="73">
        <v>34</v>
      </c>
      <c r="BD7" s="74">
        <v>207900</v>
      </c>
      <c r="BE7" s="74">
        <v>37890</v>
      </c>
      <c r="BF7" s="75">
        <v>6050</v>
      </c>
      <c r="BG7" s="75"/>
      <c r="BH7" s="75"/>
      <c r="BI7" s="75"/>
      <c r="BJ7" s="76">
        <f t="shared" si="32"/>
        <v>251840</v>
      </c>
      <c r="BK7" s="47">
        <v>3</v>
      </c>
      <c r="BL7" s="77">
        <f t="shared" si="27"/>
        <v>251840</v>
      </c>
    </row>
    <row r="8" spans="1:65" ht="20" customHeight="1">
      <c r="B8" s="78">
        <f t="shared" si="28"/>
        <v>45355</v>
      </c>
      <c r="C8" s="79"/>
      <c r="D8" s="50"/>
      <c r="E8" s="51">
        <v>16</v>
      </c>
      <c r="F8" s="52">
        <v>62370</v>
      </c>
      <c r="G8" s="53">
        <f t="shared" si="0"/>
        <v>3543.75</v>
      </c>
      <c r="H8" s="52">
        <v>13740</v>
      </c>
      <c r="I8" s="54">
        <f t="shared" si="1"/>
        <v>780.625</v>
      </c>
      <c r="J8" s="55">
        <f t="shared" si="2"/>
        <v>76110</v>
      </c>
      <c r="K8" s="56">
        <f t="shared" si="3"/>
        <v>4756.875</v>
      </c>
      <c r="L8" s="57"/>
      <c r="M8" s="58">
        <f t="shared" si="4"/>
        <v>8</v>
      </c>
      <c r="N8" s="59">
        <f t="shared" si="4"/>
        <v>71060</v>
      </c>
      <c r="O8" s="53">
        <f t="shared" si="5"/>
        <v>8075</v>
      </c>
      <c r="P8" s="59">
        <f t="shared" si="6"/>
        <v>18590</v>
      </c>
      <c r="Q8" s="54">
        <f t="shared" si="7"/>
        <v>2112.5</v>
      </c>
      <c r="R8" s="60">
        <f t="shared" si="8"/>
        <v>89650</v>
      </c>
      <c r="S8" s="56">
        <f t="shared" si="9"/>
        <v>11206.25</v>
      </c>
      <c r="T8" s="80">
        <f t="shared" si="10"/>
        <v>24</v>
      </c>
      <c r="U8" s="59">
        <f t="shared" si="10"/>
        <v>133430</v>
      </c>
      <c r="V8" s="59">
        <f t="shared" si="11"/>
        <v>32330</v>
      </c>
      <c r="W8" s="62">
        <f t="shared" si="12"/>
        <v>165760</v>
      </c>
      <c r="X8" s="81"/>
      <c r="Y8" s="63"/>
      <c r="Z8" s="64">
        <v>57</v>
      </c>
      <c r="AA8" s="52">
        <v>22490</v>
      </c>
      <c r="AB8" s="53">
        <f t="shared" si="13"/>
        <v>394.56140350877195</v>
      </c>
      <c r="AC8" s="52">
        <v>2300</v>
      </c>
      <c r="AD8" s="54">
        <f t="shared" si="14"/>
        <v>40.350877192982459</v>
      </c>
      <c r="AE8" s="65">
        <f t="shared" si="15"/>
        <v>24790</v>
      </c>
      <c r="AF8" s="56">
        <f t="shared" si="16"/>
        <v>434.91228070175441</v>
      </c>
      <c r="AG8" s="66"/>
      <c r="AH8" s="64"/>
      <c r="AI8" s="52"/>
      <c r="AJ8" s="53" t="e">
        <f t="shared" si="17"/>
        <v>#DIV/0!</v>
      </c>
      <c r="AK8" s="52"/>
      <c r="AL8" s="54" t="e">
        <f t="shared" si="18"/>
        <v>#DIV/0!</v>
      </c>
      <c r="AM8" s="65">
        <f t="shared" si="29"/>
        <v>0</v>
      </c>
      <c r="AN8" s="67" t="str">
        <f t="shared" si="19"/>
        <v/>
      </c>
      <c r="AO8" s="68"/>
      <c r="AP8" s="64"/>
      <c r="AQ8" s="52"/>
      <c r="AR8" s="53" t="e">
        <f t="shared" si="20"/>
        <v>#DIV/0!</v>
      </c>
      <c r="AS8" s="52"/>
      <c r="AT8" s="54" t="e">
        <f t="shared" si="21"/>
        <v>#DIV/0!</v>
      </c>
      <c r="AU8" s="54"/>
      <c r="AV8" s="69">
        <f t="shared" si="30"/>
        <v>0</v>
      </c>
      <c r="AW8" s="67" t="str">
        <f t="shared" si="22"/>
        <v/>
      </c>
      <c r="AX8" s="82">
        <f t="shared" si="23"/>
        <v>24</v>
      </c>
      <c r="AY8" s="59">
        <f t="shared" si="24"/>
        <v>155920</v>
      </c>
      <c r="AZ8" s="59">
        <f t="shared" si="25"/>
        <v>34630</v>
      </c>
      <c r="BA8" s="71">
        <f t="shared" si="26"/>
        <v>190550</v>
      </c>
      <c r="BB8" s="72">
        <f t="shared" si="31"/>
        <v>2200</v>
      </c>
      <c r="BC8" s="73">
        <v>24</v>
      </c>
      <c r="BD8" s="74">
        <v>133430</v>
      </c>
      <c r="BE8" s="74">
        <v>32330</v>
      </c>
      <c r="BF8" s="75">
        <v>2200</v>
      </c>
      <c r="BG8" s="75"/>
      <c r="BH8" s="75"/>
      <c r="BI8" s="75"/>
      <c r="BJ8" s="76">
        <f t="shared" si="32"/>
        <v>167960</v>
      </c>
      <c r="BK8" s="47">
        <v>4</v>
      </c>
      <c r="BL8" s="77">
        <f t="shared" si="27"/>
        <v>167960</v>
      </c>
    </row>
    <row r="9" spans="1:65" ht="20" customHeight="1">
      <c r="B9" s="78">
        <f t="shared" si="28"/>
        <v>45356</v>
      </c>
      <c r="C9" s="79"/>
      <c r="D9" s="50"/>
      <c r="E9" s="51">
        <v>23</v>
      </c>
      <c r="F9" s="52">
        <v>87230</v>
      </c>
      <c r="G9" s="53">
        <f t="shared" si="0"/>
        <v>3447.8260869565215</v>
      </c>
      <c r="H9" s="52">
        <v>11470</v>
      </c>
      <c r="I9" s="54">
        <f t="shared" si="1"/>
        <v>453.3478260869565</v>
      </c>
      <c r="J9" s="55">
        <f t="shared" si="2"/>
        <v>98700</v>
      </c>
      <c r="K9" s="56">
        <f t="shared" si="3"/>
        <v>4291.304347826087</v>
      </c>
      <c r="L9" s="57"/>
      <c r="M9" s="58">
        <f t="shared" si="4"/>
        <v>17</v>
      </c>
      <c r="N9" s="59">
        <f t="shared" si="4"/>
        <v>146080</v>
      </c>
      <c r="O9" s="53">
        <f t="shared" si="5"/>
        <v>7811.7647058823532</v>
      </c>
      <c r="P9" s="59">
        <f t="shared" si="6"/>
        <v>35900</v>
      </c>
      <c r="Q9" s="54">
        <f t="shared" si="7"/>
        <v>1919.7647058823529</v>
      </c>
      <c r="R9" s="60">
        <f t="shared" si="8"/>
        <v>181980</v>
      </c>
      <c r="S9" s="56">
        <f t="shared" si="9"/>
        <v>10704.705882352941</v>
      </c>
      <c r="T9" s="80">
        <f t="shared" si="10"/>
        <v>40</v>
      </c>
      <c r="U9" s="59">
        <f t="shared" si="10"/>
        <v>233310</v>
      </c>
      <c r="V9" s="59">
        <f t="shared" si="11"/>
        <v>47370</v>
      </c>
      <c r="W9" s="62">
        <f t="shared" si="12"/>
        <v>280680</v>
      </c>
      <c r="X9" s="81"/>
      <c r="Y9" s="63"/>
      <c r="Z9" s="64">
        <v>18</v>
      </c>
      <c r="AA9" s="52">
        <v>6300</v>
      </c>
      <c r="AB9" s="53">
        <f t="shared" si="13"/>
        <v>350</v>
      </c>
      <c r="AC9" s="52">
        <v>5400</v>
      </c>
      <c r="AD9" s="54">
        <f t="shared" si="14"/>
        <v>300</v>
      </c>
      <c r="AE9" s="65">
        <f t="shared" si="15"/>
        <v>11700</v>
      </c>
      <c r="AF9" s="56">
        <f t="shared" si="16"/>
        <v>650</v>
      </c>
      <c r="AG9" s="66"/>
      <c r="AH9" s="64"/>
      <c r="AI9" s="52"/>
      <c r="AJ9" s="53" t="e">
        <f t="shared" si="17"/>
        <v>#DIV/0!</v>
      </c>
      <c r="AK9" s="52"/>
      <c r="AL9" s="54" t="e">
        <f t="shared" si="18"/>
        <v>#DIV/0!</v>
      </c>
      <c r="AM9" s="65">
        <f t="shared" si="29"/>
        <v>0</v>
      </c>
      <c r="AN9" s="67" t="str">
        <f t="shared" si="19"/>
        <v/>
      </c>
      <c r="AO9" s="68"/>
      <c r="AP9" s="64"/>
      <c r="AQ9" s="52"/>
      <c r="AR9" s="53" t="e">
        <f t="shared" si="20"/>
        <v>#DIV/0!</v>
      </c>
      <c r="AS9" s="52"/>
      <c r="AT9" s="54" t="e">
        <f t="shared" si="21"/>
        <v>#DIV/0!</v>
      </c>
      <c r="AU9" s="54"/>
      <c r="AV9" s="69">
        <f t="shared" si="30"/>
        <v>0</v>
      </c>
      <c r="AW9" s="67" t="str">
        <f>IF(AP9="","",AV9/AP9)</f>
        <v/>
      </c>
      <c r="AX9" s="82">
        <f t="shared" si="23"/>
        <v>40</v>
      </c>
      <c r="AY9" s="59">
        <f t="shared" si="24"/>
        <v>239610</v>
      </c>
      <c r="AZ9" s="59">
        <f t="shared" si="25"/>
        <v>52770</v>
      </c>
      <c r="BA9" s="71">
        <f>W9+AE9+AM9+AV9</f>
        <v>292380</v>
      </c>
      <c r="BB9" s="72">
        <f t="shared" si="31"/>
        <v>1650</v>
      </c>
      <c r="BC9" s="73">
        <v>40</v>
      </c>
      <c r="BD9" s="74">
        <v>233310</v>
      </c>
      <c r="BE9" s="74">
        <v>47370</v>
      </c>
      <c r="BF9" s="75">
        <v>1650</v>
      </c>
      <c r="BG9" s="75"/>
      <c r="BH9" s="75"/>
      <c r="BI9" s="75"/>
      <c r="BJ9" s="76">
        <f t="shared" si="32"/>
        <v>282330</v>
      </c>
      <c r="BK9" s="47">
        <v>5</v>
      </c>
      <c r="BL9" s="77">
        <f t="shared" si="27"/>
        <v>282330</v>
      </c>
      <c r="BM9" s="47" t="s">
        <v>103</v>
      </c>
    </row>
    <row r="10" spans="1:65" ht="20" customHeight="1">
      <c r="B10" s="78">
        <f t="shared" si="28"/>
        <v>45357</v>
      </c>
      <c r="C10" s="79"/>
      <c r="D10" s="50"/>
      <c r="E10" s="51">
        <v>32</v>
      </c>
      <c r="F10" s="52">
        <v>121770</v>
      </c>
      <c r="G10" s="53">
        <f t="shared" si="0"/>
        <v>3459.375</v>
      </c>
      <c r="H10" s="52">
        <v>15760</v>
      </c>
      <c r="I10" s="54">
        <f t="shared" si="1"/>
        <v>447.71875</v>
      </c>
      <c r="J10" s="55">
        <f t="shared" si="2"/>
        <v>137530</v>
      </c>
      <c r="K10" s="56">
        <f t="shared" si="3"/>
        <v>4297.8125</v>
      </c>
      <c r="L10" s="57"/>
      <c r="M10" s="58">
        <f t="shared" si="4"/>
        <v>2</v>
      </c>
      <c r="N10" s="59">
        <f t="shared" si="4"/>
        <v>12760</v>
      </c>
      <c r="O10" s="53">
        <f t="shared" si="5"/>
        <v>5800</v>
      </c>
      <c r="P10" s="59">
        <f t="shared" si="6"/>
        <v>2190</v>
      </c>
      <c r="Q10" s="54">
        <f t="shared" si="7"/>
        <v>995</v>
      </c>
      <c r="R10" s="60">
        <f t="shared" si="8"/>
        <v>14950</v>
      </c>
      <c r="S10" s="56">
        <f t="shared" si="9"/>
        <v>7475</v>
      </c>
      <c r="T10" s="80">
        <f t="shared" si="10"/>
        <v>34</v>
      </c>
      <c r="U10" s="59">
        <f t="shared" si="10"/>
        <v>134530</v>
      </c>
      <c r="V10" s="59">
        <f t="shared" si="11"/>
        <v>17950</v>
      </c>
      <c r="W10" s="62">
        <f t="shared" si="12"/>
        <v>152480</v>
      </c>
      <c r="X10" s="81"/>
      <c r="Y10" s="63"/>
      <c r="Z10" s="64">
        <v>40</v>
      </c>
      <c r="AA10" s="52">
        <v>18390</v>
      </c>
      <c r="AB10" s="53">
        <f t="shared" si="13"/>
        <v>459.75</v>
      </c>
      <c r="AC10" s="52">
        <v>9200</v>
      </c>
      <c r="AD10" s="54">
        <f t="shared" si="14"/>
        <v>230</v>
      </c>
      <c r="AE10" s="65">
        <f t="shared" si="15"/>
        <v>27590</v>
      </c>
      <c r="AF10" s="56">
        <f t="shared" si="16"/>
        <v>689.75</v>
      </c>
      <c r="AG10" s="66"/>
      <c r="AH10" s="64"/>
      <c r="AI10" s="52"/>
      <c r="AJ10" s="53" t="e">
        <f t="shared" si="17"/>
        <v>#DIV/0!</v>
      </c>
      <c r="AK10" s="52"/>
      <c r="AL10" s="54" t="e">
        <f t="shared" si="18"/>
        <v>#DIV/0!</v>
      </c>
      <c r="AM10" s="65">
        <f t="shared" si="29"/>
        <v>0</v>
      </c>
      <c r="AN10" s="67" t="str">
        <f t="shared" si="19"/>
        <v/>
      </c>
      <c r="AO10" s="68"/>
      <c r="AP10" s="64"/>
      <c r="AQ10" s="52"/>
      <c r="AR10" s="53" t="e">
        <f t="shared" si="20"/>
        <v>#DIV/0!</v>
      </c>
      <c r="AS10" s="52"/>
      <c r="AT10" s="54" t="e">
        <f t="shared" si="21"/>
        <v>#DIV/0!</v>
      </c>
      <c r="AU10" s="54"/>
      <c r="AV10" s="69">
        <f t="shared" si="30"/>
        <v>0</v>
      </c>
      <c r="AW10" s="67" t="str">
        <f t="shared" si="22"/>
        <v/>
      </c>
      <c r="AX10" s="82">
        <f t="shared" si="23"/>
        <v>34</v>
      </c>
      <c r="AY10" s="59">
        <f t="shared" si="24"/>
        <v>152920</v>
      </c>
      <c r="AZ10" s="59">
        <f t="shared" si="25"/>
        <v>27150</v>
      </c>
      <c r="BA10" s="71">
        <f t="shared" si="26"/>
        <v>180070</v>
      </c>
      <c r="BB10" s="72">
        <f t="shared" si="31"/>
        <v>2200</v>
      </c>
      <c r="BC10" s="73">
        <v>34</v>
      </c>
      <c r="BD10" s="74">
        <v>134530</v>
      </c>
      <c r="BE10" s="74">
        <v>17950</v>
      </c>
      <c r="BF10" s="75">
        <v>2200</v>
      </c>
      <c r="BG10" s="75"/>
      <c r="BH10" s="75"/>
      <c r="BI10" s="75"/>
      <c r="BJ10" s="76">
        <f t="shared" si="32"/>
        <v>154680</v>
      </c>
      <c r="BK10" s="47">
        <v>6</v>
      </c>
      <c r="BL10" s="77">
        <f t="shared" si="27"/>
        <v>154680</v>
      </c>
    </row>
    <row r="11" spans="1:65" ht="20" customHeight="1">
      <c r="B11" s="78">
        <f t="shared" si="28"/>
        <v>45358</v>
      </c>
      <c r="C11" s="79"/>
      <c r="D11" s="50"/>
      <c r="E11" s="51">
        <v>24</v>
      </c>
      <c r="F11" s="52">
        <v>89540</v>
      </c>
      <c r="G11" s="53">
        <f t="shared" si="0"/>
        <v>3391.6666666666665</v>
      </c>
      <c r="H11" s="52">
        <v>4660</v>
      </c>
      <c r="I11" s="54">
        <f t="shared" si="1"/>
        <v>176.5</v>
      </c>
      <c r="J11" s="55">
        <f t="shared" si="2"/>
        <v>94200</v>
      </c>
      <c r="K11" s="56">
        <f t="shared" si="3"/>
        <v>3925</v>
      </c>
      <c r="L11" s="57"/>
      <c r="M11" s="58">
        <f t="shared" si="4"/>
        <v>12</v>
      </c>
      <c r="N11" s="59">
        <f t="shared" si="4"/>
        <v>97080</v>
      </c>
      <c r="O11" s="53">
        <f t="shared" si="5"/>
        <v>7354.5</v>
      </c>
      <c r="P11" s="59">
        <f t="shared" si="6"/>
        <v>42400</v>
      </c>
      <c r="Q11" s="54">
        <f t="shared" si="7"/>
        <v>3212.0833333333335</v>
      </c>
      <c r="R11" s="60">
        <f t="shared" si="8"/>
        <v>139480</v>
      </c>
      <c r="S11" s="56">
        <f t="shared" si="9"/>
        <v>11623.333333333334</v>
      </c>
      <c r="T11" s="80">
        <f t="shared" si="10"/>
        <v>36</v>
      </c>
      <c r="U11" s="59">
        <f t="shared" si="10"/>
        <v>186620</v>
      </c>
      <c r="V11" s="59">
        <f t="shared" si="11"/>
        <v>47060</v>
      </c>
      <c r="W11" s="62">
        <f t="shared" si="12"/>
        <v>233680</v>
      </c>
      <c r="X11" s="81"/>
      <c r="Y11" s="63"/>
      <c r="Z11" s="64">
        <v>28</v>
      </c>
      <c r="AA11" s="52">
        <v>11540</v>
      </c>
      <c r="AB11" s="53">
        <f t="shared" si="13"/>
        <v>412.14285714285717</v>
      </c>
      <c r="AC11" s="52">
        <v>2100</v>
      </c>
      <c r="AD11" s="54">
        <f t="shared" si="14"/>
        <v>75</v>
      </c>
      <c r="AE11" s="65">
        <f t="shared" si="15"/>
        <v>13640</v>
      </c>
      <c r="AF11" s="56">
        <f t="shared" si="16"/>
        <v>487.14285714285717</v>
      </c>
      <c r="AG11" s="66"/>
      <c r="AH11" s="64"/>
      <c r="AI11" s="52"/>
      <c r="AJ11" s="53" t="e">
        <f t="shared" si="17"/>
        <v>#DIV/0!</v>
      </c>
      <c r="AK11" s="52"/>
      <c r="AL11" s="54" t="e">
        <f t="shared" si="18"/>
        <v>#DIV/0!</v>
      </c>
      <c r="AM11" s="65">
        <f t="shared" si="29"/>
        <v>0</v>
      </c>
      <c r="AN11" s="67" t="str">
        <f t="shared" si="19"/>
        <v/>
      </c>
      <c r="AO11" s="68"/>
      <c r="AP11" s="64"/>
      <c r="AQ11" s="52"/>
      <c r="AR11" s="53" t="e">
        <f t="shared" si="20"/>
        <v>#DIV/0!</v>
      </c>
      <c r="AS11" s="52"/>
      <c r="AT11" s="54" t="e">
        <f t="shared" si="21"/>
        <v>#DIV/0!</v>
      </c>
      <c r="AU11" s="54"/>
      <c r="AV11" s="69">
        <f t="shared" si="30"/>
        <v>0</v>
      </c>
      <c r="AW11" s="67" t="str">
        <f t="shared" si="22"/>
        <v/>
      </c>
      <c r="AX11" s="82">
        <f t="shared" si="23"/>
        <v>36</v>
      </c>
      <c r="AY11" s="59">
        <f t="shared" si="24"/>
        <v>198160</v>
      </c>
      <c r="AZ11" s="59">
        <f t="shared" si="25"/>
        <v>49160</v>
      </c>
      <c r="BA11" s="71">
        <f t="shared" si="26"/>
        <v>247320</v>
      </c>
      <c r="BB11" s="72">
        <f t="shared" si="31"/>
        <v>1650</v>
      </c>
      <c r="BC11" s="73">
        <v>36</v>
      </c>
      <c r="BD11" s="74">
        <v>186620</v>
      </c>
      <c r="BE11" s="74">
        <v>47060</v>
      </c>
      <c r="BF11" s="75">
        <v>1650</v>
      </c>
      <c r="BG11" s="75"/>
      <c r="BH11" s="75"/>
      <c r="BI11" s="75"/>
      <c r="BJ11" s="76">
        <f t="shared" si="32"/>
        <v>235330</v>
      </c>
      <c r="BK11" s="47">
        <v>7</v>
      </c>
      <c r="BL11" s="77">
        <f t="shared" si="27"/>
        <v>235330</v>
      </c>
    </row>
    <row r="12" spans="1:65" ht="20" customHeight="1">
      <c r="B12" s="78">
        <f t="shared" si="28"/>
        <v>45359</v>
      </c>
      <c r="C12" s="83"/>
      <c r="D12" s="50"/>
      <c r="E12" s="51">
        <v>24</v>
      </c>
      <c r="F12" s="52">
        <v>92620</v>
      </c>
      <c r="G12" s="53">
        <f t="shared" si="0"/>
        <v>3508.3333333333335</v>
      </c>
      <c r="H12" s="52">
        <v>11700</v>
      </c>
      <c r="I12" s="54">
        <f t="shared" si="1"/>
        <v>443.16666666666669</v>
      </c>
      <c r="J12" s="55">
        <f t="shared" si="2"/>
        <v>104320</v>
      </c>
      <c r="K12" s="56">
        <f t="shared" si="3"/>
        <v>4346.666666666667</v>
      </c>
      <c r="L12" s="57"/>
      <c r="M12" s="58">
        <f t="shared" si="4"/>
        <v>14</v>
      </c>
      <c r="N12" s="59">
        <f t="shared" si="4"/>
        <v>128770</v>
      </c>
      <c r="O12" s="53">
        <f t="shared" si="5"/>
        <v>8361.6428571428569</v>
      </c>
      <c r="P12" s="59">
        <f t="shared" si="6"/>
        <v>28210</v>
      </c>
      <c r="Q12" s="84">
        <f t="shared" si="7"/>
        <v>1831.7857142857142</v>
      </c>
      <c r="R12" s="60">
        <f t="shared" si="8"/>
        <v>156980</v>
      </c>
      <c r="S12" s="56">
        <f t="shared" si="9"/>
        <v>11212.857142857143</v>
      </c>
      <c r="T12" s="80">
        <f t="shared" si="10"/>
        <v>38</v>
      </c>
      <c r="U12" s="59">
        <f t="shared" si="10"/>
        <v>221390</v>
      </c>
      <c r="V12" s="59">
        <f t="shared" si="11"/>
        <v>39910</v>
      </c>
      <c r="W12" s="62">
        <f t="shared" si="12"/>
        <v>261300</v>
      </c>
      <c r="X12" s="81"/>
      <c r="Y12" s="63"/>
      <c r="Z12" s="64">
        <v>26</v>
      </c>
      <c r="AA12" s="52">
        <v>11660</v>
      </c>
      <c r="AB12" s="53">
        <f t="shared" si="13"/>
        <v>448.46153846153845</v>
      </c>
      <c r="AC12" s="52">
        <v>2800</v>
      </c>
      <c r="AD12" s="54">
        <f t="shared" si="14"/>
        <v>107.69230769230769</v>
      </c>
      <c r="AE12" s="65">
        <f t="shared" si="15"/>
        <v>14460</v>
      </c>
      <c r="AF12" s="56">
        <f t="shared" si="16"/>
        <v>556.15384615384619</v>
      </c>
      <c r="AG12" s="66"/>
      <c r="AH12" s="64"/>
      <c r="AI12" s="52"/>
      <c r="AJ12" s="53" t="e">
        <f t="shared" si="17"/>
        <v>#DIV/0!</v>
      </c>
      <c r="AK12" s="52"/>
      <c r="AL12" s="54" t="e">
        <f t="shared" si="18"/>
        <v>#DIV/0!</v>
      </c>
      <c r="AM12" s="65">
        <f t="shared" si="29"/>
        <v>0</v>
      </c>
      <c r="AN12" s="67" t="str">
        <f t="shared" si="19"/>
        <v/>
      </c>
      <c r="AO12" s="68"/>
      <c r="AP12" s="64"/>
      <c r="AQ12" s="52"/>
      <c r="AR12" s="53" t="e">
        <f t="shared" si="20"/>
        <v>#DIV/0!</v>
      </c>
      <c r="AS12" s="52"/>
      <c r="AT12" s="54" t="e">
        <f t="shared" si="21"/>
        <v>#DIV/0!</v>
      </c>
      <c r="AU12" s="54"/>
      <c r="AV12" s="69">
        <f t="shared" si="30"/>
        <v>0</v>
      </c>
      <c r="AW12" s="67" t="str">
        <f t="shared" si="22"/>
        <v/>
      </c>
      <c r="AX12" s="82">
        <f t="shared" si="23"/>
        <v>38</v>
      </c>
      <c r="AY12" s="59">
        <f t="shared" si="24"/>
        <v>233050</v>
      </c>
      <c r="AZ12" s="59">
        <f t="shared" si="25"/>
        <v>42710</v>
      </c>
      <c r="BA12" s="71">
        <f t="shared" si="26"/>
        <v>275760</v>
      </c>
      <c r="BB12" s="72">
        <f t="shared" si="31"/>
        <v>3300</v>
      </c>
      <c r="BC12" s="73">
        <v>38</v>
      </c>
      <c r="BD12" s="74">
        <v>221390</v>
      </c>
      <c r="BE12" s="74">
        <v>39910</v>
      </c>
      <c r="BF12" s="75">
        <v>3300</v>
      </c>
      <c r="BG12" s="75"/>
      <c r="BH12" s="75"/>
      <c r="BI12" s="75"/>
      <c r="BJ12" s="76">
        <f t="shared" si="32"/>
        <v>264600</v>
      </c>
      <c r="BK12" s="47">
        <v>8</v>
      </c>
      <c r="BL12" s="77">
        <f t="shared" si="27"/>
        <v>264600</v>
      </c>
    </row>
    <row r="13" spans="1:65" ht="20" customHeight="1">
      <c r="B13" s="78">
        <f t="shared" si="28"/>
        <v>45360</v>
      </c>
      <c r="C13" s="79"/>
      <c r="D13" s="50"/>
      <c r="E13" s="51">
        <v>32</v>
      </c>
      <c r="F13" s="52">
        <v>131450</v>
      </c>
      <c r="G13" s="53">
        <f t="shared" si="0"/>
        <v>3734.375</v>
      </c>
      <c r="H13" s="52">
        <v>37780</v>
      </c>
      <c r="I13" s="54">
        <f t="shared" si="1"/>
        <v>1073.28125</v>
      </c>
      <c r="J13" s="55">
        <f t="shared" si="2"/>
        <v>169230</v>
      </c>
      <c r="K13" s="56">
        <f t="shared" si="3"/>
        <v>5288.4375</v>
      </c>
      <c r="L13" s="57"/>
      <c r="M13" s="58">
        <f t="shared" si="4"/>
        <v>23</v>
      </c>
      <c r="N13" s="59">
        <f t="shared" si="4"/>
        <v>239250</v>
      </c>
      <c r="O13" s="53">
        <f t="shared" si="5"/>
        <v>9456.5217391304341</v>
      </c>
      <c r="P13" s="59">
        <f t="shared" si="6"/>
        <v>58410</v>
      </c>
      <c r="Q13" s="54">
        <f t="shared" si="7"/>
        <v>2308.695652173913</v>
      </c>
      <c r="R13" s="60">
        <f t="shared" si="8"/>
        <v>297660</v>
      </c>
      <c r="S13" s="56">
        <f t="shared" si="9"/>
        <v>12941.739130434782</v>
      </c>
      <c r="T13" s="80">
        <f t="shared" si="10"/>
        <v>55</v>
      </c>
      <c r="U13" s="59">
        <f t="shared" si="10"/>
        <v>370700</v>
      </c>
      <c r="V13" s="59">
        <f t="shared" si="11"/>
        <v>96190</v>
      </c>
      <c r="W13" s="62">
        <f t="shared" si="12"/>
        <v>466890</v>
      </c>
      <c r="X13" s="81"/>
      <c r="Y13" s="63"/>
      <c r="Z13" s="64">
        <v>23</v>
      </c>
      <c r="AA13" s="52">
        <v>9050</v>
      </c>
      <c r="AB13" s="53">
        <f t="shared" si="13"/>
        <v>393.47826086956519</v>
      </c>
      <c r="AC13" s="52">
        <v>6300</v>
      </c>
      <c r="AD13" s="54">
        <f t="shared" si="14"/>
        <v>273.91304347826087</v>
      </c>
      <c r="AE13" s="65">
        <f t="shared" si="15"/>
        <v>15350</v>
      </c>
      <c r="AF13" s="56">
        <f t="shared" si="16"/>
        <v>667.39130434782612</v>
      </c>
      <c r="AG13" s="66"/>
      <c r="AH13" s="64">
        <v>18</v>
      </c>
      <c r="AI13" s="52">
        <v>58725</v>
      </c>
      <c r="AJ13" s="53">
        <f t="shared" si="17"/>
        <v>3262.5</v>
      </c>
      <c r="AK13" s="52">
        <v>27612</v>
      </c>
      <c r="AL13" s="54">
        <f t="shared" si="18"/>
        <v>1534</v>
      </c>
      <c r="AM13" s="65">
        <f t="shared" si="29"/>
        <v>86337</v>
      </c>
      <c r="AN13" s="67">
        <f t="shared" si="19"/>
        <v>4796.5</v>
      </c>
      <c r="AO13" s="68"/>
      <c r="AP13" s="64"/>
      <c r="AQ13" s="52"/>
      <c r="AR13" s="53" t="e">
        <f t="shared" si="20"/>
        <v>#DIV/0!</v>
      </c>
      <c r="AS13" s="52"/>
      <c r="AT13" s="54" t="e">
        <f t="shared" si="21"/>
        <v>#DIV/0!</v>
      </c>
      <c r="AU13" s="54"/>
      <c r="AV13" s="69">
        <f>AQ13+AS13+AU13</f>
        <v>0</v>
      </c>
      <c r="AW13" s="67" t="str">
        <f t="shared" si="22"/>
        <v/>
      </c>
      <c r="AX13" s="82">
        <f t="shared" si="23"/>
        <v>55</v>
      </c>
      <c r="AY13" s="59">
        <f t="shared" si="24"/>
        <v>438475</v>
      </c>
      <c r="AZ13" s="59">
        <f t="shared" si="25"/>
        <v>130102</v>
      </c>
      <c r="BA13" s="71">
        <f t="shared" si="26"/>
        <v>568577</v>
      </c>
      <c r="BB13" s="72">
        <f t="shared" si="31"/>
        <v>3300</v>
      </c>
      <c r="BC13" s="73">
        <v>55</v>
      </c>
      <c r="BD13" s="74">
        <v>370700</v>
      </c>
      <c r="BE13" s="74">
        <v>96190</v>
      </c>
      <c r="BF13" s="75">
        <v>3300</v>
      </c>
      <c r="BG13" s="75"/>
      <c r="BH13" s="75"/>
      <c r="BI13" s="75"/>
      <c r="BJ13" s="76">
        <f t="shared" si="32"/>
        <v>470190</v>
      </c>
      <c r="BK13" s="47">
        <v>9</v>
      </c>
      <c r="BL13" s="77">
        <f t="shared" si="27"/>
        <v>470190</v>
      </c>
    </row>
    <row r="14" spans="1:65" ht="20" customHeight="1">
      <c r="B14" s="78">
        <f t="shared" si="28"/>
        <v>45361</v>
      </c>
      <c r="C14" s="79"/>
      <c r="D14" s="50"/>
      <c r="E14" s="51">
        <v>27</v>
      </c>
      <c r="F14" s="52">
        <v>122210</v>
      </c>
      <c r="G14" s="53">
        <f t="shared" si="0"/>
        <v>4114.8148148148148</v>
      </c>
      <c r="H14" s="52">
        <v>17650</v>
      </c>
      <c r="I14" s="54">
        <f t="shared" si="1"/>
        <v>594.25925925925924</v>
      </c>
      <c r="J14" s="55">
        <f t="shared" si="2"/>
        <v>139860</v>
      </c>
      <c r="K14" s="56">
        <f t="shared" si="3"/>
        <v>5180</v>
      </c>
      <c r="L14" s="57"/>
      <c r="M14" s="58">
        <f t="shared" si="4"/>
        <v>9</v>
      </c>
      <c r="N14" s="59">
        <f t="shared" si="4"/>
        <v>109890</v>
      </c>
      <c r="O14" s="53">
        <f t="shared" si="5"/>
        <v>11100</v>
      </c>
      <c r="P14" s="59">
        <f t="shared" si="6"/>
        <v>8610</v>
      </c>
      <c r="Q14" s="54">
        <f t="shared" si="7"/>
        <v>869.66666666666663</v>
      </c>
      <c r="R14" s="60">
        <f t="shared" si="8"/>
        <v>118500</v>
      </c>
      <c r="S14" s="56">
        <f t="shared" si="9"/>
        <v>13166.666666666666</v>
      </c>
      <c r="T14" s="80">
        <f t="shared" si="10"/>
        <v>36</v>
      </c>
      <c r="U14" s="59">
        <f t="shared" si="10"/>
        <v>232100</v>
      </c>
      <c r="V14" s="59">
        <f t="shared" si="11"/>
        <v>26260</v>
      </c>
      <c r="W14" s="62">
        <f t="shared" si="12"/>
        <v>258360</v>
      </c>
      <c r="X14" s="81"/>
      <c r="Y14" s="63"/>
      <c r="Z14" s="64">
        <v>34</v>
      </c>
      <c r="AA14" s="52">
        <v>14070</v>
      </c>
      <c r="AB14" s="53">
        <f t="shared" si="13"/>
        <v>413.8235294117647</v>
      </c>
      <c r="AC14" s="52">
        <v>7550</v>
      </c>
      <c r="AD14" s="54">
        <f t="shared" si="14"/>
        <v>222.05882352941177</v>
      </c>
      <c r="AE14" s="65">
        <f t="shared" si="15"/>
        <v>21620</v>
      </c>
      <c r="AF14" s="56">
        <f t="shared" si="16"/>
        <v>635.88235294117646</v>
      </c>
      <c r="AG14" s="66"/>
      <c r="AH14" s="64"/>
      <c r="AI14" s="52"/>
      <c r="AJ14" s="53" t="e">
        <f t="shared" si="17"/>
        <v>#DIV/0!</v>
      </c>
      <c r="AK14" s="52"/>
      <c r="AL14" s="54" t="e">
        <f t="shared" si="18"/>
        <v>#DIV/0!</v>
      </c>
      <c r="AM14" s="65">
        <f t="shared" si="29"/>
        <v>0</v>
      </c>
      <c r="AN14" s="67" t="str">
        <f t="shared" si="19"/>
        <v/>
      </c>
      <c r="AO14" s="68"/>
      <c r="AP14" s="64"/>
      <c r="AQ14" s="52"/>
      <c r="AR14" s="53" t="e">
        <f t="shared" si="20"/>
        <v>#DIV/0!</v>
      </c>
      <c r="AS14" s="52"/>
      <c r="AT14" s="54" t="e">
        <f t="shared" si="21"/>
        <v>#DIV/0!</v>
      </c>
      <c r="AU14" s="54"/>
      <c r="AV14" s="69">
        <f t="shared" si="30"/>
        <v>0</v>
      </c>
      <c r="AW14" s="67" t="str">
        <f t="shared" si="22"/>
        <v/>
      </c>
      <c r="AX14" s="82">
        <f t="shared" si="23"/>
        <v>36</v>
      </c>
      <c r="AY14" s="59">
        <f t="shared" si="24"/>
        <v>246170</v>
      </c>
      <c r="AZ14" s="59">
        <f t="shared" si="25"/>
        <v>33810</v>
      </c>
      <c r="BA14" s="71">
        <f t="shared" si="26"/>
        <v>279980</v>
      </c>
      <c r="BB14" s="72">
        <f t="shared" si="31"/>
        <v>8800</v>
      </c>
      <c r="BC14" s="73">
        <v>36</v>
      </c>
      <c r="BD14" s="74">
        <v>232100</v>
      </c>
      <c r="BE14" s="74">
        <v>26260</v>
      </c>
      <c r="BF14" s="75">
        <v>8800</v>
      </c>
      <c r="BG14" s="75"/>
      <c r="BH14" s="75"/>
      <c r="BI14" s="75"/>
      <c r="BJ14" s="76">
        <f t="shared" si="32"/>
        <v>267160</v>
      </c>
      <c r="BK14" s="47">
        <v>10</v>
      </c>
      <c r="BL14" s="77">
        <f t="shared" si="27"/>
        <v>267160</v>
      </c>
    </row>
    <row r="15" spans="1:65" ht="20" customHeight="1">
      <c r="B15" s="78">
        <f t="shared" si="28"/>
        <v>45362</v>
      </c>
      <c r="C15" s="83"/>
      <c r="D15" s="50"/>
      <c r="E15" s="51">
        <v>30</v>
      </c>
      <c r="F15" s="52">
        <v>127930</v>
      </c>
      <c r="G15" s="53">
        <f t="shared" si="0"/>
        <v>3876.6666666666665</v>
      </c>
      <c r="H15" s="52">
        <v>23390</v>
      </c>
      <c r="I15" s="54">
        <f t="shared" si="1"/>
        <v>708.76666666666665</v>
      </c>
      <c r="J15" s="55">
        <f t="shared" si="2"/>
        <v>151320</v>
      </c>
      <c r="K15" s="56">
        <f t="shared" si="3"/>
        <v>5044</v>
      </c>
      <c r="L15" s="57"/>
      <c r="M15" s="58">
        <f t="shared" si="4"/>
        <v>11</v>
      </c>
      <c r="N15" s="59">
        <f t="shared" si="4"/>
        <v>95000</v>
      </c>
      <c r="O15" s="53">
        <f t="shared" si="5"/>
        <v>7851.181818181818</v>
      </c>
      <c r="P15" s="59">
        <f t="shared" si="6"/>
        <v>37500</v>
      </c>
      <c r="Q15" s="54">
        <f t="shared" si="7"/>
        <v>3099.090909090909</v>
      </c>
      <c r="R15" s="60">
        <f t="shared" si="8"/>
        <v>132500</v>
      </c>
      <c r="S15" s="56">
        <f t="shared" si="9"/>
        <v>12045.454545454546</v>
      </c>
      <c r="T15" s="80">
        <f t="shared" si="10"/>
        <v>41</v>
      </c>
      <c r="U15" s="59">
        <f t="shared" si="10"/>
        <v>222930</v>
      </c>
      <c r="V15" s="59">
        <f t="shared" si="11"/>
        <v>60890</v>
      </c>
      <c r="W15" s="62">
        <f t="shared" si="12"/>
        <v>283820</v>
      </c>
      <c r="X15" s="81"/>
      <c r="Y15" s="63"/>
      <c r="Z15" s="64">
        <v>18</v>
      </c>
      <c r="AA15" s="52">
        <v>8580</v>
      </c>
      <c r="AB15" s="53">
        <f t="shared" si="13"/>
        <v>476.66666666666669</v>
      </c>
      <c r="AC15" s="52">
        <v>3600</v>
      </c>
      <c r="AD15" s="54">
        <f t="shared" si="14"/>
        <v>200</v>
      </c>
      <c r="AE15" s="65">
        <f t="shared" si="15"/>
        <v>12180</v>
      </c>
      <c r="AF15" s="56">
        <f t="shared" si="16"/>
        <v>676.66666666666663</v>
      </c>
      <c r="AG15" s="66"/>
      <c r="AH15" s="64"/>
      <c r="AI15" s="52"/>
      <c r="AJ15" s="53" t="e">
        <f t="shared" si="17"/>
        <v>#DIV/0!</v>
      </c>
      <c r="AK15" s="52"/>
      <c r="AL15" s="54" t="e">
        <f t="shared" si="18"/>
        <v>#DIV/0!</v>
      </c>
      <c r="AM15" s="65">
        <f t="shared" si="29"/>
        <v>0</v>
      </c>
      <c r="AN15" s="67" t="str">
        <f t="shared" si="19"/>
        <v/>
      </c>
      <c r="AO15" s="68"/>
      <c r="AP15" s="64"/>
      <c r="AQ15" s="52"/>
      <c r="AR15" s="53" t="e">
        <f t="shared" si="20"/>
        <v>#DIV/0!</v>
      </c>
      <c r="AS15" s="52"/>
      <c r="AT15" s="54" t="e">
        <f t="shared" si="21"/>
        <v>#DIV/0!</v>
      </c>
      <c r="AU15" s="54"/>
      <c r="AV15" s="69">
        <f t="shared" si="30"/>
        <v>0</v>
      </c>
      <c r="AW15" s="67" t="str">
        <f t="shared" si="22"/>
        <v/>
      </c>
      <c r="AX15" s="82">
        <f t="shared" si="23"/>
        <v>41</v>
      </c>
      <c r="AY15" s="59">
        <f t="shared" si="24"/>
        <v>231510</v>
      </c>
      <c r="AZ15" s="59">
        <f t="shared" si="25"/>
        <v>64490</v>
      </c>
      <c r="BA15" s="71">
        <f t="shared" si="26"/>
        <v>296000</v>
      </c>
      <c r="BB15" s="72">
        <f t="shared" si="31"/>
        <v>0</v>
      </c>
      <c r="BC15" s="73">
        <v>41</v>
      </c>
      <c r="BD15" s="74">
        <v>222930</v>
      </c>
      <c r="BE15" s="74">
        <v>60890</v>
      </c>
      <c r="BF15" s="75"/>
      <c r="BG15" s="75"/>
      <c r="BH15" s="75"/>
      <c r="BI15" s="75"/>
      <c r="BJ15" s="76">
        <f t="shared" si="32"/>
        <v>283820</v>
      </c>
      <c r="BK15" s="47">
        <v>11</v>
      </c>
      <c r="BL15" s="77">
        <f t="shared" si="27"/>
        <v>283820</v>
      </c>
    </row>
    <row r="16" spans="1:65" ht="20" customHeight="1">
      <c r="B16" s="78">
        <f t="shared" si="28"/>
        <v>45363</v>
      </c>
      <c r="C16" s="79"/>
      <c r="D16" s="50"/>
      <c r="E16" s="51">
        <v>17</v>
      </c>
      <c r="F16" s="52">
        <v>63140</v>
      </c>
      <c r="G16" s="53">
        <f t="shared" si="0"/>
        <v>3376.4705882352941</v>
      </c>
      <c r="H16" s="52">
        <v>6960</v>
      </c>
      <c r="I16" s="54">
        <f t="shared" si="1"/>
        <v>372.1764705882353</v>
      </c>
      <c r="J16" s="55">
        <f t="shared" si="2"/>
        <v>70100</v>
      </c>
      <c r="K16" s="56">
        <f t="shared" si="3"/>
        <v>4123.5294117647063</v>
      </c>
      <c r="L16" s="57"/>
      <c r="M16" s="58">
        <f t="shared" si="4"/>
        <v>16</v>
      </c>
      <c r="N16" s="59">
        <f t="shared" si="4"/>
        <v>115390</v>
      </c>
      <c r="O16" s="53">
        <f t="shared" si="5"/>
        <v>6556.25</v>
      </c>
      <c r="P16" s="59">
        <f t="shared" si="6"/>
        <v>51130</v>
      </c>
      <c r="Q16" s="54">
        <f t="shared" si="7"/>
        <v>2905.0625</v>
      </c>
      <c r="R16" s="60">
        <f t="shared" si="8"/>
        <v>166520</v>
      </c>
      <c r="S16" s="56">
        <f t="shared" si="9"/>
        <v>10407.5</v>
      </c>
      <c r="T16" s="80">
        <f t="shared" si="10"/>
        <v>33</v>
      </c>
      <c r="U16" s="59">
        <f t="shared" si="10"/>
        <v>178530</v>
      </c>
      <c r="V16" s="59">
        <f t="shared" si="11"/>
        <v>58090</v>
      </c>
      <c r="W16" s="62">
        <f t="shared" si="12"/>
        <v>236620</v>
      </c>
      <c r="X16" s="81"/>
      <c r="Y16" s="63"/>
      <c r="Z16" s="64">
        <v>41</v>
      </c>
      <c r="AA16" s="52">
        <v>15950</v>
      </c>
      <c r="AB16" s="53">
        <f t="shared" si="13"/>
        <v>389.02439024390242</v>
      </c>
      <c r="AC16" s="52">
        <v>2900</v>
      </c>
      <c r="AD16" s="54">
        <f t="shared" si="14"/>
        <v>70.731707317073173</v>
      </c>
      <c r="AE16" s="65">
        <f t="shared" si="15"/>
        <v>18850</v>
      </c>
      <c r="AF16" s="56">
        <f t="shared" si="16"/>
        <v>459.7560975609756</v>
      </c>
      <c r="AG16" s="66"/>
      <c r="AH16" s="64"/>
      <c r="AI16" s="52"/>
      <c r="AJ16" s="53" t="e">
        <f t="shared" si="17"/>
        <v>#DIV/0!</v>
      </c>
      <c r="AK16" s="52"/>
      <c r="AL16" s="54" t="e">
        <f t="shared" si="18"/>
        <v>#DIV/0!</v>
      </c>
      <c r="AM16" s="65">
        <f t="shared" si="29"/>
        <v>0</v>
      </c>
      <c r="AN16" s="67" t="str">
        <f t="shared" si="19"/>
        <v/>
      </c>
      <c r="AO16" s="68"/>
      <c r="AP16" s="64"/>
      <c r="AQ16" s="52"/>
      <c r="AR16" s="53" t="e">
        <f t="shared" si="20"/>
        <v>#DIV/0!</v>
      </c>
      <c r="AS16" s="52"/>
      <c r="AT16" s="54" t="e">
        <f t="shared" si="21"/>
        <v>#DIV/0!</v>
      </c>
      <c r="AU16" s="54"/>
      <c r="AV16" s="69">
        <f t="shared" si="30"/>
        <v>0</v>
      </c>
      <c r="AW16" s="67" t="str">
        <f t="shared" si="22"/>
        <v/>
      </c>
      <c r="AX16" s="82">
        <f t="shared" si="23"/>
        <v>33</v>
      </c>
      <c r="AY16" s="59">
        <f t="shared" si="24"/>
        <v>194480</v>
      </c>
      <c r="AZ16" s="59">
        <f t="shared" si="25"/>
        <v>60990</v>
      </c>
      <c r="BA16" s="71">
        <f t="shared" si="26"/>
        <v>255470</v>
      </c>
      <c r="BB16" s="72">
        <f t="shared" si="31"/>
        <v>2200</v>
      </c>
      <c r="BC16" s="73">
        <v>33</v>
      </c>
      <c r="BD16" s="74">
        <v>178530</v>
      </c>
      <c r="BE16" s="74">
        <v>58090</v>
      </c>
      <c r="BF16" s="75">
        <v>2200</v>
      </c>
      <c r="BG16" s="75"/>
      <c r="BH16" s="75"/>
      <c r="BI16" s="75"/>
      <c r="BJ16" s="76">
        <f t="shared" si="32"/>
        <v>238820</v>
      </c>
      <c r="BK16" s="47">
        <v>12</v>
      </c>
      <c r="BL16" s="77">
        <f t="shared" si="27"/>
        <v>238820</v>
      </c>
    </row>
    <row r="17" spans="2:66" ht="20" customHeight="1">
      <c r="B17" s="78">
        <f t="shared" si="28"/>
        <v>45364</v>
      </c>
      <c r="C17" s="83"/>
      <c r="D17" s="50"/>
      <c r="E17" s="51">
        <v>29</v>
      </c>
      <c r="F17" s="52">
        <v>108900</v>
      </c>
      <c r="G17" s="53">
        <f t="shared" si="0"/>
        <v>3413.7931034482758</v>
      </c>
      <c r="H17" s="52">
        <v>18900</v>
      </c>
      <c r="I17" s="54">
        <f t="shared" si="1"/>
        <v>592.44827586206895</v>
      </c>
      <c r="J17" s="55">
        <f t="shared" si="2"/>
        <v>127800</v>
      </c>
      <c r="K17" s="56">
        <f t="shared" si="3"/>
        <v>4406.8965517241377</v>
      </c>
      <c r="L17" s="57"/>
      <c r="M17" s="58">
        <f t="shared" si="4"/>
        <v>19</v>
      </c>
      <c r="N17" s="59">
        <f t="shared" si="4"/>
        <v>186230</v>
      </c>
      <c r="O17" s="53">
        <f t="shared" si="5"/>
        <v>8910.5263157894733</v>
      </c>
      <c r="P17" s="59">
        <f t="shared" si="6"/>
        <v>45140</v>
      </c>
      <c r="Q17" s="54">
        <f t="shared" si="7"/>
        <v>2159.7894736842104</v>
      </c>
      <c r="R17" s="60">
        <f t="shared" si="8"/>
        <v>231370</v>
      </c>
      <c r="S17" s="56">
        <f t="shared" si="9"/>
        <v>12177.368421052632</v>
      </c>
      <c r="T17" s="80">
        <f>E17+M17</f>
        <v>48</v>
      </c>
      <c r="U17" s="59">
        <f t="shared" si="10"/>
        <v>295130</v>
      </c>
      <c r="V17" s="59">
        <f t="shared" si="11"/>
        <v>64040</v>
      </c>
      <c r="W17" s="62">
        <f t="shared" si="12"/>
        <v>359170</v>
      </c>
      <c r="X17" s="81"/>
      <c r="Y17" s="63"/>
      <c r="Z17" s="64">
        <v>47</v>
      </c>
      <c r="AA17" s="52">
        <v>19210</v>
      </c>
      <c r="AB17" s="53">
        <f t="shared" si="13"/>
        <v>408.72340425531917</v>
      </c>
      <c r="AC17" s="52">
        <v>7800</v>
      </c>
      <c r="AD17" s="54">
        <f t="shared" si="14"/>
        <v>165.95744680851064</v>
      </c>
      <c r="AE17" s="65">
        <f t="shared" si="15"/>
        <v>27010</v>
      </c>
      <c r="AF17" s="56">
        <f t="shared" si="16"/>
        <v>574.68085106382978</v>
      </c>
      <c r="AG17" s="66"/>
      <c r="AH17" s="64">
        <v>21</v>
      </c>
      <c r="AI17" s="52">
        <v>82215</v>
      </c>
      <c r="AJ17" s="53">
        <f t="shared" si="17"/>
        <v>3915</v>
      </c>
      <c r="AK17" s="52">
        <v>27405</v>
      </c>
      <c r="AL17" s="54">
        <f t="shared" si="18"/>
        <v>1305</v>
      </c>
      <c r="AM17" s="65">
        <f t="shared" si="29"/>
        <v>109620</v>
      </c>
      <c r="AN17" s="67">
        <f t="shared" si="19"/>
        <v>5220</v>
      </c>
      <c r="AO17" s="68"/>
      <c r="AP17" s="64"/>
      <c r="AQ17" s="52"/>
      <c r="AR17" s="53" t="e">
        <f t="shared" si="20"/>
        <v>#DIV/0!</v>
      </c>
      <c r="AS17" s="52"/>
      <c r="AT17" s="54" t="e">
        <f t="shared" si="21"/>
        <v>#DIV/0!</v>
      </c>
      <c r="AU17" s="54"/>
      <c r="AV17" s="69">
        <f t="shared" si="30"/>
        <v>0</v>
      </c>
      <c r="AW17" s="67" t="str">
        <f t="shared" si="22"/>
        <v/>
      </c>
      <c r="AX17" s="82">
        <f t="shared" si="23"/>
        <v>48</v>
      </c>
      <c r="AY17" s="59">
        <f t="shared" si="24"/>
        <v>396555</v>
      </c>
      <c r="AZ17" s="59">
        <f t="shared" si="25"/>
        <v>99245</v>
      </c>
      <c r="BA17" s="71">
        <f t="shared" si="26"/>
        <v>495800</v>
      </c>
      <c r="BB17" s="72">
        <f t="shared" si="31"/>
        <v>1100</v>
      </c>
      <c r="BC17" s="73">
        <v>48</v>
      </c>
      <c r="BD17" s="74">
        <v>295130</v>
      </c>
      <c r="BE17" s="74">
        <v>64040</v>
      </c>
      <c r="BF17" s="75">
        <v>1100</v>
      </c>
      <c r="BG17" s="75"/>
      <c r="BH17" s="75"/>
      <c r="BI17" s="75"/>
      <c r="BJ17" s="76">
        <f t="shared" si="32"/>
        <v>360270</v>
      </c>
      <c r="BK17" s="47">
        <v>13</v>
      </c>
      <c r="BL17" s="77">
        <f t="shared" si="27"/>
        <v>360270</v>
      </c>
      <c r="BM17" s="47" t="s">
        <v>104</v>
      </c>
    </row>
    <row r="18" spans="2:66" ht="20" customHeight="1">
      <c r="B18" s="78">
        <f t="shared" si="28"/>
        <v>45365</v>
      </c>
      <c r="C18" s="79"/>
      <c r="D18" s="50"/>
      <c r="E18" s="51">
        <v>19</v>
      </c>
      <c r="F18" s="52">
        <v>97350</v>
      </c>
      <c r="G18" s="53">
        <f t="shared" si="0"/>
        <v>4657.894736842105</v>
      </c>
      <c r="H18" s="52">
        <v>19340</v>
      </c>
      <c r="I18" s="54">
        <f t="shared" si="1"/>
        <v>925.31578947368416</v>
      </c>
      <c r="J18" s="55">
        <f t="shared" si="2"/>
        <v>116690</v>
      </c>
      <c r="K18" s="56">
        <f t="shared" si="3"/>
        <v>6141.5789473684208</v>
      </c>
      <c r="L18" s="57"/>
      <c r="M18" s="58">
        <f t="shared" si="4"/>
        <v>10</v>
      </c>
      <c r="N18" s="59">
        <f t="shared" si="4"/>
        <v>102960</v>
      </c>
      <c r="O18" s="53">
        <f t="shared" si="5"/>
        <v>9360</v>
      </c>
      <c r="P18" s="59">
        <f t="shared" si="6"/>
        <v>70780</v>
      </c>
      <c r="Q18" s="54">
        <f t="shared" si="7"/>
        <v>6434.5</v>
      </c>
      <c r="R18" s="60">
        <f t="shared" si="8"/>
        <v>173740</v>
      </c>
      <c r="S18" s="56">
        <f t="shared" si="9"/>
        <v>17374</v>
      </c>
      <c r="T18" s="80">
        <f t="shared" si="10"/>
        <v>29</v>
      </c>
      <c r="U18" s="59">
        <f t="shared" si="10"/>
        <v>200310</v>
      </c>
      <c r="V18" s="59">
        <f t="shared" si="11"/>
        <v>90120</v>
      </c>
      <c r="W18" s="62">
        <f t="shared" si="12"/>
        <v>290430</v>
      </c>
      <c r="X18" s="81"/>
      <c r="Y18" s="63"/>
      <c r="Z18" s="64">
        <v>14</v>
      </c>
      <c r="AA18" s="52">
        <v>5500</v>
      </c>
      <c r="AB18" s="53">
        <f t="shared" si="13"/>
        <v>392.85714285714283</v>
      </c>
      <c r="AC18" s="52">
        <v>2000</v>
      </c>
      <c r="AD18" s="54">
        <f t="shared" si="14"/>
        <v>142.85714285714286</v>
      </c>
      <c r="AE18" s="65">
        <f t="shared" si="15"/>
        <v>7500</v>
      </c>
      <c r="AF18" s="56">
        <f t="shared" si="16"/>
        <v>535.71428571428567</v>
      </c>
      <c r="AG18" s="66"/>
      <c r="AH18" s="64"/>
      <c r="AI18" s="52"/>
      <c r="AJ18" s="53" t="e">
        <f t="shared" si="17"/>
        <v>#DIV/0!</v>
      </c>
      <c r="AK18" s="52"/>
      <c r="AL18" s="54" t="e">
        <f t="shared" si="18"/>
        <v>#DIV/0!</v>
      </c>
      <c r="AM18" s="65">
        <f t="shared" si="29"/>
        <v>0</v>
      </c>
      <c r="AN18" s="67" t="str">
        <f t="shared" si="19"/>
        <v/>
      </c>
      <c r="AO18" s="68"/>
      <c r="AP18" s="64"/>
      <c r="AQ18" s="52"/>
      <c r="AR18" s="53" t="e">
        <f t="shared" si="20"/>
        <v>#DIV/0!</v>
      </c>
      <c r="AS18" s="52"/>
      <c r="AT18" s="54" t="e">
        <f t="shared" si="21"/>
        <v>#DIV/0!</v>
      </c>
      <c r="AU18" s="54"/>
      <c r="AV18" s="69">
        <f t="shared" si="30"/>
        <v>0</v>
      </c>
      <c r="AW18" s="67" t="str">
        <f t="shared" si="22"/>
        <v/>
      </c>
      <c r="AX18" s="82">
        <f t="shared" si="23"/>
        <v>29</v>
      </c>
      <c r="AY18" s="59">
        <f t="shared" si="24"/>
        <v>205810</v>
      </c>
      <c r="AZ18" s="59">
        <f t="shared" si="25"/>
        <v>92120</v>
      </c>
      <c r="BA18" s="71">
        <f t="shared" si="26"/>
        <v>297930</v>
      </c>
      <c r="BB18" s="72">
        <f t="shared" si="31"/>
        <v>4400</v>
      </c>
      <c r="BC18" s="73">
        <v>29</v>
      </c>
      <c r="BD18" s="74">
        <v>200310</v>
      </c>
      <c r="BE18" s="74">
        <v>90120</v>
      </c>
      <c r="BF18" s="75">
        <v>4400</v>
      </c>
      <c r="BG18" s="75"/>
      <c r="BH18" s="75"/>
      <c r="BI18" s="75"/>
      <c r="BJ18" s="76">
        <f t="shared" si="32"/>
        <v>294830</v>
      </c>
      <c r="BK18" s="47">
        <v>14</v>
      </c>
      <c r="BL18" s="77">
        <f t="shared" si="27"/>
        <v>294830</v>
      </c>
    </row>
    <row r="19" spans="2:66" ht="20" customHeight="1">
      <c r="B19" s="78">
        <f t="shared" si="28"/>
        <v>45366</v>
      </c>
      <c r="C19" s="79"/>
      <c r="D19" s="50"/>
      <c r="E19" s="51">
        <v>30</v>
      </c>
      <c r="F19" s="52">
        <v>149820</v>
      </c>
      <c r="G19" s="53">
        <f t="shared" si="0"/>
        <v>4540</v>
      </c>
      <c r="H19" s="52">
        <v>22900</v>
      </c>
      <c r="I19" s="54">
        <f t="shared" si="1"/>
        <v>693.93333333333328</v>
      </c>
      <c r="J19" s="55">
        <f t="shared" si="2"/>
        <v>172720</v>
      </c>
      <c r="K19" s="56">
        <f t="shared" si="3"/>
        <v>5757.333333333333</v>
      </c>
      <c r="L19" s="57"/>
      <c r="M19" s="58">
        <f t="shared" si="4"/>
        <v>22</v>
      </c>
      <c r="N19" s="59">
        <f t="shared" si="4"/>
        <v>210980</v>
      </c>
      <c r="O19" s="53">
        <f t="shared" si="5"/>
        <v>8718.181818181818</v>
      </c>
      <c r="P19" s="59">
        <f t="shared" si="6"/>
        <v>51810</v>
      </c>
      <c r="Q19" s="84">
        <f t="shared" si="7"/>
        <v>2140.909090909091</v>
      </c>
      <c r="R19" s="60">
        <f t="shared" si="8"/>
        <v>262790</v>
      </c>
      <c r="S19" s="56">
        <f t="shared" si="9"/>
        <v>11945</v>
      </c>
      <c r="T19" s="80">
        <f t="shared" si="10"/>
        <v>52</v>
      </c>
      <c r="U19" s="59">
        <f t="shared" si="10"/>
        <v>360800</v>
      </c>
      <c r="V19" s="59">
        <f t="shared" si="11"/>
        <v>74710</v>
      </c>
      <c r="W19" s="62">
        <f t="shared" si="12"/>
        <v>435510</v>
      </c>
      <c r="X19" s="81"/>
      <c r="Y19" s="63"/>
      <c r="Z19" s="64">
        <v>21</v>
      </c>
      <c r="AA19" s="52">
        <v>8750</v>
      </c>
      <c r="AB19" s="53">
        <f t="shared" si="13"/>
        <v>416.66666666666669</v>
      </c>
      <c r="AC19" s="52">
        <v>6330</v>
      </c>
      <c r="AD19" s="54">
        <f t="shared" si="14"/>
        <v>301.42857142857144</v>
      </c>
      <c r="AE19" s="65">
        <f t="shared" si="15"/>
        <v>15080</v>
      </c>
      <c r="AF19" s="56">
        <f t="shared" si="16"/>
        <v>718.09523809523807</v>
      </c>
      <c r="AG19" s="66"/>
      <c r="AH19" s="64"/>
      <c r="AI19" s="52"/>
      <c r="AJ19" s="53" t="e">
        <f t="shared" si="17"/>
        <v>#DIV/0!</v>
      </c>
      <c r="AK19" s="52"/>
      <c r="AL19" s="54" t="e">
        <f t="shared" si="18"/>
        <v>#DIV/0!</v>
      </c>
      <c r="AM19" s="65">
        <f t="shared" si="29"/>
        <v>0</v>
      </c>
      <c r="AN19" s="67" t="str">
        <f t="shared" si="19"/>
        <v/>
      </c>
      <c r="AO19" s="68"/>
      <c r="AP19" s="64"/>
      <c r="AQ19" s="52"/>
      <c r="AR19" s="53" t="e">
        <f t="shared" si="20"/>
        <v>#DIV/0!</v>
      </c>
      <c r="AS19" s="52"/>
      <c r="AT19" s="54" t="e">
        <f t="shared" si="21"/>
        <v>#DIV/0!</v>
      </c>
      <c r="AU19" s="54"/>
      <c r="AV19" s="69">
        <f t="shared" si="30"/>
        <v>0</v>
      </c>
      <c r="AW19" s="67" t="str">
        <f t="shared" si="22"/>
        <v/>
      </c>
      <c r="AX19" s="82">
        <f t="shared" si="23"/>
        <v>52</v>
      </c>
      <c r="AY19" s="59">
        <f t="shared" si="24"/>
        <v>369550</v>
      </c>
      <c r="AZ19" s="59">
        <f t="shared" si="25"/>
        <v>81040</v>
      </c>
      <c r="BA19" s="71">
        <f t="shared" si="26"/>
        <v>450590</v>
      </c>
      <c r="BB19" s="72">
        <f t="shared" si="31"/>
        <v>8800</v>
      </c>
      <c r="BC19" s="73">
        <v>52</v>
      </c>
      <c r="BD19" s="74">
        <v>360800</v>
      </c>
      <c r="BE19" s="74">
        <v>74710</v>
      </c>
      <c r="BF19" s="75">
        <v>8800</v>
      </c>
      <c r="BG19" s="75"/>
      <c r="BH19" s="75">
        <v>3300</v>
      </c>
      <c r="BI19" s="75"/>
      <c r="BJ19" s="76">
        <f t="shared" si="32"/>
        <v>444310</v>
      </c>
      <c r="BK19" s="47">
        <v>15</v>
      </c>
      <c r="BL19" s="77">
        <f t="shared" si="27"/>
        <v>444310</v>
      </c>
    </row>
    <row r="20" spans="2:66" ht="20" customHeight="1">
      <c r="B20" s="78">
        <f t="shared" si="28"/>
        <v>45367</v>
      </c>
      <c r="C20" s="79"/>
      <c r="D20" s="50"/>
      <c r="E20" s="51">
        <v>29</v>
      </c>
      <c r="F20" s="52">
        <v>123200</v>
      </c>
      <c r="G20" s="53">
        <f t="shared" si="0"/>
        <v>3862.0689655172414</v>
      </c>
      <c r="H20" s="52">
        <v>20210</v>
      </c>
      <c r="I20" s="53">
        <f t="shared" si="1"/>
        <v>633.51724137931035</v>
      </c>
      <c r="J20" s="55">
        <f t="shared" si="2"/>
        <v>143410</v>
      </c>
      <c r="K20" s="56">
        <f t="shared" si="3"/>
        <v>4945.1724137931033</v>
      </c>
      <c r="L20" s="57"/>
      <c r="M20" s="58">
        <f t="shared" si="4"/>
        <v>34</v>
      </c>
      <c r="N20" s="59">
        <f t="shared" si="4"/>
        <v>354640</v>
      </c>
      <c r="O20" s="53">
        <f t="shared" si="5"/>
        <v>9482.3529411764703</v>
      </c>
      <c r="P20" s="59">
        <f t="shared" si="6"/>
        <v>82800</v>
      </c>
      <c r="Q20" s="84">
        <f t="shared" si="7"/>
        <v>2213.8823529411766</v>
      </c>
      <c r="R20" s="60">
        <f t="shared" si="8"/>
        <v>437440</v>
      </c>
      <c r="S20" s="56">
        <f t="shared" si="9"/>
        <v>12865.882352941177</v>
      </c>
      <c r="T20" s="80">
        <f t="shared" si="10"/>
        <v>63</v>
      </c>
      <c r="U20" s="59">
        <f t="shared" si="10"/>
        <v>477840</v>
      </c>
      <c r="V20" s="59">
        <f t="shared" si="11"/>
        <v>103010</v>
      </c>
      <c r="W20" s="62">
        <f t="shared" si="12"/>
        <v>580850</v>
      </c>
      <c r="X20" s="81"/>
      <c r="Y20" s="63"/>
      <c r="Z20" s="64">
        <v>40</v>
      </c>
      <c r="AA20" s="52">
        <v>17320</v>
      </c>
      <c r="AB20" s="53">
        <f t="shared" si="13"/>
        <v>433</v>
      </c>
      <c r="AC20" s="52">
        <v>7650</v>
      </c>
      <c r="AD20" s="54">
        <f t="shared" si="14"/>
        <v>191.25</v>
      </c>
      <c r="AE20" s="65">
        <f t="shared" si="15"/>
        <v>24970</v>
      </c>
      <c r="AF20" s="56">
        <f t="shared" si="16"/>
        <v>624.25</v>
      </c>
      <c r="AG20" s="66"/>
      <c r="AH20" s="64">
        <v>12</v>
      </c>
      <c r="AI20" s="52">
        <v>67860</v>
      </c>
      <c r="AJ20" s="53">
        <f t="shared" si="17"/>
        <v>5655</v>
      </c>
      <c r="AK20" s="52">
        <v>15660</v>
      </c>
      <c r="AL20" s="54">
        <f t="shared" si="18"/>
        <v>1305</v>
      </c>
      <c r="AM20" s="65">
        <f t="shared" si="29"/>
        <v>83520</v>
      </c>
      <c r="AN20" s="67">
        <f t="shared" si="19"/>
        <v>6960</v>
      </c>
      <c r="AO20" s="68"/>
      <c r="AP20" s="64"/>
      <c r="AQ20" s="52"/>
      <c r="AR20" s="53" t="e">
        <f t="shared" si="20"/>
        <v>#DIV/0!</v>
      </c>
      <c r="AS20" s="52"/>
      <c r="AT20" s="54" t="e">
        <f t="shared" si="21"/>
        <v>#DIV/0!</v>
      </c>
      <c r="AU20" s="54"/>
      <c r="AV20" s="69">
        <f t="shared" si="30"/>
        <v>0</v>
      </c>
      <c r="AW20" s="67" t="str">
        <f t="shared" si="22"/>
        <v/>
      </c>
      <c r="AX20" s="82">
        <f t="shared" si="23"/>
        <v>63</v>
      </c>
      <c r="AY20" s="59">
        <f t="shared" si="24"/>
        <v>563020</v>
      </c>
      <c r="AZ20" s="59">
        <f t="shared" si="25"/>
        <v>126320</v>
      </c>
      <c r="BA20" s="71">
        <f t="shared" si="26"/>
        <v>689340</v>
      </c>
      <c r="BB20" s="72">
        <f t="shared" si="31"/>
        <v>7700</v>
      </c>
      <c r="BC20" s="73">
        <v>63</v>
      </c>
      <c r="BD20" s="74">
        <v>477840</v>
      </c>
      <c r="BE20" s="74">
        <v>103010</v>
      </c>
      <c r="BF20" s="75">
        <v>7700</v>
      </c>
      <c r="BG20" s="75"/>
      <c r="BH20" s="75"/>
      <c r="BI20" s="75"/>
      <c r="BJ20" s="76">
        <f t="shared" si="32"/>
        <v>588550</v>
      </c>
      <c r="BK20" s="47">
        <v>16</v>
      </c>
      <c r="BL20" s="77">
        <f t="shared" si="27"/>
        <v>588550</v>
      </c>
      <c r="BM20" s="47" t="s">
        <v>105</v>
      </c>
    </row>
    <row r="21" spans="2:66" ht="20" customHeight="1">
      <c r="B21" s="78">
        <f t="shared" si="28"/>
        <v>45368</v>
      </c>
      <c r="C21" s="79"/>
      <c r="D21" s="50"/>
      <c r="E21" s="51">
        <v>30</v>
      </c>
      <c r="F21" s="52">
        <v>135850</v>
      </c>
      <c r="G21" s="53">
        <f t="shared" si="0"/>
        <v>4116.666666666667</v>
      </c>
      <c r="H21" s="52">
        <v>19920</v>
      </c>
      <c r="I21" s="53">
        <f t="shared" si="1"/>
        <v>603.63333333333333</v>
      </c>
      <c r="J21" s="55">
        <f t="shared" si="2"/>
        <v>155770</v>
      </c>
      <c r="K21" s="56">
        <f t="shared" si="3"/>
        <v>5192.333333333333</v>
      </c>
      <c r="L21" s="57"/>
      <c r="M21" s="58">
        <f t="shared" si="4"/>
        <v>10</v>
      </c>
      <c r="N21" s="59">
        <f t="shared" si="4"/>
        <v>117000</v>
      </c>
      <c r="O21" s="53">
        <f t="shared" si="5"/>
        <v>10636.3</v>
      </c>
      <c r="P21" s="59">
        <f t="shared" si="6"/>
        <v>16050</v>
      </c>
      <c r="Q21" s="84">
        <f t="shared" si="7"/>
        <v>1459</v>
      </c>
      <c r="R21" s="60">
        <f t="shared" si="8"/>
        <v>133050</v>
      </c>
      <c r="S21" s="56">
        <f t="shared" si="9"/>
        <v>13305</v>
      </c>
      <c r="T21" s="80">
        <f t="shared" si="10"/>
        <v>40</v>
      </c>
      <c r="U21" s="59">
        <f t="shared" si="10"/>
        <v>252850</v>
      </c>
      <c r="V21" s="59">
        <f t="shared" si="11"/>
        <v>35970</v>
      </c>
      <c r="W21" s="62">
        <f t="shared" si="12"/>
        <v>288820</v>
      </c>
      <c r="X21" s="81"/>
      <c r="Y21" s="63"/>
      <c r="Z21" s="64">
        <v>28</v>
      </c>
      <c r="AA21" s="52">
        <v>12160</v>
      </c>
      <c r="AB21" s="53">
        <f t="shared" si="13"/>
        <v>434.28571428571428</v>
      </c>
      <c r="AC21" s="52">
        <v>2750</v>
      </c>
      <c r="AD21" s="54">
        <f t="shared" si="14"/>
        <v>98.214285714285708</v>
      </c>
      <c r="AE21" s="65">
        <f t="shared" si="15"/>
        <v>14910</v>
      </c>
      <c r="AF21" s="56">
        <f t="shared" si="16"/>
        <v>532.5</v>
      </c>
      <c r="AG21" s="66"/>
      <c r="AH21" s="64"/>
      <c r="AI21" s="52"/>
      <c r="AJ21" s="53" t="e">
        <f t="shared" si="17"/>
        <v>#DIV/0!</v>
      </c>
      <c r="AK21" s="52"/>
      <c r="AL21" s="54" t="e">
        <f t="shared" si="18"/>
        <v>#DIV/0!</v>
      </c>
      <c r="AM21" s="65">
        <f t="shared" si="29"/>
        <v>0</v>
      </c>
      <c r="AN21" s="67" t="str">
        <f t="shared" si="19"/>
        <v/>
      </c>
      <c r="AO21" s="68"/>
      <c r="AP21" s="64"/>
      <c r="AQ21" s="52"/>
      <c r="AR21" s="53" t="e">
        <f t="shared" si="20"/>
        <v>#DIV/0!</v>
      </c>
      <c r="AS21" s="52"/>
      <c r="AT21" s="54" t="e">
        <f t="shared" si="21"/>
        <v>#DIV/0!</v>
      </c>
      <c r="AU21" s="54"/>
      <c r="AV21" s="69">
        <f t="shared" si="30"/>
        <v>0</v>
      </c>
      <c r="AW21" s="67" t="str">
        <f t="shared" si="22"/>
        <v/>
      </c>
      <c r="AX21" s="82">
        <f t="shared" si="23"/>
        <v>40</v>
      </c>
      <c r="AY21" s="59">
        <f t="shared" si="24"/>
        <v>265010</v>
      </c>
      <c r="AZ21" s="59">
        <f t="shared" si="25"/>
        <v>38720</v>
      </c>
      <c r="BA21" s="71">
        <f>W21+AE21+AM21+AV21</f>
        <v>303730</v>
      </c>
      <c r="BB21" s="72">
        <f t="shared" si="31"/>
        <v>2200</v>
      </c>
      <c r="BC21" s="73">
        <v>40</v>
      </c>
      <c r="BD21" s="74">
        <v>252850</v>
      </c>
      <c r="BE21" s="74">
        <v>35970</v>
      </c>
      <c r="BF21" s="75">
        <v>2200</v>
      </c>
      <c r="BG21" s="75"/>
      <c r="BH21" s="75"/>
      <c r="BI21" s="75"/>
      <c r="BJ21" s="76">
        <f t="shared" si="32"/>
        <v>291020</v>
      </c>
      <c r="BK21" s="47">
        <v>17</v>
      </c>
      <c r="BL21" s="77">
        <f t="shared" si="27"/>
        <v>291020</v>
      </c>
    </row>
    <row r="22" spans="2:66" ht="20" customHeight="1">
      <c r="B22" s="78">
        <f t="shared" si="28"/>
        <v>45369</v>
      </c>
      <c r="C22" s="79"/>
      <c r="D22" s="50"/>
      <c r="E22" s="51">
        <v>23</v>
      </c>
      <c r="F22" s="52">
        <v>85030</v>
      </c>
      <c r="G22" s="53">
        <f t="shared" si="0"/>
        <v>3360.8695652173915</v>
      </c>
      <c r="H22" s="52">
        <v>12030</v>
      </c>
      <c r="I22" s="53">
        <f t="shared" si="1"/>
        <v>475.47826086956519</v>
      </c>
      <c r="J22" s="55">
        <f t="shared" si="2"/>
        <v>97060</v>
      </c>
      <c r="K22" s="56">
        <f t="shared" si="3"/>
        <v>4220</v>
      </c>
      <c r="L22" s="57"/>
      <c r="M22" s="58">
        <f t="shared" si="4"/>
        <v>10</v>
      </c>
      <c r="N22" s="59">
        <f t="shared" si="4"/>
        <v>106250</v>
      </c>
      <c r="O22" s="53">
        <f t="shared" si="5"/>
        <v>9659</v>
      </c>
      <c r="P22" s="59">
        <f t="shared" si="6"/>
        <v>29660</v>
      </c>
      <c r="Q22" s="84">
        <f t="shared" si="7"/>
        <v>2696.3</v>
      </c>
      <c r="R22" s="60">
        <f t="shared" si="8"/>
        <v>135910</v>
      </c>
      <c r="S22" s="56">
        <f t="shared" si="9"/>
        <v>13591</v>
      </c>
      <c r="T22" s="80">
        <f t="shared" si="10"/>
        <v>33</v>
      </c>
      <c r="U22" s="59">
        <f t="shared" si="10"/>
        <v>191280</v>
      </c>
      <c r="V22" s="59">
        <f t="shared" si="11"/>
        <v>41690</v>
      </c>
      <c r="W22" s="62">
        <f t="shared" si="12"/>
        <v>232970</v>
      </c>
      <c r="X22" s="81"/>
      <c r="Y22" s="63"/>
      <c r="Z22" s="64">
        <v>12</v>
      </c>
      <c r="AA22" s="52">
        <v>5440</v>
      </c>
      <c r="AB22" s="53">
        <f t="shared" si="13"/>
        <v>453.33333333333331</v>
      </c>
      <c r="AC22" s="52">
        <v>800</v>
      </c>
      <c r="AD22" s="54">
        <f t="shared" si="14"/>
        <v>66.666666666666671</v>
      </c>
      <c r="AE22" s="65">
        <f t="shared" si="15"/>
        <v>6240</v>
      </c>
      <c r="AF22" s="56">
        <f t="shared" si="16"/>
        <v>520</v>
      </c>
      <c r="AG22" s="66"/>
      <c r="AH22" s="64"/>
      <c r="AI22" s="52"/>
      <c r="AJ22" s="53" t="e">
        <f t="shared" si="17"/>
        <v>#DIV/0!</v>
      </c>
      <c r="AK22" s="52"/>
      <c r="AL22" s="54" t="e">
        <f t="shared" si="18"/>
        <v>#DIV/0!</v>
      </c>
      <c r="AM22" s="65">
        <f t="shared" si="29"/>
        <v>0</v>
      </c>
      <c r="AN22" s="67" t="str">
        <f t="shared" si="19"/>
        <v/>
      </c>
      <c r="AO22" s="68"/>
      <c r="AP22" s="64"/>
      <c r="AQ22" s="52"/>
      <c r="AR22" s="53" t="e">
        <f t="shared" si="20"/>
        <v>#DIV/0!</v>
      </c>
      <c r="AS22" s="52"/>
      <c r="AT22" s="54" t="e">
        <f t="shared" si="21"/>
        <v>#DIV/0!</v>
      </c>
      <c r="AU22" s="54"/>
      <c r="AV22" s="69">
        <f t="shared" si="30"/>
        <v>0</v>
      </c>
      <c r="AW22" s="67" t="str">
        <f t="shared" si="22"/>
        <v/>
      </c>
      <c r="AX22" s="82">
        <f t="shared" si="23"/>
        <v>33</v>
      </c>
      <c r="AY22" s="59">
        <f t="shared" si="24"/>
        <v>196720</v>
      </c>
      <c r="AZ22" s="59">
        <f t="shared" si="25"/>
        <v>42490</v>
      </c>
      <c r="BA22" s="71">
        <f t="shared" si="26"/>
        <v>239210</v>
      </c>
      <c r="BB22" s="72">
        <f t="shared" si="31"/>
        <v>0</v>
      </c>
      <c r="BC22" s="73">
        <v>33</v>
      </c>
      <c r="BD22" s="74">
        <v>191280</v>
      </c>
      <c r="BE22" s="74">
        <v>41690</v>
      </c>
      <c r="BF22" s="75"/>
      <c r="BG22" s="75"/>
      <c r="BH22" s="75"/>
      <c r="BI22" s="75">
        <v>7040</v>
      </c>
      <c r="BJ22" s="76">
        <f t="shared" si="32"/>
        <v>232970</v>
      </c>
      <c r="BK22" s="47">
        <v>18</v>
      </c>
      <c r="BL22" s="77">
        <f t="shared" si="27"/>
        <v>240010</v>
      </c>
      <c r="BN22" s="85"/>
    </row>
    <row r="23" spans="2:66" ht="20" customHeight="1">
      <c r="B23" s="78">
        <f t="shared" si="28"/>
        <v>45370</v>
      </c>
      <c r="C23" s="79"/>
      <c r="D23" s="50"/>
      <c r="E23" s="51">
        <v>34</v>
      </c>
      <c r="F23" s="52">
        <v>129140</v>
      </c>
      <c r="G23" s="53">
        <f t="shared" si="0"/>
        <v>3452.9411764705883</v>
      </c>
      <c r="H23" s="52">
        <v>15730</v>
      </c>
      <c r="I23" s="53">
        <f t="shared" si="1"/>
        <v>420.58823529411762</v>
      </c>
      <c r="J23" s="55">
        <f t="shared" si="2"/>
        <v>144870</v>
      </c>
      <c r="K23" s="56">
        <f t="shared" si="3"/>
        <v>4260.8823529411766</v>
      </c>
      <c r="L23" s="57"/>
      <c r="M23" s="58">
        <f t="shared" si="4"/>
        <v>31</v>
      </c>
      <c r="N23" s="59">
        <f t="shared" si="4"/>
        <v>287870</v>
      </c>
      <c r="O23" s="53">
        <f t="shared" si="5"/>
        <v>8441.9354838709678</v>
      </c>
      <c r="P23" s="59">
        <f t="shared" si="6"/>
        <v>90720</v>
      </c>
      <c r="Q23" s="84">
        <f t="shared" si="7"/>
        <v>2660.3870967741937</v>
      </c>
      <c r="R23" s="60">
        <f t="shared" si="8"/>
        <v>378590</v>
      </c>
      <c r="S23" s="56">
        <f t="shared" si="9"/>
        <v>12212.58064516129</v>
      </c>
      <c r="T23" s="80">
        <f t="shared" si="10"/>
        <v>65</v>
      </c>
      <c r="U23" s="59">
        <f t="shared" si="10"/>
        <v>417010</v>
      </c>
      <c r="V23" s="59">
        <f t="shared" si="11"/>
        <v>106450</v>
      </c>
      <c r="W23" s="62">
        <f t="shared" si="12"/>
        <v>523460</v>
      </c>
      <c r="X23" s="81"/>
      <c r="Y23" s="63"/>
      <c r="Z23" s="64">
        <v>21</v>
      </c>
      <c r="AA23" s="52">
        <v>8270</v>
      </c>
      <c r="AB23" s="53">
        <f t="shared" si="13"/>
        <v>393.8095238095238</v>
      </c>
      <c r="AC23" s="52">
        <v>4900</v>
      </c>
      <c r="AD23" s="54">
        <f t="shared" si="14"/>
        <v>233.33333333333334</v>
      </c>
      <c r="AE23" s="65">
        <f t="shared" si="15"/>
        <v>13170</v>
      </c>
      <c r="AF23" s="56">
        <f t="shared" si="16"/>
        <v>627.14285714285711</v>
      </c>
      <c r="AG23" s="66"/>
      <c r="AH23" s="64"/>
      <c r="AI23" s="52"/>
      <c r="AJ23" s="53" t="e">
        <f t="shared" si="17"/>
        <v>#DIV/0!</v>
      </c>
      <c r="AK23" s="52"/>
      <c r="AL23" s="54" t="e">
        <f t="shared" si="18"/>
        <v>#DIV/0!</v>
      </c>
      <c r="AM23" s="65">
        <f t="shared" si="29"/>
        <v>0</v>
      </c>
      <c r="AN23" s="67" t="str">
        <f t="shared" si="19"/>
        <v/>
      </c>
      <c r="AO23" s="68"/>
      <c r="AP23" s="64"/>
      <c r="AQ23" s="52"/>
      <c r="AR23" s="53" t="e">
        <f t="shared" si="20"/>
        <v>#DIV/0!</v>
      </c>
      <c r="AS23" s="52"/>
      <c r="AT23" s="54" t="e">
        <f t="shared" si="21"/>
        <v>#DIV/0!</v>
      </c>
      <c r="AU23" s="54"/>
      <c r="AV23" s="69">
        <f t="shared" si="30"/>
        <v>0</v>
      </c>
      <c r="AW23" s="67" t="str">
        <f>IF(AP23="","",AV23/AP23)</f>
        <v/>
      </c>
      <c r="AX23" s="82">
        <f t="shared" si="23"/>
        <v>65</v>
      </c>
      <c r="AY23" s="59">
        <f t="shared" si="24"/>
        <v>425280</v>
      </c>
      <c r="AZ23" s="59">
        <f t="shared" si="25"/>
        <v>111350</v>
      </c>
      <c r="BA23" s="71">
        <f t="shared" si="26"/>
        <v>536630</v>
      </c>
      <c r="BB23" s="72">
        <f t="shared" si="31"/>
        <v>0</v>
      </c>
      <c r="BC23" s="73">
        <v>65</v>
      </c>
      <c r="BD23" s="74">
        <v>417010</v>
      </c>
      <c r="BE23" s="74">
        <v>106450</v>
      </c>
      <c r="BF23" s="75"/>
      <c r="BG23" s="75"/>
      <c r="BH23" s="75"/>
      <c r="BI23" s="75"/>
      <c r="BJ23" s="76">
        <f>SUM(BD23:BG23)</f>
        <v>523460</v>
      </c>
      <c r="BK23" s="47">
        <v>19</v>
      </c>
      <c r="BL23" s="77">
        <f t="shared" si="27"/>
        <v>523460</v>
      </c>
    </row>
    <row r="24" spans="2:66" ht="20" customHeight="1">
      <c r="B24" s="78">
        <f t="shared" si="28"/>
        <v>45371</v>
      </c>
      <c r="C24" s="79"/>
      <c r="D24" s="50"/>
      <c r="E24" s="51">
        <v>40</v>
      </c>
      <c r="F24" s="52">
        <v>175120</v>
      </c>
      <c r="G24" s="53">
        <f t="shared" si="0"/>
        <v>3980</v>
      </c>
      <c r="H24" s="52">
        <v>47070</v>
      </c>
      <c r="I24" s="53">
        <f t="shared" si="1"/>
        <v>1069.75</v>
      </c>
      <c r="J24" s="55">
        <f t="shared" si="2"/>
        <v>222190</v>
      </c>
      <c r="K24" s="56">
        <f t="shared" si="3"/>
        <v>5554.75</v>
      </c>
      <c r="L24" s="57"/>
      <c r="M24" s="58">
        <f t="shared" si="4"/>
        <v>27</v>
      </c>
      <c r="N24" s="59">
        <f t="shared" si="4"/>
        <v>246100</v>
      </c>
      <c r="O24" s="53">
        <f t="shared" si="5"/>
        <v>8286.1851851851843</v>
      </c>
      <c r="P24" s="59">
        <f t="shared" si="6"/>
        <v>73200</v>
      </c>
      <c r="Q24" s="84">
        <f t="shared" si="7"/>
        <v>2464.6296296296296</v>
      </c>
      <c r="R24" s="60">
        <f t="shared" si="8"/>
        <v>319300</v>
      </c>
      <c r="S24" s="56">
        <f t="shared" si="9"/>
        <v>11825.925925925925</v>
      </c>
      <c r="T24" s="80">
        <f t="shared" si="10"/>
        <v>67</v>
      </c>
      <c r="U24" s="59">
        <f t="shared" si="10"/>
        <v>421220</v>
      </c>
      <c r="V24" s="59">
        <f t="shared" si="11"/>
        <v>120270</v>
      </c>
      <c r="W24" s="62">
        <f t="shared" si="12"/>
        <v>541490</v>
      </c>
      <c r="X24" s="81"/>
      <c r="Y24" s="63"/>
      <c r="Z24" s="64">
        <v>40</v>
      </c>
      <c r="AA24" s="52">
        <v>15300</v>
      </c>
      <c r="AB24" s="53">
        <f t="shared" si="13"/>
        <v>382.5</v>
      </c>
      <c r="AC24" s="52">
        <v>4100</v>
      </c>
      <c r="AD24" s="54">
        <f t="shared" si="14"/>
        <v>102.5</v>
      </c>
      <c r="AE24" s="65">
        <f t="shared" si="15"/>
        <v>19400</v>
      </c>
      <c r="AF24" s="56">
        <f t="shared" si="16"/>
        <v>485</v>
      </c>
      <c r="AG24" s="66"/>
      <c r="AH24" s="64"/>
      <c r="AI24" s="52"/>
      <c r="AJ24" s="53" t="e">
        <f t="shared" si="17"/>
        <v>#DIV/0!</v>
      </c>
      <c r="AK24" s="52"/>
      <c r="AL24" s="54" t="e">
        <f t="shared" si="18"/>
        <v>#DIV/0!</v>
      </c>
      <c r="AM24" s="65">
        <f t="shared" si="29"/>
        <v>0</v>
      </c>
      <c r="AN24" s="67" t="str">
        <f t="shared" si="19"/>
        <v/>
      </c>
      <c r="AO24" s="68"/>
      <c r="AP24" s="64"/>
      <c r="AQ24" s="52"/>
      <c r="AR24" s="53" t="e">
        <f t="shared" si="20"/>
        <v>#DIV/0!</v>
      </c>
      <c r="AS24" s="52"/>
      <c r="AT24" s="54" t="e">
        <f t="shared" si="21"/>
        <v>#DIV/0!</v>
      </c>
      <c r="AU24" s="54"/>
      <c r="AV24" s="69">
        <f t="shared" si="30"/>
        <v>0</v>
      </c>
      <c r="AW24" s="67" t="str">
        <f t="shared" si="22"/>
        <v/>
      </c>
      <c r="AX24" s="82">
        <f t="shared" si="23"/>
        <v>67</v>
      </c>
      <c r="AY24" s="59">
        <f t="shared" si="24"/>
        <v>436520</v>
      </c>
      <c r="AZ24" s="59">
        <f t="shared" si="25"/>
        <v>124370</v>
      </c>
      <c r="BA24" s="71">
        <f t="shared" si="26"/>
        <v>560890</v>
      </c>
      <c r="BB24" s="72">
        <f t="shared" si="31"/>
        <v>7700</v>
      </c>
      <c r="BC24" s="73">
        <v>67</v>
      </c>
      <c r="BD24" s="74">
        <v>421220</v>
      </c>
      <c r="BE24" s="74">
        <v>120270</v>
      </c>
      <c r="BF24" s="75">
        <v>7700</v>
      </c>
      <c r="BG24" s="75"/>
      <c r="BH24" s="75">
        <v>3300</v>
      </c>
      <c r="BI24" s="75"/>
      <c r="BJ24" s="76">
        <f t="shared" si="32"/>
        <v>549190</v>
      </c>
      <c r="BK24" s="47">
        <v>20</v>
      </c>
      <c r="BL24" s="77">
        <f t="shared" si="27"/>
        <v>549190</v>
      </c>
    </row>
    <row r="25" spans="2:66" ht="20" customHeight="1">
      <c r="B25" s="78">
        <f t="shared" si="28"/>
        <v>45372</v>
      </c>
      <c r="C25" s="79"/>
      <c r="D25" s="50"/>
      <c r="E25" s="51">
        <v>21</v>
      </c>
      <c r="F25" s="52">
        <v>79640</v>
      </c>
      <c r="G25" s="53">
        <f t="shared" si="0"/>
        <v>3447.6190476190477</v>
      </c>
      <c r="H25" s="52">
        <v>8190</v>
      </c>
      <c r="I25" s="53">
        <f t="shared" si="1"/>
        <v>354.52380952380952</v>
      </c>
      <c r="J25" s="55">
        <f t="shared" si="2"/>
        <v>87830</v>
      </c>
      <c r="K25" s="56">
        <f t="shared" si="3"/>
        <v>4182.3809523809523</v>
      </c>
      <c r="L25" s="57"/>
      <c r="M25" s="58">
        <f t="shared" si="4"/>
        <v>18</v>
      </c>
      <c r="N25" s="59">
        <f t="shared" si="4"/>
        <v>204380</v>
      </c>
      <c r="O25" s="53">
        <f t="shared" si="5"/>
        <v>10322.222222222223</v>
      </c>
      <c r="P25" s="59">
        <f t="shared" si="6"/>
        <v>61940</v>
      </c>
      <c r="Q25" s="84">
        <f t="shared" si="7"/>
        <v>3128.2777777777778</v>
      </c>
      <c r="R25" s="60">
        <f t="shared" si="8"/>
        <v>266320</v>
      </c>
      <c r="S25" s="56">
        <f t="shared" si="9"/>
        <v>14795.555555555555</v>
      </c>
      <c r="T25" s="80">
        <f t="shared" si="10"/>
        <v>39</v>
      </c>
      <c r="U25" s="59">
        <f t="shared" si="10"/>
        <v>284020</v>
      </c>
      <c r="V25" s="59">
        <f t="shared" si="11"/>
        <v>70130</v>
      </c>
      <c r="W25" s="62">
        <f t="shared" si="12"/>
        <v>354150</v>
      </c>
      <c r="X25" s="81"/>
      <c r="Y25" s="63"/>
      <c r="Z25" s="64">
        <v>22</v>
      </c>
      <c r="AA25" s="52">
        <v>10160</v>
      </c>
      <c r="AB25" s="53">
        <f t="shared" si="13"/>
        <v>461.81818181818181</v>
      </c>
      <c r="AC25" s="52">
        <v>3100</v>
      </c>
      <c r="AD25" s="54">
        <f t="shared" si="14"/>
        <v>140.90909090909091</v>
      </c>
      <c r="AE25" s="65">
        <f t="shared" si="15"/>
        <v>13260</v>
      </c>
      <c r="AF25" s="56">
        <f t="shared" si="16"/>
        <v>602.72727272727275</v>
      </c>
      <c r="AG25" s="66"/>
      <c r="AH25" s="64"/>
      <c r="AI25" s="52"/>
      <c r="AJ25" s="53" t="e">
        <f t="shared" si="17"/>
        <v>#DIV/0!</v>
      </c>
      <c r="AK25" s="52"/>
      <c r="AL25" s="54" t="e">
        <f t="shared" si="18"/>
        <v>#DIV/0!</v>
      </c>
      <c r="AM25" s="65">
        <f t="shared" si="29"/>
        <v>0</v>
      </c>
      <c r="AN25" s="67" t="str">
        <f t="shared" si="19"/>
        <v/>
      </c>
      <c r="AO25" s="68"/>
      <c r="AP25" s="64"/>
      <c r="AQ25" s="52"/>
      <c r="AR25" s="53" t="e">
        <f t="shared" si="20"/>
        <v>#DIV/0!</v>
      </c>
      <c r="AS25" s="52"/>
      <c r="AT25" s="54" t="e">
        <f t="shared" si="21"/>
        <v>#DIV/0!</v>
      </c>
      <c r="AU25" s="54"/>
      <c r="AV25" s="69">
        <f t="shared" si="30"/>
        <v>0</v>
      </c>
      <c r="AW25" s="67" t="str">
        <f t="shared" si="22"/>
        <v/>
      </c>
      <c r="AX25" s="82">
        <f t="shared" si="23"/>
        <v>39</v>
      </c>
      <c r="AY25" s="59">
        <f t="shared" si="24"/>
        <v>294180</v>
      </c>
      <c r="AZ25" s="59">
        <f t="shared" si="25"/>
        <v>73230</v>
      </c>
      <c r="BA25" s="71">
        <f t="shared" si="26"/>
        <v>367410</v>
      </c>
      <c r="BB25" s="72">
        <f t="shared" si="31"/>
        <v>0</v>
      </c>
      <c r="BC25" s="73">
        <v>39</v>
      </c>
      <c r="BD25" s="74">
        <v>284020</v>
      </c>
      <c r="BE25" s="74">
        <v>70130</v>
      </c>
      <c r="BF25" s="75"/>
      <c r="BG25" s="75"/>
      <c r="BH25" s="75"/>
      <c r="BI25" s="75"/>
      <c r="BJ25" s="76">
        <f t="shared" si="32"/>
        <v>354150</v>
      </c>
      <c r="BK25" s="47">
        <v>21</v>
      </c>
      <c r="BL25" s="77">
        <f t="shared" si="27"/>
        <v>354150</v>
      </c>
    </row>
    <row r="26" spans="2:66" ht="20" customHeight="1">
      <c r="B26" s="78">
        <f t="shared" si="28"/>
        <v>45373</v>
      </c>
      <c r="C26" s="79"/>
      <c r="D26" s="50"/>
      <c r="E26" s="51">
        <v>28</v>
      </c>
      <c r="F26" s="52">
        <v>93720</v>
      </c>
      <c r="G26" s="53">
        <f t="shared" si="0"/>
        <v>3042.8571428571427</v>
      </c>
      <c r="H26" s="52">
        <v>4590</v>
      </c>
      <c r="I26" s="53">
        <f t="shared" si="1"/>
        <v>149</v>
      </c>
      <c r="J26" s="55">
        <f t="shared" si="2"/>
        <v>98310</v>
      </c>
      <c r="K26" s="56">
        <f t="shared" si="3"/>
        <v>3511.0714285714284</v>
      </c>
      <c r="L26" s="57"/>
      <c r="M26" s="58">
        <f t="shared" si="4"/>
        <v>18</v>
      </c>
      <c r="N26" s="59">
        <f t="shared" si="4"/>
        <v>212720</v>
      </c>
      <c r="O26" s="53">
        <f t="shared" si="5"/>
        <v>10743.388888888889</v>
      </c>
      <c r="P26" s="59">
        <f t="shared" si="6"/>
        <v>26570</v>
      </c>
      <c r="Q26" s="84">
        <f t="shared" si="7"/>
        <v>1341.8888888888889</v>
      </c>
      <c r="R26" s="60">
        <f t="shared" si="8"/>
        <v>239290</v>
      </c>
      <c r="S26" s="56">
        <f t="shared" si="9"/>
        <v>13293.888888888889</v>
      </c>
      <c r="T26" s="80">
        <f t="shared" si="10"/>
        <v>46</v>
      </c>
      <c r="U26" s="59">
        <f t="shared" si="10"/>
        <v>306440</v>
      </c>
      <c r="V26" s="59">
        <f t="shared" si="11"/>
        <v>31160</v>
      </c>
      <c r="W26" s="62">
        <f t="shared" si="12"/>
        <v>337600</v>
      </c>
      <c r="X26" s="81"/>
      <c r="Y26" s="63"/>
      <c r="Z26" s="64">
        <v>18</v>
      </c>
      <c r="AA26" s="52">
        <v>6920</v>
      </c>
      <c r="AB26" s="53">
        <f t="shared" si="13"/>
        <v>384.44444444444446</v>
      </c>
      <c r="AC26" s="52">
        <v>3600</v>
      </c>
      <c r="AD26" s="54">
        <f t="shared" si="14"/>
        <v>200</v>
      </c>
      <c r="AE26" s="65">
        <f t="shared" si="15"/>
        <v>10520</v>
      </c>
      <c r="AF26" s="56">
        <f t="shared" si="16"/>
        <v>584.44444444444446</v>
      </c>
      <c r="AG26" s="66"/>
      <c r="AH26" s="64">
        <v>20</v>
      </c>
      <c r="AI26" s="52">
        <v>78300</v>
      </c>
      <c r="AJ26" s="53">
        <f t="shared" si="17"/>
        <v>3915</v>
      </c>
      <c r="AK26" s="52">
        <v>26100</v>
      </c>
      <c r="AL26" s="54">
        <f t="shared" si="18"/>
        <v>1305</v>
      </c>
      <c r="AM26" s="65">
        <f t="shared" si="29"/>
        <v>104400</v>
      </c>
      <c r="AN26" s="67">
        <f t="shared" si="19"/>
        <v>5220</v>
      </c>
      <c r="AO26" s="68"/>
      <c r="AP26" s="64"/>
      <c r="AQ26" s="52"/>
      <c r="AR26" s="53" t="e">
        <f t="shared" si="20"/>
        <v>#DIV/0!</v>
      </c>
      <c r="AS26" s="52"/>
      <c r="AT26" s="54" t="e">
        <f t="shared" si="21"/>
        <v>#DIV/0!</v>
      </c>
      <c r="AU26" s="54"/>
      <c r="AV26" s="69">
        <f t="shared" si="30"/>
        <v>0</v>
      </c>
      <c r="AW26" s="67" t="str">
        <f t="shared" si="22"/>
        <v/>
      </c>
      <c r="AX26" s="82">
        <f t="shared" si="23"/>
        <v>46</v>
      </c>
      <c r="AY26" s="59">
        <f t="shared" si="24"/>
        <v>391660</v>
      </c>
      <c r="AZ26" s="59">
        <f t="shared" si="25"/>
        <v>60860</v>
      </c>
      <c r="BA26" s="71">
        <f>W26+AE26+AM26+AV26</f>
        <v>452520</v>
      </c>
      <c r="BB26" s="72">
        <f>BF26+BG26</f>
        <v>3300</v>
      </c>
      <c r="BC26" s="73">
        <v>46</v>
      </c>
      <c r="BD26" s="74">
        <v>306440</v>
      </c>
      <c r="BE26" s="74">
        <v>31160</v>
      </c>
      <c r="BF26" s="75">
        <v>3300</v>
      </c>
      <c r="BG26" s="75"/>
      <c r="BH26" s="75"/>
      <c r="BI26" s="75"/>
      <c r="BJ26" s="76">
        <f t="shared" si="32"/>
        <v>340900</v>
      </c>
      <c r="BK26" s="47">
        <v>22</v>
      </c>
      <c r="BL26" s="77">
        <f t="shared" si="27"/>
        <v>340900</v>
      </c>
    </row>
    <row r="27" spans="2:66" ht="20" customHeight="1">
      <c r="B27" s="78">
        <f t="shared" si="28"/>
        <v>45374</v>
      </c>
      <c r="C27" s="79"/>
      <c r="D27" s="50"/>
      <c r="E27" s="51">
        <v>33</v>
      </c>
      <c r="F27" s="52">
        <v>138860</v>
      </c>
      <c r="G27" s="53">
        <f t="shared" si="0"/>
        <v>3825.3333333333335</v>
      </c>
      <c r="H27" s="52">
        <v>18220</v>
      </c>
      <c r="I27" s="53">
        <f t="shared" si="1"/>
        <v>501.90909090909093</v>
      </c>
      <c r="J27" s="55">
        <f t="shared" si="2"/>
        <v>157080</v>
      </c>
      <c r="K27" s="56">
        <f t="shared" si="3"/>
        <v>4760</v>
      </c>
      <c r="L27" s="57"/>
      <c r="M27" s="58">
        <f t="shared" si="4"/>
        <v>26</v>
      </c>
      <c r="N27" s="59">
        <f t="shared" si="4"/>
        <v>254650</v>
      </c>
      <c r="O27" s="53">
        <f t="shared" si="5"/>
        <v>8903.8461538461543</v>
      </c>
      <c r="P27" s="59">
        <f t="shared" si="6"/>
        <v>66390</v>
      </c>
      <c r="Q27" s="54">
        <f t="shared" si="7"/>
        <v>2321.3076923076924</v>
      </c>
      <c r="R27" s="60">
        <f t="shared" si="8"/>
        <v>321040</v>
      </c>
      <c r="S27" s="56">
        <f t="shared" si="9"/>
        <v>12347.692307692309</v>
      </c>
      <c r="T27" s="80">
        <f t="shared" si="10"/>
        <v>59</v>
      </c>
      <c r="U27" s="59">
        <f t="shared" si="10"/>
        <v>393510</v>
      </c>
      <c r="V27" s="59">
        <f t="shared" si="11"/>
        <v>84610</v>
      </c>
      <c r="W27" s="62">
        <f t="shared" si="12"/>
        <v>478120</v>
      </c>
      <c r="X27" s="81"/>
      <c r="Y27" s="63"/>
      <c r="Z27" s="64">
        <v>49</v>
      </c>
      <c r="AA27" s="52">
        <v>20320</v>
      </c>
      <c r="AB27" s="53">
        <f t="shared" si="13"/>
        <v>414.69387755102042</v>
      </c>
      <c r="AC27" s="52">
        <v>6400</v>
      </c>
      <c r="AD27" s="54">
        <f t="shared" si="14"/>
        <v>130.61224489795919</v>
      </c>
      <c r="AE27" s="65">
        <f t="shared" si="15"/>
        <v>26720</v>
      </c>
      <c r="AF27" s="56">
        <f t="shared" si="16"/>
        <v>545.30612244897964</v>
      </c>
      <c r="AG27" s="66"/>
      <c r="AH27" s="64">
        <v>31</v>
      </c>
      <c r="AI27" s="52">
        <v>117450</v>
      </c>
      <c r="AJ27" s="53">
        <f t="shared" si="17"/>
        <v>3788.7096774193546</v>
      </c>
      <c r="AK27" s="52">
        <v>41829</v>
      </c>
      <c r="AL27" s="54">
        <f t="shared" si="18"/>
        <v>1349.3225806451612</v>
      </c>
      <c r="AM27" s="65">
        <f t="shared" si="29"/>
        <v>159279</v>
      </c>
      <c r="AN27" s="67">
        <f t="shared" si="19"/>
        <v>5138.0322580645161</v>
      </c>
      <c r="AO27" s="68"/>
      <c r="AP27" s="64"/>
      <c r="AQ27" s="52"/>
      <c r="AR27" s="53" t="e">
        <f t="shared" si="20"/>
        <v>#DIV/0!</v>
      </c>
      <c r="AS27" s="52"/>
      <c r="AT27" s="54" t="e">
        <f t="shared" si="21"/>
        <v>#DIV/0!</v>
      </c>
      <c r="AU27" s="54"/>
      <c r="AV27" s="69">
        <f t="shared" si="30"/>
        <v>0</v>
      </c>
      <c r="AW27" s="67" t="str">
        <f t="shared" si="22"/>
        <v/>
      </c>
      <c r="AX27" s="82">
        <f t="shared" si="23"/>
        <v>59</v>
      </c>
      <c r="AY27" s="59">
        <f t="shared" si="24"/>
        <v>531280</v>
      </c>
      <c r="AZ27" s="59">
        <f t="shared" si="25"/>
        <v>132839</v>
      </c>
      <c r="BA27" s="71">
        <f>W27+AE27+AM27+AV27</f>
        <v>664119</v>
      </c>
      <c r="BB27" s="72">
        <f t="shared" si="31"/>
        <v>7700</v>
      </c>
      <c r="BC27" s="73">
        <v>59</v>
      </c>
      <c r="BD27" s="74">
        <v>393510</v>
      </c>
      <c r="BE27" s="74">
        <v>84610</v>
      </c>
      <c r="BF27" s="75">
        <v>7700</v>
      </c>
      <c r="BG27" s="75"/>
      <c r="BH27" s="75">
        <v>3300</v>
      </c>
      <c r="BI27" s="75"/>
      <c r="BJ27" s="76">
        <f t="shared" si="32"/>
        <v>485820</v>
      </c>
      <c r="BK27" s="47">
        <v>23</v>
      </c>
      <c r="BL27" s="77">
        <f t="shared" si="27"/>
        <v>485820</v>
      </c>
    </row>
    <row r="28" spans="2:66" ht="20" customHeight="1">
      <c r="B28" s="78">
        <f>B27+1</f>
        <v>45375</v>
      </c>
      <c r="C28" s="79"/>
      <c r="D28" s="50"/>
      <c r="E28" s="51">
        <v>32</v>
      </c>
      <c r="F28" s="52">
        <v>149930</v>
      </c>
      <c r="G28" s="53">
        <f t="shared" si="0"/>
        <v>4259.375</v>
      </c>
      <c r="H28" s="52">
        <v>28500</v>
      </c>
      <c r="I28" s="53">
        <f t="shared" si="1"/>
        <v>809.65625</v>
      </c>
      <c r="J28" s="55">
        <f t="shared" si="2"/>
        <v>178430</v>
      </c>
      <c r="K28" s="56">
        <f t="shared" si="3"/>
        <v>5575.9375</v>
      </c>
      <c r="L28" s="57"/>
      <c r="M28" s="58">
        <f t="shared" si="4"/>
        <v>8</v>
      </c>
      <c r="N28" s="59">
        <f t="shared" si="4"/>
        <v>123700</v>
      </c>
      <c r="O28" s="53">
        <f t="shared" si="5"/>
        <v>14056.75</v>
      </c>
      <c r="P28" s="59">
        <f t="shared" si="6"/>
        <v>8400</v>
      </c>
      <c r="Q28" s="54">
        <f>ROUNDDOWN(P28/1.1,0)/M28</f>
        <v>954.5</v>
      </c>
      <c r="R28" s="60">
        <f t="shared" si="8"/>
        <v>132100</v>
      </c>
      <c r="S28" s="56">
        <f t="shared" si="9"/>
        <v>16512.5</v>
      </c>
      <c r="T28" s="80">
        <f t="shared" si="10"/>
        <v>40</v>
      </c>
      <c r="U28" s="59">
        <f t="shared" si="10"/>
        <v>273630</v>
      </c>
      <c r="V28" s="59">
        <f t="shared" si="11"/>
        <v>36900</v>
      </c>
      <c r="W28" s="62">
        <f t="shared" si="12"/>
        <v>310530</v>
      </c>
      <c r="X28" s="81"/>
      <c r="Y28" s="63"/>
      <c r="Z28" s="64">
        <v>21</v>
      </c>
      <c r="AA28" s="52">
        <v>7550</v>
      </c>
      <c r="AB28" s="53">
        <f t="shared" si="13"/>
        <v>359.52380952380952</v>
      </c>
      <c r="AC28" s="52">
        <v>1000</v>
      </c>
      <c r="AD28" s="54">
        <f t="shared" si="14"/>
        <v>47.61904761904762</v>
      </c>
      <c r="AE28" s="65">
        <f t="shared" si="15"/>
        <v>8550</v>
      </c>
      <c r="AF28" s="56">
        <f t="shared" si="16"/>
        <v>407.14285714285717</v>
      </c>
      <c r="AG28" s="66"/>
      <c r="AH28" s="64"/>
      <c r="AI28" s="52"/>
      <c r="AJ28" s="53" t="e">
        <f t="shared" si="17"/>
        <v>#DIV/0!</v>
      </c>
      <c r="AK28" s="52"/>
      <c r="AL28" s="54" t="e">
        <f t="shared" si="18"/>
        <v>#DIV/0!</v>
      </c>
      <c r="AM28" s="65">
        <f t="shared" si="29"/>
        <v>0</v>
      </c>
      <c r="AN28" s="67" t="str">
        <f t="shared" si="19"/>
        <v/>
      </c>
      <c r="AO28" s="68"/>
      <c r="AP28" s="64"/>
      <c r="AQ28" s="52"/>
      <c r="AR28" s="53" t="e">
        <f t="shared" si="20"/>
        <v>#DIV/0!</v>
      </c>
      <c r="AS28" s="52"/>
      <c r="AT28" s="54" t="e">
        <f t="shared" si="21"/>
        <v>#DIV/0!</v>
      </c>
      <c r="AU28" s="54"/>
      <c r="AV28" s="86">
        <f t="shared" si="30"/>
        <v>0</v>
      </c>
      <c r="AW28" s="67" t="str">
        <f t="shared" si="22"/>
        <v/>
      </c>
      <c r="AX28" s="82">
        <f t="shared" si="23"/>
        <v>40</v>
      </c>
      <c r="AY28" s="59">
        <f t="shared" si="24"/>
        <v>281180</v>
      </c>
      <c r="AZ28" s="59">
        <f t="shared" si="25"/>
        <v>37900</v>
      </c>
      <c r="BA28" s="71">
        <f t="shared" si="26"/>
        <v>319080</v>
      </c>
      <c r="BB28" s="72">
        <f t="shared" si="31"/>
        <v>1650</v>
      </c>
      <c r="BC28" s="73">
        <v>40</v>
      </c>
      <c r="BD28" s="74">
        <v>273630</v>
      </c>
      <c r="BE28" s="74">
        <v>36900</v>
      </c>
      <c r="BF28" s="75">
        <v>1650</v>
      </c>
      <c r="BG28" s="75"/>
      <c r="BH28" s="75"/>
      <c r="BI28" s="75"/>
      <c r="BJ28" s="76">
        <f t="shared" si="32"/>
        <v>312180</v>
      </c>
      <c r="BK28" s="47">
        <v>24</v>
      </c>
      <c r="BL28" s="77">
        <f t="shared" si="27"/>
        <v>312180</v>
      </c>
    </row>
    <row r="29" spans="2:66" ht="20" customHeight="1">
      <c r="B29" s="78">
        <f t="shared" si="28"/>
        <v>45376</v>
      </c>
      <c r="C29" s="79"/>
      <c r="D29" s="50"/>
      <c r="E29" s="51">
        <v>25</v>
      </c>
      <c r="F29" s="52">
        <v>109780</v>
      </c>
      <c r="G29" s="53">
        <f t="shared" si="0"/>
        <v>3992</v>
      </c>
      <c r="H29" s="52">
        <v>14770</v>
      </c>
      <c r="I29" s="53">
        <f t="shared" si="1"/>
        <v>537.08000000000004</v>
      </c>
      <c r="J29" s="55">
        <f t="shared" si="2"/>
        <v>124550</v>
      </c>
      <c r="K29" s="56">
        <f t="shared" si="3"/>
        <v>4982</v>
      </c>
      <c r="L29" s="57"/>
      <c r="M29" s="58">
        <f t="shared" si="4"/>
        <v>7</v>
      </c>
      <c r="N29" s="59">
        <f t="shared" si="4"/>
        <v>87120</v>
      </c>
      <c r="O29" s="53">
        <f t="shared" si="5"/>
        <v>11314.285714285714</v>
      </c>
      <c r="P29" s="59">
        <f t="shared" si="6"/>
        <v>18270</v>
      </c>
      <c r="Q29" s="54">
        <f t="shared" si="7"/>
        <v>2372.7142857142858</v>
      </c>
      <c r="R29" s="60">
        <f t="shared" si="8"/>
        <v>105390</v>
      </c>
      <c r="S29" s="56">
        <f t="shared" si="9"/>
        <v>15055.714285714286</v>
      </c>
      <c r="T29" s="80">
        <f t="shared" si="10"/>
        <v>32</v>
      </c>
      <c r="U29" s="59">
        <f t="shared" si="10"/>
        <v>196900</v>
      </c>
      <c r="V29" s="59">
        <f t="shared" si="11"/>
        <v>33040</v>
      </c>
      <c r="W29" s="62">
        <f t="shared" si="12"/>
        <v>229940</v>
      </c>
      <c r="X29" s="81"/>
      <c r="Y29" s="63"/>
      <c r="Z29" s="64">
        <v>30</v>
      </c>
      <c r="AA29" s="52">
        <v>12000</v>
      </c>
      <c r="AB29" s="53">
        <f t="shared" si="13"/>
        <v>400</v>
      </c>
      <c r="AC29" s="52">
        <v>1800</v>
      </c>
      <c r="AD29" s="54">
        <f t="shared" si="14"/>
        <v>60</v>
      </c>
      <c r="AE29" s="65">
        <f t="shared" si="15"/>
        <v>13800</v>
      </c>
      <c r="AF29" s="56">
        <f t="shared" si="16"/>
        <v>460</v>
      </c>
      <c r="AG29" s="66"/>
      <c r="AH29" s="64">
        <v>52</v>
      </c>
      <c r="AI29" s="52">
        <v>203580</v>
      </c>
      <c r="AJ29" s="53">
        <f t="shared" si="17"/>
        <v>3915</v>
      </c>
      <c r="AK29" s="52">
        <v>67860</v>
      </c>
      <c r="AL29" s="54">
        <f t="shared" si="18"/>
        <v>1305</v>
      </c>
      <c r="AM29" s="65">
        <f t="shared" si="29"/>
        <v>271440</v>
      </c>
      <c r="AN29" s="67">
        <f t="shared" si="19"/>
        <v>5220</v>
      </c>
      <c r="AO29" s="68"/>
      <c r="AP29" s="64"/>
      <c r="AQ29" s="52"/>
      <c r="AR29" s="53" t="e">
        <f t="shared" si="20"/>
        <v>#DIV/0!</v>
      </c>
      <c r="AS29" s="52"/>
      <c r="AT29" s="54" t="e">
        <f t="shared" si="21"/>
        <v>#DIV/0!</v>
      </c>
      <c r="AU29" s="54"/>
      <c r="AV29" s="69">
        <f t="shared" si="30"/>
        <v>0</v>
      </c>
      <c r="AW29" s="67" t="str">
        <f t="shared" si="22"/>
        <v/>
      </c>
      <c r="AX29" s="82">
        <f t="shared" si="23"/>
        <v>32</v>
      </c>
      <c r="AY29" s="59">
        <f t="shared" si="24"/>
        <v>412480</v>
      </c>
      <c r="AZ29" s="59">
        <f t="shared" si="25"/>
        <v>102700</v>
      </c>
      <c r="BA29" s="71">
        <f t="shared" si="26"/>
        <v>515180</v>
      </c>
      <c r="BB29" s="72">
        <f t="shared" si="31"/>
        <v>3300</v>
      </c>
      <c r="BC29" s="73">
        <v>32</v>
      </c>
      <c r="BD29" s="74">
        <v>196900</v>
      </c>
      <c r="BE29" s="74">
        <v>33040</v>
      </c>
      <c r="BF29" s="75">
        <v>3300</v>
      </c>
      <c r="BG29" s="75"/>
      <c r="BH29" s="75"/>
      <c r="BI29" s="75"/>
      <c r="BJ29" s="76">
        <f t="shared" si="32"/>
        <v>233240</v>
      </c>
      <c r="BK29" s="47">
        <v>25</v>
      </c>
      <c r="BL29" s="77">
        <f t="shared" si="27"/>
        <v>233240</v>
      </c>
    </row>
    <row r="30" spans="2:66" ht="20" customHeight="1">
      <c r="B30" s="78">
        <f t="shared" si="28"/>
        <v>45377</v>
      </c>
      <c r="C30" s="79"/>
      <c r="D30" s="50"/>
      <c r="E30" s="51">
        <v>35</v>
      </c>
      <c r="F30" s="52">
        <v>138600</v>
      </c>
      <c r="G30" s="53">
        <f t="shared" si="0"/>
        <v>3600</v>
      </c>
      <c r="H30" s="52">
        <v>17310</v>
      </c>
      <c r="I30" s="53">
        <f t="shared" si="1"/>
        <v>449.6</v>
      </c>
      <c r="J30" s="55">
        <f t="shared" si="2"/>
        <v>155910</v>
      </c>
      <c r="K30" s="56">
        <f t="shared" si="3"/>
        <v>4454.5714285714284</v>
      </c>
      <c r="L30" s="57"/>
      <c r="M30" s="58">
        <f t="shared" si="4"/>
        <v>24</v>
      </c>
      <c r="N30" s="59">
        <f t="shared" si="4"/>
        <v>211980</v>
      </c>
      <c r="O30" s="53">
        <f t="shared" si="5"/>
        <v>8029.541666666667</v>
      </c>
      <c r="P30" s="59">
        <f t="shared" si="6"/>
        <v>70040</v>
      </c>
      <c r="Q30" s="53">
        <f t="shared" si="7"/>
        <v>2653</v>
      </c>
      <c r="R30" s="60">
        <f t="shared" si="8"/>
        <v>282020</v>
      </c>
      <c r="S30" s="56">
        <f t="shared" si="9"/>
        <v>11750.833333333334</v>
      </c>
      <c r="T30" s="80">
        <f t="shared" si="10"/>
        <v>59</v>
      </c>
      <c r="U30" s="59">
        <f t="shared" si="10"/>
        <v>350580</v>
      </c>
      <c r="V30" s="59">
        <f t="shared" si="11"/>
        <v>87350</v>
      </c>
      <c r="W30" s="62">
        <f t="shared" si="12"/>
        <v>437930</v>
      </c>
      <c r="X30" s="81"/>
      <c r="Y30" s="63"/>
      <c r="Z30" s="64">
        <v>25</v>
      </c>
      <c r="AA30" s="52">
        <v>10050</v>
      </c>
      <c r="AB30" s="53">
        <f t="shared" si="13"/>
        <v>402</v>
      </c>
      <c r="AC30" s="52">
        <v>3750</v>
      </c>
      <c r="AD30" s="54">
        <f t="shared" si="14"/>
        <v>150</v>
      </c>
      <c r="AE30" s="65">
        <f t="shared" si="15"/>
        <v>13800</v>
      </c>
      <c r="AF30" s="56">
        <f t="shared" si="16"/>
        <v>552</v>
      </c>
      <c r="AG30" s="66"/>
      <c r="AH30" s="64">
        <v>75</v>
      </c>
      <c r="AI30" s="52">
        <v>289710</v>
      </c>
      <c r="AJ30" s="53">
        <f t="shared" si="17"/>
        <v>3862.8</v>
      </c>
      <c r="AK30" s="52">
        <v>97239</v>
      </c>
      <c r="AL30" s="54">
        <f t="shared" si="18"/>
        <v>1296.52</v>
      </c>
      <c r="AM30" s="65">
        <f t="shared" si="29"/>
        <v>386949</v>
      </c>
      <c r="AN30" s="67">
        <f t="shared" si="19"/>
        <v>5159.32</v>
      </c>
      <c r="AO30" s="68"/>
      <c r="AP30" s="64"/>
      <c r="AQ30" s="52"/>
      <c r="AR30" s="53" t="e">
        <f t="shared" si="20"/>
        <v>#DIV/0!</v>
      </c>
      <c r="AS30" s="52"/>
      <c r="AT30" s="54" t="e">
        <f t="shared" si="21"/>
        <v>#DIV/0!</v>
      </c>
      <c r="AU30" s="54"/>
      <c r="AV30" s="69">
        <f t="shared" si="30"/>
        <v>0</v>
      </c>
      <c r="AW30" s="67" t="str">
        <f t="shared" si="22"/>
        <v/>
      </c>
      <c r="AX30" s="82">
        <f t="shared" si="23"/>
        <v>59</v>
      </c>
      <c r="AY30" s="59">
        <f t="shared" si="24"/>
        <v>650340</v>
      </c>
      <c r="AZ30" s="59">
        <f t="shared" si="25"/>
        <v>188339</v>
      </c>
      <c r="BA30" s="71">
        <f t="shared" si="26"/>
        <v>838679</v>
      </c>
      <c r="BB30" s="72">
        <f>BF30+BG30</f>
        <v>0</v>
      </c>
      <c r="BC30" s="73">
        <v>59</v>
      </c>
      <c r="BD30" s="74">
        <v>350580</v>
      </c>
      <c r="BE30" s="74">
        <v>87350</v>
      </c>
      <c r="BF30" s="75"/>
      <c r="BG30" s="75"/>
      <c r="BH30" s="75"/>
      <c r="BI30" s="75"/>
      <c r="BJ30" s="76">
        <f t="shared" si="32"/>
        <v>437930</v>
      </c>
      <c r="BK30" s="47">
        <v>26</v>
      </c>
      <c r="BL30" s="77">
        <f t="shared" si="27"/>
        <v>437930</v>
      </c>
    </row>
    <row r="31" spans="2:66" ht="20" customHeight="1">
      <c r="B31" s="78">
        <f t="shared" si="28"/>
        <v>45378</v>
      </c>
      <c r="C31" s="79"/>
      <c r="D31" s="50"/>
      <c r="E31" s="51">
        <v>23</v>
      </c>
      <c r="F31" s="52">
        <v>77770</v>
      </c>
      <c r="G31" s="53">
        <f t="shared" si="0"/>
        <v>3073.913043478261</v>
      </c>
      <c r="H31" s="52">
        <v>5270</v>
      </c>
      <c r="I31" s="53">
        <f t="shared" si="1"/>
        <v>208.2608695652174</v>
      </c>
      <c r="J31" s="55">
        <f t="shared" si="2"/>
        <v>83040</v>
      </c>
      <c r="K31" s="56">
        <f t="shared" si="3"/>
        <v>3610.4347826086955</v>
      </c>
      <c r="L31" s="57"/>
      <c r="M31" s="58">
        <f t="shared" si="4"/>
        <v>15</v>
      </c>
      <c r="N31" s="59">
        <f t="shared" si="4"/>
        <v>149580</v>
      </c>
      <c r="O31" s="53">
        <f t="shared" si="5"/>
        <v>9065.4</v>
      </c>
      <c r="P31" s="59">
        <f t="shared" si="6"/>
        <v>23510</v>
      </c>
      <c r="Q31" s="53">
        <f t="shared" si="7"/>
        <v>1424.8</v>
      </c>
      <c r="R31" s="60">
        <f t="shared" si="8"/>
        <v>173090</v>
      </c>
      <c r="S31" s="56">
        <f t="shared" si="9"/>
        <v>11539.333333333334</v>
      </c>
      <c r="T31" s="80">
        <f t="shared" si="10"/>
        <v>38</v>
      </c>
      <c r="U31" s="59">
        <f t="shared" si="10"/>
        <v>227350</v>
      </c>
      <c r="V31" s="59">
        <f t="shared" si="11"/>
        <v>28780</v>
      </c>
      <c r="W31" s="62">
        <f t="shared" si="12"/>
        <v>256130</v>
      </c>
      <c r="X31" s="81"/>
      <c r="Y31" s="63"/>
      <c r="Z31" s="64">
        <v>33</v>
      </c>
      <c r="AA31" s="52">
        <v>12770</v>
      </c>
      <c r="AB31" s="53">
        <f t="shared" si="13"/>
        <v>386.969696969697</v>
      </c>
      <c r="AC31" s="52">
        <v>3800</v>
      </c>
      <c r="AD31" s="54">
        <f t="shared" si="14"/>
        <v>115.15151515151516</v>
      </c>
      <c r="AE31" s="65">
        <f t="shared" si="15"/>
        <v>16570</v>
      </c>
      <c r="AF31" s="56">
        <f t="shared" si="16"/>
        <v>502.12121212121212</v>
      </c>
      <c r="AG31" s="66"/>
      <c r="AH31" s="64">
        <v>71</v>
      </c>
      <c r="AI31" s="52">
        <v>445005</v>
      </c>
      <c r="AJ31" s="53">
        <f t="shared" si="17"/>
        <v>6267.6760563380285</v>
      </c>
      <c r="AK31" s="52">
        <v>92655</v>
      </c>
      <c r="AL31" s="54">
        <f t="shared" si="18"/>
        <v>1305</v>
      </c>
      <c r="AM31" s="65">
        <f t="shared" si="29"/>
        <v>537660</v>
      </c>
      <c r="AN31" s="67">
        <f t="shared" si="19"/>
        <v>7572.6760563380285</v>
      </c>
      <c r="AO31" s="68"/>
      <c r="AP31" s="64"/>
      <c r="AQ31" s="52"/>
      <c r="AR31" s="53" t="e">
        <f t="shared" si="20"/>
        <v>#DIV/0!</v>
      </c>
      <c r="AS31" s="52"/>
      <c r="AT31" s="54" t="e">
        <f t="shared" si="21"/>
        <v>#DIV/0!</v>
      </c>
      <c r="AU31" s="54"/>
      <c r="AV31" s="69">
        <f t="shared" si="30"/>
        <v>0</v>
      </c>
      <c r="AW31" s="67" t="str">
        <f t="shared" si="22"/>
        <v/>
      </c>
      <c r="AX31" s="82">
        <f t="shared" si="23"/>
        <v>38</v>
      </c>
      <c r="AY31" s="59">
        <f t="shared" si="24"/>
        <v>685125</v>
      </c>
      <c r="AZ31" s="59">
        <f t="shared" si="25"/>
        <v>125235</v>
      </c>
      <c r="BA31" s="71">
        <f>W31+AE31+AM31+AV31</f>
        <v>810360</v>
      </c>
      <c r="BB31" s="72">
        <f t="shared" si="31"/>
        <v>1100</v>
      </c>
      <c r="BC31" s="73">
        <v>38</v>
      </c>
      <c r="BD31" s="74">
        <v>227350</v>
      </c>
      <c r="BE31" s="74">
        <v>28780</v>
      </c>
      <c r="BF31" s="75">
        <v>1100</v>
      </c>
      <c r="BG31" s="75"/>
      <c r="BH31" s="75"/>
      <c r="BI31" s="75">
        <v>17600</v>
      </c>
      <c r="BJ31" s="76">
        <f t="shared" si="32"/>
        <v>257230</v>
      </c>
      <c r="BK31" s="47">
        <v>27</v>
      </c>
      <c r="BL31" s="77">
        <f t="shared" si="27"/>
        <v>274830</v>
      </c>
    </row>
    <row r="32" spans="2:66" ht="20" customHeight="1">
      <c r="B32" s="78">
        <f t="shared" si="28"/>
        <v>45379</v>
      </c>
      <c r="C32" s="79"/>
      <c r="D32" s="50"/>
      <c r="E32" s="51">
        <v>29</v>
      </c>
      <c r="F32" s="52">
        <v>98670</v>
      </c>
      <c r="G32" s="53">
        <f t="shared" si="0"/>
        <v>3093.1034482758619</v>
      </c>
      <c r="H32" s="52">
        <v>8700</v>
      </c>
      <c r="I32" s="53">
        <f t="shared" si="1"/>
        <v>272.72413793103448</v>
      </c>
      <c r="J32" s="55">
        <f t="shared" si="2"/>
        <v>107370</v>
      </c>
      <c r="K32" s="56">
        <f t="shared" si="3"/>
        <v>3702.4137931034484</v>
      </c>
      <c r="L32" s="57"/>
      <c r="M32" s="58">
        <f t="shared" si="4"/>
        <v>6</v>
      </c>
      <c r="N32" s="59">
        <f t="shared" si="4"/>
        <v>59730</v>
      </c>
      <c r="O32" s="53">
        <f t="shared" si="5"/>
        <v>9050</v>
      </c>
      <c r="P32" s="59">
        <f t="shared" si="6"/>
        <v>19630</v>
      </c>
      <c r="Q32" s="53">
        <f t="shared" si="7"/>
        <v>2974.1666666666665</v>
      </c>
      <c r="R32" s="60">
        <f t="shared" si="8"/>
        <v>79360</v>
      </c>
      <c r="S32" s="56">
        <f t="shared" si="9"/>
        <v>13226.666666666666</v>
      </c>
      <c r="T32" s="80">
        <f t="shared" si="10"/>
        <v>35</v>
      </c>
      <c r="U32" s="59">
        <f t="shared" si="10"/>
        <v>158400</v>
      </c>
      <c r="V32" s="59">
        <f t="shared" si="11"/>
        <v>28330</v>
      </c>
      <c r="W32" s="62">
        <f t="shared" si="12"/>
        <v>186730</v>
      </c>
      <c r="X32" s="81"/>
      <c r="Y32" s="63"/>
      <c r="Z32" s="64">
        <v>11</v>
      </c>
      <c r="AA32" s="52">
        <v>4870</v>
      </c>
      <c r="AB32" s="53">
        <f t="shared" si="13"/>
        <v>442.72727272727275</v>
      </c>
      <c r="AC32" s="52">
        <v>2200</v>
      </c>
      <c r="AD32" s="54">
        <f t="shared" si="14"/>
        <v>200</v>
      </c>
      <c r="AE32" s="65">
        <f t="shared" si="15"/>
        <v>7070</v>
      </c>
      <c r="AF32" s="56">
        <f t="shared" si="16"/>
        <v>642.72727272727275</v>
      </c>
      <c r="AG32" s="66"/>
      <c r="AH32" s="64"/>
      <c r="AI32" s="52"/>
      <c r="AJ32" s="53" t="e">
        <f t="shared" si="17"/>
        <v>#DIV/0!</v>
      </c>
      <c r="AK32" s="52"/>
      <c r="AL32" s="54" t="e">
        <f t="shared" si="18"/>
        <v>#DIV/0!</v>
      </c>
      <c r="AM32" s="65">
        <f t="shared" si="29"/>
        <v>0</v>
      </c>
      <c r="AN32" s="67" t="str">
        <f t="shared" si="19"/>
        <v/>
      </c>
      <c r="AO32" s="68"/>
      <c r="AP32" s="64"/>
      <c r="AQ32" s="52"/>
      <c r="AR32" s="53" t="e">
        <f t="shared" si="20"/>
        <v>#DIV/0!</v>
      </c>
      <c r="AS32" s="52"/>
      <c r="AT32" s="54" t="e">
        <f t="shared" si="21"/>
        <v>#DIV/0!</v>
      </c>
      <c r="AU32" s="54"/>
      <c r="AV32" s="69">
        <f t="shared" si="30"/>
        <v>0</v>
      </c>
      <c r="AW32" s="67" t="str">
        <f t="shared" si="22"/>
        <v/>
      </c>
      <c r="AX32" s="82">
        <f t="shared" si="23"/>
        <v>35</v>
      </c>
      <c r="AY32" s="59">
        <f>U32+AA32+AI32+AQ32</f>
        <v>163270</v>
      </c>
      <c r="AZ32" s="59">
        <f t="shared" si="25"/>
        <v>30530</v>
      </c>
      <c r="BA32" s="71">
        <f>W32+AE32+AM32+AV32</f>
        <v>193800</v>
      </c>
      <c r="BB32" s="72">
        <f>BF32+BG32</f>
        <v>4950</v>
      </c>
      <c r="BC32" s="73">
        <v>35</v>
      </c>
      <c r="BD32" s="74">
        <v>158400</v>
      </c>
      <c r="BE32" s="74">
        <v>28330</v>
      </c>
      <c r="BF32" s="75">
        <v>4950</v>
      </c>
      <c r="BG32" s="75"/>
      <c r="BH32" s="75">
        <v>3300</v>
      </c>
      <c r="BI32" s="75"/>
      <c r="BJ32" s="76">
        <f>SUM(BD32:BG32)</f>
        <v>191680</v>
      </c>
      <c r="BK32" s="47">
        <v>28</v>
      </c>
      <c r="BL32" s="77">
        <f t="shared" si="27"/>
        <v>191680</v>
      </c>
    </row>
    <row r="33" spans="2:64" ht="20" customHeight="1">
      <c r="B33" s="78">
        <f t="shared" si="28"/>
        <v>45380</v>
      </c>
      <c r="C33" s="79"/>
      <c r="D33" s="50"/>
      <c r="E33" s="51">
        <v>24</v>
      </c>
      <c r="F33" s="52">
        <v>90310</v>
      </c>
      <c r="G33" s="53">
        <f t="shared" si="0"/>
        <v>3420.8333333333335</v>
      </c>
      <c r="H33" s="52">
        <v>5160</v>
      </c>
      <c r="I33" s="53">
        <f t="shared" si="1"/>
        <v>195.41666666666666</v>
      </c>
      <c r="J33" s="55">
        <f t="shared" si="2"/>
        <v>95470</v>
      </c>
      <c r="K33" s="56">
        <f t="shared" si="3"/>
        <v>3977.9166666666665</v>
      </c>
      <c r="L33" s="57"/>
      <c r="M33" s="58">
        <f t="shared" si="4"/>
        <v>19</v>
      </c>
      <c r="N33" s="59">
        <f t="shared" si="4"/>
        <v>158290</v>
      </c>
      <c r="O33" s="53">
        <f t="shared" si="5"/>
        <v>7573.6842105263158</v>
      </c>
      <c r="P33" s="59">
        <f t="shared" si="6"/>
        <v>31220</v>
      </c>
      <c r="Q33" s="53">
        <f t="shared" si="7"/>
        <v>1493.7368421052631</v>
      </c>
      <c r="R33" s="60">
        <f t="shared" si="8"/>
        <v>189510</v>
      </c>
      <c r="S33" s="56">
        <f t="shared" si="9"/>
        <v>9974.21052631579</v>
      </c>
      <c r="T33" s="80">
        <f t="shared" si="10"/>
        <v>43</v>
      </c>
      <c r="U33" s="59">
        <f t="shared" si="10"/>
        <v>248600</v>
      </c>
      <c r="V33" s="59">
        <f t="shared" si="11"/>
        <v>36380</v>
      </c>
      <c r="W33" s="62">
        <f>J33+R33</f>
        <v>284980</v>
      </c>
      <c r="X33" s="81"/>
      <c r="Y33" s="63"/>
      <c r="Z33" s="64">
        <v>19</v>
      </c>
      <c r="AA33" s="52">
        <v>7990</v>
      </c>
      <c r="AB33" s="53">
        <f t="shared" si="13"/>
        <v>420.5263157894737</v>
      </c>
      <c r="AC33" s="52">
        <v>3450</v>
      </c>
      <c r="AD33" s="54">
        <f t="shared" si="14"/>
        <v>181.57894736842104</v>
      </c>
      <c r="AE33" s="65">
        <f t="shared" si="15"/>
        <v>11440</v>
      </c>
      <c r="AF33" s="56">
        <f t="shared" si="16"/>
        <v>602.10526315789468</v>
      </c>
      <c r="AG33" s="66"/>
      <c r="AH33" s="64">
        <v>7</v>
      </c>
      <c r="AI33" s="52"/>
      <c r="AJ33" s="53">
        <f t="shared" si="17"/>
        <v>0</v>
      </c>
      <c r="AK33" s="52">
        <v>3349</v>
      </c>
      <c r="AL33" s="54">
        <f t="shared" si="18"/>
        <v>478.42857142857144</v>
      </c>
      <c r="AM33" s="65">
        <f t="shared" si="29"/>
        <v>3349</v>
      </c>
      <c r="AN33" s="67">
        <f t="shared" si="19"/>
        <v>478.42857142857144</v>
      </c>
      <c r="AO33" s="68"/>
      <c r="AP33" s="64"/>
      <c r="AQ33" s="52"/>
      <c r="AR33" s="53" t="e">
        <f t="shared" si="20"/>
        <v>#DIV/0!</v>
      </c>
      <c r="AS33" s="52"/>
      <c r="AT33" s="54" t="e">
        <f t="shared" si="21"/>
        <v>#DIV/0!</v>
      </c>
      <c r="AU33" s="54"/>
      <c r="AV33" s="69">
        <f t="shared" si="30"/>
        <v>0</v>
      </c>
      <c r="AW33" s="67" t="str">
        <f t="shared" si="22"/>
        <v/>
      </c>
      <c r="AX33" s="82">
        <f t="shared" si="23"/>
        <v>43</v>
      </c>
      <c r="AY33" s="59">
        <f t="shared" si="24"/>
        <v>256590</v>
      </c>
      <c r="AZ33" s="59">
        <f t="shared" si="25"/>
        <v>43179</v>
      </c>
      <c r="BA33" s="71">
        <f>W33+AE33+AM33+AV33</f>
        <v>299769</v>
      </c>
      <c r="BB33" s="72">
        <f t="shared" si="31"/>
        <v>2200</v>
      </c>
      <c r="BC33" s="73">
        <v>43</v>
      </c>
      <c r="BD33" s="74">
        <v>248600</v>
      </c>
      <c r="BE33" s="74">
        <v>36380</v>
      </c>
      <c r="BF33" s="75">
        <v>2200</v>
      </c>
      <c r="BG33" s="75"/>
      <c r="BH33" s="75">
        <v>3300</v>
      </c>
      <c r="BI33" s="75">
        <v>23100</v>
      </c>
      <c r="BJ33" s="76">
        <f t="shared" si="32"/>
        <v>287180</v>
      </c>
      <c r="BK33" s="47">
        <v>29</v>
      </c>
      <c r="BL33" s="77">
        <f t="shared" si="27"/>
        <v>310280</v>
      </c>
    </row>
    <row r="34" spans="2:64" ht="20" customHeight="1">
      <c r="B34" s="78">
        <f t="shared" si="28"/>
        <v>45381</v>
      </c>
      <c r="C34" s="79"/>
      <c r="D34" s="50"/>
      <c r="E34" s="51">
        <v>25</v>
      </c>
      <c r="F34" s="52">
        <v>111540</v>
      </c>
      <c r="G34" s="53">
        <f t="shared" si="0"/>
        <v>4056</v>
      </c>
      <c r="H34" s="52">
        <v>25130</v>
      </c>
      <c r="I34" s="53">
        <f t="shared" si="1"/>
        <v>913.8</v>
      </c>
      <c r="J34" s="55">
        <f t="shared" si="2"/>
        <v>136670</v>
      </c>
      <c r="K34" s="56">
        <f t="shared" si="3"/>
        <v>5466.8</v>
      </c>
      <c r="L34" s="57"/>
      <c r="M34" s="58">
        <f t="shared" si="4"/>
        <v>19</v>
      </c>
      <c r="N34" s="59">
        <f t="shared" si="4"/>
        <v>152350</v>
      </c>
      <c r="O34" s="53">
        <f t="shared" si="5"/>
        <v>7289.4736842105267</v>
      </c>
      <c r="P34" s="59">
        <f t="shared" si="6"/>
        <v>25150</v>
      </c>
      <c r="Q34" s="53">
        <f t="shared" si="7"/>
        <v>1203.3157894736842</v>
      </c>
      <c r="R34" s="60">
        <f t="shared" si="8"/>
        <v>177500</v>
      </c>
      <c r="S34" s="56">
        <f t="shared" si="9"/>
        <v>9342.105263157895</v>
      </c>
      <c r="T34" s="80">
        <f t="shared" si="10"/>
        <v>44</v>
      </c>
      <c r="U34" s="59">
        <f t="shared" si="10"/>
        <v>263890</v>
      </c>
      <c r="V34" s="59">
        <f t="shared" si="11"/>
        <v>50280</v>
      </c>
      <c r="W34" s="62">
        <f t="shared" si="12"/>
        <v>314170</v>
      </c>
      <c r="X34" s="81"/>
      <c r="Y34" s="87"/>
      <c r="Z34" s="88">
        <v>35</v>
      </c>
      <c r="AA34" s="89">
        <v>14470</v>
      </c>
      <c r="AB34" s="53">
        <f t="shared" si="13"/>
        <v>413.42857142857144</v>
      </c>
      <c r="AC34" s="89">
        <v>9800</v>
      </c>
      <c r="AD34" s="54">
        <f t="shared" si="14"/>
        <v>280</v>
      </c>
      <c r="AE34" s="65">
        <f t="shared" si="15"/>
        <v>24270</v>
      </c>
      <c r="AF34" s="56">
        <f t="shared" si="16"/>
        <v>693.42857142857144</v>
      </c>
      <c r="AG34" s="66"/>
      <c r="AH34" s="88"/>
      <c r="AI34" s="89"/>
      <c r="AJ34" s="53" t="e">
        <f t="shared" si="17"/>
        <v>#DIV/0!</v>
      </c>
      <c r="AK34" s="89"/>
      <c r="AL34" s="54" t="e">
        <f t="shared" si="18"/>
        <v>#DIV/0!</v>
      </c>
      <c r="AM34" s="65">
        <f t="shared" si="29"/>
        <v>0</v>
      </c>
      <c r="AN34" s="67" t="str">
        <f t="shared" si="19"/>
        <v/>
      </c>
      <c r="AO34" s="68"/>
      <c r="AP34" s="88"/>
      <c r="AQ34" s="89"/>
      <c r="AR34" s="53" t="e">
        <f t="shared" si="20"/>
        <v>#DIV/0!</v>
      </c>
      <c r="AS34" s="89"/>
      <c r="AT34" s="54" t="e">
        <f t="shared" si="21"/>
        <v>#DIV/0!</v>
      </c>
      <c r="AU34" s="54"/>
      <c r="AV34" s="69">
        <f t="shared" si="30"/>
        <v>0</v>
      </c>
      <c r="AW34" s="67" t="str">
        <f t="shared" si="22"/>
        <v/>
      </c>
      <c r="AX34" s="82">
        <f t="shared" si="23"/>
        <v>44</v>
      </c>
      <c r="AY34" s="59">
        <f t="shared" si="24"/>
        <v>278360</v>
      </c>
      <c r="AZ34" s="59">
        <f t="shared" si="25"/>
        <v>60080</v>
      </c>
      <c r="BA34" s="71">
        <f>W34+AE34+AM34+AV34</f>
        <v>338440</v>
      </c>
      <c r="BB34" s="72">
        <f t="shared" si="31"/>
        <v>6600</v>
      </c>
      <c r="BC34" s="73">
        <v>44</v>
      </c>
      <c r="BD34" s="74">
        <v>263890</v>
      </c>
      <c r="BE34" s="74">
        <v>50280</v>
      </c>
      <c r="BF34" s="75">
        <v>6600</v>
      </c>
      <c r="BG34" s="75"/>
      <c r="BH34" s="75"/>
      <c r="BI34" s="75"/>
      <c r="BJ34" s="76">
        <f t="shared" si="32"/>
        <v>320770</v>
      </c>
      <c r="BK34" s="47">
        <v>30</v>
      </c>
      <c r="BL34" s="77">
        <f t="shared" si="27"/>
        <v>320770</v>
      </c>
    </row>
    <row r="35" spans="2:64" ht="20" customHeight="1" thickBot="1">
      <c r="B35" s="78">
        <f t="shared" si="28"/>
        <v>45382</v>
      </c>
      <c r="C35" s="79"/>
      <c r="D35" s="50"/>
      <c r="E35" s="51">
        <v>15</v>
      </c>
      <c r="F35" s="52">
        <v>66110</v>
      </c>
      <c r="G35" s="53">
        <f t="shared" si="0"/>
        <v>4006.6666666666665</v>
      </c>
      <c r="H35" s="52">
        <v>4880</v>
      </c>
      <c r="I35" s="53">
        <f t="shared" si="1"/>
        <v>295.73333333333335</v>
      </c>
      <c r="J35" s="55">
        <f t="shared" si="2"/>
        <v>70990</v>
      </c>
      <c r="K35" s="56">
        <f t="shared" si="3"/>
        <v>4732.666666666667</v>
      </c>
      <c r="L35" s="57"/>
      <c r="M35" s="90">
        <f t="shared" si="4"/>
        <v>21</v>
      </c>
      <c r="N35" s="59">
        <f t="shared" si="4"/>
        <v>246620</v>
      </c>
      <c r="O35" s="53">
        <f t="shared" si="5"/>
        <v>10676.190476190477</v>
      </c>
      <c r="P35" s="59">
        <f t="shared" si="6"/>
        <v>64760</v>
      </c>
      <c r="Q35" s="53">
        <f t="shared" si="7"/>
        <v>2803.4285714285716</v>
      </c>
      <c r="R35" s="60">
        <f t="shared" si="8"/>
        <v>311380</v>
      </c>
      <c r="S35" s="56">
        <f t="shared" si="9"/>
        <v>14827.619047619048</v>
      </c>
      <c r="T35" s="91">
        <f t="shared" si="10"/>
        <v>36</v>
      </c>
      <c r="U35" s="92">
        <f t="shared" si="10"/>
        <v>312730</v>
      </c>
      <c r="V35" s="92">
        <f t="shared" si="11"/>
        <v>69640</v>
      </c>
      <c r="W35" s="93">
        <f t="shared" si="12"/>
        <v>382370</v>
      </c>
      <c r="X35" s="92"/>
      <c r="Y35" s="94"/>
      <c r="Z35" s="95">
        <v>37</v>
      </c>
      <c r="AA35" s="96">
        <v>16440</v>
      </c>
      <c r="AB35" s="97">
        <f t="shared" si="13"/>
        <v>444.32432432432432</v>
      </c>
      <c r="AC35" s="96">
        <v>2150</v>
      </c>
      <c r="AD35" s="98">
        <f t="shared" si="14"/>
        <v>58.108108108108105</v>
      </c>
      <c r="AE35" s="99">
        <f t="shared" si="15"/>
        <v>18590</v>
      </c>
      <c r="AF35" s="56">
        <f t="shared" si="16"/>
        <v>502.43243243243245</v>
      </c>
      <c r="AG35" s="100"/>
      <c r="AH35" s="95"/>
      <c r="AI35" s="96"/>
      <c r="AJ35" s="97" t="e">
        <f t="shared" si="17"/>
        <v>#DIV/0!</v>
      </c>
      <c r="AK35" s="96"/>
      <c r="AL35" s="98" t="e">
        <f t="shared" si="18"/>
        <v>#DIV/0!</v>
      </c>
      <c r="AM35" s="65">
        <f t="shared" si="29"/>
        <v>0</v>
      </c>
      <c r="AN35" s="67" t="str">
        <f t="shared" si="19"/>
        <v/>
      </c>
      <c r="AO35" s="101"/>
      <c r="AP35" s="95"/>
      <c r="AQ35" s="96"/>
      <c r="AR35" s="97" t="e">
        <f t="shared" si="20"/>
        <v>#DIV/0!</v>
      </c>
      <c r="AS35" s="96"/>
      <c r="AT35" s="98" t="e">
        <f t="shared" si="21"/>
        <v>#DIV/0!</v>
      </c>
      <c r="AU35" s="98"/>
      <c r="AV35" s="69">
        <f t="shared" si="30"/>
        <v>0</v>
      </c>
      <c r="AW35" s="67" t="str">
        <f t="shared" si="22"/>
        <v/>
      </c>
      <c r="AX35" s="102">
        <f t="shared" si="23"/>
        <v>36</v>
      </c>
      <c r="AY35" s="59">
        <f t="shared" si="24"/>
        <v>329170</v>
      </c>
      <c r="AZ35" s="59">
        <f t="shared" si="25"/>
        <v>71790</v>
      </c>
      <c r="BA35" s="71">
        <f t="shared" si="26"/>
        <v>400960</v>
      </c>
      <c r="BB35" s="72">
        <f t="shared" si="31"/>
        <v>0</v>
      </c>
      <c r="BC35" s="103">
        <v>36</v>
      </c>
      <c r="BD35" s="104">
        <v>312730</v>
      </c>
      <c r="BE35" s="104">
        <v>69640</v>
      </c>
      <c r="BF35" s="105"/>
      <c r="BG35" s="105"/>
      <c r="BH35" s="105"/>
      <c r="BI35" s="105"/>
      <c r="BJ35" s="76">
        <f t="shared" si="32"/>
        <v>382370</v>
      </c>
      <c r="BK35" s="47">
        <v>31</v>
      </c>
      <c r="BL35" s="77">
        <f t="shared" si="27"/>
        <v>382370</v>
      </c>
    </row>
    <row r="36" spans="2:64" s="128" customFormat="1" ht="20" customHeight="1" thickTop="1">
      <c r="B36" s="106" t="s">
        <v>28</v>
      </c>
      <c r="C36" s="107">
        <f>SUM(C5:C35)</f>
        <v>0</v>
      </c>
      <c r="D36" s="108">
        <f>SUM(D5:D35)</f>
        <v>0</v>
      </c>
      <c r="E36" s="109">
        <f>SUM(E5:E35)</f>
        <v>817</v>
      </c>
      <c r="F36" s="110">
        <f>SUM(F5:F35)</f>
        <v>3300370</v>
      </c>
      <c r="G36" s="111">
        <f>F36/E36</f>
        <v>4039.6205630354957</v>
      </c>
      <c r="H36" s="107">
        <f>SUM(H5:H35)</f>
        <v>497180</v>
      </c>
      <c r="I36" s="112">
        <f>H36/E36</f>
        <v>608.54345165238681</v>
      </c>
      <c r="J36" s="113">
        <f>SUM(J5:J35)+BB36/2</f>
        <v>3844575</v>
      </c>
      <c r="K36" s="114">
        <f>J36/E36</f>
        <v>4705.7221542227662</v>
      </c>
      <c r="L36" s="115">
        <f>SUM(L5:L35)</f>
        <v>0</v>
      </c>
      <c r="M36" s="109">
        <f>SUM(M5:M35)</f>
        <v>485</v>
      </c>
      <c r="N36" s="110">
        <f>SUM(N5:N35)</f>
        <v>4782470</v>
      </c>
      <c r="O36" s="111">
        <f>N36/M36</f>
        <v>9860.7628865979386</v>
      </c>
      <c r="P36" s="116">
        <f>SUM(P5:P35)</f>
        <v>1218590</v>
      </c>
      <c r="Q36" s="112">
        <f>P36/M36</f>
        <v>2512.5567010309278</v>
      </c>
      <c r="R36" s="117">
        <f>SUM(R5:R35)+BB36/2</f>
        <v>6048085</v>
      </c>
      <c r="S36" s="118">
        <f>R36/M36</f>
        <v>12470.278350515464</v>
      </c>
      <c r="T36" s="109">
        <f t="shared" ref="T36:AA36" si="33">SUM(T5:T35)</f>
        <v>1302</v>
      </c>
      <c r="U36" s="116">
        <f t="shared" si="33"/>
        <v>8082840</v>
      </c>
      <c r="V36" s="116">
        <f t="shared" si="33"/>
        <v>1715770</v>
      </c>
      <c r="W36" s="113">
        <f>SUM(W5:W35)+BF36</f>
        <v>9892660</v>
      </c>
      <c r="X36" s="119">
        <f t="shared" si="33"/>
        <v>0</v>
      </c>
      <c r="Y36" s="108">
        <f t="shared" si="33"/>
        <v>0</v>
      </c>
      <c r="Z36" s="109">
        <f t="shared" si="33"/>
        <v>884</v>
      </c>
      <c r="AA36" s="111">
        <f t="shared" si="33"/>
        <v>365540</v>
      </c>
      <c r="AB36" s="111">
        <f>AA36/Z36</f>
        <v>413.50678733031674</v>
      </c>
      <c r="AC36" s="107">
        <f>SUM(AC5:AC35)</f>
        <v>133010</v>
      </c>
      <c r="AD36" s="112">
        <f>AC36/Z36</f>
        <v>150.46380090497738</v>
      </c>
      <c r="AE36" s="117">
        <f>SUM(AE5:AE35)</f>
        <v>498550</v>
      </c>
      <c r="AF36" s="120">
        <f>AE36/Z36</f>
        <v>563.97058823529414</v>
      </c>
      <c r="AG36" s="121">
        <f t="shared" ref="AG36:AI36" si="34">SUM(AG5:AG35)</f>
        <v>0</v>
      </c>
      <c r="AH36" s="109">
        <f t="shared" si="34"/>
        <v>338</v>
      </c>
      <c r="AI36" s="111">
        <f t="shared" si="34"/>
        <v>1464210</v>
      </c>
      <c r="AJ36" s="111"/>
      <c r="AK36" s="107">
        <f>SUM(AK5:AK35)</f>
        <v>440164</v>
      </c>
      <c r="AL36" s="112"/>
      <c r="AM36" s="117">
        <f>SUM(AM5:AM35)</f>
        <v>1904374</v>
      </c>
      <c r="AN36" s="122">
        <f>AM36/AH36</f>
        <v>5634.2426035502958</v>
      </c>
      <c r="AO36" s="123">
        <f t="shared" ref="AO36:AQ36" si="35">SUM(AO5:AO35)</f>
        <v>0</v>
      </c>
      <c r="AP36" s="109">
        <f t="shared" si="35"/>
        <v>0</v>
      </c>
      <c r="AQ36" s="111">
        <f t="shared" si="35"/>
        <v>0</v>
      </c>
      <c r="AR36" s="111"/>
      <c r="AS36" s="107">
        <f>SUM(AS5:AS35)</f>
        <v>0</v>
      </c>
      <c r="AT36" s="112"/>
      <c r="AU36" s="107">
        <f>SUM(AU5:AU35)</f>
        <v>0</v>
      </c>
      <c r="AV36" s="117">
        <f>SUM(AV5:AV35)</f>
        <v>0</v>
      </c>
      <c r="AW36" s="122" t="e">
        <f>AV36/AP36</f>
        <v>#DIV/0!</v>
      </c>
      <c r="AX36" s="124">
        <f t="shared" ref="AX36:BJ36" si="36">SUM(AX5:AX35)</f>
        <v>1302</v>
      </c>
      <c r="AY36" s="116">
        <f t="shared" si="36"/>
        <v>9912590</v>
      </c>
      <c r="AZ36" s="116">
        <f t="shared" si="36"/>
        <v>2288944</v>
      </c>
      <c r="BA36" s="117">
        <f>SUM(BA5:BA35)</f>
        <v>12201534</v>
      </c>
      <c r="BB36" s="125">
        <f t="shared" si="36"/>
        <v>94050</v>
      </c>
      <c r="BC36" s="126">
        <f t="shared" si="36"/>
        <v>1302</v>
      </c>
      <c r="BD36" s="126">
        <f t="shared" si="36"/>
        <v>8082840</v>
      </c>
      <c r="BE36" s="126">
        <f t="shared" si="36"/>
        <v>1715770</v>
      </c>
      <c r="BF36" s="126">
        <f t="shared" si="36"/>
        <v>94050</v>
      </c>
      <c r="BG36" s="126">
        <f t="shared" si="36"/>
        <v>0</v>
      </c>
      <c r="BH36" s="126">
        <f t="shared" si="36"/>
        <v>16500</v>
      </c>
      <c r="BI36" s="126">
        <f t="shared" si="36"/>
        <v>47740</v>
      </c>
      <c r="BJ36" s="127">
        <f t="shared" si="36"/>
        <v>9892660</v>
      </c>
      <c r="BL36" s="129">
        <f>SUM(BL5:BL35)</f>
        <v>9940400</v>
      </c>
    </row>
    <row r="37" spans="2:64" s="128" customFormat="1" ht="18">
      <c r="B37" s="130"/>
      <c r="E37" s="131" t="s">
        <v>41</v>
      </c>
      <c r="F37" s="132">
        <f>F36/1.1</f>
        <v>3000336.3636363633</v>
      </c>
      <c r="G37" s="133">
        <f>F37/E36</f>
        <v>3672.3823300322683</v>
      </c>
      <c r="H37" s="134">
        <f>H36/1.1</f>
        <v>451981.81818181812</v>
      </c>
      <c r="I37" s="133">
        <f>H37/E36</f>
        <v>553.22131968398787</v>
      </c>
      <c r="J37" s="135">
        <f>J36/1.1</f>
        <v>3495068.1818181816</v>
      </c>
      <c r="K37" s="136">
        <f>G37+I37</f>
        <v>4225.6036497162559</v>
      </c>
      <c r="L37" s="137"/>
      <c r="M37" s="131" t="s">
        <v>41</v>
      </c>
      <c r="N37" s="132">
        <f>N36/1.1</f>
        <v>4347700</v>
      </c>
      <c r="O37" s="133">
        <f>N37/M36</f>
        <v>8964.3298969072166</v>
      </c>
      <c r="P37" s="134">
        <f>P36/1.1</f>
        <v>1107809.0909090908</v>
      </c>
      <c r="Q37" s="133">
        <f>P37/M36</f>
        <v>2284.1424554826617</v>
      </c>
      <c r="R37" s="133">
        <f>R36/1.1</f>
        <v>5498259.0909090908</v>
      </c>
      <c r="S37" s="138">
        <f>R37/M36</f>
        <v>11336.616682286785</v>
      </c>
      <c r="T37" s="131" t="s">
        <v>41</v>
      </c>
      <c r="U37" s="132">
        <f>U36/1.1</f>
        <v>7348036.3636363633</v>
      </c>
      <c r="V37" s="132">
        <f>V36/1.1</f>
        <v>1559790.9090909089</v>
      </c>
      <c r="W37" s="135">
        <f>W36/1.1</f>
        <v>8993327.2727272715</v>
      </c>
      <c r="X37" s="139"/>
      <c r="Y37" s="137"/>
      <c r="Z37" s="131" t="s">
        <v>41</v>
      </c>
      <c r="AA37" s="132">
        <f>AA36/1.1</f>
        <v>332309.09090909088</v>
      </c>
      <c r="AB37" s="134">
        <f>AA37/Z36</f>
        <v>375.91526120937885</v>
      </c>
      <c r="AC37" s="134">
        <f>AC36/1.1</f>
        <v>120918.18181818181</v>
      </c>
      <c r="AD37" s="134">
        <f>AC37/Z36</f>
        <v>136.78527354997942</v>
      </c>
      <c r="AE37" s="133">
        <f>AE36/1.1</f>
        <v>453227.27272727271</v>
      </c>
      <c r="AF37" s="140" t="e">
        <f>AE37/Y36</f>
        <v>#DIV/0!</v>
      </c>
      <c r="AG37" s="137"/>
      <c r="AH37" s="131" t="s">
        <v>41</v>
      </c>
      <c r="AI37" s="132">
        <f>AI36/1.1</f>
        <v>1331100</v>
      </c>
      <c r="AJ37" s="134">
        <f>AI37/AH36</f>
        <v>3938.165680473373</v>
      </c>
      <c r="AK37" s="134">
        <f>AK36/1.1</f>
        <v>400149.09090909088</v>
      </c>
      <c r="AL37" s="134">
        <f>AK37/AH36</f>
        <v>1183.8730500268962</v>
      </c>
      <c r="AM37" s="133">
        <f>AM36/1.1</f>
        <v>1731249.0909090908</v>
      </c>
      <c r="AN37" s="141" t="e">
        <f>AM37/AG36</f>
        <v>#DIV/0!</v>
      </c>
      <c r="AO37" s="137"/>
      <c r="AP37" s="131" t="s">
        <v>41</v>
      </c>
      <c r="AQ37" s="132">
        <f>AQ36/1.1</f>
        <v>0</v>
      </c>
      <c r="AR37" s="134" t="e">
        <f>AQ37/AP36</f>
        <v>#DIV/0!</v>
      </c>
      <c r="AS37" s="134">
        <f>AS36/1.1</f>
        <v>0</v>
      </c>
      <c r="AT37" s="134" t="e">
        <f>AS37/AP36</f>
        <v>#DIV/0!</v>
      </c>
      <c r="AU37" s="134">
        <f>AU36/1.1</f>
        <v>0</v>
      </c>
      <c r="AV37" s="133">
        <f>AV36/1.1</f>
        <v>0</v>
      </c>
      <c r="AW37" s="141" t="e">
        <f>AV37/AP36</f>
        <v>#DIV/0!</v>
      </c>
      <c r="AX37" s="142" t="s">
        <v>41</v>
      </c>
      <c r="AY37" s="132">
        <f>AY36/1.1</f>
        <v>9011445.4545454532</v>
      </c>
      <c r="AZ37" s="132">
        <f>AZ36/1.1</f>
        <v>2080858.1818181816</v>
      </c>
      <c r="BA37" s="133">
        <f>BA36/1.1</f>
        <v>11092303.636363635</v>
      </c>
      <c r="BB37" s="143">
        <f>BB36/1.1</f>
        <v>85500</v>
      </c>
      <c r="BG37" s="144"/>
      <c r="BJ37" s="145">
        <f>BJ36/1.1</f>
        <v>8993327.2727272715</v>
      </c>
      <c r="BL37" s="145"/>
    </row>
    <row r="38" spans="2:64">
      <c r="C38" s="47">
        <v>31</v>
      </c>
      <c r="E38" s="146" t="s">
        <v>42</v>
      </c>
      <c r="F38" s="147">
        <f>E36/G38</f>
        <v>26.35483870967742</v>
      </c>
      <c r="G38" s="148">
        <v>31</v>
      </c>
      <c r="H38" s="147"/>
      <c r="I38" s="147"/>
      <c r="J38" s="149" t="s">
        <v>43</v>
      </c>
      <c r="K38" s="150">
        <f>J37/G38</f>
        <v>112744.13489736069</v>
      </c>
      <c r="M38" s="146" t="s">
        <v>42</v>
      </c>
      <c r="N38" s="147">
        <f>M36/O38</f>
        <v>15.64516129032258</v>
      </c>
      <c r="O38" s="148">
        <f>G38</f>
        <v>31</v>
      </c>
      <c r="P38" s="147"/>
      <c r="Q38" s="147"/>
      <c r="R38" s="149" t="s">
        <v>43</v>
      </c>
      <c r="S38" s="151">
        <f>R37/O38</f>
        <v>177363.19648093841</v>
      </c>
      <c r="U38" s="152">
        <f>O38</f>
        <v>31</v>
      </c>
      <c r="W38" s="85">
        <f>W37/U38</f>
        <v>290107.3313782991</v>
      </c>
      <c r="X38" s="77"/>
      <c r="AA38" s="153">
        <f>G38</f>
        <v>31</v>
      </c>
      <c r="AB38" s="147"/>
      <c r="AC38" s="147"/>
      <c r="AD38" s="147"/>
      <c r="AE38" s="147"/>
      <c r="AF38" s="150">
        <f>AE37/AA38</f>
        <v>14620.234604105572</v>
      </c>
      <c r="AI38" s="153">
        <f>AA38</f>
        <v>31</v>
      </c>
      <c r="AJ38" s="147"/>
      <c r="AK38" s="147"/>
      <c r="AL38" s="147"/>
      <c r="AM38" s="147"/>
      <c r="AN38" s="150">
        <f>AM37/AI38</f>
        <v>55846.744868035188</v>
      </c>
      <c r="AQ38" s="153">
        <f>G38</f>
        <v>31</v>
      </c>
      <c r="AR38" s="147"/>
      <c r="AS38" s="147"/>
      <c r="AT38" s="147"/>
      <c r="AU38" s="147"/>
      <c r="AV38" s="147"/>
      <c r="AW38" s="150">
        <f>AV37/AQ38</f>
        <v>0</v>
      </c>
      <c r="BA38" s="85"/>
      <c r="BB38" s="77" t="e">
        <f>BA37/BC37</f>
        <v>#DIV/0!</v>
      </c>
      <c r="BC38" s="154">
        <f>AX36+T36</f>
        <v>2604</v>
      </c>
      <c r="BG38" s="85"/>
    </row>
    <row r="39" spans="2:64">
      <c r="D39" s="155" t="s">
        <v>44</v>
      </c>
      <c r="E39" s="156"/>
      <c r="F39" s="147"/>
      <c r="G39" s="157"/>
      <c r="H39" s="147"/>
      <c r="I39" s="147"/>
      <c r="J39" s="149"/>
      <c r="K39" s="150"/>
      <c r="L39" s="158" t="s">
        <v>45</v>
      </c>
      <c r="M39" s="146"/>
      <c r="N39" s="147"/>
      <c r="O39" s="147"/>
      <c r="P39" s="147"/>
      <c r="Q39" s="147"/>
      <c r="R39" s="149"/>
      <c r="S39" s="150"/>
      <c r="W39" s="85"/>
      <c r="X39" s="77"/>
      <c r="Y39" s="158" t="s">
        <v>46</v>
      </c>
      <c r="AA39" s="147"/>
      <c r="AB39" s="147"/>
      <c r="AC39" s="147"/>
      <c r="AD39" s="147"/>
      <c r="AE39" s="147"/>
      <c r="AF39" s="150"/>
      <c r="AG39" s="158" t="s">
        <v>47</v>
      </c>
      <c r="AI39" s="147"/>
      <c r="AJ39" s="147"/>
      <c r="AK39" s="147"/>
      <c r="AL39" s="147"/>
      <c r="AM39" s="147"/>
      <c r="AN39" s="150"/>
      <c r="AO39" s="158" t="s">
        <v>48</v>
      </c>
      <c r="AQ39" s="147"/>
      <c r="AR39" s="147"/>
      <c r="AS39" s="147"/>
      <c r="AT39" s="147"/>
      <c r="AU39" s="147"/>
      <c r="AV39" s="147"/>
      <c r="AW39" s="150"/>
      <c r="BA39" s="77">
        <f>BA36+BB36</f>
        <v>12295584</v>
      </c>
      <c r="BB39" s="159">
        <f>BA39/G38</f>
        <v>396631.74193548388</v>
      </c>
      <c r="BC39" s="47" t="s">
        <v>49</v>
      </c>
      <c r="BG39" s="85"/>
    </row>
    <row r="40" spans="2:64" ht="21.5" customHeight="1">
      <c r="C40" s="158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47">
        <v>25</v>
      </c>
      <c r="W40" s="77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BA40" s="161">
        <f>BA37+BB37</f>
        <v>11177803.636363635</v>
      </c>
    </row>
    <row r="41" spans="2:64" ht="21.5" customHeight="1">
      <c r="C41" s="158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47">
        <v>15</v>
      </c>
      <c r="V41" s="47">
        <f>17+10+14+5+7+8+9+6</f>
        <v>76</v>
      </c>
      <c r="W41" s="85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BA41" s="77"/>
      <c r="BB41" s="159">
        <f>BA40/G38</f>
        <v>360574.31085043983</v>
      </c>
      <c r="BC41" s="47" t="s">
        <v>50</v>
      </c>
      <c r="BD41" s="47">
        <v>9</v>
      </c>
    </row>
    <row r="42" spans="2:64" ht="21.5" customHeight="1">
      <c r="C42" s="158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47">
        <v>13</v>
      </c>
      <c r="W42" s="77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  <c r="BD42" s="47">
        <v>8</v>
      </c>
      <c r="BE42" s="85">
        <f>AS37</f>
        <v>0</v>
      </c>
    </row>
    <row r="43" spans="2:64" ht="21.5" customHeight="1">
      <c r="C43" s="158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47">
        <v>10</v>
      </c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BA43" s="85">
        <f>BA37+BB37</f>
        <v>11177803.636363635</v>
      </c>
      <c r="BB43" s="162" t="s">
        <v>51</v>
      </c>
      <c r="BD43" s="47">
        <v>7</v>
      </c>
      <c r="BE43" s="163">
        <f>'[1]2023(7)'!AS37</f>
        <v>15843636.363636361</v>
      </c>
      <c r="BF43" s="163">
        <v>6266320</v>
      </c>
      <c r="BG43" s="164">
        <f>BF43/BE43</f>
        <v>0.39551021344962134</v>
      </c>
    </row>
    <row r="44" spans="2:64" ht="21.5" customHeight="1">
      <c r="C44" s="158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47">
        <v>40</v>
      </c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Y44" s="128"/>
      <c r="AZ44" s="165" t="s">
        <v>52</v>
      </c>
      <c r="BA44" s="145">
        <f>J45+R45+AE45+BB44+AM45+AV45</f>
        <v>14168000</v>
      </c>
      <c r="BB44" s="166"/>
      <c r="BC44" s="128"/>
      <c r="BD44" s="47">
        <v>6</v>
      </c>
      <c r="BE44" s="163">
        <v>7119727</v>
      </c>
      <c r="BF44" s="163">
        <v>2680643</v>
      </c>
      <c r="BG44" s="164">
        <f t="shared" ref="BG44:BG45" si="37">BF44/BE44</f>
        <v>0.37650923975034434</v>
      </c>
      <c r="BH44" s="47" t="s">
        <v>53</v>
      </c>
    </row>
    <row r="45" spans="2:64" ht="21" customHeight="1">
      <c r="H45" s="167"/>
      <c r="I45" s="168" t="s">
        <v>54</v>
      </c>
      <c r="J45" s="145">
        <v>3645600</v>
      </c>
      <c r="K45" s="169" t="s">
        <v>55</v>
      </c>
      <c r="L45" s="128"/>
      <c r="M45" s="128"/>
      <c r="N45" s="128"/>
      <c r="O45" s="128"/>
      <c r="P45" s="128"/>
      <c r="Q45" s="168" t="s">
        <v>56</v>
      </c>
      <c r="R45" s="145">
        <v>9374400</v>
      </c>
      <c r="S45" s="169" t="s">
        <v>55</v>
      </c>
      <c r="T45" s="128">
        <v>10</v>
      </c>
      <c r="U45" s="128"/>
      <c r="V45" s="168" t="s">
        <v>57</v>
      </c>
      <c r="W45" s="145">
        <f>J45+R45</f>
        <v>13020000</v>
      </c>
      <c r="X45" s="169" t="s">
        <v>55</v>
      </c>
      <c r="Y45" s="128"/>
      <c r="Z45" s="128"/>
      <c r="AA45" s="128"/>
      <c r="AB45" s="128"/>
      <c r="AC45" s="128"/>
      <c r="AD45" s="167" t="s">
        <v>58</v>
      </c>
      <c r="AE45" s="145">
        <v>644000</v>
      </c>
      <c r="AF45" s="169" t="s">
        <v>55</v>
      </c>
      <c r="AG45" s="169"/>
      <c r="AH45" s="169"/>
      <c r="AI45" s="169"/>
      <c r="AJ45" s="169"/>
      <c r="AK45" s="128"/>
      <c r="AL45" s="168" t="s">
        <v>59</v>
      </c>
      <c r="AM45" s="145">
        <v>504000</v>
      </c>
      <c r="AN45" s="169" t="s">
        <v>55</v>
      </c>
      <c r="AO45" s="169"/>
      <c r="AP45" s="169"/>
      <c r="AQ45" s="169"/>
      <c r="AR45" s="169"/>
      <c r="AS45" s="128"/>
      <c r="AT45" s="168" t="s">
        <v>60</v>
      </c>
      <c r="AU45" s="168"/>
      <c r="AV45" s="145"/>
      <c r="AW45" s="169" t="s">
        <v>55</v>
      </c>
      <c r="AX45" s="128"/>
      <c r="AY45" s="128"/>
      <c r="AZ45" s="165" t="s">
        <v>61</v>
      </c>
      <c r="BA45" s="144">
        <f>BA44-BA37-BB37</f>
        <v>2990196.3636363652</v>
      </c>
      <c r="BB45" s="144">
        <f>BB44-BB37</f>
        <v>-85500</v>
      </c>
      <c r="BC45" s="170" t="e">
        <f>BB37/BB44</f>
        <v>#DIV/0!</v>
      </c>
      <c r="BD45" s="47">
        <v>5</v>
      </c>
      <c r="BE45" s="163">
        <v>637682</v>
      </c>
      <c r="BF45" s="163"/>
      <c r="BG45" s="164">
        <f t="shared" si="37"/>
        <v>0</v>
      </c>
      <c r="BH45" s="77" t="s">
        <v>62</v>
      </c>
      <c r="BL45" s="47"/>
    </row>
    <row r="46" spans="2:64" ht="21" customHeight="1">
      <c r="H46" s="167"/>
      <c r="I46" s="167" t="s">
        <v>61</v>
      </c>
      <c r="J46" s="144">
        <f>J45-J37</f>
        <v>150531.81818181835</v>
      </c>
      <c r="K46" s="171">
        <f>C38-G38</f>
        <v>0</v>
      </c>
      <c r="L46" s="128"/>
      <c r="M46" s="128"/>
      <c r="N46" s="128"/>
      <c r="O46" s="128"/>
      <c r="P46" s="128"/>
      <c r="Q46" s="167" t="s">
        <v>61</v>
      </c>
      <c r="R46" s="144">
        <f>R45-R37</f>
        <v>3876140.9090909092</v>
      </c>
      <c r="S46" s="128">
        <f>K46</f>
        <v>0</v>
      </c>
      <c r="T46" s="128"/>
      <c r="U46" s="128"/>
      <c r="V46" s="167" t="s">
        <v>61</v>
      </c>
      <c r="W46" s="144">
        <f>W45-W37</f>
        <v>4026672.7272727285</v>
      </c>
      <c r="X46" s="128">
        <f>S46</f>
        <v>0</v>
      </c>
      <c r="Y46" s="128"/>
      <c r="Z46" s="128"/>
      <c r="AA46" s="128"/>
      <c r="AB46" s="128"/>
      <c r="AC46" s="128"/>
      <c r="AD46" s="167" t="s">
        <v>61</v>
      </c>
      <c r="AE46" s="144">
        <f>AE45-AE37</f>
        <v>190772.72727272729</v>
      </c>
      <c r="AF46" s="128">
        <f>K46</f>
        <v>0</v>
      </c>
      <c r="AG46" s="128"/>
      <c r="AH46" s="128"/>
      <c r="AI46" s="128"/>
      <c r="AJ46" s="128"/>
      <c r="AK46" s="128"/>
      <c r="AL46" s="167" t="s">
        <v>61</v>
      </c>
      <c r="AM46" s="144">
        <f>AM45-AM37</f>
        <v>-1227249.0909090908</v>
      </c>
      <c r="AN46" s="128">
        <f>AF46</f>
        <v>0</v>
      </c>
      <c r="AO46" s="128"/>
      <c r="AP46" s="128"/>
      <c r="AQ46" s="128"/>
      <c r="AR46" s="128"/>
      <c r="AS46" s="128"/>
      <c r="AT46" s="167" t="s">
        <v>61</v>
      </c>
      <c r="AU46" s="167"/>
      <c r="AV46" s="144">
        <f>AV45-AV37</f>
        <v>0</v>
      </c>
      <c r="AW46" s="128">
        <f>AN46</f>
        <v>0</v>
      </c>
      <c r="AX46" s="128"/>
      <c r="AY46" s="172"/>
      <c r="AZ46" s="173" t="s">
        <v>63</v>
      </c>
      <c r="BA46" s="174" t="e">
        <f>BA45/K46</f>
        <v>#DIV/0!</v>
      </c>
      <c r="BB46" s="175">
        <f>(BA37+BB37)/BA44</f>
        <v>0.78894717930291047</v>
      </c>
      <c r="BC46" s="172"/>
      <c r="BD46" s="176"/>
      <c r="BE46" s="177">
        <f>SUM(BE41:BE45)</f>
        <v>23601045.36363636</v>
      </c>
      <c r="BF46" s="178">
        <f>BJ71</f>
        <v>9138052</v>
      </c>
      <c r="BG46" s="179">
        <f>BF46/BE46</f>
        <v>0.38718844268142383</v>
      </c>
      <c r="BH46" s="180">
        <f>BE46-BF46</f>
        <v>14462993.36363636</v>
      </c>
      <c r="BL46" s="47"/>
    </row>
    <row r="47" spans="2:64" s="176" customFormat="1" ht="26" customHeight="1">
      <c r="B47" s="181"/>
      <c r="H47" s="182"/>
      <c r="I47" s="173" t="s">
        <v>63</v>
      </c>
      <c r="J47" s="183" t="e">
        <f>J46/K46</f>
        <v>#DIV/0!</v>
      </c>
      <c r="K47" s="184">
        <f>J37/J45</f>
        <v>0.95870863007959772</v>
      </c>
      <c r="L47" s="172"/>
      <c r="M47" s="172"/>
      <c r="N47" s="172"/>
      <c r="O47" s="172"/>
      <c r="P47" s="172"/>
      <c r="Q47" s="173" t="s">
        <v>63</v>
      </c>
      <c r="R47" s="174" t="e">
        <f>R46/S46</f>
        <v>#DIV/0!</v>
      </c>
      <c r="S47" s="184">
        <f>R37/R45</f>
        <v>0.58651850688141005</v>
      </c>
      <c r="T47" s="172"/>
      <c r="U47" s="172"/>
      <c r="V47" s="173" t="s">
        <v>63</v>
      </c>
      <c r="W47" s="174" t="e">
        <f>W46/X46</f>
        <v>#DIV/0!</v>
      </c>
      <c r="X47" s="184">
        <f>W37/W45</f>
        <v>0.69073174137690263</v>
      </c>
      <c r="Y47" s="172"/>
      <c r="Z47" s="172"/>
      <c r="AA47" s="172"/>
      <c r="AB47" s="172"/>
      <c r="AC47" s="172"/>
      <c r="AD47" s="173" t="s">
        <v>63</v>
      </c>
      <c r="AE47" s="183" t="e">
        <f>AE46/AF46</f>
        <v>#DIV/0!</v>
      </c>
      <c r="AF47" s="184">
        <f>AE37/AE45</f>
        <v>0.70376905702992654</v>
      </c>
      <c r="AG47" s="184"/>
      <c r="AH47" s="184"/>
      <c r="AI47" s="184"/>
      <c r="AJ47" s="184"/>
      <c r="AK47" s="172"/>
      <c r="AL47" s="173" t="s">
        <v>63</v>
      </c>
      <c r="AM47" s="174" t="e">
        <f>AM46/AN46</f>
        <v>#DIV/0!</v>
      </c>
      <c r="AN47" s="184">
        <f>AM37/AM45</f>
        <v>3.4350180375180375</v>
      </c>
      <c r="AO47" s="184"/>
      <c r="AP47" s="184"/>
      <c r="AQ47" s="184"/>
      <c r="AR47" s="184"/>
      <c r="AS47" s="172"/>
      <c r="AT47" s="173" t="s">
        <v>63</v>
      </c>
      <c r="AU47" s="173"/>
      <c r="AV47" s="174" t="e">
        <f>AV46/AW46</f>
        <v>#DIV/0!</v>
      </c>
      <c r="AW47" s="184" t="e">
        <f>AV37/AV45</f>
        <v>#DIV/0!</v>
      </c>
      <c r="AX47" s="172"/>
      <c r="AY47" s="47"/>
      <c r="AZ47" s="47"/>
      <c r="BA47" s="85"/>
      <c r="BB47" s="47"/>
      <c r="BC47" s="47"/>
      <c r="BD47" s="47"/>
      <c r="BH47" s="185"/>
      <c r="BJ47" s="185"/>
    </row>
    <row r="48" spans="2:64">
      <c r="H48" s="47">
        <v>930</v>
      </c>
      <c r="I48" s="47">
        <f>H48/31</f>
        <v>30</v>
      </c>
      <c r="K48" s="47">
        <f>J45/31</f>
        <v>117600</v>
      </c>
      <c r="P48" s="47">
        <v>868</v>
      </c>
      <c r="Q48" s="47">
        <f>P48/31</f>
        <v>28</v>
      </c>
      <c r="S48" s="47">
        <f>R45/31</f>
        <v>302400</v>
      </c>
      <c r="AY48" s="186"/>
      <c r="AZ48" s="186"/>
      <c r="BA48" s="186"/>
      <c r="BB48" s="186"/>
      <c r="BC48" s="186"/>
      <c r="BD48" s="186"/>
      <c r="BH48" s="77"/>
      <c r="BL48" s="47"/>
    </row>
    <row r="49" spans="2:62" s="186" customFormat="1" ht="24" customHeight="1">
      <c r="B49" s="187"/>
      <c r="I49" s="186" t="s">
        <v>64</v>
      </c>
      <c r="J49" s="188">
        <f>(I5+I8+I9+I10+I11+I12+I15+I16+I17+I18+I19+I22+I23+I24+I25+I26)/16</f>
        <v>516.69976420139039</v>
      </c>
      <c r="K49" s="186">
        <v>800000</v>
      </c>
      <c r="L49" s="189"/>
      <c r="M49" s="47"/>
      <c r="N49" s="47"/>
      <c r="O49" s="47"/>
      <c r="P49" s="47"/>
      <c r="Q49" s="47"/>
      <c r="R49" s="189">
        <v>400000</v>
      </c>
      <c r="AE49" s="186">
        <f>AE45/30</f>
        <v>21466.666666666668</v>
      </c>
      <c r="AQ49" s="190">
        <f>AP14+AP21</f>
        <v>0</v>
      </c>
      <c r="AR49" s="191" t="e">
        <f>AR14+AR21</f>
        <v>#DIV/0!</v>
      </c>
      <c r="AS49" s="191" t="e">
        <f>AT14+AT21</f>
        <v>#DIV/0!</v>
      </c>
      <c r="AY49" s="1"/>
      <c r="AZ49" s="1"/>
      <c r="BA49" s="1"/>
      <c r="BB49" s="1"/>
      <c r="BC49" s="192" t="s">
        <v>65</v>
      </c>
      <c r="BD49" s="1" t="s">
        <v>66</v>
      </c>
      <c r="BE49" s="1" t="s">
        <v>67</v>
      </c>
      <c r="BF49" s="1" t="s">
        <v>68</v>
      </c>
      <c r="BG49" s="1" t="s">
        <v>69</v>
      </c>
      <c r="BH49" s="193" t="s">
        <v>70</v>
      </c>
      <c r="BI49" s="193" t="s">
        <v>71</v>
      </c>
      <c r="BJ49" s="193" t="s">
        <v>72</v>
      </c>
    </row>
    <row r="50" spans="2:62" s="1" customFormat="1" ht="24" customHeight="1">
      <c r="B50" s="187"/>
      <c r="I50" s="1" t="s">
        <v>73</v>
      </c>
      <c r="J50" s="188">
        <f>(I6+I7+I13+I14+I20+I21+I27)/7</f>
        <v>666.23197303494715</v>
      </c>
      <c r="L50" s="194"/>
      <c r="M50" s="47"/>
      <c r="N50" s="47"/>
      <c r="O50" s="47"/>
      <c r="P50" s="47"/>
      <c r="Q50" s="47"/>
      <c r="R50" s="194"/>
      <c r="S50" s="194"/>
      <c r="Z50" s="195"/>
      <c r="AQ50" s="1">
        <f>AQ49/2</f>
        <v>0</v>
      </c>
      <c r="AR50" s="196" t="e">
        <f t="shared" ref="AR50:AS50" si="38">AR49/2</f>
        <v>#DIV/0!</v>
      </c>
      <c r="AS50" s="196" t="e">
        <f t="shared" si="38"/>
        <v>#DIV/0!</v>
      </c>
      <c r="AY50" s="186"/>
      <c r="AZ50" s="186"/>
      <c r="BA50" s="186"/>
      <c r="BB50" s="186"/>
      <c r="BC50" s="192" t="s">
        <v>74</v>
      </c>
      <c r="BD50" s="197">
        <v>1800</v>
      </c>
      <c r="BE50" s="197">
        <v>21</v>
      </c>
      <c r="BF50" s="198">
        <v>0</v>
      </c>
      <c r="BG50" s="197"/>
      <c r="BH50" s="199">
        <f>BE50*BD50</f>
        <v>37800</v>
      </c>
      <c r="BI50" s="199">
        <f>BD50*BF50</f>
        <v>0</v>
      </c>
      <c r="BJ50" s="199">
        <f>BH50-BI50</f>
        <v>37800</v>
      </c>
    </row>
    <row r="51" spans="2:62" s="186" customFormat="1" ht="24" customHeight="1">
      <c r="B51" s="187"/>
      <c r="K51" s="1"/>
      <c r="L51" s="194"/>
      <c r="M51" s="47"/>
      <c r="N51" s="47"/>
      <c r="O51" s="47"/>
      <c r="P51" s="47"/>
      <c r="Q51" s="47"/>
      <c r="R51" s="200"/>
      <c r="S51" s="201"/>
      <c r="T51" s="201"/>
      <c r="U51" s="201" t="s">
        <v>75</v>
      </c>
      <c r="V51" s="201"/>
      <c r="W51" s="202"/>
      <c r="X51" s="203"/>
      <c r="Y51" s="192"/>
      <c r="Z51" s="199"/>
      <c r="BC51" s="192" t="s">
        <v>76</v>
      </c>
      <c r="BD51" s="197">
        <v>10800</v>
      </c>
      <c r="BE51" s="197">
        <v>640</v>
      </c>
      <c r="BF51" s="197">
        <v>20</v>
      </c>
      <c r="BG51" s="197"/>
      <c r="BH51" s="199">
        <f t="shared" ref="BH51:BH70" si="39">BD51*BE51</f>
        <v>6912000</v>
      </c>
      <c r="BI51" s="199">
        <f t="shared" ref="BI51:BI70" si="40">BD51*BF51</f>
        <v>216000</v>
      </c>
      <c r="BJ51" s="199">
        <f t="shared" ref="BJ51:BJ70" si="41">BH51-BI51</f>
        <v>6696000</v>
      </c>
    </row>
    <row r="52" spans="2:62" s="186" customFormat="1" ht="24" customHeight="1">
      <c r="B52" s="187"/>
      <c r="K52" s="1"/>
      <c r="L52" s="194"/>
      <c r="M52" s="47"/>
      <c r="N52" s="47"/>
      <c r="O52" s="47"/>
      <c r="P52" s="47"/>
      <c r="Q52" s="47"/>
      <c r="R52" s="202"/>
      <c r="S52" s="201"/>
      <c r="T52" s="201"/>
      <c r="U52" s="204" t="s">
        <v>77</v>
      </c>
      <c r="V52" s="205" t="s">
        <v>78</v>
      </c>
      <c r="W52" s="206"/>
      <c r="X52" s="207" t="e">
        <f>W52/Y52</f>
        <v>#DIV/0!</v>
      </c>
      <c r="Y52" s="208">
        <f>W52+W53</f>
        <v>0</v>
      </c>
      <c r="Z52" s="209"/>
      <c r="AA52" s="209"/>
      <c r="BC52" s="192" t="s">
        <v>79</v>
      </c>
      <c r="BD52" s="197">
        <v>6120</v>
      </c>
      <c r="BE52" s="197">
        <v>40</v>
      </c>
      <c r="BF52" s="197">
        <v>4</v>
      </c>
      <c r="BG52" s="197"/>
      <c r="BH52" s="199">
        <f t="shared" si="39"/>
        <v>244800</v>
      </c>
      <c r="BI52" s="199">
        <f t="shared" si="40"/>
        <v>24480</v>
      </c>
      <c r="BJ52" s="199">
        <f t="shared" si="41"/>
        <v>220320</v>
      </c>
    </row>
    <row r="53" spans="2:62" s="186" customFormat="1" ht="24" customHeight="1">
      <c r="B53" s="187"/>
      <c r="K53" s="1"/>
      <c r="L53" s="194"/>
      <c r="M53" s="47"/>
      <c r="N53" s="47"/>
      <c r="O53" s="47"/>
      <c r="P53" s="47"/>
      <c r="Q53" s="47"/>
      <c r="R53" s="202"/>
      <c r="S53" s="201"/>
      <c r="T53" s="201"/>
      <c r="U53" s="204"/>
      <c r="V53" s="205" t="s">
        <v>80</v>
      </c>
      <c r="W53" s="206"/>
      <c r="X53" s="207" t="e">
        <f>W53/Y52</f>
        <v>#DIV/0!</v>
      </c>
      <c r="Y53" s="209"/>
      <c r="Z53" s="209"/>
      <c r="AA53" s="209"/>
      <c r="BA53" s="186" t="s">
        <v>81</v>
      </c>
      <c r="BC53" s="192" t="s">
        <v>82</v>
      </c>
      <c r="BD53" s="197">
        <v>1780</v>
      </c>
      <c r="BE53" s="197">
        <v>24</v>
      </c>
      <c r="BF53" s="197">
        <v>4</v>
      </c>
      <c r="BG53" s="197"/>
      <c r="BH53" s="199">
        <f t="shared" si="39"/>
        <v>42720</v>
      </c>
      <c r="BI53" s="199">
        <f t="shared" si="40"/>
        <v>7120</v>
      </c>
      <c r="BJ53" s="199">
        <f t="shared" si="41"/>
        <v>35600</v>
      </c>
    </row>
    <row r="54" spans="2:62" s="186" customFormat="1" ht="24" customHeight="1">
      <c r="B54" s="187"/>
      <c r="K54" s="1"/>
      <c r="L54" s="194"/>
      <c r="M54" s="47"/>
      <c r="N54" s="47"/>
      <c r="O54" s="47"/>
      <c r="P54" s="47"/>
      <c r="Q54" s="47"/>
      <c r="R54" s="202"/>
      <c r="S54" s="201"/>
      <c r="T54" s="201"/>
      <c r="U54" s="210" t="s">
        <v>83</v>
      </c>
      <c r="V54" s="205" t="s">
        <v>78</v>
      </c>
      <c r="W54" s="206"/>
      <c r="X54" s="207" t="e">
        <f t="shared" ref="X54" si="42">W54/Y54</f>
        <v>#DIV/0!</v>
      </c>
      <c r="Y54" s="208">
        <f t="shared" ref="Y54" si="43">W54+W55</f>
        <v>0</v>
      </c>
      <c r="Z54" s="209"/>
      <c r="AA54" s="209"/>
      <c r="BC54" s="192" t="s">
        <v>84</v>
      </c>
      <c r="BD54" s="197">
        <v>1780</v>
      </c>
      <c r="BE54" s="197">
        <v>24</v>
      </c>
      <c r="BF54" s="197">
        <v>20</v>
      </c>
      <c r="BG54" s="197"/>
      <c r="BH54" s="199">
        <f t="shared" si="39"/>
        <v>42720</v>
      </c>
      <c r="BI54" s="199">
        <f t="shared" si="40"/>
        <v>35600</v>
      </c>
      <c r="BJ54" s="199">
        <f t="shared" si="41"/>
        <v>7120</v>
      </c>
    </row>
    <row r="55" spans="2:62" s="186" customFormat="1" ht="24" customHeight="1">
      <c r="B55" s="187"/>
      <c r="L55" s="189"/>
      <c r="M55" s="47"/>
      <c r="N55" s="47"/>
      <c r="O55" s="47"/>
      <c r="P55" s="47"/>
      <c r="Q55" s="47"/>
      <c r="R55" s="211"/>
      <c r="S55" s="201"/>
      <c r="T55" s="201"/>
      <c r="U55" s="210"/>
      <c r="V55" s="205" t="s">
        <v>80</v>
      </c>
      <c r="W55" s="206"/>
      <c r="X55" s="207" t="e">
        <f t="shared" ref="X55" si="44">W55/Y54</f>
        <v>#DIV/0!</v>
      </c>
      <c r="Y55" s="209"/>
      <c r="Z55" s="209"/>
      <c r="AA55" s="209"/>
      <c r="AY55" s="47"/>
      <c r="AZ55" s="47"/>
      <c r="BA55" s="47"/>
      <c r="BB55" s="47"/>
      <c r="BC55" s="192" t="s">
        <v>85</v>
      </c>
      <c r="BD55" s="212">
        <v>8190</v>
      </c>
      <c r="BE55" s="197">
        <v>13</v>
      </c>
      <c r="BF55" s="197">
        <v>4</v>
      </c>
      <c r="BG55" s="197"/>
      <c r="BH55" s="199">
        <f t="shared" si="39"/>
        <v>106470</v>
      </c>
      <c r="BI55" s="199">
        <f t="shared" si="40"/>
        <v>32760</v>
      </c>
      <c r="BJ55" s="199">
        <f t="shared" si="41"/>
        <v>73710</v>
      </c>
    </row>
    <row r="56" spans="2:62" ht="24" customHeight="1">
      <c r="U56" s="213" t="s">
        <v>2</v>
      </c>
      <c r="V56" s="214" t="s">
        <v>78</v>
      </c>
      <c r="W56" s="206"/>
      <c r="X56" s="207" t="e">
        <f t="shared" ref="X56:X58" si="45">W56/Y56</f>
        <v>#DIV/0!</v>
      </c>
      <c r="Y56" s="208">
        <f t="shared" ref="Y56" si="46">W56+W57</f>
        <v>0</v>
      </c>
      <c r="Z56" s="209"/>
      <c r="AA56" s="209"/>
      <c r="BC56" s="192" t="s">
        <v>86</v>
      </c>
      <c r="BD56" s="212">
        <v>5784</v>
      </c>
      <c r="BE56" s="212">
        <v>36</v>
      </c>
      <c r="BF56" s="212">
        <v>28</v>
      </c>
      <c r="BG56" s="212"/>
      <c r="BH56" s="199">
        <f t="shared" si="39"/>
        <v>208224</v>
      </c>
      <c r="BI56" s="199">
        <f t="shared" si="40"/>
        <v>161952</v>
      </c>
      <c r="BJ56" s="199">
        <f t="shared" si="41"/>
        <v>46272</v>
      </c>
    </row>
    <row r="57" spans="2:62" ht="24" customHeight="1">
      <c r="U57" s="213"/>
      <c r="V57" s="214" t="s">
        <v>80</v>
      </c>
      <c r="W57" s="206"/>
      <c r="X57" s="207" t="e">
        <f t="shared" ref="X57:X59" si="47">W57/Y56</f>
        <v>#DIV/0!</v>
      </c>
      <c r="Y57" s="209"/>
      <c r="Z57" s="209"/>
      <c r="AA57" s="209"/>
      <c r="BC57" s="192" t="s">
        <v>87</v>
      </c>
      <c r="BD57" s="212">
        <v>6775</v>
      </c>
      <c r="BE57" s="212">
        <v>12</v>
      </c>
      <c r="BF57" s="212">
        <v>11</v>
      </c>
      <c r="BG57" s="212"/>
      <c r="BH57" s="199">
        <f t="shared" si="39"/>
        <v>81300</v>
      </c>
      <c r="BI57" s="199">
        <f t="shared" si="40"/>
        <v>74525</v>
      </c>
      <c r="BJ57" s="199">
        <f t="shared" si="41"/>
        <v>6775</v>
      </c>
    </row>
    <row r="58" spans="2:62" ht="24" customHeight="1">
      <c r="U58" s="215" t="s">
        <v>88</v>
      </c>
      <c r="V58" s="214" t="s">
        <v>78</v>
      </c>
      <c r="W58" s="206"/>
      <c r="X58" s="207" t="e">
        <f t="shared" si="45"/>
        <v>#DIV/0!</v>
      </c>
      <c r="Y58" s="216">
        <f>SUM(Y52:AA56)</f>
        <v>0</v>
      </c>
      <c r="Z58" s="217"/>
      <c r="AA58" s="217"/>
      <c r="BC58" s="192" t="s">
        <v>89</v>
      </c>
      <c r="BD58" s="212">
        <v>1755</v>
      </c>
      <c r="BE58" s="212">
        <v>14</v>
      </c>
      <c r="BF58" s="212">
        <v>2</v>
      </c>
      <c r="BG58" s="212"/>
      <c r="BH58" s="199">
        <f t="shared" si="39"/>
        <v>24570</v>
      </c>
      <c r="BI58" s="199">
        <f t="shared" si="40"/>
        <v>3510</v>
      </c>
      <c r="BJ58" s="199">
        <f t="shared" si="41"/>
        <v>21060</v>
      </c>
    </row>
    <row r="59" spans="2:62" ht="24" customHeight="1">
      <c r="U59" s="215"/>
      <c r="V59" s="214" t="s">
        <v>80</v>
      </c>
      <c r="W59" s="206"/>
      <c r="X59" s="207" t="e">
        <f t="shared" si="47"/>
        <v>#DIV/0!</v>
      </c>
      <c r="Y59" s="217"/>
      <c r="Z59" s="217"/>
      <c r="AA59" s="217"/>
      <c r="BC59" s="192" t="s">
        <v>90</v>
      </c>
      <c r="BD59" s="212">
        <v>1755</v>
      </c>
      <c r="BE59" s="212">
        <v>10</v>
      </c>
      <c r="BF59" s="212">
        <v>0</v>
      </c>
      <c r="BG59" s="212"/>
      <c r="BH59" s="199">
        <f t="shared" si="39"/>
        <v>17550</v>
      </c>
      <c r="BI59" s="199">
        <f t="shared" si="40"/>
        <v>0</v>
      </c>
      <c r="BJ59" s="199">
        <f t="shared" si="41"/>
        <v>17550</v>
      </c>
    </row>
    <row r="60" spans="2:62" ht="24" customHeight="1">
      <c r="BC60" s="192" t="s">
        <v>91</v>
      </c>
      <c r="BD60" s="212">
        <v>1075</v>
      </c>
      <c r="BE60" s="212">
        <v>96</v>
      </c>
      <c r="BF60" s="212">
        <v>38</v>
      </c>
      <c r="BG60" s="212"/>
      <c r="BH60" s="199">
        <f t="shared" si="39"/>
        <v>103200</v>
      </c>
      <c r="BI60" s="199">
        <f t="shared" si="40"/>
        <v>40850</v>
      </c>
      <c r="BJ60" s="199">
        <f t="shared" si="41"/>
        <v>62350</v>
      </c>
    </row>
    <row r="61" spans="2:62" ht="24" customHeight="1">
      <c r="BC61" s="192" t="s">
        <v>92</v>
      </c>
      <c r="BD61" s="212">
        <v>3860</v>
      </c>
      <c r="BE61" s="212">
        <v>166</v>
      </c>
      <c r="BF61" s="212">
        <v>13</v>
      </c>
      <c r="BG61" s="212"/>
      <c r="BH61" s="199">
        <f t="shared" si="39"/>
        <v>640760</v>
      </c>
      <c r="BI61" s="199">
        <f t="shared" si="40"/>
        <v>50180</v>
      </c>
      <c r="BJ61" s="199">
        <f t="shared" si="41"/>
        <v>590580</v>
      </c>
    </row>
    <row r="62" spans="2:62" ht="24" customHeight="1">
      <c r="BC62" s="192" t="s">
        <v>93</v>
      </c>
      <c r="BD62" s="212">
        <v>6450</v>
      </c>
      <c r="BE62" s="212">
        <v>137</v>
      </c>
      <c r="BF62" s="212">
        <v>12</v>
      </c>
      <c r="BG62" s="212"/>
      <c r="BH62" s="199">
        <f t="shared" si="39"/>
        <v>883650</v>
      </c>
      <c r="BI62" s="199">
        <f t="shared" si="40"/>
        <v>77400</v>
      </c>
      <c r="BJ62" s="199">
        <f t="shared" si="41"/>
        <v>806250</v>
      </c>
    </row>
    <row r="63" spans="2:62" ht="24" customHeight="1">
      <c r="BC63" s="192" t="s">
        <v>94</v>
      </c>
      <c r="BD63" s="212">
        <v>1380</v>
      </c>
      <c r="BE63" s="212">
        <v>35</v>
      </c>
      <c r="BF63" s="212">
        <v>5</v>
      </c>
      <c r="BG63" s="212"/>
      <c r="BH63" s="199">
        <f t="shared" si="39"/>
        <v>48300</v>
      </c>
      <c r="BI63" s="199">
        <f t="shared" si="40"/>
        <v>6900</v>
      </c>
      <c r="BJ63" s="199">
        <f t="shared" si="41"/>
        <v>41400</v>
      </c>
    </row>
    <row r="64" spans="2:62" ht="24" customHeight="1">
      <c r="BC64" s="192" t="s">
        <v>95</v>
      </c>
      <c r="BD64" s="212">
        <v>1380</v>
      </c>
      <c r="BE64" s="212">
        <v>39</v>
      </c>
      <c r="BF64" s="212">
        <v>6</v>
      </c>
      <c r="BG64" s="212"/>
      <c r="BH64" s="199">
        <f t="shared" si="39"/>
        <v>53820</v>
      </c>
      <c r="BI64" s="199">
        <f t="shared" si="40"/>
        <v>8280</v>
      </c>
      <c r="BJ64" s="199">
        <f t="shared" si="41"/>
        <v>45540</v>
      </c>
    </row>
    <row r="65" spans="55:62" ht="24" customHeight="1">
      <c r="BC65" s="192" t="s">
        <v>96</v>
      </c>
      <c r="BD65" s="212">
        <v>160</v>
      </c>
      <c r="BE65" s="212">
        <v>594</v>
      </c>
      <c r="BF65" s="212">
        <v>53</v>
      </c>
      <c r="BG65" s="212"/>
      <c r="BH65" s="199">
        <f t="shared" si="39"/>
        <v>95040</v>
      </c>
      <c r="BI65" s="199">
        <f t="shared" si="40"/>
        <v>8480</v>
      </c>
      <c r="BJ65" s="199">
        <f t="shared" si="41"/>
        <v>86560</v>
      </c>
    </row>
    <row r="66" spans="55:62" ht="24" customHeight="1">
      <c r="BC66" s="192" t="s">
        <v>97</v>
      </c>
      <c r="BD66" s="212">
        <v>160</v>
      </c>
      <c r="BE66" s="212">
        <v>300</v>
      </c>
      <c r="BF66" s="212">
        <v>47</v>
      </c>
      <c r="BG66" s="212"/>
      <c r="BH66" s="199">
        <f t="shared" si="39"/>
        <v>48000</v>
      </c>
      <c r="BI66" s="199">
        <f t="shared" si="40"/>
        <v>7520</v>
      </c>
      <c r="BJ66" s="199">
        <f t="shared" si="41"/>
        <v>40480</v>
      </c>
    </row>
    <row r="67" spans="55:62" ht="24" customHeight="1">
      <c r="BC67" s="192" t="s">
        <v>98</v>
      </c>
      <c r="BD67" s="212">
        <v>205</v>
      </c>
      <c r="BE67" s="212">
        <v>366</v>
      </c>
      <c r="BF67" s="212">
        <v>49</v>
      </c>
      <c r="BG67" s="212"/>
      <c r="BH67" s="199">
        <f t="shared" si="39"/>
        <v>75030</v>
      </c>
      <c r="BI67" s="199">
        <f t="shared" si="40"/>
        <v>10045</v>
      </c>
      <c r="BJ67" s="199">
        <f t="shared" si="41"/>
        <v>64985</v>
      </c>
    </row>
    <row r="68" spans="55:62" ht="24" customHeight="1">
      <c r="BC68" s="192" t="s">
        <v>99</v>
      </c>
      <c r="BD68" s="212">
        <v>295</v>
      </c>
      <c r="BE68" s="212">
        <v>612</v>
      </c>
      <c r="BF68" s="212">
        <v>86</v>
      </c>
      <c r="BG68" s="212"/>
      <c r="BH68" s="199">
        <f t="shared" si="39"/>
        <v>180540</v>
      </c>
      <c r="BI68" s="199">
        <f t="shared" si="40"/>
        <v>25370</v>
      </c>
      <c r="BJ68" s="199">
        <f t="shared" si="41"/>
        <v>155170</v>
      </c>
    </row>
    <row r="69" spans="55:62" ht="24" customHeight="1">
      <c r="BC69" s="192" t="s">
        <v>100</v>
      </c>
      <c r="BD69" s="212">
        <v>70</v>
      </c>
      <c r="BE69" s="212">
        <v>480</v>
      </c>
      <c r="BF69" s="212">
        <v>71</v>
      </c>
      <c r="BG69" s="212"/>
      <c r="BH69" s="199">
        <f t="shared" si="39"/>
        <v>33600</v>
      </c>
      <c r="BI69" s="199">
        <f t="shared" si="40"/>
        <v>4970</v>
      </c>
      <c r="BJ69" s="199">
        <f t="shared" si="41"/>
        <v>28630</v>
      </c>
    </row>
    <row r="70" spans="55:62" ht="24" customHeight="1">
      <c r="BC70" s="192" t="s">
        <v>101</v>
      </c>
      <c r="BD70" s="212">
        <v>2450</v>
      </c>
      <c r="BE70" s="212">
        <v>31</v>
      </c>
      <c r="BF70" s="212">
        <v>9</v>
      </c>
      <c r="BG70" s="212"/>
      <c r="BH70" s="199">
        <f t="shared" si="39"/>
        <v>75950</v>
      </c>
      <c r="BI70" s="199">
        <f t="shared" si="40"/>
        <v>22050</v>
      </c>
      <c r="BJ70" s="199">
        <f t="shared" si="41"/>
        <v>53900</v>
      </c>
    </row>
    <row r="71" spans="55:62" ht="24" customHeight="1">
      <c r="BC71" s="192"/>
      <c r="BH71" s="218">
        <f>SUM(BH50:BH70)</f>
        <v>9956044</v>
      </c>
      <c r="BI71" s="218">
        <f t="shared" ref="BI71:BJ71" si="48">SUM(BI50:BI70)</f>
        <v>817992</v>
      </c>
      <c r="BJ71" s="218">
        <f t="shared" si="48"/>
        <v>9138052</v>
      </c>
    </row>
    <row r="72" spans="55:62" ht="24" customHeight="1">
      <c r="BC72" s="192"/>
    </row>
    <row r="73" spans="55:62" ht="24" customHeight="1">
      <c r="BC73" s="192"/>
    </row>
    <row r="74" spans="55:62" ht="24" customHeight="1">
      <c r="BC74" s="192"/>
    </row>
    <row r="75" spans="55:62" ht="24" customHeight="1">
      <c r="BC75" s="192"/>
    </row>
    <row r="76" spans="55:62" ht="24" customHeight="1">
      <c r="BC76" s="192"/>
    </row>
    <row r="77" spans="55:62" ht="24" customHeight="1">
      <c r="BC77" s="192"/>
    </row>
    <row r="78" spans="55:62" ht="24" customHeight="1">
      <c r="BC78" s="192"/>
    </row>
    <row r="79" spans="55:62" ht="24" customHeight="1">
      <c r="BC79" s="192"/>
    </row>
    <row r="80" spans="55:62" ht="24" customHeight="1">
      <c r="BC80" s="192"/>
    </row>
    <row r="81" spans="55:55" ht="24" customHeight="1">
      <c r="BC81" s="192"/>
    </row>
    <row r="82" spans="55:55" ht="24" customHeight="1">
      <c r="BC82" s="192"/>
    </row>
    <row r="83" spans="55:55" ht="24" customHeight="1">
      <c r="BC83" s="192"/>
    </row>
    <row r="84" spans="55:55" ht="24" customHeight="1">
      <c r="BC84" s="192"/>
    </row>
    <row r="85" spans="55:55" ht="24" customHeight="1">
      <c r="BC85" s="192"/>
    </row>
    <row r="86" spans="55:55" ht="24" customHeight="1">
      <c r="BC86" s="192"/>
    </row>
    <row r="87" spans="55:55" ht="24" customHeight="1">
      <c r="BC87" s="192"/>
    </row>
    <row r="88" spans="55:55" ht="24" customHeight="1">
      <c r="BC88" s="192"/>
    </row>
    <row r="89" spans="55:55" ht="24" customHeight="1">
      <c r="BC89" s="192"/>
    </row>
    <row r="90" spans="55:55" ht="24" customHeight="1">
      <c r="BC90" s="192"/>
    </row>
    <row r="91" spans="55:55" ht="24" customHeight="1">
      <c r="BC91" s="192"/>
    </row>
    <row r="92" spans="55:55" ht="24" customHeight="1">
      <c r="BC92" s="192"/>
    </row>
    <row r="93" spans="55:55" ht="24" customHeight="1">
      <c r="BC93" s="192"/>
    </row>
    <row r="94" spans="55:55" ht="24" customHeight="1">
      <c r="BC94" s="192"/>
    </row>
    <row r="95" spans="55:55" ht="24" customHeight="1">
      <c r="BC95" s="192"/>
    </row>
    <row r="96" spans="55:55" ht="24" customHeight="1">
      <c r="BC96" s="192"/>
    </row>
    <row r="97" spans="55:55" ht="24" customHeight="1">
      <c r="BC97" s="192"/>
    </row>
    <row r="98" spans="55:55" ht="24" customHeight="1">
      <c r="BC98" s="192"/>
    </row>
    <row r="99" spans="55:55" ht="24" customHeight="1">
      <c r="BC99" s="192"/>
    </row>
    <row r="100" spans="55:55" ht="24" customHeight="1">
      <c r="BC100" s="192"/>
    </row>
    <row r="101" spans="55:55" ht="24" customHeight="1">
      <c r="BC101" s="192"/>
    </row>
    <row r="102" spans="55:55" ht="24" customHeight="1">
      <c r="BC102" s="192"/>
    </row>
    <row r="103" spans="55:55" ht="24" customHeight="1">
      <c r="BC103" s="192"/>
    </row>
    <row r="104" spans="55:55" ht="24" customHeight="1">
      <c r="BC104" s="192"/>
    </row>
    <row r="105" spans="55:55" ht="24" customHeight="1">
      <c r="BC105" s="192"/>
    </row>
    <row r="106" spans="55:55" ht="24" customHeight="1">
      <c r="BC106" s="192"/>
    </row>
    <row r="107" spans="55:55" ht="24" customHeight="1">
      <c r="BC107" s="192"/>
    </row>
    <row r="108" spans="55:55" ht="24" customHeight="1">
      <c r="BC108" s="192"/>
    </row>
    <row r="109" spans="55:55" ht="24" customHeight="1">
      <c r="BC109" s="192"/>
    </row>
    <row r="110" spans="55:55" ht="24" customHeight="1">
      <c r="BC110" s="192"/>
    </row>
    <row r="111" spans="55:55" ht="24" customHeight="1">
      <c r="BC111" s="192"/>
    </row>
    <row r="112" spans="55:55" ht="24" customHeight="1">
      <c r="BC112" s="192"/>
    </row>
    <row r="113" spans="55:55" ht="24" customHeight="1">
      <c r="BC113" s="192"/>
    </row>
    <row r="114" spans="55:55" ht="24" customHeight="1">
      <c r="BC114" s="192"/>
    </row>
    <row r="115" spans="55:55" ht="24" customHeight="1">
      <c r="BC115" s="192"/>
    </row>
    <row r="116" spans="55:55" ht="24" customHeight="1">
      <c r="BC116" s="192"/>
    </row>
    <row r="117" spans="55:55" ht="24" customHeight="1">
      <c r="BC117" s="192"/>
    </row>
    <row r="118" spans="55:55" ht="24" customHeight="1">
      <c r="BC118" s="192"/>
    </row>
    <row r="119" spans="55:55" ht="24" customHeight="1">
      <c r="BC119" s="192"/>
    </row>
    <row r="120" spans="55:55" ht="24" customHeight="1">
      <c r="BC120" s="192"/>
    </row>
    <row r="121" spans="55:55" ht="24" customHeight="1">
      <c r="BC121" s="192"/>
    </row>
    <row r="122" spans="55:55" ht="24" customHeight="1">
      <c r="BC122" s="192"/>
    </row>
    <row r="123" spans="55:55" ht="24" customHeight="1">
      <c r="BC123" s="192"/>
    </row>
    <row r="124" spans="55:55" ht="24" customHeight="1">
      <c r="BC124" s="192"/>
    </row>
    <row r="125" spans="55:55" ht="24" customHeight="1">
      <c r="BC125" s="192"/>
    </row>
    <row r="126" spans="55:55" ht="24" customHeight="1">
      <c r="BC126" s="192"/>
    </row>
    <row r="127" spans="55:55" ht="24" customHeight="1">
      <c r="BC127" s="192"/>
    </row>
    <row r="128" spans="55:55" ht="24" customHeight="1">
      <c r="BC128" s="192"/>
    </row>
    <row r="129" spans="55:55" ht="24" customHeight="1">
      <c r="BC129" s="192"/>
    </row>
    <row r="130" spans="55:55" ht="24" customHeight="1">
      <c r="BC130" s="192"/>
    </row>
    <row r="131" spans="55:55" ht="24" customHeight="1">
      <c r="BC131" s="192"/>
    </row>
    <row r="132" spans="55:55" ht="24" customHeight="1">
      <c r="BC132" s="192"/>
    </row>
    <row r="133" spans="55:55" ht="24" customHeight="1">
      <c r="BC133" s="192"/>
    </row>
    <row r="134" spans="55:55" ht="24" customHeight="1">
      <c r="BC134" s="192"/>
    </row>
    <row r="135" spans="55:55" ht="24" customHeight="1">
      <c r="BC135" s="192"/>
    </row>
    <row r="136" spans="55:55" ht="24" customHeight="1">
      <c r="BC136" s="192"/>
    </row>
    <row r="137" spans="55:55" ht="24" customHeight="1">
      <c r="BC137" s="192"/>
    </row>
    <row r="138" spans="55:55" ht="24" customHeight="1">
      <c r="BC138" s="192"/>
    </row>
    <row r="139" spans="55:55" ht="24" customHeight="1">
      <c r="BC139" s="192"/>
    </row>
    <row r="140" spans="55:55" ht="24" customHeight="1">
      <c r="BC140" s="192"/>
    </row>
    <row r="141" spans="55:55" ht="24" customHeight="1">
      <c r="BC141" s="192"/>
    </row>
    <row r="142" spans="55:55" ht="24" customHeight="1">
      <c r="BC142" s="192"/>
    </row>
    <row r="143" spans="55:55" ht="24" customHeight="1">
      <c r="BC143" s="192"/>
    </row>
    <row r="144" spans="55:55" ht="24" customHeight="1">
      <c r="BC144" s="192"/>
    </row>
    <row r="145" spans="55:55" ht="24" customHeight="1">
      <c r="BC145" s="192"/>
    </row>
    <row r="146" spans="55:55" ht="24" customHeight="1">
      <c r="BC146" s="192"/>
    </row>
    <row r="147" spans="55:55" ht="24" customHeight="1">
      <c r="BC147" s="192"/>
    </row>
    <row r="148" spans="55:55" ht="24" customHeight="1">
      <c r="BC148" s="192"/>
    </row>
    <row r="149" spans="55:55" ht="24" customHeight="1">
      <c r="BC149" s="192"/>
    </row>
    <row r="150" spans="55:55" ht="24" customHeight="1">
      <c r="BC150" s="192"/>
    </row>
    <row r="151" spans="55:55" ht="24" customHeight="1">
      <c r="BC151" s="192"/>
    </row>
    <row r="152" spans="55:55" ht="24" customHeight="1">
      <c r="BC152" s="192"/>
    </row>
    <row r="153" spans="55:55" ht="24" customHeight="1">
      <c r="BC153" s="192"/>
    </row>
    <row r="154" spans="55:55" ht="24" customHeight="1">
      <c r="BC154" s="192"/>
    </row>
    <row r="155" spans="55:55" ht="24" customHeight="1">
      <c r="BC155" s="192"/>
    </row>
    <row r="156" spans="55:55" ht="24" customHeight="1">
      <c r="BC156" s="192"/>
    </row>
    <row r="157" spans="55:55" ht="24" customHeight="1">
      <c r="BC157" s="192"/>
    </row>
    <row r="158" spans="55:55" ht="24" customHeight="1">
      <c r="BC158" s="192"/>
    </row>
    <row r="159" spans="55:55" ht="24" customHeight="1">
      <c r="BC159" s="192"/>
    </row>
    <row r="160" spans="55:55" ht="24" customHeight="1">
      <c r="BC160" s="192"/>
    </row>
    <row r="161" spans="55:55" ht="24" customHeight="1">
      <c r="BC161" s="192"/>
    </row>
    <row r="162" spans="55:55" ht="24" customHeight="1">
      <c r="BC162" s="192"/>
    </row>
    <row r="163" spans="55:55" ht="24" customHeight="1">
      <c r="BC163" s="192"/>
    </row>
    <row r="164" spans="55:55" ht="24" customHeight="1">
      <c r="BC164" s="192"/>
    </row>
    <row r="165" spans="55:55" ht="24" customHeight="1">
      <c r="BC165" s="192"/>
    </row>
    <row r="166" spans="55:55" ht="24" customHeight="1">
      <c r="BC166" s="192"/>
    </row>
    <row r="167" spans="55:55" ht="24" customHeight="1">
      <c r="BC167" s="192"/>
    </row>
    <row r="168" spans="55:55" ht="24" customHeight="1">
      <c r="BC168" s="192"/>
    </row>
    <row r="169" spans="55:55" ht="24" customHeight="1">
      <c r="BC169" s="192"/>
    </row>
    <row r="170" spans="55:55" ht="24" customHeight="1">
      <c r="BC170" s="192"/>
    </row>
    <row r="171" spans="55:55" ht="24" customHeight="1">
      <c r="BC171" s="192"/>
    </row>
    <row r="172" spans="55:55" ht="24" customHeight="1">
      <c r="BC172" s="192"/>
    </row>
    <row r="173" spans="55:55" ht="24" customHeight="1">
      <c r="BC173" s="192"/>
    </row>
    <row r="174" spans="55:55" ht="24" customHeight="1">
      <c r="BC174" s="192"/>
    </row>
    <row r="175" spans="55:55" ht="24" customHeight="1">
      <c r="BC175" s="192"/>
    </row>
    <row r="176" spans="55:55" ht="24" customHeight="1">
      <c r="BC176" s="192"/>
    </row>
    <row r="177" spans="55:55" ht="24" customHeight="1">
      <c r="BC177" s="192"/>
    </row>
    <row r="178" spans="55:55" ht="24" customHeight="1">
      <c r="BC178" s="192"/>
    </row>
    <row r="179" spans="55:55" ht="24" customHeight="1">
      <c r="BC179" s="192"/>
    </row>
    <row r="180" spans="55:55" ht="24" customHeight="1">
      <c r="BC180" s="192"/>
    </row>
    <row r="181" spans="55:55" ht="24" customHeight="1">
      <c r="BC181" s="192"/>
    </row>
    <row r="182" spans="55:55" ht="24" customHeight="1">
      <c r="BC182" s="192"/>
    </row>
    <row r="183" spans="55:55" ht="24" customHeight="1">
      <c r="BC183" s="192"/>
    </row>
    <row r="184" spans="55:55">
      <c r="BC184" s="192"/>
    </row>
    <row r="185" spans="55:55">
      <c r="BC185" s="192"/>
    </row>
    <row r="186" spans="55:55">
      <c r="BC186" s="192"/>
    </row>
    <row r="187" spans="55:55">
      <c r="BC187" s="192"/>
    </row>
    <row r="188" spans="55:55">
      <c r="BC188" s="192"/>
    </row>
    <row r="189" spans="55:55">
      <c r="BC189" s="192"/>
    </row>
    <row r="190" spans="55:55">
      <c r="BC190" s="192"/>
    </row>
    <row r="191" spans="55:55">
      <c r="BC191" s="192"/>
    </row>
    <row r="192" spans="55:55">
      <c r="BC192" s="192"/>
    </row>
    <row r="193" spans="55:55">
      <c r="BC193" s="192"/>
    </row>
    <row r="194" spans="55:55">
      <c r="BC194" s="192"/>
    </row>
    <row r="195" spans="55:55">
      <c r="BC195" s="192"/>
    </row>
    <row r="196" spans="55:55">
      <c r="BC196" s="192"/>
    </row>
    <row r="197" spans="55:55">
      <c r="BC197" s="192"/>
    </row>
    <row r="198" spans="55:55">
      <c r="BC198" s="192"/>
    </row>
    <row r="199" spans="55:55">
      <c r="BC199" s="192"/>
    </row>
    <row r="200" spans="55:55">
      <c r="BC200" s="192"/>
    </row>
    <row r="201" spans="55:55">
      <c r="BC201" s="192"/>
    </row>
    <row r="202" spans="55:55">
      <c r="BC202" s="192"/>
    </row>
    <row r="203" spans="55:55">
      <c r="BC203" s="192"/>
    </row>
    <row r="204" spans="55:55">
      <c r="BC204" s="192"/>
    </row>
    <row r="205" spans="55:55">
      <c r="BC205" s="192"/>
    </row>
    <row r="206" spans="55:55">
      <c r="BC206" s="192"/>
    </row>
    <row r="207" spans="55:55">
      <c r="BC207" s="192"/>
    </row>
    <row r="208" spans="55:55">
      <c r="BC208" s="192"/>
    </row>
    <row r="209" spans="55:55">
      <c r="BC209" s="192"/>
    </row>
    <row r="210" spans="55:55">
      <c r="BC210" s="192"/>
    </row>
    <row r="211" spans="55:55">
      <c r="BC211" s="192"/>
    </row>
    <row r="212" spans="55:55">
      <c r="BC212" s="192"/>
    </row>
    <row r="213" spans="55:55">
      <c r="BC213" s="192"/>
    </row>
    <row r="214" spans="55:55">
      <c r="BC214" s="192"/>
    </row>
    <row r="215" spans="55:55">
      <c r="BC215" s="192"/>
    </row>
    <row r="216" spans="55:55">
      <c r="BC216" s="192"/>
    </row>
    <row r="217" spans="55:55">
      <c r="BC217" s="192"/>
    </row>
    <row r="218" spans="55:55">
      <c r="BC218" s="192"/>
    </row>
    <row r="219" spans="55:55">
      <c r="BC219" s="192"/>
    </row>
    <row r="220" spans="55:55">
      <c r="BC220" s="192"/>
    </row>
    <row r="221" spans="55:55">
      <c r="BC221" s="192"/>
    </row>
    <row r="222" spans="55:55">
      <c r="BC222" s="192"/>
    </row>
    <row r="223" spans="55:55">
      <c r="BC223" s="192"/>
    </row>
    <row r="224" spans="55:55">
      <c r="BC224" s="192"/>
    </row>
  </sheetData>
  <mergeCells count="22">
    <mergeCell ref="U58:U59"/>
    <mergeCell ref="Y58:AA59"/>
    <mergeCell ref="U52:U53"/>
    <mergeCell ref="Y52:AA53"/>
    <mergeCell ref="U54:U55"/>
    <mergeCell ref="Y54:AA55"/>
    <mergeCell ref="U56:U57"/>
    <mergeCell ref="Y56:AA57"/>
    <mergeCell ref="AO3:AW3"/>
    <mergeCell ref="AX3:BB3"/>
    <mergeCell ref="BC3:BJ3"/>
    <mergeCell ref="D40:K44"/>
    <mergeCell ref="L40:S44"/>
    <mergeCell ref="Y40:AF44"/>
    <mergeCell ref="AG40:AN44"/>
    <mergeCell ref="AO40:AW44"/>
    <mergeCell ref="B3:B4"/>
    <mergeCell ref="D3:K3"/>
    <mergeCell ref="L3:S3"/>
    <mergeCell ref="T3:X3"/>
    <mergeCell ref="Y3:AF3"/>
    <mergeCell ref="AG3:AN3"/>
  </mergeCells>
  <phoneticPr fontId="4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2024.01</vt:lpstr>
      <vt:lpstr>2024.02</vt:lpstr>
      <vt:lpstr>2024.03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SATOSHI IGA</dc:creator>
  <cp:lastModifiedBy>SATOSHI IGA</cp:lastModifiedBy>
  <dcterms:created xsi:type="dcterms:W3CDTF">2026-02-11T10:25:53Z</dcterms:created>
  <dcterms:modified xsi:type="dcterms:W3CDTF">2026-02-11T10:28:19Z</dcterms:modified>
</cp:coreProperties>
</file>