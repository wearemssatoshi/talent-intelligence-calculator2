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5B2DEAC3-A3F7-8F41-8ED9-7E683D2DDB71}" xr6:coauthVersionLast="47" xr6:coauthVersionMax="47" xr10:uidLastSave="{00000000-0000-0000-0000-000000000000}"/>
  <bookViews>
    <workbookView xWindow="12600" yWindow="740" windowWidth="28300" windowHeight="17360" activeTab="2" xr2:uid="{5EFA87C6-C2D4-8B4A-8285-1C666DE16D53}"/>
  </bookViews>
  <sheets>
    <sheet name="2023.10" sheetId="1" r:id="rId1"/>
    <sheet name="2023.11" sheetId="2" r:id="rId2"/>
    <sheet name="2023.12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0" i="3" l="1"/>
  <c r="BJ70" i="3" s="1"/>
  <c r="BH70" i="3"/>
  <c r="BI69" i="3"/>
  <c r="BH69" i="3"/>
  <c r="BJ69" i="3" s="1"/>
  <c r="BI68" i="3"/>
  <c r="BH68" i="3"/>
  <c r="BJ68" i="3" s="1"/>
  <c r="BI67" i="3"/>
  <c r="BH67" i="3"/>
  <c r="BJ67" i="3" s="1"/>
  <c r="BI66" i="3"/>
  <c r="BJ66" i="3" s="1"/>
  <c r="BH66" i="3"/>
  <c r="BI65" i="3"/>
  <c r="BH65" i="3"/>
  <c r="BJ65" i="3" s="1"/>
  <c r="BI64" i="3"/>
  <c r="BH64" i="3"/>
  <c r="BJ64" i="3" s="1"/>
  <c r="BI63" i="3"/>
  <c r="BH63" i="3"/>
  <c r="BJ63" i="3" s="1"/>
  <c r="BI62" i="3"/>
  <c r="BJ62" i="3" s="1"/>
  <c r="BH62" i="3"/>
  <c r="BI61" i="3"/>
  <c r="BH61" i="3"/>
  <c r="BJ61" i="3" s="1"/>
  <c r="BI60" i="3"/>
  <c r="BJ60" i="3" s="1"/>
  <c r="BH60" i="3"/>
  <c r="BI59" i="3"/>
  <c r="BH59" i="3"/>
  <c r="BJ59" i="3" s="1"/>
  <c r="BJ58" i="3"/>
  <c r="BI58" i="3"/>
  <c r="BH58" i="3"/>
  <c r="BI57" i="3"/>
  <c r="BH57" i="3"/>
  <c r="BJ57" i="3" s="1"/>
  <c r="BI56" i="3"/>
  <c r="BH56" i="3"/>
  <c r="BJ56" i="3" s="1"/>
  <c r="Y56" i="3"/>
  <c r="X57" i="3" s="1"/>
  <c r="BI55" i="3"/>
  <c r="BH55" i="3"/>
  <c r="BJ55" i="3" s="1"/>
  <c r="X55" i="3"/>
  <c r="BI54" i="3"/>
  <c r="BJ54" i="3" s="1"/>
  <c r="BH54" i="3"/>
  <c r="Y54" i="3"/>
  <c r="X54" i="3"/>
  <c r="BI53" i="3"/>
  <c r="BJ53" i="3" s="1"/>
  <c r="BH53" i="3"/>
  <c r="BI52" i="3"/>
  <c r="BH52" i="3"/>
  <c r="Y52" i="3"/>
  <c r="X52" i="3"/>
  <c r="BI51" i="3"/>
  <c r="BH51" i="3"/>
  <c r="BJ51" i="3" s="1"/>
  <c r="BI50" i="3"/>
  <c r="BH50" i="3"/>
  <c r="AQ50" i="3"/>
  <c r="AR49" i="3"/>
  <c r="AR50" i="3" s="1"/>
  <c r="AQ49" i="3"/>
  <c r="AE49" i="3"/>
  <c r="S48" i="3"/>
  <c r="K48" i="3"/>
  <c r="K46" i="3"/>
  <c r="BG45" i="3"/>
  <c r="W45" i="3"/>
  <c r="BG44" i="3"/>
  <c r="BA44" i="3"/>
  <c r="BE43" i="3"/>
  <c r="BG43" i="3" s="1"/>
  <c r="AQ38" i="3"/>
  <c r="AA38" i="3"/>
  <c r="AI38" i="3" s="1"/>
  <c r="U38" i="3"/>
  <c r="O38" i="3"/>
  <c r="F38" i="3"/>
  <c r="AQ37" i="3"/>
  <c r="AR37" i="3" s="1"/>
  <c r="AK37" i="3"/>
  <c r="AL37" i="3" s="1"/>
  <c r="F37" i="3"/>
  <c r="G37" i="3" s="1"/>
  <c r="BI36" i="3"/>
  <c r="BH36" i="3"/>
  <c r="BG36" i="3"/>
  <c r="BF36" i="3"/>
  <c r="BE36" i="3"/>
  <c r="BD36" i="3"/>
  <c r="BC36" i="3"/>
  <c r="AU36" i="3"/>
  <c r="AU37" i="3" s="1"/>
  <c r="AS36" i="3"/>
  <c r="AS37" i="3" s="1"/>
  <c r="AT37" i="3" s="1"/>
  <c r="AQ36" i="3"/>
  <c r="AP36" i="3"/>
  <c r="AO36" i="3"/>
  <c r="AK36" i="3"/>
  <c r="AI36" i="3"/>
  <c r="AI37" i="3" s="1"/>
  <c r="AJ37" i="3" s="1"/>
  <c r="AH36" i="3"/>
  <c r="AG36" i="3"/>
  <c r="AC36" i="3"/>
  <c r="AD36" i="3" s="1"/>
  <c r="AA36" i="3"/>
  <c r="AB36" i="3" s="1"/>
  <c r="Z36" i="3"/>
  <c r="Y36" i="3"/>
  <c r="X36" i="3"/>
  <c r="L36" i="3"/>
  <c r="H36" i="3"/>
  <c r="H37" i="3" s="1"/>
  <c r="I37" i="3" s="1"/>
  <c r="F36" i="3"/>
  <c r="G36" i="3" s="1"/>
  <c r="E36" i="3"/>
  <c r="D36" i="3"/>
  <c r="C36" i="3"/>
  <c r="BL35" i="3"/>
  <c r="BJ35" i="3"/>
  <c r="BB35" i="3"/>
  <c r="AW35" i="3"/>
  <c r="AV35" i="3"/>
  <c r="AT35" i="3"/>
  <c r="AR35" i="3"/>
  <c r="AN35" i="3"/>
  <c r="AM35" i="3"/>
  <c r="AL35" i="3"/>
  <c r="AJ35" i="3"/>
  <c r="AE35" i="3"/>
  <c r="AF35" i="3" s="1"/>
  <c r="AD35" i="3"/>
  <c r="AB35" i="3"/>
  <c r="P35" i="3"/>
  <c r="V35" i="3" s="1"/>
  <c r="AZ35" i="3" s="1"/>
  <c r="N35" i="3"/>
  <c r="O35" i="3" s="1"/>
  <c r="M35" i="3"/>
  <c r="AX35" i="3" s="1"/>
  <c r="K35" i="3"/>
  <c r="J35" i="3"/>
  <c r="I35" i="3"/>
  <c r="G35" i="3"/>
  <c r="BL34" i="3"/>
  <c r="BJ34" i="3"/>
  <c r="BB34" i="3"/>
  <c r="AX34" i="3"/>
  <c r="AW34" i="3"/>
  <c r="AV34" i="3"/>
  <c r="AT34" i="3"/>
  <c r="AR34" i="3"/>
  <c r="AN34" i="3"/>
  <c r="AM34" i="3"/>
  <c r="AL34" i="3"/>
  <c r="AJ34" i="3"/>
  <c r="AE34" i="3"/>
  <c r="AF34" i="3" s="1"/>
  <c r="AD34" i="3"/>
  <c r="AB34" i="3"/>
  <c r="P34" i="3"/>
  <c r="V34" i="3" s="1"/>
  <c r="AZ34" i="3" s="1"/>
  <c r="N34" i="3"/>
  <c r="M34" i="3"/>
  <c r="J34" i="3"/>
  <c r="K34" i="3" s="1"/>
  <c r="I34" i="3"/>
  <c r="G34" i="3"/>
  <c r="BL33" i="3"/>
  <c r="BJ33" i="3"/>
  <c r="BB33" i="3"/>
  <c r="AY33" i="3"/>
  <c r="AX33" i="3"/>
  <c r="AW33" i="3"/>
  <c r="AV33" i="3"/>
  <c r="AT33" i="3"/>
  <c r="AR33" i="3"/>
  <c r="AN33" i="3"/>
  <c r="AM33" i="3"/>
  <c r="AL33" i="3"/>
  <c r="AJ33" i="3"/>
  <c r="AE33" i="3"/>
  <c r="AF33" i="3" s="1"/>
  <c r="AD33" i="3"/>
  <c r="AB33" i="3"/>
  <c r="V33" i="3"/>
  <c r="AZ33" i="3" s="1"/>
  <c r="P33" i="3"/>
  <c r="N33" i="3"/>
  <c r="U33" i="3" s="1"/>
  <c r="M33" i="3"/>
  <c r="J33" i="3"/>
  <c r="K33" i="3" s="1"/>
  <c r="I33" i="3"/>
  <c r="G33" i="3"/>
  <c r="BJ32" i="3"/>
  <c r="BL32" i="3" s="1"/>
  <c r="BB32" i="3"/>
  <c r="AX32" i="3"/>
  <c r="AW32" i="3"/>
  <c r="AV32" i="3"/>
  <c r="AT32" i="3"/>
  <c r="AR32" i="3"/>
  <c r="AN32" i="3"/>
  <c r="AM32" i="3"/>
  <c r="AL32" i="3"/>
  <c r="AJ32" i="3"/>
  <c r="AF32" i="3"/>
  <c r="AE32" i="3"/>
  <c r="AD32" i="3"/>
  <c r="AB32" i="3"/>
  <c r="W32" i="3"/>
  <c r="V32" i="3"/>
  <c r="AZ32" i="3" s="1"/>
  <c r="U32" i="3"/>
  <c r="AY32" i="3" s="1"/>
  <c r="P32" i="3"/>
  <c r="Q32" i="3" s="1"/>
  <c r="N32" i="3"/>
  <c r="R32" i="3" s="1"/>
  <c r="M32" i="3"/>
  <c r="T32" i="3" s="1"/>
  <c r="J32" i="3"/>
  <c r="K32" i="3" s="1"/>
  <c r="I32" i="3"/>
  <c r="G32" i="3"/>
  <c r="BJ31" i="3"/>
  <c r="BL31" i="3" s="1"/>
  <c r="BB31" i="3"/>
  <c r="AX31" i="3"/>
  <c r="AW31" i="3"/>
  <c r="AV31" i="3"/>
  <c r="AT31" i="3"/>
  <c r="AR31" i="3"/>
  <c r="AN31" i="3"/>
  <c r="AM31" i="3"/>
  <c r="AL31" i="3"/>
  <c r="AJ31" i="3"/>
  <c r="AF31" i="3"/>
  <c r="AE31" i="3"/>
  <c r="AD31" i="3"/>
  <c r="AB31" i="3"/>
  <c r="W31" i="3"/>
  <c r="V31" i="3"/>
  <c r="AZ31" i="3" s="1"/>
  <c r="U31" i="3"/>
  <c r="AY31" i="3" s="1"/>
  <c r="T31" i="3"/>
  <c r="P31" i="3"/>
  <c r="Q31" i="3" s="1"/>
  <c r="O31" i="3"/>
  <c r="N31" i="3"/>
  <c r="R31" i="3" s="1"/>
  <c r="M31" i="3"/>
  <c r="S31" i="3" s="1"/>
  <c r="J31" i="3"/>
  <c r="K31" i="3" s="1"/>
  <c r="I31" i="3"/>
  <c r="G31" i="3"/>
  <c r="BJ30" i="3"/>
  <c r="BL30" i="3" s="1"/>
  <c r="BB30" i="3"/>
  <c r="AW30" i="3"/>
  <c r="AV30" i="3"/>
  <c r="AT30" i="3"/>
  <c r="AR30" i="3"/>
  <c r="AN30" i="3"/>
  <c r="AM30" i="3"/>
  <c r="AL30" i="3"/>
  <c r="AJ30" i="3"/>
  <c r="AE30" i="3"/>
  <c r="AF30" i="3" s="1"/>
  <c r="AD30" i="3"/>
  <c r="AB30" i="3"/>
  <c r="V30" i="3"/>
  <c r="AZ30" i="3" s="1"/>
  <c r="U30" i="3"/>
  <c r="AY30" i="3" s="1"/>
  <c r="T30" i="3"/>
  <c r="P30" i="3"/>
  <c r="N30" i="3"/>
  <c r="R30" i="3" s="1"/>
  <c r="S30" i="3" s="1"/>
  <c r="M30" i="3"/>
  <c r="Q30" i="3" s="1"/>
  <c r="J30" i="3"/>
  <c r="K30" i="3" s="1"/>
  <c r="I30" i="3"/>
  <c r="G30" i="3"/>
  <c r="BL29" i="3"/>
  <c r="BJ29" i="3"/>
  <c r="BB29" i="3"/>
  <c r="AW29" i="3"/>
  <c r="AV29" i="3"/>
  <c r="AT29" i="3"/>
  <c r="AR29" i="3"/>
  <c r="AN29" i="3"/>
  <c r="AM29" i="3"/>
  <c r="AL29" i="3"/>
  <c r="AJ29" i="3"/>
  <c r="AE29" i="3"/>
  <c r="AF29" i="3" s="1"/>
  <c r="AD29" i="3"/>
  <c r="AB29" i="3"/>
  <c r="V29" i="3"/>
  <c r="AZ29" i="3" s="1"/>
  <c r="U29" i="3"/>
  <c r="AY29" i="3" s="1"/>
  <c r="T29" i="3"/>
  <c r="R29" i="3"/>
  <c r="S29" i="3" s="1"/>
  <c r="P29" i="3"/>
  <c r="Q29" i="3" s="1"/>
  <c r="N29" i="3"/>
  <c r="O29" i="3" s="1"/>
  <c r="M29" i="3"/>
  <c r="AX29" i="3" s="1"/>
  <c r="K29" i="3"/>
  <c r="J29" i="3"/>
  <c r="W29" i="3" s="1"/>
  <c r="BA29" i="3" s="1"/>
  <c r="I29" i="3"/>
  <c r="G29" i="3"/>
  <c r="BJ28" i="3"/>
  <c r="BL28" i="3" s="1"/>
  <c r="BB28" i="3"/>
  <c r="AX28" i="3"/>
  <c r="AW28" i="3"/>
  <c r="AV28" i="3"/>
  <c r="AT28" i="3"/>
  <c r="AR28" i="3"/>
  <c r="AN28" i="3"/>
  <c r="AM28" i="3"/>
  <c r="AL28" i="3"/>
  <c r="AJ28" i="3"/>
  <c r="AE28" i="3"/>
  <c r="AF28" i="3" s="1"/>
  <c r="AD28" i="3"/>
  <c r="AB28" i="3"/>
  <c r="V28" i="3"/>
  <c r="AZ28" i="3" s="1"/>
  <c r="U28" i="3"/>
  <c r="AY28" i="3" s="1"/>
  <c r="T28" i="3"/>
  <c r="R28" i="3"/>
  <c r="S28" i="3" s="1"/>
  <c r="Q28" i="3"/>
  <c r="P28" i="3"/>
  <c r="N28" i="3"/>
  <c r="M28" i="3"/>
  <c r="O28" i="3" s="1"/>
  <c r="K28" i="3"/>
  <c r="J28" i="3"/>
  <c r="I28" i="3"/>
  <c r="G28" i="3"/>
  <c r="BJ27" i="3"/>
  <c r="BL27" i="3" s="1"/>
  <c r="BB27" i="3"/>
  <c r="AX27" i="3"/>
  <c r="AW27" i="3"/>
  <c r="AV27" i="3"/>
  <c r="AT27" i="3"/>
  <c r="AR27" i="3"/>
  <c r="AM27" i="3"/>
  <c r="AN27" i="3" s="1"/>
  <c r="AL27" i="3"/>
  <c r="AJ27" i="3"/>
  <c r="AE27" i="3"/>
  <c r="AF27" i="3" s="1"/>
  <c r="AD27" i="3"/>
  <c r="AB27" i="3"/>
  <c r="U27" i="3"/>
  <c r="AY27" i="3" s="1"/>
  <c r="T27" i="3"/>
  <c r="P27" i="3"/>
  <c r="V27" i="3" s="1"/>
  <c r="AZ27" i="3" s="1"/>
  <c r="N27" i="3"/>
  <c r="O27" i="3" s="1"/>
  <c r="M27" i="3"/>
  <c r="J27" i="3"/>
  <c r="K27" i="3" s="1"/>
  <c r="I27" i="3"/>
  <c r="G27" i="3"/>
  <c r="BJ26" i="3"/>
  <c r="BL26" i="3" s="1"/>
  <c r="BB26" i="3"/>
  <c r="AW26" i="3"/>
  <c r="AV26" i="3"/>
  <c r="AT26" i="3"/>
  <c r="AR26" i="3"/>
  <c r="AM26" i="3"/>
  <c r="AN26" i="3" s="1"/>
  <c r="AL26" i="3"/>
  <c r="AJ26" i="3"/>
  <c r="AF26" i="3"/>
  <c r="AE26" i="3"/>
  <c r="AD26" i="3"/>
  <c r="AB26" i="3"/>
  <c r="U26" i="3"/>
  <c r="AY26" i="3" s="1"/>
  <c r="T26" i="3"/>
  <c r="P26" i="3"/>
  <c r="V26" i="3" s="1"/>
  <c r="AZ26" i="3" s="1"/>
  <c r="O26" i="3"/>
  <c r="N26" i="3"/>
  <c r="M26" i="3"/>
  <c r="AX26" i="3" s="1"/>
  <c r="J26" i="3"/>
  <c r="I26" i="3"/>
  <c r="G26" i="3"/>
  <c r="BJ25" i="3"/>
  <c r="BL25" i="3" s="1"/>
  <c r="BB25" i="3"/>
  <c r="AX25" i="3"/>
  <c r="AW25" i="3"/>
  <c r="AV25" i="3"/>
  <c r="AT25" i="3"/>
  <c r="AR25" i="3"/>
  <c r="AM25" i="3"/>
  <c r="AN25" i="3" s="1"/>
  <c r="AL25" i="3"/>
  <c r="AJ25" i="3"/>
  <c r="AE25" i="3"/>
  <c r="AF25" i="3" s="1"/>
  <c r="AD25" i="3"/>
  <c r="AB25" i="3"/>
  <c r="T25" i="3"/>
  <c r="P25" i="3"/>
  <c r="V25" i="3" s="1"/>
  <c r="AZ25" i="3" s="1"/>
  <c r="O25" i="3"/>
  <c r="N25" i="3"/>
  <c r="M25" i="3"/>
  <c r="J25" i="3"/>
  <c r="K25" i="3" s="1"/>
  <c r="I25" i="3"/>
  <c r="G25" i="3"/>
  <c r="BJ24" i="3"/>
  <c r="BL24" i="3" s="1"/>
  <c r="BB24" i="3"/>
  <c r="AW24" i="3"/>
  <c r="AV24" i="3"/>
  <c r="AT24" i="3"/>
  <c r="AR24" i="3"/>
  <c r="AN24" i="3"/>
  <c r="AM24" i="3"/>
  <c r="AL24" i="3"/>
  <c r="AJ24" i="3"/>
  <c r="AF24" i="3"/>
  <c r="AE24" i="3"/>
  <c r="AD24" i="3"/>
  <c r="AB24" i="3"/>
  <c r="P24" i="3"/>
  <c r="N24" i="3"/>
  <c r="M24" i="3"/>
  <c r="J24" i="3"/>
  <c r="K24" i="3" s="1"/>
  <c r="I24" i="3"/>
  <c r="G24" i="3"/>
  <c r="BL23" i="3"/>
  <c r="BJ23" i="3"/>
  <c r="BB23" i="3"/>
  <c r="AW23" i="3"/>
  <c r="AV23" i="3"/>
  <c r="AT23" i="3"/>
  <c r="AR23" i="3"/>
  <c r="AN23" i="3"/>
  <c r="AM23" i="3"/>
  <c r="AL23" i="3"/>
  <c r="AJ23" i="3"/>
  <c r="AE23" i="3"/>
  <c r="AF23" i="3" s="1"/>
  <c r="AD23" i="3"/>
  <c r="AB23" i="3"/>
  <c r="P23" i="3"/>
  <c r="V23" i="3" s="1"/>
  <c r="AZ23" i="3" s="1"/>
  <c r="N23" i="3"/>
  <c r="O23" i="3" s="1"/>
  <c r="M23" i="3"/>
  <c r="AX23" i="3" s="1"/>
  <c r="K23" i="3"/>
  <c r="J23" i="3"/>
  <c r="I23" i="3"/>
  <c r="G23" i="3"/>
  <c r="BJ22" i="3"/>
  <c r="BL22" i="3" s="1"/>
  <c r="BB22" i="3"/>
  <c r="AZ22" i="3"/>
  <c r="AW22" i="3"/>
  <c r="AV22" i="3"/>
  <c r="AT22" i="3"/>
  <c r="AR22" i="3"/>
  <c r="AM22" i="3"/>
  <c r="AN22" i="3" s="1"/>
  <c r="AL22" i="3"/>
  <c r="AJ22" i="3"/>
  <c r="AE22" i="3"/>
  <c r="AF22" i="3" s="1"/>
  <c r="AD22" i="3"/>
  <c r="AB22" i="3"/>
  <c r="P22" i="3"/>
  <c r="V22" i="3" s="1"/>
  <c r="N22" i="3"/>
  <c r="M22" i="3"/>
  <c r="AX22" i="3" s="1"/>
  <c r="J22" i="3"/>
  <c r="K22" i="3" s="1"/>
  <c r="I22" i="3"/>
  <c r="G22" i="3"/>
  <c r="BJ21" i="3"/>
  <c r="BL21" i="3" s="1"/>
  <c r="BB21" i="3"/>
  <c r="AW21" i="3"/>
  <c r="AV21" i="3"/>
  <c r="AT21" i="3"/>
  <c r="AR21" i="3"/>
  <c r="AM21" i="3"/>
  <c r="AN21" i="3" s="1"/>
  <c r="AL21" i="3"/>
  <c r="AJ21" i="3"/>
  <c r="AE21" i="3"/>
  <c r="AF21" i="3" s="1"/>
  <c r="AD21" i="3"/>
  <c r="AB21" i="3"/>
  <c r="V21" i="3"/>
  <c r="AZ21" i="3" s="1"/>
  <c r="P21" i="3"/>
  <c r="N21" i="3"/>
  <c r="U21" i="3" s="1"/>
  <c r="AY21" i="3" s="1"/>
  <c r="M21" i="3"/>
  <c r="J21" i="3"/>
  <c r="K21" i="3" s="1"/>
  <c r="I21" i="3"/>
  <c r="G21" i="3"/>
  <c r="BJ20" i="3"/>
  <c r="BL20" i="3" s="1"/>
  <c r="BB20" i="3"/>
  <c r="AX20" i="3"/>
  <c r="AW20" i="3"/>
  <c r="AV20" i="3"/>
  <c r="AT20" i="3"/>
  <c r="AR20" i="3"/>
  <c r="AM20" i="3"/>
  <c r="AN20" i="3" s="1"/>
  <c r="AL20" i="3"/>
  <c r="AJ20" i="3"/>
  <c r="AF20" i="3"/>
  <c r="AE20" i="3"/>
  <c r="AD20" i="3"/>
  <c r="AB20" i="3"/>
  <c r="V20" i="3"/>
  <c r="AZ20" i="3" s="1"/>
  <c r="U20" i="3"/>
  <c r="AY20" i="3" s="1"/>
  <c r="P20" i="3"/>
  <c r="Q20" i="3" s="1"/>
  <c r="N20" i="3"/>
  <c r="R20" i="3" s="1"/>
  <c r="M20" i="3"/>
  <c r="T20" i="3" s="1"/>
  <c r="J20" i="3"/>
  <c r="W20" i="3" s="1"/>
  <c r="BA20" i="3" s="1"/>
  <c r="I20" i="3"/>
  <c r="J50" i="3" s="1"/>
  <c r="G20" i="3"/>
  <c r="BJ19" i="3"/>
  <c r="BL19" i="3" s="1"/>
  <c r="BB19" i="3"/>
  <c r="AX19" i="3"/>
  <c r="AW19" i="3"/>
  <c r="AV19" i="3"/>
  <c r="AT19" i="3"/>
  <c r="AR19" i="3"/>
  <c r="AN19" i="3"/>
  <c r="AM19" i="3"/>
  <c r="AL19" i="3"/>
  <c r="AJ19" i="3"/>
  <c r="AE19" i="3"/>
  <c r="AF19" i="3" s="1"/>
  <c r="AD19" i="3"/>
  <c r="AB19" i="3"/>
  <c r="V19" i="3"/>
  <c r="AZ19" i="3" s="1"/>
  <c r="U19" i="3"/>
  <c r="AY19" i="3" s="1"/>
  <c r="T19" i="3"/>
  <c r="P19" i="3"/>
  <c r="Q19" i="3" s="1"/>
  <c r="N19" i="3"/>
  <c r="R19" i="3" s="1"/>
  <c r="M19" i="3"/>
  <c r="S19" i="3" s="1"/>
  <c r="J19" i="3"/>
  <c r="K19" i="3" s="1"/>
  <c r="I19" i="3"/>
  <c r="G19" i="3"/>
  <c r="BJ18" i="3"/>
  <c r="BL18" i="3" s="1"/>
  <c r="BB18" i="3"/>
  <c r="AW18" i="3"/>
  <c r="AV18" i="3"/>
  <c r="AT18" i="3"/>
  <c r="AR18" i="3"/>
  <c r="AN18" i="3"/>
  <c r="AM18" i="3"/>
  <c r="AL18" i="3"/>
  <c r="AJ18" i="3"/>
  <c r="AE18" i="3"/>
  <c r="AF18" i="3" s="1"/>
  <c r="AD18" i="3"/>
  <c r="AB18" i="3"/>
  <c r="V18" i="3"/>
  <c r="AZ18" i="3" s="1"/>
  <c r="U18" i="3"/>
  <c r="AY18" i="3" s="1"/>
  <c r="T18" i="3"/>
  <c r="P18" i="3"/>
  <c r="N18" i="3"/>
  <c r="R18" i="3" s="1"/>
  <c r="S18" i="3" s="1"/>
  <c r="M18" i="3"/>
  <c r="Q18" i="3" s="1"/>
  <c r="J18" i="3"/>
  <c r="I18" i="3"/>
  <c r="G18" i="3"/>
  <c r="BL17" i="3"/>
  <c r="BJ17" i="3"/>
  <c r="BB17" i="3"/>
  <c r="AW17" i="3"/>
  <c r="AV17" i="3"/>
  <c r="AT17" i="3"/>
  <c r="AR17" i="3"/>
  <c r="AN17" i="3"/>
  <c r="AM17" i="3"/>
  <c r="AL17" i="3"/>
  <c r="AJ17" i="3"/>
  <c r="AE17" i="3"/>
  <c r="AF17" i="3" s="1"/>
  <c r="AD17" i="3"/>
  <c r="AB17" i="3"/>
  <c r="V17" i="3"/>
  <c r="AZ17" i="3" s="1"/>
  <c r="U17" i="3"/>
  <c r="AY17" i="3" s="1"/>
  <c r="T17" i="3"/>
  <c r="R17" i="3"/>
  <c r="S17" i="3" s="1"/>
  <c r="P17" i="3"/>
  <c r="Q17" i="3" s="1"/>
  <c r="N17" i="3"/>
  <c r="O17" i="3" s="1"/>
  <c r="M17" i="3"/>
  <c r="AX17" i="3" s="1"/>
  <c r="K17" i="3"/>
  <c r="J17" i="3"/>
  <c r="I17" i="3"/>
  <c r="G17" i="3"/>
  <c r="BJ16" i="3"/>
  <c r="BL16" i="3" s="1"/>
  <c r="BB16" i="3"/>
  <c r="AX16" i="3"/>
  <c r="AW16" i="3"/>
  <c r="AV16" i="3"/>
  <c r="AT16" i="3"/>
  <c r="AR16" i="3"/>
  <c r="AN16" i="3"/>
  <c r="AM16" i="3"/>
  <c r="AL16" i="3"/>
  <c r="AJ16" i="3"/>
  <c r="AE16" i="3"/>
  <c r="AF16" i="3" s="1"/>
  <c r="AD16" i="3"/>
  <c r="AB16" i="3"/>
  <c r="W16" i="3"/>
  <c r="BA16" i="3" s="1"/>
  <c r="V16" i="3"/>
  <c r="AZ16" i="3" s="1"/>
  <c r="U16" i="3"/>
  <c r="AY16" i="3" s="1"/>
  <c r="T16" i="3"/>
  <c r="S16" i="3"/>
  <c r="R16" i="3"/>
  <c r="Q16" i="3"/>
  <c r="P16" i="3"/>
  <c r="N16" i="3"/>
  <c r="O16" i="3" s="1"/>
  <c r="M16" i="3"/>
  <c r="K16" i="3"/>
  <c r="J16" i="3"/>
  <c r="I16" i="3"/>
  <c r="G16" i="3"/>
  <c r="BJ15" i="3"/>
  <c r="BL15" i="3" s="1"/>
  <c r="BB15" i="3"/>
  <c r="AX15" i="3"/>
  <c r="AW15" i="3"/>
  <c r="AV15" i="3"/>
  <c r="AT15" i="3"/>
  <c r="AR15" i="3"/>
  <c r="AM15" i="3"/>
  <c r="AN15" i="3" s="1"/>
  <c r="AL15" i="3"/>
  <c r="AJ15" i="3"/>
  <c r="AE15" i="3"/>
  <c r="AF15" i="3" s="1"/>
  <c r="AD15" i="3"/>
  <c r="AB15" i="3"/>
  <c r="U15" i="3"/>
  <c r="AY15" i="3" s="1"/>
  <c r="T15" i="3"/>
  <c r="P15" i="3"/>
  <c r="V15" i="3" s="1"/>
  <c r="AZ15" i="3" s="1"/>
  <c r="N15" i="3"/>
  <c r="O15" i="3" s="1"/>
  <c r="M15" i="3"/>
  <c r="J15" i="3"/>
  <c r="K15" i="3" s="1"/>
  <c r="I15" i="3"/>
  <c r="G15" i="3"/>
  <c r="BJ14" i="3"/>
  <c r="BL14" i="3" s="1"/>
  <c r="BB14" i="3"/>
  <c r="AW14" i="3"/>
  <c r="AV14" i="3"/>
  <c r="AT14" i="3"/>
  <c r="AS49" i="3" s="1"/>
  <c r="AS50" i="3" s="1"/>
  <c r="AR14" i="3"/>
  <c r="AN14" i="3"/>
  <c r="AM14" i="3"/>
  <c r="AL14" i="3"/>
  <c r="AJ14" i="3"/>
  <c r="AF14" i="3"/>
  <c r="AE14" i="3"/>
  <c r="AD14" i="3"/>
  <c r="AB14" i="3"/>
  <c r="V14" i="3"/>
  <c r="AZ14" i="3" s="1"/>
  <c r="U14" i="3"/>
  <c r="AY14" i="3" s="1"/>
  <c r="T14" i="3"/>
  <c r="R14" i="3"/>
  <c r="S14" i="3" s="1"/>
  <c r="P14" i="3"/>
  <c r="Q14" i="3" s="1"/>
  <c r="O14" i="3"/>
  <c r="N14" i="3"/>
  <c r="M14" i="3"/>
  <c r="AX14" i="3" s="1"/>
  <c r="J14" i="3"/>
  <c r="K14" i="3" s="1"/>
  <c r="I14" i="3"/>
  <c r="G14" i="3"/>
  <c r="BJ13" i="3"/>
  <c r="BL13" i="3" s="1"/>
  <c r="BB13" i="3"/>
  <c r="AX13" i="3"/>
  <c r="AW13" i="3"/>
  <c r="AV13" i="3"/>
  <c r="AT13" i="3"/>
  <c r="AR13" i="3"/>
  <c r="AN13" i="3"/>
  <c r="AM13" i="3"/>
  <c r="AL13" i="3"/>
  <c r="AJ13" i="3"/>
  <c r="AE13" i="3"/>
  <c r="AF13" i="3" s="1"/>
  <c r="AD13" i="3"/>
  <c r="AB13" i="3"/>
  <c r="T13" i="3"/>
  <c r="Q13" i="3"/>
  <c r="P13" i="3"/>
  <c r="V13" i="3" s="1"/>
  <c r="AZ13" i="3" s="1"/>
  <c r="N13" i="3"/>
  <c r="U13" i="3" s="1"/>
  <c r="AY13" i="3" s="1"/>
  <c r="M13" i="3"/>
  <c r="J13" i="3"/>
  <c r="K13" i="3" s="1"/>
  <c r="I13" i="3"/>
  <c r="G13" i="3"/>
  <c r="BJ12" i="3"/>
  <c r="BL12" i="3" s="1"/>
  <c r="BB12" i="3"/>
  <c r="AW12" i="3"/>
  <c r="AV12" i="3"/>
  <c r="AT12" i="3"/>
  <c r="AR12" i="3"/>
  <c r="AN12" i="3"/>
  <c r="AM12" i="3"/>
  <c r="AL12" i="3"/>
  <c r="AJ12" i="3"/>
  <c r="AE12" i="3"/>
  <c r="AF12" i="3" s="1"/>
  <c r="AD12" i="3"/>
  <c r="AB12" i="3"/>
  <c r="T12" i="3"/>
  <c r="P12" i="3"/>
  <c r="V12" i="3" s="1"/>
  <c r="AZ12" i="3" s="1"/>
  <c r="O12" i="3"/>
  <c r="N12" i="3"/>
  <c r="M12" i="3"/>
  <c r="AX12" i="3" s="1"/>
  <c r="J12" i="3"/>
  <c r="K12" i="3" s="1"/>
  <c r="I12" i="3"/>
  <c r="G12" i="3"/>
  <c r="BL11" i="3"/>
  <c r="BJ11" i="3"/>
  <c r="BB11" i="3"/>
  <c r="AY11" i="3"/>
  <c r="AW11" i="3"/>
  <c r="AV11" i="3"/>
  <c r="AT11" i="3"/>
  <c r="AR11" i="3"/>
  <c r="AN11" i="3"/>
  <c r="AM11" i="3"/>
  <c r="AL11" i="3"/>
  <c r="AJ11" i="3"/>
  <c r="AE11" i="3"/>
  <c r="AF11" i="3" s="1"/>
  <c r="AD11" i="3"/>
  <c r="AB11" i="3"/>
  <c r="P11" i="3"/>
  <c r="N11" i="3"/>
  <c r="U11" i="3" s="1"/>
  <c r="M11" i="3"/>
  <c r="T11" i="3" s="1"/>
  <c r="K11" i="3"/>
  <c r="J11" i="3"/>
  <c r="I11" i="3"/>
  <c r="G11" i="3"/>
  <c r="BL10" i="3"/>
  <c r="BJ10" i="3"/>
  <c r="BB10" i="3"/>
  <c r="AW10" i="3"/>
  <c r="AV10" i="3"/>
  <c r="AT10" i="3"/>
  <c r="AR10" i="3"/>
  <c r="AM10" i="3"/>
  <c r="AN10" i="3" s="1"/>
  <c r="AL10" i="3"/>
  <c r="AJ10" i="3"/>
  <c r="AE10" i="3"/>
  <c r="AF10" i="3" s="1"/>
  <c r="AD10" i="3"/>
  <c r="AB10" i="3"/>
  <c r="P10" i="3"/>
  <c r="V10" i="3" s="1"/>
  <c r="AZ10" i="3" s="1"/>
  <c r="N10" i="3"/>
  <c r="U10" i="3" s="1"/>
  <c r="AY10" i="3" s="1"/>
  <c r="M10" i="3"/>
  <c r="AX10" i="3" s="1"/>
  <c r="J10" i="3"/>
  <c r="K10" i="3" s="1"/>
  <c r="I10" i="3"/>
  <c r="G10" i="3"/>
  <c r="BJ9" i="3"/>
  <c r="BL9" i="3" s="1"/>
  <c r="BB9" i="3"/>
  <c r="AX9" i="3"/>
  <c r="AW9" i="3"/>
  <c r="AV9" i="3"/>
  <c r="AT9" i="3"/>
  <c r="AR9" i="3"/>
  <c r="AN9" i="3"/>
  <c r="AM9" i="3"/>
  <c r="AL9" i="3"/>
  <c r="AJ9" i="3"/>
  <c r="AE9" i="3"/>
  <c r="AF9" i="3" s="1"/>
  <c r="AD9" i="3"/>
  <c r="AB9" i="3"/>
  <c r="P9" i="3"/>
  <c r="V9" i="3" s="1"/>
  <c r="AZ9" i="3" s="1"/>
  <c r="N9" i="3"/>
  <c r="M9" i="3"/>
  <c r="J9" i="3"/>
  <c r="K9" i="3" s="1"/>
  <c r="I9" i="3"/>
  <c r="G9" i="3"/>
  <c r="BJ8" i="3"/>
  <c r="BL8" i="3" s="1"/>
  <c r="BB8" i="3"/>
  <c r="AY8" i="3"/>
  <c r="AX8" i="3"/>
  <c r="AW8" i="3"/>
  <c r="AV8" i="3"/>
  <c r="AT8" i="3"/>
  <c r="AR8" i="3"/>
  <c r="AN8" i="3"/>
  <c r="AM8" i="3"/>
  <c r="AL8" i="3"/>
  <c r="AJ8" i="3"/>
  <c r="AF8" i="3"/>
  <c r="AE8" i="3"/>
  <c r="AD8" i="3"/>
  <c r="AB8" i="3"/>
  <c r="W8" i="3"/>
  <c r="BA8" i="3" s="1"/>
  <c r="U8" i="3"/>
  <c r="P8" i="3"/>
  <c r="N8" i="3"/>
  <c r="R8" i="3" s="1"/>
  <c r="M8" i="3"/>
  <c r="J8" i="3"/>
  <c r="K8" i="3" s="1"/>
  <c r="I8" i="3"/>
  <c r="G8" i="3"/>
  <c r="BL7" i="3"/>
  <c r="BJ7" i="3"/>
  <c r="BB7" i="3"/>
  <c r="AX7" i="3"/>
  <c r="AW7" i="3"/>
  <c r="AV7" i="3"/>
  <c r="AT7" i="3"/>
  <c r="AR7" i="3"/>
  <c r="AN7" i="3"/>
  <c r="AM7" i="3"/>
  <c r="AL7" i="3"/>
  <c r="AJ7" i="3"/>
  <c r="AE7" i="3"/>
  <c r="AF7" i="3" s="1"/>
  <c r="AD7" i="3"/>
  <c r="AB7" i="3"/>
  <c r="V7" i="3"/>
  <c r="AZ7" i="3" s="1"/>
  <c r="T7" i="3"/>
  <c r="P7" i="3"/>
  <c r="Q7" i="3" s="1"/>
  <c r="N7" i="3"/>
  <c r="R7" i="3" s="1"/>
  <c r="W7" i="3" s="1"/>
  <c r="BA7" i="3" s="1"/>
  <c r="M7" i="3"/>
  <c r="S7" i="3" s="1"/>
  <c r="K7" i="3"/>
  <c r="J7" i="3"/>
  <c r="I7" i="3"/>
  <c r="G7" i="3"/>
  <c r="BJ6" i="3"/>
  <c r="BL6" i="3" s="1"/>
  <c r="BB6" i="3"/>
  <c r="AW6" i="3"/>
  <c r="AV6" i="3"/>
  <c r="AV36" i="3" s="1"/>
  <c r="AT6" i="3"/>
  <c r="AR6" i="3"/>
  <c r="AN6" i="3"/>
  <c r="AM6" i="3"/>
  <c r="AL6" i="3"/>
  <c r="AJ6" i="3"/>
  <c r="AE6" i="3"/>
  <c r="AF6" i="3" s="1"/>
  <c r="AD6" i="3"/>
  <c r="AB6" i="3"/>
  <c r="V6" i="3"/>
  <c r="AZ6" i="3" s="1"/>
  <c r="U6" i="3"/>
  <c r="AY6" i="3" s="1"/>
  <c r="T6" i="3"/>
  <c r="P6" i="3"/>
  <c r="N6" i="3"/>
  <c r="M6" i="3"/>
  <c r="J6" i="3"/>
  <c r="K6" i="3" s="1"/>
  <c r="I6" i="3"/>
  <c r="G6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L5" i="3"/>
  <c r="BJ5" i="3"/>
  <c r="BB5" i="3"/>
  <c r="AY5" i="3"/>
  <c r="AW5" i="3"/>
  <c r="AV5" i="3"/>
  <c r="AT5" i="3"/>
  <c r="AR5" i="3"/>
  <c r="AN5" i="3"/>
  <c r="AM5" i="3"/>
  <c r="AL5" i="3"/>
  <c r="AJ5" i="3"/>
  <c r="AE5" i="3"/>
  <c r="AD5" i="3"/>
  <c r="AB5" i="3"/>
  <c r="V5" i="3"/>
  <c r="AZ5" i="3" s="1"/>
  <c r="U5" i="3"/>
  <c r="R5" i="3"/>
  <c r="P5" i="3"/>
  <c r="N5" i="3"/>
  <c r="M5" i="3"/>
  <c r="K5" i="3"/>
  <c r="J5" i="3"/>
  <c r="W5" i="3" s="1"/>
  <c r="BA5" i="3" s="1"/>
  <c r="I5" i="3"/>
  <c r="J49" i="3" s="1"/>
  <c r="G5" i="3"/>
  <c r="B5" i="3"/>
  <c r="BI70" i="2"/>
  <c r="BH70" i="2"/>
  <c r="BJ70" i="2" s="1"/>
  <c r="BI69" i="2"/>
  <c r="BH69" i="2"/>
  <c r="BJ69" i="2" s="1"/>
  <c r="BI68" i="2"/>
  <c r="BH68" i="2"/>
  <c r="BJ68" i="2" s="1"/>
  <c r="BI67" i="2"/>
  <c r="BH67" i="2"/>
  <c r="BJ67" i="2" s="1"/>
  <c r="BI66" i="2"/>
  <c r="BH66" i="2"/>
  <c r="BJ66" i="2" s="1"/>
  <c r="BI65" i="2"/>
  <c r="BH65" i="2"/>
  <c r="BI64" i="2"/>
  <c r="BH64" i="2"/>
  <c r="BJ64" i="2" s="1"/>
  <c r="BI63" i="2"/>
  <c r="BH63" i="2"/>
  <c r="BJ63" i="2" s="1"/>
  <c r="BI62" i="2"/>
  <c r="BH62" i="2"/>
  <c r="BI61" i="2"/>
  <c r="BH61" i="2"/>
  <c r="BJ61" i="2" s="1"/>
  <c r="BI60" i="2"/>
  <c r="BJ60" i="2" s="1"/>
  <c r="BH60" i="2"/>
  <c r="BI59" i="2"/>
  <c r="BH59" i="2"/>
  <c r="BJ59" i="2" s="1"/>
  <c r="BI58" i="2"/>
  <c r="BJ58" i="2" s="1"/>
  <c r="BH58" i="2"/>
  <c r="Y58" i="2"/>
  <c r="BI57" i="2"/>
  <c r="BH57" i="2"/>
  <c r="BJ57" i="2" s="1"/>
  <c r="BI56" i="2"/>
  <c r="BH56" i="2"/>
  <c r="BJ56" i="2" s="1"/>
  <c r="Y56" i="2"/>
  <c r="X57" i="2" s="1"/>
  <c r="X56" i="2"/>
  <c r="BI55" i="2"/>
  <c r="BH55" i="2"/>
  <c r="BJ55" i="2" s="1"/>
  <c r="X55" i="2"/>
  <c r="BJ54" i="2"/>
  <c r="BI54" i="2"/>
  <c r="BH54" i="2"/>
  <c r="Y54" i="2"/>
  <c r="X54" i="2" s="1"/>
  <c r="BI53" i="2"/>
  <c r="BH53" i="2"/>
  <c r="BJ53" i="2" s="1"/>
  <c r="BI52" i="2"/>
  <c r="BH52" i="2"/>
  <c r="BJ52" i="2" s="1"/>
  <c r="Y52" i="2"/>
  <c r="X53" i="2" s="1"/>
  <c r="X52" i="2"/>
  <c r="BI51" i="2"/>
  <c r="BH51" i="2"/>
  <c r="BJ51" i="2" s="1"/>
  <c r="BI50" i="2"/>
  <c r="BH50" i="2"/>
  <c r="AQ50" i="2"/>
  <c r="J50" i="2"/>
  <c r="AQ49" i="2"/>
  <c r="AE49" i="2"/>
  <c r="S48" i="2"/>
  <c r="K48" i="2"/>
  <c r="X46" i="2"/>
  <c r="K46" i="2"/>
  <c r="BG45" i="2"/>
  <c r="W45" i="2"/>
  <c r="BG44" i="2"/>
  <c r="BA44" i="2"/>
  <c r="BE43" i="2"/>
  <c r="BG43" i="2" s="1"/>
  <c r="AQ38" i="2"/>
  <c r="AA38" i="2"/>
  <c r="AI38" i="2" s="1"/>
  <c r="U38" i="2"/>
  <c r="O38" i="2"/>
  <c r="F38" i="2"/>
  <c r="AQ37" i="2"/>
  <c r="AR37" i="2" s="1"/>
  <c r="AK37" i="2"/>
  <c r="AL37" i="2" s="1"/>
  <c r="AJ37" i="2"/>
  <c r="AI37" i="2"/>
  <c r="F37" i="2"/>
  <c r="G37" i="2" s="1"/>
  <c r="K37" i="2" s="1"/>
  <c r="BI36" i="2"/>
  <c r="BH36" i="2"/>
  <c r="BG36" i="2"/>
  <c r="BF36" i="2"/>
  <c r="BE36" i="2"/>
  <c r="BD36" i="2"/>
  <c r="BC36" i="2"/>
  <c r="AU36" i="2"/>
  <c r="AU37" i="2" s="1"/>
  <c r="AS36" i="2"/>
  <c r="AS37" i="2" s="1"/>
  <c r="AQ36" i="2"/>
  <c r="AP36" i="2"/>
  <c r="AO36" i="2"/>
  <c r="AK36" i="2"/>
  <c r="AI36" i="2"/>
  <c r="AH36" i="2"/>
  <c r="AG36" i="2"/>
  <c r="AC36" i="2"/>
  <c r="AC37" i="2" s="1"/>
  <c r="AA36" i="2"/>
  <c r="Z36" i="2"/>
  <c r="AD36" i="2" s="1"/>
  <c r="Y36" i="2"/>
  <c r="X36" i="2"/>
  <c r="L36" i="2"/>
  <c r="H36" i="2"/>
  <c r="H37" i="2" s="1"/>
  <c r="I37" i="2" s="1"/>
  <c r="F36" i="2"/>
  <c r="G36" i="2" s="1"/>
  <c r="E36" i="2"/>
  <c r="D36" i="2"/>
  <c r="C36" i="2"/>
  <c r="BL35" i="2"/>
  <c r="BJ35" i="2"/>
  <c r="BB35" i="2"/>
  <c r="AY35" i="2"/>
  <c r="AX35" i="2"/>
  <c r="AW35" i="2"/>
  <c r="AV35" i="2"/>
  <c r="AT35" i="2"/>
  <c r="AR35" i="2"/>
  <c r="AN35" i="2"/>
  <c r="AM35" i="2"/>
  <c r="AL35" i="2"/>
  <c r="AJ35" i="2"/>
  <c r="AF35" i="2"/>
  <c r="AE35" i="2"/>
  <c r="AD35" i="2"/>
  <c r="AB35" i="2"/>
  <c r="P35" i="2"/>
  <c r="N35" i="2"/>
  <c r="U35" i="2" s="1"/>
  <c r="M35" i="2"/>
  <c r="T35" i="2" s="1"/>
  <c r="K35" i="2"/>
  <c r="J35" i="2"/>
  <c r="I35" i="2"/>
  <c r="G35" i="2"/>
  <c r="BJ34" i="2"/>
  <c r="BL34" i="2" s="1"/>
  <c r="BB34" i="2"/>
  <c r="AZ34" i="2"/>
  <c r="AW34" i="2"/>
  <c r="AV34" i="2"/>
  <c r="AT34" i="2"/>
  <c r="AR34" i="2"/>
  <c r="AM34" i="2"/>
  <c r="AN34" i="2" s="1"/>
  <c r="AL34" i="2"/>
  <c r="AJ34" i="2"/>
  <c r="AE34" i="2"/>
  <c r="AF34" i="2" s="1"/>
  <c r="AD34" i="2"/>
  <c r="AB34" i="2"/>
  <c r="P34" i="2"/>
  <c r="V34" i="2" s="1"/>
  <c r="N34" i="2"/>
  <c r="M34" i="2"/>
  <c r="K34" i="2"/>
  <c r="J34" i="2"/>
  <c r="I34" i="2"/>
  <c r="G34" i="2"/>
  <c r="BJ33" i="2"/>
  <c r="BL33" i="2" s="1"/>
  <c r="BB33" i="2"/>
  <c r="AW33" i="2"/>
  <c r="AV33" i="2"/>
  <c r="AT33" i="2"/>
  <c r="AR33" i="2"/>
  <c r="AN33" i="2"/>
  <c r="AM33" i="2"/>
  <c r="AL33" i="2"/>
  <c r="AJ33" i="2"/>
  <c r="AF33" i="2"/>
  <c r="AE33" i="2"/>
  <c r="AD33" i="2"/>
  <c r="AB33" i="2"/>
  <c r="U33" i="2"/>
  <c r="AY33" i="2" s="1"/>
  <c r="P33" i="2"/>
  <c r="N33" i="2"/>
  <c r="M33" i="2"/>
  <c r="K33" i="2"/>
  <c r="J33" i="2"/>
  <c r="I33" i="2"/>
  <c r="G33" i="2"/>
  <c r="BL32" i="2"/>
  <c r="BJ32" i="2"/>
  <c r="BB32" i="2"/>
  <c r="AZ32" i="2"/>
  <c r="AX32" i="2"/>
  <c r="AW32" i="2"/>
  <c r="AV32" i="2"/>
  <c r="AT32" i="2"/>
  <c r="AR32" i="2"/>
  <c r="AN32" i="2"/>
  <c r="AM32" i="2"/>
  <c r="AL32" i="2"/>
  <c r="AJ32" i="2"/>
  <c r="AE32" i="2"/>
  <c r="AF32" i="2" s="1"/>
  <c r="AD32" i="2"/>
  <c r="AB32" i="2"/>
  <c r="V32" i="2"/>
  <c r="U32" i="2"/>
  <c r="AY32" i="2" s="1"/>
  <c r="T32" i="2"/>
  <c r="P32" i="2"/>
  <c r="Q32" i="2" s="1"/>
  <c r="N32" i="2"/>
  <c r="R32" i="2" s="1"/>
  <c r="M32" i="2"/>
  <c r="S32" i="2" s="1"/>
  <c r="J32" i="2"/>
  <c r="I32" i="2"/>
  <c r="G32" i="2"/>
  <c r="BJ31" i="2"/>
  <c r="BL31" i="2" s="1"/>
  <c r="BB31" i="2"/>
  <c r="AW31" i="2"/>
  <c r="AV31" i="2"/>
  <c r="AT31" i="2"/>
  <c r="AR31" i="2"/>
  <c r="AN31" i="2"/>
  <c r="AM31" i="2"/>
  <c r="AL31" i="2"/>
  <c r="AJ31" i="2"/>
  <c r="AE31" i="2"/>
  <c r="AF31" i="2" s="1"/>
  <c r="AD31" i="2"/>
  <c r="AB31" i="2"/>
  <c r="V31" i="2"/>
  <c r="AZ31" i="2" s="1"/>
  <c r="U31" i="2"/>
  <c r="AY31" i="2" s="1"/>
  <c r="T31" i="2"/>
  <c r="P31" i="2"/>
  <c r="N31" i="2"/>
  <c r="M31" i="2"/>
  <c r="J31" i="2"/>
  <c r="K31" i="2" s="1"/>
  <c r="I31" i="2"/>
  <c r="G31" i="2"/>
  <c r="BL30" i="2"/>
  <c r="BJ30" i="2"/>
  <c r="BB30" i="2"/>
  <c r="AX30" i="2"/>
  <c r="AW30" i="2"/>
  <c r="AV30" i="2"/>
  <c r="AT30" i="2"/>
  <c r="AR30" i="2"/>
  <c r="AN30" i="2"/>
  <c r="AM30" i="2"/>
  <c r="AL30" i="2"/>
  <c r="AJ30" i="2"/>
  <c r="AE30" i="2"/>
  <c r="AF30" i="2" s="1"/>
  <c r="AD30" i="2"/>
  <c r="AB30" i="2"/>
  <c r="V30" i="2"/>
  <c r="AZ30" i="2" s="1"/>
  <c r="U30" i="2"/>
  <c r="AY30" i="2" s="1"/>
  <c r="T30" i="2"/>
  <c r="R30" i="2"/>
  <c r="S30" i="2" s="1"/>
  <c r="P30" i="2"/>
  <c r="N30" i="2"/>
  <c r="O30" i="2" s="1"/>
  <c r="M30" i="2"/>
  <c r="Q30" i="2" s="1"/>
  <c r="K30" i="2"/>
  <c r="J30" i="2"/>
  <c r="I30" i="2"/>
  <c r="G30" i="2"/>
  <c r="BL29" i="2"/>
  <c r="BJ29" i="2"/>
  <c r="BB29" i="2"/>
  <c r="AX29" i="2"/>
  <c r="AW29" i="2"/>
  <c r="AV29" i="2"/>
  <c r="AT29" i="2"/>
  <c r="AR29" i="2"/>
  <c r="AN29" i="2"/>
  <c r="AM29" i="2"/>
  <c r="AL29" i="2"/>
  <c r="AJ29" i="2"/>
  <c r="AF29" i="2"/>
  <c r="AE29" i="2"/>
  <c r="AD29" i="2"/>
  <c r="AB29" i="2"/>
  <c r="W29" i="2"/>
  <c r="BA29" i="2" s="1"/>
  <c r="V29" i="2"/>
  <c r="AZ29" i="2" s="1"/>
  <c r="U29" i="2"/>
  <c r="AY29" i="2" s="1"/>
  <c r="T29" i="2"/>
  <c r="R29" i="2"/>
  <c r="S29" i="2" s="1"/>
  <c r="Q29" i="2"/>
  <c r="P29" i="2"/>
  <c r="N29" i="2"/>
  <c r="M29" i="2"/>
  <c r="O29" i="2" s="1"/>
  <c r="J29" i="2"/>
  <c r="K29" i="2" s="1"/>
  <c r="I29" i="2"/>
  <c r="G29" i="2"/>
  <c r="BJ28" i="2"/>
  <c r="BL28" i="2" s="1"/>
  <c r="BB28" i="2"/>
  <c r="AX28" i="2"/>
  <c r="AW28" i="2"/>
  <c r="AV28" i="2"/>
  <c r="AT28" i="2"/>
  <c r="AR28" i="2"/>
  <c r="AN28" i="2"/>
  <c r="AM28" i="2"/>
  <c r="AL28" i="2"/>
  <c r="AJ28" i="2"/>
  <c r="AE28" i="2"/>
  <c r="AF28" i="2" s="1"/>
  <c r="AD28" i="2"/>
  <c r="AB28" i="2"/>
  <c r="U28" i="2"/>
  <c r="AY28" i="2" s="1"/>
  <c r="T28" i="2"/>
  <c r="P28" i="2"/>
  <c r="R28" i="2" s="1"/>
  <c r="N28" i="2"/>
  <c r="O28" i="2" s="1"/>
  <c r="M28" i="2"/>
  <c r="J28" i="2"/>
  <c r="K28" i="2" s="1"/>
  <c r="I28" i="2"/>
  <c r="G28" i="2"/>
  <c r="BL27" i="2"/>
  <c r="BJ27" i="2"/>
  <c r="BB27" i="2"/>
  <c r="AW27" i="2"/>
  <c r="AV27" i="2"/>
  <c r="AT27" i="2"/>
  <c r="AR27" i="2"/>
  <c r="AN27" i="2"/>
  <c r="AM27" i="2"/>
  <c r="AL27" i="2"/>
  <c r="AJ27" i="2"/>
  <c r="AF27" i="2"/>
  <c r="AE27" i="2"/>
  <c r="AD27" i="2"/>
  <c r="AB27" i="2"/>
  <c r="V27" i="2"/>
  <c r="AZ27" i="2" s="1"/>
  <c r="U27" i="2"/>
  <c r="AY27" i="2" s="1"/>
  <c r="T27" i="2"/>
  <c r="P27" i="2"/>
  <c r="R27" i="2" s="1"/>
  <c r="S27" i="2" s="1"/>
  <c r="O27" i="2"/>
  <c r="N27" i="2"/>
  <c r="M27" i="2"/>
  <c r="AX27" i="2" s="1"/>
  <c r="J27" i="2"/>
  <c r="K27" i="2" s="1"/>
  <c r="I27" i="2"/>
  <c r="G27" i="2"/>
  <c r="BL26" i="2"/>
  <c r="BJ26" i="2"/>
  <c r="BB26" i="2"/>
  <c r="AW26" i="2"/>
  <c r="AV26" i="2"/>
  <c r="AT26" i="2"/>
  <c r="AR26" i="2"/>
  <c r="AN26" i="2"/>
  <c r="AM26" i="2"/>
  <c r="AL26" i="2"/>
  <c r="AJ26" i="2"/>
  <c r="AE26" i="2"/>
  <c r="AF26" i="2" s="1"/>
  <c r="AD26" i="2"/>
  <c r="AB26" i="2"/>
  <c r="T26" i="2"/>
  <c r="R26" i="2"/>
  <c r="S26" i="2" s="1"/>
  <c r="P26" i="2"/>
  <c r="V26" i="2" s="1"/>
  <c r="AZ26" i="2" s="1"/>
  <c r="N26" i="2"/>
  <c r="M26" i="2"/>
  <c r="AX26" i="2" s="1"/>
  <c r="K26" i="2"/>
  <c r="J26" i="2"/>
  <c r="I26" i="2"/>
  <c r="G26" i="2"/>
  <c r="BJ25" i="2"/>
  <c r="BL25" i="2" s="1"/>
  <c r="BB25" i="2"/>
  <c r="AZ25" i="2"/>
  <c r="AW25" i="2"/>
  <c r="AV25" i="2"/>
  <c r="AT25" i="2"/>
  <c r="AR25" i="2"/>
  <c r="AN25" i="2"/>
  <c r="AM25" i="2"/>
  <c r="AL25" i="2"/>
  <c r="AJ25" i="2"/>
  <c r="AF25" i="2"/>
  <c r="AE25" i="2"/>
  <c r="AD25" i="2"/>
  <c r="AB25" i="2"/>
  <c r="T25" i="2"/>
  <c r="P25" i="2"/>
  <c r="V25" i="2" s="1"/>
  <c r="N25" i="2"/>
  <c r="O25" i="2" s="1"/>
  <c r="M25" i="2"/>
  <c r="AX25" i="2" s="1"/>
  <c r="J25" i="2"/>
  <c r="K25" i="2" s="1"/>
  <c r="I25" i="2"/>
  <c r="G25" i="2"/>
  <c r="BL24" i="2"/>
  <c r="BJ24" i="2"/>
  <c r="BB24" i="2"/>
  <c r="AW24" i="2"/>
  <c r="AV24" i="2"/>
  <c r="AT24" i="2"/>
  <c r="AR24" i="2"/>
  <c r="AN24" i="2"/>
  <c r="AM24" i="2"/>
  <c r="AL24" i="2"/>
  <c r="AJ24" i="2"/>
  <c r="AE24" i="2"/>
  <c r="AF24" i="2" s="1"/>
  <c r="AD24" i="2"/>
  <c r="AB24" i="2"/>
  <c r="P24" i="2"/>
  <c r="R24" i="2" s="1"/>
  <c r="S24" i="2" s="1"/>
  <c r="N24" i="2"/>
  <c r="U24" i="2" s="1"/>
  <c r="AY24" i="2" s="1"/>
  <c r="M24" i="2"/>
  <c r="T24" i="2" s="1"/>
  <c r="K24" i="2"/>
  <c r="J24" i="2"/>
  <c r="I24" i="2"/>
  <c r="G24" i="2"/>
  <c r="BJ23" i="2"/>
  <c r="BL23" i="2" s="1"/>
  <c r="BB23" i="2"/>
  <c r="AZ23" i="2"/>
  <c r="AY23" i="2"/>
  <c r="AX23" i="2"/>
  <c r="AW23" i="2"/>
  <c r="AV23" i="2"/>
  <c r="AT23" i="2"/>
  <c r="AR23" i="2"/>
  <c r="AN23" i="2"/>
  <c r="AM23" i="2"/>
  <c r="AL23" i="2"/>
  <c r="AJ23" i="2"/>
  <c r="AE23" i="2"/>
  <c r="AF23" i="2" s="1"/>
  <c r="AD23" i="2"/>
  <c r="AB23" i="2"/>
  <c r="R23" i="2"/>
  <c r="Q23" i="2"/>
  <c r="P23" i="2"/>
  <c r="V23" i="2" s="1"/>
  <c r="N23" i="2"/>
  <c r="U23" i="2" s="1"/>
  <c r="M23" i="2"/>
  <c r="J23" i="2"/>
  <c r="I23" i="2"/>
  <c r="G23" i="2"/>
  <c r="BJ22" i="2"/>
  <c r="BL22" i="2" s="1"/>
  <c r="BB22" i="2"/>
  <c r="AW22" i="2"/>
  <c r="AV22" i="2"/>
  <c r="AT22" i="2"/>
  <c r="AR22" i="2"/>
  <c r="AM22" i="2"/>
  <c r="AN22" i="2" s="1"/>
  <c r="AL22" i="2"/>
  <c r="AJ22" i="2"/>
  <c r="AE22" i="2"/>
  <c r="AF22" i="2" s="1"/>
  <c r="AD22" i="2"/>
  <c r="AB22" i="2"/>
  <c r="P22" i="2"/>
  <c r="N22" i="2"/>
  <c r="M22" i="2"/>
  <c r="J22" i="2"/>
  <c r="I22" i="2"/>
  <c r="G22" i="2"/>
  <c r="BJ21" i="2"/>
  <c r="BL21" i="2" s="1"/>
  <c r="BB21" i="2"/>
  <c r="AW21" i="2"/>
  <c r="AV21" i="2"/>
  <c r="AT21" i="2"/>
  <c r="AR21" i="2"/>
  <c r="AN21" i="2"/>
  <c r="AM21" i="2"/>
  <c r="AL21" i="2"/>
  <c r="AJ21" i="2"/>
  <c r="AF21" i="2"/>
  <c r="AE21" i="2"/>
  <c r="AD21" i="2"/>
  <c r="AB21" i="2"/>
  <c r="V21" i="2"/>
  <c r="AZ21" i="2" s="1"/>
  <c r="U21" i="2"/>
  <c r="AY21" i="2" s="1"/>
  <c r="P21" i="2"/>
  <c r="Q21" i="2" s="1"/>
  <c r="N21" i="2"/>
  <c r="R21" i="2" s="1"/>
  <c r="W21" i="2" s="1"/>
  <c r="M21" i="2"/>
  <c r="J21" i="2"/>
  <c r="K21" i="2" s="1"/>
  <c r="I21" i="2"/>
  <c r="G21" i="2"/>
  <c r="BL20" i="2"/>
  <c r="BJ20" i="2"/>
  <c r="BB20" i="2"/>
  <c r="AX20" i="2"/>
  <c r="AW20" i="2"/>
  <c r="AV20" i="2"/>
  <c r="AT20" i="2"/>
  <c r="AR20" i="2"/>
  <c r="AN20" i="2"/>
  <c r="AM20" i="2"/>
  <c r="AL20" i="2"/>
  <c r="AJ20" i="2"/>
  <c r="AF20" i="2"/>
  <c r="AE20" i="2"/>
  <c r="AD20" i="2"/>
  <c r="AB20" i="2"/>
  <c r="W20" i="2"/>
  <c r="V20" i="2"/>
  <c r="AZ20" i="2" s="1"/>
  <c r="T20" i="2"/>
  <c r="P20" i="2"/>
  <c r="Q20" i="2" s="1"/>
  <c r="N20" i="2"/>
  <c r="R20" i="2" s="1"/>
  <c r="M20" i="2"/>
  <c r="S20" i="2" s="1"/>
  <c r="K20" i="2"/>
  <c r="J20" i="2"/>
  <c r="I20" i="2"/>
  <c r="G20" i="2"/>
  <c r="BJ19" i="2"/>
  <c r="BL19" i="2" s="1"/>
  <c r="BB19" i="2"/>
  <c r="AW19" i="2"/>
  <c r="AV19" i="2"/>
  <c r="AT19" i="2"/>
  <c r="AR19" i="2"/>
  <c r="AN19" i="2"/>
  <c r="AM19" i="2"/>
  <c r="AL19" i="2"/>
  <c r="AJ19" i="2"/>
  <c r="AE19" i="2"/>
  <c r="AF19" i="2" s="1"/>
  <c r="AD19" i="2"/>
  <c r="AB19" i="2"/>
  <c r="V19" i="2"/>
  <c r="AZ19" i="2" s="1"/>
  <c r="U19" i="2"/>
  <c r="AY19" i="2" s="1"/>
  <c r="T19" i="2"/>
  <c r="P19" i="2"/>
  <c r="N19" i="2"/>
  <c r="R19" i="2" s="1"/>
  <c r="M19" i="2"/>
  <c r="J19" i="2"/>
  <c r="K19" i="2" s="1"/>
  <c r="I19" i="2"/>
  <c r="G19" i="2"/>
  <c r="BL18" i="2"/>
  <c r="BJ18" i="2"/>
  <c r="BB18" i="2"/>
  <c r="AX18" i="2"/>
  <c r="AW18" i="2"/>
  <c r="AV18" i="2"/>
  <c r="AT18" i="2"/>
  <c r="AR18" i="2"/>
  <c r="AN18" i="2"/>
  <c r="AM18" i="2"/>
  <c r="AL18" i="2"/>
  <c r="AJ18" i="2"/>
  <c r="AE18" i="2"/>
  <c r="AF18" i="2" s="1"/>
  <c r="AD18" i="2"/>
  <c r="AB18" i="2"/>
  <c r="V18" i="2"/>
  <c r="AZ18" i="2" s="1"/>
  <c r="U18" i="2"/>
  <c r="AY18" i="2" s="1"/>
  <c r="P18" i="2"/>
  <c r="N18" i="2"/>
  <c r="R18" i="2" s="1"/>
  <c r="M18" i="2"/>
  <c r="K18" i="2"/>
  <c r="J18" i="2"/>
  <c r="I18" i="2"/>
  <c r="G18" i="2"/>
  <c r="BL17" i="2"/>
  <c r="BJ17" i="2"/>
  <c r="BB17" i="2"/>
  <c r="AX17" i="2"/>
  <c r="AW17" i="2"/>
  <c r="AV17" i="2"/>
  <c r="AT17" i="2"/>
  <c r="AR17" i="2"/>
  <c r="AN17" i="2"/>
  <c r="AM17" i="2"/>
  <c r="AL17" i="2"/>
  <c r="AJ17" i="2"/>
  <c r="AF17" i="2"/>
  <c r="AE17" i="2"/>
  <c r="AD17" i="2"/>
  <c r="AB17" i="2"/>
  <c r="W17" i="2"/>
  <c r="BA17" i="2" s="1"/>
  <c r="V17" i="2"/>
  <c r="AZ17" i="2" s="1"/>
  <c r="U17" i="2"/>
  <c r="AY17" i="2" s="1"/>
  <c r="T17" i="2"/>
  <c r="R17" i="2"/>
  <c r="S17" i="2" s="1"/>
  <c r="Q17" i="2"/>
  <c r="P17" i="2"/>
  <c r="N17" i="2"/>
  <c r="M17" i="2"/>
  <c r="O17" i="2" s="1"/>
  <c r="J17" i="2"/>
  <c r="K17" i="2" s="1"/>
  <c r="I17" i="2"/>
  <c r="G17" i="2"/>
  <c r="BJ16" i="2"/>
  <c r="BL16" i="2" s="1"/>
  <c r="BB16" i="2"/>
  <c r="AX16" i="2"/>
  <c r="AW16" i="2"/>
  <c r="AV16" i="2"/>
  <c r="AT16" i="2"/>
  <c r="AR16" i="2"/>
  <c r="AN16" i="2"/>
  <c r="AM16" i="2"/>
  <c r="AL16" i="2"/>
  <c r="AJ16" i="2"/>
  <c r="AE16" i="2"/>
  <c r="AF16" i="2" s="1"/>
  <c r="AD16" i="2"/>
  <c r="AB16" i="2"/>
  <c r="V16" i="2"/>
  <c r="AZ16" i="2" s="1"/>
  <c r="U16" i="2"/>
  <c r="AY16" i="2" s="1"/>
  <c r="T16" i="2"/>
  <c r="P16" i="2"/>
  <c r="N16" i="2"/>
  <c r="O16" i="2" s="1"/>
  <c r="M16" i="2"/>
  <c r="J16" i="2"/>
  <c r="K16" i="2" s="1"/>
  <c r="I16" i="2"/>
  <c r="G16" i="2"/>
  <c r="BJ15" i="2"/>
  <c r="BL15" i="2" s="1"/>
  <c r="BB15" i="2"/>
  <c r="AW15" i="2"/>
  <c r="AV15" i="2"/>
  <c r="AT15" i="2"/>
  <c r="AR15" i="2"/>
  <c r="AN15" i="2"/>
  <c r="AM15" i="2"/>
  <c r="AL15" i="2"/>
  <c r="AJ15" i="2"/>
  <c r="AF15" i="2"/>
  <c r="AE15" i="2"/>
  <c r="AD15" i="2"/>
  <c r="AB15" i="2"/>
  <c r="W15" i="2"/>
  <c r="V15" i="2"/>
  <c r="AZ15" i="2" s="1"/>
  <c r="U15" i="2"/>
  <c r="AY15" i="2" s="1"/>
  <c r="Q15" i="2"/>
  <c r="P15" i="2"/>
  <c r="R15" i="2" s="1"/>
  <c r="S15" i="2" s="1"/>
  <c r="O15" i="2"/>
  <c r="N15" i="2"/>
  <c r="M15" i="2"/>
  <c r="AX15" i="2" s="1"/>
  <c r="J15" i="2"/>
  <c r="K15" i="2" s="1"/>
  <c r="I15" i="2"/>
  <c r="G15" i="2"/>
  <c r="BL14" i="2"/>
  <c r="BJ14" i="2"/>
  <c r="BB14" i="2"/>
  <c r="AW14" i="2"/>
  <c r="AV14" i="2"/>
  <c r="AT14" i="2"/>
  <c r="AR14" i="2"/>
  <c r="AR49" i="2" s="1"/>
  <c r="AR50" i="2" s="1"/>
  <c r="AM14" i="2"/>
  <c r="AN14" i="2" s="1"/>
  <c r="AL14" i="2"/>
  <c r="AJ14" i="2"/>
  <c r="AF14" i="2"/>
  <c r="AE14" i="2"/>
  <c r="AD14" i="2"/>
  <c r="AB14" i="2"/>
  <c r="V14" i="2"/>
  <c r="AZ14" i="2" s="1"/>
  <c r="U14" i="2"/>
  <c r="AY14" i="2" s="1"/>
  <c r="T14" i="2"/>
  <c r="P14" i="2"/>
  <c r="Q14" i="2" s="1"/>
  <c r="N14" i="2"/>
  <c r="M14" i="2"/>
  <c r="AX14" i="2" s="1"/>
  <c r="K14" i="2"/>
  <c r="J14" i="2"/>
  <c r="I14" i="2"/>
  <c r="G14" i="2"/>
  <c r="BJ13" i="2"/>
  <c r="BL13" i="2" s="1"/>
  <c r="BB13" i="2"/>
  <c r="AW13" i="2"/>
  <c r="AV13" i="2"/>
  <c r="AT13" i="2"/>
  <c r="AR13" i="2"/>
  <c r="AN13" i="2"/>
  <c r="AM13" i="2"/>
  <c r="AL13" i="2"/>
  <c r="AJ13" i="2"/>
  <c r="AE13" i="2"/>
  <c r="AF13" i="2" s="1"/>
  <c r="AD13" i="2"/>
  <c r="AB13" i="2"/>
  <c r="U13" i="2"/>
  <c r="AY13" i="2" s="1"/>
  <c r="T13" i="2"/>
  <c r="P13" i="2"/>
  <c r="V13" i="2" s="1"/>
  <c r="AZ13" i="2" s="1"/>
  <c r="N13" i="2"/>
  <c r="R13" i="2" s="1"/>
  <c r="S13" i="2" s="1"/>
  <c r="M13" i="2"/>
  <c r="AX13" i="2" s="1"/>
  <c r="J13" i="2"/>
  <c r="K13" i="2" s="1"/>
  <c r="I13" i="2"/>
  <c r="G13" i="2"/>
  <c r="BL12" i="2"/>
  <c r="BJ12" i="2"/>
  <c r="BB12" i="2"/>
  <c r="AX12" i="2"/>
  <c r="AW12" i="2"/>
  <c r="AV12" i="2"/>
  <c r="AT12" i="2"/>
  <c r="AR12" i="2"/>
  <c r="AN12" i="2"/>
  <c r="AM12" i="2"/>
  <c r="AL12" i="2"/>
  <c r="AJ12" i="2"/>
  <c r="AF12" i="2"/>
  <c r="AE12" i="2"/>
  <c r="AD12" i="2"/>
  <c r="AB12" i="2"/>
  <c r="P12" i="2"/>
  <c r="N12" i="2"/>
  <c r="M12" i="2"/>
  <c r="K12" i="2"/>
  <c r="J12" i="2"/>
  <c r="I12" i="2"/>
  <c r="G12" i="2"/>
  <c r="BJ11" i="2"/>
  <c r="BL11" i="2" s="1"/>
  <c r="BB11" i="2"/>
  <c r="AZ11" i="2"/>
  <c r="AY11" i="2"/>
  <c r="AX11" i="2"/>
  <c r="AW11" i="2"/>
  <c r="AV11" i="2"/>
  <c r="AT11" i="2"/>
  <c r="AR11" i="2"/>
  <c r="AN11" i="2"/>
  <c r="AM11" i="2"/>
  <c r="AL11" i="2"/>
  <c r="AJ11" i="2"/>
  <c r="AE11" i="2"/>
  <c r="AF11" i="2" s="1"/>
  <c r="AD11" i="2"/>
  <c r="AB11" i="2"/>
  <c r="V11" i="2"/>
  <c r="R11" i="2"/>
  <c r="S11" i="2" s="1"/>
  <c r="Q11" i="2"/>
  <c r="P11" i="2"/>
  <c r="N11" i="2"/>
  <c r="U11" i="2" s="1"/>
  <c r="M11" i="2"/>
  <c r="T11" i="2" s="1"/>
  <c r="J11" i="2"/>
  <c r="I11" i="2"/>
  <c r="G11" i="2"/>
  <c r="BJ10" i="2"/>
  <c r="BL10" i="2" s="1"/>
  <c r="BB10" i="2"/>
  <c r="AW10" i="2"/>
  <c r="AV10" i="2"/>
  <c r="AT10" i="2"/>
  <c r="AR10" i="2"/>
  <c r="AM10" i="2"/>
  <c r="AN10" i="2" s="1"/>
  <c r="AL10" i="2"/>
  <c r="AJ10" i="2"/>
  <c r="AE10" i="2"/>
  <c r="AF10" i="2" s="1"/>
  <c r="AD10" i="2"/>
  <c r="AB10" i="2"/>
  <c r="P10" i="2"/>
  <c r="Q10" i="2" s="1"/>
  <c r="N10" i="2"/>
  <c r="M10" i="2"/>
  <c r="J10" i="2"/>
  <c r="I10" i="2"/>
  <c r="G10" i="2"/>
  <c r="BJ9" i="2"/>
  <c r="BL9" i="2" s="1"/>
  <c r="BB9" i="2"/>
  <c r="AW9" i="2"/>
  <c r="AV9" i="2"/>
  <c r="AT9" i="2"/>
  <c r="AR9" i="2"/>
  <c r="AN9" i="2"/>
  <c r="AM9" i="2"/>
  <c r="AL9" i="2"/>
  <c r="AJ9" i="2"/>
  <c r="AF9" i="2"/>
  <c r="AE9" i="2"/>
  <c r="AD9" i="2"/>
  <c r="AB9" i="2"/>
  <c r="V9" i="2"/>
  <c r="AZ9" i="2" s="1"/>
  <c r="U9" i="2"/>
  <c r="AY9" i="2" s="1"/>
  <c r="P9" i="2"/>
  <c r="N9" i="2"/>
  <c r="R9" i="2" s="1"/>
  <c r="W9" i="2" s="1"/>
  <c r="BA9" i="2" s="1"/>
  <c r="M9" i="2"/>
  <c r="J9" i="2"/>
  <c r="K9" i="2" s="1"/>
  <c r="I9" i="2"/>
  <c r="G9" i="2"/>
  <c r="BL8" i="2"/>
  <c r="BJ8" i="2"/>
  <c r="BB8" i="2"/>
  <c r="AX8" i="2"/>
  <c r="AW8" i="2"/>
  <c r="AV8" i="2"/>
  <c r="AT8" i="2"/>
  <c r="AR8" i="2"/>
  <c r="AN8" i="2"/>
  <c r="AM8" i="2"/>
  <c r="AL8" i="2"/>
  <c r="AJ8" i="2"/>
  <c r="AF8" i="2"/>
  <c r="AE8" i="2"/>
  <c r="AD8" i="2"/>
  <c r="AB8" i="2"/>
  <c r="W8" i="2"/>
  <c r="V8" i="2"/>
  <c r="AZ8" i="2" s="1"/>
  <c r="T8" i="2"/>
  <c r="P8" i="2"/>
  <c r="N8" i="2"/>
  <c r="R8" i="2" s="1"/>
  <c r="M8" i="2"/>
  <c r="S8" i="2" s="1"/>
  <c r="K8" i="2"/>
  <c r="J8" i="2"/>
  <c r="I8" i="2"/>
  <c r="G8" i="2"/>
  <c r="BJ7" i="2"/>
  <c r="BL7" i="2" s="1"/>
  <c r="BB7" i="2"/>
  <c r="AW7" i="2"/>
  <c r="AV7" i="2"/>
  <c r="AT7" i="2"/>
  <c r="AR7" i="2"/>
  <c r="AN7" i="2"/>
  <c r="AM7" i="2"/>
  <c r="AL7" i="2"/>
  <c r="AJ7" i="2"/>
  <c r="AE7" i="2"/>
  <c r="AF7" i="2" s="1"/>
  <c r="AD7" i="2"/>
  <c r="AB7" i="2"/>
  <c r="V7" i="2"/>
  <c r="AZ7" i="2" s="1"/>
  <c r="T7" i="2"/>
  <c r="P7" i="2"/>
  <c r="N7" i="2"/>
  <c r="R7" i="2" s="1"/>
  <c r="M7" i="2"/>
  <c r="J7" i="2"/>
  <c r="K7" i="2" s="1"/>
  <c r="I7" i="2"/>
  <c r="G7" i="2"/>
  <c r="BL6" i="2"/>
  <c r="BL36" i="2" s="1"/>
  <c r="BJ6" i="2"/>
  <c r="BB6" i="2"/>
  <c r="AW6" i="2"/>
  <c r="AV6" i="2"/>
  <c r="AT6" i="2"/>
  <c r="AR6" i="2"/>
  <c r="AN6" i="2"/>
  <c r="AM6" i="2"/>
  <c r="AL6" i="2"/>
  <c r="AJ6" i="2"/>
  <c r="AE6" i="2"/>
  <c r="AF6" i="2" s="1"/>
  <c r="AD6" i="2"/>
  <c r="AB6" i="2"/>
  <c r="V6" i="2"/>
  <c r="U6" i="2"/>
  <c r="AY6" i="2" s="1"/>
  <c r="P6" i="2"/>
  <c r="N6" i="2"/>
  <c r="R6" i="2" s="1"/>
  <c r="M6" i="2"/>
  <c r="AX6" i="2" s="1"/>
  <c r="K6" i="2"/>
  <c r="J6" i="2"/>
  <c r="I6" i="2"/>
  <c r="G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L5" i="2"/>
  <c r="BJ5" i="2"/>
  <c r="BB5" i="2"/>
  <c r="AX5" i="2"/>
  <c r="AW5" i="2"/>
  <c r="AV5" i="2"/>
  <c r="AT5" i="2"/>
  <c r="AR5" i="2"/>
  <c r="AN5" i="2"/>
  <c r="AM5" i="2"/>
  <c r="AL5" i="2"/>
  <c r="AJ5" i="2"/>
  <c r="AF5" i="2"/>
  <c r="AE5" i="2"/>
  <c r="AD5" i="2"/>
  <c r="AB5" i="2"/>
  <c r="W5" i="2"/>
  <c r="BA5" i="2" s="1"/>
  <c r="V5" i="2"/>
  <c r="AZ5" i="2" s="1"/>
  <c r="U5" i="2"/>
  <c r="T5" i="2"/>
  <c r="R5" i="2"/>
  <c r="S5" i="2" s="1"/>
  <c r="Q5" i="2"/>
  <c r="P5" i="2"/>
  <c r="N5" i="2"/>
  <c r="M5" i="2"/>
  <c r="J5" i="2"/>
  <c r="K5" i="2" s="1"/>
  <c r="I5" i="2"/>
  <c r="G5" i="2"/>
  <c r="B5" i="2"/>
  <c r="BI70" i="1"/>
  <c r="BH70" i="1"/>
  <c r="BJ70" i="1" s="1"/>
  <c r="BJ69" i="1"/>
  <c r="BI69" i="1"/>
  <c r="BH69" i="1"/>
  <c r="BI68" i="1"/>
  <c r="BJ68" i="1" s="1"/>
  <c r="BH68" i="1"/>
  <c r="BI67" i="1"/>
  <c r="BH67" i="1"/>
  <c r="BJ67" i="1" s="1"/>
  <c r="BI66" i="1"/>
  <c r="BH66" i="1"/>
  <c r="BJ66" i="1" s="1"/>
  <c r="BJ65" i="1"/>
  <c r="BI65" i="1"/>
  <c r="BH65" i="1"/>
  <c r="BI64" i="1"/>
  <c r="BH64" i="1"/>
  <c r="BJ64" i="1" s="1"/>
  <c r="BI63" i="1"/>
  <c r="BH63" i="1"/>
  <c r="BJ63" i="1" s="1"/>
  <c r="BI62" i="1"/>
  <c r="BH62" i="1"/>
  <c r="BJ62" i="1" s="1"/>
  <c r="BJ61" i="1"/>
  <c r="BI61" i="1"/>
  <c r="BH61" i="1"/>
  <c r="BI60" i="1"/>
  <c r="BH60" i="1"/>
  <c r="BJ60" i="1" s="1"/>
  <c r="BI59" i="1"/>
  <c r="BH59" i="1"/>
  <c r="BJ59" i="1" s="1"/>
  <c r="BJ58" i="1"/>
  <c r="BI58" i="1"/>
  <c r="BH58" i="1"/>
  <c r="BI57" i="1"/>
  <c r="BH57" i="1"/>
  <c r="BJ57" i="1" s="1"/>
  <c r="BI56" i="1"/>
  <c r="BH56" i="1"/>
  <c r="BJ56" i="1" s="1"/>
  <c r="Y56" i="1"/>
  <c r="X57" i="1" s="1"/>
  <c r="X56" i="1"/>
  <c r="BJ55" i="1"/>
  <c r="BI55" i="1"/>
  <c r="BH55" i="1"/>
  <c r="X55" i="1"/>
  <c r="BI54" i="1"/>
  <c r="BJ54" i="1" s="1"/>
  <c r="BH54" i="1"/>
  <c r="Y54" i="1"/>
  <c r="X54" i="1" s="1"/>
  <c r="BI53" i="1"/>
  <c r="BH53" i="1"/>
  <c r="BJ53" i="1" s="1"/>
  <c r="BI52" i="1"/>
  <c r="BH52" i="1"/>
  <c r="BJ52" i="1" s="1"/>
  <c r="Y52" i="1"/>
  <c r="Y58" i="1" s="1"/>
  <c r="X52" i="1"/>
  <c r="BI51" i="1"/>
  <c r="BH51" i="1"/>
  <c r="BJ51" i="1" s="1"/>
  <c r="BI50" i="1"/>
  <c r="BH50" i="1"/>
  <c r="AQ50" i="1"/>
  <c r="AQ49" i="1"/>
  <c r="AE49" i="1"/>
  <c r="S48" i="1"/>
  <c r="K48" i="1"/>
  <c r="X46" i="1"/>
  <c r="K46" i="1"/>
  <c r="BG45" i="1"/>
  <c r="W45" i="1"/>
  <c r="BG44" i="1"/>
  <c r="BA44" i="1"/>
  <c r="BG43" i="1"/>
  <c r="BE43" i="1"/>
  <c r="AS39" i="1"/>
  <c r="AQ38" i="1"/>
  <c r="AI38" i="1"/>
  <c r="AA38" i="1"/>
  <c r="O38" i="1"/>
  <c r="U38" i="1" s="1"/>
  <c r="AC37" i="1"/>
  <c r="AD37" i="1" s="1"/>
  <c r="H37" i="1"/>
  <c r="BI36" i="1"/>
  <c r="BH36" i="1"/>
  <c r="BG36" i="1"/>
  <c r="BF36" i="1"/>
  <c r="BE36" i="1"/>
  <c r="BD36" i="1"/>
  <c r="BC36" i="1"/>
  <c r="AU36" i="1"/>
  <c r="AU37" i="1" s="1"/>
  <c r="AS36" i="1"/>
  <c r="AS37" i="1" s="1"/>
  <c r="AQ36" i="1"/>
  <c r="AQ37" i="1" s="1"/>
  <c r="AR37" i="1" s="1"/>
  <c r="AP36" i="1"/>
  <c r="AO36" i="1"/>
  <c r="AK36" i="1"/>
  <c r="AK37" i="1" s="1"/>
  <c r="AL37" i="1" s="1"/>
  <c r="AI36" i="1"/>
  <c r="AI37" i="1" s="1"/>
  <c r="AJ37" i="1" s="1"/>
  <c r="AH36" i="1"/>
  <c r="AG36" i="1"/>
  <c r="AC36" i="1"/>
  <c r="AD36" i="1" s="1"/>
  <c r="AB36" i="1"/>
  <c r="AA36" i="1"/>
  <c r="AA37" i="1" s="1"/>
  <c r="AB37" i="1" s="1"/>
  <c r="Z36" i="1"/>
  <c r="Y36" i="1"/>
  <c r="X36" i="1"/>
  <c r="L36" i="1"/>
  <c r="H36" i="1"/>
  <c r="F36" i="1"/>
  <c r="E36" i="1"/>
  <c r="D36" i="1"/>
  <c r="C36" i="1"/>
  <c r="BJ35" i="1"/>
  <c r="BL35" i="1" s="1"/>
  <c r="BB35" i="1"/>
  <c r="AW35" i="1"/>
  <c r="AV35" i="1"/>
  <c r="AT35" i="1"/>
  <c r="AR35" i="1"/>
  <c r="AN35" i="1"/>
  <c r="AM35" i="1"/>
  <c r="AL35" i="1"/>
  <c r="AJ35" i="1"/>
  <c r="AF35" i="1"/>
  <c r="AE35" i="1"/>
  <c r="AD35" i="1"/>
  <c r="AB35" i="1"/>
  <c r="U35" i="1"/>
  <c r="AY35" i="1" s="1"/>
  <c r="T35" i="1"/>
  <c r="P35" i="1"/>
  <c r="R35" i="1" s="1"/>
  <c r="S35" i="1" s="1"/>
  <c r="O35" i="1"/>
  <c r="N35" i="1"/>
  <c r="M35" i="1"/>
  <c r="AX35" i="1" s="1"/>
  <c r="J35" i="1"/>
  <c r="K35" i="1" s="1"/>
  <c r="I35" i="1"/>
  <c r="G35" i="1"/>
  <c r="BJ34" i="1"/>
  <c r="BL34" i="1" s="1"/>
  <c r="BB34" i="1"/>
  <c r="AX34" i="1"/>
  <c r="AW34" i="1"/>
  <c r="AV34" i="1"/>
  <c r="AT34" i="1"/>
  <c r="AR34" i="1"/>
  <c r="AN34" i="1"/>
  <c r="AM34" i="1"/>
  <c r="AL34" i="1"/>
  <c r="AJ34" i="1"/>
  <c r="AE34" i="1"/>
  <c r="AF34" i="1" s="1"/>
  <c r="AD34" i="1"/>
  <c r="AB34" i="1"/>
  <c r="U34" i="1"/>
  <c r="AY34" i="1" s="1"/>
  <c r="T34" i="1"/>
  <c r="P34" i="1"/>
  <c r="N34" i="1"/>
  <c r="R34" i="1" s="1"/>
  <c r="S34" i="1" s="1"/>
  <c r="M34" i="1"/>
  <c r="J34" i="1"/>
  <c r="K34" i="1" s="1"/>
  <c r="I34" i="1"/>
  <c r="G34" i="1"/>
  <c r="BL33" i="1"/>
  <c r="BJ33" i="1"/>
  <c r="BB33" i="1"/>
  <c r="AZ33" i="1"/>
  <c r="AY33" i="1"/>
  <c r="AW33" i="1"/>
  <c r="AV33" i="1"/>
  <c r="AT33" i="1"/>
  <c r="AR33" i="1"/>
  <c r="AM33" i="1"/>
  <c r="AN33" i="1" s="1"/>
  <c r="AL33" i="1"/>
  <c r="AJ33" i="1"/>
  <c r="AF33" i="1"/>
  <c r="AE33" i="1"/>
  <c r="AD33" i="1"/>
  <c r="AB33" i="1"/>
  <c r="T33" i="1"/>
  <c r="P33" i="1"/>
  <c r="V33" i="1" s="1"/>
  <c r="N33" i="1"/>
  <c r="U33" i="1" s="1"/>
  <c r="M33" i="1"/>
  <c r="AX33" i="1" s="1"/>
  <c r="J33" i="1"/>
  <c r="K33" i="1" s="1"/>
  <c r="I33" i="1"/>
  <c r="G33" i="1"/>
  <c r="BJ32" i="1"/>
  <c r="BL32" i="1" s="1"/>
  <c r="BB32" i="1"/>
  <c r="AZ32" i="1"/>
  <c r="AW32" i="1"/>
  <c r="AV32" i="1"/>
  <c r="AT32" i="1"/>
  <c r="AR32" i="1"/>
  <c r="AN32" i="1"/>
  <c r="AM32" i="1"/>
  <c r="AL32" i="1"/>
  <c r="AJ32" i="1"/>
  <c r="AE32" i="1"/>
  <c r="AF32" i="1" s="1"/>
  <c r="AD32" i="1"/>
  <c r="AB32" i="1"/>
  <c r="V32" i="1"/>
  <c r="R32" i="1"/>
  <c r="Q32" i="1"/>
  <c r="P32" i="1"/>
  <c r="N32" i="1"/>
  <c r="M32" i="1"/>
  <c r="T32" i="1" s="1"/>
  <c r="K32" i="1"/>
  <c r="J32" i="1"/>
  <c r="W32" i="1" s="1"/>
  <c r="I32" i="1"/>
  <c r="G32" i="1"/>
  <c r="BJ31" i="1"/>
  <c r="BL31" i="1" s="1"/>
  <c r="BB31" i="1"/>
  <c r="AX31" i="1"/>
  <c r="AW31" i="1"/>
  <c r="AV31" i="1"/>
  <c r="AT31" i="1"/>
  <c r="AR31" i="1"/>
  <c r="AN31" i="1"/>
  <c r="AM31" i="1"/>
  <c r="AL31" i="1"/>
  <c r="AJ31" i="1"/>
  <c r="AE31" i="1"/>
  <c r="AF31" i="1" s="1"/>
  <c r="AD31" i="1"/>
  <c r="AB31" i="1"/>
  <c r="R31" i="1"/>
  <c r="W31" i="1" s="1"/>
  <c r="BA31" i="1" s="1"/>
  <c r="P31" i="1"/>
  <c r="V31" i="1" s="1"/>
  <c r="AZ31" i="1" s="1"/>
  <c r="N31" i="1"/>
  <c r="U31" i="1" s="1"/>
  <c r="AY31" i="1" s="1"/>
  <c r="M31" i="1"/>
  <c r="K31" i="1"/>
  <c r="J31" i="1"/>
  <c r="I31" i="1"/>
  <c r="G31" i="1"/>
  <c r="BJ30" i="1"/>
  <c r="BL30" i="1" s="1"/>
  <c r="BB30" i="1"/>
  <c r="AY30" i="1"/>
  <c r="AX30" i="1"/>
  <c r="AW30" i="1"/>
  <c r="AV30" i="1"/>
  <c r="AT30" i="1"/>
  <c r="AR30" i="1"/>
  <c r="AM30" i="1"/>
  <c r="AN30" i="1" s="1"/>
  <c r="AL30" i="1"/>
  <c r="AJ30" i="1"/>
  <c r="AF30" i="1"/>
  <c r="AE30" i="1"/>
  <c r="AD30" i="1"/>
  <c r="AB30" i="1"/>
  <c r="U30" i="1"/>
  <c r="P30" i="1"/>
  <c r="R30" i="1" s="1"/>
  <c r="O30" i="1"/>
  <c r="N30" i="1"/>
  <c r="M30" i="1"/>
  <c r="T30" i="1" s="1"/>
  <c r="J30" i="1"/>
  <c r="K30" i="1" s="1"/>
  <c r="I30" i="1"/>
  <c r="G30" i="1"/>
  <c r="BJ29" i="1"/>
  <c r="BL29" i="1" s="1"/>
  <c r="BB29" i="1"/>
  <c r="AX29" i="1"/>
  <c r="AW29" i="1"/>
  <c r="AV29" i="1"/>
  <c r="AT29" i="1"/>
  <c r="AR29" i="1"/>
  <c r="AN29" i="1"/>
  <c r="AM29" i="1"/>
  <c r="AL29" i="1"/>
  <c r="AJ29" i="1"/>
  <c r="AE29" i="1"/>
  <c r="AF29" i="1" s="1"/>
  <c r="AD29" i="1"/>
  <c r="AB29" i="1"/>
  <c r="T29" i="1"/>
  <c r="P29" i="1"/>
  <c r="Q29" i="1" s="1"/>
  <c r="N29" i="1"/>
  <c r="R29" i="1" s="1"/>
  <c r="S29" i="1" s="1"/>
  <c r="M29" i="1"/>
  <c r="J29" i="1"/>
  <c r="K29" i="1" s="1"/>
  <c r="I29" i="1"/>
  <c r="G29" i="1"/>
  <c r="BJ28" i="1"/>
  <c r="BL28" i="1" s="1"/>
  <c r="BB28" i="1"/>
  <c r="AW28" i="1"/>
  <c r="AV28" i="1"/>
  <c r="AT28" i="1"/>
  <c r="AR28" i="1"/>
  <c r="AN28" i="1"/>
  <c r="AM28" i="1"/>
  <c r="AL28" i="1"/>
  <c r="AJ28" i="1"/>
  <c r="AE28" i="1"/>
  <c r="AF28" i="1" s="1"/>
  <c r="AD28" i="1"/>
  <c r="AB28" i="1"/>
  <c r="V28" i="1"/>
  <c r="AZ28" i="1" s="1"/>
  <c r="U28" i="1"/>
  <c r="AY28" i="1" s="1"/>
  <c r="T28" i="1"/>
  <c r="P28" i="1"/>
  <c r="N28" i="1"/>
  <c r="R28" i="1" s="1"/>
  <c r="M28" i="1"/>
  <c r="J28" i="1"/>
  <c r="K28" i="1" s="1"/>
  <c r="I28" i="1"/>
  <c r="G28" i="1"/>
  <c r="BJ27" i="1"/>
  <c r="BL27" i="1" s="1"/>
  <c r="BB27" i="1"/>
  <c r="AZ27" i="1"/>
  <c r="AY27" i="1"/>
  <c r="AX27" i="1"/>
  <c r="AW27" i="1"/>
  <c r="AV27" i="1"/>
  <c r="AT27" i="1"/>
  <c r="AR27" i="1"/>
  <c r="AN27" i="1"/>
  <c r="AM27" i="1"/>
  <c r="AL27" i="1"/>
  <c r="AJ27" i="1"/>
  <c r="AE27" i="1"/>
  <c r="AF27" i="1" s="1"/>
  <c r="AD27" i="1"/>
  <c r="AB27" i="1"/>
  <c r="V27" i="1"/>
  <c r="U27" i="1"/>
  <c r="T27" i="1"/>
  <c r="P27" i="1"/>
  <c r="Q27" i="1" s="1"/>
  <c r="N27" i="1"/>
  <c r="M27" i="1"/>
  <c r="K27" i="1"/>
  <c r="J27" i="1"/>
  <c r="I27" i="1"/>
  <c r="G27" i="1"/>
  <c r="BL26" i="1"/>
  <c r="BJ26" i="1"/>
  <c r="BB26" i="1"/>
  <c r="AX26" i="1"/>
  <c r="AW26" i="1"/>
  <c r="AV26" i="1"/>
  <c r="AT26" i="1"/>
  <c r="AR26" i="1"/>
  <c r="AN26" i="1"/>
  <c r="AM26" i="1"/>
  <c r="AL26" i="1"/>
  <c r="AJ26" i="1"/>
  <c r="AE26" i="1"/>
  <c r="AF26" i="1" s="1"/>
  <c r="AD26" i="1"/>
  <c r="AB26" i="1"/>
  <c r="W26" i="1"/>
  <c r="BA26" i="1" s="1"/>
  <c r="R26" i="1"/>
  <c r="P26" i="1"/>
  <c r="N26" i="1"/>
  <c r="M26" i="1"/>
  <c r="T26" i="1" s="1"/>
  <c r="K26" i="1"/>
  <c r="J26" i="1"/>
  <c r="I26" i="1"/>
  <c r="G26" i="1"/>
  <c r="BL25" i="1"/>
  <c r="BJ25" i="1"/>
  <c r="BB25" i="1"/>
  <c r="AX25" i="1"/>
  <c r="AW25" i="1"/>
  <c r="AV25" i="1"/>
  <c r="AT25" i="1"/>
  <c r="AR25" i="1"/>
  <c r="AN25" i="1"/>
  <c r="AM25" i="1"/>
  <c r="AL25" i="1"/>
  <c r="AJ25" i="1"/>
  <c r="AF25" i="1"/>
  <c r="AE25" i="1"/>
  <c r="AD25" i="1"/>
  <c r="AB25" i="1"/>
  <c r="V25" i="1"/>
  <c r="AZ25" i="1" s="1"/>
  <c r="R25" i="1"/>
  <c r="W25" i="1" s="1"/>
  <c r="BA25" i="1" s="1"/>
  <c r="Q25" i="1"/>
  <c r="P25" i="1"/>
  <c r="N25" i="1"/>
  <c r="U25" i="1" s="1"/>
  <c r="AY25" i="1" s="1"/>
  <c r="M25" i="1"/>
  <c r="O25" i="1" s="1"/>
  <c r="K25" i="1"/>
  <c r="J25" i="1"/>
  <c r="I25" i="1"/>
  <c r="G25" i="1"/>
  <c r="BJ24" i="1"/>
  <c r="BL24" i="1" s="1"/>
  <c r="BB24" i="1"/>
  <c r="AX24" i="1"/>
  <c r="AW24" i="1"/>
  <c r="AV24" i="1"/>
  <c r="AT24" i="1"/>
  <c r="AR24" i="1"/>
  <c r="AN24" i="1"/>
  <c r="AM24" i="1"/>
  <c r="AL24" i="1"/>
  <c r="AJ24" i="1"/>
  <c r="AF24" i="1"/>
  <c r="AE24" i="1"/>
  <c r="AD24" i="1"/>
  <c r="AB24" i="1"/>
  <c r="V24" i="1"/>
  <c r="AZ24" i="1" s="1"/>
  <c r="U24" i="1"/>
  <c r="AY24" i="1" s="1"/>
  <c r="R24" i="1"/>
  <c r="S24" i="1" s="1"/>
  <c r="Q24" i="1"/>
  <c r="P24" i="1"/>
  <c r="O24" i="1"/>
  <c r="N24" i="1"/>
  <c r="M24" i="1"/>
  <c r="T24" i="1" s="1"/>
  <c r="J24" i="1"/>
  <c r="K24" i="1" s="1"/>
  <c r="I24" i="1"/>
  <c r="G24" i="1"/>
  <c r="BJ23" i="1"/>
  <c r="BL23" i="1" s="1"/>
  <c r="BB23" i="1"/>
  <c r="AW23" i="1"/>
  <c r="AV23" i="1"/>
  <c r="AT23" i="1"/>
  <c r="AR23" i="1"/>
  <c r="AM23" i="1"/>
  <c r="AN23" i="1" s="1"/>
  <c r="AL23" i="1"/>
  <c r="AJ23" i="1"/>
  <c r="AF23" i="1"/>
  <c r="AE23" i="1"/>
  <c r="AD23" i="1"/>
  <c r="AB23" i="1"/>
  <c r="V23" i="1"/>
  <c r="AZ23" i="1" s="1"/>
  <c r="U23" i="1"/>
  <c r="AY23" i="1" s="1"/>
  <c r="T23" i="1"/>
  <c r="P23" i="1"/>
  <c r="R23" i="1" s="1"/>
  <c r="O23" i="1"/>
  <c r="N23" i="1"/>
  <c r="M23" i="1"/>
  <c r="AX23" i="1" s="1"/>
  <c r="J23" i="1"/>
  <c r="K23" i="1" s="1"/>
  <c r="I23" i="1"/>
  <c r="G23" i="1"/>
  <c r="BJ22" i="1"/>
  <c r="BL22" i="1" s="1"/>
  <c r="BB22" i="1"/>
  <c r="AX22" i="1"/>
  <c r="AW22" i="1"/>
  <c r="AV22" i="1"/>
  <c r="AT22" i="1"/>
  <c r="AR22" i="1"/>
  <c r="AN22" i="1"/>
  <c r="AM22" i="1"/>
  <c r="AL22" i="1"/>
  <c r="AJ22" i="1"/>
  <c r="AE22" i="1"/>
  <c r="AF22" i="1" s="1"/>
  <c r="AD22" i="1"/>
  <c r="AB22" i="1"/>
  <c r="T22" i="1"/>
  <c r="P22" i="1"/>
  <c r="Q22" i="1" s="1"/>
  <c r="N22" i="1"/>
  <c r="M22" i="1"/>
  <c r="K22" i="1"/>
  <c r="J22" i="1"/>
  <c r="I22" i="1"/>
  <c r="G22" i="1"/>
  <c r="BL21" i="1"/>
  <c r="BJ21" i="1"/>
  <c r="BB21" i="1"/>
  <c r="AZ21" i="1"/>
  <c r="AW21" i="1"/>
  <c r="AV21" i="1"/>
  <c r="AT21" i="1"/>
  <c r="AR21" i="1"/>
  <c r="AN21" i="1"/>
  <c r="AM21" i="1"/>
  <c r="AL21" i="1"/>
  <c r="AJ21" i="1"/>
  <c r="AE21" i="1"/>
  <c r="AF21" i="1" s="1"/>
  <c r="AD21" i="1"/>
  <c r="AB21" i="1"/>
  <c r="U21" i="1"/>
  <c r="AY21" i="1" s="1"/>
  <c r="T21" i="1"/>
  <c r="P21" i="1"/>
  <c r="V21" i="1" s="1"/>
  <c r="N21" i="1"/>
  <c r="R21" i="1" s="1"/>
  <c r="S21" i="1" s="1"/>
  <c r="M21" i="1"/>
  <c r="AX21" i="1" s="1"/>
  <c r="J21" i="1"/>
  <c r="K21" i="1" s="1"/>
  <c r="I21" i="1"/>
  <c r="G21" i="1"/>
  <c r="BJ20" i="1"/>
  <c r="BL20" i="1" s="1"/>
  <c r="BB20" i="1"/>
  <c r="AZ20" i="1"/>
  <c r="AW20" i="1"/>
  <c r="AV20" i="1"/>
  <c r="AT20" i="1"/>
  <c r="AR20" i="1"/>
  <c r="AN20" i="1"/>
  <c r="AM20" i="1"/>
  <c r="AL20" i="1"/>
  <c r="AJ20" i="1"/>
  <c r="AE20" i="1"/>
  <c r="AF20" i="1" s="1"/>
  <c r="AD20" i="1"/>
  <c r="AB20" i="1"/>
  <c r="V20" i="1"/>
  <c r="R20" i="1"/>
  <c r="Q20" i="1"/>
  <c r="P20" i="1"/>
  <c r="N20" i="1"/>
  <c r="M20" i="1"/>
  <c r="T20" i="1" s="1"/>
  <c r="K20" i="1"/>
  <c r="J20" i="1"/>
  <c r="W20" i="1" s="1"/>
  <c r="BA20" i="1" s="1"/>
  <c r="I20" i="1"/>
  <c r="G20" i="1"/>
  <c r="BJ19" i="1"/>
  <c r="BL19" i="1" s="1"/>
  <c r="BB19" i="1"/>
  <c r="AX19" i="1"/>
  <c r="AW19" i="1"/>
  <c r="AV19" i="1"/>
  <c r="AT19" i="1"/>
  <c r="AR19" i="1"/>
  <c r="AN19" i="1"/>
  <c r="AM19" i="1"/>
  <c r="AL19" i="1"/>
  <c r="AJ19" i="1"/>
  <c r="AE19" i="1"/>
  <c r="AF19" i="1" s="1"/>
  <c r="AD19" i="1"/>
  <c r="AB19" i="1"/>
  <c r="P19" i="1"/>
  <c r="V19" i="1" s="1"/>
  <c r="AZ19" i="1" s="1"/>
  <c r="N19" i="1"/>
  <c r="M19" i="1"/>
  <c r="T19" i="1" s="1"/>
  <c r="J19" i="1"/>
  <c r="K19" i="1" s="1"/>
  <c r="I19" i="1"/>
  <c r="G19" i="1"/>
  <c r="BL18" i="1"/>
  <c r="BJ18" i="1"/>
  <c r="BB18" i="1"/>
  <c r="AY18" i="1"/>
  <c r="AX18" i="1"/>
  <c r="AW18" i="1"/>
  <c r="AV18" i="1"/>
  <c r="AT18" i="1"/>
  <c r="AR18" i="1"/>
  <c r="AN18" i="1"/>
  <c r="AM18" i="1"/>
  <c r="AL18" i="1"/>
  <c r="AJ18" i="1"/>
  <c r="AF18" i="1"/>
  <c r="AE18" i="1"/>
  <c r="AD18" i="1"/>
  <c r="AB18" i="1"/>
  <c r="U18" i="1"/>
  <c r="P18" i="1"/>
  <c r="R18" i="1" s="1"/>
  <c r="O18" i="1"/>
  <c r="N18" i="1"/>
  <c r="M18" i="1"/>
  <c r="J18" i="1"/>
  <c r="I18" i="1"/>
  <c r="G18" i="1"/>
  <c r="BJ17" i="1"/>
  <c r="BL17" i="1" s="1"/>
  <c r="BB17" i="1"/>
  <c r="AX17" i="1"/>
  <c r="AW17" i="1"/>
  <c r="AV17" i="1"/>
  <c r="AT17" i="1"/>
  <c r="AR17" i="1"/>
  <c r="AN17" i="1"/>
  <c r="AM17" i="1"/>
  <c r="AL17" i="1"/>
  <c r="AJ17" i="1"/>
  <c r="AE17" i="1"/>
  <c r="AF17" i="1" s="1"/>
  <c r="AD17" i="1"/>
  <c r="AB17" i="1"/>
  <c r="U17" i="1"/>
  <c r="AY17" i="1" s="1"/>
  <c r="T17" i="1"/>
  <c r="P17" i="1"/>
  <c r="V17" i="1" s="1"/>
  <c r="AZ17" i="1" s="1"/>
  <c r="N17" i="1"/>
  <c r="M17" i="1"/>
  <c r="J17" i="1"/>
  <c r="K17" i="1" s="1"/>
  <c r="I17" i="1"/>
  <c r="G17" i="1"/>
  <c r="BL16" i="1"/>
  <c r="BJ16" i="1"/>
  <c r="BB16" i="1"/>
  <c r="AW16" i="1"/>
  <c r="AV16" i="1"/>
  <c r="AT16" i="1"/>
  <c r="AR16" i="1"/>
  <c r="AN16" i="1"/>
  <c r="AM16" i="1"/>
  <c r="AL16" i="1"/>
  <c r="AJ16" i="1"/>
  <c r="AE16" i="1"/>
  <c r="AF16" i="1" s="1"/>
  <c r="AD16" i="1"/>
  <c r="AB16" i="1"/>
  <c r="U16" i="1"/>
  <c r="AY16" i="1" s="1"/>
  <c r="T16" i="1"/>
  <c r="P16" i="1"/>
  <c r="Q16" i="1" s="1"/>
  <c r="O16" i="1"/>
  <c r="N16" i="1"/>
  <c r="M16" i="1"/>
  <c r="J16" i="1"/>
  <c r="K16" i="1" s="1"/>
  <c r="I16" i="1"/>
  <c r="G16" i="1"/>
  <c r="BJ15" i="1"/>
  <c r="BL15" i="1" s="1"/>
  <c r="BB15" i="1"/>
  <c r="AZ15" i="1"/>
  <c r="AY15" i="1"/>
  <c r="AX15" i="1"/>
  <c r="AW15" i="1"/>
  <c r="AV15" i="1"/>
  <c r="AT15" i="1"/>
  <c r="AR15" i="1"/>
  <c r="AN15" i="1"/>
  <c r="AM15" i="1"/>
  <c r="AL15" i="1"/>
  <c r="AJ15" i="1"/>
  <c r="AE15" i="1"/>
  <c r="AF15" i="1" s="1"/>
  <c r="AD15" i="1"/>
  <c r="AB15" i="1"/>
  <c r="V15" i="1"/>
  <c r="U15" i="1"/>
  <c r="T15" i="1"/>
  <c r="S15" i="1"/>
  <c r="P15" i="1"/>
  <c r="N15" i="1"/>
  <c r="R15" i="1" s="1"/>
  <c r="M15" i="1"/>
  <c r="Q15" i="1" s="1"/>
  <c r="K15" i="1"/>
  <c r="J15" i="1"/>
  <c r="W15" i="1" s="1"/>
  <c r="BA15" i="1" s="1"/>
  <c r="I15" i="1"/>
  <c r="G15" i="1"/>
  <c r="BL14" i="1"/>
  <c r="BJ14" i="1"/>
  <c r="BB14" i="1"/>
  <c r="AW14" i="1"/>
  <c r="AV14" i="1"/>
  <c r="AT14" i="1"/>
  <c r="AS49" i="1" s="1"/>
  <c r="AS50" i="1" s="1"/>
  <c r="AR14" i="1"/>
  <c r="AR49" i="1" s="1"/>
  <c r="AR50" i="1" s="1"/>
  <c r="AN14" i="1"/>
  <c r="AM14" i="1"/>
  <c r="AL14" i="1"/>
  <c r="AJ14" i="1"/>
  <c r="AE14" i="1"/>
  <c r="AF14" i="1" s="1"/>
  <c r="AD14" i="1"/>
  <c r="AB14" i="1"/>
  <c r="R14" i="1"/>
  <c r="S14" i="1" s="1"/>
  <c r="P14" i="1"/>
  <c r="V14" i="1" s="1"/>
  <c r="AZ14" i="1" s="1"/>
  <c r="N14" i="1"/>
  <c r="M14" i="1"/>
  <c r="Q14" i="1" s="1"/>
  <c r="J14" i="1"/>
  <c r="W14" i="1" s="1"/>
  <c r="BA14" i="1" s="1"/>
  <c r="I14" i="1"/>
  <c r="G14" i="1"/>
  <c r="BJ13" i="1"/>
  <c r="BL13" i="1" s="1"/>
  <c r="BB13" i="1"/>
  <c r="AY13" i="1"/>
  <c r="AX13" i="1"/>
  <c r="AW13" i="1"/>
  <c r="AV13" i="1"/>
  <c r="AT13" i="1"/>
  <c r="AR13" i="1"/>
  <c r="AN13" i="1"/>
  <c r="AM13" i="1"/>
  <c r="AL13" i="1"/>
  <c r="AJ13" i="1"/>
  <c r="AF13" i="1"/>
  <c r="AE13" i="1"/>
  <c r="AD13" i="1"/>
  <c r="AB13" i="1"/>
  <c r="V13" i="1"/>
  <c r="AZ13" i="1" s="1"/>
  <c r="T13" i="1"/>
  <c r="R13" i="1"/>
  <c r="S13" i="1" s="1"/>
  <c r="P13" i="1"/>
  <c r="N13" i="1"/>
  <c r="U13" i="1" s="1"/>
  <c r="M13" i="1"/>
  <c r="O13" i="1" s="1"/>
  <c r="J13" i="1"/>
  <c r="K13" i="1" s="1"/>
  <c r="I13" i="1"/>
  <c r="G13" i="1"/>
  <c r="BJ12" i="1"/>
  <c r="BL12" i="1" s="1"/>
  <c r="BB12" i="1"/>
  <c r="AX12" i="1"/>
  <c r="AW12" i="1"/>
  <c r="AV12" i="1"/>
  <c r="AT12" i="1"/>
  <c r="AR12" i="1"/>
  <c r="AN12" i="1"/>
  <c r="AM12" i="1"/>
  <c r="AL12" i="1"/>
  <c r="AJ12" i="1"/>
  <c r="AE12" i="1"/>
  <c r="AF12" i="1" s="1"/>
  <c r="AD12" i="1"/>
  <c r="AB12" i="1"/>
  <c r="U12" i="1"/>
  <c r="AY12" i="1" s="1"/>
  <c r="P12" i="1"/>
  <c r="R12" i="1" s="1"/>
  <c r="S12" i="1" s="1"/>
  <c r="N12" i="1"/>
  <c r="O12" i="1" s="1"/>
  <c r="M12" i="1"/>
  <c r="T12" i="1" s="1"/>
  <c r="J12" i="1"/>
  <c r="W12" i="1" s="1"/>
  <c r="BA12" i="1" s="1"/>
  <c r="I12" i="1"/>
  <c r="G12" i="1"/>
  <c r="BJ11" i="1"/>
  <c r="BL11" i="1" s="1"/>
  <c r="BB11" i="1"/>
  <c r="AW11" i="1"/>
  <c r="AV11" i="1"/>
  <c r="AT11" i="1"/>
  <c r="AR11" i="1"/>
  <c r="AN11" i="1"/>
  <c r="AM11" i="1"/>
  <c r="AM36" i="1" s="1"/>
  <c r="AL11" i="1"/>
  <c r="AJ11" i="1"/>
  <c r="AF11" i="1"/>
  <c r="AE11" i="1"/>
  <c r="AD11" i="1"/>
  <c r="AB11" i="1"/>
  <c r="V11" i="1"/>
  <c r="AZ11" i="1" s="1"/>
  <c r="U11" i="1"/>
  <c r="AY11" i="1" s="1"/>
  <c r="T11" i="1"/>
  <c r="P11" i="1"/>
  <c r="R11" i="1" s="1"/>
  <c r="W11" i="1" s="1"/>
  <c r="BA11" i="1" s="1"/>
  <c r="O11" i="1"/>
  <c r="N11" i="1"/>
  <c r="M11" i="1"/>
  <c r="AX11" i="1" s="1"/>
  <c r="J11" i="1"/>
  <c r="K11" i="1" s="1"/>
  <c r="I11" i="1"/>
  <c r="G11" i="1"/>
  <c r="BJ10" i="1"/>
  <c r="BL10" i="1" s="1"/>
  <c r="BB10" i="1"/>
  <c r="AW10" i="1"/>
  <c r="AV10" i="1"/>
  <c r="AT10" i="1"/>
  <c r="AR10" i="1"/>
  <c r="AN10" i="1"/>
  <c r="AM10" i="1"/>
  <c r="AL10" i="1"/>
  <c r="AJ10" i="1"/>
  <c r="AE10" i="1"/>
  <c r="AF10" i="1" s="1"/>
  <c r="AD10" i="1"/>
  <c r="AB10" i="1"/>
  <c r="V10" i="1"/>
  <c r="AZ10" i="1" s="1"/>
  <c r="T10" i="1"/>
  <c r="P10" i="1"/>
  <c r="Q10" i="1" s="1"/>
  <c r="N10" i="1"/>
  <c r="R10" i="1" s="1"/>
  <c r="S10" i="1" s="1"/>
  <c r="M10" i="1"/>
  <c r="AX10" i="1" s="1"/>
  <c r="K10" i="1"/>
  <c r="J10" i="1"/>
  <c r="I10" i="1"/>
  <c r="G10" i="1"/>
  <c r="BL9" i="1"/>
  <c r="BJ9" i="1"/>
  <c r="BB9" i="1"/>
  <c r="AY9" i="1"/>
  <c r="AW9" i="1"/>
  <c r="AV9" i="1"/>
  <c r="AT9" i="1"/>
  <c r="AR9" i="1"/>
  <c r="AN9" i="1"/>
  <c r="AM9" i="1"/>
  <c r="AL9" i="1"/>
  <c r="AJ9" i="1"/>
  <c r="AE9" i="1"/>
  <c r="AF9" i="1" s="1"/>
  <c r="AD9" i="1"/>
  <c r="AB9" i="1"/>
  <c r="U9" i="1"/>
  <c r="T9" i="1"/>
  <c r="P9" i="1"/>
  <c r="N9" i="1"/>
  <c r="O9" i="1" s="1"/>
  <c r="M9" i="1"/>
  <c r="AX9" i="1" s="1"/>
  <c r="J9" i="1"/>
  <c r="K9" i="1" s="1"/>
  <c r="I9" i="1"/>
  <c r="G9" i="1"/>
  <c r="BJ8" i="1"/>
  <c r="BL8" i="1" s="1"/>
  <c r="BB8" i="1"/>
  <c r="AZ8" i="1"/>
  <c r="AW8" i="1"/>
  <c r="AV8" i="1"/>
  <c r="AT8" i="1"/>
  <c r="AR8" i="1"/>
  <c r="AN8" i="1"/>
  <c r="AM8" i="1"/>
  <c r="AL8" i="1"/>
  <c r="AJ8" i="1"/>
  <c r="AE8" i="1"/>
  <c r="AF8" i="1" s="1"/>
  <c r="AD8" i="1"/>
  <c r="AB8" i="1"/>
  <c r="V8" i="1"/>
  <c r="R8" i="1"/>
  <c r="Q8" i="1"/>
  <c r="P8" i="1"/>
  <c r="N8" i="1"/>
  <c r="U8" i="1" s="1"/>
  <c r="AY8" i="1" s="1"/>
  <c r="M8" i="1"/>
  <c r="AX8" i="1" s="1"/>
  <c r="K8" i="1"/>
  <c r="J8" i="1"/>
  <c r="I8" i="1"/>
  <c r="G8" i="1"/>
  <c r="BJ7" i="1"/>
  <c r="BL7" i="1" s="1"/>
  <c r="BB7" i="1"/>
  <c r="AZ7" i="1"/>
  <c r="AX7" i="1"/>
  <c r="AW7" i="1"/>
  <c r="AV7" i="1"/>
  <c r="AT7" i="1"/>
  <c r="AR7" i="1"/>
  <c r="AM7" i="1"/>
  <c r="AN7" i="1" s="1"/>
  <c r="AL7" i="1"/>
  <c r="AJ7" i="1"/>
  <c r="AE7" i="1"/>
  <c r="AF7" i="1" s="1"/>
  <c r="AD7" i="1"/>
  <c r="AB7" i="1"/>
  <c r="R7" i="1"/>
  <c r="S7" i="1" s="1"/>
  <c r="P7" i="1"/>
  <c r="V7" i="1" s="1"/>
  <c r="N7" i="1"/>
  <c r="M7" i="1"/>
  <c r="T7" i="1" s="1"/>
  <c r="J7" i="1"/>
  <c r="K7" i="1" s="1"/>
  <c r="I7" i="1"/>
  <c r="G7" i="1"/>
  <c r="BJ6" i="1"/>
  <c r="BL6" i="1" s="1"/>
  <c r="BB6" i="1"/>
  <c r="AY6" i="1"/>
  <c r="AW6" i="1"/>
  <c r="AV6" i="1"/>
  <c r="AT6" i="1"/>
  <c r="AR6" i="1"/>
  <c r="AN6" i="1"/>
  <c r="AM6" i="1"/>
  <c r="AL6" i="1"/>
  <c r="AJ6" i="1"/>
  <c r="AF6" i="1"/>
  <c r="AE6" i="1"/>
  <c r="AD6" i="1"/>
  <c r="AB6" i="1"/>
  <c r="V6" i="1"/>
  <c r="AZ6" i="1" s="1"/>
  <c r="U6" i="1"/>
  <c r="R6" i="1"/>
  <c r="W6" i="1" s="1"/>
  <c r="BA6" i="1" s="1"/>
  <c r="Q6" i="1"/>
  <c r="P6" i="1"/>
  <c r="N6" i="1"/>
  <c r="M6" i="1"/>
  <c r="K6" i="1"/>
  <c r="J6" i="1"/>
  <c r="I6" i="1"/>
  <c r="J50" i="1" s="1"/>
  <c r="G6" i="1"/>
  <c r="BJ5" i="1"/>
  <c r="BB5" i="1"/>
  <c r="AZ5" i="1"/>
  <c r="AX5" i="1"/>
  <c r="AV5" i="1"/>
  <c r="AT5" i="1"/>
  <c r="AR5" i="1"/>
  <c r="AN5" i="1"/>
  <c r="AM5" i="1"/>
  <c r="AL5" i="1"/>
  <c r="AJ5" i="1"/>
  <c r="AE5" i="1"/>
  <c r="AF5" i="1" s="1"/>
  <c r="AD5" i="1"/>
  <c r="AB5" i="1"/>
  <c r="V5" i="1"/>
  <c r="U5" i="1"/>
  <c r="T5" i="1"/>
  <c r="P5" i="1"/>
  <c r="P36" i="1" s="1"/>
  <c r="N5" i="1"/>
  <c r="M5" i="1"/>
  <c r="J5" i="1"/>
  <c r="K5" i="1" s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W36" i="3" l="1"/>
  <c r="AV37" i="3"/>
  <c r="BL36" i="3"/>
  <c r="W23" i="3"/>
  <c r="BA23" i="3" s="1"/>
  <c r="U34" i="3"/>
  <c r="AY34" i="3" s="1"/>
  <c r="R34" i="3"/>
  <c r="W34" i="3" s="1"/>
  <c r="BA34" i="3" s="1"/>
  <c r="O34" i="3"/>
  <c r="K18" i="3"/>
  <c r="W18" i="3"/>
  <c r="BA18" i="3" s="1"/>
  <c r="BA32" i="3"/>
  <c r="BJ36" i="3"/>
  <c r="BJ37" i="3" s="1"/>
  <c r="M36" i="3"/>
  <c r="N38" i="3" s="1"/>
  <c r="Q10" i="3"/>
  <c r="O13" i="3"/>
  <c r="Q15" i="3"/>
  <c r="T21" i="3"/>
  <c r="U22" i="3"/>
  <c r="AY22" i="3" s="1"/>
  <c r="R22" i="3"/>
  <c r="W22" i="3" s="1"/>
  <c r="BA22" i="3" s="1"/>
  <c r="O22" i="3"/>
  <c r="AX24" i="3"/>
  <c r="T24" i="3"/>
  <c r="I36" i="3"/>
  <c r="K37" i="3"/>
  <c r="O5" i="3"/>
  <c r="AM36" i="3"/>
  <c r="U7" i="3"/>
  <c r="AY7" i="3" s="1"/>
  <c r="AY36" i="3" s="1"/>
  <c r="AY37" i="3" s="1"/>
  <c r="R10" i="3"/>
  <c r="W10" i="3" s="1"/>
  <c r="BA10" i="3" s="1"/>
  <c r="R15" i="3"/>
  <c r="S15" i="3" s="1"/>
  <c r="U24" i="3"/>
  <c r="AY24" i="3" s="1"/>
  <c r="R24" i="3"/>
  <c r="S24" i="3" s="1"/>
  <c r="U25" i="3"/>
  <c r="AY25" i="3" s="1"/>
  <c r="R25" i="3"/>
  <c r="S25" i="3" s="1"/>
  <c r="BH71" i="3"/>
  <c r="Q12" i="3"/>
  <c r="Q5" i="3"/>
  <c r="T8" i="3"/>
  <c r="S8" i="3"/>
  <c r="Q21" i="3"/>
  <c r="O24" i="3"/>
  <c r="BI71" i="3"/>
  <c r="Q9" i="3"/>
  <c r="O11" i="3"/>
  <c r="R13" i="3"/>
  <c r="S13" i="3" s="1"/>
  <c r="AX21" i="3"/>
  <c r="V24" i="3"/>
  <c r="AZ24" i="3" s="1"/>
  <c r="Q24" i="3"/>
  <c r="BE42" i="3"/>
  <c r="BE46" i="3" s="1"/>
  <c r="V11" i="3"/>
  <c r="AZ11" i="3" s="1"/>
  <c r="Q11" i="3"/>
  <c r="Q25" i="3"/>
  <c r="AE36" i="3"/>
  <c r="K20" i="3"/>
  <c r="T5" i="3"/>
  <c r="R6" i="3"/>
  <c r="W6" i="3" s="1"/>
  <c r="BA6" i="3" s="1"/>
  <c r="O6" i="3"/>
  <c r="Q8" i="3"/>
  <c r="R11" i="3"/>
  <c r="W11" i="3" s="1"/>
  <c r="BA11" i="3" s="1"/>
  <c r="W19" i="3"/>
  <c r="BA19" i="3" s="1"/>
  <c r="Q26" i="3"/>
  <c r="W28" i="3"/>
  <c r="BA28" i="3" s="1"/>
  <c r="BA31" i="3"/>
  <c r="U35" i="3"/>
  <c r="AY35" i="3" s="1"/>
  <c r="R35" i="3"/>
  <c r="S35" i="3" s="1"/>
  <c r="T22" i="3"/>
  <c r="Q22" i="3"/>
  <c r="T9" i="3"/>
  <c r="S9" i="3"/>
  <c r="S11" i="3"/>
  <c r="W15" i="3"/>
  <c r="BA15" i="3" s="1"/>
  <c r="R26" i="3"/>
  <c r="S26" i="3" s="1"/>
  <c r="Q27" i="3"/>
  <c r="T33" i="3"/>
  <c r="Q33" i="3"/>
  <c r="X53" i="3"/>
  <c r="Y58" i="3"/>
  <c r="T10" i="3"/>
  <c r="T35" i="3"/>
  <c r="BB36" i="3"/>
  <c r="O7" i="3"/>
  <c r="O10" i="3"/>
  <c r="T23" i="3"/>
  <c r="U23" i="3"/>
  <c r="AY23" i="3" s="1"/>
  <c r="R23" i="3"/>
  <c r="S23" i="3" s="1"/>
  <c r="S5" i="3"/>
  <c r="Q6" i="3"/>
  <c r="AX6" i="3"/>
  <c r="O8" i="3"/>
  <c r="AZ36" i="3"/>
  <c r="AZ37" i="3" s="1"/>
  <c r="AX5" i="3"/>
  <c r="AX36" i="3" s="1"/>
  <c r="S6" i="3"/>
  <c r="V8" i="3"/>
  <c r="AZ8" i="3" s="1"/>
  <c r="U9" i="3"/>
  <c r="AY9" i="3" s="1"/>
  <c r="R9" i="3"/>
  <c r="W9" i="3" s="1"/>
  <c r="BA9" i="3" s="1"/>
  <c r="O9" i="3"/>
  <c r="AX11" i="3"/>
  <c r="U12" i="3"/>
  <c r="AY12" i="3" s="1"/>
  <c r="R12" i="3"/>
  <c r="S12" i="3" s="1"/>
  <c r="W17" i="3"/>
  <c r="BA17" i="3" s="1"/>
  <c r="R27" i="3"/>
  <c r="S27" i="3" s="1"/>
  <c r="S34" i="3"/>
  <c r="T34" i="3"/>
  <c r="Q34" i="3"/>
  <c r="AF46" i="3"/>
  <c r="AN46" i="3" s="1"/>
  <c r="AW46" i="3" s="1"/>
  <c r="S46" i="3"/>
  <c r="X46" i="3" s="1"/>
  <c r="BJ52" i="3"/>
  <c r="W30" i="3"/>
  <c r="BA30" i="3" s="1"/>
  <c r="AX18" i="3"/>
  <c r="O21" i="3"/>
  <c r="Q23" i="3"/>
  <c r="AX30" i="3"/>
  <c r="O33" i="3"/>
  <c r="Q35" i="3"/>
  <c r="O20" i="3"/>
  <c r="O32" i="3"/>
  <c r="N36" i="3"/>
  <c r="X56" i="3"/>
  <c r="O19" i="3"/>
  <c r="AA37" i="3"/>
  <c r="AB37" i="3" s="1"/>
  <c r="W14" i="3"/>
  <c r="BA14" i="3" s="1"/>
  <c r="O18" i="3"/>
  <c r="O30" i="3"/>
  <c r="R33" i="3"/>
  <c r="W33" i="3" s="1"/>
  <c r="BA33" i="3" s="1"/>
  <c r="P36" i="3"/>
  <c r="BJ50" i="3"/>
  <c r="BJ71" i="3" s="1"/>
  <c r="BF46" i="3" s="1"/>
  <c r="BG46" i="3" s="1"/>
  <c r="AF5" i="3"/>
  <c r="W13" i="3"/>
  <c r="BA13" i="3" s="1"/>
  <c r="W25" i="3"/>
  <c r="BA25" i="3" s="1"/>
  <c r="K26" i="3"/>
  <c r="AC37" i="3"/>
  <c r="AD37" i="3" s="1"/>
  <c r="S20" i="3"/>
  <c r="S32" i="3"/>
  <c r="R21" i="3"/>
  <c r="W21" i="3" s="1"/>
  <c r="BA21" i="3" s="1"/>
  <c r="AY5" i="2"/>
  <c r="BB36" i="2"/>
  <c r="AT37" i="2"/>
  <c r="BE42" i="2"/>
  <c r="BE46" i="2" s="1"/>
  <c r="T12" i="2"/>
  <c r="S12" i="2"/>
  <c r="O14" i="2"/>
  <c r="R14" i="2"/>
  <c r="W14" i="2" s="1"/>
  <c r="BA14" i="2" s="1"/>
  <c r="BA20" i="2"/>
  <c r="K23" i="2"/>
  <c r="W23" i="2"/>
  <c r="BA23" i="2" s="1"/>
  <c r="U12" i="2"/>
  <c r="AY12" i="2" s="1"/>
  <c r="O12" i="2"/>
  <c r="R12" i="2"/>
  <c r="O13" i="2"/>
  <c r="AS49" i="2"/>
  <c r="AS50" i="2" s="1"/>
  <c r="Q33" i="2"/>
  <c r="V33" i="2"/>
  <c r="AZ33" i="2" s="1"/>
  <c r="T10" i="2"/>
  <c r="S10" i="2"/>
  <c r="AX10" i="2"/>
  <c r="Q16" i="2"/>
  <c r="R16" i="2"/>
  <c r="W24" i="2"/>
  <c r="BA24" i="2" s="1"/>
  <c r="U26" i="2"/>
  <c r="AY26" i="2" s="1"/>
  <c r="O26" i="2"/>
  <c r="AZ6" i="2"/>
  <c r="U7" i="2"/>
  <c r="AY7" i="2" s="1"/>
  <c r="T18" i="2"/>
  <c r="S18" i="2"/>
  <c r="W19" i="2"/>
  <c r="BA19" i="2" s="1"/>
  <c r="S19" i="2"/>
  <c r="U22" i="2"/>
  <c r="AY22" i="2" s="1"/>
  <c r="O22" i="2"/>
  <c r="R22" i="2"/>
  <c r="V28" i="2"/>
  <c r="AZ28" i="2" s="1"/>
  <c r="K32" i="2"/>
  <c r="W32" i="2"/>
  <c r="BA32" i="2" s="1"/>
  <c r="W34" i="2"/>
  <c r="BA34" i="2" s="1"/>
  <c r="I36" i="2"/>
  <c r="X59" i="2"/>
  <c r="X58" i="2"/>
  <c r="AV36" i="2"/>
  <c r="BA15" i="2"/>
  <c r="BJ36" i="2"/>
  <c r="BJ37" i="2" s="1"/>
  <c r="BA8" i="2"/>
  <c r="K11" i="2"/>
  <c r="W11" i="2"/>
  <c r="BA11" i="2" s="1"/>
  <c r="O19" i="2"/>
  <c r="T21" i="2"/>
  <c r="S21" i="2"/>
  <c r="AX21" i="2"/>
  <c r="O21" i="2"/>
  <c r="Q22" i="2"/>
  <c r="AF46" i="2"/>
  <c r="AN46" i="2" s="1"/>
  <c r="AW46" i="2" s="1"/>
  <c r="S46" i="2"/>
  <c r="T6" i="2"/>
  <c r="S6" i="2"/>
  <c r="W7" i="2"/>
  <c r="BA7" i="2" s="1"/>
  <c r="S7" i="2"/>
  <c r="U10" i="2"/>
  <c r="AY10" i="2" s="1"/>
  <c r="O10" i="2"/>
  <c r="R10" i="2"/>
  <c r="W10" i="2" s="1"/>
  <c r="W28" i="2"/>
  <c r="BA28" i="2" s="1"/>
  <c r="S28" i="2"/>
  <c r="W35" i="2"/>
  <c r="BA35" i="2" s="1"/>
  <c r="O7" i="2"/>
  <c r="T9" i="2"/>
  <c r="S9" i="2"/>
  <c r="AX9" i="2"/>
  <c r="O9" i="2"/>
  <c r="Q28" i="2"/>
  <c r="W22" i="2"/>
  <c r="BA22" i="2" s="1"/>
  <c r="Q9" i="2"/>
  <c r="T22" i="2"/>
  <c r="S22" i="2"/>
  <c r="AX22" i="2"/>
  <c r="V24" i="2"/>
  <c r="AZ24" i="2" s="1"/>
  <c r="AZ36" i="2" s="1"/>
  <c r="AZ37" i="2" s="1"/>
  <c r="Q24" i="2"/>
  <c r="BA21" i="2"/>
  <c r="T34" i="2"/>
  <c r="AX34" i="2"/>
  <c r="N36" i="2"/>
  <c r="AM36" i="2"/>
  <c r="T33" i="2"/>
  <c r="S33" i="2"/>
  <c r="AB36" i="2"/>
  <c r="W12" i="2"/>
  <c r="BA12" i="2" s="1"/>
  <c r="Q13" i="2"/>
  <c r="Q31" i="2"/>
  <c r="AX31" i="2"/>
  <c r="R33" i="2"/>
  <c r="W33" i="2" s="1"/>
  <c r="BA33" i="2" s="1"/>
  <c r="AD37" i="2"/>
  <c r="AA37" i="2"/>
  <c r="AB37" i="2" s="1"/>
  <c r="BH71" i="2"/>
  <c r="BJ50" i="2"/>
  <c r="W6" i="2"/>
  <c r="BA6" i="2" s="1"/>
  <c r="K10" i="2"/>
  <c r="W18" i="2"/>
  <c r="BA18" i="2" s="1"/>
  <c r="K22" i="2"/>
  <c r="O24" i="2"/>
  <c r="Q26" i="2"/>
  <c r="R31" i="2"/>
  <c r="S31" i="2" s="1"/>
  <c r="O31" i="2"/>
  <c r="O33" i="2"/>
  <c r="BI71" i="2"/>
  <c r="BJ62" i="2"/>
  <c r="Q6" i="2"/>
  <c r="O8" i="2"/>
  <c r="O20" i="2"/>
  <c r="Q27" i="2"/>
  <c r="Q8" i="2"/>
  <c r="P36" i="2"/>
  <c r="W30" i="2"/>
  <c r="BA30" i="2" s="1"/>
  <c r="AX33" i="2"/>
  <c r="Q34" i="2"/>
  <c r="O35" i="2"/>
  <c r="J49" i="2"/>
  <c r="Q18" i="2"/>
  <c r="AX24" i="2"/>
  <c r="O5" i="2"/>
  <c r="M36" i="2"/>
  <c r="N38" i="2" s="1"/>
  <c r="AE36" i="2"/>
  <c r="V10" i="2"/>
  <c r="AZ10" i="2" s="1"/>
  <c r="O11" i="2"/>
  <c r="V22" i="2"/>
  <c r="AZ22" i="2" s="1"/>
  <c r="O23" i="2"/>
  <c r="W26" i="2"/>
  <c r="BA26" i="2" s="1"/>
  <c r="W31" i="2"/>
  <c r="BA31" i="2" s="1"/>
  <c r="O32" i="2"/>
  <c r="V35" i="2"/>
  <c r="AZ35" i="2" s="1"/>
  <c r="Q35" i="2"/>
  <c r="O6" i="2"/>
  <c r="O18" i="2"/>
  <c r="U34" i="2"/>
  <c r="AY34" i="2" s="1"/>
  <c r="R34" i="2"/>
  <c r="S34" i="2" s="1"/>
  <c r="O34" i="2"/>
  <c r="V12" i="2"/>
  <c r="AZ12" i="2" s="1"/>
  <c r="Q12" i="2"/>
  <c r="T23" i="2"/>
  <c r="S23" i="2"/>
  <c r="U25" i="2"/>
  <c r="AY25" i="2" s="1"/>
  <c r="R25" i="2"/>
  <c r="S25" i="2" s="1"/>
  <c r="Q7" i="2"/>
  <c r="AX7" i="2"/>
  <c r="AX36" i="2" s="1"/>
  <c r="U8" i="2"/>
  <c r="AY8" i="2" s="1"/>
  <c r="Q19" i="2"/>
  <c r="AX19" i="2"/>
  <c r="U20" i="2"/>
  <c r="AY20" i="2" s="1"/>
  <c r="Q25" i="2"/>
  <c r="R35" i="2"/>
  <c r="S35" i="2" s="1"/>
  <c r="BJ65" i="2"/>
  <c r="T15" i="2"/>
  <c r="W27" i="2"/>
  <c r="BA27" i="2" s="1"/>
  <c r="W13" i="2"/>
  <c r="BA13" i="2" s="1"/>
  <c r="BE42" i="1"/>
  <c r="BE46" i="1" s="1"/>
  <c r="AT37" i="1"/>
  <c r="W18" i="1"/>
  <c r="BA18" i="1" s="1"/>
  <c r="AN36" i="1"/>
  <c r="AM37" i="1"/>
  <c r="P37" i="1"/>
  <c r="Q37" i="1" s="1"/>
  <c r="Q36" i="1"/>
  <c r="V9" i="1"/>
  <c r="AZ9" i="1" s="1"/>
  <c r="AZ36" i="1" s="1"/>
  <c r="AZ37" i="1" s="1"/>
  <c r="Q9" i="1"/>
  <c r="W22" i="1"/>
  <c r="BA22" i="1" s="1"/>
  <c r="AY5" i="1"/>
  <c r="T6" i="1"/>
  <c r="S6" i="1"/>
  <c r="R9" i="1"/>
  <c r="S9" i="1" s="1"/>
  <c r="Q11" i="1"/>
  <c r="Q17" i="1"/>
  <c r="Q19" i="1"/>
  <c r="S28" i="1"/>
  <c r="AX28" i="1"/>
  <c r="Q30" i="1"/>
  <c r="T31" i="1"/>
  <c r="S31" i="1"/>
  <c r="BA32" i="1"/>
  <c r="AF46" i="1"/>
  <c r="AN46" i="1" s="1"/>
  <c r="AW46" i="1" s="1"/>
  <c r="S46" i="1"/>
  <c r="BH71" i="1"/>
  <c r="BJ50" i="1"/>
  <c r="BJ71" i="1" s="1"/>
  <c r="BF46" i="1" s="1"/>
  <c r="BG46" i="1" s="1"/>
  <c r="AV36" i="1"/>
  <c r="W7" i="1"/>
  <c r="BA7" i="1" s="1"/>
  <c r="W10" i="1"/>
  <c r="BA10" i="1" s="1"/>
  <c r="K12" i="1"/>
  <c r="K14" i="1"/>
  <c r="K18" i="1"/>
  <c r="R19" i="1"/>
  <c r="S19" i="1" s="1"/>
  <c r="O34" i="1"/>
  <c r="BI71" i="1"/>
  <c r="W5" i="1"/>
  <c r="AW5" i="1"/>
  <c r="O6" i="1"/>
  <c r="O8" i="1"/>
  <c r="AX16" i="1"/>
  <c r="T18" i="1"/>
  <c r="S18" i="1"/>
  <c r="U20" i="1"/>
  <c r="AY20" i="1" s="1"/>
  <c r="O20" i="1"/>
  <c r="R22" i="1"/>
  <c r="S22" i="1" s="1"/>
  <c r="O28" i="1"/>
  <c r="V30" i="1"/>
  <c r="AZ30" i="1" s="1"/>
  <c r="V34" i="1"/>
  <c r="AZ34" i="1" s="1"/>
  <c r="Q34" i="1"/>
  <c r="J49" i="1"/>
  <c r="W13" i="1"/>
  <c r="BA13" i="1" s="1"/>
  <c r="O14" i="1"/>
  <c r="R16" i="1"/>
  <c r="W16" i="1" s="1"/>
  <c r="BA16" i="1" s="1"/>
  <c r="O22" i="1"/>
  <c r="W24" i="1"/>
  <c r="BA24" i="1" s="1"/>
  <c r="Q28" i="1"/>
  <c r="W30" i="1"/>
  <c r="BA30" i="1" s="1"/>
  <c r="Q31" i="1"/>
  <c r="U32" i="1"/>
  <c r="AY32" i="1" s="1"/>
  <c r="O32" i="1"/>
  <c r="O10" i="1"/>
  <c r="Q12" i="1"/>
  <c r="S25" i="1"/>
  <c r="O29" i="1"/>
  <c r="G36" i="1"/>
  <c r="S8" i="1"/>
  <c r="R5" i="1"/>
  <c r="S5" i="1" s="1"/>
  <c r="N36" i="1"/>
  <c r="BJ36" i="1"/>
  <c r="BJ37" i="1" s="1"/>
  <c r="BL5" i="1"/>
  <c r="BL36" i="1" s="1"/>
  <c r="T8" i="1"/>
  <c r="T36" i="1" s="1"/>
  <c r="O5" i="1"/>
  <c r="U7" i="1"/>
  <c r="AY7" i="1" s="1"/>
  <c r="O7" i="1"/>
  <c r="U14" i="1"/>
  <c r="AY14" i="1" s="1"/>
  <c r="V16" i="1"/>
  <c r="AZ16" i="1" s="1"/>
  <c r="AX20" i="1"/>
  <c r="O21" i="1"/>
  <c r="V22" i="1"/>
  <c r="AZ22" i="1" s="1"/>
  <c r="U29" i="1"/>
  <c r="AY29" i="1" s="1"/>
  <c r="AX32" i="1"/>
  <c r="O33" i="1"/>
  <c r="I37" i="1"/>
  <c r="X53" i="1"/>
  <c r="AE36" i="1"/>
  <c r="X59" i="1"/>
  <c r="X58" i="1"/>
  <c r="BB36" i="1"/>
  <c r="Q18" i="1"/>
  <c r="S20" i="1"/>
  <c r="O26" i="1"/>
  <c r="F37" i="1"/>
  <c r="G37" i="1" s="1"/>
  <c r="AX6" i="1"/>
  <c r="V12" i="1"/>
  <c r="AZ12" i="1" s="1"/>
  <c r="AX14" i="1"/>
  <c r="AX36" i="1" s="1"/>
  <c r="BC38" i="1" s="1"/>
  <c r="R17" i="1"/>
  <c r="V18" i="1"/>
  <c r="AZ18" i="1" s="1"/>
  <c r="S26" i="1"/>
  <c r="V29" i="1"/>
  <c r="AZ29" i="1" s="1"/>
  <c r="M36" i="1"/>
  <c r="N38" i="1" s="1"/>
  <c r="I36" i="1"/>
  <c r="F38" i="1"/>
  <c r="T14" i="1"/>
  <c r="U22" i="1"/>
  <c r="AY22" i="1" s="1"/>
  <c r="Q26" i="1"/>
  <c r="S32" i="1"/>
  <c r="Q35" i="1"/>
  <c r="Q5" i="1"/>
  <c r="Q7" i="1"/>
  <c r="W8" i="1"/>
  <c r="BA8" i="1" s="1"/>
  <c r="U10" i="1"/>
  <c r="AY10" i="1" s="1"/>
  <c r="Q13" i="1"/>
  <c r="O15" i="1"/>
  <c r="O17" i="1"/>
  <c r="U19" i="1"/>
  <c r="AY19" i="1" s="1"/>
  <c r="O19" i="1"/>
  <c r="Q23" i="1"/>
  <c r="R27" i="1"/>
  <c r="S27" i="1" s="1"/>
  <c r="O27" i="1"/>
  <c r="W29" i="1"/>
  <c r="BA29" i="1" s="1"/>
  <c r="R33" i="1"/>
  <c r="S33" i="1" s="1"/>
  <c r="V35" i="1"/>
  <c r="AZ35" i="1" s="1"/>
  <c r="T25" i="1"/>
  <c r="U26" i="1"/>
  <c r="AY26" i="1" s="1"/>
  <c r="W28" i="1"/>
  <c r="BA28" i="1" s="1"/>
  <c r="S11" i="1"/>
  <c r="Q21" i="1"/>
  <c r="S23" i="1"/>
  <c r="V26" i="1"/>
  <c r="AZ26" i="1" s="1"/>
  <c r="O31" i="1"/>
  <c r="Q33" i="1"/>
  <c r="W23" i="1"/>
  <c r="BA23" i="1" s="1"/>
  <c r="W35" i="1"/>
  <c r="BA35" i="1" s="1"/>
  <c r="S30" i="1"/>
  <c r="W34" i="1"/>
  <c r="BA34" i="1" s="1"/>
  <c r="W21" i="1"/>
  <c r="BA21" i="1" s="1"/>
  <c r="AE37" i="3" l="1"/>
  <c r="AF36" i="3"/>
  <c r="R36" i="3"/>
  <c r="BB37" i="3"/>
  <c r="J36" i="3"/>
  <c r="S21" i="3"/>
  <c r="BC38" i="3"/>
  <c r="S10" i="3"/>
  <c r="BH46" i="3"/>
  <c r="V36" i="3"/>
  <c r="V37" i="3" s="1"/>
  <c r="W35" i="3"/>
  <c r="BA35" i="3" s="1"/>
  <c r="S22" i="3"/>
  <c r="AV46" i="3"/>
  <c r="AV47" i="3" s="1"/>
  <c r="AW38" i="3"/>
  <c r="AW47" i="3"/>
  <c r="AW37" i="3"/>
  <c r="W12" i="3"/>
  <c r="BA12" i="3" s="1"/>
  <c r="BA36" i="3" s="1"/>
  <c r="X59" i="3"/>
  <c r="X58" i="3"/>
  <c r="AN36" i="3"/>
  <c r="AM37" i="3"/>
  <c r="N37" i="3"/>
  <c r="O37" i="3" s="1"/>
  <c r="O36" i="3"/>
  <c r="T36" i="3"/>
  <c r="W26" i="3"/>
  <c r="BA26" i="3" s="1"/>
  <c r="Q36" i="3"/>
  <c r="P37" i="3"/>
  <c r="Q37" i="3" s="1"/>
  <c r="W24" i="3"/>
  <c r="BA24" i="3" s="1"/>
  <c r="W27" i="3"/>
  <c r="BA27" i="3" s="1"/>
  <c r="S33" i="3"/>
  <c r="U36" i="3"/>
  <c r="U37" i="3" s="1"/>
  <c r="BA10" i="2"/>
  <c r="BC38" i="2"/>
  <c r="S14" i="2"/>
  <c r="R36" i="2"/>
  <c r="BB37" i="2"/>
  <c r="J36" i="2"/>
  <c r="V36" i="2"/>
  <c r="V37" i="2" s="1"/>
  <c r="AM37" i="2"/>
  <c r="AN36" i="2"/>
  <c r="S16" i="2"/>
  <c r="W16" i="2"/>
  <c r="BA16" i="2" s="1"/>
  <c r="AY36" i="2"/>
  <c r="AY37" i="2" s="1"/>
  <c r="AV37" i="2"/>
  <c r="AW36" i="2"/>
  <c r="BJ71" i="2"/>
  <c r="BF46" i="2" s="1"/>
  <c r="BG46" i="2" s="1"/>
  <c r="N37" i="2"/>
  <c r="O37" i="2" s="1"/>
  <c r="O36" i="2"/>
  <c r="U36" i="2"/>
  <c r="U37" i="2" s="1"/>
  <c r="W25" i="2"/>
  <c r="BA25" i="2" s="1"/>
  <c r="AE37" i="2"/>
  <c r="AF36" i="2"/>
  <c r="Q36" i="2"/>
  <c r="P37" i="2"/>
  <c r="Q37" i="2" s="1"/>
  <c r="T36" i="2"/>
  <c r="S17" i="1"/>
  <c r="W17" i="1"/>
  <c r="BA17" i="1" s="1"/>
  <c r="AE37" i="1"/>
  <c r="AF36" i="1"/>
  <c r="S16" i="1"/>
  <c r="AW36" i="1"/>
  <c r="AV37" i="1"/>
  <c r="AY39" i="1"/>
  <c r="AY40" i="1" s="1"/>
  <c r="J36" i="1"/>
  <c r="BB37" i="1"/>
  <c r="R36" i="1"/>
  <c r="W27" i="1"/>
  <c r="BA27" i="1" s="1"/>
  <c r="AM46" i="1"/>
  <c r="AM47" i="1" s="1"/>
  <c r="AN47" i="1"/>
  <c r="AN37" i="1"/>
  <c r="AN38" i="1"/>
  <c r="V36" i="1"/>
  <c r="V37" i="1" s="1"/>
  <c r="K37" i="1"/>
  <c r="O36" i="1"/>
  <c r="N37" i="1"/>
  <c r="O37" i="1" s="1"/>
  <c r="W9" i="1"/>
  <c r="BA9" i="1" s="1"/>
  <c r="AY36" i="1"/>
  <c r="AY37" i="1" s="1"/>
  <c r="W33" i="1"/>
  <c r="BA33" i="1" s="1"/>
  <c r="BA5" i="1"/>
  <c r="W19" i="1"/>
  <c r="BA19" i="1" s="1"/>
  <c r="U36" i="1"/>
  <c r="U37" i="1" s="1"/>
  <c r="BH46" i="1"/>
  <c r="BA39" i="3" l="1"/>
  <c r="BB39" i="3" s="1"/>
  <c r="BA37" i="3"/>
  <c r="W36" i="3"/>
  <c r="W37" i="3" s="1"/>
  <c r="J37" i="3"/>
  <c r="K36" i="3"/>
  <c r="BC45" i="3"/>
  <c r="BB45" i="3"/>
  <c r="S36" i="3"/>
  <c r="R37" i="3"/>
  <c r="AM46" i="3"/>
  <c r="AM47" i="3" s="1"/>
  <c r="AN37" i="3"/>
  <c r="AN38" i="3"/>
  <c r="AN47" i="3"/>
  <c r="AE46" i="3"/>
  <c r="AE47" i="3" s="1"/>
  <c r="AF38" i="3"/>
  <c r="AF37" i="3"/>
  <c r="AF47" i="3"/>
  <c r="AM46" i="2"/>
  <c r="AM47" i="2" s="1"/>
  <c r="AN38" i="2"/>
  <c r="AN37" i="2"/>
  <c r="AN47" i="2"/>
  <c r="J37" i="2"/>
  <c r="K36" i="2"/>
  <c r="BC45" i="2"/>
  <c r="BB45" i="2"/>
  <c r="S36" i="2"/>
  <c r="R37" i="2"/>
  <c r="BH46" i="2"/>
  <c r="AF38" i="2"/>
  <c r="AE46" i="2"/>
  <c r="AE47" i="2" s="1"/>
  <c r="AF37" i="2"/>
  <c r="AF47" i="2"/>
  <c r="AV46" i="2"/>
  <c r="AV47" i="2" s="1"/>
  <c r="AW37" i="2"/>
  <c r="AW47" i="2"/>
  <c r="AW38" i="2"/>
  <c r="W36" i="2"/>
  <c r="W37" i="2" s="1"/>
  <c r="BA36" i="2"/>
  <c r="R37" i="1"/>
  <c r="S36" i="1"/>
  <c r="BC45" i="1"/>
  <c r="BB45" i="1"/>
  <c r="K36" i="1"/>
  <c r="J37" i="1"/>
  <c r="BA36" i="1"/>
  <c r="AF37" i="1"/>
  <c r="AF38" i="1"/>
  <c r="AE46" i="1"/>
  <c r="AE47" i="1" s="1"/>
  <c r="AF47" i="1"/>
  <c r="AV46" i="1"/>
  <c r="AV47" i="1" s="1"/>
  <c r="AW37" i="1"/>
  <c r="AW38" i="1"/>
  <c r="AW47" i="1"/>
  <c r="W36" i="1"/>
  <c r="W37" i="1" s="1"/>
  <c r="W38" i="3" l="1"/>
  <c r="X47" i="3"/>
  <c r="W46" i="3"/>
  <c r="W47" i="3" s="1"/>
  <c r="K47" i="3"/>
  <c r="K38" i="3"/>
  <c r="J46" i="3"/>
  <c r="J47" i="3" s="1"/>
  <c r="BB38" i="3"/>
  <c r="BB46" i="3"/>
  <c r="BA40" i="3"/>
  <c r="BB41" i="3" s="1"/>
  <c r="BA43" i="3"/>
  <c r="BA45" i="3"/>
  <c r="BA46" i="3" s="1"/>
  <c r="S38" i="3"/>
  <c r="S47" i="3"/>
  <c r="S37" i="3"/>
  <c r="R46" i="3"/>
  <c r="R47" i="3" s="1"/>
  <c r="S38" i="2"/>
  <c r="S47" i="2"/>
  <c r="R46" i="2"/>
  <c r="R47" i="2" s="1"/>
  <c r="S37" i="2"/>
  <c r="BA39" i="2"/>
  <c r="BB39" i="2" s="1"/>
  <c r="BA37" i="2"/>
  <c r="W38" i="2"/>
  <c r="X47" i="2"/>
  <c r="W46" i="2"/>
  <c r="W47" i="2" s="1"/>
  <c r="K47" i="2"/>
  <c r="K38" i="2"/>
  <c r="J46" i="2"/>
  <c r="J47" i="2" s="1"/>
  <c r="BA39" i="1"/>
  <c r="BB39" i="1" s="1"/>
  <c r="BA37" i="1"/>
  <c r="W38" i="1"/>
  <c r="X47" i="1"/>
  <c r="W46" i="1"/>
  <c r="W47" i="1" s="1"/>
  <c r="K47" i="1"/>
  <c r="K38" i="1"/>
  <c r="J46" i="1"/>
  <c r="J47" i="1" s="1"/>
  <c r="S47" i="1"/>
  <c r="S38" i="1"/>
  <c r="R46" i="1"/>
  <c r="R47" i="1" s="1"/>
  <c r="S37" i="1"/>
  <c r="BB38" i="2" l="1"/>
  <c r="BB46" i="2"/>
  <c r="BA40" i="2"/>
  <c r="BB41" i="2" s="1"/>
  <c r="BA43" i="2"/>
  <c r="BA45" i="2"/>
  <c r="BA46" i="2" s="1"/>
  <c r="BA43" i="1"/>
  <c r="BB46" i="1"/>
  <c r="BA40" i="1"/>
  <c r="BB41" i="1" s="1"/>
  <c r="BB38" i="1"/>
  <c r="BA45" i="1"/>
  <c r="BA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204EA35C-F294-0D4C-8A03-1890A17D6E65}">
      <text>
        <r>
          <rPr>
            <sz val="11"/>
            <color rgb="FFFF0000"/>
            <rFont val="游ゴシック"/>
            <family val="3"/>
            <charset val="128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CC65A5B0-39DD-C643-8767-261AA72B2ADC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16E8EC74-7067-E640-9678-DC9BD85D9AC7}">
      <text>
        <r>
          <rPr>
            <sz val="11"/>
            <color indexed="10"/>
            <rFont val="游ゴシック"/>
            <family val="3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<sst xmlns="http://schemas.openxmlformats.org/spreadsheetml/2006/main" count="499" uniqueCount="105">
  <si>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</si>
  <si>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</si>
  <si>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</si>
  <si>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</si>
  <si>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</si>
  <si>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</si>
  <si>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</si>
  <si>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</si>
  <si>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9/3まで　ピコレワインフェア9/9~10/1まで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</si>
  <si>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</si>
  <si>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</si>
  <si>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</si>
  <si>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</si>
  <si>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</si>
  <si>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</si>
  <si>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</si>
  <si>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</si>
  <si>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</si>
  <si>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</si>
  <si>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</si>
  <si>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</si>
  <si>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</si>
  <si>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</si>
  <si>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</si>
  <si>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</si>
  <si>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</si>
  <si>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</si>
  <si>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</si>
  <si>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</si>
  <si>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</si>
  <si>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</si>
  <si>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</si>
  <si>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</si>
  <si>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</si>
  <si>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</si>
  <si>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</si>
  <si>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</si>
  <si>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</si>
  <si>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</si>
  <si>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</si>
  <si>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</si>
  <si>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</si>
  <si>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</si>
  <si>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</si>
  <si>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</si>
  <si>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</si>
  <si>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</si>
  <si>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</si>
  <si>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 xml:space="preserve">zeikomi </t>
    <phoneticPr fontId="14"/>
  </si>
  <si>
    <t>　1日売上平均（税込）</t>
  </si>
  <si>
    <t xml:space="preserve">zeinuki </t>
    <phoneticPr fontId="14"/>
  </si>
  <si>
    <t>ピコレ秋TOTAL</t>
    <rPh sb="3" eb="4">
      <t xml:space="preserve">アキ </t>
    </rPh>
    <phoneticPr fontId="14"/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</si>
  <si>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</si>
  <si>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</si>
  <si>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</si>
  <si>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</si>
  <si>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</si>
  <si>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</si>
  <si>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</si>
  <si>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</si>
  <si>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</si>
  <si>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</si>
  <si>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</si>
  <si>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</si>
  <si>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</si>
  <si>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</si>
  <si>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</si>
  <si>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</si>
  <si>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</si>
  <si>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</si>
  <si>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</si>
  <si>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</si>
  <si>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</si>
  <si>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</si>
  <si>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</si>
  <si>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</si>
  <si>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</si>
  <si>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</si>
  <si>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</si>
  <si>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</si>
  <si>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</si>
  <si>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</si>
  <si>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</si>
  <si>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</si>
  <si>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</si>
  <si>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</si>
  <si>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</si>
  <si>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</si>
  <si>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</si>
  <si>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</si>
  <si>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</si>
  <si>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</si>
  <si>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</si>
  <si>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</si>
  <si>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</si>
  <si>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</si>
  <si>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</si>
  <si>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</si>
  <si>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</si>
  <si>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</si>
  <si>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</si>
  <si>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</si>
  <si>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</si>
  <si>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</si>
  <si>
    <t>ディナー貸切37名</t>
    <rPh sb="4" eb="6">
      <t>カシキリ</t>
    </rPh>
    <rPh sb="8" eb="9">
      <t>メイ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</si>
</sst>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color indexed="10"/>
      <name val="游ゴシック"/>
      <family val="3"/>
      <charset val="128"/>
      <scheme val="minor"/>
    </font>
    <font>
      <b/>
      <sz val="10"/>
      <color indexed="8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sz val="11"/>
      <color indexed="10"/>
      <name val="游ゴシック"/>
      <family val="3"/>
    </font>
    <font>
      <sz val="11"/>
      <color rgb="FFFF0000"/>
      <name val="游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79998168889431442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38" fontId="2" fillId="0" borderId="0"/>
    <xf numFmtId="184" fontId="2" fillId="0" borderId="0"/>
  </cellStyleXfs>
  <cellXfs count="221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3" fillId="0" borderId="0" xfId="3" applyFont="1" applyAlignment="1">
      <alignment horizontal="center" vertical="center" wrapText="1"/>
    </xf>
    <xf numFmtId="38" fontId="3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3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3" xfId="3" applyFont="1" applyFill="1" applyBorder="1" applyAlignment="1">
      <alignment horizontal="center" vertical="center" wrapText="1"/>
    </xf>
    <xf numFmtId="0" fontId="9" fillId="5" borderId="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 wrapText="1"/>
    </xf>
    <xf numFmtId="0" fontId="9" fillId="6" borderId="6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7" borderId="9" xfId="3" applyFont="1" applyFill="1" applyBorder="1" applyAlignment="1">
      <alignment horizontal="center" vertical="center" wrapText="1"/>
    </xf>
    <xf numFmtId="0" fontId="9" fillId="7" borderId="10" xfId="3" applyFont="1" applyFill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2" xfId="3" applyNumberFormat="1" applyFont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2" borderId="13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3" xfId="3" applyFont="1" applyFill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5" borderId="13" xfId="3" applyFont="1" applyFill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6" borderId="13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38" fontId="5" fillId="0" borderId="21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3" fillId="0" borderId="0" xfId="3" applyFont="1"/>
    <xf numFmtId="178" fontId="10" fillId="0" borderId="22" xfId="3" applyNumberFormat="1" applyFont="1" applyBorder="1" applyAlignment="1">
      <alignment horizontal="left"/>
    </xf>
    <xf numFmtId="38" fontId="3" fillId="0" borderId="22" xfId="3" applyNumberFormat="1" applyFont="1" applyBorder="1"/>
    <xf numFmtId="179" fontId="3" fillId="0" borderId="23" xfId="3" applyNumberFormat="1" applyFont="1" applyBorder="1"/>
    <xf numFmtId="180" fontId="3" fillId="2" borderId="23" xfId="4" applyNumberFormat="1" applyFont="1" applyFill="1" applyBorder="1"/>
    <xf numFmtId="38" fontId="3" fillId="8" borderId="23" xfId="4" applyFont="1" applyFill="1" applyBorder="1"/>
    <xf numFmtId="38" fontId="5" fillId="0" borderId="24" xfId="4" applyFont="1" applyBorder="1"/>
    <xf numFmtId="38" fontId="5" fillId="0" borderId="22" xfId="4" applyFont="1" applyBorder="1"/>
    <xf numFmtId="38" fontId="9" fillId="2" borderId="23" xfId="4" applyFont="1" applyFill="1" applyBorder="1"/>
    <xf numFmtId="40" fontId="3" fillId="0" borderId="25" xfId="3" applyNumberFormat="1" applyFont="1" applyBorder="1"/>
    <xf numFmtId="181" fontId="3" fillId="0" borderId="23" xfId="3" applyNumberFormat="1" applyFont="1" applyBorder="1"/>
    <xf numFmtId="180" fontId="3" fillId="3" borderId="23" xfId="4" applyNumberFormat="1" applyFont="1" applyFill="1" applyBorder="1"/>
    <xf numFmtId="38" fontId="3" fillId="0" borderId="23" xfId="4" applyFont="1" applyBorder="1"/>
    <xf numFmtId="38" fontId="9" fillId="0" borderId="20" xfId="4" applyFont="1" applyBorder="1"/>
    <xf numFmtId="180" fontId="3" fillId="0" borderId="26" xfId="4" applyNumberFormat="1" applyFont="1" applyBorder="1"/>
    <xf numFmtId="38" fontId="3" fillId="9" borderId="22" xfId="4" applyFont="1" applyFill="1" applyBorder="1"/>
    <xf numFmtId="179" fontId="3" fillId="4" borderId="23" xfId="3" applyNumberFormat="1" applyFont="1" applyFill="1" applyBorder="1"/>
    <xf numFmtId="180" fontId="3" fillId="10" borderId="23" xfId="4" applyNumberFormat="1" applyFont="1" applyFill="1" applyBorder="1"/>
    <xf numFmtId="38" fontId="3" fillId="3" borderId="20" xfId="4" applyFont="1" applyFill="1" applyBorder="1"/>
    <xf numFmtId="40" fontId="3" fillId="11" borderId="20" xfId="3" applyNumberFormat="1" applyFont="1" applyFill="1" applyBorder="1"/>
    <xf numFmtId="40" fontId="3" fillId="0" borderId="24" xfId="3" applyNumberFormat="1" applyFont="1" applyBorder="1"/>
    <xf numFmtId="38" fontId="3" fillId="12" borderId="20" xfId="3" applyNumberFormat="1" applyFont="1" applyFill="1" applyBorder="1"/>
    <xf numFmtId="38" fontId="5" fillId="3" borderId="20" xfId="4" applyFont="1" applyFill="1" applyBorder="1"/>
    <xf numFmtId="180" fontId="3" fillId="0" borderId="24" xfId="4" applyNumberFormat="1" applyFont="1" applyBorder="1"/>
    <xf numFmtId="38" fontId="9" fillId="0" borderId="22" xfId="4" applyFont="1" applyBorder="1"/>
    <xf numFmtId="38" fontId="3" fillId="0" borderId="22" xfId="4" applyFont="1" applyBorder="1"/>
    <xf numFmtId="38" fontId="3" fillId="13" borderId="4" xfId="4" applyFont="1" applyFill="1" applyBorder="1"/>
    <xf numFmtId="38" fontId="3" fillId="13" borderId="20" xfId="4" applyFont="1" applyFill="1" applyBorder="1"/>
    <xf numFmtId="38" fontId="5" fillId="13" borderId="20" xfId="4" applyFont="1" applyFill="1" applyBorder="1"/>
    <xf numFmtId="38" fontId="9" fillId="9" borderId="21" xfId="4" applyFont="1" applyFill="1" applyBorder="1"/>
    <xf numFmtId="38" fontId="3" fillId="0" borderId="0" xfId="4" applyFont="1"/>
    <xf numFmtId="178" fontId="10" fillId="0" borderId="5" xfId="3" applyNumberFormat="1" applyFont="1" applyBorder="1" applyAlignment="1">
      <alignment horizontal="left"/>
    </xf>
    <xf numFmtId="38" fontId="3" fillId="0" borderId="5" xfId="3" applyNumberFormat="1" applyFont="1" applyBorder="1"/>
    <xf numFmtId="180" fontId="3" fillId="0" borderId="4" xfId="4" applyNumberFormat="1" applyFont="1" applyBorder="1"/>
    <xf numFmtId="38" fontId="3" fillId="0" borderId="20" xfId="4" applyFont="1" applyBorder="1"/>
    <xf numFmtId="180" fontId="3" fillId="0" borderId="7" xfId="4" applyNumberFormat="1" applyFont="1" applyBorder="1"/>
    <xf numFmtId="38" fontId="6" fillId="0" borderId="5" xfId="3" applyNumberFormat="1" applyFont="1" applyBorder="1"/>
    <xf numFmtId="38" fontId="5" fillId="14" borderId="22" xfId="4" applyFont="1" applyFill="1" applyBorder="1"/>
    <xf numFmtId="38" fontId="5" fillId="15" borderId="20" xfId="4" applyFont="1" applyFill="1" applyBorder="1"/>
    <xf numFmtId="179" fontId="3" fillId="4" borderId="20" xfId="3" applyNumberFormat="1" applyFont="1" applyFill="1" applyBorder="1"/>
    <xf numFmtId="180" fontId="3" fillId="10" borderId="20" xfId="4" applyNumberFormat="1" applyFont="1" applyFill="1" applyBorder="1"/>
    <xf numFmtId="38" fontId="3" fillId="8" borderId="20" xfId="4" applyFont="1" applyFill="1" applyBorder="1"/>
    <xf numFmtId="178" fontId="11" fillId="0" borderId="5" xfId="3" applyNumberFormat="1" applyFont="1" applyBorder="1" applyAlignment="1">
      <alignment horizontal="left"/>
    </xf>
    <xf numFmtId="180" fontId="3" fillId="3" borderId="2" xfId="4" applyNumberFormat="1" applyFont="1" applyFill="1" applyBorder="1"/>
    <xf numFmtId="180" fontId="3" fillId="0" borderId="27" xfId="4" applyNumberFormat="1" applyFont="1" applyBorder="1"/>
    <xf numFmtId="38" fontId="3" fillId="0" borderId="2" xfId="4" applyFont="1" applyBorder="1"/>
    <xf numFmtId="38" fontId="3" fillId="9" borderId="3" xfId="4" applyFont="1" applyFill="1" applyBorder="1"/>
    <xf numFmtId="179" fontId="3" fillId="4" borderId="2" xfId="3" applyNumberFormat="1" applyFont="1" applyFill="1" applyBorder="1"/>
    <xf numFmtId="180" fontId="3" fillId="10" borderId="2" xfId="4" applyNumberFormat="1" applyFont="1" applyFill="1" applyBorder="1"/>
    <xf numFmtId="38" fontId="3" fillId="8" borderId="2" xfId="4" applyFont="1" applyFill="1" applyBorder="1"/>
    <xf numFmtId="38" fontId="5" fillId="0" borderId="28" xfId="4" applyFont="1" applyBorder="1"/>
    <xf numFmtId="38" fontId="5" fillId="0" borderId="29" xfId="4" applyFont="1" applyBorder="1"/>
    <xf numFmtId="38" fontId="3" fillId="3" borderId="2" xfId="4" applyFont="1" applyFill="1" applyBorder="1"/>
    <xf numFmtId="40" fontId="3" fillId="11" borderId="2" xfId="3" applyNumberFormat="1" applyFont="1" applyFill="1" applyBorder="1"/>
    <xf numFmtId="38" fontId="3" fillId="12" borderId="2" xfId="3" applyNumberFormat="1" applyFont="1" applyFill="1" applyBorder="1"/>
    <xf numFmtId="180" fontId="3" fillId="0" borderId="28" xfId="4" applyNumberFormat="1" applyFont="1" applyBorder="1"/>
    <xf numFmtId="38" fontId="3" fillId="13" borderId="30" xfId="4" applyFont="1" applyFill="1" applyBorder="1"/>
    <xf numFmtId="38" fontId="3" fillId="13" borderId="13" xfId="4" applyFont="1" applyFill="1" applyBorder="1"/>
    <xf numFmtId="38" fontId="5" fillId="13" borderId="13" xfId="4" applyFont="1" applyFill="1" applyBorder="1"/>
    <xf numFmtId="0" fontId="5" fillId="0" borderId="31" xfId="3" applyFont="1" applyBorder="1" applyAlignment="1">
      <alignment horizontal="left"/>
    </xf>
    <xf numFmtId="38" fontId="5" fillId="0" borderId="10" xfId="3" applyNumberFormat="1" applyFont="1" applyBorder="1"/>
    <xf numFmtId="179" fontId="5" fillId="0" borderId="32" xfId="3" applyNumberFormat="1" applyFont="1" applyBorder="1"/>
    <xf numFmtId="180" fontId="5" fillId="0" borderId="10" xfId="3" applyNumberFormat="1" applyFont="1" applyBorder="1"/>
    <xf numFmtId="38" fontId="11" fillId="0" borderId="32" xfId="3" applyNumberFormat="1" applyFont="1" applyBorder="1"/>
    <xf numFmtId="38" fontId="5" fillId="0" borderId="32" xfId="3" applyNumberFormat="1" applyFont="1" applyBorder="1"/>
    <xf numFmtId="38" fontId="5" fillId="0" borderId="31" xfId="3" applyNumberFormat="1" applyFont="1" applyBorder="1"/>
    <xf numFmtId="38" fontId="5" fillId="7" borderId="10" xfId="3" applyNumberFormat="1" applyFont="1" applyFill="1" applyBorder="1"/>
    <xf numFmtId="182" fontId="5" fillId="0" borderId="10" xfId="3" applyNumberFormat="1" applyFont="1" applyBorder="1" applyAlignment="1">
      <alignment shrinkToFit="1"/>
    </xf>
    <xf numFmtId="181" fontId="5" fillId="0" borderId="32" xfId="3" applyNumberFormat="1" applyFont="1" applyBorder="1"/>
    <xf numFmtId="38" fontId="11" fillId="0" borderId="10" xfId="3" applyNumberFormat="1" applyFont="1" applyBorder="1"/>
    <xf numFmtId="38" fontId="9" fillId="7" borderId="10" xfId="3" applyNumberFormat="1" applyFont="1" applyFill="1" applyBorder="1"/>
    <xf numFmtId="182" fontId="12" fillId="0" borderId="32" xfId="3" applyNumberFormat="1" applyFont="1" applyBorder="1" applyAlignment="1">
      <alignment shrinkToFit="1"/>
    </xf>
    <xf numFmtId="0" fontId="5" fillId="0" borderId="10" xfId="3" applyFont="1" applyBorder="1"/>
    <xf numFmtId="182" fontId="5" fillId="0" borderId="33" xfId="3" applyNumberFormat="1" applyFont="1" applyBorder="1"/>
    <xf numFmtId="179" fontId="5" fillId="11" borderId="32" xfId="3" applyNumberFormat="1" applyFont="1" applyFill="1" applyBorder="1"/>
    <xf numFmtId="182" fontId="5" fillId="0" borderId="32" xfId="3" applyNumberFormat="1" applyFont="1" applyBorder="1"/>
    <xf numFmtId="179" fontId="13" fillId="12" borderId="32" xfId="3" applyNumberFormat="1" applyFont="1" applyFill="1" applyBorder="1"/>
    <xf numFmtId="180" fontId="5" fillId="0" borderId="32" xfId="3" applyNumberFormat="1" applyFont="1" applyBorder="1"/>
    <xf numFmtId="38" fontId="5" fillId="0" borderId="10" xfId="4" applyFont="1" applyBorder="1"/>
    <xf numFmtId="38" fontId="5" fillId="7" borderId="23" xfId="4" applyFont="1" applyFill="1" applyBorder="1"/>
    <xf numFmtId="38" fontId="9" fillId="7" borderId="23" xfId="4" applyFont="1" applyFill="1" applyBorder="1"/>
    <xf numFmtId="0" fontId="5" fillId="0" borderId="0" xfId="3" applyFont="1"/>
    <xf numFmtId="38" fontId="5" fillId="14" borderId="20" xfId="4" applyFont="1" applyFill="1" applyBorder="1"/>
    <xf numFmtId="0" fontId="5" fillId="0" borderId="0" xfId="3" applyFont="1" applyAlignment="1">
      <alignment horizontal="left"/>
    </xf>
    <xf numFmtId="0" fontId="5" fillId="0" borderId="5" xfId="3" applyFont="1" applyBorder="1"/>
    <xf numFmtId="38" fontId="11" fillId="0" borderId="20" xfId="4" applyFont="1" applyBorder="1"/>
    <xf numFmtId="38" fontId="9" fillId="7" borderId="20" xfId="4" applyFont="1" applyFill="1" applyBorder="1"/>
    <xf numFmtId="38" fontId="5" fillId="0" borderId="20" xfId="4" applyFont="1" applyBorder="1"/>
    <xf numFmtId="38" fontId="5" fillId="7" borderId="20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1" fillId="0" borderId="0" xfId="3" applyNumberFormat="1" applyFont="1"/>
    <xf numFmtId="0" fontId="5" fillId="0" borderId="7" xfId="3" applyFont="1" applyBorder="1"/>
    <xf numFmtId="182" fontId="5" fillId="0" borderId="0" xfId="3" applyNumberFormat="1" applyFont="1"/>
    <xf numFmtId="182" fontId="5" fillId="0" borderId="34" xfId="3" applyNumberFormat="1" applyFont="1" applyBorder="1"/>
    <xf numFmtId="0" fontId="5" fillId="0" borderId="6" xfId="3" applyFont="1" applyBorder="1"/>
    <xf numFmtId="38" fontId="5" fillId="0" borderId="7" xfId="4" applyFont="1" applyBorder="1"/>
    <xf numFmtId="38" fontId="5" fillId="0" borderId="0" xfId="3" applyNumberFormat="1" applyFont="1"/>
    <xf numFmtId="38" fontId="5" fillId="0" borderId="0" xfId="4" applyFont="1"/>
    <xf numFmtId="0" fontId="3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3" fillId="0" borderId="0" xfId="3" applyNumberFormat="1" applyFont="1"/>
    <xf numFmtId="38" fontId="3" fillId="0" borderId="0" xfId="3" applyNumberFormat="1" applyFont="1"/>
    <xf numFmtId="183" fontId="5" fillId="4" borderId="0" xfId="3" applyNumberFormat="1" applyFont="1" applyFill="1"/>
    <xf numFmtId="180" fontId="3" fillId="0" borderId="0" xfId="3" applyNumberFormat="1" applyFont="1"/>
    <xf numFmtId="0" fontId="3" fillId="0" borderId="24" xfId="3" applyFont="1" applyBorder="1"/>
    <xf numFmtId="0" fontId="3" fillId="0" borderId="29" xfId="3" applyFont="1" applyBorder="1" applyAlignment="1">
      <alignment horizontal="right"/>
    </xf>
    <xf numFmtId="183" fontId="5" fillId="14" borderId="0" xfId="3" applyNumberFormat="1" applyFont="1" applyFill="1"/>
    <xf numFmtId="0" fontId="3" fillId="0" borderId="34" xfId="3" applyFont="1" applyBorder="1"/>
    <xf numFmtId="185" fontId="3" fillId="0" borderId="0" xfId="4" applyNumberFormat="1" applyFont="1"/>
    <xf numFmtId="0" fontId="15" fillId="0" borderId="20" xfId="3" applyFont="1" applyBorder="1" applyAlignment="1">
      <alignment horizontal="left" vertical="top" wrapText="1"/>
    </xf>
    <xf numFmtId="38" fontId="16" fillId="0" borderId="0" xfId="1" applyFont="1" applyAlignment="1"/>
    <xf numFmtId="38" fontId="17" fillId="0" borderId="0" xfId="3" applyNumberFormat="1" applyFont="1" applyAlignment="1">
      <alignment vertical="center"/>
    </xf>
    <xf numFmtId="0" fontId="3" fillId="0" borderId="0" xfId="3" applyFont="1" applyAlignment="1">
      <alignment horizontal="center"/>
    </xf>
    <xf numFmtId="38" fontId="3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8" fillId="0" borderId="0" xfId="3" applyFont="1" applyAlignment="1">
      <alignment vertical="center"/>
    </xf>
    <xf numFmtId="38" fontId="19" fillId="0" borderId="0" xfId="3" applyNumberFormat="1" applyFont="1"/>
    <xf numFmtId="38" fontId="19" fillId="0" borderId="0" xfId="1" applyFont="1" applyAlignment="1"/>
    <xf numFmtId="10" fontId="19" fillId="0" borderId="0" xfId="2" applyNumberFormat="1" applyFont="1" applyAlignment="1"/>
    <xf numFmtId="38" fontId="19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16" fillId="0" borderId="0" xfId="5" applyFont="1" applyAlignment="1">
      <alignment vertical="center"/>
    </xf>
    <xf numFmtId="10" fontId="16" fillId="0" borderId="0" xfId="2" applyNumberFormat="1" applyFont="1" applyAlignment="1">
      <alignment vertical="center"/>
    </xf>
    <xf numFmtId="38" fontId="18" fillId="0" borderId="0" xfId="4" applyFont="1" applyAlignment="1">
      <alignment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3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80" fontId="3" fillId="0" borderId="0" xfId="3" applyNumberFormat="1" applyFont="1" applyAlignment="1">
      <alignment horizontal="left" vertical="center"/>
    </xf>
    <xf numFmtId="38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vertical="center"/>
    </xf>
    <xf numFmtId="38" fontId="3" fillId="0" borderId="0" xfId="4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188" fontId="3" fillId="0" borderId="0" xfId="3" applyNumberFormat="1" applyFont="1" applyAlignment="1">
      <alignment horizontal="center" vertical="center"/>
    </xf>
    <xf numFmtId="38" fontId="3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3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20" fillId="0" borderId="0" xfId="4" applyFont="1" applyAlignment="1">
      <alignment vertical="center"/>
    </xf>
    <xf numFmtId="0" fontId="20" fillId="0" borderId="0" xfId="3" applyFont="1" applyAlignment="1">
      <alignment vertical="center"/>
    </xf>
    <xf numFmtId="38" fontId="5" fillId="16" borderId="35" xfId="4" applyFont="1" applyFill="1" applyBorder="1" applyAlignment="1">
      <alignment horizontal="center" vertical="center"/>
    </xf>
    <xf numFmtId="38" fontId="5" fillId="0" borderId="35" xfId="4" applyFont="1" applyBorder="1" applyAlignment="1">
      <alignment horizontal="center" vertical="center"/>
    </xf>
    <xf numFmtId="38" fontId="20" fillId="0" borderId="35" xfId="1" applyFont="1" applyBorder="1" applyAlignment="1">
      <alignment horizontal="right" vertical="center"/>
    </xf>
    <xf numFmtId="186" fontId="1" fillId="0" borderId="35" xfId="2" applyNumberFormat="1" applyBorder="1" applyAlignment="1">
      <alignment horizontal="right" vertical="center"/>
    </xf>
    <xf numFmtId="38" fontId="7" fillId="0" borderId="35" xfId="3" applyNumberFormat="1" applyFont="1" applyBorder="1" applyAlignment="1">
      <alignment horizontal="right" vertical="center"/>
    </xf>
    <xf numFmtId="0" fontId="7" fillId="0" borderId="35" xfId="3" applyFont="1" applyBorder="1" applyAlignment="1">
      <alignment horizontal="right" vertical="center"/>
    </xf>
    <xf numFmtId="38" fontId="5" fillId="17" borderId="35" xfId="4" applyFont="1" applyFill="1" applyBorder="1" applyAlignment="1">
      <alignment horizontal="center" vertical="center"/>
    </xf>
    <xf numFmtId="38" fontId="20" fillId="0" borderId="0" xfId="3" applyNumberFormat="1" applyFont="1" applyAlignment="1">
      <alignment vertical="center"/>
    </xf>
    <xf numFmtId="38" fontId="3" fillId="0" borderId="0" xfId="1" applyFont="1" applyAlignment="1">
      <alignment horizontal="right"/>
    </xf>
    <xf numFmtId="0" fontId="5" fillId="18" borderId="35" xfId="3" applyFont="1" applyFill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38" fontId="21" fillId="0" borderId="35" xfId="3" applyNumberFormat="1" applyFont="1" applyBorder="1" applyAlignment="1">
      <alignment horizontal="right" vertical="center"/>
    </xf>
    <xf numFmtId="0" fontId="21" fillId="0" borderId="35" xfId="3" applyFont="1" applyBorder="1" applyAlignment="1">
      <alignment horizontal="right" vertical="center"/>
    </xf>
    <xf numFmtId="38" fontId="9" fillId="0" borderId="0" xfId="3" applyNumberFormat="1" applyFont="1"/>
  </cellXfs>
  <cellStyles count="6">
    <cellStyle name="Excel Built-in Comma [0]" xfId="4" xr:uid="{0599FCAB-4934-B04E-A368-6C1C9ED37293}"/>
    <cellStyle name="Excel Built-in Currency [0]" xfId="5" xr:uid="{27E88679-DB95-0146-B34E-3B557DBD454F}"/>
    <cellStyle name="Excel Built-in Normal 1" xfId="3" xr:uid="{577AA840-6D1A-AD48-A9F8-7A7678EEEB22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BBEB-773B-B641-A203-312BC9E4A0D4}">
  <dimension ref="A1:BL224"/>
  <sheetViews>
    <sheetView zoomScale="75" workbookViewId="0">
      <selection activeCell="F32" sqref="F32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4" s="3" customFormat="1">
      <c r="A1" s="1" t="s">
        <v>0</v>
      </c>
      <c r="B1" s="2"/>
      <c r="BJ1" s="4"/>
      <c r="BL1" s="4"/>
    </row>
    <row r="2" spans="1:64" s="3" customFormat="1" ht="35" thickBot="1">
      <c r="A2" s="5">
        <v>2023</v>
      </c>
      <c r="B2" s="6">
        <v>10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4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4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4" ht="20" customHeight="1" thickTop="1">
      <c r="B5" s="48">
        <f>DATE($A$2,$B$2,1)</f>
        <v>45200</v>
      </c>
      <c r="C5" s="49"/>
      <c r="D5" s="50"/>
      <c r="E5" s="51">
        <v>32</v>
      </c>
      <c r="F5" s="52">
        <v>165000</v>
      </c>
      <c r="G5" s="53">
        <f t="shared" ref="G5:G35" si="0">ROUNDDOWN(F5/1.1,0)/E5</f>
        <v>4687.5</v>
      </c>
      <c r="H5" s="52">
        <v>20830</v>
      </c>
      <c r="I5" s="54">
        <f t="shared" ref="I5:I35" si="1">ROUNDDOWN(H5/1.1,0)/E5</f>
        <v>591.75</v>
      </c>
      <c r="J5" s="55">
        <f t="shared" ref="J5:J35" si="2">F5+H5</f>
        <v>185830</v>
      </c>
      <c r="K5" s="56">
        <f t="shared" ref="K5:K35" si="3">IF(E5="","",J5/E5)</f>
        <v>5807.1875</v>
      </c>
      <c r="L5" s="57"/>
      <c r="M5" s="58">
        <f t="shared" ref="M5:N35" si="4">BC5-E5</f>
        <v>14</v>
      </c>
      <c r="N5" s="59">
        <f t="shared" si="4"/>
        <v>112750</v>
      </c>
      <c r="O5" s="53">
        <f t="shared" ref="O5:O35" si="5">ROUNDDOWN(N5/1.1,0)/M5</f>
        <v>7321.4285714285716</v>
      </c>
      <c r="P5" s="59">
        <f t="shared" ref="P5:P35" si="6">BE5-H5</f>
        <v>7810</v>
      </c>
      <c r="Q5" s="54">
        <f t="shared" ref="Q5:Q35" si="7">ROUNDDOWN(P5/1.1,0)/M5</f>
        <v>507.14285714285717</v>
      </c>
      <c r="R5" s="60">
        <f t="shared" ref="R5:R35" si="8">N5+P5</f>
        <v>120560</v>
      </c>
      <c r="S5" s="56">
        <f t="shared" ref="S5:S35" si="9">IF(M5="","",R5/M5)</f>
        <v>8611.4285714285706</v>
      </c>
      <c r="T5" s="61">
        <f t="shared" ref="T5:U35" si="10">E5+M5</f>
        <v>46</v>
      </c>
      <c r="U5" s="59">
        <f t="shared" si="10"/>
        <v>277750</v>
      </c>
      <c r="V5" s="59">
        <f t="shared" ref="V5:V35" si="11">H5+P5</f>
        <v>28640</v>
      </c>
      <c r="W5" s="62">
        <f t="shared" ref="W5:W35" si="12">J5+R5</f>
        <v>306390</v>
      </c>
      <c r="X5" s="59"/>
      <c r="Y5" s="63"/>
      <c r="Z5" s="64">
        <v>11</v>
      </c>
      <c r="AA5" s="52">
        <v>5860</v>
      </c>
      <c r="AB5" s="53">
        <f t="shared" ref="AB5:AB35" si="13">AA5/Z5</f>
        <v>532.72727272727275</v>
      </c>
      <c r="AC5" s="52">
        <v>4000</v>
      </c>
      <c r="AD5" s="54">
        <f t="shared" ref="AD5:AD35" si="14">AC5/Z5</f>
        <v>363.63636363636363</v>
      </c>
      <c r="AE5" s="65">
        <f t="shared" ref="AE5:AE35" si="15">AA5+AC5</f>
        <v>9860</v>
      </c>
      <c r="AF5" s="56">
        <f t="shared" ref="AF5:AF35" si="16">IF(Z5="","",AE5/Z5)</f>
        <v>896.36363636363637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>
        <v>76</v>
      </c>
      <c r="AQ5" s="52">
        <v>77100</v>
      </c>
      <c r="AR5" s="53">
        <f t="shared" ref="AR5:AR35" si="20">AQ5/AP5</f>
        <v>1014.4736842105264</v>
      </c>
      <c r="AS5" s="52">
        <v>49140</v>
      </c>
      <c r="AT5" s="54">
        <f t="shared" ref="AT5:AT35" si="21">AS5/AP5</f>
        <v>646.57894736842104</v>
      </c>
      <c r="AU5" s="54"/>
      <c r="AV5" s="69">
        <f>AQ5+AS5+AU5</f>
        <v>126240</v>
      </c>
      <c r="AW5" s="67">
        <f t="shared" ref="AW5:AW35" si="22">IF(AP5="","",AV5/AP5)</f>
        <v>1661.0526315789473</v>
      </c>
      <c r="AX5" s="70">
        <f t="shared" ref="AX5:AX35" si="23">SUM(E5,M5)</f>
        <v>46</v>
      </c>
      <c r="AY5" s="59">
        <f t="shared" ref="AY5:AY35" si="24">U5+AA5+AI5+AQ5</f>
        <v>360710</v>
      </c>
      <c r="AZ5" s="59">
        <f t="shared" ref="AZ5:AZ35" si="25">V5+AC5+AK5+AS5</f>
        <v>81780</v>
      </c>
      <c r="BA5" s="71">
        <f t="shared" ref="BA5:BA35" si="26">W5+AE5+AM5+AV5</f>
        <v>442490</v>
      </c>
      <c r="BB5" s="72">
        <f>BF5+BG5</f>
        <v>6050</v>
      </c>
      <c r="BC5" s="73">
        <v>46</v>
      </c>
      <c r="BD5" s="74">
        <v>277750</v>
      </c>
      <c r="BE5" s="74">
        <v>28640</v>
      </c>
      <c r="BF5" s="75">
        <v>6050</v>
      </c>
      <c r="BG5" s="75"/>
      <c r="BH5" s="75"/>
      <c r="BI5" s="75"/>
      <c r="BJ5" s="76">
        <f>SUM(BD5:BG5)</f>
        <v>312440</v>
      </c>
      <c r="BK5" s="47">
        <v>1</v>
      </c>
      <c r="BL5" s="77">
        <f t="shared" ref="BL5:BL35" si="27">BI5+BJ5</f>
        <v>312440</v>
      </c>
    </row>
    <row r="6" spans="1:64" ht="20" customHeight="1">
      <c r="B6" s="78">
        <f t="shared" ref="B6:B35" si="28">B5+1</f>
        <v>45201</v>
      </c>
      <c r="C6" s="79"/>
      <c r="D6" s="50"/>
      <c r="E6" s="51">
        <v>33</v>
      </c>
      <c r="F6" s="52">
        <v>112200</v>
      </c>
      <c r="G6" s="53">
        <f t="shared" si="0"/>
        <v>3090.909090909091</v>
      </c>
      <c r="H6" s="52">
        <v>10940</v>
      </c>
      <c r="I6" s="54">
        <f t="shared" si="1"/>
        <v>301.36363636363637</v>
      </c>
      <c r="J6" s="55">
        <f t="shared" si="2"/>
        <v>123140</v>
      </c>
      <c r="K6" s="56">
        <f t="shared" si="3"/>
        <v>3731.5151515151515</v>
      </c>
      <c r="L6" s="57"/>
      <c r="M6" s="58">
        <f t="shared" si="4"/>
        <v>9</v>
      </c>
      <c r="N6" s="59">
        <f t="shared" si="4"/>
        <v>91850</v>
      </c>
      <c r="O6" s="53">
        <f t="shared" si="5"/>
        <v>9277.7777777777774</v>
      </c>
      <c r="P6" s="59">
        <f t="shared" si="6"/>
        <v>60610</v>
      </c>
      <c r="Q6" s="54">
        <f t="shared" si="7"/>
        <v>6122.2222222222226</v>
      </c>
      <c r="R6" s="60">
        <f t="shared" si="8"/>
        <v>152460</v>
      </c>
      <c r="S6" s="56">
        <f t="shared" si="9"/>
        <v>16940</v>
      </c>
      <c r="T6" s="80">
        <f t="shared" si="10"/>
        <v>42</v>
      </c>
      <c r="U6" s="59">
        <f t="shared" si="10"/>
        <v>204050</v>
      </c>
      <c r="V6" s="59">
        <f t="shared" si="11"/>
        <v>71550</v>
      </c>
      <c r="W6" s="62">
        <f t="shared" si="12"/>
        <v>275600</v>
      </c>
      <c r="X6" s="81"/>
      <c r="Y6" s="63"/>
      <c r="Z6" s="64">
        <v>13</v>
      </c>
      <c r="AA6" s="52">
        <v>7380</v>
      </c>
      <c r="AB6" s="53">
        <f t="shared" si="13"/>
        <v>567.69230769230774</v>
      </c>
      <c r="AC6" s="52">
        <v>1000</v>
      </c>
      <c r="AD6" s="54">
        <f t="shared" si="14"/>
        <v>76.92307692307692</v>
      </c>
      <c r="AE6" s="65">
        <f>AA6+AC6</f>
        <v>8380</v>
      </c>
      <c r="AF6" s="56">
        <f t="shared" si="16"/>
        <v>644.61538461538464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42</v>
      </c>
      <c r="AY6" s="59">
        <f t="shared" si="24"/>
        <v>211430</v>
      </c>
      <c r="AZ6" s="59">
        <f t="shared" si="25"/>
        <v>72550</v>
      </c>
      <c r="BA6" s="71">
        <f t="shared" si="26"/>
        <v>283980</v>
      </c>
      <c r="BB6" s="72">
        <f t="shared" ref="BB6:BB35" si="31">BF6+BG6</f>
        <v>6600</v>
      </c>
      <c r="BC6" s="73">
        <v>42</v>
      </c>
      <c r="BD6" s="74">
        <v>204050</v>
      </c>
      <c r="BE6" s="74">
        <v>71550</v>
      </c>
      <c r="BF6" s="75">
        <v>6600</v>
      </c>
      <c r="BG6" s="75"/>
      <c r="BH6" s="75">
        <v>3300</v>
      </c>
      <c r="BI6" s="75"/>
      <c r="BJ6" s="76">
        <f t="shared" ref="BJ6:BJ35" si="32">SUM(BD6:BG6)</f>
        <v>282200</v>
      </c>
      <c r="BK6" s="47">
        <v>2</v>
      </c>
      <c r="BL6" s="77">
        <f t="shared" si="27"/>
        <v>282200</v>
      </c>
    </row>
    <row r="7" spans="1:64" ht="20" customHeight="1">
      <c r="B7" s="78">
        <f>B6+1</f>
        <v>45202</v>
      </c>
      <c r="C7" s="79"/>
      <c r="D7" s="50"/>
      <c r="E7" s="51">
        <v>24</v>
      </c>
      <c r="F7" s="52">
        <v>97240</v>
      </c>
      <c r="G7" s="53">
        <f t="shared" si="0"/>
        <v>3683.3333333333335</v>
      </c>
      <c r="H7" s="52">
        <v>7950</v>
      </c>
      <c r="I7" s="54">
        <f t="shared" si="1"/>
        <v>301.125</v>
      </c>
      <c r="J7" s="55">
        <f t="shared" si="2"/>
        <v>105190</v>
      </c>
      <c r="K7" s="56">
        <f t="shared" si="3"/>
        <v>4382.916666666667</v>
      </c>
      <c r="L7" s="57"/>
      <c r="M7" s="58">
        <f t="shared" si="4"/>
        <v>26</v>
      </c>
      <c r="N7" s="59">
        <f t="shared" si="4"/>
        <v>263670</v>
      </c>
      <c r="O7" s="53">
        <f t="shared" si="5"/>
        <v>9219.2307692307695</v>
      </c>
      <c r="P7" s="59">
        <f t="shared" si="6"/>
        <v>70770</v>
      </c>
      <c r="Q7" s="54">
        <f t="shared" si="7"/>
        <v>2474.4615384615386</v>
      </c>
      <c r="R7" s="60">
        <f t="shared" si="8"/>
        <v>334440</v>
      </c>
      <c r="S7" s="56">
        <f t="shared" si="9"/>
        <v>12863.076923076924</v>
      </c>
      <c r="T7" s="80">
        <f t="shared" si="10"/>
        <v>50</v>
      </c>
      <c r="U7" s="59">
        <f t="shared" si="10"/>
        <v>360910</v>
      </c>
      <c r="V7" s="59">
        <f t="shared" si="11"/>
        <v>78720</v>
      </c>
      <c r="W7" s="62">
        <f t="shared" si="12"/>
        <v>439630</v>
      </c>
      <c r="X7" s="81"/>
      <c r="Y7" s="63"/>
      <c r="Z7" s="64">
        <v>4</v>
      </c>
      <c r="AA7" s="52">
        <v>1800</v>
      </c>
      <c r="AB7" s="53">
        <f t="shared" si="13"/>
        <v>450</v>
      </c>
      <c r="AC7" s="52">
        <v>1000</v>
      </c>
      <c r="AD7" s="54">
        <f t="shared" si="14"/>
        <v>250</v>
      </c>
      <c r="AE7" s="65">
        <f t="shared" si="15"/>
        <v>2800</v>
      </c>
      <c r="AF7" s="56">
        <f t="shared" si="16"/>
        <v>700</v>
      </c>
      <c r="AG7" s="66"/>
      <c r="AH7" s="64">
        <v>34</v>
      </c>
      <c r="AI7" s="52">
        <v>76560</v>
      </c>
      <c r="AJ7" s="53">
        <f t="shared" si="17"/>
        <v>2251.7647058823532</v>
      </c>
      <c r="AK7" s="52">
        <v>62031</v>
      </c>
      <c r="AL7" s="54">
        <f t="shared" si="18"/>
        <v>1824.4411764705883</v>
      </c>
      <c r="AM7" s="65">
        <f t="shared" si="29"/>
        <v>138591</v>
      </c>
      <c r="AN7" s="67">
        <f t="shared" si="19"/>
        <v>4076.205882352941</v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50</v>
      </c>
      <c r="AY7" s="59">
        <f t="shared" si="24"/>
        <v>439270</v>
      </c>
      <c r="AZ7" s="59">
        <f t="shared" si="25"/>
        <v>141751</v>
      </c>
      <c r="BA7" s="71">
        <f t="shared" si="26"/>
        <v>581021</v>
      </c>
      <c r="BB7" s="72">
        <f t="shared" si="31"/>
        <v>5500</v>
      </c>
      <c r="BC7" s="73">
        <v>50</v>
      </c>
      <c r="BD7" s="74">
        <v>360910</v>
      </c>
      <c r="BE7" s="74">
        <v>78720</v>
      </c>
      <c r="BF7" s="75">
        <v>5500</v>
      </c>
      <c r="BG7" s="75"/>
      <c r="BH7" s="75"/>
      <c r="BI7" s="75"/>
      <c r="BJ7" s="76">
        <f t="shared" si="32"/>
        <v>445130</v>
      </c>
      <c r="BK7" s="47">
        <v>3</v>
      </c>
      <c r="BL7" s="77">
        <f t="shared" si="27"/>
        <v>445130</v>
      </c>
    </row>
    <row r="8" spans="1:64" ht="20" customHeight="1">
      <c r="B8" s="78">
        <f t="shared" si="28"/>
        <v>45203</v>
      </c>
      <c r="C8" s="79"/>
      <c r="D8" s="50"/>
      <c r="E8" s="51">
        <v>25</v>
      </c>
      <c r="F8" s="52">
        <v>99770</v>
      </c>
      <c r="G8" s="53">
        <f t="shared" si="0"/>
        <v>3628</v>
      </c>
      <c r="H8" s="52">
        <v>12580</v>
      </c>
      <c r="I8" s="54">
        <f t="shared" si="1"/>
        <v>457.44</v>
      </c>
      <c r="J8" s="55">
        <f t="shared" si="2"/>
        <v>112350</v>
      </c>
      <c r="K8" s="56">
        <f t="shared" si="3"/>
        <v>4494</v>
      </c>
      <c r="L8" s="57"/>
      <c r="M8" s="58">
        <f t="shared" si="4"/>
        <v>18</v>
      </c>
      <c r="N8" s="59">
        <f t="shared" si="4"/>
        <v>135200</v>
      </c>
      <c r="O8" s="53">
        <f t="shared" si="5"/>
        <v>6828.2777777777774</v>
      </c>
      <c r="P8" s="59">
        <f t="shared" si="6"/>
        <v>36400</v>
      </c>
      <c r="Q8" s="54">
        <f t="shared" si="7"/>
        <v>1838.3333333333333</v>
      </c>
      <c r="R8" s="60">
        <f t="shared" si="8"/>
        <v>171600</v>
      </c>
      <c r="S8" s="56">
        <f t="shared" si="9"/>
        <v>9533.3333333333339</v>
      </c>
      <c r="T8" s="80">
        <f t="shared" si="10"/>
        <v>43</v>
      </c>
      <c r="U8" s="59">
        <f t="shared" si="10"/>
        <v>234970</v>
      </c>
      <c r="V8" s="59">
        <f t="shared" si="11"/>
        <v>48980</v>
      </c>
      <c r="W8" s="62">
        <f t="shared" si="12"/>
        <v>283950</v>
      </c>
      <c r="X8" s="81"/>
      <c r="Y8" s="63"/>
      <c r="Z8" s="64">
        <v>2</v>
      </c>
      <c r="AA8" s="52">
        <v>800</v>
      </c>
      <c r="AB8" s="53">
        <f t="shared" si="13"/>
        <v>400</v>
      </c>
      <c r="AC8" s="52">
        <v>500</v>
      </c>
      <c r="AD8" s="54">
        <f t="shared" si="14"/>
        <v>250</v>
      </c>
      <c r="AE8" s="65">
        <f t="shared" si="15"/>
        <v>1300</v>
      </c>
      <c r="AF8" s="56">
        <f t="shared" si="16"/>
        <v>650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43</v>
      </c>
      <c r="AY8" s="59">
        <f t="shared" si="24"/>
        <v>235770</v>
      </c>
      <c r="AZ8" s="59">
        <f t="shared" si="25"/>
        <v>49480</v>
      </c>
      <c r="BA8" s="71">
        <f t="shared" si="26"/>
        <v>285250</v>
      </c>
      <c r="BB8" s="72">
        <f t="shared" si="31"/>
        <v>0</v>
      </c>
      <c r="BC8" s="73">
        <v>43</v>
      </c>
      <c r="BD8" s="74">
        <v>234970</v>
      </c>
      <c r="BE8" s="74">
        <v>48980</v>
      </c>
      <c r="BF8" s="75"/>
      <c r="BG8" s="75"/>
      <c r="BH8" s="75"/>
      <c r="BI8" s="75"/>
      <c r="BJ8" s="76">
        <f t="shared" si="32"/>
        <v>283950</v>
      </c>
      <c r="BK8" s="47">
        <v>4</v>
      </c>
      <c r="BL8" s="77">
        <f t="shared" si="27"/>
        <v>283950</v>
      </c>
    </row>
    <row r="9" spans="1:64" ht="20" customHeight="1">
      <c r="B9" s="78">
        <f t="shared" si="28"/>
        <v>45204</v>
      </c>
      <c r="C9" s="79"/>
      <c r="D9" s="50"/>
      <c r="E9" s="51">
        <v>30</v>
      </c>
      <c r="F9" s="52">
        <v>130350</v>
      </c>
      <c r="G9" s="53">
        <f t="shared" si="0"/>
        <v>3950</v>
      </c>
      <c r="H9" s="52">
        <v>12780</v>
      </c>
      <c r="I9" s="54">
        <f t="shared" si="1"/>
        <v>387.26666666666665</v>
      </c>
      <c r="J9" s="55">
        <f t="shared" si="2"/>
        <v>143130</v>
      </c>
      <c r="K9" s="56">
        <f t="shared" si="3"/>
        <v>4771</v>
      </c>
      <c r="L9" s="57"/>
      <c r="M9" s="58">
        <f t="shared" si="4"/>
        <v>20</v>
      </c>
      <c r="N9" s="59">
        <f t="shared" si="4"/>
        <v>220000</v>
      </c>
      <c r="O9" s="53">
        <f t="shared" si="5"/>
        <v>10000</v>
      </c>
      <c r="P9" s="59">
        <f t="shared" si="6"/>
        <v>43280</v>
      </c>
      <c r="Q9" s="54">
        <f t="shared" si="7"/>
        <v>1967.25</v>
      </c>
      <c r="R9" s="60">
        <f t="shared" si="8"/>
        <v>263280</v>
      </c>
      <c r="S9" s="56">
        <f t="shared" si="9"/>
        <v>13164</v>
      </c>
      <c r="T9" s="80">
        <f t="shared" si="10"/>
        <v>50</v>
      </c>
      <c r="U9" s="59">
        <f t="shared" si="10"/>
        <v>350350</v>
      </c>
      <c r="V9" s="59">
        <f t="shared" si="11"/>
        <v>56060</v>
      </c>
      <c r="W9" s="62">
        <f t="shared" si="12"/>
        <v>406410</v>
      </c>
      <c r="X9" s="81"/>
      <c r="Y9" s="63"/>
      <c r="Z9" s="64">
        <v>5</v>
      </c>
      <c r="AA9" s="52">
        <v>550</v>
      </c>
      <c r="AB9" s="53">
        <f t="shared" si="13"/>
        <v>110</v>
      </c>
      <c r="AC9" s="52">
        <v>2500</v>
      </c>
      <c r="AD9" s="54">
        <f t="shared" si="14"/>
        <v>500</v>
      </c>
      <c r="AE9" s="65">
        <f t="shared" si="15"/>
        <v>3050</v>
      </c>
      <c r="AF9" s="56">
        <f t="shared" si="16"/>
        <v>610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50</v>
      </c>
      <c r="AY9" s="59">
        <f t="shared" si="24"/>
        <v>350900</v>
      </c>
      <c r="AZ9" s="59">
        <f t="shared" si="25"/>
        <v>58560</v>
      </c>
      <c r="BA9" s="71">
        <f t="shared" si="26"/>
        <v>409460</v>
      </c>
      <c r="BB9" s="72">
        <f t="shared" si="31"/>
        <v>0</v>
      </c>
      <c r="BC9" s="73">
        <v>50</v>
      </c>
      <c r="BD9" s="74">
        <v>350350</v>
      </c>
      <c r="BE9" s="74">
        <v>56060</v>
      </c>
      <c r="BF9" s="75"/>
      <c r="BG9" s="75"/>
      <c r="BH9" s="75"/>
      <c r="BI9" s="75"/>
      <c r="BJ9" s="76">
        <f t="shared" si="32"/>
        <v>406410</v>
      </c>
      <c r="BK9" s="47">
        <v>5</v>
      </c>
      <c r="BL9" s="77">
        <f t="shared" si="27"/>
        <v>406410</v>
      </c>
    </row>
    <row r="10" spans="1:64" ht="20" customHeight="1">
      <c r="B10" s="78">
        <f t="shared" si="28"/>
        <v>45205</v>
      </c>
      <c r="C10" s="79"/>
      <c r="D10" s="50"/>
      <c r="E10" s="51">
        <v>24</v>
      </c>
      <c r="F10" s="52">
        <v>84040</v>
      </c>
      <c r="G10" s="53">
        <f t="shared" si="0"/>
        <v>3183.3333333333335</v>
      </c>
      <c r="H10" s="52">
        <v>6810</v>
      </c>
      <c r="I10" s="54">
        <f t="shared" si="1"/>
        <v>257.91666666666669</v>
      </c>
      <c r="J10" s="55">
        <f t="shared" si="2"/>
        <v>90850</v>
      </c>
      <c r="K10" s="56">
        <f t="shared" si="3"/>
        <v>3785.4166666666665</v>
      </c>
      <c r="L10" s="57"/>
      <c r="M10" s="58">
        <f t="shared" si="4"/>
        <v>26</v>
      </c>
      <c r="N10" s="59">
        <f t="shared" si="4"/>
        <v>223850</v>
      </c>
      <c r="O10" s="53">
        <f t="shared" si="5"/>
        <v>7826.9230769230771</v>
      </c>
      <c r="P10" s="59">
        <f t="shared" si="6"/>
        <v>70240</v>
      </c>
      <c r="Q10" s="54">
        <f t="shared" si="7"/>
        <v>2455.9230769230771</v>
      </c>
      <c r="R10" s="60">
        <f t="shared" si="8"/>
        <v>294090</v>
      </c>
      <c r="S10" s="56">
        <f t="shared" si="9"/>
        <v>11311.153846153846</v>
      </c>
      <c r="T10" s="80">
        <f t="shared" si="10"/>
        <v>50</v>
      </c>
      <c r="U10" s="59">
        <f t="shared" si="10"/>
        <v>307890</v>
      </c>
      <c r="V10" s="59">
        <f t="shared" si="11"/>
        <v>77050</v>
      </c>
      <c r="W10" s="62">
        <f t="shared" si="12"/>
        <v>384940</v>
      </c>
      <c r="X10" s="81"/>
      <c r="Y10" s="63"/>
      <c r="Z10" s="64">
        <v>5</v>
      </c>
      <c r="AA10" s="52">
        <v>900</v>
      </c>
      <c r="AB10" s="53">
        <f t="shared" si="13"/>
        <v>180</v>
      </c>
      <c r="AC10" s="52">
        <v>2500</v>
      </c>
      <c r="AD10" s="54">
        <f t="shared" si="14"/>
        <v>500</v>
      </c>
      <c r="AE10" s="65">
        <f t="shared" si="15"/>
        <v>3400</v>
      </c>
      <c r="AF10" s="56">
        <f t="shared" si="16"/>
        <v>680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50</v>
      </c>
      <c r="AY10" s="59">
        <f t="shared" si="24"/>
        <v>308790</v>
      </c>
      <c r="AZ10" s="59">
        <f t="shared" si="25"/>
        <v>79550</v>
      </c>
      <c r="BA10" s="71">
        <f t="shared" si="26"/>
        <v>388340</v>
      </c>
      <c r="BB10" s="72">
        <f t="shared" si="31"/>
        <v>0</v>
      </c>
      <c r="BC10" s="73">
        <v>50</v>
      </c>
      <c r="BD10" s="74">
        <v>307890</v>
      </c>
      <c r="BE10" s="74">
        <v>77050</v>
      </c>
      <c r="BF10" s="75"/>
      <c r="BG10" s="75"/>
      <c r="BH10" s="75"/>
      <c r="BI10" s="75"/>
      <c r="BJ10" s="76">
        <f t="shared" si="32"/>
        <v>384940</v>
      </c>
      <c r="BK10" s="47">
        <v>6</v>
      </c>
      <c r="BL10" s="77">
        <f t="shared" si="27"/>
        <v>384940</v>
      </c>
    </row>
    <row r="11" spans="1:64" ht="20" customHeight="1">
      <c r="B11" s="78">
        <f t="shared" si="28"/>
        <v>45206</v>
      </c>
      <c r="C11" s="79"/>
      <c r="D11" s="50"/>
      <c r="E11" s="51">
        <v>30</v>
      </c>
      <c r="F11" s="52">
        <v>126720</v>
      </c>
      <c r="G11" s="53">
        <f t="shared" si="0"/>
        <v>3840</v>
      </c>
      <c r="H11" s="52">
        <v>19660</v>
      </c>
      <c r="I11" s="54">
        <f t="shared" si="1"/>
        <v>595.73333333333335</v>
      </c>
      <c r="J11" s="55">
        <f t="shared" si="2"/>
        <v>146380</v>
      </c>
      <c r="K11" s="56">
        <f t="shared" si="3"/>
        <v>4879.333333333333</v>
      </c>
      <c r="L11" s="57"/>
      <c r="M11" s="58">
        <f t="shared" si="4"/>
        <v>30</v>
      </c>
      <c r="N11" s="59">
        <f t="shared" si="4"/>
        <v>242420</v>
      </c>
      <c r="O11" s="53">
        <f t="shared" si="5"/>
        <v>7346.0333333333338</v>
      </c>
      <c r="P11" s="59">
        <f t="shared" si="6"/>
        <v>34880</v>
      </c>
      <c r="Q11" s="54">
        <f t="shared" si="7"/>
        <v>1056.9666666666667</v>
      </c>
      <c r="R11" s="60">
        <f t="shared" si="8"/>
        <v>277300</v>
      </c>
      <c r="S11" s="56">
        <f t="shared" si="9"/>
        <v>9243.3333333333339</v>
      </c>
      <c r="T11" s="80">
        <f t="shared" si="10"/>
        <v>60</v>
      </c>
      <c r="U11" s="59">
        <f t="shared" si="10"/>
        <v>369140</v>
      </c>
      <c r="V11" s="59">
        <f t="shared" si="11"/>
        <v>54540</v>
      </c>
      <c r="W11" s="62">
        <f t="shared" si="12"/>
        <v>423680</v>
      </c>
      <c r="X11" s="81"/>
      <c r="Y11" s="63"/>
      <c r="Z11" s="64">
        <v>24</v>
      </c>
      <c r="AA11" s="52">
        <v>13840</v>
      </c>
      <c r="AB11" s="53">
        <f t="shared" si="13"/>
        <v>576.66666666666663</v>
      </c>
      <c r="AC11" s="52">
        <v>3500</v>
      </c>
      <c r="AD11" s="54">
        <f t="shared" si="14"/>
        <v>145.83333333333334</v>
      </c>
      <c r="AE11" s="65">
        <f t="shared" si="15"/>
        <v>17340</v>
      </c>
      <c r="AF11" s="56">
        <f t="shared" si="16"/>
        <v>722.5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60</v>
      </c>
      <c r="AY11" s="59">
        <f t="shared" si="24"/>
        <v>382980</v>
      </c>
      <c r="AZ11" s="59">
        <f t="shared" si="25"/>
        <v>58040</v>
      </c>
      <c r="BA11" s="71">
        <f t="shared" si="26"/>
        <v>441020</v>
      </c>
      <c r="BB11" s="72">
        <f t="shared" si="31"/>
        <v>3850</v>
      </c>
      <c r="BC11" s="73">
        <v>60</v>
      </c>
      <c r="BD11" s="74">
        <v>369140</v>
      </c>
      <c r="BE11" s="74">
        <v>54540</v>
      </c>
      <c r="BF11" s="75">
        <v>3850</v>
      </c>
      <c r="BG11" s="75"/>
      <c r="BH11" s="75"/>
      <c r="BI11" s="75"/>
      <c r="BJ11" s="76">
        <f t="shared" si="32"/>
        <v>427530</v>
      </c>
      <c r="BK11" s="47">
        <v>7</v>
      </c>
      <c r="BL11" s="77">
        <f t="shared" si="27"/>
        <v>427530</v>
      </c>
    </row>
    <row r="12" spans="1:64" ht="20" customHeight="1">
      <c r="B12" s="78">
        <f t="shared" si="28"/>
        <v>45207</v>
      </c>
      <c r="C12" s="83"/>
      <c r="D12" s="50"/>
      <c r="E12" s="51">
        <v>30</v>
      </c>
      <c r="F12" s="52">
        <v>143000</v>
      </c>
      <c r="G12" s="53">
        <f t="shared" si="0"/>
        <v>4333.333333333333</v>
      </c>
      <c r="H12" s="52">
        <v>27970</v>
      </c>
      <c r="I12" s="54">
        <f t="shared" si="1"/>
        <v>847.56666666666672</v>
      </c>
      <c r="J12" s="55">
        <f t="shared" si="2"/>
        <v>170970</v>
      </c>
      <c r="K12" s="56">
        <f t="shared" si="3"/>
        <v>5699</v>
      </c>
      <c r="L12" s="57"/>
      <c r="M12" s="58">
        <f t="shared" si="4"/>
        <v>30</v>
      </c>
      <c r="N12" s="59">
        <f t="shared" si="4"/>
        <v>291370</v>
      </c>
      <c r="O12" s="53">
        <f t="shared" si="5"/>
        <v>8829.3666666666668</v>
      </c>
      <c r="P12" s="59">
        <f t="shared" si="6"/>
        <v>49270</v>
      </c>
      <c r="Q12" s="84">
        <f t="shared" si="7"/>
        <v>1493</v>
      </c>
      <c r="R12" s="60">
        <f t="shared" si="8"/>
        <v>340640</v>
      </c>
      <c r="S12" s="56">
        <f t="shared" si="9"/>
        <v>11354.666666666666</v>
      </c>
      <c r="T12" s="80">
        <f t="shared" si="10"/>
        <v>60</v>
      </c>
      <c r="U12" s="59">
        <f t="shared" si="10"/>
        <v>434370</v>
      </c>
      <c r="V12" s="59">
        <f t="shared" si="11"/>
        <v>77240</v>
      </c>
      <c r="W12" s="62">
        <f t="shared" si="12"/>
        <v>511610</v>
      </c>
      <c r="X12" s="81"/>
      <c r="Y12" s="63"/>
      <c r="Z12" s="64">
        <v>13</v>
      </c>
      <c r="AA12" s="52">
        <v>6760</v>
      </c>
      <c r="AB12" s="53">
        <f t="shared" si="13"/>
        <v>520</v>
      </c>
      <c r="AC12" s="52">
        <v>5500</v>
      </c>
      <c r="AD12" s="54">
        <f t="shared" si="14"/>
        <v>423.07692307692309</v>
      </c>
      <c r="AE12" s="65">
        <f t="shared" si="15"/>
        <v>12260</v>
      </c>
      <c r="AF12" s="56">
        <f t="shared" si="16"/>
        <v>943.07692307692309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60</v>
      </c>
      <c r="AY12" s="59">
        <f t="shared" si="24"/>
        <v>441130</v>
      </c>
      <c r="AZ12" s="59">
        <f t="shared" si="25"/>
        <v>82740</v>
      </c>
      <c r="BA12" s="71">
        <f t="shared" si="26"/>
        <v>523870</v>
      </c>
      <c r="BB12" s="72">
        <f t="shared" si="31"/>
        <v>14300</v>
      </c>
      <c r="BC12" s="73">
        <v>60</v>
      </c>
      <c r="BD12" s="74">
        <v>434370</v>
      </c>
      <c r="BE12" s="74">
        <v>77240</v>
      </c>
      <c r="BF12" s="75">
        <v>14300</v>
      </c>
      <c r="BG12" s="75"/>
      <c r="BH12" s="75"/>
      <c r="BI12" s="75"/>
      <c r="BJ12" s="76">
        <f t="shared" si="32"/>
        <v>525910</v>
      </c>
      <c r="BK12" s="47">
        <v>8</v>
      </c>
      <c r="BL12" s="77">
        <f t="shared" si="27"/>
        <v>525910</v>
      </c>
    </row>
    <row r="13" spans="1:64" ht="20" customHeight="1">
      <c r="B13" s="78">
        <f t="shared" si="28"/>
        <v>45208</v>
      </c>
      <c r="C13" s="79"/>
      <c r="D13" s="50"/>
      <c r="E13" s="51">
        <v>30</v>
      </c>
      <c r="F13" s="52">
        <v>136620</v>
      </c>
      <c r="G13" s="53">
        <f t="shared" si="0"/>
        <v>4140</v>
      </c>
      <c r="H13" s="52">
        <v>27110</v>
      </c>
      <c r="I13" s="54">
        <f t="shared" si="1"/>
        <v>821.5</v>
      </c>
      <c r="J13" s="55">
        <f t="shared" si="2"/>
        <v>163730</v>
      </c>
      <c r="K13" s="56">
        <f t="shared" si="3"/>
        <v>5457.666666666667</v>
      </c>
      <c r="L13" s="57"/>
      <c r="M13" s="58">
        <f t="shared" si="4"/>
        <v>12</v>
      </c>
      <c r="N13" s="59">
        <f t="shared" si="4"/>
        <v>85580</v>
      </c>
      <c r="O13" s="53">
        <f t="shared" si="5"/>
        <v>6483.333333333333</v>
      </c>
      <c r="P13" s="59">
        <f t="shared" si="6"/>
        <v>19410</v>
      </c>
      <c r="Q13" s="54">
        <f t="shared" si="7"/>
        <v>1470.4166666666667</v>
      </c>
      <c r="R13" s="60">
        <f t="shared" si="8"/>
        <v>104990</v>
      </c>
      <c r="S13" s="56">
        <f t="shared" si="9"/>
        <v>8749.1666666666661</v>
      </c>
      <c r="T13" s="80">
        <f t="shared" si="10"/>
        <v>42</v>
      </c>
      <c r="U13" s="59">
        <f t="shared" si="10"/>
        <v>222200</v>
      </c>
      <c r="V13" s="59">
        <f t="shared" si="11"/>
        <v>46520</v>
      </c>
      <c r="W13" s="62">
        <f t="shared" si="12"/>
        <v>268720</v>
      </c>
      <c r="X13" s="81"/>
      <c r="Y13" s="63"/>
      <c r="Z13" s="64">
        <v>7</v>
      </c>
      <c r="AA13" s="52">
        <v>3600</v>
      </c>
      <c r="AB13" s="53">
        <f t="shared" si="13"/>
        <v>514.28571428571433</v>
      </c>
      <c r="AC13" s="52">
        <v>500</v>
      </c>
      <c r="AD13" s="54">
        <f t="shared" si="14"/>
        <v>71.428571428571431</v>
      </c>
      <c r="AE13" s="65">
        <f t="shared" si="15"/>
        <v>4100</v>
      </c>
      <c r="AF13" s="56">
        <f t="shared" si="16"/>
        <v>585.71428571428567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42</v>
      </c>
      <c r="AY13" s="59">
        <f t="shared" si="24"/>
        <v>225800</v>
      </c>
      <c r="AZ13" s="59">
        <f t="shared" si="25"/>
        <v>47020</v>
      </c>
      <c r="BA13" s="71">
        <f t="shared" si="26"/>
        <v>272820</v>
      </c>
      <c r="BB13" s="72">
        <f t="shared" si="31"/>
        <v>0</v>
      </c>
      <c r="BC13" s="73">
        <v>42</v>
      </c>
      <c r="BD13" s="74">
        <v>222200</v>
      </c>
      <c r="BE13" s="74">
        <v>46520</v>
      </c>
      <c r="BF13" s="75"/>
      <c r="BG13" s="75"/>
      <c r="BH13" s="75"/>
      <c r="BI13" s="75"/>
      <c r="BJ13" s="76">
        <f t="shared" si="32"/>
        <v>268720</v>
      </c>
      <c r="BK13" s="47">
        <v>9</v>
      </c>
      <c r="BL13" s="77">
        <f t="shared" si="27"/>
        <v>268720</v>
      </c>
    </row>
    <row r="14" spans="1:64" ht="20" customHeight="1">
      <c r="B14" s="78">
        <f t="shared" si="28"/>
        <v>45209</v>
      </c>
      <c r="C14" s="79"/>
      <c r="D14" s="50"/>
      <c r="E14" s="51">
        <v>22</v>
      </c>
      <c r="F14" s="52">
        <v>109120</v>
      </c>
      <c r="G14" s="53">
        <f t="shared" si="0"/>
        <v>4509.090909090909</v>
      </c>
      <c r="H14" s="52">
        <v>9260</v>
      </c>
      <c r="I14" s="54">
        <f t="shared" si="1"/>
        <v>382.63636363636363</v>
      </c>
      <c r="J14" s="55">
        <f t="shared" si="2"/>
        <v>118380</v>
      </c>
      <c r="K14" s="56">
        <f t="shared" si="3"/>
        <v>5380.909090909091</v>
      </c>
      <c r="L14" s="57"/>
      <c r="M14" s="58">
        <f t="shared" si="4"/>
        <v>14</v>
      </c>
      <c r="N14" s="59">
        <f t="shared" si="4"/>
        <v>119240</v>
      </c>
      <c r="O14" s="53">
        <f t="shared" si="5"/>
        <v>7742.8571428571431</v>
      </c>
      <c r="P14" s="59">
        <f t="shared" si="6"/>
        <v>44160</v>
      </c>
      <c r="Q14" s="54">
        <f t="shared" si="7"/>
        <v>2867.5</v>
      </c>
      <c r="R14" s="60">
        <f t="shared" si="8"/>
        <v>163400</v>
      </c>
      <c r="S14" s="56">
        <f t="shared" si="9"/>
        <v>11671.428571428571</v>
      </c>
      <c r="T14" s="80">
        <f t="shared" si="10"/>
        <v>36</v>
      </c>
      <c r="U14" s="59">
        <f t="shared" si="10"/>
        <v>228360</v>
      </c>
      <c r="V14" s="59">
        <f t="shared" si="11"/>
        <v>53420</v>
      </c>
      <c r="W14" s="62">
        <f t="shared" si="12"/>
        <v>281780</v>
      </c>
      <c r="X14" s="81"/>
      <c r="Y14" s="63"/>
      <c r="Z14" s="64">
        <v>8</v>
      </c>
      <c r="AA14" s="52">
        <v>4000</v>
      </c>
      <c r="AB14" s="53">
        <f t="shared" si="13"/>
        <v>500</v>
      </c>
      <c r="AC14" s="52">
        <v>2750</v>
      </c>
      <c r="AD14" s="54">
        <f t="shared" si="14"/>
        <v>343.75</v>
      </c>
      <c r="AE14" s="65">
        <f t="shared" si="15"/>
        <v>6750</v>
      </c>
      <c r="AF14" s="56">
        <f t="shared" si="16"/>
        <v>843.75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36</v>
      </c>
      <c r="AY14" s="59">
        <f t="shared" si="24"/>
        <v>232360</v>
      </c>
      <c r="AZ14" s="59">
        <f t="shared" si="25"/>
        <v>56170</v>
      </c>
      <c r="BA14" s="71">
        <f t="shared" si="26"/>
        <v>288530</v>
      </c>
      <c r="BB14" s="72">
        <f t="shared" si="31"/>
        <v>9900</v>
      </c>
      <c r="BC14" s="73">
        <v>36</v>
      </c>
      <c r="BD14" s="74">
        <v>228360</v>
      </c>
      <c r="BE14" s="74">
        <v>53420</v>
      </c>
      <c r="BF14" s="75">
        <v>9900</v>
      </c>
      <c r="BG14" s="75"/>
      <c r="BH14" s="75"/>
      <c r="BI14" s="75"/>
      <c r="BJ14" s="76">
        <f t="shared" si="32"/>
        <v>291680</v>
      </c>
      <c r="BK14" s="47">
        <v>10</v>
      </c>
      <c r="BL14" s="77">
        <f t="shared" si="27"/>
        <v>291680</v>
      </c>
    </row>
    <row r="15" spans="1:64" ht="20" customHeight="1">
      <c r="B15" s="78">
        <f t="shared" si="28"/>
        <v>45210</v>
      </c>
      <c r="C15" s="83"/>
      <c r="D15" s="50"/>
      <c r="E15" s="51">
        <v>27</v>
      </c>
      <c r="F15" s="52">
        <v>92950</v>
      </c>
      <c r="G15" s="53">
        <f t="shared" si="0"/>
        <v>3129.6296296296296</v>
      </c>
      <c r="H15" s="52">
        <v>5170</v>
      </c>
      <c r="I15" s="54">
        <f t="shared" si="1"/>
        <v>174.07407407407408</v>
      </c>
      <c r="J15" s="55">
        <f t="shared" si="2"/>
        <v>98120</v>
      </c>
      <c r="K15" s="56">
        <f t="shared" si="3"/>
        <v>3634.0740740740739</v>
      </c>
      <c r="L15" s="57"/>
      <c r="M15" s="58">
        <f t="shared" si="4"/>
        <v>9</v>
      </c>
      <c r="N15" s="59">
        <f t="shared" si="4"/>
        <v>92400</v>
      </c>
      <c r="O15" s="53">
        <f t="shared" si="5"/>
        <v>9333.3333333333339</v>
      </c>
      <c r="P15" s="59">
        <f t="shared" si="6"/>
        <v>41860</v>
      </c>
      <c r="Q15" s="54">
        <f t="shared" si="7"/>
        <v>4228.2222222222226</v>
      </c>
      <c r="R15" s="60">
        <f t="shared" si="8"/>
        <v>134260</v>
      </c>
      <c r="S15" s="56">
        <f t="shared" si="9"/>
        <v>14917.777777777777</v>
      </c>
      <c r="T15" s="80">
        <f t="shared" si="10"/>
        <v>36</v>
      </c>
      <c r="U15" s="59">
        <f t="shared" si="10"/>
        <v>185350</v>
      </c>
      <c r="V15" s="59">
        <f t="shared" si="11"/>
        <v>47030</v>
      </c>
      <c r="W15" s="62">
        <f t="shared" si="12"/>
        <v>232380</v>
      </c>
      <c r="X15" s="81"/>
      <c r="Y15" s="63"/>
      <c r="Z15" s="64">
        <v>7</v>
      </c>
      <c r="AA15" s="52">
        <v>3600</v>
      </c>
      <c r="AB15" s="53">
        <f t="shared" si="13"/>
        <v>514.28571428571433</v>
      </c>
      <c r="AC15" s="52">
        <v>500</v>
      </c>
      <c r="AD15" s="54">
        <f t="shared" si="14"/>
        <v>71.428571428571431</v>
      </c>
      <c r="AE15" s="65">
        <f t="shared" si="15"/>
        <v>4100</v>
      </c>
      <c r="AF15" s="56">
        <f t="shared" si="16"/>
        <v>585.71428571428567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36</v>
      </c>
      <c r="AY15" s="59">
        <f t="shared" si="24"/>
        <v>188950</v>
      </c>
      <c r="AZ15" s="59">
        <f t="shared" si="25"/>
        <v>47530</v>
      </c>
      <c r="BA15" s="71">
        <f t="shared" si="26"/>
        <v>236480</v>
      </c>
      <c r="BB15" s="72">
        <f t="shared" si="31"/>
        <v>0</v>
      </c>
      <c r="BC15" s="73">
        <v>36</v>
      </c>
      <c r="BD15" s="74">
        <v>185350</v>
      </c>
      <c r="BE15" s="74">
        <v>47030</v>
      </c>
      <c r="BF15" s="75"/>
      <c r="BG15" s="75"/>
      <c r="BH15" s="75"/>
      <c r="BI15" s="75"/>
      <c r="BJ15" s="76">
        <f t="shared" si="32"/>
        <v>232380</v>
      </c>
      <c r="BK15" s="47">
        <v>11</v>
      </c>
      <c r="BL15" s="77">
        <f t="shared" si="27"/>
        <v>232380</v>
      </c>
    </row>
    <row r="16" spans="1:64" ht="20" customHeight="1">
      <c r="B16" s="78">
        <f t="shared" si="28"/>
        <v>45211</v>
      </c>
      <c r="C16" s="79"/>
      <c r="D16" s="50"/>
      <c r="E16" s="51">
        <v>25</v>
      </c>
      <c r="F16" s="52">
        <v>97460</v>
      </c>
      <c r="G16" s="53">
        <f t="shared" si="0"/>
        <v>3544</v>
      </c>
      <c r="H16" s="52">
        <v>12590</v>
      </c>
      <c r="I16" s="54">
        <f t="shared" si="1"/>
        <v>457.8</v>
      </c>
      <c r="J16" s="55">
        <f t="shared" si="2"/>
        <v>110050</v>
      </c>
      <c r="K16" s="56">
        <f t="shared" si="3"/>
        <v>4402</v>
      </c>
      <c r="L16" s="57"/>
      <c r="M16" s="58">
        <f t="shared" si="4"/>
        <v>5</v>
      </c>
      <c r="N16" s="59">
        <f t="shared" si="4"/>
        <v>42240</v>
      </c>
      <c r="O16" s="53">
        <f t="shared" si="5"/>
        <v>7680</v>
      </c>
      <c r="P16" s="59">
        <f t="shared" si="6"/>
        <v>3280</v>
      </c>
      <c r="Q16" s="54">
        <f t="shared" si="7"/>
        <v>596.20000000000005</v>
      </c>
      <c r="R16" s="60">
        <f t="shared" si="8"/>
        <v>45520</v>
      </c>
      <c r="S16" s="56">
        <f t="shared" si="9"/>
        <v>9104</v>
      </c>
      <c r="T16" s="80">
        <f t="shared" si="10"/>
        <v>30</v>
      </c>
      <c r="U16" s="59">
        <f t="shared" si="10"/>
        <v>139700</v>
      </c>
      <c r="V16" s="59">
        <f t="shared" si="11"/>
        <v>15870</v>
      </c>
      <c r="W16" s="62">
        <f t="shared" si="12"/>
        <v>155570</v>
      </c>
      <c r="X16" s="81"/>
      <c r="Y16" s="63"/>
      <c r="Z16" s="64">
        <v>4</v>
      </c>
      <c r="AA16" s="52">
        <v>3040</v>
      </c>
      <c r="AB16" s="53">
        <f t="shared" si="13"/>
        <v>760</v>
      </c>
      <c r="AC16" s="52">
        <v>2000</v>
      </c>
      <c r="AD16" s="54">
        <f t="shared" si="14"/>
        <v>500</v>
      </c>
      <c r="AE16" s="65">
        <f t="shared" si="15"/>
        <v>5040</v>
      </c>
      <c r="AF16" s="56">
        <f t="shared" si="16"/>
        <v>1260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30</v>
      </c>
      <c r="AY16" s="59">
        <f t="shared" si="24"/>
        <v>142740</v>
      </c>
      <c r="AZ16" s="59">
        <f t="shared" si="25"/>
        <v>17870</v>
      </c>
      <c r="BA16" s="71">
        <f t="shared" si="26"/>
        <v>160610</v>
      </c>
      <c r="BB16" s="72">
        <f t="shared" si="31"/>
        <v>1650</v>
      </c>
      <c r="BC16" s="73">
        <v>30</v>
      </c>
      <c r="BD16" s="74">
        <v>139700</v>
      </c>
      <c r="BE16" s="74">
        <v>15870</v>
      </c>
      <c r="BF16" s="75">
        <v>1650</v>
      </c>
      <c r="BG16" s="75"/>
      <c r="BH16" s="75"/>
      <c r="BI16" s="75"/>
      <c r="BJ16" s="76">
        <f t="shared" si="32"/>
        <v>157220</v>
      </c>
      <c r="BK16" s="47">
        <v>12</v>
      </c>
      <c r="BL16" s="77">
        <f t="shared" si="27"/>
        <v>157220</v>
      </c>
    </row>
    <row r="17" spans="2:64" ht="20" customHeight="1">
      <c r="B17" s="78">
        <f t="shared" si="28"/>
        <v>45212</v>
      </c>
      <c r="C17" s="83"/>
      <c r="D17" s="50"/>
      <c r="E17" s="51">
        <v>27</v>
      </c>
      <c r="F17" s="52">
        <v>104280</v>
      </c>
      <c r="G17" s="53">
        <f t="shared" si="0"/>
        <v>3511.1111111111113</v>
      </c>
      <c r="H17" s="52">
        <v>10990</v>
      </c>
      <c r="I17" s="54">
        <f t="shared" si="1"/>
        <v>370</v>
      </c>
      <c r="J17" s="55">
        <f t="shared" si="2"/>
        <v>115270</v>
      </c>
      <c r="K17" s="56">
        <f t="shared" si="3"/>
        <v>4269.2592592592591</v>
      </c>
      <c r="L17" s="57"/>
      <c r="M17" s="58">
        <f t="shared" si="4"/>
        <v>28</v>
      </c>
      <c r="N17" s="59">
        <f t="shared" si="4"/>
        <v>188430</v>
      </c>
      <c r="O17" s="53">
        <f t="shared" si="5"/>
        <v>6117.8571428571431</v>
      </c>
      <c r="P17" s="59">
        <f t="shared" si="6"/>
        <v>37830</v>
      </c>
      <c r="Q17" s="54">
        <f t="shared" si="7"/>
        <v>1228.2142857142858</v>
      </c>
      <c r="R17" s="60">
        <f t="shared" si="8"/>
        <v>226260</v>
      </c>
      <c r="S17" s="56">
        <f t="shared" si="9"/>
        <v>8080.7142857142853</v>
      </c>
      <c r="T17" s="80">
        <f>E17+M17</f>
        <v>55</v>
      </c>
      <c r="U17" s="59">
        <f t="shared" si="10"/>
        <v>292710</v>
      </c>
      <c r="V17" s="59">
        <f t="shared" si="11"/>
        <v>48820</v>
      </c>
      <c r="W17" s="62">
        <f t="shared" si="12"/>
        <v>341530</v>
      </c>
      <c r="X17" s="81"/>
      <c r="Y17" s="63"/>
      <c r="Z17" s="64">
        <v>8</v>
      </c>
      <c r="AA17" s="52">
        <v>3830</v>
      </c>
      <c r="AB17" s="53">
        <f t="shared" si="13"/>
        <v>478.75</v>
      </c>
      <c r="AC17" s="52">
        <v>1000</v>
      </c>
      <c r="AD17" s="54">
        <f t="shared" si="14"/>
        <v>125</v>
      </c>
      <c r="AE17" s="65">
        <f t="shared" si="15"/>
        <v>4830</v>
      </c>
      <c r="AF17" s="56">
        <f t="shared" si="16"/>
        <v>603.75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55</v>
      </c>
      <c r="AY17" s="59">
        <f t="shared" si="24"/>
        <v>296540</v>
      </c>
      <c r="AZ17" s="59">
        <f t="shared" si="25"/>
        <v>49820</v>
      </c>
      <c r="BA17" s="71">
        <f t="shared" si="26"/>
        <v>346360</v>
      </c>
      <c r="BB17" s="72">
        <f t="shared" si="31"/>
        <v>2200</v>
      </c>
      <c r="BC17" s="73">
        <v>55</v>
      </c>
      <c r="BD17" s="74">
        <v>292710</v>
      </c>
      <c r="BE17" s="74">
        <v>48820</v>
      </c>
      <c r="BF17" s="75">
        <v>2200</v>
      </c>
      <c r="BG17" s="75"/>
      <c r="BH17" s="75"/>
      <c r="BI17" s="75"/>
      <c r="BJ17" s="76">
        <f t="shared" si="32"/>
        <v>343730</v>
      </c>
      <c r="BK17" s="47">
        <v>13</v>
      </c>
      <c r="BL17" s="77">
        <f t="shared" si="27"/>
        <v>343730</v>
      </c>
    </row>
    <row r="18" spans="2:64" ht="20" customHeight="1">
      <c r="B18" s="78">
        <f t="shared" si="28"/>
        <v>45213</v>
      </c>
      <c r="C18" s="79"/>
      <c r="D18" s="50"/>
      <c r="E18" s="51">
        <v>35</v>
      </c>
      <c r="F18" s="52">
        <v>145420</v>
      </c>
      <c r="G18" s="53">
        <f t="shared" si="0"/>
        <v>3777.1428571428573</v>
      </c>
      <c r="H18" s="52">
        <v>26730</v>
      </c>
      <c r="I18" s="54">
        <f t="shared" si="1"/>
        <v>694.28571428571433</v>
      </c>
      <c r="J18" s="55">
        <f t="shared" si="2"/>
        <v>172150</v>
      </c>
      <c r="K18" s="56">
        <f t="shared" si="3"/>
        <v>4918.5714285714284</v>
      </c>
      <c r="L18" s="57"/>
      <c r="M18" s="58">
        <f t="shared" si="4"/>
        <v>30</v>
      </c>
      <c r="N18" s="59">
        <f t="shared" si="4"/>
        <v>222200</v>
      </c>
      <c r="O18" s="53">
        <f t="shared" si="5"/>
        <v>6733.333333333333</v>
      </c>
      <c r="P18" s="59">
        <f t="shared" si="6"/>
        <v>56000</v>
      </c>
      <c r="Q18" s="54">
        <f t="shared" si="7"/>
        <v>1696.9666666666667</v>
      </c>
      <c r="R18" s="60">
        <f t="shared" si="8"/>
        <v>278200</v>
      </c>
      <c r="S18" s="56">
        <f t="shared" si="9"/>
        <v>9273.3333333333339</v>
      </c>
      <c r="T18" s="80">
        <f t="shared" si="10"/>
        <v>65</v>
      </c>
      <c r="U18" s="59">
        <f t="shared" si="10"/>
        <v>367620</v>
      </c>
      <c r="V18" s="59">
        <f t="shared" si="11"/>
        <v>82730</v>
      </c>
      <c r="W18" s="62">
        <f t="shared" si="12"/>
        <v>450350</v>
      </c>
      <c r="X18" s="81"/>
      <c r="Y18" s="63"/>
      <c r="Z18" s="64">
        <v>16</v>
      </c>
      <c r="AA18" s="52">
        <v>8000</v>
      </c>
      <c r="AB18" s="53">
        <f t="shared" si="13"/>
        <v>500</v>
      </c>
      <c r="AC18" s="52">
        <v>2750</v>
      </c>
      <c r="AD18" s="54">
        <f t="shared" si="14"/>
        <v>171.875</v>
      </c>
      <c r="AE18" s="65">
        <f t="shared" si="15"/>
        <v>10750</v>
      </c>
      <c r="AF18" s="56">
        <f t="shared" si="16"/>
        <v>671.875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65</v>
      </c>
      <c r="AY18" s="59">
        <f t="shared" si="24"/>
        <v>375620</v>
      </c>
      <c r="AZ18" s="59">
        <f t="shared" si="25"/>
        <v>85480</v>
      </c>
      <c r="BA18" s="71">
        <f t="shared" si="26"/>
        <v>461100</v>
      </c>
      <c r="BB18" s="72">
        <f t="shared" si="31"/>
        <v>2200</v>
      </c>
      <c r="BC18" s="73">
        <v>65</v>
      </c>
      <c r="BD18" s="74">
        <v>367620</v>
      </c>
      <c r="BE18" s="74">
        <v>82730</v>
      </c>
      <c r="BF18" s="75">
        <v>2200</v>
      </c>
      <c r="BG18" s="75"/>
      <c r="BH18" s="75"/>
      <c r="BI18" s="75"/>
      <c r="BJ18" s="76">
        <f t="shared" si="32"/>
        <v>452550</v>
      </c>
      <c r="BK18" s="47">
        <v>14</v>
      </c>
      <c r="BL18" s="77">
        <f t="shared" si="27"/>
        <v>452550</v>
      </c>
    </row>
    <row r="19" spans="2:64" ht="20" customHeight="1">
      <c r="B19" s="78">
        <f t="shared" si="28"/>
        <v>45214</v>
      </c>
      <c r="C19" s="79"/>
      <c r="D19" s="50"/>
      <c r="E19" s="51">
        <v>35</v>
      </c>
      <c r="F19" s="52">
        <v>121220</v>
      </c>
      <c r="G19" s="53">
        <f t="shared" si="0"/>
        <v>3148.5714285714284</v>
      </c>
      <c r="H19" s="52">
        <v>33050</v>
      </c>
      <c r="I19" s="54">
        <f t="shared" si="1"/>
        <v>858.42857142857144</v>
      </c>
      <c r="J19" s="55">
        <f t="shared" si="2"/>
        <v>154270</v>
      </c>
      <c r="K19" s="56">
        <f t="shared" si="3"/>
        <v>4407.7142857142853</v>
      </c>
      <c r="L19" s="57"/>
      <c r="M19" s="58">
        <f t="shared" si="4"/>
        <v>22</v>
      </c>
      <c r="N19" s="59">
        <f t="shared" si="4"/>
        <v>139150</v>
      </c>
      <c r="O19" s="53">
        <f t="shared" si="5"/>
        <v>5750</v>
      </c>
      <c r="P19" s="59">
        <f t="shared" si="6"/>
        <v>30710</v>
      </c>
      <c r="Q19" s="84">
        <f t="shared" si="7"/>
        <v>1269</v>
      </c>
      <c r="R19" s="60">
        <f t="shared" si="8"/>
        <v>169860</v>
      </c>
      <c r="S19" s="56">
        <f t="shared" si="9"/>
        <v>7720.909090909091</v>
      </c>
      <c r="T19" s="80">
        <f t="shared" si="10"/>
        <v>57</v>
      </c>
      <c r="U19" s="59">
        <f t="shared" si="10"/>
        <v>260370</v>
      </c>
      <c r="V19" s="59">
        <f t="shared" si="11"/>
        <v>63760</v>
      </c>
      <c r="W19" s="62">
        <f t="shared" si="12"/>
        <v>324130</v>
      </c>
      <c r="X19" s="81"/>
      <c r="Y19" s="63"/>
      <c r="Z19" s="64">
        <v>6</v>
      </c>
      <c r="AA19" s="52">
        <v>3680</v>
      </c>
      <c r="AB19" s="53">
        <f t="shared" si="13"/>
        <v>613.33333333333337</v>
      </c>
      <c r="AC19" s="52">
        <v>500</v>
      </c>
      <c r="AD19" s="54">
        <f t="shared" si="14"/>
        <v>83.333333333333329</v>
      </c>
      <c r="AE19" s="65">
        <f t="shared" si="15"/>
        <v>4180</v>
      </c>
      <c r="AF19" s="56">
        <f t="shared" si="16"/>
        <v>696.66666666666663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57</v>
      </c>
      <c r="AY19" s="59">
        <f t="shared" si="24"/>
        <v>264050</v>
      </c>
      <c r="AZ19" s="59">
        <f t="shared" si="25"/>
        <v>64260</v>
      </c>
      <c r="BA19" s="71">
        <f t="shared" si="26"/>
        <v>328310</v>
      </c>
      <c r="BB19" s="72">
        <f t="shared" si="31"/>
        <v>0</v>
      </c>
      <c r="BC19" s="73">
        <v>57</v>
      </c>
      <c r="BD19" s="74">
        <v>260370</v>
      </c>
      <c r="BE19" s="74">
        <v>63760</v>
      </c>
      <c r="BF19" s="75"/>
      <c r="BG19" s="75"/>
      <c r="BH19" s="75"/>
      <c r="BI19" s="75"/>
      <c r="BJ19" s="76">
        <f t="shared" si="32"/>
        <v>324130</v>
      </c>
      <c r="BK19" s="47">
        <v>15</v>
      </c>
      <c r="BL19" s="77">
        <f t="shared" si="27"/>
        <v>324130</v>
      </c>
    </row>
    <row r="20" spans="2:64" ht="20" customHeight="1">
      <c r="B20" s="78">
        <f t="shared" si="28"/>
        <v>45215</v>
      </c>
      <c r="C20" s="79"/>
      <c r="D20" s="50"/>
      <c r="E20" s="51">
        <v>14</v>
      </c>
      <c r="F20" s="52">
        <v>42900</v>
      </c>
      <c r="G20" s="53">
        <f t="shared" si="0"/>
        <v>2785.7142857142858</v>
      </c>
      <c r="H20" s="52">
        <v>1540</v>
      </c>
      <c r="I20" s="53">
        <f t="shared" si="1"/>
        <v>100</v>
      </c>
      <c r="J20" s="55">
        <f t="shared" si="2"/>
        <v>44440</v>
      </c>
      <c r="K20" s="56">
        <f t="shared" si="3"/>
        <v>3174.2857142857142</v>
      </c>
      <c r="L20" s="57"/>
      <c r="M20" s="58">
        <f t="shared" si="4"/>
        <v>10</v>
      </c>
      <c r="N20" s="59">
        <f t="shared" si="4"/>
        <v>101420</v>
      </c>
      <c r="O20" s="53">
        <f t="shared" si="5"/>
        <v>9220</v>
      </c>
      <c r="P20" s="59">
        <f t="shared" si="6"/>
        <v>40570</v>
      </c>
      <c r="Q20" s="84">
        <f t="shared" si="7"/>
        <v>3688.1</v>
      </c>
      <c r="R20" s="60">
        <f t="shared" si="8"/>
        <v>141990</v>
      </c>
      <c r="S20" s="56">
        <f t="shared" si="9"/>
        <v>14199</v>
      </c>
      <c r="T20" s="80">
        <f t="shared" si="10"/>
        <v>24</v>
      </c>
      <c r="U20" s="59">
        <f t="shared" si="10"/>
        <v>144320</v>
      </c>
      <c r="V20" s="59">
        <f t="shared" si="11"/>
        <v>42110</v>
      </c>
      <c r="W20" s="62">
        <f t="shared" si="12"/>
        <v>186430</v>
      </c>
      <c r="X20" s="81"/>
      <c r="Y20" s="63"/>
      <c r="Z20" s="64">
        <v>6</v>
      </c>
      <c r="AA20" s="52">
        <v>2500</v>
      </c>
      <c r="AB20" s="53">
        <f t="shared" si="13"/>
        <v>416.66666666666669</v>
      </c>
      <c r="AC20" s="52">
        <v>1500</v>
      </c>
      <c r="AD20" s="54">
        <f t="shared" si="14"/>
        <v>250</v>
      </c>
      <c r="AE20" s="65">
        <f t="shared" si="15"/>
        <v>4000</v>
      </c>
      <c r="AF20" s="56">
        <f t="shared" si="16"/>
        <v>666.66666666666663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9"/>
        <v>0</v>
      </c>
      <c r="AN20" s="67" t="str">
        <f t="shared" si="19"/>
        <v/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24</v>
      </c>
      <c r="AY20" s="59">
        <f t="shared" si="24"/>
        <v>146820</v>
      </c>
      <c r="AZ20" s="59">
        <f t="shared" si="25"/>
        <v>43610</v>
      </c>
      <c r="BA20" s="71">
        <f t="shared" si="26"/>
        <v>190430</v>
      </c>
      <c r="BB20" s="72">
        <f t="shared" si="31"/>
        <v>2200</v>
      </c>
      <c r="BC20" s="73">
        <v>24</v>
      </c>
      <c r="BD20" s="74">
        <v>144320</v>
      </c>
      <c r="BE20" s="74">
        <v>42110</v>
      </c>
      <c r="BF20" s="75">
        <v>2200</v>
      </c>
      <c r="BG20" s="75"/>
      <c r="BH20" s="75"/>
      <c r="BI20" s="75"/>
      <c r="BJ20" s="76">
        <f t="shared" si="32"/>
        <v>188630</v>
      </c>
      <c r="BK20" s="47">
        <v>16</v>
      </c>
      <c r="BL20" s="77">
        <f t="shared" si="27"/>
        <v>188630</v>
      </c>
    </row>
    <row r="21" spans="2:64" ht="20" customHeight="1">
      <c r="B21" s="78">
        <f t="shared" si="28"/>
        <v>45216</v>
      </c>
      <c r="C21" s="79"/>
      <c r="D21" s="50"/>
      <c r="E21" s="51">
        <v>36</v>
      </c>
      <c r="F21" s="52">
        <v>150810</v>
      </c>
      <c r="G21" s="53">
        <f t="shared" si="0"/>
        <v>3808.3333333333335</v>
      </c>
      <c r="H21" s="52">
        <v>7970</v>
      </c>
      <c r="I21" s="53">
        <f t="shared" si="1"/>
        <v>201.25</v>
      </c>
      <c r="J21" s="55">
        <f t="shared" si="2"/>
        <v>158780</v>
      </c>
      <c r="K21" s="56">
        <f t="shared" si="3"/>
        <v>4410.5555555555557</v>
      </c>
      <c r="L21" s="57"/>
      <c r="M21" s="58">
        <f t="shared" si="4"/>
        <v>20</v>
      </c>
      <c r="N21" s="59">
        <f t="shared" si="4"/>
        <v>133320</v>
      </c>
      <c r="O21" s="53">
        <f t="shared" si="5"/>
        <v>6060</v>
      </c>
      <c r="P21" s="59">
        <f t="shared" si="6"/>
        <v>39660</v>
      </c>
      <c r="Q21" s="84">
        <f t="shared" si="7"/>
        <v>1802.7</v>
      </c>
      <c r="R21" s="60">
        <f t="shared" si="8"/>
        <v>172980</v>
      </c>
      <c r="S21" s="56">
        <f t="shared" si="9"/>
        <v>8649</v>
      </c>
      <c r="T21" s="80">
        <f t="shared" si="10"/>
        <v>56</v>
      </c>
      <c r="U21" s="59">
        <f t="shared" si="10"/>
        <v>284130</v>
      </c>
      <c r="V21" s="59">
        <f t="shared" si="11"/>
        <v>47630</v>
      </c>
      <c r="W21" s="62">
        <f t="shared" si="12"/>
        <v>331760</v>
      </c>
      <c r="X21" s="81"/>
      <c r="Y21" s="63"/>
      <c r="Z21" s="64">
        <v>14</v>
      </c>
      <c r="AA21" s="52">
        <v>6200</v>
      </c>
      <c r="AB21" s="53">
        <f t="shared" si="13"/>
        <v>442.85714285714283</v>
      </c>
      <c r="AC21" s="52">
        <v>3500</v>
      </c>
      <c r="AD21" s="54">
        <f t="shared" si="14"/>
        <v>250</v>
      </c>
      <c r="AE21" s="65">
        <f t="shared" si="15"/>
        <v>9700</v>
      </c>
      <c r="AF21" s="56">
        <f t="shared" si="16"/>
        <v>692.85714285714289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56</v>
      </c>
      <c r="AY21" s="59">
        <f t="shared" si="24"/>
        <v>290330</v>
      </c>
      <c r="AZ21" s="59">
        <f t="shared" si="25"/>
        <v>51130</v>
      </c>
      <c r="BA21" s="71">
        <f>W21+AE21+AM21+AV21</f>
        <v>341460</v>
      </c>
      <c r="BB21" s="72">
        <f t="shared" si="31"/>
        <v>6600</v>
      </c>
      <c r="BC21" s="73">
        <v>56</v>
      </c>
      <c r="BD21" s="74">
        <v>284130</v>
      </c>
      <c r="BE21" s="74">
        <v>47630</v>
      </c>
      <c r="BF21" s="75">
        <v>6600</v>
      </c>
      <c r="BG21" s="75"/>
      <c r="BH21" s="75"/>
      <c r="BI21" s="75"/>
      <c r="BJ21" s="76">
        <f t="shared" si="32"/>
        <v>338360</v>
      </c>
      <c r="BK21" s="47">
        <v>17</v>
      </c>
      <c r="BL21" s="77">
        <f t="shared" si="27"/>
        <v>338360</v>
      </c>
    </row>
    <row r="22" spans="2:64" ht="20" customHeight="1">
      <c r="B22" s="78">
        <f t="shared" si="28"/>
        <v>45217</v>
      </c>
      <c r="C22" s="79"/>
      <c r="D22" s="50"/>
      <c r="E22" s="51">
        <v>37</v>
      </c>
      <c r="F22" s="52">
        <v>155430</v>
      </c>
      <c r="G22" s="53">
        <f t="shared" si="0"/>
        <v>3818.9189189189187</v>
      </c>
      <c r="H22" s="52">
        <v>23290</v>
      </c>
      <c r="I22" s="53">
        <f t="shared" si="1"/>
        <v>572.21621621621625</v>
      </c>
      <c r="J22" s="55">
        <f t="shared" si="2"/>
        <v>178720</v>
      </c>
      <c r="K22" s="56">
        <f t="shared" si="3"/>
        <v>4830.27027027027</v>
      </c>
      <c r="L22" s="57"/>
      <c r="M22" s="58">
        <f t="shared" si="4"/>
        <v>19</v>
      </c>
      <c r="N22" s="59">
        <f t="shared" si="4"/>
        <v>154770</v>
      </c>
      <c r="O22" s="53">
        <f t="shared" si="5"/>
        <v>7405.2631578947367</v>
      </c>
      <c r="P22" s="59">
        <f t="shared" si="6"/>
        <v>30790</v>
      </c>
      <c r="Q22" s="84">
        <f t="shared" si="7"/>
        <v>1473.1578947368421</v>
      </c>
      <c r="R22" s="60">
        <f t="shared" si="8"/>
        <v>185560</v>
      </c>
      <c r="S22" s="56">
        <f t="shared" si="9"/>
        <v>9766.3157894736851</v>
      </c>
      <c r="T22" s="80">
        <f t="shared" si="10"/>
        <v>56</v>
      </c>
      <c r="U22" s="59">
        <f t="shared" si="10"/>
        <v>310200</v>
      </c>
      <c r="V22" s="59">
        <f t="shared" si="11"/>
        <v>54080</v>
      </c>
      <c r="W22" s="62">
        <f t="shared" si="12"/>
        <v>364280</v>
      </c>
      <c r="X22" s="81"/>
      <c r="Y22" s="63"/>
      <c r="Z22" s="64">
        <v>11</v>
      </c>
      <c r="AA22" s="52">
        <v>5280</v>
      </c>
      <c r="AB22" s="53">
        <f t="shared" si="13"/>
        <v>480</v>
      </c>
      <c r="AC22" s="52">
        <v>1500</v>
      </c>
      <c r="AD22" s="54">
        <f t="shared" si="14"/>
        <v>136.36363636363637</v>
      </c>
      <c r="AE22" s="65">
        <f t="shared" si="15"/>
        <v>6780</v>
      </c>
      <c r="AF22" s="56">
        <f t="shared" si="16"/>
        <v>616.36363636363637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56</v>
      </c>
      <c r="AY22" s="59">
        <f t="shared" si="24"/>
        <v>315480</v>
      </c>
      <c r="AZ22" s="59">
        <f t="shared" si="25"/>
        <v>55580</v>
      </c>
      <c r="BA22" s="71">
        <f t="shared" si="26"/>
        <v>371060</v>
      </c>
      <c r="BB22" s="72">
        <f t="shared" si="31"/>
        <v>4400</v>
      </c>
      <c r="BC22" s="73">
        <v>56</v>
      </c>
      <c r="BD22" s="74">
        <v>310200</v>
      </c>
      <c r="BE22" s="74">
        <v>54080</v>
      </c>
      <c r="BF22" s="75">
        <v>4400</v>
      </c>
      <c r="BG22" s="75"/>
      <c r="BH22" s="75"/>
      <c r="BI22" s="75"/>
      <c r="BJ22" s="76">
        <f t="shared" si="32"/>
        <v>368680</v>
      </c>
      <c r="BK22" s="47">
        <v>18</v>
      </c>
      <c r="BL22" s="77">
        <f t="shared" si="27"/>
        <v>368680</v>
      </c>
    </row>
    <row r="23" spans="2:64" ht="20" customHeight="1">
      <c r="B23" s="78">
        <f t="shared" si="28"/>
        <v>45218</v>
      </c>
      <c r="C23" s="79"/>
      <c r="D23" s="50"/>
      <c r="E23" s="51">
        <v>26</v>
      </c>
      <c r="F23" s="52">
        <v>104170</v>
      </c>
      <c r="G23" s="53">
        <f t="shared" si="0"/>
        <v>3642.3076923076924</v>
      </c>
      <c r="H23" s="52">
        <v>13610</v>
      </c>
      <c r="I23" s="53">
        <f t="shared" si="1"/>
        <v>475.84615384615387</v>
      </c>
      <c r="J23" s="55">
        <f t="shared" si="2"/>
        <v>117780</v>
      </c>
      <c r="K23" s="56">
        <f t="shared" si="3"/>
        <v>4530</v>
      </c>
      <c r="L23" s="57"/>
      <c r="M23" s="58">
        <f t="shared" si="4"/>
        <v>17</v>
      </c>
      <c r="N23" s="59">
        <f t="shared" si="4"/>
        <v>129800</v>
      </c>
      <c r="O23" s="53">
        <f t="shared" si="5"/>
        <v>6941.1764705882351</v>
      </c>
      <c r="P23" s="59">
        <f t="shared" si="6"/>
        <v>47490</v>
      </c>
      <c r="Q23" s="84">
        <f t="shared" si="7"/>
        <v>2539.5294117647059</v>
      </c>
      <c r="R23" s="60">
        <f t="shared" si="8"/>
        <v>177290</v>
      </c>
      <c r="S23" s="56">
        <f t="shared" si="9"/>
        <v>10428.823529411764</v>
      </c>
      <c r="T23" s="80">
        <f t="shared" si="10"/>
        <v>43</v>
      </c>
      <c r="U23" s="59">
        <f t="shared" si="10"/>
        <v>233970</v>
      </c>
      <c r="V23" s="59">
        <f t="shared" si="11"/>
        <v>61100</v>
      </c>
      <c r="W23" s="62">
        <f t="shared" si="12"/>
        <v>295070</v>
      </c>
      <c r="X23" s="81"/>
      <c r="Y23" s="63"/>
      <c r="Z23" s="64">
        <v>4</v>
      </c>
      <c r="AA23" s="52">
        <v>1800</v>
      </c>
      <c r="AB23" s="53">
        <f t="shared" si="13"/>
        <v>450</v>
      </c>
      <c r="AC23" s="52">
        <v>1350</v>
      </c>
      <c r="AD23" s="54">
        <f t="shared" si="14"/>
        <v>337.5</v>
      </c>
      <c r="AE23" s="65">
        <f t="shared" si="15"/>
        <v>3150</v>
      </c>
      <c r="AF23" s="56">
        <f t="shared" si="16"/>
        <v>787.5</v>
      </c>
      <c r="AG23" s="66"/>
      <c r="AH23" s="64">
        <v>17</v>
      </c>
      <c r="AI23" s="52">
        <v>66555</v>
      </c>
      <c r="AJ23" s="53">
        <f t="shared" si="17"/>
        <v>3915</v>
      </c>
      <c r="AK23" s="52">
        <v>22185</v>
      </c>
      <c r="AL23" s="54">
        <f t="shared" si="18"/>
        <v>1305</v>
      </c>
      <c r="AM23" s="65">
        <f t="shared" si="29"/>
        <v>88740</v>
      </c>
      <c r="AN23" s="67">
        <f t="shared" si="19"/>
        <v>5220</v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43</v>
      </c>
      <c r="AY23" s="59">
        <f t="shared" si="24"/>
        <v>302325</v>
      </c>
      <c r="AZ23" s="59">
        <f t="shared" si="25"/>
        <v>84635</v>
      </c>
      <c r="BA23" s="71">
        <f t="shared" si="26"/>
        <v>386960</v>
      </c>
      <c r="BB23" s="72">
        <f t="shared" si="31"/>
        <v>1100</v>
      </c>
      <c r="BC23" s="73">
        <v>43</v>
      </c>
      <c r="BD23" s="74">
        <v>233970</v>
      </c>
      <c r="BE23" s="74">
        <v>61100</v>
      </c>
      <c r="BF23" s="75">
        <v>1100</v>
      </c>
      <c r="BG23" s="75"/>
      <c r="BH23" s="75"/>
      <c r="BI23" s="75"/>
      <c r="BJ23" s="76">
        <f>SUM(BD23:BG23)</f>
        <v>296170</v>
      </c>
      <c r="BK23" s="47">
        <v>19</v>
      </c>
      <c r="BL23" s="77">
        <f t="shared" si="27"/>
        <v>296170</v>
      </c>
    </row>
    <row r="24" spans="2:64" ht="20" customHeight="1">
      <c r="B24" s="78">
        <f t="shared" si="28"/>
        <v>45219</v>
      </c>
      <c r="C24" s="79"/>
      <c r="D24" s="50"/>
      <c r="E24" s="51">
        <v>28</v>
      </c>
      <c r="F24" s="52">
        <v>131010</v>
      </c>
      <c r="G24" s="53">
        <f t="shared" si="0"/>
        <v>4253.5714285714284</v>
      </c>
      <c r="H24" s="52">
        <v>13540</v>
      </c>
      <c r="I24" s="53">
        <f t="shared" si="1"/>
        <v>439.60714285714283</v>
      </c>
      <c r="J24" s="55">
        <f t="shared" si="2"/>
        <v>144550</v>
      </c>
      <c r="K24" s="56">
        <f t="shared" si="3"/>
        <v>5162.5</v>
      </c>
      <c r="L24" s="57"/>
      <c r="M24" s="58">
        <f t="shared" si="4"/>
        <v>30</v>
      </c>
      <c r="N24" s="59">
        <f t="shared" si="4"/>
        <v>200860</v>
      </c>
      <c r="O24" s="53">
        <f t="shared" si="5"/>
        <v>6086.666666666667</v>
      </c>
      <c r="P24" s="59">
        <f t="shared" si="6"/>
        <v>59870</v>
      </c>
      <c r="Q24" s="84">
        <f t="shared" si="7"/>
        <v>1814.2333333333333</v>
      </c>
      <c r="R24" s="60">
        <f t="shared" si="8"/>
        <v>260730</v>
      </c>
      <c r="S24" s="56">
        <f t="shared" si="9"/>
        <v>8691</v>
      </c>
      <c r="T24" s="80">
        <f t="shared" si="10"/>
        <v>58</v>
      </c>
      <c r="U24" s="59">
        <f t="shared" si="10"/>
        <v>331870</v>
      </c>
      <c r="V24" s="59">
        <f t="shared" si="11"/>
        <v>73410</v>
      </c>
      <c r="W24" s="62">
        <f t="shared" si="12"/>
        <v>405280</v>
      </c>
      <c r="X24" s="81"/>
      <c r="Y24" s="63"/>
      <c r="Z24" s="64">
        <v>6</v>
      </c>
      <c r="AA24" s="52">
        <v>3460</v>
      </c>
      <c r="AB24" s="53">
        <f t="shared" si="13"/>
        <v>576.66666666666663</v>
      </c>
      <c r="AC24" s="52">
        <v>2900</v>
      </c>
      <c r="AD24" s="54">
        <f t="shared" si="14"/>
        <v>483.33333333333331</v>
      </c>
      <c r="AE24" s="65">
        <f t="shared" si="15"/>
        <v>6360</v>
      </c>
      <c r="AF24" s="56">
        <f t="shared" si="16"/>
        <v>1060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58</v>
      </c>
      <c r="AY24" s="59">
        <f t="shared" si="24"/>
        <v>335330</v>
      </c>
      <c r="AZ24" s="59">
        <f t="shared" si="25"/>
        <v>76310</v>
      </c>
      <c r="BA24" s="71">
        <f t="shared" si="26"/>
        <v>411640</v>
      </c>
      <c r="BB24" s="72">
        <f t="shared" si="31"/>
        <v>2200</v>
      </c>
      <c r="BC24" s="73">
        <v>58</v>
      </c>
      <c r="BD24" s="74">
        <v>331870</v>
      </c>
      <c r="BE24" s="74">
        <v>73410</v>
      </c>
      <c r="BF24" s="75">
        <v>2200</v>
      </c>
      <c r="BG24" s="75"/>
      <c r="BH24" s="75"/>
      <c r="BI24" s="75"/>
      <c r="BJ24" s="76">
        <f t="shared" si="32"/>
        <v>407480</v>
      </c>
      <c r="BK24" s="47">
        <v>20</v>
      </c>
      <c r="BL24" s="77">
        <f t="shared" si="27"/>
        <v>407480</v>
      </c>
    </row>
    <row r="25" spans="2:64" ht="20" customHeight="1">
      <c r="B25" s="78">
        <f t="shared" si="28"/>
        <v>45220</v>
      </c>
      <c r="C25" s="79"/>
      <c r="D25" s="50"/>
      <c r="E25" s="51">
        <v>33</v>
      </c>
      <c r="F25" s="52">
        <v>154220</v>
      </c>
      <c r="G25" s="53">
        <f t="shared" si="0"/>
        <v>4248.484848484848</v>
      </c>
      <c r="H25" s="52">
        <v>39160</v>
      </c>
      <c r="I25" s="53">
        <f t="shared" si="1"/>
        <v>1078.7878787878788</v>
      </c>
      <c r="J25" s="55">
        <f t="shared" si="2"/>
        <v>193380</v>
      </c>
      <c r="K25" s="56">
        <f t="shared" si="3"/>
        <v>5860</v>
      </c>
      <c r="L25" s="57"/>
      <c r="M25" s="58">
        <f t="shared" si="4"/>
        <v>36</v>
      </c>
      <c r="N25" s="59">
        <f t="shared" si="4"/>
        <v>266530</v>
      </c>
      <c r="O25" s="53">
        <f t="shared" si="5"/>
        <v>6730.5555555555557</v>
      </c>
      <c r="P25" s="59">
        <f t="shared" si="6"/>
        <v>58410</v>
      </c>
      <c r="Q25" s="84">
        <f t="shared" si="7"/>
        <v>1475</v>
      </c>
      <c r="R25" s="60">
        <f t="shared" si="8"/>
        <v>324940</v>
      </c>
      <c r="S25" s="56">
        <f t="shared" si="9"/>
        <v>9026.1111111111113</v>
      </c>
      <c r="T25" s="80">
        <f t="shared" si="10"/>
        <v>69</v>
      </c>
      <c r="U25" s="59">
        <f t="shared" si="10"/>
        <v>420750</v>
      </c>
      <c r="V25" s="59">
        <f t="shared" si="11"/>
        <v>97570</v>
      </c>
      <c r="W25" s="62">
        <f t="shared" si="12"/>
        <v>518320</v>
      </c>
      <c r="X25" s="81"/>
      <c r="Y25" s="63"/>
      <c r="Z25" s="64">
        <v>14</v>
      </c>
      <c r="AA25" s="52">
        <v>7600</v>
      </c>
      <c r="AB25" s="53">
        <f t="shared" si="13"/>
        <v>542.85714285714289</v>
      </c>
      <c r="AC25" s="52">
        <v>6310</v>
      </c>
      <c r="AD25" s="54">
        <f t="shared" si="14"/>
        <v>450.71428571428572</v>
      </c>
      <c r="AE25" s="65">
        <f t="shared" si="15"/>
        <v>13910</v>
      </c>
      <c r="AF25" s="56">
        <f t="shared" si="16"/>
        <v>993.57142857142856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69</v>
      </c>
      <c r="AY25" s="59">
        <f t="shared" si="24"/>
        <v>428350</v>
      </c>
      <c r="AZ25" s="59">
        <f t="shared" si="25"/>
        <v>103880</v>
      </c>
      <c r="BA25" s="71">
        <f t="shared" si="26"/>
        <v>532230</v>
      </c>
      <c r="BB25" s="72">
        <f t="shared" si="31"/>
        <v>13200</v>
      </c>
      <c r="BC25" s="73">
        <v>69</v>
      </c>
      <c r="BD25" s="74">
        <v>420750</v>
      </c>
      <c r="BE25" s="74">
        <v>97570</v>
      </c>
      <c r="BF25" s="75">
        <v>13200</v>
      </c>
      <c r="BG25" s="75"/>
      <c r="BH25" s="75"/>
      <c r="BI25" s="75"/>
      <c r="BJ25" s="76">
        <f t="shared" si="32"/>
        <v>531520</v>
      </c>
      <c r="BK25" s="47">
        <v>21</v>
      </c>
      <c r="BL25" s="77">
        <f t="shared" si="27"/>
        <v>531520</v>
      </c>
    </row>
    <row r="26" spans="2:64" ht="20" customHeight="1">
      <c r="B26" s="78">
        <f t="shared" si="28"/>
        <v>45221</v>
      </c>
      <c r="C26" s="79"/>
      <c r="D26" s="50"/>
      <c r="E26" s="51">
        <v>35</v>
      </c>
      <c r="F26" s="52">
        <v>171930</v>
      </c>
      <c r="G26" s="53">
        <f t="shared" si="0"/>
        <v>4465.7142857142853</v>
      </c>
      <c r="H26" s="52">
        <v>30650</v>
      </c>
      <c r="I26" s="53">
        <f t="shared" si="1"/>
        <v>796.08571428571429</v>
      </c>
      <c r="J26" s="55">
        <f t="shared" si="2"/>
        <v>202580</v>
      </c>
      <c r="K26" s="56">
        <f t="shared" si="3"/>
        <v>5788</v>
      </c>
      <c r="L26" s="57"/>
      <c r="M26" s="58">
        <f t="shared" si="4"/>
        <v>27</v>
      </c>
      <c r="N26" s="59">
        <f t="shared" si="4"/>
        <v>156420</v>
      </c>
      <c r="O26" s="53">
        <f t="shared" si="5"/>
        <v>5266.666666666667</v>
      </c>
      <c r="P26" s="59">
        <f t="shared" si="6"/>
        <v>31210</v>
      </c>
      <c r="Q26" s="84">
        <f t="shared" si="7"/>
        <v>1050.8148148148148</v>
      </c>
      <c r="R26" s="60">
        <f t="shared" si="8"/>
        <v>187630</v>
      </c>
      <c r="S26" s="56">
        <f t="shared" si="9"/>
        <v>6949.2592592592591</v>
      </c>
      <c r="T26" s="80">
        <f t="shared" si="10"/>
        <v>62</v>
      </c>
      <c r="U26" s="59">
        <f t="shared" si="10"/>
        <v>328350</v>
      </c>
      <c r="V26" s="59">
        <f t="shared" si="11"/>
        <v>61860</v>
      </c>
      <c r="W26" s="62">
        <f t="shared" si="12"/>
        <v>390210</v>
      </c>
      <c r="X26" s="81"/>
      <c r="Y26" s="63"/>
      <c r="Z26" s="64">
        <v>13</v>
      </c>
      <c r="AA26" s="52">
        <v>6530</v>
      </c>
      <c r="AB26" s="53">
        <f t="shared" si="13"/>
        <v>502.30769230769232</v>
      </c>
      <c r="AC26" s="52">
        <v>5000</v>
      </c>
      <c r="AD26" s="54">
        <f t="shared" si="14"/>
        <v>384.61538461538464</v>
      </c>
      <c r="AE26" s="65">
        <f t="shared" si="15"/>
        <v>11530</v>
      </c>
      <c r="AF26" s="56">
        <f t="shared" si="16"/>
        <v>886.92307692307691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62</v>
      </c>
      <c r="AY26" s="59">
        <f t="shared" si="24"/>
        <v>334880</v>
      </c>
      <c r="AZ26" s="59">
        <f t="shared" si="25"/>
        <v>66860</v>
      </c>
      <c r="BA26" s="71">
        <f>W26+AE26+AM26+AV26</f>
        <v>401740</v>
      </c>
      <c r="BB26" s="72">
        <f>BF26+BG26</f>
        <v>9900</v>
      </c>
      <c r="BC26" s="73">
        <v>62</v>
      </c>
      <c r="BD26" s="74">
        <v>328350</v>
      </c>
      <c r="BE26" s="74">
        <v>61860</v>
      </c>
      <c r="BF26" s="75">
        <v>9900</v>
      </c>
      <c r="BG26" s="75"/>
      <c r="BH26" s="75"/>
      <c r="BI26" s="75"/>
      <c r="BJ26" s="76">
        <f t="shared" si="32"/>
        <v>400110</v>
      </c>
      <c r="BK26" s="47">
        <v>22</v>
      </c>
      <c r="BL26" s="77">
        <f t="shared" si="27"/>
        <v>400110</v>
      </c>
    </row>
    <row r="27" spans="2:64" ht="20" customHeight="1">
      <c r="B27" s="78">
        <f t="shared" si="28"/>
        <v>45222</v>
      </c>
      <c r="C27" s="79"/>
      <c r="D27" s="50"/>
      <c r="E27" s="51">
        <v>27</v>
      </c>
      <c r="F27" s="52">
        <v>113300</v>
      </c>
      <c r="G27" s="53">
        <f t="shared" si="0"/>
        <v>3814.8148148148148</v>
      </c>
      <c r="H27" s="52">
        <v>7520</v>
      </c>
      <c r="I27" s="53">
        <f t="shared" si="1"/>
        <v>253.18518518518519</v>
      </c>
      <c r="J27" s="55">
        <f t="shared" si="2"/>
        <v>120820</v>
      </c>
      <c r="K27" s="56">
        <f t="shared" si="3"/>
        <v>4474.8148148148148</v>
      </c>
      <c r="L27" s="57"/>
      <c r="M27" s="58">
        <f t="shared" si="4"/>
        <v>10</v>
      </c>
      <c r="N27" s="59">
        <f t="shared" si="4"/>
        <v>66660</v>
      </c>
      <c r="O27" s="53">
        <f t="shared" si="5"/>
        <v>6060</v>
      </c>
      <c r="P27" s="59">
        <f t="shared" si="6"/>
        <v>10120</v>
      </c>
      <c r="Q27" s="54">
        <f t="shared" si="7"/>
        <v>920</v>
      </c>
      <c r="R27" s="60">
        <f t="shared" si="8"/>
        <v>76780</v>
      </c>
      <c r="S27" s="56">
        <f t="shared" si="9"/>
        <v>7678</v>
      </c>
      <c r="T27" s="80">
        <f t="shared" si="10"/>
        <v>37</v>
      </c>
      <c r="U27" s="59">
        <f t="shared" si="10"/>
        <v>179960</v>
      </c>
      <c r="V27" s="59">
        <f t="shared" si="11"/>
        <v>17640</v>
      </c>
      <c r="W27" s="62">
        <f t="shared" si="12"/>
        <v>197600</v>
      </c>
      <c r="X27" s="81"/>
      <c r="Y27" s="63"/>
      <c r="Z27" s="64">
        <v>8</v>
      </c>
      <c r="AA27" s="52">
        <v>4000</v>
      </c>
      <c r="AB27" s="53">
        <f t="shared" si="13"/>
        <v>500</v>
      </c>
      <c r="AC27" s="52">
        <v>1000</v>
      </c>
      <c r="AD27" s="54">
        <f t="shared" si="14"/>
        <v>125</v>
      </c>
      <c r="AE27" s="65">
        <f t="shared" si="15"/>
        <v>5000</v>
      </c>
      <c r="AF27" s="56">
        <f t="shared" si="16"/>
        <v>625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37</v>
      </c>
      <c r="AY27" s="59">
        <f t="shared" si="24"/>
        <v>183960</v>
      </c>
      <c r="AZ27" s="59">
        <f t="shared" si="25"/>
        <v>18640</v>
      </c>
      <c r="BA27" s="71">
        <f>W27+AE27+AM27+AV27</f>
        <v>202600</v>
      </c>
      <c r="BB27" s="72">
        <f t="shared" si="31"/>
        <v>0</v>
      </c>
      <c r="BC27" s="73">
        <v>37</v>
      </c>
      <c r="BD27" s="74">
        <v>179960</v>
      </c>
      <c r="BE27" s="74">
        <v>17640</v>
      </c>
      <c r="BF27" s="75"/>
      <c r="BG27" s="75"/>
      <c r="BH27" s="75"/>
      <c r="BI27" s="75">
        <v>17600</v>
      </c>
      <c r="BJ27" s="76">
        <f t="shared" si="32"/>
        <v>197600</v>
      </c>
      <c r="BK27" s="47">
        <v>23</v>
      </c>
      <c r="BL27" s="77">
        <f t="shared" si="27"/>
        <v>215200</v>
      </c>
    </row>
    <row r="28" spans="2:64" ht="20" customHeight="1">
      <c r="B28" s="78">
        <f>B27+1</f>
        <v>45223</v>
      </c>
      <c r="C28" s="79"/>
      <c r="D28" s="50"/>
      <c r="E28" s="51">
        <v>36</v>
      </c>
      <c r="F28" s="52">
        <v>155100</v>
      </c>
      <c r="G28" s="53">
        <f t="shared" si="0"/>
        <v>3916.6666666666665</v>
      </c>
      <c r="H28" s="52">
        <v>19690</v>
      </c>
      <c r="I28" s="53">
        <f t="shared" si="1"/>
        <v>497.22222222222223</v>
      </c>
      <c r="J28" s="55">
        <f t="shared" si="2"/>
        <v>174790</v>
      </c>
      <c r="K28" s="56">
        <f t="shared" si="3"/>
        <v>4855.2777777777774</v>
      </c>
      <c r="L28" s="57"/>
      <c r="M28" s="58">
        <f t="shared" si="4"/>
        <v>22</v>
      </c>
      <c r="N28" s="59">
        <f t="shared" si="4"/>
        <v>153890</v>
      </c>
      <c r="O28" s="53">
        <f t="shared" si="5"/>
        <v>6359.090909090909</v>
      </c>
      <c r="P28" s="59">
        <f t="shared" si="6"/>
        <v>29560</v>
      </c>
      <c r="Q28" s="54">
        <f>ROUNDDOWN(P28/1.1,0)/M28</f>
        <v>1221.4545454545455</v>
      </c>
      <c r="R28" s="60">
        <f t="shared" si="8"/>
        <v>183450</v>
      </c>
      <c r="S28" s="56">
        <f t="shared" si="9"/>
        <v>8338.636363636364</v>
      </c>
      <c r="T28" s="80">
        <f t="shared" si="10"/>
        <v>58</v>
      </c>
      <c r="U28" s="59">
        <f t="shared" si="10"/>
        <v>308990</v>
      </c>
      <c r="V28" s="59">
        <f t="shared" si="11"/>
        <v>49250</v>
      </c>
      <c r="W28" s="62">
        <f t="shared" si="12"/>
        <v>358240</v>
      </c>
      <c r="X28" s="81"/>
      <c r="Y28" s="63"/>
      <c r="Z28" s="64">
        <v>6</v>
      </c>
      <c r="AA28" s="52">
        <v>3130</v>
      </c>
      <c r="AB28" s="53">
        <f t="shared" si="13"/>
        <v>521.66666666666663</v>
      </c>
      <c r="AC28" s="52">
        <v>1500</v>
      </c>
      <c r="AD28" s="54">
        <f t="shared" si="14"/>
        <v>250</v>
      </c>
      <c r="AE28" s="65">
        <f t="shared" si="15"/>
        <v>4630</v>
      </c>
      <c r="AF28" s="56">
        <f t="shared" si="16"/>
        <v>771.66666666666663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5">
        <f t="shared" si="30"/>
        <v>0</v>
      </c>
      <c r="AW28" s="67" t="str">
        <f t="shared" si="22"/>
        <v/>
      </c>
      <c r="AX28" s="82">
        <f t="shared" si="23"/>
        <v>58</v>
      </c>
      <c r="AY28" s="59">
        <f t="shared" si="24"/>
        <v>312120</v>
      </c>
      <c r="AZ28" s="59">
        <f t="shared" si="25"/>
        <v>50750</v>
      </c>
      <c r="BA28" s="71">
        <f t="shared" si="26"/>
        <v>362870</v>
      </c>
      <c r="BB28" s="72">
        <f t="shared" si="31"/>
        <v>9900</v>
      </c>
      <c r="BC28" s="73">
        <v>58</v>
      </c>
      <c r="BD28" s="74">
        <v>308990</v>
      </c>
      <c r="BE28" s="74">
        <v>49250</v>
      </c>
      <c r="BF28" s="75">
        <v>9900</v>
      </c>
      <c r="BG28" s="75"/>
      <c r="BH28" s="75"/>
      <c r="BI28" s="75"/>
      <c r="BJ28" s="76">
        <f t="shared" si="32"/>
        <v>368140</v>
      </c>
      <c r="BK28" s="47">
        <v>24</v>
      </c>
      <c r="BL28" s="77">
        <f t="shared" si="27"/>
        <v>368140</v>
      </c>
    </row>
    <row r="29" spans="2:64" ht="20" customHeight="1">
      <c r="B29" s="78">
        <f t="shared" si="28"/>
        <v>45224</v>
      </c>
      <c r="C29" s="79"/>
      <c r="D29" s="50"/>
      <c r="E29" s="51">
        <v>32</v>
      </c>
      <c r="F29" s="52">
        <v>121880</v>
      </c>
      <c r="G29" s="53">
        <f t="shared" si="0"/>
        <v>3462.5</v>
      </c>
      <c r="H29" s="52">
        <v>9370</v>
      </c>
      <c r="I29" s="53">
        <f t="shared" si="1"/>
        <v>266.1875</v>
      </c>
      <c r="J29" s="55">
        <f t="shared" si="2"/>
        <v>131250</v>
      </c>
      <c r="K29" s="56">
        <f t="shared" si="3"/>
        <v>4101.5625</v>
      </c>
      <c r="L29" s="57"/>
      <c r="M29" s="58">
        <f t="shared" si="4"/>
        <v>7</v>
      </c>
      <c r="N29" s="59">
        <f t="shared" si="4"/>
        <v>62310</v>
      </c>
      <c r="O29" s="53">
        <f t="shared" si="5"/>
        <v>8092.1428571428569</v>
      </c>
      <c r="P29" s="59">
        <f t="shared" si="6"/>
        <v>19790</v>
      </c>
      <c r="Q29" s="54">
        <f t="shared" si="7"/>
        <v>2570</v>
      </c>
      <c r="R29" s="60">
        <f t="shared" si="8"/>
        <v>82100</v>
      </c>
      <c r="S29" s="56">
        <f t="shared" si="9"/>
        <v>11728.571428571429</v>
      </c>
      <c r="T29" s="80">
        <f t="shared" si="10"/>
        <v>39</v>
      </c>
      <c r="U29" s="59">
        <f t="shared" si="10"/>
        <v>184190</v>
      </c>
      <c r="V29" s="59">
        <f t="shared" si="11"/>
        <v>29160</v>
      </c>
      <c r="W29" s="62">
        <f t="shared" si="12"/>
        <v>213350</v>
      </c>
      <c r="X29" s="81"/>
      <c r="Y29" s="63"/>
      <c r="Z29" s="64">
        <v>13</v>
      </c>
      <c r="AA29" s="52">
        <v>6830</v>
      </c>
      <c r="AB29" s="53">
        <f t="shared" si="13"/>
        <v>525.38461538461536</v>
      </c>
      <c r="AC29" s="52">
        <v>3000</v>
      </c>
      <c r="AD29" s="54">
        <f t="shared" si="14"/>
        <v>230.76923076923077</v>
      </c>
      <c r="AE29" s="65">
        <f t="shared" si="15"/>
        <v>9830</v>
      </c>
      <c r="AF29" s="56">
        <f t="shared" si="16"/>
        <v>756.15384615384619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39</v>
      </c>
      <c r="AY29" s="59">
        <f t="shared" si="24"/>
        <v>191020</v>
      </c>
      <c r="AZ29" s="59">
        <f t="shared" si="25"/>
        <v>32160</v>
      </c>
      <c r="BA29" s="71">
        <f t="shared" si="26"/>
        <v>223180</v>
      </c>
      <c r="BB29" s="72">
        <f t="shared" si="31"/>
        <v>2750</v>
      </c>
      <c r="BC29" s="73">
        <v>39</v>
      </c>
      <c r="BD29" s="74">
        <v>184190</v>
      </c>
      <c r="BE29" s="74">
        <v>29160</v>
      </c>
      <c r="BF29" s="75">
        <v>2750</v>
      </c>
      <c r="BG29" s="75"/>
      <c r="BH29" s="75"/>
      <c r="BI29" s="75"/>
      <c r="BJ29" s="76">
        <f t="shared" si="32"/>
        <v>216100</v>
      </c>
      <c r="BK29" s="47">
        <v>25</v>
      </c>
      <c r="BL29" s="77">
        <f t="shared" si="27"/>
        <v>216100</v>
      </c>
    </row>
    <row r="30" spans="2:64" ht="20" customHeight="1">
      <c r="B30" s="78">
        <f t="shared" si="28"/>
        <v>45225</v>
      </c>
      <c r="C30" s="79"/>
      <c r="D30" s="50"/>
      <c r="E30" s="51">
        <v>31</v>
      </c>
      <c r="F30" s="52">
        <v>130240</v>
      </c>
      <c r="G30" s="53">
        <f t="shared" si="0"/>
        <v>3819.3548387096776</v>
      </c>
      <c r="H30" s="52">
        <v>3120</v>
      </c>
      <c r="I30" s="53">
        <f t="shared" si="1"/>
        <v>91.483870967741936</v>
      </c>
      <c r="J30" s="55">
        <f t="shared" si="2"/>
        <v>133360</v>
      </c>
      <c r="K30" s="56">
        <f t="shared" si="3"/>
        <v>4301.9354838709678</v>
      </c>
      <c r="L30" s="57"/>
      <c r="M30" s="58">
        <f t="shared" si="4"/>
        <v>20</v>
      </c>
      <c r="N30" s="59">
        <f t="shared" si="4"/>
        <v>183920</v>
      </c>
      <c r="O30" s="53">
        <f t="shared" si="5"/>
        <v>8360</v>
      </c>
      <c r="P30" s="59">
        <f t="shared" si="6"/>
        <v>55370</v>
      </c>
      <c r="Q30" s="53">
        <f t="shared" si="7"/>
        <v>2516.8000000000002</v>
      </c>
      <c r="R30" s="60">
        <f t="shared" si="8"/>
        <v>239290</v>
      </c>
      <c r="S30" s="56">
        <f t="shared" si="9"/>
        <v>11964.5</v>
      </c>
      <c r="T30" s="80">
        <f t="shared" si="10"/>
        <v>51</v>
      </c>
      <c r="U30" s="59">
        <f t="shared" si="10"/>
        <v>314160</v>
      </c>
      <c r="V30" s="59">
        <f t="shared" si="11"/>
        <v>58490</v>
      </c>
      <c r="W30" s="62">
        <f t="shared" si="12"/>
        <v>372650</v>
      </c>
      <c r="X30" s="81"/>
      <c r="Y30" s="63"/>
      <c r="Z30" s="64">
        <v>10</v>
      </c>
      <c r="AA30" s="52">
        <v>5060</v>
      </c>
      <c r="AB30" s="53">
        <f t="shared" si="13"/>
        <v>506</v>
      </c>
      <c r="AC30" s="52">
        <v>0</v>
      </c>
      <c r="AD30" s="54">
        <f t="shared" si="14"/>
        <v>0</v>
      </c>
      <c r="AE30" s="65">
        <f t="shared" si="15"/>
        <v>5060</v>
      </c>
      <c r="AF30" s="56">
        <f t="shared" si="16"/>
        <v>506</v>
      </c>
      <c r="AG30" s="66"/>
      <c r="AH30" s="64">
        <v>13</v>
      </c>
      <c r="AI30" s="52">
        <v>50895</v>
      </c>
      <c r="AJ30" s="53">
        <f t="shared" si="17"/>
        <v>3915</v>
      </c>
      <c r="AK30" s="52">
        <v>58490</v>
      </c>
      <c r="AL30" s="54">
        <f t="shared" si="18"/>
        <v>4499.2307692307695</v>
      </c>
      <c r="AM30" s="65">
        <f t="shared" si="29"/>
        <v>109385</v>
      </c>
      <c r="AN30" s="67">
        <f t="shared" si="19"/>
        <v>8414.2307692307695</v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51</v>
      </c>
      <c r="AY30" s="59">
        <f t="shared" si="24"/>
        <v>370115</v>
      </c>
      <c r="AZ30" s="59">
        <f t="shared" si="25"/>
        <v>116980</v>
      </c>
      <c r="BA30" s="71">
        <f t="shared" si="26"/>
        <v>487095</v>
      </c>
      <c r="BB30" s="72">
        <f t="shared" si="31"/>
        <v>3850</v>
      </c>
      <c r="BC30" s="73">
        <v>51</v>
      </c>
      <c r="BD30" s="74">
        <v>314160</v>
      </c>
      <c r="BE30" s="74">
        <v>58490</v>
      </c>
      <c r="BF30" s="75">
        <v>3850</v>
      </c>
      <c r="BG30" s="75"/>
      <c r="BH30" s="75"/>
      <c r="BI30" s="75"/>
      <c r="BJ30" s="76">
        <f t="shared" si="32"/>
        <v>376500</v>
      </c>
      <c r="BK30" s="47">
        <v>26</v>
      </c>
      <c r="BL30" s="77">
        <f t="shared" si="27"/>
        <v>376500</v>
      </c>
    </row>
    <row r="31" spans="2:64" ht="20" customHeight="1">
      <c r="B31" s="78">
        <f t="shared" si="28"/>
        <v>45226</v>
      </c>
      <c r="C31" s="79"/>
      <c r="D31" s="50"/>
      <c r="E31" s="51">
        <v>29</v>
      </c>
      <c r="F31" s="52">
        <v>125620</v>
      </c>
      <c r="G31" s="53">
        <f t="shared" si="0"/>
        <v>3937.9310344827586</v>
      </c>
      <c r="H31" s="52">
        <v>13260</v>
      </c>
      <c r="I31" s="53">
        <f t="shared" si="1"/>
        <v>415.65517241379308</v>
      </c>
      <c r="J31" s="55">
        <f t="shared" si="2"/>
        <v>138880</v>
      </c>
      <c r="K31" s="56">
        <f t="shared" si="3"/>
        <v>4788.9655172413795</v>
      </c>
      <c r="L31" s="57"/>
      <c r="M31" s="58">
        <f t="shared" si="4"/>
        <v>27</v>
      </c>
      <c r="N31" s="59">
        <f t="shared" si="4"/>
        <v>144100</v>
      </c>
      <c r="O31" s="53">
        <f t="shared" si="5"/>
        <v>4851.8518518518522</v>
      </c>
      <c r="P31" s="59">
        <f t="shared" si="6"/>
        <v>23730</v>
      </c>
      <c r="Q31" s="53">
        <f t="shared" si="7"/>
        <v>798.96296296296293</v>
      </c>
      <c r="R31" s="60">
        <f t="shared" si="8"/>
        <v>167830</v>
      </c>
      <c r="S31" s="56">
        <f t="shared" si="9"/>
        <v>6215.9259259259261</v>
      </c>
      <c r="T31" s="80">
        <f t="shared" si="10"/>
        <v>56</v>
      </c>
      <c r="U31" s="59">
        <f t="shared" si="10"/>
        <v>269720</v>
      </c>
      <c r="V31" s="59">
        <f t="shared" si="11"/>
        <v>36990</v>
      </c>
      <c r="W31" s="62">
        <f t="shared" si="12"/>
        <v>306710</v>
      </c>
      <c r="X31" s="81"/>
      <c r="Y31" s="63"/>
      <c r="Z31" s="64">
        <v>14</v>
      </c>
      <c r="AA31" s="52">
        <v>7730</v>
      </c>
      <c r="AB31" s="53">
        <f t="shared" si="13"/>
        <v>552.14285714285711</v>
      </c>
      <c r="AC31" s="52">
        <v>0</v>
      </c>
      <c r="AD31" s="54">
        <f t="shared" si="14"/>
        <v>0</v>
      </c>
      <c r="AE31" s="65">
        <f t="shared" si="15"/>
        <v>7730</v>
      </c>
      <c r="AF31" s="56">
        <f t="shared" si="16"/>
        <v>552.14285714285711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56</v>
      </c>
      <c r="AY31" s="59">
        <f t="shared" si="24"/>
        <v>277450</v>
      </c>
      <c r="AZ31" s="59">
        <f t="shared" si="25"/>
        <v>36990</v>
      </c>
      <c r="BA31" s="71">
        <f>W31+AE31+AM31+AV31</f>
        <v>314440</v>
      </c>
      <c r="BB31" s="72">
        <f t="shared" si="31"/>
        <v>3850</v>
      </c>
      <c r="BC31" s="73">
        <v>56</v>
      </c>
      <c r="BD31" s="74">
        <v>269720</v>
      </c>
      <c r="BE31" s="74">
        <v>36990</v>
      </c>
      <c r="BF31" s="75">
        <v>3850</v>
      </c>
      <c r="BG31" s="75"/>
      <c r="BH31" s="75"/>
      <c r="BI31" s="75"/>
      <c r="BJ31" s="76">
        <f t="shared" si="32"/>
        <v>310560</v>
      </c>
      <c r="BK31" s="47">
        <v>27</v>
      </c>
      <c r="BL31" s="77">
        <f t="shared" si="27"/>
        <v>310560</v>
      </c>
    </row>
    <row r="32" spans="2:64" ht="20" customHeight="1">
      <c r="B32" s="78">
        <f t="shared" si="28"/>
        <v>45227</v>
      </c>
      <c r="C32" s="79"/>
      <c r="D32" s="50"/>
      <c r="E32" s="51">
        <v>35</v>
      </c>
      <c r="F32" s="52">
        <v>153780</v>
      </c>
      <c r="G32" s="53">
        <f t="shared" si="0"/>
        <v>3994.2857142857142</v>
      </c>
      <c r="H32" s="52">
        <v>24130</v>
      </c>
      <c r="I32" s="53">
        <f t="shared" si="1"/>
        <v>626.74285714285713</v>
      </c>
      <c r="J32" s="55">
        <f t="shared" si="2"/>
        <v>177910</v>
      </c>
      <c r="K32" s="56">
        <f t="shared" si="3"/>
        <v>5083.1428571428569</v>
      </c>
      <c r="L32" s="57"/>
      <c r="M32" s="58">
        <f t="shared" si="4"/>
        <v>31</v>
      </c>
      <c r="N32" s="59">
        <f t="shared" si="4"/>
        <v>198660</v>
      </c>
      <c r="O32" s="53">
        <f t="shared" si="5"/>
        <v>5825.8064516129034</v>
      </c>
      <c r="P32" s="59">
        <f t="shared" si="6"/>
        <v>48210</v>
      </c>
      <c r="Q32" s="53">
        <f t="shared" si="7"/>
        <v>1413.7741935483871</v>
      </c>
      <c r="R32" s="60">
        <f t="shared" si="8"/>
        <v>246870</v>
      </c>
      <c r="S32" s="56">
        <f t="shared" si="9"/>
        <v>7963.5483870967746</v>
      </c>
      <c r="T32" s="80">
        <f t="shared" si="10"/>
        <v>66</v>
      </c>
      <c r="U32" s="59">
        <f t="shared" si="10"/>
        <v>352440</v>
      </c>
      <c r="V32" s="59">
        <f t="shared" si="11"/>
        <v>72340</v>
      </c>
      <c r="W32" s="62">
        <f t="shared" si="12"/>
        <v>424780</v>
      </c>
      <c r="X32" s="81"/>
      <c r="Y32" s="63"/>
      <c r="Z32" s="64">
        <v>21</v>
      </c>
      <c r="AA32" s="52">
        <v>10870</v>
      </c>
      <c r="AB32" s="53">
        <f t="shared" si="13"/>
        <v>517.61904761904759</v>
      </c>
      <c r="AC32" s="52">
        <v>5000</v>
      </c>
      <c r="AD32" s="54">
        <f t="shared" si="14"/>
        <v>238.0952380952381</v>
      </c>
      <c r="AE32" s="65">
        <f t="shared" si="15"/>
        <v>15870</v>
      </c>
      <c r="AF32" s="56">
        <f t="shared" si="16"/>
        <v>755.71428571428567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/>
      <c r="AQ32" s="52"/>
      <c r="AR32" s="53" t="e">
        <f t="shared" si="20"/>
        <v>#DIV/0!</v>
      </c>
      <c r="AS32" s="52"/>
      <c r="AT32" s="54" t="e">
        <f t="shared" si="21"/>
        <v>#DIV/0!</v>
      </c>
      <c r="AU32" s="54"/>
      <c r="AV32" s="69">
        <f t="shared" si="30"/>
        <v>0</v>
      </c>
      <c r="AW32" s="67" t="str">
        <f t="shared" si="22"/>
        <v/>
      </c>
      <c r="AX32" s="82">
        <f t="shared" si="23"/>
        <v>66</v>
      </c>
      <c r="AY32" s="59">
        <f t="shared" si="24"/>
        <v>363310</v>
      </c>
      <c r="AZ32" s="59">
        <f t="shared" si="25"/>
        <v>77340</v>
      </c>
      <c r="BA32" s="71">
        <f t="shared" si="26"/>
        <v>440650</v>
      </c>
      <c r="BB32" s="72">
        <f t="shared" si="31"/>
        <v>8250</v>
      </c>
      <c r="BC32" s="73">
        <v>66</v>
      </c>
      <c r="BD32" s="74">
        <v>352440</v>
      </c>
      <c r="BE32" s="74">
        <v>72340</v>
      </c>
      <c r="BF32" s="75">
        <v>8250</v>
      </c>
      <c r="BG32" s="75"/>
      <c r="BH32" s="75"/>
      <c r="BI32" s="75"/>
      <c r="BJ32" s="76">
        <f t="shared" si="32"/>
        <v>433030</v>
      </c>
      <c r="BK32" s="47">
        <v>28</v>
      </c>
      <c r="BL32" s="77">
        <f t="shared" si="27"/>
        <v>433030</v>
      </c>
    </row>
    <row r="33" spans="2:64" ht="20" customHeight="1">
      <c r="B33" s="78">
        <f t="shared" si="28"/>
        <v>45228</v>
      </c>
      <c r="C33" s="79"/>
      <c r="D33" s="50"/>
      <c r="E33" s="51">
        <v>29</v>
      </c>
      <c r="F33" s="52">
        <v>133100</v>
      </c>
      <c r="G33" s="53">
        <f t="shared" si="0"/>
        <v>4172.4137931034484</v>
      </c>
      <c r="H33" s="52">
        <v>16030</v>
      </c>
      <c r="I33" s="53">
        <f t="shared" si="1"/>
        <v>502.48275862068965</v>
      </c>
      <c r="J33" s="55">
        <f t="shared" si="2"/>
        <v>149130</v>
      </c>
      <c r="K33" s="56">
        <f t="shared" si="3"/>
        <v>5142.4137931034484</v>
      </c>
      <c r="L33" s="57"/>
      <c r="M33" s="58">
        <f t="shared" si="4"/>
        <v>30</v>
      </c>
      <c r="N33" s="59">
        <f t="shared" si="4"/>
        <v>223020</v>
      </c>
      <c r="O33" s="53">
        <f t="shared" si="5"/>
        <v>6758.166666666667</v>
      </c>
      <c r="P33" s="59">
        <f t="shared" si="6"/>
        <v>53760</v>
      </c>
      <c r="Q33" s="53">
        <f t="shared" si="7"/>
        <v>1629.0666666666666</v>
      </c>
      <c r="R33" s="60">
        <f t="shared" si="8"/>
        <v>276780</v>
      </c>
      <c r="S33" s="56">
        <f t="shared" si="9"/>
        <v>9226</v>
      </c>
      <c r="T33" s="80">
        <f t="shared" si="10"/>
        <v>59</v>
      </c>
      <c r="U33" s="59">
        <f t="shared" si="10"/>
        <v>356120</v>
      </c>
      <c r="V33" s="59">
        <f t="shared" si="11"/>
        <v>69790</v>
      </c>
      <c r="W33" s="62">
        <f>J33+R33</f>
        <v>425910</v>
      </c>
      <c r="X33" s="81"/>
      <c r="Y33" s="63"/>
      <c r="Z33" s="64">
        <v>12</v>
      </c>
      <c r="AA33" s="52">
        <v>6490</v>
      </c>
      <c r="AB33" s="53">
        <f t="shared" si="13"/>
        <v>540.83333333333337</v>
      </c>
      <c r="AC33" s="52">
        <v>5000</v>
      </c>
      <c r="AD33" s="54">
        <f t="shared" si="14"/>
        <v>416.66666666666669</v>
      </c>
      <c r="AE33" s="65">
        <f t="shared" si="15"/>
        <v>11490</v>
      </c>
      <c r="AF33" s="56">
        <f t="shared" si="16"/>
        <v>957.5</v>
      </c>
      <c r="AG33" s="66"/>
      <c r="AH33" s="64">
        <v>32</v>
      </c>
      <c r="AI33" s="52">
        <v>125280</v>
      </c>
      <c r="AJ33" s="53">
        <f t="shared" si="17"/>
        <v>3915</v>
      </c>
      <c r="AK33" s="52">
        <v>41760</v>
      </c>
      <c r="AL33" s="54">
        <f t="shared" si="18"/>
        <v>1305</v>
      </c>
      <c r="AM33" s="65">
        <f t="shared" si="29"/>
        <v>167040</v>
      </c>
      <c r="AN33" s="67">
        <f t="shared" si="19"/>
        <v>5220</v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59</v>
      </c>
      <c r="AY33" s="59">
        <f t="shared" si="24"/>
        <v>487890</v>
      </c>
      <c r="AZ33" s="59">
        <f t="shared" si="25"/>
        <v>116550</v>
      </c>
      <c r="BA33" s="71">
        <f>W33+AE33+AM33+AV33</f>
        <v>604440</v>
      </c>
      <c r="BB33" s="72">
        <f t="shared" si="31"/>
        <v>0</v>
      </c>
      <c r="BC33" s="73">
        <v>59</v>
      </c>
      <c r="BD33" s="74">
        <v>356120</v>
      </c>
      <c r="BE33" s="74">
        <v>69790</v>
      </c>
      <c r="BF33" s="75"/>
      <c r="BG33" s="75"/>
      <c r="BH33" s="75"/>
      <c r="BI33" s="75"/>
      <c r="BJ33" s="76">
        <f t="shared" si="32"/>
        <v>425910</v>
      </c>
      <c r="BK33" s="47">
        <v>29</v>
      </c>
      <c r="BL33" s="77">
        <f t="shared" si="27"/>
        <v>425910</v>
      </c>
    </row>
    <row r="34" spans="2:64" ht="20" customHeight="1">
      <c r="B34" s="78">
        <f t="shared" si="28"/>
        <v>45229</v>
      </c>
      <c r="C34" s="79"/>
      <c r="D34" s="50"/>
      <c r="E34" s="51">
        <v>31</v>
      </c>
      <c r="F34" s="52">
        <v>117920</v>
      </c>
      <c r="G34" s="53">
        <f t="shared" si="0"/>
        <v>3458.0645161290322</v>
      </c>
      <c r="H34" s="52">
        <v>6290</v>
      </c>
      <c r="I34" s="53">
        <f t="shared" si="1"/>
        <v>184.45161290322579</v>
      </c>
      <c r="J34" s="55">
        <f t="shared" si="2"/>
        <v>124210</v>
      </c>
      <c r="K34" s="56">
        <f t="shared" si="3"/>
        <v>4006.7741935483873</v>
      </c>
      <c r="L34" s="57"/>
      <c r="M34" s="58">
        <f t="shared" si="4"/>
        <v>9</v>
      </c>
      <c r="N34" s="59">
        <f t="shared" si="4"/>
        <v>45540</v>
      </c>
      <c r="O34" s="53">
        <f t="shared" si="5"/>
        <v>4600</v>
      </c>
      <c r="P34" s="59">
        <f t="shared" si="6"/>
        <v>13950</v>
      </c>
      <c r="Q34" s="53">
        <f t="shared" si="7"/>
        <v>1409</v>
      </c>
      <c r="R34" s="60">
        <f t="shared" si="8"/>
        <v>59490</v>
      </c>
      <c r="S34" s="56">
        <f t="shared" si="9"/>
        <v>6610</v>
      </c>
      <c r="T34" s="80">
        <f t="shared" si="10"/>
        <v>40</v>
      </c>
      <c r="U34" s="59">
        <f t="shared" si="10"/>
        <v>163460</v>
      </c>
      <c r="V34" s="59">
        <f t="shared" si="11"/>
        <v>20240</v>
      </c>
      <c r="W34" s="62">
        <f t="shared" si="12"/>
        <v>183700</v>
      </c>
      <c r="X34" s="81"/>
      <c r="Y34" s="86"/>
      <c r="Z34" s="87">
        <v>12</v>
      </c>
      <c r="AA34" s="88">
        <v>6260</v>
      </c>
      <c r="AB34" s="53">
        <f t="shared" si="13"/>
        <v>521.66666666666663</v>
      </c>
      <c r="AC34" s="88">
        <v>2000</v>
      </c>
      <c r="AD34" s="54">
        <f t="shared" si="14"/>
        <v>166.66666666666666</v>
      </c>
      <c r="AE34" s="65">
        <f t="shared" si="15"/>
        <v>8260</v>
      </c>
      <c r="AF34" s="56">
        <f t="shared" si="16"/>
        <v>688.33333333333337</v>
      </c>
      <c r="AG34" s="66"/>
      <c r="AH34" s="87"/>
      <c r="AI34" s="88"/>
      <c r="AJ34" s="53" t="e">
        <f t="shared" si="17"/>
        <v>#DIV/0!</v>
      </c>
      <c r="AK34" s="88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7"/>
      <c r="AQ34" s="88"/>
      <c r="AR34" s="53" t="e">
        <f t="shared" si="20"/>
        <v>#DIV/0!</v>
      </c>
      <c r="AS34" s="88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40</v>
      </c>
      <c r="AY34" s="59">
        <f t="shared" si="24"/>
        <v>169720</v>
      </c>
      <c r="AZ34" s="59">
        <f t="shared" si="25"/>
        <v>22240</v>
      </c>
      <c r="BA34" s="71">
        <f>W34+AE34+AM34+AV34</f>
        <v>191960</v>
      </c>
      <c r="BB34" s="72">
        <f t="shared" si="31"/>
        <v>1100</v>
      </c>
      <c r="BC34" s="73">
        <v>40</v>
      </c>
      <c r="BD34" s="74">
        <v>163460</v>
      </c>
      <c r="BE34" s="74">
        <v>20240</v>
      </c>
      <c r="BF34" s="75">
        <v>1100</v>
      </c>
      <c r="BG34" s="75"/>
      <c r="BH34" s="75"/>
      <c r="BI34" s="75"/>
      <c r="BJ34" s="76">
        <f t="shared" si="32"/>
        <v>184800</v>
      </c>
      <c r="BK34" s="47">
        <v>30</v>
      </c>
      <c r="BL34" s="77">
        <f t="shared" si="27"/>
        <v>184800</v>
      </c>
    </row>
    <row r="35" spans="2:64" ht="20" customHeight="1" thickBot="1">
      <c r="B35" s="89">
        <f t="shared" si="28"/>
        <v>45230</v>
      </c>
      <c r="C35" s="79"/>
      <c r="D35" s="50"/>
      <c r="E35" s="51">
        <v>26</v>
      </c>
      <c r="F35" s="52">
        <v>105050</v>
      </c>
      <c r="G35" s="53">
        <f t="shared" si="0"/>
        <v>3673.0769230769229</v>
      </c>
      <c r="H35" s="52">
        <v>9670</v>
      </c>
      <c r="I35" s="53">
        <f t="shared" si="1"/>
        <v>338.07692307692309</v>
      </c>
      <c r="J35" s="55">
        <f t="shared" si="2"/>
        <v>114720</v>
      </c>
      <c r="K35" s="56">
        <f t="shared" si="3"/>
        <v>4412.3076923076924</v>
      </c>
      <c r="L35" s="57"/>
      <c r="M35" s="90">
        <f t="shared" si="4"/>
        <v>13</v>
      </c>
      <c r="N35" s="59">
        <f t="shared" si="4"/>
        <v>92730</v>
      </c>
      <c r="O35" s="53">
        <f t="shared" si="5"/>
        <v>6484.6153846153848</v>
      </c>
      <c r="P35" s="59">
        <f t="shared" si="6"/>
        <v>20050</v>
      </c>
      <c r="Q35" s="53">
        <f t="shared" si="7"/>
        <v>1402.0769230769231</v>
      </c>
      <c r="R35" s="60">
        <f t="shared" si="8"/>
        <v>112780</v>
      </c>
      <c r="S35" s="56">
        <f t="shared" si="9"/>
        <v>8675.3846153846152</v>
      </c>
      <c r="T35" s="91">
        <f t="shared" si="10"/>
        <v>39</v>
      </c>
      <c r="U35" s="92">
        <f t="shared" si="10"/>
        <v>197780</v>
      </c>
      <c r="V35" s="92">
        <f t="shared" si="11"/>
        <v>29720</v>
      </c>
      <c r="W35" s="93">
        <f t="shared" si="12"/>
        <v>227500</v>
      </c>
      <c r="X35" s="92"/>
      <c r="Y35" s="94"/>
      <c r="Z35" s="95">
        <v>4</v>
      </c>
      <c r="AA35" s="96">
        <v>1690</v>
      </c>
      <c r="AB35" s="97">
        <f t="shared" si="13"/>
        <v>422.5</v>
      </c>
      <c r="AC35" s="96">
        <v>350</v>
      </c>
      <c r="AD35" s="98">
        <f t="shared" si="14"/>
        <v>87.5</v>
      </c>
      <c r="AE35" s="99">
        <f t="shared" si="15"/>
        <v>2040</v>
      </c>
      <c r="AF35" s="56">
        <f t="shared" si="16"/>
        <v>510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39</v>
      </c>
      <c r="AY35" s="59">
        <f t="shared" si="24"/>
        <v>199470</v>
      </c>
      <c r="AZ35" s="59">
        <f t="shared" si="25"/>
        <v>30070</v>
      </c>
      <c r="BA35" s="71">
        <f t="shared" si="26"/>
        <v>229540</v>
      </c>
      <c r="BB35" s="72">
        <f t="shared" si="31"/>
        <v>0</v>
      </c>
      <c r="BC35" s="103">
        <v>39</v>
      </c>
      <c r="BD35" s="104">
        <v>197780</v>
      </c>
      <c r="BE35" s="104">
        <v>29720</v>
      </c>
      <c r="BF35" s="105"/>
      <c r="BG35" s="105"/>
      <c r="BH35" s="105"/>
      <c r="BI35" s="105"/>
      <c r="BJ35" s="76">
        <f t="shared" si="32"/>
        <v>227500</v>
      </c>
      <c r="BK35" s="47">
        <v>31</v>
      </c>
      <c r="BL35" s="77">
        <f t="shared" si="27"/>
        <v>227500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914</v>
      </c>
      <c r="F36" s="110">
        <f>SUM(F5:F35)</f>
        <v>3831850</v>
      </c>
      <c r="G36" s="111">
        <f>F36/E36</f>
        <v>4192.3960612691462</v>
      </c>
      <c r="H36" s="107">
        <f>SUM(H5:H35)</f>
        <v>483260</v>
      </c>
      <c r="I36" s="112">
        <f>H36/E36</f>
        <v>528.73085339168495</v>
      </c>
      <c r="J36" s="113">
        <f>SUM(J5:J35)+BB36/2</f>
        <v>4375885</v>
      </c>
      <c r="K36" s="114">
        <f>J36/E36</f>
        <v>4787.6203501094096</v>
      </c>
      <c r="L36" s="115">
        <f>SUM(L5:L35)</f>
        <v>0</v>
      </c>
      <c r="M36" s="109">
        <f>SUM(M5:M35)</f>
        <v>621</v>
      </c>
      <c r="N36" s="110">
        <f>SUM(N5:N35)</f>
        <v>4784300</v>
      </c>
      <c r="O36" s="111">
        <f>N36/M36</f>
        <v>7704.1867954911431</v>
      </c>
      <c r="P36" s="116">
        <f>SUM(P5:P35)</f>
        <v>1189050</v>
      </c>
      <c r="Q36" s="112">
        <f>P36/M36</f>
        <v>1914.7342995169083</v>
      </c>
      <c r="R36" s="117">
        <f>SUM(R5:R35)+BB36/2</f>
        <v>6034125</v>
      </c>
      <c r="S36" s="118">
        <f>R36/M36</f>
        <v>9716.7874396135267</v>
      </c>
      <c r="T36" s="109">
        <f t="shared" ref="T36:AA36" si="33">SUM(T5:T35)</f>
        <v>1535</v>
      </c>
      <c r="U36" s="116">
        <f t="shared" si="33"/>
        <v>8616150</v>
      </c>
      <c r="V36" s="116">
        <f t="shared" si="33"/>
        <v>1672310</v>
      </c>
      <c r="W36" s="113">
        <f>SUM(W5:W35)+BF36</f>
        <v>10410010</v>
      </c>
      <c r="X36" s="119">
        <f t="shared" si="33"/>
        <v>0</v>
      </c>
      <c r="Y36" s="108">
        <f t="shared" si="33"/>
        <v>0</v>
      </c>
      <c r="Z36" s="109">
        <f t="shared" si="33"/>
        <v>301</v>
      </c>
      <c r="AA36" s="111">
        <f t="shared" si="33"/>
        <v>153070</v>
      </c>
      <c r="AB36" s="111">
        <f>AA36/Z36</f>
        <v>508.53820598006644</v>
      </c>
      <c r="AC36" s="107">
        <f>SUM(AC5:AC35)</f>
        <v>70410</v>
      </c>
      <c r="AD36" s="112">
        <f>AC36/Z36</f>
        <v>233.92026578073089</v>
      </c>
      <c r="AE36" s="117">
        <f>SUM(AE5:AE35)</f>
        <v>223480</v>
      </c>
      <c r="AF36" s="120">
        <f>AE36/Z36</f>
        <v>742.45847176079735</v>
      </c>
      <c r="AG36" s="121">
        <f t="shared" ref="AG36:AI36" si="34">SUM(AG5:AG35)</f>
        <v>0</v>
      </c>
      <c r="AH36" s="109">
        <f t="shared" si="34"/>
        <v>96</v>
      </c>
      <c r="AI36" s="111">
        <f t="shared" si="34"/>
        <v>319290</v>
      </c>
      <c r="AJ36" s="111"/>
      <c r="AK36" s="107">
        <f>SUM(AK5:AK35)</f>
        <v>184466</v>
      </c>
      <c r="AL36" s="112"/>
      <c r="AM36" s="117">
        <f>SUM(AM5:AM35)</f>
        <v>503756</v>
      </c>
      <c r="AN36" s="122">
        <f>AM36/AH36</f>
        <v>5247.458333333333</v>
      </c>
      <c r="AO36" s="123">
        <f t="shared" ref="AO36:AQ36" si="35">SUM(AO5:AO35)</f>
        <v>0</v>
      </c>
      <c r="AP36" s="109">
        <f t="shared" si="35"/>
        <v>76</v>
      </c>
      <c r="AQ36" s="111">
        <f t="shared" si="35"/>
        <v>77100</v>
      </c>
      <c r="AR36" s="111"/>
      <c r="AS36" s="107">
        <f>SUM(AS5:AS35)</f>
        <v>49140</v>
      </c>
      <c r="AT36" s="112"/>
      <c r="AU36" s="107">
        <f>SUM(AU5:AU35)</f>
        <v>0</v>
      </c>
      <c r="AV36" s="117">
        <f>SUM(AV5:AV35)</f>
        <v>126240</v>
      </c>
      <c r="AW36" s="122">
        <f>AV36/AP36</f>
        <v>1661.0526315789473</v>
      </c>
      <c r="AX36" s="124">
        <f t="shared" ref="AX36:BJ36" si="36">SUM(AX5:AX35)</f>
        <v>1535</v>
      </c>
      <c r="AY36" s="116">
        <f t="shared" si="36"/>
        <v>9165610</v>
      </c>
      <c r="AZ36" s="116">
        <f t="shared" si="36"/>
        <v>1976326</v>
      </c>
      <c r="BA36" s="117">
        <f>SUM(BA5:BA35)</f>
        <v>11141936</v>
      </c>
      <c r="BB36" s="125">
        <f t="shared" si="36"/>
        <v>121550</v>
      </c>
      <c r="BC36" s="126">
        <f t="shared" si="36"/>
        <v>1535</v>
      </c>
      <c r="BD36" s="126">
        <f t="shared" si="36"/>
        <v>8616150</v>
      </c>
      <c r="BE36" s="126">
        <f t="shared" si="36"/>
        <v>1672310</v>
      </c>
      <c r="BF36" s="126">
        <f t="shared" si="36"/>
        <v>121550</v>
      </c>
      <c r="BG36" s="126">
        <f t="shared" si="36"/>
        <v>0</v>
      </c>
      <c r="BH36" s="126">
        <f t="shared" si="36"/>
        <v>3300</v>
      </c>
      <c r="BI36" s="126">
        <f t="shared" si="36"/>
        <v>17600</v>
      </c>
      <c r="BJ36" s="127">
        <f t="shared" si="36"/>
        <v>10410010</v>
      </c>
      <c r="BL36" s="129">
        <f>SUM(BL5:BL35)</f>
        <v>10427610</v>
      </c>
    </row>
    <row r="37" spans="2:64" s="128" customFormat="1" ht="18">
      <c r="B37" s="130"/>
      <c r="E37" s="131" t="s">
        <v>40</v>
      </c>
      <c r="F37" s="132">
        <f>F36/1.1</f>
        <v>3483499.9999999995</v>
      </c>
      <c r="G37" s="133">
        <f>F37/E36</f>
        <v>3811.2691466083147</v>
      </c>
      <c r="H37" s="134">
        <f>H36/1.1</f>
        <v>439327.27272727271</v>
      </c>
      <c r="I37" s="133">
        <f>H37/E36</f>
        <v>480.66441217425898</v>
      </c>
      <c r="J37" s="135">
        <f>J36/1.1</f>
        <v>3978077.2727272725</v>
      </c>
      <c r="K37" s="136">
        <f>G37+I37</f>
        <v>4291.9335587825735</v>
      </c>
      <c r="L37" s="137"/>
      <c r="M37" s="131" t="s">
        <v>40</v>
      </c>
      <c r="N37" s="132">
        <f>N36/1.1</f>
        <v>4349363.6363636358</v>
      </c>
      <c r="O37" s="133">
        <f>N37/M36</f>
        <v>7003.8061777192206</v>
      </c>
      <c r="P37" s="134">
        <f>P36/1.1</f>
        <v>1080954.5454545454</v>
      </c>
      <c r="Q37" s="133">
        <f>P37/M36</f>
        <v>1740.6675450153709</v>
      </c>
      <c r="R37" s="133">
        <f>R36/1.1</f>
        <v>5485568.1818181816</v>
      </c>
      <c r="S37" s="138">
        <f>R37/M36</f>
        <v>8833.4431269213874</v>
      </c>
      <c r="T37" s="131" t="s">
        <v>40</v>
      </c>
      <c r="U37" s="132">
        <f>U36/1.1</f>
        <v>7832863.6363636358</v>
      </c>
      <c r="V37" s="132">
        <f>V36/1.1</f>
        <v>1520281.8181818181</v>
      </c>
      <c r="W37" s="135">
        <f>W36/1.1</f>
        <v>9463645.4545454532</v>
      </c>
      <c r="X37" s="139"/>
      <c r="Y37" s="137"/>
      <c r="Z37" s="131" t="s">
        <v>40</v>
      </c>
      <c r="AA37" s="132">
        <f>AA36/1.1</f>
        <v>139154.54545454544</v>
      </c>
      <c r="AB37" s="134">
        <f>AA37/Z36</f>
        <v>462.30745998187854</v>
      </c>
      <c r="AC37" s="134">
        <f>AC36/1.1</f>
        <v>64009.090909090904</v>
      </c>
      <c r="AD37" s="134">
        <f>AC37/Z36</f>
        <v>212.6547870733917</v>
      </c>
      <c r="AE37" s="133">
        <f>AE36/1.1</f>
        <v>203163.63636363635</v>
      </c>
      <c r="AF37" s="140" t="e">
        <f>AE37/Y36</f>
        <v>#DIV/0!</v>
      </c>
      <c r="AG37" s="137"/>
      <c r="AH37" s="131" t="s">
        <v>40</v>
      </c>
      <c r="AI37" s="132">
        <f>AI36/1.1</f>
        <v>290263.63636363635</v>
      </c>
      <c r="AJ37" s="134">
        <f>AI37/AH36</f>
        <v>3023.5795454545455</v>
      </c>
      <c r="AK37" s="134">
        <f>AK36/1.1</f>
        <v>167696.36363636362</v>
      </c>
      <c r="AL37" s="134">
        <f>AK37/AH36</f>
        <v>1746.837121212121</v>
      </c>
      <c r="AM37" s="133">
        <f>AM36/1.1</f>
        <v>457959.99999999994</v>
      </c>
      <c r="AN37" s="141" t="e">
        <f>AM37/AG36</f>
        <v>#DIV/0!</v>
      </c>
      <c r="AO37" s="137"/>
      <c r="AP37" s="131" t="s">
        <v>40</v>
      </c>
      <c r="AQ37" s="132">
        <f>AQ36/1.1</f>
        <v>70090.909090909088</v>
      </c>
      <c r="AR37" s="134">
        <f>AQ37/AP36</f>
        <v>922.2488038277512</v>
      </c>
      <c r="AS37" s="134">
        <f>AS36/1.1</f>
        <v>44672.727272727272</v>
      </c>
      <c r="AT37" s="134">
        <f>AS37/AP36</f>
        <v>587.79904306220089</v>
      </c>
      <c r="AU37" s="134">
        <f>AU36/1.1</f>
        <v>0</v>
      </c>
      <c r="AV37" s="133">
        <f>AV36/1.1</f>
        <v>114763.63636363635</v>
      </c>
      <c r="AW37" s="141">
        <f>AV37/AP36</f>
        <v>1510.0478468899521</v>
      </c>
      <c r="AX37" s="142" t="s">
        <v>40</v>
      </c>
      <c r="AY37" s="132">
        <f>AY36/1.1</f>
        <v>8332372.7272727266</v>
      </c>
      <c r="AZ37" s="132">
        <f>AZ36/1.1</f>
        <v>1796659.9999999998</v>
      </c>
      <c r="BA37" s="133">
        <f>BA36/1.1</f>
        <v>10129032.727272727</v>
      </c>
      <c r="BB37" s="143">
        <f>BB36/1.1</f>
        <v>110499.99999999999</v>
      </c>
      <c r="BG37" s="144"/>
      <c r="BJ37" s="145">
        <f>BJ36/1.1</f>
        <v>9463645.4545454532</v>
      </c>
      <c r="BL37" s="145"/>
    </row>
    <row r="38" spans="2:64">
      <c r="C38" s="47">
        <v>31</v>
      </c>
      <c r="E38" s="146" t="s">
        <v>41</v>
      </c>
      <c r="F38" s="147">
        <f>E36/G38</f>
        <v>29.483870967741936</v>
      </c>
      <c r="G38" s="148">
        <v>31</v>
      </c>
      <c r="H38" s="147"/>
      <c r="I38" s="147"/>
      <c r="J38" s="149" t="s">
        <v>42</v>
      </c>
      <c r="K38" s="150">
        <f>J37/G38</f>
        <v>128325.07331378298</v>
      </c>
      <c r="M38" s="146" t="s">
        <v>41</v>
      </c>
      <c r="N38" s="147">
        <f>M36/O38</f>
        <v>20.032258064516128</v>
      </c>
      <c r="O38" s="148">
        <f>G38</f>
        <v>31</v>
      </c>
      <c r="P38" s="147"/>
      <c r="Q38" s="147"/>
      <c r="R38" s="149" t="s">
        <v>42</v>
      </c>
      <c r="S38" s="151">
        <f>R37/O38</f>
        <v>176953.81231671554</v>
      </c>
      <c r="U38" s="152">
        <f>O38</f>
        <v>31</v>
      </c>
      <c r="W38" s="153">
        <f>W37/U38</f>
        <v>305278.88563049847</v>
      </c>
      <c r="X38" s="77"/>
      <c r="AA38" s="154">
        <f>G38</f>
        <v>31</v>
      </c>
      <c r="AB38" s="147"/>
      <c r="AC38" s="147"/>
      <c r="AD38" s="147"/>
      <c r="AE38" s="147"/>
      <c r="AF38" s="150">
        <f>AE37/AA38</f>
        <v>6553.6656891495595</v>
      </c>
      <c r="AI38" s="154">
        <f>AA38</f>
        <v>31</v>
      </c>
      <c r="AJ38" s="147"/>
      <c r="AK38" s="147"/>
      <c r="AL38" s="147"/>
      <c r="AM38" s="147"/>
      <c r="AN38" s="150">
        <f>AM37/AI38</f>
        <v>14772.903225806449</v>
      </c>
      <c r="AQ38" s="154">
        <f>G38</f>
        <v>31</v>
      </c>
      <c r="AR38" s="147"/>
      <c r="AS38" s="147"/>
      <c r="AT38" s="147"/>
      <c r="AU38" s="147"/>
      <c r="AV38" s="147">
        <v>1516934</v>
      </c>
      <c r="AW38" s="150">
        <f>AV37/AQ38</f>
        <v>3702.0527859237532</v>
      </c>
      <c r="BA38" s="153"/>
      <c r="BB38" s="77" t="e">
        <f>BA37/BC37</f>
        <v>#DIV/0!</v>
      </c>
      <c r="BC38" s="155">
        <f>AX36+T36</f>
        <v>3070</v>
      </c>
      <c r="BG38" s="153"/>
    </row>
    <row r="39" spans="2:64">
      <c r="D39" s="156" t="s">
        <v>43</v>
      </c>
      <c r="E39" s="157"/>
      <c r="F39" s="147"/>
      <c r="G39" s="158"/>
      <c r="H39" s="147"/>
      <c r="I39" s="147"/>
      <c r="J39" s="149"/>
      <c r="K39" s="150"/>
      <c r="L39" s="159" t="s">
        <v>44</v>
      </c>
      <c r="M39" s="146"/>
      <c r="N39" s="147"/>
      <c r="O39" s="147"/>
      <c r="P39" s="147"/>
      <c r="Q39" s="147"/>
      <c r="R39" s="149"/>
      <c r="S39" s="150"/>
      <c r="W39" s="153"/>
      <c r="X39" s="77"/>
      <c r="Y39" s="159" t="s">
        <v>45</v>
      </c>
      <c r="AA39" s="147"/>
      <c r="AB39" s="147"/>
      <c r="AC39" s="147"/>
      <c r="AD39" s="147"/>
      <c r="AE39" s="147"/>
      <c r="AF39" s="150"/>
      <c r="AG39" s="159" t="s">
        <v>46</v>
      </c>
      <c r="AI39" s="147"/>
      <c r="AJ39" s="147"/>
      <c r="AK39" s="147"/>
      <c r="AL39" s="147"/>
      <c r="AM39" s="147"/>
      <c r="AN39" s="150"/>
      <c r="AO39" s="159" t="s">
        <v>47</v>
      </c>
      <c r="AQ39" s="147"/>
      <c r="AR39" s="147"/>
      <c r="AS39" s="147">
        <f>1289+76</f>
        <v>1365</v>
      </c>
      <c r="AT39" s="147"/>
      <c r="AU39" s="147"/>
      <c r="AV39" s="147">
        <v>1379566</v>
      </c>
      <c r="AW39" s="150"/>
      <c r="AY39" s="153">
        <f>1512557+AV36</f>
        <v>1638797</v>
      </c>
      <c r="AZ39" s="47" t="s">
        <v>48</v>
      </c>
      <c r="BA39" s="77">
        <f>BA36+BB36</f>
        <v>11263486</v>
      </c>
      <c r="BB39" s="160">
        <f>BA39/G38</f>
        <v>363338.25806451612</v>
      </c>
      <c r="BC39" s="47" t="s">
        <v>49</v>
      </c>
      <c r="BG39" s="153"/>
    </row>
    <row r="40" spans="2:64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W40" s="77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Y40" s="162">
        <f>AY39/1.1</f>
        <v>1489815.4545454544</v>
      </c>
      <c r="AZ40" s="47" t="s">
        <v>50</v>
      </c>
      <c r="BA40" s="163">
        <f>BA37+BB37</f>
        <v>10239532.727272727</v>
      </c>
    </row>
    <row r="41" spans="2:64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W41" s="153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Y41" s="47" t="s">
        <v>51</v>
      </c>
      <c r="BA41" s="77"/>
      <c r="BB41" s="160">
        <f>BA40/G38</f>
        <v>330307.50733137829</v>
      </c>
      <c r="BC41" s="47" t="s">
        <v>52</v>
      </c>
      <c r="BD41" s="47">
        <v>9</v>
      </c>
    </row>
    <row r="42" spans="2:64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W42" s="77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BD42" s="47">
        <v>8</v>
      </c>
      <c r="BE42" s="153">
        <f>AS37</f>
        <v>44672.727272727272</v>
      </c>
    </row>
    <row r="43" spans="2:64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BA43" s="153">
        <f>BA37+BB37</f>
        <v>10239532.727272727</v>
      </c>
      <c r="BB43" s="164" t="s">
        <v>53</v>
      </c>
      <c r="BD43" s="47">
        <v>7</v>
      </c>
      <c r="BE43" s="165">
        <f>'[1]2023(7)'!AS37</f>
        <v>15843636.363636361</v>
      </c>
      <c r="BF43" s="165">
        <v>6266320</v>
      </c>
      <c r="BG43" s="166">
        <f>BF43/BE43</f>
        <v>0.39551021344962134</v>
      </c>
    </row>
    <row r="44" spans="2:64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Y44" s="128"/>
      <c r="AZ44" s="167" t="s">
        <v>54</v>
      </c>
      <c r="BA44" s="145">
        <f>J45+R45+AE45+BB44+AM45+AV45</f>
        <v>22578600</v>
      </c>
      <c r="BB44" s="168"/>
      <c r="BC44" s="128"/>
      <c r="BD44" s="47">
        <v>6</v>
      </c>
      <c r="BE44" s="165">
        <v>7119727</v>
      </c>
      <c r="BF44" s="165">
        <v>2680643</v>
      </c>
      <c r="BG44" s="166">
        <f t="shared" ref="BG44:BG45" si="37">BF44/BE44</f>
        <v>0.37650923975034434</v>
      </c>
      <c r="BH44" s="47" t="s">
        <v>55</v>
      </c>
    </row>
    <row r="45" spans="2:64" ht="21" customHeight="1">
      <c r="H45" s="169"/>
      <c r="I45" s="170" t="s">
        <v>56</v>
      </c>
      <c r="J45" s="145">
        <v>3645600</v>
      </c>
      <c r="K45" s="171" t="s">
        <v>57</v>
      </c>
      <c r="L45" s="128"/>
      <c r="M45" s="128"/>
      <c r="N45" s="128"/>
      <c r="O45" s="128"/>
      <c r="P45" s="128"/>
      <c r="Q45" s="170" t="s">
        <v>58</v>
      </c>
      <c r="R45" s="145">
        <v>8370000</v>
      </c>
      <c r="S45" s="171" t="s">
        <v>57</v>
      </c>
      <c r="T45" s="128"/>
      <c r="U45" s="128"/>
      <c r="V45" s="170" t="s">
        <v>59</v>
      </c>
      <c r="W45" s="145">
        <f>J45+R45</f>
        <v>12015600</v>
      </c>
      <c r="X45" s="171" t="s">
        <v>57</v>
      </c>
      <c r="Y45" s="128"/>
      <c r="Z45" s="128"/>
      <c r="AA45" s="128"/>
      <c r="AB45" s="128"/>
      <c r="AC45" s="128"/>
      <c r="AD45" s="169" t="s">
        <v>60</v>
      </c>
      <c r="AE45" s="145">
        <v>784000</v>
      </c>
      <c r="AF45" s="171" t="s">
        <v>57</v>
      </c>
      <c r="AG45" s="171"/>
      <c r="AH45" s="171"/>
      <c r="AI45" s="171"/>
      <c r="AJ45" s="171"/>
      <c r="AK45" s="128"/>
      <c r="AL45" s="170" t="s">
        <v>61</v>
      </c>
      <c r="AM45" s="145">
        <v>504000</v>
      </c>
      <c r="AN45" s="171" t="s">
        <v>57</v>
      </c>
      <c r="AO45" s="171"/>
      <c r="AP45" s="171"/>
      <c r="AQ45" s="171"/>
      <c r="AR45" s="171"/>
      <c r="AS45" s="128"/>
      <c r="AT45" s="170" t="s">
        <v>62</v>
      </c>
      <c r="AU45" s="170"/>
      <c r="AV45" s="145">
        <v>9275000</v>
      </c>
      <c r="AW45" s="171" t="s">
        <v>57</v>
      </c>
      <c r="AX45" s="128"/>
      <c r="AY45" s="128"/>
      <c r="AZ45" s="167" t="s">
        <v>63</v>
      </c>
      <c r="BA45" s="144">
        <f>BA44-BA37-BB37</f>
        <v>12339067.272727273</v>
      </c>
      <c r="BB45" s="144">
        <f>BB44-BB37</f>
        <v>-110499.99999999999</v>
      </c>
      <c r="BC45" s="172" t="e">
        <f>BB37/BB44</f>
        <v>#DIV/0!</v>
      </c>
      <c r="BD45" s="47">
        <v>5</v>
      </c>
      <c r="BE45" s="165">
        <v>637682</v>
      </c>
      <c r="BF45" s="165"/>
      <c r="BG45" s="166">
        <f t="shared" si="37"/>
        <v>0</v>
      </c>
      <c r="BH45" s="77" t="s">
        <v>64</v>
      </c>
      <c r="BL45" s="47"/>
    </row>
    <row r="46" spans="2:64" ht="21" customHeight="1">
      <c r="H46" s="169"/>
      <c r="I46" s="169" t="s">
        <v>63</v>
      </c>
      <c r="J46" s="144">
        <f>J45-J37</f>
        <v>-332477.27272727247</v>
      </c>
      <c r="K46" s="173">
        <f>C38-G38</f>
        <v>0</v>
      </c>
      <c r="L46" s="128"/>
      <c r="M46" s="128"/>
      <c r="N46" s="128"/>
      <c r="O46" s="128"/>
      <c r="P46" s="128"/>
      <c r="Q46" s="169" t="s">
        <v>63</v>
      </c>
      <c r="R46" s="144">
        <f>R45-R37</f>
        <v>2884431.8181818184</v>
      </c>
      <c r="S46" s="128">
        <f>K46</f>
        <v>0</v>
      </c>
      <c r="T46" s="128"/>
      <c r="U46" s="128"/>
      <c r="V46" s="169" t="s">
        <v>63</v>
      </c>
      <c r="W46" s="144">
        <f>W45-W37</f>
        <v>2551954.5454545468</v>
      </c>
      <c r="X46" s="128">
        <f>P46</f>
        <v>0</v>
      </c>
      <c r="Y46" s="128"/>
      <c r="Z46" s="128"/>
      <c r="AA46" s="128"/>
      <c r="AB46" s="128"/>
      <c r="AC46" s="128"/>
      <c r="AD46" s="169" t="s">
        <v>63</v>
      </c>
      <c r="AE46" s="144">
        <f>AE45-AE37</f>
        <v>580836.36363636365</v>
      </c>
      <c r="AF46" s="128">
        <f>K46</f>
        <v>0</v>
      </c>
      <c r="AG46" s="128"/>
      <c r="AH46" s="128"/>
      <c r="AI46" s="128"/>
      <c r="AJ46" s="128"/>
      <c r="AK46" s="128"/>
      <c r="AL46" s="169" t="s">
        <v>63</v>
      </c>
      <c r="AM46" s="144">
        <f>AM45-AM37</f>
        <v>46040.000000000058</v>
      </c>
      <c r="AN46" s="128">
        <f>AF46</f>
        <v>0</v>
      </c>
      <c r="AO46" s="128"/>
      <c r="AP46" s="128"/>
      <c r="AQ46" s="128"/>
      <c r="AR46" s="128"/>
      <c r="AS46" s="128"/>
      <c r="AT46" s="169" t="s">
        <v>63</v>
      </c>
      <c r="AU46" s="169"/>
      <c r="AV46" s="144">
        <f>AV45-AV37</f>
        <v>9160236.3636363633</v>
      </c>
      <c r="AW46" s="128">
        <f>AN46</f>
        <v>0</v>
      </c>
      <c r="AX46" s="128"/>
      <c r="AY46" s="174"/>
      <c r="AZ46" s="175" t="s">
        <v>65</v>
      </c>
      <c r="BA46" s="176" t="e">
        <f>BA45/K46</f>
        <v>#DIV/0!</v>
      </c>
      <c r="BB46" s="177">
        <f>(BA37+BB37)/BA44</f>
        <v>0.45350609547415371</v>
      </c>
      <c r="BC46" s="174"/>
      <c r="BD46" s="178"/>
      <c r="BE46" s="179">
        <f>SUM(BE41:BE45)</f>
        <v>23645718.090909086</v>
      </c>
      <c r="BF46" s="180">
        <f>BJ71</f>
        <v>9138052</v>
      </c>
      <c r="BG46" s="181">
        <f>BF46/BE46</f>
        <v>0.38645694602581121</v>
      </c>
      <c r="BH46" s="182">
        <f>BE46-BF46</f>
        <v>14507666.090909086</v>
      </c>
      <c r="BL46" s="47"/>
    </row>
    <row r="47" spans="2:64" s="178" customFormat="1" ht="26" customHeight="1">
      <c r="B47" s="183"/>
      <c r="H47" s="184"/>
      <c r="I47" s="175" t="s">
        <v>65</v>
      </c>
      <c r="J47" s="185" t="e">
        <f>J46/K46</f>
        <v>#DIV/0!</v>
      </c>
      <c r="K47" s="186">
        <f>J37/J45</f>
        <v>1.0911996030083586</v>
      </c>
      <c r="L47" s="174"/>
      <c r="M47" s="174"/>
      <c r="N47" s="174"/>
      <c r="O47" s="174"/>
      <c r="P47" s="174"/>
      <c r="Q47" s="175" t="s">
        <v>65</v>
      </c>
      <c r="R47" s="176" t="e">
        <f>R46/S46</f>
        <v>#DIV/0!</v>
      </c>
      <c r="S47" s="186">
        <f>R37/R45</f>
        <v>0.65538449006190935</v>
      </c>
      <c r="T47" s="174"/>
      <c r="U47" s="174"/>
      <c r="V47" s="175" t="s">
        <v>65</v>
      </c>
      <c r="W47" s="176" t="e">
        <f>W46/X46</f>
        <v>#DIV/0!</v>
      </c>
      <c r="X47" s="186">
        <f>W37/W45</f>
        <v>0.78761322402089395</v>
      </c>
      <c r="Y47" s="174"/>
      <c r="Z47" s="174"/>
      <c r="AA47" s="174"/>
      <c r="AB47" s="174"/>
      <c r="AC47" s="174"/>
      <c r="AD47" s="175" t="s">
        <v>65</v>
      </c>
      <c r="AE47" s="185" t="e">
        <f>AE46/AF46</f>
        <v>#DIV/0!</v>
      </c>
      <c r="AF47" s="186">
        <f>AE37/AE45</f>
        <v>0.2591372912801484</v>
      </c>
      <c r="AG47" s="186"/>
      <c r="AH47" s="186"/>
      <c r="AI47" s="186"/>
      <c r="AJ47" s="186"/>
      <c r="AK47" s="174"/>
      <c r="AL47" s="175" t="s">
        <v>65</v>
      </c>
      <c r="AM47" s="176" t="e">
        <f>AM46/AN46</f>
        <v>#DIV/0!</v>
      </c>
      <c r="AN47" s="186">
        <f>AM37/AM45</f>
        <v>0.90865079365079349</v>
      </c>
      <c r="AO47" s="186"/>
      <c r="AP47" s="186"/>
      <c r="AQ47" s="186"/>
      <c r="AR47" s="186"/>
      <c r="AS47" s="174"/>
      <c r="AT47" s="175" t="s">
        <v>65</v>
      </c>
      <c r="AU47" s="175"/>
      <c r="AV47" s="176" t="e">
        <f>AV46/AW46</f>
        <v>#DIV/0!</v>
      </c>
      <c r="AW47" s="186">
        <f>AV37/AV45</f>
        <v>1.2373437882871844E-2</v>
      </c>
      <c r="AX47" s="174"/>
      <c r="AY47" s="47"/>
      <c r="AZ47" s="47"/>
      <c r="BA47" s="153"/>
      <c r="BB47" s="47"/>
      <c r="BC47" s="47"/>
      <c r="BD47" s="47"/>
      <c r="BH47" s="187"/>
      <c r="BJ47" s="187"/>
    </row>
    <row r="48" spans="2:64">
      <c r="K48" s="47">
        <f>J45/31</f>
        <v>117600</v>
      </c>
      <c r="S48" s="47">
        <f>R45/31</f>
        <v>270000</v>
      </c>
      <c r="AY48" s="188"/>
      <c r="AZ48" s="188"/>
      <c r="BA48" s="188"/>
      <c r="BB48" s="188"/>
      <c r="BC48" s="188"/>
      <c r="BD48" s="188"/>
      <c r="BH48" s="77"/>
      <c r="BL48" s="47"/>
    </row>
    <row r="49" spans="2:62" s="188" customFormat="1" ht="24" customHeight="1">
      <c r="B49" s="189"/>
      <c r="I49" s="188" t="s">
        <v>66</v>
      </c>
      <c r="J49" s="190">
        <f>(I5+I8+I9+I10+I11+I12+I15+I16+I17+I18+I19+I22+I23+I24+I25+I26)/16</f>
        <v>565.92529994467498</v>
      </c>
      <c r="L49" s="191"/>
      <c r="M49" s="47"/>
      <c r="N49" s="47"/>
      <c r="O49" s="47"/>
      <c r="P49" s="47"/>
      <c r="Q49" s="47"/>
      <c r="R49" s="191"/>
      <c r="AE49" s="188">
        <f>AE45/31</f>
        <v>25290.322580645163</v>
      </c>
      <c r="AQ49" s="192">
        <f>AP14+AP21</f>
        <v>0</v>
      </c>
      <c r="AR49" s="193" t="e">
        <f>AR14+AR21</f>
        <v>#DIV/0!</v>
      </c>
      <c r="AS49" s="193" t="e">
        <f>AT14+AT21</f>
        <v>#DIV/0!</v>
      </c>
      <c r="AY49" s="1"/>
      <c r="AZ49" s="1"/>
      <c r="BA49" s="1"/>
      <c r="BB49" s="1"/>
      <c r="BC49" s="194" t="s">
        <v>67</v>
      </c>
      <c r="BD49" s="1" t="s">
        <v>68</v>
      </c>
      <c r="BE49" s="1" t="s">
        <v>69</v>
      </c>
      <c r="BF49" s="1" t="s">
        <v>70</v>
      </c>
      <c r="BG49" s="1" t="s">
        <v>71</v>
      </c>
      <c r="BH49" s="195" t="s">
        <v>72</v>
      </c>
      <c r="BI49" s="195" t="s">
        <v>73</v>
      </c>
      <c r="BJ49" s="195" t="s">
        <v>74</v>
      </c>
    </row>
    <row r="50" spans="2:62" s="1" customFormat="1" ht="24" customHeight="1">
      <c r="B50" s="189"/>
      <c r="I50" s="1" t="s">
        <v>75</v>
      </c>
      <c r="J50" s="190">
        <f>(I6+I7+I13+I14+I20+I21+I27)/7</f>
        <v>337.29431216931215</v>
      </c>
      <c r="L50" s="196"/>
      <c r="M50" s="47"/>
      <c r="N50" s="47"/>
      <c r="O50" s="47"/>
      <c r="P50" s="47"/>
      <c r="Q50" s="47"/>
      <c r="R50" s="196"/>
      <c r="S50" s="196"/>
      <c r="Z50" s="197"/>
      <c r="AQ50" s="1">
        <f>AQ49/2</f>
        <v>0</v>
      </c>
      <c r="AR50" s="198" t="e">
        <f t="shared" ref="AR50:AS50" si="38">AR49/2</f>
        <v>#DIV/0!</v>
      </c>
      <c r="AS50" s="198" t="e">
        <f t="shared" si="38"/>
        <v>#DIV/0!</v>
      </c>
      <c r="AY50" s="188"/>
      <c r="AZ50" s="188"/>
      <c r="BA50" s="188"/>
      <c r="BB50" s="188"/>
      <c r="BC50" s="194" t="s">
        <v>76</v>
      </c>
      <c r="BD50" s="199">
        <v>1800</v>
      </c>
      <c r="BE50" s="199">
        <v>21</v>
      </c>
      <c r="BF50" s="200">
        <v>0</v>
      </c>
      <c r="BG50" s="199"/>
      <c r="BH50" s="201">
        <f>BE50*BD50</f>
        <v>37800</v>
      </c>
      <c r="BI50" s="201">
        <f>BD50*BF50</f>
        <v>0</v>
      </c>
      <c r="BJ50" s="201">
        <f>BH50-BI50</f>
        <v>37800</v>
      </c>
    </row>
    <row r="51" spans="2:62" s="188" customFormat="1" ht="24" customHeight="1">
      <c r="B51" s="189"/>
      <c r="K51" s="1"/>
      <c r="L51" s="196"/>
      <c r="M51" s="47"/>
      <c r="N51" s="47"/>
      <c r="O51" s="47"/>
      <c r="P51" s="47"/>
      <c r="Q51" s="47"/>
      <c r="R51" s="202"/>
      <c r="S51" s="203"/>
      <c r="T51" s="203"/>
      <c r="U51" s="203" t="s">
        <v>77</v>
      </c>
      <c r="V51" s="203"/>
      <c r="W51" s="204"/>
      <c r="X51" s="205"/>
      <c r="Y51" s="194"/>
      <c r="Z51" s="201"/>
      <c r="BC51" s="194" t="s">
        <v>78</v>
      </c>
      <c r="BD51" s="199">
        <v>10800</v>
      </c>
      <c r="BE51" s="199">
        <v>640</v>
      </c>
      <c r="BF51" s="199">
        <v>20</v>
      </c>
      <c r="BG51" s="199"/>
      <c r="BH51" s="201">
        <f t="shared" ref="BH51:BH70" si="39">BD51*BE51</f>
        <v>6912000</v>
      </c>
      <c r="BI51" s="201">
        <f t="shared" ref="BI51:BI70" si="40">BD51*BF51</f>
        <v>216000</v>
      </c>
      <c r="BJ51" s="201">
        <f t="shared" ref="BJ51:BJ70" si="41">BH51-BI51</f>
        <v>6696000</v>
      </c>
    </row>
    <row r="52" spans="2:62" s="188" customFormat="1" ht="24" customHeight="1">
      <c r="B52" s="189"/>
      <c r="K52" s="1"/>
      <c r="L52" s="196"/>
      <c r="M52" s="47"/>
      <c r="N52" s="47"/>
      <c r="O52" s="47"/>
      <c r="P52" s="47"/>
      <c r="Q52" s="47"/>
      <c r="R52" s="204"/>
      <c r="S52" s="203"/>
      <c r="T52" s="203"/>
      <c r="U52" s="206" t="s">
        <v>79</v>
      </c>
      <c r="V52" s="207" t="s">
        <v>80</v>
      </c>
      <c r="W52" s="208"/>
      <c r="X52" s="209" t="e">
        <f>W52/Y52</f>
        <v>#DIV/0!</v>
      </c>
      <c r="Y52" s="210">
        <f>W52+W53</f>
        <v>0</v>
      </c>
      <c r="Z52" s="211"/>
      <c r="AA52" s="211"/>
      <c r="BC52" s="194" t="s">
        <v>81</v>
      </c>
      <c r="BD52" s="199">
        <v>6120</v>
      </c>
      <c r="BE52" s="199">
        <v>40</v>
      </c>
      <c r="BF52" s="199">
        <v>4</v>
      </c>
      <c r="BG52" s="199"/>
      <c r="BH52" s="201">
        <f t="shared" si="39"/>
        <v>244800</v>
      </c>
      <c r="BI52" s="201">
        <f t="shared" si="40"/>
        <v>24480</v>
      </c>
      <c r="BJ52" s="201">
        <f t="shared" si="41"/>
        <v>220320</v>
      </c>
    </row>
    <row r="53" spans="2:62" s="188" customFormat="1" ht="24" customHeight="1">
      <c r="B53" s="189"/>
      <c r="K53" s="1"/>
      <c r="L53" s="196"/>
      <c r="M53" s="47"/>
      <c r="N53" s="47"/>
      <c r="O53" s="47"/>
      <c r="P53" s="47"/>
      <c r="Q53" s="47"/>
      <c r="R53" s="204"/>
      <c r="S53" s="203"/>
      <c r="T53" s="203"/>
      <c r="U53" s="206"/>
      <c r="V53" s="207" t="s">
        <v>82</v>
      </c>
      <c r="W53" s="208"/>
      <c r="X53" s="209" t="e">
        <f>W53/Y52</f>
        <v>#DIV/0!</v>
      </c>
      <c r="Y53" s="211"/>
      <c r="Z53" s="211"/>
      <c r="AA53" s="211"/>
      <c r="BA53" s="188" t="s">
        <v>83</v>
      </c>
      <c r="BC53" s="194" t="s">
        <v>84</v>
      </c>
      <c r="BD53" s="199">
        <v>1780</v>
      </c>
      <c r="BE53" s="199">
        <v>24</v>
      </c>
      <c r="BF53" s="199">
        <v>4</v>
      </c>
      <c r="BG53" s="199"/>
      <c r="BH53" s="201">
        <f t="shared" si="39"/>
        <v>42720</v>
      </c>
      <c r="BI53" s="201">
        <f t="shared" si="40"/>
        <v>7120</v>
      </c>
      <c r="BJ53" s="201">
        <f t="shared" si="41"/>
        <v>35600</v>
      </c>
    </row>
    <row r="54" spans="2:62" s="188" customFormat="1" ht="24" customHeight="1">
      <c r="B54" s="189"/>
      <c r="K54" s="1"/>
      <c r="L54" s="196"/>
      <c r="M54" s="47"/>
      <c r="N54" s="47"/>
      <c r="O54" s="47"/>
      <c r="P54" s="47"/>
      <c r="Q54" s="47"/>
      <c r="R54" s="204"/>
      <c r="S54" s="203"/>
      <c r="T54" s="203"/>
      <c r="U54" s="212" t="s">
        <v>85</v>
      </c>
      <c r="V54" s="207" t="s">
        <v>80</v>
      </c>
      <c r="W54" s="208"/>
      <c r="X54" s="209" t="e">
        <f t="shared" ref="X54" si="42">W54/Y54</f>
        <v>#DIV/0!</v>
      </c>
      <c r="Y54" s="210">
        <f t="shared" ref="Y54" si="43">W54+W55</f>
        <v>0</v>
      </c>
      <c r="Z54" s="211"/>
      <c r="AA54" s="211"/>
      <c r="BC54" s="194" t="s">
        <v>86</v>
      </c>
      <c r="BD54" s="199">
        <v>1780</v>
      </c>
      <c r="BE54" s="199">
        <v>24</v>
      </c>
      <c r="BF54" s="199">
        <v>20</v>
      </c>
      <c r="BG54" s="199"/>
      <c r="BH54" s="201">
        <f t="shared" si="39"/>
        <v>42720</v>
      </c>
      <c r="BI54" s="201">
        <f t="shared" si="40"/>
        <v>35600</v>
      </c>
      <c r="BJ54" s="201">
        <f t="shared" si="41"/>
        <v>7120</v>
      </c>
    </row>
    <row r="55" spans="2:62" s="188" customFormat="1" ht="24" customHeight="1">
      <c r="B55" s="189"/>
      <c r="L55" s="191"/>
      <c r="M55" s="47"/>
      <c r="N55" s="47"/>
      <c r="O55" s="47"/>
      <c r="P55" s="47"/>
      <c r="Q55" s="47"/>
      <c r="R55" s="213"/>
      <c r="S55" s="203"/>
      <c r="T55" s="203"/>
      <c r="U55" s="212"/>
      <c r="V55" s="207" t="s">
        <v>82</v>
      </c>
      <c r="W55" s="208"/>
      <c r="X55" s="209" t="e">
        <f t="shared" ref="X55" si="44">W55/Y54</f>
        <v>#DIV/0!</v>
      </c>
      <c r="Y55" s="211"/>
      <c r="Z55" s="211"/>
      <c r="AA55" s="211"/>
      <c r="AY55" s="47"/>
      <c r="AZ55" s="47"/>
      <c r="BA55" s="47"/>
      <c r="BB55" s="47"/>
      <c r="BC55" s="194" t="s">
        <v>87</v>
      </c>
      <c r="BD55" s="214">
        <v>8190</v>
      </c>
      <c r="BE55" s="199">
        <v>13</v>
      </c>
      <c r="BF55" s="199">
        <v>4</v>
      </c>
      <c r="BG55" s="199"/>
      <c r="BH55" s="201">
        <f t="shared" si="39"/>
        <v>106470</v>
      </c>
      <c r="BI55" s="201">
        <f t="shared" si="40"/>
        <v>32760</v>
      </c>
      <c r="BJ55" s="201">
        <f t="shared" si="41"/>
        <v>73710</v>
      </c>
    </row>
    <row r="56" spans="2:62" ht="24" customHeight="1">
      <c r="U56" s="215" t="s">
        <v>2</v>
      </c>
      <c r="V56" s="216" t="s">
        <v>80</v>
      </c>
      <c r="W56" s="208"/>
      <c r="X56" s="209" t="e">
        <f t="shared" ref="X56:X58" si="45">W56/Y56</f>
        <v>#DIV/0!</v>
      </c>
      <c r="Y56" s="210">
        <f t="shared" ref="Y56" si="46">W56+W57</f>
        <v>0</v>
      </c>
      <c r="Z56" s="211"/>
      <c r="AA56" s="211"/>
      <c r="BC56" s="194" t="s">
        <v>88</v>
      </c>
      <c r="BD56" s="214">
        <v>5784</v>
      </c>
      <c r="BE56" s="214">
        <v>36</v>
      </c>
      <c r="BF56" s="214">
        <v>28</v>
      </c>
      <c r="BG56" s="214"/>
      <c r="BH56" s="201">
        <f t="shared" si="39"/>
        <v>208224</v>
      </c>
      <c r="BI56" s="201">
        <f t="shared" si="40"/>
        <v>161952</v>
      </c>
      <c r="BJ56" s="201">
        <f t="shared" si="41"/>
        <v>46272</v>
      </c>
    </row>
    <row r="57" spans="2:62" ht="24" customHeight="1">
      <c r="U57" s="215"/>
      <c r="V57" s="216" t="s">
        <v>82</v>
      </c>
      <c r="W57" s="208"/>
      <c r="X57" s="209" t="e">
        <f t="shared" ref="X57:X59" si="47">W57/Y56</f>
        <v>#DIV/0!</v>
      </c>
      <c r="Y57" s="211"/>
      <c r="Z57" s="211"/>
      <c r="AA57" s="211"/>
      <c r="BC57" s="194" t="s">
        <v>89</v>
      </c>
      <c r="BD57" s="214">
        <v>6775</v>
      </c>
      <c r="BE57" s="214">
        <v>12</v>
      </c>
      <c r="BF57" s="214">
        <v>11</v>
      </c>
      <c r="BG57" s="214"/>
      <c r="BH57" s="201">
        <f t="shared" si="39"/>
        <v>81300</v>
      </c>
      <c r="BI57" s="201">
        <f t="shared" si="40"/>
        <v>74525</v>
      </c>
      <c r="BJ57" s="201">
        <f t="shared" si="41"/>
        <v>6775</v>
      </c>
    </row>
    <row r="58" spans="2:62" ht="24" customHeight="1">
      <c r="U58" s="217" t="s">
        <v>90</v>
      </c>
      <c r="V58" s="216" t="s">
        <v>80</v>
      </c>
      <c r="W58" s="208"/>
      <c r="X58" s="209" t="e">
        <f t="shared" si="45"/>
        <v>#DIV/0!</v>
      </c>
      <c r="Y58" s="218">
        <f>SUM(Y52:AA56)</f>
        <v>0</v>
      </c>
      <c r="Z58" s="219"/>
      <c r="AA58" s="219"/>
      <c r="BC58" s="194" t="s">
        <v>91</v>
      </c>
      <c r="BD58" s="214">
        <v>1755</v>
      </c>
      <c r="BE58" s="214">
        <v>14</v>
      </c>
      <c r="BF58" s="214">
        <v>2</v>
      </c>
      <c r="BG58" s="214"/>
      <c r="BH58" s="201">
        <f t="shared" si="39"/>
        <v>24570</v>
      </c>
      <c r="BI58" s="201">
        <f t="shared" si="40"/>
        <v>3510</v>
      </c>
      <c r="BJ58" s="201">
        <f t="shared" si="41"/>
        <v>21060</v>
      </c>
    </row>
    <row r="59" spans="2:62" ht="24" customHeight="1">
      <c r="U59" s="217"/>
      <c r="V59" s="216" t="s">
        <v>82</v>
      </c>
      <c r="W59" s="208"/>
      <c r="X59" s="209" t="e">
        <f t="shared" si="47"/>
        <v>#DIV/0!</v>
      </c>
      <c r="Y59" s="219"/>
      <c r="Z59" s="219"/>
      <c r="AA59" s="219"/>
      <c r="BC59" s="194" t="s">
        <v>92</v>
      </c>
      <c r="BD59" s="214">
        <v>1755</v>
      </c>
      <c r="BE59" s="214">
        <v>10</v>
      </c>
      <c r="BF59" s="214">
        <v>0</v>
      </c>
      <c r="BG59" s="214"/>
      <c r="BH59" s="201">
        <f t="shared" si="39"/>
        <v>17550</v>
      </c>
      <c r="BI59" s="201">
        <f t="shared" si="40"/>
        <v>0</v>
      </c>
      <c r="BJ59" s="201">
        <f t="shared" si="41"/>
        <v>17550</v>
      </c>
    </row>
    <row r="60" spans="2:62" ht="24" customHeight="1">
      <c r="BC60" s="194" t="s">
        <v>93</v>
      </c>
      <c r="BD60" s="214">
        <v>1075</v>
      </c>
      <c r="BE60" s="214">
        <v>96</v>
      </c>
      <c r="BF60" s="214">
        <v>38</v>
      </c>
      <c r="BG60" s="214"/>
      <c r="BH60" s="201">
        <f t="shared" si="39"/>
        <v>103200</v>
      </c>
      <c r="BI60" s="201">
        <f t="shared" si="40"/>
        <v>40850</v>
      </c>
      <c r="BJ60" s="201">
        <f t="shared" si="41"/>
        <v>62350</v>
      </c>
    </row>
    <row r="61" spans="2:62" ht="24" customHeight="1">
      <c r="BC61" s="194" t="s">
        <v>94</v>
      </c>
      <c r="BD61" s="214">
        <v>3860</v>
      </c>
      <c r="BE61" s="214">
        <v>166</v>
      </c>
      <c r="BF61" s="214">
        <v>13</v>
      </c>
      <c r="BG61" s="214"/>
      <c r="BH61" s="201">
        <f t="shared" si="39"/>
        <v>640760</v>
      </c>
      <c r="BI61" s="201">
        <f t="shared" si="40"/>
        <v>50180</v>
      </c>
      <c r="BJ61" s="201">
        <f t="shared" si="41"/>
        <v>590580</v>
      </c>
    </row>
    <row r="62" spans="2:62" ht="24" customHeight="1">
      <c r="BC62" s="194" t="s">
        <v>95</v>
      </c>
      <c r="BD62" s="214">
        <v>6450</v>
      </c>
      <c r="BE62" s="214">
        <v>137</v>
      </c>
      <c r="BF62" s="214">
        <v>12</v>
      </c>
      <c r="BG62" s="214"/>
      <c r="BH62" s="201">
        <f t="shared" si="39"/>
        <v>883650</v>
      </c>
      <c r="BI62" s="201">
        <f t="shared" si="40"/>
        <v>77400</v>
      </c>
      <c r="BJ62" s="201">
        <f t="shared" si="41"/>
        <v>806250</v>
      </c>
    </row>
    <row r="63" spans="2:62" ht="24" customHeight="1">
      <c r="BC63" s="194" t="s">
        <v>96</v>
      </c>
      <c r="BD63" s="214">
        <v>1380</v>
      </c>
      <c r="BE63" s="214">
        <v>35</v>
      </c>
      <c r="BF63" s="214">
        <v>5</v>
      </c>
      <c r="BG63" s="214"/>
      <c r="BH63" s="201">
        <f t="shared" si="39"/>
        <v>48300</v>
      </c>
      <c r="BI63" s="201">
        <f t="shared" si="40"/>
        <v>6900</v>
      </c>
      <c r="BJ63" s="201">
        <f t="shared" si="41"/>
        <v>41400</v>
      </c>
    </row>
    <row r="64" spans="2:62" ht="24" customHeight="1">
      <c r="BC64" s="194" t="s">
        <v>97</v>
      </c>
      <c r="BD64" s="214">
        <v>1380</v>
      </c>
      <c r="BE64" s="214">
        <v>39</v>
      </c>
      <c r="BF64" s="214">
        <v>6</v>
      </c>
      <c r="BG64" s="214"/>
      <c r="BH64" s="201">
        <f t="shared" si="39"/>
        <v>53820</v>
      </c>
      <c r="BI64" s="201">
        <f t="shared" si="40"/>
        <v>8280</v>
      </c>
      <c r="BJ64" s="201">
        <f t="shared" si="41"/>
        <v>45540</v>
      </c>
    </row>
    <row r="65" spans="55:62" ht="24" customHeight="1">
      <c r="BC65" s="194" t="s">
        <v>98</v>
      </c>
      <c r="BD65" s="214">
        <v>160</v>
      </c>
      <c r="BE65" s="214">
        <v>594</v>
      </c>
      <c r="BF65" s="214">
        <v>53</v>
      </c>
      <c r="BG65" s="214"/>
      <c r="BH65" s="201">
        <f t="shared" si="39"/>
        <v>95040</v>
      </c>
      <c r="BI65" s="201">
        <f t="shared" si="40"/>
        <v>8480</v>
      </c>
      <c r="BJ65" s="201">
        <f t="shared" si="41"/>
        <v>86560</v>
      </c>
    </row>
    <row r="66" spans="55:62" ht="24" customHeight="1">
      <c r="BC66" s="194" t="s">
        <v>99</v>
      </c>
      <c r="BD66" s="214">
        <v>160</v>
      </c>
      <c r="BE66" s="214">
        <v>300</v>
      </c>
      <c r="BF66" s="214">
        <v>47</v>
      </c>
      <c r="BG66" s="214"/>
      <c r="BH66" s="201">
        <f t="shared" si="39"/>
        <v>48000</v>
      </c>
      <c r="BI66" s="201">
        <f t="shared" si="40"/>
        <v>7520</v>
      </c>
      <c r="BJ66" s="201">
        <f t="shared" si="41"/>
        <v>40480</v>
      </c>
    </row>
    <row r="67" spans="55:62" ht="24" customHeight="1">
      <c r="BC67" s="194" t="s">
        <v>100</v>
      </c>
      <c r="BD67" s="214">
        <v>205</v>
      </c>
      <c r="BE67" s="214">
        <v>366</v>
      </c>
      <c r="BF67" s="214">
        <v>49</v>
      </c>
      <c r="BG67" s="214"/>
      <c r="BH67" s="201">
        <f t="shared" si="39"/>
        <v>75030</v>
      </c>
      <c r="BI67" s="201">
        <f t="shared" si="40"/>
        <v>10045</v>
      </c>
      <c r="BJ67" s="201">
        <f t="shared" si="41"/>
        <v>64985</v>
      </c>
    </row>
    <row r="68" spans="55:62" ht="24" customHeight="1">
      <c r="BC68" s="194" t="s">
        <v>101</v>
      </c>
      <c r="BD68" s="214">
        <v>295</v>
      </c>
      <c r="BE68" s="214">
        <v>612</v>
      </c>
      <c r="BF68" s="214">
        <v>86</v>
      </c>
      <c r="BG68" s="214"/>
      <c r="BH68" s="201">
        <f t="shared" si="39"/>
        <v>180540</v>
      </c>
      <c r="BI68" s="201">
        <f t="shared" si="40"/>
        <v>25370</v>
      </c>
      <c r="BJ68" s="201">
        <f t="shared" si="41"/>
        <v>155170</v>
      </c>
    </row>
    <row r="69" spans="55:62" ht="24" customHeight="1">
      <c r="BC69" s="194" t="s">
        <v>102</v>
      </c>
      <c r="BD69" s="214">
        <v>70</v>
      </c>
      <c r="BE69" s="214">
        <v>480</v>
      </c>
      <c r="BF69" s="214">
        <v>71</v>
      </c>
      <c r="BG69" s="214"/>
      <c r="BH69" s="201">
        <f t="shared" si="39"/>
        <v>33600</v>
      </c>
      <c r="BI69" s="201">
        <f t="shared" si="40"/>
        <v>4970</v>
      </c>
      <c r="BJ69" s="201">
        <f t="shared" si="41"/>
        <v>28630</v>
      </c>
    </row>
    <row r="70" spans="55:62" ht="24" customHeight="1">
      <c r="BC70" s="194" t="s">
        <v>103</v>
      </c>
      <c r="BD70" s="214">
        <v>2450</v>
      </c>
      <c r="BE70" s="214">
        <v>31</v>
      </c>
      <c r="BF70" s="214">
        <v>9</v>
      </c>
      <c r="BG70" s="214"/>
      <c r="BH70" s="201">
        <f t="shared" si="39"/>
        <v>75950</v>
      </c>
      <c r="BI70" s="201">
        <f t="shared" si="40"/>
        <v>22050</v>
      </c>
      <c r="BJ70" s="201">
        <f t="shared" si="41"/>
        <v>53900</v>
      </c>
    </row>
    <row r="71" spans="55:62" ht="24" customHeight="1">
      <c r="BC71" s="194"/>
      <c r="BH71" s="220">
        <f>SUM(BH50:BH70)</f>
        <v>9956044</v>
      </c>
      <c r="BI71" s="220">
        <f t="shared" ref="BI71:BJ71" si="48">SUM(BI50:BI70)</f>
        <v>817992</v>
      </c>
      <c r="BJ71" s="220">
        <f t="shared" si="48"/>
        <v>9138052</v>
      </c>
    </row>
    <row r="72" spans="55:62" ht="24" customHeight="1">
      <c r="BC72" s="194"/>
    </row>
    <row r="73" spans="55:62" ht="24" customHeight="1">
      <c r="BC73" s="194"/>
    </row>
    <row r="74" spans="55:62" ht="24" customHeight="1">
      <c r="BC74" s="194"/>
    </row>
    <row r="75" spans="55:62" ht="24" customHeight="1">
      <c r="BC75" s="194"/>
    </row>
    <row r="76" spans="55:62" ht="24" customHeight="1">
      <c r="BC76" s="194"/>
    </row>
    <row r="77" spans="55:62" ht="24" customHeight="1">
      <c r="BC77" s="194"/>
    </row>
    <row r="78" spans="55:62" ht="24" customHeight="1">
      <c r="BC78" s="194"/>
    </row>
    <row r="79" spans="55:62" ht="24" customHeight="1">
      <c r="BC79" s="194"/>
    </row>
    <row r="80" spans="55:62" ht="24" customHeight="1">
      <c r="BC80" s="194"/>
    </row>
    <row r="81" spans="55:55" ht="24" customHeight="1">
      <c r="BC81" s="194"/>
    </row>
    <row r="82" spans="55:55" ht="24" customHeight="1">
      <c r="BC82" s="194"/>
    </row>
    <row r="83" spans="55:55" ht="24" customHeight="1">
      <c r="BC83" s="194"/>
    </row>
    <row r="84" spans="55:55" ht="24" customHeight="1">
      <c r="BC84" s="194"/>
    </row>
    <row r="85" spans="55:55" ht="24" customHeight="1">
      <c r="BC85" s="194"/>
    </row>
    <row r="86" spans="55:55" ht="24" customHeight="1">
      <c r="BC86" s="194"/>
    </row>
    <row r="87" spans="55:55" ht="24" customHeight="1">
      <c r="BC87" s="194"/>
    </row>
    <row r="88" spans="55:55" ht="24" customHeight="1">
      <c r="BC88" s="194"/>
    </row>
    <row r="89" spans="55:55" ht="24" customHeight="1">
      <c r="BC89" s="194"/>
    </row>
    <row r="90" spans="55:55" ht="24" customHeight="1">
      <c r="BC90" s="194"/>
    </row>
    <row r="91" spans="55:55" ht="24" customHeight="1">
      <c r="BC91" s="194"/>
    </row>
    <row r="92" spans="55:55" ht="24" customHeight="1">
      <c r="BC92" s="194"/>
    </row>
    <row r="93" spans="55:55" ht="24" customHeight="1">
      <c r="BC93" s="194"/>
    </row>
    <row r="94" spans="55:55" ht="24" customHeight="1">
      <c r="BC94" s="194"/>
    </row>
    <row r="95" spans="55:55" ht="24" customHeight="1">
      <c r="BC95" s="194"/>
    </row>
    <row r="96" spans="55:55" ht="24" customHeight="1">
      <c r="BC96" s="194"/>
    </row>
    <row r="97" spans="55:55" ht="24" customHeight="1">
      <c r="BC97" s="194"/>
    </row>
    <row r="98" spans="55:55" ht="24" customHeight="1">
      <c r="BC98" s="194"/>
    </row>
    <row r="99" spans="55:55" ht="24" customHeight="1">
      <c r="BC99" s="194"/>
    </row>
    <row r="100" spans="55:55" ht="24" customHeight="1">
      <c r="BC100" s="194"/>
    </row>
    <row r="101" spans="55:55" ht="24" customHeight="1">
      <c r="BC101" s="194"/>
    </row>
    <row r="102" spans="55:55" ht="24" customHeight="1">
      <c r="BC102" s="194"/>
    </row>
    <row r="103" spans="55:55" ht="24" customHeight="1">
      <c r="BC103" s="194"/>
    </row>
    <row r="104" spans="55:55" ht="24" customHeight="1">
      <c r="BC104" s="194"/>
    </row>
    <row r="105" spans="55:55" ht="24" customHeight="1">
      <c r="BC105" s="194"/>
    </row>
    <row r="106" spans="55:55" ht="24" customHeight="1">
      <c r="BC106" s="194"/>
    </row>
    <row r="107" spans="55:55" ht="24" customHeight="1">
      <c r="BC107" s="194"/>
    </row>
    <row r="108" spans="55:55" ht="24" customHeight="1">
      <c r="BC108" s="194"/>
    </row>
    <row r="109" spans="55:55" ht="24" customHeight="1">
      <c r="BC109" s="194"/>
    </row>
    <row r="110" spans="55:55" ht="24" customHeight="1">
      <c r="BC110" s="194"/>
    </row>
    <row r="111" spans="55:55" ht="24" customHeight="1">
      <c r="BC111" s="194"/>
    </row>
    <row r="112" spans="55:55" ht="24" customHeight="1">
      <c r="BC112" s="194"/>
    </row>
    <row r="113" spans="55:55" ht="24" customHeight="1">
      <c r="BC113" s="194"/>
    </row>
    <row r="114" spans="55:55" ht="24" customHeight="1">
      <c r="BC114" s="194"/>
    </row>
    <row r="115" spans="55:55" ht="24" customHeight="1">
      <c r="BC115" s="194"/>
    </row>
    <row r="116" spans="55:55" ht="24" customHeight="1">
      <c r="BC116" s="194"/>
    </row>
    <row r="117" spans="55:55" ht="24" customHeight="1">
      <c r="BC117" s="194"/>
    </row>
    <row r="118" spans="55:55" ht="24" customHeight="1">
      <c r="BC118" s="194"/>
    </row>
    <row r="119" spans="55:55" ht="24" customHeight="1">
      <c r="BC119" s="194"/>
    </row>
    <row r="120" spans="55:55" ht="24" customHeight="1">
      <c r="BC120" s="194"/>
    </row>
    <row r="121" spans="55:55" ht="24" customHeight="1">
      <c r="BC121" s="194"/>
    </row>
    <row r="122" spans="55:55" ht="24" customHeight="1">
      <c r="BC122" s="194"/>
    </row>
    <row r="123" spans="55:55" ht="24" customHeight="1">
      <c r="BC123" s="194"/>
    </row>
    <row r="124" spans="55:55" ht="24" customHeight="1">
      <c r="BC124" s="194"/>
    </row>
    <row r="125" spans="55:55" ht="24" customHeight="1">
      <c r="BC125" s="194"/>
    </row>
    <row r="126" spans="55:55" ht="24" customHeight="1">
      <c r="BC126" s="194"/>
    </row>
    <row r="127" spans="55:55" ht="24" customHeight="1">
      <c r="BC127" s="194"/>
    </row>
    <row r="128" spans="55:55" ht="24" customHeight="1">
      <c r="BC128" s="194"/>
    </row>
    <row r="129" spans="55:55" ht="24" customHeight="1">
      <c r="BC129" s="194"/>
    </row>
    <row r="130" spans="55:55" ht="24" customHeight="1">
      <c r="BC130" s="194"/>
    </row>
    <row r="131" spans="55:55" ht="24" customHeight="1">
      <c r="BC131" s="194"/>
    </row>
    <row r="132" spans="55:55" ht="24" customHeight="1">
      <c r="BC132" s="194"/>
    </row>
    <row r="133" spans="55:55" ht="24" customHeight="1">
      <c r="BC133" s="194"/>
    </row>
    <row r="134" spans="55:55" ht="24" customHeight="1">
      <c r="BC134" s="194"/>
    </row>
    <row r="135" spans="55:55" ht="24" customHeight="1">
      <c r="BC135" s="194"/>
    </row>
    <row r="136" spans="55:55" ht="24" customHeight="1">
      <c r="BC136" s="194"/>
    </row>
    <row r="137" spans="55:55" ht="24" customHeight="1">
      <c r="BC137" s="194"/>
    </row>
    <row r="138" spans="55:55" ht="24" customHeight="1">
      <c r="BC138" s="194"/>
    </row>
    <row r="139" spans="55:55" ht="24" customHeight="1">
      <c r="BC139" s="194"/>
    </row>
    <row r="140" spans="55:55" ht="24" customHeight="1">
      <c r="BC140" s="194"/>
    </row>
    <row r="141" spans="55:55" ht="24" customHeight="1">
      <c r="BC141" s="194"/>
    </row>
    <row r="142" spans="55:55" ht="24" customHeight="1">
      <c r="BC142" s="194"/>
    </row>
    <row r="143" spans="55:55" ht="24" customHeight="1">
      <c r="BC143" s="194"/>
    </row>
    <row r="144" spans="55:55" ht="24" customHeight="1">
      <c r="BC144" s="194"/>
    </row>
    <row r="145" spans="55:55" ht="24" customHeight="1">
      <c r="BC145" s="194"/>
    </row>
    <row r="146" spans="55:55" ht="24" customHeight="1">
      <c r="BC146" s="194"/>
    </row>
    <row r="147" spans="55:55" ht="24" customHeight="1">
      <c r="BC147" s="194"/>
    </row>
    <row r="148" spans="55:55" ht="24" customHeight="1">
      <c r="BC148" s="194"/>
    </row>
    <row r="149" spans="55:55" ht="24" customHeight="1">
      <c r="BC149" s="194"/>
    </row>
    <row r="150" spans="55:55" ht="24" customHeight="1">
      <c r="BC150" s="194"/>
    </row>
    <row r="151" spans="55:55" ht="24" customHeight="1">
      <c r="BC151" s="194"/>
    </row>
    <row r="152" spans="55:55" ht="24" customHeight="1">
      <c r="BC152" s="194"/>
    </row>
    <row r="153" spans="55:55" ht="24" customHeight="1">
      <c r="BC153" s="194"/>
    </row>
    <row r="154" spans="55:55" ht="24" customHeight="1">
      <c r="BC154" s="194"/>
    </row>
    <row r="155" spans="55:55" ht="24" customHeight="1">
      <c r="BC155" s="194"/>
    </row>
    <row r="156" spans="55:55" ht="24" customHeight="1">
      <c r="BC156" s="194"/>
    </row>
    <row r="157" spans="55:55" ht="24" customHeight="1">
      <c r="BC157" s="194"/>
    </row>
    <row r="158" spans="55:55" ht="24" customHeight="1">
      <c r="BC158" s="194"/>
    </row>
    <row r="159" spans="55:55" ht="24" customHeight="1">
      <c r="BC159" s="194"/>
    </row>
    <row r="160" spans="55:55" ht="24" customHeight="1">
      <c r="BC160" s="194"/>
    </row>
    <row r="161" spans="55:55" ht="24" customHeight="1">
      <c r="BC161" s="194"/>
    </row>
    <row r="162" spans="55:55" ht="24" customHeight="1">
      <c r="BC162" s="194"/>
    </row>
    <row r="163" spans="55:55" ht="24" customHeight="1">
      <c r="BC163" s="194"/>
    </row>
    <row r="164" spans="55:55" ht="24" customHeight="1">
      <c r="BC164" s="194"/>
    </row>
    <row r="165" spans="55:55" ht="24" customHeight="1">
      <c r="BC165" s="194"/>
    </row>
    <row r="166" spans="55:55" ht="24" customHeight="1">
      <c r="BC166" s="194"/>
    </row>
    <row r="167" spans="55:55" ht="24" customHeight="1">
      <c r="BC167" s="194"/>
    </row>
    <row r="168" spans="55:55" ht="24" customHeight="1">
      <c r="BC168" s="194"/>
    </row>
    <row r="169" spans="55:55" ht="24" customHeight="1">
      <c r="BC169" s="194"/>
    </row>
    <row r="170" spans="55:55" ht="24" customHeight="1">
      <c r="BC170" s="194"/>
    </row>
    <row r="171" spans="55:55" ht="24" customHeight="1">
      <c r="BC171" s="194"/>
    </row>
    <row r="172" spans="55:55" ht="24" customHeight="1">
      <c r="BC172" s="194"/>
    </row>
    <row r="173" spans="55:55" ht="24" customHeight="1">
      <c r="BC173" s="194"/>
    </row>
    <row r="174" spans="55:55" ht="24" customHeight="1">
      <c r="BC174" s="194"/>
    </row>
    <row r="175" spans="55:55" ht="24" customHeight="1">
      <c r="BC175" s="194"/>
    </row>
    <row r="176" spans="55:55" ht="24" customHeight="1">
      <c r="BC176" s="194"/>
    </row>
    <row r="177" spans="55:55" ht="24" customHeight="1">
      <c r="BC177" s="194"/>
    </row>
    <row r="178" spans="55:55" ht="24" customHeight="1">
      <c r="BC178" s="194"/>
    </row>
    <row r="179" spans="55:55" ht="24" customHeight="1">
      <c r="BC179" s="194"/>
    </row>
    <row r="180" spans="55:55" ht="24" customHeight="1">
      <c r="BC180" s="194"/>
    </row>
    <row r="181" spans="55:55" ht="24" customHeight="1">
      <c r="BC181" s="194"/>
    </row>
    <row r="182" spans="55:55" ht="24" customHeight="1">
      <c r="BC182" s="194"/>
    </row>
    <row r="183" spans="55:55" ht="24" customHeight="1">
      <c r="BC183" s="194"/>
    </row>
    <row r="184" spans="55:55">
      <c r="BC184" s="194"/>
    </row>
    <row r="185" spans="55:55">
      <c r="BC185" s="194"/>
    </row>
    <row r="186" spans="55:55">
      <c r="BC186" s="194"/>
    </row>
    <row r="187" spans="55:55">
      <c r="BC187" s="194"/>
    </row>
    <row r="188" spans="55:55">
      <c r="BC188" s="194"/>
    </row>
    <row r="189" spans="55:55">
      <c r="BC189" s="194"/>
    </row>
    <row r="190" spans="55:55">
      <c r="BC190" s="194"/>
    </row>
    <row r="191" spans="55:55">
      <c r="BC191" s="194"/>
    </row>
    <row r="192" spans="55:55">
      <c r="BC192" s="194"/>
    </row>
    <row r="193" spans="55:55">
      <c r="BC193" s="194"/>
    </row>
    <row r="194" spans="55:55">
      <c r="BC194" s="194"/>
    </row>
    <row r="195" spans="55:55">
      <c r="BC195" s="194"/>
    </row>
    <row r="196" spans="55:55">
      <c r="BC196" s="194"/>
    </row>
    <row r="197" spans="55:55">
      <c r="BC197" s="194"/>
    </row>
    <row r="198" spans="55:55">
      <c r="BC198" s="194"/>
    </row>
    <row r="199" spans="55:55">
      <c r="BC199" s="194"/>
    </row>
    <row r="200" spans="55:55">
      <c r="BC200" s="194"/>
    </row>
    <row r="201" spans="55:55">
      <c r="BC201" s="194"/>
    </row>
    <row r="202" spans="55:55">
      <c r="BC202" s="194"/>
    </row>
    <row r="203" spans="55:55">
      <c r="BC203" s="194"/>
    </row>
    <row r="204" spans="55:55">
      <c r="BC204" s="194"/>
    </row>
    <row r="205" spans="55:55">
      <c r="BC205" s="194"/>
    </row>
    <row r="206" spans="55:55">
      <c r="BC206" s="194"/>
    </row>
    <row r="207" spans="55:55">
      <c r="BC207" s="194"/>
    </row>
    <row r="208" spans="55:55">
      <c r="BC208" s="194"/>
    </row>
    <row r="209" spans="55:55">
      <c r="BC209" s="194"/>
    </row>
    <row r="210" spans="55:55">
      <c r="BC210" s="194"/>
    </row>
    <row r="211" spans="55:55">
      <c r="BC211" s="194"/>
    </row>
    <row r="212" spans="55:55">
      <c r="BC212" s="194"/>
    </row>
    <row r="213" spans="55:55">
      <c r="BC213" s="194"/>
    </row>
    <row r="214" spans="55:55">
      <c r="BC214" s="194"/>
    </row>
    <row r="215" spans="55:55">
      <c r="BC215" s="194"/>
    </row>
    <row r="216" spans="55:55">
      <c r="BC216" s="194"/>
    </row>
    <row r="217" spans="55:55">
      <c r="BC217" s="194"/>
    </row>
    <row r="218" spans="55:55">
      <c r="BC218" s="194"/>
    </row>
    <row r="219" spans="55:55">
      <c r="BC219" s="194"/>
    </row>
    <row r="220" spans="55:55">
      <c r="BC220" s="194"/>
    </row>
    <row r="221" spans="55:55">
      <c r="BC221" s="194"/>
    </row>
    <row r="222" spans="55:55">
      <c r="BC222" s="194"/>
    </row>
    <row r="223" spans="55:55">
      <c r="BC223" s="194"/>
    </row>
    <row r="224" spans="55:55">
      <c r="BC224" s="194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1C61-3C7E-BA4F-BCA3-FE9AD30E73DE}">
  <dimension ref="A1:BL224"/>
  <sheetViews>
    <sheetView workbookViewId="0">
      <selection activeCell="E23" sqref="E23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4" s="3" customFormat="1">
      <c r="A1" s="1" t="s">
        <v>0</v>
      </c>
      <c r="B1" s="2"/>
      <c r="BJ1" s="4"/>
      <c r="BL1" s="4"/>
    </row>
    <row r="2" spans="1:64" s="3" customFormat="1" ht="35" thickBot="1">
      <c r="A2" s="5">
        <v>2023</v>
      </c>
      <c r="B2" s="6">
        <v>11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4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4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4" ht="20" customHeight="1" thickTop="1">
      <c r="B5" s="48">
        <f>DATE($A$2,$B$2,1)</f>
        <v>45231</v>
      </c>
      <c r="C5" s="49"/>
      <c r="D5" s="50"/>
      <c r="E5" s="51">
        <v>34</v>
      </c>
      <c r="F5" s="52">
        <v>110990</v>
      </c>
      <c r="G5" s="53">
        <f t="shared" ref="G5:G35" si="0">ROUNDDOWN(F5/1.1,0)/E5</f>
        <v>2967.6470588235293</v>
      </c>
      <c r="H5" s="52">
        <v>2520</v>
      </c>
      <c r="I5" s="54">
        <f t="shared" ref="I5:I35" si="1">ROUNDDOWN(H5/1.1,0)/E5</f>
        <v>67.352941176470594</v>
      </c>
      <c r="J5" s="55">
        <f t="shared" ref="J5:J35" si="2">F5+H5</f>
        <v>113510</v>
      </c>
      <c r="K5" s="56">
        <f t="shared" ref="K5:K35" si="3">IF(E5="","",J5/E5)</f>
        <v>3338.5294117647059</v>
      </c>
      <c r="L5" s="57"/>
      <c r="M5" s="58">
        <f t="shared" ref="M5:N35" si="4">BC5-E5</f>
        <v>12</v>
      </c>
      <c r="N5" s="59">
        <f t="shared" si="4"/>
        <v>90860</v>
      </c>
      <c r="O5" s="53">
        <f t="shared" ref="O5:O35" si="5">ROUNDDOWN(N5/1.1,0)/M5</f>
        <v>6883.333333333333</v>
      </c>
      <c r="P5" s="59">
        <f t="shared" ref="P5:P35" si="6">BE5-H5</f>
        <v>11410</v>
      </c>
      <c r="Q5" s="54">
        <f t="shared" ref="Q5:Q35" si="7">ROUNDDOWN(P5/1.1,0)/M5</f>
        <v>864.33333333333337</v>
      </c>
      <c r="R5" s="60">
        <f t="shared" ref="R5:R35" si="8">N5+P5</f>
        <v>102270</v>
      </c>
      <c r="S5" s="56">
        <f t="shared" ref="S5:S35" si="9">IF(M5="","",R5/M5)</f>
        <v>8522.5</v>
      </c>
      <c r="T5" s="61">
        <f t="shared" ref="T5:U35" si="10">E5+M5</f>
        <v>46</v>
      </c>
      <c r="U5" s="59">
        <f t="shared" si="10"/>
        <v>201850</v>
      </c>
      <c r="V5" s="59">
        <f t="shared" ref="V5:V35" si="11">H5+P5</f>
        <v>13930</v>
      </c>
      <c r="W5" s="62">
        <f t="shared" ref="W5:W35" si="12">J5+R5</f>
        <v>215780</v>
      </c>
      <c r="X5" s="59"/>
      <c r="Y5" s="63"/>
      <c r="Z5" s="64">
        <v>8</v>
      </c>
      <c r="AA5" s="52">
        <v>3800</v>
      </c>
      <c r="AB5" s="53">
        <f t="shared" ref="AB5:AB35" si="13">AA5/Z5</f>
        <v>475</v>
      </c>
      <c r="AC5" s="52">
        <v>2500</v>
      </c>
      <c r="AD5" s="54">
        <f t="shared" ref="AD5:AD35" si="14">AC5/Z5</f>
        <v>312.5</v>
      </c>
      <c r="AE5" s="65">
        <f t="shared" ref="AE5:AE35" si="15">AA5+AC5</f>
        <v>6300</v>
      </c>
      <c r="AF5" s="56">
        <f t="shared" ref="AF5:AF35" si="16">IF(Z5="","",AE5/Z5)</f>
        <v>787.5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/>
      <c r="AQ5" s="52"/>
      <c r="AR5" s="53" t="e">
        <f t="shared" ref="AR5:AR35" si="20">AQ5/AP5</f>
        <v>#DIV/0!</v>
      </c>
      <c r="AS5" s="52"/>
      <c r="AT5" s="54" t="e">
        <f t="shared" ref="AT5:AT35" si="21">AS5/AP5</f>
        <v>#DIV/0!</v>
      </c>
      <c r="AU5" s="54"/>
      <c r="AV5" s="69">
        <f>AQ5+AS5+AU5</f>
        <v>0</v>
      </c>
      <c r="AW5" s="67" t="str">
        <f t="shared" ref="AW5:AW35" si="22">IF(AP5="","",AV5/AP5)</f>
        <v/>
      </c>
      <c r="AX5" s="70">
        <f t="shared" ref="AX5:AX35" si="23">SUM(E5,M5)</f>
        <v>46</v>
      </c>
      <c r="AY5" s="59">
        <f t="shared" ref="AY5:AY35" si="24">U5+AA5+AI5+AQ5</f>
        <v>205650</v>
      </c>
      <c r="AZ5" s="59">
        <f t="shared" ref="AZ5:AZ35" si="25">V5+AC5+AK5+AS5</f>
        <v>16430</v>
      </c>
      <c r="BA5" s="71">
        <f t="shared" ref="BA5:BA35" si="26">W5+AE5+AM5+AV5</f>
        <v>222080</v>
      </c>
      <c r="BB5" s="72">
        <f>BF5+BG5</f>
        <v>1100</v>
      </c>
      <c r="BC5" s="73">
        <v>46</v>
      </c>
      <c r="BD5" s="74">
        <v>201850</v>
      </c>
      <c r="BE5" s="74">
        <v>13930</v>
      </c>
      <c r="BF5" s="75">
        <v>1100</v>
      </c>
      <c r="BG5" s="75"/>
      <c r="BH5" s="75"/>
      <c r="BI5" s="75"/>
      <c r="BJ5" s="76">
        <f>SUM(BD5:BG5)</f>
        <v>216880</v>
      </c>
      <c r="BK5" s="47">
        <v>1</v>
      </c>
      <c r="BL5" s="77">
        <f t="shared" ref="BL5:BL35" si="27">BI5+BJ5</f>
        <v>216880</v>
      </c>
    </row>
    <row r="6" spans="1:64" ht="20" customHeight="1">
      <c r="B6" s="78">
        <f t="shared" ref="B6:B34" si="28">B5+1</f>
        <v>45232</v>
      </c>
      <c r="C6" s="79"/>
      <c r="D6" s="50"/>
      <c r="E6" s="51">
        <v>26</v>
      </c>
      <c r="F6" s="52">
        <v>93060</v>
      </c>
      <c r="G6" s="53">
        <f t="shared" si="0"/>
        <v>3253.8461538461538</v>
      </c>
      <c r="H6" s="52">
        <v>17700</v>
      </c>
      <c r="I6" s="54">
        <f t="shared" si="1"/>
        <v>618.84615384615381</v>
      </c>
      <c r="J6" s="55">
        <f t="shared" si="2"/>
        <v>110760</v>
      </c>
      <c r="K6" s="56">
        <f t="shared" si="3"/>
        <v>4260</v>
      </c>
      <c r="L6" s="57"/>
      <c r="M6" s="58">
        <f t="shared" si="4"/>
        <v>14</v>
      </c>
      <c r="N6" s="59">
        <f t="shared" si="4"/>
        <v>149930</v>
      </c>
      <c r="O6" s="53">
        <f t="shared" si="5"/>
        <v>9735.7142857142862</v>
      </c>
      <c r="P6" s="59">
        <f t="shared" si="6"/>
        <v>41670</v>
      </c>
      <c r="Q6" s="54">
        <f t="shared" si="7"/>
        <v>2705.7857142857142</v>
      </c>
      <c r="R6" s="60">
        <f t="shared" si="8"/>
        <v>191600</v>
      </c>
      <c r="S6" s="56">
        <f t="shared" si="9"/>
        <v>13685.714285714286</v>
      </c>
      <c r="T6" s="80">
        <f t="shared" si="10"/>
        <v>40</v>
      </c>
      <c r="U6" s="59">
        <f t="shared" si="10"/>
        <v>242990</v>
      </c>
      <c r="V6" s="59">
        <f t="shared" si="11"/>
        <v>59370</v>
      </c>
      <c r="W6" s="62">
        <f t="shared" si="12"/>
        <v>302360</v>
      </c>
      <c r="X6" s="81"/>
      <c r="Y6" s="63"/>
      <c r="Z6" s="64">
        <v>6</v>
      </c>
      <c r="AA6" s="52">
        <v>3800</v>
      </c>
      <c r="AB6" s="53">
        <f t="shared" si="13"/>
        <v>633.33333333333337</v>
      </c>
      <c r="AC6" s="52">
        <v>2500</v>
      </c>
      <c r="AD6" s="54">
        <f t="shared" si="14"/>
        <v>416.66666666666669</v>
      </c>
      <c r="AE6" s="65">
        <f>AA6+AC6</f>
        <v>6300</v>
      </c>
      <c r="AF6" s="56">
        <f t="shared" si="16"/>
        <v>1050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40</v>
      </c>
      <c r="AY6" s="59">
        <f t="shared" si="24"/>
        <v>246790</v>
      </c>
      <c r="AZ6" s="59">
        <f t="shared" si="25"/>
        <v>61870</v>
      </c>
      <c r="BA6" s="71">
        <f t="shared" si="26"/>
        <v>308660</v>
      </c>
      <c r="BB6" s="72">
        <f t="shared" ref="BB6:BB35" si="31">BF6+BG6</f>
        <v>3300</v>
      </c>
      <c r="BC6" s="73">
        <v>40</v>
      </c>
      <c r="BD6" s="74">
        <v>242990</v>
      </c>
      <c r="BE6" s="74">
        <v>59370</v>
      </c>
      <c r="BF6" s="75">
        <v>3300</v>
      </c>
      <c r="BG6" s="75"/>
      <c r="BH6" s="75"/>
      <c r="BI6" s="75">
        <v>11100</v>
      </c>
      <c r="BJ6" s="76">
        <f t="shared" ref="BJ6:BJ35" si="32">SUM(BD6:BG6)</f>
        <v>305660</v>
      </c>
      <c r="BK6" s="47">
        <v>2</v>
      </c>
      <c r="BL6" s="77">
        <f t="shared" si="27"/>
        <v>316760</v>
      </c>
    </row>
    <row r="7" spans="1:64" ht="20" customHeight="1">
      <c r="B7" s="78">
        <f>B6+1</f>
        <v>45233</v>
      </c>
      <c r="C7" s="79"/>
      <c r="D7" s="50"/>
      <c r="E7" s="51">
        <v>31</v>
      </c>
      <c r="F7" s="52">
        <v>154880</v>
      </c>
      <c r="G7" s="53">
        <f t="shared" si="0"/>
        <v>4541.9354838709678</v>
      </c>
      <c r="H7" s="52">
        <v>18570</v>
      </c>
      <c r="I7" s="54">
        <f t="shared" si="1"/>
        <v>544.54838709677415</v>
      </c>
      <c r="J7" s="55">
        <f t="shared" si="2"/>
        <v>173450</v>
      </c>
      <c r="K7" s="56">
        <f t="shared" si="3"/>
        <v>5595.1612903225805</v>
      </c>
      <c r="L7" s="57"/>
      <c r="M7" s="58">
        <f t="shared" si="4"/>
        <v>26</v>
      </c>
      <c r="N7" s="59">
        <f t="shared" si="4"/>
        <v>248490</v>
      </c>
      <c r="O7" s="53">
        <f t="shared" si="5"/>
        <v>8688.461538461539</v>
      </c>
      <c r="P7" s="59">
        <f t="shared" si="6"/>
        <v>39400</v>
      </c>
      <c r="Q7" s="54">
        <f t="shared" si="7"/>
        <v>1377.6153846153845</v>
      </c>
      <c r="R7" s="60">
        <f t="shared" si="8"/>
        <v>287890</v>
      </c>
      <c r="S7" s="56">
        <f t="shared" si="9"/>
        <v>11072.692307692309</v>
      </c>
      <c r="T7" s="80">
        <f t="shared" si="10"/>
        <v>57</v>
      </c>
      <c r="U7" s="59">
        <f t="shared" si="10"/>
        <v>403370</v>
      </c>
      <c r="V7" s="59">
        <f t="shared" si="11"/>
        <v>57970</v>
      </c>
      <c r="W7" s="62">
        <f t="shared" si="12"/>
        <v>461340</v>
      </c>
      <c r="X7" s="81"/>
      <c r="Y7" s="63"/>
      <c r="Z7" s="64">
        <v>18</v>
      </c>
      <c r="AA7" s="52">
        <v>8430</v>
      </c>
      <c r="AB7" s="53">
        <f t="shared" si="13"/>
        <v>468.33333333333331</v>
      </c>
      <c r="AC7" s="52">
        <v>3200</v>
      </c>
      <c r="AD7" s="54">
        <f t="shared" si="14"/>
        <v>177.77777777777777</v>
      </c>
      <c r="AE7" s="65">
        <f t="shared" si="15"/>
        <v>11630</v>
      </c>
      <c r="AF7" s="56">
        <f t="shared" si="16"/>
        <v>646.11111111111109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57</v>
      </c>
      <c r="AY7" s="59">
        <f t="shared" si="24"/>
        <v>411800</v>
      </c>
      <c r="AZ7" s="59">
        <f t="shared" si="25"/>
        <v>61170</v>
      </c>
      <c r="BA7" s="71">
        <f t="shared" si="26"/>
        <v>472970</v>
      </c>
      <c r="BB7" s="72">
        <f t="shared" si="31"/>
        <v>3300</v>
      </c>
      <c r="BC7" s="73">
        <v>57</v>
      </c>
      <c r="BD7" s="74">
        <v>403370</v>
      </c>
      <c r="BE7" s="74">
        <v>57970</v>
      </c>
      <c r="BF7" s="75">
        <v>3300</v>
      </c>
      <c r="BG7" s="75"/>
      <c r="BH7" s="75">
        <v>3300</v>
      </c>
      <c r="BI7" s="75"/>
      <c r="BJ7" s="76">
        <f t="shared" si="32"/>
        <v>464640</v>
      </c>
      <c r="BK7" s="47">
        <v>3</v>
      </c>
      <c r="BL7" s="77">
        <f t="shared" si="27"/>
        <v>464640</v>
      </c>
    </row>
    <row r="8" spans="1:64" ht="20" customHeight="1">
      <c r="B8" s="78">
        <f t="shared" si="28"/>
        <v>45234</v>
      </c>
      <c r="C8" s="79"/>
      <c r="D8" s="50"/>
      <c r="E8" s="51">
        <v>28</v>
      </c>
      <c r="F8" s="52">
        <v>132990</v>
      </c>
      <c r="G8" s="53">
        <f t="shared" si="0"/>
        <v>4317.8571428571431</v>
      </c>
      <c r="H8" s="52">
        <v>24480</v>
      </c>
      <c r="I8" s="54">
        <f t="shared" si="1"/>
        <v>794.78571428571433</v>
      </c>
      <c r="J8" s="55">
        <f t="shared" si="2"/>
        <v>157470</v>
      </c>
      <c r="K8" s="56">
        <f t="shared" si="3"/>
        <v>5623.9285714285716</v>
      </c>
      <c r="L8" s="57"/>
      <c r="M8" s="58">
        <f t="shared" si="4"/>
        <v>20</v>
      </c>
      <c r="N8" s="59">
        <f t="shared" si="4"/>
        <v>199650</v>
      </c>
      <c r="O8" s="53">
        <f t="shared" si="5"/>
        <v>9075</v>
      </c>
      <c r="P8" s="59">
        <f t="shared" si="6"/>
        <v>33320</v>
      </c>
      <c r="Q8" s="54">
        <f t="shared" si="7"/>
        <v>1514.5</v>
      </c>
      <c r="R8" s="60">
        <f t="shared" si="8"/>
        <v>232970</v>
      </c>
      <c r="S8" s="56">
        <f t="shared" si="9"/>
        <v>11648.5</v>
      </c>
      <c r="T8" s="80">
        <f t="shared" si="10"/>
        <v>48</v>
      </c>
      <c r="U8" s="59">
        <f t="shared" si="10"/>
        <v>332640</v>
      </c>
      <c r="V8" s="59">
        <f t="shared" si="11"/>
        <v>57800</v>
      </c>
      <c r="W8" s="62">
        <f t="shared" si="12"/>
        <v>390440</v>
      </c>
      <c r="X8" s="81"/>
      <c r="Y8" s="63"/>
      <c r="Z8" s="64">
        <v>13</v>
      </c>
      <c r="AA8" s="52">
        <v>6330</v>
      </c>
      <c r="AB8" s="53">
        <f t="shared" si="13"/>
        <v>486.92307692307691</v>
      </c>
      <c r="AC8" s="52">
        <v>1500</v>
      </c>
      <c r="AD8" s="54">
        <f t="shared" si="14"/>
        <v>115.38461538461539</v>
      </c>
      <c r="AE8" s="65">
        <f t="shared" si="15"/>
        <v>7830</v>
      </c>
      <c r="AF8" s="56">
        <f t="shared" si="16"/>
        <v>602.30769230769226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48</v>
      </c>
      <c r="AY8" s="59">
        <f t="shared" si="24"/>
        <v>338970</v>
      </c>
      <c r="AZ8" s="59">
        <f t="shared" si="25"/>
        <v>59300</v>
      </c>
      <c r="BA8" s="71">
        <f t="shared" si="26"/>
        <v>398270</v>
      </c>
      <c r="BB8" s="72">
        <f t="shared" si="31"/>
        <v>12100</v>
      </c>
      <c r="BC8" s="73">
        <v>48</v>
      </c>
      <c r="BD8" s="74">
        <v>332640</v>
      </c>
      <c r="BE8" s="74">
        <v>57800</v>
      </c>
      <c r="BF8" s="75">
        <v>12100</v>
      </c>
      <c r="BG8" s="75"/>
      <c r="BH8" s="75"/>
      <c r="BI8" s="75"/>
      <c r="BJ8" s="76">
        <f t="shared" si="32"/>
        <v>402540</v>
      </c>
      <c r="BK8" s="47">
        <v>4</v>
      </c>
      <c r="BL8" s="77">
        <f t="shared" si="27"/>
        <v>402540</v>
      </c>
    </row>
    <row r="9" spans="1:64" ht="20" customHeight="1">
      <c r="B9" s="78">
        <f t="shared" si="28"/>
        <v>45235</v>
      </c>
      <c r="C9" s="79"/>
      <c r="D9" s="50"/>
      <c r="E9" s="51">
        <v>24</v>
      </c>
      <c r="F9" s="52">
        <v>87560</v>
      </c>
      <c r="G9" s="53">
        <f t="shared" si="0"/>
        <v>3316.6666666666665</v>
      </c>
      <c r="H9" s="52">
        <v>25330</v>
      </c>
      <c r="I9" s="54">
        <f t="shared" si="1"/>
        <v>959.45833333333337</v>
      </c>
      <c r="J9" s="55">
        <f t="shared" si="2"/>
        <v>112890</v>
      </c>
      <c r="K9" s="56">
        <f t="shared" si="3"/>
        <v>4703.75</v>
      </c>
      <c r="L9" s="57"/>
      <c r="M9" s="58">
        <f t="shared" si="4"/>
        <v>4</v>
      </c>
      <c r="N9" s="59">
        <f t="shared" si="4"/>
        <v>38170</v>
      </c>
      <c r="O9" s="53">
        <f t="shared" si="5"/>
        <v>8675</v>
      </c>
      <c r="P9" s="59">
        <f t="shared" si="6"/>
        <v>6260</v>
      </c>
      <c r="Q9" s="54">
        <f t="shared" si="7"/>
        <v>1422.5</v>
      </c>
      <c r="R9" s="60">
        <f t="shared" si="8"/>
        <v>44430</v>
      </c>
      <c r="S9" s="56">
        <f t="shared" si="9"/>
        <v>11107.5</v>
      </c>
      <c r="T9" s="80">
        <f t="shared" si="10"/>
        <v>28</v>
      </c>
      <c r="U9" s="59">
        <f t="shared" si="10"/>
        <v>125730</v>
      </c>
      <c r="V9" s="59">
        <f t="shared" si="11"/>
        <v>31590</v>
      </c>
      <c r="W9" s="62">
        <f t="shared" si="12"/>
        <v>157320</v>
      </c>
      <c r="X9" s="81"/>
      <c r="Y9" s="63"/>
      <c r="Z9" s="64">
        <v>12</v>
      </c>
      <c r="AA9" s="52">
        <v>6280</v>
      </c>
      <c r="AB9" s="53">
        <f t="shared" si="13"/>
        <v>523.33333333333337</v>
      </c>
      <c r="AC9" s="52">
        <v>6000</v>
      </c>
      <c r="AD9" s="54">
        <f t="shared" si="14"/>
        <v>500</v>
      </c>
      <c r="AE9" s="65">
        <f t="shared" si="15"/>
        <v>12280</v>
      </c>
      <c r="AF9" s="56">
        <f t="shared" si="16"/>
        <v>1023.3333333333334</v>
      </c>
      <c r="AG9" s="66"/>
      <c r="AH9" s="64">
        <v>13</v>
      </c>
      <c r="AI9" s="52">
        <v>50895</v>
      </c>
      <c r="AJ9" s="53">
        <f t="shared" si="17"/>
        <v>3915</v>
      </c>
      <c r="AK9" s="52">
        <v>16965</v>
      </c>
      <c r="AL9" s="54">
        <f t="shared" si="18"/>
        <v>1305</v>
      </c>
      <c r="AM9" s="65">
        <f t="shared" si="29"/>
        <v>67860</v>
      </c>
      <c r="AN9" s="67">
        <f t="shared" si="19"/>
        <v>5220</v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28</v>
      </c>
      <c r="AY9" s="59">
        <f t="shared" si="24"/>
        <v>182905</v>
      </c>
      <c r="AZ9" s="59">
        <f t="shared" si="25"/>
        <v>54555</v>
      </c>
      <c r="BA9" s="71">
        <f t="shared" si="26"/>
        <v>237460</v>
      </c>
      <c r="BB9" s="72">
        <f t="shared" si="31"/>
        <v>3300</v>
      </c>
      <c r="BC9" s="73">
        <v>28</v>
      </c>
      <c r="BD9" s="74">
        <v>125730</v>
      </c>
      <c r="BE9" s="74">
        <v>31590</v>
      </c>
      <c r="BF9" s="75">
        <v>3300</v>
      </c>
      <c r="BG9" s="75"/>
      <c r="BH9" s="75"/>
      <c r="BI9" s="75"/>
      <c r="BJ9" s="76">
        <f t="shared" si="32"/>
        <v>160620</v>
      </c>
      <c r="BK9" s="47">
        <v>5</v>
      </c>
      <c r="BL9" s="77">
        <f t="shared" si="27"/>
        <v>160620</v>
      </c>
    </row>
    <row r="10" spans="1:64" ht="20" customHeight="1">
      <c r="B10" s="78">
        <f t="shared" si="28"/>
        <v>45236</v>
      </c>
      <c r="C10" s="79"/>
      <c r="D10" s="50"/>
      <c r="E10" s="51">
        <v>35</v>
      </c>
      <c r="F10" s="52">
        <v>121110</v>
      </c>
      <c r="G10" s="53">
        <f t="shared" si="0"/>
        <v>3145.7142857142858</v>
      </c>
      <c r="H10" s="52">
        <v>3950</v>
      </c>
      <c r="I10" s="54">
        <f t="shared" si="1"/>
        <v>102.57142857142857</v>
      </c>
      <c r="J10" s="55">
        <f t="shared" si="2"/>
        <v>125060</v>
      </c>
      <c r="K10" s="56">
        <f t="shared" si="3"/>
        <v>3573.1428571428573</v>
      </c>
      <c r="L10" s="57"/>
      <c r="M10" s="58">
        <f t="shared" si="4"/>
        <v>4</v>
      </c>
      <c r="N10" s="59">
        <f t="shared" si="4"/>
        <v>39600</v>
      </c>
      <c r="O10" s="53">
        <f t="shared" si="5"/>
        <v>9000</v>
      </c>
      <c r="P10" s="59">
        <f t="shared" si="6"/>
        <v>4780</v>
      </c>
      <c r="Q10" s="54">
        <f t="shared" si="7"/>
        <v>1086.25</v>
      </c>
      <c r="R10" s="60">
        <f t="shared" si="8"/>
        <v>44380</v>
      </c>
      <c r="S10" s="56">
        <f t="shared" si="9"/>
        <v>11095</v>
      </c>
      <c r="T10" s="80">
        <f t="shared" si="10"/>
        <v>39</v>
      </c>
      <c r="U10" s="59">
        <f t="shared" si="10"/>
        <v>160710</v>
      </c>
      <c r="V10" s="59">
        <f t="shared" si="11"/>
        <v>8730</v>
      </c>
      <c r="W10" s="62">
        <f t="shared" si="12"/>
        <v>169440</v>
      </c>
      <c r="X10" s="81"/>
      <c r="Y10" s="63"/>
      <c r="Z10" s="64">
        <v>19</v>
      </c>
      <c r="AA10" s="52">
        <v>8750</v>
      </c>
      <c r="AB10" s="53">
        <f t="shared" si="13"/>
        <v>460.5263157894737</v>
      </c>
      <c r="AC10" s="52">
        <v>4900</v>
      </c>
      <c r="AD10" s="54">
        <f t="shared" si="14"/>
        <v>257.89473684210526</v>
      </c>
      <c r="AE10" s="65">
        <f t="shared" si="15"/>
        <v>13650</v>
      </c>
      <c r="AF10" s="56">
        <f t="shared" si="16"/>
        <v>718.42105263157896</v>
      </c>
      <c r="AG10" s="66"/>
      <c r="AH10" s="64">
        <v>20</v>
      </c>
      <c r="AI10" s="52">
        <v>78300</v>
      </c>
      <c r="AJ10" s="53">
        <f t="shared" si="17"/>
        <v>3915</v>
      </c>
      <c r="AK10" s="52">
        <v>26100</v>
      </c>
      <c r="AL10" s="54">
        <f t="shared" si="18"/>
        <v>1305</v>
      </c>
      <c r="AM10" s="65">
        <f t="shared" si="29"/>
        <v>104400</v>
      </c>
      <c r="AN10" s="67">
        <f t="shared" si="19"/>
        <v>5220</v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39</v>
      </c>
      <c r="AY10" s="59">
        <f t="shared" si="24"/>
        <v>247760</v>
      </c>
      <c r="AZ10" s="59">
        <f t="shared" si="25"/>
        <v>39730</v>
      </c>
      <c r="BA10" s="71">
        <f t="shared" si="26"/>
        <v>287490</v>
      </c>
      <c r="BB10" s="72">
        <f t="shared" si="31"/>
        <v>2750</v>
      </c>
      <c r="BC10" s="73">
        <v>39</v>
      </c>
      <c r="BD10" s="74">
        <v>160710</v>
      </c>
      <c r="BE10" s="74">
        <v>8730</v>
      </c>
      <c r="BF10" s="75">
        <v>2750</v>
      </c>
      <c r="BG10" s="75"/>
      <c r="BH10" s="75"/>
      <c r="BI10" s="75"/>
      <c r="BJ10" s="76">
        <f t="shared" si="32"/>
        <v>172190</v>
      </c>
      <c r="BK10" s="47">
        <v>6</v>
      </c>
      <c r="BL10" s="77">
        <f t="shared" si="27"/>
        <v>172190</v>
      </c>
    </row>
    <row r="11" spans="1:64" ht="20" customHeight="1">
      <c r="B11" s="78">
        <f t="shared" si="28"/>
        <v>45237</v>
      </c>
      <c r="C11" s="79"/>
      <c r="D11" s="50"/>
      <c r="E11" s="51">
        <v>23</v>
      </c>
      <c r="F11" s="52">
        <v>76120</v>
      </c>
      <c r="G11" s="53">
        <f t="shared" si="0"/>
        <v>3008.695652173913</v>
      </c>
      <c r="H11" s="52">
        <v>7510</v>
      </c>
      <c r="I11" s="54">
        <f t="shared" si="1"/>
        <v>296.82608695652175</v>
      </c>
      <c r="J11" s="55">
        <f t="shared" si="2"/>
        <v>83630</v>
      </c>
      <c r="K11" s="56">
        <f t="shared" si="3"/>
        <v>3636.086956521739</v>
      </c>
      <c r="L11" s="57"/>
      <c r="M11" s="58">
        <f t="shared" si="4"/>
        <v>2</v>
      </c>
      <c r="N11" s="59">
        <f t="shared" si="4"/>
        <v>17600</v>
      </c>
      <c r="O11" s="53">
        <f t="shared" si="5"/>
        <v>8000</v>
      </c>
      <c r="P11" s="59">
        <f t="shared" si="6"/>
        <v>6400</v>
      </c>
      <c r="Q11" s="54">
        <f t="shared" si="7"/>
        <v>2909</v>
      </c>
      <c r="R11" s="60">
        <f t="shared" si="8"/>
        <v>24000</v>
      </c>
      <c r="S11" s="56">
        <f t="shared" si="9"/>
        <v>12000</v>
      </c>
      <c r="T11" s="80">
        <f t="shared" si="10"/>
        <v>25</v>
      </c>
      <c r="U11" s="59">
        <f t="shared" si="10"/>
        <v>93720</v>
      </c>
      <c r="V11" s="59">
        <f t="shared" si="11"/>
        <v>13910</v>
      </c>
      <c r="W11" s="62">
        <f t="shared" si="12"/>
        <v>107630</v>
      </c>
      <c r="X11" s="81"/>
      <c r="Y11" s="63"/>
      <c r="Z11" s="64">
        <v>8</v>
      </c>
      <c r="AA11" s="52">
        <v>3710</v>
      </c>
      <c r="AB11" s="53">
        <f t="shared" si="13"/>
        <v>463.75</v>
      </c>
      <c r="AC11" s="52">
        <v>3500</v>
      </c>
      <c r="AD11" s="54">
        <f t="shared" si="14"/>
        <v>437.5</v>
      </c>
      <c r="AE11" s="65">
        <f t="shared" si="15"/>
        <v>7210</v>
      </c>
      <c r="AF11" s="56">
        <f t="shared" si="16"/>
        <v>901.25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25</v>
      </c>
      <c r="AY11" s="59">
        <f t="shared" si="24"/>
        <v>97430</v>
      </c>
      <c r="AZ11" s="59">
        <f t="shared" si="25"/>
        <v>17410</v>
      </c>
      <c r="BA11" s="71">
        <f t="shared" si="26"/>
        <v>114840</v>
      </c>
      <c r="BB11" s="72">
        <f t="shared" si="31"/>
        <v>0</v>
      </c>
      <c r="BC11" s="73">
        <v>25</v>
      </c>
      <c r="BD11" s="74">
        <v>93720</v>
      </c>
      <c r="BE11" s="74">
        <v>13910</v>
      </c>
      <c r="BF11" s="75"/>
      <c r="BG11" s="75"/>
      <c r="BH11" s="75"/>
      <c r="BI11" s="75"/>
      <c r="BJ11" s="76">
        <f t="shared" si="32"/>
        <v>107630</v>
      </c>
      <c r="BK11" s="47">
        <v>7</v>
      </c>
      <c r="BL11" s="77">
        <f t="shared" si="27"/>
        <v>107630</v>
      </c>
    </row>
    <row r="12" spans="1:64" ht="20" customHeight="1">
      <c r="B12" s="78">
        <f t="shared" si="28"/>
        <v>45238</v>
      </c>
      <c r="C12" s="83"/>
      <c r="D12" s="50"/>
      <c r="E12" s="51"/>
      <c r="F12" s="52"/>
      <c r="G12" s="53" t="e">
        <f t="shared" si="0"/>
        <v>#DIV/0!</v>
      </c>
      <c r="H12" s="52"/>
      <c r="I12" s="54" t="e">
        <f t="shared" si="1"/>
        <v>#DIV/0!</v>
      </c>
      <c r="J12" s="55">
        <f t="shared" si="2"/>
        <v>0</v>
      </c>
      <c r="K12" s="56" t="str">
        <f t="shared" si="3"/>
        <v/>
      </c>
      <c r="L12" s="57"/>
      <c r="M12" s="58">
        <f t="shared" si="4"/>
        <v>0</v>
      </c>
      <c r="N12" s="59">
        <f t="shared" si="4"/>
        <v>0</v>
      </c>
      <c r="O12" s="53" t="e">
        <f t="shared" si="5"/>
        <v>#DIV/0!</v>
      </c>
      <c r="P12" s="59">
        <f t="shared" si="6"/>
        <v>0</v>
      </c>
      <c r="Q12" s="84" t="e">
        <f t="shared" si="7"/>
        <v>#DIV/0!</v>
      </c>
      <c r="R12" s="60">
        <f t="shared" si="8"/>
        <v>0</v>
      </c>
      <c r="S12" s="56" t="e">
        <f t="shared" si="9"/>
        <v>#DIV/0!</v>
      </c>
      <c r="T12" s="80">
        <f t="shared" si="10"/>
        <v>0</v>
      </c>
      <c r="U12" s="59">
        <f t="shared" si="10"/>
        <v>0</v>
      </c>
      <c r="V12" s="59">
        <f t="shared" si="11"/>
        <v>0</v>
      </c>
      <c r="W12" s="62">
        <f t="shared" si="12"/>
        <v>0</v>
      </c>
      <c r="X12" s="81"/>
      <c r="Y12" s="63"/>
      <c r="Z12" s="64"/>
      <c r="AA12" s="52"/>
      <c r="AB12" s="53" t="e">
        <f t="shared" si="13"/>
        <v>#DIV/0!</v>
      </c>
      <c r="AC12" s="52"/>
      <c r="AD12" s="54" t="e">
        <f t="shared" si="14"/>
        <v>#DIV/0!</v>
      </c>
      <c r="AE12" s="65">
        <f t="shared" si="15"/>
        <v>0</v>
      </c>
      <c r="AF12" s="56" t="str">
        <f t="shared" si="16"/>
        <v/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0</v>
      </c>
      <c r="AY12" s="59">
        <f t="shared" si="24"/>
        <v>0</v>
      </c>
      <c r="AZ12" s="59">
        <f t="shared" si="25"/>
        <v>0</v>
      </c>
      <c r="BA12" s="71">
        <f t="shared" si="26"/>
        <v>0</v>
      </c>
      <c r="BB12" s="72">
        <f t="shared" si="31"/>
        <v>0</v>
      </c>
      <c r="BC12" s="73"/>
      <c r="BD12" s="74"/>
      <c r="BE12" s="74"/>
      <c r="BF12" s="75"/>
      <c r="BG12" s="75"/>
      <c r="BH12" s="75"/>
      <c r="BI12" s="75"/>
      <c r="BJ12" s="76">
        <f t="shared" si="32"/>
        <v>0</v>
      </c>
      <c r="BK12" s="47">
        <v>8</v>
      </c>
      <c r="BL12" s="77">
        <f t="shared" si="27"/>
        <v>0</v>
      </c>
    </row>
    <row r="13" spans="1:64" ht="20" customHeight="1">
      <c r="B13" s="78">
        <f t="shared" si="28"/>
        <v>45239</v>
      </c>
      <c r="C13" s="79"/>
      <c r="D13" s="50"/>
      <c r="E13" s="51">
        <v>30</v>
      </c>
      <c r="F13" s="52">
        <v>107140</v>
      </c>
      <c r="G13" s="53">
        <f t="shared" si="0"/>
        <v>3246.6666666666665</v>
      </c>
      <c r="H13" s="52">
        <v>9230</v>
      </c>
      <c r="I13" s="54">
        <f t="shared" si="1"/>
        <v>279.66666666666669</v>
      </c>
      <c r="J13" s="55">
        <f t="shared" si="2"/>
        <v>116370</v>
      </c>
      <c r="K13" s="56">
        <f t="shared" si="3"/>
        <v>3879</v>
      </c>
      <c r="L13" s="57"/>
      <c r="M13" s="58">
        <f t="shared" si="4"/>
        <v>9</v>
      </c>
      <c r="N13" s="59">
        <f t="shared" si="4"/>
        <v>97900</v>
      </c>
      <c r="O13" s="53">
        <f t="shared" si="5"/>
        <v>9888.8888888888887</v>
      </c>
      <c r="P13" s="59">
        <f t="shared" si="6"/>
        <v>75460</v>
      </c>
      <c r="Q13" s="54">
        <f t="shared" si="7"/>
        <v>7622.2222222222226</v>
      </c>
      <c r="R13" s="60">
        <f t="shared" si="8"/>
        <v>173360</v>
      </c>
      <c r="S13" s="56">
        <f t="shared" si="9"/>
        <v>19262.222222222223</v>
      </c>
      <c r="T13" s="80">
        <f t="shared" si="10"/>
        <v>39</v>
      </c>
      <c r="U13" s="59">
        <f t="shared" si="10"/>
        <v>205040</v>
      </c>
      <c r="V13" s="59">
        <f t="shared" si="11"/>
        <v>84690</v>
      </c>
      <c r="W13" s="62">
        <f t="shared" si="12"/>
        <v>289730</v>
      </c>
      <c r="X13" s="81"/>
      <c r="Y13" s="63"/>
      <c r="Z13" s="64">
        <v>3</v>
      </c>
      <c r="AA13" s="52">
        <v>1350</v>
      </c>
      <c r="AB13" s="53">
        <f t="shared" si="13"/>
        <v>450</v>
      </c>
      <c r="AC13" s="52">
        <v>1500</v>
      </c>
      <c r="AD13" s="54">
        <f t="shared" si="14"/>
        <v>500</v>
      </c>
      <c r="AE13" s="65">
        <f t="shared" si="15"/>
        <v>2850</v>
      </c>
      <c r="AF13" s="56">
        <f t="shared" si="16"/>
        <v>950</v>
      </c>
      <c r="AG13" s="66"/>
      <c r="AH13" s="64">
        <v>28</v>
      </c>
      <c r="AI13" s="52">
        <v>109620</v>
      </c>
      <c r="AJ13" s="53">
        <f t="shared" si="17"/>
        <v>3915</v>
      </c>
      <c r="AK13" s="52">
        <v>36540</v>
      </c>
      <c r="AL13" s="54">
        <f t="shared" si="18"/>
        <v>1305</v>
      </c>
      <c r="AM13" s="65">
        <f t="shared" si="29"/>
        <v>146160</v>
      </c>
      <c r="AN13" s="67">
        <f t="shared" si="19"/>
        <v>5220</v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39</v>
      </c>
      <c r="AY13" s="59">
        <f t="shared" si="24"/>
        <v>316010</v>
      </c>
      <c r="AZ13" s="59">
        <f t="shared" si="25"/>
        <v>122730</v>
      </c>
      <c r="BA13" s="71">
        <f t="shared" si="26"/>
        <v>438740</v>
      </c>
      <c r="BB13" s="72">
        <f t="shared" si="31"/>
        <v>6600</v>
      </c>
      <c r="BC13" s="73">
        <v>39</v>
      </c>
      <c r="BD13" s="74">
        <v>205040</v>
      </c>
      <c r="BE13" s="74">
        <v>84690</v>
      </c>
      <c r="BF13" s="75">
        <v>6600</v>
      </c>
      <c r="BG13" s="75"/>
      <c r="BH13" s="75"/>
      <c r="BI13" s="75"/>
      <c r="BJ13" s="76">
        <f t="shared" si="32"/>
        <v>296330</v>
      </c>
      <c r="BK13" s="47">
        <v>9</v>
      </c>
      <c r="BL13" s="77">
        <f t="shared" si="27"/>
        <v>296330</v>
      </c>
    </row>
    <row r="14" spans="1:64" ht="20" customHeight="1">
      <c r="B14" s="78">
        <f t="shared" si="28"/>
        <v>45240</v>
      </c>
      <c r="C14" s="79"/>
      <c r="D14" s="50"/>
      <c r="E14" s="51">
        <v>26</v>
      </c>
      <c r="F14" s="52">
        <v>89100</v>
      </c>
      <c r="G14" s="53">
        <f t="shared" si="0"/>
        <v>3115.3846153846152</v>
      </c>
      <c r="H14" s="52">
        <v>13340</v>
      </c>
      <c r="I14" s="54">
        <f t="shared" si="1"/>
        <v>466.42307692307691</v>
      </c>
      <c r="J14" s="55">
        <f t="shared" si="2"/>
        <v>102440</v>
      </c>
      <c r="K14" s="56">
        <f t="shared" si="3"/>
        <v>3940</v>
      </c>
      <c r="L14" s="57"/>
      <c r="M14" s="58">
        <f t="shared" si="4"/>
        <v>19</v>
      </c>
      <c r="N14" s="59">
        <f t="shared" si="4"/>
        <v>136950</v>
      </c>
      <c r="O14" s="53">
        <f t="shared" si="5"/>
        <v>6552.6315789473683</v>
      </c>
      <c r="P14" s="59">
        <f t="shared" si="6"/>
        <v>39650</v>
      </c>
      <c r="Q14" s="54">
        <f t="shared" si="7"/>
        <v>1897.1052631578948</v>
      </c>
      <c r="R14" s="60">
        <f t="shared" si="8"/>
        <v>176600</v>
      </c>
      <c r="S14" s="56">
        <f t="shared" si="9"/>
        <v>9294.7368421052633</v>
      </c>
      <c r="T14" s="80">
        <f t="shared" si="10"/>
        <v>45</v>
      </c>
      <c r="U14" s="59">
        <f t="shared" si="10"/>
        <v>226050</v>
      </c>
      <c r="V14" s="59">
        <f t="shared" si="11"/>
        <v>52990</v>
      </c>
      <c r="W14" s="62">
        <f t="shared" si="12"/>
        <v>279040</v>
      </c>
      <c r="X14" s="81"/>
      <c r="Y14" s="63"/>
      <c r="Z14" s="64">
        <v>8</v>
      </c>
      <c r="AA14" s="52">
        <v>5800</v>
      </c>
      <c r="AB14" s="53">
        <f t="shared" si="13"/>
        <v>725</v>
      </c>
      <c r="AC14" s="52">
        <v>3000</v>
      </c>
      <c r="AD14" s="54">
        <f t="shared" si="14"/>
        <v>375</v>
      </c>
      <c r="AE14" s="65">
        <f t="shared" si="15"/>
        <v>8800</v>
      </c>
      <c r="AF14" s="56">
        <f t="shared" si="16"/>
        <v>1100</v>
      </c>
      <c r="AG14" s="66"/>
      <c r="AH14" s="64">
        <v>35</v>
      </c>
      <c r="AI14" s="52">
        <v>137025</v>
      </c>
      <c r="AJ14" s="53">
        <f t="shared" si="17"/>
        <v>3915</v>
      </c>
      <c r="AK14" s="52">
        <v>45675</v>
      </c>
      <c r="AL14" s="54">
        <f t="shared" si="18"/>
        <v>1305</v>
      </c>
      <c r="AM14" s="65">
        <f t="shared" si="29"/>
        <v>182700</v>
      </c>
      <c r="AN14" s="67">
        <f t="shared" si="19"/>
        <v>5220</v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45</v>
      </c>
      <c r="AY14" s="59">
        <f t="shared" si="24"/>
        <v>368875</v>
      </c>
      <c r="AZ14" s="59">
        <f t="shared" si="25"/>
        <v>101665</v>
      </c>
      <c r="BA14" s="71">
        <f t="shared" si="26"/>
        <v>470540</v>
      </c>
      <c r="BB14" s="72">
        <f t="shared" si="31"/>
        <v>6600</v>
      </c>
      <c r="BC14" s="73">
        <v>45</v>
      </c>
      <c r="BD14" s="74">
        <v>226050</v>
      </c>
      <c r="BE14" s="74">
        <v>52990</v>
      </c>
      <c r="BF14" s="75">
        <v>6600</v>
      </c>
      <c r="BG14" s="75"/>
      <c r="BH14" s="75"/>
      <c r="BI14" s="75"/>
      <c r="BJ14" s="76">
        <f t="shared" si="32"/>
        <v>285640</v>
      </c>
      <c r="BK14" s="47">
        <v>10</v>
      </c>
      <c r="BL14" s="77">
        <f t="shared" si="27"/>
        <v>285640</v>
      </c>
    </row>
    <row r="15" spans="1:64" ht="20" customHeight="1">
      <c r="B15" s="78">
        <f t="shared" si="28"/>
        <v>45241</v>
      </c>
      <c r="C15" s="83"/>
      <c r="D15" s="50"/>
      <c r="E15" s="51">
        <v>32</v>
      </c>
      <c r="F15" s="52">
        <v>158620</v>
      </c>
      <c r="G15" s="53">
        <f t="shared" si="0"/>
        <v>4506.25</v>
      </c>
      <c r="H15" s="52">
        <v>26830</v>
      </c>
      <c r="I15" s="54">
        <f t="shared" si="1"/>
        <v>762.1875</v>
      </c>
      <c r="J15" s="55">
        <f t="shared" si="2"/>
        <v>185450</v>
      </c>
      <c r="K15" s="56">
        <f t="shared" si="3"/>
        <v>5795.3125</v>
      </c>
      <c r="L15" s="57"/>
      <c r="M15" s="58">
        <f t="shared" si="4"/>
        <v>16</v>
      </c>
      <c r="N15" s="59">
        <f t="shared" si="4"/>
        <v>143990</v>
      </c>
      <c r="O15" s="53">
        <f t="shared" si="5"/>
        <v>8181.25</v>
      </c>
      <c r="P15" s="59">
        <f t="shared" si="6"/>
        <v>23710</v>
      </c>
      <c r="Q15" s="54">
        <f t="shared" si="7"/>
        <v>1347.125</v>
      </c>
      <c r="R15" s="60">
        <f t="shared" si="8"/>
        <v>167700</v>
      </c>
      <c r="S15" s="56">
        <f t="shared" si="9"/>
        <v>10481.25</v>
      </c>
      <c r="T15" s="80">
        <f t="shared" si="10"/>
        <v>48</v>
      </c>
      <c r="U15" s="59">
        <f t="shared" si="10"/>
        <v>302610</v>
      </c>
      <c r="V15" s="59">
        <f t="shared" si="11"/>
        <v>50540</v>
      </c>
      <c r="W15" s="62">
        <f t="shared" si="12"/>
        <v>353150</v>
      </c>
      <c r="X15" s="81"/>
      <c r="Y15" s="63"/>
      <c r="Z15" s="64">
        <v>8</v>
      </c>
      <c r="AA15" s="52">
        <v>3950</v>
      </c>
      <c r="AB15" s="53">
        <f t="shared" si="13"/>
        <v>493.75</v>
      </c>
      <c r="AC15" s="52">
        <v>2850</v>
      </c>
      <c r="AD15" s="54">
        <f t="shared" si="14"/>
        <v>356.25</v>
      </c>
      <c r="AE15" s="65">
        <f t="shared" si="15"/>
        <v>6800</v>
      </c>
      <c r="AF15" s="56">
        <f t="shared" si="16"/>
        <v>850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48</v>
      </c>
      <c r="AY15" s="59">
        <f t="shared" si="24"/>
        <v>306560</v>
      </c>
      <c r="AZ15" s="59">
        <f t="shared" si="25"/>
        <v>53390</v>
      </c>
      <c r="BA15" s="71">
        <f t="shared" si="26"/>
        <v>359950</v>
      </c>
      <c r="BB15" s="72">
        <f t="shared" si="31"/>
        <v>5500</v>
      </c>
      <c r="BC15" s="73">
        <v>48</v>
      </c>
      <c r="BD15" s="74">
        <v>302610</v>
      </c>
      <c r="BE15" s="74">
        <v>50540</v>
      </c>
      <c r="BF15" s="75">
        <v>5500</v>
      </c>
      <c r="BG15" s="75"/>
      <c r="BH15" s="75"/>
      <c r="BI15" s="75"/>
      <c r="BJ15" s="76">
        <f t="shared" si="32"/>
        <v>358650</v>
      </c>
      <c r="BK15" s="47">
        <v>11</v>
      </c>
      <c r="BL15" s="77">
        <f t="shared" si="27"/>
        <v>358650</v>
      </c>
    </row>
    <row r="16" spans="1:64" ht="20" customHeight="1">
      <c r="B16" s="78">
        <f t="shared" si="28"/>
        <v>45242</v>
      </c>
      <c r="C16" s="79"/>
      <c r="D16" s="50"/>
      <c r="E16" s="51">
        <v>24</v>
      </c>
      <c r="F16" s="52">
        <v>92950</v>
      </c>
      <c r="G16" s="53">
        <f t="shared" si="0"/>
        <v>3520.8333333333335</v>
      </c>
      <c r="H16" s="52">
        <v>28660</v>
      </c>
      <c r="I16" s="54">
        <f t="shared" si="1"/>
        <v>1085.5833333333333</v>
      </c>
      <c r="J16" s="55">
        <f t="shared" si="2"/>
        <v>121610</v>
      </c>
      <c r="K16" s="56">
        <f t="shared" si="3"/>
        <v>5067.083333333333</v>
      </c>
      <c r="L16" s="57"/>
      <c r="M16" s="58">
        <f t="shared" si="4"/>
        <v>12</v>
      </c>
      <c r="N16" s="59">
        <f t="shared" si="4"/>
        <v>79970</v>
      </c>
      <c r="O16" s="53">
        <f t="shared" si="5"/>
        <v>6058.333333333333</v>
      </c>
      <c r="P16" s="59">
        <f t="shared" si="6"/>
        <v>21230</v>
      </c>
      <c r="Q16" s="54">
        <f t="shared" si="7"/>
        <v>1608.3333333333333</v>
      </c>
      <c r="R16" s="60">
        <f t="shared" si="8"/>
        <v>101200</v>
      </c>
      <c r="S16" s="56">
        <f t="shared" si="9"/>
        <v>8433.3333333333339</v>
      </c>
      <c r="T16" s="80">
        <f t="shared" si="10"/>
        <v>36</v>
      </c>
      <c r="U16" s="59">
        <f t="shared" si="10"/>
        <v>172920</v>
      </c>
      <c r="V16" s="59">
        <f t="shared" si="11"/>
        <v>49890</v>
      </c>
      <c r="W16" s="62">
        <f t="shared" si="12"/>
        <v>222810</v>
      </c>
      <c r="X16" s="81"/>
      <c r="Y16" s="63"/>
      <c r="Z16" s="64">
        <v>16</v>
      </c>
      <c r="AA16" s="52">
        <v>7670</v>
      </c>
      <c r="AB16" s="53">
        <f t="shared" si="13"/>
        <v>479.375</v>
      </c>
      <c r="AC16" s="52">
        <v>10900</v>
      </c>
      <c r="AD16" s="54">
        <f t="shared" si="14"/>
        <v>681.25</v>
      </c>
      <c r="AE16" s="65">
        <f t="shared" si="15"/>
        <v>18570</v>
      </c>
      <c r="AF16" s="56">
        <f t="shared" si="16"/>
        <v>1160.625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9"/>
        <v>0</v>
      </c>
      <c r="AN16" s="67" t="str">
        <f t="shared" si="19"/>
        <v/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36</v>
      </c>
      <c r="AY16" s="59">
        <f t="shared" si="24"/>
        <v>180590</v>
      </c>
      <c r="AZ16" s="59">
        <f t="shared" si="25"/>
        <v>60790</v>
      </c>
      <c r="BA16" s="71">
        <f t="shared" si="26"/>
        <v>241380</v>
      </c>
      <c r="BB16" s="72">
        <f t="shared" si="31"/>
        <v>0</v>
      </c>
      <c r="BC16" s="73">
        <v>36</v>
      </c>
      <c r="BD16" s="74">
        <v>172920</v>
      </c>
      <c r="BE16" s="74">
        <v>49890</v>
      </c>
      <c r="BF16" s="75"/>
      <c r="BG16" s="75"/>
      <c r="BH16" s="75"/>
      <c r="BI16" s="75"/>
      <c r="BJ16" s="76">
        <f t="shared" si="32"/>
        <v>222810</v>
      </c>
      <c r="BK16" s="47">
        <v>12</v>
      </c>
      <c r="BL16" s="77">
        <f t="shared" si="27"/>
        <v>222810</v>
      </c>
    </row>
    <row r="17" spans="2:64" ht="20" customHeight="1">
      <c r="B17" s="78">
        <f t="shared" si="28"/>
        <v>45243</v>
      </c>
      <c r="C17" s="83"/>
      <c r="D17" s="50"/>
      <c r="E17" s="51">
        <v>24</v>
      </c>
      <c r="F17" s="52">
        <v>76890</v>
      </c>
      <c r="G17" s="53">
        <f t="shared" si="0"/>
        <v>2912.5</v>
      </c>
      <c r="H17" s="52">
        <v>2190</v>
      </c>
      <c r="I17" s="54">
        <f t="shared" si="1"/>
        <v>82.916666666666671</v>
      </c>
      <c r="J17" s="55">
        <f t="shared" si="2"/>
        <v>79080</v>
      </c>
      <c r="K17" s="56">
        <f t="shared" si="3"/>
        <v>3295</v>
      </c>
      <c r="L17" s="57"/>
      <c r="M17" s="58">
        <f t="shared" si="4"/>
        <v>10</v>
      </c>
      <c r="N17" s="59">
        <f t="shared" si="4"/>
        <v>102330</v>
      </c>
      <c r="O17" s="53">
        <f t="shared" si="5"/>
        <v>9302.7000000000007</v>
      </c>
      <c r="P17" s="59">
        <f t="shared" si="6"/>
        <v>19600</v>
      </c>
      <c r="Q17" s="54">
        <f t="shared" si="7"/>
        <v>1781.8</v>
      </c>
      <c r="R17" s="60">
        <f t="shared" si="8"/>
        <v>121930</v>
      </c>
      <c r="S17" s="56">
        <f t="shared" si="9"/>
        <v>12193</v>
      </c>
      <c r="T17" s="80">
        <f>E17+M17</f>
        <v>34</v>
      </c>
      <c r="U17" s="59">
        <f t="shared" si="10"/>
        <v>179220</v>
      </c>
      <c r="V17" s="59">
        <f t="shared" si="11"/>
        <v>21790</v>
      </c>
      <c r="W17" s="62">
        <f t="shared" si="12"/>
        <v>201010</v>
      </c>
      <c r="X17" s="81"/>
      <c r="Y17" s="63"/>
      <c r="Z17" s="64">
        <v>3</v>
      </c>
      <c r="AA17" s="52">
        <v>0</v>
      </c>
      <c r="AB17" s="53">
        <f t="shared" si="13"/>
        <v>0</v>
      </c>
      <c r="AC17" s="52">
        <v>1560</v>
      </c>
      <c r="AD17" s="54">
        <f t="shared" si="14"/>
        <v>520</v>
      </c>
      <c r="AE17" s="65">
        <f t="shared" si="15"/>
        <v>1560</v>
      </c>
      <c r="AF17" s="56">
        <f t="shared" si="16"/>
        <v>520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34</v>
      </c>
      <c r="AY17" s="59">
        <f t="shared" si="24"/>
        <v>179220</v>
      </c>
      <c r="AZ17" s="59">
        <f t="shared" si="25"/>
        <v>23350</v>
      </c>
      <c r="BA17" s="71">
        <f t="shared" si="26"/>
        <v>202570</v>
      </c>
      <c r="BB17" s="72">
        <f t="shared" si="31"/>
        <v>0</v>
      </c>
      <c r="BC17" s="73">
        <v>34</v>
      </c>
      <c r="BD17" s="74">
        <v>179220</v>
      </c>
      <c r="BE17" s="74">
        <v>21790</v>
      </c>
      <c r="BF17" s="75"/>
      <c r="BG17" s="75"/>
      <c r="BH17" s="75"/>
      <c r="BI17" s="75"/>
      <c r="BJ17" s="76">
        <f t="shared" si="32"/>
        <v>201010</v>
      </c>
      <c r="BK17" s="47">
        <v>13</v>
      </c>
      <c r="BL17" s="77">
        <f t="shared" si="27"/>
        <v>201010</v>
      </c>
    </row>
    <row r="18" spans="2:64" ht="20" customHeight="1">
      <c r="B18" s="78">
        <f t="shared" si="28"/>
        <v>45244</v>
      </c>
      <c r="C18" s="79"/>
      <c r="D18" s="50"/>
      <c r="E18" s="51">
        <v>31</v>
      </c>
      <c r="F18" s="52">
        <v>100870</v>
      </c>
      <c r="G18" s="53">
        <f t="shared" si="0"/>
        <v>2958.0645161290322</v>
      </c>
      <c r="H18" s="52">
        <v>12200</v>
      </c>
      <c r="I18" s="54">
        <f t="shared" si="1"/>
        <v>357.74193548387098</v>
      </c>
      <c r="J18" s="55">
        <f t="shared" si="2"/>
        <v>113070</v>
      </c>
      <c r="K18" s="56">
        <f t="shared" si="3"/>
        <v>3647.4193548387098</v>
      </c>
      <c r="L18" s="57"/>
      <c r="M18" s="58">
        <f t="shared" si="4"/>
        <v>7</v>
      </c>
      <c r="N18" s="59">
        <f t="shared" si="4"/>
        <v>66770</v>
      </c>
      <c r="O18" s="53">
        <f t="shared" si="5"/>
        <v>8671.4285714285706</v>
      </c>
      <c r="P18" s="59">
        <f t="shared" si="6"/>
        <v>8140</v>
      </c>
      <c r="Q18" s="54">
        <f t="shared" si="7"/>
        <v>1057.1428571428571</v>
      </c>
      <c r="R18" s="60">
        <f t="shared" si="8"/>
        <v>74910</v>
      </c>
      <c r="S18" s="56">
        <f t="shared" si="9"/>
        <v>10701.428571428571</v>
      </c>
      <c r="T18" s="80">
        <f t="shared" si="10"/>
        <v>38</v>
      </c>
      <c r="U18" s="59">
        <f t="shared" si="10"/>
        <v>167640</v>
      </c>
      <c r="V18" s="59">
        <f t="shared" si="11"/>
        <v>20340</v>
      </c>
      <c r="W18" s="62">
        <f t="shared" si="12"/>
        <v>187980</v>
      </c>
      <c r="X18" s="81"/>
      <c r="Y18" s="63"/>
      <c r="Z18" s="64">
        <v>1</v>
      </c>
      <c r="AA18" s="52">
        <v>660</v>
      </c>
      <c r="AB18" s="53">
        <f t="shared" si="13"/>
        <v>660</v>
      </c>
      <c r="AC18" s="52">
        <v>1500</v>
      </c>
      <c r="AD18" s="54">
        <f t="shared" si="14"/>
        <v>1500</v>
      </c>
      <c r="AE18" s="65">
        <f t="shared" si="15"/>
        <v>2160</v>
      </c>
      <c r="AF18" s="56">
        <f t="shared" si="16"/>
        <v>2160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38</v>
      </c>
      <c r="AY18" s="59">
        <f t="shared" si="24"/>
        <v>168300</v>
      </c>
      <c r="AZ18" s="59">
        <f t="shared" si="25"/>
        <v>21840</v>
      </c>
      <c r="BA18" s="71">
        <f t="shared" si="26"/>
        <v>190140</v>
      </c>
      <c r="BB18" s="72">
        <f t="shared" si="31"/>
        <v>3300</v>
      </c>
      <c r="BC18" s="73">
        <v>38</v>
      </c>
      <c r="BD18" s="74">
        <v>167640</v>
      </c>
      <c r="BE18" s="74">
        <v>20340</v>
      </c>
      <c r="BF18" s="75">
        <v>3300</v>
      </c>
      <c r="BG18" s="75"/>
      <c r="BH18" s="75"/>
      <c r="BI18" s="75"/>
      <c r="BJ18" s="76">
        <f t="shared" si="32"/>
        <v>191280</v>
      </c>
      <c r="BK18" s="47">
        <v>14</v>
      </c>
      <c r="BL18" s="77">
        <f t="shared" si="27"/>
        <v>191280</v>
      </c>
    </row>
    <row r="19" spans="2:64" ht="20" customHeight="1">
      <c r="B19" s="78">
        <f t="shared" si="28"/>
        <v>45245</v>
      </c>
      <c r="C19" s="79"/>
      <c r="D19" s="50"/>
      <c r="E19" s="51">
        <v>35</v>
      </c>
      <c r="F19" s="52">
        <v>129800</v>
      </c>
      <c r="G19" s="53">
        <f t="shared" si="0"/>
        <v>3371.4285714285716</v>
      </c>
      <c r="H19" s="52">
        <v>8010</v>
      </c>
      <c r="I19" s="54">
        <f t="shared" si="1"/>
        <v>208.02857142857144</v>
      </c>
      <c r="J19" s="55">
        <f t="shared" si="2"/>
        <v>137810</v>
      </c>
      <c r="K19" s="56">
        <f t="shared" si="3"/>
        <v>3937.4285714285716</v>
      </c>
      <c r="L19" s="57"/>
      <c r="M19" s="58">
        <f t="shared" si="4"/>
        <v>7</v>
      </c>
      <c r="N19" s="59">
        <f t="shared" si="4"/>
        <v>56200</v>
      </c>
      <c r="O19" s="53">
        <f t="shared" si="5"/>
        <v>7298.5714285714284</v>
      </c>
      <c r="P19" s="59">
        <f t="shared" si="6"/>
        <v>17380</v>
      </c>
      <c r="Q19" s="84">
        <f t="shared" si="7"/>
        <v>2257.1428571428573</v>
      </c>
      <c r="R19" s="60">
        <f t="shared" si="8"/>
        <v>73580</v>
      </c>
      <c r="S19" s="56">
        <f t="shared" si="9"/>
        <v>10511.428571428571</v>
      </c>
      <c r="T19" s="80">
        <f t="shared" si="10"/>
        <v>42</v>
      </c>
      <c r="U19" s="59">
        <f t="shared" si="10"/>
        <v>186000</v>
      </c>
      <c r="V19" s="59">
        <f t="shared" si="11"/>
        <v>25390</v>
      </c>
      <c r="W19" s="62">
        <f t="shared" si="12"/>
        <v>211390</v>
      </c>
      <c r="X19" s="81"/>
      <c r="Y19" s="63"/>
      <c r="Z19" s="64">
        <v>2</v>
      </c>
      <c r="AA19" s="52">
        <v>900</v>
      </c>
      <c r="AB19" s="53">
        <f t="shared" si="13"/>
        <v>450</v>
      </c>
      <c r="AC19" s="52">
        <v>1000</v>
      </c>
      <c r="AD19" s="54">
        <f t="shared" si="14"/>
        <v>500</v>
      </c>
      <c r="AE19" s="65">
        <f t="shared" si="15"/>
        <v>1900</v>
      </c>
      <c r="AF19" s="56">
        <f t="shared" si="16"/>
        <v>950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42</v>
      </c>
      <c r="AY19" s="59">
        <f t="shared" si="24"/>
        <v>186900</v>
      </c>
      <c r="AZ19" s="59">
        <f t="shared" si="25"/>
        <v>26390</v>
      </c>
      <c r="BA19" s="71">
        <f t="shared" si="26"/>
        <v>213290</v>
      </c>
      <c r="BB19" s="72">
        <f t="shared" si="31"/>
        <v>1100</v>
      </c>
      <c r="BC19" s="73">
        <v>42</v>
      </c>
      <c r="BD19" s="74">
        <v>186000</v>
      </c>
      <c r="BE19" s="74">
        <v>25390</v>
      </c>
      <c r="BF19" s="75">
        <v>1100</v>
      </c>
      <c r="BG19" s="75"/>
      <c r="BH19" s="75"/>
      <c r="BI19" s="75"/>
      <c r="BJ19" s="76">
        <f t="shared" si="32"/>
        <v>212490</v>
      </c>
      <c r="BK19" s="47">
        <v>15</v>
      </c>
      <c r="BL19" s="77">
        <f t="shared" si="27"/>
        <v>212490</v>
      </c>
    </row>
    <row r="20" spans="2:64" ht="20" customHeight="1">
      <c r="B20" s="78">
        <f t="shared" si="28"/>
        <v>45246</v>
      </c>
      <c r="C20" s="79"/>
      <c r="D20" s="50"/>
      <c r="E20" s="51">
        <v>31</v>
      </c>
      <c r="F20" s="52">
        <v>95920</v>
      </c>
      <c r="G20" s="53">
        <f t="shared" si="0"/>
        <v>2812.9032258064517</v>
      </c>
      <c r="H20" s="52">
        <v>13240</v>
      </c>
      <c r="I20" s="53">
        <f t="shared" si="1"/>
        <v>388.25806451612902</v>
      </c>
      <c r="J20" s="55">
        <f t="shared" si="2"/>
        <v>109160</v>
      </c>
      <c r="K20" s="56">
        <f t="shared" si="3"/>
        <v>3521.2903225806454</v>
      </c>
      <c r="L20" s="57"/>
      <c r="M20" s="58">
        <f t="shared" si="4"/>
        <v>12</v>
      </c>
      <c r="N20" s="59">
        <f t="shared" si="4"/>
        <v>136025</v>
      </c>
      <c r="O20" s="53">
        <f t="shared" si="5"/>
        <v>10304.916666666666</v>
      </c>
      <c r="P20" s="59">
        <f t="shared" si="6"/>
        <v>51880</v>
      </c>
      <c r="Q20" s="84">
        <f t="shared" si="7"/>
        <v>3930.25</v>
      </c>
      <c r="R20" s="60">
        <f t="shared" si="8"/>
        <v>187905</v>
      </c>
      <c r="S20" s="56">
        <f t="shared" si="9"/>
        <v>15658.75</v>
      </c>
      <c r="T20" s="80">
        <f t="shared" si="10"/>
        <v>43</v>
      </c>
      <c r="U20" s="59">
        <f t="shared" si="10"/>
        <v>231945</v>
      </c>
      <c r="V20" s="59">
        <f t="shared" si="11"/>
        <v>65120</v>
      </c>
      <c r="W20" s="62">
        <f t="shared" si="12"/>
        <v>297065</v>
      </c>
      <c r="X20" s="81"/>
      <c r="Y20" s="63"/>
      <c r="Z20" s="64">
        <v>4</v>
      </c>
      <c r="AA20" s="52">
        <v>3000</v>
      </c>
      <c r="AB20" s="53">
        <f t="shared" si="13"/>
        <v>750</v>
      </c>
      <c r="AC20" s="52">
        <v>2220</v>
      </c>
      <c r="AD20" s="54">
        <f t="shared" si="14"/>
        <v>555</v>
      </c>
      <c r="AE20" s="65">
        <f t="shared" si="15"/>
        <v>5220</v>
      </c>
      <c r="AF20" s="56">
        <f t="shared" si="16"/>
        <v>1305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9"/>
        <v>0</v>
      </c>
      <c r="AN20" s="67" t="str">
        <f t="shared" si="19"/>
        <v/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43</v>
      </c>
      <c r="AY20" s="59">
        <f t="shared" si="24"/>
        <v>234945</v>
      </c>
      <c r="AZ20" s="59">
        <f t="shared" si="25"/>
        <v>67340</v>
      </c>
      <c r="BA20" s="71">
        <f t="shared" si="26"/>
        <v>302285</v>
      </c>
      <c r="BB20" s="72">
        <f t="shared" si="31"/>
        <v>1100</v>
      </c>
      <c r="BC20" s="73">
        <v>43</v>
      </c>
      <c r="BD20" s="74">
        <v>231945</v>
      </c>
      <c r="BE20" s="74">
        <v>65120</v>
      </c>
      <c r="BF20" s="75">
        <v>1100</v>
      </c>
      <c r="BG20" s="75"/>
      <c r="BH20" s="75"/>
      <c r="BI20" s="75"/>
      <c r="BJ20" s="76">
        <f t="shared" si="32"/>
        <v>298165</v>
      </c>
      <c r="BK20" s="47">
        <v>16</v>
      </c>
      <c r="BL20" s="77">
        <f t="shared" si="27"/>
        <v>298165</v>
      </c>
    </row>
    <row r="21" spans="2:64" ht="20" customHeight="1">
      <c r="B21" s="78">
        <f t="shared" si="28"/>
        <v>45247</v>
      </c>
      <c r="C21" s="79"/>
      <c r="D21" s="50"/>
      <c r="E21" s="51">
        <v>20</v>
      </c>
      <c r="F21" s="52">
        <v>73370</v>
      </c>
      <c r="G21" s="53">
        <f t="shared" si="0"/>
        <v>3335</v>
      </c>
      <c r="H21" s="52">
        <v>8230</v>
      </c>
      <c r="I21" s="53">
        <f t="shared" si="1"/>
        <v>374.05</v>
      </c>
      <c r="J21" s="55">
        <f t="shared" si="2"/>
        <v>81600</v>
      </c>
      <c r="K21" s="56">
        <f t="shared" si="3"/>
        <v>4080</v>
      </c>
      <c r="L21" s="57"/>
      <c r="M21" s="58">
        <f t="shared" si="4"/>
        <v>20</v>
      </c>
      <c r="N21" s="59">
        <f t="shared" si="4"/>
        <v>189970</v>
      </c>
      <c r="O21" s="53">
        <f t="shared" si="5"/>
        <v>8635</v>
      </c>
      <c r="P21" s="59">
        <f t="shared" si="6"/>
        <v>61260</v>
      </c>
      <c r="Q21" s="84">
        <f t="shared" si="7"/>
        <v>2784.5</v>
      </c>
      <c r="R21" s="60">
        <f t="shared" si="8"/>
        <v>251230</v>
      </c>
      <c r="S21" s="56">
        <f t="shared" si="9"/>
        <v>12561.5</v>
      </c>
      <c r="T21" s="80">
        <f t="shared" si="10"/>
        <v>40</v>
      </c>
      <c r="U21" s="59">
        <f t="shared" si="10"/>
        <v>263340</v>
      </c>
      <c r="V21" s="59">
        <f t="shared" si="11"/>
        <v>69490</v>
      </c>
      <c r="W21" s="62">
        <f t="shared" si="12"/>
        <v>332830</v>
      </c>
      <c r="X21" s="81"/>
      <c r="Y21" s="63"/>
      <c r="Z21" s="64">
        <v>6</v>
      </c>
      <c r="AA21" s="52">
        <v>2910</v>
      </c>
      <c r="AB21" s="53">
        <f t="shared" si="13"/>
        <v>485</v>
      </c>
      <c r="AC21" s="52">
        <v>2500</v>
      </c>
      <c r="AD21" s="54">
        <f t="shared" si="14"/>
        <v>416.66666666666669</v>
      </c>
      <c r="AE21" s="65">
        <f t="shared" si="15"/>
        <v>5410</v>
      </c>
      <c r="AF21" s="56">
        <f t="shared" si="16"/>
        <v>901.66666666666663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40</v>
      </c>
      <c r="AY21" s="59">
        <f t="shared" si="24"/>
        <v>266250</v>
      </c>
      <c r="AZ21" s="59">
        <f t="shared" si="25"/>
        <v>71990</v>
      </c>
      <c r="BA21" s="71">
        <f>W21+AE21+AM21+AV21</f>
        <v>338240</v>
      </c>
      <c r="BB21" s="72">
        <f t="shared" si="31"/>
        <v>0</v>
      </c>
      <c r="BC21" s="73">
        <v>40</v>
      </c>
      <c r="BD21" s="74">
        <v>263340</v>
      </c>
      <c r="BE21" s="74">
        <v>69490</v>
      </c>
      <c r="BF21" s="75"/>
      <c r="BG21" s="75"/>
      <c r="BH21" s="75"/>
      <c r="BI21" s="75"/>
      <c r="BJ21" s="76">
        <f t="shared" si="32"/>
        <v>332830</v>
      </c>
      <c r="BK21" s="47">
        <v>17</v>
      </c>
      <c r="BL21" s="77">
        <f t="shared" si="27"/>
        <v>332830</v>
      </c>
    </row>
    <row r="22" spans="2:64" ht="20" customHeight="1">
      <c r="B22" s="78">
        <f t="shared" si="28"/>
        <v>45248</v>
      </c>
      <c r="C22" s="79"/>
      <c r="D22" s="50"/>
      <c r="E22" s="51">
        <v>23</v>
      </c>
      <c r="F22" s="52">
        <v>84370</v>
      </c>
      <c r="G22" s="53">
        <f t="shared" si="0"/>
        <v>3334.782608695652</v>
      </c>
      <c r="H22" s="52">
        <v>6930</v>
      </c>
      <c r="I22" s="53">
        <f t="shared" si="1"/>
        <v>273.91304347826087</v>
      </c>
      <c r="J22" s="55">
        <f t="shared" si="2"/>
        <v>91300</v>
      </c>
      <c r="K22" s="56">
        <f t="shared" si="3"/>
        <v>3969.5652173913045</v>
      </c>
      <c r="L22" s="57"/>
      <c r="M22" s="58">
        <f t="shared" si="4"/>
        <v>20</v>
      </c>
      <c r="N22" s="59">
        <f t="shared" si="4"/>
        <v>208540</v>
      </c>
      <c r="O22" s="53">
        <f t="shared" si="5"/>
        <v>9479.0499999999993</v>
      </c>
      <c r="P22" s="59">
        <f t="shared" si="6"/>
        <v>47020</v>
      </c>
      <c r="Q22" s="84">
        <f t="shared" si="7"/>
        <v>2137.25</v>
      </c>
      <c r="R22" s="60">
        <f t="shared" si="8"/>
        <v>255560</v>
      </c>
      <c r="S22" s="56">
        <f t="shared" si="9"/>
        <v>12778</v>
      </c>
      <c r="T22" s="80">
        <f t="shared" si="10"/>
        <v>43</v>
      </c>
      <c r="U22" s="59">
        <f t="shared" si="10"/>
        <v>292910</v>
      </c>
      <c r="V22" s="59">
        <f t="shared" si="11"/>
        <v>53950</v>
      </c>
      <c r="W22" s="62">
        <f t="shared" si="12"/>
        <v>346860</v>
      </c>
      <c r="X22" s="81"/>
      <c r="Y22" s="63"/>
      <c r="Z22" s="64">
        <v>7</v>
      </c>
      <c r="AA22" s="52">
        <v>4100</v>
      </c>
      <c r="AB22" s="53">
        <f t="shared" si="13"/>
        <v>585.71428571428567</v>
      </c>
      <c r="AC22" s="52">
        <v>5350</v>
      </c>
      <c r="AD22" s="54">
        <f t="shared" si="14"/>
        <v>764.28571428571433</v>
      </c>
      <c r="AE22" s="65">
        <f t="shared" si="15"/>
        <v>9450</v>
      </c>
      <c r="AF22" s="56">
        <f t="shared" si="16"/>
        <v>1350</v>
      </c>
      <c r="AG22" s="66"/>
      <c r="AH22" s="64">
        <v>39</v>
      </c>
      <c r="AI22" s="52">
        <v>152685</v>
      </c>
      <c r="AJ22" s="53">
        <f t="shared" si="17"/>
        <v>3915</v>
      </c>
      <c r="AK22" s="52">
        <v>50685</v>
      </c>
      <c r="AL22" s="54">
        <f t="shared" si="18"/>
        <v>1299.6153846153845</v>
      </c>
      <c r="AM22" s="65">
        <f t="shared" si="29"/>
        <v>203370</v>
      </c>
      <c r="AN22" s="67">
        <f t="shared" si="19"/>
        <v>5214.6153846153848</v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43</v>
      </c>
      <c r="AY22" s="59">
        <f t="shared" si="24"/>
        <v>449695</v>
      </c>
      <c r="AZ22" s="59">
        <f t="shared" si="25"/>
        <v>109985</v>
      </c>
      <c r="BA22" s="71">
        <f t="shared" si="26"/>
        <v>559680</v>
      </c>
      <c r="BB22" s="72">
        <f t="shared" si="31"/>
        <v>5500</v>
      </c>
      <c r="BC22" s="73">
        <v>43</v>
      </c>
      <c r="BD22" s="74">
        <v>292910</v>
      </c>
      <c r="BE22" s="74">
        <v>53950</v>
      </c>
      <c r="BF22" s="75">
        <v>5500</v>
      </c>
      <c r="BG22" s="75"/>
      <c r="BH22" s="75">
        <v>3300</v>
      </c>
      <c r="BI22" s="75"/>
      <c r="BJ22" s="76">
        <f t="shared" si="32"/>
        <v>352360</v>
      </c>
      <c r="BK22" s="47">
        <v>18</v>
      </c>
      <c r="BL22" s="77">
        <f t="shared" si="27"/>
        <v>352360</v>
      </c>
    </row>
    <row r="23" spans="2:64" ht="20" customHeight="1">
      <c r="B23" s="78">
        <f t="shared" si="28"/>
        <v>45249</v>
      </c>
      <c r="C23" s="79"/>
      <c r="D23" s="50"/>
      <c r="E23" s="51">
        <v>18</v>
      </c>
      <c r="F23" s="52">
        <v>67320</v>
      </c>
      <c r="G23" s="53">
        <f t="shared" si="0"/>
        <v>3400</v>
      </c>
      <c r="H23" s="52">
        <v>14120</v>
      </c>
      <c r="I23" s="53">
        <f t="shared" si="1"/>
        <v>713.11111111111109</v>
      </c>
      <c r="J23" s="55">
        <f t="shared" si="2"/>
        <v>81440</v>
      </c>
      <c r="K23" s="56">
        <f t="shared" si="3"/>
        <v>4524.4444444444443</v>
      </c>
      <c r="L23" s="57"/>
      <c r="M23" s="58">
        <f t="shared" si="4"/>
        <v>23</v>
      </c>
      <c r="N23" s="59">
        <f t="shared" si="4"/>
        <v>210210</v>
      </c>
      <c r="O23" s="53">
        <f t="shared" si="5"/>
        <v>8308.6956521739139</v>
      </c>
      <c r="P23" s="59">
        <f t="shared" si="6"/>
        <v>44340</v>
      </c>
      <c r="Q23" s="84">
        <f t="shared" si="7"/>
        <v>1752.5652173913043</v>
      </c>
      <c r="R23" s="60">
        <f t="shared" si="8"/>
        <v>254550</v>
      </c>
      <c r="S23" s="56">
        <f t="shared" si="9"/>
        <v>11067.391304347826</v>
      </c>
      <c r="T23" s="80">
        <f t="shared" si="10"/>
        <v>41</v>
      </c>
      <c r="U23" s="59">
        <f t="shared" si="10"/>
        <v>277530</v>
      </c>
      <c r="V23" s="59">
        <f t="shared" si="11"/>
        <v>58460</v>
      </c>
      <c r="W23" s="62">
        <f t="shared" si="12"/>
        <v>335990</v>
      </c>
      <c r="X23" s="81"/>
      <c r="Y23" s="63"/>
      <c r="Z23" s="64">
        <v>15</v>
      </c>
      <c r="AA23" s="52">
        <v>7370</v>
      </c>
      <c r="AB23" s="53">
        <f t="shared" si="13"/>
        <v>491.33333333333331</v>
      </c>
      <c r="AC23" s="52">
        <v>2000</v>
      </c>
      <c r="AD23" s="54">
        <f t="shared" si="14"/>
        <v>133.33333333333334</v>
      </c>
      <c r="AE23" s="65">
        <f t="shared" si="15"/>
        <v>9370</v>
      </c>
      <c r="AF23" s="56">
        <f t="shared" si="16"/>
        <v>624.66666666666663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41</v>
      </c>
      <c r="AY23" s="59">
        <f t="shared" si="24"/>
        <v>284900</v>
      </c>
      <c r="AZ23" s="59">
        <f t="shared" si="25"/>
        <v>60460</v>
      </c>
      <c r="BA23" s="71">
        <f t="shared" si="26"/>
        <v>345360</v>
      </c>
      <c r="BB23" s="72">
        <f t="shared" si="31"/>
        <v>7700</v>
      </c>
      <c r="BC23" s="73">
        <v>41</v>
      </c>
      <c r="BD23" s="74">
        <v>277530</v>
      </c>
      <c r="BE23" s="74">
        <v>58460</v>
      </c>
      <c r="BF23" s="75">
        <v>7700</v>
      </c>
      <c r="BG23" s="75"/>
      <c r="BH23" s="75"/>
      <c r="BI23" s="75"/>
      <c r="BJ23" s="76">
        <f>SUM(BD23:BG23)</f>
        <v>343690</v>
      </c>
      <c r="BK23" s="47">
        <v>19</v>
      </c>
      <c r="BL23" s="77">
        <f t="shared" si="27"/>
        <v>343690</v>
      </c>
    </row>
    <row r="24" spans="2:64" ht="20" customHeight="1">
      <c r="B24" s="78">
        <f t="shared" si="28"/>
        <v>45250</v>
      </c>
      <c r="C24" s="79"/>
      <c r="D24" s="50"/>
      <c r="E24" s="51">
        <v>31</v>
      </c>
      <c r="F24" s="52">
        <v>113080</v>
      </c>
      <c r="G24" s="53">
        <f t="shared" si="0"/>
        <v>3316.1290322580644</v>
      </c>
      <c r="H24" s="52">
        <v>11760</v>
      </c>
      <c r="I24" s="53">
        <f t="shared" si="1"/>
        <v>344.83870967741933</v>
      </c>
      <c r="J24" s="55">
        <f t="shared" si="2"/>
        <v>124840</v>
      </c>
      <c r="K24" s="56">
        <f t="shared" si="3"/>
        <v>4027.0967741935483</v>
      </c>
      <c r="L24" s="57"/>
      <c r="M24" s="58">
        <f t="shared" si="4"/>
        <v>20</v>
      </c>
      <c r="N24" s="59">
        <f t="shared" si="4"/>
        <v>195360</v>
      </c>
      <c r="O24" s="53">
        <f t="shared" si="5"/>
        <v>8880</v>
      </c>
      <c r="P24" s="59">
        <f t="shared" si="6"/>
        <v>71540</v>
      </c>
      <c r="Q24" s="84">
        <f t="shared" si="7"/>
        <v>3251.8</v>
      </c>
      <c r="R24" s="60">
        <f t="shared" si="8"/>
        <v>266900</v>
      </c>
      <c r="S24" s="56">
        <f t="shared" si="9"/>
        <v>13345</v>
      </c>
      <c r="T24" s="80">
        <f t="shared" si="10"/>
        <v>51</v>
      </c>
      <c r="U24" s="59">
        <f t="shared" si="10"/>
        <v>308440</v>
      </c>
      <c r="V24" s="59">
        <f t="shared" si="11"/>
        <v>83300</v>
      </c>
      <c r="W24" s="62">
        <f t="shared" si="12"/>
        <v>391740</v>
      </c>
      <c r="X24" s="81"/>
      <c r="Y24" s="63"/>
      <c r="Z24" s="64">
        <v>8</v>
      </c>
      <c r="AA24" s="52">
        <v>3710</v>
      </c>
      <c r="AB24" s="53">
        <f t="shared" si="13"/>
        <v>463.75</v>
      </c>
      <c r="AC24" s="52">
        <v>3400</v>
      </c>
      <c r="AD24" s="54">
        <f t="shared" si="14"/>
        <v>425</v>
      </c>
      <c r="AE24" s="65">
        <f t="shared" si="15"/>
        <v>7110</v>
      </c>
      <c r="AF24" s="56">
        <f t="shared" si="16"/>
        <v>888.75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51</v>
      </c>
      <c r="AY24" s="59">
        <f t="shared" si="24"/>
        <v>312150</v>
      </c>
      <c r="AZ24" s="59">
        <f t="shared" si="25"/>
        <v>86700</v>
      </c>
      <c r="BA24" s="71">
        <f t="shared" si="26"/>
        <v>398850</v>
      </c>
      <c r="BB24" s="72">
        <f t="shared" si="31"/>
        <v>6050</v>
      </c>
      <c r="BC24" s="73">
        <v>51</v>
      </c>
      <c r="BD24" s="74">
        <v>308440</v>
      </c>
      <c r="BE24" s="74">
        <v>83300</v>
      </c>
      <c r="BF24" s="75">
        <v>6050</v>
      </c>
      <c r="BG24" s="75"/>
      <c r="BH24" s="75"/>
      <c r="BI24" s="75"/>
      <c r="BJ24" s="76">
        <f t="shared" si="32"/>
        <v>397790</v>
      </c>
      <c r="BK24" s="47">
        <v>20</v>
      </c>
      <c r="BL24" s="77">
        <f t="shared" si="27"/>
        <v>397790</v>
      </c>
    </row>
    <row r="25" spans="2:64" ht="20" customHeight="1">
      <c r="B25" s="78">
        <f t="shared" si="28"/>
        <v>45251</v>
      </c>
      <c r="C25" s="79"/>
      <c r="D25" s="50"/>
      <c r="E25" s="51">
        <v>35</v>
      </c>
      <c r="F25" s="52">
        <v>126390</v>
      </c>
      <c r="G25" s="53">
        <f t="shared" si="0"/>
        <v>3282.8571428571427</v>
      </c>
      <c r="H25" s="52">
        <v>21250</v>
      </c>
      <c r="I25" s="53">
        <f t="shared" si="1"/>
        <v>551.94285714285718</v>
      </c>
      <c r="J25" s="55">
        <f t="shared" si="2"/>
        <v>147640</v>
      </c>
      <c r="K25" s="56">
        <f t="shared" si="3"/>
        <v>4218.2857142857147</v>
      </c>
      <c r="L25" s="57"/>
      <c r="M25" s="58">
        <f t="shared" si="4"/>
        <v>4</v>
      </c>
      <c r="N25" s="59">
        <f t="shared" si="4"/>
        <v>35200</v>
      </c>
      <c r="O25" s="53">
        <f t="shared" si="5"/>
        <v>8000</v>
      </c>
      <c r="P25" s="59">
        <f t="shared" si="6"/>
        <v>33440</v>
      </c>
      <c r="Q25" s="84">
        <f t="shared" si="7"/>
        <v>7600</v>
      </c>
      <c r="R25" s="60">
        <f t="shared" si="8"/>
        <v>68640</v>
      </c>
      <c r="S25" s="56">
        <f t="shared" si="9"/>
        <v>17160</v>
      </c>
      <c r="T25" s="80">
        <f t="shared" si="10"/>
        <v>39</v>
      </c>
      <c r="U25" s="59">
        <f t="shared" si="10"/>
        <v>161590</v>
      </c>
      <c r="V25" s="59">
        <f t="shared" si="11"/>
        <v>54690</v>
      </c>
      <c r="W25" s="62">
        <f t="shared" si="12"/>
        <v>216280</v>
      </c>
      <c r="X25" s="81"/>
      <c r="Y25" s="63"/>
      <c r="Z25" s="64">
        <v>8</v>
      </c>
      <c r="AA25" s="52">
        <v>3960</v>
      </c>
      <c r="AB25" s="53">
        <f t="shared" si="13"/>
        <v>495</v>
      </c>
      <c r="AC25" s="52">
        <v>1200</v>
      </c>
      <c r="AD25" s="54">
        <f t="shared" si="14"/>
        <v>150</v>
      </c>
      <c r="AE25" s="65">
        <f t="shared" si="15"/>
        <v>5160</v>
      </c>
      <c r="AF25" s="56">
        <f t="shared" si="16"/>
        <v>645</v>
      </c>
      <c r="AG25" s="66"/>
      <c r="AH25" s="64">
        <v>11</v>
      </c>
      <c r="AI25" s="52">
        <v>43065</v>
      </c>
      <c r="AJ25" s="53">
        <f t="shared" si="17"/>
        <v>3915</v>
      </c>
      <c r="AK25" s="52">
        <v>14355</v>
      </c>
      <c r="AL25" s="54">
        <f t="shared" si="18"/>
        <v>1305</v>
      </c>
      <c r="AM25" s="65">
        <f t="shared" si="29"/>
        <v>57420</v>
      </c>
      <c r="AN25" s="67">
        <f t="shared" si="19"/>
        <v>5220</v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39</v>
      </c>
      <c r="AY25" s="59">
        <f t="shared" si="24"/>
        <v>208615</v>
      </c>
      <c r="AZ25" s="59">
        <f t="shared" si="25"/>
        <v>70245</v>
      </c>
      <c r="BA25" s="71">
        <f t="shared" si="26"/>
        <v>278860</v>
      </c>
      <c r="BB25" s="72">
        <f t="shared" si="31"/>
        <v>3850</v>
      </c>
      <c r="BC25" s="73">
        <v>39</v>
      </c>
      <c r="BD25" s="74">
        <v>161590</v>
      </c>
      <c r="BE25" s="74">
        <v>54690</v>
      </c>
      <c r="BF25" s="75">
        <v>3850</v>
      </c>
      <c r="BG25" s="75"/>
      <c r="BH25" s="75"/>
      <c r="BI25" s="75"/>
      <c r="BJ25" s="76">
        <f t="shared" si="32"/>
        <v>220130</v>
      </c>
      <c r="BK25" s="47">
        <v>21</v>
      </c>
      <c r="BL25" s="77">
        <f t="shared" si="27"/>
        <v>220130</v>
      </c>
    </row>
    <row r="26" spans="2:64" ht="20" customHeight="1">
      <c r="B26" s="78">
        <f t="shared" si="28"/>
        <v>45252</v>
      </c>
      <c r="C26" s="79"/>
      <c r="D26" s="50"/>
      <c r="E26" s="51">
        <v>29</v>
      </c>
      <c r="F26" s="52">
        <v>113740</v>
      </c>
      <c r="G26" s="53">
        <f t="shared" si="0"/>
        <v>3565.5172413793102</v>
      </c>
      <c r="H26" s="52">
        <v>19730</v>
      </c>
      <c r="I26" s="53">
        <f t="shared" si="1"/>
        <v>618.48275862068965</v>
      </c>
      <c r="J26" s="55">
        <f t="shared" si="2"/>
        <v>133470</v>
      </c>
      <c r="K26" s="56">
        <f t="shared" si="3"/>
        <v>4602.4137931034484</v>
      </c>
      <c r="L26" s="57"/>
      <c r="M26" s="58">
        <f t="shared" si="4"/>
        <v>30</v>
      </c>
      <c r="N26" s="59">
        <f t="shared" si="4"/>
        <v>244860</v>
      </c>
      <c r="O26" s="53">
        <f t="shared" si="5"/>
        <v>7420</v>
      </c>
      <c r="P26" s="59">
        <f t="shared" si="6"/>
        <v>89270</v>
      </c>
      <c r="Q26" s="84">
        <f t="shared" si="7"/>
        <v>2705.1333333333332</v>
      </c>
      <c r="R26" s="60">
        <f t="shared" si="8"/>
        <v>334130</v>
      </c>
      <c r="S26" s="56">
        <f t="shared" si="9"/>
        <v>11137.666666666666</v>
      </c>
      <c r="T26" s="80">
        <f t="shared" si="10"/>
        <v>59</v>
      </c>
      <c r="U26" s="59">
        <f t="shared" si="10"/>
        <v>358600</v>
      </c>
      <c r="V26" s="59">
        <f t="shared" si="11"/>
        <v>109000</v>
      </c>
      <c r="W26" s="62">
        <f t="shared" si="12"/>
        <v>467600</v>
      </c>
      <c r="X26" s="81"/>
      <c r="Y26" s="63"/>
      <c r="Z26" s="64">
        <v>8</v>
      </c>
      <c r="AA26" s="52">
        <v>3710</v>
      </c>
      <c r="AB26" s="53">
        <f t="shared" si="13"/>
        <v>463.75</v>
      </c>
      <c r="AC26" s="52">
        <v>3400</v>
      </c>
      <c r="AD26" s="54">
        <f t="shared" si="14"/>
        <v>425</v>
      </c>
      <c r="AE26" s="65">
        <f t="shared" si="15"/>
        <v>7110</v>
      </c>
      <c r="AF26" s="56">
        <f t="shared" si="16"/>
        <v>888.75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59</v>
      </c>
      <c r="AY26" s="59">
        <f t="shared" si="24"/>
        <v>362310</v>
      </c>
      <c r="AZ26" s="59">
        <f t="shared" si="25"/>
        <v>112400</v>
      </c>
      <c r="BA26" s="71">
        <f>W26+AE26+AM26+AV26</f>
        <v>474710</v>
      </c>
      <c r="BB26" s="72">
        <f>BF26+BG26</f>
        <v>3300</v>
      </c>
      <c r="BC26" s="73">
        <v>59</v>
      </c>
      <c r="BD26" s="74">
        <v>358600</v>
      </c>
      <c r="BE26" s="74">
        <v>109000</v>
      </c>
      <c r="BF26" s="75"/>
      <c r="BG26" s="75">
        <v>3300</v>
      </c>
      <c r="BH26" s="75"/>
      <c r="BI26" s="75"/>
      <c r="BJ26" s="76">
        <f t="shared" si="32"/>
        <v>470900</v>
      </c>
      <c r="BK26" s="47">
        <v>22</v>
      </c>
      <c r="BL26" s="77">
        <f t="shared" si="27"/>
        <v>470900</v>
      </c>
    </row>
    <row r="27" spans="2:64" ht="20" customHeight="1">
      <c r="B27" s="78">
        <f t="shared" si="28"/>
        <v>45253</v>
      </c>
      <c r="C27" s="79"/>
      <c r="D27" s="50"/>
      <c r="E27" s="51">
        <v>38</v>
      </c>
      <c r="F27" s="52">
        <v>153780</v>
      </c>
      <c r="G27" s="53">
        <f t="shared" si="0"/>
        <v>3678.9473684210525</v>
      </c>
      <c r="H27" s="52">
        <v>19330</v>
      </c>
      <c r="I27" s="53">
        <f t="shared" si="1"/>
        <v>462.42105263157896</v>
      </c>
      <c r="J27" s="55">
        <f t="shared" si="2"/>
        <v>173110</v>
      </c>
      <c r="K27" s="56">
        <f t="shared" si="3"/>
        <v>4555.5263157894733</v>
      </c>
      <c r="L27" s="57"/>
      <c r="M27" s="58">
        <f t="shared" si="4"/>
        <v>29</v>
      </c>
      <c r="N27" s="59">
        <f t="shared" si="4"/>
        <v>293020</v>
      </c>
      <c r="O27" s="53">
        <f t="shared" si="5"/>
        <v>9185.5517241379312</v>
      </c>
      <c r="P27" s="59">
        <f t="shared" si="6"/>
        <v>57290</v>
      </c>
      <c r="Q27" s="54">
        <f t="shared" si="7"/>
        <v>1795.8965517241379</v>
      </c>
      <c r="R27" s="60">
        <f t="shared" si="8"/>
        <v>350310</v>
      </c>
      <c r="S27" s="56">
        <f t="shared" si="9"/>
        <v>12079.655172413793</v>
      </c>
      <c r="T27" s="80">
        <f t="shared" si="10"/>
        <v>67</v>
      </c>
      <c r="U27" s="59">
        <f t="shared" si="10"/>
        <v>446800</v>
      </c>
      <c r="V27" s="59">
        <f t="shared" si="11"/>
        <v>76620</v>
      </c>
      <c r="W27" s="62">
        <f t="shared" si="12"/>
        <v>523420</v>
      </c>
      <c r="X27" s="81"/>
      <c r="Y27" s="63"/>
      <c r="Z27" s="64">
        <v>12</v>
      </c>
      <c r="AA27" s="52">
        <v>5580</v>
      </c>
      <c r="AB27" s="53">
        <f t="shared" si="13"/>
        <v>465</v>
      </c>
      <c r="AC27" s="52">
        <v>5950</v>
      </c>
      <c r="AD27" s="54">
        <f t="shared" si="14"/>
        <v>495.83333333333331</v>
      </c>
      <c r="AE27" s="65">
        <f t="shared" si="15"/>
        <v>11530</v>
      </c>
      <c r="AF27" s="56">
        <f t="shared" si="16"/>
        <v>960.83333333333337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67</v>
      </c>
      <c r="AY27" s="59">
        <f t="shared" si="24"/>
        <v>452380</v>
      </c>
      <c r="AZ27" s="59">
        <f t="shared" si="25"/>
        <v>82570</v>
      </c>
      <c r="BA27" s="71">
        <f>W27+AE27+AM27+AV27</f>
        <v>534950</v>
      </c>
      <c r="BB27" s="72">
        <f t="shared" si="31"/>
        <v>4400</v>
      </c>
      <c r="BC27" s="73">
        <v>67</v>
      </c>
      <c r="BD27" s="74">
        <v>446800</v>
      </c>
      <c r="BE27" s="74">
        <v>76620</v>
      </c>
      <c r="BF27" s="75">
        <v>2200</v>
      </c>
      <c r="BG27" s="75">
        <v>2200</v>
      </c>
      <c r="BH27" s="75">
        <v>3300</v>
      </c>
      <c r="BI27" s="75"/>
      <c r="BJ27" s="76">
        <f t="shared" si="32"/>
        <v>527820</v>
      </c>
      <c r="BK27" s="47">
        <v>23</v>
      </c>
      <c r="BL27" s="77">
        <f t="shared" si="27"/>
        <v>527820</v>
      </c>
    </row>
    <row r="28" spans="2:64" ht="20" customHeight="1">
      <c r="B28" s="78">
        <f>B27+1</f>
        <v>45254</v>
      </c>
      <c r="C28" s="79"/>
      <c r="D28" s="50"/>
      <c r="E28" s="51">
        <v>31</v>
      </c>
      <c r="F28" s="52">
        <v>109340</v>
      </c>
      <c r="G28" s="53">
        <f t="shared" si="0"/>
        <v>3206.4516129032259</v>
      </c>
      <c r="H28" s="52">
        <v>4290</v>
      </c>
      <c r="I28" s="53">
        <f t="shared" si="1"/>
        <v>125.80645161290323</v>
      </c>
      <c r="J28" s="55">
        <f t="shared" si="2"/>
        <v>113630</v>
      </c>
      <c r="K28" s="56">
        <f t="shared" si="3"/>
        <v>3665.483870967742</v>
      </c>
      <c r="L28" s="57"/>
      <c r="M28" s="58">
        <f t="shared" si="4"/>
        <v>30</v>
      </c>
      <c r="N28" s="59">
        <f t="shared" si="4"/>
        <v>258610</v>
      </c>
      <c r="O28" s="53">
        <f t="shared" si="5"/>
        <v>7836.666666666667</v>
      </c>
      <c r="P28" s="59">
        <f t="shared" si="6"/>
        <v>49460</v>
      </c>
      <c r="Q28" s="54">
        <f>ROUNDDOWN(P28/1.1,0)/M28</f>
        <v>1498.7666666666667</v>
      </c>
      <c r="R28" s="60">
        <f t="shared" si="8"/>
        <v>308070</v>
      </c>
      <c r="S28" s="56">
        <f t="shared" si="9"/>
        <v>10269</v>
      </c>
      <c r="T28" s="80">
        <f t="shared" si="10"/>
        <v>61</v>
      </c>
      <c r="U28" s="59">
        <f t="shared" si="10"/>
        <v>367950</v>
      </c>
      <c r="V28" s="59">
        <f t="shared" si="11"/>
        <v>53750</v>
      </c>
      <c r="W28" s="62">
        <f t="shared" si="12"/>
        <v>421700</v>
      </c>
      <c r="X28" s="81"/>
      <c r="Y28" s="63"/>
      <c r="Z28" s="64">
        <v>14</v>
      </c>
      <c r="AA28" s="52">
        <v>7360</v>
      </c>
      <c r="AB28" s="53">
        <f t="shared" si="13"/>
        <v>525.71428571428567</v>
      </c>
      <c r="AC28" s="52">
        <v>8170</v>
      </c>
      <c r="AD28" s="54">
        <f t="shared" si="14"/>
        <v>583.57142857142856</v>
      </c>
      <c r="AE28" s="65">
        <f t="shared" si="15"/>
        <v>15530</v>
      </c>
      <c r="AF28" s="56">
        <f t="shared" si="16"/>
        <v>1109.2857142857142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5">
        <f t="shared" si="30"/>
        <v>0</v>
      </c>
      <c r="AW28" s="67" t="str">
        <f t="shared" si="22"/>
        <v/>
      </c>
      <c r="AX28" s="82">
        <f t="shared" si="23"/>
        <v>61</v>
      </c>
      <c r="AY28" s="59">
        <f t="shared" si="24"/>
        <v>375310</v>
      </c>
      <c r="AZ28" s="59">
        <f t="shared" si="25"/>
        <v>61920</v>
      </c>
      <c r="BA28" s="71">
        <f t="shared" si="26"/>
        <v>437230</v>
      </c>
      <c r="BB28" s="72">
        <f t="shared" si="31"/>
        <v>3300</v>
      </c>
      <c r="BC28" s="73">
        <v>61</v>
      </c>
      <c r="BD28" s="74">
        <v>367950</v>
      </c>
      <c r="BE28" s="74">
        <v>53750</v>
      </c>
      <c r="BF28" s="75">
        <v>2200</v>
      </c>
      <c r="BG28" s="75">
        <v>1100</v>
      </c>
      <c r="BH28" s="75"/>
      <c r="BI28" s="75"/>
      <c r="BJ28" s="76">
        <f t="shared" si="32"/>
        <v>425000</v>
      </c>
      <c r="BK28" s="47">
        <v>24</v>
      </c>
      <c r="BL28" s="77">
        <f t="shared" si="27"/>
        <v>425000</v>
      </c>
    </row>
    <row r="29" spans="2:64" ht="20" customHeight="1">
      <c r="B29" s="78">
        <f t="shared" si="28"/>
        <v>45255</v>
      </c>
      <c r="C29" s="79"/>
      <c r="D29" s="50"/>
      <c r="E29" s="51">
        <v>16</v>
      </c>
      <c r="F29" s="52">
        <v>53750</v>
      </c>
      <c r="G29" s="53">
        <f t="shared" si="0"/>
        <v>3053.9375</v>
      </c>
      <c r="H29" s="52">
        <v>12480</v>
      </c>
      <c r="I29" s="53">
        <f t="shared" si="1"/>
        <v>709.0625</v>
      </c>
      <c r="J29" s="55">
        <f t="shared" si="2"/>
        <v>66230</v>
      </c>
      <c r="K29" s="56">
        <f t="shared" si="3"/>
        <v>4139.375</v>
      </c>
      <c r="L29" s="57"/>
      <c r="M29" s="58">
        <f t="shared" si="4"/>
        <v>27</v>
      </c>
      <c r="N29" s="59">
        <f t="shared" si="4"/>
        <v>237420</v>
      </c>
      <c r="O29" s="53">
        <f t="shared" si="5"/>
        <v>7993.9259259259261</v>
      </c>
      <c r="P29" s="59">
        <f t="shared" si="6"/>
        <v>86400</v>
      </c>
      <c r="Q29" s="54">
        <f t="shared" si="7"/>
        <v>2909.0740740740739</v>
      </c>
      <c r="R29" s="60">
        <f t="shared" si="8"/>
        <v>323820</v>
      </c>
      <c r="S29" s="56">
        <f t="shared" si="9"/>
        <v>11993.333333333334</v>
      </c>
      <c r="T29" s="80">
        <f t="shared" si="10"/>
        <v>43</v>
      </c>
      <c r="U29" s="59">
        <f t="shared" si="10"/>
        <v>291170</v>
      </c>
      <c r="V29" s="59">
        <f t="shared" si="11"/>
        <v>98880</v>
      </c>
      <c r="W29" s="62">
        <f t="shared" si="12"/>
        <v>390050</v>
      </c>
      <c r="X29" s="81"/>
      <c r="Y29" s="63"/>
      <c r="Z29" s="64">
        <v>8</v>
      </c>
      <c r="AA29" s="52">
        <v>4450</v>
      </c>
      <c r="AB29" s="53">
        <f t="shared" si="13"/>
        <v>556.25</v>
      </c>
      <c r="AC29" s="52">
        <v>2380</v>
      </c>
      <c r="AD29" s="54">
        <f t="shared" si="14"/>
        <v>297.5</v>
      </c>
      <c r="AE29" s="65">
        <f t="shared" si="15"/>
        <v>6830</v>
      </c>
      <c r="AF29" s="56">
        <f t="shared" si="16"/>
        <v>853.75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43</v>
      </c>
      <c r="AY29" s="59">
        <f t="shared" si="24"/>
        <v>295620</v>
      </c>
      <c r="AZ29" s="59">
        <f t="shared" si="25"/>
        <v>101260</v>
      </c>
      <c r="BA29" s="71">
        <f t="shared" si="26"/>
        <v>396880</v>
      </c>
      <c r="BB29" s="72">
        <f t="shared" si="31"/>
        <v>0</v>
      </c>
      <c r="BC29" s="73">
        <v>43</v>
      </c>
      <c r="BD29" s="74">
        <v>291170</v>
      </c>
      <c r="BE29" s="74">
        <v>98880</v>
      </c>
      <c r="BF29" s="75"/>
      <c r="BG29" s="75"/>
      <c r="BH29" s="75">
        <v>16500</v>
      </c>
      <c r="BI29" s="75"/>
      <c r="BJ29" s="76">
        <f t="shared" si="32"/>
        <v>390050</v>
      </c>
      <c r="BK29" s="47">
        <v>25</v>
      </c>
      <c r="BL29" s="77">
        <f t="shared" si="27"/>
        <v>390050</v>
      </c>
    </row>
    <row r="30" spans="2:64" ht="20" customHeight="1">
      <c r="B30" s="78">
        <f t="shared" si="28"/>
        <v>45256</v>
      </c>
      <c r="C30" s="79"/>
      <c r="D30" s="50"/>
      <c r="E30" s="51">
        <v>24</v>
      </c>
      <c r="F30" s="52">
        <v>100430</v>
      </c>
      <c r="G30" s="53">
        <f t="shared" si="0"/>
        <v>3804.1666666666665</v>
      </c>
      <c r="H30" s="52">
        <v>31440</v>
      </c>
      <c r="I30" s="53">
        <f t="shared" si="1"/>
        <v>1190.875</v>
      </c>
      <c r="J30" s="55">
        <f t="shared" si="2"/>
        <v>131870</v>
      </c>
      <c r="K30" s="56">
        <f t="shared" si="3"/>
        <v>5494.583333333333</v>
      </c>
      <c r="L30" s="57"/>
      <c r="M30" s="58">
        <f t="shared" si="4"/>
        <v>23</v>
      </c>
      <c r="N30" s="59">
        <f t="shared" si="4"/>
        <v>171930</v>
      </c>
      <c r="O30" s="53">
        <f t="shared" si="5"/>
        <v>6795.652173913043</v>
      </c>
      <c r="P30" s="59">
        <f t="shared" si="6"/>
        <v>59010</v>
      </c>
      <c r="Q30" s="53">
        <f t="shared" si="7"/>
        <v>2332.391304347826</v>
      </c>
      <c r="R30" s="60">
        <f t="shared" si="8"/>
        <v>230940</v>
      </c>
      <c r="S30" s="56">
        <f t="shared" si="9"/>
        <v>10040.869565217392</v>
      </c>
      <c r="T30" s="80">
        <f t="shared" si="10"/>
        <v>47</v>
      </c>
      <c r="U30" s="59">
        <f t="shared" si="10"/>
        <v>272360</v>
      </c>
      <c r="V30" s="59">
        <f t="shared" si="11"/>
        <v>90450</v>
      </c>
      <c r="W30" s="62">
        <f t="shared" si="12"/>
        <v>362810</v>
      </c>
      <c r="X30" s="81"/>
      <c r="Y30" s="63"/>
      <c r="Z30" s="64">
        <v>6</v>
      </c>
      <c r="AA30" s="52">
        <v>3560</v>
      </c>
      <c r="AB30" s="53">
        <f t="shared" si="13"/>
        <v>593.33333333333337</v>
      </c>
      <c r="AC30" s="52">
        <v>4450</v>
      </c>
      <c r="AD30" s="54">
        <f t="shared" si="14"/>
        <v>741.66666666666663</v>
      </c>
      <c r="AE30" s="65">
        <f t="shared" si="15"/>
        <v>8010</v>
      </c>
      <c r="AF30" s="56">
        <f t="shared" si="16"/>
        <v>1335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47</v>
      </c>
      <c r="AY30" s="59">
        <f t="shared" si="24"/>
        <v>275920</v>
      </c>
      <c r="AZ30" s="59">
        <f t="shared" si="25"/>
        <v>94900</v>
      </c>
      <c r="BA30" s="71">
        <f t="shared" si="26"/>
        <v>370820</v>
      </c>
      <c r="BB30" s="72">
        <f t="shared" si="31"/>
        <v>0</v>
      </c>
      <c r="BC30" s="73">
        <v>47</v>
      </c>
      <c r="BD30" s="74">
        <v>272360</v>
      </c>
      <c r="BE30" s="74">
        <v>90450</v>
      </c>
      <c r="BF30" s="75"/>
      <c r="BG30" s="75"/>
      <c r="BH30" s="75"/>
      <c r="BI30" s="75"/>
      <c r="BJ30" s="76">
        <f t="shared" si="32"/>
        <v>362810</v>
      </c>
      <c r="BK30" s="47">
        <v>26</v>
      </c>
      <c r="BL30" s="77">
        <f t="shared" si="27"/>
        <v>362810</v>
      </c>
    </row>
    <row r="31" spans="2:64" ht="20" customHeight="1">
      <c r="B31" s="78">
        <f t="shared" si="28"/>
        <v>45257</v>
      </c>
      <c r="C31" s="79"/>
      <c r="D31" s="50"/>
      <c r="E31" s="51">
        <v>27</v>
      </c>
      <c r="F31" s="52">
        <v>100980</v>
      </c>
      <c r="G31" s="53">
        <f t="shared" si="0"/>
        <v>3400</v>
      </c>
      <c r="H31" s="52">
        <v>16260</v>
      </c>
      <c r="I31" s="53">
        <f t="shared" si="1"/>
        <v>547.44444444444446</v>
      </c>
      <c r="J31" s="55">
        <f t="shared" si="2"/>
        <v>117240</v>
      </c>
      <c r="K31" s="56">
        <f t="shared" si="3"/>
        <v>4342.2222222222226</v>
      </c>
      <c r="L31" s="57"/>
      <c r="M31" s="58">
        <f t="shared" si="4"/>
        <v>24</v>
      </c>
      <c r="N31" s="59">
        <f t="shared" si="4"/>
        <v>174790</v>
      </c>
      <c r="O31" s="53">
        <f t="shared" si="5"/>
        <v>6620.833333333333</v>
      </c>
      <c r="P31" s="59">
        <f t="shared" si="6"/>
        <v>43710</v>
      </c>
      <c r="Q31" s="53">
        <f t="shared" si="7"/>
        <v>1655.6666666666667</v>
      </c>
      <c r="R31" s="60">
        <f t="shared" si="8"/>
        <v>218500</v>
      </c>
      <c r="S31" s="56">
        <f t="shared" si="9"/>
        <v>9104.1666666666661</v>
      </c>
      <c r="T31" s="80">
        <f t="shared" si="10"/>
        <v>51</v>
      </c>
      <c r="U31" s="59">
        <f t="shared" si="10"/>
        <v>275770</v>
      </c>
      <c r="V31" s="59">
        <f t="shared" si="11"/>
        <v>59970</v>
      </c>
      <c r="W31" s="62">
        <f t="shared" si="12"/>
        <v>335740</v>
      </c>
      <c r="X31" s="81"/>
      <c r="Y31" s="63"/>
      <c r="Z31" s="64">
        <v>12</v>
      </c>
      <c r="AA31" s="52">
        <v>6590</v>
      </c>
      <c r="AB31" s="53">
        <f t="shared" si="13"/>
        <v>549.16666666666663</v>
      </c>
      <c r="AC31" s="52">
        <v>1500</v>
      </c>
      <c r="AD31" s="54">
        <f t="shared" si="14"/>
        <v>125</v>
      </c>
      <c r="AE31" s="65">
        <f t="shared" si="15"/>
        <v>8090</v>
      </c>
      <c r="AF31" s="56">
        <f t="shared" si="16"/>
        <v>674.16666666666663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51</v>
      </c>
      <c r="AY31" s="59">
        <f t="shared" si="24"/>
        <v>282360</v>
      </c>
      <c r="AZ31" s="59">
        <f t="shared" si="25"/>
        <v>61470</v>
      </c>
      <c r="BA31" s="71">
        <f>W31+AE31+AM31+AV31</f>
        <v>343830</v>
      </c>
      <c r="BB31" s="72">
        <f t="shared" si="31"/>
        <v>7700</v>
      </c>
      <c r="BC31" s="73">
        <v>51</v>
      </c>
      <c r="BD31" s="74">
        <v>275770</v>
      </c>
      <c r="BE31" s="74">
        <v>59970</v>
      </c>
      <c r="BF31" s="75">
        <v>6600</v>
      </c>
      <c r="BG31" s="75">
        <v>1100</v>
      </c>
      <c r="BH31" s="75"/>
      <c r="BI31" s="75">
        <v>40000</v>
      </c>
      <c r="BJ31" s="76">
        <f t="shared" si="32"/>
        <v>343440</v>
      </c>
      <c r="BK31" s="47">
        <v>27</v>
      </c>
      <c r="BL31" s="77">
        <f t="shared" si="27"/>
        <v>383440</v>
      </c>
    </row>
    <row r="32" spans="2:64" ht="20" customHeight="1">
      <c r="B32" s="78">
        <f t="shared" si="28"/>
        <v>45258</v>
      </c>
      <c r="C32" s="79"/>
      <c r="D32" s="50"/>
      <c r="E32" s="51">
        <v>32</v>
      </c>
      <c r="F32" s="52">
        <v>105820</v>
      </c>
      <c r="G32" s="53">
        <f t="shared" si="0"/>
        <v>3006.25</v>
      </c>
      <c r="H32" s="52">
        <v>16630</v>
      </c>
      <c r="I32" s="53">
        <f t="shared" si="1"/>
        <v>472.4375</v>
      </c>
      <c r="J32" s="55">
        <f t="shared" si="2"/>
        <v>122450</v>
      </c>
      <c r="K32" s="56">
        <f t="shared" si="3"/>
        <v>3826.5625</v>
      </c>
      <c r="L32" s="57"/>
      <c r="M32" s="58">
        <f t="shared" si="4"/>
        <v>23</v>
      </c>
      <c r="N32" s="59">
        <f t="shared" si="4"/>
        <v>184000</v>
      </c>
      <c r="O32" s="53">
        <f t="shared" si="5"/>
        <v>7272.695652173913</v>
      </c>
      <c r="P32" s="59">
        <f t="shared" si="6"/>
        <v>46000</v>
      </c>
      <c r="Q32" s="53">
        <f t="shared" si="7"/>
        <v>1818.1739130434783</v>
      </c>
      <c r="R32" s="60">
        <f t="shared" si="8"/>
        <v>230000</v>
      </c>
      <c r="S32" s="56">
        <f t="shared" si="9"/>
        <v>10000</v>
      </c>
      <c r="T32" s="80">
        <f t="shared" si="10"/>
        <v>55</v>
      </c>
      <c r="U32" s="59">
        <f t="shared" si="10"/>
        <v>289820</v>
      </c>
      <c r="V32" s="59">
        <f t="shared" si="11"/>
        <v>62630</v>
      </c>
      <c r="W32" s="62">
        <f t="shared" si="12"/>
        <v>352450</v>
      </c>
      <c r="X32" s="81"/>
      <c r="Y32" s="63"/>
      <c r="Z32" s="64">
        <v>11</v>
      </c>
      <c r="AA32" s="52">
        <v>5570</v>
      </c>
      <c r="AB32" s="53">
        <f t="shared" si="13"/>
        <v>506.36363636363637</v>
      </c>
      <c r="AC32" s="52">
        <v>2400</v>
      </c>
      <c r="AD32" s="54">
        <f t="shared" si="14"/>
        <v>218.18181818181819</v>
      </c>
      <c r="AE32" s="65">
        <f t="shared" si="15"/>
        <v>7970</v>
      </c>
      <c r="AF32" s="56">
        <f t="shared" si="16"/>
        <v>724.5454545454545</v>
      </c>
      <c r="AG32" s="66"/>
      <c r="AH32" s="64">
        <v>15</v>
      </c>
      <c r="AI32" s="52">
        <v>58725</v>
      </c>
      <c r="AJ32" s="53">
        <f t="shared" si="17"/>
        <v>3915</v>
      </c>
      <c r="AK32" s="52">
        <v>19575</v>
      </c>
      <c r="AL32" s="54">
        <f t="shared" si="18"/>
        <v>1305</v>
      </c>
      <c r="AM32" s="65">
        <f t="shared" si="29"/>
        <v>78300</v>
      </c>
      <c r="AN32" s="67">
        <f t="shared" si="19"/>
        <v>5220</v>
      </c>
      <c r="AO32" s="68"/>
      <c r="AP32" s="64"/>
      <c r="AQ32" s="52"/>
      <c r="AR32" s="53" t="e">
        <f t="shared" si="20"/>
        <v>#DIV/0!</v>
      </c>
      <c r="AS32" s="52"/>
      <c r="AT32" s="54" t="e">
        <f t="shared" si="21"/>
        <v>#DIV/0!</v>
      </c>
      <c r="AU32" s="54"/>
      <c r="AV32" s="69">
        <f t="shared" si="30"/>
        <v>0</v>
      </c>
      <c r="AW32" s="67" t="str">
        <f t="shared" si="22"/>
        <v/>
      </c>
      <c r="AX32" s="82">
        <f t="shared" si="23"/>
        <v>55</v>
      </c>
      <c r="AY32" s="59">
        <f t="shared" si="24"/>
        <v>354115</v>
      </c>
      <c r="AZ32" s="59">
        <f t="shared" si="25"/>
        <v>84605</v>
      </c>
      <c r="BA32" s="71">
        <f t="shared" si="26"/>
        <v>438720</v>
      </c>
      <c r="BB32" s="72">
        <f t="shared" si="31"/>
        <v>2200</v>
      </c>
      <c r="BC32" s="73">
        <v>55</v>
      </c>
      <c r="BD32" s="74">
        <v>289820</v>
      </c>
      <c r="BE32" s="74">
        <v>62630</v>
      </c>
      <c r="BF32" s="75">
        <v>2200</v>
      </c>
      <c r="BG32" s="75"/>
      <c r="BH32" s="75"/>
      <c r="BI32" s="75"/>
      <c r="BJ32" s="76">
        <f t="shared" si="32"/>
        <v>354650</v>
      </c>
      <c r="BK32" s="47">
        <v>28</v>
      </c>
      <c r="BL32" s="77">
        <f t="shared" si="27"/>
        <v>354650</v>
      </c>
    </row>
    <row r="33" spans="2:64" ht="20" customHeight="1">
      <c r="B33" s="78">
        <f t="shared" si="28"/>
        <v>45259</v>
      </c>
      <c r="C33" s="79"/>
      <c r="D33" s="50"/>
      <c r="E33" s="51">
        <v>26</v>
      </c>
      <c r="F33" s="52">
        <v>98340</v>
      </c>
      <c r="G33" s="53">
        <f t="shared" si="0"/>
        <v>3438.4615384615386</v>
      </c>
      <c r="H33" s="52">
        <v>20130</v>
      </c>
      <c r="I33" s="53">
        <f t="shared" si="1"/>
        <v>703.84615384615381</v>
      </c>
      <c r="J33" s="55">
        <f t="shared" si="2"/>
        <v>118470</v>
      </c>
      <c r="K33" s="56">
        <f t="shared" si="3"/>
        <v>4556.5384615384619</v>
      </c>
      <c r="L33" s="57"/>
      <c r="M33" s="58">
        <f t="shared" si="4"/>
        <v>17</v>
      </c>
      <c r="N33" s="59">
        <f t="shared" si="4"/>
        <v>182820</v>
      </c>
      <c r="O33" s="53">
        <f t="shared" si="5"/>
        <v>9776.4705882352937</v>
      </c>
      <c r="P33" s="59">
        <f t="shared" si="6"/>
        <v>42820</v>
      </c>
      <c r="Q33" s="53">
        <f t="shared" si="7"/>
        <v>2289.8235294117649</v>
      </c>
      <c r="R33" s="60">
        <f t="shared" si="8"/>
        <v>225640</v>
      </c>
      <c r="S33" s="56">
        <f t="shared" si="9"/>
        <v>13272.941176470587</v>
      </c>
      <c r="T33" s="80">
        <f t="shared" si="10"/>
        <v>43</v>
      </c>
      <c r="U33" s="59">
        <f t="shared" si="10"/>
        <v>281160</v>
      </c>
      <c r="V33" s="59">
        <f t="shared" si="11"/>
        <v>62950</v>
      </c>
      <c r="W33" s="62">
        <f>J33+R33</f>
        <v>344110</v>
      </c>
      <c r="X33" s="81"/>
      <c r="Y33" s="63"/>
      <c r="Z33" s="64">
        <v>10</v>
      </c>
      <c r="AA33" s="52">
        <v>4910</v>
      </c>
      <c r="AB33" s="53">
        <f t="shared" si="13"/>
        <v>491</v>
      </c>
      <c r="AC33" s="52">
        <v>5150</v>
      </c>
      <c r="AD33" s="54">
        <f t="shared" si="14"/>
        <v>515</v>
      </c>
      <c r="AE33" s="65">
        <f t="shared" si="15"/>
        <v>10060</v>
      </c>
      <c r="AF33" s="56">
        <f t="shared" si="16"/>
        <v>1006</v>
      </c>
      <c r="AG33" s="66"/>
      <c r="AH33" s="64">
        <v>33</v>
      </c>
      <c r="AI33" s="52">
        <v>129195</v>
      </c>
      <c r="AJ33" s="53">
        <f t="shared" si="17"/>
        <v>3915</v>
      </c>
      <c r="AK33" s="52">
        <v>43065</v>
      </c>
      <c r="AL33" s="54">
        <f t="shared" si="18"/>
        <v>1305</v>
      </c>
      <c r="AM33" s="65">
        <f t="shared" si="29"/>
        <v>172260</v>
      </c>
      <c r="AN33" s="67">
        <f t="shared" si="19"/>
        <v>5220</v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43</v>
      </c>
      <c r="AY33" s="59">
        <f t="shared" si="24"/>
        <v>415265</v>
      </c>
      <c r="AZ33" s="59">
        <f t="shared" si="25"/>
        <v>111165</v>
      </c>
      <c r="BA33" s="71">
        <f>W33+AE33+AM33+AV33</f>
        <v>526430</v>
      </c>
      <c r="BB33" s="72">
        <f t="shared" si="31"/>
        <v>0</v>
      </c>
      <c r="BC33" s="73">
        <v>43</v>
      </c>
      <c r="BD33" s="74">
        <v>281160</v>
      </c>
      <c r="BE33" s="74">
        <v>62950</v>
      </c>
      <c r="BF33" s="75"/>
      <c r="BG33" s="75"/>
      <c r="BH33" s="75"/>
      <c r="BI33" s="75"/>
      <c r="BJ33" s="76">
        <f t="shared" si="32"/>
        <v>344110</v>
      </c>
      <c r="BK33" s="47">
        <v>29</v>
      </c>
      <c r="BL33" s="77">
        <f t="shared" si="27"/>
        <v>344110</v>
      </c>
    </row>
    <row r="34" spans="2:64" ht="20" customHeight="1">
      <c r="B34" s="78">
        <f t="shared" si="28"/>
        <v>45260</v>
      </c>
      <c r="C34" s="79"/>
      <c r="D34" s="50"/>
      <c r="E34" s="51">
        <v>30</v>
      </c>
      <c r="F34" s="52">
        <v>132220</v>
      </c>
      <c r="G34" s="53">
        <f t="shared" si="0"/>
        <v>4006.6666666666665</v>
      </c>
      <c r="H34" s="52">
        <v>17410</v>
      </c>
      <c r="I34" s="53">
        <f t="shared" si="1"/>
        <v>527.56666666666672</v>
      </c>
      <c r="J34" s="55">
        <f t="shared" si="2"/>
        <v>149630</v>
      </c>
      <c r="K34" s="56">
        <f t="shared" si="3"/>
        <v>4987.666666666667</v>
      </c>
      <c r="L34" s="57"/>
      <c r="M34" s="58">
        <f t="shared" si="4"/>
        <v>4</v>
      </c>
      <c r="N34" s="59">
        <f t="shared" si="4"/>
        <v>40700</v>
      </c>
      <c r="O34" s="53">
        <f t="shared" si="5"/>
        <v>9250</v>
      </c>
      <c r="P34" s="59">
        <f t="shared" si="6"/>
        <v>5440</v>
      </c>
      <c r="Q34" s="53">
        <f t="shared" si="7"/>
        <v>1236.25</v>
      </c>
      <c r="R34" s="60">
        <f t="shared" si="8"/>
        <v>46140</v>
      </c>
      <c r="S34" s="56">
        <f t="shared" si="9"/>
        <v>11535</v>
      </c>
      <c r="T34" s="80">
        <f t="shared" si="10"/>
        <v>34</v>
      </c>
      <c r="U34" s="59">
        <f t="shared" si="10"/>
        <v>172920</v>
      </c>
      <c r="V34" s="59">
        <f t="shared" si="11"/>
        <v>22850</v>
      </c>
      <c r="W34" s="62">
        <f t="shared" si="12"/>
        <v>195770</v>
      </c>
      <c r="X34" s="81"/>
      <c r="Y34" s="86"/>
      <c r="Z34" s="87">
        <v>8</v>
      </c>
      <c r="AA34" s="88">
        <v>4100</v>
      </c>
      <c r="AB34" s="53">
        <f t="shared" si="13"/>
        <v>512.5</v>
      </c>
      <c r="AC34" s="88">
        <v>3000</v>
      </c>
      <c r="AD34" s="54">
        <f t="shared" si="14"/>
        <v>375</v>
      </c>
      <c r="AE34" s="65">
        <f t="shared" si="15"/>
        <v>7100</v>
      </c>
      <c r="AF34" s="56">
        <f t="shared" si="16"/>
        <v>887.5</v>
      </c>
      <c r="AG34" s="66"/>
      <c r="AH34" s="87">
        <v>50</v>
      </c>
      <c r="AI34" s="88">
        <v>195750</v>
      </c>
      <c r="AJ34" s="53">
        <f t="shared" si="17"/>
        <v>3915</v>
      </c>
      <c r="AK34" s="88">
        <v>65250</v>
      </c>
      <c r="AL34" s="54">
        <f t="shared" si="18"/>
        <v>1305</v>
      </c>
      <c r="AM34" s="65">
        <f t="shared" si="29"/>
        <v>261000</v>
      </c>
      <c r="AN34" s="67">
        <f t="shared" si="19"/>
        <v>5220</v>
      </c>
      <c r="AO34" s="68"/>
      <c r="AP34" s="87"/>
      <c r="AQ34" s="88"/>
      <c r="AR34" s="53" t="e">
        <f t="shared" si="20"/>
        <v>#DIV/0!</v>
      </c>
      <c r="AS34" s="88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34</v>
      </c>
      <c r="AY34" s="59">
        <f t="shared" si="24"/>
        <v>372770</v>
      </c>
      <c r="AZ34" s="59">
        <f t="shared" si="25"/>
        <v>91100</v>
      </c>
      <c r="BA34" s="71">
        <f>W34+AE34+AM34+AV34</f>
        <v>463870</v>
      </c>
      <c r="BB34" s="72">
        <f t="shared" si="31"/>
        <v>1100</v>
      </c>
      <c r="BC34" s="73">
        <v>34</v>
      </c>
      <c r="BD34" s="74">
        <v>172920</v>
      </c>
      <c r="BE34" s="74">
        <v>22850</v>
      </c>
      <c r="BF34" s="75"/>
      <c r="BG34" s="75">
        <v>1100</v>
      </c>
      <c r="BH34" s="75"/>
      <c r="BI34" s="75"/>
      <c r="BJ34" s="76">
        <f t="shared" si="32"/>
        <v>196870</v>
      </c>
      <c r="BK34" s="47">
        <v>30</v>
      </c>
      <c r="BL34" s="77">
        <f t="shared" si="27"/>
        <v>196870</v>
      </c>
    </row>
    <row r="35" spans="2:64" ht="20" customHeight="1" thickBot="1">
      <c r="B35" s="89"/>
      <c r="C35" s="79"/>
      <c r="D35" s="50"/>
      <c r="E35" s="51"/>
      <c r="F35" s="52"/>
      <c r="G35" s="53" t="e">
        <f t="shared" si="0"/>
        <v>#DIV/0!</v>
      </c>
      <c r="H35" s="52"/>
      <c r="I35" s="53" t="e">
        <f t="shared" si="1"/>
        <v>#DIV/0!</v>
      </c>
      <c r="J35" s="55">
        <f t="shared" si="2"/>
        <v>0</v>
      </c>
      <c r="K35" s="56" t="str">
        <f t="shared" si="3"/>
        <v/>
      </c>
      <c r="L35" s="57"/>
      <c r="M35" s="90">
        <f t="shared" si="4"/>
        <v>0</v>
      </c>
      <c r="N35" s="59">
        <f t="shared" si="4"/>
        <v>0</v>
      </c>
      <c r="O35" s="53" t="e">
        <f t="shared" si="5"/>
        <v>#DIV/0!</v>
      </c>
      <c r="P35" s="59">
        <f t="shared" si="6"/>
        <v>0</v>
      </c>
      <c r="Q35" s="53" t="e">
        <f t="shared" si="7"/>
        <v>#DIV/0!</v>
      </c>
      <c r="R35" s="60">
        <f t="shared" si="8"/>
        <v>0</v>
      </c>
      <c r="S35" s="56" t="e">
        <f t="shared" si="9"/>
        <v>#DIV/0!</v>
      </c>
      <c r="T35" s="91">
        <f t="shared" si="10"/>
        <v>0</v>
      </c>
      <c r="U35" s="92">
        <f t="shared" si="10"/>
        <v>0</v>
      </c>
      <c r="V35" s="92">
        <f t="shared" si="11"/>
        <v>0</v>
      </c>
      <c r="W35" s="93">
        <f t="shared" si="12"/>
        <v>0</v>
      </c>
      <c r="X35" s="92"/>
      <c r="Y35" s="94"/>
      <c r="Z35" s="95"/>
      <c r="AA35" s="96"/>
      <c r="AB35" s="97" t="e">
        <f t="shared" si="13"/>
        <v>#DIV/0!</v>
      </c>
      <c r="AC35" s="96"/>
      <c r="AD35" s="98" t="e">
        <f t="shared" si="14"/>
        <v>#DIV/0!</v>
      </c>
      <c r="AE35" s="99">
        <f t="shared" si="15"/>
        <v>0</v>
      </c>
      <c r="AF35" s="56" t="str">
        <f t="shared" si="16"/>
        <v/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0</v>
      </c>
      <c r="AY35" s="59">
        <f t="shared" si="24"/>
        <v>0</v>
      </c>
      <c r="AZ35" s="59">
        <f t="shared" si="25"/>
        <v>0</v>
      </c>
      <c r="BA35" s="71">
        <f t="shared" si="26"/>
        <v>0</v>
      </c>
      <c r="BB35" s="72">
        <f t="shared" si="31"/>
        <v>0</v>
      </c>
      <c r="BC35" s="103"/>
      <c r="BD35" s="104"/>
      <c r="BE35" s="104"/>
      <c r="BF35" s="105"/>
      <c r="BG35" s="105"/>
      <c r="BH35" s="105"/>
      <c r="BI35" s="105"/>
      <c r="BJ35" s="76">
        <f t="shared" si="32"/>
        <v>0</v>
      </c>
      <c r="BK35" s="47">
        <v>31</v>
      </c>
      <c r="BL35" s="77">
        <f t="shared" si="27"/>
        <v>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814</v>
      </c>
      <c r="F36" s="110">
        <f>SUM(F5:F35)</f>
        <v>3060930</v>
      </c>
      <c r="G36" s="111">
        <f>F36/E36</f>
        <v>3760.3562653562653</v>
      </c>
      <c r="H36" s="107">
        <f>SUM(H5:H35)</f>
        <v>433750</v>
      </c>
      <c r="I36" s="112">
        <f>H36/E36</f>
        <v>532.86240786240785</v>
      </c>
      <c r="J36" s="113">
        <f>SUM(J5:J35)+BB36/2</f>
        <v>3542255</v>
      </c>
      <c r="K36" s="114">
        <f>J36/E36</f>
        <v>4351.6646191646196</v>
      </c>
      <c r="L36" s="115">
        <f>SUM(L5:L35)</f>
        <v>0</v>
      </c>
      <c r="M36" s="109">
        <f>SUM(M5:M35)</f>
        <v>468</v>
      </c>
      <c r="N36" s="110">
        <f>SUM(N5:N35)</f>
        <v>4231865</v>
      </c>
      <c r="O36" s="111">
        <f>N36/M36</f>
        <v>9042.446581196582</v>
      </c>
      <c r="P36" s="116">
        <f>SUM(P5:P35)</f>
        <v>1137290</v>
      </c>
      <c r="Q36" s="112">
        <f>P36/M36</f>
        <v>2430.1068376068374</v>
      </c>
      <c r="R36" s="117">
        <f>SUM(R5:R35)+BB36/2</f>
        <v>5416730</v>
      </c>
      <c r="S36" s="118">
        <f>R36/M36</f>
        <v>11574.209401709402</v>
      </c>
      <c r="T36" s="109">
        <f t="shared" ref="T36:AA36" si="33">SUM(T5:T35)</f>
        <v>1282</v>
      </c>
      <c r="U36" s="116">
        <f t="shared" si="33"/>
        <v>7292795</v>
      </c>
      <c r="V36" s="116">
        <f t="shared" si="33"/>
        <v>1571040</v>
      </c>
      <c r="W36" s="113">
        <f>SUM(W5:W35)+BF36</f>
        <v>8950185</v>
      </c>
      <c r="X36" s="119">
        <f t="shared" si="33"/>
        <v>0</v>
      </c>
      <c r="Y36" s="108">
        <f t="shared" si="33"/>
        <v>0</v>
      </c>
      <c r="Z36" s="109">
        <f t="shared" si="33"/>
        <v>262</v>
      </c>
      <c r="AA36" s="111">
        <f t="shared" si="33"/>
        <v>132310</v>
      </c>
      <c r="AB36" s="111">
        <f>AA36/Z36</f>
        <v>505</v>
      </c>
      <c r="AC36" s="107">
        <f>SUM(AC5:AC35)</f>
        <v>99480</v>
      </c>
      <c r="AD36" s="112">
        <f>AC36/Z36</f>
        <v>379.69465648854964</v>
      </c>
      <c r="AE36" s="117">
        <f>SUM(AE5:AE35)</f>
        <v>231790</v>
      </c>
      <c r="AF36" s="120">
        <f>AE36/Z36</f>
        <v>884.69465648854964</v>
      </c>
      <c r="AG36" s="121">
        <f t="shared" ref="AG36:AI36" si="34">SUM(AG5:AG35)</f>
        <v>0</v>
      </c>
      <c r="AH36" s="109">
        <f t="shared" si="34"/>
        <v>244</v>
      </c>
      <c r="AI36" s="111">
        <f t="shared" si="34"/>
        <v>955260</v>
      </c>
      <c r="AJ36" s="111"/>
      <c r="AK36" s="107">
        <f>SUM(AK5:AK35)</f>
        <v>318210</v>
      </c>
      <c r="AL36" s="112"/>
      <c r="AM36" s="117">
        <f>SUM(AM5:AM35)</f>
        <v>1273470</v>
      </c>
      <c r="AN36" s="122">
        <f>AM36/AH36</f>
        <v>5219.1393442622948</v>
      </c>
      <c r="AO36" s="123">
        <f t="shared" ref="AO36:AQ36" si="35">SUM(AO5:AO35)</f>
        <v>0</v>
      </c>
      <c r="AP36" s="109">
        <f t="shared" si="35"/>
        <v>0</v>
      </c>
      <c r="AQ36" s="111">
        <f t="shared" si="35"/>
        <v>0</v>
      </c>
      <c r="AR36" s="111"/>
      <c r="AS36" s="107">
        <f>SUM(AS5:AS35)</f>
        <v>0</v>
      </c>
      <c r="AT36" s="112"/>
      <c r="AU36" s="107">
        <f>SUM(AU5:AU35)</f>
        <v>0</v>
      </c>
      <c r="AV36" s="117">
        <f>SUM(AV5:AV35)</f>
        <v>0</v>
      </c>
      <c r="AW36" s="122" t="e">
        <f>AV36/AP36</f>
        <v>#DIV/0!</v>
      </c>
      <c r="AX36" s="124">
        <f t="shared" ref="AX36:BJ36" si="36">SUM(AX5:AX35)</f>
        <v>1282</v>
      </c>
      <c r="AY36" s="116">
        <f t="shared" si="36"/>
        <v>8380365</v>
      </c>
      <c r="AZ36" s="116">
        <f t="shared" si="36"/>
        <v>1988730</v>
      </c>
      <c r="BA36" s="117">
        <f>SUM(BA5:BA35)</f>
        <v>10369095</v>
      </c>
      <c r="BB36" s="125">
        <f t="shared" si="36"/>
        <v>95150</v>
      </c>
      <c r="BC36" s="126">
        <f t="shared" si="36"/>
        <v>1282</v>
      </c>
      <c r="BD36" s="126">
        <f t="shared" si="36"/>
        <v>7292795</v>
      </c>
      <c r="BE36" s="126">
        <f t="shared" si="36"/>
        <v>1571040</v>
      </c>
      <c r="BF36" s="126">
        <f t="shared" si="36"/>
        <v>86350</v>
      </c>
      <c r="BG36" s="126">
        <f t="shared" si="36"/>
        <v>8800</v>
      </c>
      <c r="BH36" s="126">
        <f t="shared" si="36"/>
        <v>26400</v>
      </c>
      <c r="BI36" s="126">
        <f t="shared" si="36"/>
        <v>51100</v>
      </c>
      <c r="BJ36" s="127">
        <f t="shared" si="36"/>
        <v>8958985</v>
      </c>
      <c r="BL36" s="129">
        <f>SUM(BL5:BL35)</f>
        <v>9010085</v>
      </c>
    </row>
    <row r="37" spans="2:64" s="128" customFormat="1" ht="18">
      <c r="B37" s="130"/>
      <c r="E37" s="131" t="s">
        <v>40</v>
      </c>
      <c r="F37" s="132">
        <f>F36/1.1</f>
        <v>2782663.6363636362</v>
      </c>
      <c r="G37" s="133">
        <f>F37/E36</f>
        <v>3418.5056957784227</v>
      </c>
      <c r="H37" s="134">
        <f>H36/1.1</f>
        <v>394318.18181818177</v>
      </c>
      <c r="I37" s="133">
        <f>H37/E36</f>
        <v>484.4203707840071</v>
      </c>
      <c r="J37" s="135">
        <f>J36/1.1</f>
        <v>3220231.8181818179</v>
      </c>
      <c r="K37" s="136">
        <f>G37+I37</f>
        <v>3902.9260665624297</v>
      </c>
      <c r="L37" s="137"/>
      <c r="M37" s="131" t="s">
        <v>40</v>
      </c>
      <c r="N37" s="132">
        <f>N36/1.1</f>
        <v>3847149.9999999995</v>
      </c>
      <c r="O37" s="133">
        <f>N37/M36</f>
        <v>8220.4059829059825</v>
      </c>
      <c r="P37" s="134">
        <f>P36/1.1</f>
        <v>1033899.9999999999</v>
      </c>
      <c r="Q37" s="133">
        <f>P37/M36</f>
        <v>2209.1880341880337</v>
      </c>
      <c r="R37" s="133">
        <f>R36/1.1</f>
        <v>4924300</v>
      </c>
      <c r="S37" s="138">
        <f>R37/M36</f>
        <v>10522.008547008547</v>
      </c>
      <c r="T37" s="131" t="s">
        <v>40</v>
      </c>
      <c r="U37" s="132">
        <f>U36/1.1</f>
        <v>6629813.6363636358</v>
      </c>
      <c r="V37" s="132">
        <f>V36/1.1</f>
        <v>1428218.1818181816</v>
      </c>
      <c r="W37" s="135">
        <f>W36/1.1</f>
        <v>8136531.8181818174</v>
      </c>
      <c r="X37" s="139"/>
      <c r="Y37" s="137"/>
      <c r="Z37" s="131" t="s">
        <v>40</v>
      </c>
      <c r="AA37" s="132">
        <f>AA36/1.1</f>
        <v>120281.81818181818</v>
      </c>
      <c r="AB37" s="134">
        <f>AA37/Z36</f>
        <v>459.09090909090907</v>
      </c>
      <c r="AC37" s="134">
        <f>AC36/1.1</f>
        <v>90436.363636363632</v>
      </c>
      <c r="AD37" s="134">
        <f>AC37/Z36</f>
        <v>345.176960444136</v>
      </c>
      <c r="AE37" s="133">
        <f>AE36/1.1</f>
        <v>210718.18181818179</v>
      </c>
      <c r="AF37" s="140" t="e">
        <f>AE37/Y36</f>
        <v>#DIV/0!</v>
      </c>
      <c r="AG37" s="137"/>
      <c r="AH37" s="131" t="s">
        <v>40</v>
      </c>
      <c r="AI37" s="132">
        <f>AI36/1.1</f>
        <v>868418.18181818177</v>
      </c>
      <c r="AJ37" s="134">
        <f>AI37/AH36</f>
        <v>3559.090909090909</v>
      </c>
      <c r="AK37" s="134">
        <f>AK36/1.1</f>
        <v>289281.81818181818</v>
      </c>
      <c r="AL37" s="134">
        <f>AK37/AH36</f>
        <v>1185.5812220566318</v>
      </c>
      <c r="AM37" s="133">
        <f>AM36/1.1</f>
        <v>1157700</v>
      </c>
      <c r="AN37" s="141" t="e">
        <f>AM37/AG36</f>
        <v>#DIV/0!</v>
      </c>
      <c r="AO37" s="137"/>
      <c r="AP37" s="131" t="s">
        <v>40</v>
      </c>
      <c r="AQ37" s="132">
        <f>AQ36/1.1</f>
        <v>0</v>
      </c>
      <c r="AR37" s="134" t="e">
        <f>AQ37/AP36</f>
        <v>#DIV/0!</v>
      </c>
      <c r="AS37" s="134">
        <f>AS36/1.1</f>
        <v>0</v>
      </c>
      <c r="AT37" s="134" t="e">
        <f>AS37/AP36</f>
        <v>#DIV/0!</v>
      </c>
      <c r="AU37" s="134">
        <f>AU36/1.1</f>
        <v>0</v>
      </c>
      <c r="AV37" s="133">
        <f>AV36/1.1</f>
        <v>0</v>
      </c>
      <c r="AW37" s="141" t="e">
        <f>AV37/AP36</f>
        <v>#DIV/0!</v>
      </c>
      <c r="AX37" s="142" t="s">
        <v>40</v>
      </c>
      <c r="AY37" s="132">
        <f>AY36/1.1</f>
        <v>7618513.6363636358</v>
      </c>
      <c r="AZ37" s="132">
        <f>AZ36/1.1</f>
        <v>1807936.3636363635</v>
      </c>
      <c r="BA37" s="133">
        <f>BA36/1.1</f>
        <v>9426450</v>
      </c>
      <c r="BB37" s="143">
        <f>BB36/1.1</f>
        <v>86500</v>
      </c>
      <c r="BG37" s="144"/>
      <c r="BJ37" s="145">
        <f>BJ36/1.1</f>
        <v>8144531.8181818174</v>
      </c>
      <c r="BL37" s="145"/>
    </row>
    <row r="38" spans="2:64">
      <c r="C38" s="47">
        <v>30</v>
      </c>
      <c r="E38" s="146" t="s">
        <v>41</v>
      </c>
      <c r="F38" s="147">
        <f>E36/G38</f>
        <v>27.133333333333333</v>
      </c>
      <c r="G38" s="148">
        <v>30</v>
      </c>
      <c r="H38" s="147"/>
      <c r="I38" s="147"/>
      <c r="J38" s="149" t="s">
        <v>42</v>
      </c>
      <c r="K38" s="150">
        <f>J37/G38</f>
        <v>107341.06060606059</v>
      </c>
      <c r="M38" s="146" t="s">
        <v>41</v>
      </c>
      <c r="N38" s="147">
        <f>M36/O38</f>
        <v>15.6</v>
      </c>
      <c r="O38" s="148">
        <f>G38</f>
        <v>30</v>
      </c>
      <c r="P38" s="147"/>
      <c r="Q38" s="147"/>
      <c r="R38" s="149" t="s">
        <v>42</v>
      </c>
      <c r="S38" s="151">
        <f>R37/O38</f>
        <v>164143.33333333334</v>
      </c>
      <c r="U38" s="152">
        <f>O38</f>
        <v>30</v>
      </c>
      <c r="W38" s="153">
        <f>W37/U38</f>
        <v>271217.72727272724</v>
      </c>
      <c r="X38" s="77"/>
      <c r="AA38" s="154">
        <f>G38</f>
        <v>30</v>
      </c>
      <c r="AB38" s="147"/>
      <c r="AC38" s="147"/>
      <c r="AD38" s="147"/>
      <c r="AE38" s="147"/>
      <c r="AF38" s="150">
        <f>AE37/AA38</f>
        <v>7023.9393939393931</v>
      </c>
      <c r="AI38" s="154">
        <f>AA38</f>
        <v>30</v>
      </c>
      <c r="AJ38" s="147"/>
      <c r="AK38" s="147"/>
      <c r="AL38" s="147"/>
      <c r="AM38" s="147"/>
      <c r="AN38" s="150">
        <f>AM37/AI38</f>
        <v>38590</v>
      </c>
      <c r="AQ38" s="154">
        <f>G38</f>
        <v>30</v>
      </c>
      <c r="AR38" s="147"/>
      <c r="AS38" s="147"/>
      <c r="AT38" s="147"/>
      <c r="AU38" s="147"/>
      <c r="AV38" s="147"/>
      <c r="AW38" s="150">
        <f>AV37/AQ38</f>
        <v>0</v>
      </c>
      <c r="BA38" s="153"/>
      <c r="BB38" s="77" t="e">
        <f>BA37/BC37</f>
        <v>#DIV/0!</v>
      </c>
      <c r="BC38" s="155">
        <f>AX36+T36</f>
        <v>2564</v>
      </c>
      <c r="BG38" s="153"/>
    </row>
    <row r="39" spans="2:64">
      <c r="D39" s="156" t="s">
        <v>43</v>
      </c>
      <c r="E39" s="157"/>
      <c r="F39" s="147"/>
      <c r="G39" s="158"/>
      <c r="H39" s="147"/>
      <c r="I39" s="147"/>
      <c r="J39" s="149"/>
      <c r="K39" s="150"/>
      <c r="L39" s="159" t="s">
        <v>44</v>
      </c>
      <c r="M39" s="146"/>
      <c r="N39" s="147"/>
      <c r="O39" s="147"/>
      <c r="P39" s="147"/>
      <c r="Q39" s="147"/>
      <c r="R39" s="149"/>
      <c r="S39" s="150"/>
      <c r="W39" s="153"/>
      <c r="X39" s="77"/>
      <c r="Y39" s="159" t="s">
        <v>45</v>
      </c>
      <c r="AA39" s="147"/>
      <c r="AB39" s="147"/>
      <c r="AC39" s="147"/>
      <c r="AD39" s="147"/>
      <c r="AE39" s="147"/>
      <c r="AF39" s="150"/>
      <c r="AG39" s="159" t="s">
        <v>46</v>
      </c>
      <c r="AI39" s="147"/>
      <c r="AJ39" s="147"/>
      <c r="AK39" s="147"/>
      <c r="AL39" s="147"/>
      <c r="AM39" s="147"/>
      <c r="AN39" s="150"/>
      <c r="AO39" s="159" t="s">
        <v>47</v>
      </c>
      <c r="AQ39" s="147"/>
      <c r="AR39" s="147"/>
      <c r="AS39" s="147"/>
      <c r="AT39" s="147"/>
      <c r="AU39" s="147"/>
      <c r="AV39" s="147"/>
      <c r="AW39" s="150"/>
      <c r="BA39" s="77">
        <f>BA36+BB36</f>
        <v>10464245</v>
      </c>
      <c r="BB39" s="160">
        <f>BA39/G38</f>
        <v>348808.16666666669</v>
      </c>
      <c r="BC39" s="47" t="s">
        <v>49</v>
      </c>
      <c r="BG39" s="153"/>
    </row>
    <row r="40" spans="2:64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W40" s="77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BA40" s="163">
        <f>BA37+BB37</f>
        <v>9512950</v>
      </c>
    </row>
    <row r="41" spans="2:64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W41" s="153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BA41" s="77"/>
      <c r="BB41" s="160">
        <f>BA40/G38</f>
        <v>317098.33333333331</v>
      </c>
      <c r="BC41" s="47" t="s">
        <v>52</v>
      </c>
      <c r="BD41" s="47">
        <v>9</v>
      </c>
    </row>
    <row r="42" spans="2:64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W42" s="77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BD42" s="47">
        <v>8</v>
      </c>
      <c r="BE42" s="153">
        <f>AS37</f>
        <v>0</v>
      </c>
    </row>
    <row r="43" spans="2:64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BA43" s="153">
        <f>BA37+BB37</f>
        <v>9512950</v>
      </c>
      <c r="BB43" s="164" t="s">
        <v>53</v>
      </c>
      <c r="BD43" s="47">
        <v>7</v>
      </c>
      <c r="BE43" s="165">
        <f>'[1]2023(7)'!AS37</f>
        <v>15843636.363636361</v>
      </c>
      <c r="BF43" s="165">
        <v>6266320</v>
      </c>
      <c r="BG43" s="166">
        <f>BF43/BE43</f>
        <v>0.39551021344962134</v>
      </c>
    </row>
    <row r="44" spans="2:64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Y44" s="128"/>
      <c r="AZ44" s="167" t="s">
        <v>54</v>
      </c>
      <c r="BA44" s="145">
        <f>J45+R45+AE45+BB44+AM45+AV45</f>
        <v>12832000</v>
      </c>
      <c r="BB44" s="168"/>
      <c r="BC44" s="128"/>
      <c r="BD44" s="47">
        <v>6</v>
      </c>
      <c r="BE44" s="165">
        <v>7119727</v>
      </c>
      <c r="BF44" s="165">
        <v>2680643</v>
      </c>
      <c r="BG44" s="166">
        <f t="shared" ref="BG44:BG45" si="37">BF44/BE44</f>
        <v>0.37650923975034434</v>
      </c>
      <c r="BH44" s="47" t="s">
        <v>55</v>
      </c>
    </row>
    <row r="45" spans="2:64" ht="21" customHeight="1">
      <c r="H45" s="169"/>
      <c r="I45" s="170" t="s">
        <v>56</v>
      </c>
      <c r="J45" s="145">
        <v>3528000</v>
      </c>
      <c r="K45" s="171" t="s">
        <v>57</v>
      </c>
      <c r="L45" s="128"/>
      <c r="M45" s="128"/>
      <c r="N45" s="128"/>
      <c r="O45" s="128"/>
      <c r="P45" s="128"/>
      <c r="Q45" s="170" t="s">
        <v>58</v>
      </c>
      <c r="R45" s="145">
        <v>8100000</v>
      </c>
      <c r="S45" s="171" t="s">
        <v>57</v>
      </c>
      <c r="T45" s="128"/>
      <c r="U45" s="128"/>
      <c r="V45" s="170" t="s">
        <v>59</v>
      </c>
      <c r="W45" s="145">
        <f>J45+R45</f>
        <v>11628000</v>
      </c>
      <c r="X45" s="171" t="s">
        <v>57</v>
      </c>
      <c r="Y45" s="128"/>
      <c r="Z45" s="128"/>
      <c r="AA45" s="128"/>
      <c r="AB45" s="128"/>
      <c r="AC45" s="128"/>
      <c r="AD45" s="169" t="s">
        <v>60</v>
      </c>
      <c r="AE45" s="145">
        <v>700000</v>
      </c>
      <c r="AF45" s="171" t="s">
        <v>57</v>
      </c>
      <c r="AG45" s="171"/>
      <c r="AH45" s="171"/>
      <c r="AI45" s="171"/>
      <c r="AJ45" s="171"/>
      <c r="AK45" s="128"/>
      <c r="AL45" s="170" t="s">
        <v>61</v>
      </c>
      <c r="AM45" s="145">
        <v>504000</v>
      </c>
      <c r="AN45" s="171" t="s">
        <v>57</v>
      </c>
      <c r="AO45" s="171"/>
      <c r="AP45" s="171"/>
      <c r="AQ45" s="171"/>
      <c r="AR45" s="171"/>
      <c r="AS45" s="128"/>
      <c r="AT45" s="170" t="s">
        <v>62</v>
      </c>
      <c r="AU45" s="170"/>
      <c r="AV45" s="145"/>
      <c r="AW45" s="171" t="s">
        <v>57</v>
      </c>
      <c r="AX45" s="128"/>
      <c r="AY45" s="128"/>
      <c r="AZ45" s="167" t="s">
        <v>63</v>
      </c>
      <c r="BA45" s="144">
        <f>BA44-BA37-BB37</f>
        <v>3319050</v>
      </c>
      <c r="BB45" s="144">
        <f>BB44-BB37</f>
        <v>-86500</v>
      </c>
      <c r="BC45" s="172" t="e">
        <f>BB37/BB44</f>
        <v>#DIV/0!</v>
      </c>
      <c r="BD45" s="47">
        <v>5</v>
      </c>
      <c r="BE45" s="165">
        <v>637682</v>
      </c>
      <c r="BF45" s="165"/>
      <c r="BG45" s="166">
        <f t="shared" si="37"/>
        <v>0</v>
      </c>
      <c r="BH45" s="77" t="s">
        <v>64</v>
      </c>
      <c r="BL45" s="47"/>
    </row>
    <row r="46" spans="2:64" ht="21" customHeight="1">
      <c r="H46" s="169"/>
      <c r="I46" s="169" t="s">
        <v>63</v>
      </c>
      <c r="J46" s="144">
        <f>J45-J37</f>
        <v>307768.18181818211</v>
      </c>
      <c r="K46" s="173">
        <f>C38-G38</f>
        <v>0</v>
      </c>
      <c r="L46" s="128"/>
      <c r="M46" s="128"/>
      <c r="N46" s="128"/>
      <c r="O46" s="128"/>
      <c r="P46" s="128"/>
      <c r="Q46" s="169" t="s">
        <v>63</v>
      </c>
      <c r="R46" s="144">
        <f>R45-R37</f>
        <v>3175700</v>
      </c>
      <c r="S46" s="128">
        <f>K46</f>
        <v>0</v>
      </c>
      <c r="T46" s="128"/>
      <c r="U46" s="128"/>
      <c r="V46" s="169" t="s">
        <v>63</v>
      </c>
      <c r="W46" s="144">
        <f>W45-W37</f>
        <v>3491468.1818181826</v>
      </c>
      <c r="X46" s="128">
        <f>P46</f>
        <v>0</v>
      </c>
      <c r="Y46" s="128"/>
      <c r="Z46" s="128"/>
      <c r="AA46" s="128"/>
      <c r="AB46" s="128"/>
      <c r="AC46" s="128"/>
      <c r="AD46" s="169" t="s">
        <v>63</v>
      </c>
      <c r="AE46" s="144">
        <f>AE45-AE37</f>
        <v>489281.81818181823</v>
      </c>
      <c r="AF46" s="128">
        <f>K46</f>
        <v>0</v>
      </c>
      <c r="AG46" s="128"/>
      <c r="AH46" s="128"/>
      <c r="AI46" s="128"/>
      <c r="AJ46" s="128"/>
      <c r="AK46" s="128"/>
      <c r="AL46" s="169" t="s">
        <v>63</v>
      </c>
      <c r="AM46" s="144">
        <f>AM45-AM37</f>
        <v>-653700</v>
      </c>
      <c r="AN46" s="128">
        <f>AF46</f>
        <v>0</v>
      </c>
      <c r="AO46" s="128"/>
      <c r="AP46" s="128"/>
      <c r="AQ46" s="128"/>
      <c r="AR46" s="128"/>
      <c r="AS46" s="128"/>
      <c r="AT46" s="169" t="s">
        <v>63</v>
      </c>
      <c r="AU46" s="169"/>
      <c r="AV46" s="144">
        <f>AV45-AV37</f>
        <v>0</v>
      </c>
      <c r="AW46" s="128">
        <f>AN46</f>
        <v>0</v>
      </c>
      <c r="AX46" s="128"/>
      <c r="AY46" s="174"/>
      <c r="AZ46" s="175" t="s">
        <v>65</v>
      </c>
      <c r="BA46" s="176" t="e">
        <f>BA45/K46</f>
        <v>#DIV/0!</v>
      </c>
      <c r="BB46" s="177">
        <f>(BA37+BB37)/BA44</f>
        <v>0.74134585411471321</v>
      </c>
      <c r="BC46" s="174"/>
      <c r="BD46" s="178"/>
      <c r="BE46" s="179">
        <f>SUM(BE41:BE45)</f>
        <v>23601045.36363636</v>
      </c>
      <c r="BF46" s="180">
        <f>BJ71</f>
        <v>9138052</v>
      </c>
      <c r="BG46" s="181">
        <f>BF46/BE46</f>
        <v>0.38718844268142383</v>
      </c>
      <c r="BH46" s="182">
        <f>BE46-BF46</f>
        <v>14462993.36363636</v>
      </c>
      <c r="BL46" s="47"/>
    </row>
    <row r="47" spans="2:64" s="178" customFormat="1" ht="26" customHeight="1">
      <c r="B47" s="183"/>
      <c r="H47" s="184"/>
      <c r="I47" s="175" t="s">
        <v>65</v>
      </c>
      <c r="J47" s="185" t="e">
        <f>J46/K46</f>
        <v>#DIV/0!</v>
      </c>
      <c r="K47" s="186">
        <f>J37/J45</f>
        <v>0.91276412079983504</v>
      </c>
      <c r="L47" s="174"/>
      <c r="M47" s="174"/>
      <c r="N47" s="174"/>
      <c r="O47" s="174"/>
      <c r="P47" s="174"/>
      <c r="Q47" s="175" t="s">
        <v>65</v>
      </c>
      <c r="R47" s="176" t="e">
        <f>R46/S46</f>
        <v>#DIV/0!</v>
      </c>
      <c r="S47" s="186">
        <f>R37/R45</f>
        <v>0.6079382716049383</v>
      </c>
      <c r="T47" s="174"/>
      <c r="U47" s="174"/>
      <c r="V47" s="175" t="s">
        <v>65</v>
      </c>
      <c r="W47" s="176" t="e">
        <f>W46/X46</f>
        <v>#DIV/0!</v>
      </c>
      <c r="X47" s="186">
        <f>W37/W45</f>
        <v>0.69973613847452854</v>
      </c>
      <c r="Y47" s="174"/>
      <c r="Z47" s="174"/>
      <c r="AA47" s="174"/>
      <c r="AB47" s="174"/>
      <c r="AC47" s="174"/>
      <c r="AD47" s="175" t="s">
        <v>65</v>
      </c>
      <c r="AE47" s="185" t="e">
        <f>AE46/AF46</f>
        <v>#DIV/0!</v>
      </c>
      <c r="AF47" s="186">
        <f>AE37/AE45</f>
        <v>0.30102597402597397</v>
      </c>
      <c r="AG47" s="186"/>
      <c r="AH47" s="186"/>
      <c r="AI47" s="186"/>
      <c r="AJ47" s="186"/>
      <c r="AK47" s="174"/>
      <c r="AL47" s="175" t="s">
        <v>65</v>
      </c>
      <c r="AM47" s="176" t="e">
        <f>AM46/AN46</f>
        <v>#DIV/0!</v>
      </c>
      <c r="AN47" s="186">
        <f>AM37/AM45</f>
        <v>2.2970238095238096</v>
      </c>
      <c r="AO47" s="186"/>
      <c r="AP47" s="186"/>
      <c r="AQ47" s="186"/>
      <c r="AR47" s="186"/>
      <c r="AS47" s="174"/>
      <c r="AT47" s="175" t="s">
        <v>65</v>
      </c>
      <c r="AU47" s="175"/>
      <c r="AV47" s="176" t="e">
        <f>AV46/AW46</f>
        <v>#DIV/0!</v>
      </c>
      <c r="AW47" s="186" t="e">
        <f>AV37/AV45</f>
        <v>#DIV/0!</v>
      </c>
      <c r="AX47" s="174"/>
      <c r="AY47" s="47"/>
      <c r="AZ47" s="47"/>
      <c r="BA47" s="153"/>
      <c r="BB47" s="47"/>
      <c r="BC47" s="47"/>
      <c r="BD47" s="47"/>
      <c r="BH47" s="187"/>
      <c r="BJ47" s="187"/>
    </row>
    <row r="48" spans="2:64">
      <c r="K48" s="47">
        <f>J45/30</f>
        <v>117600</v>
      </c>
      <c r="S48" s="47">
        <f>R45/30</f>
        <v>270000</v>
      </c>
      <c r="AY48" s="188"/>
      <c r="AZ48" s="188"/>
      <c r="BA48" s="188"/>
      <c r="BB48" s="188"/>
      <c r="BC48" s="188"/>
      <c r="BD48" s="188"/>
      <c r="BH48" s="77"/>
      <c r="BL48" s="47"/>
    </row>
    <row r="49" spans="2:62" s="188" customFormat="1" ht="24" customHeight="1">
      <c r="B49" s="189"/>
      <c r="I49" s="188" t="s">
        <v>66</v>
      </c>
      <c r="J49" s="190" t="e">
        <f>(I5+I8+I9+I10+I11+I12+I15+I16+I17+I18+I19+I22+I23+I24+I25+I26)/16</f>
        <v>#DIV/0!</v>
      </c>
      <c r="L49" s="191"/>
      <c r="M49" s="47"/>
      <c r="N49" s="47"/>
      <c r="O49" s="47"/>
      <c r="P49" s="47"/>
      <c r="Q49" s="47"/>
      <c r="R49" s="191"/>
      <c r="AE49" s="188">
        <f>AE45/30</f>
        <v>23333.333333333332</v>
      </c>
      <c r="AQ49" s="192">
        <f>AP14+AP21</f>
        <v>0</v>
      </c>
      <c r="AR49" s="193" t="e">
        <f>AR14+AR21</f>
        <v>#DIV/0!</v>
      </c>
      <c r="AS49" s="193" t="e">
        <f>AT14+AT21</f>
        <v>#DIV/0!</v>
      </c>
      <c r="AY49" s="1"/>
      <c r="AZ49" s="1"/>
      <c r="BA49" s="1"/>
      <c r="BB49" s="1"/>
      <c r="BC49" s="194" t="s">
        <v>67</v>
      </c>
      <c r="BD49" s="1" t="s">
        <v>68</v>
      </c>
      <c r="BE49" s="1" t="s">
        <v>69</v>
      </c>
      <c r="BF49" s="1" t="s">
        <v>70</v>
      </c>
      <c r="BG49" s="1" t="s">
        <v>71</v>
      </c>
      <c r="BH49" s="195" t="s">
        <v>72</v>
      </c>
      <c r="BI49" s="195" t="s">
        <v>73</v>
      </c>
      <c r="BJ49" s="195" t="s">
        <v>74</v>
      </c>
    </row>
    <row r="50" spans="2:62" s="1" customFormat="1" ht="24" customHeight="1">
      <c r="B50" s="189"/>
      <c r="I50" s="1" t="s">
        <v>75</v>
      </c>
      <c r="J50" s="190">
        <f>(I6+I7+I13+I14+I20+I21+I27)/7</f>
        <v>447.74477166862573</v>
      </c>
      <c r="L50" s="196"/>
      <c r="M50" s="47"/>
      <c r="N50" s="47"/>
      <c r="O50" s="47"/>
      <c r="P50" s="47"/>
      <c r="Q50" s="47"/>
      <c r="R50" s="196"/>
      <c r="S50" s="196"/>
      <c r="Z50" s="197"/>
      <c r="AQ50" s="1">
        <f>AQ49/2</f>
        <v>0</v>
      </c>
      <c r="AR50" s="198" t="e">
        <f t="shared" ref="AR50:AS50" si="38">AR49/2</f>
        <v>#DIV/0!</v>
      </c>
      <c r="AS50" s="198" t="e">
        <f t="shared" si="38"/>
        <v>#DIV/0!</v>
      </c>
      <c r="AY50" s="188"/>
      <c r="AZ50" s="188"/>
      <c r="BA50" s="188"/>
      <c r="BB50" s="188"/>
      <c r="BC50" s="194" t="s">
        <v>76</v>
      </c>
      <c r="BD50" s="199">
        <v>1800</v>
      </c>
      <c r="BE50" s="199">
        <v>21</v>
      </c>
      <c r="BF50" s="200">
        <v>0</v>
      </c>
      <c r="BG50" s="199"/>
      <c r="BH50" s="201">
        <f>BE50*BD50</f>
        <v>37800</v>
      </c>
      <c r="BI50" s="201">
        <f>BD50*BF50</f>
        <v>0</v>
      </c>
      <c r="BJ50" s="201">
        <f>BH50-BI50</f>
        <v>37800</v>
      </c>
    </row>
    <row r="51" spans="2:62" s="188" customFormat="1" ht="24" customHeight="1">
      <c r="B51" s="189"/>
      <c r="K51" s="1"/>
      <c r="L51" s="196"/>
      <c r="M51" s="47"/>
      <c r="N51" s="47"/>
      <c r="O51" s="47"/>
      <c r="P51" s="47"/>
      <c r="Q51" s="47"/>
      <c r="R51" s="202"/>
      <c r="S51" s="203"/>
      <c r="T51" s="203"/>
      <c r="U51" s="203" t="s">
        <v>77</v>
      </c>
      <c r="V51" s="203"/>
      <c r="W51" s="204"/>
      <c r="X51" s="205"/>
      <c r="Y51" s="194"/>
      <c r="Z51" s="201"/>
      <c r="BC51" s="194" t="s">
        <v>78</v>
      </c>
      <c r="BD51" s="199">
        <v>10800</v>
      </c>
      <c r="BE51" s="199">
        <v>640</v>
      </c>
      <c r="BF51" s="199">
        <v>20</v>
      </c>
      <c r="BG51" s="199"/>
      <c r="BH51" s="201">
        <f t="shared" ref="BH51:BH70" si="39">BD51*BE51</f>
        <v>6912000</v>
      </c>
      <c r="BI51" s="201">
        <f t="shared" ref="BI51:BI70" si="40">BD51*BF51</f>
        <v>216000</v>
      </c>
      <c r="BJ51" s="201">
        <f t="shared" ref="BJ51:BJ70" si="41">BH51-BI51</f>
        <v>6696000</v>
      </c>
    </row>
    <row r="52" spans="2:62" s="188" customFormat="1" ht="24" customHeight="1">
      <c r="B52" s="189"/>
      <c r="K52" s="1"/>
      <c r="L52" s="196"/>
      <c r="M52" s="47"/>
      <c r="N52" s="47"/>
      <c r="O52" s="47"/>
      <c r="P52" s="47"/>
      <c r="Q52" s="47"/>
      <c r="R52" s="204"/>
      <c r="S52" s="203"/>
      <c r="T52" s="203"/>
      <c r="U52" s="206" t="s">
        <v>79</v>
      </c>
      <c r="V52" s="207" t="s">
        <v>80</v>
      </c>
      <c r="W52" s="208"/>
      <c r="X52" s="209" t="e">
        <f>W52/Y52</f>
        <v>#DIV/0!</v>
      </c>
      <c r="Y52" s="210">
        <f>W52+W53</f>
        <v>0</v>
      </c>
      <c r="Z52" s="211"/>
      <c r="AA52" s="211"/>
      <c r="BC52" s="194" t="s">
        <v>81</v>
      </c>
      <c r="BD52" s="199">
        <v>6120</v>
      </c>
      <c r="BE52" s="199">
        <v>40</v>
      </c>
      <c r="BF52" s="199">
        <v>4</v>
      </c>
      <c r="BG52" s="199"/>
      <c r="BH52" s="201">
        <f t="shared" si="39"/>
        <v>244800</v>
      </c>
      <c r="BI52" s="201">
        <f t="shared" si="40"/>
        <v>24480</v>
      </c>
      <c r="BJ52" s="201">
        <f t="shared" si="41"/>
        <v>220320</v>
      </c>
    </row>
    <row r="53" spans="2:62" s="188" customFormat="1" ht="24" customHeight="1">
      <c r="B53" s="189"/>
      <c r="K53" s="1"/>
      <c r="L53" s="196"/>
      <c r="M53" s="47"/>
      <c r="N53" s="47"/>
      <c r="O53" s="47"/>
      <c r="P53" s="47"/>
      <c r="Q53" s="47"/>
      <c r="R53" s="204"/>
      <c r="S53" s="203"/>
      <c r="T53" s="203"/>
      <c r="U53" s="206"/>
      <c r="V53" s="207" t="s">
        <v>82</v>
      </c>
      <c r="W53" s="208"/>
      <c r="X53" s="209" t="e">
        <f>W53/Y52</f>
        <v>#DIV/0!</v>
      </c>
      <c r="Y53" s="211"/>
      <c r="Z53" s="211"/>
      <c r="AA53" s="211"/>
      <c r="BA53" s="188" t="s">
        <v>83</v>
      </c>
      <c r="BC53" s="194" t="s">
        <v>84</v>
      </c>
      <c r="BD53" s="199">
        <v>1780</v>
      </c>
      <c r="BE53" s="199">
        <v>24</v>
      </c>
      <c r="BF53" s="199">
        <v>4</v>
      </c>
      <c r="BG53" s="199"/>
      <c r="BH53" s="201">
        <f t="shared" si="39"/>
        <v>42720</v>
      </c>
      <c r="BI53" s="201">
        <f t="shared" si="40"/>
        <v>7120</v>
      </c>
      <c r="BJ53" s="201">
        <f t="shared" si="41"/>
        <v>35600</v>
      </c>
    </row>
    <row r="54" spans="2:62" s="188" customFormat="1" ht="24" customHeight="1">
      <c r="B54" s="189"/>
      <c r="K54" s="1"/>
      <c r="L54" s="196"/>
      <c r="M54" s="47"/>
      <c r="N54" s="47"/>
      <c r="O54" s="47"/>
      <c r="P54" s="47"/>
      <c r="Q54" s="47"/>
      <c r="R54" s="204"/>
      <c r="S54" s="203"/>
      <c r="T54" s="203"/>
      <c r="U54" s="212" t="s">
        <v>85</v>
      </c>
      <c r="V54" s="207" t="s">
        <v>80</v>
      </c>
      <c r="W54" s="208"/>
      <c r="X54" s="209" t="e">
        <f t="shared" ref="X54" si="42">W54/Y54</f>
        <v>#DIV/0!</v>
      </c>
      <c r="Y54" s="210">
        <f t="shared" ref="Y54" si="43">W54+W55</f>
        <v>0</v>
      </c>
      <c r="Z54" s="211"/>
      <c r="AA54" s="211"/>
      <c r="BC54" s="194" t="s">
        <v>86</v>
      </c>
      <c r="BD54" s="199">
        <v>1780</v>
      </c>
      <c r="BE54" s="199">
        <v>24</v>
      </c>
      <c r="BF54" s="199">
        <v>20</v>
      </c>
      <c r="BG54" s="199"/>
      <c r="BH54" s="201">
        <f t="shared" si="39"/>
        <v>42720</v>
      </c>
      <c r="BI54" s="201">
        <f t="shared" si="40"/>
        <v>35600</v>
      </c>
      <c r="BJ54" s="201">
        <f t="shared" si="41"/>
        <v>7120</v>
      </c>
    </row>
    <row r="55" spans="2:62" s="188" customFormat="1" ht="24" customHeight="1">
      <c r="B55" s="189"/>
      <c r="L55" s="191"/>
      <c r="M55" s="47"/>
      <c r="N55" s="47"/>
      <c r="O55" s="47"/>
      <c r="P55" s="47"/>
      <c r="Q55" s="47"/>
      <c r="R55" s="213"/>
      <c r="S55" s="203"/>
      <c r="T55" s="203"/>
      <c r="U55" s="212"/>
      <c r="V55" s="207" t="s">
        <v>82</v>
      </c>
      <c r="W55" s="208"/>
      <c r="X55" s="209" t="e">
        <f t="shared" ref="X55" si="44">W55/Y54</f>
        <v>#DIV/0!</v>
      </c>
      <c r="Y55" s="211"/>
      <c r="Z55" s="211"/>
      <c r="AA55" s="211"/>
      <c r="AY55" s="47"/>
      <c r="AZ55" s="47"/>
      <c r="BA55" s="47"/>
      <c r="BB55" s="47"/>
      <c r="BC55" s="194" t="s">
        <v>87</v>
      </c>
      <c r="BD55" s="214">
        <v>8190</v>
      </c>
      <c r="BE55" s="199">
        <v>13</v>
      </c>
      <c r="BF55" s="199">
        <v>4</v>
      </c>
      <c r="BG55" s="199"/>
      <c r="BH55" s="201">
        <f t="shared" si="39"/>
        <v>106470</v>
      </c>
      <c r="BI55" s="201">
        <f t="shared" si="40"/>
        <v>32760</v>
      </c>
      <c r="BJ55" s="201">
        <f t="shared" si="41"/>
        <v>73710</v>
      </c>
    </row>
    <row r="56" spans="2:62" ht="24" customHeight="1">
      <c r="U56" s="215" t="s">
        <v>2</v>
      </c>
      <c r="V56" s="216" t="s">
        <v>80</v>
      </c>
      <c r="W56" s="208"/>
      <c r="X56" s="209" t="e">
        <f t="shared" ref="X56:X58" si="45">W56/Y56</f>
        <v>#DIV/0!</v>
      </c>
      <c r="Y56" s="210">
        <f t="shared" ref="Y56" si="46">W56+W57</f>
        <v>0</v>
      </c>
      <c r="Z56" s="211"/>
      <c r="AA56" s="211"/>
      <c r="BC56" s="194" t="s">
        <v>88</v>
      </c>
      <c r="BD56" s="214">
        <v>5784</v>
      </c>
      <c r="BE56" s="214">
        <v>36</v>
      </c>
      <c r="BF56" s="214">
        <v>28</v>
      </c>
      <c r="BG56" s="214"/>
      <c r="BH56" s="201">
        <f t="shared" si="39"/>
        <v>208224</v>
      </c>
      <c r="BI56" s="201">
        <f t="shared" si="40"/>
        <v>161952</v>
      </c>
      <c r="BJ56" s="201">
        <f t="shared" si="41"/>
        <v>46272</v>
      </c>
    </row>
    <row r="57" spans="2:62" ht="24" customHeight="1">
      <c r="U57" s="215"/>
      <c r="V57" s="216" t="s">
        <v>82</v>
      </c>
      <c r="W57" s="208"/>
      <c r="X57" s="209" t="e">
        <f t="shared" ref="X57:X59" si="47">W57/Y56</f>
        <v>#DIV/0!</v>
      </c>
      <c r="Y57" s="211"/>
      <c r="Z57" s="211"/>
      <c r="AA57" s="211"/>
      <c r="BC57" s="194" t="s">
        <v>89</v>
      </c>
      <c r="BD57" s="214">
        <v>6775</v>
      </c>
      <c r="BE57" s="214">
        <v>12</v>
      </c>
      <c r="BF57" s="214">
        <v>11</v>
      </c>
      <c r="BG57" s="214"/>
      <c r="BH57" s="201">
        <f t="shared" si="39"/>
        <v>81300</v>
      </c>
      <c r="BI57" s="201">
        <f t="shared" si="40"/>
        <v>74525</v>
      </c>
      <c r="BJ57" s="201">
        <f t="shared" si="41"/>
        <v>6775</v>
      </c>
    </row>
    <row r="58" spans="2:62" ht="24" customHeight="1">
      <c r="U58" s="217" t="s">
        <v>90</v>
      </c>
      <c r="V58" s="216" t="s">
        <v>80</v>
      </c>
      <c r="W58" s="208"/>
      <c r="X58" s="209" t="e">
        <f t="shared" si="45"/>
        <v>#DIV/0!</v>
      </c>
      <c r="Y58" s="218">
        <f>SUM(Y52:AA56)</f>
        <v>0</v>
      </c>
      <c r="Z58" s="219"/>
      <c r="AA58" s="219"/>
      <c r="BC58" s="194" t="s">
        <v>91</v>
      </c>
      <c r="BD58" s="214">
        <v>1755</v>
      </c>
      <c r="BE58" s="214">
        <v>14</v>
      </c>
      <c r="BF58" s="214">
        <v>2</v>
      </c>
      <c r="BG58" s="214"/>
      <c r="BH58" s="201">
        <f t="shared" si="39"/>
        <v>24570</v>
      </c>
      <c r="BI58" s="201">
        <f t="shared" si="40"/>
        <v>3510</v>
      </c>
      <c r="BJ58" s="201">
        <f t="shared" si="41"/>
        <v>21060</v>
      </c>
    </row>
    <row r="59" spans="2:62" ht="24" customHeight="1">
      <c r="U59" s="217"/>
      <c r="V59" s="216" t="s">
        <v>82</v>
      </c>
      <c r="W59" s="208"/>
      <c r="X59" s="209" t="e">
        <f t="shared" si="47"/>
        <v>#DIV/0!</v>
      </c>
      <c r="Y59" s="219"/>
      <c r="Z59" s="219"/>
      <c r="AA59" s="219"/>
      <c r="BC59" s="194" t="s">
        <v>92</v>
      </c>
      <c r="BD59" s="214">
        <v>1755</v>
      </c>
      <c r="BE59" s="214">
        <v>10</v>
      </c>
      <c r="BF59" s="214">
        <v>0</v>
      </c>
      <c r="BG59" s="214"/>
      <c r="BH59" s="201">
        <f t="shared" si="39"/>
        <v>17550</v>
      </c>
      <c r="BI59" s="201">
        <f t="shared" si="40"/>
        <v>0</v>
      </c>
      <c r="BJ59" s="201">
        <f t="shared" si="41"/>
        <v>17550</v>
      </c>
    </row>
    <row r="60" spans="2:62" ht="24" customHeight="1">
      <c r="BC60" s="194" t="s">
        <v>93</v>
      </c>
      <c r="BD60" s="214">
        <v>1075</v>
      </c>
      <c r="BE60" s="214">
        <v>96</v>
      </c>
      <c r="BF60" s="214">
        <v>38</v>
      </c>
      <c r="BG60" s="214"/>
      <c r="BH60" s="201">
        <f t="shared" si="39"/>
        <v>103200</v>
      </c>
      <c r="BI60" s="201">
        <f t="shared" si="40"/>
        <v>40850</v>
      </c>
      <c r="BJ60" s="201">
        <f t="shared" si="41"/>
        <v>62350</v>
      </c>
    </row>
    <row r="61" spans="2:62" ht="24" customHeight="1">
      <c r="BC61" s="194" t="s">
        <v>94</v>
      </c>
      <c r="BD61" s="214">
        <v>3860</v>
      </c>
      <c r="BE61" s="214">
        <v>166</v>
      </c>
      <c r="BF61" s="214">
        <v>13</v>
      </c>
      <c r="BG61" s="214"/>
      <c r="BH61" s="201">
        <f t="shared" si="39"/>
        <v>640760</v>
      </c>
      <c r="BI61" s="201">
        <f t="shared" si="40"/>
        <v>50180</v>
      </c>
      <c r="BJ61" s="201">
        <f t="shared" si="41"/>
        <v>590580</v>
      </c>
    </row>
    <row r="62" spans="2:62" ht="24" customHeight="1">
      <c r="BC62" s="194" t="s">
        <v>95</v>
      </c>
      <c r="BD62" s="214">
        <v>6450</v>
      </c>
      <c r="BE62" s="214">
        <v>137</v>
      </c>
      <c r="BF62" s="214">
        <v>12</v>
      </c>
      <c r="BG62" s="214"/>
      <c r="BH62" s="201">
        <f t="shared" si="39"/>
        <v>883650</v>
      </c>
      <c r="BI62" s="201">
        <f t="shared" si="40"/>
        <v>77400</v>
      </c>
      <c r="BJ62" s="201">
        <f t="shared" si="41"/>
        <v>806250</v>
      </c>
    </row>
    <row r="63" spans="2:62" ht="24" customHeight="1">
      <c r="BC63" s="194" t="s">
        <v>96</v>
      </c>
      <c r="BD63" s="214">
        <v>1380</v>
      </c>
      <c r="BE63" s="214">
        <v>35</v>
      </c>
      <c r="BF63" s="214">
        <v>5</v>
      </c>
      <c r="BG63" s="214"/>
      <c r="BH63" s="201">
        <f t="shared" si="39"/>
        <v>48300</v>
      </c>
      <c r="BI63" s="201">
        <f t="shared" si="40"/>
        <v>6900</v>
      </c>
      <c r="BJ63" s="201">
        <f t="shared" si="41"/>
        <v>41400</v>
      </c>
    </row>
    <row r="64" spans="2:62" ht="24" customHeight="1">
      <c r="BC64" s="194" t="s">
        <v>97</v>
      </c>
      <c r="BD64" s="214">
        <v>1380</v>
      </c>
      <c r="BE64" s="214">
        <v>39</v>
      </c>
      <c r="BF64" s="214">
        <v>6</v>
      </c>
      <c r="BG64" s="214"/>
      <c r="BH64" s="201">
        <f t="shared" si="39"/>
        <v>53820</v>
      </c>
      <c r="BI64" s="201">
        <f t="shared" si="40"/>
        <v>8280</v>
      </c>
      <c r="BJ64" s="201">
        <f t="shared" si="41"/>
        <v>45540</v>
      </c>
    </row>
    <row r="65" spans="55:62" ht="24" customHeight="1">
      <c r="BC65" s="194" t="s">
        <v>98</v>
      </c>
      <c r="BD65" s="214">
        <v>160</v>
      </c>
      <c r="BE65" s="214">
        <v>594</v>
      </c>
      <c r="BF65" s="214">
        <v>53</v>
      </c>
      <c r="BG65" s="214"/>
      <c r="BH65" s="201">
        <f t="shared" si="39"/>
        <v>95040</v>
      </c>
      <c r="BI65" s="201">
        <f t="shared" si="40"/>
        <v>8480</v>
      </c>
      <c r="BJ65" s="201">
        <f t="shared" si="41"/>
        <v>86560</v>
      </c>
    </row>
    <row r="66" spans="55:62" ht="24" customHeight="1">
      <c r="BC66" s="194" t="s">
        <v>99</v>
      </c>
      <c r="BD66" s="214">
        <v>160</v>
      </c>
      <c r="BE66" s="214">
        <v>300</v>
      </c>
      <c r="BF66" s="214">
        <v>47</v>
      </c>
      <c r="BG66" s="214"/>
      <c r="BH66" s="201">
        <f t="shared" si="39"/>
        <v>48000</v>
      </c>
      <c r="BI66" s="201">
        <f t="shared" si="40"/>
        <v>7520</v>
      </c>
      <c r="BJ66" s="201">
        <f t="shared" si="41"/>
        <v>40480</v>
      </c>
    </row>
    <row r="67" spans="55:62" ht="24" customHeight="1">
      <c r="BC67" s="194" t="s">
        <v>100</v>
      </c>
      <c r="BD67" s="214">
        <v>205</v>
      </c>
      <c r="BE67" s="214">
        <v>366</v>
      </c>
      <c r="BF67" s="214">
        <v>49</v>
      </c>
      <c r="BG67" s="214"/>
      <c r="BH67" s="201">
        <f t="shared" si="39"/>
        <v>75030</v>
      </c>
      <c r="BI67" s="201">
        <f t="shared" si="40"/>
        <v>10045</v>
      </c>
      <c r="BJ67" s="201">
        <f t="shared" si="41"/>
        <v>64985</v>
      </c>
    </row>
    <row r="68" spans="55:62" ht="24" customHeight="1">
      <c r="BC68" s="194" t="s">
        <v>101</v>
      </c>
      <c r="BD68" s="214">
        <v>295</v>
      </c>
      <c r="BE68" s="214">
        <v>612</v>
      </c>
      <c r="BF68" s="214">
        <v>86</v>
      </c>
      <c r="BG68" s="214"/>
      <c r="BH68" s="201">
        <f t="shared" si="39"/>
        <v>180540</v>
      </c>
      <c r="BI68" s="201">
        <f t="shared" si="40"/>
        <v>25370</v>
      </c>
      <c r="BJ68" s="201">
        <f t="shared" si="41"/>
        <v>155170</v>
      </c>
    </row>
    <row r="69" spans="55:62" ht="24" customHeight="1">
      <c r="BC69" s="194" t="s">
        <v>102</v>
      </c>
      <c r="BD69" s="214">
        <v>70</v>
      </c>
      <c r="BE69" s="214">
        <v>480</v>
      </c>
      <c r="BF69" s="214">
        <v>71</v>
      </c>
      <c r="BG69" s="214"/>
      <c r="BH69" s="201">
        <f t="shared" si="39"/>
        <v>33600</v>
      </c>
      <c r="BI69" s="201">
        <f t="shared" si="40"/>
        <v>4970</v>
      </c>
      <c r="BJ69" s="201">
        <f t="shared" si="41"/>
        <v>28630</v>
      </c>
    </row>
    <row r="70" spans="55:62" ht="24" customHeight="1">
      <c r="BC70" s="194" t="s">
        <v>103</v>
      </c>
      <c r="BD70" s="214">
        <v>2450</v>
      </c>
      <c r="BE70" s="214">
        <v>31</v>
      </c>
      <c r="BF70" s="214">
        <v>9</v>
      </c>
      <c r="BG70" s="214"/>
      <c r="BH70" s="201">
        <f t="shared" si="39"/>
        <v>75950</v>
      </c>
      <c r="BI70" s="201">
        <f t="shared" si="40"/>
        <v>22050</v>
      </c>
      <c r="BJ70" s="201">
        <f t="shared" si="41"/>
        <v>53900</v>
      </c>
    </row>
    <row r="71" spans="55:62" ht="24" customHeight="1">
      <c r="BC71" s="194"/>
      <c r="BH71" s="220">
        <f>SUM(BH50:BH70)</f>
        <v>9956044</v>
      </c>
      <c r="BI71" s="220">
        <f t="shared" ref="BI71:BJ71" si="48">SUM(BI50:BI70)</f>
        <v>817992</v>
      </c>
      <c r="BJ71" s="220">
        <f t="shared" si="48"/>
        <v>9138052</v>
      </c>
    </row>
    <row r="72" spans="55:62" ht="24" customHeight="1">
      <c r="BC72" s="194"/>
    </row>
    <row r="73" spans="55:62" ht="24" customHeight="1">
      <c r="BC73" s="194"/>
    </row>
    <row r="74" spans="55:62" ht="24" customHeight="1">
      <c r="BC74" s="194"/>
    </row>
    <row r="75" spans="55:62" ht="24" customHeight="1">
      <c r="BC75" s="194"/>
    </row>
    <row r="76" spans="55:62" ht="24" customHeight="1">
      <c r="BC76" s="194"/>
    </row>
    <row r="77" spans="55:62" ht="24" customHeight="1">
      <c r="BC77" s="194"/>
    </row>
    <row r="78" spans="55:62" ht="24" customHeight="1">
      <c r="BC78" s="194"/>
    </row>
    <row r="79" spans="55:62" ht="24" customHeight="1">
      <c r="BC79" s="194"/>
    </row>
    <row r="80" spans="55:62" ht="24" customHeight="1">
      <c r="BC80" s="194"/>
    </row>
    <row r="81" spans="55:55" ht="24" customHeight="1">
      <c r="BC81" s="194"/>
    </row>
    <row r="82" spans="55:55" ht="24" customHeight="1">
      <c r="BC82" s="194"/>
    </row>
    <row r="83" spans="55:55" ht="24" customHeight="1">
      <c r="BC83" s="194"/>
    </row>
    <row r="84" spans="55:55" ht="24" customHeight="1">
      <c r="BC84" s="194"/>
    </row>
    <row r="85" spans="55:55" ht="24" customHeight="1">
      <c r="BC85" s="194"/>
    </row>
    <row r="86" spans="55:55" ht="24" customHeight="1">
      <c r="BC86" s="194"/>
    </row>
    <row r="87" spans="55:55" ht="24" customHeight="1">
      <c r="BC87" s="194"/>
    </row>
    <row r="88" spans="55:55" ht="24" customHeight="1">
      <c r="BC88" s="194"/>
    </row>
    <row r="89" spans="55:55" ht="24" customHeight="1">
      <c r="BC89" s="194"/>
    </row>
    <row r="90" spans="55:55" ht="24" customHeight="1">
      <c r="BC90" s="194"/>
    </row>
    <row r="91" spans="55:55" ht="24" customHeight="1">
      <c r="BC91" s="194"/>
    </row>
    <row r="92" spans="55:55" ht="24" customHeight="1">
      <c r="BC92" s="194"/>
    </row>
    <row r="93" spans="55:55" ht="24" customHeight="1">
      <c r="BC93" s="194"/>
    </row>
    <row r="94" spans="55:55" ht="24" customHeight="1">
      <c r="BC94" s="194"/>
    </row>
    <row r="95" spans="55:55" ht="24" customHeight="1">
      <c r="BC95" s="194"/>
    </row>
    <row r="96" spans="55:55" ht="24" customHeight="1">
      <c r="BC96" s="194"/>
    </row>
    <row r="97" spans="55:55" ht="24" customHeight="1">
      <c r="BC97" s="194"/>
    </row>
    <row r="98" spans="55:55" ht="24" customHeight="1">
      <c r="BC98" s="194"/>
    </row>
    <row r="99" spans="55:55" ht="24" customHeight="1">
      <c r="BC99" s="194"/>
    </row>
    <row r="100" spans="55:55" ht="24" customHeight="1">
      <c r="BC100" s="194"/>
    </row>
    <row r="101" spans="55:55" ht="24" customHeight="1">
      <c r="BC101" s="194"/>
    </row>
    <row r="102" spans="55:55" ht="24" customHeight="1">
      <c r="BC102" s="194"/>
    </row>
    <row r="103" spans="55:55" ht="24" customHeight="1">
      <c r="BC103" s="194"/>
    </row>
    <row r="104" spans="55:55" ht="24" customHeight="1">
      <c r="BC104" s="194"/>
    </row>
    <row r="105" spans="55:55" ht="24" customHeight="1">
      <c r="BC105" s="194"/>
    </row>
    <row r="106" spans="55:55" ht="24" customHeight="1">
      <c r="BC106" s="194"/>
    </row>
    <row r="107" spans="55:55" ht="24" customHeight="1">
      <c r="BC107" s="194"/>
    </row>
    <row r="108" spans="55:55" ht="24" customHeight="1">
      <c r="BC108" s="194"/>
    </row>
    <row r="109" spans="55:55" ht="24" customHeight="1">
      <c r="BC109" s="194"/>
    </row>
    <row r="110" spans="55:55" ht="24" customHeight="1">
      <c r="BC110" s="194"/>
    </row>
    <row r="111" spans="55:55" ht="24" customHeight="1">
      <c r="BC111" s="194"/>
    </row>
    <row r="112" spans="55:55" ht="24" customHeight="1">
      <c r="BC112" s="194"/>
    </row>
    <row r="113" spans="55:55" ht="24" customHeight="1">
      <c r="BC113" s="194"/>
    </row>
    <row r="114" spans="55:55" ht="24" customHeight="1">
      <c r="BC114" s="194"/>
    </row>
    <row r="115" spans="55:55" ht="24" customHeight="1">
      <c r="BC115" s="194"/>
    </row>
    <row r="116" spans="55:55" ht="24" customHeight="1">
      <c r="BC116" s="194"/>
    </row>
    <row r="117" spans="55:55" ht="24" customHeight="1">
      <c r="BC117" s="194"/>
    </row>
    <row r="118" spans="55:55" ht="24" customHeight="1">
      <c r="BC118" s="194"/>
    </row>
    <row r="119" spans="55:55" ht="24" customHeight="1">
      <c r="BC119" s="194"/>
    </row>
    <row r="120" spans="55:55" ht="24" customHeight="1">
      <c r="BC120" s="194"/>
    </row>
    <row r="121" spans="55:55" ht="24" customHeight="1">
      <c r="BC121" s="194"/>
    </row>
    <row r="122" spans="55:55" ht="24" customHeight="1">
      <c r="BC122" s="194"/>
    </row>
    <row r="123" spans="55:55" ht="24" customHeight="1">
      <c r="BC123" s="194"/>
    </row>
    <row r="124" spans="55:55" ht="24" customHeight="1">
      <c r="BC124" s="194"/>
    </row>
    <row r="125" spans="55:55" ht="24" customHeight="1">
      <c r="BC125" s="194"/>
    </row>
    <row r="126" spans="55:55" ht="24" customHeight="1">
      <c r="BC126" s="194"/>
    </row>
    <row r="127" spans="55:55" ht="24" customHeight="1">
      <c r="BC127" s="194"/>
    </row>
    <row r="128" spans="55:55" ht="24" customHeight="1">
      <c r="BC128" s="194"/>
    </row>
    <row r="129" spans="55:55" ht="24" customHeight="1">
      <c r="BC129" s="194"/>
    </row>
    <row r="130" spans="55:55" ht="24" customHeight="1">
      <c r="BC130" s="194"/>
    </row>
    <row r="131" spans="55:55" ht="24" customHeight="1">
      <c r="BC131" s="194"/>
    </row>
    <row r="132" spans="55:55" ht="24" customHeight="1">
      <c r="BC132" s="194"/>
    </row>
    <row r="133" spans="55:55" ht="24" customHeight="1">
      <c r="BC133" s="194"/>
    </row>
    <row r="134" spans="55:55" ht="24" customHeight="1">
      <c r="BC134" s="194"/>
    </row>
    <row r="135" spans="55:55" ht="24" customHeight="1">
      <c r="BC135" s="194"/>
    </row>
    <row r="136" spans="55:55" ht="24" customHeight="1">
      <c r="BC136" s="194"/>
    </row>
    <row r="137" spans="55:55" ht="24" customHeight="1">
      <c r="BC137" s="194"/>
    </row>
    <row r="138" spans="55:55" ht="24" customHeight="1">
      <c r="BC138" s="194"/>
    </row>
    <row r="139" spans="55:55" ht="24" customHeight="1">
      <c r="BC139" s="194"/>
    </row>
    <row r="140" spans="55:55" ht="24" customHeight="1">
      <c r="BC140" s="194"/>
    </row>
    <row r="141" spans="55:55" ht="24" customHeight="1">
      <c r="BC141" s="194"/>
    </row>
    <row r="142" spans="55:55" ht="24" customHeight="1">
      <c r="BC142" s="194"/>
    </row>
    <row r="143" spans="55:55" ht="24" customHeight="1">
      <c r="BC143" s="194"/>
    </row>
    <row r="144" spans="55:55" ht="24" customHeight="1">
      <c r="BC144" s="194"/>
    </row>
    <row r="145" spans="55:55" ht="24" customHeight="1">
      <c r="BC145" s="194"/>
    </row>
    <row r="146" spans="55:55" ht="24" customHeight="1">
      <c r="BC146" s="194"/>
    </row>
    <row r="147" spans="55:55" ht="24" customHeight="1">
      <c r="BC147" s="194"/>
    </row>
    <row r="148" spans="55:55" ht="24" customHeight="1">
      <c r="BC148" s="194"/>
    </row>
    <row r="149" spans="55:55" ht="24" customHeight="1">
      <c r="BC149" s="194"/>
    </row>
    <row r="150" spans="55:55" ht="24" customHeight="1">
      <c r="BC150" s="194"/>
    </row>
    <row r="151" spans="55:55" ht="24" customHeight="1">
      <c r="BC151" s="194"/>
    </row>
    <row r="152" spans="55:55" ht="24" customHeight="1">
      <c r="BC152" s="194"/>
    </row>
    <row r="153" spans="55:55" ht="24" customHeight="1">
      <c r="BC153" s="194"/>
    </row>
    <row r="154" spans="55:55" ht="24" customHeight="1">
      <c r="BC154" s="194"/>
    </row>
    <row r="155" spans="55:55" ht="24" customHeight="1">
      <c r="BC155" s="194"/>
    </row>
    <row r="156" spans="55:55" ht="24" customHeight="1">
      <c r="BC156" s="194"/>
    </row>
    <row r="157" spans="55:55" ht="24" customHeight="1">
      <c r="BC157" s="194"/>
    </row>
    <row r="158" spans="55:55" ht="24" customHeight="1">
      <c r="BC158" s="194"/>
    </row>
    <row r="159" spans="55:55" ht="24" customHeight="1">
      <c r="BC159" s="194"/>
    </row>
    <row r="160" spans="55:55" ht="24" customHeight="1">
      <c r="BC160" s="194"/>
    </row>
    <row r="161" spans="55:55" ht="24" customHeight="1">
      <c r="BC161" s="194"/>
    </row>
    <row r="162" spans="55:55" ht="24" customHeight="1">
      <c r="BC162" s="194"/>
    </row>
    <row r="163" spans="55:55" ht="24" customHeight="1">
      <c r="BC163" s="194"/>
    </row>
    <row r="164" spans="55:55" ht="24" customHeight="1">
      <c r="BC164" s="194"/>
    </row>
    <row r="165" spans="55:55" ht="24" customHeight="1">
      <c r="BC165" s="194"/>
    </row>
    <row r="166" spans="55:55" ht="24" customHeight="1">
      <c r="BC166" s="194"/>
    </row>
    <row r="167" spans="55:55" ht="24" customHeight="1">
      <c r="BC167" s="194"/>
    </row>
    <row r="168" spans="55:55" ht="24" customHeight="1">
      <c r="BC168" s="194"/>
    </row>
    <row r="169" spans="55:55" ht="24" customHeight="1">
      <c r="BC169" s="194"/>
    </row>
    <row r="170" spans="55:55" ht="24" customHeight="1">
      <c r="BC170" s="194"/>
    </row>
    <row r="171" spans="55:55" ht="24" customHeight="1">
      <c r="BC171" s="194"/>
    </row>
    <row r="172" spans="55:55" ht="24" customHeight="1">
      <c r="BC172" s="194"/>
    </row>
    <row r="173" spans="55:55" ht="24" customHeight="1">
      <c r="BC173" s="194"/>
    </row>
    <row r="174" spans="55:55" ht="24" customHeight="1">
      <c r="BC174" s="194"/>
    </row>
    <row r="175" spans="55:55" ht="24" customHeight="1">
      <c r="BC175" s="194"/>
    </row>
    <row r="176" spans="55:55" ht="24" customHeight="1">
      <c r="BC176" s="194"/>
    </row>
    <row r="177" spans="55:55" ht="24" customHeight="1">
      <c r="BC177" s="194"/>
    </row>
    <row r="178" spans="55:55" ht="24" customHeight="1">
      <c r="BC178" s="194"/>
    </row>
    <row r="179" spans="55:55" ht="24" customHeight="1">
      <c r="BC179" s="194"/>
    </row>
    <row r="180" spans="55:55" ht="24" customHeight="1">
      <c r="BC180" s="194"/>
    </row>
    <row r="181" spans="55:55" ht="24" customHeight="1">
      <c r="BC181" s="194"/>
    </row>
    <row r="182" spans="55:55" ht="24" customHeight="1">
      <c r="BC182" s="194"/>
    </row>
    <row r="183" spans="55:55" ht="24" customHeight="1">
      <c r="BC183" s="194"/>
    </row>
    <row r="184" spans="55:55">
      <c r="BC184" s="194"/>
    </row>
    <row r="185" spans="55:55">
      <c r="BC185" s="194"/>
    </row>
    <row r="186" spans="55:55">
      <c r="BC186" s="194"/>
    </row>
    <row r="187" spans="55:55">
      <c r="BC187" s="194"/>
    </row>
    <row r="188" spans="55:55">
      <c r="BC188" s="194"/>
    </row>
    <row r="189" spans="55:55">
      <c r="BC189" s="194"/>
    </row>
    <row r="190" spans="55:55">
      <c r="BC190" s="194"/>
    </row>
    <row r="191" spans="55:55">
      <c r="BC191" s="194"/>
    </row>
    <row r="192" spans="55:55">
      <c r="BC192" s="194"/>
    </row>
    <row r="193" spans="55:55">
      <c r="BC193" s="194"/>
    </row>
    <row r="194" spans="55:55">
      <c r="BC194" s="194"/>
    </row>
    <row r="195" spans="55:55">
      <c r="BC195" s="194"/>
    </row>
    <row r="196" spans="55:55">
      <c r="BC196" s="194"/>
    </row>
    <row r="197" spans="55:55">
      <c r="BC197" s="194"/>
    </row>
    <row r="198" spans="55:55">
      <c r="BC198" s="194"/>
    </row>
    <row r="199" spans="55:55">
      <c r="BC199" s="194"/>
    </row>
    <row r="200" spans="55:55">
      <c r="BC200" s="194"/>
    </row>
    <row r="201" spans="55:55">
      <c r="BC201" s="194"/>
    </row>
    <row r="202" spans="55:55">
      <c r="BC202" s="194"/>
    </row>
    <row r="203" spans="55:55">
      <c r="BC203" s="194"/>
    </row>
    <row r="204" spans="55:55">
      <c r="BC204" s="194"/>
    </row>
    <row r="205" spans="55:55">
      <c r="BC205" s="194"/>
    </row>
    <row r="206" spans="55:55">
      <c r="BC206" s="194"/>
    </row>
    <row r="207" spans="55:55">
      <c r="BC207" s="194"/>
    </row>
    <row r="208" spans="55:55">
      <c r="BC208" s="194"/>
    </row>
    <row r="209" spans="55:55">
      <c r="BC209" s="194"/>
    </row>
    <row r="210" spans="55:55">
      <c r="BC210" s="194"/>
    </row>
    <row r="211" spans="55:55">
      <c r="BC211" s="194"/>
    </row>
    <row r="212" spans="55:55">
      <c r="BC212" s="194"/>
    </row>
    <row r="213" spans="55:55">
      <c r="BC213" s="194"/>
    </row>
    <row r="214" spans="55:55">
      <c r="BC214" s="194"/>
    </row>
    <row r="215" spans="55:55">
      <c r="BC215" s="194"/>
    </row>
    <row r="216" spans="55:55">
      <c r="BC216" s="194"/>
    </row>
    <row r="217" spans="55:55">
      <c r="BC217" s="194"/>
    </row>
    <row r="218" spans="55:55">
      <c r="BC218" s="194"/>
    </row>
    <row r="219" spans="55:55">
      <c r="BC219" s="194"/>
    </row>
    <row r="220" spans="55:55">
      <c r="BC220" s="194"/>
    </row>
    <row r="221" spans="55:55">
      <c r="BC221" s="194"/>
    </row>
    <row r="222" spans="55:55">
      <c r="BC222" s="194"/>
    </row>
    <row r="223" spans="55:55">
      <c r="BC223" s="194"/>
    </row>
    <row r="224" spans="55:55">
      <c r="BC224" s="194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F4C9-50FA-8540-8BFE-89631C13F27B}">
  <dimension ref="A1:BM224"/>
  <sheetViews>
    <sheetView tabSelected="1" workbookViewId="0">
      <selection activeCell="E15" sqref="E15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4" s="3" customFormat="1">
      <c r="A1" s="1" t="s">
        <v>0</v>
      </c>
      <c r="B1" s="2"/>
      <c r="BJ1" s="4"/>
      <c r="BL1" s="4"/>
    </row>
    <row r="2" spans="1:64" s="3" customFormat="1" ht="35" thickBot="1">
      <c r="A2" s="5">
        <v>2023</v>
      </c>
      <c r="B2" s="6">
        <v>12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4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4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4" ht="20" customHeight="1" thickTop="1">
      <c r="B5" s="48">
        <f>DATE($A$2,$B$2,1)</f>
        <v>45261</v>
      </c>
      <c r="C5" s="49"/>
      <c r="D5" s="50"/>
      <c r="E5" s="51">
        <v>23</v>
      </c>
      <c r="F5" s="52">
        <v>69850</v>
      </c>
      <c r="G5" s="53">
        <f t="shared" ref="G5:G35" si="0">ROUNDDOWN(F5/1.1,0)/E5</f>
        <v>2760.8695652173915</v>
      </c>
      <c r="H5" s="52">
        <v>17880</v>
      </c>
      <c r="I5" s="54">
        <f t="shared" ref="I5:I35" si="1">ROUNDDOWN(H5/1.1,0)/E5</f>
        <v>706.695652173913</v>
      </c>
      <c r="J5" s="55">
        <f t="shared" ref="J5:J35" si="2">F5+H5</f>
        <v>87730</v>
      </c>
      <c r="K5" s="56">
        <f t="shared" ref="K5:K35" si="3">IF(E5="","",J5/E5)</f>
        <v>3814.3478260869565</v>
      </c>
      <c r="L5" s="57"/>
      <c r="M5" s="58">
        <f t="shared" ref="M5:N35" si="4">BC5-E5</f>
        <v>31</v>
      </c>
      <c r="N5" s="59">
        <f t="shared" si="4"/>
        <v>296670</v>
      </c>
      <c r="O5" s="53">
        <f t="shared" ref="O5:O35" si="5">ROUNDDOWN(N5/1.1,0)/M5</f>
        <v>8700</v>
      </c>
      <c r="P5" s="59">
        <f t="shared" ref="P5:P35" si="6">BE5-H5</f>
        <v>63010</v>
      </c>
      <c r="Q5" s="54">
        <f t="shared" ref="Q5:Q35" si="7">ROUNDDOWN(P5/1.1,0)/M5</f>
        <v>1847.7741935483871</v>
      </c>
      <c r="R5" s="60">
        <f t="shared" ref="R5:R35" si="8">N5+P5</f>
        <v>359680</v>
      </c>
      <c r="S5" s="56">
        <f t="shared" ref="S5:S35" si="9">IF(M5="","",R5/M5)</f>
        <v>11602.58064516129</v>
      </c>
      <c r="T5" s="61">
        <f t="shared" ref="T5:U35" si="10">E5+M5</f>
        <v>54</v>
      </c>
      <c r="U5" s="59">
        <f t="shared" si="10"/>
        <v>366520</v>
      </c>
      <c r="V5" s="59">
        <f t="shared" ref="V5:V35" si="11">H5+P5</f>
        <v>80890</v>
      </c>
      <c r="W5" s="62">
        <f t="shared" ref="W5:W35" si="12">J5+R5</f>
        <v>447410</v>
      </c>
      <c r="X5" s="59"/>
      <c r="Y5" s="63"/>
      <c r="Z5" s="64">
        <v>4</v>
      </c>
      <c r="AA5" s="52">
        <v>1810</v>
      </c>
      <c r="AB5" s="53">
        <f t="shared" ref="AB5:AB35" si="13">AA5/Z5</f>
        <v>452.5</v>
      </c>
      <c r="AC5" s="52">
        <v>1000</v>
      </c>
      <c r="AD5" s="54">
        <f t="shared" ref="AD5:AD35" si="14">AC5/Z5</f>
        <v>250</v>
      </c>
      <c r="AE5" s="65">
        <f t="shared" ref="AE5:AE35" si="15">AA5+AC5</f>
        <v>2810</v>
      </c>
      <c r="AF5" s="56">
        <f t="shared" ref="AF5:AF35" si="16">IF(Z5="","",AE5/Z5)</f>
        <v>702.5</v>
      </c>
      <c r="AG5" s="66"/>
      <c r="AH5" s="64">
        <v>19</v>
      </c>
      <c r="AI5" s="52">
        <v>74385</v>
      </c>
      <c r="AJ5" s="53">
        <f t="shared" ref="AJ5:AJ35" si="17">AI5/AH5</f>
        <v>3915</v>
      </c>
      <c r="AK5" s="52">
        <v>24795</v>
      </c>
      <c r="AL5" s="54">
        <f t="shared" ref="AL5:AL35" si="18">AK5/AH5</f>
        <v>1305</v>
      </c>
      <c r="AM5" s="65">
        <f>AI5+AK5</f>
        <v>99180</v>
      </c>
      <c r="AN5" s="67">
        <f t="shared" ref="AN5:AN35" si="19">IF(AH5="","",AM5/AH5)</f>
        <v>5220</v>
      </c>
      <c r="AO5" s="68"/>
      <c r="AP5" s="64"/>
      <c r="AQ5" s="52"/>
      <c r="AR5" s="53" t="e">
        <f t="shared" ref="AR5:AR35" si="20">AQ5/AP5</f>
        <v>#DIV/0!</v>
      </c>
      <c r="AS5" s="52"/>
      <c r="AT5" s="54" t="e">
        <f t="shared" ref="AT5:AT35" si="21">AS5/AP5</f>
        <v>#DIV/0!</v>
      </c>
      <c r="AU5" s="54"/>
      <c r="AV5" s="69">
        <f>AQ5+AS5+AU5</f>
        <v>0</v>
      </c>
      <c r="AW5" s="67" t="str">
        <f t="shared" ref="AW5:AW35" si="22">IF(AP5="","",AV5/AP5)</f>
        <v/>
      </c>
      <c r="AX5" s="70">
        <f t="shared" ref="AX5:AX35" si="23">SUM(E5,M5)</f>
        <v>54</v>
      </c>
      <c r="AY5" s="59">
        <f t="shared" ref="AY5:AY35" si="24">U5+AA5+AI5+AQ5</f>
        <v>442715</v>
      </c>
      <c r="AZ5" s="59">
        <f t="shared" ref="AZ5:AZ35" si="25">V5+AC5+AK5+AS5</f>
        <v>106685</v>
      </c>
      <c r="BA5" s="71">
        <f t="shared" ref="BA5:BA35" si="26">W5+AE5+AM5+AV5</f>
        <v>549400</v>
      </c>
      <c r="BB5" s="72">
        <f>BF5+BG5</f>
        <v>12650</v>
      </c>
      <c r="BC5" s="73">
        <v>54</v>
      </c>
      <c r="BD5" s="74">
        <v>366520</v>
      </c>
      <c r="BE5" s="74">
        <v>80890</v>
      </c>
      <c r="BF5" s="75">
        <v>12650</v>
      </c>
      <c r="BG5" s="75"/>
      <c r="BH5" s="75">
        <v>3300</v>
      </c>
      <c r="BI5" s="75"/>
      <c r="BJ5" s="76">
        <f>SUM(BD5:BG5)</f>
        <v>460060</v>
      </c>
      <c r="BK5" s="47">
        <v>1</v>
      </c>
      <c r="BL5" s="77">
        <f t="shared" ref="BL5:BL35" si="27">BI5+BJ5</f>
        <v>460060</v>
      </c>
    </row>
    <row r="6" spans="1:64" ht="20" customHeight="1">
      <c r="B6" s="78">
        <f t="shared" ref="B6:B35" si="28">B5+1</f>
        <v>45262</v>
      </c>
      <c r="C6" s="79"/>
      <c r="D6" s="50"/>
      <c r="E6" s="51">
        <v>33</v>
      </c>
      <c r="F6" s="52">
        <v>131890</v>
      </c>
      <c r="G6" s="53">
        <f t="shared" si="0"/>
        <v>3633.3333333333335</v>
      </c>
      <c r="H6" s="52">
        <v>27650</v>
      </c>
      <c r="I6" s="54">
        <f t="shared" si="1"/>
        <v>761.69696969696975</v>
      </c>
      <c r="J6" s="55">
        <f t="shared" si="2"/>
        <v>159540</v>
      </c>
      <c r="K6" s="56">
        <f t="shared" si="3"/>
        <v>4834.545454545455</v>
      </c>
      <c r="L6" s="57"/>
      <c r="M6" s="58">
        <f t="shared" si="4"/>
        <v>31</v>
      </c>
      <c r="N6" s="59">
        <f t="shared" si="4"/>
        <v>294800</v>
      </c>
      <c r="O6" s="53">
        <f t="shared" si="5"/>
        <v>8645.1612903225814</v>
      </c>
      <c r="P6" s="59">
        <f t="shared" si="6"/>
        <v>63230</v>
      </c>
      <c r="Q6" s="54">
        <f t="shared" si="7"/>
        <v>1854.2258064516129</v>
      </c>
      <c r="R6" s="60">
        <f t="shared" si="8"/>
        <v>358030</v>
      </c>
      <c r="S6" s="56">
        <f t="shared" si="9"/>
        <v>11549.354838709678</v>
      </c>
      <c r="T6" s="80">
        <f t="shared" si="10"/>
        <v>64</v>
      </c>
      <c r="U6" s="59">
        <f t="shared" si="10"/>
        <v>426690</v>
      </c>
      <c r="V6" s="59">
        <f t="shared" si="11"/>
        <v>90880</v>
      </c>
      <c r="W6" s="62">
        <f t="shared" si="12"/>
        <v>517570</v>
      </c>
      <c r="X6" s="81"/>
      <c r="Y6" s="63"/>
      <c r="Z6" s="64">
        <v>18</v>
      </c>
      <c r="AA6" s="52">
        <v>9750</v>
      </c>
      <c r="AB6" s="53">
        <f t="shared" si="13"/>
        <v>541.66666666666663</v>
      </c>
      <c r="AC6" s="52">
        <v>8890</v>
      </c>
      <c r="AD6" s="54">
        <f t="shared" si="14"/>
        <v>493.88888888888891</v>
      </c>
      <c r="AE6" s="65">
        <f>AA6+AC6</f>
        <v>18640</v>
      </c>
      <c r="AF6" s="56">
        <f t="shared" si="16"/>
        <v>1035.5555555555557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64</v>
      </c>
      <c r="AY6" s="59">
        <f t="shared" si="24"/>
        <v>436440</v>
      </c>
      <c r="AZ6" s="59">
        <f t="shared" si="25"/>
        <v>99770</v>
      </c>
      <c r="BA6" s="71">
        <f t="shared" si="26"/>
        <v>536210</v>
      </c>
      <c r="BB6" s="72">
        <f t="shared" ref="BB6:BB35" si="31">BF6+BG6</f>
        <v>5500</v>
      </c>
      <c r="BC6" s="73">
        <v>64</v>
      </c>
      <c r="BD6" s="74">
        <v>426690</v>
      </c>
      <c r="BE6" s="74">
        <v>90880</v>
      </c>
      <c r="BF6" s="75">
        <v>3300</v>
      </c>
      <c r="BG6" s="75">
        <v>2200</v>
      </c>
      <c r="BH6" s="75"/>
      <c r="BI6" s="75"/>
      <c r="BJ6" s="76">
        <f t="shared" ref="BJ6:BJ35" si="32">SUM(BD6:BG6)</f>
        <v>523070</v>
      </c>
      <c r="BK6" s="47">
        <v>2</v>
      </c>
      <c r="BL6" s="77">
        <f t="shared" si="27"/>
        <v>523070</v>
      </c>
    </row>
    <row r="7" spans="1:64" ht="20" customHeight="1">
      <c r="B7" s="78">
        <f>B6+1</f>
        <v>45263</v>
      </c>
      <c r="C7" s="79"/>
      <c r="D7" s="50"/>
      <c r="E7" s="51">
        <v>33</v>
      </c>
      <c r="F7" s="52">
        <v>141350</v>
      </c>
      <c r="G7" s="53">
        <f t="shared" si="0"/>
        <v>3893.939393939394</v>
      </c>
      <c r="H7" s="52">
        <v>30760</v>
      </c>
      <c r="I7" s="54">
        <f t="shared" si="1"/>
        <v>847.36363636363637</v>
      </c>
      <c r="J7" s="55">
        <f t="shared" si="2"/>
        <v>172110</v>
      </c>
      <c r="K7" s="56">
        <f t="shared" si="3"/>
        <v>5215.454545454545</v>
      </c>
      <c r="L7" s="57"/>
      <c r="M7" s="58">
        <f t="shared" si="4"/>
        <v>21</v>
      </c>
      <c r="N7" s="59">
        <f t="shared" si="4"/>
        <v>203500</v>
      </c>
      <c r="O7" s="53">
        <f t="shared" si="5"/>
        <v>8809.5238095238092</v>
      </c>
      <c r="P7" s="59">
        <f t="shared" si="6"/>
        <v>41130</v>
      </c>
      <c r="Q7" s="54">
        <f t="shared" si="7"/>
        <v>1780.4761904761904</v>
      </c>
      <c r="R7" s="60">
        <f t="shared" si="8"/>
        <v>244630</v>
      </c>
      <c r="S7" s="56">
        <f t="shared" si="9"/>
        <v>11649.047619047618</v>
      </c>
      <c r="T7" s="80">
        <f t="shared" si="10"/>
        <v>54</v>
      </c>
      <c r="U7" s="59">
        <f t="shared" si="10"/>
        <v>344850</v>
      </c>
      <c r="V7" s="59">
        <f t="shared" si="11"/>
        <v>71890</v>
      </c>
      <c r="W7" s="62">
        <f t="shared" si="12"/>
        <v>416740</v>
      </c>
      <c r="X7" s="81"/>
      <c r="Y7" s="63"/>
      <c r="Z7" s="64">
        <v>2</v>
      </c>
      <c r="AA7" s="52">
        <v>700</v>
      </c>
      <c r="AB7" s="53">
        <f t="shared" si="13"/>
        <v>350</v>
      </c>
      <c r="AC7" s="52">
        <v>3700</v>
      </c>
      <c r="AD7" s="54">
        <f t="shared" si="14"/>
        <v>1850</v>
      </c>
      <c r="AE7" s="65">
        <f t="shared" si="15"/>
        <v>4400</v>
      </c>
      <c r="AF7" s="56">
        <f t="shared" si="16"/>
        <v>2200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54</v>
      </c>
      <c r="AY7" s="59">
        <f t="shared" si="24"/>
        <v>345550</v>
      </c>
      <c r="AZ7" s="59">
        <f t="shared" si="25"/>
        <v>75590</v>
      </c>
      <c r="BA7" s="71">
        <f t="shared" si="26"/>
        <v>421140</v>
      </c>
      <c r="BB7" s="72">
        <f t="shared" si="31"/>
        <v>9900</v>
      </c>
      <c r="BC7" s="73">
        <v>54</v>
      </c>
      <c r="BD7" s="74">
        <v>344850</v>
      </c>
      <c r="BE7" s="74">
        <v>71890</v>
      </c>
      <c r="BF7" s="75">
        <v>5500</v>
      </c>
      <c r="BG7" s="75">
        <v>4400</v>
      </c>
      <c r="BH7" s="75"/>
      <c r="BI7" s="75"/>
      <c r="BJ7" s="76">
        <f t="shared" si="32"/>
        <v>426640</v>
      </c>
      <c r="BK7" s="47">
        <v>3</v>
      </c>
      <c r="BL7" s="77">
        <f t="shared" si="27"/>
        <v>426640</v>
      </c>
    </row>
    <row r="8" spans="1:64" ht="20" customHeight="1">
      <c r="B8" s="78">
        <f t="shared" si="28"/>
        <v>45264</v>
      </c>
      <c r="C8" s="79"/>
      <c r="D8" s="50"/>
      <c r="E8" s="51">
        <v>16</v>
      </c>
      <c r="F8" s="52">
        <v>42350</v>
      </c>
      <c r="G8" s="53">
        <f t="shared" si="0"/>
        <v>2406.25</v>
      </c>
      <c r="H8" s="52">
        <v>3960</v>
      </c>
      <c r="I8" s="54">
        <f t="shared" si="1"/>
        <v>225</v>
      </c>
      <c r="J8" s="55">
        <f t="shared" si="2"/>
        <v>46310</v>
      </c>
      <c r="K8" s="56">
        <f t="shared" si="3"/>
        <v>2894.375</v>
      </c>
      <c r="L8" s="57"/>
      <c r="M8" s="58">
        <f t="shared" si="4"/>
        <v>9</v>
      </c>
      <c r="N8" s="59">
        <f t="shared" si="4"/>
        <v>91960</v>
      </c>
      <c r="O8" s="53">
        <f t="shared" si="5"/>
        <v>9288.8888888888887</v>
      </c>
      <c r="P8" s="59">
        <f t="shared" si="6"/>
        <v>37670</v>
      </c>
      <c r="Q8" s="54">
        <f t="shared" si="7"/>
        <v>3805</v>
      </c>
      <c r="R8" s="60">
        <f t="shared" si="8"/>
        <v>129630</v>
      </c>
      <c r="S8" s="56">
        <f t="shared" si="9"/>
        <v>14403.333333333334</v>
      </c>
      <c r="T8" s="80">
        <f t="shared" si="10"/>
        <v>25</v>
      </c>
      <c r="U8" s="59">
        <f t="shared" si="10"/>
        <v>134310</v>
      </c>
      <c r="V8" s="59">
        <f t="shared" si="11"/>
        <v>41630</v>
      </c>
      <c r="W8" s="62">
        <f t="shared" si="12"/>
        <v>175940</v>
      </c>
      <c r="X8" s="81"/>
      <c r="Y8" s="63"/>
      <c r="Z8" s="64">
        <v>13</v>
      </c>
      <c r="AA8" s="52">
        <v>5350</v>
      </c>
      <c r="AB8" s="53">
        <f t="shared" si="13"/>
        <v>411.53846153846155</v>
      </c>
      <c r="AC8" s="52">
        <v>5500</v>
      </c>
      <c r="AD8" s="54">
        <f t="shared" si="14"/>
        <v>423.07692307692309</v>
      </c>
      <c r="AE8" s="65">
        <f t="shared" si="15"/>
        <v>10850</v>
      </c>
      <c r="AF8" s="56">
        <f t="shared" si="16"/>
        <v>834.61538461538464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25</v>
      </c>
      <c r="AY8" s="59">
        <f t="shared" si="24"/>
        <v>139660</v>
      </c>
      <c r="AZ8" s="59">
        <f t="shared" si="25"/>
        <v>47130</v>
      </c>
      <c r="BA8" s="71">
        <f t="shared" si="26"/>
        <v>186790</v>
      </c>
      <c r="BB8" s="72">
        <f t="shared" si="31"/>
        <v>2200</v>
      </c>
      <c r="BC8" s="73">
        <v>25</v>
      </c>
      <c r="BD8" s="74">
        <v>134310</v>
      </c>
      <c r="BE8" s="74">
        <v>41630</v>
      </c>
      <c r="BF8" s="75">
        <v>1100</v>
      </c>
      <c r="BG8" s="75">
        <v>1100</v>
      </c>
      <c r="BH8" s="75"/>
      <c r="BI8" s="75"/>
      <c r="BJ8" s="76">
        <f t="shared" si="32"/>
        <v>178140</v>
      </c>
      <c r="BK8" s="47">
        <v>4</v>
      </c>
      <c r="BL8" s="77">
        <f t="shared" si="27"/>
        <v>178140</v>
      </c>
    </row>
    <row r="9" spans="1:64" ht="20" customHeight="1">
      <c r="B9" s="78">
        <f t="shared" si="28"/>
        <v>45265</v>
      </c>
      <c r="C9" s="79"/>
      <c r="D9" s="50"/>
      <c r="E9" s="51">
        <v>31</v>
      </c>
      <c r="F9" s="52">
        <v>125730</v>
      </c>
      <c r="G9" s="53">
        <f t="shared" si="0"/>
        <v>3687.0967741935483</v>
      </c>
      <c r="H9" s="52">
        <v>15070</v>
      </c>
      <c r="I9" s="54">
        <f t="shared" si="1"/>
        <v>441.93548387096774</v>
      </c>
      <c r="J9" s="55">
        <f t="shared" si="2"/>
        <v>140800</v>
      </c>
      <c r="K9" s="56">
        <f t="shared" si="3"/>
        <v>4541.9354838709678</v>
      </c>
      <c r="L9" s="57"/>
      <c r="M9" s="58">
        <f t="shared" si="4"/>
        <v>20</v>
      </c>
      <c r="N9" s="59">
        <f t="shared" si="4"/>
        <v>188740</v>
      </c>
      <c r="O9" s="53">
        <f t="shared" si="5"/>
        <v>8579.0499999999993</v>
      </c>
      <c r="P9" s="59">
        <f t="shared" si="6"/>
        <v>21280</v>
      </c>
      <c r="Q9" s="54">
        <f t="shared" si="7"/>
        <v>967.25</v>
      </c>
      <c r="R9" s="60">
        <f t="shared" si="8"/>
        <v>210020</v>
      </c>
      <c r="S9" s="56">
        <f t="shared" si="9"/>
        <v>10501</v>
      </c>
      <c r="T9" s="80">
        <f t="shared" si="10"/>
        <v>51</v>
      </c>
      <c r="U9" s="59">
        <f t="shared" si="10"/>
        <v>314470</v>
      </c>
      <c r="V9" s="59">
        <f t="shared" si="11"/>
        <v>36350</v>
      </c>
      <c r="W9" s="62">
        <f t="shared" si="12"/>
        <v>350820</v>
      </c>
      <c r="X9" s="81"/>
      <c r="Y9" s="63"/>
      <c r="Z9" s="64">
        <v>8</v>
      </c>
      <c r="AA9" s="52">
        <v>4420</v>
      </c>
      <c r="AB9" s="53">
        <f t="shared" si="13"/>
        <v>552.5</v>
      </c>
      <c r="AC9" s="52">
        <v>5250</v>
      </c>
      <c r="AD9" s="54">
        <f t="shared" si="14"/>
        <v>656.25</v>
      </c>
      <c r="AE9" s="65">
        <f t="shared" si="15"/>
        <v>9670</v>
      </c>
      <c r="AF9" s="56">
        <f t="shared" si="16"/>
        <v>1208.75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51</v>
      </c>
      <c r="AY9" s="59">
        <f t="shared" si="24"/>
        <v>318890</v>
      </c>
      <c r="AZ9" s="59">
        <f t="shared" si="25"/>
        <v>41600</v>
      </c>
      <c r="BA9" s="71">
        <f t="shared" si="26"/>
        <v>360490</v>
      </c>
      <c r="BB9" s="72">
        <f t="shared" si="31"/>
        <v>4950</v>
      </c>
      <c r="BC9" s="73">
        <v>51</v>
      </c>
      <c r="BD9" s="74">
        <v>314470</v>
      </c>
      <c r="BE9" s="74">
        <v>36350</v>
      </c>
      <c r="BF9" s="75">
        <v>2750</v>
      </c>
      <c r="BG9" s="75">
        <v>2200</v>
      </c>
      <c r="BH9" s="75"/>
      <c r="BI9" s="75"/>
      <c r="BJ9" s="76">
        <f t="shared" si="32"/>
        <v>355770</v>
      </c>
      <c r="BK9" s="47">
        <v>5</v>
      </c>
      <c r="BL9" s="77">
        <f t="shared" si="27"/>
        <v>355770</v>
      </c>
    </row>
    <row r="10" spans="1:64" ht="20" customHeight="1">
      <c r="B10" s="78">
        <f t="shared" si="28"/>
        <v>45266</v>
      </c>
      <c r="C10" s="79"/>
      <c r="D10" s="50"/>
      <c r="E10" s="51">
        <v>36</v>
      </c>
      <c r="F10" s="52">
        <v>110550</v>
      </c>
      <c r="G10" s="53">
        <f t="shared" si="0"/>
        <v>2791.6666666666665</v>
      </c>
      <c r="H10" s="52">
        <v>14670</v>
      </c>
      <c r="I10" s="54">
        <f t="shared" si="1"/>
        <v>370.44444444444446</v>
      </c>
      <c r="J10" s="55">
        <f t="shared" si="2"/>
        <v>125220</v>
      </c>
      <c r="K10" s="56">
        <f t="shared" si="3"/>
        <v>3478.3333333333335</v>
      </c>
      <c r="L10" s="57"/>
      <c r="M10" s="58">
        <f t="shared" si="4"/>
        <v>20</v>
      </c>
      <c r="N10" s="59">
        <f t="shared" si="4"/>
        <v>184910</v>
      </c>
      <c r="O10" s="53">
        <f t="shared" si="5"/>
        <v>8405</v>
      </c>
      <c r="P10" s="59">
        <f t="shared" si="6"/>
        <v>70830</v>
      </c>
      <c r="Q10" s="54">
        <f t="shared" si="7"/>
        <v>3219.5</v>
      </c>
      <c r="R10" s="60">
        <f t="shared" si="8"/>
        <v>255740</v>
      </c>
      <c r="S10" s="56">
        <f t="shared" si="9"/>
        <v>12787</v>
      </c>
      <c r="T10" s="80">
        <f t="shared" si="10"/>
        <v>56</v>
      </c>
      <c r="U10" s="59">
        <f t="shared" si="10"/>
        <v>295460</v>
      </c>
      <c r="V10" s="59">
        <f t="shared" si="11"/>
        <v>85500</v>
      </c>
      <c r="W10" s="62">
        <f t="shared" si="12"/>
        <v>380960</v>
      </c>
      <c r="X10" s="81"/>
      <c r="Y10" s="63"/>
      <c r="Z10" s="64">
        <v>7</v>
      </c>
      <c r="AA10" s="52">
        <v>3670</v>
      </c>
      <c r="AB10" s="53">
        <f t="shared" si="13"/>
        <v>524.28571428571433</v>
      </c>
      <c r="AC10" s="52">
        <v>1400</v>
      </c>
      <c r="AD10" s="54">
        <f t="shared" si="14"/>
        <v>200</v>
      </c>
      <c r="AE10" s="65">
        <f t="shared" si="15"/>
        <v>5070</v>
      </c>
      <c r="AF10" s="56">
        <f t="shared" si="16"/>
        <v>724.28571428571433</v>
      </c>
      <c r="AG10" s="66"/>
      <c r="AH10" s="64">
        <v>80</v>
      </c>
      <c r="AI10" s="52">
        <v>313200</v>
      </c>
      <c r="AJ10" s="53">
        <f t="shared" si="17"/>
        <v>3915</v>
      </c>
      <c r="AK10" s="52">
        <v>104400</v>
      </c>
      <c r="AL10" s="54">
        <f t="shared" si="18"/>
        <v>1305</v>
      </c>
      <c r="AM10" s="65">
        <f t="shared" si="29"/>
        <v>417600</v>
      </c>
      <c r="AN10" s="67">
        <f t="shared" si="19"/>
        <v>5220</v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56</v>
      </c>
      <c r="AY10" s="59">
        <f t="shared" si="24"/>
        <v>612330</v>
      </c>
      <c r="AZ10" s="59">
        <f t="shared" si="25"/>
        <v>191300</v>
      </c>
      <c r="BA10" s="71">
        <f t="shared" si="26"/>
        <v>803630</v>
      </c>
      <c r="BB10" s="72">
        <f t="shared" si="31"/>
        <v>12100</v>
      </c>
      <c r="BC10" s="73">
        <v>56</v>
      </c>
      <c r="BD10" s="74">
        <v>295460</v>
      </c>
      <c r="BE10" s="74">
        <v>85500</v>
      </c>
      <c r="BF10" s="75">
        <v>12100</v>
      </c>
      <c r="BG10" s="75"/>
      <c r="BH10" s="75"/>
      <c r="BI10" s="75"/>
      <c r="BJ10" s="76">
        <f t="shared" si="32"/>
        <v>393060</v>
      </c>
      <c r="BK10" s="47">
        <v>6</v>
      </c>
      <c r="BL10" s="77">
        <f t="shared" si="27"/>
        <v>393060</v>
      </c>
    </row>
    <row r="11" spans="1:64" ht="20" customHeight="1">
      <c r="B11" s="78">
        <f t="shared" si="28"/>
        <v>45267</v>
      </c>
      <c r="C11" s="79"/>
      <c r="D11" s="50"/>
      <c r="E11" s="51">
        <v>33</v>
      </c>
      <c r="F11" s="52">
        <v>130020</v>
      </c>
      <c r="G11" s="53">
        <f t="shared" si="0"/>
        <v>3581.818181818182</v>
      </c>
      <c r="H11" s="52">
        <v>19800</v>
      </c>
      <c r="I11" s="54">
        <f t="shared" si="1"/>
        <v>545.4545454545455</v>
      </c>
      <c r="J11" s="55">
        <f t="shared" si="2"/>
        <v>149820</v>
      </c>
      <c r="K11" s="56">
        <f t="shared" si="3"/>
        <v>4540</v>
      </c>
      <c r="L11" s="57"/>
      <c r="M11" s="58">
        <f t="shared" si="4"/>
        <v>26</v>
      </c>
      <c r="N11" s="59">
        <f t="shared" si="4"/>
        <v>241670</v>
      </c>
      <c r="O11" s="53">
        <f t="shared" si="5"/>
        <v>8450</v>
      </c>
      <c r="P11" s="59">
        <f t="shared" si="6"/>
        <v>72960</v>
      </c>
      <c r="Q11" s="54">
        <f t="shared" si="7"/>
        <v>2551.0384615384614</v>
      </c>
      <c r="R11" s="60">
        <f t="shared" si="8"/>
        <v>314630</v>
      </c>
      <c r="S11" s="56">
        <f t="shared" si="9"/>
        <v>12101.153846153846</v>
      </c>
      <c r="T11" s="80">
        <f t="shared" si="10"/>
        <v>59</v>
      </c>
      <c r="U11" s="59">
        <f t="shared" si="10"/>
        <v>371690</v>
      </c>
      <c r="V11" s="59">
        <f t="shared" si="11"/>
        <v>92760</v>
      </c>
      <c r="W11" s="62">
        <f t="shared" si="12"/>
        <v>464450</v>
      </c>
      <c r="X11" s="81"/>
      <c r="Y11" s="63"/>
      <c r="Z11" s="64">
        <v>10</v>
      </c>
      <c r="AA11" s="52">
        <v>5470</v>
      </c>
      <c r="AB11" s="53">
        <f t="shared" si="13"/>
        <v>547</v>
      </c>
      <c r="AC11" s="52">
        <v>4300</v>
      </c>
      <c r="AD11" s="54">
        <f t="shared" si="14"/>
        <v>430</v>
      </c>
      <c r="AE11" s="65">
        <f t="shared" si="15"/>
        <v>9770</v>
      </c>
      <c r="AF11" s="56">
        <f t="shared" si="16"/>
        <v>977</v>
      </c>
      <c r="AG11" s="66"/>
      <c r="AH11" s="64">
        <v>30</v>
      </c>
      <c r="AI11" s="52">
        <v>117450</v>
      </c>
      <c r="AJ11" s="53">
        <f t="shared" si="17"/>
        <v>3915</v>
      </c>
      <c r="AK11" s="52">
        <v>39150</v>
      </c>
      <c r="AL11" s="54">
        <f t="shared" si="18"/>
        <v>1305</v>
      </c>
      <c r="AM11" s="65">
        <f t="shared" si="29"/>
        <v>156600</v>
      </c>
      <c r="AN11" s="67">
        <f t="shared" si="19"/>
        <v>5220</v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59</v>
      </c>
      <c r="AY11" s="59">
        <f t="shared" si="24"/>
        <v>494610</v>
      </c>
      <c r="AZ11" s="59">
        <f t="shared" si="25"/>
        <v>136210</v>
      </c>
      <c r="BA11" s="71">
        <f t="shared" si="26"/>
        <v>630820</v>
      </c>
      <c r="BB11" s="72">
        <f t="shared" si="31"/>
        <v>4400</v>
      </c>
      <c r="BC11" s="73">
        <v>59</v>
      </c>
      <c r="BD11" s="74">
        <v>371690</v>
      </c>
      <c r="BE11" s="74">
        <v>92760</v>
      </c>
      <c r="BF11" s="75">
        <v>3300</v>
      </c>
      <c r="BG11" s="75">
        <v>1100</v>
      </c>
      <c r="BH11" s="75"/>
      <c r="BI11" s="75"/>
      <c r="BJ11" s="76">
        <f t="shared" si="32"/>
        <v>468850</v>
      </c>
      <c r="BK11" s="47">
        <v>7</v>
      </c>
      <c r="BL11" s="77">
        <f t="shared" si="27"/>
        <v>468850</v>
      </c>
    </row>
    <row r="12" spans="1:64" ht="20" customHeight="1">
      <c r="B12" s="78">
        <f t="shared" si="28"/>
        <v>45268</v>
      </c>
      <c r="C12" s="83"/>
      <c r="D12" s="50"/>
      <c r="E12" s="51">
        <v>33</v>
      </c>
      <c r="F12" s="52">
        <v>137280</v>
      </c>
      <c r="G12" s="53">
        <f t="shared" si="0"/>
        <v>3781.818181818182</v>
      </c>
      <c r="H12" s="52">
        <v>8520</v>
      </c>
      <c r="I12" s="54">
        <f t="shared" si="1"/>
        <v>234.69696969696969</v>
      </c>
      <c r="J12" s="55">
        <f t="shared" si="2"/>
        <v>145800</v>
      </c>
      <c r="K12" s="56">
        <f t="shared" si="3"/>
        <v>4418.181818181818</v>
      </c>
      <c r="L12" s="57"/>
      <c r="M12" s="58">
        <f t="shared" si="4"/>
        <v>29</v>
      </c>
      <c r="N12" s="59">
        <f t="shared" si="4"/>
        <v>249260</v>
      </c>
      <c r="O12" s="53">
        <f t="shared" si="5"/>
        <v>7813.7931034482763</v>
      </c>
      <c r="P12" s="59">
        <f t="shared" si="6"/>
        <v>64680</v>
      </c>
      <c r="Q12" s="84">
        <f t="shared" si="7"/>
        <v>2027.5862068965516</v>
      </c>
      <c r="R12" s="60">
        <f t="shared" si="8"/>
        <v>313940</v>
      </c>
      <c r="S12" s="56">
        <f t="shared" si="9"/>
        <v>10825.51724137931</v>
      </c>
      <c r="T12" s="80">
        <f t="shared" si="10"/>
        <v>62</v>
      </c>
      <c r="U12" s="59">
        <f t="shared" si="10"/>
        <v>386540</v>
      </c>
      <c r="V12" s="59">
        <f t="shared" si="11"/>
        <v>73200</v>
      </c>
      <c r="W12" s="62">
        <f t="shared" si="12"/>
        <v>459740</v>
      </c>
      <c r="X12" s="81"/>
      <c r="Y12" s="63"/>
      <c r="Z12" s="64">
        <v>9</v>
      </c>
      <c r="AA12" s="52">
        <v>4570</v>
      </c>
      <c r="AB12" s="53">
        <f t="shared" si="13"/>
        <v>507.77777777777777</v>
      </c>
      <c r="AC12" s="52">
        <v>2700</v>
      </c>
      <c r="AD12" s="54">
        <f t="shared" si="14"/>
        <v>300</v>
      </c>
      <c r="AE12" s="65">
        <f t="shared" si="15"/>
        <v>7270</v>
      </c>
      <c r="AF12" s="56">
        <f t="shared" si="16"/>
        <v>807.77777777777783</v>
      </c>
      <c r="AG12" s="66"/>
      <c r="AH12" s="64">
        <v>55</v>
      </c>
      <c r="AI12" s="52">
        <v>119625</v>
      </c>
      <c r="AJ12" s="53">
        <f t="shared" si="17"/>
        <v>2175</v>
      </c>
      <c r="AK12" s="52">
        <v>95700</v>
      </c>
      <c r="AL12" s="54">
        <f t="shared" si="18"/>
        <v>1740</v>
      </c>
      <c r="AM12" s="65">
        <f t="shared" si="29"/>
        <v>215325</v>
      </c>
      <c r="AN12" s="67">
        <f t="shared" si="19"/>
        <v>3915</v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62</v>
      </c>
      <c r="AY12" s="59">
        <f t="shared" si="24"/>
        <v>510735</v>
      </c>
      <c r="AZ12" s="59">
        <f t="shared" si="25"/>
        <v>171600</v>
      </c>
      <c r="BA12" s="71">
        <f t="shared" si="26"/>
        <v>682335</v>
      </c>
      <c r="BB12" s="72">
        <f t="shared" si="31"/>
        <v>16500</v>
      </c>
      <c r="BC12" s="73">
        <v>62</v>
      </c>
      <c r="BD12" s="74">
        <v>386540</v>
      </c>
      <c r="BE12" s="74">
        <v>73200</v>
      </c>
      <c r="BF12" s="75">
        <v>15400</v>
      </c>
      <c r="BG12" s="75">
        <v>1100</v>
      </c>
      <c r="BH12" s="75"/>
      <c r="BI12" s="75"/>
      <c r="BJ12" s="76">
        <f t="shared" si="32"/>
        <v>476240</v>
      </c>
      <c r="BK12" s="47">
        <v>8</v>
      </c>
      <c r="BL12" s="77">
        <f t="shared" si="27"/>
        <v>476240</v>
      </c>
    </row>
    <row r="13" spans="1:64" ht="20" customHeight="1">
      <c r="B13" s="78">
        <f t="shared" si="28"/>
        <v>45269</v>
      </c>
      <c r="C13" s="79"/>
      <c r="D13" s="50"/>
      <c r="E13" s="51">
        <v>40</v>
      </c>
      <c r="F13" s="52">
        <v>168630</v>
      </c>
      <c r="G13" s="53">
        <f t="shared" si="0"/>
        <v>3832.5</v>
      </c>
      <c r="H13" s="52">
        <v>28110</v>
      </c>
      <c r="I13" s="54">
        <f t="shared" si="1"/>
        <v>638.85</v>
      </c>
      <c r="J13" s="55">
        <f t="shared" si="2"/>
        <v>196740</v>
      </c>
      <c r="K13" s="56">
        <f t="shared" si="3"/>
        <v>4918.5</v>
      </c>
      <c r="L13" s="57"/>
      <c r="M13" s="58">
        <f t="shared" si="4"/>
        <v>24</v>
      </c>
      <c r="N13" s="59">
        <f t="shared" si="4"/>
        <v>243100</v>
      </c>
      <c r="O13" s="53">
        <f t="shared" si="5"/>
        <v>9208.3333333333339</v>
      </c>
      <c r="P13" s="59">
        <f t="shared" si="6"/>
        <v>45450</v>
      </c>
      <c r="Q13" s="54">
        <f t="shared" si="7"/>
        <v>1721.5833333333333</v>
      </c>
      <c r="R13" s="60">
        <f t="shared" si="8"/>
        <v>288550</v>
      </c>
      <c r="S13" s="56">
        <f t="shared" si="9"/>
        <v>12022.916666666666</v>
      </c>
      <c r="T13" s="80">
        <f t="shared" si="10"/>
        <v>64</v>
      </c>
      <c r="U13" s="59">
        <f t="shared" si="10"/>
        <v>411730</v>
      </c>
      <c r="V13" s="59">
        <f t="shared" si="11"/>
        <v>73560</v>
      </c>
      <c r="W13" s="62">
        <f t="shared" si="12"/>
        <v>485290</v>
      </c>
      <c r="X13" s="81"/>
      <c r="Y13" s="63"/>
      <c r="Z13" s="64">
        <v>7</v>
      </c>
      <c r="AA13" s="52">
        <v>3860</v>
      </c>
      <c r="AB13" s="53">
        <f t="shared" si="13"/>
        <v>551.42857142857144</v>
      </c>
      <c r="AC13" s="52">
        <v>8540</v>
      </c>
      <c r="AD13" s="54">
        <f t="shared" si="14"/>
        <v>1220</v>
      </c>
      <c r="AE13" s="65">
        <f t="shared" si="15"/>
        <v>12400</v>
      </c>
      <c r="AF13" s="56">
        <f t="shared" si="16"/>
        <v>1771.4285714285713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64</v>
      </c>
      <c r="AY13" s="59">
        <f t="shared" si="24"/>
        <v>415590</v>
      </c>
      <c r="AZ13" s="59">
        <f t="shared" si="25"/>
        <v>82100</v>
      </c>
      <c r="BA13" s="71">
        <f t="shared" si="26"/>
        <v>497690</v>
      </c>
      <c r="BB13" s="72">
        <f t="shared" si="31"/>
        <v>7700</v>
      </c>
      <c r="BC13" s="73">
        <v>64</v>
      </c>
      <c r="BD13" s="74">
        <v>411730</v>
      </c>
      <c r="BE13" s="74">
        <v>73560</v>
      </c>
      <c r="BF13" s="75">
        <v>4950</v>
      </c>
      <c r="BG13" s="75">
        <v>2750</v>
      </c>
      <c r="BH13" s="75"/>
      <c r="BI13" s="75"/>
      <c r="BJ13" s="76">
        <f t="shared" si="32"/>
        <v>492990</v>
      </c>
      <c r="BK13" s="47">
        <v>9</v>
      </c>
      <c r="BL13" s="77">
        <f t="shared" si="27"/>
        <v>492990</v>
      </c>
    </row>
    <row r="14" spans="1:64" ht="20" customHeight="1">
      <c r="B14" s="78">
        <f t="shared" si="28"/>
        <v>45270</v>
      </c>
      <c r="C14" s="79"/>
      <c r="D14" s="50"/>
      <c r="E14" s="51">
        <v>32</v>
      </c>
      <c r="F14" s="52">
        <v>95810</v>
      </c>
      <c r="G14" s="53">
        <f t="shared" si="0"/>
        <v>2721.875</v>
      </c>
      <c r="H14" s="52">
        <v>22800</v>
      </c>
      <c r="I14" s="54">
        <f t="shared" si="1"/>
        <v>647.71875</v>
      </c>
      <c r="J14" s="55">
        <f t="shared" si="2"/>
        <v>118610</v>
      </c>
      <c r="K14" s="56">
        <f t="shared" si="3"/>
        <v>3706.5625</v>
      </c>
      <c r="L14" s="57"/>
      <c r="M14" s="58">
        <f t="shared" si="4"/>
        <v>17</v>
      </c>
      <c r="N14" s="59">
        <f t="shared" si="4"/>
        <v>173030</v>
      </c>
      <c r="O14" s="53">
        <f t="shared" si="5"/>
        <v>9252.9411764705874</v>
      </c>
      <c r="P14" s="59">
        <f t="shared" si="6"/>
        <v>13790</v>
      </c>
      <c r="Q14" s="54">
        <f t="shared" si="7"/>
        <v>737.41176470588232</v>
      </c>
      <c r="R14" s="60">
        <f t="shared" si="8"/>
        <v>186820</v>
      </c>
      <c r="S14" s="56">
        <f t="shared" si="9"/>
        <v>10989.411764705883</v>
      </c>
      <c r="T14" s="80">
        <f t="shared" si="10"/>
        <v>49</v>
      </c>
      <c r="U14" s="59">
        <f t="shared" si="10"/>
        <v>268840</v>
      </c>
      <c r="V14" s="59">
        <f t="shared" si="11"/>
        <v>36590</v>
      </c>
      <c r="W14" s="62">
        <f t="shared" si="12"/>
        <v>305430</v>
      </c>
      <c r="X14" s="81"/>
      <c r="Y14" s="63"/>
      <c r="Z14" s="64">
        <v>6</v>
      </c>
      <c r="AA14" s="52">
        <v>2800</v>
      </c>
      <c r="AB14" s="53">
        <f t="shared" si="13"/>
        <v>466.66666666666669</v>
      </c>
      <c r="AC14" s="52">
        <v>900</v>
      </c>
      <c r="AD14" s="54">
        <f t="shared" si="14"/>
        <v>150</v>
      </c>
      <c r="AE14" s="65">
        <f t="shared" si="15"/>
        <v>3700</v>
      </c>
      <c r="AF14" s="56">
        <f t="shared" si="16"/>
        <v>616.66666666666663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49</v>
      </c>
      <c r="AY14" s="59">
        <f t="shared" si="24"/>
        <v>271640</v>
      </c>
      <c r="AZ14" s="59">
        <f t="shared" si="25"/>
        <v>37490</v>
      </c>
      <c r="BA14" s="71">
        <f t="shared" si="26"/>
        <v>309130</v>
      </c>
      <c r="BB14" s="72">
        <f t="shared" si="31"/>
        <v>7700</v>
      </c>
      <c r="BC14" s="73">
        <v>49</v>
      </c>
      <c r="BD14" s="74">
        <v>268840</v>
      </c>
      <c r="BE14" s="74">
        <v>36590</v>
      </c>
      <c r="BF14" s="75">
        <v>4950</v>
      </c>
      <c r="BG14" s="75">
        <v>2750</v>
      </c>
      <c r="BH14" s="75"/>
      <c r="BI14" s="75"/>
      <c r="BJ14" s="76">
        <f t="shared" si="32"/>
        <v>313130</v>
      </c>
      <c r="BK14" s="47">
        <v>10</v>
      </c>
      <c r="BL14" s="77">
        <f t="shared" si="27"/>
        <v>313130</v>
      </c>
    </row>
    <row r="15" spans="1:64" ht="20" customHeight="1">
      <c r="B15" s="78">
        <f t="shared" si="28"/>
        <v>45271</v>
      </c>
      <c r="C15" s="83"/>
      <c r="D15" s="50"/>
      <c r="E15" s="51">
        <v>29</v>
      </c>
      <c r="F15" s="52">
        <v>102960</v>
      </c>
      <c r="G15" s="53">
        <f t="shared" si="0"/>
        <v>3227.5862068965516</v>
      </c>
      <c r="H15" s="52">
        <v>14840</v>
      </c>
      <c r="I15" s="54">
        <f t="shared" si="1"/>
        <v>465.17241379310343</v>
      </c>
      <c r="J15" s="55">
        <f t="shared" si="2"/>
        <v>117800</v>
      </c>
      <c r="K15" s="56">
        <f t="shared" si="3"/>
        <v>4062.0689655172414</v>
      </c>
      <c r="L15" s="57"/>
      <c r="M15" s="58">
        <f t="shared" si="4"/>
        <v>19</v>
      </c>
      <c r="N15" s="59">
        <f t="shared" si="4"/>
        <v>160710</v>
      </c>
      <c r="O15" s="53">
        <f t="shared" si="5"/>
        <v>7689.4736842105267</v>
      </c>
      <c r="P15" s="59">
        <f t="shared" si="6"/>
        <v>28710</v>
      </c>
      <c r="Q15" s="54">
        <f t="shared" si="7"/>
        <v>1373.6842105263158</v>
      </c>
      <c r="R15" s="60">
        <f t="shared" si="8"/>
        <v>189420</v>
      </c>
      <c r="S15" s="56">
        <f t="shared" si="9"/>
        <v>9969.4736842105267</v>
      </c>
      <c r="T15" s="80">
        <f t="shared" si="10"/>
        <v>48</v>
      </c>
      <c r="U15" s="59">
        <f t="shared" si="10"/>
        <v>263670</v>
      </c>
      <c r="V15" s="59">
        <f t="shared" si="11"/>
        <v>43550</v>
      </c>
      <c r="W15" s="62">
        <f t="shared" si="12"/>
        <v>307220</v>
      </c>
      <c r="X15" s="81"/>
      <c r="Y15" s="63"/>
      <c r="Z15" s="64">
        <v>7</v>
      </c>
      <c r="AA15" s="52">
        <v>3660</v>
      </c>
      <c r="AB15" s="53">
        <f t="shared" si="13"/>
        <v>522.85714285714289</v>
      </c>
      <c r="AC15" s="52">
        <v>4000</v>
      </c>
      <c r="AD15" s="54">
        <f t="shared" si="14"/>
        <v>571.42857142857144</v>
      </c>
      <c r="AE15" s="65">
        <f t="shared" si="15"/>
        <v>7660</v>
      </c>
      <c r="AF15" s="56">
        <f t="shared" si="16"/>
        <v>1094.2857142857142</v>
      </c>
      <c r="AG15" s="66"/>
      <c r="AH15" s="64">
        <v>37</v>
      </c>
      <c r="AI15" s="52">
        <v>209235</v>
      </c>
      <c r="AJ15" s="53">
        <f t="shared" si="17"/>
        <v>5655</v>
      </c>
      <c r="AK15" s="52">
        <v>48285</v>
      </c>
      <c r="AL15" s="54">
        <f t="shared" si="18"/>
        <v>1305</v>
      </c>
      <c r="AM15" s="65">
        <f t="shared" si="29"/>
        <v>257520</v>
      </c>
      <c r="AN15" s="67">
        <f t="shared" si="19"/>
        <v>6960</v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48</v>
      </c>
      <c r="AY15" s="59">
        <f t="shared" si="24"/>
        <v>476565</v>
      </c>
      <c r="AZ15" s="59">
        <f t="shared" si="25"/>
        <v>95835</v>
      </c>
      <c r="BA15" s="71">
        <f t="shared" si="26"/>
        <v>572400</v>
      </c>
      <c r="BB15" s="72">
        <f t="shared" si="31"/>
        <v>7700</v>
      </c>
      <c r="BC15" s="73">
        <v>48</v>
      </c>
      <c r="BD15" s="74">
        <v>263670</v>
      </c>
      <c r="BE15" s="74">
        <v>43550</v>
      </c>
      <c r="BF15" s="75">
        <v>3300</v>
      </c>
      <c r="BG15" s="75">
        <v>4400</v>
      </c>
      <c r="BH15" s="75"/>
      <c r="BI15" s="75"/>
      <c r="BJ15" s="76">
        <f t="shared" si="32"/>
        <v>314920</v>
      </c>
      <c r="BK15" s="47">
        <v>11</v>
      </c>
      <c r="BL15" s="77">
        <f t="shared" si="27"/>
        <v>314920</v>
      </c>
    </row>
    <row r="16" spans="1:64" ht="20" customHeight="1">
      <c r="B16" s="78">
        <f t="shared" si="28"/>
        <v>45272</v>
      </c>
      <c r="C16" s="79"/>
      <c r="D16" s="50"/>
      <c r="E16" s="51">
        <v>37</v>
      </c>
      <c r="F16" s="52">
        <v>154880</v>
      </c>
      <c r="G16" s="53">
        <f t="shared" si="0"/>
        <v>3805.4054054054054</v>
      </c>
      <c r="H16" s="52">
        <v>18030</v>
      </c>
      <c r="I16" s="54">
        <f t="shared" si="1"/>
        <v>442.97297297297297</v>
      </c>
      <c r="J16" s="55">
        <f t="shared" si="2"/>
        <v>172910</v>
      </c>
      <c r="K16" s="56">
        <f t="shared" si="3"/>
        <v>4673.2432432432433</v>
      </c>
      <c r="L16" s="57"/>
      <c r="M16" s="58">
        <f t="shared" si="4"/>
        <v>21</v>
      </c>
      <c r="N16" s="59">
        <f t="shared" si="4"/>
        <v>196460</v>
      </c>
      <c r="O16" s="53">
        <f t="shared" si="5"/>
        <v>8504.7619047619046</v>
      </c>
      <c r="P16" s="59">
        <f t="shared" si="6"/>
        <v>57260</v>
      </c>
      <c r="Q16" s="54">
        <f t="shared" si="7"/>
        <v>2478.7619047619046</v>
      </c>
      <c r="R16" s="60">
        <f t="shared" si="8"/>
        <v>253720</v>
      </c>
      <c r="S16" s="56">
        <f t="shared" si="9"/>
        <v>12081.904761904761</v>
      </c>
      <c r="T16" s="80">
        <f t="shared" si="10"/>
        <v>58</v>
      </c>
      <c r="U16" s="59">
        <f t="shared" si="10"/>
        <v>351340</v>
      </c>
      <c r="V16" s="59">
        <f t="shared" si="11"/>
        <v>75290</v>
      </c>
      <c r="W16" s="62">
        <f t="shared" si="12"/>
        <v>426630</v>
      </c>
      <c r="X16" s="81"/>
      <c r="Y16" s="63"/>
      <c r="Z16" s="64">
        <v>25</v>
      </c>
      <c r="AA16" s="52">
        <v>12370</v>
      </c>
      <c r="AB16" s="53">
        <f t="shared" si="13"/>
        <v>494.8</v>
      </c>
      <c r="AC16" s="52">
        <v>3750</v>
      </c>
      <c r="AD16" s="54">
        <f t="shared" si="14"/>
        <v>150</v>
      </c>
      <c r="AE16" s="65">
        <f t="shared" si="15"/>
        <v>16120</v>
      </c>
      <c r="AF16" s="56">
        <f t="shared" si="16"/>
        <v>644.79999999999995</v>
      </c>
      <c r="AG16" s="66"/>
      <c r="AH16" s="64">
        <v>47</v>
      </c>
      <c r="AI16" s="52">
        <v>265785</v>
      </c>
      <c r="AJ16" s="53">
        <f t="shared" si="17"/>
        <v>5655</v>
      </c>
      <c r="AK16" s="52">
        <v>61335</v>
      </c>
      <c r="AL16" s="54">
        <f t="shared" si="18"/>
        <v>1305</v>
      </c>
      <c r="AM16" s="65">
        <f t="shared" si="29"/>
        <v>327120</v>
      </c>
      <c r="AN16" s="67">
        <f t="shared" si="19"/>
        <v>6960</v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58</v>
      </c>
      <c r="AY16" s="59">
        <f t="shared" si="24"/>
        <v>629495</v>
      </c>
      <c r="AZ16" s="59">
        <f t="shared" si="25"/>
        <v>140375</v>
      </c>
      <c r="BA16" s="71">
        <f t="shared" si="26"/>
        <v>769870</v>
      </c>
      <c r="BB16" s="72">
        <f t="shared" si="31"/>
        <v>9900</v>
      </c>
      <c r="BC16" s="73">
        <v>58</v>
      </c>
      <c r="BD16" s="74">
        <v>351340</v>
      </c>
      <c r="BE16" s="74">
        <v>75290</v>
      </c>
      <c r="BF16" s="75">
        <v>7700</v>
      </c>
      <c r="BG16" s="75">
        <v>2200</v>
      </c>
      <c r="BH16" s="75"/>
      <c r="BI16" s="75"/>
      <c r="BJ16" s="76">
        <f t="shared" si="32"/>
        <v>436530</v>
      </c>
      <c r="BK16" s="47">
        <v>12</v>
      </c>
      <c r="BL16" s="77">
        <f t="shared" si="27"/>
        <v>436530</v>
      </c>
    </row>
    <row r="17" spans="2:65" ht="20" customHeight="1">
      <c r="B17" s="78">
        <f t="shared" si="28"/>
        <v>45273</v>
      </c>
      <c r="C17" s="83"/>
      <c r="D17" s="50"/>
      <c r="E17" s="51">
        <v>28</v>
      </c>
      <c r="F17" s="52">
        <v>93280</v>
      </c>
      <c r="G17" s="53">
        <f t="shared" si="0"/>
        <v>3028.5714285714284</v>
      </c>
      <c r="H17" s="52">
        <v>14290</v>
      </c>
      <c r="I17" s="54">
        <f t="shared" si="1"/>
        <v>463.92857142857144</v>
      </c>
      <c r="J17" s="55">
        <f t="shared" si="2"/>
        <v>107570</v>
      </c>
      <c r="K17" s="56">
        <f t="shared" si="3"/>
        <v>3841.7857142857142</v>
      </c>
      <c r="L17" s="57"/>
      <c r="M17" s="58">
        <f t="shared" si="4"/>
        <v>37</v>
      </c>
      <c r="N17" s="59">
        <f t="shared" si="4"/>
        <v>325600</v>
      </c>
      <c r="O17" s="53">
        <f t="shared" si="5"/>
        <v>8000</v>
      </c>
      <c r="P17" s="59">
        <f t="shared" si="6"/>
        <v>118400</v>
      </c>
      <c r="Q17" s="54">
        <f t="shared" si="7"/>
        <v>2909.0810810810813</v>
      </c>
      <c r="R17" s="60">
        <f t="shared" si="8"/>
        <v>444000</v>
      </c>
      <c r="S17" s="56">
        <f t="shared" si="9"/>
        <v>12000</v>
      </c>
      <c r="T17" s="80">
        <f>E17+M17</f>
        <v>65</v>
      </c>
      <c r="U17" s="59">
        <f t="shared" si="10"/>
        <v>418880</v>
      </c>
      <c r="V17" s="59">
        <f t="shared" si="11"/>
        <v>132690</v>
      </c>
      <c r="W17" s="62">
        <f t="shared" si="12"/>
        <v>551570</v>
      </c>
      <c r="X17" s="81"/>
      <c r="Y17" s="63"/>
      <c r="Z17" s="64">
        <v>0</v>
      </c>
      <c r="AA17" s="52">
        <v>0</v>
      </c>
      <c r="AB17" s="53" t="e">
        <f t="shared" si="13"/>
        <v>#DIV/0!</v>
      </c>
      <c r="AC17" s="52">
        <v>0</v>
      </c>
      <c r="AD17" s="54" t="e">
        <f t="shared" si="14"/>
        <v>#DIV/0!</v>
      </c>
      <c r="AE17" s="65">
        <f t="shared" si="15"/>
        <v>0</v>
      </c>
      <c r="AF17" s="56" t="e">
        <f t="shared" si="16"/>
        <v>#DIV/0!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65</v>
      </c>
      <c r="AY17" s="59">
        <f t="shared" si="24"/>
        <v>418880</v>
      </c>
      <c r="AZ17" s="59">
        <f t="shared" si="25"/>
        <v>132690</v>
      </c>
      <c r="BA17" s="71">
        <f t="shared" si="26"/>
        <v>551570</v>
      </c>
      <c r="BB17" s="72">
        <f t="shared" si="31"/>
        <v>0</v>
      </c>
      <c r="BC17" s="73">
        <v>65</v>
      </c>
      <c r="BD17" s="74">
        <v>418880</v>
      </c>
      <c r="BE17" s="74">
        <v>132690</v>
      </c>
      <c r="BF17" s="75">
        <v>0</v>
      </c>
      <c r="BG17" s="75">
        <v>0</v>
      </c>
      <c r="BH17" s="75"/>
      <c r="BI17" s="75"/>
      <c r="BJ17" s="76">
        <f t="shared" si="32"/>
        <v>551570</v>
      </c>
      <c r="BK17" s="47">
        <v>13</v>
      </c>
      <c r="BL17" s="77">
        <f t="shared" si="27"/>
        <v>551570</v>
      </c>
      <c r="BM17" s="47" t="s">
        <v>104</v>
      </c>
    </row>
    <row r="18" spans="2:65" ht="20" customHeight="1">
      <c r="B18" s="78">
        <f t="shared" si="28"/>
        <v>45274</v>
      </c>
      <c r="C18" s="79"/>
      <c r="D18" s="50"/>
      <c r="E18" s="51">
        <v>33</v>
      </c>
      <c r="F18" s="52">
        <v>134420</v>
      </c>
      <c r="G18" s="53">
        <f t="shared" si="0"/>
        <v>3703.030303030303</v>
      </c>
      <c r="H18" s="52">
        <v>12150</v>
      </c>
      <c r="I18" s="54">
        <f t="shared" si="1"/>
        <v>334.69696969696969</v>
      </c>
      <c r="J18" s="55">
        <f t="shared" si="2"/>
        <v>146570</v>
      </c>
      <c r="K18" s="56">
        <f t="shared" si="3"/>
        <v>4441.515151515152</v>
      </c>
      <c r="L18" s="57"/>
      <c r="M18" s="58">
        <f t="shared" si="4"/>
        <v>23</v>
      </c>
      <c r="N18" s="59">
        <f t="shared" si="4"/>
        <v>194370</v>
      </c>
      <c r="O18" s="53">
        <f t="shared" si="5"/>
        <v>7682.608695652174</v>
      </c>
      <c r="P18" s="59">
        <f t="shared" si="6"/>
        <v>43460</v>
      </c>
      <c r="Q18" s="54">
        <f t="shared" si="7"/>
        <v>1717.7826086956522</v>
      </c>
      <c r="R18" s="60">
        <f t="shared" si="8"/>
        <v>237830</v>
      </c>
      <c r="S18" s="56">
        <f t="shared" si="9"/>
        <v>10340.434782608696</v>
      </c>
      <c r="T18" s="80">
        <f t="shared" si="10"/>
        <v>56</v>
      </c>
      <c r="U18" s="59">
        <f t="shared" si="10"/>
        <v>328790</v>
      </c>
      <c r="V18" s="59">
        <f t="shared" si="11"/>
        <v>55610</v>
      </c>
      <c r="W18" s="62">
        <f t="shared" si="12"/>
        <v>384400</v>
      </c>
      <c r="X18" s="81"/>
      <c r="Y18" s="63"/>
      <c r="Z18" s="64">
        <v>2</v>
      </c>
      <c r="AA18" s="52">
        <v>900</v>
      </c>
      <c r="AB18" s="53">
        <f t="shared" si="13"/>
        <v>450</v>
      </c>
      <c r="AC18" s="52">
        <v>1500</v>
      </c>
      <c r="AD18" s="54">
        <f t="shared" si="14"/>
        <v>750</v>
      </c>
      <c r="AE18" s="65">
        <f t="shared" si="15"/>
        <v>2400</v>
      </c>
      <c r="AF18" s="56">
        <f t="shared" si="16"/>
        <v>1200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56</v>
      </c>
      <c r="AY18" s="59">
        <f t="shared" si="24"/>
        <v>329690</v>
      </c>
      <c r="AZ18" s="59">
        <f t="shared" si="25"/>
        <v>57110</v>
      </c>
      <c r="BA18" s="71">
        <f t="shared" si="26"/>
        <v>386800</v>
      </c>
      <c r="BB18" s="72">
        <f t="shared" si="31"/>
        <v>17050</v>
      </c>
      <c r="BC18" s="73">
        <v>56</v>
      </c>
      <c r="BD18" s="74">
        <v>328790</v>
      </c>
      <c r="BE18" s="74">
        <v>55610</v>
      </c>
      <c r="BF18" s="75">
        <v>12100</v>
      </c>
      <c r="BG18" s="75">
        <v>4950</v>
      </c>
      <c r="BH18" s="75"/>
      <c r="BI18" s="75"/>
      <c r="BJ18" s="76">
        <f t="shared" si="32"/>
        <v>401450</v>
      </c>
      <c r="BK18" s="47">
        <v>14</v>
      </c>
      <c r="BL18" s="77">
        <f t="shared" si="27"/>
        <v>401450</v>
      </c>
    </row>
    <row r="19" spans="2:65" ht="20" customHeight="1">
      <c r="B19" s="78">
        <f t="shared" si="28"/>
        <v>45275</v>
      </c>
      <c r="C19" s="79"/>
      <c r="D19" s="50"/>
      <c r="E19" s="51">
        <v>38</v>
      </c>
      <c r="F19" s="52">
        <v>137500</v>
      </c>
      <c r="G19" s="53">
        <f t="shared" si="0"/>
        <v>3289.4736842105262</v>
      </c>
      <c r="H19" s="52">
        <v>14100</v>
      </c>
      <c r="I19" s="54">
        <f t="shared" si="1"/>
        <v>337.31578947368422</v>
      </c>
      <c r="J19" s="55">
        <f t="shared" si="2"/>
        <v>151600</v>
      </c>
      <c r="K19" s="56">
        <f t="shared" si="3"/>
        <v>3989.4736842105262</v>
      </c>
      <c r="L19" s="57"/>
      <c r="M19" s="58">
        <f t="shared" si="4"/>
        <v>28</v>
      </c>
      <c r="N19" s="59">
        <f t="shared" si="4"/>
        <v>287870</v>
      </c>
      <c r="O19" s="53">
        <f t="shared" si="5"/>
        <v>9346.4285714285706</v>
      </c>
      <c r="P19" s="59">
        <f t="shared" si="6"/>
        <v>82470</v>
      </c>
      <c r="Q19" s="84">
        <f t="shared" si="7"/>
        <v>2677.5714285714284</v>
      </c>
      <c r="R19" s="60">
        <f t="shared" si="8"/>
        <v>370340</v>
      </c>
      <c r="S19" s="56">
        <f t="shared" si="9"/>
        <v>13226.428571428571</v>
      </c>
      <c r="T19" s="80">
        <f t="shared" si="10"/>
        <v>66</v>
      </c>
      <c r="U19" s="59">
        <f t="shared" si="10"/>
        <v>425370</v>
      </c>
      <c r="V19" s="59">
        <f t="shared" si="11"/>
        <v>96570</v>
      </c>
      <c r="W19" s="62">
        <f t="shared" si="12"/>
        <v>521940</v>
      </c>
      <c r="X19" s="81"/>
      <c r="Y19" s="63"/>
      <c r="Z19" s="64">
        <v>5</v>
      </c>
      <c r="AA19" s="52">
        <v>2650</v>
      </c>
      <c r="AB19" s="53">
        <f t="shared" si="13"/>
        <v>530</v>
      </c>
      <c r="AC19" s="52">
        <v>1600</v>
      </c>
      <c r="AD19" s="54">
        <f t="shared" si="14"/>
        <v>320</v>
      </c>
      <c r="AE19" s="65">
        <f t="shared" si="15"/>
        <v>4250</v>
      </c>
      <c r="AF19" s="56">
        <f t="shared" si="16"/>
        <v>850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66</v>
      </c>
      <c r="AY19" s="59">
        <f t="shared" si="24"/>
        <v>428020</v>
      </c>
      <c r="AZ19" s="59">
        <f t="shared" si="25"/>
        <v>98170</v>
      </c>
      <c r="BA19" s="71">
        <f t="shared" si="26"/>
        <v>526190</v>
      </c>
      <c r="BB19" s="72">
        <f t="shared" si="31"/>
        <v>9350</v>
      </c>
      <c r="BC19" s="73">
        <v>66</v>
      </c>
      <c r="BD19" s="74">
        <v>425370</v>
      </c>
      <c r="BE19" s="74">
        <v>96570</v>
      </c>
      <c r="BF19" s="75">
        <v>4950</v>
      </c>
      <c r="BG19" s="75">
        <v>4400</v>
      </c>
      <c r="BH19" s="75"/>
      <c r="BI19" s="75"/>
      <c r="BJ19" s="76">
        <f t="shared" si="32"/>
        <v>531290</v>
      </c>
      <c r="BK19" s="47">
        <v>15</v>
      </c>
      <c r="BL19" s="77">
        <f t="shared" si="27"/>
        <v>531290</v>
      </c>
    </row>
    <row r="20" spans="2:65" ht="20" customHeight="1">
      <c r="B20" s="78">
        <f t="shared" si="28"/>
        <v>45276</v>
      </c>
      <c r="C20" s="79"/>
      <c r="D20" s="50"/>
      <c r="E20" s="51">
        <v>30</v>
      </c>
      <c r="F20" s="52">
        <v>95920</v>
      </c>
      <c r="G20" s="53">
        <f t="shared" si="0"/>
        <v>2906.6666666666665</v>
      </c>
      <c r="H20" s="52">
        <v>24260</v>
      </c>
      <c r="I20" s="53">
        <f t="shared" si="1"/>
        <v>735.13333333333333</v>
      </c>
      <c r="J20" s="55">
        <f t="shared" si="2"/>
        <v>120180</v>
      </c>
      <c r="K20" s="56">
        <f t="shared" si="3"/>
        <v>4006</v>
      </c>
      <c r="L20" s="57"/>
      <c r="M20" s="58">
        <f t="shared" si="4"/>
        <v>30</v>
      </c>
      <c r="N20" s="59">
        <f t="shared" si="4"/>
        <v>287760</v>
      </c>
      <c r="O20" s="53">
        <f t="shared" si="5"/>
        <v>8720</v>
      </c>
      <c r="P20" s="59">
        <f t="shared" si="6"/>
        <v>43400</v>
      </c>
      <c r="Q20" s="84">
        <f t="shared" si="7"/>
        <v>1315.1333333333334</v>
      </c>
      <c r="R20" s="60">
        <f t="shared" si="8"/>
        <v>331160</v>
      </c>
      <c r="S20" s="56">
        <f t="shared" si="9"/>
        <v>11038.666666666666</v>
      </c>
      <c r="T20" s="80">
        <f t="shared" si="10"/>
        <v>60</v>
      </c>
      <c r="U20" s="59">
        <f t="shared" si="10"/>
        <v>383680</v>
      </c>
      <c r="V20" s="59">
        <f t="shared" si="11"/>
        <v>67660</v>
      </c>
      <c r="W20" s="62">
        <f t="shared" si="12"/>
        <v>451340</v>
      </c>
      <c r="X20" s="81"/>
      <c r="Y20" s="63"/>
      <c r="Z20" s="64">
        <v>13</v>
      </c>
      <c r="AA20" s="52">
        <v>6960</v>
      </c>
      <c r="AB20" s="53">
        <f t="shared" si="13"/>
        <v>535.38461538461536</v>
      </c>
      <c r="AC20" s="52">
        <v>4700</v>
      </c>
      <c r="AD20" s="54">
        <f t="shared" si="14"/>
        <v>361.53846153846155</v>
      </c>
      <c r="AE20" s="65">
        <f t="shared" si="15"/>
        <v>11660</v>
      </c>
      <c r="AF20" s="56">
        <f t="shared" si="16"/>
        <v>896.92307692307691</v>
      </c>
      <c r="AG20" s="66"/>
      <c r="AH20" s="64">
        <v>45</v>
      </c>
      <c r="AI20" s="52">
        <v>176175</v>
      </c>
      <c r="AJ20" s="53">
        <f t="shared" si="17"/>
        <v>3915</v>
      </c>
      <c r="AK20" s="52">
        <v>58725</v>
      </c>
      <c r="AL20" s="54">
        <f t="shared" si="18"/>
        <v>1305</v>
      </c>
      <c r="AM20" s="65">
        <f t="shared" si="29"/>
        <v>234900</v>
      </c>
      <c r="AN20" s="67">
        <f t="shared" si="19"/>
        <v>5220</v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60</v>
      </c>
      <c r="AY20" s="59">
        <f t="shared" si="24"/>
        <v>566815</v>
      </c>
      <c r="AZ20" s="59">
        <f t="shared" si="25"/>
        <v>131085</v>
      </c>
      <c r="BA20" s="71">
        <f t="shared" si="26"/>
        <v>697900</v>
      </c>
      <c r="BB20" s="72">
        <f t="shared" si="31"/>
        <v>9900</v>
      </c>
      <c r="BC20" s="73">
        <v>60</v>
      </c>
      <c r="BD20" s="74">
        <v>383680</v>
      </c>
      <c r="BE20" s="74">
        <v>67660</v>
      </c>
      <c r="BF20" s="75">
        <v>6600</v>
      </c>
      <c r="BG20" s="75">
        <v>3300</v>
      </c>
      <c r="BH20" s="75"/>
      <c r="BI20" s="75"/>
      <c r="BJ20" s="76">
        <f t="shared" si="32"/>
        <v>461240</v>
      </c>
      <c r="BK20" s="47">
        <v>16</v>
      </c>
      <c r="BL20" s="77">
        <f t="shared" si="27"/>
        <v>461240</v>
      </c>
    </row>
    <row r="21" spans="2:65" ht="20" customHeight="1">
      <c r="B21" s="78">
        <f t="shared" si="28"/>
        <v>45277</v>
      </c>
      <c r="C21" s="79"/>
      <c r="D21" s="50"/>
      <c r="E21" s="51">
        <v>44</v>
      </c>
      <c r="F21" s="52">
        <v>154880</v>
      </c>
      <c r="G21" s="53">
        <f t="shared" si="0"/>
        <v>3200</v>
      </c>
      <c r="H21" s="52">
        <v>26230</v>
      </c>
      <c r="I21" s="53">
        <f t="shared" si="1"/>
        <v>541.93181818181813</v>
      </c>
      <c r="J21" s="55">
        <f t="shared" si="2"/>
        <v>181110</v>
      </c>
      <c r="K21" s="56">
        <f t="shared" si="3"/>
        <v>4116.136363636364</v>
      </c>
      <c r="L21" s="57"/>
      <c r="M21" s="58">
        <f t="shared" si="4"/>
        <v>33</v>
      </c>
      <c r="N21" s="59">
        <f t="shared" si="4"/>
        <v>350460</v>
      </c>
      <c r="O21" s="53">
        <f t="shared" si="5"/>
        <v>9654.545454545454</v>
      </c>
      <c r="P21" s="59">
        <f t="shared" si="6"/>
        <v>82140</v>
      </c>
      <c r="Q21" s="84">
        <f t="shared" si="7"/>
        <v>2262.787878787879</v>
      </c>
      <c r="R21" s="60">
        <f t="shared" si="8"/>
        <v>432600</v>
      </c>
      <c r="S21" s="56">
        <f t="shared" si="9"/>
        <v>13109.09090909091</v>
      </c>
      <c r="T21" s="80">
        <f t="shared" si="10"/>
        <v>77</v>
      </c>
      <c r="U21" s="59">
        <f t="shared" si="10"/>
        <v>505340</v>
      </c>
      <c r="V21" s="59">
        <f t="shared" si="11"/>
        <v>108370</v>
      </c>
      <c r="W21" s="62">
        <f t="shared" si="12"/>
        <v>613710</v>
      </c>
      <c r="X21" s="81"/>
      <c r="Y21" s="63"/>
      <c r="Z21" s="64">
        <v>12</v>
      </c>
      <c r="AA21" s="52">
        <v>6100</v>
      </c>
      <c r="AB21" s="53">
        <f t="shared" si="13"/>
        <v>508.33333333333331</v>
      </c>
      <c r="AC21" s="52">
        <v>1700</v>
      </c>
      <c r="AD21" s="54">
        <f t="shared" si="14"/>
        <v>141.66666666666666</v>
      </c>
      <c r="AE21" s="65">
        <f t="shared" si="15"/>
        <v>7800</v>
      </c>
      <c r="AF21" s="56">
        <f t="shared" si="16"/>
        <v>650</v>
      </c>
      <c r="AG21" s="66"/>
      <c r="AH21" s="64">
        <v>24</v>
      </c>
      <c r="AI21" s="52">
        <v>91385</v>
      </c>
      <c r="AJ21" s="53">
        <f t="shared" si="17"/>
        <v>3807.7083333333335</v>
      </c>
      <c r="AK21" s="52">
        <v>60835</v>
      </c>
      <c r="AL21" s="54">
        <f t="shared" si="18"/>
        <v>2534.7916666666665</v>
      </c>
      <c r="AM21" s="65">
        <f t="shared" si="29"/>
        <v>152220</v>
      </c>
      <c r="AN21" s="67">
        <f t="shared" si="19"/>
        <v>6342.5</v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77</v>
      </c>
      <c r="AY21" s="59">
        <f t="shared" si="24"/>
        <v>602825</v>
      </c>
      <c r="AZ21" s="59">
        <f t="shared" si="25"/>
        <v>170905</v>
      </c>
      <c r="BA21" s="71">
        <f>W21+AE21+AM21+AV21</f>
        <v>773730</v>
      </c>
      <c r="BB21" s="72">
        <f t="shared" si="31"/>
        <v>3740</v>
      </c>
      <c r="BC21" s="73">
        <v>77</v>
      </c>
      <c r="BD21" s="74">
        <v>505340</v>
      </c>
      <c r="BE21" s="74">
        <v>108370</v>
      </c>
      <c r="BF21" s="75">
        <v>440</v>
      </c>
      <c r="BG21" s="75">
        <v>3300</v>
      </c>
      <c r="BH21" s="75"/>
      <c r="BI21" s="75"/>
      <c r="BJ21" s="76">
        <f t="shared" si="32"/>
        <v>617450</v>
      </c>
      <c r="BK21" s="47">
        <v>17</v>
      </c>
      <c r="BL21" s="77">
        <f t="shared" si="27"/>
        <v>617450</v>
      </c>
    </row>
    <row r="22" spans="2:65" ht="20" customHeight="1">
      <c r="B22" s="78">
        <f t="shared" si="28"/>
        <v>45278</v>
      </c>
      <c r="C22" s="79"/>
      <c r="D22" s="50"/>
      <c r="E22" s="51">
        <v>31</v>
      </c>
      <c r="F22" s="52">
        <v>130430</v>
      </c>
      <c r="G22" s="53">
        <f t="shared" si="0"/>
        <v>3824.9032258064517</v>
      </c>
      <c r="H22" s="52">
        <v>18880</v>
      </c>
      <c r="I22" s="53">
        <f t="shared" si="1"/>
        <v>553.64516129032256</v>
      </c>
      <c r="J22" s="55">
        <f t="shared" si="2"/>
        <v>149310</v>
      </c>
      <c r="K22" s="56">
        <f t="shared" si="3"/>
        <v>4816.4516129032254</v>
      </c>
      <c r="L22" s="57"/>
      <c r="M22" s="58">
        <f t="shared" si="4"/>
        <v>25</v>
      </c>
      <c r="N22" s="59">
        <f t="shared" si="4"/>
        <v>209660</v>
      </c>
      <c r="O22" s="53">
        <f t="shared" si="5"/>
        <v>7624</v>
      </c>
      <c r="P22" s="59">
        <f t="shared" si="6"/>
        <v>57160</v>
      </c>
      <c r="Q22" s="84">
        <f t="shared" si="7"/>
        <v>2078.52</v>
      </c>
      <c r="R22" s="60">
        <f t="shared" si="8"/>
        <v>266820</v>
      </c>
      <c r="S22" s="56">
        <f t="shared" si="9"/>
        <v>10672.8</v>
      </c>
      <c r="T22" s="80">
        <f t="shared" si="10"/>
        <v>56</v>
      </c>
      <c r="U22" s="59">
        <f t="shared" si="10"/>
        <v>340090</v>
      </c>
      <c r="V22" s="59">
        <f t="shared" si="11"/>
        <v>76040</v>
      </c>
      <c r="W22" s="62">
        <f t="shared" si="12"/>
        <v>416130</v>
      </c>
      <c r="X22" s="81"/>
      <c r="Y22" s="63"/>
      <c r="Z22" s="64">
        <v>11</v>
      </c>
      <c r="AA22" s="52">
        <v>4950</v>
      </c>
      <c r="AB22" s="53">
        <f t="shared" si="13"/>
        <v>450</v>
      </c>
      <c r="AC22" s="52">
        <v>3050</v>
      </c>
      <c r="AD22" s="54">
        <f t="shared" si="14"/>
        <v>277.27272727272725</v>
      </c>
      <c r="AE22" s="65">
        <f t="shared" si="15"/>
        <v>8000</v>
      </c>
      <c r="AF22" s="56">
        <f t="shared" si="16"/>
        <v>727.27272727272725</v>
      </c>
      <c r="AG22" s="66"/>
      <c r="AH22" s="64">
        <v>12</v>
      </c>
      <c r="AI22" s="52">
        <v>46980</v>
      </c>
      <c r="AJ22" s="53">
        <f t="shared" si="17"/>
        <v>3915</v>
      </c>
      <c r="AK22" s="52">
        <v>15660</v>
      </c>
      <c r="AL22" s="54">
        <f t="shared" si="18"/>
        <v>1305</v>
      </c>
      <c r="AM22" s="65">
        <f t="shared" si="29"/>
        <v>62640</v>
      </c>
      <c r="AN22" s="67">
        <f t="shared" si="19"/>
        <v>5220</v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56</v>
      </c>
      <c r="AY22" s="59">
        <f t="shared" si="24"/>
        <v>392020</v>
      </c>
      <c r="AZ22" s="59">
        <f t="shared" si="25"/>
        <v>94750</v>
      </c>
      <c r="BA22" s="71">
        <f t="shared" si="26"/>
        <v>486770</v>
      </c>
      <c r="BB22" s="72">
        <f t="shared" si="31"/>
        <v>2750</v>
      </c>
      <c r="BC22" s="73">
        <v>56</v>
      </c>
      <c r="BD22" s="74">
        <v>340090</v>
      </c>
      <c r="BE22" s="74">
        <v>76040</v>
      </c>
      <c r="BF22" s="75">
        <v>0</v>
      </c>
      <c r="BG22" s="75">
        <v>2750</v>
      </c>
      <c r="BH22" s="75"/>
      <c r="BI22" s="75"/>
      <c r="BJ22" s="76">
        <f t="shared" si="32"/>
        <v>418880</v>
      </c>
      <c r="BK22" s="47">
        <v>18</v>
      </c>
      <c r="BL22" s="77">
        <f t="shared" si="27"/>
        <v>418880</v>
      </c>
    </row>
    <row r="23" spans="2:65" ht="20" customHeight="1">
      <c r="B23" s="78">
        <f t="shared" si="28"/>
        <v>45279</v>
      </c>
      <c r="C23" s="79"/>
      <c r="D23" s="50"/>
      <c r="E23" s="51">
        <v>27</v>
      </c>
      <c r="F23" s="52">
        <v>76890</v>
      </c>
      <c r="G23" s="53">
        <f t="shared" si="0"/>
        <v>2588.8888888888887</v>
      </c>
      <c r="H23" s="52">
        <v>2520</v>
      </c>
      <c r="I23" s="53">
        <f t="shared" si="1"/>
        <v>84.81481481481481</v>
      </c>
      <c r="J23" s="55">
        <f t="shared" si="2"/>
        <v>79410</v>
      </c>
      <c r="K23" s="56">
        <f t="shared" si="3"/>
        <v>2941.1111111111113</v>
      </c>
      <c r="L23" s="57"/>
      <c r="M23" s="58">
        <f t="shared" si="4"/>
        <v>28</v>
      </c>
      <c r="N23" s="59">
        <f t="shared" si="4"/>
        <v>253220</v>
      </c>
      <c r="O23" s="53">
        <f t="shared" si="5"/>
        <v>8221.4285714285706</v>
      </c>
      <c r="P23" s="59">
        <f t="shared" si="6"/>
        <v>61030</v>
      </c>
      <c r="Q23" s="84">
        <f t="shared" si="7"/>
        <v>1981.4642857142858</v>
      </c>
      <c r="R23" s="60">
        <f t="shared" si="8"/>
        <v>314250</v>
      </c>
      <c r="S23" s="56">
        <f t="shared" si="9"/>
        <v>11223.214285714286</v>
      </c>
      <c r="T23" s="80">
        <f t="shared" si="10"/>
        <v>55</v>
      </c>
      <c r="U23" s="59">
        <f t="shared" si="10"/>
        <v>330110</v>
      </c>
      <c r="V23" s="59">
        <f t="shared" si="11"/>
        <v>63550</v>
      </c>
      <c r="W23" s="62">
        <f t="shared" si="12"/>
        <v>393660</v>
      </c>
      <c r="X23" s="81"/>
      <c r="Y23" s="63"/>
      <c r="Z23" s="64">
        <v>11</v>
      </c>
      <c r="AA23" s="52">
        <v>5350</v>
      </c>
      <c r="AB23" s="53">
        <f t="shared" si="13"/>
        <v>486.36363636363637</v>
      </c>
      <c r="AC23" s="52">
        <v>2800</v>
      </c>
      <c r="AD23" s="54">
        <f t="shared" si="14"/>
        <v>254.54545454545453</v>
      </c>
      <c r="AE23" s="65">
        <f t="shared" si="15"/>
        <v>8150</v>
      </c>
      <c r="AF23" s="56">
        <f t="shared" si="16"/>
        <v>740.90909090909088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55</v>
      </c>
      <c r="AY23" s="59">
        <f t="shared" si="24"/>
        <v>335460</v>
      </c>
      <c r="AZ23" s="59">
        <f t="shared" si="25"/>
        <v>66350</v>
      </c>
      <c r="BA23" s="71">
        <f t="shared" si="26"/>
        <v>401810</v>
      </c>
      <c r="BB23" s="72">
        <f t="shared" si="31"/>
        <v>6600</v>
      </c>
      <c r="BC23" s="73">
        <v>55</v>
      </c>
      <c r="BD23" s="74">
        <v>330110</v>
      </c>
      <c r="BE23" s="74">
        <v>63550</v>
      </c>
      <c r="BF23" s="75">
        <v>5500</v>
      </c>
      <c r="BG23" s="75">
        <v>1100</v>
      </c>
      <c r="BH23" s="75"/>
      <c r="BI23" s="75"/>
      <c r="BJ23" s="76">
        <f>SUM(BD23:BG23)</f>
        <v>400260</v>
      </c>
      <c r="BK23" s="47">
        <v>19</v>
      </c>
      <c r="BL23" s="77">
        <f t="shared" si="27"/>
        <v>400260</v>
      </c>
    </row>
    <row r="24" spans="2:65" ht="20" customHeight="1">
      <c r="B24" s="78">
        <f t="shared" si="28"/>
        <v>45280</v>
      </c>
      <c r="C24" s="79"/>
      <c r="D24" s="50"/>
      <c r="E24" s="51">
        <v>32</v>
      </c>
      <c r="F24" s="52">
        <v>126940</v>
      </c>
      <c r="G24" s="53">
        <f t="shared" si="0"/>
        <v>3606.25</v>
      </c>
      <c r="H24" s="52">
        <v>15210</v>
      </c>
      <c r="I24" s="53">
        <f t="shared" si="1"/>
        <v>432.09375</v>
      </c>
      <c r="J24" s="55">
        <f t="shared" si="2"/>
        <v>142150</v>
      </c>
      <c r="K24" s="56">
        <f t="shared" si="3"/>
        <v>4442.1875</v>
      </c>
      <c r="L24" s="57"/>
      <c r="M24" s="58">
        <f t="shared" si="4"/>
        <v>31</v>
      </c>
      <c r="N24" s="59">
        <f t="shared" si="4"/>
        <v>306130</v>
      </c>
      <c r="O24" s="53">
        <f t="shared" si="5"/>
        <v>8977.4193548387102</v>
      </c>
      <c r="P24" s="59">
        <f t="shared" si="6"/>
        <v>120970</v>
      </c>
      <c r="Q24" s="84">
        <f t="shared" si="7"/>
        <v>3547.483870967742</v>
      </c>
      <c r="R24" s="60">
        <f t="shared" si="8"/>
        <v>427100</v>
      </c>
      <c r="S24" s="56">
        <f t="shared" si="9"/>
        <v>13777.41935483871</v>
      </c>
      <c r="T24" s="80">
        <f t="shared" si="10"/>
        <v>63</v>
      </c>
      <c r="U24" s="59">
        <f t="shared" si="10"/>
        <v>433070</v>
      </c>
      <c r="V24" s="59">
        <f t="shared" si="11"/>
        <v>136180</v>
      </c>
      <c r="W24" s="62">
        <f t="shared" si="12"/>
        <v>569250</v>
      </c>
      <c r="X24" s="81"/>
      <c r="Y24" s="63"/>
      <c r="Z24" s="64">
        <v>1</v>
      </c>
      <c r="AA24" s="52">
        <v>450</v>
      </c>
      <c r="AB24" s="53">
        <f t="shared" si="13"/>
        <v>450</v>
      </c>
      <c r="AC24" s="52">
        <v>0</v>
      </c>
      <c r="AD24" s="54">
        <f t="shared" si="14"/>
        <v>0</v>
      </c>
      <c r="AE24" s="65">
        <f t="shared" si="15"/>
        <v>450</v>
      </c>
      <c r="AF24" s="56">
        <f t="shared" si="16"/>
        <v>450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63</v>
      </c>
      <c r="AY24" s="59">
        <f t="shared" si="24"/>
        <v>433520</v>
      </c>
      <c r="AZ24" s="59">
        <f t="shared" si="25"/>
        <v>136180</v>
      </c>
      <c r="BA24" s="71">
        <f t="shared" si="26"/>
        <v>569700</v>
      </c>
      <c r="BB24" s="72">
        <f t="shared" si="31"/>
        <v>8250</v>
      </c>
      <c r="BC24" s="73">
        <v>63</v>
      </c>
      <c r="BD24" s="74">
        <v>433070</v>
      </c>
      <c r="BE24" s="74">
        <v>136180</v>
      </c>
      <c r="BF24" s="75">
        <v>3850</v>
      </c>
      <c r="BG24" s="75">
        <v>4400</v>
      </c>
      <c r="BH24" s="75"/>
      <c r="BI24" s="75"/>
      <c r="BJ24" s="76">
        <f t="shared" si="32"/>
        <v>577500</v>
      </c>
      <c r="BK24" s="47">
        <v>20</v>
      </c>
      <c r="BL24" s="77">
        <f t="shared" si="27"/>
        <v>577500</v>
      </c>
    </row>
    <row r="25" spans="2:65" ht="20" customHeight="1">
      <c r="B25" s="78">
        <f t="shared" si="28"/>
        <v>45281</v>
      </c>
      <c r="C25" s="79"/>
      <c r="D25" s="50"/>
      <c r="E25" s="51">
        <v>35</v>
      </c>
      <c r="F25" s="52">
        <v>115170</v>
      </c>
      <c r="G25" s="53">
        <f t="shared" si="0"/>
        <v>2991.4285714285716</v>
      </c>
      <c r="H25" s="52">
        <v>24560</v>
      </c>
      <c r="I25" s="53">
        <f t="shared" si="1"/>
        <v>637.91428571428571</v>
      </c>
      <c r="J25" s="55">
        <f t="shared" si="2"/>
        <v>139730</v>
      </c>
      <c r="K25" s="56">
        <f t="shared" si="3"/>
        <v>3992.2857142857142</v>
      </c>
      <c r="L25" s="57"/>
      <c r="M25" s="58">
        <f t="shared" si="4"/>
        <v>32</v>
      </c>
      <c r="N25" s="59">
        <f t="shared" si="4"/>
        <v>304040</v>
      </c>
      <c r="O25" s="53">
        <f t="shared" si="5"/>
        <v>8637.5</v>
      </c>
      <c r="P25" s="59">
        <f t="shared" si="6"/>
        <v>87670</v>
      </c>
      <c r="Q25" s="84">
        <f t="shared" si="7"/>
        <v>2490.625</v>
      </c>
      <c r="R25" s="60">
        <f t="shared" si="8"/>
        <v>391710</v>
      </c>
      <c r="S25" s="56">
        <f t="shared" si="9"/>
        <v>12240.9375</v>
      </c>
      <c r="T25" s="80">
        <f t="shared" si="10"/>
        <v>67</v>
      </c>
      <c r="U25" s="59">
        <f t="shared" si="10"/>
        <v>419210</v>
      </c>
      <c r="V25" s="59">
        <f t="shared" si="11"/>
        <v>112230</v>
      </c>
      <c r="W25" s="62">
        <f t="shared" si="12"/>
        <v>531440</v>
      </c>
      <c r="X25" s="81"/>
      <c r="Y25" s="63"/>
      <c r="Z25" s="64">
        <v>3</v>
      </c>
      <c r="AA25" s="52">
        <v>0</v>
      </c>
      <c r="AB25" s="53">
        <f t="shared" si="13"/>
        <v>0</v>
      </c>
      <c r="AC25" s="52">
        <v>1400</v>
      </c>
      <c r="AD25" s="54">
        <f t="shared" si="14"/>
        <v>466.66666666666669</v>
      </c>
      <c r="AE25" s="65">
        <f t="shared" si="15"/>
        <v>1400</v>
      </c>
      <c r="AF25" s="56">
        <f t="shared" si="16"/>
        <v>466.66666666666669</v>
      </c>
      <c r="AG25" s="66"/>
      <c r="AH25" s="64">
        <v>7</v>
      </c>
      <c r="AI25" s="52">
        <v>0</v>
      </c>
      <c r="AJ25" s="53">
        <f t="shared" si="17"/>
        <v>0</v>
      </c>
      <c r="AK25" s="52">
        <v>3350</v>
      </c>
      <c r="AL25" s="54">
        <f t="shared" si="18"/>
        <v>478.57142857142856</v>
      </c>
      <c r="AM25" s="65">
        <f t="shared" si="29"/>
        <v>3350</v>
      </c>
      <c r="AN25" s="67">
        <f t="shared" si="19"/>
        <v>478.57142857142856</v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67</v>
      </c>
      <c r="AY25" s="59">
        <f t="shared" si="24"/>
        <v>419210</v>
      </c>
      <c r="AZ25" s="59">
        <f t="shared" si="25"/>
        <v>116980</v>
      </c>
      <c r="BA25" s="71">
        <f t="shared" si="26"/>
        <v>536190</v>
      </c>
      <c r="BB25" s="72">
        <f t="shared" si="31"/>
        <v>7150</v>
      </c>
      <c r="BC25" s="73">
        <v>67</v>
      </c>
      <c r="BD25" s="74">
        <v>419210</v>
      </c>
      <c r="BE25" s="74">
        <v>112230</v>
      </c>
      <c r="BF25" s="75">
        <v>2750</v>
      </c>
      <c r="BG25" s="75">
        <v>4400</v>
      </c>
      <c r="BH25" s="75">
        <v>3500</v>
      </c>
      <c r="BI25" s="75"/>
      <c r="BJ25" s="76">
        <f t="shared" si="32"/>
        <v>538590</v>
      </c>
      <c r="BK25" s="47">
        <v>21</v>
      </c>
      <c r="BL25" s="77">
        <f t="shared" si="27"/>
        <v>538590</v>
      </c>
    </row>
    <row r="26" spans="2:65" ht="20" customHeight="1">
      <c r="B26" s="78">
        <f t="shared" si="28"/>
        <v>45282</v>
      </c>
      <c r="C26" s="79"/>
      <c r="D26" s="50"/>
      <c r="E26" s="51">
        <v>29</v>
      </c>
      <c r="F26" s="52">
        <v>128370</v>
      </c>
      <c r="G26" s="53">
        <f t="shared" si="0"/>
        <v>4024.1379310344828</v>
      </c>
      <c r="H26" s="52">
        <v>34310</v>
      </c>
      <c r="I26" s="53">
        <f t="shared" si="1"/>
        <v>1075.5172413793102</v>
      </c>
      <c r="J26" s="55">
        <f t="shared" si="2"/>
        <v>162680</v>
      </c>
      <c r="K26" s="56">
        <f t="shared" si="3"/>
        <v>5609.6551724137935</v>
      </c>
      <c r="L26" s="57"/>
      <c r="M26" s="58">
        <f t="shared" si="4"/>
        <v>23</v>
      </c>
      <c r="N26" s="59">
        <f t="shared" si="4"/>
        <v>385440</v>
      </c>
      <c r="O26" s="53">
        <f t="shared" si="5"/>
        <v>15234.782608695652</v>
      </c>
      <c r="P26" s="59">
        <f t="shared" si="6"/>
        <v>90830</v>
      </c>
      <c r="Q26" s="84">
        <f t="shared" si="7"/>
        <v>3590.086956521739</v>
      </c>
      <c r="R26" s="60">
        <f t="shared" si="8"/>
        <v>476270</v>
      </c>
      <c r="S26" s="56">
        <f t="shared" si="9"/>
        <v>20707.391304347828</v>
      </c>
      <c r="T26" s="80">
        <f t="shared" si="10"/>
        <v>52</v>
      </c>
      <c r="U26" s="59">
        <f t="shared" si="10"/>
        <v>513810</v>
      </c>
      <c r="V26" s="59">
        <f t="shared" si="11"/>
        <v>125140</v>
      </c>
      <c r="W26" s="62">
        <f t="shared" si="12"/>
        <v>638950</v>
      </c>
      <c r="X26" s="81"/>
      <c r="Y26" s="63"/>
      <c r="Z26" s="64">
        <v>3</v>
      </c>
      <c r="AA26" s="52">
        <v>1560</v>
      </c>
      <c r="AB26" s="53">
        <f t="shared" si="13"/>
        <v>520</v>
      </c>
      <c r="AC26" s="52">
        <v>0</v>
      </c>
      <c r="AD26" s="54">
        <f t="shared" si="14"/>
        <v>0</v>
      </c>
      <c r="AE26" s="65">
        <f t="shared" si="15"/>
        <v>1560</v>
      </c>
      <c r="AF26" s="56">
        <f t="shared" si="16"/>
        <v>520</v>
      </c>
      <c r="AG26" s="66"/>
      <c r="AH26" s="64">
        <v>37</v>
      </c>
      <c r="AI26" s="52">
        <v>144855</v>
      </c>
      <c r="AJ26" s="53">
        <f t="shared" si="17"/>
        <v>3915</v>
      </c>
      <c r="AK26" s="52">
        <v>48285</v>
      </c>
      <c r="AL26" s="54">
        <f t="shared" si="18"/>
        <v>1305</v>
      </c>
      <c r="AM26" s="65">
        <f t="shared" si="29"/>
        <v>193140</v>
      </c>
      <c r="AN26" s="67">
        <f t="shared" si="19"/>
        <v>5220</v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52</v>
      </c>
      <c r="AY26" s="59">
        <f t="shared" si="24"/>
        <v>660225</v>
      </c>
      <c r="AZ26" s="59">
        <f t="shared" si="25"/>
        <v>173425</v>
      </c>
      <c r="BA26" s="71">
        <f>W26+AE26+AM26+AV26</f>
        <v>833650</v>
      </c>
      <c r="BB26" s="72">
        <f>BF26+BG26</f>
        <v>13200</v>
      </c>
      <c r="BC26" s="73">
        <v>52</v>
      </c>
      <c r="BD26" s="74">
        <v>513810</v>
      </c>
      <c r="BE26" s="74">
        <v>125140</v>
      </c>
      <c r="BF26" s="75">
        <v>13200</v>
      </c>
      <c r="BG26" s="75"/>
      <c r="BH26" s="75">
        <v>3300</v>
      </c>
      <c r="BI26" s="75"/>
      <c r="BJ26" s="76">
        <f t="shared" si="32"/>
        <v>652150</v>
      </c>
      <c r="BK26" s="47">
        <v>22</v>
      </c>
      <c r="BL26" s="77">
        <f t="shared" si="27"/>
        <v>652150</v>
      </c>
    </row>
    <row r="27" spans="2:65" ht="20" customHeight="1">
      <c r="B27" s="78">
        <f t="shared" si="28"/>
        <v>45283</v>
      </c>
      <c r="C27" s="79"/>
      <c r="D27" s="50"/>
      <c r="E27" s="51">
        <v>33</v>
      </c>
      <c r="F27" s="52">
        <v>156420</v>
      </c>
      <c r="G27" s="53">
        <f t="shared" si="0"/>
        <v>4309.090909090909</v>
      </c>
      <c r="H27" s="52">
        <v>32200</v>
      </c>
      <c r="I27" s="53">
        <f t="shared" si="1"/>
        <v>887.030303030303</v>
      </c>
      <c r="J27" s="55">
        <f t="shared" si="2"/>
        <v>188620</v>
      </c>
      <c r="K27" s="56">
        <f t="shared" si="3"/>
        <v>5715.757575757576</v>
      </c>
      <c r="L27" s="57"/>
      <c r="M27" s="58">
        <f t="shared" si="4"/>
        <v>36</v>
      </c>
      <c r="N27" s="59">
        <f t="shared" si="4"/>
        <v>577500</v>
      </c>
      <c r="O27" s="53">
        <f t="shared" si="5"/>
        <v>14583.333333333334</v>
      </c>
      <c r="P27" s="59">
        <f t="shared" si="6"/>
        <v>191980</v>
      </c>
      <c r="Q27" s="54">
        <f t="shared" si="7"/>
        <v>4847.9722222222226</v>
      </c>
      <c r="R27" s="60">
        <f t="shared" si="8"/>
        <v>769480</v>
      </c>
      <c r="S27" s="56">
        <f t="shared" si="9"/>
        <v>21374.444444444445</v>
      </c>
      <c r="T27" s="80">
        <f t="shared" si="10"/>
        <v>69</v>
      </c>
      <c r="U27" s="59">
        <f t="shared" si="10"/>
        <v>733920</v>
      </c>
      <c r="V27" s="59">
        <f t="shared" si="11"/>
        <v>224180</v>
      </c>
      <c r="W27" s="62">
        <f t="shared" si="12"/>
        <v>958100</v>
      </c>
      <c r="X27" s="81"/>
      <c r="Y27" s="63"/>
      <c r="Z27" s="64">
        <v>7</v>
      </c>
      <c r="AA27" s="52">
        <v>4210</v>
      </c>
      <c r="AB27" s="53">
        <f t="shared" si="13"/>
        <v>601.42857142857144</v>
      </c>
      <c r="AC27" s="52">
        <v>900</v>
      </c>
      <c r="AD27" s="54">
        <f t="shared" si="14"/>
        <v>128.57142857142858</v>
      </c>
      <c r="AE27" s="65">
        <f t="shared" si="15"/>
        <v>5110</v>
      </c>
      <c r="AF27" s="56">
        <f t="shared" si="16"/>
        <v>730</v>
      </c>
      <c r="AG27" s="66"/>
      <c r="AH27" s="64">
        <v>81</v>
      </c>
      <c r="AI27" s="52">
        <v>317155</v>
      </c>
      <c r="AJ27" s="53">
        <f t="shared" si="17"/>
        <v>3915.4938271604938</v>
      </c>
      <c r="AK27" s="52">
        <v>89001</v>
      </c>
      <c r="AL27" s="54">
        <f t="shared" si="18"/>
        <v>1098.7777777777778</v>
      </c>
      <c r="AM27" s="65">
        <f t="shared" si="29"/>
        <v>406156</v>
      </c>
      <c r="AN27" s="67">
        <f t="shared" si="19"/>
        <v>5014.2716049382716</v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69</v>
      </c>
      <c r="AY27" s="59">
        <f t="shared" si="24"/>
        <v>1055285</v>
      </c>
      <c r="AZ27" s="59">
        <f t="shared" si="25"/>
        <v>314081</v>
      </c>
      <c r="BA27" s="71">
        <f>W27+AE27+AM27+AV27</f>
        <v>1369366</v>
      </c>
      <c r="BB27" s="72">
        <f t="shared" si="31"/>
        <v>20350</v>
      </c>
      <c r="BC27" s="73">
        <v>69</v>
      </c>
      <c r="BD27" s="74">
        <v>733920</v>
      </c>
      <c r="BE27" s="74">
        <v>224180</v>
      </c>
      <c r="BF27" s="75">
        <v>20350</v>
      </c>
      <c r="BG27" s="75"/>
      <c r="BH27" s="75"/>
      <c r="BI27" s="75"/>
      <c r="BJ27" s="76">
        <f t="shared" si="32"/>
        <v>978450</v>
      </c>
      <c r="BK27" s="47">
        <v>23</v>
      </c>
      <c r="BL27" s="77">
        <f t="shared" si="27"/>
        <v>978450</v>
      </c>
    </row>
    <row r="28" spans="2:65" ht="20" customHeight="1">
      <c r="B28" s="78">
        <f>B27+1</f>
        <v>45284</v>
      </c>
      <c r="C28" s="79"/>
      <c r="D28" s="50"/>
      <c r="E28" s="51">
        <v>35</v>
      </c>
      <c r="F28" s="52">
        <v>234630</v>
      </c>
      <c r="G28" s="53">
        <f t="shared" si="0"/>
        <v>6094.2857142857147</v>
      </c>
      <c r="H28" s="52">
        <v>33320</v>
      </c>
      <c r="I28" s="53">
        <f t="shared" si="1"/>
        <v>865.42857142857144</v>
      </c>
      <c r="J28" s="55">
        <f t="shared" si="2"/>
        <v>267950</v>
      </c>
      <c r="K28" s="56">
        <f t="shared" si="3"/>
        <v>7655.7142857142853</v>
      </c>
      <c r="L28" s="57"/>
      <c r="M28" s="58">
        <f t="shared" si="4"/>
        <v>46</v>
      </c>
      <c r="N28" s="59">
        <f t="shared" si="4"/>
        <v>709500</v>
      </c>
      <c r="O28" s="53">
        <f t="shared" si="5"/>
        <v>14021.739130434782</v>
      </c>
      <c r="P28" s="59">
        <f t="shared" si="6"/>
        <v>156680</v>
      </c>
      <c r="Q28" s="54">
        <f>ROUNDDOWN(P28/1.1,0)/M28</f>
        <v>3096.4347826086955</v>
      </c>
      <c r="R28" s="60">
        <f t="shared" si="8"/>
        <v>866180</v>
      </c>
      <c r="S28" s="56">
        <f t="shared" si="9"/>
        <v>18830</v>
      </c>
      <c r="T28" s="80">
        <f t="shared" si="10"/>
        <v>81</v>
      </c>
      <c r="U28" s="59">
        <f t="shared" si="10"/>
        <v>944130</v>
      </c>
      <c r="V28" s="59">
        <f t="shared" si="11"/>
        <v>190000</v>
      </c>
      <c r="W28" s="62">
        <f t="shared" si="12"/>
        <v>1134130</v>
      </c>
      <c r="X28" s="81"/>
      <c r="Y28" s="63"/>
      <c r="Z28" s="64">
        <v>12</v>
      </c>
      <c r="AA28" s="52">
        <v>5960</v>
      </c>
      <c r="AB28" s="53">
        <f t="shared" si="13"/>
        <v>496.66666666666669</v>
      </c>
      <c r="AC28" s="52">
        <v>3100</v>
      </c>
      <c r="AD28" s="54">
        <f t="shared" si="14"/>
        <v>258.33333333333331</v>
      </c>
      <c r="AE28" s="65">
        <f t="shared" si="15"/>
        <v>9060</v>
      </c>
      <c r="AF28" s="56">
        <f t="shared" si="16"/>
        <v>755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5">
        <f t="shared" si="30"/>
        <v>0</v>
      </c>
      <c r="AW28" s="67" t="str">
        <f t="shared" si="22"/>
        <v/>
      </c>
      <c r="AX28" s="82">
        <f t="shared" si="23"/>
        <v>81</v>
      </c>
      <c r="AY28" s="59">
        <f t="shared" si="24"/>
        <v>950090</v>
      </c>
      <c r="AZ28" s="59">
        <f t="shared" si="25"/>
        <v>193100</v>
      </c>
      <c r="BA28" s="71">
        <f t="shared" si="26"/>
        <v>1143190</v>
      </c>
      <c r="BB28" s="72">
        <f t="shared" si="31"/>
        <v>40700</v>
      </c>
      <c r="BC28" s="73">
        <v>81</v>
      </c>
      <c r="BD28" s="74">
        <v>944130</v>
      </c>
      <c r="BE28" s="74">
        <v>190000</v>
      </c>
      <c r="BF28" s="75">
        <v>40700</v>
      </c>
      <c r="BG28" s="75"/>
      <c r="BH28" s="75"/>
      <c r="BI28" s="75"/>
      <c r="BJ28" s="76">
        <f t="shared" si="32"/>
        <v>1174830</v>
      </c>
      <c r="BK28" s="47">
        <v>24</v>
      </c>
      <c r="BL28" s="77">
        <f t="shared" si="27"/>
        <v>1174830</v>
      </c>
    </row>
    <row r="29" spans="2:65" ht="20" customHeight="1">
      <c r="B29" s="78">
        <f t="shared" si="28"/>
        <v>45285</v>
      </c>
      <c r="C29" s="79"/>
      <c r="D29" s="50"/>
      <c r="E29" s="51">
        <v>32</v>
      </c>
      <c r="F29" s="52">
        <v>133650</v>
      </c>
      <c r="G29" s="53">
        <f t="shared" si="0"/>
        <v>3796.875</v>
      </c>
      <c r="H29" s="52">
        <v>16150</v>
      </c>
      <c r="I29" s="53">
        <f t="shared" si="1"/>
        <v>458.78125</v>
      </c>
      <c r="J29" s="55">
        <f t="shared" si="2"/>
        <v>149800</v>
      </c>
      <c r="K29" s="56">
        <f t="shared" si="3"/>
        <v>4681.25</v>
      </c>
      <c r="L29" s="57"/>
      <c r="M29" s="58">
        <f t="shared" si="4"/>
        <v>37</v>
      </c>
      <c r="N29" s="59">
        <f t="shared" si="4"/>
        <v>549010</v>
      </c>
      <c r="O29" s="53">
        <f t="shared" si="5"/>
        <v>13489.18918918919</v>
      </c>
      <c r="P29" s="59">
        <f t="shared" si="6"/>
        <v>79020</v>
      </c>
      <c r="Q29" s="54">
        <f t="shared" si="7"/>
        <v>1941.5135135135135</v>
      </c>
      <c r="R29" s="60">
        <f t="shared" si="8"/>
        <v>628030</v>
      </c>
      <c r="S29" s="56">
        <f t="shared" si="9"/>
        <v>16973.783783783783</v>
      </c>
      <c r="T29" s="80">
        <f t="shared" si="10"/>
        <v>69</v>
      </c>
      <c r="U29" s="59">
        <f t="shared" si="10"/>
        <v>682660</v>
      </c>
      <c r="V29" s="59">
        <f t="shared" si="11"/>
        <v>95170</v>
      </c>
      <c r="W29" s="62">
        <f t="shared" si="12"/>
        <v>777830</v>
      </c>
      <c r="X29" s="81"/>
      <c r="Y29" s="63"/>
      <c r="Z29" s="64">
        <v>11</v>
      </c>
      <c r="AA29" s="52">
        <v>4400</v>
      </c>
      <c r="AB29" s="53">
        <f t="shared" si="13"/>
        <v>400</v>
      </c>
      <c r="AC29" s="52">
        <v>3200</v>
      </c>
      <c r="AD29" s="54">
        <f t="shared" si="14"/>
        <v>290.90909090909093</v>
      </c>
      <c r="AE29" s="65">
        <f t="shared" si="15"/>
        <v>7600</v>
      </c>
      <c r="AF29" s="56">
        <f t="shared" si="16"/>
        <v>690.90909090909088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69</v>
      </c>
      <c r="AY29" s="59">
        <f t="shared" si="24"/>
        <v>687060</v>
      </c>
      <c r="AZ29" s="59">
        <f t="shared" si="25"/>
        <v>98370</v>
      </c>
      <c r="BA29" s="71">
        <f t="shared" si="26"/>
        <v>785430</v>
      </c>
      <c r="BB29" s="72">
        <f t="shared" si="31"/>
        <v>29700</v>
      </c>
      <c r="BC29" s="73">
        <v>69</v>
      </c>
      <c r="BD29" s="74">
        <v>682660</v>
      </c>
      <c r="BE29" s="74">
        <v>95170</v>
      </c>
      <c r="BF29" s="75">
        <v>16500</v>
      </c>
      <c r="BG29" s="75">
        <v>13200</v>
      </c>
      <c r="BH29" s="75">
        <v>6600</v>
      </c>
      <c r="BI29" s="75"/>
      <c r="BJ29" s="76">
        <f t="shared" si="32"/>
        <v>807530</v>
      </c>
      <c r="BK29" s="47">
        <v>25</v>
      </c>
      <c r="BL29" s="77">
        <f t="shared" si="27"/>
        <v>807530</v>
      </c>
    </row>
    <row r="30" spans="2:65" ht="20" customHeight="1">
      <c r="B30" s="78">
        <f t="shared" si="28"/>
        <v>45286</v>
      </c>
      <c r="C30" s="79"/>
      <c r="D30" s="50"/>
      <c r="E30" s="51">
        <v>28</v>
      </c>
      <c r="F30" s="52">
        <v>95480</v>
      </c>
      <c r="G30" s="53">
        <f t="shared" si="0"/>
        <v>3100</v>
      </c>
      <c r="H30" s="52">
        <v>9900</v>
      </c>
      <c r="I30" s="53">
        <f t="shared" si="1"/>
        <v>321.42857142857144</v>
      </c>
      <c r="J30" s="55">
        <f t="shared" si="2"/>
        <v>105380</v>
      </c>
      <c r="K30" s="56">
        <f t="shared" si="3"/>
        <v>3763.5714285714284</v>
      </c>
      <c r="L30" s="57"/>
      <c r="M30" s="58">
        <f t="shared" si="4"/>
        <v>39</v>
      </c>
      <c r="N30" s="59">
        <f t="shared" si="4"/>
        <v>247610</v>
      </c>
      <c r="O30" s="53">
        <f t="shared" si="5"/>
        <v>5771.7948717948721</v>
      </c>
      <c r="P30" s="59">
        <f t="shared" si="6"/>
        <v>64400</v>
      </c>
      <c r="Q30" s="53">
        <f t="shared" si="7"/>
        <v>1501.1538461538462</v>
      </c>
      <c r="R30" s="60">
        <f t="shared" si="8"/>
        <v>312010</v>
      </c>
      <c r="S30" s="56">
        <f t="shared" si="9"/>
        <v>8000.2564102564102</v>
      </c>
      <c r="T30" s="80">
        <f t="shared" si="10"/>
        <v>67</v>
      </c>
      <c r="U30" s="59">
        <f t="shared" si="10"/>
        <v>343090</v>
      </c>
      <c r="V30" s="59">
        <f t="shared" si="11"/>
        <v>74300</v>
      </c>
      <c r="W30" s="62">
        <f t="shared" si="12"/>
        <v>417390</v>
      </c>
      <c r="X30" s="81"/>
      <c r="Y30" s="63"/>
      <c r="Z30" s="64">
        <v>21</v>
      </c>
      <c r="AA30" s="52">
        <v>10760</v>
      </c>
      <c r="AB30" s="53">
        <f t="shared" si="13"/>
        <v>512.38095238095241</v>
      </c>
      <c r="AC30" s="52">
        <v>4550</v>
      </c>
      <c r="AD30" s="54">
        <f t="shared" si="14"/>
        <v>216.66666666666666</v>
      </c>
      <c r="AE30" s="65">
        <f t="shared" si="15"/>
        <v>15310</v>
      </c>
      <c r="AF30" s="56">
        <f t="shared" si="16"/>
        <v>729.04761904761904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67</v>
      </c>
      <c r="AY30" s="59">
        <f t="shared" si="24"/>
        <v>353850</v>
      </c>
      <c r="AZ30" s="59">
        <f t="shared" si="25"/>
        <v>78850</v>
      </c>
      <c r="BA30" s="71">
        <f t="shared" si="26"/>
        <v>432700</v>
      </c>
      <c r="BB30" s="72">
        <f t="shared" si="31"/>
        <v>2200</v>
      </c>
      <c r="BC30" s="73">
        <v>67</v>
      </c>
      <c r="BD30" s="74">
        <v>343090</v>
      </c>
      <c r="BE30" s="74">
        <v>74300</v>
      </c>
      <c r="BF30" s="75">
        <v>2200</v>
      </c>
      <c r="BG30" s="75"/>
      <c r="BH30" s="75"/>
      <c r="BI30" s="75"/>
      <c r="BJ30" s="76">
        <f t="shared" si="32"/>
        <v>419590</v>
      </c>
      <c r="BK30" s="47">
        <v>26</v>
      </c>
      <c r="BL30" s="77">
        <f t="shared" si="27"/>
        <v>419590</v>
      </c>
    </row>
    <row r="31" spans="2:65" ht="20" customHeight="1">
      <c r="B31" s="78">
        <f t="shared" si="28"/>
        <v>45287</v>
      </c>
      <c r="C31" s="79"/>
      <c r="D31" s="50"/>
      <c r="E31" s="51">
        <v>39</v>
      </c>
      <c r="F31" s="52">
        <v>110500</v>
      </c>
      <c r="G31" s="53">
        <f t="shared" si="0"/>
        <v>2575.7435897435898</v>
      </c>
      <c r="H31" s="52">
        <v>19980</v>
      </c>
      <c r="I31" s="53">
        <f t="shared" si="1"/>
        <v>465.71794871794873</v>
      </c>
      <c r="J31" s="55">
        <f t="shared" si="2"/>
        <v>130480</v>
      </c>
      <c r="K31" s="56">
        <f t="shared" si="3"/>
        <v>3345.6410256410259</v>
      </c>
      <c r="L31" s="57"/>
      <c r="M31" s="58">
        <f t="shared" si="4"/>
        <v>36</v>
      </c>
      <c r="N31" s="59">
        <f t="shared" si="4"/>
        <v>272410</v>
      </c>
      <c r="O31" s="53">
        <f t="shared" si="5"/>
        <v>6879.0277777777774</v>
      </c>
      <c r="P31" s="59">
        <f t="shared" si="6"/>
        <v>97370</v>
      </c>
      <c r="Q31" s="53">
        <f t="shared" si="7"/>
        <v>2458.8333333333335</v>
      </c>
      <c r="R31" s="60">
        <f t="shared" si="8"/>
        <v>369780</v>
      </c>
      <c r="S31" s="56">
        <f t="shared" si="9"/>
        <v>10271.666666666666</v>
      </c>
      <c r="T31" s="80">
        <f t="shared" si="10"/>
        <v>75</v>
      </c>
      <c r="U31" s="59">
        <f t="shared" si="10"/>
        <v>382910</v>
      </c>
      <c r="V31" s="59">
        <f t="shared" si="11"/>
        <v>117350</v>
      </c>
      <c r="W31" s="62">
        <f t="shared" si="12"/>
        <v>500260</v>
      </c>
      <c r="X31" s="81"/>
      <c r="Y31" s="63"/>
      <c r="Z31" s="64">
        <v>17</v>
      </c>
      <c r="AA31" s="52">
        <v>10390</v>
      </c>
      <c r="AB31" s="53">
        <f t="shared" si="13"/>
        <v>611.17647058823525</v>
      </c>
      <c r="AC31" s="52">
        <v>8690</v>
      </c>
      <c r="AD31" s="54">
        <f t="shared" si="14"/>
        <v>511.1764705882353</v>
      </c>
      <c r="AE31" s="65">
        <f t="shared" si="15"/>
        <v>19080</v>
      </c>
      <c r="AF31" s="56">
        <f t="shared" si="16"/>
        <v>1122.3529411764705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/>
      <c r="AQ31" s="52"/>
      <c r="AR31" s="53" t="e">
        <f t="shared" si="20"/>
        <v>#DIV/0!</v>
      </c>
      <c r="AS31" s="52"/>
      <c r="AT31" s="54" t="e">
        <f t="shared" si="21"/>
        <v>#DIV/0!</v>
      </c>
      <c r="AU31" s="54"/>
      <c r="AV31" s="69">
        <f t="shared" si="30"/>
        <v>0</v>
      </c>
      <c r="AW31" s="67" t="str">
        <f t="shared" si="22"/>
        <v/>
      </c>
      <c r="AX31" s="82">
        <f t="shared" si="23"/>
        <v>75</v>
      </c>
      <c r="AY31" s="59">
        <f t="shared" si="24"/>
        <v>393300</v>
      </c>
      <c r="AZ31" s="59">
        <f t="shared" si="25"/>
        <v>126040</v>
      </c>
      <c r="BA31" s="71">
        <f>W31+AE31+AM31+AV31</f>
        <v>519340</v>
      </c>
      <c r="BB31" s="72">
        <f t="shared" si="31"/>
        <v>8800</v>
      </c>
      <c r="BC31" s="73">
        <v>75</v>
      </c>
      <c r="BD31" s="74">
        <v>382910</v>
      </c>
      <c r="BE31" s="74">
        <v>117350</v>
      </c>
      <c r="BF31" s="75">
        <v>8800</v>
      </c>
      <c r="BG31" s="75"/>
      <c r="BH31" s="75"/>
      <c r="BI31" s="75"/>
      <c r="BJ31" s="76">
        <f t="shared" si="32"/>
        <v>509060</v>
      </c>
      <c r="BK31" s="47">
        <v>27</v>
      </c>
      <c r="BL31" s="77">
        <f t="shared" si="27"/>
        <v>509060</v>
      </c>
    </row>
    <row r="32" spans="2:65" ht="20" customHeight="1">
      <c r="B32" s="78">
        <f t="shared" si="28"/>
        <v>45288</v>
      </c>
      <c r="C32" s="79"/>
      <c r="D32" s="50"/>
      <c r="E32" s="51">
        <v>32</v>
      </c>
      <c r="F32" s="52">
        <v>132660</v>
      </c>
      <c r="G32" s="53">
        <f t="shared" si="0"/>
        <v>3768.75</v>
      </c>
      <c r="H32" s="52">
        <v>28620</v>
      </c>
      <c r="I32" s="53">
        <f t="shared" si="1"/>
        <v>813.0625</v>
      </c>
      <c r="J32" s="55">
        <f t="shared" si="2"/>
        <v>161280</v>
      </c>
      <c r="K32" s="56">
        <f t="shared" si="3"/>
        <v>5040</v>
      </c>
      <c r="L32" s="57"/>
      <c r="M32" s="58">
        <f t="shared" si="4"/>
        <v>35</v>
      </c>
      <c r="N32" s="59">
        <f t="shared" si="4"/>
        <v>290000</v>
      </c>
      <c r="O32" s="53">
        <f t="shared" si="5"/>
        <v>7532.4571428571426</v>
      </c>
      <c r="P32" s="59">
        <f t="shared" si="6"/>
        <v>84110</v>
      </c>
      <c r="Q32" s="53">
        <f t="shared" si="7"/>
        <v>2184.6571428571428</v>
      </c>
      <c r="R32" s="60">
        <f t="shared" si="8"/>
        <v>374110</v>
      </c>
      <c r="S32" s="56">
        <f t="shared" si="9"/>
        <v>10688.857142857143</v>
      </c>
      <c r="T32" s="80">
        <f t="shared" si="10"/>
        <v>67</v>
      </c>
      <c r="U32" s="59">
        <f t="shared" si="10"/>
        <v>422660</v>
      </c>
      <c r="V32" s="59">
        <f t="shared" si="11"/>
        <v>112730</v>
      </c>
      <c r="W32" s="62">
        <f t="shared" si="12"/>
        <v>535390</v>
      </c>
      <c r="X32" s="81"/>
      <c r="Y32" s="63"/>
      <c r="Z32" s="64">
        <v>7</v>
      </c>
      <c r="AA32" s="52">
        <v>4210</v>
      </c>
      <c r="AB32" s="53">
        <f t="shared" si="13"/>
        <v>601.42857142857144</v>
      </c>
      <c r="AC32" s="52">
        <v>4250</v>
      </c>
      <c r="AD32" s="54">
        <f t="shared" si="14"/>
        <v>607.14285714285711</v>
      </c>
      <c r="AE32" s="65">
        <f t="shared" si="15"/>
        <v>8460</v>
      </c>
      <c r="AF32" s="56">
        <f t="shared" si="16"/>
        <v>1208.5714285714287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/>
      <c r="AQ32" s="52"/>
      <c r="AR32" s="53" t="e">
        <f t="shared" si="20"/>
        <v>#DIV/0!</v>
      </c>
      <c r="AS32" s="52"/>
      <c r="AT32" s="54" t="e">
        <f t="shared" si="21"/>
        <v>#DIV/0!</v>
      </c>
      <c r="AU32" s="54"/>
      <c r="AV32" s="69">
        <f t="shared" si="30"/>
        <v>0</v>
      </c>
      <c r="AW32" s="67" t="str">
        <f t="shared" si="22"/>
        <v/>
      </c>
      <c r="AX32" s="82">
        <f t="shared" si="23"/>
        <v>67</v>
      </c>
      <c r="AY32" s="59">
        <f>U32+AA32+AI32+AQ32</f>
        <v>426870</v>
      </c>
      <c r="AZ32" s="59">
        <f t="shared" si="25"/>
        <v>116980</v>
      </c>
      <c r="BA32" s="71">
        <f>W32+AE32+AM32+AV32</f>
        <v>543850</v>
      </c>
      <c r="BB32" s="72">
        <f>BF32+BG32</f>
        <v>3850</v>
      </c>
      <c r="BC32" s="73">
        <v>67</v>
      </c>
      <c r="BD32" s="74">
        <v>422660</v>
      </c>
      <c r="BE32" s="74">
        <v>112730</v>
      </c>
      <c r="BF32" s="75">
        <v>3850</v>
      </c>
      <c r="BG32" s="75"/>
      <c r="BH32" s="75"/>
      <c r="BI32" s="75"/>
      <c r="BJ32" s="76">
        <f>SUM(BD32:BG32)</f>
        <v>539240</v>
      </c>
      <c r="BK32" s="47">
        <v>28</v>
      </c>
      <c r="BL32" s="77">
        <f t="shared" si="27"/>
        <v>539240</v>
      </c>
    </row>
    <row r="33" spans="2:64" ht="20" customHeight="1">
      <c r="B33" s="78">
        <f t="shared" si="28"/>
        <v>45289</v>
      </c>
      <c r="C33" s="79"/>
      <c r="D33" s="50"/>
      <c r="E33" s="51">
        <v>30</v>
      </c>
      <c r="F33" s="52">
        <v>104280</v>
      </c>
      <c r="G33" s="53">
        <f t="shared" si="0"/>
        <v>3160</v>
      </c>
      <c r="H33" s="52">
        <v>10580</v>
      </c>
      <c r="I33" s="53">
        <f t="shared" si="1"/>
        <v>320.60000000000002</v>
      </c>
      <c r="J33" s="55">
        <f t="shared" si="2"/>
        <v>114860</v>
      </c>
      <c r="K33" s="56">
        <f t="shared" si="3"/>
        <v>3828.6666666666665</v>
      </c>
      <c r="L33" s="57"/>
      <c r="M33" s="58">
        <f t="shared" si="4"/>
        <v>33</v>
      </c>
      <c r="N33" s="59">
        <f t="shared" si="4"/>
        <v>308220</v>
      </c>
      <c r="O33" s="53">
        <f t="shared" si="5"/>
        <v>8490.9090909090901</v>
      </c>
      <c r="P33" s="59">
        <f t="shared" si="6"/>
        <v>99210</v>
      </c>
      <c r="Q33" s="53">
        <f t="shared" si="7"/>
        <v>2733.030303030303</v>
      </c>
      <c r="R33" s="60">
        <f t="shared" si="8"/>
        <v>407430</v>
      </c>
      <c r="S33" s="56">
        <f t="shared" si="9"/>
        <v>12346.363636363636</v>
      </c>
      <c r="T33" s="80">
        <f t="shared" si="10"/>
        <v>63</v>
      </c>
      <c r="U33" s="59">
        <f t="shared" si="10"/>
        <v>412500</v>
      </c>
      <c r="V33" s="59">
        <f t="shared" si="11"/>
        <v>109790</v>
      </c>
      <c r="W33" s="62">
        <f>J33+R33</f>
        <v>522290</v>
      </c>
      <c r="X33" s="81"/>
      <c r="Y33" s="63"/>
      <c r="Z33" s="64">
        <v>4</v>
      </c>
      <c r="AA33" s="52">
        <v>0</v>
      </c>
      <c r="AB33" s="53">
        <f t="shared" si="13"/>
        <v>0</v>
      </c>
      <c r="AC33" s="52">
        <v>2000</v>
      </c>
      <c r="AD33" s="54">
        <f t="shared" si="14"/>
        <v>500</v>
      </c>
      <c r="AE33" s="65">
        <f t="shared" si="15"/>
        <v>2000</v>
      </c>
      <c r="AF33" s="56">
        <f t="shared" si="16"/>
        <v>500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/>
      <c r="AP33" s="64"/>
      <c r="AQ33" s="52"/>
      <c r="AR33" s="53" t="e">
        <f t="shared" si="20"/>
        <v>#DIV/0!</v>
      </c>
      <c r="AS33" s="52"/>
      <c r="AT33" s="54" t="e">
        <f t="shared" si="21"/>
        <v>#DIV/0!</v>
      </c>
      <c r="AU33" s="54"/>
      <c r="AV33" s="69">
        <f t="shared" si="30"/>
        <v>0</v>
      </c>
      <c r="AW33" s="67" t="str">
        <f t="shared" si="22"/>
        <v/>
      </c>
      <c r="AX33" s="82">
        <f t="shared" si="23"/>
        <v>63</v>
      </c>
      <c r="AY33" s="59">
        <f t="shared" si="24"/>
        <v>412500</v>
      </c>
      <c r="AZ33" s="59">
        <f t="shared" si="25"/>
        <v>111790</v>
      </c>
      <c r="BA33" s="71">
        <f>W33+AE33+AM33+AV33</f>
        <v>524290</v>
      </c>
      <c r="BB33" s="72">
        <f t="shared" si="31"/>
        <v>9900</v>
      </c>
      <c r="BC33" s="73">
        <v>63</v>
      </c>
      <c r="BD33" s="74">
        <v>412500</v>
      </c>
      <c r="BE33" s="74">
        <v>109790</v>
      </c>
      <c r="BF33" s="75">
        <v>9900</v>
      </c>
      <c r="BG33" s="75"/>
      <c r="BH33" s="75"/>
      <c r="BI33" s="75"/>
      <c r="BJ33" s="76">
        <f t="shared" si="32"/>
        <v>532190</v>
      </c>
      <c r="BK33" s="47">
        <v>29</v>
      </c>
      <c r="BL33" s="77">
        <f t="shared" si="27"/>
        <v>532190</v>
      </c>
    </row>
    <row r="34" spans="2:64" ht="20" customHeight="1">
      <c r="B34" s="78">
        <f t="shared" si="28"/>
        <v>45290</v>
      </c>
      <c r="C34" s="79"/>
      <c r="D34" s="50"/>
      <c r="E34" s="51">
        <v>34</v>
      </c>
      <c r="F34" s="52">
        <v>129030</v>
      </c>
      <c r="G34" s="53">
        <f t="shared" si="0"/>
        <v>3450</v>
      </c>
      <c r="H34" s="52">
        <v>26190</v>
      </c>
      <c r="I34" s="53">
        <f t="shared" si="1"/>
        <v>700.26470588235293</v>
      </c>
      <c r="J34" s="55">
        <f t="shared" si="2"/>
        <v>155220</v>
      </c>
      <c r="K34" s="56">
        <f t="shared" si="3"/>
        <v>4565.2941176470586</v>
      </c>
      <c r="L34" s="57"/>
      <c r="M34" s="58">
        <f t="shared" si="4"/>
        <v>35</v>
      </c>
      <c r="N34" s="59">
        <f t="shared" si="4"/>
        <v>330770</v>
      </c>
      <c r="O34" s="53">
        <f t="shared" si="5"/>
        <v>8591.4285714285706</v>
      </c>
      <c r="P34" s="59">
        <f t="shared" si="6"/>
        <v>71000</v>
      </c>
      <c r="Q34" s="53">
        <f t="shared" si="7"/>
        <v>1844.1428571428571</v>
      </c>
      <c r="R34" s="60">
        <f t="shared" si="8"/>
        <v>401770</v>
      </c>
      <c r="S34" s="56">
        <f t="shared" si="9"/>
        <v>11479.142857142857</v>
      </c>
      <c r="T34" s="80">
        <f t="shared" si="10"/>
        <v>69</v>
      </c>
      <c r="U34" s="59">
        <f t="shared" si="10"/>
        <v>459800</v>
      </c>
      <c r="V34" s="59">
        <f t="shared" si="11"/>
        <v>97190</v>
      </c>
      <c r="W34" s="62">
        <f t="shared" si="12"/>
        <v>556990</v>
      </c>
      <c r="X34" s="81"/>
      <c r="Y34" s="86"/>
      <c r="Z34" s="87">
        <v>15</v>
      </c>
      <c r="AA34" s="88">
        <v>7860</v>
      </c>
      <c r="AB34" s="53">
        <f t="shared" si="13"/>
        <v>524</v>
      </c>
      <c r="AC34" s="88">
        <v>6750</v>
      </c>
      <c r="AD34" s="54">
        <f t="shared" si="14"/>
        <v>450</v>
      </c>
      <c r="AE34" s="65">
        <f t="shared" si="15"/>
        <v>14610</v>
      </c>
      <c r="AF34" s="56">
        <f t="shared" si="16"/>
        <v>974</v>
      </c>
      <c r="AG34" s="66"/>
      <c r="AH34" s="87"/>
      <c r="AI34" s="88"/>
      <c r="AJ34" s="53" t="e">
        <f t="shared" si="17"/>
        <v>#DIV/0!</v>
      </c>
      <c r="AK34" s="88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7"/>
      <c r="AQ34" s="88"/>
      <c r="AR34" s="53" t="e">
        <f t="shared" si="20"/>
        <v>#DIV/0!</v>
      </c>
      <c r="AS34" s="88"/>
      <c r="AT34" s="54" t="e">
        <f t="shared" si="21"/>
        <v>#DIV/0!</v>
      </c>
      <c r="AU34" s="54"/>
      <c r="AV34" s="69">
        <f t="shared" si="30"/>
        <v>0</v>
      </c>
      <c r="AW34" s="67" t="str">
        <f t="shared" si="22"/>
        <v/>
      </c>
      <c r="AX34" s="82">
        <f t="shared" si="23"/>
        <v>69</v>
      </c>
      <c r="AY34" s="59">
        <f t="shared" si="24"/>
        <v>467660</v>
      </c>
      <c r="AZ34" s="59">
        <f t="shared" si="25"/>
        <v>103940</v>
      </c>
      <c r="BA34" s="71">
        <f>W34+AE34+AM34+AV34</f>
        <v>571600</v>
      </c>
      <c r="BB34" s="72">
        <f t="shared" si="31"/>
        <v>13750</v>
      </c>
      <c r="BC34" s="73">
        <v>69</v>
      </c>
      <c r="BD34" s="74">
        <v>459800</v>
      </c>
      <c r="BE34" s="74">
        <v>97190</v>
      </c>
      <c r="BF34" s="75">
        <v>13750</v>
      </c>
      <c r="BG34" s="75"/>
      <c r="BH34" s="75">
        <v>3300</v>
      </c>
      <c r="BI34" s="75"/>
      <c r="BJ34" s="76">
        <f t="shared" si="32"/>
        <v>570740</v>
      </c>
      <c r="BK34" s="47">
        <v>30</v>
      </c>
      <c r="BL34" s="77">
        <f t="shared" si="27"/>
        <v>570740</v>
      </c>
    </row>
    <row r="35" spans="2:64" ht="20" customHeight="1" thickBot="1">
      <c r="B35" s="78">
        <f t="shared" si="28"/>
        <v>45291</v>
      </c>
      <c r="C35" s="79"/>
      <c r="D35" s="50"/>
      <c r="E35" s="51">
        <v>14</v>
      </c>
      <c r="F35" s="52">
        <v>46640</v>
      </c>
      <c r="G35" s="53">
        <f t="shared" si="0"/>
        <v>3028.5714285714284</v>
      </c>
      <c r="H35" s="52">
        <v>10200</v>
      </c>
      <c r="I35" s="53">
        <f t="shared" si="1"/>
        <v>662.28571428571433</v>
      </c>
      <c r="J35" s="55">
        <f t="shared" si="2"/>
        <v>56840</v>
      </c>
      <c r="K35" s="56">
        <f t="shared" si="3"/>
        <v>4060</v>
      </c>
      <c r="L35" s="57"/>
      <c r="M35" s="90">
        <f t="shared" si="4"/>
        <v>31</v>
      </c>
      <c r="N35" s="59">
        <f t="shared" si="4"/>
        <v>307670</v>
      </c>
      <c r="O35" s="53">
        <f t="shared" si="5"/>
        <v>9022.5806451612898</v>
      </c>
      <c r="P35" s="59">
        <f t="shared" si="6"/>
        <v>74670</v>
      </c>
      <c r="Q35" s="53">
        <f t="shared" si="7"/>
        <v>2189.7096774193546</v>
      </c>
      <c r="R35" s="60">
        <f t="shared" si="8"/>
        <v>382340</v>
      </c>
      <c r="S35" s="56">
        <f t="shared" si="9"/>
        <v>12333.548387096775</v>
      </c>
      <c r="T35" s="91">
        <f t="shared" si="10"/>
        <v>45</v>
      </c>
      <c r="U35" s="92">
        <f t="shared" si="10"/>
        <v>354310</v>
      </c>
      <c r="V35" s="92">
        <f t="shared" si="11"/>
        <v>84870</v>
      </c>
      <c r="W35" s="93">
        <f t="shared" si="12"/>
        <v>439180</v>
      </c>
      <c r="X35" s="92"/>
      <c r="Y35" s="94"/>
      <c r="Z35" s="95">
        <v>12</v>
      </c>
      <c r="AA35" s="96">
        <v>6310</v>
      </c>
      <c r="AB35" s="97">
        <f t="shared" si="13"/>
        <v>525.83333333333337</v>
      </c>
      <c r="AC35" s="96">
        <v>5000</v>
      </c>
      <c r="AD35" s="98">
        <f t="shared" si="14"/>
        <v>416.66666666666669</v>
      </c>
      <c r="AE35" s="99">
        <f t="shared" si="15"/>
        <v>11310</v>
      </c>
      <c r="AF35" s="56">
        <f t="shared" si="16"/>
        <v>942.5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45</v>
      </c>
      <c r="AY35" s="59">
        <f t="shared" si="24"/>
        <v>360620</v>
      </c>
      <c r="AZ35" s="59">
        <f t="shared" si="25"/>
        <v>89870</v>
      </c>
      <c r="BA35" s="71">
        <f t="shared" si="26"/>
        <v>450490</v>
      </c>
      <c r="BB35" s="72">
        <f t="shared" si="31"/>
        <v>9900</v>
      </c>
      <c r="BC35" s="103">
        <v>45</v>
      </c>
      <c r="BD35" s="104">
        <v>354310</v>
      </c>
      <c r="BE35" s="104">
        <v>84870</v>
      </c>
      <c r="BF35" s="105">
        <v>9900</v>
      </c>
      <c r="BG35" s="105"/>
      <c r="BH35" s="105"/>
      <c r="BI35" s="105"/>
      <c r="BJ35" s="76">
        <f t="shared" si="32"/>
        <v>449080</v>
      </c>
      <c r="BK35" s="47">
        <v>31</v>
      </c>
      <c r="BL35" s="77">
        <f t="shared" si="27"/>
        <v>449080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980</v>
      </c>
      <c r="F36" s="110">
        <f>SUM(F5:F35)</f>
        <v>3748390</v>
      </c>
      <c r="G36" s="111">
        <f>F36/E36</f>
        <v>3824.887755102041</v>
      </c>
      <c r="H36" s="107">
        <f>SUM(H5:H35)</f>
        <v>595740</v>
      </c>
      <c r="I36" s="112">
        <f>H36/E36</f>
        <v>607.89795918367349</v>
      </c>
      <c r="J36" s="113">
        <f>SUM(J5:J35)+BB36/2</f>
        <v>4503300</v>
      </c>
      <c r="K36" s="114">
        <f>J36/E36</f>
        <v>4595.2040816326535</v>
      </c>
      <c r="L36" s="115">
        <f>SUM(L5:L35)</f>
        <v>0</v>
      </c>
      <c r="M36" s="109">
        <f>SUM(M5:M35)</f>
        <v>886</v>
      </c>
      <c r="N36" s="110">
        <f>SUM(N5:N35)</f>
        <v>9022050</v>
      </c>
      <c r="O36" s="111">
        <f>N36/M36</f>
        <v>10182.900677200903</v>
      </c>
      <c r="P36" s="116">
        <f>SUM(P5:P35)</f>
        <v>2285970</v>
      </c>
      <c r="Q36" s="112">
        <f>P36/M36</f>
        <v>2580.1015801354401</v>
      </c>
      <c r="R36" s="117">
        <f>SUM(R5:R35)+BB36/2</f>
        <v>11467190</v>
      </c>
      <c r="S36" s="118">
        <f>R36/M36</f>
        <v>12942.652370203161</v>
      </c>
      <c r="T36" s="109">
        <f t="shared" ref="T36:AA36" si="33">SUM(T5:T35)</f>
        <v>1866</v>
      </c>
      <c r="U36" s="116">
        <f t="shared" si="33"/>
        <v>12770440</v>
      </c>
      <c r="V36" s="116">
        <f t="shared" si="33"/>
        <v>2881710</v>
      </c>
      <c r="W36" s="113">
        <f>SUM(W5:W35)+BF36</f>
        <v>15904490</v>
      </c>
      <c r="X36" s="119">
        <f t="shared" si="33"/>
        <v>0</v>
      </c>
      <c r="Y36" s="108">
        <f t="shared" si="33"/>
        <v>0</v>
      </c>
      <c r="Z36" s="109">
        <f t="shared" si="33"/>
        <v>283</v>
      </c>
      <c r="AA36" s="111">
        <f t="shared" si="33"/>
        <v>141450</v>
      </c>
      <c r="AB36" s="111">
        <f>AA36/Z36</f>
        <v>499.8233215547703</v>
      </c>
      <c r="AC36" s="107">
        <f>SUM(AC5:AC35)</f>
        <v>105120</v>
      </c>
      <c r="AD36" s="112">
        <f>AC36/Z36</f>
        <v>371.44876325088342</v>
      </c>
      <c r="AE36" s="117">
        <f>SUM(AE5:AE35)</f>
        <v>246570</v>
      </c>
      <c r="AF36" s="120">
        <f>AE36/Z36</f>
        <v>871.27208480565366</v>
      </c>
      <c r="AG36" s="121">
        <f t="shared" ref="AG36:AI36" si="34">SUM(AG5:AG35)</f>
        <v>0</v>
      </c>
      <c r="AH36" s="109">
        <f t="shared" si="34"/>
        <v>474</v>
      </c>
      <c r="AI36" s="111">
        <f t="shared" si="34"/>
        <v>1876230</v>
      </c>
      <c r="AJ36" s="111"/>
      <c r="AK36" s="107">
        <f>SUM(AK5:AK35)</f>
        <v>649521</v>
      </c>
      <c r="AL36" s="112"/>
      <c r="AM36" s="117">
        <f>SUM(AM5:AM35)</f>
        <v>2525751</v>
      </c>
      <c r="AN36" s="122">
        <f>AM36/AH36</f>
        <v>5328.5886075949365</v>
      </c>
      <c r="AO36" s="123">
        <f t="shared" ref="AO36:AQ36" si="35">SUM(AO5:AO35)</f>
        <v>0</v>
      </c>
      <c r="AP36" s="109">
        <f t="shared" si="35"/>
        <v>0</v>
      </c>
      <c r="AQ36" s="111">
        <f t="shared" si="35"/>
        <v>0</v>
      </c>
      <c r="AR36" s="111"/>
      <c r="AS36" s="107">
        <f>SUM(AS5:AS35)</f>
        <v>0</v>
      </c>
      <c r="AT36" s="112"/>
      <c r="AU36" s="107">
        <f>SUM(AU5:AU35)</f>
        <v>0</v>
      </c>
      <c r="AV36" s="117">
        <f>SUM(AV5:AV35)</f>
        <v>0</v>
      </c>
      <c r="AW36" s="122" t="e">
        <f>AV36/AP36</f>
        <v>#DIV/0!</v>
      </c>
      <c r="AX36" s="124">
        <f t="shared" ref="AX36:BJ36" si="36">SUM(AX5:AX35)</f>
        <v>1866</v>
      </c>
      <c r="AY36" s="116">
        <f t="shared" si="36"/>
        <v>14788120</v>
      </c>
      <c r="AZ36" s="116">
        <f t="shared" si="36"/>
        <v>3636351</v>
      </c>
      <c r="BA36" s="117">
        <f>SUM(BA5:BA35)</f>
        <v>18424471</v>
      </c>
      <c r="BB36" s="125">
        <f t="shared" si="36"/>
        <v>318340</v>
      </c>
      <c r="BC36" s="126">
        <f t="shared" si="36"/>
        <v>1866</v>
      </c>
      <c r="BD36" s="126">
        <f t="shared" si="36"/>
        <v>12770440</v>
      </c>
      <c r="BE36" s="126">
        <f t="shared" si="36"/>
        <v>2881710</v>
      </c>
      <c r="BF36" s="126">
        <f t="shared" si="36"/>
        <v>252340</v>
      </c>
      <c r="BG36" s="126">
        <f t="shared" si="36"/>
        <v>66000</v>
      </c>
      <c r="BH36" s="126">
        <f t="shared" si="36"/>
        <v>20000</v>
      </c>
      <c r="BI36" s="126">
        <f t="shared" si="36"/>
        <v>0</v>
      </c>
      <c r="BJ36" s="127">
        <f t="shared" si="36"/>
        <v>15970490</v>
      </c>
      <c r="BL36" s="129">
        <f>SUM(BL5:BL35)</f>
        <v>15970490</v>
      </c>
    </row>
    <row r="37" spans="2:64" s="128" customFormat="1" ht="18">
      <c r="B37" s="130"/>
      <c r="E37" s="131" t="s">
        <v>40</v>
      </c>
      <c r="F37" s="132">
        <f>F36/1.1</f>
        <v>3407627.2727272725</v>
      </c>
      <c r="G37" s="133">
        <f>F37/E36</f>
        <v>3477.1706864564003</v>
      </c>
      <c r="H37" s="134">
        <f>H36/1.1</f>
        <v>541581.81818181812</v>
      </c>
      <c r="I37" s="133">
        <f>H37/E36</f>
        <v>552.63450834879404</v>
      </c>
      <c r="J37" s="135">
        <f>J36/1.1</f>
        <v>4093909.0909090904</v>
      </c>
      <c r="K37" s="136">
        <f>G37+I37</f>
        <v>4029.8051948051943</v>
      </c>
      <c r="L37" s="137"/>
      <c r="M37" s="131" t="s">
        <v>40</v>
      </c>
      <c r="N37" s="132">
        <f>N36/1.1</f>
        <v>8201863.6363636358</v>
      </c>
      <c r="O37" s="133">
        <f>N37/M36</f>
        <v>9257.1824338190017</v>
      </c>
      <c r="P37" s="134">
        <f>P36/1.1</f>
        <v>2078154.5454545452</v>
      </c>
      <c r="Q37" s="133">
        <f>P37/M36</f>
        <v>2345.5468910322179</v>
      </c>
      <c r="R37" s="133">
        <f>R36/1.1</f>
        <v>10424718.181818182</v>
      </c>
      <c r="S37" s="138">
        <f>R37/M36</f>
        <v>11766.0476092756</v>
      </c>
      <c r="T37" s="131" t="s">
        <v>40</v>
      </c>
      <c r="U37" s="132">
        <f>U36/1.1</f>
        <v>11609490.909090908</v>
      </c>
      <c r="V37" s="132">
        <f>V36/1.1</f>
        <v>2619736.3636363633</v>
      </c>
      <c r="W37" s="135">
        <f>W36/1.1</f>
        <v>14458627.272727272</v>
      </c>
      <c r="X37" s="139"/>
      <c r="Y37" s="137"/>
      <c r="Z37" s="131" t="s">
        <v>40</v>
      </c>
      <c r="AA37" s="132">
        <f>AA36/1.1</f>
        <v>128590.90909090907</v>
      </c>
      <c r="AB37" s="134">
        <f>AA37/Z36</f>
        <v>454.38483777706386</v>
      </c>
      <c r="AC37" s="134">
        <f>AC36/1.1</f>
        <v>95563.636363636353</v>
      </c>
      <c r="AD37" s="134">
        <f>AC37/Z36</f>
        <v>337.68069386443943</v>
      </c>
      <c r="AE37" s="133">
        <f>AE36/1.1</f>
        <v>224154.54545454544</v>
      </c>
      <c r="AF37" s="140" t="e">
        <f>AE37/Y36</f>
        <v>#DIV/0!</v>
      </c>
      <c r="AG37" s="137"/>
      <c r="AH37" s="131" t="s">
        <v>40</v>
      </c>
      <c r="AI37" s="132">
        <f>AI36/1.1</f>
        <v>1705663.6363636362</v>
      </c>
      <c r="AJ37" s="134">
        <f>AI37/AH36</f>
        <v>3598.4464902186419</v>
      </c>
      <c r="AK37" s="134">
        <f>AK36/1.1</f>
        <v>590473.63636363635</v>
      </c>
      <c r="AL37" s="134">
        <f>AK37/AH36</f>
        <v>1245.7249712313003</v>
      </c>
      <c r="AM37" s="133">
        <f>AM36/1.1</f>
        <v>2296137.2727272725</v>
      </c>
      <c r="AN37" s="141" t="e">
        <f>AM37/AG36</f>
        <v>#DIV/0!</v>
      </c>
      <c r="AO37" s="137"/>
      <c r="AP37" s="131" t="s">
        <v>40</v>
      </c>
      <c r="AQ37" s="132">
        <f>AQ36/1.1</f>
        <v>0</v>
      </c>
      <c r="AR37" s="134" t="e">
        <f>AQ37/AP36</f>
        <v>#DIV/0!</v>
      </c>
      <c r="AS37" s="134">
        <f>AS36/1.1</f>
        <v>0</v>
      </c>
      <c r="AT37" s="134" t="e">
        <f>AS37/AP36</f>
        <v>#DIV/0!</v>
      </c>
      <c r="AU37" s="134">
        <f>AU36/1.1</f>
        <v>0</v>
      </c>
      <c r="AV37" s="133">
        <f>AV36/1.1</f>
        <v>0</v>
      </c>
      <c r="AW37" s="141" t="e">
        <f>AV37/AP36</f>
        <v>#DIV/0!</v>
      </c>
      <c r="AX37" s="142" t="s">
        <v>40</v>
      </c>
      <c r="AY37" s="132">
        <f>AY36/1.1</f>
        <v>13443745.454545453</v>
      </c>
      <c r="AZ37" s="132">
        <f>AZ36/1.1</f>
        <v>3305773.6363636362</v>
      </c>
      <c r="BA37" s="133">
        <f>BA36/1.1</f>
        <v>16749519.09090909</v>
      </c>
      <c r="BB37" s="143">
        <f>BB36/1.1</f>
        <v>289400</v>
      </c>
      <c r="BG37" s="144"/>
      <c r="BJ37" s="145">
        <f>BJ36/1.1</f>
        <v>14518627.272727272</v>
      </c>
      <c r="BL37" s="145"/>
    </row>
    <row r="38" spans="2:64">
      <c r="C38" s="47">
        <v>31</v>
      </c>
      <c r="E38" s="146" t="s">
        <v>41</v>
      </c>
      <c r="F38" s="147">
        <f>E36/G38</f>
        <v>31.612903225806452</v>
      </c>
      <c r="G38" s="148">
        <v>31</v>
      </c>
      <c r="H38" s="147"/>
      <c r="I38" s="147"/>
      <c r="J38" s="149" t="s">
        <v>42</v>
      </c>
      <c r="K38" s="150">
        <f>J37/G38</f>
        <v>132061.58357771259</v>
      </c>
      <c r="M38" s="146" t="s">
        <v>41</v>
      </c>
      <c r="N38" s="147">
        <f>M36/O38</f>
        <v>28.580645161290324</v>
      </c>
      <c r="O38" s="148">
        <f>G38</f>
        <v>31</v>
      </c>
      <c r="P38" s="147"/>
      <c r="Q38" s="147"/>
      <c r="R38" s="149" t="s">
        <v>42</v>
      </c>
      <c r="S38" s="151">
        <f>R37/O38</f>
        <v>336281.23167155427</v>
      </c>
      <c r="U38" s="152">
        <f>O38</f>
        <v>31</v>
      </c>
      <c r="W38" s="153">
        <f>W37/U38</f>
        <v>466407.3313782991</v>
      </c>
      <c r="X38" s="77"/>
      <c r="AA38" s="154">
        <f>G38</f>
        <v>31</v>
      </c>
      <c r="AB38" s="147"/>
      <c r="AC38" s="147"/>
      <c r="AD38" s="147"/>
      <c r="AE38" s="147"/>
      <c r="AF38" s="150">
        <f>AE37/AA38</f>
        <v>7230.7917888563043</v>
      </c>
      <c r="AI38" s="154">
        <f>AA38</f>
        <v>31</v>
      </c>
      <c r="AJ38" s="147"/>
      <c r="AK38" s="147"/>
      <c r="AL38" s="147"/>
      <c r="AM38" s="147"/>
      <c r="AN38" s="150">
        <f>AM37/AI38</f>
        <v>74068.94428152492</v>
      </c>
      <c r="AQ38" s="154">
        <f>G38</f>
        <v>31</v>
      </c>
      <c r="AR38" s="147"/>
      <c r="AS38" s="147"/>
      <c r="AT38" s="147"/>
      <c r="AU38" s="147"/>
      <c r="AV38" s="147"/>
      <c r="AW38" s="150">
        <f>AV37/AQ38</f>
        <v>0</v>
      </c>
      <c r="BA38" s="153"/>
      <c r="BB38" s="77" t="e">
        <f>BA37/BC37</f>
        <v>#DIV/0!</v>
      </c>
      <c r="BC38" s="155">
        <f>AX36+T36</f>
        <v>3732</v>
      </c>
      <c r="BG38" s="153"/>
    </row>
    <row r="39" spans="2:64">
      <c r="D39" s="156" t="s">
        <v>43</v>
      </c>
      <c r="E39" s="157"/>
      <c r="F39" s="147"/>
      <c r="G39" s="158"/>
      <c r="H39" s="147"/>
      <c r="I39" s="147"/>
      <c r="J39" s="149"/>
      <c r="K39" s="150"/>
      <c r="L39" s="159" t="s">
        <v>44</v>
      </c>
      <c r="M39" s="146"/>
      <c r="N39" s="147"/>
      <c r="O39" s="147"/>
      <c r="P39" s="147"/>
      <c r="Q39" s="147"/>
      <c r="R39" s="149"/>
      <c r="S39" s="150"/>
      <c r="W39" s="153"/>
      <c r="X39" s="77"/>
      <c r="Y39" s="159" t="s">
        <v>45</v>
      </c>
      <c r="AA39" s="147"/>
      <c r="AB39" s="147"/>
      <c r="AC39" s="147"/>
      <c r="AD39" s="147"/>
      <c r="AE39" s="147"/>
      <c r="AF39" s="150"/>
      <c r="AG39" s="159" t="s">
        <v>46</v>
      </c>
      <c r="AI39" s="147"/>
      <c r="AJ39" s="147"/>
      <c r="AK39" s="147"/>
      <c r="AL39" s="147"/>
      <c r="AM39" s="147"/>
      <c r="AN39" s="150"/>
      <c r="AO39" s="159" t="s">
        <v>47</v>
      </c>
      <c r="AQ39" s="147"/>
      <c r="AR39" s="147"/>
      <c r="AS39" s="147"/>
      <c r="AT39" s="147"/>
      <c r="AU39" s="147"/>
      <c r="AV39" s="147"/>
      <c r="AW39" s="150"/>
      <c r="BA39" s="77">
        <f>BA36+BB36</f>
        <v>18742811</v>
      </c>
      <c r="BB39" s="160">
        <f>BA39/G38</f>
        <v>604606.80645161285</v>
      </c>
      <c r="BC39" s="47" t="s">
        <v>49</v>
      </c>
      <c r="BG39" s="153"/>
    </row>
    <row r="40" spans="2:64" ht="21.5" customHeight="1">
      <c r="C40" s="159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W40" s="77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BA40" s="163">
        <f>BA37+BB37</f>
        <v>17038919.09090909</v>
      </c>
    </row>
    <row r="41" spans="2:64" ht="21.5" customHeight="1">
      <c r="C41" s="159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W41" s="153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BA41" s="77"/>
      <c r="BB41" s="160">
        <f>BA40/G38</f>
        <v>549642.55131964805</v>
      </c>
      <c r="BC41" s="47" t="s">
        <v>52</v>
      </c>
      <c r="BD41" s="47">
        <v>9</v>
      </c>
    </row>
    <row r="42" spans="2:64" ht="21.5" customHeight="1">
      <c r="C42" s="159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W42" s="77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BD42" s="47">
        <v>8</v>
      </c>
      <c r="BE42" s="153">
        <f>AS37</f>
        <v>0</v>
      </c>
    </row>
    <row r="43" spans="2:64" ht="21.5" customHeight="1">
      <c r="C43" s="159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BA43" s="153">
        <f>BA37+BB37</f>
        <v>17038919.09090909</v>
      </c>
      <c r="BB43" s="164" t="s">
        <v>53</v>
      </c>
      <c r="BD43" s="47">
        <v>7</v>
      </c>
      <c r="BE43" s="165">
        <f>'[1]2023(7)'!AS37</f>
        <v>15843636.363636361</v>
      </c>
      <c r="BF43" s="165">
        <v>6266320</v>
      </c>
      <c r="BG43" s="166">
        <f>BF43/BE43</f>
        <v>0.39551021344962134</v>
      </c>
    </row>
    <row r="44" spans="2:64" ht="21.5" customHeight="1">
      <c r="C44" s="159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Y44" s="128"/>
      <c r="AZ44" s="167" t="s">
        <v>54</v>
      </c>
      <c r="BA44" s="145">
        <f>J45+R45+AE45+BB44+AM45+AV45</f>
        <v>16957800</v>
      </c>
      <c r="BB44" s="168"/>
      <c r="BC44" s="128"/>
      <c r="BD44" s="47">
        <v>6</v>
      </c>
      <c r="BE44" s="165">
        <v>7119727</v>
      </c>
      <c r="BF44" s="165">
        <v>2680643</v>
      </c>
      <c r="BG44" s="166">
        <f t="shared" ref="BG44:BG45" si="37">BF44/BE44</f>
        <v>0.37650923975034434</v>
      </c>
      <c r="BH44" s="47" t="s">
        <v>55</v>
      </c>
    </row>
    <row r="45" spans="2:64" ht="21" customHeight="1">
      <c r="H45" s="169"/>
      <c r="I45" s="170" t="s">
        <v>56</v>
      </c>
      <c r="J45" s="145">
        <v>4953800</v>
      </c>
      <c r="K45" s="171" t="s">
        <v>57</v>
      </c>
      <c r="L45" s="128"/>
      <c r="M45" s="128"/>
      <c r="N45" s="128"/>
      <c r="O45" s="128"/>
      <c r="P45" s="128"/>
      <c r="Q45" s="170" t="s">
        <v>58</v>
      </c>
      <c r="R45" s="145">
        <v>10800000</v>
      </c>
      <c r="S45" s="171" t="s">
        <v>57</v>
      </c>
      <c r="T45" s="128"/>
      <c r="U45" s="128"/>
      <c r="V45" s="170" t="s">
        <v>59</v>
      </c>
      <c r="W45" s="145">
        <f>J45+R45</f>
        <v>15753800</v>
      </c>
      <c r="X45" s="171" t="s">
        <v>57</v>
      </c>
      <c r="Y45" s="128"/>
      <c r="Z45" s="128"/>
      <c r="AA45" s="128"/>
      <c r="AB45" s="128"/>
      <c r="AC45" s="128"/>
      <c r="AD45" s="169" t="s">
        <v>60</v>
      </c>
      <c r="AE45" s="145">
        <v>700000</v>
      </c>
      <c r="AF45" s="171" t="s">
        <v>57</v>
      </c>
      <c r="AG45" s="171"/>
      <c r="AH45" s="171"/>
      <c r="AI45" s="171"/>
      <c r="AJ45" s="171"/>
      <c r="AK45" s="128"/>
      <c r="AL45" s="170" t="s">
        <v>61</v>
      </c>
      <c r="AM45" s="145">
        <v>504000</v>
      </c>
      <c r="AN45" s="171" t="s">
        <v>57</v>
      </c>
      <c r="AO45" s="171"/>
      <c r="AP45" s="171"/>
      <c r="AQ45" s="171"/>
      <c r="AR45" s="171"/>
      <c r="AS45" s="128"/>
      <c r="AT45" s="170" t="s">
        <v>62</v>
      </c>
      <c r="AU45" s="170"/>
      <c r="AV45" s="145"/>
      <c r="AW45" s="171" t="s">
        <v>57</v>
      </c>
      <c r="AX45" s="128"/>
      <c r="AY45" s="128"/>
      <c r="AZ45" s="167" t="s">
        <v>63</v>
      </c>
      <c r="BA45" s="144">
        <f>BA44-BA37-BB37</f>
        <v>-81119.090909089893</v>
      </c>
      <c r="BB45" s="144">
        <f>BB44-BB37</f>
        <v>-289400</v>
      </c>
      <c r="BC45" s="172" t="e">
        <f>BB37/BB44</f>
        <v>#DIV/0!</v>
      </c>
      <c r="BD45" s="47">
        <v>5</v>
      </c>
      <c r="BE45" s="165">
        <v>637682</v>
      </c>
      <c r="BF45" s="165"/>
      <c r="BG45" s="166">
        <f t="shared" si="37"/>
        <v>0</v>
      </c>
      <c r="BH45" s="77" t="s">
        <v>64</v>
      </c>
      <c r="BL45" s="47"/>
    </row>
    <row r="46" spans="2:64" ht="21" customHeight="1">
      <c r="H46" s="169"/>
      <c r="I46" s="169" t="s">
        <v>63</v>
      </c>
      <c r="J46" s="144">
        <f>J45-J37</f>
        <v>859890.90909090964</v>
      </c>
      <c r="K46" s="173">
        <f>C38-G38</f>
        <v>0</v>
      </c>
      <c r="L46" s="128"/>
      <c r="M46" s="128"/>
      <c r="N46" s="128"/>
      <c r="O46" s="128"/>
      <c r="P46" s="128"/>
      <c r="Q46" s="169" t="s">
        <v>63</v>
      </c>
      <c r="R46" s="144">
        <f>R45-R37</f>
        <v>375281.81818181835</v>
      </c>
      <c r="S46" s="128">
        <f>K46</f>
        <v>0</v>
      </c>
      <c r="T46" s="128"/>
      <c r="U46" s="128"/>
      <c r="V46" s="169" t="s">
        <v>63</v>
      </c>
      <c r="W46" s="144">
        <f>W45-W37</f>
        <v>1295172.7272727285</v>
      </c>
      <c r="X46" s="128">
        <f>S46</f>
        <v>0</v>
      </c>
      <c r="Y46" s="128"/>
      <c r="Z46" s="128"/>
      <c r="AA46" s="128"/>
      <c r="AB46" s="128"/>
      <c r="AC46" s="128"/>
      <c r="AD46" s="169" t="s">
        <v>63</v>
      </c>
      <c r="AE46" s="144">
        <f>AE45-AE37</f>
        <v>475845.45454545459</v>
      </c>
      <c r="AF46" s="128">
        <f>K46</f>
        <v>0</v>
      </c>
      <c r="AG46" s="128"/>
      <c r="AH46" s="128"/>
      <c r="AI46" s="128"/>
      <c r="AJ46" s="128"/>
      <c r="AK46" s="128"/>
      <c r="AL46" s="169" t="s">
        <v>63</v>
      </c>
      <c r="AM46" s="144">
        <f>AM45-AM37</f>
        <v>-1792137.2727272725</v>
      </c>
      <c r="AN46" s="128">
        <f>AF46</f>
        <v>0</v>
      </c>
      <c r="AO46" s="128"/>
      <c r="AP46" s="128"/>
      <c r="AQ46" s="128"/>
      <c r="AR46" s="128"/>
      <c r="AS46" s="128"/>
      <c r="AT46" s="169" t="s">
        <v>63</v>
      </c>
      <c r="AU46" s="169"/>
      <c r="AV46" s="144">
        <f>AV45-AV37</f>
        <v>0</v>
      </c>
      <c r="AW46" s="128">
        <f>AN46</f>
        <v>0</v>
      </c>
      <c r="AX46" s="128"/>
      <c r="AY46" s="174"/>
      <c r="AZ46" s="175" t="s">
        <v>65</v>
      </c>
      <c r="BA46" s="176" t="e">
        <f>BA45/K46</f>
        <v>#DIV/0!</v>
      </c>
      <c r="BB46" s="177">
        <f>(BA37+BB37)/BA44</f>
        <v>1.0047835857781722</v>
      </c>
      <c r="BC46" s="174"/>
      <c r="BD46" s="178"/>
      <c r="BE46" s="179">
        <f>SUM(BE41:BE45)</f>
        <v>23601045.36363636</v>
      </c>
      <c r="BF46" s="180">
        <f>BJ71</f>
        <v>9138052</v>
      </c>
      <c r="BG46" s="181">
        <f>BF46/BE46</f>
        <v>0.38718844268142383</v>
      </c>
      <c r="BH46" s="182">
        <f>BE46-BF46</f>
        <v>14462993.36363636</v>
      </c>
      <c r="BL46" s="47"/>
    </row>
    <row r="47" spans="2:64" s="178" customFormat="1" ht="26" customHeight="1">
      <c r="B47" s="183"/>
      <c r="H47" s="184"/>
      <c r="I47" s="175" t="s">
        <v>65</v>
      </c>
      <c r="J47" s="185" t="e">
        <f>J46/K46</f>
        <v>#DIV/0!</v>
      </c>
      <c r="K47" s="186">
        <f>J37/J45</f>
        <v>0.82641791976040424</v>
      </c>
      <c r="L47" s="174"/>
      <c r="M47" s="174"/>
      <c r="N47" s="174"/>
      <c r="O47" s="174"/>
      <c r="P47" s="174"/>
      <c r="Q47" s="175" t="s">
        <v>65</v>
      </c>
      <c r="R47" s="176" t="e">
        <f>R46/S46</f>
        <v>#DIV/0!</v>
      </c>
      <c r="S47" s="186">
        <f>R37/R45</f>
        <v>0.96525168350168344</v>
      </c>
      <c r="T47" s="174"/>
      <c r="U47" s="174"/>
      <c r="V47" s="175" t="s">
        <v>65</v>
      </c>
      <c r="W47" s="176" t="e">
        <f>W46/X46</f>
        <v>#DIV/0!</v>
      </c>
      <c r="X47" s="186">
        <f>W37/W45</f>
        <v>0.91778664656954334</v>
      </c>
      <c r="Y47" s="174"/>
      <c r="Z47" s="174"/>
      <c r="AA47" s="174"/>
      <c r="AB47" s="174"/>
      <c r="AC47" s="174"/>
      <c r="AD47" s="175" t="s">
        <v>65</v>
      </c>
      <c r="AE47" s="185" t="e">
        <f>AE46/AF46</f>
        <v>#DIV/0!</v>
      </c>
      <c r="AF47" s="186">
        <f>AE37/AE45</f>
        <v>0.32022077922077918</v>
      </c>
      <c r="AG47" s="186"/>
      <c r="AH47" s="186"/>
      <c r="AI47" s="186"/>
      <c r="AJ47" s="186"/>
      <c r="AK47" s="174"/>
      <c r="AL47" s="175" t="s">
        <v>65</v>
      </c>
      <c r="AM47" s="176" t="e">
        <f>AM46/AN46</f>
        <v>#DIV/0!</v>
      </c>
      <c r="AN47" s="186">
        <f>AM37/AM45</f>
        <v>4.5558279220779214</v>
      </c>
      <c r="AO47" s="186"/>
      <c r="AP47" s="186"/>
      <c r="AQ47" s="186"/>
      <c r="AR47" s="186"/>
      <c r="AS47" s="174"/>
      <c r="AT47" s="175" t="s">
        <v>65</v>
      </c>
      <c r="AU47" s="175"/>
      <c r="AV47" s="176" t="e">
        <f>AV46/AW46</f>
        <v>#DIV/0!</v>
      </c>
      <c r="AW47" s="186" t="e">
        <f>AV37/AV45</f>
        <v>#DIV/0!</v>
      </c>
      <c r="AX47" s="174"/>
      <c r="AY47" s="47"/>
      <c r="AZ47" s="47"/>
      <c r="BA47" s="153"/>
      <c r="BB47" s="47"/>
      <c r="BC47" s="47"/>
      <c r="BD47" s="47"/>
      <c r="BH47" s="187"/>
      <c r="BJ47" s="187"/>
    </row>
    <row r="48" spans="2:64">
      <c r="K48" s="47">
        <f>J45/30</f>
        <v>165126.66666666666</v>
      </c>
      <c r="S48" s="47">
        <f>R45/30</f>
        <v>360000</v>
      </c>
      <c r="AY48" s="188"/>
      <c r="AZ48" s="188"/>
      <c r="BA48" s="188"/>
      <c r="BB48" s="188"/>
      <c r="BC48" s="188"/>
      <c r="BD48" s="188"/>
      <c r="BH48" s="77"/>
      <c r="BL48" s="47"/>
    </row>
    <row r="49" spans="2:62" s="188" customFormat="1" ht="24" customHeight="1">
      <c r="B49" s="189"/>
      <c r="I49" s="188" t="s">
        <v>66</v>
      </c>
      <c r="J49" s="190">
        <f>(I5+I8+I9+I10+I11+I12+I15+I16+I17+I18+I19+I22+I23+I24+I25+I26)/16</f>
        <v>459.51869163780475</v>
      </c>
      <c r="K49" s="188">
        <v>800000</v>
      </c>
      <c r="L49" s="191"/>
      <c r="M49" s="47"/>
      <c r="N49" s="47"/>
      <c r="O49" s="47"/>
      <c r="P49" s="47"/>
      <c r="Q49" s="47"/>
      <c r="R49" s="191">
        <v>400000</v>
      </c>
      <c r="AE49" s="188">
        <f>AE45/30</f>
        <v>23333.333333333332</v>
      </c>
      <c r="AQ49" s="192">
        <f>AP14+AP21</f>
        <v>0</v>
      </c>
      <c r="AR49" s="193" t="e">
        <f>AR14+AR21</f>
        <v>#DIV/0!</v>
      </c>
      <c r="AS49" s="193" t="e">
        <f>AT14+AT21</f>
        <v>#DIV/0!</v>
      </c>
      <c r="AY49" s="1"/>
      <c r="AZ49" s="1"/>
      <c r="BA49" s="1"/>
      <c r="BB49" s="1"/>
      <c r="BC49" s="194" t="s">
        <v>67</v>
      </c>
      <c r="BD49" s="1" t="s">
        <v>68</v>
      </c>
      <c r="BE49" s="1" t="s">
        <v>69</v>
      </c>
      <c r="BF49" s="1" t="s">
        <v>70</v>
      </c>
      <c r="BG49" s="1" t="s">
        <v>71</v>
      </c>
      <c r="BH49" s="195" t="s">
        <v>72</v>
      </c>
      <c r="BI49" s="195" t="s">
        <v>73</v>
      </c>
      <c r="BJ49" s="195" t="s">
        <v>74</v>
      </c>
    </row>
    <row r="50" spans="2:62" s="1" customFormat="1" ht="24" customHeight="1">
      <c r="B50" s="189"/>
      <c r="I50" s="1" t="s">
        <v>75</v>
      </c>
      <c r="J50" s="190">
        <f>(I6+I7+I13+I14+I20+I21+I27)/7</f>
        <v>722.8178300865801</v>
      </c>
      <c r="L50" s="196"/>
      <c r="M50" s="47"/>
      <c r="N50" s="47"/>
      <c r="O50" s="47"/>
      <c r="P50" s="47"/>
      <c r="Q50" s="47"/>
      <c r="R50" s="196"/>
      <c r="S50" s="196"/>
      <c r="Z50" s="197"/>
      <c r="AQ50" s="1">
        <f>AQ49/2</f>
        <v>0</v>
      </c>
      <c r="AR50" s="198" t="e">
        <f t="shared" ref="AR50:AS50" si="38">AR49/2</f>
        <v>#DIV/0!</v>
      </c>
      <c r="AS50" s="198" t="e">
        <f t="shared" si="38"/>
        <v>#DIV/0!</v>
      </c>
      <c r="AY50" s="188"/>
      <c r="AZ50" s="188"/>
      <c r="BA50" s="188"/>
      <c r="BB50" s="188"/>
      <c r="BC50" s="194" t="s">
        <v>76</v>
      </c>
      <c r="BD50" s="199">
        <v>1800</v>
      </c>
      <c r="BE50" s="199">
        <v>21</v>
      </c>
      <c r="BF50" s="200">
        <v>0</v>
      </c>
      <c r="BG50" s="199"/>
      <c r="BH50" s="201">
        <f>BE50*BD50</f>
        <v>37800</v>
      </c>
      <c r="BI50" s="201">
        <f>BD50*BF50</f>
        <v>0</v>
      </c>
      <c r="BJ50" s="201">
        <f>BH50-BI50</f>
        <v>37800</v>
      </c>
    </row>
    <row r="51" spans="2:62" s="188" customFormat="1" ht="24" customHeight="1">
      <c r="B51" s="189"/>
      <c r="K51" s="1"/>
      <c r="L51" s="196"/>
      <c r="M51" s="47"/>
      <c r="N51" s="47"/>
      <c r="O51" s="47"/>
      <c r="P51" s="47"/>
      <c r="Q51" s="47"/>
      <c r="R51" s="202"/>
      <c r="S51" s="203"/>
      <c r="T51" s="203"/>
      <c r="U51" s="203" t="s">
        <v>77</v>
      </c>
      <c r="V51" s="203"/>
      <c r="W51" s="204"/>
      <c r="X51" s="205"/>
      <c r="Y51" s="194"/>
      <c r="Z51" s="201"/>
      <c r="BC51" s="194" t="s">
        <v>78</v>
      </c>
      <c r="BD51" s="199">
        <v>10800</v>
      </c>
      <c r="BE51" s="199">
        <v>640</v>
      </c>
      <c r="BF51" s="199">
        <v>20</v>
      </c>
      <c r="BG51" s="199"/>
      <c r="BH51" s="201">
        <f t="shared" ref="BH51:BH70" si="39">BD51*BE51</f>
        <v>6912000</v>
      </c>
      <c r="BI51" s="201">
        <f t="shared" ref="BI51:BI70" si="40">BD51*BF51</f>
        <v>216000</v>
      </c>
      <c r="BJ51" s="201">
        <f t="shared" ref="BJ51:BJ70" si="41">BH51-BI51</f>
        <v>6696000</v>
      </c>
    </row>
    <row r="52" spans="2:62" s="188" customFormat="1" ht="24" customHeight="1">
      <c r="B52" s="189"/>
      <c r="K52" s="1"/>
      <c r="L52" s="196"/>
      <c r="M52" s="47"/>
      <c r="N52" s="47"/>
      <c r="O52" s="47"/>
      <c r="P52" s="47"/>
      <c r="Q52" s="47"/>
      <c r="R52" s="204"/>
      <c r="S52" s="203"/>
      <c r="T52" s="203"/>
      <c r="U52" s="206" t="s">
        <v>79</v>
      </c>
      <c r="V52" s="207" t="s">
        <v>80</v>
      </c>
      <c r="W52" s="208"/>
      <c r="X52" s="209" t="e">
        <f>W52/Y52</f>
        <v>#DIV/0!</v>
      </c>
      <c r="Y52" s="210">
        <f>W52+W53</f>
        <v>0</v>
      </c>
      <c r="Z52" s="211"/>
      <c r="AA52" s="211"/>
      <c r="BC52" s="194" t="s">
        <v>81</v>
      </c>
      <c r="BD52" s="199">
        <v>6120</v>
      </c>
      <c r="BE52" s="199">
        <v>40</v>
      </c>
      <c r="BF52" s="199">
        <v>4</v>
      </c>
      <c r="BG52" s="199"/>
      <c r="BH52" s="201">
        <f t="shared" si="39"/>
        <v>244800</v>
      </c>
      <c r="BI52" s="201">
        <f t="shared" si="40"/>
        <v>24480</v>
      </c>
      <c r="BJ52" s="201">
        <f t="shared" si="41"/>
        <v>220320</v>
      </c>
    </row>
    <row r="53" spans="2:62" s="188" customFormat="1" ht="24" customHeight="1">
      <c r="B53" s="189"/>
      <c r="K53" s="1"/>
      <c r="L53" s="196"/>
      <c r="M53" s="47"/>
      <c r="N53" s="47"/>
      <c r="O53" s="47"/>
      <c r="P53" s="47"/>
      <c r="Q53" s="47"/>
      <c r="R53" s="204"/>
      <c r="S53" s="203"/>
      <c r="T53" s="203"/>
      <c r="U53" s="206"/>
      <c r="V53" s="207" t="s">
        <v>82</v>
      </c>
      <c r="W53" s="208"/>
      <c r="X53" s="209" t="e">
        <f>W53/Y52</f>
        <v>#DIV/0!</v>
      </c>
      <c r="Y53" s="211"/>
      <c r="Z53" s="211"/>
      <c r="AA53" s="211"/>
      <c r="BA53" s="188" t="s">
        <v>83</v>
      </c>
      <c r="BC53" s="194" t="s">
        <v>84</v>
      </c>
      <c r="BD53" s="199">
        <v>1780</v>
      </c>
      <c r="BE53" s="199">
        <v>24</v>
      </c>
      <c r="BF53" s="199">
        <v>4</v>
      </c>
      <c r="BG53" s="199"/>
      <c r="BH53" s="201">
        <f t="shared" si="39"/>
        <v>42720</v>
      </c>
      <c r="BI53" s="201">
        <f t="shared" si="40"/>
        <v>7120</v>
      </c>
      <c r="BJ53" s="201">
        <f t="shared" si="41"/>
        <v>35600</v>
      </c>
    </row>
    <row r="54" spans="2:62" s="188" customFormat="1" ht="24" customHeight="1">
      <c r="B54" s="189"/>
      <c r="K54" s="1"/>
      <c r="L54" s="196"/>
      <c r="M54" s="47"/>
      <c r="N54" s="47"/>
      <c r="O54" s="47"/>
      <c r="P54" s="47"/>
      <c r="Q54" s="47"/>
      <c r="R54" s="204"/>
      <c r="S54" s="203"/>
      <c r="T54" s="203"/>
      <c r="U54" s="212" t="s">
        <v>85</v>
      </c>
      <c r="V54" s="207" t="s">
        <v>80</v>
      </c>
      <c r="W54" s="208"/>
      <c r="X54" s="209" t="e">
        <f t="shared" ref="X54" si="42">W54/Y54</f>
        <v>#DIV/0!</v>
      </c>
      <c r="Y54" s="210">
        <f t="shared" ref="Y54" si="43">W54+W55</f>
        <v>0</v>
      </c>
      <c r="Z54" s="211"/>
      <c r="AA54" s="211"/>
      <c r="BC54" s="194" t="s">
        <v>86</v>
      </c>
      <c r="BD54" s="199">
        <v>1780</v>
      </c>
      <c r="BE54" s="199">
        <v>24</v>
      </c>
      <c r="BF54" s="199">
        <v>20</v>
      </c>
      <c r="BG54" s="199"/>
      <c r="BH54" s="201">
        <f t="shared" si="39"/>
        <v>42720</v>
      </c>
      <c r="BI54" s="201">
        <f t="shared" si="40"/>
        <v>35600</v>
      </c>
      <c r="BJ54" s="201">
        <f t="shared" si="41"/>
        <v>7120</v>
      </c>
    </row>
    <row r="55" spans="2:62" s="188" customFormat="1" ht="24" customHeight="1">
      <c r="B55" s="189"/>
      <c r="L55" s="191"/>
      <c r="M55" s="47"/>
      <c r="N55" s="47"/>
      <c r="O55" s="47"/>
      <c r="P55" s="47"/>
      <c r="Q55" s="47"/>
      <c r="R55" s="213"/>
      <c r="S55" s="203"/>
      <c r="T55" s="203"/>
      <c r="U55" s="212"/>
      <c r="V55" s="207" t="s">
        <v>82</v>
      </c>
      <c r="W55" s="208"/>
      <c r="X55" s="209" t="e">
        <f t="shared" ref="X55" si="44">W55/Y54</f>
        <v>#DIV/0!</v>
      </c>
      <c r="Y55" s="211"/>
      <c r="Z55" s="211"/>
      <c r="AA55" s="211"/>
      <c r="AY55" s="47"/>
      <c r="AZ55" s="47"/>
      <c r="BA55" s="47"/>
      <c r="BB55" s="47"/>
      <c r="BC55" s="194" t="s">
        <v>87</v>
      </c>
      <c r="BD55" s="214">
        <v>8190</v>
      </c>
      <c r="BE55" s="199">
        <v>13</v>
      </c>
      <c r="BF55" s="199">
        <v>4</v>
      </c>
      <c r="BG55" s="199"/>
      <c r="BH55" s="201">
        <f t="shared" si="39"/>
        <v>106470</v>
      </c>
      <c r="BI55" s="201">
        <f t="shared" si="40"/>
        <v>32760</v>
      </c>
      <c r="BJ55" s="201">
        <f t="shared" si="41"/>
        <v>73710</v>
      </c>
    </row>
    <row r="56" spans="2:62" ht="24" customHeight="1">
      <c r="U56" s="215" t="s">
        <v>2</v>
      </c>
      <c r="V56" s="216" t="s">
        <v>80</v>
      </c>
      <c r="W56" s="208"/>
      <c r="X56" s="209" t="e">
        <f t="shared" ref="X56:X58" si="45">W56/Y56</f>
        <v>#DIV/0!</v>
      </c>
      <c r="Y56" s="210">
        <f t="shared" ref="Y56" si="46">W56+W57</f>
        <v>0</v>
      </c>
      <c r="Z56" s="211"/>
      <c r="AA56" s="211"/>
      <c r="BC56" s="194" t="s">
        <v>88</v>
      </c>
      <c r="BD56" s="214">
        <v>5784</v>
      </c>
      <c r="BE56" s="214">
        <v>36</v>
      </c>
      <c r="BF56" s="214">
        <v>28</v>
      </c>
      <c r="BG56" s="214"/>
      <c r="BH56" s="201">
        <f t="shared" si="39"/>
        <v>208224</v>
      </c>
      <c r="BI56" s="201">
        <f t="shared" si="40"/>
        <v>161952</v>
      </c>
      <c r="BJ56" s="201">
        <f t="shared" si="41"/>
        <v>46272</v>
      </c>
    </row>
    <row r="57" spans="2:62" ht="24" customHeight="1">
      <c r="U57" s="215"/>
      <c r="V57" s="216" t="s">
        <v>82</v>
      </c>
      <c r="W57" s="208"/>
      <c r="X57" s="209" t="e">
        <f t="shared" ref="X57:X59" si="47">W57/Y56</f>
        <v>#DIV/0!</v>
      </c>
      <c r="Y57" s="211"/>
      <c r="Z57" s="211"/>
      <c r="AA57" s="211"/>
      <c r="BC57" s="194" t="s">
        <v>89</v>
      </c>
      <c r="BD57" s="214">
        <v>6775</v>
      </c>
      <c r="BE57" s="214">
        <v>12</v>
      </c>
      <c r="BF57" s="214">
        <v>11</v>
      </c>
      <c r="BG57" s="214"/>
      <c r="BH57" s="201">
        <f t="shared" si="39"/>
        <v>81300</v>
      </c>
      <c r="BI57" s="201">
        <f t="shared" si="40"/>
        <v>74525</v>
      </c>
      <c r="BJ57" s="201">
        <f t="shared" si="41"/>
        <v>6775</v>
      </c>
    </row>
    <row r="58" spans="2:62" ht="24" customHeight="1">
      <c r="U58" s="217" t="s">
        <v>90</v>
      </c>
      <c r="V58" s="216" t="s">
        <v>80</v>
      </c>
      <c r="W58" s="208"/>
      <c r="X58" s="209" t="e">
        <f t="shared" si="45"/>
        <v>#DIV/0!</v>
      </c>
      <c r="Y58" s="218">
        <f>SUM(Y52:AA56)</f>
        <v>0</v>
      </c>
      <c r="Z58" s="219"/>
      <c r="AA58" s="219"/>
      <c r="BC58" s="194" t="s">
        <v>91</v>
      </c>
      <c r="BD58" s="214">
        <v>1755</v>
      </c>
      <c r="BE58" s="214">
        <v>14</v>
      </c>
      <c r="BF58" s="214">
        <v>2</v>
      </c>
      <c r="BG58" s="214"/>
      <c r="BH58" s="201">
        <f t="shared" si="39"/>
        <v>24570</v>
      </c>
      <c r="BI58" s="201">
        <f t="shared" si="40"/>
        <v>3510</v>
      </c>
      <c r="BJ58" s="201">
        <f t="shared" si="41"/>
        <v>21060</v>
      </c>
    </row>
    <row r="59" spans="2:62" ht="24" customHeight="1">
      <c r="U59" s="217"/>
      <c r="V59" s="216" t="s">
        <v>82</v>
      </c>
      <c r="W59" s="208"/>
      <c r="X59" s="209" t="e">
        <f t="shared" si="47"/>
        <v>#DIV/0!</v>
      </c>
      <c r="Y59" s="219"/>
      <c r="Z59" s="219"/>
      <c r="AA59" s="219"/>
      <c r="BC59" s="194" t="s">
        <v>92</v>
      </c>
      <c r="BD59" s="214">
        <v>1755</v>
      </c>
      <c r="BE59" s="214">
        <v>10</v>
      </c>
      <c r="BF59" s="214">
        <v>0</v>
      </c>
      <c r="BG59" s="214"/>
      <c r="BH59" s="201">
        <f t="shared" si="39"/>
        <v>17550</v>
      </c>
      <c r="BI59" s="201">
        <f t="shared" si="40"/>
        <v>0</v>
      </c>
      <c r="BJ59" s="201">
        <f t="shared" si="41"/>
        <v>17550</v>
      </c>
    </row>
    <row r="60" spans="2:62" ht="24" customHeight="1">
      <c r="BC60" s="194" t="s">
        <v>93</v>
      </c>
      <c r="BD60" s="214">
        <v>1075</v>
      </c>
      <c r="BE60" s="214">
        <v>96</v>
      </c>
      <c r="BF60" s="214">
        <v>38</v>
      </c>
      <c r="BG60" s="214"/>
      <c r="BH60" s="201">
        <f t="shared" si="39"/>
        <v>103200</v>
      </c>
      <c r="BI60" s="201">
        <f t="shared" si="40"/>
        <v>40850</v>
      </c>
      <c r="BJ60" s="201">
        <f t="shared" si="41"/>
        <v>62350</v>
      </c>
    </row>
    <row r="61" spans="2:62" ht="24" customHeight="1">
      <c r="BC61" s="194" t="s">
        <v>94</v>
      </c>
      <c r="BD61" s="214">
        <v>3860</v>
      </c>
      <c r="BE61" s="214">
        <v>166</v>
      </c>
      <c r="BF61" s="214">
        <v>13</v>
      </c>
      <c r="BG61" s="214"/>
      <c r="BH61" s="201">
        <f t="shared" si="39"/>
        <v>640760</v>
      </c>
      <c r="BI61" s="201">
        <f t="shared" si="40"/>
        <v>50180</v>
      </c>
      <c r="BJ61" s="201">
        <f t="shared" si="41"/>
        <v>590580</v>
      </c>
    </row>
    <row r="62" spans="2:62" ht="24" customHeight="1">
      <c r="BC62" s="194" t="s">
        <v>95</v>
      </c>
      <c r="BD62" s="214">
        <v>6450</v>
      </c>
      <c r="BE62" s="214">
        <v>137</v>
      </c>
      <c r="BF62" s="214">
        <v>12</v>
      </c>
      <c r="BG62" s="214"/>
      <c r="BH62" s="201">
        <f t="shared" si="39"/>
        <v>883650</v>
      </c>
      <c r="BI62" s="201">
        <f t="shared" si="40"/>
        <v>77400</v>
      </c>
      <c r="BJ62" s="201">
        <f t="shared" si="41"/>
        <v>806250</v>
      </c>
    </row>
    <row r="63" spans="2:62" ht="24" customHeight="1">
      <c r="BC63" s="194" t="s">
        <v>96</v>
      </c>
      <c r="BD63" s="214">
        <v>1380</v>
      </c>
      <c r="BE63" s="214">
        <v>35</v>
      </c>
      <c r="BF63" s="214">
        <v>5</v>
      </c>
      <c r="BG63" s="214"/>
      <c r="BH63" s="201">
        <f t="shared" si="39"/>
        <v>48300</v>
      </c>
      <c r="BI63" s="201">
        <f t="shared" si="40"/>
        <v>6900</v>
      </c>
      <c r="BJ63" s="201">
        <f t="shared" si="41"/>
        <v>41400</v>
      </c>
    </row>
    <row r="64" spans="2:62" ht="24" customHeight="1">
      <c r="BC64" s="194" t="s">
        <v>97</v>
      </c>
      <c r="BD64" s="214">
        <v>1380</v>
      </c>
      <c r="BE64" s="214">
        <v>39</v>
      </c>
      <c r="BF64" s="214">
        <v>6</v>
      </c>
      <c r="BG64" s="214"/>
      <c r="BH64" s="201">
        <f t="shared" si="39"/>
        <v>53820</v>
      </c>
      <c r="BI64" s="201">
        <f t="shared" si="40"/>
        <v>8280</v>
      </c>
      <c r="BJ64" s="201">
        <f t="shared" si="41"/>
        <v>45540</v>
      </c>
    </row>
    <row r="65" spans="55:62" ht="24" customHeight="1">
      <c r="BC65" s="194" t="s">
        <v>98</v>
      </c>
      <c r="BD65" s="214">
        <v>160</v>
      </c>
      <c r="BE65" s="214">
        <v>594</v>
      </c>
      <c r="BF65" s="214">
        <v>53</v>
      </c>
      <c r="BG65" s="214"/>
      <c r="BH65" s="201">
        <f t="shared" si="39"/>
        <v>95040</v>
      </c>
      <c r="BI65" s="201">
        <f t="shared" si="40"/>
        <v>8480</v>
      </c>
      <c r="BJ65" s="201">
        <f t="shared" si="41"/>
        <v>86560</v>
      </c>
    </row>
    <row r="66" spans="55:62" ht="24" customHeight="1">
      <c r="BC66" s="194" t="s">
        <v>99</v>
      </c>
      <c r="BD66" s="214">
        <v>160</v>
      </c>
      <c r="BE66" s="214">
        <v>300</v>
      </c>
      <c r="BF66" s="214">
        <v>47</v>
      </c>
      <c r="BG66" s="214"/>
      <c r="BH66" s="201">
        <f t="shared" si="39"/>
        <v>48000</v>
      </c>
      <c r="BI66" s="201">
        <f t="shared" si="40"/>
        <v>7520</v>
      </c>
      <c r="BJ66" s="201">
        <f t="shared" si="41"/>
        <v>40480</v>
      </c>
    </row>
    <row r="67" spans="55:62" ht="24" customHeight="1">
      <c r="BC67" s="194" t="s">
        <v>100</v>
      </c>
      <c r="BD67" s="214">
        <v>205</v>
      </c>
      <c r="BE67" s="214">
        <v>366</v>
      </c>
      <c r="BF67" s="214">
        <v>49</v>
      </c>
      <c r="BG67" s="214"/>
      <c r="BH67" s="201">
        <f t="shared" si="39"/>
        <v>75030</v>
      </c>
      <c r="BI67" s="201">
        <f t="shared" si="40"/>
        <v>10045</v>
      </c>
      <c r="BJ67" s="201">
        <f t="shared" si="41"/>
        <v>64985</v>
      </c>
    </row>
    <row r="68" spans="55:62" ht="24" customHeight="1">
      <c r="BC68" s="194" t="s">
        <v>101</v>
      </c>
      <c r="BD68" s="214">
        <v>295</v>
      </c>
      <c r="BE68" s="214">
        <v>612</v>
      </c>
      <c r="BF68" s="214">
        <v>86</v>
      </c>
      <c r="BG68" s="214"/>
      <c r="BH68" s="201">
        <f t="shared" si="39"/>
        <v>180540</v>
      </c>
      <c r="BI68" s="201">
        <f t="shared" si="40"/>
        <v>25370</v>
      </c>
      <c r="BJ68" s="201">
        <f t="shared" si="41"/>
        <v>155170</v>
      </c>
    </row>
    <row r="69" spans="55:62" ht="24" customHeight="1">
      <c r="BC69" s="194" t="s">
        <v>102</v>
      </c>
      <c r="BD69" s="214">
        <v>70</v>
      </c>
      <c r="BE69" s="214">
        <v>480</v>
      </c>
      <c r="BF69" s="214">
        <v>71</v>
      </c>
      <c r="BG69" s="214"/>
      <c r="BH69" s="201">
        <f t="shared" si="39"/>
        <v>33600</v>
      </c>
      <c r="BI69" s="201">
        <f t="shared" si="40"/>
        <v>4970</v>
      </c>
      <c r="BJ69" s="201">
        <f t="shared" si="41"/>
        <v>28630</v>
      </c>
    </row>
    <row r="70" spans="55:62" ht="24" customHeight="1">
      <c r="BC70" s="194" t="s">
        <v>103</v>
      </c>
      <c r="BD70" s="214">
        <v>2450</v>
      </c>
      <c r="BE70" s="214">
        <v>31</v>
      </c>
      <c r="BF70" s="214">
        <v>9</v>
      </c>
      <c r="BG70" s="214"/>
      <c r="BH70" s="201">
        <f t="shared" si="39"/>
        <v>75950</v>
      </c>
      <c r="BI70" s="201">
        <f t="shared" si="40"/>
        <v>22050</v>
      </c>
      <c r="BJ70" s="201">
        <f t="shared" si="41"/>
        <v>53900</v>
      </c>
    </row>
    <row r="71" spans="55:62" ht="24" customHeight="1">
      <c r="BC71" s="194"/>
      <c r="BH71" s="220">
        <f>SUM(BH50:BH70)</f>
        <v>9956044</v>
      </c>
      <c r="BI71" s="220">
        <f t="shared" ref="BI71:BJ71" si="48">SUM(BI50:BI70)</f>
        <v>817992</v>
      </c>
      <c r="BJ71" s="220">
        <f t="shared" si="48"/>
        <v>9138052</v>
      </c>
    </row>
    <row r="72" spans="55:62" ht="24" customHeight="1">
      <c r="BC72" s="194"/>
    </row>
    <row r="73" spans="55:62" ht="24" customHeight="1">
      <c r="BC73" s="194"/>
    </row>
    <row r="74" spans="55:62" ht="24" customHeight="1">
      <c r="BC74" s="194"/>
    </row>
    <row r="75" spans="55:62" ht="24" customHeight="1">
      <c r="BC75" s="194"/>
    </row>
    <row r="76" spans="55:62" ht="24" customHeight="1">
      <c r="BC76" s="194"/>
    </row>
    <row r="77" spans="55:62" ht="24" customHeight="1">
      <c r="BC77" s="194"/>
    </row>
    <row r="78" spans="55:62" ht="24" customHeight="1">
      <c r="BC78" s="194"/>
    </row>
    <row r="79" spans="55:62" ht="24" customHeight="1">
      <c r="BC79" s="194"/>
    </row>
    <row r="80" spans="55:62" ht="24" customHeight="1">
      <c r="BC80" s="194"/>
    </row>
    <row r="81" spans="55:55" ht="24" customHeight="1">
      <c r="BC81" s="194"/>
    </row>
    <row r="82" spans="55:55" ht="24" customHeight="1">
      <c r="BC82" s="194"/>
    </row>
    <row r="83" spans="55:55" ht="24" customHeight="1">
      <c r="BC83" s="194"/>
    </row>
    <row r="84" spans="55:55" ht="24" customHeight="1">
      <c r="BC84" s="194"/>
    </row>
    <row r="85" spans="55:55" ht="24" customHeight="1">
      <c r="BC85" s="194"/>
    </row>
    <row r="86" spans="55:55" ht="24" customHeight="1">
      <c r="BC86" s="194"/>
    </row>
    <row r="87" spans="55:55" ht="24" customHeight="1">
      <c r="BC87" s="194"/>
    </row>
    <row r="88" spans="55:55" ht="24" customHeight="1">
      <c r="BC88" s="194"/>
    </row>
    <row r="89" spans="55:55" ht="24" customHeight="1">
      <c r="BC89" s="194"/>
    </row>
    <row r="90" spans="55:55" ht="24" customHeight="1">
      <c r="BC90" s="194"/>
    </row>
    <row r="91" spans="55:55" ht="24" customHeight="1">
      <c r="BC91" s="194"/>
    </row>
    <row r="92" spans="55:55" ht="24" customHeight="1">
      <c r="BC92" s="194"/>
    </row>
    <row r="93" spans="55:55" ht="24" customHeight="1">
      <c r="BC93" s="194"/>
    </row>
    <row r="94" spans="55:55" ht="24" customHeight="1">
      <c r="BC94" s="194"/>
    </row>
    <row r="95" spans="55:55" ht="24" customHeight="1">
      <c r="BC95" s="194"/>
    </row>
    <row r="96" spans="55:55" ht="24" customHeight="1">
      <c r="BC96" s="194"/>
    </row>
    <row r="97" spans="55:55" ht="24" customHeight="1">
      <c r="BC97" s="194"/>
    </row>
    <row r="98" spans="55:55" ht="24" customHeight="1">
      <c r="BC98" s="194"/>
    </row>
    <row r="99" spans="55:55" ht="24" customHeight="1">
      <c r="BC99" s="194"/>
    </row>
    <row r="100" spans="55:55" ht="24" customHeight="1">
      <c r="BC100" s="194"/>
    </row>
    <row r="101" spans="55:55" ht="24" customHeight="1">
      <c r="BC101" s="194"/>
    </row>
    <row r="102" spans="55:55" ht="24" customHeight="1">
      <c r="BC102" s="194"/>
    </row>
    <row r="103" spans="55:55" ht="24" customHeight="1">
      <c r="BC103" s="194"/>
    </row>
    <row r="104" spans="55:55" ht="24" customHeight="1">
      <c r="BC104" s="194"/>
    </row>
    <row r="105" spans="55:55" ht="24" customHeight="1">
      <c r="BC105" s="194"/>
    </row>
    <row r="106" spans="55:55" ht="24" customHeight="1">
      <c r="BC106" s="194"/>
    </row>
    <row r="107" spans="55:55" ht="24" customHeight="1">
      <c r="BC107" s="194"/>
    </row>
    <row r="108" spans="55:55" ht="24" customHeight="1">
      <c r="BC108" s="194"/>
    </row>
    <row r="109" spans="55:55" ht="24" customHeight="1">
      <c r="BC109" s="194"/>
    </row>
    <row r="110" spans="55:55" ht="24" customHeight="1">
      <c r="BC110" s="194"/>
    </row>
    <row r="111" spans="55:55" ht="24" customHeight="1">
      <c r="BC111" s="194"/>
    </row>
    <row r="112" spans="55:55" ht="24" customHeight="1">
      <c r="BC112" s="194"/>
    </row>
    <row r="113" spans="55:55" ht="24" customHeight="1">
      <c r="BC113" s="194"/>
    </row>
    <row r="114" spans="55:55" ht="24" customHeight="1">
      <c r="BC114" s="194"/>
    </row>
    <row r="115" spans="55:55" ht="24" customHeight="1">
      <c r="BC115" s="194"/>
    </row>
    <row r="116" spans="55:55" ht="24" customHeight="1">
      <c r="BC116" s="194"/>
    </row>
    <row r="117" spans="55:55" ht="24" customHeight="1">
      <c r="BC117" s="194"/>
    </row>
    <row r="118" spans="55:55" ht="24" customHeight="1">
      <c r="BC118" s="194"/>
    </row>
    <row r="119" spans="55:55" ht="24" customHeight="1">
      <c r="BC119" s="194"/>
    </row>
    <row r="120" spans="55:55" ht="24" customHeight="1">
      <c r="BC120" s="194"/>
    </row>
    <row r="121" spans="55:55" ht="24" customHeight="1">
      <c r="BC121" s="194"/>
    </row>
    <row r="122" spans="55:55" ht="24" customHeight="1">
      <c r="BC122" s="194"/>
    </row>
    <row r="123" spans="55:55" ht="24" customHeight="1">
      <c r="BC123" s="194"/>
    </row>
    <row r="124" spans="55:55" ht="24" customHeight="1">
      <c r="BC124" s="194"/>
    </row>
    <row r="125" spans="55:55" ht="24" customHeight="1">
      <c r="BC125" s="194"/>
    </row>
    <row r="126" spans="55:55" ht="24" customHeight="1">
      <c r="BC126" s="194"/>
    </row>
    <row r="127" spans="55:55" ht="24" customHeight="1">
      <c r="BC127" s="194"/>
    </row>
    <row r="128" spans="55:55" ht="24" customHeight="1">
      <c r="BC128" s="194"/>
    </row>
    <row r="129" spans="55:55" ht="24" customHeight="1">
      <c r="BC129" s="194"/>
    </row>
    <row r="130" spans="55:55" ht="24" customHeight="1">
      <c r="BC130" s="194"/>
    </row>
    <row r="131" spans="55:55" ht="24" customHeight="1">
      <c r="BC131" s="194"/>
    </row>
    <row r="132" spans="55:55" ht="24" customHeight="1">
      <c r="BC132" s="194"/>
    </row>
    <row r="133" spans="55:55" ht="24" customHeight="1">
      <c r="BC133" s="194"/>
    </row>
    <row r="134" spans="55:55" ht="24" customHeight="1">
      <c r="BC134" s="194"/>
    </row>
    <row r="135" spans="55:55" ht="24" customHeight="1">
      <c r="BC135" s="194"/>
    </row>
    <row r="136" spans="55:55" ht="24" customHeight="1">
      <c r="BC136" s="194"/>
    </row>
    <row r="137" spans="55:55" ht="24" customHeight="1">
      <c r="BC137" s="194"/>
    </row>
    <row r="138" spans="55:55" ht="24" customHeight="1">
      <c r="BC138" s="194"/>
    </row>
    <row r="139" spans="55:55" ht="24" customHeight="1">
      <c r="BC139" s="194"/>
    </row>
    <row r="140" spans="55:55" ht="24" customHeight="1">
      <c r="BC140" s="194"/>
    </row>
    <row r="141" spans="55:55" ht="24" customHeight="1">
      <c r="BC141" s="194"/>
    </row>
    <row r="142" spans="55:55" ht="24" customHeight="1">
      <c r="BC142" s="194"/>
    </row>
    <row r="143" spans="55:55" ht="24" customHeight="1">
      <c r="BC143" s="194"/>
    </row>
    <row r="144" spans="55:55" ht="24" customHeight="1">
      <c r="BC144" s="194"/>
    </row>
    <row r="145" spans="55:55" ht="24" customHeight="1">
      <c r="BC145" s="194"/>
    </row>
    <row r="146" spans="55:55" ht="24" customHeight="1">
      <c r="BC146" s="194"/>
    </row>
    <row r="147" spans="55:55" ht="24" customHeight="1">
      <c r="BC147" s="194"/>
    </row>
    <row r="148" spans="55:55" ht="24" customHeight="1">
      <c r="BC148" s="194"/>
    </row>
    <row r="149" spans="55:55" ht="24" customHeight="1">
      <c r="BC149" s="194"/>
    </row>
    <row r="150" spans="55:55" ht="24" customHeight="1">
      <c r="BC150" s="194"/>
    </row>
    <row r="151" spans="55:55" ht="24" customHeight="1">
      <c r="BC151" s="194"/>
    </row>
    <row r="152" spans="55:55" ht="24" customHeight="1">
      <c r="BC152" s="194"/>
    </row>
    <row r="153" spans="55:55" ht="24" customHeight="1">
      <c r="BC153" s="194"/>
    </row>
    <row r="154" spans="55:55" ht="24" customHeight="1">
      <c r="BC154" s="194"/>
    </row>
    <row r="155" spans="55:55" ht="24" customHeight="1">
      <c r="BC155" s="194"/>
    </row>
    <row r="156" spans="55:55" ht="24" customHeight="1">
      <c r="BC156" s="194"/>
    </row>
    <row r="157" spans="55:55" ht="24" customHeight="1">
      <c r="BC157" s="194"/>
    </row>
    <row r="158" spans="55:55" ht="24" customHeight="1">
      <c r="BC158" s="194"/>
    </row>
    <row r="159" spans="55:55" ht="24" customHeight="1">
      <c r="BC159" s="194"/>
    </row>
    <row r="160" spans="55:55" ht="24" customHeight="1">
      <c r="BC160" s="194"/>
    </row>
    <row r="161" spans="55:55" ht="24" customHeight="1">
      <c r="BC161" s="194"/>
    </row>
    <row r="162" spans="55:55" ht="24" customHeight="1">
      <c r="BC162" s="194"/>
    </row>
    <row r="163" spans="55:55" ht="24" customHeight="1">
      <c r="BC163" s="194"/>
    </row>
    <row r="164" spans="55:55" ht="24" customHeight="1">
      <c r="BC164" s="194"/>
    </row>
    <row r="165" spans="55:55" ht="24" customHeight="1">
      <c r="BC165" s="194"/>
    </row>
    <row r="166" spans="55:55" ht="24" customHeight="1">
      <c r="BC166" s="194"/>
    </row>
    <row r="167" spans="55:55" ht="24" customHeight="1">
      <c r="BC167" s="194"/>
    </row>
    <row r="168" spans="55:55" ht="24" customHeight="1">
      <c r="BC168" s="194"/>
    </row>
    <row r="169" spans="55:55" ht="24" customHeight="1">
      <c r="BC169" s="194"/>
    </row>
    <row r="170" spans="55:55" ht="24" customHeight="1">
      <c r="BC170" s="194"/>
    </row>
    <row r="171" spans="55:55" ht="24" customHeight="1">
      <c r="BC171" s="194"/>
    </row>
    <row r="172" spans="55:55" ht="24" customHeight="1">
      <c r="BC172" s="194"/>
    </row>
    <row r="173" spans="55:55" ht="24" customHeight="1">
      <c r="BC173" s="194"/>
    </row>
    <row r="174" spans="55:55" ht="24" customHeight="1">
      <c r="BC174" s="194"/>
    </row>
    <row r="175" spans="55:55" ht="24" customHeight="1">
      <c r="BC175" s="194"/>
    </row>
    <row r="176" spans="55:55" ht="24" customHeight="1">
      <c r="BC176" s="194"/>
    </row>
    <row r="177" spans="55:55" ht="24" customHeight="1">
      <c r="BC177" s="194"/>
    </row>
    <row r="178" spans="55:55" ht="24" customHeight="1">
      <c r="BC178" s="194"/>
    </row>
    <row r="179" spans="55:55" ht="24" customHeight="1">
      <c r="BC179" s="194"/>
    </row>
    <row r="180" spans="55:55" ht="24" customHeight="1">
      <c r="BC180" s="194"/>
    </row>
    <row r="181" spans="55:55" ht="24" customHeight="1">
      <c r="BC181" s="194"/>
    </row>
    <row r="182" spans="55:55" ht="24" customHeight="1">
      <c r="BC182" s="194"/>
    </row>
    <row r="183" spans="55:55" ht="24" customHeight="1">
      <c r="BC183" s="194"/>
    </row>
    <row r="184" spans="55:55">
      <c r="BC184" s="194"/>
    </row>
    <row r="185" spans="55:55">
      <c r="BC185" s="194"/>
    </row>
    <row r="186" spans="55:55">
      <c r="BC186" s="194"/>
    </row>
    <row r="187" spans="55:55">
      <c r="BC187" s="194"/>
    </row>
    <row r="188" spans="55:55">
      <c r="BC188" s="194"/>
    </row>
    <row r="189" spans="55:55">
      <c r="BC189" s="194"/>
    </row>
    <row r="190" spans="55:55">
      <c r="BC190" s="194"/>
    </row>
    <row r="191" spans="55:55">
      <c r="BC191" s="194"/>
    </row>
    <row r="192" spans="55:55">
      <c r="BC192" s="194"/>
    </row>
    <row r="193" spans="55:55">
      <c r="BC193" s="194"/>
    </row>
    <row r="194" spans="55:55">
      <c r="BC194" s="194"/>
    </row>
    <row r="195" spans="55:55">
      <c r="BC195" s="194"/>
    </row>
    <row r="196" spans="55:55">
      <c r="BC196" s="194"/>
    </row>
    <row r="197" spans="55:55">
      <c r="BC197" s="194"/>
    </row>
    <row r="198" spans="55:55">
      <c r="BC198" s="194"/>
    </row>
    <row r="199" spans="55:55">
      <c r="BC199" s="194"/>
    </row>
    <row r="200" spans="55:55">
      <c r="BC200" s="194"/>
    </row>
    <row r="201" spans="55:55">
      <c r="BC201" s="194"/>
    </row>
    <row r="202" spans="55:55">
      <c r="BC202" s="194"/>
    </row>
    <row r="203" spans="55:55">
      <c r="BC203" s="194"/>
    </row>
    <row r="204" spans="55:55">
      <c r="BC204" s="194"/>
    </row>
    <row r="205" spans="55:55">
      <c r="BC205" s="194"/>
    </row>
    <row r="206" spans="55:55">
      <c r="BC206" s="194"/>
    </row>
    <row r="207" spans="55:55">
      <c r="BC207" s="194"/>
    </row>
    <row r="208" spans="55:55">
      <c r="BC208" s="194"/>
    </row>
    <row r="209" spans="55:55">
      <c r="BC209" s="194"/>
    </row>
    <row r="210" spans="55:55">
      <c r="BC210" s="194"/>
    </row>
    <row r="211" spans="55:55">
      <c r="BC211" s="194"/>
    </row>
    <row r="212" spans="55:55">
      <c r="BC212" s="194"/>
    </row>
    <row r="213" spans="55:55">
      <c r="BC213" s="194"/>
    </row>
    <row r="214" spans="55:55">
      <c r="BC214" s="194"/>
    </row>
    <row r="215" spans="55:55">
      <c r="BC215" s="194"/>
    </row>
    <row r="216" spans="55:55">
      <c r="BC216" s="194"/>
    </row>
    <row r="217" spans="55:55">
      <c r="BC217" s="194"/>
    </row>
    <row r="218" spans="55:55">
      <c r="BC218" s="194"/>
    </row>
    <row r="219" spans="55:55">
      <c r="BC219" s="194"/>
    </row>
    <row r="220" spans="55:55">
      <c r="BC220" s="194"/>
    </row>
    <row r="221" spans="55:55">
      <c r="BC221" s="194"/>
    </row>
    <row r="222" spans="55:55">
      <c r="BC222" s="194"/>
    </row>
    <row r="223" spans="55:55">
      <c r="BC223" s="194"/>
    </row>
    <row r="224" spans="55:55">
      <c r="BC224" s="194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2023.10</vt:lpstr>
      <vt:lpstr>2023.11</vt:lpstr>
      <vt:lpstr>2023.12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2026-02-11T10:06:51Z</dcterms:created>
  <dcterms:modified xsi:type="dcterms:W3CDTF">2026-02-11T10:12:40Z</dcterms:modified>
</cp:coreProperties>
</file>