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esktop/"/>
    </mc:Choice>
  </mc:AlternateContent>
  <xr:revisionPtr revIDLastSave="0" documentId="8_{6CE637C0-DCAB-3143-8738-50E123E4EFB0}" xr6:coauthVersionLast="47" xr6:coauthVersionMax="47" xr10:uidLastSave="{00000000-0000-0000-0000-000000000000}"/>
  <bookViews>
    <workbookView xWindow="9840" yWindow="820" windowWidth="28300" windowHeight="17360" activeTab="2" xr2:uid="{D03E751A-AC01-0F4B-95A8-282EA6F7F2F5}"/>
  </bookViews>
  <sheets>
    <sheet name="2023.07" sheetId="1" r:id="rId1"/>
    <sheet name="2023.08" sheetId="2" r:id="rId2"/>
    <sheet name="2023.09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70" i="3" l="1"/>
  <c r="BH70" i="3"/>
  <c r="BJ70" i="3" s="1"/>
  <c r="BI69" i="3"/>
  <c r="BH69" i="3"/>
  <c r="BJ69" i="3" s="1"/>
  <c r="BI68" i="3"/>
  <c r="BH68" i="3"/>
  <c r="BJ68" i="3" s="1"/>
  <c r="BI67" i="3"/>
  <c r="BH67" i="3"/>
  <c r="BJ67" i="3" s="1"/>
  <c r="BI66" i="3"/>
  <c r="BH66" i="3"/>
  <c r="BJ66" i="3" s="1"/>
  <c r="BI65" i="3"/>
  <c r="BH65" i="3"/>
  <c r="BJ65" i="3" s="1"/>
  <c r="BI64" i="3"/>
  <c r="BH64" i="3"/>
  <c r="BJ64" i="3" s="1"/>
  <c r="BI63" i="3"/>
  <c r="BH63" i="3"/>
  <c r="BJ63" i="3" s="1"/>
  <c r="BI62" i="3"/>
  <c r="BH62" i="3"/>
  <c r="BI61" i="3"/>
  <c r="BH61" i="3"/>
  <c r="BJ61" i="3" s="1"/>
  <c r="BI60" i="3"/>
  <c r="BJ60" i="3" s="1"/>
  <c r="BH60" i="3"/>
  <c r="BI59" i="3"/>
  <c r="BH59" i="3"/>
  <c r="BJ59" i="3" s="1"/>
  <c r="BI58" i="3"/>
  <c r="BJ58" i="3" s="1"/>
  <c r="BH58" i="3"/>
  <c r="BI57" i="3"/>
  <c r="BH57" i="3"/>
  <c r="BJ57" i="3" s="1"/>
  <c r="BI56" i="3"/>
  <c r="BH56" i="3"/>
  <c r="BJ56" i="3" s="1"/>
  <c r="Y56" i="3"/>
  <c r="X57" i="3" s="1"/>
  <c r="BI55" i="3"/>
  <c r="BH55" i="3"/>
  <c r="BJ55" i="3" s="1"/>
  <c r="X55" i="3"/>
  <c r="BJ54" i="3"/>
  <c r="BI54" i="3"/>
  <c r="BH54" i="3"/>
  <c r="Y54" i="3"/>
  <c r="X54" i="3" s="1"/>
  <c r="BI53" i="3"/>
  <c r="BH53" i="3"/>
  <c r="BJ53" i="3" s="1"/>
  <c r="BI52" i="3"/>
  <c r="BH52" i="3"/>
  <c r="Y52" i="3"/>
  <c r="X52" i="3"/>
  <c r="BI51" i="3"/>
  <c r="BH51" i="3"/>
  <c r="BJ51" i="3" s="1"/>
  <c r="BI50" i="3"/>
  <c r="BI71" i="3" s="1"/>
  <c r="BH50" i="3"/>
  <c r="AQ50" i="3"/>
  <c r="AQ49" i="3"/>
  <c r="AE49" i="3"/>
  <c r="X46" i="3"/>
  <c r="S46" i="3"/>
  <c r="K46" i="3"/>
  <c r="AF46" i="3" s="1"/>
  <c r="AN46" i="3" s="1"/>
  <c r="AW46" i="3" s="1"/>
  <c r="BG45" i="3"/>
  <c r="W45" i="3"/>
  <c r="BG44" i="3"/>
  <c r="BA44" i="3"/>
  <c r="BE43" i="3"/>
  <c r="BG43" i="3" s="1"/>
  <c r="AQ38" i="3"/>
  <c r="AA38" i="3"/>
  <c r="U38" i="3"/>
  <c r="O38" i="3"/>
  <c r="F38" i="3"/>
  <c r="AU37" i="3"/>
  <c r="AQ37" i="3"/>
  <c r="AR37" i="3" s="1"/>
  <c r="AK37" i="3"/>
  <c r="AL37" i="3" s="1"/>
  <c r="AI37" i="3"/>
  <c r="AJ37" i="3" s="1"/>
  <c r="H37" i="3"/>
  <c r="I37" i="3" s="1"/>
  <c r="G37" i="3"/>
  <c r="K37" i="3" s="1"/>
  <c r="BI36" i="3"/>
  <c r="BH36" i="3"/>
  <c r="BG36" i="3"/>
  <c r="BF36" i="3"/>
  <c r="BE36" i="3"/>
  <c r="BD36" i="3"/>
  <c r="BC36" i="3"/>
  <c r="AU36" i="3"/>
  <c r="AS36" i="3"/>
  <c r="AS37" i="3" s="1"/>
  <c r="AQ36" i="3"/>
  <c r="AP36" i="3"/>
  <c r="AO36" i="3"/>
  <c r="AK36" i="3"/>
  <c r="AI36" i="3"/>
  <c r="AH36" i="3"/>
  <c r="AG36" i="3"/>
  <c r="AC36" i="3"/>
  <c r="AA36" i="3"/>
  <c r="AA37" i="3" s="1"/>
  <c r="Z36" i="3"/>
  <c r="Y36" i="3"/>
  <c r="X36" i="3"/>
  <c r="L36" i="3"/>
  <c r="H36" i="3"/>
  <c r="I36" i="3" s="1"/>
  <c r="G36" i="3"/>
  <c r="E36" i="3"/>
  <c r="D36" i="3"/>
  <c r="C36" i="3"/>
  <c r="BJ35" i="3"/>
  <c r="BL35" i="3" s="1"/>
  <c r="BB35" i="3"/>
  <c r="AW35" i="3"/>
  <c r="AV35" i="3"/>
  <c r="AT35" i="3"/>
  <c r="AR35" i="3"/>
  <c r="AN35" i="3"/>
  <c r="AM35" i="3"/>
  <c r="AL35" i="3"/>
  <c r="AJ35" i="3"/>
  <c r="AF35" i="3"/>
  <c r="AE35" i="3"/>
  <c r="AD35" i="3"/>
  <c r="AB35" i="3"/>
  <c r="R35" i="3"/>
  <c r="Q35" i="3"/>
  <c r="P35" i="3"/>
  <c r="V35" i="3" s="1"/>
  <c r="AZ35" i="3" s="1"/>
  <c r="N35" i="3"/>
  <c r="M35" i="3"/>
  <c r="K35" i="3"/>
  <c r="J35" i="3"/>
  <c r="W35" i="3" s="1"/>
  <c r="BA35" i="3" s="1"/>
  <c r="I35" i="3"/>
  <c r="G35" i="3"/>
  <c r="BJ34" i="3"/>
  <c r="BL34" i="3" s="1"/>
  <c r="BB34" i="3"/>
  <c r="AY34" i="3"/>
  <c r="AX34" i="3"/>
  <c r="AW34" i="3"/>
  <c r="AV34" i="3"/>
  <c r="AT34" i="3"/>
  <c r="AR34" i="3"/>
  <c r="AN34" i="3"/>
  <c r="AM34" i="3"/>
  <c r="AL34" i="3"/>
  <c r="AJ34" i="3"/>
  <c r="AE34" i="3"/>
  <c r="AF34" i="3" s="1"/>
  <c r="AD34" i="3"/>
  <c r="AB34" i="3"/>
  <c r="V34" i="3"/>
  <c r="AZ34" i="3" s="1"/>
  <c r="Q34" i="3"/>
  <c r="P34" i="3"/>
  <c r="N34" i="3"/>
  <c r="U34" i="3" s="1"/>
  <c r="M34" i="3"/>
  <c r="J34" i="3"/>
  <c r="I34" i="3"/>
  <c r="G34" i="3"/>
  <c r="BJ33" i="3"/>
  <c r="BL33" i="3" s="1"/>
  <c r="BB33" i="3"/>
  <c r="AX33" i="3"/>
  <c r="AW33" i="3"/>
  <c r="AV33" i="3"/>
  <c r="AT33" i="3"/>
  <c r="AR33" i="3"/>
  <c r="AN33" i="3"/>
  <c r="AM33" i="3"/>
  <c r="AL33" i="3"/>
  <c r="AJ33" i="3"/>
  <c r="AF33" i="3"/>
  <c r="AE33" i="3"/>
  <c r="AD33" i="3"/>
  <c r="AB33" i="3"/>
  <c r="U33" i="3"/>
  <c r="AY33" i="3" s="1"/>
  <c r="P33" i="3"/>
  <c r="Q33" i="3" s="1"/>
  <c r="O33" i="3"/>
  <c r="N33" i="3"/>
  <c r="R33" i="3" s="1"/>
  <c r="W33" i="3" s="1"/>
  <c r="BA33" i="3" s="1"/>
  <c r="M33" i="3"/>
  <c r="T33" i="3" s="1"/>
  <c r="J33" i="3"/>
  <c r="K33" i="3" s="1"/>
  <c r="I33" i="3"/>
  <c r="G33" i="3"/>
  <c r="BJ32" i="3"/>
  <c r="BL32" i="3" s="1"/>
  <c r="BB32" i="3"/>
  <c r="AX32" i="3"/>
  <c r="AW32" i="3"/>
  <c r="AV32" i="3"/>
  <c r="AT32" i="3"/>
  <c r="AR32" i="3"/>
  <c r="AN32" i="3"/>
  <c r="AM32" i="3"/>
  <c r="AL32" i="3"/>
  <c r="AJ32" i="3"/>
  <c r="AF32" i="3"/>
  <c r="AE32" i="3"/>
  <c r="AD32" i="3"/>
  <c r="AB32" i="3"/>
  <c r="V32" i="3"/>
  <c r="AZ32" i="3" s="1"/>
  <c r="T32" i="3"/>
  <c r="P32" i="3"/>
  <c r="Q32" i="3" s="1"/>
  <c r="N32" i="3"/>
  <c r="R32" i="3" s="1"/>
  <c r="M32" i="3"/>
  <c r="S32" i="3" s="1"/>
  <c r="J32" i="3"/>
  <c r="K32" i="3" s="1"/>
  <c r="I32" i="3"/>
  <c r="G32" i="3"/>
  <c r="BJ31" i="3"/>
  <c r="BL31" i="3" s="1"/>
  <c r="BB31" i="3"/>
  <c r="AW31" i="3"/>
  <c r="AV31" i="3"/>
  <c r="AT31" i="3"/>
  <c r="AR31" i="3"/>
  <c r="AN31" i="3"/>
  <c r="AM31" i="3"/>
  <c r="AL31" i="3"/>
  <c r="AJ31" i="3"/>
  <c r="AE31" i="3"/>
  <c r="AF31" i="3" s="1"/>
  <c r="AD31" i="3"/>
  <c r="AB31" i="3"/>
  <c r="V31" i="3"/>
  <c r="AZ31" i="3" s="1"/>
  <c r="T31" i="3"/>
  <c r="P31" i="3"/>
  <c r="Q31" i="3" s="1"/>
  <c r="N31" i="3"/>
  <c r="M31" i="3"/>
  <c r="AX31" i="3" s="1"/>
  <c r="J31" i="3"/>
  <c r="K31" i="3" s="1"/>
  <c r="I31" i="3"/>
  <c r="G31" i="3"/>
  <c r="BL30" i="3"/>
  <c r="BJ30" i="3"/>
  <c r="BB30" i="3"/>
  <c r="AV30" i="3"/>
  <c r="AW30" i="3" s="1"/>
  <c r="AT30" i="3"/>
  <c r="AR30" i="3"/>
  <c r="AN30" i="3"/>
  <c r="AM30" i="3"/>
  <c r="AL30" i="3"/>
  <c r="AJ30" i="3"/>
  <c r="AE30" i="3"/>
  <c r="AF30" i="3" s="1"/>
  <c r="AD30" i="3"/>
  <c r="AB30" i="3"/>
  <c r="V30" i="3"/>
  <c r="AZ30" i="3" s="1"/>
  <c r="U30" i="3"/>
  <c r="AY30" i="3" s="1"/>
  <c r="R30" i="3"/>
  <c r="P30" i="3"/>
  <c r="N30" i="3"/>
  <c r="M30" i="3"/>
  <c r="AX30" i="3" s="1"/>
  <c r="J30" i="3"/>
  <c r="W30" i="3" s="1"/>
  <c r="BA30" i="3" s="1"/>
  <c r="I30" i="3"/>
  <c r="G30" i="3"/>
  <c r="BJ29" i="3"/>
  <c r="BL29" i="3" s="1"/>
  <c r="BB29" i="3"/>
  <c r="AX29" i="3"/>
  <c r="AV29" i="3"/>
  <c r="AW29" i="3" s="1"/>
  <c r="AT29" i="3"/>
  <c r="AR29" i="3"/>
  <c r="AN29" i="3"/>
  <c r="AM29" i="3"/>
  <c r="AL29" i="3"/>
  <c r="AJ29" i="3"/>
  <c r="AE29" i="3"/>
  <c r="AF29" i="3" s="1"/>
  <c r="AD29" i="3"/>
  <c r="AB29" i="3"/>
  <c r="V29" i="3"/>
  <c r="AZ29" i="3" s="1"/>
  <c r="U29" i="3"/>
  <c r="AY29" i="3" s="1"/>
  <c r="T29" i="3"/>
  <c r="S29" i="3"/>
  <c r="R29" i="3"/>
  <c r="W29" i="3" s="1"/>
  <c r="BA29" i="3" s="1"/>
  <c r="P29" i="3"/>
  <c r="Q29" i="3" s="1"/>
  <c r="N29" i="3"/>
  <c r="O29" i="3" s="1"/>
  <c r="M29" i="3"/>
  <c r="J29" i="3"/>
  <c r="K29" i="3" s="1"/>
  <c r="I29" i="3"/>
  <c r="G29" i="3"/>
  <c r="BJ28" i="3"/>
  <c r="BL28" i="3" s="1"/>
  <c r="BB28" i="3"/>
  <c r="AX28" i="3"/>
  <c r="AV28" i="3"/>
  <c r="AW28" i="3" s="1"/>
  <c r="AT28" i="3"/>
  <c r="AR28" i="3"/>
  <c r="AN28" i="3"/>
  <c r="AM28" i="3"/>
  <c r="AL28" i="3"/>
  <c r="AJ28" i="3"/>
  <c r="AF28" i="3"/>
  <c r="AE28" i="3"/>
  <c r="AD28" i="3"/>
  <c r="AB28" i="3"/>
  <c r="V28" i="3"/>
  <c r="AZ28" i="3" s="1"/>
  <c r="U28" i="3"/>
  <c r="AY28" i="3" s="1"/>
  <c r="T28" i="3"/>
  <c r="P28" i="3"/>
  <c r="R28" i="3" s="1"/>
  <c r="S28" i="3" s="1"/>
  <c r="O28" i="3"/>
  <c r="N28" i="3"/>
  <c r="M28" i="3"/>
  <c r="J28" i="3"/>
  <c r="K28" i="3" s="1"/>
  <c r="I28" i="3"/>
  <c r="G28" i="3"/>
  <c r="BJ27" i="3"/>
  <c r="BL27" i="3" s="1"/>
  <c r="BB27" i="3"/>
  <c r="AX27" i="3"/>
  <c r="AV27" i="3"/>
  <c r="AW27" i="3" s="1"/>
  <c r="AT27" i="3"/>
  <c r="AR27" i="3"/>
  <c r="AN27" i="3"/>
  <c r="AM27" i="3"/>
  <c r="AL27" i="3"/>
  <c r="AJ27" i="3"/>
  <c r="AF27" i="3"/>
  <c r="AE27" i="3"/>
  <c r="AD27" i="3"/>
  <c r="AB27" i="3"/>
  <c r="U27" i="3"/>
  <c r="AY27" i="3" s="1"/>
  <c r="T27" i="3"/>
  <c r="P27" i="3"/>
  <c r="V27" i="3" s="1"/>
  <c r="AZ27" i="3" s="1"/>
  <c r="N27" i="3"/>
  <c r="M27" i="3"/>
  <c r="K27" i="3"/>
  <c r="J27" i="3"/>
  <c r="I27" i="3"/>
  <c r="G27" i="3"/>
  <c r="BJ26" i="3"/>
  <c r="BL26" i="3" s="1"/>
  <c r="BB26" i="3"/>
  <c r="AW26" i="3"/>
  <c r="AV26" i="3"/>
  <c r="AT26" i="3"/>
  <c r="AR26" i="3"/>
  <c r="AN26" i="3"/>
  <c r="AM26" i="3"/>
  <c r="AL26" i="3"/>
  <c r="AJ26" i="3"/>
  <c r="AE26" i="3"/>
  <c r="AF26" i="3" s="1"/>
  <c r="AD26" i="3"/>
  <c r="AB26" i="3"/>
  <c r="T26" i="3"/>
  <c r="P26" i="3"/>
  <c r="O26" i="3"/>
  <c r="N26" i="3"/>
  <c r="M26" i="3"/>
  <c r="AX26" i="3" s="1"/>
  <c r="J26" i="3"/>
  <c r="K26" i="3" s="1"/>
  <c r="I26" i="3"/>
  <c r="G26" i="3"/>
  <c r="BL25" i="3"/>
  <c r="BJ25" i="3"/>
  <c r="BB25" i="3"/>
  <c r="AZ25" i="3"/>
  <c r="AY25" i="3"/>
  <c r="AV25" i="3"/>
  <c r="AW25" i="3" s="1"/>
  <c r="AT25" i="3"/>
  <c r="AR25" i="3"/>
  <c r="AN25" i="3"/>
  <c r="AM25" i="3"/>
  <c r="AL25" i="3"/>
  <c r="AJ25" i="3"/>
  <c r="AE25" i="3"/>
  <c r="AF25" i="3" s="1"/>
  <c r="AD25" i="3"/>
  <c r="AB25" i="3"/>
  <c r="P25" i="3"/>
  <c r="V25" i="3" s="1"/>
  <c r="N25" i="3"/>
  <c r="U25" i="3" s="1"/>
  <c r="M25" i="3"/>
  <c r="K25" i="3"/>
  <c r="J25" i="3"/>
  <c r="I25" i="3"/>
  <c r="G25" i="3"/>
  <c r="BJ24" i="3"/>
  <c r="BL24" i="3" s="1"/>
  <c r="BB24" i="3"/>
  <c r="AX24" i="3"/>
  <c r="AW24" i="3"/>
  <c r="AV24" i="3"/>
  <c r="AT24" i="3"/>
  <c r="AR24" i="3"/>
  <c r="AN24" i="3"/>
  <c r="AM24" i="3"/>
  <c r="AL24" i="3"/>
  <c r="AJ24" i="3"/>
  <c r="AE24" i="3"/>
  <c r="AF24" i="3" s="1"/>
  <c r="AD24" i="3"/>
  <c r="AB24" i="3"/>
  <c r="R24" i="3"/>
  <c r="Q24" i="3"/>
  <c r="P24" i="3"/>
  <c r="V24" i="3" s="1"/>
  <c r="AZ24" i="3" s="1"/>
  <c r="N24" i="3"/>
  <c r="M24" i="3"/>
  <c r="J24" i="3"/>
  <c r="I24" i="3"/>
  <c r="F24" i="3"/>
  <c r="F36" i="3" s="1"/>
  <c r="F37" i="3" s="1"/>
  <c r="BJ23" i="3"/>
  <c r="BL23" i="3" s="1"/>
  <c r="BB23" i="3"/>
  <c r="AZ23" i="3"/>
  <c r="AX23" i="3"/>
  <c r="AW23" i="3"/>
  <c r="AV23" i="3"/>
  <c r="AT23" i="3"/>
  <c r="AR23" i="3"/>
  <c r="AN23" i="3"/>
  <c r="AM23" i="3"/>
  <c r="AL23" i="3"/>
  <c r="AJ23" i="3"/>
  <c r="AE23" i="3"/>
  <c r="AF23" i="3" s="1"/>
  <c r="AD23" i="3"/>
  <c r="AB23" i="3"/>
  <c r="P23" i="3"/>
  <c r="V23" i="3" s="1"/>
  <c r="N23" i="3"/>
  <c r="M23" i="3"/>
  <c r="J23" i="3"/>
  <c r="K23" i="3" s="1"/>
  <c r="I23" i="3"/>
  <c r="G23" i="3"/>
  <c r="BJ22" i="3"/>
  <c r="BL22" i="3" s="1"/>
  <c r="BB22" i="3"/>
  <c r="AX22" i="3"/>
  <c r="AV22" i="3"/>
  <c r="AW22" i="3" s="1"/>
  <c r="AT22" i="3"/>
  <c r="AR22" i="3"/>
  <c r="AN22" i="3"/>
  <c r="AM22" i="3"/>
  <c r="AL22" i="3"/>
  <c r="AJ22" i="3"/>
  <c r="AE22" i="3"/>
  <c r="AF22" i="3" s="1"/>
  <c r="AD22" i="3"/>
  <c r="AB22" i="3"/>
  <c r="P22" i="3"/>
  <c r="N22" i="3"/>
  <c r="M22" i="3"/>
  <c r="J22" i="3"/>
  <c r="K22" i="3" s="1"/>
  <c r="I22" i="3"/>
  <c r="G22" i="3"/>
  <c r="BJ21" i="3"/>
  <c r="BL21" i="3" s="1"/>
  <c r="BB21" i="3"/>
  <c r="AY21" i="3"/>
  <c r="AV21" i="3"/>
  <c r="AW21" i="3" s="1"/>
  <c r="AT21" i="3"/>
  <c r="AR21" i="3"/>
  <c r="AN21" i="3"/>
  <c r="AM21" i="3"/>
  <c r="AL21" i="3"/>
  <c r="AJ21" i="3"/>
  <c r="AF21" i="3"/>
  <c r="AE21" i="3"/>
  <c r="AD21" i="3"/>
  <c r="AB21" i="3"/>
  <c r="W21" i="3"/>
  <c r="V21" i="3"/>
  <c r="AZ21" i="3" s="1"/>
  <c r="U21" i="3"/>
  <c r="P21" i="3"/>
  <c r="N21" i="3"/>
  <c r="R21" i="3" s="1"/>
  <c r="M21" i="3"/>
  <c r="O21" i="3" s="1"/>
  <c r="J21" i="3"/>
  <c r="K21" i="3" s="1"/>
  <c r="I21" i="3"/>
  <c r="G21" i="3"/>
  <c r="BL20" i="3"/>
  <c r="BJ20" i="3"/>
  <c r="BB20" i="3"/>
  <c r="AX20" i="3"/>
  <c r="AV20" i="3"/>
  <c r="AW20" i="3" s="1"/>
  <c r="AT20" i="3"/>
  <c r="AR20" i="3"/>
  <c r="AN20" i="3"/>
  <c r="AM20" i="3"/>
  <c r="AL20" i="3"/>
  <c r="AJ20" i="3"/>
  <c r="AF20" i="3"/>
  <c r="AE20" i="3"/>
  <c r="AD20" i="3"/>
  <c r="AB20" i="3"/>
  <c r="V20" i="3"/>
  <c r="AZ20" i="3" s="1"/>
  <c r="U20" i="3"/>
  <c r="AY20" i="3" s="1"/>
  <c r="T20" i="3"/>
  <c r="P20" i="3"/>
  <c r="Q20" i="3" s="1"/>
  <c r="N20" i="3"/>
  <c r="R20" i="3" s="1"/>
  <c r="W20" i="3" s="1"/>
  <c r="BA20" i="3" s="1"/>
  <c r="M20" i="3"/>
  <c r="S20" i="3" s="1"/>
  <c r="K20" i="3"/>
  <c r="J20" i="3"/>
  <c r="I20" i="3"/>
  <c r="G20" i="3"/>
  <c r="BJ19" i="3"/>
  <c r="BL19" i="3" s="1"/>
  <c r="BB19" i="3"/>
  <c r="AZ19" i="3"/>
  <c r="AV19" i="3"/>
  <c r="AW19" i="3" s="1"/>
  <c r="AT19" i="3"/>
  <c r="AR19" i="3"/>
  <c r="AN19" i="3"/>
  <c r="AM19" i="3"/>
  <c r="AL19" i="3"/>
  <c r="AJ19" i="3"/>
  <c r="AE19" i="3"/>
  <c r="AF19" i="3" s="1"/>
  <c r="AD19" i="3"/>
  <c r="AB19" i="3"/>
  <c r="V19" i="3"/>
  <c r="U19" i="3"/>
  <c r="AY19" i="3" s="1"/>
  <c r="T19" i="3"/>
  <c r="P19" i="3"/>
  <c r="N19" i="3"/>
  <c r="M19" i="3"/>
  <c r="J19" i="3"/>
  <c r="K19" i="3" s="1"/>
  <c r="I19" i="3"/>
  <c r="G19" i="3"/>
  <c r="BL18" i="3"/>
  <c r="BJ18" i="3"/>
  <c r="BB18" i="3"/>
  <c r="AY18" i="3"/>
  <c r="AV18" i="3"/>
  <c r="AW18" i="3" s="1"/>
  <c r="AT18" i="3"/>
  <c r="AR18" i="3"/>
  <c r="AN18" i="3"/>
  <c r="AM18" i="3"/>
  <c r="AL18" i="3"/>
  <c r="AJ18" i="3"/>
  <c r="AE18" i="3"/>
  <c r="AF18" i="3" s="1"/>
  <c r="AD18" i="3"/>
  <c r="AB18" i="3"/>
  <c r="V18" i="3"/>
  <c r="AZ18" i="3" s="1"/>
  <c r="U18" i="3"/>
  <c r="R18" i="3"/>
  <c r="P18" i="3"/>
  <c r="N18" i="3"/>
  <c r="M18" i="3"/>
  <c r="K18" i="3"/>
  <c r="J18" i="3"/>
  <c r="W18" i="3" s="1"/>
  <c r="I18" i="3"/>
  <c r="G18" i="3"/>
  <c r="BL17" i="3"/>
  <c r="BJ17" i="3"/>
  <c r="BB17" i="3"/>
  <c r="AX17" i="3"/>
  <c r="AW17" i="3"/>
  <c r="AV17" i="3"/>
  <c r="AT17" i="3"/>
  <c r="AR17" i="3"/>
  <c r="AN17" i="3"/>
  <c r="AM17" i="3"/>
  <c r="AL17" i="3"/>
  <c r="AJ17" i="3"/>
  <c r="AF17" i="3"/>
  <c r="AE17" i="3"/>
  <c r="AD17" i="3"/>
  <c r="AB17" i="3"/>
  <c r="W17" i="3"/>
  <c r="BA17" i="3" s="1"/>
  <c r="V17" i="3"/>
  <c r="AZ17" i="3" s="1"/>
  <c r="U17" i="3"/>
  <c r="AY17" i="3" s="1"/>
  <c r="T17" i="3"/>
  <c r="R17" i="3"/>
  <c r="S17" i="3" s="1"/>
  <c r="Q17" i="3"/>
  <c r="P17" i="3"/>
  <c r="N17" i="3"/>
  <c r="M17" i="3"/>
  <c r="O17" i="3" s="1"/>
  <c r="J17" i="3"/>
  <c r="K17" i="3" s="1"/>
  <c r="I17" i="3"/>
  <c r="G17" i="3"/>
  <c r="BL16" i="3"/>
  <c r="BJ16" i="3"/>
  <c r="BB16" i="3"/>
  <c r="AX16" i="3"/>
  <c r="AV16" i="3"/>
  <c r="AW16" i="3" s="1"/>
  <c r="AT16" i="3"/>
  <c r="AR16" i="3"/>
  <c r="AM16" i="3"/>
  <c r="AN16" i="3" s="1"/>
  <c r="AL16" i="3"/>
  <c r="AJ16" i="3"/>
  <c r="AE16" i="3"/>
  <c r="AF16" i="3" s="1"/>
  <c r="AD16" i="3"/>
  <c r="AB16" i="3"/>
  <c r="V16" i="3"/>
  <c r="AZ16" i="3" s="1"/>
  <c r="T16" i="3"/>
  <c r="P16" i="3"/>
  <c r="R16" i="3" s="1"/>
  <c r="S16" i="3" s="1"/>
  <c r="N16" i="3"/>
  <c r="O16" i="3" s="1"/>
  <c r="M16" i="3"/>
  <c r="J16" i="3"/>
  <c r="I16" i="3"/>
  <c r="G16" i="3"/>
  <c r="BJ15" i="3"/>
  <c r="BL15" i="3" s="1"/>
  <c r="BB15" i="3"/>
  <c r="AV15" i="3"/>
  <c r="AW15" i="3" s="1"/>
  <c r="AT15" i="3"/>
  <c r="AR15" i="3"/>
  <c r="AN15" i="3"/>
  <c r="AM15" i="3"/>
  <c r="AL15" i="3"/>
  <c r="AJ15" i="3"/>
  <c r="AF15" i="3"/>
  <c r="AE15" i="3"/>
  <c r="AD15" i="3"/>
  <c r="AB15" i="3"/>
  <c r="U15" i="3"/>
  <c r="AY15" i="3" s="1"/>
  <c r="R15" i="3"/>
  <c r="S15" i="3" s="1"/>
  <c r="Q15" i="3"/>
  <c r="P15" i="3"/>
  <c r="V15" i="3" s="1"/>
  <c r="AZ15" i="3" s="1"/>
  <c r="O15" i="3"/>
  <c r="N15" i="3"/>
  <c r="M15" i="3"/>
  <c r="AX15" i="3" s="1"/>
  <c r="J15" i="3"/>
  <c r="I15" i="3"/>
  <c r="G15" i="3"/>
  <c r="BJ14" i="3"/>
  <c r="BL14" i="3" s="1"/>
  <c r="BB14" i="3"/>
  <c r="AZ14" i="3"/>
  <c r="AX14" i="3"/>
  <c r="AV14" i="3"/>
  <c r="AW14" i="3" s="1"/>
  <c r="AT14" i="3"/>
  <c r="AS49" i="3" s="1"/>
  <c r="AS50" i="3" s="1"/>
  <c r="AR14" i="3"/>
  <c r="AR49" i="3" s="1"/>
  <c r="AR50" i="3" s="1"/>
  <c r="AN14" i="3"/>
  <c r="AM14" i="3"/>
  <c r="AL14" i="3"/>
  <c r="AJ14" i="3"/>
  <c r="AE14" i="3"/>
  <c r="AF14" i="3" s="1"/>
  <c r="AD14" i="3"/>
  <c r="AB14" i="3"/>
  <c r="V14" i="3"/>
  <c r="U14" i="3"/>
  <c r="AY14" i="3" s="1"/>
  <c r="T14" i="3"/>
  <c r="R14" i="3"/>
  <c r="S14" i="3" s="1"/>
  <c r="Q14" i="3"/>
  <c r="P14" i="3"/>
  <c r="N14" i="3"/>
  <c r="O14" i="3" s="1"/>
  <c r="M14" i="3"/>
  <c r="K14" i="3"/>
  <c r="J14" i="3"/>
  <c r="I14" i="3"/>
  <c r="G14" i="3"/>
  <c r="BJ13" i="3"/>
  <c r="BL13" i="3" s="1"/>
  <c r="BB13" i="3"/>
  <c r="AW13" i="3"/>
  <c r="AV13" i="3"/>
  <c r="AT13" i="3"/>
  <c r="AR13" i="3"/>
  <c r="AN13" i="3"/>
  <c r="AM13" i="3"/>
  <c r="AL13" i="3"/>
  <c r="AJ13" i="3"/>
  <c r="AE13" i="3"/>
  <c r="AF13" i="3" s="1"/>
  <c r="AD13" i="3"/>
  <c r="AB13" i="3"/>
  <c r="P13" i="3"/>
  <c r="V13" i="3" s="1"/>
  <c r="AZ13" i="3" s="1"/>
  <c r="N13" i="3"/>
  <c r="M13" i="3"/>
  <c r="AX13" i="3" s="1"/>
  <c r="J13" i="3"/>
  <c r="K13" i="3" s="1"/>
  <c r="I13" i="3"/>
  <c r="G13" i="3"/>
  <c r="BL12" i="3"/>
  <c r="BJ12" i="3"/>
  <c r="BB12" i="3"/>
  <c r="AY12" i="3"/>
  <c r="AW12" i="3"/>
  <c r="AV12" i="3"/>
  <c r="AT12" i="3"/>
  <c r="AR12" i="3"/>
  <c r="AM12" i="3"/>
  <c r="AN12" i="3" s="1"/>
  <c r="AL12" i="3"/>
  <c r="AJ12" i="3"/>
  <c r="AE12" i="3"/>
  <c r="AF12" i="3" s="1"/>
  <c r="AD12" i="3"/>
  <c r="AB12" i="3"/>
  <c r="T12" i="3"/>
  <c r="R12" i="3"/>
  <c r="S12" i="3" s="1"/>
  <c r="P12" i="3"/>
  <c r="N12" i="3"/>
  <c r="U12" i="3" s="1"/>
  <c r="M12" i="3"/>
  <c r="AX12" i="3" s="1"/>
  <c r="K12" i="3"/>
  <c r="J12" i="3"/>
  <c r="I12" i="3"/>
  <c r="G12" i="3"/>
  <c r="BJ11" i="3"/>
  <c r="BL11" i="3" s="1"/>
  <c r="BB11" i="3"/>
  <c r="AW11" i="3"/>
  <c r="AV11" i="3"/>
  <c r="AT11" i="3"/>
  <c r="AR11" i="3"/>
  <c r="AN11" i="3"/>
  <c r="AM11" i="3"/>
  <c r="AL11" i="3"/>
  <c r="AJ11" i="3"/>
  <c r="AF11" i="3"/>
  <c r="AE11" i="3"/>
  <c r="AD11" i="3"/>
  <c r="AB11" i="3"/>
  <c r="P11" i="3"/>
  <c r="V11" i="3" s="1"/>
  <c r="AZ11" i="3" s="1"/>
  <c r="N11" i="3"/>
  <c r="M11" i="3"/>
  <c r="K11" i="3"/>
  <c r="J11" i="3"/>
  <c r="I11" i="3"/>
  <c r="G11" i="3"/>
  <c r="BJ10" i="3"/>
  <c r="BL10" i="3" s="1"/>
  <c r="BB10" i="3"/>
  <c r="AX10" i="3"/>
  <c r="AW10" i="3"/>
  <c r="AV10" i="3"/>
  <c r="AT10" i="3"/>
  <c r="AR10" i="3"/>
  <c r="AN10" i="3"/>
  <c r="AM10" i="3"/>
  <c r="AL10" i="3"/>
  <c r="AJ10" i="3"/>
  <c r="AE10" i="3"/>
  <c r="AF10" i="3" s="1"/>
  <c r="AD10" i="3"/>
  <c r="AB10" i="3"/>
  <c r="V10" i="3"/>
  <c r="AZ10" i="3" s="1"/>
  <c r="R10" i="3"/>
  <c r="P10" i="3"/>
  <c r="N10" i="3"/>
  <c r="M10" i="3"/>
  <c r="J10" i="3"/>
  <c r="I10" i="3"/>
  <c r="G10" i="3"/>
  <c r="BJ9" i="3"/>
  <c r="BL9" i="3" s="1"/>
  <c r="BB9" i="3"/>
  <c r="AY9" i="3"/>
  <c r="AW9" i="3"/>
  <c r="AV9" i="3"/>
  <c r="AT9" i="3"/>
  <c r="AR9" i="3"/>
  <c r="AN9" i="3"/>
  <c r="AM9" i="3"/>
  <c r="AL9" i="3"/>
  <c r="AJ9" i="3"/>
  <c r="AF9" i="3"/>
  <c r="AE9" i="3"/>
  <c r="AD9" i="3"/>
  <c r="AB9" i="3"/>
  <c r="U9" i="3"/>
  <c r="P9" i="3"/>
  <c r="O9" i="3"/>
  <c r="N9" i="3"/>
  <c r="M9" i="3"/>
  <c r="J9" i="3"/>
  <c r="I9" i="3"/>
  <c r="G9" i="3"/>
  <c r="BL8" i="3"/>
  <c r="BJ8" i="3"/>
  <c r="BB8" i="3"/>
  <c r="AX8" i="3"/>
  <c r="AW8" i="3"/>
  <c r="AV8" i="3"/>
  <c r="AT8" i="3"/>
  <c r="AR8" i="3"/>
  <c r="AN8" i="3"/>
  <c r="AM8" i="3"/>
  <c r="AL8" i="3"/>
  <c r="AJ8" i="3"/>
  <c r="AE8" i="3"/>
  <c r="AF8" i="3" s="1"/>
  <c r="AD8" i="3"/>
  <c r="AB8" i="3"/>
  <c r="U8" i="3"/>
  <c r="AY8" i="3" s="1"/>
  <c r="T8" i="3"/>
  <c r="P8" i="3"/>
  <c r="N8" i="3"/>
  <c r="M8" i="3"/>
  <c r="J8" i="3"/>
  <c r="K8" i="3" s="1"/>
  <c r="I8" i="3"/>
  <c r="G8" i="3"/>
  <c r="BJ7" i="3"/>
  <c r="BL7" i="3" s="1"/>
  <c r="BB7" i="3"/>
  <c r="AZ7" i="3"/>
  <c r="AW7" i="3"/>
  <c r="AV7" i="3"/>
  <c r="AT7" i="3"/>
  <c r="AR7" i="3"/>
  <c r="AN7" i="3"/>
  <c r="AM7" i="3"/>
  <c r="AL7" i="3"/>
  <c r="AJ7" i="3"/>
  <c r="AE7" i="3"/>
  <c r="AF7" i="3" s="1"/>
  <c r="AD7" i="3"/>
  <c r="AB7" i="3"/>
  <c r="V7" i="3"/>
  <c r="U7" i="3"/>
  <c r="AY7" i="3" s="1"/>
  <c r="T7" i="3"/>
  <c r="S7" i="3"/>
  <c r="P7" i="3"/>
  <c r="N7" i="3"/>
  <c r="R7" i="3" s="1"/>
  <c r="M7" i="3"/>
  <c r="J7" i="3"/>
  <c r="I7" i="3"/>
  <c r="G7" i="3"/>
  <c r="BL6" i="3"/>
  <c r="BJ6" i="3"/>
  <c r="BB6" i="3"/>
  <c r="AY6" i="3"/>
  <c r="AX6" i="3"/>
  <c r="AV6" i="3"/>
  <c r="AW6" i="3" s="1"/>
  <c r="AT6" i="3"/>
  <c r="AR6" i="3"/>
  <c r="AN6" i="3"/>
  <c r="AM6" i="3"/>
  <c r="AL6" i="3"/>
  <c r="AJ6" i="3"/>
  <c r="AE6" i="3"/>
  <c r="AF6" i="3" s="1"/>
  <c r="AD6" i="3"/>
  <c r="AB6" i="3"/>
  <c r="V6" i="3"/>
  <c r="U6" i="3"/>
  <c r="T6" i="3"/>
  <c r="R6" i="3"/>
  <c r="S6" i="3" s="1"/>
  <c r="P6" i="3"/>
  <c r="Q6" i="3" s="1"/>
  <c r="N6" i="3"/>
  <c r="O6" i="3" s="1"/>
  <c r="M6" i="3"/>
  <c r="K6" i="3"/>
  <c r="J6" i="3"/>
  <c r="I6" i="3"/>
  <c r="J50" i="3" s="1"/>
  <c r="G6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J5" i="3"/>
  <c r="BB5" i="3"/>
  <c r="AY5" i="3"/>
  <c r="AX5" i="3"/>
  <c r="AW5" i="3"/>
  <c r="AV5" i="3"/>
  <c r="AT5" i="3"/>
  <c r="AR5" i="3"/>
  <c r="AN5" i="3"/>
  <c r="AM5" i="3"/>
  <c r="AL5" i="3"/>
  <c r="AJ5" i="3"/>
  <c r="AF5" i="3"/>
  <c r="AE5" i="3"/>
  <c r="AD5" i="3"/>
  <c r="AB5" i="3"/>
  <c r="V5" i="3"/>
  <c r="AZ5" i="3" s="1"/>
  <c r="U5" i="3"/>
  <c r="R5" i="3"/>
  <c r="S5" i="3" s="1"/>
  <c r="Q5" i="3"/>
  <c r="P5" i="3"/>
  <c r="N5" i="3"/>
  <c r="M5" i="3"/>
  <c r="O5" i="3" s="1"/>
  <c r="J5" i="3"/>
  <c r="W5" i="3" s="1"/>
  <c r="I5" i="3"/>
  <c r="G5" i="3"/>
  <c r="B5" i="3"/>
  <c r="BI70" i="2"/>
  <c r="BH70" i="2"/>
  <c r="BJ70" i="2" s="1"/>
  <c r="BI69" i="2"/>
  <c r="BH69" i="2"/>
  <c r="BJ69" i="2" s="1"/>
  <c r="BI68" i="2"/>
  <c r="BH68" i="2"/>
  <c r="BJ68" i="2" s="1"/>
  <c r="BI67" i="2"/>
  <c r="BH67" i="2"/>
  <c r="BJ67" i="2" s="1"/>
  <c r="BI66" i="2"/>
  <c r="BH66" i="2"/>
  <c r="BJ66" i="2" s="1"/>
  <c r="BI65" i="2"/>
  <c r="BH65" i="2"/>
  <c r="BJ65" i="2" s="1"/>
  <c r="BI64" i="2"/>
  <c r="BH64" i="2"/>
  <c r="BJ64" i="2" s="1"/>
  <c r="BI63" i="2"/>
  <c r="BH63" i="2"/>
  <c r="BJ63" i="2" s="1"/>
  <c r="BI62" i="2"/>
  <c r="BH62" i="2"/>
  <c r="BJ62" i="2" s="1"/>
  <c r="BI61" i="2"/>
  <c r="BH61" i="2"/>
  <c r="BJ61" i="2" s="1"/>
  <c r="BI60" i="2"/>
  <c r="BH60" i="2"/>
  <c r="BJ60" i="2" s="1"/>
  <c r="BI59" i="2"/>
  <c r="BH59" i="2"/>
  <c r="BJ59" i="2" s="1"/>
  <c r="BJ58" i="2"/>
  <c r="BI58" i="2"/>
  <c r="BH58" i="2"/>
  <c r="Y58" i="2"/>
  <c r="X59" i="2" s="1"/>
  <c r="X58" i="2"/>
  <c r="BI57" i="2"/>
  <c r="BH57" i="2"/>
  <c r="BJ57" i="2" s="1"/>
  <c r="BI56" i="2"/>
  <c r="BH56" i="2"/>
  <c r="BJ56" i="2" s="1"/>
  <c r="Y56" i="2"/>
  <c r="X57" i="2" s="1"/>
  <c r="BI55" i="2"/>
  <c r="BH55" i="2"/>
  <c r="BJ55" i="2" s="1"/>
  <c r="X55" i="2"/>
  <c r="BI54" i="2"/>
  <c r="BJ54" i="2" s="1"/>
  <c r="BH54" i="2"/>
  <c r="Y54" i="2"/>
  <c r="X54" i="2" s="1"/>
  <c r="BI53" i="2"/>
  <c r="BH53" i="2"/>
  <c r="BJ53" i="2" s="1"/>
  <c r="X53" i="2"/>
  <c r="BI52" i="2"/>
  <c r="BH52" i="2"/>
  <c r="BJ52" i="2" s="1"/>
  <c r="Y52" i="2"/>
  <c r="X52" i="2"/>
  <c r="BI51" i="2"/>
  <c r="BH51" i="2"/>
  <c r="BJ51" i="2" s="1"/>
  <c r="BI50" i="2"/>
  <c r="BH50" i="2"/>
  <c r="M50" i="2"/>
  <c r="K50" i="2"/>
  <c r="J50" i="2"/>
  <c r="I50" i="2"/>
  <c r="H50" i="2"/>
  <c r="G50" i="2"/>
  <c r="F50" i="2"/>
  <c r="E50" i="2"/>
  <c r="AE49" i="2"/>
  <c r="BF46" i="2"/>
  <c r="BD46" i="2"/>
  <c r="AW46" i="2"/>
  <c r="X46" i="2"/>
  <c r="K46" i="2"/>
  <c r="AF46" i="2" s="1"/>
  <c r="AN46" i="2" s="1"/>
  <c r="BP45" i="2"/>
  <c r="BQ45" i="2" s="1"/>
  <c r="BN45" i="2"/>
  <c r="BK45" i="2"/>
  <c r="BL45" i="2" s="1"/>
  <c r="BJ45" i="2"/>
  <c r="BO45" i="2" s="1"/>
  <c r="BG45" i="2"/>
  <c r="W45" i="2"/>
  <c r="BP44" i="2"/>
  <c r="BQ44" i="2" s="1"/>
  <c r="BN44" i="2"/>
  <c r="BK44" i="2"/>
  <c r="BL44" i="2" s="1"/>
  <c r="BJ44" i="2"/>
  <c r="BO44" i="2" s="1"/>
  <c r="BG44" i="2"/>
  <c r="BA44" i="2"/>
  <c r="BO43" i="2"/>
  <c r="BN43" i="2"/>
  <c r="BK43" i="2" s="1"/>
  <c r="BP43" i="2" s="1"/>
  <c r="BQ43" i="2" s="1"/>
  <c r="BJ43" i="2"/>
  <c r="BE43" i="2"/>
  <c r="BG43" i="2" s="1"/>
  <c r="BN42" i="2"/>
  <c r="BK41" i="2" s="1"/>
  <c r="BP41" i="2"/>
  <c r="BO41" i="2"/>
  <c r="BJ41" i="2"/>
  <c r="AQ38" i="2"/>
  <c r="AA38" i="2"/>
  <c r="U38" i="2"/>
  <c r="O38" i="2"/>
  <c r="F38" i="2"/>
  <c r="AQ37" i="2"/>
  <c r="BJ42" i="2" s="1"/>
  <c r="AI37" i="2"/>
  <c r="H37" i="2"/>
  <c r="I37" i="2" s="1"/>
  <c r="F37" i="2"/>
  <c r="G37" i="2" s="1"/>
  <c r="K37" i="2" s="1"/>
  <c r="BH36" i="2"/>
  <c r="BG36" i="2"/>
  <c r="BF36" i="2"/>
  <c r="BE36" i="2"/>
  <c r="BD36" i="2"/>
  <c r="BC36" i="2"/>
  <c r="AU36" i="2"/>
  <c r="AU37" i="2" s="1"/>
  <c r="AS36" i="2"/>
  <c r="AS37" i="2" s="1"/>
  <c r="AQ36" i="2"/>
  <c r="AP36" i="2"/>
  <c r="AO36" i="2"/>
  <c r="AK36" i="2"/>
  <c r="AK37" i="2" s="1"/>
  <c r="AL37" i="2" s="1"/>
  <c r="AI36" i="2"/>
  <c r="AH36" i="2"/>
  <c r="AJ37" i="2" s="1"/>
  <c r="AG36" i="2"/>
  <c r="AC36" i="2"/>
  <c r="AA36" i="2"/>
  <c r="AA37" i="2" s="1"/>
  <c r="Z36" i="2"/>
  <c r="Y36" i="2"/>
  <c r="X36" i="2"/>
  <c r="M36" i="2"/>
  <c r="N38" i="2" s="1"/>
  <c r="L36" i="2"/>
  <c r="H36" i="2"/>
  <c r="I36" i="2" s="1"/>
  <c r="G36" i="2"/>
  <c r="F36" i="2"/>
  <c r="E36" i="2"/>
  <c r="D36" i="2"/>
  <c r="C36" i="2"/>
  <c r="BJ35" i="2"/>
  <c r="BL35" i="2" s="1"/>
  <c r="BB35" i="2"/>
  <c r="AX35" i="2"/>
  <c r="AW35" i="2"/>
  <c r="AV35" i="2"/>
  <c r="AT35" i="2"/>
  <c r="AR35" i="2"/>
  <c r="AN35" i="2"/>
  <c r="AM35" i="2"/>
  <c r="AL35" i="2"/>
  <c r="AJ35" i="2"/>
  <c r="AE35" i="2"/>
  <c r="AF35" i="2" s="1"/>
  <c r="AD35" i="2"/>
  <c r="AB35" i="2"/>
  <c r="U35" i="2"/>
  <c r="AY35" i="2" s="1"/>
  <c r="T35" i="2"/>
  <c r="P35" i="2"/>
  <c r="V35" i="2" s="1"/>
  <c r="AZ35" i="2" s="1"/>
  <c r="N35" i="2"/>
  <c r="O35" i="2" s="1"/>
  <c r="M35" i="2"/>
  <c r="K35" i="2"/>
  <c r="J35" i="2"/>
  <c r="I35" i="2"/>
  <c r="G35" i="2"/>
  <c r="BJ34" i="2"/>
  <c r="BL34" i="2" s="1"/>
  <c r="BB34" i="2"/>
  <c r="AX34" i="2"/>
  <c r="AW34" i="2"/>
  <c r="AV34" i="2"/>
  <c r="AT34" i="2"/>
  <c r="AR34" i="2"/>
  <c r="AN34" i="2"/>
  <c r="AM34" i="2"/>
  <c r="AL34" i="2"/>
  <c r="AJ34" i="2"/>
  <c r="AF34" i="2"/>
  <c r="AE34" i="2"/>
  <c r="AD34" i="2"/>
  <c r="AB34" i="2"/>
  <c r="U34" i="2"/>
  <c r="AY34" i="2" s="1"/>
  <c r="T34" i="2"/>
  <c r="Q34" i="2"/>
  <c r="P34" i="2"/>
  <c r="O34" i="2"/>
  <c r="N34" i="2"/>
  <c r="M34" i="2"/>
  <c r="J34" i="2"/>
  <c r="I34" i="2"/>
  <c r="G34" i="2"/>
  <c r="BJ33" i="2"/>
  <c r="BL33" i="2" s="1"/>
  <c r="BB33" i="2"/>
  <c r="AX33" i="2"/>
  <c r="AV33" i="2"/>
  <c r="AW33" i="2" s="1"/>
  <c r="AT33" i="2"/>
  <c r="AR33" i="2"/>
  <c r="AN33" i="2"/>
  <c r="AM33" i="2"/>
  <c r="AL33" i="2"/>
  <c r="AJ33" i="2"/>
  <c r="AF33" i="2"/>
  <c r="AE33" i="2"/>
  <c r="AD33" i="2"/>
  <c r="AB33" i="2"/>
  <c r="T33" i="2"/>
  <c r="P33" i="2"/>
  <c r="O33" i="2"/>
  <c r="N33" i="2"/>
  <c r="M33" i="2"/>
  <c r="J33" i="2"/>
  <c r="K33" i="2" s="1"/>
  <c r="I33" i="2"/>
  <c r="G33" i="2"/>
  <c r="BJ32" i="2"/>
  <c r="BL32" i="2" s="1"/>
  <c r="BB32" i="2"/>
  <c r="AV32" i="2"/>
  <c r="AW32" i="2" s="1"/>
  <c r="AT32" i="2"/>
  <c r="AR32" i="2"/>
  <c r="AN32" i="2"/>
  <c r="AM32" i="2"/>
  <c r="AL32" i="2"/>
  <c r="AJ32" i="2"/>
  <c r="AF32" i="2"/>
  <c r="AE32" i="2"/>
  <c r="AD32" i="2"/>
  <c r="AB32" i="2"/>
  <c r="P32" i="2"/>
  <c r="V32" i="2" s="1"/>
  <c r="AZ32" i="2" s="1"/>
  <c r="N32" i="2"/>
  <c r="M32" i="2"/>
  <c r="J32" i="2"/>
  <c r="K32" i="2" s="1"/>
  <c r="I32" i="2"/>
  <c r="G32" i="2"/>
  <c r="BJ31" i="2"/>
  <c r="BL31" i="2" s="1"/>
  <c r="BB31" i="2"/>
  <c r="AV31" i="2"/>
  <c r="AW31" i="2" s="1"/>
  <c r="AT31" i="2"/>
  <c r="AR31" i="2"/>
  <c r="AN31" i="2"/>
  <c r="AM31" i="2"/>
  <c r="AL31" i="2"/>
  <c r="AJ31" i="2"/>
  <c r="AE31" i="2"/>
  <c r="AF31" i="2" s="1"/>
  <c r="AD31" i="2"/>
  <c r="AB31" i="2"/>
  <c r="P31" i="2"/>
  <c r="V31" i="2" s="1"/>
  <c r="AZ31" i="2" s="1"/>
  <c r="N31" i="2"/>
  <c r="M31" i="2"/>
  <c r="K31" i="2"/>
  <c r="J31" i="2"/>
  <c r="I31" i="2"/>
  <c r="G31" i="2"/>
  <c r="BL30" i="2"/>
  <c r="BJ30" i="2"/>
  <c r="BB30" i="2"/>
  <c r="AY30" i="2"/>
  <c r="AW30" i="2"/>
  <c r="AV30" i="2"/>
  <c r="AT30" i="2"/>
  <c r="AR30" i="2"/>
  <c r="AN30" i="2"/>
  <c r="AM30" i="2"/>
  <c r="AL30" i="2"/>
  <c r="AJ30" i="2"/>
  <c r="AE30" i="2"/>
  <c r="AF30" i="2" s="1"/>
  <c r="AD30" i="2"/>
  <c r="AB30" i="2"/>
  <c r="P30" i="2"/>
  <c r="V30" i="2" s="1"/>
  <c r="AZ30" i="2" s="1"/>
  <c r="N30" i="2"/>
  <c r="U30" i="2" s="1"/>
  <c r="M30" i="2"/>
  <c r="J30" i="2"/>
  <c r="I30" i="2"/>
  <c r="G30" i="2"/>
  <c r="BJ29" i="2"/>
  <c r="BL29" i="2" s="1"/>
  <c r="BB29" i="2"/>
  <c r="AX29" i="2"/>
  <c r="AW29" i="2"/>
  <c r="AV29" i="2"/>
  <c r="AT29" i="2"/>
  <c r="AR29" i="2"/>
  <c r="AM29" i="2"/>
  <c r="AN29" i="2" s="1"/>
  <c r="AL29" i="2"/>
  <c r="AJ29" i="2"/>
  <c r="AE29" i="2"/>
  <c r="AF29" i="2" s="1"/>
  <c r="AD29" i="2"/>
  <c r="AB29" i="2"/>
  <c r="V29" i="2"/>
  <c r="AZ29" i="2" s="1"/>
  <c r="P29" i="2"/>
  <c r="N29" i="2"/>
  <c r="U29" i="2" s="1"/>
  <c r="AY29" i="2" s="1"/>
  <c r="M29" i="2"/>
  <c r="T29" i="2" s="1"/>
  <c r="J29" i="2"/>
  <c r="K29" i="2" s="1"/>
  <c r="I29" i="2"/>
  <c r="G29" i="2"/>
  <c r="BJ28" i="2"/>
  <c r="BL28" i="2" s="1"/>
  <c r="BB28" i="2"/>
  <c r="AX28" i="2"/>
  <c r="AV28" i="2"/>
  <c r="AW28" i="2" s="1"/>
  <c r="AT28" i="2"/>
  <c r="AR28" i="2"/>
  <c r="AN28" i="2"/>
  <c r="AM28" i="2"/>
  <c r="AL28" i="2"/>
  <c r="AJ28" i="2"/>
  <c r="AE28" i="2"/>
  <c r="AF28" i="2" s="1"/>
  <c r="AD28" i="2"/>
  <c r="AB28" i="2"/>
  <c r="W28" i="2"/>
  <c r="V28" i="2"/>
  <c r="AZ28" i="2" s="1"/>
  <c r="U28" i="2"/>
  <c r="AY28" i="2" s="1"/>
  <c r="Q28" i="2"/>
  <c r="P28" i="2"/>
  <c r="N28" i="2"/>
  <c r="R28" i="2" s="1"/>
  <c r="M28" i="2"/>
  <c r="T28" i="2" s="1"/>
  <c r="J28" i="2"/>
  <c r="K28" i="2" s="1"/>
  <c r="I28" i="2"/>
  <c r="G28" i="2"/>
  <c r="BL27" i="2"/>
  <c r="BJ27" i="2"/>
  <c r="BB27" i="2"/>
  <c r="AX27" i="2"/>
  <c r="AV27" i="2"/>
  <c r="AW27" i="2" s="1"/>
  <c r="AT27" i="2"/>
  <c r="AR27" i="2"/>
  <c r="AN27" i="2"/>
  <c r="AM27" i="2"/>
  <c r="AL27" i="2"/>
  <c r="AJ27" i="2"/>
  <c r="AF27" i="2"/>
  <c r="AE27" i="2"/>
  <c r="AD27" i="2"/>
  <c r="AB27" i="2"/>
  <c r="V27" i="2"/>
  <c r="AZ27" i="2" s="1"/>
  <c r="U27" i="2"/>
  <c r="AY27" i="2" s="1"/>
  <c r="T27" i="2"/>
  <c r="P27" i="2"/>
  <c r="Q27" i="2" s="1"/>
  <c r="N27" i="2"/>
  <c r="R27" i="2" s="1"/>
  <c r="W27" i="2" s="1"/>
  <c r="M27" i="2"/>
  <c r="S27" i="2" s="1"/>
  <c r="J27" i="2"/>
  <c r="K27" i="2" s="1"/>
  <c r="I27" i="2"/>
  <c r="G27" i="2"/>
  <c r="BJ26" i="2"/>
  <c r="BL26" i="2" s="1"/>
  <c r="BB26" i="2"/>
  <c r="AX26" i="2"/>
  <c r="AV26" i="2"/>
  <c r="AW26" i="2" s="1"/>
  <c r="AT26" i="2"/>
  <c r="AR26" i="2"/>
  <c r="AN26" i="2"/>
  <c r="AM26" i="2"/>
  <c r="AL26" i="2"/>
  <c r="AJ26" i="2"/>
  <c r="AE26" i="2"/>
  <c r="AF26" i="2" s="1"/>
  <c r="AD26" i="2"/>
  <c r="AB26" i="2"/>
  <c r="V26" i="2"/>
  <c r="AZ26" i="2" s="1"/>
  <c r="U26" i="2"/>
  <c r="AY26" i="2" s="1"/>
  <c r="T26" i="2"/>
  <c r="S26" i="2"/>
  <c r="P26" i="2"/>
  <c r="Q26" i="2" s="1"/>
  <c r="N26" i="2"/>
  <c r="R26" i="2" s="1"/>
  <c r="M26" i="2"/>
  <c r="J26" i="2"/>
  <c r="K26" i="2" s="1"/>
  <c r="I26" i="2"/>
  <c r="G26" i="2"/>
  <c r="BL25" i="2"/>
  <c r="BJ25" i="2"/>
  <c r="BB25" i="2"/>
  <c r="AV25" i="2"/>
  <c r="AW25" i="2" s="1"/>
  <c r="AT25" i="2"/>
  <c r="AR25" i="2"/>
  <c r="AN25" i="2"/>
  <c r="AM25" i="2"/>
  <c r="AL25" i="2"/>
  <c r="AJ25" i="2"/>
  <c r="AE25" i="2"/>
  <c r="AF25" i="2" s="1"/>
  <c r="AD25" i="2"/>
  <c r="AB25" i="2"/>
  <c r="V25" i="2"/>
  <c r="AZ25" i="2" s="1"/>
  <c r="U25" i="2"/>
  <c r="AY25" i="2" s="1"/>
  <c r="T25" i="2"/>
  <c r="S25" i="2"/>
  <c r="R25" i="2"/>
  <c r="P25" i="2"/>
  <c r="Q25" i="2" s="1"/>
  <c r="N25" i="2"/>
  <c r="O25" i="2" s="1"/>
  <c r="M25" i="2"/>
  <c r="AX25" i="2" s="1"/>
  <c r="J25" i="2"/>
  <c r="K25" i="2" s="1"/>
  <c r="I25" i="2"/>
  <c r="G25" i="2"/>
  <c r="BJ24" i="2"/>
  <c r="BL24" i="2" s="1"/>
  <c r="BB24" i="2"/>
  <c r="AX24" i="2"/>
  <c r="AV24" i="2"/>
  <c r="AW24" i="2" s="1"/>
  <c r="AT24" i="2"/>
  <c r="AR24" i="2"/>
  <c r="AN24" i="2"/>
  <c r="AM24" i="2"/>
  <c r="AL24" i="2"/>
  <c r="AJ24" i="2"/>
  <c r="AE24" i="2"/>
  <c r="AF24" i="2" s="1"/>
  <c r="AD24" i="2"/>
  <c r="AB24" i="2"/>
  <c r="V24" i="2"/>
  <c r="AZ24" i="2" s="1"/>
  <c r="U24" i="2"/>
  <c r="AY24" i="2" s="1"/>
  <c r="T24" i="2"/>
  <c r="R24" i="2"/>
  <c r="S24" i="2" s="1"/>
  <c r="Q24" i="2"/>
  <c r="P24" i="2"/>
  <c r="N24" i="2"/>
  <c r="O24" i="2" s="1"/>
  <c r="M24" i="2"/>
  <c r="K24" i="2"/>
  <c r="J24" i="2"/>
  <c r="W24" i="2" s="1"/>
  <c r="BA24" i="2" s="1"/>
  <c r="I24" i="2"/>
  <c r="G24" i="2"/>
  <c r="BL23" i="2"/>
  <c r="BJ23" i="2"/>
  <c r="BB23" i="2"/>
  <c r="AX23" i="2"/>
  <c r="AW23" i="2"/>
  <c r="AV23" i="2"/>
  <c r="AT23" i="2"/>
  <c r="AR23" i="2"/>
  <c r="AN23" i="2"/>
  <c r="AM23" i="2"/>
  <c r="AL23" i="2"/>
  <c r="AJ23" i="2"/>
  <c r="AE23" i="2"/>
  <c r="AF23" i="2" s="1"/>
  <c r="AD23" i="2"/>
  <c r="AB23" i="2"/>
  <c r="U23" i="2"/>
  <c r="AY23" i="2" s="1"/>
  <c r="T23" i="2"/>
  <c r="Q23" i="2"/>
  <c r="P23" i="2"/>
  <c r="V23" i="2" s="1"/>
  <c r="AZ23" i="2" s="1"/>
  <c r="N23" i="2"/>
  <c r="O23" i="2" s="1"/>
  <c r="M23" i="2"/>
  <c r="J23" i="2"/>
  <c r="K23" i="2" s="1"/>
  <c r="I23" i="2"/>
  <c r="G23" i="2"/>
  <c r="BJ22" i="2"/>
  <c r="BL22" i="2" s="1"/>
  <c r="BB22" i="2"/>
  <c r="AW22" i="2"/>
  <c r="AV22" i="2"/>
  <c r="AT22" i="2"/>
  <c r="AR22" i="2"/>
  <c r="AN22" i="2"/>
  <c r="AM22" i="2"/>
  <c r="AL22" i="2"/>
  <c r="AJ22" i="2"/>
  <c r="AF22" i="2"/>
  <c r="AE22" i="2"/>
  <c r="AD22" i="2"/>
  <c r="AB22" i="2"/>
  <c r="U22" i="2"/>
  <c r="AY22" i="2" s="1"/>
  <c r="T22" i="2"/>
  <c r="Q22" i="2"/>
  <c r="P22" i="2"/>
  <c r="O22" i="2"/>
  <c r="N22" i="2"/>
  <c r="M22" i="2"/>
  <c r="AX22" i="2" s="1"/>
  <c r="J22" i="2"/>
  <c r="K22" i="2" s="1"/>
  <c r="I22" i="2"/>
  <c r="G22" i="2"/>
  <c r="BJ21" i="2"/>
  <c r="BL21" i="2" s="1"/>
  <c r="BB21" i="2"/>
  <c r="AX21" i="2"/>
  <c r="AV21" i="2"/>
  <c r="AW21" i="2" s="1"/>
  <c r="AT21" i="2"/>
  <c r="AR21" i="2"/>
  <c r="AN21" i="2"/>
  <c r="AM21" i="2"/>
  <c r="AL21" i="2"/>
  <c r="AJ21" i="2"/>
  <c r="AE21" i="2"/>
  <c r="AF21" i="2" s="1"/>
  <c r="AD21" i="2"/>
  <c r="AB21" i="2"/>
  <c r="T21" i="2"/>
  <c r="P21" i="2"/>
  <c r="N21" i="2"/>
  <c r="O21" i="2" s="1"/>
  <c r="M21" i="2"/>
  <c r="J21" i="2"/>
  <c r="K21" i="2" s="1"/>
  <c r="I21" i="2"/>
  <c r="G21" i="2"/>
  <c r="BL20" i="2"/>
  <c r="BJ20" i="2"/>
  <c r="BB20" i="2"/>
  <c r="AZ20" i="2"/>
  <c r="AV20" i="2"/>
  <c r="AW20" i="2" s="1"/>
  <c r="AT20" i="2"/>
  <c r="AR20" i="2"/>
  <c r="AN20" i="2"/>
  <c r="AM20" i="2"/>
  <c r="AL20" i="2"/>
  <c r="AJ20" i="2"/>
  <c r="AE20" i="2"/>
  <c r="AF20" i="2" s="1"/>
  <c r="AD20" i="2"/>
  <c r="AB20" i="2"/>
  <c r="P20" i="2"/>
  <c r="V20" i="2" s="1"/>
  <c r="N20" i="2"/>
  <c r="O20" i="2" s="1"/>
  <c r="M20" i="2"/>
  <c r="J20" i="2"/>
  <c r="K20" i="2" s="1"/>
  <c r="I20" i="2"/>
  <c r="G20" i="2"/>
  <c r="BJ19" i="2"/>
  <c r="BL19" i="2" s="1"/>
  <c r="BB19" i="2"/>
  <c r="AZ19" i="2"/>
  <c r="AX19" i="2"/>
  <c r="AV19" i="2"/>
  <c r="AW19" i="2" s="1"/>
  <c r="AT19" i="2"/>
  <c r="AR19" i="2"/>
  <c r="AN19" i="2"/>
  <c r="AM19" i="2"/>
  <c r="AL19" i="2"/>
  <c r="AJ19" i="2"/>
  <c r="AE19" i="2"/>
  <c r="AF19" i="2" s="1"/>
  <c r="AD19" i="2"/>
  <c r="AB19" i="2"/>
  <c r="P19" i="2"/>
  <c r="V19" i="2" s="1"/>
  <c r="N19" i="2"/>
  <c r="M19" i="2"/>
  <c r="K19" i="2"/>
  <c r="J19" i="2"/>
  <c r="I19" i="2"/>
  <c r="G19" i="2"/>
  <c r="BL18" i="2"/>
  <c r="BJ18" i="2"/>
  <c r="BB18" i="2"/>
  <c r="AX18" i="2"/>
  <c r="AW18" i="2"/>
  <c r="AV18" i="2"/>
  <c r="AT18" i="2"/>
  <c r="AR18" i="2"/>
  <c r="AN18" i="2"/>
  <c r="AM18" i="2"/>
  <c r="AL18" i="2"/>
  <c r="AJ18" i="2"/>
  <c r="AE18" i="2"/>
  <c r="AF18" i="2" s="1"/>
  <c r="AD18" i="2"/>
  <c r="AB18" i="2"/>
  <c r="P18" i="2"/>
  <c r="V18" i="2" s="1"/>
  <c r="AZ18" i="2" s="1"/>
  <c r="N18" i="2"/>
  <c r="U18" i="2" s="1"/>
  <c r="AY18" i="2" s="1"/>
  <c r="M18" i="2"/>
  <c r="J18" i="2"/>
  <c r="I18" i="2"/>
  <c r="G18" i="2"/>
  <c r="BJ17" i="2"/>
  <c r="BL17" i="2" s="1"/>
  <c r="BB17" i="2"/>
  <c r="AX17" i="2"/>
  <c r="AV17" i="2"/>
  <c r="AW17" i="2" s="1"/>
  <c r="AT17" i="2"/>
  <c r="AR17" i="2"/>
  <c r="AN17" i="2"/>
  <c r="AM17" i="2"/>
  <c r="AL17" i="2"/>
  <c r="AJ17" i="2"/>
  <c r="AF17" i="2"/>
  <c r="AE17" i="2"/>
  <c r="AD17" i="2"/>
  <c r="AB17" i="2"/>
  <c r="V17" i="2"/>
  <c r="AZ17" i="2" s="1"/>
  <c r="P17" i="2"/>
  <c r="Q17" i="2" s="1"/>
  <c r="N17" i="2"/>
  <c r="U17" i="2" s="1"/>
  <c r="AY17" i="2" s="1"/>
  <c r="M17" i="2"/>
  <c r="T17" i="2" s="1"/>
  <c r="J17" i="2"/>
  <c r="I17" i="2"/>
  <c r="G17" i="2"/>
  <c r="BJ16" i="2"/>
  <c r="BI16" i="2"/>
  <c r="BI36" i="2" s="1"/>
  <c r="BB16" i="2"/>
  <c r="AX16" i="2"/>
  <c r="AW16" i="2"/>
  <c r="AV16" i="2"/>
  <c r="AT16" i="2"/>
  <c r="AR16" i="2"/>
  <c r="AN16" i="2"/>
  <c r="AM16" i="2"/>
  <c r="AL16" i="2"/>
  <c r="AJ16" i="2"/>
  <c r="AF16" i="2"/>
  <c r="AE16" i="2"/>
  <c r="AD16" i="2"/>
  <c r="AB16" i="2"/>
  <c r="V16" i="2"/>
  <c r="AZ16" i="2" s="1"/>
  <c r="R16" i="2"/>
  <c r="P16" i="2"/>
  <c r="N16" i="2"/>
  <c r="U16" i="2" s="1"/>
  <c r="AY16" i="2" s="1"/>
  <c r="M16" i="2"/>
  <c r="T16" i="2" s="1"/>
  <c r="J16" i="2"/>
  <c r="W16" i="2" s="1"/>
  <c r="BA16" i="2" s="1"/>
  <c r="I16" i="2"/>
  <c r="G16" i="2"/>
  <c r="BJ15" i="2"/>
  <c r="BL15" i="2" s="1"/>
  <c r="BB15" i="2"/>
  <c r="AX15" i="2"/>
  <c r="AV15" i="2"/>
  <c r="AW15" i="2" s="1"/>
  <c r="AT15" i="2"/>
  <c r="AR15" i="2"/>
  <c r="AN15" i="2"/>
  <c r="AM15" i="2"/>
  <c r="AL15" i="2"/>
  <c r="AJ15" i="2"/>
  <c r="AE15" i="2"/>
  <c r="AF15" i="2" s="1"/>
  <c r="AD15" i="2"/>
  <c r="AB15" i="2"/>
  <c r="V15" i="2"/>
  <c r="AZ15" i="2" s="1"/>
  <c r="U15" i="2"/>
  <c r="AY15" i="2" s="1"/>
  <c r="P15" i="2"/>
  <c r="Q15" i="2" s="1"/>
  <c r="N15" i="2"/>
  <c r="R15" i="2" s="1"/>
  <c r="M15" i="2"/>
  <c r="T15" i="2" s="1"/>
  <c r="J15" i="2"/>
  <c r="K15" i="2" s="1"/>
  <c r="I15" i="2"/>
  <c r="G15" i="2"/>
  <c r="BJ14" i="2"/>
  <c r="BL14" i="2" s="1"/>
  <c r="BB14" i="2"/>
  <c r="AV14" i="2"/>
  <c r="AW14" i="2" s="1"/>
  <c r="AT14" i="2"/>
  <c r="AR14" i="2"/>
  <c r="AN14" i="2"/>
  <c r="AM14" i="2"/>
  <c r="AL14" i="2"/>
  <c r="AJ14" i="2"/>
  <c r="AE14" i="2"/>
  <c r="AF14" i="2" s="1"/>
  <c r="AD14" i="2"/>
  <c r="AB14" i="2"/>
  <c r="V14" i="2"/>
  <c r="AZ14" i="2" s="1"/>
  <c r="U14" i="2"/>
  <c r="AY14" i="2" s="1"/>
  <c r="T14" i="2"/>
  <c r="P14" i="2"/>
  <c r="Q14" i="2" s="1"/>
  <c r="N14" i="2"/>
  <c r="R14" i="2" s="1"/>
  <c r="M14" i="2"/>
  <c r="S14" i="2" s="1"/>
  <c r="J14" i="2"/>
  <c r="W14" i="2" s="1"/>
  <c r="BA14" i="2" s="1"/>
  <c r="I14" i="2"/>
  <c r="G14" i="2"/>
  <c r="BJ13" i="2"/>
  <c r="BL13" i="2" s="1"/>
  <c r="BB13" i="2"/>
  <c r="AX13" i="2"/>
  <c r="AV13" i="2"/>
  <c r="AW13" i="2" s="1"/>
  <c r="AT13" i="2"/>
  <c r="AR13" i="2"/>
  <c r="AN13" i="2"/>
  <c r="AM13" i="2"/>
  <c r="AL13" i="2"/>
  <c r="AJ13" i="2"/>
  <c r="AF13" i="2"/>
  <c r="AE13" i="2"/>
  <c r="AD13" i="2"/>
  <c r="AB13" i="2"/>
  <c r="V13" i="2"/>
  <c r="AZ13" i="2" s="1"/>
  <c r="U13" i="2"/>
  <c r="AY13" i="2" s="1"/>
  <c r="T13" i="2"/>
  <c r="S13" i="2"/>
  <c r="P13" i="2"/>
  <c r="Q13" i="2" s="1"/>
  <c r="O13" i="2"/>
  <c r="N13" i="2"/>
  <c r="R13" i="2" s="1"/>
  <c r="M13" i="2"/>
  <c r="J13" i="2"/>
  <c r="K13" i="2" s="1"/>
  <c r="I13" i="2"/>
  <c r="G13" i="2"/>
  <c r="BL12" i="2"/>
  <c r="BJ12" i="2"/>
  <c r="BB12" i="2"/>
  <c r="AV12" i="2"/>
  <c r="AW12" i="2" s="1"/>
  <c r="AT12" i="2"/>
  <c r="AR12" i="2"/>
  <c r="AN12" i="2"/>
  <c r="AM12" i="2"/>
  <c r="AL12" i="2"/>
  <c r="AJ12" i="2"/>
  <c r="AE12" i="2"/>
  <c r="AF12" i="2" s="1"/>
  <c r="AD12" i="2"/>
  <c r="AB12" i="2"/>
  <c r="V12" i="2"/>
  <c r="AZ12" i="2" s="1"/>
  <c r="U12" i="2"/>
  <c r="AY12" i="2" s="1"/>
  <c r="T12" i="2"/>
  <c r="R12" i="2"/>
  <c r="S12" i="2" s="1"/>
  <c r="P12" i="2"/>
  <c r="Q12" i="2" s="1"/>
  <c r="N12" i="2"/>
  <c r="O12" i="2" s="1"/>
  <c r="M12" i="2"/>
  <c r="AX12" i="2" s="1"/>
  <c r="J12" i="2"/>
  <c r="K12" i="2" s="1"/>
  <c r="I12" i="2"/>
  <c r="G12" i="2"/>
  <c r="F51" i="2" s="1"/>
  <c r="BJ11" i="2"/>
  <c r="BL11" i="2" s="1"/>
  <c r="BB11" i="2"/>
  <c r="AV11" i="2"/>
  <c r="AW11" i="2" s="1"/>
  <c r="AT11" i="2"/>
  <c r="AR11" i="2"/>
  <c r="AN11" i="2"/>
  <c r="AM11" i="2"/>
  <c r="AL11" i="2"/>
  <c r="AJ11" i="2"/>
  <c r="AF11" i="2"/>
  <c r="AE11" i="2"/>
  <c r="AD11" i="2"/>
  <c r="AB11" i="2"/>
  <c r="V11" i="2"/>
  <c r="AZ11" i="2" s="1"/>
  <c r="U11" i="2"/>
  <c r="AY11" i="2" s="1"/>
  <c r="T11" i="2"/>
  <c r="R11" i="2"/>
  <c r="S11" i="2" s="1"/>
  <c r="Q11" i="2"/>
  <c r="P11" i="2"/>
  <c r="N11" i="2"/>
  <c r="O11" i="2" s="1"/>
  <c r="M11" i="2"/>
  <c r="AX11" i="2" s="1"/>
  <c r="K11" i="2"/>
  <c r="J11" i="2"/>
  <c r="I11" i="2"/>
  <c r="G11" i="2"/>
  <c r="BJ10" i="2"/>
  <c r="BL10" i="2" s="1"/>
  <c r="BB10" i="2"/>
  <c r="AX10" i="2"/>
  <c r="AV10" i="2"/>
  <c r="AW10" i="2" s="1"/>
  <c r="AT10" i="2"/>
  <c r="AR10" i="2"/>
  <c r="AN10" i="2"/>
  <c r="AM10" i="2"/>
  <c r="AM36" i="2" s="1"/>
  <c r="AL10" i="2"/>
  <c r="AJ10" i="2"/>
  <c r="AE10" i="2"/>
  <c r="AF10" i="2" s="1"/>
  <c r="AD10" i="2"/>
  <c r="AB10" i="2"/>
  <c r="U10" i="2"/>
  <c r="AY10" i="2" s="1"/>
  <c r="T10" i="2"/>
  <c r="P10" i="2"/>
  <c r="V10" i="2" s="1"/>
  <c r="AZ10" i="2" s="1"/>
  <c r="N10" i="2"/>
  <c r="O10" i="2" s="1"/>
  <c r="M10" i="2"/>
  <c r="J10" i="2"/>
  <c r="K10" i="2" s="1"/>
  <c r="I10" i="2"/>
  <c r="G10" i="2"/>
  <c r="BJ9" i="2"/>
  <c r="BL9" i="2" s="1"/>
  <c r="BB9" i="2"/>
  <c r="AV9" i="2"/>
  <c r="AW9" i="2" s="1"/>
  <c r="AT9" i="2"/>
  <c r="AR9" i="2"/>
  <c r="AN9" i="2"/>
  <c r="AM9" i="2"/>
  <c r="AL9" i="2"/>
  <c r="AJ9" i="2"/>
  <c r="AF9" i="2"/>
  <c r="AE9" i="2"/>
  <c r="AD9" i="2"/>
  <c r="AB9" i="2"/>
  <c r="U9" i="2"/>
  <c r="AY9" i="2" s="1"/>
  <c r="T9" i="2"/>
  <c r="P9" i="2"/>
  <c r="O9" i="2"/>
  <c r="N9" i="2"/>
  <c r="M9" i="2"/>
  <c r="AX9" i="2" s="1"/>
  <c r="J9" i="2"/>
  <c r="K9" i="2" s="1"/>
  <c r="I9" i="2"/>
  <c r="G9" i="2"/>
  <c r="BJ8" i="2"/>
  <c r="BL8" i="2" s="1"/>
  <c r="BB8" i="2"/>
  <c r="BB36" i="2" s="1"/>
  <c r="AX8" i="2"/>
  <c r="AV8" i="2"/>
  <c r="AW8" i="2" s="1"/>
  <c r="AT8" i="2"/>
  <c r="AR8" i="2"/>
  <c r="AM8" i="2"/>
  <c r="AN8" i="2" s="1"/>
  <c r="AL8" i="2"/>
  <c r="AJ8" i="2"/>
  <c r="AF8" i="2"/>
  <c r="AE8" i="2"/>
  <c r="AD8" i="2"/>
  <c r="AB8" i="2"/>
  <c r="T8" i="2"/>
  <c r="P8" i="2"/>
  <c r="N8" i="2"/>
  <c r="M8" i="2"/>
  <c r="J8" i="2"/>
  <c r="K8" i="2" s="1"/>
  <c r="I8" i="2"/>
  <c r="G8" i="2"/>
  <c r="BJ7" i="2"/>
  <c r="BL7" i="2" s="1"/>
  <c r="BB7" i="2"/>
  <c r="AV7" i="2"/>
  <c r="AW7" i="2" s="1"/>
  <c r="AT7" i="2"/>
  <c r="AR7" i="2"/>
  <c r="AN7" i="2"/>
  <c r="AM7" i="2"/>
  <c r="AL7" i="2"/>
  <c r="AJ7" i="2"/>
  <c r="AF7" i="2"/>
  <c r="AE7" i="2"/>
  <c r="AD7" i="2"/>
  <c r="AB7" i="2"/>
  <c r="P7" i="2"/>
  <c r="V7" i="2" s="1"/>
  <c r="AZ7" i="2" s="1"/>
  <c r="N7" i="2"/>
  <c r="M7" i="2"/>
  <c r="J7" i="2"/>
  <c r="K7" i="2" s="1"/>
  <c r="I7" i="2"/>
  <c r="G7" i="2"/>
  <c r="BJ6" i="2"/>
  <c r="BL6" i="2" s="1"/>
  <c r="BB6" i="2"/>
  <c r="AV6" i="2"/>
  <c r="AW6" i="2" s="1"/>
  <c r="AT6" i="2"/>
  <c r="AR6" i="2"/>
  <c r="AN6" i="2"/>
  <c r="AM6" i="2"/>
  <c r="AL6" i="2"/>
  <c r="AJ6" i="2"/>
  <c r="AE6" i="2"/>
  <c r="AF6" i="2" s="1"/>
  <c r="AD6" i="2"/>
  <c r="AB6" i="2"/>
  <c r="P6" i="2"/>
  <c r="V6" i="2" s="1"/>
  <c r="AZ6" i="2" s="1"/>
  <c r="N6" i="2"/>
  <c r="M6" i="2"/>
  <c r="K6" i="2"/>
  <c r="J6" i="2"/>
  <c r="I6" i="2"/>
  <c r="G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J5" i="2"/>
  <c r="BB5" i="2"/>
  <c r="AW5" i="2"/>
  <c r="AV5" i="2"/>
  <c r="AT5" i="2"/>
  <c r="AR5" i="2"/>
  <c r="AN5" i="2"/>
  <c r="AM5" i="2"/>
  <c r="AL5" i="2"/>
  <c r="AJ5" i="2"/>
  <c r="AE5" i="2"/>
  <c r="AD5" i="2"/>
  <c r="AB5" i="2"/>
  <c r="P5" i="2"/>
  <c r="V5" i="2" s="1"/>
  <c r="N5" i="2"/>
  <c r="U5" i="2" s="1"/>
  <c r="M5" i="2"/>
  <c r="J5" i="2"/>
  <c r="I5" i="2"/>
  <c r="F52" i="2" s="1"/>
  <c r="G5" i="2"/>
  <c r="B5" i="2"/>
  <c r="BI70" i="1"/>
  <c r="BH70" i="1"/>
  <c r="BJ70" i="1" s="1"/>
  <c r="BJ69" i="1"/>
  <c r="BI69" i="1"/>
  <c r="BH69" i="1"/>
  <c r="BJ68" i="1"/>
  <c r="BI68" i="1"/>
  <c r="BH68" i="1"/>
  <c r="BJ67" i="1"/>
  <c r="BI67" i="1"/>
  <c r="BH67" i="1"/>
  <c r="BI66" i="1"/>
  <c r="BJ66" i="1" s="1"/>
  <c r="BH66" i="1"/>
  <c r="BJ65" i="1"/>
  <c r="BI65" i="1"/>
  <c r="BH65" i="1"/>
  <c r="BJ64" i="1"/>
  <c r="BI64" i="1"/>
  <c r="BH64" i="1"/>
  <c r="BJ63" i="1"/>
  <c r="BI63" i="1"/>
  <c r="BH63" i="1"/>
  <c r="BI62" i="1"/>
  <c r="BJ62" i="1" s="1"/>
  <c r="BH62" i="1"/>
  <c r="BJ61" i="1"/>
  <c r="BI61" i="1"/>
  <c r="BH61" i="1"/>
  <c r="BJ60" i="1"/>
  <c r="BI60" i="1"/>
  <c r="BH60" i="1"/>
  <c r="BJ59" i="1"/>
  <c r="BI59" i="1"/>
  <c r="BH59" i="1"/>
  <c r="W59" i="1"/>
  <c r="BI58" i="1"/>
  <c r="BJ58" i="1" s="1"/>
  <c r="BH58" i="1"/>
  <c r="W58" i="1"/>
  <c r="BI57" i="1"/>
  <c r="BH57" i="1"/>
  <c r="BJ57" i="1" s="1"/>
  <c r="X57" i="1"/>
  <c r="BI56" i="1"/>
  <c r="BJ56" i="1" s="1"/>
  <c r="BH56" i="1"/>
  <c r="Y56" i="1"/>
  <c r="X56" i="1" s="1"/>
  <c r="BJ55" i="1"/>
  <c r="BI55" i="1"/>
  <c r="BH55" i="1"/>
  <c r="BJ54" i="1"/>
  <c r="BI54" i="1"/>
  <c r="BI71" i="1" s="1"/>
  <c r="BH54" i="1"/>
  <c r="BH71" i="1" s="1"/>
  <c r="Y54" i="1"/>
  <c r="X54" i="1" s="1"/>
  <c r="BI53" i="1"/>
  <c r="BH53" i="1"/>
  <c r="BJ53" i="1" s="1"/>
  <c r="BJ52" i="1"/>
  <c r="BI52" i="1"/>
  <c r="BH52" i="1"/>
  <c r="Y52" i="1"/>
  <c r="X52" i="1" s="1"/>
  <c r="BJ51" i="1"/>
  <c r="BI51" i="1"/>
  <c r="BH51" i="1"/>
  <c r="BI50" i="1"/>
  <c r="BH50" i="1"/>
  <c r="BJ50" i="1" s="1"/>
  <c r="AN46" i="1"/>
  <c r="AW46" i="1" s="1"/>
  <c r="AF46" i="1"/>
  <c r="X46" i="1"/>
  <c r="S46" i="1"/>
  <c r="BG45" i="1"/>
  <c r="W45" i="1"/>
  <c r="BG44" i="1"/>
  <c r="BA44" i="1"/>
  <c r="AQ38" i="1"/>
  <c r="AA38" i="1"/>
  <c r="U38" i="1"/>
  <c r="O38" i="1"/>
  <c r="BI36" i="1"/>
  <c r="BH36" i="1"/>
  <c r="BG36" i="1"/>
  <c r="BF36" i="1"/>
  <c r="BE36" i="1"/>
  <c r="BD36" i="1"/>
  <c r="BC36" i="1"/>
  <c r="AU36" i="1"/>
  <c r="AU37" i="1" s="1"/>
  <c r="AS36" i="1"/>
  <c r="AS37" i="1" s="1"/>
  <c r="AQ36" i="1"/>
  <c r="AQ37" i="1" s="1"/>
  <c r="AR37" i="1" s="1"/>
  <c r="AP36" i="1"/>
  <c r="AO36" i="1"/>
  <c r="AK36" i="1"/>
  <c r="AK37" i="1" s="1"/>
  <c r="AL37" i="1" s="1"/>
  <c r="AI36" i="1"/>
  <c r="AI37" i="1" s="1"/>
  <c r="AJ37" i="1" s="1"/>
  <c r="AH36" i="1"/>
  <c r="AG36" i="1"/>
  <c r="AC36" i="1"/>
  <c r="AC37" i="1" s="1"/>
  <c r="AD37" i="1" s="1"/>
  <c r="AA36" i="1"/>
  <c r="AA37" i="1" s="1"/>
  <c r="AB37" i="1" s="1"/>
  <c r="Z36" i="1"/>
  <c r="Y36" i="1"/>
  <c r="X36" i="1"/>
  <c r="L36" i="1"/>
  <c r="H36" i="1"/>
  <c r="H37" i="1" s="1"/>
  <c r="I37" i="1" s="1"/>
  <c r="F36" i="1"/>
  <c r="F37" i="1" s="1"/>
  <c r="G37" i="1" s="1"/>
  <c r="E36" i="1"/>
  <c r="F38" i="1" s="1"/>
  <c r="D36" i="1"/>
  <c r="C36" i="1"/>
  <c r="BJ35" i="1"/>
  <c r="BL35" i="1" s="1"/>
  <c r="BB35" i="1"/>
  <c r="AV35" i="1"/>
  <c r="AW35" i="1" s="1"/>
  <c r="AT35" i="1"/>
  <c r="AR35" i="1"/>
  <c r="AN35" i="1"/>
  <c r="AM35" i="1"/>
  <c r="AL35" i="1"/>
  <c r="AJ35" i="1"/>
  <c r="AF35" i="1"/>
  <c r="AE35" i="1"/>
  <c r="AD35" i="1"/>
  <c r="AB35" i="1"/>
  <c r="U35" i="1"/>
  <c r="AY35" i="1" s="1"/>
  <c r="T35" i="1"/>
  <c r="P35" i="1"/>
  <c r="V35" i="1" s="1"/>
  <c r="AZ35" i="1" s="1"/>
  <c r="N35" i="1"/>
  <c r="R35" i="1" s="1"/>
  <c r="S35" i="1" s="1"/>
  <c r="M35" i="1"/>
  <c r="AX35" i="1" s="1"/>
  <c r="J35" i="1"/>
  <c r="K35" i="1" s="1"/>
  <c r="I35" i="1"/>
  <c r="G35" i="1"/>
  <c r="BL34" i="1"/>
  <c r="BJ34" i="1"/>
  <c r="BB34" i="1"/>
  <c r="AX34" i="1"/>
  <c r="AV34" i="1"/>
  <c r="AW34" i="1" s="1"/>
  <c r="AT34" i="1"/>
  <c r="AR34" i="1"/>
  <c r="AM34" i="1"/>
  <c r="AN34" i="1" s="1"/>
  <c r="AL34" i="1"/>
  <c r="AJ34" i="1"/>
  <c r="AF34" i="1"/>
  <c r="AE34" i="1"/>
  <c r="AD34" i="1"/>
  <c r="AB34" i="1"/>
  <c r="V34" i="1"/>
  <c r="AZ34" i="1" s="1"/>
  <c r="U34" i="1"/>
  <c r="AY34" i="1" s="1"/>
  <c r="T34" i="1"/>
  <c r="R34" i="1"/>
  <c r="S34" i="1" s="1"/>
  <c r="P34" i="1"/>
  <c r="Q34" i="1" s="1"/>
  <c r="O34" i="1"/>
  <c r="N34" i="1"/>
  <c r="M34" i="1"/>
  <c r="J34" i="1"/>
  <c r="K34" i="1" s="1"/>
  <c r="I34" i="1"/>
  <c r="G34" i="1"/>
  <c r="BJ33" i="1"/>
  <c r="BL33" i="1" s="1"/>
  <c r="BB33" i="1"/>
  <c r="AV33" i="1"/>
  <c r="AW33" i="1" s="1"/>
  <c r="AT33" i="1"/>
  <c r="AR33" i="1"/>
  <c r="AN33" i="1"/>
  <c r="AM33" i="1"/>
  <c r="AL33" i="1"/>
  <c r="AJ33" i="1"/>
  <c r="AE33" i="1"/>
  <c r="AF33" i="1" s="1"/>
  <c r="AD33" i="1"/>
  <c r="AB33" i="1"/>
  <c r="V33" i="1"/>
  <c r="AZ33" i="1" s="1"/>
  <c r="T33" i="1"/>
  <c r="Q33" i="1"/>
  <c r="P33" i="1"/>
  <c r="N33" i="1"/>
  <c r="R33" i="1" s="1"/>
  <c r="S33" i="1" s="1"/>
  <c r="M33" i="1"/>
  <c r="AX33" i="1" s="1"/>
  <c r="J33" i="1"/>
  <c r="K33" i="1" s="1"/>
  <c r="I33" i="1"/>
  <c r="G33" i="1"/>
  <c r="BL32" i="1"/>
  <c r="BJ32" i="1"/>
  <c r="BB32" i="1"/>
  <c r="AV32" i="1"/>
  <c r="AW32" i="1" s="1"/>
  <c r="AT32" i="1"/>
  <c r="AR32" i="1"/>
  <c r="AN32" i="1"/>
  <c r="AM32" i="1"/>
  <c r="AL32" i="1"/>
  <c r="AJ32" i="1"/>
  <c r="AF32" i="1"/>
  <c r="AE32" i="1"/>
  <c r="AD32" i="1"/>
  <c r="AB32" i="1"/>
  <c r="U32" i="1"/>
  <c r="AY32" i="1" s="1"/>
  <c r="R32" i="1"/>
  <c r="S32" i="1" s="1"/>
  <c r="P32" i="1"/>
  <c r="Q32" i="1" s="1"/>
  <c r="N32" i="1"/>
  <c r="M32" i="1"/>
  <c r="O32" i="1" s="1"/>
  <c r="K32" i="1"/>
  <c r="J32" i="1"/>
  <c r="W32" i="1" s="1"/>
  <c r="BA32" i="1" s="1"/>
  <c r="I32" i="1"/>
  <c r="G32" i="1"/>
  <c r="BJ31" i="1"/>
  <c r="BL31" i="1" s="1"/>
  <c r="BB31" i="1"/>
  <c r="AX31" i="1"/>
  <c r="AW31" i="1"/>
  <c r="AV31" i="1"/>
  <c r="AT31" i="1"/>
  <c r="AR31" i="1"/>
  <c r="AN31" i="1"/>
  <c r="AM31" i="1"/>
  <c r="AL31" i="1"/>
  <c r="AJ31" i="1"/>
  <c r="AF31" i="1"/>
  <c r="AE31" i="1"/>
  <c r="AD31" i="1"/>
  <c r="AB31" i="1"/>
  <c r="T31" i="1"/>
  <c r="R31" i="1"/>
  <c r="S31" i="1" s="1"/>
  <c r="Q31" i="1"/>
  <c r="P31" i="1"/>
  <c r="V31" i="1" s="1"/>
  <c r="AZ31" i="1" s="1"/>
  <c r="O31" i="1"/>
  <c r="N31" i="1"/>
  <c r="U31" i="1" s="1"/>
  <c r="AY31" i="1" s="1"/>
  <c r="M31" i="1"/>
  <c r="K31" i="1"/>
  <c r="J31" i="1"/>
  <c r="W31" i="1" s="1"/>
  <c r="BA31" i="1" s="1"/>
  <c r="I31" i="1"/>
  <c r="G31" i="1"/>
  <c r="BJ30" i="1"/>
  <c r="BL30" i="1" s="1"/>
  <c r="BB30" i="1"/>
  <c r="AW30" i="1"/>
  <c r="AV30" i="1"/>
  <c r="AT30" i="1"/>
  <c r="AR30" i="1"/>
  <c r="AN30" i="1"/>
  <c r="AM30" i="1"/>
  <c r="AL30" i="1"/>
  <c r="AJ30" i="1"/>
  <c r="AE30" i="1"/>
  <c r="AF30" i="1" s="1"/>
  <c r="AD30" i="1"/>
  <c r="AB30" i="1"/>
  <c r="P30" i="1"/>
  <c r="Q30" i="1" s="1"/>
  <c r="N30" i="1"/>
  <c r="O30" i="1" s="1"/>
  <c r="M30" i="1"/>
  <c r="AX30" i="1" s="1"/>
  <c r="J30" i="1"/>
  <c r="K30" i="1" s="1"/>
  <c r="I30" i="1"/>
  <c r="G30" i="1"/>
  <c r="BL29" i="1"/>
  <c r="BJ29" i="1"/>
  <c r="BB29" i="1"/>
  <c r="AV29" i="1"/>
  <c r="AW29" i="1" s="1"/>
  <c r="AT29" i="1"/>
  <c r="AR29" i="1"/>
  <c r="AM29" i="1"/>
  <c r="AN29" i="1" s="1"/>
  <c r="AL29" i="1"/>
  <c r="AJ29" i="1"/>
  <c r="AF29" i="1"/>
  <c r="AE29" i="1"/>
  <c r="AD29" i="1"/>
  <c r="AB29" i="1"/>
  <c r="R29" i="1"/>
  <c r="P29" i="1"/>
  <c r="V29" i="1" s="1"/>
  <c r="AZ29" i="1" s="1"/>
  <c r="O29" i="1"/>
  <c r="N29" i="1"/>
  <c r="U29" i="1" s="1"/>
  <c r="AY29" i="1" s="1"/>
  <c r="M29" i="1"/>
  <c r="AX29" i="1" s="1"/>
  <c r="K29" i="1"/>
  <c r="J29" i="1"/>
  <c r="W29" i="1" s="1"/>
  <c r="BA29" i="1" s="1"/>
  <c r="I29" i="1"/>
  <c r="G29" i="1"/>
  <c r="BJ28" i="1"/>
  <c r="BL28" i="1" s="1"/>
  <c r="BB28" i="1"/>
  <c r="AX28" i="1"/>
  <c r="AW28" i="1"/>
  <c r="AV28" i="1"/>
  <c r="AT28" i="1"/>
  <c r="AR28" i="1"/>
  <c r="AN28" i="1"/>
  <c r="AM28" i="1"/>
  <c r="AL28" i="1"/>
  <c r="AJ28" i="1"/>
  <c r="AE28" i="1"/>
  <c r="AF28" i="1" s="1"/>
  <c r="AD28" i="1"/>
  <c r="AB28" i="1"/>
  <c r="Q28" i="1"/>
  <c r="P28" i="1"/>
  <c r="V28" i="1" s="1"/>
  <c r="AZ28" i="1" s="1"/>
  <c r="N28" i="1"/>
  <c r="O28" i="1" s="1"/>
  <c r="M28" i="1"/>
  <c r="T28" i="1" s="1"/>
  <c r="K28" i="1"/>
  <c r="J28" i="1"/>
  <c r="I28" i="1"/>
  <c r="G28" i="1"/>
  <c r="BL27" i="1"/>
  <c r="BJ27" i="1"/>
  <c r="BB27" i="1"/>
  <c r="AW27" i="1"/>
  <c r="AV27" i="1"/>
  <c r="AT27" i="1"/>
  <c r="AR27" i="1"/>
  <c r="AN27" i="1"/>
  <c r="AM27" i="1"/>
  <c r="AL27" i="1"/>
  <c r="AJ27" i="1"/>
  <c r="AE27" i="1"/>
  <c r="AF27" i="1" s="1"/>
  <c r="AD27" i="1"/>
  <c r="AB27" i="1"/>
  <c r="P27" i="1"/>
  <c r="V27" i="1" s="1"/>
  <c r="AZ27" i="1" s="1"/>
  <c r="N27" i="1"/>
  <c r="U27" i="1" s="1"/>
  <c r="AY27" i="1" s="1"/>
  <c r="M27" i="1"/>
  <c r="AX27" i="1" s="1"/>
  <c r="J27" i="1"/>
  <c r="K27" i="1" s="1"/>
  <c r="I27" i="1"/>
  <c r="G27" i="1"/>
  <c r="BJ26" i="1"/>
  <c r="BL26" i="1" s="1"/>
  <c r="BB26" i="1"/>
  <c r="AX26" i="1"/>
  <c r="AV26" i="1"/>
  <c r="AW26" i="1" s="1"/>
  <c r="AT26" i="1"/>
  <c r="AR26" i="1"/>
  <c r="AN26" i="1"/>
  <c r="AM26" i="1"/>
  <c r="AL26" i="1"/>
  <c r="AJ26" i="1"/>
  <c r="AF26" i="1"/>
  <c r="AE26" i="1"/>
  <c r="AD26" i="1"/>
  <c r="AB26" i="1"/>
  <c r="V26" i="1"/>
  <c r="AZ26" i="1" s="1"/>
  <c r="P26" i="1"/>
  <c r="O26" i="1"/>
  <c r="N26" i="1"/>
  <c r="U26" i="1" s="1"/>
  <c r="AY26" i="1" s="1"/>
  <c r="M26" i="1"/>
  <c r="T26" i="1" s="1"/>
  <c r="K26" i="1"/>
  <c r="J26" i="1"/>
  <c r="I26" i="1"/>
  <c r="G26" i="1"/>
  <c r="BL25" i="1"/>
  <c r="BJ25" i="1"/>
  <c r="BB25" i="1"/>
  <c r="AW25" i="1"/>
  <c r="AV25" i="1"/>
  <c r="AT25" i="1"/>
  <c r="AR25" i="1"/>
  <c r="AN25" i="1"/>
  <c r="AM25" i="1"/>
  <c r="AL25" i="1"/>
  <c r="AJ25" i="1"/>
  <c r="AE25" i="1"/>
  <c r="AF25" i="1" s="1"/>
  <c r="AD25" i="1"/>
  <c r="AB25" i="1"/>
  <c r="U25" i="1"/>
  <c r="AY25" i="1" s="1"/>
  <c r="P25" i="1"/>
  <c r="V25" i="1" s="1"/>
  <c r="AZ25" i="1" s="1"/>
  <c r="N25" i="1"/>
  <c r="R25" i="1" s="1"/>
  <c r="W25" i="1" s="1"/>
  <c r="BA25" i="1" s="1"/>
  <c r="M25" i="1"/>
  <c r="AX25" i="1" s="1"/>
  <c r="J25" i="1"/>
  <c r="K25" i="1" s="1"/>
  <c r="I25" i="1"/>
  <c r="G25" i="1"/>
  <c r="BJ24" i="1"/>
  <c r="BL24" i="1" s="1"/>
  <c r="BB24" i="1"/>
  <c r="AY24" i="1"/>
  <c r="AV24" i="1"/>
  <c r="AW24" i="1" s="1"/>
  <c r="AT24" i="1"/>
  <c r="AR24" i="1"/>
  <c r="AN24" i="1"/>
  <c r="AM24" i="1"/>
  <c r="AL24" i="1"/>
  <c r="AJ24" i="1"/>
  <c r="AF24" i="1"/>
  <c r="AE24" i="1"/>
  <c r="AD24" i="1"/>
  <c r="AB24" i="1"/>
  <c r="V24" i="1"/>
  <c r="AZ24" i="1" s="1"/>
  <c r="U24" i="1"/>
  <c r="T24" i="1"/>
  <c r="R24" i="1"/>
  <c r="P24" i="1"/>
  <c r="N24" i="1"/>
  <c r="M24" i="1"/>
  <c r="S24" i="1" s="1"/>
  <c r="J24" i="1"/>
  <c r="W24" i="1" s="1"/>
  <c r="BA24" i="1" s="1"/>
  <c r="I24" i="1"/>
  <c r="G24" i="1"/>
  <c r="BL23" i="1"/>
  <c r="BJ23" i="1"/>
  <c r="BB23" i="1"/>
  <c r="AX23" i="1"/>
  <c r="AV23" i="1"/>
  <c r="AW23" i="1" s="1"/>
  <c r="AT23" i="1"/>
  <c r="AR23" i="1"/>
  <c r="AN23" i="1"/>
  <c r="AM23" i="1"/>
  <c r="AL23" i="1"/>
  <c r="AJ23" i="1"/>
  <c r="AE23" i="1"/>
  <c r="AF23" i="1" s="1"/>
  <c r="AD23" i="1"/>
  <c r="AB23" i="1"/>
  <c r="U23" i="1"/>
  <c r="AY23" i="1" s="1"/>
  <c r="T23" i="1"/>
  <c r="P23" i="1"/>
  <c r="V23" i="1" s="1"/>
  <c r="AZ23" i="1" s="1"/>
  <c r="N23" i="1"/>
  <c r="O23" i="1" s="1"/>
  <c r="M23" i="1"/>
  <c r="K23" i="1"/>
  <c r="J23" i="1"/>
  <c r="I23" i="1"/>
  <c r="G23" i="1"/>
  <c r="BL22" i="1"/>
  <c r="BJ22" i="1"/>
  <c r="BB22" i="1"/>
  <c r="AV22" i="1"/>
  <c r="AW22" i="1" s="1"/>
  <c r="AT22" i="1"/>
  <c r="AR22" i="1"/>
  <c r="AN22" i="1"/>
  <c r="AM22" i="1"/>
  <c r="AL22" i="1"/>
  <c r="AJ22" i="1"/>
  <c r="AF22" i="1"/>
  <c r="AE22" i="1"/>
  <c r="AD22" i="1"/>
  <c r="AB22" i="1"/>
  <c r="V22" i="1"/>
  <c r="AZ22" i="1" s="1"/>
  <c r="U22" i="1"/>
  <c r="AY22" i="1" s="1"/>
  <c r="T22" i="1"/>
  <c r="R22" i="1"/>
  <c r="Q22" i="1"/>
  <c r="P22" i="1"/>
  <c r="O22" i="1"/>
  <c r="N22" i="1"/>
  <c r="M22" i="1"/>
  <c r="S22" i="1" s="1"/>
  <c r="J22" i="1"/>
  <c r="K22" i="1" s="1"/>
  <c r="I22" i="1"/>
  <c r="G22" i="1"/>
  <c r="BJ21" i="1"/>
  <c r="BL21" i="1" s="1"/>
  <c r="BB21" i="1"/>
  <c r="AX21" i="1"/>
  <c r="AV21" i="1"/>
  <c r="AW21" i="1" s="1"/>
  <c r="AT21" i="1"/>
  <c r="AR21" i="1"/>
  <c r="AN21" i="1"/>
  <c r="AM21" i="1"/>
  <c r="AL21" i="1"/>
  <c r="AJ21" i="1"/>
  <c r="AE21" i="1"/>
  <c r="AF21" i="1" s="1"/>
  <c r="AD21" i="1"/>
  <c r="AB21" i="1"/>
  <c r="V21" i="1"/>
  <c r="AZ21" i="1" s="1"/>
  <c r="U21" i="1"/>
  <c r="AY21" i="1" s="1"/>
  <c r="T21" i="1"/>
  <c r="Q21" i="1"/>
  <c r="P21" i="1"/>
  <c r="N21" i="1"/>
  <c r="R21" i="1" s="1"/>
  <c r="S21" i="1" s="1"/>
  <c r="M21" i="1"/>
  <c r="K21" i="1"/>
  <c r="J21" i="1"/>
  <c r="W21" i="1" s="1"/>
  <c r="BA21" i="1" s="1"/>
  <c r="I21" i="1"/>
  <c r="G21" i="1"/>
  <c r="BL20" i="1"/>
  <c r="BJ20" i="1"/>
  <c r="BB20" i="1"/>
  <c r="AW20" i="1"/>
  <c r="AV20" i="1"/>
  <c r="AT20" i="1"/>
  <c r="AR20" i="1"/>
  <c r="AN20" i="1"/>
  <c r="AM20" i="1"/>
  <c r="AL20" i="1"/>
  <c r="AJ20" i="1"/>
  <c r="AF20" i="1"/>
  <c r="AE20" i="1"/>
  <c r="AD20" i="1"/>
  <c r="AB20" i="1"/>
  <c r="U20" i="1"/>
  <c r="AY20" i="1" s="1"/>
  <c r="T20" i="1"/>
  <c r="R20" i="1"/>
  <c r="S20" i="1" s="1"/>
  <c r="P20" i="1"/>
  <c r="Q20" i="1" s="1"/>
  <c r="N20" i="1"/>
  <c r="M20" i="1"/>
  <c r="O20" i="1" s="1"/>
  <c r="J20" i="1"/>
  <c r="K20" i="1" s="1"/>
  <c r="I20" i="1"/>
  <c r="G20" i="1"/>
  <c r="BJ19" i="1"/>
  <c r="BL19" i="1" s="1"/>
  <c r="BB19" i="1"/>
  <c r="AZ19" i="1"/>
  <c r="AX19" i="1"/>
  <c r="AV19" i="1"/>
  <c r="AW19" i="1" s="1"/>
  <c r="AT19" i="1"/>
  <c r="AR19" i="1"/>
  <c r="AN19" i="1"/>
  <c r="AM19" i="1"/>
  <c r="AL19" i="1"/>
  <c r="AJ19" i="1"/>
  <c r="AF19" i="1"/>
  <c r="AE19" i="1"/>
  <c r="AD19" i="1"/>
  <c r="AB19" i="1"/>
  <c r="V19" i="1"/>
  <c r="T19" i="1"/>
  <c r="R19" i="1"/>
  <c r="S19" i="1" s="1"/>
  <c r="Q19" i="1"/>
  <c r="P19" i="1"/>
  <c r="O19" i="1"/>
  <c r="N19" i="1"/>
  <c r="U19" i="1" s="1"/>
  <c r="AY19" i="1" s="1"/>
  <c r="M19" i="1"/>
  <c r="K19" i="1"/>
  <c r="J19" i="1"/>
  <c r="W19" i="1" s="1"/>
  <c r="BA19" i="1" s="1"/>
  <c r="I19" i="1"/>
  <c r="G19" i="1"/>
  <c r="BJ18" i="1"/>
  <c r="BL18" i="1" s="1"/>
  <c r="BB18" i="1"/>
  <c r="AW18" i="1"/>
  <c r="AV18" i="1"/>
  <c r="AT18" i="1"/>
  <c r="AR18" i="1"/>
  <c r="AN18" i="1"/>
  <c r="AM18" i="1"/>
  <c r="AL18" i="1"/>
  <c r="AJ18" i="1"/>
  <c r="AE18" i="1"/>
  <c r="AF18" i="1" s="1"/>
  <c r="AD18" i="1"/>
  <c r="AB18" i="1"/>
  <c r="P18" i="1"/>
  <c r="Q18" i="1" s="1"/>
  <c r="N18" i="1"/>
  <c r="O18" i="1" s="1"/>
  <c r="M18" i="1"/>
  <c r="AX18" i="1" s="1"/>
  <c r="J18" i="1"/>
  <c r="K18" i="1" s="1"/>
  <c r="I18" i="1"/>
  <c r="G18" i="1"/>
  <c r="BL17" i="1"/>
  <c r="BJ17" i="1"/>
  <c r="BB17" i="1"/>
  <c r="AV17" i="1"/>
  <c r="AW17" i="1" s="1"/>
  <c r="AT17" i="1"/>
  <c r="AR17" i="1"/>
  <c r="AM17" i="1"/>
  <c r="AN17" i="1" s="1"/>
  <c r="AL17" i="1"/>
  <c r="AJ17" i="1"/>
  <c r="AF17" i="1"/>
  <c r="AE17" i="1"/>
  <c r="AD17" i="1"/>
  <c r="AB17" i="1"/>
  <c r="R17" i="1"/>
  <c r="P17" i="1"/>
  <c r="V17" i="1" s="1"/>
  <c r="AZ17" i="1" s="1"/>
  <c r="O17" i="1"/>
  <c r="N17" i="1"/>
  <c r="U17" i="1" s="1"/>
  <c r="AY17" i="1" s="1"/>
  <c r="M17" i="1"/>
  <c r="AX17" i="1" s="1"/>
  <c r="K17" i="1"/>
  <c r="J17" i="1"/>
  <c r="W17" i="1" s="1"/>
  <c r="BA17" i="1" s="1"/>
  <c r="I17" i="1"/>
  <c r="G17" i="1"/>
  <c r="BJ16" i="1"/>
  <c r="BL16" i="1" s="1"/>
  <c r="BB16" i="1"/>
  <c r="AX16" i="1"/>
  <c r="AW16" i="1"/>
  <c r="AV16" i="1"/>
  <c r="AT16" i="1"/>
  <c r="AR16" i="1"/>
  <c r="AN16" i="1"/>
  <c r="AM16" i="1"/>
  <c r="AL16" i="1"/>
  <c r="AJ16" i="1"/>
  <c r="AE16" i="1"/>
  <c r="AF16" i="1" s="1"/>
  <c r="AD16" i="1"/>
  <c r="AB16" i="1"/>
  <c r="P16" i="1"/>
  <c r="V16" i="1" s="1"/>
  <c r="AZ16" i="1" s="1"/>
  <c r="N16" i="1"/>
  <c r="M16" i="1"/>
  <c r="T16" i="1" s="1"/>
  <c r="K16" i="1"/>
  <c r="J16" i="1"/>
  <c r="I16" i="1"/>
  <c r="G16" i="1"/>
  <c r="BL15" i="1"/>
  <c r="BJ15" i="1"/>
  <c r="BB15" i="1"/>
  <c r="AY15" i="1"/>
  <c r="AW15" i="1"/>
  <c r="AV15" i="1"/>
  <c r="AT15" i="1"/>
  <c r="AR15" i="1"/>
  <c r="AN15" i="1"/>
  <c r="AM15" i="1"/>
  <c r="AL15" i="1"/>
  <c r="AJ15" i="1"/>
  <c r="AF15" i="1"/>
  <c r="AE15" i="1"/>
  <c r="AD15" i="1"/>
  <c r="AB15" i="1"/>
  <c r="P15" i="1"/>
  <c r="V15" i="1" s="1"/>
  <c r="AZ15" i="1" s="1"/>
  <c r="N15" i="1"/>
  <c r="U15" i="1" s="1"/>
  <c r="M15" i="1"/>
  <c r="J15" i="1"/>
  <c r="K15" i="1" s="1"/>
  <c r="I15" i="1"/>
  <c r="G15" i="1"/>
  <c r="BJ14" i="1"/>
  <c r="BL14" i="1" s="1"/>
  <c r="BB14" i="1"/>
  <c r="AX14" i="1"/>
  <c r="AV14" i="1"/>
  <c r="AW14" i="1" s="1"/>
  <c r="AT14" i="1"/>
  <c r="AR14" i="1"/>
  <c r="AN14" i="1"/>
  <c r="AM14" i="1"/>
  <c r="AL14" i="1"/>
  <c r="AJ14" i="1"/>
  <c r="AF14" i="1"/>
  <c r="AE14" i="1"/>
  <c r="AD14" i="1"/>
  <c r="AB14" i="1"/>
  <c r="V14" i="1"/>
  <c r="AZ14" i="1" s="1"/>
  <c r="P14" i="1"/>
  <c r="O14" i="1"/>
  <c r="N14" i="1"/>
  <c r="U14" i="1" s="1"/>
  <c r="AY14" i="1" s="1"/>
  <c r="M14" i="1"/>
  <c r="T14" i="1" s="1"/>
  <c r="K14" i="1"/>
  <c r="J14" i="1"/>
  <c r="I14" i="1"/>
  <c r="G14" i="1"/>
  <c r="BL13" i="1"/>
  <c r="BJ13" i="1"/>
  <c r="BB13" i="1"/>
  <c r="AW13" i="1"/>
  <c r="AV13" i="1"/>
  <c r="AT13" i="1"/>
  <c r="AR13" i="1"/>
  <c r="AN13" i="1"/>
  <c r="AM13" i="1"/>
  <c r="AL13" i="1"/>
  <c r="AJ13" i="1"/>
  <c r="AE13" i="1"/>
  <c r="AF13" i="1" s="1"/>
  <c r="AD13" i="1"/>
  <c r="AB13" i="1"/>
  <c r="U13" i="1"/>
  <c r="AY13" i="1" s="1"/>
  <c r="P13" i="1"/>
  <c r="V13" i="1" s="1"/>
  <c r="AZ13" i="1" s="1"/>
  <c r="N13" i="1"/>
  <c r="R13" i="1" s="1"/>
  <c r="M13" i="1"/>
  <c r="AX13" i="1" s="1"/>
  <c r="J13" i="1"/>
  <c r="K13" i="1" s="1"/>
  <c r="I13" i="1"/>
  <c r="G13" i="1"/>
  <c r="BJ12" i="1"/>
  <c r="BL12" i="1" s="1"/>
  <c r="BB12" i="1"/>
  <c r="AY12" i="1"/>
  <c r="AV12" i="1"/>
  <c r="AW12" i="1" s="1"/>
  <c r="AT12" i="1"/>
  <c r="AR12" i="1"/>
  <c r="AN12" i="1"/>
  <c r="AM12" i="1"/>
  <c r="AL12" i="1"/>
  <c r="AJ12" i="1"/>
  <c r="AF12" i="1"/>
  <c r="AE12" i="1"/>
  <c r="AD12" i="1"/>
  <c r="AB12" i="1"/>
  <c r="V12" i="1"/>
  <c r="AZ12" i="1" s="1"/>
  <c r="U12" i="1"/>
  <c r="R12" i="1"/>
  <c r="P12" i="1"/>
  <c r="N12" i="1"/>
  <c r="M12" i="1"/>
  <c r="T12" i="1" s="1"/>
  <c r="K12" i="1"/>
  <c r="J12" i="1"/>
  <c r="W12" i="1" s="1"/>
  <c r="BA12" i="1" s="1"/>
  <c r="I12" i="1"/>
  <c r="G12" i="1"/>
  <c r="BL11" i="1"/>
  <c r="BJ11" i="1"/>
  <c r="BB11" i="1"/>
  <c r="AX11" i="1"/>
  <c r="AW11" i="1"/>
  <c r="AV11" i="1"/>
  <c r="AT11" i="1"/>
  <c r="AR11" i="1"/>
  <c r="AN11" i="1"/>
  <c r="AM11" i="1"/>
  <c r="AL11" i="1"/>
  <c r="AJ11" i="1"/>
  <c r="AE11" i="1"/>
  <c r="AF11" i="1" s="1"/>
  <c r="AD11" i="1"/>
  <c r="AB11" i="1"/>
  <c r="V11" i="1"/>
  <c r="AZ11" i="1" s="1"/>
  <c r="U11" i="1"/>
  <c r="AY11" i="1" s="1"/>
  <c r="T11" i="1"/>
  <c r="P11" i="1"/>
  <c r="R11" i="1" s="1"/>
  <c r="S11" i="1" s="1"/>
  <c r="N11" i="1"/>
  <c r="O11" i="1" s="1"/>
  <c r="M11" i="1"/>
  <c r="J11" i="1"/>
  <c r="K11" i="1" s="1"/>
  <c r="I11" i="1"/>
  <c r="G11" i="1"/>
  <c r="BL10" i="1"/>
  <c r="BJ10" i="1"/>
  <c r="BB10" i="1"/>
  <c r="AV10" i="1"/>
  <c r="AW10" i="1" s="1"/>
  <c r="AT10" i="1"/>
  <c r="AR10" i="1"/>
  <c r="AN10" i="1"/>
  <c r="AM10" i="1"/>
  <c r="AL10" i="1"/>
  <c r="AJ10" i="1"/>
  <c r="AF10" i="1"/>
  <c r="AE10" i="1"/>
  <c r="AD10" i="1"/>
  <c r="AB10" i="1"/>
  <c r="V10" i="1"/>
  <c r="AZ10" i="1" s="1"/>
  <c r="U10" i="1"/>
  <c r="AY10" i="1" s="1"/>
  <c r="T10" i="1"/>
  <c r="R10" i="1"/>
  <c r="Q10" i="1"/>
  <c r="P10" i="1"/>
  <c r="O10" i="1"/>
  <c r="N10" i="1"/>
  <c r="M10" i="1"/>
  <c r="S10" i="1" s="1"/>
  <c r="J10" i="1"/>
  <c r="W10" i="1" s="1"/>
  <c r="BA10" i="1" s="1"/>
  <c r="I10" i="1"/>
  <c r="G10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J9" i="1"/>
  <c r="BL9" i="1" s="1"/>
  <c r="BB9" i="1"/>
  <c r="AX9" i="1"/>
  <c r="AV9" i="1"/>
  <c r="AW9" i="1" s="1"/>
  <c r="AT9" i="1"/>
  <c r="AR9" i="1"/>
  <c r="AN9" i="1"/>
  <c r="AM9" i="1"/>
  <c r="AL9" i="1"/>
  <c r="AJ9" i="1"/>
  <c r="AE9" i="1"/>
  <c r="AF9" i="1" s="1"/>
  <c r="AD9" i="1"/>
  <c r="AB9" i="1"/>
  <c r="V9" i="1"/>
  <c r="AZ9" i="1" s="1"/>
  <c r="U9" i="1"/>
  <c r="AY9" i="1" s="1"/>
  <c r="T9" i="1"/>
  <c r="S9" i="1"/>
  <c r="Q9" i="1"/>
  <c r="P9" i="1"/>
  <c r="N9" i="1"/>
  <c r="R9" i="1" s="1"/>
  <c r="M9" i="1"/>
  <c r="K9" i="1"/>
  <c r="J9" i="1"/>
  <c r="W9" i="1" s="1"/>
  <c r="BA9" i="1" s="1"/>
  <c r="I9" i="1"/>
  <c r="G9" i="1"/>
  <c r="BL8" i="1"/>
  <c r="BJ8" i="1"/>
  <c r="BB8" i="1"/>
  <c r="AW8" i="1"/>
  <c r="AV8" i="1"/>
  <c r="AT8" i="1"/>
  <c r="AR8" i="1"/>
  <c r="AN8" i="1"/>
  <c r="AM8" i="1"/>
  <c r="AL8" i="1"/>
  <c r="AJ8" i="1"/>
  <c r="AF8" i="1"/>
  <c r="AE8" i="1"/>
  <c r="AD8" i="1"/>
  <c r="AB8" i="1"/>
  <c r="U8" i="1"/>
  <c r="AY8" i="1" s="1"/>
  <c r="T8" i="1"/>
  <c r="R8" i="1"/>
  <c r="S8" i="1" s="1"/>
  <c r="P8" i="1"/>
  <c r="Q8" i="1" s="1"/>
  <c r="N8" i="1"/>
  <c r="M8" i="1"/>
  <c r="O8" i="1" s="1"/>
  <c r="J8" i="1"/>
  <c r="K8" i="1" s="1"/>
  <c r="I8" i="1"/>
  <c r="G8" i="1"/>
  <c r="BJ7" i="1"/>
  <c r="BL7" i="1" s="1"/>
  <c r="BB7" i="1"/>
  <c r="AZ7" i="1"/>
  <c r="AX7" i="1"/>
  <c r="AV7" i="1"/>
  <c r="AW7" i="1" s="1"/>
  <c r="AT7" i="1"/>
  <c r="AR7" i="1"/>
  <c r="AN7" i="1"/>
  <c r="AM7" i="1"/>
  <c r="AL7" i="1"/>
  <c r="AJ7" i="1"/>
  <c r="AF7" i="1"/>
  <c r="AE7" i="1"/>
  <c r="AD7" i="1"/>
  <c r="AB7" i="1"/>
  <c r="V7" i="1"/>
  <c r="T7" i="1"/>
  <c r="S7" i="1"/>
  <c r="R7" i="1"/>
  <c r="Q7" i="1"/>
  <c r="P7" i="1"/>
  <c r="O7" i="1"/>
  <c r="N7" i="1"/>
  <c r="U7" i="1" s="1"/>
  <c r="AY7" i="1" s="1"/>
  <c r="M7" i="1"/>
  <c r="K7" i="1"/>
  <c r="J7" i="1"/>
  <c r="W7" i="1" s="1"/>
  <c r="BA7" i="1" s="1"/>
  <c r="I7" i="1"/>
  <c r="G7" i="1"/>
  <c r="BJ6" i="1"/>
  <c r="BL6" i="1" s="1"/>
  <c r="BB6" i="1"/>
  <c r="AW6" i="1"/>
  <c r="AV6" i="1"/>
  <c r="AT6" i="1"/>
  <c r="AR6" i="1"/>
  <c r="AN6" i="1"/>
  <c r="AM6" i="1"/>
  <c r="AL6" i="1"/>
  <c r="AJ6" i="1"/>
  <c r="AE6" i="1"/>
  <c r="AF6" i="1" s="1"/>
  <c r="AD6" i="1"/>
  <c r="AB6" i="1"/>
  <c r="P6" i="1"/>
  <c r="N6" i="1"/>
  <c r="O6" i="1" s="1"/>
  <c r="M6" i="1"/>
  <c r="AX6" i="1" s="1"/>
  <c r="J6" i="1"/>
  <c r="K6" i="1" s="1"/>
  <c r="I6" i="1"/>
  <c r="G6" i="1"/>
  <c r="BJ5" i="1"/>
  <c r="BL5" i="1" s="1"/>
  <c r="BB5" i="1"/>
  <c r="AV5" i="1"/>
  <c r="AV36" i="1" s="1"/>
  <c r="AT5" i="1"/>
  <c r="AR5" i="1"/>
  <c r="AN5" i="1"/>
  <c r="AM5" i="1"/>
  <c r="AL5" i="1"/>
  <c r="AJ5" i="1"/>
  <c r="AF5" i="1"/>
  <c r="AE5" i="1"/>
  <c r="AE36" i="1" s="1"/>
  <c r="AD5" i="1"/>
  <c r="AB5" i="1"/>
  <c r="P5" i="1"/>
  <c r="O5" i="1"/>
  <c r="N5" i="1"/>
  <c r="M5" i="1"/>
  <c r="AX5" i="1" s="1"/>
  <c r="K5" i="1"/>
  <c r="J5" i="1"/>
  <c r="I5" i="1"/>
  <c r="G5" i="1"/>
  <c r="B5" i="1"/>
  <c r="B6" i="1" s="1"/>
  <c r="B7" i="1" s="1"/>
  <c r="B8" i="1" s="1"/>
  <c r="B9" i="1" s="1"/>
  <c r="U11" i="3" l="1"/>
  <c r="AY11" i="3" s="1"/>
  <c r="O11" i="3"/>
  <c r="K16" i="3"/>
  <c r="W16" i="3"/>
  <c r="BA16" i="3" s="1"/>
  <c r="Q8" i="3"/>
  <c r="V8" i="3"/>
  <c r="AZ8" i="3" s="1"/>
  <c r="R11" i="3"/>
  <c r="W11" i="3" s="1"/>
  <c r="BA11" i="3" s="1"/>
  <c r="W24" i="3"/>
  <c r="BA24" i="3" s="1"/>
  <c r="K24" i="3"/>
  <c r="BA5" i="3"/>
  <c r="BJ36" i="3"/>
  <c r="V9" i="3"/>
  <c r="AZ9" i="3" s="1"/>
  <c r="Q9" i="3"/>
  <c r="Q13" i="3"/>
  <c r="T25" i="3"/>
  <c r="AX25" i="3"/>
  <c r="K5" i="3"/>
  <c r="AZ6" i="3"/>
  <c r="AZ36" i="3" s="1"/>
  <c r="AZ37" i="3" s="1"/>
  <c r="S23" i="3"/>
  <c r="T23" i="3"/>
  <c r="Q23" i="3"/>
  <c r="V26" i="3"/>
  <c r="AZ26" i="3" s="1"/>
  <c r="Q26" i="3"/>
  <c r="Q27" i="3"/>
  <c r="R31" i="3"/>
  <c r="S31" i="3" s="1"/>
  <c r="O31" i="3"/>
  <c r="U31" i="3"/>
  <c r="AY31" i="3" s="1"/>
  <c r="S30" i="3"/>
  <c r="K10" i="3"/>
  <c r="W10" i="3"/>
  <c r="BA10" i="3" s="1"/>
  <c r="T11" i="3"/>
  <c r="AX11" i="3"/>
  <c r="Q11" i="3"/>
  <c r="K34" i="3"/>
  <c r="W12" i="3"/>
  <c r="BA12" i="3" s="1"/>
  <c r="N36" i="3"/>
  <c r="W14" i="3"/>
  <c r="BA14" i="3" s="1"/>
  <c r="U22" i="3"/>
  <c r="AY22" i="3" s="1"/>
  <c r="R22" i="3"/>
  <c r="W22" i="3" s="1"/>
  <c r="BA22" i="3" s="1"/>
  <c r="O22" i="3"/>
  <c r="K9" i="3"/>
  <c r="K15" i="3"/>
  <c r="W15" i="3"/>
  <c r="BA15" i="3" s="1"/>
  <c r="BA21" i="3"/>
  <c r="U23" i="3"/>
  <c r="AY23" i="3" s="1"/>
  <c r="O23" i="3"/>
  <c r="R23" i="3"/>
  <c r="W23" i="3" s="1"/>
  <c r="BA23" i="3" s="1"/>
  <c r="W32" i="3"/>
  <c r="BA32" i="3" s="1"/>
  <c r="AM36" i="3"/>
  <c r="BB36" i="3"/>
  <c r="T18" i="3"/>
  <c r="S18" i="3"/>
  <c r="T30" i="3"/>
  <c r="K7" i="3"/>
  <c r="W7" i="3"/>
  <c r="BA7" i="3" s="1"/>
  <c r="AX18" i="3"/>
  <c r="V22" i="3"/>
  <c r="AZ22" i="3" s="1"/>
  <c r="Q22" i="3"/>
  <c r="BJ50" i="3"/>
  <c r="BJ71" i="3" s="1"/>
  <c r="BF46" i="3" s="1"/>
  <c r="BH71" i="3"/>
  <c r="Q7" i="3"/>
  <c r="AX7" i="3"/>
  <c r="AX36" i="3" s="1"/>
  <c r="AX21" i="3"/>
  <c r="O30" i="3"/>
  <c r="T34" i="3"/>
  <c r="T9" i="3"/>
  <c r="S9" i="3"/>
  <c r="R13" i="3"/>
  <c r="S13" i="3" s="1"/>
  <c r="O20" i="3"/>
  <c r="S24" i="3"/>
  <c r="T24" i="3"/>
  <c r="R27" i="3"/>
  <c r="S27" i="3" s="1"/>
  <c r="Q30" i="3"/>
  <c r="T35" i="3"/>
  <c r="S35" i="3"/>
  <c r="P36" i="3"/>
  <c r="BL5" i="3"/>
  <c r="BL36" i="3" s="1"/>
  <c r="O7" i="3"/>
  <c r="W8" i="3"/>
  <c r="BA8" i="3" s="1"/>
  <c r="R9" i="3"/>
  <c r="W9" i="3" s="1"/>
  <c r="O13" i="3"/>
  <c r="BA18" i="3"/>
  <c r="W19" i="3"/>
  <c r="BA19" i="3" s="1"/>
  <c r="O24" i="3"/>
  <c r="O27" i="3"/>
  <c r="V33" i="3"/>
  <c r="AZ33" i="3" s="1"/>
  <c r="U35" i="3"/>
  <c r="AY35" i="3" s="1"/>
  <c r="O35" i="3"/>
  <c r="BJ62" i="3"/>
  <c r="T5" i="3"/>
  <c r="T10" i="3"/>
  <c r="S10" i="3"/>
  <c r="Q28" i="3"/>
  <c r="O32" i="3"/>
  <c r="S8" i="3"/>
  <c r="U10" i="3"/>
  <c r="AY10" i="3" s="1"/>
  <c r="O10" i="3"/>
  <c r="U13" i="3"/>
  <c r="AY13" i="3" s="1"/>
  <c r="Q16" i="3"/>
  <c r="Q19" i="3"/>
  <c r="AX19" i="3"/>
  <c r="AX35" i="3"/>
  <c r="AD36" i="3"/>
  <c r="AT37" i="3"/>
  <c r="BE42" i="3"/>
  <c r="BE46" i="3" s="1"/>
  <c r="BH46" i="3" s="1"/>
  <c r="W6" i="3"/>
  <c r="BA6" i="3" s="1"/>
  <c r="Q18" i="3"/>
  <c r="AB37" i="3"/>
  <c r="R8" i="3"/>
  <c r="O12" i="3"/>
  <c r="R19" i="3"/>
  <c r="S19" i="3" s="1"/>
  <c r="O19" i="3"/>
  <c r="Q21" i="3"/>
  <c r="R25" i="3"/>
  <c r="W25" i="3" s="1"/>
  <c r="BA25" i="3" s="1"/>
  <c r="AE36" i="3"/>
  <c r="X53" i="3"/>
  <c r="Y58" i="3"/>
  <c r="X56" i="3"/>
  <c r="O18" i="3"/>
  <c r="T21" i="3"/>
  <c r="S21" i="3"/>
  <c r="T13" i="3"/>
  <c r="O25" i="3"/>
  <c r="J49" i="3"/>
  <c r="O8" i="3"/>
  <c r="AX9" i="3"/>
  <c r="Q10" i="3"/>
  <c r="V12" i="3"/>
  <c r="AZ12" i="3" s="1"/>
  <c r="Q12" i="3"/>
  <c r="T22" i="3"/>
  <c r="U26" i="3"/>
  <c r="AY26" i="3" s="1"/>
  <c r="R26" i="3"/>
  <c r="S26" i="3" s="1"/>
  <c r="U32" i="3"/>
  <c r="AY32" i="3" s="1"/>
  <c r="M36" i="3"/>
  <c r="N38" i="3" s="1"/>
  <c r="AV36" i="3"/>
  <c r="BJ52" i="3"/>
  <c r="W31" i="3"/>
  <c r="BA31" i="3" s="1"/>
  <c r="T15" i="3"/>
  <c r="U16" i="3"/>
  <c r="AY16" i="3" s="1"/>
  <c r="AY36" i="3" s="1"/>
  <c r="AY37" i="3" s="1"/>
  <c r="Q25" i="3"/>
  <c r="O34" i="3"/>
  <c r="W28" i="3"/>
  <c r="BA28" i="3" s="1"/>
  <c r="AB36" i="3"/>
  <c r="G24" i="3"/>
  <c r="U24" i="3"/>
  <c r="AY24" i="3" s="1"/>
  <c r="W26" i="3"/>
  <c r="BA26" i="3" s="1"/>
  <c r="S33" i="3"/>
  <c r="AC37" i="3"/>
  <c r="AD37" i="3" s="1"/>
  <c r="R34" i="3"/>
  <c r="S34" i="3" s="1"/>
  <c r="J36" i="2"/>
  <c r="BB37" i="2"/>
  <c r="AM37" i="2"/>
  <c r="AN36" i="2"/>
  <c r="W18" i="2"/>
  <c r="BA18" i="2" s="1"/>
  <c r="U8" i="2"/>
  <c r="AY8" i="2" s="1"/>
  <c r="R8" i="2"/>
  <c r="S8" i="2" s="1"/>
  <c r="U7" i="2"/>
  <c r="AY7" i="2" s="1"/>
  <c r="R7" i="2"/>
  <c r="T5" i="2"/>
  <c r="Q5" i="2"/>
  <c r="T6" i="2"/>
  <c r="S6" i="2"/>
  <c r="K17" i="2"/>
  <c r="K18" i="2"/>
  <c r="BE42" i="2"/>
  <c r="AT37" i="2"/>
  <c r="AS51" i="2"/>
  <c r="N36" i="2"/>
  <c r="BL41" i="2"/>
  <c r="BK46" i="2"/>
  <c r="U6" i="2"/>
  <c r="AY6" i="2" s="1"/>
  <c r="R6" i="2"/>
  <c r="O6" i="2"/>
  <c r="AX6" i="2"/>
  <c r="S18" i="2"/>
  <c r="T18" i="2"/>
  <c r="T19" i="2"/>
  <c r="S19" i="2"/>
  <c r="Q19" i="2"/>
  <c r="V21" i="2"/>
  <c r="AZ21" i="2" s="1"/>
  <c r="Q21" i="2"/>
  <c r="V22" i="2"/>
  <c r="AZ22" i="2" s="1"/>
  <c r="R22" i="2"/>
  <c r="S22" i="2" s="1"/>
  <c r="AX32" i="2"/>
  <c r="T32" i="2"/>
  <c r="U33" i="2"/>
  <c r="AY33" i="2" s="1"/>
  <c r="R33" i="2"/>
  <c r="S33" i="2" s="1"/>
  <c r="W35" i="2"/>
  <c r="BA35" i="2" s="1"/>
  <c r="AB37" i="2"/>
  <c r="BL43" i="2"/>
  <c r="K5" i="2"/>
  <c r="R10" i="2"/>
  <c r="S10" i="2" s="1"/>
  <c r="AZ5" i="2"/>
  <c r="U19" i="2"/>
  <c r="AY19" i="2" s="1"/>
  <c r="R19" i="2"/>
  <c r="W19" i="2" s="1"/>
  <c r="BA19" i="2" s="1"/>
  <c r="O19" i="2"/>
  <c r="W31" i="2"/>
  <c r="BA31" i="2" s="1"/>
  <c r="U32" i="2"/>
  <c r="AY32" i="2" s="1"/>
  <c r="R32" i="2"/>
  <c r="W32" i="2" s="1"/>
  <c r="BA32" i="2" s="1"/>
  <c r="AD36" i="2"/>
  <c r="BH71" i="2"/>
  <c r="BJ50" i="2"/>
  <c r="BJ71" i="2" s="1"/>
  <c r="AX7" i="2"/>
  <c r="T7" i="2"/>
  <c r="S7" i="2"/>
  <c r="O8" i="2"/>
  <c r="AX5" i="2"/>
  <c r="AX36" i="2" s="1"/>
  <c r="R23" i="2"/>
  <c r="S23" i="2" s="1"/>
  <c r="K30" i="2"/>
  <c r="O32" i="2"/>
  <c r="Q33" i="2"/>
  <c r="V33" i="2"/>
  <c r="AZ33" i="2" s="1"/>
  <c r="V34" i="2"/>
  <c r="AZ34" i="2" s="1"/>
  <c r="R34" i="2"/>
  <c r="S34" i="2" s="1"/>
  <c r="BI71" i="2"/>
  <c r="AS52" i="2" s="1"/>
  <c r="W6" i="2"/>
  <c r="BA6" i="2" s="1"/>
  <c r="K16" i="2"/>
  <c r="AY5" i="2"/>
  <c r="W15" i="2"/>
  <c r="BA15" i="2" s="1"/>
  <c r="T30" i="2"/>
  <c r="S30" i="2"/>
  <c r="T31" i="2"/>
  <c r="V9" i="2"/>
  <c r="AZ9" i="2" s="1"/>
  <c r="R9" i="2"/>
  <c r="S9" i="2" s="1"/>
  <c r="Q9" i="2"/>
  <c r="U20" i="2"/>
  <c r="AY20" i="2" s="1"/>
  <c r="R20" i="2"/>
  <c r="W20" i="2" s="1"/>
  <c r="BA20" i="2" s="1"/>
  <c r="U21" i="2"/>
  <c r="AY21" i="2" s="1"/>
  <c r="R21" i="2"/>
  <c r="S21" i="2" s="1"/>
  <c r="BA28" i="2"/>
  <c r="W34" i="2"/>
  <c r="BA34" i="2" s="1"/>
  <c r="U31" i="2"/>
  <c r="AY31" i="2" s="1"/>
  <c r="O31" i="2"/>
  <c r="R31" i="2"/>
  <c r="S31" i="2" s="1"/>
  <c r="AX31" i="2"/>
  <c r="Q10" i="2"/>
  <c r="AX20" i="2"/>
  <c r="T20" i="2"/>
  <c r="S20" i="2"/>
  <c r="O7" i="2"/>
  <c r="V8" i="2"/>
  <c r="AZ8" i="2" s="1"/>
  <c r="Q8" i="2"/>
  <c r="BJ36" i="2"/>
  <c r="W11" i="2"/>
  <c r="BA11" i="2" s="1"/>
  <c r="BA27" i="2"/>
  <c r="Q35" i="2"/>
  <c r="AE36" i="2"/>
  <c r="AX30" i="2"/>
  <c r="R35" i="2"/>
  <c r="S35" i="2" s="1"/>
  <c r="BJ46" i="2"/>
  <c r="O5" i="2"/>
  <c r="AF5" i="2"/>
  <c r="Q7" i="2"/>
  <c r="W13" i="2"/>
  <c r="BA13" i="2" s="1"/>
  <c r="K14" i="2"/>
  <c r="AX14" i="2"/>
  <c r="O18" i="2"/>
  <c r="Q20" i="2"/>
  <c r="W26" i="2"/>
  <c r="BA26" i="2" s="1"/>
  <c r="O30" i="2"/>
  <c r="Q32" i="2"/>
  <c r="P36" i="2"/>
  <c r="AB36" i="2"/>
  <c r="AR37" i="2"/>
  <c r="Q6" i="2"/>
  <c r="W12" i="2"/>
  <c r="BA12" i="2" s="1"/>
  <c r="O16" i="2"/>
  <c r="O17" i="2"/>
  <c r="W25" i="2"/>
  <c r="BA25" i="2" s="1"/>
  <c r="O29" i="2"/>
  <c r="Q31" i="2"/>
  <c r="AC37" i="2"/>
  <c r="AD37" i="2" s="1"/>
  <c r="S46" i="2"/>
  <c r="O15" i="2"/>
  <c r="Q18" i="2"/>
  <c r="O28" i="2"/>
  <c r="Q30" i="2"/>
  <c r="X56" i="2"/>
  <c r="R5" i="2"/>
  <c r="W5" i="2" s="1"/>
  <c r="BL5" i="2"/>
  <c r="O14" i="2"/>
  <c r="Q16" i="2"/>
  <c r="R18" i="2"/>
  <c r="O27" i="2"/>
  <c r="Q29" i="2"/>
  <c r="R30" i="2"/>
  <c r="W30" i="2" s="1"/>
  <c r="BA30" i="2" s="1"/>
  <c r="W9" i="2"/>
  <c r="BA9" i="2" s="1"/>
  <c r="R17" i="2"/>
  <c r="W17" i="2" s="1"/>
  <c r="BA17" i="2" s="1"/>
  <c r="W22" i="2"/>
  <c r="BA22" i="2" s="1"/>
  <c r="O26" i="2"/>
  <c r="AV36" i="2"/>
  <c r="S16" i="2"/>
  <c r="BL16" i="2"/>
  <c r="K34" i="2"/>
  <c r="R29" i="2"/>
  <c r="W29" i="2" s="1"/>
  <c r="BA29" i="2" s="1"/>
  <c r="W7" i="2"/>
  <c r="BA7" i="2" s="1"/>
  <c r="S15" i="2"/>
  <c r="S28" i="2"/>
  <c r="AT37" i="1"/>
  <c r="BE43" i="1"/>
  <c r="AX15" i="1"/>
  <c r="T15" i="1"/>
  <c r="S15" i="1"/>
  <c r="O15" i="1"/>
  <c r="O16" i="1"/>
  <c r="U16" i="1"/>
  <c r="AY16" i="1" s="1"/>
  <c r="R16" i="1"/>
  <c r="S16" i="1" s="1"/>
  <c r="W5" i="1"/>
  <c r="AM36" i="1"/>
  <c r="Q6" i="1"/>
  <c r="V6" i="1"/>
  <c r="AZ6" i="1" s="1"/>
  <c r="W23" i="1"/>
  <c r="BA23" i="1" s="1"/>
  <c r="P36" i="1"/>
  <c r="AF36" i="1"/>
  <c r="AE37" i="1"/>
  <c r="N36" i="1"/>
  <c r="AV37" i="1"/>
  <c r="AW36" i="1"/>
  <c r="BB36" i="1"/>
  <c r="W13" i="1"/>
  <c r="BA13" i="1" s="1"/>
  <c r="BL36" i="1"/>
  <c r="W28" i="1"/>
  <c r="BA28" i="1" s="1"/>
  <c r="K37" i="1"/>
  <c r="BJ71" i="1"/>
  <c r="BF46" i="1" s="1"/>
  <c r="Q5" i="1"/>
  <c r="W11" i="1"/>
  <c r="BA11" i="1" s="1"/>
  <c r="AX12" i="1"/>
  <c r="Q17" i="1"/>
  <c r="R18" i="1"/>
  <c r="S18" i="1" s="1"/>
  <c r="K24" i="1"/>
  <c r="AX24" i="1"/>
  <c r="O27" i="1"/>
  <c r="Q29" i="1"/>
  <c r="R30" i="1"/>
  <c r="S30" i="1" s="1"/>
  <c r="T32" i="1"/>
  <c r="U33" i="1"/>
  <c r="AY33" i="1" s="1"/>
  <c r="W35" i="1"/>
  <c r="BA35" i="1" s="1"/>
  <c r="G36" i="1"/>
  <c r="X55" i="1"/>
  <c r="W34" i="1"/>
  <c r="BA34" i="1" s="1"/>
  <c r="BJ36" i="1"/>
  <c r="W22" i="1"/>
  <c r="BA22" i="1" s="1"/>
  <c r="T6" i="1"/>
  <c r="V8" i="1"/>
  <c r="AZ8" i="1" s="1"/>
  <c r="K10" i="1"/>
  <c r="AX10" i="1"/>
  <c r="AX36" i="1" s="1"/>
  <c r="O13" i="1"/>
  <c r="Q15" i="1"/>
  <c r="S17" i="1"/>
  <c r="T18" i="1"/>
  <c r="V20" i="1"/>
  <c r="AZ20" i="1" s="1"/>
  <c r="AX22" i="1"/>
  <c r="O25" i="1"/>
  <c r="Q27" i="1"/>
  <c r="R28" i="1"/>
  <c r="S28" i="1" s="1"/>
  <c r="S29" i="1"/>
  <c r="T30" i="1"/>
  <c r="V32" i="1"/>
  <c r="AZ32" i="1" s="1"/>
  <c r="W33" i="1"/>
  <c r="BA33" i="1" s="1"/>
  <c r="I36" i="1"/>
  <c r="X53" i="1"/>
  <c r="Y58" i="1"/>
  <c r="X58" i="1" s="1"/>
  <c r="Q16" i="1"/>
  <c r="T5" i="1"/>
  <c r="U6" i="1"/>
  <c r="AY6" i="1" s="1"/>
  <c r="W8" i="1"/>
  <c r="BA8" i="1" s="1"/>
  <c r="O12" i="1"/>
  <c r="Q14" i="1"/>
  <c r="R15" i="1"/>
  <c r="W15" i="1" s="1"/>
  <c r="BA15" i="1" s="1"/>
  <c r="T17" i="1"/>
  <c r="U18" i="1"/>
  <c r="AY18" i="1" s="1"/>
  <c r="W20" i="1"/>
  <c r="BA20" i="1" s="1"/>
  <c r="O24" i="1"/>
  <c r="Q26" i="1"/>
  <c r="R27" i="1"/>
  <c r="W27" i="1" s="1"/>
  <c r="BA27" i="1" s="1"/>
  <c r="T29" i="1"/>
  <c r="U30" i="1"/>
  <c r="AY30" i="1" s="1"/>
  <c r="U5" i="1"/>
  <c r="AX8" i="1"/>
  <c r="Q13" i="1"/>
  <c r="R14" i="1"/>
  <c r="W14" i="1" s="1"/>
  <c r="BA14" i="1" s="1"/>
  <c r="V18" i="1"/>
  <c r="AZ18" i="1" s="1"/>
  <c r="AX20" i="1"/>
  <c r="Q25" i="1"/>
  <c r="R26" i="1"/>
  <c r="S26" i="1" s="1"/>
  <c r="V30" i="1"/>
  <c r="AZ30" i="1" s="1"/>
  <c r="AX32" i="1"/>
  <c r="O35" i="1"/>
  <c r="R6" i="1"/>
  <c r="S6" i="1" s="1"/>
  <c r="R5" i="1"/>
  <c r="S5" i="1" s="1"/>
  <c r="V5" i="1"/>
  <c r="W6" i="1"/>
  <c r="BA6" i="1" s="1"/>
  <c r="Q12" i="1"/>
  <c r="S14" i="1"/>
  <c r="W18" i="1"/>
  <c r="BA18" i="1" s="1"/>
  <c r="U28" i="1"/>
  <c r="AY28" i="1" s="1"/>
  <c r="W30" i="1"/>
  <c r="BA30" i="1" s="1"/>
  <c r="Q24" i="1"/>
  <c r="T27" i="1"/>
  <c r="AW5" i="1"/>
  <c r="O9" i="1"/>
  <c r="Q11" i="1"/>
  <c r="S13" i="1"/>
  <c r="O21" i="1"/>
  <c r="Q23" i="1"/>
  <c r="S25" i="1"/>
  <c r="O33" i="1"/>
  <c r="Q35" i="1"/>
  <c r="M36" i="1"/>
  <c r="N38" i="1" s="1"/>
  <c r="S12" i="1"/>
  <c r="T13" i="1"/>
  <c r="R23" i="1"/>
  <c r="S23" i="1" s="1"/>
  <c r="T25" i="1"/>
  <c r="BA9" i="3" l="1"/>
  <c r="BC38" i="3"/>
  <c r="AM37" i="3"/>
  <c r="AN36" i="3"/>
  <c r="BG46" i="3"/>
  <c r="N37" i="3"/>
  <c r="O37" i="3" s="1"/>
  <c r="O36" i="3"/>
  <c r="S25" i="3"/>
  <c r="R36" i="3"/>
  <c r="J36" i="3"/>
  <c r="BB37" i="3"/>
  <c r="T36" i="3"/>
  <c r="AV37" i="3"/>
  <c r="AW36" i="3"/>
  <c r="W34" i="3"/>
  <c r="BA34" i="3" s="1"/>
  <c r="X59" i="3"/>
  <c r="X58" i="3"/>
  <c r="AF36" i="3"/>
  <c r="AE37" i="3"/>
  <c r="W13" i="3"/>
  <c r="BA13" i="3" s="1"/>
  <c r="BA36" i="3" s="1"/>
  <c r="W27" i="3"/>
  <c r="BA27" i="3" s="1"/>
  <c r="V36" i="3"/>
  <c r="V37" i="3" s="1"/>
  <c r="Q36" i="3"/>
  <c r="P37" i="3"/>
  <c r="Q37" i="3" s="1"/>
  <c r="U36" i="3"/>
  <c r="U37" i="3" s="1"/>
  <c r="S22" i="3"/>
  <c r="S11" i="3"/>
  <c r="BA5" i="2"/>
  <c r="W21" i="2"/>
  <c r="BA21" i="2" s="1"/>
  <c r="W23" i="2"/>
  <c r="BA23" i="2" s="1"/>
  <c r="V36" i="2"/>
  <c r="V37" i="2" s="1"/>
  <c r="BC45" i="2"/>
  <c r="BB45" i="2"/>
  <c r="U36" i="2"/>
  <c r="U37" i="2" s="1"/>
  <c r="R36" i="2"/>
  <c r="O36" i="2"/>
  <c r="N37" i="2"/>
  <c r="O37" i="2" s="1"/>
  <c r="W33" i="2"/>
  <c r="BA33" i="2" s="1"/>
  <c r="P37" i="2"/>
  <c r="Q37" i="2" s="1"/>
  <c r="Q36" i="2"/>
  <c r="BL46" i="2"/>
  <c r="BP46" i="2"/>
  <c r="BQ46" i="2" s="1"/>
  <c r="K36" i="2"/>
  <c r="J37" i="2"/>
  <c r="S29" i="2"/>
  <c r="AY36" i="2"/>
  <c r="AY37" i="2" s="1"/>
  <c r="S32" i="2"/>
  <c r="S17" i="2"/>
  <c r="AN38" i="2"/>
  <c r="AM46" i="2"/>
  <c r="AM47" i="2" s="1"/>
  <c r="AN47" i="2"/>
  <c r="AN37" i="2"/>
  <c r="AS53" i="2"/>
  <c r="S5" i="2"/>
  <c r="BG41" i="2"/>
  <c r="BE46" i="2"/>
  <c r="BO46" i="2"/>
  <c r="BM46" i="2"/>
  <c r="AZ36" i="2"/>
  <c r="AZ37" i="2" s="1"/>
  <c r="AF36" i="2"/>
  <c r="AE37" i="2"/>
  <c r="W8" i="2"/>
  <c r="BA8" i="2" s="1"/>
  <c r="T36" i="2"/>
  <c r="BC38" i="2" s="1"/>
  <c r="AW36" i="2"/>
  <c r="AV37" i="2"/>
  <c r="W10" i="2"/>
  <c r="BA10" i="2" s="1"/>
  <c r="BL36" i="2"/>
  <c r="BO42" i="2"/>
  <c r="BQ41" i="2" s="1"/>
  <c r="N37" i="1"/>
  <c r="O37" i="1" s="1"/>
  <c r="O36" i="1"/>
  <c r="BF48" i="1"/>
  <c r="AZ5" i="1"/>
  <c r="AZ36" i="1" s="1"/>
  <c r="AZ37" i="1" s="1"/>
  <c r="V36" i="1"/>
  <c r="V37" i="1" s="1"/>
  <c r="R36" i="1"/>
  <c r="BB37" i="1"/>
  <c r="J36" i="1"/>
  <c r="BE46" i="1"/>
  <c r="BH46" i="1" s="1"/>
  <c r="BG43" i="1"/>
  <c r="BA5" i="1"/>
  <c r="S27" i="1"/>
  <c r="AF37" i="1"/>
  <c r="AF47" i="1"/>
  <c r="AE46" i="1"/>
  <c r="AE47" i="1" s="1"/>
  <c r="AF38" i="1"/>
  <c r="P37" i="1"/>
  <c r="Q37" i="1" s="1"/>
  <c r="Q36" i="1"/>
  <c r="AY5" i="1"/>
  <c r="AY36" i="1" s="1"/>
  <c r="AY37" i="1" s="1"/>
  <c r="U36" i="1"/>
  <c r="U37" i="1" s="1"/>
  <c r="W26" i="1"/>
  <c r="BA26" i="1" s="1"/>
  <c r="X59" i="1"/>
  <c r="T36" i="1"/>
  <c r="BC38" i="1" s="1"/>
  <c r="AV46" i="1"/>
  <c r="AV47" i="1" s="1"/>
  <c r="AW38" i="1"/>
  <c r="AW47" i="1"/>
  <c r="AW37" i="1"/>
  <c r="AN36" i="1"/>
  <c r="AM37" i="1"/>
  <c r="W16" i="1"/>
  <c r="BA16" i="1" s="1"/>
  <c r="BA39" i="3" l="1"/>
  <c r="BB39" i="3" s="1"/>
  <c r="BA37" i="3"/>
  <c r="AE46" i="3"/>
  <c r="AE47" i="3" s="1"/>
  <c r="AF47" i="3"/>
  <c r="AF37" i="3"/>
  <c r="AF38" i="3"/>
  <c r="J37" i="3"/>
  <c r="K36" i="3"/>
  <c r="AM46" i="3"/>
  <c r="AM47" i="3" s="1"/>
  <c r="AN38" i="3"/>
  <c r="AN47" i="3"/>
  <c r="AN37" i="3"/>
  <c r="BC45" i="3"/>
  <c r="BB45" i="3"/>
  <c r="AW47" i="3"/>
  <c r="AW38" i="3"/>
  <c r="AW37" i="3"/>
  <c r="AV46" i="3"/>
  <c r="AV47" i="3" s="1"/>
  <c r="W36" i="3"/>
  <c r="W37" i="3" s="1"/>
  <c r="S36" i="3"/>
  <c r="R37" i="3"/>
  <c r="BH46" i="2"/>
  <c r="BG46" i="2"/>
  <c r="J46" i="2"/>
  <c r="J47" i="2" s="1"/>
  <c r="K38" i="2"/>
  <c r="K47" i="2"/>
  <c r="AW47" i="2"/>
  <c r="AW37" i="2"/>
  <c r="AW38" i="2"/>
  <c r="AV46" i="2"/>
  <c r="AV47" i="2" s="1"/>
  <c r="R37" i="2"/>
  <c r="S36" i="2"/>
  <c r="W36" i="2"/>
  <c r="W37" i="2" s="1"/>
  <c r="AF47" i="2"/>
  <c r="AF38" i="2"/>
  <c r="AE46" i="2"/>
  <c r="AE47" i="2" s="1"/>
  <c r="AF37" i="2"/>
  <c r="BA36" i="2"/>
  <c r="R37" i="1"/>
  <c r="S36" i="1"/>
  <c r="BG46" i="1"/>
  <c r="J37" i="1"/>
  <c r="K36" i="1"/>
  <c r="BC45" i="1"/>
  <c r="BB45" i="1"/>
  <c r="BG48" i="1"/>
  <c r="AN47" i="1"/>
  <c r="AN37" i="1"/>
  <c r="AM46" i="1"/>
  <c r="AM47" i="1" s="1"/>
  <c r="AN38" i="1"/>
  <c r="BA36" i="1"/>
  <c r="W36" i="1"/>
  <c r="W37" i="1" s="1"/>
  <c r="S38" i="3" l="1"/>
  <c r="R46" i="3"/>
  <c r="R47" i="3" s="1"/>
  <c r="S37" i="3"/>
  <c r="S47" i="3"/>
  <c r="K47" i="3"/>
  <c r="K38" i="3"/>
  <c r="J46" i="3"/>
  <c r="J47" i="3" s="1"/>
  <c r="X47" i="3"/>
  <c r="W46" i="3"/>
  <c r="W47" i="3" s="1"/>
  <c r="W38" i="3"/>
  <c r="BA40" i="3"/>
  <c r="BA43" i="3"/>
  <c r="BB46" i="3"/>
  <c r="BE40" i="3"/>
  <c r="BB38" i="3"/>
  <c r="BA45" i="3"/>
  <c r="BA46" i="3" s="1"/>
  <c r="BA39" i="2"/>
  <c r="BB39" i="2" s="1"/>
  <c r="BA37" i="2"/>
  <c r="X47" i="2"/>
  <c r="W38" i="2"/>
  <c r="W46" i="2"/>
  <c r="W47" i="2" s="1"/>
  <c r="S37" i="2"/>
  <c r="S47" i="2"/>
  <c r="S38" i="2"/>
  <c r="R46" i="2"/>
  <c r="R47" i="2" s="1"/>
  <c r="J46" i="1"/>
  <c r="J47" i="1" s="1"/>
  <c r="K38" i="1"/>
  <c r="K47" i="1"/>
  <c r="W38" i="1"/>
  <c r="X47" i="1"/>
  <c r="W46" i="1"/>
  <c r="W47" i="1" s="1"/>
  <c r="BA39" i="1"/>
  <c r="BB39" i="1" s="1"/>
  <c r="BA37" i="1"/>
  <c r="R46" i="1"/>
  <c r="R47" i="1" s="1"/>
  <c r="S38" i="1"/>
  <c r="S47" i="1"/>
  <c r="S37" i="1"/>
  <c r="BB41" i="3" l="1"/>
  <c r="BB40" i="3"/>
  <c r="BD40" i="3" s="1"/>
  <c r="BB46" i="2"/>
  <c r="BA45" i="2"/>
  <c r="BA46" i="2" s="1"/>
  <c r="BA43" i="2"/>
  <c r="BA40" i="2"/>
  <c r="BB41" i="2" s="1"/>
  <c r="BB38" i="2"/>
  <c r="BA43" i="1"/>
  <c r="BB46" i="1"/>
  <c r="BA40" i="1"/>
  <c r="BB41" i="1" s="1"/>
  <c r="BA45" i="1"/>
  <c r="BA46" i="1" s="1"/>
  <c r="BB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41A1BDF9-4974-0348-9258-575A0B60FDE5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62923DCB-A0F8-A846-AAB7-874D4F8D7EAF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1CC4BA1F-38EB-3C4A-96BC-43605E14C0B7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<sst xmlns="http://schemas.openxmlformats.org/spreadsheetml/2006/main" count="505" uniqueCount="116">
  <si>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</si>
  <si>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</si>
  <si>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</si>
  <si>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</si>
  <si>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</si>
  <si>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</si>
  <si>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EAT-IN・T/O（税込）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</si>
  <si>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</si>
  <si>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ビアガーデン</t>
    <phoneticPr fontId="8"/>
  </si>
  <si>
    <t>L+D＋T/O＋宴会場+BG（人数は含まず）TOTAL</t>
    <rPh sb="19" eb="22">
      <t xml:space="preserve">エンカイジョウ </t>
    </rPh>
    <phoneticPr fontId="8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</si>
  <si>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</si>
  <si>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</si>
  <si>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</si>
  <si>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</si>
  <si>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</si>
  <si>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</si>
  <si>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</si>
  <si>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</si>
  <si>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</si>
  <si>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</si>
  <si>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</si>
  <si>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</si>
  <si>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</si>
  <si>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</si>
  <si>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</si>
  <si>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</si>
  <si>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</si>
  <si>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</si>
  <si>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</si>
  <si>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</si>
  <si>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</si>
  <si>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</si>
  <si>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</si>
  <si>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</si>
  <si>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</si>
  <si>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</si>
  <si>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</si>
  <si>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</si>
  <si>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</si>
  <si>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</si>
  <si>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</si>
  <si>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</si>
  <si>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</si>
  <si>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</si>
  <si>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</si>
  <si>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</si>
  <si>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</si>
  <si>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</si>
  <si>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</si>
  <si>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</si>
  <si>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</si>
  <si>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</si>
  <si>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</si>
  <si>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</si>
  <si>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</si>
  <si>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</si>
  <si>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</si>
  <si>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テイク予算</t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</si>
  <si>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</si>
  <si>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</si>
  <si>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</si>
  <si>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</si>
  <si>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</si>
  <si>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</si>
  <si>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</si>
  <si>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</si>
  <si>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</si>
  <si>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</si>
  <si>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</si>
  <si>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</si>
  <si>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</si>
  <si>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</si>
  <si>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</si>
  <si>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</si>
  <si>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</si>
  <si>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</si>
  <si>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</si>
  <si>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</si>
  <si>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</si>
  <si>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</si>
  <si>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</si>
  <si>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</si>
  <si>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</si>
  <si>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</si>
  <si>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</si>
  <si>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</si>
  <si>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</si>
  <si>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</si>
  <si>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</si>
  <si>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</si>
  <si>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</si>
  <si>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</si>
  <si>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</si>
  <si>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</si>
  <si>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</si>
  <si>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</si>
  <si>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</si>
  <si>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</si>
  <si>
    <t>北海盆踊り</t>
    <rPh sb="0" eb="2">
      <t xml:space="preserve">ホッカイ </t>
    </rPh>
    <rPh sb="2" eb="4">
      <t xml:space="preserve">ボンオドリ </t>
    </rPh>
    <phoneticPr fontId="8"/>
  </si>
  <si>
    <t>社長招待券購入</t>
    <rPh sb="0" eb="2">
      <t xml:space="preserve">シャチョウ </t>
    </rPh>
    <rPh sb="2" eb="5">
      <t xml:space="preserve">ショウタイケン </t>
    </rPh>
    <rPh sb="5" eb="7">
      <t xml:space="preserve">コウニュウ </t>
    </rPh>
    <phoneticPr fontId="8"/>
  </si>
  <si>
    <t>BEV</t>
    <phoneticPr fontId="8"/>
  </si>
  <si>
    <t>FOOD</t>
    <phoneticPr fontId="8"/>
  </si>
  <si>
    <t>月</t>
    <rPh sb="0" eb="1">
      <t>ゲツ</t>
    </rPh>
    <phoneticPr fontId="8"/>
  </si>
  <si>
    <t>火</t>
    <rPh sb="0" eb="1">
      <t>カ</t>
    </rPh>
    <phoneticPr fontId="8"/>
  </si>
  <si>
    <t>水</t>
    <rPh sb="0" eb="1">
      <t>スイ</t>
    </rPh>
    <phoneticPr fontId="8"/>
  </si>
  <si>
    <t>木</t>
  </si>
  <si>
    <t>金</t>
  </si>
  <si>
    <t>土</t>
  </si>
  <si>
    <t>日</t>
  </si>
  <si>
    <t>F単価</t>
    <rPh sb="1" eb="3">
      <t>タンカ</t>
    </rPh>
    <phoneticPr fontId="8"/>
  </si>
  <si>
    <t>B単価</t>
    <rPh sb="1" eb="3">
      <t>タンカ</t>
    </rPh>
    <phoneticPr fontId="8"/>
  </si>
  <si>
    <t>ç</t>
    <phoneticPr fontId="8"/>
  </si>
  <si>
    <t>ビアガーデン 9/3まで　ピコレワインフェア9/9~10/1まで</t>
    <phoneticPr fontId="8"/>
  </si>
  <si>
    <t>ピコれのみ</t>
    <phoneticPr fontId="8"/>
  </si>
  <si>
    <t>平日BV単価</t>
    <rPh sb="0" eb="2">
      <t>ヘイジツ</t>
    </rPh>
    <rPh sb="4" eb="6">
      <t>タンカ</t>
    </rPh>
    <phoneticPr fontId="8"/>
  </si>
  <si>
    <t>週末BV単価</t>
    <rPh sb="0" eb="2">
      <t>シュウマツ</t>
    </rPh>
    <rPh sb="4" eb="6">
      <t>タンカ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</si>
</sst>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#,##0_ ;[Red]\-#,##0\ "/>
    <numFmt numFmtId="189" formatCode="0_ "/>
  </numFmts>
  <fonts count="2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sz val="11"/>
      <color indexed="10"/>
      <name val="游ゴシック"/>
      <family val="3"/>
    </font>
  </fonts>
  <fills count="22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8" tint="0.79998168889431442"/>
        <bgColor indexed="41"/>
      </patternFill>
    </fill>
    <fill>
      <patternFill patternType="solid">
        <fgColor rgb="FFFF0000"/>
        <b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1"/>
      </patternFill>
    </fill>
  </fills>
  <borders count="3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33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3" xfId="3" applyFont="1" applyFill="1" applyBorder="1" applyAlignment="1">
      <alignment horizontal="center" vertical="center" wrapText="1"/>
    </xf>
    <xf numFmtId="0" fontId="9" fillId="5" borderId="5" xfId="3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6" borderId="5" xfId="3" applyFont="1" applyFill="1" applyBorder="1" applyAlignment="1">
      <alignment horizontal="center" vertical="center" wrapText="1"/>
    </xf>
    <xf numFmtId="0" fontId="9" fillId="6" borderId="6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7" borderId="9" xfId="3" applyFont="1" applyFill="1" applyBorder="1" applyAlignment="1">
      <alignment horizontal="center" vertical="center" wrapText="1"/>
    </xf>
    <xf numFmtId="0" fontId="9" fillId="7" borderId="10" xfId="3" applyFont="1" applyFill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2" xfId="3" applyNumberFormat="1" applyFont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2" borderId="13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3" xfId="3" applyFont="1" applyFill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4" borderId="13" xfId="3" applyFont="1" applyFill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5" borderId="13" xfId="3" applyFont="1" applyFill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6" borderId="13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38" fontId="5" fillId="0" borderId="21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0" fillId="0" borderId="22" xfId="3" applyNumberFormat="1" applyFont="1" applyBorder="1" applyAlignment="1">
      <alignment horizontal="left"/>
    </xf>
    <xf numFmtId="38" fontId="3" fillId="0" borderId="22" xfId="3" applyNumberFormat="1" applyFont="1" applyBorder="1"/>
    <xf numFmtId="179" fontId="3" fillId="0" borderId="23" xfId="3" applyNumberFormat="1" applyFont="1" applyBorder="1"/>
    <xf numFmtId="180" fontId="3" fillId="2" borderId="23" xfId="4" applyNumberFormat="1" applyFont="1" applyFill="1" applyBorder="1"/>
    <xf numFmtId="38" fontId="3" fillId="8" borderId="23" xfId="4" applyFont="1" applyFill="1" applyBorder="1"/>
    <xf numFmtId="38" fontId="5" fillId="0" borderId="24" xfId="4" applyFont="1" applyBorder="1"/>
    <xf numFmtId="38" fontId="5" fillId="0" borderId="22" xfId="4" applyFont="1" applyBorder="1"/>
    <xf numFmtId="38" fontId="9" fillId="2" borderId="23" xfId="4" applyFont="1" applyFill="1" applyBorder="1"/>
    <xf numFmtId="40" fontId="3" fillId="0" borderId="25" xfId="3" applyNumberFormat="1" applyFont="1" applyBorder="1"/>
    <xf numFmtId="181" fontId="3" fillId="0" borderId="23" xfId="3" applyNumberFormat="1" applyFont="1" applyBorder="1"/>
    <xf numFmtId="180" fontId="3" fillId="3" borderId="23" xfId="4" applyNumberFormat="1" applyFont="1" applyFill="1" applyBorder="1"/>
    <xf numFmtId="38" fontId="3" fillId="0" borderId="23" xfId="4" applyFont="1" applyBorder="1"/>
    <xf numFmtId="38" fontId="9" fillId="0" borderId="20" xfId="4" applyFont="1" applyBorder="1"/>
    <xf numFmtId="180" fontId="3" fillId="0" borderId="26" xfId="4" applyNumberFormat="1" applyFont="1" applyBorder="1"/>
    <xf numFmtId="38" fontId="3" fillId="9" borderId="22" xfId="4" applyFont="1" applyFill="1" applyBorder="1"/>
    <xf numFmtId="179" fontId="3" fillId="4" borderId="23" xfId="3" applyNumberFormat="1" applyFont="1" applyFill="1" applyBorder="1"/>
    <xf numFmtId="180" fontId="3" fillId="10" borderId="23" xfId="4" applyNumberFormat="1" applyFont="1" applyFill="1" applyBorder="1"/>
    <xf numFmtId="38" fontId="3" fillId="3" borderId="20" xfId="4" applyFont="1" applyFill="1" applyBorder="1"/>
    <xf numFmtId="40" fontId="3" fillId="11" borderId="20" xfId="3" applyNumberFormat="1" applyFont="1" applyFill="1" applyBorder="1"/>
    <xf numFmtId="40" fontId="3" fillId="0" borderId="24" xfId="3" applyNumberFormat="1" applyFont="1" applyBorder="1"/>
    <xf numFmtId="38" fontId="3" fillId="12" borderId="20" xfId="3" applyNumberFormat="1" applyFont="1" applyFill="1" applyBorder="1"/>
    <xf numFmtId="38" fontId="5" fillId="3" borderId="20" xfId="4" applyFont="1" applyFill="1" applyBorder="1"/>
    <xf numFmtId="180" fontId="3" fillId="0" borderId="24" xfId="4" applyNumberFormat="1" applyFont="1" applyBorder="1"/>
    <xf numFmtId="38" fontId="9" fillId="0" borderId="22" xfId="4" applyFont="1" applyBorder="1"/>
    <xf numFmtId="38" fontId="3" fillId="0" borderId="22" xfId="4" applyFont="1" applyBorder="1"/>
    <xf numFmtId="38" fontId="3" fillId="13" borderId="4" xfId="4" applyFont="1" applyFill="1" applyBorder="1"/>
    <xf numFmtId="38" fontId="3" fillId="13" borderId="20" xfId="4" applyFont="1" applyFill="1" applyBorder="1"/>
    <xf numFmtId="38" fontId="5" fillId="13" borderId="20" xfId="4" applyFont="1" applyFill="1" applyBorder="1"/>
    <xf numFmtId="38" fontId="9" fillId="9" borderId="21" xfId="4" applyFont="1" applyFill="1" applyBorder="1"/>
    <xf numFmtId="38" fontId="3" fillId="0" borderId="0" xfId="4" applyFont="1"/>
    <xf numFmtId="178" fontId="10" fillId="0" borderId="5" xfId="3" applyNumberFormat="1" applyFont="1" applyBorder="1" applyAlignment="1">
      <alignment horizontal="left"/>
    </xf>
    <xf numFmtId="38" fontId="3" fillId="0" borderId="5" xfId="3" applyNumberFormat="1" applyFont="1" applyBorder="1"/>
    <xf numFmtId="180" fontId="3" fillId="0" borderId="4" xfId="4" applyNumberFormat="1" applyFont="1" applyBorder="1"/>
    <xf numFmtId="38" fontId="3" fillId="0" borderId="20" xfId="4" applyFont="1" applyBorder="1"/>
    <xf numFmtId="180" fontId="3" fillId="0" borderId="7" xfId="4" applyNumberFormat="1" applyFont="1" applyBorder="1"/>
    <xf numFmtId="38" fontId="6" fillId="0" borderId="5" xfId="3" applyNumberFormat="1" applyFont="1" applyBorder="1"/>
    <xf numFmtId="38" fontId="5" fillId="14" borderId="22" xfId="4" applyFont="1" applyFill="1" applyBorder="1"/>
    <xf numFmtId="179" fontId="3" fillId="4" borderId="20" xfId="3" applyNumberFormat="1" applyFont="1" applyFill="1" applyBorder="1"/>
    <xf numFmtId="180" fontId="3" fillId="10" borderId="20" xfId="4" applyNumberFormat="1" applyFont="1" applyFill="1" applyBorder="1"/>
    <xf numFmtId="38" fontId="3" fillId="8" borderId="20" xfId="4" applyFont="1" applyFill="1" applyBorder="1"/>
    <xf numFmtId="178" fontId="11" fillId="0" borderId="5" xfId="3" applyNumberFormat="1" applyFont="1" applyBorder="1" applyAlignment="1">
      <alignment horizontal="left"/>
    </xf>
    <xf numFmtId="180" fontId="3" fillId="3" borderId="2" xfId="4" applyNumberFormat="1" applyFont="1" applyFill="1" applyBorder="1"/>
    <xf numFmtId="180" fontId="3" fillId="0" borderId="27" xfId="4" applyNumberFormat="1" applyFont="1" applyBorder="1"/>
    <xf numFmtId="38" fontId="3" fillId="0" borderId="2" xfId="4" applyFont="1" applyBorder="1"/>
    <xf numFmtId="38" fontId="3" fillId="9" borderId="3" xfId="4" applyFont="1" applyFill="1" applyBorder="1"/>
    <xf numFmtId="179" fontId="3" fillId="4" borderId="2" xfId="3" applyNumberFormat="1" applyFont="1" applyFill="1" applyBorder="1"/>
    <xf numFmtId="180" fontId="3" fillId="10" borderId="2" xfId="4" applyNumberFormat="1" applyFont="1" applyFill="1" applyBorder="1"/>
    <xf numFmtId="38" fontId="3" fillId="8" borderId="2" xfId="4" applyFont="1" applyFill="1" applyBorder="1"/>
    <xf numFmtId="38" fontId="5" fillId="0" borderId="28" xfId="4" applyFont="1" applyBorder="1"/>
    <xf numFmtId="38" fontId="5" fillId="0" borderId="29" xfId="4" applyFont="1" applyBorder="1"/>
    <xf numFmtId="38" fontId="3" fillId="3" borderId="2" xfId="4" applyFont="1" applyFill="1" applyBorder="1"/>
    <xf numFmtId="40" fontId="3" fillId="11" borderId="2" xfId="3" applyNumberFormat="1" applyFont="1" applyFill="1" applyBorder="1"/>
    <xf numFmtId="38" fontId="3" fillId="12" borderId="2" xfId="3" applyNumberFormat="1" applyFont="1" applyFill="1" applyBorder="1"/>
    <xf numFmtId="180" fontId="3" fillId="0" borderId="28" xfId="4" applyNumberFormat="1" applyFont="1" applyBorder="1"/>
    <xf numFmtId="38" fontId="3" fillId="13" borderId="30" xfId="4" applyFont="1" applyFill="1" applyBorder="1"/>
    <xf numFmtId="38" fontId="3" fillId="13" borderId="13" xfId="4" applyFont="1" applyFill="1" applyBorder="1"/>
    <xf numFmtId="38" fontId="5" fillId="13" borderId="13" xfId="4" applyFont="1" applyFill="1" applyBorder="1"/>
    <xf numFmtId="0" fontId="5" fillId="0" borderId="31" xfId="3" applyFont="1" applyBorder="1" applyAlignment="1">
      <alignment horizontal="left"/>
    </xf>
    <xf numFmtId="38" fontId="5" fillId="0" borderId="10" xfId="3" applyNumberFormat="1" applyFont="1" applyBorder="1"/>
    <xf numFmtId="179" fontId="5" fillId="0" borderId="32" xfId="3" applyNumberFormat="1" applyFont="1" applyBorder="1"/>
    <xf numFmtId="180" fontId="5" fillId="0" borderId="10" xfId="3" applyNumberFormat="1" applyFont="1" applyBorder="1"/>
    <xf numFmtId="38" fontId="11" fillId="0" borderId="32" xfId="3" applyNumberFormat="1" applyFont="1" applyBorder="1"/>
    <xf numFmtId="38" fontId="5" fillId="0" borderId="32" xfId="3" applyNumberFormat="1" applyFont="1" applyBorder="1"/>
    <xf numFmtId="38" fontId="5" fillId="0" borderId="31" xfId="3" applyNumberFormat="1" applyFont="1" applyBorder="1"/>
    <xf numFmtId="38" fontId="5" fillId="7" borderId="10" xfId="3" applyNumberFormat="1" applyFont="1" applyFill="1" applyBorder="1"/>
    <xf numFmtId="182" fontId="5" fillId="0" borderId="10" xfId="3" applyNumberFormat="1" applyFont="1" applyBorder="1" applyAlignment="1">
      <alignment shrinkToFit="1"/>
    </xf>
    <xf numFmtId="181" fontId="5" fillId="0" borderId="32" xfId="3" applyNumberFormat="1" applyFont="1" applyBorder="1"/>
    <xf numFmtId="38" fontId="11" fillId="0" borderId="10" xfId="3" applyNumberFormat="1" applyFont="1" applyBorder="1"/>
    <xf numFmtId="38" fontId="9" fillId="7" borderId="10" xfId="3" applyNumberFormat="1" applyFont="1" applyFill="1" applyBorder="1"/>
    <xf numFmtId="182" fontId="12" fillId="0" borderId="32" xfId="3" applyNumberFormat="1" applyFont="1" applyBorder="1" applyAlignment="1">
      <alignment shrinkToFit="1"/>
    </xf>
    <xf numFmtId="0" fontId="5" fillId="0" borderId="10" xfId="3" applyFont="1" applyBorder="1"/>
    <xf numFmtId="182" fontId="5" fillId="0" borderId="33" xfId="3" applyNumberFormat="1" applyFont="1" applyBorder="1"/>
    <xf numFmtId="179" fontId="5" fillId="11" borderId="32" xfId="3" applyNumberFormat="1" applyFont="1" applyFill="1" applyBorder="1"/>
    <xf numFmtId="182" fontId="5" fillId="0" borderId="32" xfId="3" applyNumberFormat="1" applyFont="1" applyBorder="1"/>
    <xf numFmtId="179" fontId="13" fillId="12" borderId="32" xfId="3" applyNumberFormat="1" applyFont="1" applyFill="1" applyBorder="1"/>
    <xf numFmtId="180" fontId="5" fillId="0" borderId="32" xfId="3" applyNumberFormat="1" applyFont="1" applyBorder="1"/>
    <xf numFmtId="38" fontId="5" fillId="0" borderId="10" xfId="4" applyFont="1" applyBorder="1"/>
    <xf numFmtId="38" fontId="5" fillId="7" borderId="23" xfId="4" applyFont="1" applyFill="1" applyBorder="1"/>
    <xf numFmtId="38" fontId="9" fillId="7" borderId="23" xfId="4" applyFont="1" applyFill="1" applyBorder="1"/>
    <xf numFmtId="0" fontId="5" fillId="0" borderId="0" xfId="3" applyFont="1"/>
    <xf numFmtId="38" fontId="5" fillId="14" borderId="20" xfId="4" applyFont="1" applyFill="1" applyBorder="1"/>
    <xf numFmtId="0" fontId="5" fillId="0" borderId="0" xfId="3" applyFont="1" applyAlignment="1">
      <alignment horizontal="left"/>
    </xf>
    <xf numFmtId="0" fontId="5" fillId="0" borderId="5" xfId="3" applyFont="1" applyBorder="1"/>
    <xf numFmtId="38" fontId="11" fillId="0" borderId="20" xfId="4" applyFont="1" applyBorder="1"/>
    <xf numFmtId="38" fontId="9" fillId="7" borderId="20" xfId="4" applyFont="1" applyFill="1" applyBorder="1"/>
    <xf numFmtId="38" fontId="5" fillId="0" borderId="20" xfId="4" applyFont="1" applyBorder="1"/>
    <xf numFmtId="38" fontId="5" fillId="7" borderId="20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1" fillId="0" borderId="0" xfId="3" applyNumberFormat="1" applyFont="1"/>
    <xf numFmtId="0" fontId="5" fillId="0" borderId="7" xfId="3" applyFont="1" applyBorder="1"/>
    <xf numFmtId="182" fontId="5" fillId="0" borderId="0" xfId="3" applyNumberFormat="1" applyFont="1"/>
    <xf numFmtId="182" fontId="5" fillId="0" borderId="34" xfId="3" applyNumberFormat="1" applyFont="1" applyBorder="1"/>
    <xf numFmtId="0" fontId="5" fillId="0" borderId="6" xfId="3" applyFont="1" applyBorder="1"/>
    <xf numFmtId="38" fontId="5" fillId="0" borderId="7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3" fillId="0" borderId="0" xfId="3" applyNumberFormat="1" applyFont="1"/>
    <xf numFmtId="38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4" xfId="3" applyFont="1" applyBorder="1"/>
    <xf numFmtId="0" fontId="3" fillId="0" borderId="29" xfId="3" applyFont="1" applyBorder="1" applyAlignment="1">
      <alignment horizontal="right"/>
    </xf>
    <xf numFmtId="183" fontId="5" fillId="14" borderId="0" xfId="3" applyNumberFormat="1" applyFont="1" applyFill="1"/>
    <xf numFmtId="0" fontId="3" fillId="0" borderId="34" xfId="3" applyFont="1" applyBorder="1"/>
    <xf numFmtId="185" fontId="3" fillId="0" borderId="0" xfId="4" applyNumberFormat="1" applyFont="1"/>
    <xf numFmtId="0" fontId="14" fillId="0" borderId="20" xfId="3" applyFont="1" applyBorder="1" applyAlignment="1">
      <alignment horizontal="left" vertical="top" wrapText="1"/>
    </xf>
    <xf numFmtId="38" fontId="15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38" fontId="3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0" fontId="5" fillId="7" borderId="0" xfId="3" applyFont="1" applyFill="1"/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6" fillId="0" borderId="0" xfId="3" applyFont="1" applyAlignment="1">
      <alignment vertical="center"/>
    </xf>
    <xf numFmtId="38" fontId="17" fillId="0" borderId="0" xfId="3" applyNumberFormat="1" applyFont="1"/>
    <xf numFmtId="38" fontId="17" fillId="0" borderId="0" xfId="1" applyFont="1" applyAlignment="1"/>
    <xf numFmtId="10" fontId="17" fillId="0" borderId="0" xfId="2" applyNumberFormat="1" applyFont="1" applyAlignment="1"/>
    <xf numFmtId="38" fontId="17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18" fillId="0" borderId="0" xfId="5" applyFont="1" applyAlignment="1">
      <alignment vertical="center"/>
    </xf>
    <xf numFmtId="10" fontId="18" fillId="0" borderId="0" xfId="2" applyNumberFormat="1" applyFont="1" applyAlignment="1">
      <alignment vertical="center"/>
    </xf>
    <xf numFmtId="38" fontId="16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horizontal="left" vertical="center"/>
    </xf>
    <xf numFmtId="0" fontId="19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3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19" fillId="0" borderId="0" xfId="4" applyFont="1" applyAlignment="1">
      <alignment vertical="center"/>
    </xf>
    <xf numFmtId="0" fontId="19" fillId="0" borderId="0" xfId="3" applyFont="1" applyAlignment="1">
      <alignment vertical="center"/>
    </xf>
    <xf numFmtId="38" fontId="5" fillId="15" borderId="35" xfId="4" applyFont="1" applyFill="1" applyBorder="1" applyAlignment="1">
      <alignment horizontal="center" vertical="center"/>
    </xf>
    <xf numFmtId="38" fontId="5" fillId="0" borderId="35" xfId="4" applyFont="1" applyBorder="1" applyAlignment="1">
      <alignment horizontal="center" vertical="center"/>
    </xf>
    <xf numFmtId="38" fontId="19" fillId="0" borderId="35" xfId="1" applyFont="1" applyBorder="1" applyAlignment="1">
      <alignment horizontal="right" vertical="center"/>
    </xf>
    <xf numFmtId="186" fontId="1" fillId="0" borderId="35" xfId="2" applyNumberFormat="1" applyBorder="1" applyAlignment="1">
      <alignment horizontal="right" vertical="center"/>
    </xf>
    <xf numFmtId="38" fontId="7" fillId="0" borderId="35" xfId="3" applyNumberFormat="1" applyFont="1" applyBorder="1" applyAlignment="1">
      <alignment horizontal="right" vertical="center"/>
    </xf>
    <xf numFmtId="0" fontId="7" fillId="0" borderId="35" xfId="3" applyFont="1" applyBorder="1" applyAlignment="1">
      <alignment horizontal="right" vertical="center"/>
    </xf>
    <xf numFmtId="38" fontId="5" fillId="16" borderId="35" xfId="4" applyFont="1" applyFill="1" applyBorder="1" applyAlignment="1">
      <alignment horizontal="center" vertical="center"/>
    </xf>
    <xf numFmtId="38" fontId="19" fillId="0" borderId="0" xfId="3" applyNumberFormat="1" applyFont="1" applyAlignment="1">
      <alignment vertical="center"/>
    </xf>
    <xf numFmtId="38" fontId="3" fillId="0" borderId="0" xfId="1" applyFont="1" applyAlignment="1">
      <alignment horizontal="right"/>
    </xf>
    <xf numFmtId="0" fontId="5" fillId="17" borderId="35" xfId="3" applyFont="1" applyFill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38" fontId="20" fillId="0" borderId="35" xfId="3" applyNumberFormat="1" applyFont="1" applyBorder="1" applyAlignment="1">
      <alignment horizontal="right" vertical="center"/>
    </xf>
    <xf numFmtId="0" fontId="20" fillId="0" borderId="35" xfId="3" applyFont="1" applyBorder="1" applyAlignment="1">
      <alignment horizontal="right" vertical="center"/>
    </xf>
    <xf numFmtId="38" fontId="9" fillId="0" borderId="0" xfId="3" applyNumberFormat="1" applyFont="1"/>
    <xf numFmtId="38" fontId="5" fillId="18" borderId="20" xfId="4" applyFont="1" applyFill="1" applyBorder="1"/>
    <xf numFmtId="0" fontId="3" fillId="0" borderId="0" xfId="3" applyFont="1" applyAlignment="1">
      <alignment horizontal="center"/>
    </xf>
    <xf numFmtId="38" fontId="3" fillId="0" borderId="0" xfId="1" applyFont="1" applyAlignment="1">
      <alignment horizontal="right" vertical="center"/>
    </xf>
    <xf numFmtId="10" fontId="1" fillId="0" borderId="0" xfId="2" applyNumberFormat="1" applyAlignment="1">
      <alignment vertical="center"/>
    </xf>
    <xf numFmtId="38" fontId="3" fillId="0" borderId="0" xfId="3" applyNumberFormat="1" applyFont="1" applyAlignment="1">
      <alignment horizontal="center" vertical="center"/>
    </xf>
    <xf numFmtId="187" fontId="5" fillId="7" borderId="0" xfId="3" applyNumberFormat="1" applyFont="1" applyFill="1"/>
    <xf numFmtId="38" fontId="16" fillId="0" borderId="0" xfId="3" applyNumberFormat="1" applyFont="1" applyAlignment="1">
      <alignment vertical="center"/>
    </xf>
    <xf numFmtId="180" fontId="3" fillId="0" borderId="0" xfId="3" applyNumberFormat="1" applyFont="1" applyAlignment="1">
      <alignment horizontal="center" vertical="center"/>
    </xf>
    <xf numFmtId="188" fontId="16" fillId="0" borderId="0" xfId="3" applyNumberFormat="1" applyFont="1" applyAlignment="1">
      <alignment horizontal="left" vertical="center"/>
    </xf>
    <xf numFmtId="38" fontId="3" fillId="0" borderId="0" xfId="3" applyNumberFormat="1" applyFont="1" applyAlignment="1">
      <alignment horizontal="left" vertical="center"/>
    </xf>
    <xf numFmtId="186" fontId="1" fillId="0" borderId="0" xfId="2" applyNumberFormat="1" applyAlignment="1"/>
    <xf numFmtId="38" fontId="3" fillId="19" borderId="23" xfId="4" applyFont="1" applyFill="1" applyBorder="1"/>
    <xf numFmtId="38" fontId="5" fillId="20" borderId="24" xfId="4" applyFont="1" applyFill="1" applyBorder="1"/>
    <xf numFmtId="38" fontId="5" fillId="20" borderId="22" xfId="4" applyFont="1" applyFill="1" applyBorder="1"/>
    <xf numFmtId="38" fontId="5" fillId="21" borderId="20" xfId="4" applyFont="1" applyFill="1" applyBorder="1"/>
    <xf numFmtId="38" fontId="3" fillId="0" borderId="0" xfId="3" applyNumberFormat="1" applyFont="1" applyAlignment="1">
      <alignment horizontal="center" vertical="center"/>
    </xf>
    <xf numFmtId="180" fontId="3" fillId="0" borderId="0" xfId="3" applyNumberFormat="1" applyFont="1" applyAlignment="1">
      <alignment horizontal="left" vertical="center"/>
    </xf>
    <xf numFmtId="189" fontId="3" fillId="0" borderId="0" xfId="3" applyNumberFormat="1" applyFont="1" applyAlignment="1">
      <alignment horizontal="center" vertical="center"/>
    </xf>
  </cellXfs>
  <cellStyles count="6">
    <cellStyle name="Excel Built-in Comma [0]" xfId="4" xr:uid="{B7862F64-83D1-AB4C-BDA1-80ED21B62AB3}"/>
    <cellStyle name="Excel Built-in Currency [0]" xfId="5" xr:uid="{834D66D5-CC27-7D4B-9476-D42A490F776C}"/>
    <cellStyle name="Excel Built-in Normal 1" xfId="3" xr:uid="{E282E4A0-4AE7-D343-B9BD-AFA79D987439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toshiiga/Desktop/GA&#22770;&#19978;&#26085;&#22577;.xlsx" TargetMode="External"/><Relationship Id="rId1" Type="http://schemas.openxmlformats.org/officeDocument/2006/relationships/externalLinkPath" Target="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7">
          <cell r="AQ37">
            <v>3291799.9999999995</v>
          </cell>
          <cell r="AS37">
            <v>2074751.8181818181</v>
          </cell>
          <cell r="AU37">
            <v>63672.727272727265</v>
          </cell>
        </row>
      </sheetData>
      <sheetData sheetId="16"/>
      <sheetData sheetId="17"/>
      <sheetData sheetId="18">
        <row r="37">
          <cell r="AU37">
            <v>559500</v>
          </cell>
        </row>
      </sheetData>
      <sheetData sheetId="19"/>
      <sheetData sheetId="20"/>
      <sheetData sheetId="21">
        <row r="37">
          <cell r="AQ37">
            <v>28597272.727272727</v>
          </cell>
          <cell r="AS37">
            <v>15843636.363636361</v>
          </cell>
          <cell r="AU37">
            <v>415999.99999999994</v>
          </cell>
        </row>
      </sheetData>
      <sheetData sheetId="22"/>
      <sheetData sheetId="23"/>
      <sheetData sheetId="24">
        <row r="37">
          <cell r="AQ37">
            <v>11829999.999999998</v>
          </cell>
          <cell r="AU37">
            <v>99999.999999999985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7">
          <cell r="AQ37">
            <v>1157545.4545454544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5C9B-E2E4-E149-B0EA-17CB1ABF2796}">
  <dimension ref="A1:BL224"/>
  <sheetViews>
    <sheetView workbookViewId="0">
      <selection activeCell="C27" sqref="C27"/>
    </sheetView>
  </sheetViews>
  <sheetFormatPr baseColWidth="10" defaultColWidth="11.140625" defaultRowHeight="16"/>
  <cols>
    <col min="1" max="1" width="11.140625" style="47"/>
    <col min="2" max="2" width="10.42578125" style="129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4" s="3" customFormat="1">
      <c r="A1" s="1" t="s">
        <v>0</v>
      </c>
      <c r="B1" s="2"/>
      <c r="BJ1" s="4"/>
      <c r="BL1" s="4"/>
    </row>
    <row r="2" spans="1:64" s="3" customFormat="1" ht="35" thickBot="1">
      <c r="A2" s="5">
        <v>2023</v>
      </c>
      <c r="B2" s="6">
        <v>7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4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4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4" ht="20" customHeight="1" thickTop="1">
      <c r="B5" s="48">
        <f>DATE($A$2,$B$2,1)</f>
        <v>45108</v>
      </c>
      <c r="C5" s="49"/>
      <c r="D5" s="50"/>
      <c r="E5" s="51">
        <v>38</v>
      </c>
      <c r="F5" s="52">
        <v>166440</v>
      </c>
      <c r="G5" s="53">
        <f t="shared" ref="G5:G35" si="0">ROUNDDOWN(F5/1.1,0)/E5</f>
        <v>3981.8157894736842</v>
      </c>
      <c r="H5" s="52">
        <v>20280</v>
      </c>
      <c r="I5" s="54">
        <f t="shared" ref="I5:I35" si="1">ROUNDDOWN(H5/1.1,0)/E5</f>
        <v>485.15789473684208</v>
      </c>
      <c r="J5" s="55">
        <f t="shared" ref="J5:J35" si="2">F5+H5</f>
        <v>186720</v>
      </c>
      <c r="K5" s="56">
        <f t="shared" ref="K5:K35" si="3">IF(E5="","",J5/E5)</f>
        <v>4913.6842105263158</v>
      </c>
      <c r="L5" s="57"/>
      <c r="M5" s="58">
        <f t="shared" ref="M5:N35" si="4">BC5-E5</f>
        <v>7</v>
      </c>
      <c r="N5" s="59">
        <f t="shared" si="4"/>
        <v>41800</v>
      </c>
      <c r="O5" s="53">
        <f t="shared" ref="O5:O35" si="5">ROUNDDOWN(N5/1.1,0)/M5</f>
        <v>5428.5714285714284</v>
      </c>
      <c r="P5" s="59">
        <f t="shared" ref="P5:P35" si="6">BE5-H5</f>
        <v>12700</v>
      </c>
      <c r="Q5" s="54">
        <f t="shared" ref="Q5:Q35" si="7">ROUNDDOWN(P5/1.1,0)/M5</f>
        <v>1649.2857142857142</v>
      </c>
      <c r="R5" s="60">
        <f t="shared" ref="R5:R35" si="8">N5+P5</f>
        <v>54500</v>
      </c>
      <c r="S5" s="56">
        <f t="shared" ref="S5:S35" si="9">IF(M5="","",R5/M5)</f>
        <v>7785.7142857142853</v>
      </c>
      <c r="T5" s="61">
        <f t="shared" ref="T5:U35" si="10">E5+M5</f>
        <v>45</v>
      </c>
      <c r="U5" s="59">
        <f t="shared" si="10"/>
        <v>208240</v>
      </c>
      <c r="V5" s="59">
        <f t="shared" ref="V5:V35" si="11">H5+P5</f>
        <v>32980</v>
      </c>
      <c r="W5" s="62">
        <f t="shared" ref="W5:W35" si="12">J5+R5</f>
        <v>241220</v>
      </c>
      <c r="X5" s="59"/>
      <c r="Y5" s="63"/>
      <c r="Z5" s="64">
        <v>10</v>
      </c>
      <c r="AA5" s="52">
        <v>4750</v>
      </c>
      <c r="AB5" s="53">
        <f t="shared" ref="AB5:AB35" si="13">AA5/Z5</f>
        <v>475</v>
      </c>
      <c r="AC5" s="52">
        <v>1500</v>
      </c>
      <c r="AD5" s="54">
        <f t="shared" ref="AD5:AD35" si="14">AC5/Z5</f>
        <v>150</v>
      </c>
      <c r="AE5" s="65">
        <f t="shared" ref="AE5:AE35" si="15">AA5+AC5</f>
        <v>6250</v>
      </c>
      <c r="AF5" s="56">
        <f t="shared" ref="AF5:AF35" si="16">IF(Z5="","",AE5/Z5)</f>
        <v>625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>
        <v>78</v>
      </c>
      <c r="AP5" s="64">
        <v>217</v>
      </c>
      <c r="AQ5" s="52">
        <v>655350</v>
      </c>
      <c r="AR5" s="53">
        <f t="shared" ref="AR5:AR35" si="20">AQ5/AP5</f>
        <v>3020.0460829493086</v>
      </c>
      <c r="AS5" s="52">
        <v>331800</v>
      </c>
      <c r="AT5" s="54">
        <f t="shared" ref="AT5:AT35" si="21">AS5/AP5</f>
        <v>1529.0322580645161</v>
      </c>
      <c r="AU5" s="54">
        <v>26950</v>
      </c>
      <c r="AV5" s="69">
        <f>AQ5+AS5+AU5</f>
        <v>1014100</v>
      </c>
      <c r="AW5" s="67">
        <f t="shared" ref="AW5:AW35" si="22">IF(AP5="","",AV5/AP5)</f>
        <v>4673.2718894009213</v>
      </c>
      <c r="AX5" s="70">
        <f t="shared" ref="AX5:AX35" si="23">SUM(E5,M5)</f>
        <v>45</v>
      </c>
      <c r="AY5" s="59">
        <f t="shared" ref="AY5:AY35" si="24">U5+AA5+AI5+AQ5</f>
        <v>868340</v>
      </c>
      <c r="AZ5" s="59">
        <f t="shared" ref="AZ5:AZ35" si="25">V5+AC5+AK5+AS5</f>
        <v>366280</v>
      </c>
      <c r="BA5" s="71">
        <f t="shared" ref="BA5:BA35" si="26">W5+AE5+AM5+AV5</f>
        <v>1261570</v>
      </c>
      <c r="BB5" s="72">
        <f>BF5+BG5</f>
        <v>4950</v>
      </c>
      <c r="BC5" s="73">
        <v>45</v>
      </c>
      <c r="BD5" s="74">
        <v>208240</v>
      </c>
      <c r="BE5" s="74">
        <v>32980</v>
      </c>
      <c r="BF5" s="75">
        <v>4950</v>
      </c>
      <c r="BG5" s="75"/>
      <c r="BH5" s="75"/>
      <c r="BI5" s="75"/>
      <c r="BJ5" s="76">
        <f>SUM(BD5:BG5)</f>
        <v>246170</v>
      </c>
      <c r="BK5" s="47">
        <v>1</v>
      </c>
      <c r="BL5" s="77">
        <f t="shared" ref="BL5:BL35" si="27">BI5+BJ5</f>
        <v>246170</v>
      </c>
    </row>
    <row r="6" spans="1:64" ht="20" customHeight="1">
      <c r="B6" s="78">
        <f t="shared" ref="B6:B35" si="28">B5+1</f>
        <v>45109</v>
      </c>
      <c r="C6" s="79"/>
      <c r="D6" s="50"/>
      <c r="E6" s="51">
        <v>30</v>
      </c>
      <c r="F6" s="52">
        <v>100820</v>
      </c>
      <c r="G6" s="53">
        <f t="shared" si="0"/>
        <v>3055.1333333333332</v>
      </c>
      <c r="H6" s="52">
        <v>13890</v>
      </c>
      <c r="I6" s="54">
        <f t="shared" si="1"/>
        <v>420.9</v>
      </c>
      <c r="J6" s="55">
        <f t="shared" si="2"/>
        <v>114710</v>
      </c>
      <c r="K6" s="56">
        <f t="shared" si="3"/>
        <v>3823.6666666666665</v>
      </c>
      <c r="L6" s="57"/>
      <c r="M6" s="58">
        <f t="shared" si="4"/>
        <v>12</v>
      </c>
      <c r="N6" s="59">
        <f t="shared" si="4"/>
        <v>126390</v>
      </c>
      <c r="O6" s="53">
        <f t="shared" si="5"/>
        <v>9575</v>
      </c>
      <c r="P6" s="59">
        <f t="shared" si="6"/>
        <v>24900</v>
      </c>
      <c r="Q6" s="54">
        <f t="shared" si="7"/>
        <v>1886.3333333333333</v>
      </c>
      <c r="R6" s="60">
        <f t="shared" si="8"/>
        <v>151290</v>
      </c>
      <c r="S6" s="56">
        <f t="shared" si="9"/>
        <v>12607.5</v>
      </c>
      <c r="T6" s="80">
        <f t="shared" si="10"/>
        <v>42</v>
      </c>
      <c r="U6" s="59">
        <f t="shared" si="10"/>
        <v>227210</v>
      </c>
      <c r="V6" s="59">
        <f t="shared" si="11"/>
        <v>38790</v>
      </c>
      <c r="W6" s="62">
        <f t="shared" si="12"/>
        <v>266000</v>
      </c>
      <c r="X6" s="81"/>
      <c r="Y6" s="63"/>
      <c r="Z6" s="64">
        <v>3</v>
      </c>
      <c r="AA6" s="52">
        <v>1550</v>
      </c>
      <c r="AB6" s="53">
        <f t="shared" si="13"/>
        <v>516.66666666666663</v>
      </c>
      <c r="AC6" s="52">
        <v>1500</v>
      </c>
      <c r="AD6" s="54">
        <f t="shared" si="14"/>
        <v>500</v>
      </c>
      <c r="AE6" s="65">
        <f>AA6+AC6</f>
        <v>3050</v>
      </c>
      <c r="AF6" s="56">
        <f t="shared" si="16"/>
        <v>1016.6666666666666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>
        <v>103</v>
      </c>
      <c r="AP6" s="64">
        <v>279</v>
      </c>
      <c r="AQ6" s="52">
        <v>753250</v>
      </c>
      <c r="AR6" s="53">
        <f t="shared" si="20"/>
        <v>2699.820788530466</v>
      </c>
      <c r="AS6" s="52">
        <v>387100</v>
      </c>
      <c r="AT6" s="54">
        <f t="shared" si="21"/>
        <v>1387.4551971326164</v>
      </c>
      <c r="AU6" s="54">
        <v>12100</v>
      </c>
      <c r="AV6" s="69">
        <f t="shared" ref="AV6:AV35" si="30">AQ6+AS6+AU6</f>
        <v>1152450</v>
      </c>
      <c r="AW6" s="67">
        <f t="shared" si="22"/>
        <v>4130.6451612903229</v>
      </c>
      <c r="AX6" s="82">
        <f t="shared" si="23"/>
        <v>42</v>
      </c>
      <c r="AY6" s="59">
        <f t="shared" si="24"/>
        <v>982010</v>
      </c>
      <c r="AZ6" s="59">
        <f t="shared" si="25"/>
        <v>427390</v>
      </c>
      <c r="BA6" s="71">
        <f t="shared" si="26"/>
        <v>1421500</v>
      </c>
      <c r="BB6" s="72">
        <f t="shared" ref="BB6:BB35" si="31">BF6+BG6</f>
        <v>3300</v>
      </c>
      <c r="BC6" s="73">
        <v>42</v>
      </c>
      <c r="BD6" s="74">
        <v>227210</v>
      </c>
      <c r="BE6" s="74">
        <v>38790</v>
      </c>
      <c r="BF6" s="75">
        <v>3300</v>
      </c>
      <c r="BG6" s="75"/>
      <c r="BH6" s="75"/>
      <c r="BI6" s="75"/>
      <c r="BJ6" s="76">
        <f t="shared" ref="BJ6:BJ35" si="32">SUM(BD6:BG6)</f>
        <v>269300</v>
      </c>
      <c r="BK6" s="47">
        <v>2</v>
      </c>
      <c r="BL6" s="77">
        <f t="shared" si="27"/>
        <v>269300</v>
      </c>
    </row>
    <row r="7" spans="1:64" ht="20" customHeight="1">
      <c r="B7" s="78">
        <f>B6+1</f>
        <v>45110</v>
      </c>
      <c r="C7" s="79"/>
      <c r="D7" s="50"/>
      <c r="E7" s="51">
        <v>32</v>
      </c>
      <c r="F7" s="52">
        <v>128590</v>
      </c>
      <c r="G7" s="53">
        <f t="shared" si="0"/>
        <v>3653.125</v>
      </c>
      <c r="H7" s="52">
        <v>7740</v>
      </c>
      <c r="I7" s="54">
        <f t="shared" si="1"/>
        <v>219.875</v>
      </c>
      <c r="J7" s="55">
        <f t="shared" si="2"/>
        <v>136330</v>
      </c>
      <c r="K7" s="56">
        <f t="shared" si="3"/>
        <v>4260.3125</v>
      </c>
      <c r="L7" s="57"/>
      <c r="M7" s="58">
        <f t="shared" si="4"/>
        <v>4</v>
      </c>
      <c r="N7" s="59">
        <f t="shared" si="4"/>
        <v>39160</v>
      </c>
      <c r="O7" s="53">
        <f t="shared" si="5"/>
        <v>8900</v>
      </c>
      <c r="P7" s="59">
        <f t="shared" si="6"/>
        <v>12100</v>
      </c>
      <c r="Q7" s="54">
        <f t="shared" si="7"/>
        <v>2750</v>
      </c>
      <c r="R7" s="60">
        <f t="shared" si="8"/>
        <v>51260</v>
      </c>
      <c r="S7" s="56">
        <f t="shared" si="9"/>
        <v>12815</v>
      </c>
      <c r="T7" s="80">
        <f t="shared" si="10"/>
        <v>36</v>
      </c>
      <c r="U7" s="59">
        <f t="shared" si="10"/>
        <v>167750</v>
      </c>
      <c r="V7" s="59">
        <f t="shared" si="11"/>
        <v>19840</v>
      </c>
      <c r="W7" s="62">
        <f t="shared" si="12"/>
        <v>187590</v>
      </c>
      <c r="X7" s="81"/>
      <c r="Y7" s="63"/>
      <c r="Z7" s="64">
        <v>5</v>
      </c>
      <c r="AA7" s="52">
        <v>2250</v>
      </c>
      <c r="AB7" s="53">
        <f t="shared" si="13"/>
        <v>450</v>
      </c>
      <c r="AC7" s="52"/>
      <c r="AD7" s="54">
        <f t="shared" si="14"/>
        <v>0</v>
      </c>
      <c r="AE7" s="65">
        <f t="shared" si="15"/>
        <v>2250</v>
      </c>
      <c r="AF7" s="56">
        <f t="shared" si="16"/>
        <v>450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>
        <v>56</v>
      </c>
      <c r="AP7" s="64">
        <v>154</v>
      </c>
      <c r="AQ7" s="52">
        <v>408400</v>
      </c>
      <c r="AR7" s="53">
        <f t="shared" si="20"/>
        <v>2651.9480519480521</v>
      </c>
      <c r="AS7" s="52">
        <v>253650</v>
      </c>
      <c r="AT7" s="54">
        <f t="shared" si="21"/>
        <v>1647.077922077922</v>
      </c>
      <c r="AU7" s="54">
        <v>5500</v>
      </c>
      <c r="AV7" s="69">
        <f t="shared" si="30"/>
        <v>667550</v>
      </c>
      <c r="AW7" s="67">
        <f t="shared" si="22"/>
        <v>4334.7402597402597</v>
      </c>
      <c r="AX7" s="82">
        <f t="shared" si="23"/>
        <v>36</v>
      </c>
      <c r="AY7" s="59">
        <f t="shared" si="24"/>
        <v>578400</v>
      </c>
      <c r="AZ7" s="59">
        <f t="shared" si="25"/>
        <v>273490</v>
      </c>
      <c r="BA7" s="71">
        <f t="shared" si="26"/>
        <v>857390</v>
      </c>
      <c r="BB7" s="72">
        <f t="shared" si="31"/>
        <v>0</v>
      </c>
      <c r="BC7" s="73">
        <v>36</v>
      </c>
      <c r="BD7" s="74">
        <v>167750</v>
      </c>
      <c r="BE7" s="74">
        <v>19840</v>
      </c>
      <c r="BF7" s="75">
        <v>0</v>
      </c>
      <c r="BG7" s="75"/>
      <c r="BH7" s="75"/>
      <c r="BI7" s="75"/>
      <c r="BJ7" s="76">
        <f t="shared" si="32"/>
        <v>187590</v>
      </c>
      <c r="BK7" s="47">
        <v>3</v>
      </c>
      <c r="BL7" s="77">
        <f t="shared" si="27"/>
        <v>187590</v>
      </c>
    </row>
    <row r="8" spans="1:64" ht="20" customHeight="1">
      <c r="B8" s="78">
        <f t="shared" si="28"/>
        <v>45111</v>
      </c>
      <c r="C8" s="79"/>
      <c r="D8" s="50"/>
      <c r="E8" s="51">
        <v>39</v>
      </c>
      <c r="F8" s="52">
        <v>137390</v>
      </c>
      <c r="G8" s="53">
        <f t="shared" si="0"/>
        <v>3202.5641025641025</v>
      </c>
      <c r="H8" s="52">
        <v>13530</v>
      </c>
      <c r="I8" s="54">
        <f t="shared" si="1"/>
        <v>315.38461538461536</v>
      </c>
      <c r="J8" s="55">
        <f t="shared" si="2"/>
        <v>150920</v>
      </c>
      <c r="K8" s="56">
        <f t="shared" si="3"/>
        <v>3869.7435897435898</v>
      </c>
      <c r="L8" s="57"/>
      <c r="M8" s="58">
        <f t="shared" si="4"/>
        <v>3</v>
      </c>
      <c r="N8" s="59">
        <f t="shared" si="4"/>
        <v>19140</v>
      </c>
      <c r="O8" s="53">
        <f t="shared" si="5"/>
        <v>5800</v>
      </c>
      <c r="P8" s="59">
        <f t="shared" si="6"/>
        <v>8360</v>
      </c>
      <c r="Q8" s="54">
        <f t="shared" si="7"/>
        <v>2533.3333333333335</v>
      </c>
      <c r="R8" s="60">
        <f t="shared" si="8"/>
        <v>27500</v>
      </c>
      <c r="S8" s="56">
        <f t="shared" si="9"/>
        <v>9166.6666666666661</v>
      </c>
      <c r="T8" s="80">
        <f t="shared" si="10"/>
        <v>42</v>
      </c>
      <c r="U8" s="59">
        <f t="shared" si="10"/>
        <v>156530</v>
      </c>
      <c r="V8" s="59">
        <f t="shared" si="11"/>
        <v>21890</v>
      </c>
      <c r="W8" s="62">
        <f t="shared" si="12"/>
        <v>178420</v>
      </c>
      <c r="X8" s="81"/>
      <c r="Y8" s="63"/>
      <c r="Z8" s="64">
        <v>5</v>
      </c>
      <c r="AA8" s="52">
        <v>2350</v>
      </c>
      <c r="AB8" s="53">
        <f t="shared" si="13"/>
        <v>470</v>
      </c>
      <c r="AC8" s="52">
        <v>1000</v>
      </c>
      <c r="AD8" s="54">
        <f t="shared" si="14"/>
        <v>200</v>
      </c>
      <c r="AE8" s="65">
        <f t="shared" si="15"/>
        <v>3350</v>
      </c>
      <c r="AF8" s="56">
        <f t="shared" si="16"/>
        <v>670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>
        <v>84</v>
      </c>
      <c r="AP8" s="64">
        <v>201</v>
      </c>
      <c r="AQ8" s="52">
        <v>483850</v>
      </c>
      <c r="AR8" s="53">
        <f t="shared" si="20"/>
        <v>2407.2139303482586</v>
      </c>
      <c r="AS8" s="52">
        <v>319300</v>
      </c>
      <c r="AT8" s="54">
        <f t="shared" si="21"/>
        <v>1588.5572139303483</v>
      </c>
      <c r="AU8" s="54">
        <v>4950</v>
      </c>
      <c r="AV8" s="69">
        <f t="shared" si="30"/>
        <v>808100</v>
      </c>
      <c r="AW8" s="67">
        <f t="shared" si="22"/>
        <v>4020.3980099502487</v>
      </c>
      <c r="AX8" s="82">
        <f t="shared" si="23"/>
        <v>42</v>
      </c>
      <c r="AY8" s="59">
        <f t="shared" si="24"/>
        <v>642730</v>
      </c>
      <c r="AZ8" s="59">
        <f t="shared" si="25"/>
        <v>342190</v>
      </c>
      <c r="BA8" s="71">
        <f t="shared" si="26"/>
        <v>989870</v>
      </c>
      <c r="BB8" s="72">
        <f t="shared" si="31"/>
        <v>2750</v>
      </c>
      <c r="BC8" s="73">
        <v>42</v>
      </c>
      <c r="BD8" s="74">
        <v>156530</v>
      </c>
      <c r="BE8" s="74">
        <v>21890</v>
      </c>
      <c r="BF8" s="75">
        <v>2750</v>
      </c>
      <c r="BG8" s="75"/>
      <c r="BH8" s="75"/>
      <c r="BI8" s="75">
        <v>23100</v>
      </c>
      <c r="BJ8" s="76">
        <f t="shared" si="32"/>
        <v>181170</v>
      </c>
      <c r="BK8" s="47">
        <v>4</v>
      </c>
      <c r="BL8" s="77">
        <f t="shared" si="27"/>
        <v>204270</v>
      </c>
    </row>
    <row r="9" spans="1:64" ht="20" customHeight="1">
      <c r="B9" s="78">
        <f t="shared" si="28"/>
        <v>45112</v>
      </c>
      <c r="C9" s="79"/>
      <c r="D9" s="50"/>
      <c r="E9" s="51">
        <v>34</v>
      </c>
      <c r="F9" s="52">
        <v>134860</v>
      </c>
      <c r="G9" s="53">
        <f t="shared" si="0"/>
        <v>3605.8823529411766</v>
      </c>
      <c r="H9" s="52">
        <v>17350</v>
      </c>
      <c r="I9" s="54">
        <f t="shared" si="1"/>
        <v>463.88235294117646</v>
      </c>
      <c r="J9" s="55">
        <f t="shared" si="2"/>
        <v>152210</v>
      </c>
      <c r="K9" s="56">
        <f t="shared" si="3"/>
        <v>4476.7647058823532</v>
      </c>
      <c r="L9" s="57"/>
      <c r="M9" s="58">
        <f t="shared" si="4"/>
        <v>7</v>
      </c>
      <c r="N9" s="59">
        <f t="shared" si="4"/>
        <v>71940</v>
      </c>
      <c r="O9" s="53">
        <f t="shared" si="5"/>
        <v>9342.8571428571431</v>
      </c>
      <c r="P9" s="59">
        <f t="shared" si="6"/>
        <v>8730</v>
      </c>
      <c r="Q9" s="54">
        <f t="shared" si="7"/>
        <v>1133.7142857142858</v>
      </c>
      <c r="R9" s="60">
        <f t="shared" si="8"/>
        <v>80670</v>
      </c>
      <c r="S9" s="56">
        <f t="shared" si="9"/>
        <v>11524.285714285714</v>
      </c>
      <c r="T9" s="80">
        <f t="shared" si="10"/>
        <v>41</v>
      </c>
      <c r="U9" s="59">
        <f t="shared" si="10"/>
        <v>206800</v>
      </c>
      <c r="V9" s="59">
        <f t="shared" si="11"/>
        <v>26080</v>
      </c>
      <c r="W9" s="62">
        <f t="shared" si="12"/>
        <v>232880</v>
      </c>
      <c r="X9" s="81"/>
      <c r="Y9" s="63"/>
      <c r="Z9" s="64">
        <v>12</v>
      </c>
      <c r="AA9" s="52">
        <v>5800</v>
      </c>
      <c r="AB9" s="53">
        <f t="shared" si="13"/>
        <v>483.33333333333331</v>
      </c>
      <c r="AC9" s="52">
        <v>2500</v>
      </c>
      <c r="AD9" s="54">
        <f t="shared" si="14"/>
        <v>208.33333333333334</v>
      </c>
      <c r="AE9" s="65">
        <f t="shared" si="15"/>
        <v>8300</v>
      </c>
      <c r="AF9" s="56">
        <f t="shared" si="16"/>
        <v>691.66666666666663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>
        <v>96</v>
      </c>
      <c r="AP9" s="64">
        <v>264</v>
      </c>
      <c r="AQ9" s="52">
        <v>712150</v>
      </c>
      <c r="AR9" s="53">
        <f t="shared" si="20"/>
        <v>2697.537878787879</v>
      </c>
      <c r="AS9" s="52">
        <v>379450</v>
      </c>
      <c r="AT9" s="54">
        <f t="shared" si="21"/>
        <v>1437.310606060606</v>
      </c>
      <c r="AU9" s="54">
        <v>3850</v>
      </c>
      <c r="AV9" s="69">
        <f t="shared" si="30"/>
        <v>1095450</v>
      </c>
      <c r="AW9" s="67">
        <f>IF(AP9="","",AV9/AP9)</f>
        <v>4149.431818181818</v>
      </c>
      <c r="AX9" s="82">
        <f t="shared" si="23"/>
        <v>41</v>
      </c>
      <c r="AY9" s="59">
        <f t="shared" si="24"/>
        <v>924750</v>
      </c>
      <c r="AZ9" s="59">
        <f t="shared" si="25"/>
        <v>408030</v>
      </c>
      <c r="BA9" s="71">
        <f t="shared" si="26"/>
        <v>1336630</v>
      </c>
      <c r="BB9" s="72">
        <f t="shared" si="31"/>
        <v>2200</v>
      </c>
      <c r="BC9" s="73">
        <v>41</v>
      </c>
      <c r="BD9" s="74">
        <v>206800</v>
      </c>
      <c r="BE9" s="74">
        <v>26080</v>
      </c>
      <c r="BF9" s="75">
        <v>2200</v>
      </c>
      <c r="BG9" s="75"/>
      <c r="BH9" s="75"/>
      <c r="BI9" s="75"/>
      <c r="BJ9" s="76">
        <f t="shared" si="32"/>
        <v>235080</v>
      </c>
      <c r="BK9" s="47">
        <v>5</v>
      </c>
      <c r="BL9" s="77">
        <f t="shared" si="27"/>
        <v>235080</v>
      </c>
    </row>
    <row r="10" spans="1:64" ht="20" customHeight="1">
      <c r="B10" s="78">
        <f t="shared" si="28"/>
        <v>45113</v>
      </c>
      <c r="C10" s="79"/>
      <c r="D10" s="50"/>
      <c r="E10" s="51">
        <v>30</v>
      </c>
      <c r="F10" s="52">
        <v>88220</v>
      </c>
      <c r="G10" s="53">
        <f t="shared" si="0"/>
        <v>2673.3333333333335</v>
      </c>
      <c r="H10" s="52">
        <v>6040</v>
      </c>
      <c r="I10" s="54">
        <f t="shared" si="1"/>
        <v>183</v>
      </c>
      <c r="J10" s="55">
        <f t="shared" si="2"/>
        <v>94260</v>
      </c>
      <c r="K10" s="56">
        <f t="shared" si="3"/>
        <v>3142</v>
      </c>
      <c r="L10" s="57"/>
      <c r="M10" s="58">
        <f t="shared" si="4"/>
        <v>0</v>
      </c>
      <c r="N10" s="59">
        <f t="shared" si="4"/>
        <v>0</v>
      </c>
      <c r="O10" s="53" t="e">
        <f t="shared" si="5"/>
        <v>#DIV/0!</v>
      </c>
      <c r="P10" s="59">
        <f t="shared" si="6"/>
        <v>0</v>
      </c>
      <c r="Q10" s="54" t="e">
        <f t="shared" si="7"/>
        <v>#DIV/0!</v>
      </c>
      <c r="R10" s="60">
        <f t="shared" si="8"/>
        <v>0</v>
      </c>
      <c r="S10" s="56" t="e">
        <f t="shared" si="9"/>
        <v>#DIV/0!</v>
      </c>
      <c r="T10" s="80">
        <f t="shared" si="10"/>
        <v>30</v>
      </c>
      <c r="U10" s="59">
        <f t="shared" si="10"/>
        <v>88220</v>
      </c>
      <c r="V10" s="59">
        <f t="shared" si="11"/>
        <v>6040</v>
      </c>
      <c r="W10" s="62">
        <f t="shared" si="12"/>
        <v>94260</v>
      </c>
      <c r="X10" s="81"/>
      <c r="Y10" s="63"/>
      <c r="Z10" s="64">
        <v>9</v>
      </c>
      <c r="AA10" s="52">
        <v>3950</v>
      </c>
      <c r="AB10" s="53">
        <f t="shared" si="13"/>
        <v>438.88888888888891</v>
      </c>
      <c r="AC10" s="52">
        <v>1000</v>
      </c>
      <c r="AD10" s="54">
        <f t="shared" si="14"/>
        <v>111.11111111111111</v>
      </c>
      <c r="AE10" s="65">
        <f t="shared" si="15"/>
        <v>4950</v>
      </c>
      <c r="AF10" s="56">
        <f t="shared" si="16"/>
        <v>550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>
        <v>35</v>
      </c>
      <c r="AP10" s="64">
        <v>305</v>
      </c>
      <c r="AQ10" s="52">
        <v>1036850</v>
      </c>
      <c r="AR10" s="53">
        <f t="shared" si="20"/>
        <v>3399.5081967213114</v>
      </c>
      <c r="AS10" s="52">
        <v>558700</v>
      </c>
      <c r="AT10" s="54">
        <f t="shared" si="21"/>
        <v>1831.8032786885246</v>
      </c>
      <c r="AU10" s="54">
        <v>11000</v>
      </c>
      <c r="AV10" s="69">
        <f t="shared" si="30"/>
        <v>1606550</v>
      </c>
      <c r="AW10" s="67">
        <f t="shared" si="22"/>
        <v>5267.377049180328</v>
      </c>
      <c r="AX10" s="82">
        <f t="shared" si="23"/>
        <v>30</v>
      </c>
      <c r="AY10" s="59">
        <f t="shared" si="24"/>
        <v>1129020</v>
      </c>
      <c r="AZ10" s="59">
        <f t="shared" si="25"/>
        <v>565740</v>
      </c>
      <c r="BA10" s="71">
        <f t="shared" si="26"/>
        <v>1705760</v>
      </c>
      <c r="BB10" s="72">
        <f t="shared" si="31"/>
        <v>0</v>
      </c>
      <c r="BC10" s="73">
        <v>30</v>
      </c>
      <c r="BD10" s="74">
        <v>88220</v>
      </c>
      <c r="BE10" s="74">
        <v>6040</v>
      </c>
      <c r="BF10" s="75"/>
      <c r="BG10" s="75"/>
      <c r="BH10" s="75"/>
      <c r="BI10" s="75"/>
      <c r="BJ10" s="76">
        <f t="shared" si="32"/>
        <v>94260</v>
      </c>
      <c r="BK10" s="47">
        <v>6</v>
      </c>
      <c r="BL10" s="77">
        <f t="shared" si="27"/>
        <v>94260</v>
      </c>
    </row>
    <row r="11" spans="1:64" ht="20" customHeight="1">
      <c r="B11" s="78">
        <f t="shared" si="28"/>
        <v>45114</v>
      </c>
      <c r="C11" s="79"/>
      <c r="D11" s="50"/>
      <c r="E11" s="51">
        <v>35</v>
      </c>
      <c r="F11" s="52">
        <v>147070</v>
      </c>
      <c r="G11" s="53">
        <f t="shared" si="0"/>
        <v>3820</v>
      </c>
      <c r="H11" s="52">
        <v>10540</v>
      </c>
      <c r="I11" s="54">
        <f t="shared" si="1"/>
        <v>273.74285714285713</v>
      </c>
      <c r="J11" s="55">
        <f t="shared" si="2"/>
        <v>157610</v>
      </c>
      <c r="K11" s="56">
        <f t="shared" si="3"/>
        <v>4503.1428571428569</v>
      </c>
      <c r="L11" s="57"/>
      <c r="M11" s="58">
        <f t="shared" si="4"/>
        <v>9</v>
      </c>
      <c r="N11" s="59">
        <f t="shared" si="4"/>
        <v>78100</v>
      </c>
      <c r="O11" s="53">
        <f t="shared" si="5"/>
        <v>7888.8888888888887</v>
      </c>
      <c r="P11" s="59">
        <f t="shared" si="6"/>
        <v>15600</v>
      </c>
      <c r="Q11" s="54">
        <f t="shared" si="7"/>
        <v>1575.6666666666667</v>
      </c>
      <c r="R11" s="60">
        <f t="shared" si="8"/>
        <v>93700</v>
      </c>
      <c r="S11" s="56">
        <f t="shared" si="9"/>
        <v>10411.111111111111</v>
      </c>
      <c r="T11" s="80">
        <f t="shared" si="10"/>
        <v>44</v>
      </c>
      <c r="U11" s="59">
        <f t="shared" si="10"/>
        <v>225170</v>
      </c>
      <c r="V11" s="59">
        <f t="shared" si="11"/>
        <v>26140</v>
      </c>
      <c r="W11" s="62">
        <f t="shared" si="12"/>
        <v>251310</v>
      </c>
      <c r="X11" s="81"/>
      <c r="Y11" s="63"/>
      <c r="Z11" s="64">
        <v>15</v>
      </c>
      <c r="AA11" s="52">
        <v>9200</v>
      </c>
      <c r="AB11" s="53">
        <f t="shared" si="13"/>
        <v>613.33333333333337</v>
      </c>
      <c r="AC11" s="52">
        <v>500</v>
      </c>
      <c r="AD11" s="54">
        <f t="shared" si="14"/>
        <v>33.333333333333336</v>
      </c>
      <c r="AE11" s="65">
        <f t="shared" si="15"/>
        <v>9700</v>
      </c>
      <c r="AF11" s="56">
        <f t="shared" si="16"/>
        <v>646.66666666666663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>
        <v>122</v>
      </c>
      <c r="AP11" s="64">
        <v>392</v>
      </c>
      <c r="AQ11" s="52">
        <v>1074950</v>
      </c>
      <c r="AR11" s="53">
        <f t="shared" si="20"/>
        <v>2742.2193877551022</v>
      </c>
      <c r="AS11" s="52">
        <v>681300</v>
      </c>
      <c r="AT11" s="54">
        <f t="shared" si="21"/>
        <v>1738.0102040816328</v>
      </c>
      <c r="AU11" s="54">
        <v>20350</v>
      </c>
      <c r="AV11" s="69">
        <f t="shared" si="30"/>
        <v>1776600</v>
      </c>
      <c r="AW11" s="67">
        <f t="shared" si="22"/>
        <v>4532.1428571428569</v>
      </c>
      <c r="AX11" s="82">
        <f t="shared" si="23"/>
        <v>44</v>
      </c>
      <c r="AY11" s="59">
        <f t="shared" si="24"/>
        <v>1309320</v>
      </c>
      <c r="AZ11" s="59">
        <f t="shared" si="25"/>
        <v>707940</v>
      </c>
      <c r="BA11" s="71">
        <f t="shared" si="26"/>
        <v>2037610</v>
      </c>
      <c r="BB11" s="72">
        <f t="shared" si="31"/>
        <v>0</v>
      </c>
      <c r="BC11" s="73">
        <v>44</v>
      </c>
      <c r="BD11" s="74">
        <v>225170</v>
      </c>
      <c r="BE11" s="74">
        <v>26140</v>
      </c>
      <c r="BF11" s="75"/>
      <c r="BG11" s="75"/>
      <c r="BH11" s="75"/>
      <c r="BI11" s="75"/>
      <c r="BJ11" s="76">
        <f t="shared" si="32"/>
        <v>251310</v>
      </c>
      <c r="BK11" s="47">
        <v>7</v>
      </c>
      <c r="BL11" s="77">
        <f t="shared" si="27"/>
        <v>251310</v>
      </c>
    </row>
    <row r="12" spans="1:64" ht="20" customHeight="1">
      <c r="B12" s="78">
        <f t="shared" si="28"/>
        <v>45115</v>
      </c>
      <c r="C12" s="83"/>
      <c r="D12" s="50"/>
      <c r="E12" s="51">
        <v>36</v>
      </c>
      <c r="F12" s="52">
        <v>153890</v>
      </c>
      <c r="G12" s="53">
        <f t="shared" si="0"/>
        <v>3886.1111111111113</v>
      </c>
      <c r="H12" s="52">
        <v>21620</v>
      </c>
      <c r="I12" s="54">
        <f t="shared" si="1"/>
        <v>545.94444444444446</v>
      </c>
      <c r="J12" s="55">
        <f t="shared" si="2"/>
        <v>175510</v>
      </c>
      <c r="K12" s="56">
        <f t="shared" si="3"/>
        <v>4875.2777777777774</v>
      </c>
      <c r="L12" s="57"/>
      <c r="M12" s="58">
        <f t="shared" si="4"/>
        <v>22</v>
      </c>
      <c r="N12" s="59">
        <f t="shared" si="4"/>
        <v>225830</v>
      </c>
      <c r="O12" s="53">
        <f t="shared" si="5"/>
        <v>9331.818181818182</v>
      </c>
      <c r="P12" s="59">
        <f t="shared" si="6"/>
        <v>50860</v>
      </c>
      <c r="Q12" s="84">
        <f t="shared" si="7"/>
        <v>2101.6363636363635</v>
      </c>
      <c r="R12" s="60">
        <f t="shared" si="8"/>
        <v>276690</v>
      </c>
      <c r="S12" s="56">
        <f t="shared" si="9"/>
        <v>12576.818181818182</v>
      </c>
      <c r="T12" s="80">
        <f t="shared" si="10"/>
        <v>58</v>
      </c>
      <c r="U12" s="59">
        <f t="shared" si="10"/>
        <v>379720</v>
      </c>
      <c r="V12" s="59">
        <f t="shared" si="11"/>
        <v>72480</v>
      </c>
      <c r="W12" s="62">
        <f t="shared" si="12"/>
        <v>452200</v>
      </c>
      <c r="X12" s="81"/>
      <c r="Y12" s="63"/>
      <c r="Z12" s="64">
        <v>50</v>
      </c>
      <c r="AA12" s="52">
        <v>34830</v>
      </c>
      <c r="AB12" s="53">
        <f t="shared" si="13"/>
        <v>696.6</v>
      </c>
      <c r="AC12" s="52">
        <v>2000</v>
      </c>
      <c r="AD12" s="54">
        <f t="shared" si="14"/>
        <v>40</v>
      </c>
      <c r="AE12" s="65">
        <f t="shared" si="15"/>
        <v>36830</v>
      </c>
      <c r="AF12" s="56">
        <f t="shared" si="16"/>
        <v>736.6</v>
      </c>
      <c r="AG12" s="66"/>
      <c r="AH12" s="64">
        <v>11</v>
      </c>
      <c r="AI12" s="52">
        <v>43065</v>
      </c>
      <c r="AJ12" s="53">
        <f t="shared" si="17"/>
        <v>3915</v>
      </c>
      <c r="AK12" s="52">
        <v>14355</v>
      </c>
      <c r="AL12" s="54">
        <f t="shared" si="18"/>
        <v>1305</v>
      </c>
      <c r="AM12" s="65">
        <f t="shared" si="29"/>
        <v>57420</v>
      </c>
      <c r="AN12" s="67">
        <f t="shared" si="19"/>
        <v>5220</v>
      </c>
      <c r="AO12" s="68">
        <v>206</v>
      </c>
      <c r="AP12" s="64">
        <v>565</v>
      </c>
      <c r="AQ12" s="52">
        <v>1584500</v>
      </c>
      <c r="AR12" s="53">
        <f t="shared" si="20"/>
        <v>2804.424778761062</v>
      </c>
      <c r="AS12" s="52">
        <v>944950</v>
      </c>
      <c r="AT12" s="54">
        <f t="shared" si="21"/>
        <v>1672.4778761061948</v>
      </c>
      <c r="AU12" s="54">
        <v>13750</v>
      </c>
      <c r="AV12" s="69">
        <f t="shared" si="30"/>
        <v>2543200</v>
      </c>
      <c r="AW12" s="67">
        <f t="shared" si="22"/>
        <v>4501.2389380530976</v>
      </c>
      <c r="AX12" s="82">
        <f t="shared" si="23"/>
        <v>58</v>
      </c>
      <c r="AY12" s="59">
        <f t="shared" si="24"/>
        <v>2042115</v>
      </c>
      <c r="AZ12" s="59">
        <f t="shared" si="25"/>
        <v>1033785</v>
      </c>
      <c r="BA12" s="71">
        <f t="shared" si="26"/>
        <v>3089650</v>
      </c>
      <c r="BB12" s="72">
        <f t="shared" si="31"/>
        <v>4950</v>
      </c>
      <c r="BC12" s="73">
        <v>58</v>
      </c>
      <c r="BD12" s="74">
        <v>379720</v>
      </c>
      <c r="BE12" s="74">
        <v>72480</v>
      </c>
      <c r="BF12" s="75">
        <v>4950</v>
      </c>
      <c r="BG12" s="75"/>
      <c r="BH12" s="75"/>
      <c r="BI12" s="75"/>
      <c r="BJ12" s="76">
        <f t="shared" si="32"/>
        <v>457150</v>
      </c>
      <c r="BK12" s="47">
        <v>8</v>
      </c>
      <c r="BL12" s="77">
        <f t="shared" si="27"/>
        <v>457150</v>
      </c>
    </row>
    <row r="13" spans="1:64" ht="20" customHeight="1">
      <c r="B13" s="78">
        <f t="shared" si="28"/>
        <v>45116</v>
      </c>
      <c r="C13" s="79"/>
      <c r="D13" s="50"/>
      <c r="E13" s="51">
        <v>34</v>
      </c>
      <c r="F13" s="52">
        <v>146300</v>
      </c>
      <c r="G13" s="53">
        <f t="shared" si="0"/>
        <v>3911.7647058823532</v>
      </c>
      <c r="H13" s="52">
        <v>31760</v>
      </c>
      <c r="I13" s="54">
        <f t="shared" si="1"/>
        <v>849.17647058823525</v>
      </c>
      <c r="J13" s="55">
        <f t="shared" si="2"/>
        <v>178060</v>
      </c>
      <c r="K13" s="56">
        <f t="shared" si="3"/>
        <v>5237.0588235294117</v>
      </c>
      <c r="L13" s="57"/>
      <c r="M13" s="58">
        <f t="shared" si="4"/>
        <v>9</v>
      </c>
      <c r="N13" s="59">
        <f t="shared" si="4"/>
        <v>63360</v>
      </c>
      <c r="O13" s="53">
        <f t="shared" si="5"/>
        <v>6400</v>
      </c>
      <c r="P13" s="59">
        <f t="shared" si="6"/>
        <v>16500</v>
      </c>
      <c r="Q13" s="54">
        <f t="shared" si="7"/>
        <v>1666.6666666666667</v>
      </c>
      <c r="R13" s="60">
        <f t="shared" si="8"/>
        <v>79860</v>
      </c>
      <c r="S13" s="56">
        <f t="shared" si="9"/>
        <v>8873.3333333333339</v>
      </c>
      <c r="T13" s="80">
        <f t="shared" si="10"/>
        <v>43</v>
      </c>
      <c r="U13" s="59">
        <f t="shared" si="10"/>
        <v>209660</v>
      </c>
      <c r="V13" s="59">
        <f t="shared" si="11"/>
        <v>48260</v>
      </c>
      <c r="W13" s="62">
        <f t="shared" si="12"/>
        <v>257920</v>
      </c>
      <c r="X13" s="81"/>
      <c r="Y13" s="63"/>
      <c r="Z13" s="64">
        <v>10</v>
      </c>
      <c r="AA13" s="52">
        <v>5360</v>
      </c>
      <c r="AB13" s="53">
        <f t="shared" si="13"/>
        <v>536</v>
      </c>
      <c r="AC13" s="52">
        <v>2500</v>
      </c>
      <c r="AD13" s="54">
        <f t="shared" si="14"/>
        <v>250</v>
      </c>
      <c r="AE13" s="65">
        <f t="shared" si="15"/>
        <v>7860</v>
      </c>
      <c r="AF13" s="56">
        <f t="shared" si="16"/>
        <v>786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9"/>
        <v>0</v>
      </c>
      <c r="AN13" s="67" t="str">
        <f t="shared" si="19"/>
        <v/>
      </c>
      <c r="AO13" s="68">
        <v>192</v>
      </c>
      <c r="AP13" s="64">
        <v>513</v>
      </c>
      <c r="AQ13" s="52">
        <v>1444350</v>
      </c>
      <c r="AR13" s="53">
        <f t="shared" si="20"/>
        <v>2815.4970760233919</v>
      </c>
      <c r="AS13" s="52">
        <v>831600</v>
      </c>
      <c r="AT13" s="54">
        <f t="shared" si="21"/>
        <v>1621.0526315789473</v>
      </c>
      <c r="AU13" s="54">
        <v>14850</v>
      </c>
      <c r="AV13" s="69">
        <f>AQ13+AS13+AU13</f>
        <v>2290800</v>
      </c>
      <c r="AW13" s="67">
        <f t="shared" si="22"/>
        <v>4465.4970760233919</v>
      </c>
      <c r="AX13" s="82">
        <f t="shared" si="23"/>
        <v>43</v>
      </c>
      <c r="AY13" s="59">
        <f t="shared" si="24"/>
        <v>1659370</v>
      </c>
      <c r="AZ13" s="59">
        <f t="shared" si="25"/>
        <v>882360</v>
      </c>
      <c r="BA13" s="71">
        <f t="shared" si="26"/>
        <v>2556580</v>
      </c>
      <c r="BB13" s="72">
        <f t="shared" si="31"/>
        <v>2200</v>
      </c>
      <c r="BC13" s="73">
        <v>43</v>
      </c>
      <c r="BD13" s="74">
        <v>209660</v>
      </c>
      <c r="BE13" s="74">
        <v>48260</v>
      </c>
      <c r="BF13" s="75">
        <v>2200</v>
      </c>
      <c r="BG13" s="75"/>
      <c r="BH13" s="75"/>
      <c r="BI13" s="75">
        <v>9900</v>
      </c>
      <c r="BJ13" s="76">
        <f t="shared" si="32"/>
        <v>260120</v>
      </c>
      <c r="BK13" s="47">
        <v>9</v>
      </c>
      <c r="BL13" s="77">
        <f t="shared" si="27"/>
        <v>270020</v>
      </c>
    </row>
    <row r="14" spans="1:64" ht="20" customHeight="1">
      <c r="B14" s="78">
        <f t="shared" si="28"/>
        <v>45117</v>
      </c>
      <c r="C14" s="79"/>
      <c r="D14" s="50"/>
      <c r="E14" s="51">
        <v>27</v>
      </c>
      <c r="F14" s="52">
        <v>106150</v>
      </c>
      <c r="G14" s="53">
        <f t="shared" si="0"/>
        <v>3574.0740740740739</v>
      </c>
      <c r="H14" s="52">
        <v>12850</v>
      </c>
      <c r="I14" s="54">
        <f t="shared" si="1"/>
        <v>432.62962962962962</v>
      </c>
      <c r="J14" s="55">
        <f t="shared" si="2"/>
        <v>119000</v>
      </c>
      <c r="K14" s="56">
        <f t="shared" si="3"/>
        <v>4407.4074074074078</v>
      </c>
      <c r="L14" s="57"/>
      <c r="M14" s="58">
        <f t="shared" si="4"/>
        <v>23</v>
      </c>
      <c r="N14" s="59">
        <f t="shared" si="4"/>
        <v>180070</v>
      </c>
      <c r="O14" s="53">
        <f t="shared" si="5"/>
        <v>7117.391304347826</v>
      </c>
      <c r="P14" s="59">
        <f t="shared" si="6"/>
        <v>50470</v>
      </c>
      <c r="Q14" s="54">
        <f t="shared" si="7"/>
        <v>1994.8260869565217</v>
      </c>
      <c r="R14" s="60">
        <f t="shared" si="8"/>
        <v>230540</v>
      </c>
      <c r="S14" s="56">
        <f t="shared" si="9"/>
        <v>10023.478260869566</v>
      </c>
      <c r="T14" s="80">
        <f t="shared" si="10"/>
        <v>50</v>
      </c>
      <c r="U14" s="59">
        <f t="shared" si="10"/>
        <v>286220</v>
      </c>
      <c r="V14" s="59">
        <f t="shared" si="11"/>
        <v>63320</v>
      </c>
      <c r="W14" s="62">
        <f t="shared" si="12"/>
        <v>349540</v>
      </c>
      <c r="X14" s="81"/>
      <c r="Y14" s="63"/>
      <c r="Z14" s="64">
        <v>8</v>
      </c>
      <c r="AA14" s="52">
        <v>5290</v>
      </c>
      <c r="AB14" s="53">
        <f t="shared" si="13"/>
        <v>661.25</v>
      </c>
      <c r="AC14" s="52">
        <v>1000</v>
      </c>
      <c r="AD14" s="54">
        <f t="shared" si="14"/>
        <v>125</v>
      </c>
      <c r="AE14" s="65">
        <f t="shared" si="15"/>
        <v>6290</v>
      </c>
      <c r="AF14" s="56">
        <f t="shared" si="16"/>
        <v>786.25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>
        <v>120</v>
      </c>
      <c r="AP14" s="64">
        <v>293</v>
      </c>
      <c r="AQ14" s="52">
        <v>747400</v>
      </c>
      <c r="AR14" s="53">
        <f t="shared" si="20"/>
        <v>2550.8532423208189</v>
      </c>
      <c r="AS14" s="52">
        <v>455750</v>
      </c>
      <c r="AT14" s="54">
        <f t="shared" si="21"/>
        <v>1555.4607508532424</v>
      </c>
      <c r="AU14" s="54">
        <v>6050</v>
      </c>
      <c r="AV14" s="69">
        <f t="shared" si="30"/>
        <v>1209200</v>
      </c>
      <c r="AW14" s="67">
        <f t="shared" si="22"/>
        <v>4126.9624573378842</v>
      </c>
      <c r="AX14" s="82">
        <f t="shared" si="23"/>
        <v>50</v>
      </c>
      <c r="AY14" s="59">
        <f t="shared" si="24"/>
        <v>1038910</v>
      </c>
      <c r="AZ14" s="59">
        <f t="shared" si="25"/>
        <v>520070</v>
      </c>
      <c r="BA14" s="71">
        <f t="shared" si="26"/>
        <v>1565030</v>
      </c>
      <c r="BB14" s="72">
        <f t="shared" si="31"/>
        <v>0</v>
      </c>
      <c r="BC14" s="73">
        <v>50</v>
      </c>
      <c r="BD14" s="74">
        <v>286220</v>
      </c>
      <c r="BE14" s="74">
        <v>63320</v>
      </c>
      <c r="BF14" s="75"/>
      <c r="BG14" s="75"/>
      <c r="BH14" s="75"/>
      <c r="BI14" s="75"/>
      <c r="BJ14" s="76">
        <f t="shared" si="32"/>
        <v>349540</v>
      </c>
      <c r="BK14" s="47">
        <v>10</v>
      </c>
      <c r="BL14" s="77">
        <f t="shared" si="27"/>
        <v>349540</v>
      </c>
    </row>
    <row r="15" spans="1:64" ht="20" customHeight="1">
      <c r="B15" s="78">
        <f t="shared" si="28"/>
        <v>45118</v>
      </c>
      <c r="C15" s="83"/>
      <c r="D15" s="50"/>
      <c r="E15" s="51">
        <v>38</v>
      </c>
      <c r="F15" s="52">
        <v>119130</v>
      </c>
      <c r="G15" s="53">
        <f t="shared" si="0"/>
        <v>2850</v>
      </c>
      <c r="H15" s="52">
        <v>8120</v>
      </c>
      <c r="I15" s="54">
        <f t="shared" si="1"/>
        <v>194.23684210526315</v>
      </c>
      <c r="J15" s="55">
        <f t="shared" si="2"/>
        <v>127250</v>
      </c>
      <c r="K15" s="56">
        <f t="shared" si="3"/>
        <v>3348.6842105263158</v>
      </c>
      <c r="L15" s="57"/>
      <c r="M15" s="58">
        <f t="shared" si="4"/>
        <v>24</v>
      </c>
      <c r="N15" s="59">
        <f t="shared" si="4"/>
        <v>250250</v>
      </c>
      <c r="O15" s="53">
        <f t="shared" si="5"/>
        <v>9479.1666666666661</v>
      </c>
      <c r="P15" s="59">
        <f t="shared" si="6"/>
        <v>79520</v>
      </c>
      <c r="Q15" s="54">
        <f t="shared" si="7"/>
        <v>3012.0833333333335</v>
      </c>
      <c r="R15" s="60">
        <f t="shared" si="8"/>
        <v>329770</v>
      </c>
      <c r="S15" s="56">
        <f t="shared" si="9"/>
        <v>13740.416666666666</v>
      </c>
      <c r="T15" s="80">
        <f t="shared" si="10"/>
        <v>62</v>
      </c>
      <c r="U15" s="59">
        <f t="shared" si="10"/>
        <v>369380</v>
      </c>
      <c r="V15" s="59">
        <f t="shared" si="11"/>
        <v>87640</v>
      </c>
      <c r="W15" s="62">
        <f t="shared" si="12"/>
        <v>457020</v>
      </c>
      <c r="X15" s="81"/>
      <c r="Y15" s="63"/>
      <c r="Z15" s="64">
        <v>33</v>
      </c>
      <c r="AA15" s="52">
        <v>22020</v>
      </c>
      <c r="AB15" s="53">
        <f t="shared" si="13"/>
        <v>667.27272727272725</v>
      </c>
      <c r="AC15" s="52">
        <v>4000</v>
      </c>
      <c r="AD15" s="54">
        <f t="shared" si="14"/>
        <v>121.21212121212122</v>
      </c>
      <c r="AE15" s="65">
        <f t="shared" si="15"/>
        <v>26020</v>
      </c>
      <c r="AF15" s="56">
        <f t="shared" si="16"/>
        <v>788.4848484848485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>
        <v>58</v>
      </c>
      <c r="AP15" s="64">
        <v>181</v>
      </c>
      <c r="AQ15" s="52">
        <v>529650</v>
      </c>
      <c r="AR15" s="53">
        <f t="shared" si="20"/>
        <v>2926.243093922652</v>
      </c>
      <c r="AS15" s="52">
        <v>266300</v>
      </c>
      <c r="AT15" s="54">
        <f t="shared" si="21"/>
        <v>1471.2707182320441</v>
      </c>
      <c r="AU15" s="54">
        <v>13200</v>
      </c>
      <c r="AV15" s="69">
        <f t="shared" si="30"/>
        <v>809150</v>
      </c>
      <c r="AW15" s="67">
        <f t="shared" si="22"/>
        <v>4470.441988950276</v>
      </c>
      <c r="AX15" s="82">
        <f t="shared" si="23"/>
        <v>62</v>
      </c>
      <c r="AY15" s="59">
        <f t="shared" si="24"/>
        <v>921050</v>
      </c>
      <c r="AZ15" s="59">
        <f t="shared" si="25"/>
        <v>357940</v>
      </c>
      <c r="BA15" s="71">
        <f t="shared" si="26"/>
        <v>1292190</v>
      </c>
      <c r="BB15" s="72">
        <f t="shared" si="31"/>
        <v>6600</v>
      </c>
      <c r="BC15" s="73">
        <v>62</v>
      </c>
      <c r="BD15" s="74">
        <v>369380</v>
      </c>
      <c r="BE15" s="74">
        <v>87640</v>
      </c>
      <c r="BF15" s="75">
        <v>6600</v>
      </c>
      <c r="BG15" s="75"/>
      <c r="BH15" s="75"/>
      <c r="BI15" s="75"/>
      <c r="BJ15" s="76">
        <f t="shared" si="32"/>
        <v>463620</v>
      </c>
      <c r="BK15" s="47">
        <v>11</v>
      </c>
      <c r="BL15" s="77">
        <f t="shared" si="27"/>
        <v>463620</v>
      </c>
    </row>
    <row r="16" spans="1:64" ht="20" customHeight="1">
      <c r="B16" s="78">
        <f t="shared" si="28"/>
        <v>45119</v>
      </c>
      <c r="C16" s="79"/>
      <c r="D16" s="50"/>
      <c r="E16" s="51">
        <v>30</v>
      </c>
      <c r="F16" s="52">
        <v>102850</v>
      </c>
      <c r="G16" s="53">
        <f t="shared" si="0"/>
        <v>3116.6666666666665</v>
      </c>
      <c r="H16" s="52">
        <v>8260</v>
      </c>
      <c r="I16" s="54">
        <f t="shared" si="1"/>
        <v>250.3</v>
      </c>
      <c r="J16" s="55">
        <f t="shared" si="2"/>
        <v>111110</v>
      </c>
      <c r="K16" s="56">
        <f t="shared" si="3"/>
        <v>3703.6666666666665</v>
      </c>
      <c r="L16" s="57"/>
      <c r="M16" s="58">
        <f t="shared" si="4"/>
        <v>20</v>
      </c>
      <c r="N16" s="59">
        <f t="shared" si="4"/>
        <v>80410</v>
      </c>
      <c r="O16" s="53">
        <f t="shared" si="5"/>
        <v>3655</v>
      </c>
      <c r="P16" s="59">
        <f t="shared" si="6"/>
        <v>5410</v>
      </c>
      <c r="Q16" s="54">
        <f t="shared" si="7"/>
        <v>245.9</v>
      </c>
      <c r="R16" s="60">
        <f t="shared" si="8"/>
        <v>85820</v>
      </c>
      <c r="S16" s="56">
        <f t="shared" si="9"/>
        <v>4291</v>
      </c>
      <c r="T16" s="80">
        <f t="shared" si="10"/>
        <v>50</v>
      </c>
      <c r="U16" s="59">
        <f t="shared" si="10"/>
        <v>183260</v>
      </c>
      <c r="V16" s="59">
        <f t="shared" si="11"/>
        <v>13670</v>
      </c>
      <c r="W16" s="62">
        <f t="shared" si="12"/>
        <v>196930</v>
      </c>
      <c r="X16" s="81"/>
      <c r="Y16" s="63"/>
      <c r="Z16" s="64">
        <v>24</v>
      </c>
      <c r="AA16" s="52">
        <v>16280</v>
      </c>
      <c r="AB16" s="53">
        <f t="shared" si="13"/>
        <v>678.33333333333337</v>
      </c>
      <c r="AC16" s="52">
        <v>1500</v>
      </c>
      <c r="AD16" s="54">
        <f t="shared" si="14"/>
        <v>62.5</v>
      </c>
      <c r="AE16" s="65">
        <f t="shared" si="15"/>
        <v>17780</v>
      </c>
      <c r="AF16" s="56">
        <f t="shared" si="16"/>
        <v>740.83333333333337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9"/>
        <v>0</v>
      </c>
      <c r="AN16" s="67" t="str">
        <f t="shared" si="19"/>
        <v/>
      </c>
      <c r="AO16" s="68">
        <v>60</v>
      </c>
      <c r="AP16" s="64">
        <v>175</v>
      </c>
      <c r="AQ16" s="52">
        <v>518650</v>
      </c>
      <c r="AR16" s="53">
        <f t="shared" si="20"/>
        <v>2963.7142857142858</v>
      </c>
      <c r="AS16" s="52">
        <v>266050</v>
      </c>
      <c r="AT16" s="54">
        <f t="shared" si="21"/>
        <v>1520.2857142857142</v>
      </c>
      <c r="AU16" s="54">
        <v>12650</v>
      </c>
      <c r="AV16" s="69">
        <f t="shared" si="30"/>
        <v>797350</v>
      </c>
      <c r="AW16" s="67">
        <f t="shared" si="22"/>
        <v>4556.2857142857147</v>
      </c>
      <c r="AX16" s="82">
        <f t="shared" si="23"/>
        <v>50</v>
      </c>
      <c r="AY16" s="59">
        <f t="shared" si="24"/>
        <v>718190</v>
      </c>
      <c r="AZ16" s="59">
        <f t="shared" si="25"/>
        <v>281220</v>
      </c>
      <c r="BA16" s="71">
        <f t="shared" si="26"/>
        <v>1012060</v>
      </c>
      <c r="BB16" s="72">
        <f t="shared" si="31"/>
        <v>1650</v>
      </c>
      <c r="BC16" s="73">
        <v>50</v>
      </c>
      <c r="BD16" s="74">
        <v>183260</v>
      </c>
      <c r="BE16" s="74">
        <v>13670</v>
      </c>
      <c r="BF16" s="75">
        <v>1650</v>
      </c>
      <c r="BG16" s="75"/>
      <c r="BH16" s="75"/>
      <c r="BI16" s="75"/>
      <c r="BJ16" s="76">
        <f t="shared" si="32"/>
        <v>198580</v>
      </c>
      <c r="BK16" s="47">
        <v>12</v>
      </c>
      <c r="BL16" s="77">
        <f t="shared" si="27"/>
        <v>198580</v>
      </c>
    </row>
    <row r="17" spans="2:64" ht="20" customHeight="1">
      <c r="B17" s="78">
        <f t="shared" si="28"/>
        <v>45120</v>
      </c>
      <c r="C17" s="83"/>
      <c r="D17" s="50"/>
      <c r="E17" s="51">
        <v>38</v>
      </c>
      <c r="F17" s="52">
        <v>146850</v>
      </c>
      <c r="G17" s="53">
        <f t="shared" si="0"/>
        <v>3513.1578947368421</v>
      </c>
      <c r="H17" s="52">
        <v>18010</v>
      </c>
      <c r="I17" s="54">
        <f t="shared" si="1"/>
        <v>430.84210526315792</v>
      </c>
      <c r="J17" s="55">
        <f t="shared" si="2"/>
        <v>164860</v>
      </c>
      <c r="K17" s="56">
        <f t="shared" si="3"/>
        <v>4338.4210526315792</v>
      </c>
      <c r="L17" s="57"/>
      <c r="M17" s="58">
        <f t="shared" si="4"/>
        <v>12</v>
      </c>
      <c r="N17" s="59">
        <f t="shared" si="4"/>
        <v>89980</v>
      </c>
      <c r="O17" s="53">
        <f t="shared" si="5"/>
        <v>6816.666666666667</v>
      </c>
      <c r="P17" s="59">
        <f t="shared" si="6"/>
        <v>16580</v>
      </c>
      <c r="Q17" s="54">
        <f t="shared" si="7"/>
        <v>1256</v>
      </c>
      <c r="R17" s="60">
        <f t="shared" si="8"/>
        <v>106560</v>
      </c>
      <c r="S17" s="56">
        <f t="shared" si="9"/>
        <v>8880</v>
      </c>
      <c r="T17" s="80">
        <f t="shared" si="10"/>
        <v>50</v>
      </c>
      <c r="U17" s="59">
        <f t="shared" si="10"/>
        <v>236830</v>
      </c>
      <c r="V17" s="59">
        <f t="shared" si="11"/>
        <v>34590</v>
      </c>
      <c r="W17" s="62">
        <f t="shared" si="12"/>
        <v>271420</v>
      </c>
      <c r="X17" s="81"/>
      <c r="Y17" s="63"/>
      <c r="Z17" s="64">
        <v>17</v>
      </c>
      <c r="AA17" s="52">
        <v>10300</v>
      </c>
      <c r="AB17" s="53">
        <f t="shared" si="13"/>
        <v>605.88235294117646</v>
      </c>
      <c r="AC17" s="52">
        <v>0</v>
      </c>
      <c r="AD17" s="54">
        <f t="shared" si="14"/>
        <v>0</v>
      </c>
      <c r="AE17" s="65">
        <f t="shared" si="15"/>
        <v>10300</v>
      </c>
      <c r="AF17" s="56">
        <f t="shared" si="16"/>
        <v>605.88235294117646</v>
      </c>
      <c r="AG17" s="66"/>
      <c r="AH17" s="64">
        <v>15</v>
      </c>
      <c r="AI17" s="52">
        <v>84825</v>
      </c>
      <c r="AJ17" s="53">
        <f t="shared" si="17"/>
        <v>5655</v>
      </c>
      <c r="AK17" s="52">
        <v>26100</v>
      </c>
      <c r="AL17" s="54">
        <f t="shared" si="18"/>
        <v>1740</v>
      </c>
      <c r="AM17" s="65">
        <f t="shared" si="29"/>
        <v>110925</v>
      </c>
      <c r="AN17" s="67">
        <f t="shared" si="19"/>
        <v>7395</v>
      </c>
      <c r="AO17" s="68">
        <v>71</v>
      </c>
      <c r="AP17" s="64">
        <v>220</v>
      </c>
      <c r="AQ17" s="52">
        <v>610100</v>
      </c>
      <c r="AR17" s="53">
        <f t="shared" si="20"/>
        <v>2773.181818181818</v>
      </c>
      <c r="AS17" s="52">
        <v>339550</v>
      </c>
      <c r="AT17" s="54">
        <f t="shared" si="21"/>
        <v>1543.409090909091</v>
      </c>
      <c r="AU17" s="54">
        <v>1100</v>
      </c>
      <c r="AV17" s="69">
        <f t="shared" si="30"/>
        <v>950750</v>
      </c>
      <c r="AW17" s="67">
        <f t="shared" si="22"/>
        <v>4321.590909090909</v>
      </c>
      <c r="AX17" s="82">
        <f t="shared" si="23"/>
        <v>50</v>
      </c>
      <c r="AY17" s="59">
        <f t="shared" si="24"/>
        <v>942055</v>
      </c>
      <c r="AZ17" s="59">
        <f t="shared" si="25"/>
        <v>400240</v>
      </c>
      <c r="BA17" s="71">
        <f t="shared" si="26"/>
        <v>1343395</v>
      </c>
      <c r="BB17" s="72">
        <f t="shared" si="31"/>
        <v>1100</v>
      </c>
      <c r="BC17" s="73">
        <v>50</v>
      </c>
      <c r="BD17" s="74">
        <v>236830</v>
      </c>
      <c r="BE17" s="74">
        <v>34590</v>
      </c>
      <c r="BF17" s="75">
        <v>1100</v>
      </c>
      <c r="BG17" s="75"/>
      <c r="BH17" s="75"/>
      <c r="BI17" s="75"/>
      <c r="BJ17" s="76">
        <f t="shared" si="32"/>
        <v>272520</v>
      </c>
      <c r="BK17" s="47">
        <v>13</v>
      </c>
      <c r="BL17" s="77">
        <f t="shared" si="27"/>
        <v>272520</v>
      </c>
    </row>
    <row r="18" spans="2:64" ht="20" customHeight="1">
      <c r="B18" s="78">
        <f t="shared" si="28"/>
        <v>45121</v>
      </c>
      <c r="C18" s="79"/>
      <c r="D18" s="50"/>
      <c r="E18" s="51">
        <v>26</v>
      </c>
      <c r="F18" s="52">
        <v>77660</v>
      </c>
      <c r="G18" s="53">
        <f t="shared" si="0"/>
        <v>2715.3846153846152</v>
      </c>
      <c r="H18" s="52">
        <v>9070</v>
      </c>
      <c r="I18" s="54">
        <f t="shared" si="1"/>
        <v>317.11538461538464</v>
      </c>
      <c r="J18" s="55">
        <f t="shared" si="2"/>
        <v>86730</v>
      </c>
      <c r="K18" s="56">
        <f t="shared" si="3"/>
        <v>3335.7692307692309</v>
      </c>
      <c r="L18" s="57"/>
      <c r="M18" s="58">
        <f t="shared" si="4"/>
        <v>17</v>
      </c>
      <c r="N18" s="59">
        <f t="shared" si="4"/>
        <v>167530</v>
      </c>
      <c r="O18" s="53">
        <f t="shared" si="5"/>
        <v>8958.823529411764</v>
      </c>
      <c r="P18" s="59">
        <f t="shared" si="6"/>
        <v>28420</v>
      </c>
      <c r="Q18" s="54">
        <f t="shared" si="7"/>
        <v>1519.7647058823529</v>
      </c>
      <c r="R18" s="60">
        <f t="shared" si="8"/>
        <v>195950</v>
      </c>
      <c r="S18" s="56">
        <f t="shared" si="9"/>
        <v>11526.470588235294</v>
      </c>
      <c r="T18" s="80">
        <f t="shared" si="10"/>
        <v>43</v>
      </c>
      <c r="U18" s="59">
        <f t="shared" si="10"/>
        <v>245190</v>
      </c>
      <c r="V18" s="59">
        <f t="shared" si="11"/>
        <v>37490</v>
      </c>
      <c r="W18" s="62">
        <f t="shared" si="12"/>
        <v>282680</v>
      </c>
      <c r="X18" s="81"/>
      <c r="Y18" s="63"/>
      <c r="Z18" s="64">
        <v>19</v>
      </c>
      <c r="AA18" s="52">
        <v>12010</v>
      </c>
      <c r="AB18" s="53">
        <f t="shared" si="13"/>
        <v>632.10526315789468</v>
      </c>
      <c r="AC18" s="52">
        <v>5000</v>
      </c>
      <c r="AD18" s="54">
        <f t="shared" si="14"/>
        <v>263.15789473684208</v>
      </c>
      <c r="AE18" s="65">
        <f t="shared" si="15"/>
        <v>17010</v>
      </c>
      <c r="AF18" s="56">
        <f t="shared" si="16"/>
        <v>895.26315789473688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>
        <v>110</v>
      </c>
      <c r="AP18" s="64">
        <v>373</v>
      </c>
      <c r="AQ18" s="52">
        <v>1107700</v>
      </c>
      <c r="AR18" s="53">
        <f t="shared" si="20"/>
        <v>2969.7050938337802</v>
      </c>
      <c r="AS18" s="52">
        <v>596850</v>
      </c>
      <c r="AT18" s="54">
        <f t="shared" si="21"/>
        <v>1600.1340482573726</v>
      </c>
      <c r="AU18" s="54">
        <v>12100</v>
      </c>
      <c r="AV18" s="69">
        <f t="shared" si="30"/>
        <v>1716650</v>
      </c>
      <c r="AW18" s="67">
        <f t="shared" si="22"/>
        <v>4602.2788203753353</v>
      </c>
      <c r="AX18" s="82">
        <f t="shared" si="23"/>
        <v>43</v>
      </c>
      <c r="AY18" s="59">
        <f t="shared" si="24"/>
        <v>1364900</v>
      </c>
      <c r="AZ18" s="59">
        <f t="shared" si="25"/>
        <v>639340</v>
      </c>
      <c r="BA18" s="71">
        <f t="shared" si="26"/>
        <v>2016340</v>
      </c>
      <c r="BB18" s="72">
        <f t="shared" si="31"/>
        <v>0</v>
      </c>
      <c r="BC18" s="73">
        <v>43</v>
      </c>
      <c r="BD18" s="74">
        <v>245190</v>
      </c>
      <c r="BE18" s="74">
        <v>37490</v>
      </c>
      <c r="BF18" s="75"/>
      <c r="BG18" s="75"/>
      <c r="BH18" s="75"/>
      <c r="BI18" s="75">
        <v>11000</v>
      </c>
      <c r="BJ18" s="76">
        <f t="shared" si="32"/>
        <v>282680</v>
      </c>
      <c r="BK18" s="47">
        <v>14</v>
      </c>
      <c r="BL18" s="77">
        <f t="shared" si="27"/>
        <v>293680</v>
      </c>
    </row>
    <row r="19" spans="2:64" ht="20" customHeight="1">
      <c r="B19" s="78">
        <f t="shared" si="28"/>
        <v>45122</v>
      </c>
      <c r="C19" s="79"/>
      <c r="D19" s="50"/>
      <c r="E19" s="51">
        <v>31</v>
      </c>
      <c r="F19" s="52">
        <v>132550</v>
      </c>
      <c r="G19" s="53">
        <f t="shared" si="0"/>
        <v>3887.0967741935483</v>
      </c>
      <c r="H19" s="52">
        <v>20870</v>
      </c>
      <c r="I19" s="54">
        <f t="shared" si="1"/>
        <v>612</v>
      </c>
      <c r="J19" s="55">
        <f t="shared" si="2"/>
        <v>153420</v>
      </c>
      <c r="K19" s="56">
        <f t="shared" si="3"/>
        <v>4949.0322580645161</v>
      </c>
      <c r="L19" s="57"/>
      <c r="M19" s="58">
        <f t="shared" si="4"/>
        <v>30</v>
      </c>
      <c r="N19" s="59">
        <f t="shared" si="4"/>
        <v>311960</v>
      </c>
      <c r="O19" s="53">
        <f t="shared" si="5"/>
        <v>9453.3333333333339</v>
      </c>
      <c r="P19" s="59">
        <f t="shared" si="6"/>
        <v>84700</v>
      </c>
      <c r="Q19" s="84">
        <f t="shared" si="7"/>
        <v>2566.6666666666665</v>
      </c>
      <c r="R19" s="60">
        <f t="shared" si="8"/>
        <v>396660</v>
      </c>
      <c r="S19" s="56">
        <f t="shared" si="9"/>
        <v>13222</v>
      </c>
      <c r="T19" s="80">
        <f t="shared" si="10"/>
        <v>61</v>
      </c>
      <c r="U19" s="59">
        <f t="shared" si="10"/>
        <v>444510</v>
      </c>
      <c r="V19" s="59">
        <f t="shared" si="11"/>
        <v>105570</v>
      </c>
      <c r="W19" s="62">
        <f t="shared" si="12"/>
        <v>550080</v>
      </c>
      <c r="X19" s="81"/>
      <c r="Y19" s="63"/>
      <c r="Z19" s="64">
        <v>16</v>
      </c>
      <c r="AA19" s="52">
        <v>11780</v>
      </c>
      <c r="AB19" s="53">
        <f t="shared" si="13"/>
        <v>736.25</v>
      </c>
      <c r="AC19" s="52">
        <v>850</v>
      </c>
      <c r="AD19" s="54">
        <f t="shared" si="14"/>
        <v>53.125</v>
      </c>
      <c r="AE19" s="65">
        <f t="shared" si="15"/>
        <v>12630</v>
      </c>
      <c r="AF19" s="56">
        <f t="shared" si="16"/>
        <v>789.375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>
        <v>60</v>
      </c>
      <c r="AP19" s="64">
        <v>252</v>
      </c>
      <c r="AQ19" s="52">
        <v>797100</v>
      </c>
      <c r="AR19" s="53">
        <f t="shared" si="20"/>
        <v>3163.0952380952381</v>
      </c>
      <c r="AS19" s="52">
        <v>410750</v>
      </c>
      <c r="AT19" s="54">
        <f t="shared" si="21"/>
        <v>1629.9603174603174</v>
      </c>
      <c r="AU19" s="54">
        <v>30250</v>
      </c>
      <c r="AV19" s="69">
        <f t="shared" si="30"/>
        <v>1238100</v>
      </c>
      <c r="AW19" s="67">
        <f t="shared" si="22"/>
        <v>4913.0952380952385</v>
      </c>
      <c r="AX19" s="82">
        <f t="shared" si="23"/>
        <v>61</v>
      </c>
      <c r="AY19" s="59">
        <f t="shared" si="24"/>
        <v>1253390</v>
      </c>
      <c r="AZ19" s="59">
        <f t="shared" si="25"/>
        <v>517170</v>
      </c>
      <c r="BA19" s="71">
        <f t="shared" si="26"/>
        <v>1800810</v>
      </c>
      <c r="BB19" s="72">
        <f t="shared" si="31"/>
        <v>10450</v>
      </c>
      <c r="BC19" s="73">
        <v>61</v>
      </c>
      <c r="BD19" s="74">
        <v>444510</v>
      </c>
      <c r="BE19" s="74">
        <v>105570</v>
      </c>
      <c r="BF19" s="75">
        <v>10450</v>
      </c>
      <c r="BG19" s="75"/>
      <c r="BH19" s="75"/>
      <c r="BI19" s="75"/>
      <c r="BJ19" s="76">
        <f t="shared" si="32"/>
        <v>560530</v>
      </c>
      <c r="BK19" s="47">
        <v>15</v>
      </c>
      <c r="BL19" s="77">
        <f t="shared" si="27"/>
        <v>560530</v>
      </c>
    </row>
    <row r="20" spans="2:64" ht="20" customHeight="1">
      <c r="B20" s="78">
        <f t="shared" si="28"/>
        <v>45123</v>
      </c>
      <c r="C20" s="79"/>
      <c r="D20" s="50"/>
      <c r="E20" s="51">
        <v>26</v>
      </c>
      <c r="F20" s="52">
        <v>118250</v>
      </c>
      <c r="G20" s="53">
        <f t="shared" si="0"/>
        <v>4134.6153846153848</v>
      </c>
      <c r="H20" s="52">
        <v>26210</v>
      </c>
      <c r="I20" s="53">
        <f t="shared" si="1"/>
        <v>916.42307692307691</v>
      </c>
      <c r="J20" s="55">
        <f t="shared" si="2"/>
        <v>144460</v>
      </c>
      <c r="K20" s="56">
        <f t="shared" si="3"/>
        <v>5556.1538461538457</v>
      </c>
      <c r="L20" s="57"/>
      <c r="M20" s="58">
        <f t="shared" si="4"/>
        <v>26</v>
      </c>
      <c r="N20" s="59">
        <f t="shared" si="4"/>
        <v>255750</v>
      </c>
      <c r="O20" s="53">
        <f t="shared" si="5"/>
        <v>8942.3076923076915</v>
      </c>
      <c r="P20" s="59">
        <f t="shared" si="6"/>
        <v>53820</v>
      </c>
      <c r="Q20" s="84">
        <f t="shared" si="7"/>
        <v>1881.8076923076924</v>
      </c>
      <c r="R20" s="60">
        <f t="shared" si="8"/>
        <v>309570</v>
      </c>
      <c r="S20" s="56">
        <f t="shared" si="9"/>
        <v>11906.538461538461</v>
      </c>
      <c r="T20" s="80">
        <f t="shared" si="10"/>
        <v>52</v>
      </c>
      <c r="U20" s="59">
        <f t="shared" si="10"/>
        <v>374000</v>
      </c>
      <c r="V20" s="59">
        <f t="shared" si="11"/>
        <v>80030</v>
      </c>
      <c r="W20" s="62">
        <f t="shared" si="12"/>
        <v>454030</v>
      </c>
      <c r="X20" s="81"/>
      <c r="Y20" s="63"/>
      <c r="Z20" s="64">
        <v>60</v>
      </c>
      <c r="AA20" s="52">
        <v>37820</v>
      </c>
      <c r="AB20" s="53">
        <f t="shared" si="13"/>
        <v>630.33333333333337</v>
      </c>
      <c r="AC20" s="52">
        <v>1000</v>
      </c>
      <c r="AD20" s="54">
        <f t="shared" si="14"/>
        <v>16.666666666666668</v>
      </c>
      <c r="AE20" s="65">
        <f t="shared" si="15"/>
        <v>38820</v>
      </c>
      <c r="AF20" s="56">
        <f t="shared" si="16"/>
        <v>647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9"/>
        <v>0</v>
      </c>
      <c r="AN20" s="67" t="str">
        <f t="shared" si="19"/>
        <v/>
      </c>
      <c r="AO20" s="68">
        <v>220</v>
      </c>
      <c r="AP20" s="64">
        <v>660</v>
      </c>
      <c r="AQ20" s="52">
        <v>1804850</v>
      </c>
      <c r="AR20" s="53">
        <f t="shared" si="20"/>
        <v>2734.621212121212</v>
      </c>
      <c r="AS20" s="52">
        <v>1029900</v>
      </c>
      <c r="AT20" s="54">
        <f t="shared" si="21"/>
        <v>1560.4545454545455</v>
      </c>
      <c r="AU20" s="54">
        <v>24750</v>
      </c>
      <c r="AV20" s="69">
        <f t="shared" si="30"/>
        <v>2859500</v>
      </c>
      <c r="AW20" s="67">
        <f t="shared" si="22"/>
        <v>4332.575757575758</v>
      </c>
      <c r="AX20" s="82">
        <f t="shared" si="23"/>
        <v>52</v>
      </c>
      <c r="AY20" s="59">
        <f t="shared" si="24"/>
        <v>2216670</v>
      </c>
      <c r="AZ20" s="59">
        <f t="shared" si="25"/>
        <v>1110930</v>
      </c>
      <c r="BA20" s="71">
        <f t="shared" si="26"/>
        <v>3352350</v>
      </c>
      <c r="BB20" s="72">
        <f t="shared" si="31"/>
        <v>5500</v>
      </c>
      <c r="BC20" s="73">
        <v>52</v>
      </c>
      <c r="BD20" s="74">
        <v>374000</v>
      </c>
      <c r="BE20" s="74">
        <v>80030</v>
      </c>
      <c r="BF20" s="75">
        <v>5500</v>
      </c>
      <c r="BG20" s="75"/>
      <c r="BH20" s="75"/>
      <c r="BI20" s="75"/>
      <c r="BJ20" s="76">
        <f t="shared" si="32"/>
        <v>459530</v>
      </c>
      <c r="BK20" s="47">
        <v>16</v>
      </c>
      <c r="BL20" s="77">
        <f t="shared" si="27"/>
        <v>459530</v>
      </c>
    </row>
    <row r="21" spans="2:64" ht="20" customHeight="1">
      <c r="B21" s="78">
        <f t="shared" si="28"/>
        <v>45124</v>
      </c>
      <c r="C21" s="79"/>
      <c r="D21" s="50"/>
      <c r="E21" s="51">
        <v>29</v>
      </c>
      <c r="F21" s="52">
        <v>123200</v>
      </c>
      <c r="G21" s="53">
        <f t="shared" si="0"/>
        <v>3862.0689655172414</v>
      </c>
      <c r="H21" s="52">
        <v>31030</v>
      </c>
      <c r="I21" s="53">
        <f t="shared" si="1"/>
        <v>972.72413793103453</v>
      </c>
      <c r="J21" s="55">
        <f t="shared" si="2"/>
        <v>154230</v>
      </c>
      <c r="K21" s="56">
        <f t="shared" si="3"/>
        <v>5318.2758620689656</v>
      </c>
      <c r="L21" s="57"/>
      <c r="M21" s="58">
        <f t="shared" si="4"/>
        <v>8</v>
      </c>
      <c r="N21" s="59">
        <f t="shared" si="4"/>
        <v>107910</v>
      </c>
      <c r="O21" s="53">
        <f t="shared" si="5"/>
        <v>12262.5</v>
      </c>
      <c r="P21" s="59">
        <f t="shared" si="6"/>
        <v>12990</v>
      </c>
      <c r="Q21" s="84">
        <f t="shared" si="7"/>
        <v>1476.125</v>
      </c>
      <c r="R21" s="60">
        <f t="shared" si="8"/>
        <v>120900</v>
      </c>
      <c r="S21" s="56">
        <f t="shared" si="9"/>
        <v>15112.5</v>
      </c>
      <c r="T21" s="80">
        <f t="shared" si="10"/>
        <v>37</v>
      </c>
      <c r="U21" s="59">
        <f t="shared" si="10"/>
        <v>231110</v>
      </c>
      <c r="V21" s="59">
        <f t="shared" si="11"/>
        <v>44020</v>
      </c>
      <c r="W21" s="62">
        <f t="shared" si="12"/>
        <v>275130</v>
      </c>
      <c r="X21" s="81"/>
      <c r="Y21" s="63"/>
      <c r="Z21" s="64">
        <v>19</v>
      </c>
      <c r="AA21" s="52">
        <v>12700</v>
      </c>
      <c r="AB21" s="53">
        <f t="shared" si="13"/>
        <v>668.42105263157896</v>
      </c>
      <c r="AC21" s="52">
        <v>1000</v>
      </c>
      <c r="AD21" s="54">
        <f t="shared" si="14"/>
        <v>52.631578947368418</v>
      </c>
      <c r="AE21" s="65">
        <f t="shared" si="15"/>
        <v>13700</v>
      </c>
      <c r="AF21" s="56">
        <f t="shared" si="16"/>
        <v>721.0526315789474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>
        <v>128</v>
      </c>
      <c r="AP21" s="64">
        <v>353</v>
      </c>
      <c r="AQ21" s="52">
        <v>924150</v>
      </c>
      <c r="AR21" s="53">
        <f t="shared" si="20"/>
        <v>2617.988668555241</v>
      </c>
      <c r="AS21" s="52">
        <v>514000</v>
      </c>
      <c r="AT21" s="54">
        <f t="shared" si="21"/>
        <v>1456.0906515580737</v>
      </c>
      <c r="AU21" s="54">
        <v>14850</v>
      </c>
      <c r="AV21" s="69">
        <f t="shared" si="30"/>
        <v>1453000</v>
      </c>
      <c r="AW21" s="67">
        <f t="shared" si="22"/>
        <v>4116.1473087818695</v>
      </c>
      <c r="AX21" s="82">
        <f t="shared" si="23"/>
        <v>37</v>
      </c>
      <c r="AY21" s="59">
        <f t="shared" si="24"/>
        <v>1167960</v>
      </c>
      <c r="AZ21" s="59">
        <f t="shared" si="25"/>
        <v>559020</v>
      </c>
      <c r="BA21" s="71">
        <f>W21+AE21+AM21+AV21</f>
        <v>1741830</v>
      </c>
      <c r="BB21" s="72">
        <f t="shared" si="31"/>
        <v>0</v>
      </c>
      <c r="BC21" s="73">
        <v>37</v>
      </c>
      <c r="BD21" s="74">
        <v>231110</v>
      </c>
      <c r="BE21" s="74">
        <v>44020</v>
      </c>
      <c r="BF21" s="75"/>
      <c r="BG21" s="75"/>
      <c r="BH21" s="75"/>
      <c r="BI21" s="75"/>
      <c r="BJ21" s="76">
        <f t="shared" si="32"/>
        <v>275130</v>
      </c>
      <c r="BK21" s="47">
        <v>17</v>
      </c>
      <c r="BL21" s="77">
        <f t="shared" si="27"/>
        <v>275130</v>
      </c>
    </row>
    <row r="22" spans="2:64" ht="20" customHeight="1">
      <c r="B22" s="78">
        <f t="shared" si="28"/>
        <v>45125</v>
      </c>
      <c r="C22" s="79"/>
      <c r="D22" s="50"/>
      <c r="E22" s="51">
        <v>35</v>
      </c>
      <c r="F22" s="52">
        <v>116490</v>
      </c>
      <c r="G22" s="53">
        <f t="shared" si="0"/>
        <v>3025.7142857142858</v>
      </c>
      <c r="H22" s="52">
        <v>11140</v>
      </c>
      <c r="I22" s="53">
        <f t="shared" si="1"/>
        <v>289.34285714285716</v>
      </c>
      <c r="J22" s="55">
        <f t="shared" si="2"/>
        <v>127630</v>
      </c>
      <c r="K22" s="56">
        <f t="shared" si="3"/>
        <v>3646.5714285714284</v>
      </c>
      <c r="L22" s="57"/>
      <c r="M22" s="58">
        <f t="shared" si="4"/>
        <v>11</v>
      </c>
      <c r="N22" s="59">
        <f t="shared" si="4"/>
        <v>104420</v>
      </c>
      <c r="O22" s="53">
        <f t="shared" si="5"/>
        <v>8629.7272727272721</v>
      </c>
      <c r="P22" s="59">
        <f t="shared" si="6"/>
        <v>19900</v>
      </c>
      <c r="Q22" s="84">
        <f t="shared" si="7"/>
        <v>1644.5454545454545</v>
      </c>
      <c r="R22" s="60">
        <f t="shared" si="8"/>
        <v>124320</v>
      </c>
      <c r="S22" s="56">
        <f t="shared" si="9"/>
        <v>11301.818181818182</v>
      </c>
      <c r="T22" s="80">
        <f t="shared" si="10"/>
        <v>46</v>
      </c>
      <c r="U22" s="59">
        <f t="shared" si="10"/>
        <v>220910</v>
      </c>
      <c r="V22" s="59">
        <f t="shared" si="11"/>
        <v>31040</v>
      </c>
      <c r="W22" s="62">
        <f t="shared" si="12"/>
        <v>251950</v>
      </c>
      <c r="X22" s="81"/>
      <c r="Y22" s="63"/>
      <c r="Z22" s="64">
        <v>4</v>
      </c>
      <c r="AA22" s="52">
        <v>1200</v>
      </c>
      <c r="AB22" s="53">
        <f t="shared" si="13"/>
        <v>300</v>
      </c>
      <c r="AC22" s="52">
        <v>0</v>
      </c>
      <c r="AD22" s="54">
        <f t="shared" si="14"/>
        <v>0</v>
      </c>
      <c r="AE22" s="65">
        <f t="shared" si="15"/>
        <v>1200</v>
      </c>
      <c r="AF22" s="56">
        <f t="shared" si="16"/>
        <v>300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>
        <v>102</v>
      </c>
      <c r="AP22" s="64">
        <v>280</v>
      </c>
      <c r="AQ22" s="52">
        <v>721150</v>
      </c>
      <c r="AR22" s="53">
        <f t="shared" si="20"/>
        <v>2575.5357142857142</v>
      </c>
      <c r="AS22" s="52">
        <v>391100</v>
      </c>
      <c r="AT22" s="54">
        <f t="shared" si="21"/>
        <v>1396.7857142857142</v>
      </c>
      <c r="AU22" s="54">
        <v>12650</v>
      </c>
      <c r="AV22" s="69">
        <f t="shared" si="30"/>
        <v>1124900</v>
      </c>
      <c r="AW22" s="67">
        <f t="shared" si="22"/>
        <v>4017.5</v>
      </c>
      <c r="AX22" s="82">
        <f t="shared" si="23"/>
        <v>46</v>
      </c>
      <c r="AY22" s="59">
        <f t="shared" si="24"/>
        <v>943260</v>
      </c>
      <c r="AZ22" s="59">
        <f t="shared" si="25"/>
        <v>422140</v>
      </c>
      <c r="BA22" s="71">
        <f t="shared" si="26"/>
        <v>1378050</v>
      </c>
      <c r="BB22" s="72">
        <f t="shared" si="31"/>
        <v>0</v>
      </c>
      <c r="BC22" s="73">
        <v>46</v>
      </c>
      <c r="BD22" s="74">
        <v>220910</v>
      </c>
      <c r="BE22" s="74">
        <v>31040</v>
      </c>
      <c r="BF22" s="75"/>
      <c r="BG22" s="75"/>
      <c r="BH22" s="75"/>
      <c r="BI22" s="75"/>
      <c r="BJ22" s="76">
        <f t="shared" si="32"/>
        <v>251950</v>
      </c>
      <c r="BK22" s="47">
        <v>18</v>
      </c>
      <c r="BL22" s="77">
        <f t="shared" si="27"/>
        <v>251950</v>
      </c>
    </row>
    <row r="23" spans="2:64" ht="20" customHeight="1">
      <c r="B23" s="78">
        <f t="shared" si="28"/>
        <v>45126</v>
      </c>
      <c r="C23" s="79"/>
      <c r="D23" s="50"/>
      <c r="E23" s="51">
        <v>26</v>
      </c>
      <c r="F23" s="52">
        <v>83820</v>
      </c>
      <c r="G23" s="53">
        <f t="shared" si="0"/>
        <v>2930.7692307692309</v>
      </c>
      <c r="H23" s="52">
        <v>5650</v>
      </c>
      <c r="I23" s="53">
        <f t="shared" si="1"/>
        <v>197.53846153846155</v>
      </c>
      <c r="J23" s="55">
        <f t="shared" si="2"/>
        <v>89470</v>
      </c>
      <c r="K23" s="56">
        <f t="shared" si="3"/>
        <v>3441.1538461538462</v>
      </c>
      <c r="L23" s="57"/>
      <c r="M23" s="58">
        <f t="shared" si="4"/>
        <v>8</v>
      </c>
      <c r="N23" s="59">
        <f t="shared" si="4"/>
        <v>38500</v>
      </c>
      <c r="O23" s="53">
        <f t="shared" si="5"/>
        <v>4375</v>
      </c>
      <c r="P23" s="59">
        <f t="shared" si="6"/>
        <v>11600</v>
      </c>
      <c r="Q23" s="84">
        <f t="shared" si="7"/>
        <v>1318.125</v>
      </c>
      <c r="R23" s="60">
        <f t="shared" si="8"/>
        <v>50100</v>
      </c>
      <c r="S23" s="56">
        <f t="shared" si="9"/>
        <v>6262.5</v>
      </c>
      <c r="T23" s="80">
        <f t="shared" si="10"/>
        <v>34</v>
      </c>
      <c r="U23" s="59">
        <f t="shared" si="10"/>
        <v>122320</v>
      </c>
      <c r="V23" s="59">
        <f t="shared" si="11"/>
        <v>17250</v>
      </c>
      <c r="W23" s="62">
        <f t="shared" si="12"/>
        <v>139570</v>
      </c>
      <c r="X23" s="81"/>
      <c r="Y23" s="63"/>
      <c r="Z23" s="64">
        <v>10</v>
      </c>
      <c r="AA23" s="52">
        <v>5990</v>
      </c>
      <c r="AB23" s="53">
        <f t="shared" si="13"/>
        <v>599</v>
      </c>
      <c r="AC23" s="52">
        <v>2000</v>
      </c>
      <c r="AD23" s="54">
        <f t="shared" si="14"/>
        <v>200</v>
      </c>
      <c r="AE23" s="65">
        <f t="shared" si="15"/>
        <v>7990</v>
      </c>
      <c r="AF23" s="56">
        <f t="shared" si="16"/>
        <v>799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9"/>
        <v>0</v>
      </c>
      <c r="AN23" s="67" t="str">
        <f t="shared" si="19"/>
        <v/>
      </c>
      <c r="AO23" s="68">
        <v>108</v>
      </c>
      <c r="AP23" s="64">
        <v>410</v>
      </c>
      <c r="AQ23" s="52">
        <v>1169800</v>
      </c>
      <c r="AR23" s="53">
        <f t="shared" si="20"/>
        <v>2853.1707317073169</v>
      </c>
      <c r="AS23" s="52">
        <v>639000</v>
      </c>
      <c r="AT23" s="54">
        <f t="shared" si="21"/>
        <v>1558.5365853658536</v>
      </c>
      <c r="AU23" s="54">
        <v>15400</v>
      </c>
      <c r="AV23" s="69">
        <f t="shared" si="30"/>
        <v>1824200</v>
      </c>
      <c r="AW23" s="67">
        <f>IF(AP23="","",AV23/AP23)</f>
        <v>4449.2682926829266</v>
      </c>
      <c r="AX23" s="82">
        <f t="shared" si="23"/>
        <v>34</v>
      </c>
      <c r="AY23" s="59">
        <f t="shared" si="24"/>
        <v>1298110</v>
      </c>
      <c r="AZ23" s="59">
        <f t="shared" si="25"/>
        <v>658250</v>
      </c>
      <c r="BA23" s="71">
        <f t="shared" si="26"/>
        <v>1971760</v>
      </c>
      <c r="BB23" s="72">
        <f t="shared" si="31"/>
        <v>0</v>
      </c>
      <c r="BC23" s="73">
        <v>34</v>
      </c>
      <c r="BD23" s="74">
        <v>122320</v>
      </c>
      <c r="BE23" s="74">
        <v>17250</v>
      </c>
      <c r="BF23" s="75"/>
      <c r="BG23" s="75"/>
      <c r="BH23" s="75"/>
      <c r="BI23" s="75"/>
      <c r="BJ23" s="76">
        <f t="shared" si="32"/>
        <v>139570</v>
      </c>
      <c r="BK23" s="47">
        <v>19</v>
      </c>
      <c r="BL23" s="77">
        <f t="shared" si="27"/>
        <v>139570</v>
      </c>
    </row>
    <row r="24" spans="2:64" ht="20" customHeight="1">
      <c r="B24" s="78">
        <f t="shared" si="28"/>
        <v>45127</v>
      </c>
      <c r="C24" s="79"/>
      <c r="D24" s="50"/>
      <c r="E24" s="51">
        <v>36</v>
      </c>
      <c r="F24" s="52">
        <v>129470</v>
      </c>
      <c r="G24" s="53">
        <f t="shared" si="0"/>
        <v>3269.4444444444443</v>
      </c>
      <c r="H24" s="52">
        <v>8460</v>
      </c>
      <c r="I24" s="53">
        <f t="shared" si="1"/>
        <v>213.61111111111111</v>
      </c>
      <c r="J24" s="55">
        <f t="shared" si="2"/>
        <v>137930</v>
      </c>
      <c r="K24" s="56">
        <f t="shared" si="3"/>
        <v>3831.3888888888887</v>
      </c>
      <c r="L24" s="57"/>
      <c r="M24" s="58">
        <f t="shared" si="4"/>
        <v>22</v>
      </c>
      <c r="N24" s="59">
        <f t="shared" si="4"/>
        <v>218900</v>
      </c>
      <c r="O24" s="53">
        <f t="shared" si="5"/>
        <v>9045.454545454546</v>
      </c>
      <c r="P24" s="59">
        <f t="shared" si="6"/>
        <v>56140</v>
      </c>
      <c r="Q24" s="84">
        <f t="shared" si="7"/>
        <v>2319.818181818182</v>
      </c>
      <c r="R24" s="60">
        <f t="shared" si="8"/>
        <v>275040</v>
      </c>
      <c r="S24" s="56">
        <f t="shared" si="9"/>
        <v>12501.818181818182</v>
      </c>
      <c r="T24" s="80">
        <f t="shared" si="10"/>
        <v>58</v>
      </c>
      <c r="U24" s="59">
        <f t="shared" si="10"/>
        <v>348370</v>
      </c>
      <c r="V24" s="59">
        <f t="shared" si="11"/>
        <v>64600</v>
      </c>
      <c r="W24" s="62">
        <f t="shared" si="12"/>
        <v>412970</v>
      </c>
      <c r="X24" s="81"/>
      <c r="Y24" s="63"/>
      <c r="Z24" s="64">
        <v>13</v>
      </c>
      <c r="AA24" s="52">
        <v>9820</v>
      </c>
      <c r="AB24" s="53">
        <f t="shared" si="13"/>
        <v>755.38461538461536</v>
      </c>
      <c r="AC24" s="52">
        <v>1500</v>
      </c>
      <c r="AD24" s="54">
        <f t="shared" si="14"/>
        <v>115.38461538461539</v>
      </c>
      <c r="AE24" s="65">
        <f t="shared" si="15"/>
        <v>11320</v>
      </c>
      <c r="AF24" s="56">
        <f t="shared" si="16"/>
        <v>870.76923076923072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>
        <v>144</v>
      </c>
      <c r="AP24" s="64">
        <v>440</v>
      </c>
      <c r="AQ24" s="52">
        <v>1200400</v>
      </c>
      <c r="AR24" s="53">
        <f t="shared" si="20"/>
        <v>2728.181818181818</v>
      </c>
      <c r="AS24" s="52">
        <v>703650</v>
      </c>
      <c r="AT24" s="54">
        <f t="shared" si="21"/>
        <v>1599.2045454545455</v>
      </c>
      <c r="AU24" s="54">
        <v>12100</v>
      </c>
      <c r="AV24" s="69">
        <f t="shared" si="30"/>
        <v>1916150</v>
      </c>
      <c r="AW24" s="67">
        <f t="shared" si="22"/>
        <v>4354.886363636364</v>
      </c>
      <c r="AX24" s="82">
        <f t="shared" si="23"/>
        <v>58</v>
      </c>
      <c r="AY24" s="59">
        <f t="shared" si="24"/>
        <v>1558590</v>
      </c>
      <c r="AZ24" s="59">
        <f t="shared" si="25"/>
        <v>769750</v>
      </c>
      <c r="BA24" s="71">
        <f t="shared" si="26"/>
        <v>2340440</v>
      </c>
      <c r="BB24" s="72">
        <f t="shared" si="31"/>
        <v>9350</v>
      </c>
      <c r="BC24" s="73">
        <v>58</v>
      </c>
      <c r="BD24" s="74">
        <v>348370</v>
      </c>
      <c r="BE24" s="74">
        <v>64600</v>
      </c>
      <c r="BF24" s="75">
        <v>8250</v>
      </c>
      <c r="BG24" s="75">
        <v>1100</v>
      </c>
      <c r="BH24" s="75"/>
      <c r="BI24" s="75"/>
      <c r="BJ24" s="76">
        <f t="shared" si="32"/>
        <v>422320</v>
      </c>
      <c r="BK24" s="47">
        <v>20</v>
      </c>
      <c r="BL24" s="77">
        <f t="shared" si="27"/>
        <v>422320</v>
      </c>
    </row>
    <row r="25" spans="2:64" ht="20" customHeight="1">
      <c r="B25" s="78">
        <f t="shared" si="28"/>
        <v>45128</v>
      </c>
      <c r="C25" s="79"/>
      <c r="D25" s="50"/>
      <c r="E25" s="51">
        <v>33</v>
      </c>
      <c r="F25" s="52">
        <v>122870</v>
      </c>
      <c r="G25" s="53">
        <f t="shared" si="0"/>
        <v>3384.848484848485</v>
      </c>
      <c r="H25" s="52">
        <v>22120</v>
      </c>
      <c r="I25" s="53">
        <f t="shared" si="1"/>
        <v>609.36363636363637</v>
      </c>
      <c r="J25" s="55">
        <f t="shared" si="2"/>
        <v>144990</v>
      </c>
      <c r="K25" s="56">
        <f t="shared" si="3"/>
        <v>4393.636363636364</v>
      </c>
      <c r="L25" s="57"/>
      <c r="M25" s="58">
        <f t="shared" si="4"/>
        <v>22</v>
      </c>
      <c r="N25" s="59">
        <f t="shared" si="4"/>
        <v>183290</v>
      </c>
      <c r="O25" s="53">
        <f t="shared" si="5"/>
        <v>7573.954545454545</v>
      </c>
      <c r="P25" s="59">
        <f t="shared" si="6"/>
        <v>55760</v>
      </c>
      <c r="Q25" s="84">
        <f t="shared" si="7"/>
        <v>2304.090909090909</v>
      </c>
      <c r="R25" s="60">
        <f t="shared" si="8"/>
        <v>239050</v>
      </c>
      <c r="S25" s="56">
        <f t="shared" si="9"/>
        <v>10865.90909090909</v>
      </c>
      <c r="T25" s="80">
        <f t="shared" si="10"/>
        <v>55</v>
      </c>
      <c r="U25" s="59">
        <f t="shared" si="10"/>
        <v>306160</v>
      </c>
      <c r="V25" s="59">
        <f t="shared" si="11"/>
        <v>77880</v>
      </c>
      <c r="W25" s="62">
        <f t="shared" si="12"/>
        <v>384040</v>
      </c>
      <c r="X25" s="81"/>
      <c r="Y25" s="63"/>
      <c r="Z25" s="64">
        <v>22</v>
      </c>
      <c r="AA25" s="52">
        <v>15460</v>
      </c>
      <c r="AB25" s="53">
        <f t="shared" si="13"/>
        <v>702.72727272727275</v>
      </c>
      <c r="AC25" s="52">
        <v>500</v>
      </c>
      <c r="AD25" s="54">
        <f t="shared" si="14"/>
        <v>22.727272727272727</v>
      </c>
      <c r="AE25" s="65">
        <f t="shared" si="15"/>
        <v>15960</v>
      </c>
      <c r="AF25" s="56">
        <f t="shared" si="16"/>
        <v>725.4545454545455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9"/>
        <v>0</v>
      </c>
      <c r="AN25" s="67" t="str">
        <f t="shared" si="19"/>
        <v/>
      </c>
      <c r="AO25" s="68">
        <v>132</v>
      </c>
      <c r="AP25" s="64">
        <v>509</v>
      </c>
      <c r="AQ25" s="52">
        <v>1506700</v>
      </c>
      <c r="AR25" s="53">
        <f t="shared" si="20"/>
        <v>2960.1178781925346</v>
      </c>
      <c r="AS25" s="52">
        <v>809450</v>
      </c>
      <c r="AT25" s="54">
        <f t="shared" si="21"/>
        <v>1590.2750491159136</v>
      </c>
      <c r="AU25" s="54">
        <v>28600</v>
      </c>
      <c r="AV25" s="69">
        <f t="shared" si="30"/>
        <v>2344750</v>
      </c>
      <c r="AW25" s="67">
        <f t="shared" si="22"/>
        <v>4606.5815324165033</v>
      </c>
      <c r="AX25" s="82">
        <f t="shared" si="23"/>
        <v>55</v>
      </c>
      <c r="AY25" s="59">
        <f t="shared" si="24"/>
        <v>1828320</v>
      </c>
      <c r="AZ25" s="59">
        <f t="shared" si="25"/>
        <v>887830</v>
      </c>
      <c r="BA25" s="71">
        <f t="shared" si="26"/>
        <v>2744750</v>
      </c>
      <c r="BB25" s="72">
        <f t="shared" si="31"/>
        <v>4400</v>
      </c>
      <c r="BC25" s="73">
        <v>55</v>
      </c>
      <c r="BD25" s="74">
        <v>306160</v>
      </c>
      <c r="BE25" s="74">
        <v>77880</v>
      </c>
      <c r="BF25" s="75">
        <v>4400</v>
      </c>
      <c r="BG25" s="75"/>
      <c r="BH25" s="75"/>
      <c r="BI25" s="75"/>
      <c r="BJ25" s="76">
        <f t="shared" si="32"/>
        <v>388440</v>
      </c>
      <c r="BK25" s="47">
        <v>21</v>
      </c>
      <c r="BL25" s="77">
        <f t="shared" si="27"/>
        <v>388440</v>
      </c>
    </row>
    <row r="26" spans="2:64" ht="20" customHeight="1">
      <c r="B26" s="78">
        <f t="shared" si="28"/>
        <v>45129</v>
      </c>
      <c r="C26" s="79"/>
      <c r="D26" s="50"/>
      <c r="E26" s="51">
        <v>39</v>
      </c>
      <c r="F26" s="52">
        <v>156750</v>
      </c>
      <c r="G26" s="53">
        <f t="shared" si="0"/>
        <v>3653.8461538461538</v>
      </c>
      <c r="H26" s="52">
        <v>23290</v>
      </c>
      <c r="I26" s="53">
        <f t="shared" si="1"/>
        <v>542.87179487179492</v>
      </c>
      <c r="J26" s="55">
        <f t="shared" si="2"/>
        <v>180040</v>
      </c>
      <c r="K26" s="56">
        <f t="shared" si="3"/>
        <v>4616.4102564102568</v>
      </c>
      <c r="L26" s="57"/>
      <c r="M26" s="58">
        <f t="shared" si="4"/>
        <v>34</v>
      </c>
      <c r="N26" s="59">
        <f t="shared" si="4"/>
        <v>310420</v>
      </c>
      <c r="O26" s="53">
        <f t="shared" si="5"/>
        <v>8300</v>
      </c>
      <c r="P26" s="59">
        <f t="shared" si="6"/>
        <v>60510</v>
      </c>
      <c r="Q26" s="84">
        <f t="shared" si="7"/>
        <v>1617.9117647058824</v>
      </c>
      <c r="R26" s="60">
        <f t="shared" si="8"/>
        <v>370930</v>
      </c>
      <c r="S26" s="56">
        <f t="shared" si="9"/>
        <v>10909.705882352941</v>
      </c>
      <c r="T26" s="80">
        <f t="shared" si="10"/>
        <v>73</v>
      </c>
      <c r="U26" s="59">
        <f t="shared" si="10"/>
        <v>467170</v>
      </c>
      <c r="V26" s="59">
        <f t="shared" si="11"/>
        <v>83800</v>
      </c>
      <c r="W26" s="62">
        <f t="shared" si="12"/>
        <v>550970</v>
      </c>
      <c r="X26" s="81"/>
      <c r="Y26" s="63"/>
      <c r="Z26" s="64">
        <v>23</v>
      </c>
      <c r="AA26" s="52">
        <v>15380</v>
      </c>
      <c r="AB26" s="53">
        <f t="shared" si="13"/>
        <v>668.695652173913</v>
      </c>
      <c r="AC26" s="52">
        <v>1000</v>
      </c>
      <c r="AD26" s="54">
        <f t="shared" si="14"/>
        <v>43.478260869565219</v>
      </c>
      <c r="AE26" s="65">
        <f t="shared" si="15"/>
        <v>16380</v>
      </c>
      <c r="AF26" s="56">
        <f t="shared" si="16"/>
        <v>712.17391304347825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9"/>
        <v>0</v>
      </c>
      <c r="AN26" s="67" t="str">
        <f t="shared" si="19"/>
        <v/>
      </c>
      <c r="AO26" s="68">
        <v>195</v>
      </c>
      <c r="AP26" s="64">
        <v>717</v>
      </c>
      <c r="AQ26" s="52">
        <v>2006050</v>
      </c>
      <c r="AR26" s="53">
        <f t="shared" si="20"/>
        <v>2797.8382147838215</v>
      </c>
      <c r="AS26" s="52">
        <v>996400</v>
      </c>
      <c r="AT26" s="54">
        <f t="shared" si="21"/>
        <v>1389.679218967922</v>
      </c>
      <c r="AU26" s="54">
        <v>11000</v>
      </c>
      <c r="AV26" s="69">
        <f t="shared" si="30"/>
        <v>3013450</v>
      </c>
      <c r="AW26" s="67">
        <f t="shared" si="22"/>
        <v>4202.8591352859139</v>
      </c>
      <c r="AX26" s="82">
        <f t="shared" si="23"/>
        <v>73</v>
      </c>
      <c r="AY26" s="59">
        <f t="shared" si="24"/>
        <v>2488600</v>
      </c>
      <c r="AZ26" s="59">
        <f t="shared" si="25"/>
        <v>1081200</v>
      </c>
      <c r="BA26" s="71">
        <f>W26+AE26+AM26+AV26</f>
        <v>3580800</v>
      </c>
      <c r="BB26" s="72">
        <f>BF26+BG26</f>
        <v>16500</v>
      </c>
      <c r="BC26" s="73">
        <v>73</v>
      </c>
      <c r="BD26" s="74">
        <v>467170</v>
      </c>
      <c r="BE26" s="74">
        <v>83800</v>
      </c>
      <c r="BF26" s="75">
        <v>15400</v>
      </c>
      <c r="BG26" s="75">
        <v>1100</v>
      </c>
      <c r="BH26" s="75">
        <v>10340</v>
      </c>
      <c r="BI26" s="75"/>
      <c r="BJ26" s="76">
        <f t="shared" si="32"/>
        <v>567470</v>
      </c>
      <c r="BK26" s="47">
        <v>22</v>
      </c>
      <c r="BL26" s="77">
        <f t="shared" si="27"/>
        <v>567470</v>
      </c>
    </row>
    <row r="27" spans="2:64" ht="20" customHeight="1">
      <c r="B27" s="78">
        <f t="shared" si="28"/>
        <v>45130</v>
      </c>
      <c r="C27" s="79"/>
      <c r="D27" s="50"/>
      <c r="E27" s="51">
        <v>31</v>
      </c>
      <c r="F27" s="52">
        <v>142010</v>
      </c>
      <c r="G27" s="53">
        <f t="shared" si="0"/>
        <v>4164.5161290322585</v>
      </c>
      <c r="H27" s="52">
        <v>28390</v>
      </c>
      <c r="I27" s="53">
        <f t="shared" si="1"/>
        <v>832.54838709677415</v>
      </c>
      <c r="J27" s="55">
        <f t="shared" si="2"/>
        <v>170400</v>
      </c>
      <c r="K27" s="56">
        <f t="shared" si="3"/>
        <v>5496.7741935483873</v>
      </c>
      <c r="L27" s="57"/>
      <c r="M27" s="58">
        <f t="shared" si="4"/>
        <v>25</v>
      </c>
      <c r="N27" s="59">
        <f t="shared" si="4"/>
        <v>277970</v>
      </c>
      <c r="O27" s="53">
        <f t="shared" si="5"/>
        <v>10108</v>
      </c>
      <c r="P27" s="59">
        <f t="shared" si="6"/>
        <v>93480</v>
      </c>
      <c r="Q27" s="54">
        <f t="shared" si="7"/>
        <v>3399.24</v>
      </c>
      <c r="R27" s="60">
        <f t="shared" si="8"/>
        <v>371450</v>
      </c>
      <c r="S27" s="56">
        <f t="shared" si="9"/>
        <v>14858</v>
      </c>
      <c r="T27" s="80">
        <f t="shared" si="10"/>
        <v>56</v>
      </c>
      <c r="U27" s="59">
        <f t="shared" si="10"/>
        <v>419980</v>
      </c>
      <c r="V27" s="59">
        <f t="shared" si="11"/>
        <v>121870</v>
      </c>
      <c r="W27" s="62">
        <f t="shared" si="12"/>
        <v>541850</v>
      </c>
      <c r="X27" s="81"/>
      <c r="Y27" s="63"/>
      <c r="Z27" s="64">
        <v>14</v>
      </c>
      <c r="AA27" s="52">
        <v>10410</v>
      </c>
      <c r="AB27" s="53">
        <f t="shared" si="13"/>
        <v>743.57142857142856</v>
      </c>
      <c r="AC27" s="52">
        <v>500</v>
      </c>
      <c r="AD27" s="54">
        <f t="shared" si="14"/>
        <v>35.714285714285715</v>
      </c>
      <c r="AE27" s="65">
        <f t="shared" si="15"/>
        <v>10910</v>
      </c>
      <c r="AF27" s="56">
        <f t="shared" si="16"/>
        <v>779.28571428571433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9"/>
        <v>0</v>
      </c>
      <c r="AN27" s="67" t="str">
        <f t="shared" si="19"/>
        <v/>
      </c>
      <c r="AO27" s="68">
        <v>181</v>
      </c>
      <c r="AP27" s="64">
        <v>453</v>
      </c>
      <c r="AQ27" s="52">
        <v>1227450</v>
      </c>
      <c r="AR27" s="53">
        <f t="shared" si="20"/>
        <v>2709.6026490066224</v>
      </c>
      <c r="AS27" s="52">
        <v>618100</v>
      </c>
      <c r="AT27" s="54">
        <f t="shared" si="21"/>
        <v>1364.4591611479029</v>
      </c>
      <c r="AU27" s="54">
        <v>11000</v>
      </c>
      <c r="AV27" s="69">
        <f t="shared" si="30"/>
        <v>1856550</v>
      </c>
      <c r="AW27" s="67">
        <f t="shared" si="22"/>
        <v>4098.3443708609275</v>
      </c>
      <c r="AX27" s="82">
        <f t="shared" si="23"/>
        <v>56</v>
      </c>
      <c r="AY27" s="59">
        <f t="shared" si="24"/>
        <v>1657840</v>
      </c>
      <c r="AZ27" s="59">
        <f t="shared" si="25"/>
        <v>740470</v>
      </c>
      <c r="BA27" s="71">
        <f>W27+AE27+AM27+AV27</f>
        <v>2409310</v>
      </c>
      <c r="BB27" s="72">
        <f t="shared" si="31"/>
        <v>11550</v>
      </c>
      <c r="BC27" s="73">
        <v>56</v>
      </c>
      <c r="BD27" s="74">
        <v>419980</v>
      </c>
      <c r="BE27" s="74">
        <v>121870</v>
      </c>
      <c r="BF27" s="75">
        <v>10450</v>
      </c>
      <c r="BG27" s="75">
        <v>1100</v>
      </c>
      <c r="BH27" s="75"/>
      <c r="BI27" s="75"/>
      <c r="BJ27" s="76">
        <f t="shared" si="32"/>
        <v>553400</v>
      </c>
      <c r="BK27" s="47">
        <v>23</v>
      </c>
      <c r="BL27" s="77">
        <f t="shared" si="27"/>
        <v>553400</v>
      </c>
    </row>
    <row r="28" spans="2:64" ht="20" customHeight="1">
      <c r="B28" s="78">
        <f t="shared" si="28"/>
        <v>45131</v>
      </c>
      <c r="C28" s="79"/>
      <c r="D28" s="50"/>
      <c r="E28" s="51">
        <v>29</v>
      </c>
      <c r="F28" s="52">
        <v>102520</v>
      </c>
      <c r="G28" s="53">
        <f t="shared" si="0"/>
        <v>3213.7931034482758</v>
      </c>
      <c r="H28" s="52">
        <v>6860</v>
      </c>
      <c r="I28" s="53">
        <f t="shared" si="1"/>
        <v>215.0344827586207</v>
      </c>
      <c r="J28" s="55">
        <f t="shared" si="2"/>
        <v>109380</v>
      </c>
      <c r="K28" s="56">
        <f t="shared" si="3"/>
        <v>3771.7241379310344</v>
      </c>
      <c r="L28" s="57"/>
      <c r="M28" s="58">
        <f t="shared" si="4"/>
        <v>5</v>
      </c>
      <c r="N28" s="59">
        <f t="shared" si="4"/>
        <v>52360</v>
      </c>
      <c r="O28" s="53">
        <f t="shared" si="5"/>
        <v>9520</v>
      </c>
      <c r="P28" s="59">
        <f t="shared" si="6"/>
        <v>5930</v>
      </c>
      <c r="Q28" s="54">
        <f>ROUNDDOWN(P28/1.1,0)/M28</f>
        <v>1078</v>
      </c>
      <c r="R28" s="60">
        <f t="shared" si="8"/>
        <v>58290</v>
      </c>
      <c r="S28" s="56">
        <f t="shared" si="9"/>
        <v>11658</v>
      </c>
      <c r="T28" s="80">
        <f t="shared" si="10"/>
        <v>34</v>
      </c>
      <c r="U28" s="59">
        <f t="shared" si="10"/>
        <v>154880</v>
      </c>
      <c r="V28" s="59">
        <f t="shared" si="11"/>
        <v>12790</v>
      </c>
      <c r="W28" s="62">
        <f t="shared" si="12"/>
        <v>167670</v>
      </c>
      <c r="X28" s="81"/>
      <c r="Y28" s="63"/>
      <c r="Z28" s="64">
        <v>14</v>
      </c>
      <c r="AA28" s="52">
        <v>9360</v>
      </c>
      <c r="AB28" s="53">
        <f t="shared" si="13"/>
        <v>668.57142857142856</v>
      </c>
      <c r="AC28" s="52">
        <v>2000</v>
      </c>
      <c r="AD28" s="54">
        <f t="shared" si="14"/>
        <v>142.85714285714286</v>
      </c>
      <c r="AE28" s="65">
        <f t="shared" si="15"/>
        <v>11360</v>
      </c>
      <c r="AF28" s="56">
        <f t="shared" si="16"/>
        <v>811.42857142857144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>
        <v>99</v>
      </c>
      <c r="AP28" s="64">
        <v>314</v>
      </c>
      <c r="AQ28" s="52">
        <v>870800</v>
      </c>
      <c r="AR28" s="53">
        <f t="shared" si="20"/>
        <v>2773.248407643312</v>
      </c>
      <c r="AS28" s="52">
        <v>476550</v>
      </c>
      <c r="AT28" s="54">
        <f t="shared" si="21"/>
        <v>1517.6751592356688</v>
      </c>
      <c r="AU28" s="54">
        <v>24750</v>
      </c>
      <c r="AV28" s="69">
        <f t="shared" si="30"/>
        <v>1372100</v>
      </c>
      <c r="AW28" s="67">
        <f t="shared" si="22"/>
        <v>4369.7452229299361</v>
      </c>
      <c r="AX28" s="82">
        <f t="shared" si="23"/>
        <v>34</v>
      </c>
      <c r="AY28" s="59">
        <f t="shared" si="24"/>
        <v>1035040</v>
      </c>
      <c r="AZ28" s="59">
        <f t="shared" si="25"/>
        <v>491340</v>
      </c>
      <c r="BA28" s="71">
        <f t="shared" si="26"/>
        <v>1551130</v>
      </c>
      <c r="BB28" s="72">
        <f t="shared" si="31"/>
        <v>1650</v>
      </c>
      <c r="BC28" s="73">
        <v>34</v>
      </c>
      <c r="BD28" s="74">
        <v>154880</v>
      </c>
      <c r="BE28" s="74">
        <v>12790</v>
      </c>
      <c r="BF28" s="75">
        <v>1100</v>
      </c>
      <c r="BG28" s="75">
        <v>550</v>
      </c>
      <c r="BH28" s="75"/>
      <c r="BI28" s="75"/>
      <c r="BJ28" s="76">
        <f t="shared" si="32"/>
        <v>169320</v>
      </c>
      <c r="BK28" s="47">
        <v>24</v>
      </c>
      <c r="BL28" s="77">
        <f t="shared" si="27"/>
        <v>169320</v>
      </c>
    </row>
    <row r="29" spans="2:64" ht="20" customHeight="1">
      <c r="B29" s="78">
        <f t="shared" si="28"/>
        <v>45132</v>
      </c>
      <c r="C29" s="79"/>
      <c r="D29" s="50"/>
      <c r="E29" s="51">
        <v>35</v>
      </c>
      <c r="F29" s="52">
        <v>137830</v>
      </c>
      <c r="G29" s="53">
        <f t="shared" si="0"/>
        <v>3580</v>
      </c>
      <c r="H29" s="52">
        <v>40920</v>
      </c>
      <c r="I29" s="53">
        <f t="shared" si="1"/>
        <v>1062.8571428571429</v>
      </c>
      <c r="J29" s="55">
        <f t="shared" si="2"/>
        <v>178750</v>
      </c>
      <c r="K29" s="56">
        <f t="shared" si="3"/>
        <v>5107.1428571428569</v>
      </c>
      <c r="L29" s="57"/>
      <c r="M29" s="58">
        <f t="shared" si="4"/>
        <v>31</v>
      </c>
      <c r="N29" s="59">
        <f t="shared" si="4"/>
        <v>239140</v>
      </c>
      <c r="O29" s="53">
        <f t="shared" si="5"/>
        <v>7012.9032258064517</v>
      </c>
      <c r="P29" s="59">
        <f t="shared" si="6"/>
        <v>108400</v>
      </c>
      <c r="Q29" s="54">
        <f t="shared" si="7"/>
        <v>3178.8709677419356</v>
      </c>
      <c r="R29" s="60">
        <f t="shared" si="8"/>
        <v>347540</v>
      </c>
      <c r="S29" s="56">
        <f t="shared" si="9"/>
        <v>11210.967741935483</v>
      </c>
      <c r="T29" s="80">
        <f t="shared" si="10"/>
        <v>66</v>
      </c>
      <c r="U29" s="59">
        <f t="shared" si="10"/>
        <v>376970</v>
      </c>
      <c r="V29" s="59">
        <f t="shared" si="11"/>
        <v>149320</v>
      </c>
      <c r="W29" s="62">
        <f t="shared" si="12"/>
        <v>526290</v>
      </c>
      <c r="X29" s="81"/>
      <c r="Y29" s="63"/>
      <c r="Z29" s="64">
        <v>9</v>
      </c>
      <c r="AA29" s="52">
        <v>5870</v>
      </c>
      <c r="AB29" s="53">
        <f t="shared" si="13"/>
        <v>652.22222222222217</v>
      </c>
      <c r="AC29" s="52">
        <v>2000</v>
      </c>
      <c r="AD29" s="54">
        <f t="shared" si="14"/>
        <v>222.22222222222223</v>
      </c>
      <c r="AE29" s="65">
        <f t="shared" si="15"/>
        <v>7870</v>
      </c>
      <c r="AF29" s="56">
        <f t="shared" si="16"/>
        <v>874.44444444444446</v>
      </c>
      <c r="AG29" s="66">
        <v>1</v>
      </c>
      <c r="AH29" s="64">
        <v>17</v>
      </c>
      <c r="AI29" s="52">
        <v>67895</v>
      </c>
      <c r="AJ29" s="53">
        <f t="shared" si="17"/>
        <v>3993.8235294117649</v>
      </c>
      <c r="AK29" s="52">
        <v>22185</v>
      </c>
      <c r="AL29" s="54">
        <f t="shared" si="18"/>
        <v>1305</v>
      </c>
      <c r="AM29" s="65">
        <f t="shared" si="29"/>
        <v>90080</v>
      </c>
      <c r="AN29" s="67">
        <f t="shared" si="19"/>
        <v>5298.8235294117649</v>
      </c>
      <c r="AO29" s="68">
        <v>96</v>
      </c>
      <c r="AP29" s="64">
        <v>315</v>
      </c>
      <c r="AQ29" s="52">
        <v>1021400</v>
      </c>
      <c r="AR29" s="53">
        <f t="shared" si="20"/>
        <v>3242.5396825396824</v>
      </c>
      <c r="AS29" s="52">
        <v>573500</v>
      </c>
      <c r="AT29" s="54">
        <f t="shared" si="21"/>
        <v>1820.6349206349207</v>
      </c>
      <c r="AU29" s="54">
        <v>6050</v>
      </c>
      <c r="AV29" s="69">
        <f t="shared" si="30"/>
        <v>1600950</v>
      </c>
      <c r="AW29" s="67">
        <f t="shared" si="22"/>
        <v>5082.3809523809523</v>
      </c>
      <c r="AX29" s="82">
        <f t="shared" si="23"/>
        <v>66</v>
      </c>
      <c r="AY29" s="59">
        <f t="shared" si="24"/>
        <v>1472135</v>
      </c>
      <c r="AZ29" s="59">
        <f t="shared" si="25"/>
        <v>747005</v>
      </c>
      <c r="BA29" s="71">
        <f t="shared" si="26"/>
        <v>2225190</v>
      </c>
      <c r="BB29" s="72">
        <f t="shared" si="31"/>
        <v>3850</v>
      </c>
      <c r="BC29" s="73">
        <v>66</v>
      </c>
      <c r="BD29" s="74">
        <v>376970</v>
      </c>
      <c r="BE29" s="74">
        <v>149320</v>
      </c>
      <c r="BF29" s="75">
        <v>3850</v>
      </c>
      <c r="BG29" s="75"/>
      <c r="BH29" s="75"/>
      <c r="BI29" s="75"/>
      <c r="BJ29" s="76">
        <f t="shared" si="32"/>
        <v>530140</v>
      </c>
      <c r="BK29" s="47">
        <v>25</v>
      </c>
      <c r="BL29" s="77">
        <f t="shared" si="27"/>
        <v>530140</v>
      </c>
    </row>
    <row r="30" spans="2:64" ht="20" customHeight="1">
      <c r="B30" s="78">
        <f t="shared" si="28"/>
        <v>45133</v>
      </c>
      <c r="C30" s="79"/>
      <c r="D30" s="50"/>
      <c r="E30" s="51">
        <v>34</v>
      </c>
      <c r="F30" s="52">
        <v>106590</v>
      </c>
      <c r="G30" s="53">
        <f t="shared" si="0"/>
        <v>2850</v>
      </c>
      <c r="H30" s="52">
        <v>10640</v>
      </c>
      <c r="I30" s="53">
        <f t="shared" si="1"/>
        <v>284.47058823529414</v>
      </c>
      <c r="J30" s="55">
        <f t="shared" si="2"/>
        <v>117230</v>
      </c>
      <c r="K30" s="56">
        <f t="shared" si="3"/>
        <v>3447.9411764705883</v>
      </c>
      <c r="L30" s="57"/>
      <c r="M30" s="58">
        <f t="shared" si="4"/>
        <v>35</v>
      </c>
      <c r="N30" s="59">
        <f t="shared" si="4"/>
        <v>343000</v>
      </c>
      <c r="O30" s="53">
        <f t="shared" si="5"/>
        <v>8909.0857142857149</v>
      </c>
      <c r="P30" s="59">
        <f t="shared" si="6"/>
        <v>74660</v>
      </c>
      <c r="Q30" s="53">
        <f t="shared" si="7"/>
        <v>1939.2</v>
      </c>
      <c r="R30" s="60">
        <f t="shared" si="8"/>
        <v>417660</v>
      </c>
      <c r="S30" s="56">
        <f t="shared" si="9"/>
        <v>11933.142857142857</v>
      </c>
      <c r="T30" s="80">
        <f t="shared" si="10"/>
        <v>69</v>
      </c>
      <c r="U30" s="59">
        <f t="shared" si="10"/>
        <v>449590</v>
      </c>
      <c r="V30" s="59">
        <f t="shared" si="11"/>
        <v>85300</v>
      </c>
      <c r="W30" s="62">
        <f t="shared" si="12"/>
        <v>534890</v>
      </c>
      <c r="X30" s="81"/>
      <c r="Y30" s="63"/>
      <c r="Z30" s="64">
        <v>26</v>
      </c>
      <c r="AA30" s="52">
        <v>16330</v>
      </c>
      <c r="AB30" s="53">
        <f t="shared" si="13"/>
        <v>628.07692307692309</v>
      </c>
      <c r="AC30" s="52">
        <v>2500</v>
      </c>
      <c r="AD30" s="54">
        <f t="shared" si="14"/>
        <v>96.15384615384616</v>
      </c>
      <c r="AE30" s="65">
        <f t="shared" si="15"/>
        <v>18830</v>
      </c>
      <c r="AF30" s="56">
        <f t="shared" si="16"/>
        <v>724.23076923076928</v>
      </c>
      <c r="AG30" s="66"/>
      <c r="AH30" s="64">
        <v>95</v>
      </c>
      <c r="AI30" s="52">
        <v>371925</v>
      </c>
      <c r="AJ30" s="53">
        <f t="shared" si="17"/>
        <v>3915</v>
      </c>
      <c r="AK30" s="52">
        <v>165300</v>
      </c>
      <c r="AL30" s="54">
        <f t="shared" si="18"/>
        <v>1740</v>
      </c>
      <c r="AM30" s="65">
        <f t="shared" si="29"/>
        <v>537225</v>
      </c>
      <c r="AN30" s="67">
        <f t="shared" si="19"/>
        <v>5655</v>
      </c>
      <c r="AO30" s="68">
        <v>103</v>
      </c>
      <c r="AP30" s="64">
        <v>334</v>
      </c>
      <c r="AQ30" s="52">
        <v>860500</v>
      </c>
      <c r="AR30" s="53">
        <f t="shared" si="20"/>
        <v>2576.3473053892217</v>
      </c>
      <c r="AS30" s="52">
        <v>520450</v>
      </c>
      <c r="AT30" s="54">
        <f t="shared" si="21"/>
        <v>1558.2335329341317</v>
      </c>
      <c r="AU30" s="54">
        <v>10450</v>
      </c>
      <c r="AV30" s="69">
        <f t="shared" si="30"/>
        <v>1391400</v>
      </c>
      <c r="AW30" s="67">
        <f t="shared" si="22"/>
        <v>4165.868263473054</v>
      </c>
      <c r="AX30" s="82">
        <f t="shared" si="23"/>
        <v>69</v>
      </c>
      <c r="AY30" s="59">
        <f t="shared" si="24"/>
        <v>1698345</v>
      </c>
      <c r="AZ30" s="59">
        <f t="shared" si="25"/>
        <v>773550</v>
      </c>
      <c r="BA30" s="71">
        <f t="shared" si="26"/>
        <v>2482345</v>
      </c>
      <c r="BB30" s="72">
        <f t="shared" si="31"/>
        <v>0</v>
      </c>
      <c r="BC30" s="73">
        <v>69</v>
      </c>
      <c r="BD30" s="74">
        <v>449590</v>
      </c>
      <c r="BE30" s="74">
        <v>85300</v>
      </c>
      <c r="BF30" s="75"/>
      <c r="BG30" s="75"/>
      <c r="BH30" s="75"/>
      <c r="BI30" s="75"/>
      <c r="BJ30" s="76">
        <f t="shared" si="32"/>
        <v>534890</v>
      </c>
      <c r="BK30" s="47">
        <v>26</v>
      </c>
      <c r="BL30" s="77">
        <f t="shared" si="27"/>
        <v>534890</v>
      </c>
    </row>
    <row r="31" spans="2:64" ht="20" customHeight="1">
      <c r="B31" s="78">
        <f t="shared" si="28"/>
        <v>45134</v>
      </c>
      <c r="C31" s="79"/>
      <c r="D31" s="50"/>
      <c r="E31" s="51">
        <v>33</v>
      </c>
      <c r="F31" s="52">
        <v>133210</v>
      </c>
      <c r="G31" s="53">
        <f t="shared" si="0"/>
        <v>3669.6969696969695</v>
      </c>
      <c r="H31" s="52">
        <v>25840</v>
      </c>
      <c r="I31" s="53">
        <f t="shared" si="1"/>
        <v>711.81818181818187</v>
      </c>
      <c r="J31" s="55">
        <f t="shared" si="2"/>
        <v>159050</v>
      </c>
      <c r="K31" s="56">
        <f t="shared" si="3"/>
        <v>4819.69696969697</v>
      </c>
      <c r="L31" s="57"/>
      <c r="M31" s="58">
        <f t="shared" si="4"/>
        <v>14</v>
      </c>
      <c r="N31" s="59">
        <f t="shared" si="4"/>
        <v>115170</v>
      </c>
      <c r="O31" s="53">
        <f t="shared" si="5"/>
        <v>7478.5714285714284</v>
      </c>
      <c r="P31" s="59">
        <f t="shared" si="6"/>
        <v>30840</v>
      </c>
      <c r="Q31" s="53">
        <f t="shared" si="7"/>
        <v>2002.5714285714287</v>
      </c>
      <c r="R31" s="60">
        <f t="shared" si="8"/>
        <v>146010</v>
      </c>
      <c r="S31" s="56">
        <f t="shared" si="9"/>
        <v>10429.285714285714</v>
      </c>
      <c r="T31" s="80">
        <f t="shared" si="10"/>
        <v>47</v>
      </c>
      <c r="U31" s="59">
        <f t="shared" si="10"/>
        <v>248380</v>
      </c>
      <c r="V31" s="59">
        <f t="shared" si="11"/>
        <v>56680</v>
      </c>
      <c r="W31" s="62">
        <f t="shared" si="12"/>
        <v>305060</v>
      </c>
      <c r="X31" s="81"/>
      <c r="Y31" s="63"/>
      <c r="Z31" s="64">
        <v>27</v>
      </c>
      <c r="AA31" s="52">
        <v>18420</v>
      </c>
      <c r="AB31" s="53">
        <f t="shared" si="13"/>
        <v>682.22222222222217</v>
      </c>
      <c r="AC31" s="52">
        <v>9000</v>
      </c>
      <c r="AD31" s="54">
        <f t="shared" si="14"/>
        <v>333.33333333333331</v>
      </c>
      <c r="AE31" s="65">
        <f t="shared" si="15"/>
        <v>27420</v>
      </c>
      <c r="AF31" s="56">
        <f t="shared" si="16"/>
        <v>1015.5555555555555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>
        <v>105</v>
      </c>
      <c r="AP31" s="64">
        <v>335</v>
      </c>
      <c r="AQ31" s="52">
        <v>1048850</v>
      </c>
      <c r="AR31" s="53">
        <f t="shared" si="20"/>
        <v>3130.8955223880598</v>
      </c>
      <c r="AS31" s="52">
        <v>578250</v>
      </c>
      <c r="AT31" s="54">
        <f t="shared" si="21"/>
        <v>1726.1194029850747</v>
      </c>
      <c r="AU31" s="54">
        <v>13750</v>
      </c>
      <c r="AV31" s="69">
        <f t="shared" si="30"/>
        <v>1640850</v>
      </c>
      <c r="AW31" s="67">
        <f t="shared" si="22"/>
        <v>4898.059701492537</v>
      </c>
      <c r="AX31" s="82">
        <f t="shared" si="23"/>
        <v>47</v>
      </c>
      <c r="AY31" s="59">
        <f t="shared" si="24"/>
        <v>1315650</v>
      </c>
      <c r="AZ31" s="59">
        <f t="shared" si="25"/>
        <v>643930</v>
      </c>
      <c r="BA31" s="71">
        <f>W31+AE31+AM31+AV31</f>
        <v>1973330</v>
      </c>
      <c r="BB31" s="72">
        <f t="shared" si="31"/>
        <v>9900</v>
      </c>
      <c r="BC31" s="73">
        <v>47</v>
      </c>
      <c r="BD31" s="74">
        <v>248380</v>
      </c>
      <c r="BE31" s="74">
        <v>56680</v>
      </c>
      <c r="BF31" s="75">
        <v>9900</v>
      </c>
      <c r="BG31" s="75"/>
      <c r="BH31" s="75"/>
      <c r="BI31" s="75"/>
      <c r="BJ31" s="76">
        <f t="shared" si="32"/>
        <v>314960</v>
      </c>
      <c r="BK31" s="47">
        <v>27</v>
      </c>
      <c r="BL31" s="77">
        <f t="shared" si="27"/>
        <v>314960</v>
      </c>
    </row>
    <row r="32" spans="2:64" ht="20" customHeight="1">
      <c r="B32" s="78">
        <f t="shared" si="28"/>
        <v>45135</v>
      </c>
      <c r="C32" s="79"/>
      <c r="D32" s="50"/>
      <c r="E32" s="51">
        <v>38</v>
      </c>
      <c r="F32" s="52">
        <v>156710</v>
      </c>
      <c r="G32" s="53">
        <f t="shared" si="0"/>
        <v>3749.0263157894738</v>
      </c>
      <c r="H32" s="52">
        <v>18480</v>
      </c>
      <c r="I32" s="53">
        <f t="shared" si="1"/>
        <v>442.10526315789474</v>
      </c>
      <c r="J32" s="55">
        <f t="shared" si="2"/>
        <v>175190</v>
      </c>
      <c r="K32" s="56">
        <f t="shared" si="3"/>
        <v>4610.2631578947367</v>
      </c>
      <c r="L32" s="57"/>
      <c r="M32" s="58">
        <f t="shared" si="4"/>
        <v>2</v>
      </c>
      <c r="N32" s="59">
        <f t="shared" si="4"/>
        <v>12760</v>
      </c>
      <c r="O32" s="53">
        <f t="shared" si="5"/>
        <v>5800</v>
      </c>
      <c r="P32" s="59">
        <f t="shared" si="6"/>
        <v>2640</v>
      </c>
      <c r="Q32" s="53">
        <f t="shared" si="7"/>
        <v>1200</v>
      </c>
      <c r="R32" s="60">
        <f t="shared" si="8"/>
        <v>15400</v>
      </c>
      <c r="S32" s="56">
        <f t="shared" si="9"/>
        <v>7700</v>
      </c>
      <c r="T32" s="80">
        <f t="shared" si="10"/>
        <v>40</v>
      </c>
      <c r="U32" s="59">
        <f t="shared" si="10"/>
        <v>169470</v>
      </c>
      <c r="V32" s="59">
        <f t="shared" si="11"/>
        <v>21120</v>
      </c>
      <c r="W32" s="62">
        <f t="shared" si="12"/>
        <v>190590</v>
      </c>
      <c r="X32" s="81"/>
      <c r="Y32" s="63"/>
      <c r="Z32" s="64">
        <v>39</v>
      </c>
      <c r="AA32" s="52">
        <v>25320</v>
      </c>
      <c r="AB32" s="53">
        <f t="shared" si="13"/>
        <v>649.23076923076928</v>
      </c>
      <c r="AC32" s="52">
        <v>7750</v>
      </c>
      <c r="AD32" s="54">
        <f t="shared" si="14"/>
        <v>198.71794871794873</v>
      </c>
      <c r="AE32" s="65">
        <f t="shared" si="15"/>
        <v>33070</v>
      </c>
      <c r="AF32" s="56">
        <f t="shared" si="16"/>
        <v>847.9487179487179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>
        <v>109</v>
      </c>
      <c r="AP32" s="64">
        <v>410</v>
      </c>
      <c r="AQ32" s="52">
        <v>1340600</v>
      </c>
      <c r="AR32" s="53">
        <f t="shared" si="20"/>
        <v>3269.7560975609758</v>
      </c>
      <c r="AS32" s="52">
        <v>737300</v>
      </c>
      <c r="AT32" s="54">
        <f t="shared" si="21"/>
        <v>1798.2926829268292</v>
      </c>
      <c r="AU32" s="54">
        <v>37400</v>
      </c>
      <c r="AV32" s="69">
        <f t="shared" si="30"/>
        <v>2115300</v>
      </c>
      <c r="AW32" s="67">
        <f t="shared" si="22"/>
        <v>5159.2682926829266</v>
      </c>
      <c r="AX32" s="82">
        <f t="shared" si="23"/>
        <v>40</v>
      </c>
      <c r="AY32" s="59">
        <f t="shared" si="24"/>
        <v>1535390</v>
      </c>
      <c r="AZ32" s="59">
        <f t="shared" si="25"/>
        <v>766170</v>
      </c>
      <c r="BA32" s="71">
        <f t="shared" si="26"/>
        <v>2338960</v>
      </c>
      <c r="BB32" s="72">
        <f t="shared" si="31"/>
        <v>6050</v>
      </c>
      <c r="BC32" s="73">
        <v>40</v>
      </c>
      <c r="BD32" s="74">
        <v>169470</v>
      </c>
      <c r="BE32" s="74">
        <v>21120</v>
      </c>
      <c r="BF32" s="75">
        <v>6050</v>
      </c>
      <c r="BG32" s="75"/>
      <c r="BH32" s="75"/>
      <c r="BI32" s="75">
        <v>40000</v>
      </c>
      <c r="BJ32" s="76">
        <f t="shared" si="32"/>
        <v>196640</v>
      </c>
      <c r="BK32" s="47">
        <v>28</v>
      </c>
      <c r="BL32" s="77">
        <f t="shared" si="27"/>
        <v>236640</v>
      </c>
    </row>
    <row r="33" spans="2:64" ht="20" customHeight="1">
      <c r="B33" s="78">
        <f t="shared" si="28"/>
        <v>45136</v>
      </c>
      <c r="C33" s="79"/>
      <c r="D33" s="50"/>
      <c r="E33" s="51">
        <v>30</v>
      </c>
      <c r="F33" s="52">
        <v>139920</v>
      </c>
      <c r="G33" s="53">
        <f t="shared" si="0"/>
        <v>4240</v>
      </c>
      <c r="H33" s="52">
        <v>32410</v>
      </c>
      <c r="I33" s="53">
        <f t="shared" si="1"/>
        <v>982.1</v>
      </c>
      <c r="J33" s="55">
        <f t="shared" si="2"/>
        <v>172330</v>
      </c>
      <c r="K33" s="56">
        <f t="shared" si="3"/>
        <v>5744.333333333333</v>
      </c>
      <c r="L33" s="57"/>
      <c r="M33" s="58">
        <f t="shared" si="4"/>
        <v>26</v>
      </c>
      <c r="N33" s="59">
        <f t="shared" si="4"/>
        <v>331870</v>
      </c>
      <c r="O33" s="53">
        <f t="shared" si="5"/>
        <v>11603.846153846154</v>
      </c>
      <c r="P33" s="59">
        <f t="shared" si="6"/>
        <v>76360</v>
      </c>
      <c r="Q33" s="53">
        <f t="shared" si="7"/>
        <v>2669.9230769230771</v>
      </c>
      <c r="R33" s="60">
        <f t="shared" si="8"/>
        <v>408230</v>
      </c>
      <c r="S33" s="56">
        <f t="shared" si="9"/>
        <v>15701.153846153846</v>
      </c>
      <c r="T33" s="80">
        <f t="shared" si="10"/>
        <v>56</v>
      </c>
      <c r="U33" s="59">
        <f t="shared" si="10"/>
        <v>471790</v>
      </c>
      <c r="V33" s="59">
        <f t="shared" si="11"/>
        <v>108770</v>
      </c>
      <c r="W33" s="62">
        <f>J33+R33</f>
        <v>580560</v>
      </c>
      <c r="X33" s="81"/>
      <c r="Y33" s="63"/>
      <c r="Z33" s="64">
        <v>29</v>
      </c>
      <c r="AA33" s="52">
        <v>17250</v>
      </c>
      <c r="AB33" s="53">
        <f t="shared" si="13"/>
        <v>594.82758620689651</v>
      </c>
      <c r="AC33" s="52">
        <v>3500</v>
      </c>
      <c r="AD33" s="54">
        <f t="shared" si="14"/>
        <v>120.68965517241379</v>
      </c>
      <c r="AE33" s="65">
        <f t="shared" si="15"/>
        <v>20750</v>
      </c>
      <c r="AF33" s="56">
        <f t="shared" si="16"/>
        <v>715.51724137931035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9"/>
        <v>0</v>
      </c>
      <c r="AN33" s="67" t="str">
        <f t="shared" si="19"/>
        <v/>
      </c>
      <c r="AO33" s="68">
        <v>134</v>
      </c>
      <c r="AP33" s="64">
        <v>487</v>
      </c>
      <c r="AQ33" s="52">
        <v>1599500</v>
      </c>
      <c r="AR33" s="53">
        <f t="shared" si="20"/>
        <v>3284.3942505133468</v>
      </c>
      <c r="AS33" s="52">
        <v>885150</v>
      </c>
      <c r="AT33" s="54">
        <f t="shared" si="21"/>
        <v>1817.5564681724845</v>
      </c>
      <c r="AU33" s="54">
        <v>28600</v>
      </c>
      <c r="AV33" s="69">
        <f t="shared" si="30"/>
        <v>2513250</v>
      </c>
      <c r="AW33" s="67">
        <f t="shared" si="22"/>
        <v>5160.6776180698153</v>
      </c>
      <c r="AX33" s="82">
        <f t="shared" si="23"/>
        <v>56</v>
      </c>
      <c r="AY33" s="59">
        <f t="shared" si="24"/>
        <v>2088540</v>
      </c>
      <c r="AZ33" s="59">
        <f t="shared" si="25"/>
        <v>997420</v>
      </c>
      <c r="BA33" s="71">
        <f>W33+AE33+AM33+AV33</f>
        <v>3114560</v>
      </c>
      <c r="BB33" s="72">
        <f t="shared" si="31"/>
        <v>4400</v>
      </c>
      <c r="BC33" s="73">
        <v>56</v>
      </c>
      <c r="BD33" s="74">
        <v>471790</v>
      </c>
      <c r="BE33" s="74">
        <v>108770</v>
      </c>
      <c r="BF33" s="75">
        <v>4400</v>
      </c>
      <c r="BG33" s="75"/>
      <c r="BH33" s="75"/>
      <c r="BI33" s="75"/>
      <c r="BJ33" s="76">
        <f t="shared" si="32"/>
        <v>584960</v>
      </c>
      <c r="BK33" s="47">
        <v>29</v>
      </c>
      <c r="BL33" s="77">
        <f t="shared" si="27"/>
        <v>584960</v>
      </c>
    </row>
    <row r="34" spans="2:64" ht="20" customHeight="1">
      <c r="B34" s="78">
        <f t="shared" si="28"/>
        <v>45137</v>
      </c>
      <c r="C34" s="79"/>
      <c r="D34" s="50"/>
      <c r="E34" s="51">
        <v>39</v>
      </c>
      <c r="F34" s="52">
        <v>171050</v>
      </c>
      <c r="G34" s="53">
        <f t="shared" si="0"/>
        <v>3987.1794871794873</v>
      </c>
      <c r="H34" s="52">
        <v>35360</v>
      </c>
      <c r="I34" s="53">
        <f t="shared" si="1"/>
        <v>824.23076923076928</v>
      </c>
      <c r="J34" s="55">
        <f t="shared" si="2"/>
        <v>206410</v>
      </c>
      <c r="K34" s="56">
        <f t="shared" si="3"/>
        <v>5292.5641025641025</v>
      </c>
      <c r="L34" s="57"/>
      <c r="M34" s="58">
        <f t="shared" si="4"/>
        <v>15</v>
      </c>
      <c r="N34" s="59">
        <f t="shared" si="4"/>
        <v>151910</v>
      </c>
      <c r="O34" s="53">
        <f t="shared" si="5"/>
        <v>9206.6666666666661</v>
      </c>
      <c r="P34" s="59">
        <f t="shared" si="6"/>
        <v>21380</v>
      </c>
      <c r="Q34" s="53">
        <f t="shared" si="7"/>
        <v>1295.7333333333333</v>
      </c>
      <c r="R34" s="60">
        <f t="shared" si="8"/>
        <v>173290</v>
      </c>
      <c r="S34" s="56">
        <f t="shared" si="9"/>
        <v>11552.666666666666</v>
      </c>
      <c r="T34" s="80">
        <f t="shared" si="10"/>
        <v>54</v>
      </c>
      <c r="U34" s="59">
        <f t="shared" si="10"/>
        <v>322960</v>
      </c>
      <c r="V34" s="59">
        <f t="shared" si="11"/>
        <v>56740</v>
      </c>
      <c r="W34" s="62">
        <f t="shared" si="12"/>
        <v>379700</v>
      </c>
      <c r="X34" s="81"/>
      <c r="Y34" s="85"/>
      <c r="Z34" s="86">
        <v>28</v>
      </c>
      <c r="AA34" s="87">
        <v>17180</v>
      </c>
      <c r="AB34" s="53">
        <f t="shared" si="13"/>
        <v>613.57142857142856</v>
      </c>
      <c r="AC34" s="87">
        <v>3000</v>
      </c>
      <c r="AD34" s="54">
        <f t="shared" si="14"/>
        <v>107.14285714285714</v>
      </c>
      <c r="AE34" s="65">
        <f t="shared" si="15"/>
        <v>20180</v>
      </c>
      <c r="AF34" s="56">
        <f t="shared" si="16"/>
        <v>720.71428571428567</v>
      </c>
      <c r="AG34" s="66"/>
      <c r="AH34" s="86">
        <v>13</v>
      </c>
      <c r="AI34" s="87">
        <v>50895</v>
      </c>
      <c r="AJ34" s="53">
        <f t="shared" si="17"/>
        <v>3915</v>
      </c>
      <c r="AK34" s="87">
        <v>28275</v>
      </c>
      <c r="AL34" s="54">
        <f t="shared" si="18"/>
        <v>2175</v>
      </c>
      <c r="AM34" s="65">
        <f t="shared" si="29"/>
        <v>79170</v>
      </c>
      <c r="AN34" s="67">
        <f t="shared" si="19"/>
        <v>6090</v>
      </c>
      <c r="AO34" s="68">
        <v>145</v>
      </c>
      <c r="AP34" s="86">
        <v>389</v>
      </c>
      <c r="AQ34" s="87">
        <v>1051700</v>
      </c>
      <c r="AR34" s="53">
        <f t="shared" si="20"/>
        <v>2703.5989717223651</v>
      </c>
      <c r="AS34" s="87">
        <v>601750</v>
      </c>
      <c r="AT34" s="54">
        <f t="shared" si="21"/>
        <v>1546.9151670951157</v>
      </c>
      <c r="AU34" s="54">
        <v>9900</v>
      </c>
      <c r="AV34" s="69">
        <f t="shared" si="30"/>
        <v>1663350</v>
      </c>
      <c r="AW34" s="67">
        <f t="shared" si="22"/>
        <v>4275.9640102827761</v>
      </c>
      <c r="AX34" s="82">
        <f t="shared" si="23"/>
        <v>54</v>
      </c>
      <c r="AY34" s="59">
        <f t="shared" si="24"/>
        <v>1442735</v>
      </c>
      <c r="AZ34" s="59">
        <f t="shared" si="25"/>
        <v>689765</v>
      </c>
      <c r="BA34" s="71">
        <f>W34+AE34+AM34+AV34</f>
        <v>2142400</v>
      </c>
      <c r="BB34" s="72">
        <f t="shared" si="31"/>
        <v>3300</v>
      </c>
      <c r="BC34" s="73">
        <v>54</v>
      </c>
      <c r="BD34" s="74">
        <v>322960</v>
      </c>
      <c r="BE34" s="74">
        <v>56740</v>
      </c>
      <c r="BF34" s="75">
        <v>2200</v>
      </c>
      <c r="BG34" s="75">
        <v>1100</v>
      </c>
      <c r="BH34" s="75"/>
      <c r="BI34" s="75">
        <v>11300</v>
      </c>
      <c r="BJ34" s="76">
        <f t="shared" si="32"/>
        <v>383000</v>
      </c>
      <c r="BK34" s="47">
        <v>30</v>
      </c>
      <c r="BL34" s="77">
        <f t="shared" si="27"/>
        <v>394300</v>
      </c>
    </row>
    <row r="35" spans="2:64" ht="20" customHeight="1" thickBot="1">
      <c r="B35" s="88">
        <f t="shared" si="28"/>
        <v>45138</v>
      </c>
      <c r="C35" s="79"/>
      <c r="D35" s="50"/>
      <c r="E35" s="51">
        <v>31</v>
      </c>
      <c r="F35" s="52">
        <v>95700</v>
      </c>
      <c r="G35" s="53">
        <f t="shared" si="0"/>
        <v>2806.4516129032259</v>
      </c>
      <c r="H35" s="52">
        <v>14690</v>
      </c>
      <c r="I35" s="53">
        <f t="shared" si="1"/>
        <v>430.77419354838707</v>
      </c>
      <c r="J35" s="55">
        <f t="shared" si="2"/>
        <v>110390</v>
      </c>
      <c r="K35" s="56">
        <f t="shared" si="3"/>
        <v>3560.9677419354839</v>
      </c>
      <c r="L35" s="57"/>
      <c r="M35" s="89">
        <f t="shared" si="4"/>
        <v>13</v>
      </c>
      <c r="N35" s="59">
        <f t="shared" si="4"/>
        <v>141900</v>
      </c>
      <c r="O35" s="53">
        <f t="shared" si="5"/>
        <v>9923.0769230769238</v>
      </c>
      <c r="P35" s="59">
        <f t="shared" si="6"/>
        <v>39170</v>
      </c>
      <c r="Q35" s="53">
        <f t="shared" si="7"/>
        <v>2739.1538461538462</v>
      </c>
      <c r="R35" s="60">
        <f t="shared" si="8"/>
        <v>181070</v>
      </c>
      <c r="S35" s="56">
        <f t="shared" si="9"/>
        <v>13928.461538461539</v>
      </c>
      <c r="T35" s="90">
        <f t="shared" si="10"/>
        <v>44</v>
      </c>
      <c r="U35" s="91">
        <f t="shared" si="10"/>
        <v>237600</v>
      </c>
      <c r="V35" s="91">
        <f t="shared" si="11"/>
        <v>53860</v>
      </c>
      <c r="W35" s="92">
        <f t="shared" si="12"/>
        <v>291460</v>
      </c>
      <c r="X35" s="91"/>
      <c r="Y35" s="93"/>
      <c r="Z35" s="94">
        <v>14</v>
      </c>
      <c r="AA35" s="95">
        <v>6680</v>
      </c>
      <c r="AB35" s="96">
        <f t="shared" si="13"/>
        <v>477.14285714285717</v>
      </c>
      <c r="AC35" s="95">
        <v>4500</v>
      </c>
      <c r="AD35" s="97">
        <f t="shared" si="14"/>
        <v>321.42857142857144</v>
      </c>
      <c r="AE35" s="98">
        <f t="shared" si="15"/>
        <v>11180</v>
      </c>
      <c r="AF35" s="56">
        <f t="shared" si="16"/>
        <v>798.57142857142856</v>
      </c>
      <c r="AG35" s="99"/>
      <c r="AH35" s="94">
        <v>28</v>
      </c>
      <c r="AI35" s="95">
        <v>158340</v>
      </c>
      <c r="AJ35" s="96">
        <f t="shared" si="17"/>
        <v>5655</v>
      </c>
      <c r="AK35" s="95">
        <v>40020</v>
      </c>
      <c r="AL35" s="97">
        <f t="shared" si="18"/>
        <v>1429.2857142857142</v>
      </c>
      <c r="AM35" s="65">
        <f t="shared" si="29"/>
        <v>198360</v>
      </c>
      <c r="AN35" s="67">
        <f t="shared" si="19"/>
        <v>7084.2857142857147</v>
      </c>
      <c r="AO35" s="100">
        <v>90</v>
      </c>
      <c r="AP35" s="94">
        <v>246</v>
      </c>
      <c r="AQ35" s="95">
        <v>638850</v>
      </c>
      <c r="AR35" s="96">
        <f t="shared" si="20"/>
        <v>2596.9512195121952</v>
      </c>
      <c r="AS35" s="95">
        <v>330350</v>
      </c>
      <c r="AT35" s="97">
        <f t="shared" si="21"/>
        <v>1342.8861788617887</v>
      </c>
      <c r="AU35" s="97">
        <v>7700</v>
      </c>
      <c r="AV35" s="69">
        <f t="shared" si="30"/>
        <v>976900</v>
      </c>
      <c r="AW35" s="67">
        <f t="shared" si="22"/>
        <v>3971.1382113821137</v>
      </c>
      <c r="AX35" s="101">
        <f t="shared" si="23"/>
        <v>44</v>
      </c>
      <c r="AY35" s="59">
        <f t="shared" si="24"/>
        <v>1041470</v>
      </c>
      <c r="AZ35" s="59">
        <f t="shared" si="25"/>
        <v>428730</v>
      </c>
      <c r="BA35" s="71">
        <f t="shared" si="26"/>
        <v>1477900</v>
      </c>
      <c r="BB35" s="72">
        <f t="shared" si="31"/>
        <v>2200</v>
      </c>
      <c r="BC35" s="102">
        <v>44</v>
      </c>
      <c r="BD35" s="103">
        <v>237600</v>
      </c>
      <c r="BE35" s="103">
        <v>53860</v>
      </c>
      <c r="BF35" s="104">
        <v>1100</v>
      </c>
      <c r="BG35" s="104">
        <v>1100</v>
      </c>
      <c r="BH35" s="104"/>
      <c r="BI35" s="104"/>
      <c r="BJ35" s="76">
        <f t="shared" si="32"/>
        <v>293660</v>
      </c>
      <c r="BK35" s="47">
        <v>31</v>
      </c>
      <c r="BL35" s="77">
        <f t="shared" si="27"/>
        <v>293660</v>
      </c>
    </row>
    <row r="36" spans="2:64" s="127" customFormat="1" ht="20" customHeight="1" thickTop="1">
      <c r="B36" s="105" t="s">
        <v>28</v>
      </c>
      <c r="C36" s="106">
        <f>SUM(C5:C35)</f>
        <v>0</v>
      </c>
      <c r="D36" s="107">
        <f>SUM(D5:D35)</f>
        <v>0</v>
      </c>
      <c r="E36" s="108">
        <f>SUM(E5:E35)</f>
        <v>1022</v>
      </c>
      <c r="F36" s="109">
        <f>SUM(F5:F35)</f>
        <v>3925160</v>
      </c>
      <c r="G36" s="110">
        <f>F36/E36</f>
        <v>3840.6653620352249</v>
      </c>
      <c r="H36" s="106">
        <f>SUM(H5:H35)</f>
        <v>561420</v>
      </c>
      <c r="I36" s="111">
        <f>H36/E36</f>
        <v>549.33463796477497</v>
      </c>
      <c r="J36" s="112">
        <f>SUM(J5:J35)+BB36/2</f>
        <v>4545980</v>
      </c>
      <c r="K36" s="113">
        <f>J36/E36</f>
        <v>4448.1213307240705</v>
      </c>
      <c r="L36" s="114">
        <f>SUM(L5:L35)</f>
        <v>0</v>
      </c>
      <c r="M36" s="108">
        <f>SUM(M5:M35)</f>
        <v>496</v>
      </c>
      <c r="N36" s="109">
        <f>SUM(N5:N35)</f>
        <v>4631190</v>
      </c>
      <c r="O36" s="110">
        <f>N36/M36</f>
        <v>9337.0766129032254</v>
      </c>
      <c r="P36" s="115">
        <f>SUM(P5:P35)</f>
        <v>1138430</v>
      </c>
      <c r="Q36" s="111">
        <f>P36/M36</f>
        <v>2295.2217741935483</v>
      </c>
      <c r="R36" s="116">
        <f>SUM(R5:R35)+BB36/2</f>
        <v>5829020</v>
      </c>
      <c r="S36" s="117">
        <f>R36/M36</f>
        <v>11752.056451612903</v>
      </c>
      <c r="T36" s="108">
        <f t="shared" ref="T36:AA36" si="33">SUM(T5:T35)</f>
        <v>1518</v>
      </c>
      <c r="U36" s="115">
        <f t="shared" si="33"/>
        <v>8556350</v>
      </c>
      <c r="V36" s="115">
        <f t="shared" si="33"/>
        <v>1699850</v>
      </c>
      <c r="W36" s="112">
        <f>SUM(W5:W35)+BF36</f>
        <v>10368950</v>
      </c>
      <c r="X36" s="118">
        <f t="shared" si="33"/>
        <v>0</v>
      </c>
      <c r="Y36" s="107">
        <f t="shared" si="33"/>
        <v>0</v>
      </c>
      <c r="Z36" s="108">
        <f t="shared" si="33"/>
        <v>587</v>
      </c>
      <c r="AA36" s="110">
        <f t="shared" si="33"/>
        <v>372910</v>
      </c>
      <c r="AB36" s="110"/>
      <c r="AC36" s="106">
        <f>SUM(AC5:AC35)</f>
        <v>66600</v>
      </c>
      <c r="AD36" s="111"/>
      <c r="AE36" s="116">
        <f>SUM(AE5:AE35)</f>
        <v>439510</v>
      </c>
      <c r="AF36" s="119">
        <f>AE36/Z36</f>
        <v>748.73935264054512</v>
      </c>
      <c r="AG36" s="120">
        <f t="shared" ref="AG36:AI36" si="34">SUM(AG5:AG35)</f>
        <v>1</v>
      </c>
      <c r="AH36" s="108">
        <f t="shared" si="34"/>
        <v>179</v>
      </c>
      <c r="AI36" s="110">
        <f t="shared" si="34"/>
        <v>776945</v>
      </c>
      <c r="AJ36" s="110"/>
      <c r="AK36" s="106">
        <f>SUM(AK5:AK35)</f>
        <v>296235</v>
      </c>
      <c r="AL36" s="111"/>
      <c r="AM36" s="116">
        <f>SUM(AM5:AM35)</f>
        <v>1073180</v>
      </c>
      <c r="AN36" s="121">
        <f>AM36/AH36</f>
        <v>5995.4189944134077</v>
      </c>
      <c r="AO36" s="122">
        <f t="shared" ref="AO36:AQ36" si="35">SUM(AO5:AO35)</f>
        <v>3542</v>
      </c>
      <c r="AP36" s="108">
        <f t="shared" si="35"/>
        <v>11036</v>
      </c>
      <c r="AQ36" s="110">
        <f t="shared" si="35"/>
        <v>31457000</v>
      </c>
      <c r="AR36" s="110"/>
      <c r="AS36" s="106">
        <f>SUM(AS5:AS35)</f>
        <v>17428000</v>
      </c>
      <c r="AT36" s="111"/>
      <c r="AU36" s="106">
        <f>SUM(AU5:AU35)</f>
        <v>457600</v>
      </c>
      <c r="AV36" s="116">
        <f>SUM(AV5:AV35)</f>
        <v>49342600</v>
      </c>
      <c r="AW36" s="121">
        <f>AV36/AP36</f>
        <v>4471.0583544762594</v>
      </c>
      <c r="AX36" s="123">
        <f t="shared" ref="AX36:BJ36" si="36">SUM(AX5:AX35)</f>
        <v>1518</v>
      </c>
      <c r="AY36" s="115">
        <f t="shared" si="36"/>
        <v>41163205</v>
      </c>
      <c r="AZ36" s="115">
        <f t="shared" si="36"/>
        <v>19490685</v>
      </c>
      <c r="BA36" s="116">
        <f>SUM(BA5:BA35)</f>
        <v>61111490</v>
      </c>
      <c r="BB36" s="124">
        <f t="shared" si="36"/>
        <v>118800</v>
      </c>
      <c r="BC36" s="125">
        <f t="shared" si="36"/>
        <v>1518</v>
      </c>
      <c r="BD36" s="125">
        <f t="shared" si="36"/>
        <v>8556350</v>
      </c>
      <c r="BE36" s="125">
        <f t="shared" si="36"/>
        <v>1699850</v>
      </c>
      <c r="BF36" s="125">
        <f t="shared" si="36"/>
        <v>112750</v>
      </c>
      <c r="BG36" s="125">
        <f t="shared" si="36"/>
        <v>6050</v>
      </c>
      <c r="BH36" s="125">
        <f t="shared" si="36"/>
        <v>10340</v>
      </c>
      <c r="BI36" s="125">
        <f t="shared" si="36"/>
        <v>95300</v>
      </c>
      <c r="BJ36" s="126">
        <f t="shared" si="36"/>
        <v>10375000</v>
      </c>
      <c r="BL36" s="128">
        <f>SUM(BL5:BL35)</f>
        <v>10470300</v>
      </c>
    </row>
    <row r="37" spans="2:64" s="127" customFormat="1" ht="18">
      <c r="B37" s="129"/>
      <c r="E37" s="130" t="s">
        <v>40</v>
      </c>
      <c r="F37" s="131">
        <f>F36/1.1</f>
        <v>3568327.2727272725</v>
      </c>
      <c r="G37" s="132">
        <f>F37/E36</f>
        <v>3491.5139654865679</v>
      </c>
      <c r="H37" s="133">
        <f>H36/1.1</f>
        <v>510381.81818181812</v>
      </c>
      <c r="I37" s="132">
        <f>H37/E36</f>
        <v>499.3951254225226</v>
      </c>
      <c r="J37" s="134">
        <f>J36/1.1</f>
        <v>4132709.0909090904</v>
      </c>
      <c r="K37" s="135">
        <f>G37+I37</f>
        <v>3990.9090909090905</v>
      </c>
      <c r="L37" s="136"/>
      <c r="M37" s="130" t="s">
        <v>40</v>
      </c>
      <c r="N37" s="131">
        <f>N36/1.1</f>
        <v>4210172.7272727266</v>
      </c>
      <c r="O37" s="132">
        <f>N37/M36</f>
        <v>8488.2514662756585</v>
      </c>
      <c r="P37" s="133">
        <f>P36/1.1</f>
        <v>1034936.3636363635</v>
      </c>
      <c r="Q37" s="132">
        <f>P37/M36</f>
        <v>2086.5652492668619</v>
      </c>
      <c r="R37" s="132">
        <f>R36/1.1</f>
        <v>5299109.0909090908</v>
      </c>
      <c r="S37" s="137">
        <f>R37/M36</f>
        <v>10683.687683284457</v>
      </c>
      <c r="T37" s="130" t="s">
        <v>40</v>
      </c>
      <c r="U37" s="131">
        <f>U36/1.1</f>
        <v>7778499.9999999991</v>
      </c>
      <c r="V37" s="131">
        <f>V36/1.1</f>
        <v>1545318.1818181816</v>
      </c>
      <c r="W37" s="134">
        <f>W36/1.1</f>
        <v>9426318.1818181816</v>
      </c>
      <c r="X37" s="138"/>
      <c r="Y37" s="136"/>
      <c r="Z37" s="130" t="s">
        <v>40</v>
      </c>
      <c r="AA37" s="131">
        <f>AA36/1.1</f>
        <v>339009.09090909088</v>
      </c>
      <c r="AB37" s="133">
        <f>AA37/Z36</f>
        <v>577.52826389964378</v>
      </c>
      <c r="AC37" s="133">
        <f>AC36/1.1</f>
        <v>60545.454545454544</v>
      </c>
      <c r="AD37" s="133">
        <f>AC37/Z36</f>
        <v>103.14387486448815</v>
      </c>
      <c r="AE37" s="132">
        <f>AE36/1.1</f>
        <v>399554.54545454541</v>
      </c>
      <c r="AF37" s="139" t="e">
        <f>AE37/Y36</f>
        <v>#DIV/0!</v>
      </c>
      <c r="AG37" s="136"/>
      <c r="AH37" s="130" t="s">
        <v>40</v>
      </c>
      <c r="AI37" s="131">
        <f>AI36/1.1</f>
        <v>706313.63636363635</v>
      </c>
      <c r="AJ37" s="133">
        <f>AI37/AH36</f>
        <v>3945.8862366683593</v>
      </c>
      <c r="AK37" s="133">
        <f>AK36/1.1</f>
        <v>269304.54545454541</v>
      </c>
      <c r="AL37" s="133">
        <f>AK37/AH36</f>
        <v>1504.4946673438292</v>
      </c>
      <c r="AM37" s="132">
        <f>AM36/1.1</f>
        <v>975618.18181818177</v>
      </c>
      <c r="AN37" s="140">
        <f>AM37/AG36</f>
        <v>975618.18181818177</v>
      </c>
      <c r="AO37" s="136"/>
      <c r="AP37" s="130" t="s">
        <v>40</v>
      </c>
      <c r="AQ37" s="131">
        <f>AQ36/1.1</f>
        <v>28597272.727272727</v>
      </c>
      <c r="AR37" s="133">
        <f>AQ37/AP36</f>
        <v>2591.2715410721935</v>
      </c>
      <c r="AS37" s="133">
        <f>AS36/1.1</f>
        <v>15843636.363636361</v>
      </c>
      <c r="AT37" s="133">
        <f>AS37/AP36</f>
        <v>1435.6321460344654</v>
      </c>
      <c r="AU37" s="133">
        <f>AU36/1.1</f>
        <v>415999.99999999994</v>
      </c>
      <c r="AV37" s="132">
        <f>AV36/1.1</f>
        <v>44856909.090909086</v>
      </c>
      <c r="AW37" s="140">
        <f>AV37/AP36</f>
        <v>4064.5985040693263</v>
      </c>
      <c r="AX37" s="141" t="s">
        <v>40</v>
      </c>
      <c r="AY37" s="131">
        <f>AY36/1.1</f>
        <v>37421095.454545453</v>
      </c>
      <c r="AZ37" s="131">
        <f>AZ36/1.1</f>
        <v>17718804.545454543</v>
      </c>
      <c r="BA37" s="132">
        <f>BA36/1.1</f>
        <v>55555899.999999993</v>
      </c>
      <c r="BB37" s="142">
        <f>BB36/1.1</f>
        <v>107999.99999999999</v>
      </c>
      <c r="BG37" s="143"/>
      <c r="BJ37" s="144"/>
      <c r="BL37" s="144"/>
    </row>
    <row r="38" spans="2:64">
      <c r="E38" s="145" t="s">
        <v>41</v>
      </c>
      <c r="F38" s="146">
        <f>E36/G38</f>
        <v>32.967741935483872</v>
      </c>
      <c r="G38" s="147">
        <v>31</v>
      </c>
      <c r="H38" s="146"/>
      <c r="I38" s="146"/>
      <c r="J38" s="148" t="s">
        <v>42</v>
      </c>
      <c r="K38" s="149">
        <f>J37/G38</f>
        <v>133313.19648093841</v>
      </c>
      <c r="M38" s="145" t="s">
        <v>41</v>
      </c>
      <c r="N38" s="146">
        <f>M36/O38</f>
        <v>16</v>
      </c>
      <c r="O38" s="147">
        <f>G38</f>
        <v>31</v>
      </c>
      <c r="P38" s="146"/>
      <c r="Q38" s="146"/>
      <c r="R38" s="148" t="s">
        <v>42</v>
      </c>
      <c r="S38" s="150">
        <f>R37/O38</f>
        <v>170939.00293255132</v>
      </c>
      <c r="U38" s="151">
        <f>O38</f>
        <v>31</v>
      </c>
      <c r="W38" s="152">
        <f>W37/U38</f>
        <v>304074.780058651</v>
      </c>
      <c r="X38" s="77"/>
      <c r="AA38" s="153">
        <f>G38</f>
        <v>31</v>
      </c>
      <c r="AB38" s="146"/>
      <c r="AC38" s="146"/>
      <c r="AD38" s="146"/>
      <c r="AE38" s="146"/>
      <c r="AF38" s="149">
        <f>AE37/AA38</f>
        <v>12888.856304985336</v>
      </c>
      <c r="AI38" s="153">
        <v>2</v>
      </c>
      <c r="AJ38" s="146"/>
      <c r="AK38" s="146"/>
      <c r="AL38" s="146"/>
      <c r="AM38" s="146"/>
      <c r="AN38" s="149">
        <f>AM37/AI38</f>
        <v>487809.09090909088</v>
      </c>
      <c r="AQ38" s="153">
        <f>G38</f>
        <v>31</v>
      </c>
      <c r="AR38" s="146"/>
      <c r="AS38" s="146"/>
      <c r="AT38" s="146"/>
      <c r="AU38" s="146"/>
      <c r="AV38" s="146"/>
      <c r="AW38" s="149">
        <f>AV37/AQ38</f>
        <v>1446997.0674486803</v>
      </c>
      <c r="BA38" s="152"/>
      <c r="BB38" s="77" t="e">
        <f>BA37/BC37</f>
        <v>#DIV/0!</v>
      </c>
      <c r="BC38" s="154">
        <f>AX36+T36</f>
        <v>3036</v>
      </c>
      <c r="BG38" s="152"/>
    </row>
    <row r="39" spans="2:64">
      <c r="D39" s="155" t="s">
        <v>43</v>
      </c>
      <c r="E39" s="156"/>
      <c r="F39" s="146"/>
      <c r="G39" s="157"/>
      <c r="H39" s="146"/>
      <c r="I39" s="146"/>
      <c r="J39" s="148"/>
      <c r="K39" s="149"/>
      <c r="L39" s="158" t="s">
        <v>44</v>
      </c>
      <c r="M39" s="145"/>
      <c r="N39" s="146"/>
      <c r="O39" s="146"/>
      <c r="P39" s="146"/>
      <c r="Q39" s="146"/>
      <c r="R39" s="148"/>
      <c r="S39" s="149"/>
      <c r="W39" s="152"/>
      <c r="X39" s="77"/>
      <c r="Y39" s="158" t="s">
        <v>45</v>
      </c>
      <c r="AA39" s="146"/>
      <c r="AB39" s="146"/>
      <c r="AC39" s="146"/>
      <c r="AD39" s="146"/>
      <c r="AE39" s="146"/>
      <c r="AF39" s="149"/>
      <c r="AG39" s="158" t="s">
        <v>46</v>
      </c>
      <c r="AI39" s="146"/>
      <c r="AJ39" s="146"/>
      <c r="AK39" s="146"/>
      <c r="AL39" s="146"/>
      <c r="AM39" s="146"/>
      <c r="AN39" s="149"/>
      <c r="AO39" s="158" t="s">
        <v>47</v>
      </c>
      <c r="AQ39" s="146"/>
      <c r="AR39" s="146"/>
      <c r="AS39" s="146"/>
      <c r="AT39" s="146"/>
      <c r="AU39" s="146"/>
      <c r="AV39" s="146"/>
      <c r="AW39" s="149"/>
      <c r="BA39" s="77">
        <f>BA36+BB36</f>
        <v>61230290</v>
      </c>
      <c r="BB39" s="159">
        <f>BA39/G38</f>
        <v>1975170.6451612904</v>
      </c>
      <c r="BC39" s="47" t="s">
        <v>48</v>
      </c>
      <c r="BG39" s="152"/>
    </row>
    <row r="40" spans="2:64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BA40" s="161">
        <f>BA37+BB37</f>
        <v>55663899.999999993</v>
      </c>
    </row>
    <row r="41" spans="2:64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W41" s="152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BA41" s="77"/>
      <c r="BB41" s="159">
        <f>BA40/G38</f>
        <v>1795609.6774193547</v>
      </c>
      <c r="BC41" s="47" t="s">
        <v>49</v>
      </c>
      <c r="BD41" s="47">
        <v>9</v>
      </c>
    </row>
    <row r="42" spans="2:64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</row>
    <row r="43" spans="2:64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152">
        <f>BA37+BB37</f>
        <v>55663899.999999993</v>
      </c>
      <c r="BB43" s="162" t="s">
        <v>50</v>
      </c>
      <c r="BD43" s="47">
        <v>7</v>
      </c>
      <c r="BE43" s="163">
        <f>AS37</f>
        <v>15843636.363636361</v>
      </c>
      <c r="BF43" s="163">
        <v>6266320</v>
      </c>
      <c r="BG43" s="164">
        <f>BF43/BE43</f>
        <v>0.39551021344962134</v>
      </c>
    </row>
    <row r="44" spans="2:64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7"/>
      <c r="AZ44" s="165" t="s">
        <v>51</v>
      </c>
      <c r="BA44" s="144">
        <f>J45+R45+AE45+BB44+AM45+AV45</f>
        <v>40290080</v>
      </c>
      <c r="BB44" s="166"/>
      <c r="BC44" s="127"/>
      <c r="BD44" s="47">
        <v>6</v>
      </c>
      <c r="BE44" s="163">
        <v>7119727</v>
      </c>
      <c r="BF44" s="163">
        <v>2680643</v>
      </c>
      <c r="BG44" s="164">
        <f t="shared" ref="BG44:BG45" si="37">BF44/BE44</f>
        <v>0.37650923975034434</v>
      </c>
      <c r="BH44" s="47" t="s">
        <v>52</v>
      </c>
    </row>
    <row r="45" spans="2:64" ht="21" customHeight="1">
      <c r="H45" s="167"/>
      <c r="I45" s="168" t="s">
        <v>53</v>
      </c>
      <c r="J45" s="144">
        <v>4131680</v>
      </c>
      <c r="K45" s="169" t="s">
        <v>54</v>
      </c>
      <c r="L45" s="127"/>
      <c r="M45" s="127"/>
      <c r="N45" s="127"/>
      <c r="O45" s="127"/>
      <c r="P45" s="127"/>
      <c r="Q45" s="168" t="s">
        <v>55</v>
      </c>
      <c r="R45" s="144">
        <v>9374400</v>
      </c>
      <c r="S45" s="169" t="s">
        <v>54</v>
      </c>
      <c r="T45" s="127"/>
      <c r="U45" s="127"/>
      <c r="V45" s="168" t="s">
        <v>56</v>
      </c>
      <c r="W45" s="144">
        <f>J45+R45</f>
        <v>13506080</v>
      </c>
      <c r="X45" s="169" t="s">
        <v>54</v>
      </c>
      <c r="Y45" s="127"/>
      <c r="Z45" s="127"/>
      <c r="AA45" s="127"/>
      <c r="AB45" s="127"/>
      <c r="AC45" s="127"/>
      <c r="AD45" s="167" t="s">
        <v>57</v>
      </c>
      <c r="AE45" s="144">
        <v>840000</v>
      </c>
      <c r="AF45" s="169" t="s">
        <v>54</v>
      </c>
      <c r="AG45" s="169"/>
      <c r="AH45" s="169"/>
      <c r="AI45" s="169"/>
      <c r="AJ45" s="169"/>
      <c r="AK45" s="127"/>
      <c r="AL45" s="168" t="s">
        <v>58</v>
      </c>
      <c r="AM45" s="144">
        <v>504000</v>
      </c>
      <c r="AN45" s="169" t="s">
        <v>54</v>
      </c>
      <c r="AO45" s="169"/>
      <c r="AP45" s="169"/>
      <c r="AQ45" s="169"/>
      <c r="AR45" s="169"/>
      <c r="AS45" s="127"/>
      <c r="AT45" s="168" t="s">
        <v>59</v>
      </c>
      <c r="AU45" s="168"/>
      <c r="AV45" s="144">
        <v>25440000</v>
      </c>
      <c r="AW45" s="169" t="s">
        <v>54</v>
      </c>
      <c r="AX45" s="127"/>
      <c r="AY45" s="127"/>
      <c r="AZ45" s="165" t="s">
        <v>60</v>
      </c>
      <c r="BA45" s="143">
        <f>BA44-BA37-BB37</f>
        <v>-15373819.999999993</v>
      </c>
      <c r="BB45" s="143">
        <f>BB44-BB37</f>
        <v>-107999.99999999999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7"/>
        <v>0</v>
      </c>
      <c r="BH45" s="77" t="s">
        <v>61</v>
      </c>
      <c r="BL45" s="47"/>
    </row>
    <row r="46" spans="2:64" ht="21" customHeight="1">
      <c r="H46" s="167"/>
      <c r="I46" s="167" t="s">
        <v>60</v>
      </c>
      <c r="J46" s="143">
        <f>J45-J37</f>
        <v>-1029.0909090903588</v>
      </c>
      <c r="K46" s="171">
        <v>0</v>
      </c>
      <c r="L46" s="127"/>
      <c r="M46" s="127"/>
      <c r="N46" s="127"/>
      <c r="O46" s="127"/>
      <c r="P46" s="127"/>
      <c r="Q46" s="167" t="s">
        <v>60</v>
      </c>
      <c r="R46" s="143">
        <f>R45-R37</f>
        <v>4075290.9090909092</v>
      </c>
      <c r="S46" s="127">
        <f>K46</f>
        <v>0</v>
      </c>
      <c r="T46" s="127"/>
      <c r="U46" s="127"/>
      <c r="V46" s="167" t="s">
        <v>60</v>
      </c>
      <c r="W46" s="143">
        <f>W45-W37</f>
        <v>4079761.8181818184</v>
      </c>
      <c r="X46" s="127">
        <f>P46</f>
        <v>0</v>
      </c>
      <c r="Y46" s="127"/>
      <c r="Z46" s="127"/>
      <c r="AA46" s="127"/>
      <c r="AB46" s="127"/>
      <c r="AC46" s="127"/>
      <c r="AD46" s="167" t="s">
        <v>60</v>
      </c>
      <c r="AE46" s="143">
        <f>AE45-AE37</f>
        <v>440445.45454545459</v>
      </c>
      <c r="AF46" s="127">
        <f>K46</f>
        <v>0</v>
      </c>
      <c r="AG46" s="127"/>
      <c r="AH46" s="127"/>
      <c r="AI46" s="127"/>
      <c r="AJ46" s="127"/>
      <c r="AK46" s="127"/>
      <c r="AL46" s="167" t="s">
        <v>60</v>
      </c>
      <c r="AM46" s="143">
        <f>AM45-AM37</f>
        <v>-471618.18181818177</v>
      </c>
      <c r="AN46" s="127">
        <f>AF46</f>
        <v>0</v>
      </c>
      <c r="AO46" s="127"/>
      <c r="AP46" s="127"/>
      <c r="AQ46" s="127"/>
      <c r="AR46" s="127"/>
      <c r="AS46" s="127"/>
      <c r="AT46" s="167" t="s">
        <v>60</v>
      </c>
      <c r="AU46" s="167"/>
      <c r="AV46" s="143">
        <f>AV45-AV37</f>
        <v>-19416909.090909086</v>
      </c>
      <c r="AW46" s="127">
        <f>AN46</f>
        <v>0</v>
      </c>
      <c r="AX46" s="127"/>
      <c r="AY46" s="172"/>
      <c r="AZ46" s="173" t="s">
        <v>62</v>
      </c>
      <c r="BA46" s="174" t="e">
        <f>BA45/K46</f>
        <v>#DIV/0!</v>
      </c>
      <c r="BB46" s="175">
        <f>(BA37+BB37)/BA44</f>
        <v>1.381578294210386</v>
      </c>
      <c r="BC46" s="172"/>
      <c r="BD46" s="176"/>
      <c r="BE46" s="177">
        <f>SUM(BE43:BE45)</f>
        <v>23601045.36363636</v>
      </c>
      <c r="BF46" s="178">
        <f>BJ71</f>
        <v>9138052</v>
      </c>
      <c r="BG46" s="179">
        <f>BF46/BE46</f>
        <v>0.38718844268142383</v>
      </c>
      <c r="BH46" s="180">
        <f>BE46-BF46</f>
        <v>14462993.36363636</v>
      </c>
      <c r="BL46" s="47"/>
    </row>
    <row r="47" spans="2:64" s="176" customFormat="1" ht="26" customHeight="1">
      <c r="B47" s="181"/>
      <c r="H47" s="182"/>
      <c r="I47" s="173" t="s">
        <v>62</v>
      </c>
      <c r="J47" s="183" t="e">
        <f>J46/K46</f>
        <v>#DIV/0!</v>
      </c>
      <c r="K47" s="184">
        <f>J37/J45</f>
        <v>1.0002490732363325</v>
      </c>
      <c r="L47" s="172"/>
      <c r="M47" s="172"/>
      <c r="N47" s="172"/>
      <c r="O47" s="172"/>
      <c r="P47" s="172"/>
      <c r="Q47" s="173" t="s">
        <v>62</v>
      </c>
      <c r="R47" s="174" t="e">
        <f>R46/S46</f>
        <v>#DIV/0!</v>
      </c>
      <c r="S47" s="184">
        <f>R37/R45</f>
        <v>0.5652744805970612</v>
      </c>
      <c r="T47" s="172"/>
      <c r="U47" s="172"/>
      <c r="V47" s="173" t="s">
        <v>62</v>
      </c>
      <c r="W47" s="174" t="e">
        <f>W46/X46</f>
        <v>#DIV/0!</v>
      </c>
      <c r="X47" s="184">
        <f>W37/W45</f>
        <v>0.69793146359403924</v>
      </c>
      <c r="Y47" s="172"/>
      <c r="Z47" s="172"/>
      <c r="AA47" s="172"/>
      <c r="AB47" s="172"/>
      <c r="AC47" s="172"/>
      <c r="AD47" s="173" t="s">
        <v>62</v>
      </c>
      <c r="AE47" s="183" t="e">
        <f>AE46/AF46</f>
        <v>#DIV/0!</v>
      </c>
      <c r="AF47" s="184">
        <f>AE37/AE45</f>
        <v>0.47566017316017312</v>
      </c>
      <c r="AG47" s="184"/>
      <c r="AH47" s="184"/>
      <c r="AI47" s="184"/>
      <c r="AJ47" s="184"/>
      <c r="AK47" s="172"/>
      <c r="AL47" s="173" t="s">
        <v>62</v>
      </c>
      <c r="AM47" s="174" t="e">
        <f>AM46/AN46</f>
        <v>#DIV/0!</v>
      </c>
      <c r="AN47" s="184">
        <f>AM37/AM45</f>
        <v>1.9357503607503606</v>
      </c>
      <c r="AO47" s="184"/>
      <c r="AP47" s="184"/>
      <c r="AQ47" s="184"/>
      <c r="AR47" s="184"/>
      <c r="AS47" s="172"/>
      <c r="AT47" s="173" t="s">
        <v>62</v>
      </c>
      <c r="AU47" s="173"/>
      <c r="AV47" s="174" t="e">
        <f>AV46/AW46</f>
        <v>#DIV/0!</v>
      </c>
      <c r="AW47" s="184">
        <f>AV37/AV45</f>
        <v>1.7632432818753572</v>
      </c>
      <c r="AX47" s="172"/>
      <c r="AY47" s="47"/>
      <c r="AZ47" s="47"/>
      <c r="BA47" s="152"/>
      <c r="BB47" s="47"/>
      <c r="BC47" s="47"/>
      <c r="BD47" s="47"/>
      <c r="BF47" s="176">
        <v>550000</v>
      </c>
      <c r="BH47" s="185"/>
      <c r="BJ47" s="185"/>
    </row>
    <row r="48" spans="2:64">
      <c r="AY48" s="186"/>
      <c r="AZ48" s="186"/>
      <c r="BA48" s="186"/>
      <c r="BB48" s="186"/>
      <c r="BC48" s="186"/>
      <c r="BD48" s="186"/>
      <c r="BF48" s="152">
        <f>BF46-BF47</f>
        <v>8588052</v>
      </c>
      <c r="BG48" s="47">
        <f>BF48/BE46</f>
        <v>0.36388439019028207</v>
      </c>
      <c r="BH48" s="77"/>
      <c r="BL48" s="47"/>
    </row>
    <row r="49" spans="2:62" s="186" customFormat="1" ht="24" customHeight="1">
      <c r="B49" s="187"/>
      <c r="L49" s="188"/>
      <c r="M49" s="47"/>
      <c r="N49" s="47"/>
      <c r="O49" s="47"/>
      <c r="P49" s="47"/>
      <c r="Q49" s="47"/>
      <c r="R49" s="188"/>
      <c r="AY49" s="1"/>
      <c r="AZ49" s="1"/>
      <c r="BA49" s="1"/>
      <c r="BB49" s="1"/>
      <c r="BC49" s="189" t="s">
        <v>63</v>
      </c>
      <c r="BD49" s="1" t="s">
        <v>64</v>
      </c>
      <c r="BE49" s="1" t="s">
        <v>65</v>
      </c>
      <c r="BF49" s="1" t="s">
        <v>66</v>
      </c>
      <c r="BG49" s="1" t="s">
        <v>67</v>
      </c>
      <c r="BH49" s="190" t="s">
        <v>68</v>
      </c>
      <c r="BI49" s="190" t="s">
        <v>69</v>
      </c>
      <c r="BJ49" s="190" t="s">
        <v>70</v>
      </c>
    </row>
    <row r="50" spans="2:62" s="1" customFormat="1" ht="24" customHeight="1">
      <c r="B50" s="187"/>
      <c r="L50" s="191"/>
      <c r="M50" s="47"/>
      <c r="N50" s="47"/>
      <c r="O50" s="47"/>
      <c r="P50" s="47"/>
      <c r="Q50" s="47"/>
      <c r="R50" s="191"/>
      <c r="S50" s="191"/>
      <c r="Z50" s="192"/>
      <c r="AY50" s="186"/>
      <c r="AZ50" s="186"/>
      <c r="BA50" s="186"/>
      <c r="BB50" s="186"/>
      <c r="BC50" s="189" t="s">
        <v>71</v>
      </c>
      <c r="BD50" s="193">
        <v>1800</v>
      </c>
      <c r="BE50" s="193">
        <v>21</v>
      </c>
      <c r="BF50" s="194">
        <v>0</v>
      </c>
      <c r="BG50" s="193"/>
      <c r="BH50" s="195">
        <f>BE50*BD50</f>
        <v>37800</v>
      </c>
      <c r="BI50" s="195">
        <f>BD50*BF50</f>
        <v>0</v>
      </c>
      <c r="BJ50" s="195">
        <f>BH50-BI50</f>
        <v>37800</v>
      </c>
    </row>
    <row r="51" spans="2:62" s="186" customFormat="1" ht="24" customHeight="1">
      <c r="B51" s="187"/>
      <c r="K51" s="1"/>
      <c r="L51" s="191"/>
      <c r="M51" s="47"/>
      <c r="N51" s="47"/>
      <c r="O51" s="47"/>
      <c r="P51" s="47"/>
      <c r="Q51" s="47"/>
      <c r="R51" s="196"/>
      <c r="S51" s="197"/>
      <c r="T51" s="197"/>
      <c r="U51" s="197" t="s">
        <v>72</v>
      </c>
      <c r="V51" s="197"/>
      <c r="W51" s="198"/>
      <c r="X51" s="199"/>
      <c r="Y51" s="189"/>
      <c r="Z51" s="195"/>
      <c r="BC51" s="189" t="s">
        <v>73</v>
      </c>
      <c r="BD51" s="193">
        <v>10800</v>
      </c>
      <c r="BE51" s="193">
        <v>640</v>
      </c>
      <c r="BF51" s="193">
        <v>20</v>
      </c>
      <c r="BG51" s="193"/>
      <c r="BH51" s="195">
        <f t="shared" ref="BH51:BH70" si="38">BD51*BE51</f>
        <v>6912000</v>
      </c>
      <c r="BI51" s="195">
        <f t="shared" ref="BI51:BI70" si="39">BD51*BF51</f>
        <v>216000</v>
      </c>
      <c r="BJ51" s="195">
        <f t="shared" ref="BJ51:BJ70" si="40">BH51-BI51</f>
        <v>6696000</v>
      </c>
    </row>
    <row r="52" spans="2:62" s="186" customFormat="1" ht="24" customHeight="1">
      <c r="B52" s="187"/>
      <c r="K52" s="1"/>
      <c r="L52" s="191"/>
      <c r="M52" s="47"/>
      <c r="N52" s="47"/>
      <c r="O52" s="47"/>
      <c r="P52" s="47"/>
      <c r="Q52" s="47"/>
      <c r="R52" s="198"/>
      <c r="S52" s="197"/>
      <c r="T52" s="197"/>
      <c r="U52" s="200" t="s">
        <v>74</v>
      </c>
      <c r="V52" s="201" t="s">
        <v>75</v>
      </c>
      <c r="W52" s="202">
        <v>826627</v>
      </c>
      <c r="X52" s="203">
        <f>W52/Y52</f>
        <v>9.8876036513801766E-2</v>
      </c>
      <c r="Y52" s="204">
        <f>W52+W53</f>
        <v>8360236</v>
      </c>
      <c r="Z52" s="205"/>
      <c r="AA52" s="205"/>
      <c r="BC52" s="189" t="s">
        <v>76</v>
      </c>
      <c r="BD52" s="193">
        <v>6120</v>
      </c>
      <c r="BE52" s="193">
        <v>40</v>
      </c>
      <c r="BF52" s="193">
        <v>4</v>
      </c>
      <c r="BG52" s="193"/>
      <c r="BH52" s="195">
        <f t="shared" si="38"/>
        <v>244800</v>
      </c>
      <c r="BI52" s="195">
        <f t="shared" si="39"/>
        <v>24480</v>
      </c>
      <c r="BJ52" s="195">
        <f t="shared" si="40"/>
        <v>220320</v>
      </c>
    </row>
    <row r="53" spans="2:62" s="186" customFormat="1" ht="24" customHeight="1">
      <c r="B53" s="187"/>
      <c r="K53" s="1"/>
      <c r="L53" s="191"/>
      <c r="M53" s="47"/>
      <c r="N53" s="47"/>
      <c r="O53" s="47"/>
      <c r="P53" s="47"/>
      <c r="Q53" s="47"/>
      <c r="R53" s="198"/>
      <c r="S53" s="197"/>
      <c r="T53" s="197"/>
      <c r="U53" s="200"/>
      <c r="V53" s="201" t="s">
        <v>77</v>
      </c>
      <c r="W53" s="202">
        <v>7533609</v>
      </c>
      <c r="X53" s="203">
        <f>W53/Y52</f>
        <v>0.90112396348619828</v>
      </c>
      <c r="Y53" s="205"/>
      <c r="Z53" s="205"/>
      <c r="AA53" s="205"/>
      <c r="BC53" s="189" t="s">
        <v>78</v>
      </c>
      <c r="BD53" s="193">
        <v>1780</v>
      </c>
      <c r="BE53" s="193">
        <v>24</v>
      </c>
      <c r="BF53" s="193">
        <v>4</v>
      </c>
      <c r="BG53" s="193"/>
      <c r="BH53" s="195">
        <f t="shared" si="38"/>
        <v>42720</v>
      </c>
      <c r="BI53" s="195">
        <f t="shared" si="39"/>
        <v>7120</v>
      </c>
      <c r="BJ53" s="195">
        <f t="shared" si="40"/>
        <v>35600</v>
      </c>
    </row>
    <row r="54" spans="2:62" s="186" customFormat="1" ht="24" customHeight="1">
      <c r="B54" s="187"/>
      <c r="K54" s="1"/>
      <c r="L54" s="191"/>
      <c r="M54" s="47"/>
      <c r="N54" s="47"/>
      <c r="O54" s="47"/>
      <c r="P54" s="47"/>
      <c r="Q54" s="47"/>
      <c r="R54" s="198"/>
      <c r="S54" s="197"/>
      <c r="T54" s="197"/>
      <c r="U54" s="206" t="s">
        <v>79</v>
      </c>
      <c r="V54" s="201" t="s">
        <v>75</v>
      </c>
      <c r="W54" s="202">
        <v>2585291</v>
      </c>
      <c r="X54" s="203">
        <f t="shared" ref="X54" si="41">W54/Y54</f>
        <v>0.35697611608412699</v>
      </c>
      <c r="Y54" s="204">
        <f t="shared" ref="Y54" si="42">W54+W55</f>
        <v>7242196</v>
      </c>
      <c r="Z54" s="205"/>
      <c r="AA54" s="205"/>
      <c r="BC54" s="189" t="s">
        <v>80</v>
      </c>
      <c r="BD54" s="193">
        <v>1780</v>
      </c>
      <c r="BE54" s="193">
        <v>24</v>
      </c>
      <c r="BF54" s="193">
        <v>20</v>
      </c>
      <c r="BG54" s="193"/>
      <c r="BH54" s="195">
        <f t="shared" si="38"/>
        <v>42720</v>
      </c>
      <c r="BI54" s="195">
        <f t="shared" si="39"/>
        <v>35600</v>
      </c>
      <c r="BJ54" s="195">
        <f t="shared" si="40"/>
        <v>7120</v>
      </c>
    </row>
    <row r="55" spans="2:62" s="186" customFormat="1" ht="24" customHeight="1">
      <c r="B55" s="187"/>
      <c r="L55" s="188"/>
      <c r="M55" s="47"/>
      <c r="N55" s="47"/>
      <c r="O55" s="47"/>
      <c r="P55" s="47"/>
      <c r="Q55" s="47"/>
      <c r="R55" s="207"/>
      <c r="S55" s="197"/>
      <c r="T55" s="197"/>
      <c r="U55" s="206"/>
      <c r="V55" s="201" t="s">
        <v>77</v>
      </c>
      <c r="W55" s="202">
        <v>4656905</v>
      </c>
      <c r="X55" s="203">
        <f t="shared" ref="X55" si="43">W55/Y54</f>
        <v>0.64302388391587306</v>
      </c>
      <c r="Y55" s="205"/>
      <c r="Z55" s="205"/>
      <c r="AA55" s="205"/>
      <c r="AY55" s="47"/>
      <c r="AZ55" s="47"/>
      <c r="BA55" s="47"/>
      <c r="BB55" s="47"/>
      <c r="BC55" s="189" t="s">
        <v>81</v>
      </c>
      <c r="BD55" s="208">
        <v>8190</v>
      </c>
      <c r="BE55" s="193">
        <v>13</v>
      </c>
      <c r="BF55" s="193">
        <v>4</v>
      </c>
      <c r="BG55" s="193"/>
      <c r="BH55" s="195">
        <f t="shared" si="38"/>
        <v>106470</v>
      </c>
      <c r="BI55" s="195">
        <f t="shared" si="39"/>
        <v>32760</v>
      </c>
      <c r="BJ55" s="195">
        <f t="shared" si="40"/>
        <v>73710</v>
      </c>
    </row>
    <row r="56" spans="2:62" ht="24" customHeight="1">
      <c r="U56" s="209" t="s">
        <v>2</v>
      </c>
      <c r="V56" s="210" t="s">
        <v>75</v>
      </c>
      <c r="W56" s="202">
        <v>3081491</v>
      </c>
      <c r="X56" s="203">
        <f t="shared" ref="X56:X58" si="44">W56/Y56</f>
        <v>0.41896802903620756</v>
      </c>
      <c r="Y56" s="204">
        <f t="shared" ref="Y56" si="45">W56+W57</f>
        <v>7354955</v>
      </c>
      <c r="Z56" s="205"/>
      <c r="AA56" s="205"/>
      <c r="BC56" s="189" t="s">
        <v>82</v>
      </c>
      <c r="BD56" s="208">
        <v>5784</v>
      </c>
      <c r="BE56" s="208">
        <v>36</v>
      </c>
      <c r="BF56" s="208">
        <v>28</v>
      </c>
      <c r="BG56" s="208"/>
      <c r="BH56" s="195">
        <f t="shared" si="38"/>
        <v>208224</v>
      </c>
      <c r="BI56" s="195">
        <f t="shared" si="39"/>
        <v>161952</v>
      </c>
      <c r="BJ56" s="195">
        <f t="shared" si="40"/>
        <v>46272</v>
      </c>
    </row>
    <row r="57" spans="2:62" ht="24" customHeight="1">
      <c r="U57" s="209"/>
      <c r="V57" s="210" t="s">
        <v>77</v>
      </c>
      <c r="W57" s="202">
        <v>4273464</v>
      </c>
      <c r="X57" s="203">
        <f t="shared" ref="X57:X59" si="46">W57/Y56</f>
        <v>0.58103197096379244</v>
      </c>
      <c r="Y57" s="205"/>
      <c r="Z57" s="205"/>
      <c r="AA57" s="205"/>
      <c r="BC57" s="189" t="s">
        <v>83</v>
      </c>
      <c r="BD57" s="208">
        <v>6775</v>
      </c>
      <c r="BE57" s="208">
        <v>12</v>
      </c>
      <c r="BF57" s="208">
        <v>11</v>
      </c>
      <c r="BG57" s="208"/>
      <c r="BH57" s="195">
        <f t="shared" si="38"/>
        <v>81300</v>
      </c>
      <c r="BI57" s="195">
        <f t="shared" si="39"/>
        <v>74525</v>
      </c>
      <c r="BJ57" s="195">
        <f t="shared" si="40"/>
        <v>6775</v>
      </c>
    </row>
    <row r="58" spans="2:62" ht="24" customHeight="1">
      <c r="U58" s="211" t="s">
        <v>84</v>
      </c>
      <c r="V58" s="210" t="s">
        <v>75</v>
      </c>
      <c r="W58" s="202">
        <f>W52+W54+W56</f>
        <v>6493409</v>
      </c>
      <c r="X58" s="203">
        <f t="shared" si="44"/>
        <v>0.28284617060295231</v>
      </c>
      <c r="Y58" s="212">
        <f>SUM(Y52:AA56)</f>
        <v>22957387</v>
      </c>
      <c r="Z58" s="213"/>
      <c r="AA58" s="213"/>
      <c r="BC58" s="189" t="s">
        <v>85</v>
      </c>
      <c r="BD58" s="208">
        <v>1755</v>
      </c>
      <c r="BE58" s="208">
        <v>14</v>
      </c>
      <c r="BF58" s="208">
        <v>2</v>
      </c>
      <c r="BG58" s="208"/>
      <c r="BH58" s="195">
        <f t="shared" si="38"/>
        <v>24570</v>
      </c>
      <c r="BI58" s="195">
        <f t="shared" si="39"/>
        <v>3510</v>
      </c>
      <c r="BJ58" s="195">
        <f t="shared" si="40"/>
        <v>21060</v>
      </c>
    </row>
    <row r="59" spans="2:62" ht="24" customHeight="1">
      <c r="U59" s="211"/>
      <c r="V59" s="210" t="s">
        <v>77</v>
      </c>
      <c r="W59" s="202">
        <f>W53+W55+W57</f>
        <v>16463978</v>
      </c>
      <c r="X59" s="203">
        <f t="shared" si="46"/>
        <v>0.71715382939704764</v>
      </c>
      <c r="Y59" s="213"/>
      <c r="Z59" s="213"/>
      <c r="AA59" s="213"/>
      <c r="BC59" s="189" t="s">
        <v>86</v>
      </c>
      <c r="BD59" s="208">
        <v>1755</v>
      </c>
      <c r="BE59" s="208">
        <v>10</v>
      </c>
      <c r="BF59" s="208">
        <v>0</v>
      </c>
      <c r="BG59" s="208"/>
      <c r="BH59" s="195">
        <f t="shared" si="38"/>
        <v>17550</v>
      </c>
      <c r="BI59" s="195">
        <f t="shared" si="39"/>
        <v>0</v>
      </c>
      <c r="BJ59" s="195">
        <f t="shared" si="40"/>
        <v>17550</v>
      </c>
    </row>
    <row r="60" spans="2:62" ht="24" customHeight="1">
      <c r="BC60" s="189" t="s">
        <v>87</v>
      </c>
      <c r="BD60" s="208">
        <v>1075</v>
      </c>
      <c r="BE60" s="208">
        <v>96</v>
      </c>
      <c r="BF60" s="208">
        <v>38</v>
      </c>
      <c r="BG60" s="208"/>
      <c r="BH60" s="195">
        <f t="shared" si="38"/>
        <v>103200</v>
      </c>
      <c r="BI60" s="195">
        <f t="shared" si="39"/>
        <v>40850</v>
      </c>
      <c r="BJ60" s="195">
        <f t="shared" si="40"/>
        <v>62350</v>
      </c>
    </row>
    <row r="61" spans="2:62" ht="24" customHeight="1">
      <c r="BC61" s="189" t="s">
        <v>88</v>
      </c>
      <c r="BD61" s="208">
        <v>3860</v>
      </c>
      <c r="BE61" s="208">
        <v>166</v>
      </c>
      <c r="BF61" s="208">
        <v>13</v>
      </c>
      <c r="BG61" s="208"/>
      <c r="BH61" s="195">
        <f t="shared" si="38"/>
        <v>640760</v>
      </c>
      <c r="BI61" s="195">
        <f t="shared" si="39"/>
        <v>50180</v>
      </c>
      <c r="BJ61" s="195">
        <f t="shared" si="40"/>
        <v>590580</v>
      </c>
    </row>
    <row r="62" spans="2:62" ht="24" customHeight="1">
      <c r="BC62" s="189" t="s">
        <v>89</v>
      </c>
      <c r="BD62" s="208">
        <v>6450</v>
      </c>
      <c r="BE62" s="208">
        <v>137</v>
      </c>
      <c r="BF62" s="208">
        <v>12</v>
      </c>
      <c r="BG62" s="208"/>
      <c r="BH62" s="195">
        <f t="shared" si="38"/>
        <v>883650</v>
      </c>
      <c r="BI62" s="195">
        <f t="shared" si="39"/>
        <v>77400</v>
      </c>
      <c r="BJ62" s="195">
        <f t="shared" si="40"/>
        <v>806250</v>
      </c>
    </row>
    <row r="63" spans="2:62" ht="24" customHeight="1">
      <c r="BC63" s="189" t="s">
        <v>90</v>
      </c>
      <c r="BD63" s="208">
        <v>1380</v>
      </c>
      <c r="BE63" s="208">
        <v>35</v>
      </c>
      <c r="BF63" s="208">
        <v>5</v>
      </c>
      <c r="BG63" s="208"/>
      <c r="BH63" s="195">
        <f t="shared" si="38"/>
        <v>48300</v>
      </c>
      <c r="BI63" s="195">
        <f t="shared" si="39"/>
        <v>6900</v>
      </c>
      <c r="BJ63" s="195">
        <f t="shared" si="40"/>
        <v>41400</v>
      </c>
    </row>
    <row r="64" spans="2:62" ht="24" customHeight="1">
      <c r="BC64" s="189" t="s">
        <v>91</v>
      </c>
      <c r="BD64" s="208">
        <v>1380</v>
      </c>
      <c r="BE64" s="208">
        <v>39</v>
      </c>
      <c r="BF64" s="208">
        <v>6</v>
      </c>
      <c r="BG64" s="208"/>
      <c r="BH64" s="195">
        <f t="shared" si="38"/>
        <v>53820</v>
      </c>
      <c r="BI64" s="195">
        <f t="shared" si="39"/>
        <v>8280</v>
      </c>
      <c r="BJ64" s="195">
        <f t="shared" si="40"/>
        <v>45540</v>
      </c>
    </row>
    <row r="65" spans="55:62" ht="24" customHeight="1">
      <c r="BC65" s="189" t="s">
        <v>92</v>
      </c>
      <c r="BD65" s="208">
        <v>160</v>
      </c>
      <c r="BE65" s="208">
        <v>594</v>
      </c>
      <c r="BF65" s="208">
        <v>53</v>
      </c>
      <c r="BG65" s="208"/>
      <c r="BH65" s="195">
        <f t="shared" si="38"/>
        <v>95040</v>
      </c>
      <c r="BI65" s="195">
        <f t="shared" si="39"/>
        <v>8480</v>
      </c>
      <c r="BJ65" s="195">
        <f t="shared" si="40"/>
        <v>86560</v>
      </c>
    </row>
    <row r="66" spans="55:62" ht="24" customHeight="1">
      <c r="BC66" s="189" t="s">
        <v>93</v>
      </c>
      <c r="BD66" s="208">
        <v>160</v>
      </c>
      <c r="BE66" s="208">
        <v>300</v>
      </c>
      <c r="BF66" s="208">
        <v>47</v>
      </c>
      <c r="BG66" s="208"/>
      <c r="BH66" s="195">
        <f t="shared" si="38"/>
        <v>48000</v>
      </c>
      <c r="BI66" s="195">
        <f t="shared" si="39"/>
        <v>7520</v>
      </c>
      <c r="BJ66" s="195">
        <f t="shared" si="40"/>
        <v>40480</v>
      </c>
    </row>
    <row r="67" spans="55:62" ht="24" customHeight="1">
      <c r="BC67" s="189" t="s">
        <v>94</v>
      </c>
      <c r="BD67" s="208">
        <v>205</v>
      </c>
      <c r="BE67" s="208">
        <v>366</v>
      </c>
      <c r="BF67" s="208">
        <v>49</v>
      </c>
      <c r="BG67" s="208"/>
      <c r="BH67" s="195">
        <f t="shared" si="38"/>
        <v>75030</v>
      </c>
      <c r="BI67" s="195">
        <f t="shared" si="39"/>
        <v>10045</v>
      </c>
      <c r="BJ67" s="195">
        <f t="shared" si="40"/>
        <v>64985</v>
      </c>
    </row>
    <row r="68" spans="55:62" ht="24" customHeight="1">
      <c r="BC68" s="189" t="s">
        <v>95</v>
      </c>
      <c r="BD68" s="208">
        <v>295</v>
      </c>
      <c r="BE68" s="208">
        <v>612</v>
      </c>
      <c r="BF68" s="208">
        <v>86</v>
      </c>
      <c r="BG68" s="208"/>
      <c r="BH68" s="195">
        <f t="shared" si="38"/>
        <v>180540</v>
      </c>
      <c r="BI68" s="195">
        <f t="shared" si="39"/>
        <v>25370</v>
      </c>
      <c r="BJ68" s="195">
        <f t="shared" si="40"/>
        <v>155170</v>
      </c>
    </row>
    <row r="69" spans="55:62" ht="24" customHeight="1">
      <c r="BC69" s="189" t="s">
        <v>96</v>
      </c>
      <c r="BD69" s="208">
        <v>70</v>
      </c>
      <c r="BE69" s="208">
        <v>480</v>
      </c>
      <c r="BF69" s="208">
        <v>71</v>
      </c>
      <c r="BG69" s="208"/>
      <c r="BH69" s="195">
        <f t="shared" si="38"/>
        <v>33600</v>
      </c>
      <c r="BI69" s="195">
        <f t="shared" si="39"/>
        <v>4970</v>
      </c>
      <c r="BJ69" s="195">
        <f t="shared" si="40"/>
        <v>28630</v>
      </c>
    </row>
    <row r="70" spans="55:62" ht="24" customHeight="1">
      <c r="BC70" s="189" t="s">
        <v>97</v>
      </c>
      <c r="BD70" s="208">
        <v>2450</v>
      </c>
      <c r="BE70" s="208">
        <v>31</v>
      </c>
      <c r="BF70" s="208">
        <v>9</v>
      </c>
      <c r="BG70" s="208"/>
      <c r="BH70" s="195">
        <f t="shared" si="38"/>
        <v>75950</v>
      </c>
      <c r="BI70" s="195">
        <f t="shared" si="39"/>
        <v>22050</v>
      </c>
      <c r="BJ70" s="195">
        <f t="shared" si="40"/>
        <v>53900</v>
      </c>
    </row>
    <row r="71" spans="55:62" ht="24" customHeight="1">
      <c r="BC71" s="189"/>
      <c r="BH71" s="214">
        <f>SUM(BH50:BH70)</f>
        <v>9956044</v>
      </c>
      <c r="BI71" s="214">
        <f t="shared" ref="BI71:BJ71" si="47">SUM(BI50:BI70)</f>
        <v>817992</v>
      </c>
      <c r="BJ71" s="214">
        <f t="shared" si="47"/>
        <v>9138052</v>
      </c>
    </row>
    <row r="72" spans="55:62" ht="24" customHeight="1">
      <c r="BC72" s="189"/>
    </row>
    <row r="73" spans="55:62" ht="24" customHeight="1">
      <c r="BC73" s="189"/>
    </row>
    <row r="74" spans="55:62" ht="24" customHeight="1">
      <c r="BC74" s="189"/>
    </row>
    <row r="75" spans="55:62" ht="24" customHeight="1">
      <c r="BC75" s="189"/>
    </row>
    <row r="76" spans="55:62" ht="24" customHeight="1">
      <c r="BC76" s="189"/>
    </row>
    <row r="77" spans="55:62" ht="24" customHeight="1">
      <c r="BC77" s="189"/>
    </row>
    <row r="78" spans="55:62" ht="24" customHeight="1">
      <c r="BC78" s="189"/>
    </row>
    <row r="79" spans="55:62" ht="24" customHeight="1">
      <c r="BC79" s="189"/>
    </row>
    <row r="80" spans="55:62" ht="24" customHeight="1">
      <c r="BC80" s="189"/>
    </row>
    <row r="81" spans="55:55" ht="24" customHeight="1">
      <c r="BC81" s="189"/>
    </row>
    <row r="82" spans="55:55" ht="24" customHeight="1">
      <c r="BC82" s="189"/>
    </row>
    <row r="83" spans="55:55" ht="24" customHeight="1">
      <c r="BC83" s="189"/>
    </row>
    <row r="84" spans="55:55" ht="24" customHeight="1">
      <c r="BC84" s="189"/>
    </row>
    <row r="85" spans="55:55" ht="24" customHeight="1">
      <c r="BC85" s="189"/>
    </row>
    <row r="86" spans="55:55" ht="24" customHeight="1">
      <c r="BC86" s="189"/>
    </row>
    <row r="87" spans="55:55" ht="24" customHeight="1">
      <c r="BC87" s="189"/>
    </row>
    <row r="88" spans="55:55" ht="24" customHeight="1">
      <c r="BC88" s="189"/>
    </row>
    <row r="89" spans="55:55" ht="24" customHeight="1">
      <c r="BC89" s="189"/>
    </row>
    <row r="90" spans="55:55" ht="24" customHeight="1">
      <c r="BC90" s="189"/>
    </row>
    <row r="91" spans="55:55" ht="24" customHeight="1">
      <c r="BC91" s="189"/>
    </row>
    <row r="92" spans="55:55" ht="24" customHeight="1">
      <c r="BC92" s="189"/>
    </row>
    <row r="93" spans="55:55" ht="24" customHeight="1">
      <c r="BC93" s="189"/>
    </row>
    <row r="94" spans="55:55" ht="24" customHeight="1">
      <c r="BC94" s="189"/>
    </row>
    <row r="95" spans="55:55" ht="24" customHeight="1">
      <c r="BC95" s="189"/>
    </row>
    <row r="96" spans="55:55" ht="24" customHeight="1">
      <c r="BC96" s="189"/>
    </row>
    <row r="97" spans="55:55" ht="24" customHeight="1">
      <c r="BC97" s="189"/>
    </row>
    <row r="98" spans="55:55" ht="24" customHeight="1">
      <c r="BC98" s="189"/>
    </row>
    <row r="99" spans="55:55" ht="24" customHeight="1">
      <c r="BC99" s="189"/>
    </row>
    <row r="100" spans="55:55" ht="24" customHeight="1">
      <c r="BC100" s="189"/>
    </row>
    <row r="101" spans="55:55" ht="24" customHeight="1">
      <c r="BC101" s="189"/>
    </row>
    <row r="102" spans="55:55" ht="24" customHeight="1">
      <c r="BC102" s="189"/>
    </row>
    <row r="103" spans="55:55" ht="24" customHeight="1">
      <c r="BC103" s="189"/>
    </row>
    <row r="104" spans="55:55" ht="24" customHeight="1">
      <c r="BC104" s="189"/>
    </row>
    <row r="105" spans="55:55" ht="24" customHeight="1">
      <c r="BC105" s="189"/>
    </row>
    <row r="106" spans="55:55" ht="24" customHeight="1">
      <c r="BC106" s="189"/>
    </row>
    <row r="107" spans="55:55" ht="24" customHeight="1">
      <c r="BC107" s="189"/>
    </row>
    <row r="108" spans="55:55" ht="24" customHeight="1">
      <c r="BC108" s="189"/>
    </row>
    <row r="109" spans="55:55" ht="24" customHeight="1">
      <c r="BC109" s="189"/>
    </row>
    <row r="110" spans="55:55" ht="24" customHeight="1">
      <c r="BC110" s="189"/>
    </row>
    <row r="111" spans="55:55" ht="24" customHeight="1">
      <c r="BC111" s="189"/>
    </row>
    <row r="112" spans="55:55" ht="24" customHeight="1">
      <c r="BC112" s="189"/>
    </row>
    <row r="113" spans="55:55" ht="24" customHeight="1">
      <c r="BC113" s="189"/>
    </row>
    <row r="114" spans="55:55" ht="24" customHeight="1">
      <c r="BC114" s="189"/>
    </row>
    <row r="115" spans="55:55" ht="24" customHeight="1">
      <c r="BC115" s="189"/>
    </row>
    <row r="116" spans="55:55" ht="24" customHeight="1">
      <c r="BC116" s="189"/>
    </row>
    <row r="117" spans="55:55" ht="24" customHeight="1">
      <c r="BC117" s="189"/>
    </row>
    <row r="118" spans="55:55" ht="24" customHeight="1">
      <c r="BC118" s="189"/>
    </row>
    <row r="119" spans="55:55" ht="24" customHeight="1">
      <c r="BC119" s="189"/>
    </row>
    <row r="120" spans="55:55" ht="24" customHeight="1">
      <c r="BC120" s="189"/>
    </row>
    <row r="121" spans="55:55" ht="24" customHeight="1">
      <c r="BC121" s="189"/>
    </row>
    <row r="122" spans="55:55" ht="24" customHeight="1">
      <c r="BC122" s="189"/>
    </row>
    <row r="123" spans="55:55" ht="24" customHeight="1">
      <c r="BC123" s="189"/>
    </row>
    <row r="124" spans="55:55" ht="24" customHeight="1">
      <c r="BC124" s="189"/>
    </row>
    <row r="125" spans="55:55" ht="24" customHeight="1">
      <c r="BC125" s="189"/>
    </row>
    <row r="126" spans="55:55" ht="24" customHeight="1">
      <c r="BC126" s="189"/>
    </row>
    <row r="127" spans="55:55" ht="24" customHeight="1">
      <c r="BC127" s="189"/>
    </row>
    <row r="128" spans="55:55" ht="24" customHeight="1">
      <c r="BC128" s="189"/>
    </row>
    <row r="129" spans="55:55" ht="24" customHeight="1">
      <c r="BC129" s="189"/>
    </row>
    <row r="130" spans="55:55" ht="24" customHeight="1">
      <c r="BC130" s="189"/>
    </row>
    <row r="131" spans="55:55" ht="24" customHeight="1">
      <c r="BC131" s="189"/>
    </row>
    <row r="132" spans="55:55" ht="24" customHeight="1">
      <c r="BC132" s="189"/>
    </row>
    <row r="133" spans="55:55" ht="24" customHeight="1">
      <c r="BC133" s="189"/>
    </row>
    <row r="134" spans="55:55" ht="24" customHeight="1">
      <c r="BC134" s="189"/>
    </row>
    <row r="135" spans="55:55" ht="24" customHeight="1">
      <c r="BC135" s="189"/>
    </row>
    <row r="136" spans="55:55" ht="24" customHeight="1">
      <c r="BC136" s="189"/>
    </row>
    <row r="137" spans="55:55" ht="24" customHeight="1">
      <c r="BC137" s="189"/>
    </row>
    <row r="138" spans="55:55" ht="24" customHeight="1">
      <c r="BC138" s="189"/>
    </row>
    <row r="139" spans="55:55" ht="24" customHeight="1">
      <c r="BC139" s="189"/>
    </row>
    <row r="140" spans="55:55" ht="24" customHeight="1">
      <c r="BC140" s="189"/>
    </row>
    <row r="141" spans="55:55" ht="24" customHeight="1">
      <c r="BC141" s="189"/>
    </row>
    <row r="142" spans="55:55" ht="24" customHeight="1">
      <c r="BC142" s="189"/>
    </row>
    <row r="143" spans="55:55" ht="24" customHeight="1">
      <c r="BC143" s="189"/>
    </row>
    <row r="144" spans="55:55" ht="24" customHeight="1">
      <c r="BC144" s="189"/>
    </row>
    <row r="145" spans="55:55" ht="24" customHeight="1">
      <c r="BC145" s="189"/>
    </row>
    <row r="146" spans="55:55" ht="24" customHeight="1">
      <c r="BC146" s="189"/>
    </row>
    <row r="147" spans="55:55" ht="24" customHeight="1">
      <c r="BC147" s="189"/>
    </row>
    <row r="148" spans="55:55" ht="24" customHeight="1">
      <c r="BC148" s="189"/>
    </row>
    <row r="149" spans="55:55" ht="24" customHeight="1">
      <c r="BC149" s="189"/>
    </row>
    <row r="150" spans="55:55" ht="24" customHeight="1">
      <c r="BC150" s="189"/>
    </row>
    <row r="151" spans="55:55" ht="24" customHeight="1">
      <c r="BC151" s="189"/>
    </row>
    <row r="152" spans="55:55" ht="24" customHeight="1">
      <c r="BC152" s="189"/>
    </row>
    <row r="153" spans="55:55" ht="24" customHeight="1">
      <c r="BC153" s="189"/>
    </row>
    <row r="154" spans="55:55" ht="24" customHeight="1">
      <c r="BC154" s="189"/>
    </row>
    <row r="155" spans="55:55" ht="24" customHeight="1">
      <c r="BC155" s="189"/>
    </row>
    <row r="156" spans="55:55" ht="24" customHeight="1">
      <c r="BC156" s="189"/>
    </row>
    <row r="157" spans="55:55" ht="24" customHeight="1">
      <c r="BC157" s="189"/>
    </row>
    <row r="158" spans="55:55" ht="24" customHeight="1">
      <c r="BC158" s="189"/>
    </row>
    <row r="159" spans="55:55" ht="24" customHeight="1">
      <c r="BC159" s="189"/>
    </row>
    <row r="160" spans="55:55" ht="24" customHeight="1">
      <c r="BC160" s="189"/>
    </row>
    <row r="161" spans="55:55" ht="24" customHeight="1">
      <c r="BC161" s="189"/>
    </row>
    <row r="162" spans="55:55" ht="24" customHeight="1">
      <c r="BC162" s="189"/>
    </row>
    <row r="163" spans="55:55" ht="24" customHeight="1">
      <c r="BC163" s="189"/>
    </row>
    <row r="164" spans="55:55" ht="24" customHeight="1">
      <c r="BC164" s="189"/>
    </row>
    <row r="165" spans="55:55" ht="24" customHeight="1">
      <c r="BC165" s="189"/>
    </row>
    <row r="166" spans="55:55" ht="24" customHeight="1">
      <c r="BC166" s="189"/>
    </row>
    <row r="167" spans="55:55" ht="24" customHeight="1">
      <c r="BC167" s="189"/>
    </row>
    <row r="168" spans="55:55" ht="24" customHeight="1">
      <c r="BC168" s="189"/>
    </row>
    <row r="169" spans="55:55" ht="24" customHeight="1">
      <c r="BC169" s="189"/>
    </row>
    <row r="170" spans="55:55" ht="24" customHeight="1">
      <c r="BC170" s="189"/>
    </row>
    <row r="171" spans="55:55" ht="24" customHeight="1">
      <c r="BC171" s="189"/>
    </row>
    <row r="172" spans="55:55" ht="24" customHeight="1">
      <c r="BC172" s="189"/>
    </row>
    <row r="173" spans="55:55" ht="24" customHeight="1">
      <c r="BC173" s="189"/>
    </row>
    <row r="174" spans="55:55" ht="24" customHeight="1">
      <c r="BC174" s="189"/>
    </row>
    <row r="175" spans="55:55" ht="24" customHeight="1">
      <c r="BC175" s="189"/>
    </row>
    <row r="176" spans="55:55" ht="24" customHeight="1">
      <c r="BC176" s="189"/>
    </row>
    <row r="177" spans="55:55" ht="24" customHeight="1">
      <c r="BC177" s="189"/>
    </row>
    <row r="178" spans="55:55" ht="24" customHeight="1">
      <c r="BC178" s="189"/>
    </row>
    <row r="179" spans="55:55" ht="24" customHeight="1">
      <c r="BC179" s="189"/>
    </row>
    <row r="180" spans="55:55" ht="24" customHeight="1">
      <c r="BC180" s="189"/>
    </row>
    <row r="181" spans="55:55" ht="24" customHeight="1">
      <c r="BC181" s="189"/>
    </row>
    <row r="182" spans="55:55" ht="24" customHeight="1">
      <c r="BC182" s="189"/>
    </row>
    <row r="183" spans="55:55" ht="24" customHeight="1">
      <c r="BC183" s="189"/>
    </row>
    <row r="184" spans="55:55">
      <c r="BC184" s="189"/>
    </row>
    <row r="185" spans="55:55">
      <c r="BC185" s="189"/>
    </row>
    <row r="186" spans="55:55">
      <c r="BC186" s="189"/>
    </row>
    <row r="187" spans="55:55">
      <c r="BC187" s="189"/>
    </row>
    <row r="188" spans="55:55">
      <c r="BC188" s="189"/>
    </row>
    <row r="189" spans="55:55">
      <c r="BC189" s="189"/>
    </row>
    <row r="190" spans="55:55">
      <c r="BC190" s="189"/>
    </row>
    <row r="191" spans="55:55">
      <c r="BC191" s="189"/>
    </row>
    <row r="192" spans="55:55">
      <c r="BC192" s="189"/>
    </row>
    <row r="193" spans="55:55">
      <c r="BC193" s="189"/>
    </row>
    <row r="194" spans="55:55">
      <c r="BC194" s="189"/>
    </row>
    <row r="195" spans="55:55">
      <c r="BC195" s="189"/>
    </row>
    <row r="196" spans="55:55">
      <c r="BC196" s="189"/>
    </row>
    <row r="197" spans="55:55">
      <c r="BC197" s="189"/>
    </row>
    <row r="198" spans="55:55">
      <c r="BC198" s="189"/>
    </row>
    <row r="199" spans="55:55">
      <c r="BC199" s="189"/>
    </row>
    <row r="200" spans="55:55">
      <c r="BC200" s="189"/>
    </row>
    <row r="201" spans="55:55">
      <c r="BC201" s="189"/>
    </row>
    <row r="202" spans="55:55">
      <c r="BC202" s="189"/>
    </row>
    <row r="203" spans="55:55">
      <c r="BC203" s="189"/>
    </row>
    <row r="204" spans="55:55">
      <c r="BC204" s="189"/>
    </row>
    <row r="205" spans="55:55">
      <c r="BC205" s="189"/>
    </row>
    <row r="206" spans="55:55">
      <c r="BC206" s="189"/>
    </row>
    <row r="207" spans="55:55">
      <c r="BC207" s="189"/>
    </row>
    <row r="208" spans="55:55">
      <c r="BC208" s="189"/>
    </row>
    <row r="209" spans="55:55">
      <c r="BC209" s="189"/>
    </row>
    <row r="210" spans="55:55">
      <c r="BC210" s="189"/>
    </row>
    <row r="211" spans="55:55">
      <c r="BC211" s="189"/>
    </row>
    <row r="212" spans="55:55">
      <c r="BC212" s="189"/>
    </row>
    <row r="213" spans="55:55">
      <c r="BC213" s="189"/>
    </row>
    <row r="214" spans="55:55">
      <c r="BC214" s="189"/>
    </row>
    <row r="215" spans="55:55">
      <c r="BC215" s="189"/>
    </row>
    <row r="216" spans="55:55">
      <c r="BC216" s="189"/>
    </row>
    <row r="217" spans="55:55">
      <c r="BC217" s="189"/>
    </row>
    <row r="218" spans="55:55">
      <c r="BC218" s="189"/>
    </row>
    <row r="219" spans="55:55">
      <c r="BC219" s="189"/>
    </row>
    <row r="220" spans="55:55">
      <c r="BC220" s="189"/>
    </row>
    <row r="221" spans="55:55">
      <c r="BC221" s="189"/>
    </row>
    <row r="222" spans="55:55">
      <c r="BC222" s="189"/>
    </row>
    <row r="223" spans="55:55">
      <c r="BC223" s="189"/>
    </row>
    <row r="224" spans="55:55">
      <c r="BC224" s="189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D929-00BE-4E48-9397-7E646D5180C5}">
  <dimension ref="A1:BQ224"/>
  <sheetViews>
    <sheetView workbookViewId="0">
      <selection activeCell="D13" sqref="D13"/>
    </sheetView>
  </sheetViews>
  <sheetFormatPr baseColWidth="10" defaultColWidth="11.140625" defaultRowHeight="16"/>
  <cols>
    <col min="1" max="1" width="11.140625" style="47"/>
    <col min="2" max="2" width="10.42578125" style="129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5" s="3" customFormat="1">
      <c r="A1" s="1" t="s">
        <v>0</v>
      </c>
      <c r="B1" s="2"/>
      <c r="BJ1" s="4"/>
      <c r="BL1" s="4"/>
    </row>
    <row r="2" spans="1:65" s="3" customFormat="1" ht="35" thickBot="1">
      <c r="A2" s="5">
        <v>2023</v>
      </c>
      <c r="B2" s="6">
        <v>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5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5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5" ht="20" customHeight="1" thickTop="1">
      <c r="B5" s="48">
        <f>DATE($A$2,$B$2,1)</f>
        <v>45139</v>
      </c>
      <c r="C5" s="49"/>
      <c r="D5" s="50"/>
      <c r="E5" s="51">
        <v>31</v>
      </c>
      <c r="F5" s="52">
        <v>88220</v>
      </c>
      <c r="G5" s="53">
        <f t="shared" ref="G5:G35" si="0">ROUNDDOWN(F5/1.1,0)/E5</f>
        <v>2587.0967741935483</v>
      </c>
      <c r="H5" s="52">
        <v>13970</v>
      </c>
      <c r="I5" s="54">
        <f t="shared" ref="I5:I35" si="1">ROUNDDOWN(H5/1.1,0)/E5</f>
        <v>409.67741935483872</v>
      </c>
      <c r="J5" s="55">
        <f t="shared" ref="J5:J35" si="2">F5+H5</f>
        <v>102190</v>
      </c>
      <c r="K5" s="56">
        <f t="shared" ref="K5:K35" si="3">IF(E5="","",J5/E5)</f>
        <v>3296.4516129032259</v>
      </c>
      <c r="L5" s="57"/>
      <c r="M5" s="58">
        <f t="shared" ref="M5:N35" si="4">BC5-E5</f>
        <v>14</v>
      </c>
      <c r="N5" s="59">
        <f t="shared" si="4"/>
        <v>119350</v>
      </c>
      <c r="O5" s="53">
        <f t="shared" ref="O5:O35" si="5">ROUNDDOWN(N5/1.1,0)/M5</f>
        <v>7750</v>
      </c>
      <c r="P5" s="59">
        <f t="shared" ref="P5:P35" si="6">BE5-H5</f>
        <v>75830</v>
      </c>
      <c r="Q5" s="54">
        <f t="shared" ref="Q5:Q35" si="7">ROUNDDOWN(P5/1.1,0)/M5</f>
        <v>4924</v>
      </c>
      <c r="R5" s="60">
        <f t="shared" ref="R5:R35" si="8">N5+P5</f>
        <v>195180</v>
      </c>
      <c r="S5" s="56">
        <f t="shared" ref="S5:S35" si="9">IF(M5="","",R5/M5)</f>
        <v>13941.428571428571</v>
      </c>
      <c r="T5" s="61">
        <f t="shared" ref="T5:U35" si="10">E5+M5</f>
        <v>45</v>
      </c>
      <c r="U5" s="59">
        <f t="shared" si="10"/>
        <v>207570</v>
      </c>
      <c r="V5" s="59">
        <f t="shared" ref="V5:V35" si="11">H5+P5</f>
        <v>89800</v>
      </c>
      <c r="W5" s="62">
        <f t="shared" ref="W5:W35" si="12">J5+R5</f>
        <v>297370</v>
      </c>
      <c r="X5" s="59"/>
      <c r="Y5" s="63"/>
      <c r="Z5" s="64">
        <v>13</v>
      </c>
      <c r="AA5" s="52">
        <v>9820</v>
      </c>
      <c r="AB5" s="53">
        <f t="shared" ref="AB5:AB35" si="13">AA5/Z5</f>
        <v>755.38461538461536</v>
      </c>
      <c r="AC5" s="52">
        <v>3500</v>
      </c>
      <c r="AD5" s="54">
        <f t="shared" ref="AD5:AD35" si="14">AC5/Z5</f>
        <v>269.23076923076923</v>
      </c>
      <c r="AE5" s="65">
        <f t="shared" ref="AE5:AE35" si="15">AA5+AC5</f>
        <v>13320</v>
      </c>
      <c r="AF5" s="56">
        <f t="shared" ref="AF5:AF35" si="16">IF(Z5="","",AE5/Z5)</f>
        <v>1024.6153846153845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>
        <v>121</v>
      </c>
      <c r="AP5" s="64">
        <v>342</v>
      </c>
      <c r="AQ5" s="52">
        <v>997050</v>
      </c>
      <c r="AR5" s="53">
        <f t="shared" ref="AR5:AR35" si="20">AQ5/AP5</f>
        <v>2915.3508771929824</v>
      </c>
      <c r="AS5" s="52">
        <v>560500</v>
      </c>
      <c r="AT5" s="54">
        <f t="shared" ref="AT5:AT35" si="21">AS5/AP5</f>
        <v>1638.8888888888889</v>
      </c>
      <c r="AU5" s="54">
        <v>25300</v>
      </c>
      <c r="AV5" s="69">
        <f>AQ5+AS5+AU5</f>
        <v>1582850</v>
      </c>
      <c r="AW5" s="67">
        <f t="shared" ref="AW5:AW35" si="22">IF(AP5="","",AV5/AP5)</f>
        <v>4628.2163742690054</v>
      </c>
      <c r="AX5" s="70">
        <f t="shared" ref="AX5:AX35" si="23">SUM(E5,M5)</f>
        <v>45</v>
      </c>
      <c r="AY5" s="59">
        <f t="shared" ref="AY5:AY35" si="24">U5+AA5+AI5+AQ5</f>
        <v>1214440</v>
      </c>
      <c r="AZ5" s="59">
        <f t="shared" ref="AZ5:AZ35" si="25">V5+AC5+AK5+AS5</f>
        <v>653800</v>
      </c>
      <c r="BA5" s="71">
        <f t="shared" ref="BA5:BA35" si="26">W5+AE5+AM5+AV5</f>
        <v>1893540</v>
      </c>
      <c r="BB5" s="72">
        <f>BF5+BG5</f>
        <v>6050</v>
      </c>
      <c r="BC5" s="73">
        <v>45</v>
      </c>
      <c r="BD5" s="74">
        <v>207570</v>
      </c>
      <c r="BE5" s="74">
        <v>89800</v>
      </c>
      <c r="BF5" s="75">
        <v>2200</v>
      </c>
      <c r="BG5" s="75">
        <v>3850</v>
      </c>
      <c r="BH5" s="75"/>
      <c r="BI5" s="75"/>
      <c r="BJ5" s="76">
        <f>SUM(BD5:BG5)</f>
        <v>303420</v>
      </c>
      <c r="BK5" s="47">
        <v>1</v>
      </c>
      <c r="BL5" s="77">
        <f t="shared" ref="BL5:BL35" si="27">BI5+BJ5</f>
        <v>303420</v>
      </c>
    </row>
    <row r="6" spans="1:65" ht="20" customHeight="1">
      <c r="B6" s="78">
        <f t="shared" ref="B6:B35" si="28">B5+1</f>
        <v>45140</v>
      </c>
      <c r="C6" s="79"/>
      <c r="D6" s="50"/>
      <c r="E6" s="51">
        <v>33</v>
      </c>
      <c r="F6" s="52">
        <v>131560</v>
      </c>
      <c r="G6" s="53">
        <f t="shared" si="0"/>
        <v>3624.242424242424</v>
      </c>
      <c r="H6" s="52">
        <v>19820</v>
      </c>
      <c r="I6" s="54">
        <f t="shared" si="1"/>
        <v>546</v>
      </c>
      <c r="J6" s="55">
        <f t="shared" si="2"/>
        <v>151380</v>
      </c>
      <c r="K6" s="56">
        <f t="shared" si="3"/>
        <v>4587.272727272727</v>
      </c>
      <c r="L6" s="57"/>
      <c r="M6" s="58">
        <f t="shared" si="4"/>
        <v>21</v>
      </c>
      <c r="N6" s="59">
        <f t="shared" si="4"/>
        <v>186450</v>
      </c>
      <c r="O6" s="53">
        <f t="shared" si="5"/>
        <v>8071.4285714285716</v>
      </c>
      <c r="P6" s="59">
        <f t="shared" si="6"/>
        <v>58460</v>
      </c>
      <c r="Q6" s="54">
        <f t="shared" si="7"/>
        <v>2530.7142857142858</v>
      </c>
      <c r="R6" s="60">
        <f t="shared" si="8"/>
        <v>244910</v>
      </c>
      <c r="S6" s="56">
        <f t="shared" si="9"/>
        <v>11662.380952380952</v>
      </c>
      <c r="T6" s="80">
        <f t="shared" si="10"/>
        <v>54</v>
      </c>
      <c r="U6" s="59">
        <f t="shared" si="10"/>
        <v>318010</v>
      </c>
      <c r="V6" s="59">
        <f t="shared" si="11"/>
        <v>78280</v>
      </c>
      <c r="W6" s="62">
        <f t="shared" si="12"/>
        <v>396290</v>
      </c>
      <c r="X6" s="81"/>
      <c r="Y6" s="63"/>
      <c r="Z6" s="64">
        <v>27</v>
      </c>
      <c r="AA6" s="52">
        <v>20620</v>
      </c>
      <c r="AB6" s="53">
        <f t="shared" si="13"/>
        <v>763.7037037037037</v>
      </c>
      <c r="AC6" s="52">
        <v>4500</v>
      </c>
      <c r="AD6" s="54">
        <f t="shared" si="14"/>
        <v>166.66666666666666</v>
      </c>
      <c r="AE6" s="65">
        <f>AA6+AC6</f>
        <v>25120</v>
      </c>
      <c r="AF6" s="56">
        <f t="shared" si="16"/>
        <v>930.37037037037032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>
        <v>91</v>
      </c>
      <c r="AP6" s="64">
        <v>310</v>
      </c>
      <c r="AQ6" s="52">
        <v>891200</v>
      </c>
      <c r="AR6" s="53">
        <f t="shared" si="20"/>
        <v>2874.8387096774195</v>
      </c>
      <c r="AS6" s="52">
        <v>522250</v>
      </c>
      <c r="AT6" s="54">
        <f t="shared" si="21"/>
        <v>1684.6774193548388</v>
      </c>
      <c r="AU6" s="54">
        <v>14850</v>
      </c>
      <c r="AV6" s="69">
        <f t="shared" ref="AV6:AV35" si="30">AQ6+AS6+AU6</f>
        <v>1428300</v>
      </c>
      <c r="AW6" s="67">
        <f t="shared" si="22"/>
        <v>4607.4193548387093</v>
      </c>
      <c r="AX6" s="82">
        <f t="shared" si="23"/>
        <v>54</v>
      </c>
      <c r="AY6" s="59">
        <f t="shared" si="24"/>
        <v>1229830</v>
      </c>
      <c r="AZ6" s="59">
        <f t="shared" si="25"/>
        <v>605030</v>
      </c>
      <c r="BA6" s="71">
        <f t="shared" si="26"/>
        <v>1849710</v>
      </c>
      <c r="BB6" s="72">
        <f t="shared" ref="BB6:BB35" si="31">BF6+BG6</f>
        <v>12100</v>
      </c>
      <c r="BC6" s="73">
        <v>54</v>
      </c>
      <c r="BD6" s="74">
        <v>318010</v>
      </c>
      <c r="BE6" s="74">
        <v>78280</v>
      </c>
      <c r="BF6" s="75">
        <v>10450</v>
      </c>
      <c r="BG6" s="75">
        <v>1650</v>
      </c>
      <c r="BH6" s="75"/>
      <c r="BI6" s="75"/>
      <c r="BJ6" s="76">
        <f t="shared" ref="BJ6:BJ35" si="32">SUM(BD6:BG6)</f>
        <v>408390</v>
      </c>
      <c r="BK6" s="47">
        <v>2</v>
      </c>
      <c r="BL6" s="77">
        <f t="shared" si="27"/>
        <v>408390</v>
      </c>
    </row>
    <row r="7" spans="1:65" ht="20" customHeight="1">
      <c r="B7" s="78">
        <f>B6+1</f>
        <v>45141</v>
      </c>
      <c r="C7" s="79"/>
      <c r="D7" s="50"/>
      <c r="E7" s="51">
        <v>17</v>
      </c>
      <c r="F7" s="52">
        <v>62260</v>
      </c>
      <c r="G7" s="53">
        <f t="shared" si="0"/>
        <v>3329.4117647058824</v>
      </c>
      <c r="H7" s="52">
        <v>6980</v>
      </c>
      <c r="I7" s="54">
        <f t="shared" si="1"/>
        <v>373.23529411764707</v>
      </c>
      <c r="J7" s="55">
        <f t="shared" si="2"/>
        <v>69240</v>
      </c>
      <c r="K7" s="56">
        <f t="shared" si="3"/>
        <v>4072.9411764705883</v>
      </c>
      <c r="L7" s="57"/>
      <c r="M7" s="58">
        <f t="shared" si="4"/>
        <v>10</v>
      </c>
      <c r="N7" s="59">
        <f t="shared" si="4"/>
        <v>124300</v>
      </c>
      <c r="O7" s="53">
        <f t="shared" si="5"/>
        <v>11300</v>
      </c>
      <c r="P7" s="59">
        <f t="shared" si="6"/>
        <v>24070</v>
      </c>
      <c r="Q7" s="54">
        <f t="shared" si="7"/>
        <v>2188.1</v>
      </c>
      <c r="R7" s="60">
        <f t="shared" si="8"/>
        <v>148370</v>
      </c>
      <c r="S7" s="56">
        <f t="shared" si="9"/>
        <v>14837</v>
      </c>
      <c r="T7" s="80">
        <f t="shared" si="10"/>
        <v>27</v>
      </c>
      <c r="U7" s="59">
        <f t="shared" si="10"/>
        <v>186560</v>
      </c>
      <c r="V7" s="59">
        <f t="shared" si="11"/>
        <v>31050</v>
      </c>
      <c r="W7" s="62">
        <f t="shared" si="12"/>
        <v>217610</v>
      </c>
      <c r="X7" s="81"/>
      <c r="Y7" s="63"/>
      <c r="Z7" s="64">
        <v>35</v>
      </c>
      <c r="AA7" s="52">
        <v>21640</v>
      </c>
      <c r="AB7" s="53">
        <f t="shared" si="13"/>
        <v>618.28571428571433</v>
      </c>
      <c r="AC7" s="52">
        <v>3500</v>
      </c>
      <c r="AD7" s="54">
        <f t="shared" si="14"/>
        <v>100</v>
      </c>
      <c r="AE7" s="65">
        <f t="shared" si="15"/>
        <v>25140</v>
      </c>
      <c r="AF7" s="56">
        <f t="shared" si="16"/>
        <v>718.28571428571433</v>
      </c>
      <c r="AG7" s="66">
        <v>1</v>
      </c>
      <c r="AH7" s="64">
        <v>25</v>
      </c>
      <c r="AI7" s="52">
        <v>97875</v>
      </c>
      <c r="AJ7" s="53">
        <f t="shared" si="17"/>
        <v>3915</v>
      </c>
      <c r="AK7" s="52">
        <v>32625</v>
      </c>
      <c r="AL7" s="54">
        <f t="shared" si="18"/>
        <v>1305</v>
      </c>
      <c r="AM7" s="65">
        <f t="shared" si="29"/>
        <v>130500</v>
      </c>
      <c r="AN7" s="67">
        <f t="shared" si="19"/>
        <v>5220</v>
      </c>
      <c r="AO7" s="68">
        <v>106</v>
      </c>
      <c r="AP7" s="64">
        <v>316</v>
      </c>
      <c r="AQ7" s="52">
        <v>790400</v>
      </c>
      <c r="AR7" s="53">
        <f t="shared" si="20"/>
        <v>2501.2658227848101</v>
      </c>
      <c r="AS7" s="52">
        <v>442100</v>
      </c>
      <c r="AT7" s="54">
        <f t="shared" si="21"/>
        <v>1399.0506329113923</v>
      </c>
      <c r="AU7" s="54">
        <v>30250</v>
      </c>
      <c r="AV7" s="69">
        <f t="shared" si="30"/>
        <v>1262750</v>
      </c>
      <c r="AW7" s="67">
        <f t="shared" si="22"/>
        <v>3996.0443037974683</v>
      </c>
      <c r="AX7" s="82">
        <f t="shared" si="23"/>
        <v>27</v>
      </c>
      <c r="AY7" s="59">
        <f t="shared" si="24"/>
        <v>1096475</v>
      </c>
      <c r="AZ7" s="59">
        <f t="shared" si="25"/>
        <v>509275</v>
      </c>
      <c r="BA7" s="71">
        <f t="shared" si="26"/>
        <v>1636000</v>
      </c>
      <c r="BB7" s="72">
        <f t="shared" si="31"/>
        <v>3300</v>
      </c>
      <c r="BC7" s="73">
        <v>27</v>
      </c>
      <c r="BD7" s="74">
        <v>186560</v>
      </c>
      <c r="BE7" s="74">
        <v>31050</v>
      </c>
      <c r="BF7" s="75">
        <v>3300</v>
      </c>
      <c r="BG7" s="75">
        <v>0</v>
      </c>
      <c r="BH7" s="75"/>
      <c r="BI7" s="75"/>
      <c r="BJ7" s="76">
        <f t="shared" si="32"/>
        <v>220910</v>
      </c>
      <c r="BK7" s="47">
        <v>3</v>
      </c>
      <c r="BL7" s="77">
        <f t="shared" si="27"/>
        <v>220910</v>
      </c>
    </row>
    <row r="8" spans="1:65" ht="20" customHeight="1">
      <c r="B8" s="78">
        <f t="shared" si="28"/>
        <v>45142</v>
      </c>
      <c r="C8" s="79"/>
      <c r="D8" s="50"/>
      <c r="E8" s="51">
        <v>30</v>
      </c>
      <c r="F8" s="52">
        <v>114290</v>
      </c>
      <c r="G8" s="53">
        <f t="shared" si="0"/>
        <v>3463.3333333333335</v>
      </c>
      <c r="H8" s="52">
        <v>14030</v>
      </c>
      <c r="I8" s="54">
        <f t="shared" si="1"/>
        <v>425.13333333333333</v>
      </c>
      <c r="J8" s="55">
        <f t="shared" si="2"/>
        <v>128320</v>
      </c>
      <c r="K8" s="56">
        <f t="shared" si="3"/>
        <v>4277.333333333333</v>
      </c>
      <c r="L8" s="57"/>
      <c r="M8" s="58">
        <f t="shared" si="4"/>
        <v>20</v>
      </c>
      <c r="N8" s="59">
        <f t="shared" si="4"/>
        <v>199650</v>
      </c>
      <c r="O8" s="53">
        <f t="shared" si="5"/>
        <v>9075</v>
      </c>
      <c r="P8" s="59">
        <f t="shared" si="6"/>
        <v>36550</v>
      </c>
      <c r="Q8" s="54">
        <f t="shared" si="7"/>
        <v>1661.35</v>
      </c>
      <c r="R8" s="60">
        <f t="shared" si="8"/>
        <v>236200</v>
      </c>
      <c r="S8" s="56">
        <f t="shared" si="9"/>
        <v>11810</v>
      </c>
      <c r="T8" s="80">
        <f t="shared" si="10"/>
        <v>50</v>
      </c>
      <c r="U8" s="59">
        <f t="shared" si="10"/>
        <v>313940</v>
      </c>
      <c r="V8" s="59">
        <f t="shared" si="11"/>
        <v>50580</v>
      </c>
      <c r="W8" s="62">
        <f t="shared" si="12"/>
        <v>364520</v>
      </c>
      <c r="X8" s="81"/>
      <c r="Y8" s="63"/>
      <c r="Z8" s="64">
        <v>16</v>
      </c>
      <c r="AA8" s="52">
        <v>7030</v>
      </c>
      <c r="AB8" s="53">
        <f t="shared" si="13"/>
        <v>439.375</v>
      </c>
      <c r="AC8" s="52">
        <v>3500</v>
      </c>
      <c r="AD8" s="54">
        <f t="shared" si="14"/>
        <v>218.75</v>
      </c>
      <c r="AE8" s="65">
        <f t="shared" si="15"/>
        <v>10530</v>
      </c>
      <c r="AF8" s="56">
        <f t="shared" si="16"/>
        <v>658.125</v>
      </c>
      <c r="AG8" s="66">
        <v>1</v>
      </c>
      <c r="AH8" s="64">
        <v>19</v>
      </c>
      <c r="AI8" s="52">
        <v>90915</v>
      </c>
      <c r="AJ8" s="53">
        <f t="shared" si="17"/>
        <v>4785</v>
      </c>
      <c r="AK8" s="52">
        <v>24795</v>
      </c>
      <c r="AL8" s="54">
        <f t="shared" si="18"/>
        <v>1305</v>
      </c>
      <c r="AM8" s="65">
        <f t="shared" si="29"/>
        <v>115710</v>
      </c>
      <c r="AN8" s="67">
        <f t="shared" si="19"/>
        <v>6090</v>
      </c>
      <c r="AO8" s="68">
        <v>91</v>
      </c>
      <c r="AP8" s="64">
        <v>343</v>
      </c>
      <c r="AQ8" s="52">
        <v>1098200</v>
      </c>
      <c r="AR8" s="53">
        <f t="shared" si="20"/>
        <v>3201.7492711370264</v>
      </c>
      <c r="AS8" s="52">
        <v>626650</v>
      </c>
      <c r="AT8" s="54">
        <f t="shared" si="21"/>
        <v>1826.9679300291546</v>
      </c>
      <c r="AU8" s="54">
        <v>14300</v>
      </c>
      <c r="AV8" s="69">
        <f t="shared" si="30"/>
        <v>1739150</v>
      </c>
      <c r="AW8" s="67">
        <f t="shared" si="22"/>
        <v>5070.408163265306</v>
      </c>
      <c r="AX8" s="82">
        <f t="shared" si="23"/>
        <v>50</v>
      </c>
      <c r="AY8" s="59">
        <f t="shared" si="24"/>
        <v>1510085</v>
      </c>
      <c r="AZ8" s="59">
        <f t="shared" si="25"/>
        <v>705525</v>
      </c>
      <c r="BA8" s="71">
        <f t="shared" si="26"/>
        <v>2229910</v>
      </c>
      <c r="BB8" s="72">
        <f t="shared" si="31"/>
        <v>1100</v>
      </c>
      <c r="BC8" s="73">
        <v>50</v>
      </c>
      <c r="BD8" s="74">
        <v>313940</v>
      </c>
      <c r="BE8" s="74">
        <v>50580</v>
      </c>
      <c r="BF8" s="75">
        <v>1100</v>
      </c>
      <c r="BG8" s="75">
        <v>0</v>
      </c>
      <c r="BH8" s="75"/>
      <c r="BI8" s="75"/>
      <c r="BJ8" s="76">
        <f t="shared" si="32"/>
        <v>365620</v>
      </c>
      <c r="BK8" s="47">
        <v>4</v>
      </c>
      <c r="BL8" s="77">
        <f t="shared" si="27"/>
        <v>365620</v>
      </c>
    </row>
    <row r="9" spans="1:65" ht="20" customHeight="1">
      <c r="B9" s="78">
        <f t="shared" si="28"/>
        <v>45143</v>
      </c>
      <c r="C9" s="79"/>
      <c r="D9" s="50"/>
      <c r="E9" s="51">
        <v>13</v>
      </c>
      <c r="F9" s="52">
        <v>54450</v>
      </c>
      <c r="G9" s="53">
        <f t="shared" si="0"/>
        <v>3807.6923076923076</v>
      </c>
      <c r="H9" s="52">
        <v>9280</v>
      </c>
      <c r="I9" s="54">
        <f t="shared" si="1"/>
        <v>648.92307692307691</v>
      </c>
      <c r="J9" s="55">
        <f t="shared" si="2"/>
        <v>63730</v>
      </c>
      <c r="K9" s="56">
        <f t="shared" si="3"/>
        <v>4902.3076923076924</v>
      </c>
      <c r="L9" s="57"/>
      <c r="M9" s="58">
        <f t="shared" si="4"/>
        <v>26</v>
      </c>
      <c r="N9" s="59">
        <f t="shared" si="4"/>
        <v>247280</v>
      </c>
      <c r="O9" s="53">
        <f t="shared" si="5"/>
        <v>8646.1538461538457</v>
      </c>
      <c r="P9" s="59">
        <f t="shared" si="6"/>
        <v>81610</v>
      </c>
      <c r="Q9" s="54">
        <f t="shared" si="7"/>
        <v>2853.4615384615386</v>
      </c>
      <c r="R9" s="60">
        <f t="shared" si="8"/>
        <v>328890</v>
      </c>
      <c r="S9" s="56">
        <f t="shared" si="9"/>
        <v>12649.615384615385</v>
      </c>
      <c r="T9" s="80">
        <f t="shared" si="10"/>
        <v>39</v>
      </c>
      <c r="U9" s="59">
        <f t="shared" si="10"/>
        <v>301730</v>
      </c>
      <c r="V9" s="59">
        <f t="shared" si="11"/>
        <v>90890</v>
      </c>
      <c r="W9" s="62">
        <f t="shared" si="12"/>
        <v>392620</v>
      </c>
      <c r="X9" s="81"/>
      <c r="Y9" s="63"/>
      <c r="Z9" s="64">
        <v>18</v>
      </c>
      <c r="AA9" s="52">
        <v>13810</v>
      </c>
      <c r="AB9" s="53">
        <f t="shared" si="13"/>
        <v>767.22222222222217</v>
      </c>
      <c r="AC9" s="52">
        <v>1000</v>
      </c>
      <c r="AD9" s="54">
        <f t="shared" si="14"/>
        <v>55.555555555555557</v>
      </c>
      <c r="AE9" s="65">
        <f t="shared" si="15"/>
        <v>14810</v>
      </c>
      <c r="AF9" s="56">
        <f t="shared" si="16"/>
        <v>822.77777777777783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>
        <v>155</v>
      </c>
      <c r="AP9" s="64">
        <v>570</v>
      </c>
      <c r="AQ9" s="52">
        <v>1661250</v>
      </c>
      <c r="AR9" s="53">
        <f t="shared" si="20"/>
        <v>2914.4736842105262</v>
      </c>
      <c r="AS9" s="52">
        <v>912750</v>
      </c>
      <c r="AT9" s="54">
        <f t="shared" si="21"/>
        <v>1601.3157894736842</v>
      </c>
      <c r="AU9" s="54">
        <v>64350</v>
      </c>
      <c r="AV9" s="69">
        <f t="shared" si="30"/>
        <v>2638350</v>
      </c>
      <c r="AW9" s="67">
        <f>IF(AP9="","",AV9/AP9)</f>
        <v>4628.6842105263158</v>
      </c>
      <c r="AX9" s="82">
        <f t="shared" si="23"/>
        <v>39</v>
      </c>
      <c r="AY9" s="59">
        <f t="shared" si="24"/>
        <v>1976790</v>
      </c>
      <c r="AZ9" s="59">
        <f t="shared" si="25"/>
        <v>1004640</v>
      </c>
      <c r="BA9" s="71">
        <f t="shared" si="26"/>
        <v>3045780</v>
      </c>
      <c r="BB9" s="72">
        <f t="shared" si="31"/>
        <v>5500</v>
      </c>
      <c r="BC9" s="73">
        <v>39</v>
      </c>
      <c r="BD9" s="74">
        <v>301730</v>
      </c>
      <c r="BE9" s="74">
        <v>90890</v>
      </c>
      <c r="BF9" s="75">
        <v>0</v>
      </c>
      <c r="BG9" s="75">
        <v>5500</v>
      </c>
      <c r="BH9" s="75"/>
      <c r="BI9" s="75"/>
      <c r="BJ9" s="76">
        <f t="shared" si="32"/>
        <v>398120</v>
      </c>
      <c r="BK9" s="47">
        <v>5</v>
      </c>
      <c r="BL9" s="77">
        <f t="shared" si="27"/>
        <v>398120</v>
      </c>
    </row>
    <row r="10" spans="1:65" ht="20" customHeight="1">
      <c r="B10" s="78">
        <f t="shared" si="28"/>
        <v>45144</v>
      </c>
      <c r="C10" s="79"/>
      <c r="D10" s="50"/>
      <c r="E10" s="51">
        <v>25</v>
      </c>
      <c r="F10" s="52">
        <v>119020</v>
      </c>
      <c r="G10" s="53">
        <f t="shared" si="0"/>
        <v>4328</v>
      </c>
      <c r="H10" s="52">
        <v>28720</v>
      </c>
      <c r="I10" s="54">
        <f t="shared" si="1"/>
        <v>1044.3599999999999</v>
      </c>
      <c r="J10" s="55">
        <f t="shared" si="2"/>
        <v>147740</v>
      </c>
      <c r="K10" s="56">
        <f t="shared" si="3"/>
        <v>5909.6</v>
      </c>
      <c r="L10" s="57"/>
      <c r="M10" s="58">
        <f t="shared" si="4"/>
        <v>17</v>
      </c>
      <c r="N10" s="59">
        <f t="shared" si="4"/>
        <v>184910</v>
      </c>
      <c r="O10" s="53">
        <f t="shared" si="5"/>
        <v>9888.2352941176468</v>
      </c>
      <c r="P10" s="59">
        <f t="shared" si="6"/>
        <v>45240</v>
      </c>
      <c r="Q10" s="54">
        <f t="shared" si="7"/>
        <v>2419.2352941176468</v>
      </c>
      <c r="R10" s="60">
        <f t="shared" si="8"/>
        <v>230150</v>
      </c>
      <c r="S10" s="56">
        <f t="shared" si="9"/>
        <v>13538.235294117647</v>
      </c>
      <c r="T10" s="80">
        <f t="shared" si="10"/>
        <v>42</v>
      </c>
      <c r="U10" s="59">
        <f t="shared" si="10"/>
        <v>303930</v>
      </c>
      <c r="V10" s="59">
        <f t="shared" si="11"/>
        <v>73960</v>
      </c>
      <c r="W10" s="62">
        <f t="shared" si="12"/>
        <v>377890</v>
      </c>
      <c r="X10" s="81"/>
      <c r="Y10" s="63"/>
      <c r="Z10" s="64">
        <v>15</v>
      </c>
      <c r="AA10" s="52">
        <v>11100</v>
      </c>
      <c r="AB10" s="53">
        <f t="shared" si="13"/>
        <v>740</v>
      </c>
      <c r="AC10" s="52">
        <v>500</v>
      </c>
      <c r="AD10" s="54">
        <f t="shared" si="14"/>
        <v>33.333333333333336</v>
      </c>
      <c r="AE10" s="65">
        <f t="shared" si="15"/>
        <v>11600</v>
      </c>
      <c r="AF10" s="56">
        <f t="shared" si="16"/>
        <v>773.33333333333337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>
        <v>109</v>
      </c>
      <c r="AP10" s="64">
        <v>288</v>
      </c>
      <c r="AQ10" s="52">
        <v>735050</v>
      </c>
      <c r="AR10" s="53">
        <f t="shared" si="20"/>
        <v>2552.2569444444443</v>
      </c>
      <c r="AS10" s="52">
        <v>368900</v>
      </c>
      <c r="AT10" s="54">
        <f t="shared" si="21"/>
        <v>1280.9027777777778</v>
      </c>
      <c r="AU10" s="54">
        <v>3850</v>
      </c>
      <c r="AV10" s="69">
        <f t="shared" si="30"/>
        <v>1107800</v>
      </c>
      <c r="AW10" s="67">
        <f t="shared" si="22"/>
        <v>3846.5277777777778</v>
      </c>
      <c r="AX10" s="82">
        <f t="shared" si="23"/>
        <v>42</v>
      </c>
      <c r="AY10" s="59">
        <f t="shared" si="24"/>
        <v>1050080</v>
      </c>
      <c r="AZ10" s="59">
        <f t="shared" si="25"/>
        <v>443360</v>
      </c>
      <c r="BA10" s="71">
        <f t="shared" si="26"/>
        <v>1497290</v>
      </c>
      <c r="BB10" s="72">
        <f t="shared" si="31"/>
        <v>7700</v>
      </c>
      <c r="BC10" s="73">
        <v>42</v>
      </c>
      <c r="BD10" s="74">
        <v>303930</v>
      </c>
      <c r="BE10" s="74">
        <v>73960</v>
      </c>
      <c r="BF10" s="75">
        <v>3300</v>
      </c>
      <c r="BG10" s="75">
        <v>4400</v>
      </c>
      <c r="BH10" s="75"/>
      <c r="BI10" s="75"/>
      <c r="BJ10" s="76">
        <f t="shared" si="32"/>
        <v>385590</v>
      </c>
      <c r="BK10" s="47">
        <v>6</v>
      </c>
      <c r="BL10" s="77">
        <f t="shared" si="27"/>
        <v>385590</v>
      </c>
    </row>
    <row r="11" spans="1:65" ht="20" customHeight="1">
      <c r="B11" s="78">
        <f t="shared" si="28"/>
        <v>45145</v>
      </c>
      <c r="C11" s="79"/>
      <c r="D11" s="50"/>
      <c r="E11" s="51">
        <v>31</v>
      </c>
      <c r="F11" s="52">
        <v>90310</v>
      </c>
      <c r="G11" s="53">
        <f t="shared" si="0"/>
        <v>2648.3870967741937</v>
      </c>
      <c r="H11" s="52">
        <v>8800</v>
      </c>
      <c r="I11" s="54">
        <f t="shared" si="1"/>
        <v>258.06451612903226</v>
      </c>
      <c r="J11" s="55">
        <f t="shared" si="2"/>
        <v>99110</v>
      </c>
      <c r="K11" s="56">
        <f t="shared" si="3"/>
        <v>3197.0967741935483</v>
      </c>
      <c r="L11" s="57"/>
      <c r="M11" s="58">
        <f t="shared" si="4"/>
        <v>12</v>
      </c>
      <c r="N11" s="59">
        <f t="shared" si="4"/>
        <v>76560</v>
      </c>
      <c r="O11" s="53">
        <f t="shared" si="5"/>
        <v>5800</v>
      </c>
      <c r="P11" s="59">
        <f t="shared" si="6"/>
        <v>34140</v>
      </c>
      <c r="Q11" s="54">
        <f t="shared" si="7"/>
        <v>2586.3333333333335</v>
      </c>
      <c r="R11" s="60">
        <f t="shared" si="8"/>
        <v>110700</v>
      </c>
      <c r="S11" s="56">
        <f t="shared" si="9"/>
        <v>9225</v>
      </c>
      <c r="T11" s="80">
        <f t="shared" si="10"/>
        <v>43</v>
      </c>
      <c r="U11" s="59">
        <f t="shared" si="10"/>
        <v>166870</v>
      </c>
      <c r="V11" s="59">
        <f t="shared" si="11"/>
        <v>42940</v>
      </c>
      <c r="W11" s="62">
        <f t="shared" si="12"/>
        <v>209810</v>
      </c>
      <c r="X11" s="81"/>
      <c r="Y11" s="63"/>
      <c r="Z11" s="64">
        <v>25</v>
      </c>
      <c r="AA11" s="52">
        <v>17650</v>
      </c>
      <c r="AB11" s="53">
        <f t="shared" si="13"/>
        <v>706</v>
      </c>
      <c r="AC11" s="52">
        <v>0</v>
      </c>
      <c r="AD11" s="54">
        <f t="shared" si="14"/>
        <v>0</v>
      </c>
      <c r="AE11" s="65">
        <f t="shared" si="15"/>
        <v>17650</v>
      </c>
      <c r="AF11" s="56">
        <f t="shared" si="16"/>
        <v>706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>
        <v>118</v>
      </c>
      <c r="AP11" s="64">
        <v>322</v>
      </c>
      <c r="AQ11" s="52">
        <v>941600</v>
      </c>
      <c r="AR11" s="53">
        <f t="shared" si="20"/>
        <v>2924.2236024844719</v>
      </c>
      <c r="AS11" s="52">
        <v>478900</v>
      </c>
      <c r="AT11" s="54">
        <f t="shared" si="21"/>
        <v>1487.2670807453417</v>
      </c>
      <c r="AU11" s="54">
        <v>20900</v>
      </c>
      <c r="AV11" s="69">
        <f t="shared" si="30"/>
        <v>1441400</v>
      </c>
      <c r="AW11" s="67">
        <f t="shared" si="22"/>
        <v>4476.3975155279504</v>
      </c>
      <c r="AX11" s="82">
        <f t="shared" si="23"/>
        <v>43</v>
      </c>
      <c r="AY11" s="59">
        <f t="shared" si="24"/>
        <v>1126120</v>
      </c>
      <c r="AZ11" s="59">
        <f t="shared" si="25"/>
        <v>521840</v>
      </c>
      <c r="BA11" s="71">
        <f t="shared" si="26"/>
        <v>1668860</v>
      </c>
      <c r="BB11" s="72">
        <f t="shared" si="31"/>
        <v>4950</v>
      </c>
      <c r="BC11" s="73">
        <v>43</v>
      </c>
      <c r="BD11" s="74">
        <v>166870</v>
      </c>
      <c r="BE11" s="74">
        <v>42940</v>
      </c>
      <c r="BF11" s="75">
        <v>4950</v>
      </c>
      <c r="BG11" s="75"/>
      <c r="BH11" s="75"/>
      <c r="BI11" s="75"/>
      <c r="BJ11" s="76">
        <f t="shared" si="32"/>
        <v>214760</v>
      </c>
      <c r="BK11" s="47">
        <v>7</v>
      </c>
      <c r="BL11" s="77">
        <f t="shared" si="27"/>
        <v>214760</v>
      </c>
    </row>
    <row r="12" spans="1:65" ht="20" customHeight="1">
      <c r="B12" s="78">
        <f t="shared" si="28"/>
        <v>45146</v>
      </c>
      <c r="C12" s="83"/>
      <c r="D12" s="50"/>
      <c r="E12" s="51">
        <v>36</v>
      </c>
      <c r="F12" s="52">
        <v>152240</v>
      </c>
      <c r="G12" s="53">
        <f t="shared" si="0"/>
        <v>3844.4444444444443</v>
      </c>
      <c r="H12" s="52">
        <v>24750</v>
      </c>
      <c r="I12" s="54">
        <f t="shared" si="1"/>
        <v>625</v>
      </c>
      <c r="J12" s="55">
        <f t="shared" si="2"/>
        <v>176990</v>
      </c>
      <c r="K12" s="56">
        <f t="shared" si="3"/>
        <v>4916.3888888888887</v>
      </c>
      <c r="L12" s="57"/>
      <c r="M12" s="58">
        <f t="shared" si="4"/>
        <v>17</v>
      </c>
      <c r="N12" s="59">
        <f t="shared" si="4"/>
        <v>144320</v>
      </c>
      <c r="O12" s="53">
        <f t="shared" si="5"/>
        <v>7717.6470588235297</v>
      </c>
      <c r="P12" s="59">
        <f t="shared" si="6"/>
        <v>11490</v>
      </c>
      <c r="Q12" s="84">
        <f t="shared" si="7"/>
        <v>614.41176470588232</v>
      </c>
      <c r="R12" s="60">
        <f t="shared" si="8"/>
        <v>155810</v>
      </c>
      <c r="S12" s="56">
        <f t="shared" si="9"/>
        <v>9165.2941176470595</v>
      </c>
      <c r="T12" s="80">
        <f t="shared" si="10"/>
        <v>53</v>
      </c>
      <c r="U12" s="59">
        <f t="shared" si="10"/>
        <v>296560</v>
      </c>
      <c r="V12" s="59">
        <f t="shared" si="11"/>
        <v>36240</v>
      </c>
      <c r="W12" s="62">
        <f t="shared" si="12"/>
        <v>332800</v>
      </c>
      <c r="X12" s="81"/>
      <c r="Y12" s="63"/>
      <c r="Z12" s="64">
        <v>10</v>
      </c>
      <c r="AA12" s="52">
        <v>7080</v>
      </c>
      <c r="AB12" s="53">
        <f t="shared" si="13"/>
        <v>708</v>
      </c>
      <c r="AC12" s="52">
        <v>0</v>
      </c>
      <c r="AD12" s="54">
        <f t="shared" si="14"/>
        <v>0</v>
      </c>
      <c r="AE12" s="65">
        <f t="shared" si="15"/>
        <v>7080</v>
      </c>
      <c r="AF12" s="56">
        <f t="shared" si="16"/>
        <v>708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9"/>
        <v>0</v>
      </c>
      <c r="AN12" s="67" t="str">
        <f t="shared" si="19"/>
        <v/>
      </c>
      <c r="AO12" s="68">
        <v>84</v>
      </c>
      <c r="AP12" s="64">
        <v>376</v>
      </c>
      <c r="AQ12" s="52">
        <v>1277000</v>
      </c>
      <c r="AR12" s="53">
        <f t="shared" si="20"/>
        <v>3396.2765957446809</v>
      </c>
      <c r="AS12" s="52">
        <v>652650</v>
      </c>
      <c r="AT12" s="54">
        <f t="shared" si="21"/>
        <v>1735.7712765957447</v>
      </c>
      <c r="AU12" s="54">
        <v>25300</v>
      </c>
      <c r="AV12" s="69">
        <f t="shared" si="30"/>
        <v>1954950</v>
      </c>
      <c r="AW12" s="67">
        <f t="shared" si="22"/>
        <v>5199.3351063829787</v>
      </c>
      <c r="AX12" s="82">
        <f t="shared" si="23"/>
        <v>53</v>
      </c>
      <c r="AY12" s="59">
        <f t="shared" si="24"/>
        <v>1580640</v>
      </c>
      <c r="AZ12" s="59">
        <f t="shared" si="25"/>
        <v>688890</v>
      </c>
      <c r="BA12" s="71">
        <f t="shared" si="26"/>
        <v>2294830</v>
      </c>
      <c r="BB12" s="72">
        <f t="shared" si="31"/>
        <v>11000</v>
      </c>
      <c r="BC12" s="73">
        <v>53</v>
      </c>
      <c r="BD12" s="74">
        <v>296560</v>
      </c>
      <c r="BE12" s="74">
        <v>36240</v>
      </c>
      <c r="BF12" s="75">
        <v>8800</v>
      </c>
      <c r="BG12" s="75">
        <v>2200</v>
      </c>
      <c r="BH12" s="75"/>
      <c r="BI12" s="75"/>
      <c r="BJ12" s="76">
        <f t="shared" si="32"/>
        <v>343800</v>
      </c>
      <c r="BK12" s="47">
        <v>8</v>
      </c>
      <c r="BL12" s="77">
        <f t="shared" si="27"/>
        <v>343800</v>
      </c>
    </row>
    <row r="13" spans="1:65" ht="20" customHeight="1">
      <c r="B13" s="78">
        <f t="shared" si="28"/>
        <v>45147</v>
      </c>
      <c r="C13" s="79"/>
      <c r="D13" s="50"/>
      <c r="E13" s="51">
        <v>33</v>
      </c>
      <c r="F13" s="52">
        <v>128590</v>
      </c>
      <c r="G13" s="53">
        <f t="shared" si="0"/>
        <v>3542.4242424242425</v>
      </c>
      <c r="H13" s="52">
        <v>11080</v>
      </c>
      <c r="I13" s="54">
        <f t="shared" si="1"/>
        <v>305.21212121212119</v>
      </c>
      <c r="J13" s="55">
        <f t="shared" si="2"/>
        <v>139670</v>
      </c>
      <c r="K13" s="56">
        <f t="shared" si="3"/>
        <v>4232.424242424242</v>
      </c>
      <c r="L13" s="57"/>
      <c r="M13" s="58">
        <f t="shared" si="4"/>
        <v>16</v>
      </c>
      <c r="N13" s="59">
        <f t="shared" si="4"/>
        <v>137860</v>
      </c>
      <c r="O13" s="53">
        <f t="shared" si="5"/>
        <v>7832.9375</v>
      </c>
      <c r="P13" s="59">
        <f t="shared" si="6"/>
        <v>40690</v>
      </c>
      <c r="Q13" s="54">
        <f t="shared" si="7"/>
        <v>2311.875</v>
      </c>
      <c r="R13" s="60">
        <f t="shared" si="8"/>
        <v>178550</v>
      </c>
      <c r="S13" s="56">
        <f t="shared" si="9"/>
        <v>11159.375</v>
      </c>
      <c r="T13" s="80">
        <f t="shared" si="10"/>
        <v>49</v>
      </c>
      <c r="U13" s="59">
        <f t="shared" si="10"/>
        <v>266450</v>
      </c>
      <c r="V13" s="59">
        <f t="shared" si="11"/>
        <v>51770</v>
      </c>
      <c r="W13" s="62">
        <f t="shared" si="12"/>
        <v>318220</v>
      </c>
      <c r="X13" s="81"/>
      <c r="Y13" s="63"/>
      <c r="Z13" s="64">
        <v>15</v>
      </c>
      <c r="AA13" s="52">
        <v>9890</v>
      </c>
      <c r="AB13" s="53">
        <f t="shared" si="13"/>
        <v>659.33333333333337</v>
      </c>
      <c r="AC13" s="52">
        <v>4400</v>
      </c>
      <c r="AD13" s="54">
        <f t="shared" si="14"/>
        <v>293.33333333333331</v>
      </c>
      <c r="AE13" s="65">
        <f t="shared" si="15"/>
        <v>14290</v>
      </c>
      <c r="AF13" s="56">
        <f t="shared" si="16"/>
        <v>952.66666666666663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9"/>
        <v>0</v>
      </c>
      <c r="AN13" s="67" t="str">
        <f t="shared" si="19"/>
        <v/>
      </c>
      <c r="AO13" s="68">
        <v>85</v>
      </c>
      <c r="AP13" s="64">
        <v>391</v>
      </c>
      <c r="AQ13" s="52">
        <v>1076850</v>
      </c>
      <c r="AR13" s="53">
        <f t="shared" si="20"/>
        <v>2754.0920716112532</v>
      </c>
      <c r="AS13" s="52">
        <v>577750</v>
      </c>
      <c r="AT13" s="54">
        <f t="shared" si="21"/>
        <v>1477.6214833759591</v>
      </c>
      <c r="AU13" s="54">
        <v>30800</v>
      </c>
      <c r="AV13" s="69">
        <f>AQ13+AS13+AU13</f>
        <v>1685400</v>
      </c>
      <c r="AW13" s="67">
        <f t="shared" si="22"/>
        <v>4310.4859335038363</v>
      </c>
      <c r="AX13" s="82">
        <f t="shared" si="23"/>
        <v>49</v>
      </c>
      <c r="AY13" s="59">
        <f t="shared" si="24"/>
        <v>1353190</v>
      </c>
      <c r="AZ13" s="59">
        <f t="shared" si="25"/>
        <v>633920</v>
      </c>
      <c r="BA13" s="71">
        <f t="shared" si="26"/>
        <v>2017910</v>
      </c>
      <c r="BB13" s="72">
        <f t="shared" si="31"/>
        <v>5500</v>
      </c>
      <c r="BC13" s="73">
        <v>49</v>
      </c>
      <c r="BD13" s="74">
        <v>266450</v>
      </c>
      <c r="BE13" s="74">
        <v>51770</v>
      </c>
      <c r="BF13" s="75">
        <v>2750</v>
      </c>
      <c r="BG13" s="75">
        <v>2750</v>
      </c>
      <c r="BH13" s="75"/>
      <c r="BI13" s="75"/>
      <c r="BJ13" s="76">
        <f t="shared" si="32"/>
        <v>323720</v>
      </c>
      <c r="BK13" s="47">
        <v>9</v>
      </c>
      <c r="BL13" s="77">
        <f t="shared" si="27"/>
        <v>323720</v>
      </c>
    </row>
    <row r="14" spans="1:65" ht="20" customHeight="1">
      <c r="B14" s="78">
        <f t="shared" si="28"/>
        <v>45148</v>
      </c>
      <c r="C14" s="79"/>
      <c r="D14" s="50"/>
      <c r="E14" s="51">
        <v>19</v>
      </c>
      <c r="F14" s="52">
        <v>73700</v>
      </c>
      <c r="G14" s="53">
        <f t="shared" si="0"/>
        <v>3526.3157894736842</v>
      </c>
      <c r="H14" s="52">
        <v>9270</v>
      </c>
      <c r="I14" s="54">
        <f t="shared" si="1"/>
        <v>443.5263157894737</v>
      </c>
      <c r="J14" s="55">
        <f t="shared" si="2"/>
        <v>82970</v>
      </c>
      <c r="K14" s="56">
        <f t="shared" si="3"/>
        <v>4366.8421052631575</v>
      </c>
      <c r="L14" s="57"/>
      <c r="M14" s="58">
        <f t="shared" si="4"/>
        <v>11</v>
      </c>
      <c r="N14" s="59">
        <f t="shared" si="4"/>
        <v>89540</v>
      </c>
      <c r="O14" s="53">
        <f t="shared" si="5"/>
        <v>7400</v>
      </c>
      <c r="P14" s="59">
        <f t="shared" si="6"/>
        <v>17240</v>
      </c>
      <c r="Q14" s="54">
        <f t="shared" si="7"/>
        <v>1424.7272727272727</v>
      </c>
      <c r="R14" s="60">
        <f t="shared" si="8"/>
        <v>106780</v>
      </c>
      <c r="S14" s="56">
        <f t="shared" si="9"/>
        <v>9707.2727272727279</v>
      </c>
      <c r="T14" s="80">
        <f t="shared" si="10"/>
        <v>30</v>
      </c>
      <c r="U14" s="59">
        <f t="shared" si="10"/>
        <v>163240</v>
      </c>
      <c r="V14" s="59">
        <f t="shared" si="11"/>
        <v>26510</v>
      </c>
      <c r="W14" s="62">
        <f t="shared" si="12"/>
        <v>189750</v>
      </c>
      <c r="X14" s="81"/>
      <c r="Y14" s="63"/>
      <c r="Z14" s="64">
        <v>19</v>
      </c>
      <c r="AA14" s="52">
        <v>11130</v>
      </c>
      <c r="AB14" s="53">
        <f t="shared" si="13"/>
        <v>585.78947368421052</v>
      </c>
      <c r="AC14" s="52">
        <v>7250</v>
      </c>
      <c r="AD14" s="54">
        <f t="shared" si="14"/>
        <v>381.57894736842104</v>
      </c>
      <c r="AE14" s="65">
        <f t="shared" si="15"/>
        <v>18380</v>
      </c>
      <c r="AF14" s="56">
        <f t="shared" si="16"/>
        <v>967.36842105263156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>
        <v>101</v>
      </c>
      <c r="AP14" s="64">
        <v>441</v>
      </c>
      <c r="AQ14" s="52">
        <v>1244400</v>
      </c>
      <c r="AR14" s="53">
        <f t="shared" si="20"/>
        <v>2821.7687074829932</v>
      </c>
      <c r="AS14" s="52">
        <v>662400</v>
      </c>
      <c r="AT14" s="54">
        <f t="shared" si="21"/>
        <v>1502.0408163265306</v>
      </c>
      <c r="AU14" s="54">
        <v>15950</v>
      </c>
      <c r="AV14" s="69">
        <f t="shared" si="30"/>
        <v>1922750</v>
      </c>
      <c r="AW14" s="67">
        <f t="shared" si="22"/>
        <v>4359.9773242630381</v>
      </c>
      <c r="AX14" s="82">
        <f t="shared" si="23"/>
        <v>30</v>
      </c>
      <c r="AY14" s="59">
        <f t="shared" si="24"/>
        <v>1418770</v>
      </c>
      <c r="AZ14" s="59">
        <f t="shared" si="25"/>
        <v>696160</v>
      </c>
      <c r="BA14" s="71">
        <f t="shared" si="26"/>
        <v>2130880</v>
      </c>
      <c r="BB14" s="72">
        <f t="shared" si="31"/>
        <v>1100</v>
      </c>
      <c r="BC14" s="73">
        <v>30</v>
      </c>
      <c r="BD14" s="74">
        <v>163240</v>
      </c>
      <c r="BE14" s="74">
        <v>26510</v>
      </c>
      <c r="BF14" s="75">
        <v>1100</v>
      </c>
      <c r="BG14" s="75"/>
      <c r="BH14" s="75"/>
      <c r="BI14" s="75"/>
      <c r="BJ14" s="76">
        <f t="shared" si="32"/>
        <v>190850</v>
      </c>
      <c r="BK14" s="47">
        <v>10</v>
      </c>
      <c r="BL14" s="77">
        <f t="shared" si="27"/>
        <v>190850</v>
      </c>
    </row>
    <row r="15" spans="1:65" ht="20" customHeight="1">
      <c r="B15" s="78">
        <f t="shared" si="28"/>
        <v>45149</v>
      </c>
      <c r="C15" s="83" t="s">
        <v>98</v>
      </c>
      <c r="D15" s="50"/>
      <c r="E15" s="51">
        <v>31</v>
      </c>
      <c r="F15" s="52">
        <v>165110</v>
      </c>
      <c r="G15" s="53">
        <f t="shared" si="0"/>
        <v>4841.9354838709678</v>
      </c>
      <c r="H15" s="52">
        <v>20590</v>
      </c>
      <c r="I15" s="54">
        <f t="shared" si="1"/>
        <v>603.80645161290317</v>
      </c>
      <c r="J15" s="55">
        <f t="shared" si="2"/>
        <v>185700</v>
      </c>
      <c r="K15" s="56">
        <f t="shared" si="3"/>
        <v>5990.322580645161</v>
      </c>
      <c r="L15" s="57"/>
      <c r="M15" s="58">
        <f t="shared" si="4"/>
        <v>26</v>
      </c>
      <c r="N15" s="59">
        <f t="shared" si="4"/>
        <v>231880</v>
      </c>
      <c r="O15" s="53">
        <f t="shared" si="5"/>
        <v>8107.6923076923076</v>
      </c>
      <c r="P15" s="59">
        <f t="shared" si="6"/>
        <v>38680</v>
      </c>
      <c r="Q15" s="54">
        <f t="shared" si="7"/>
        <v>1352.4230769230769</v>
      </c>
      <c r="R15" s="60">
        <f t="shared" si="8"/>
        <v>270560</v>
      </c>
      <c r="S15" s="56">
        <f t="shared" si="9"/>
        <v>10406.153846153846</v>
      </c>
      <c r="T15" s="80">
        <f t="shared" si="10"/>
        <v>57</v>
      </c>
      <c r="U15" s="59">
        <f t="shared" si="10"/>
        <v>396990</v>
      </c>
      <c r="V15" s="59">
        <f t="shared" si="11"/>
        <v>59270</v>
      </c>
      <c r="W15" s="62">
        <f t="shared" si="12"/>
        <v>456260</v>
      </c>
      <c r="X15" s="81"/>
      <c r="Y15" s="63"/>
      <c r="Z15" s="64">
        <v>34</v>
      </c>
      <c r="AA15" s="52">
        <v>22500</v>
      </c>
      <c r="AB15" s="53">
        <f t="shared" si="13"/>
        <v>661.76470588235293</v>
      </c>
      <c r="AC15" s="52">
        <v>2500</v>
      </c>
      <c r="AD15" s="54">
        <f t="shared" si="14"/>
        <v>73.529411764705884</v>
      </c>
      <c r="AE15" s="65">
        <f t="shared" si="15"/>
        <v>25000</v>
      </c>
      <c r="AF15" s="56">
        <f t="shared" si="16"/>
        <v>735.29411764705878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>
        <v>162</v>
      </c>
      <c r="AP15" s="64">
        <v>447</v>
      </c>
      <c r="AQ15" s="52">
        <v>1408500</v>
      </c>
      <c r="AR15" s="53">
        <f t="shared" si="20"/>
        <v>3151.0067114093958</v>
      </c>
      <c r="AS15" s="52">
        <v>788400</v>
      </c>
      <c r="AT15" s="54">
        <f t="shared" si="21"/>
        <v>1763.7583892617449</v>
      </c>
      <c r="AU15" s="54">
        <v>30250</v>
      </c>
      <c r="AV15" s="69">
        <f t="shared" si="30"/>
        <v>2227150</v>
      </c>
      <c r="AW15" s="67">
        <f t="shared" si="22"/>
        <v>4982.4384787472036</v>
      </c>
      <c r="AX15" s="82">
        <f t="shared" si="23"/>
        <v>57</v>
      </c>
      <c r="AY15" s="59">
        <f t="shared" si="24"/>
        <v>1827990</v>
      </c>
      <c r="AZ15" s="59">
        <f t="shared" si="25"/>
        <v>850170</v>
      </c>
      <c r="BA15" s="71">
        <f t="shared" si="26"/>
        <v>2708410</v>
      </c>
      <c r="BB15" s="72">
        <f t="shared" si="31"/>
        <v>15950</v>
      </c>
      <c r="BC15" s="73">
        <v>57</v>
      </c>
      <c r="BD15" s="74">
        <v>396990</v>
      </c>
      <c r="BE15" s="74">
        <v>59270</v>
      </c>
      <c r="BF15" s="75">
        <v>9900</v>
      </c>
      <c r="BG15" s="75">
        <v>6050</v>
      </c>
      <c r="BH15" s="75"/>
      <c r="BI15" s="75"/>
      <c r="BJ15" s="76">
        <f t="shared" si="32"/>
        <v>472210</v>
      </c>
      <c r="BK15" s="47">
        <v>11</v>
      </c>
      <c r="BL15" s="77">
        <f t="shared" si="27"/>
        <v>472210</v>
      </c>
    </row>
    <row r="16" spans="1:65" ht="20" customHeight="1">
      <c r="B16" s="78">
        <f t="shared" si="28"/>
        <v>45150</v>
      </c>
      <c r="C16" s="79"/>
      <c r="D16" s="50"/>
      <c r="E16" s="51">
        <v>19</v>
      </c>
      <c r="F16" s="52">
        <v>70070</v>
      </c>
      <c r="G16" s="53">
        <f t="shared" si="0"/>
        <v>3352.6315789473683</v>
      </c>
      <c r="H16" s="52">
        <v>20970</v>
      </c>
      <c r="I16" s="54">
        <f t="shared" si="1"/>
        <v>1003.3157894736842</v>
      </c>
      <c r="J16" s="55">
        <f t="shared" si="2"/>
        <v>91040</v>
      </c>
      <c r="K16" s="56">
        <f t="shared" si="3"/>
        <v>4791.5789473684208</v>
      </c>
      <c r="L16" s="57"/>
      <c r="M16" s="58">
        <f t="shared" si="4"/>
        <v>30</v>
      </c>
      <c r="N16" s="59">
        <f t="shared" si="4"/>
        <v>232940</v>
      </c>
      <c r="O16" s="53">
        <f t="shared" si="5"/>
        <v>7058.7666666666664</v>
      </c>
      <c r="P16" s="59">
        <f t="shared" si="6"/>
        <v>71720</v>
      </c>
      <c r="Q16" s="54">
        <f t="shared" si="7"/>
        <v>2173.3333333333335</v>
      </c>
      <c r="R16" s="60">
        <f t="shared" si="8"/>
        <v>304660</v>
      </c>
      <c r="S16" s="56">
        <f t="shared" si="9"/>
        <v>10155.333333333334</v>
      </c>
      <c r="T16" s="80">
        <f t="shared" si="10"/>
        <v>49</v>
      </c>
      <c r="U16" s="59">
        <f t="shared" si="10"/>
        <v>303010</v>
      </c>
      <c r="V16" s="59">
        <f t="shared" si="11"/>
        <v>92690</v>
      </c>
      <c r="W16" s="62">
        <f t="shared" si="12"/>
        <v>395700</v>
      </c>
      <c r="X16" s="81"/>
      <c r="Y16" s="63"/>
      <c r="Z16" s="64">
        <v>40</v>
      </c>
      <c r="AA16" s="52">
        <v>27430</v>
      </c>
      <c r="AB16" s="53">
        <f t="shared" si="13"/>
        <v>685.75</v>
      </c>
      <c r="AC16" s="52">
        <v>9350</v>
      </c>
      <c r="AD16" s="54">
        <f t="shared" si="14"/>
        <v>233.75</v>
      </c>
      <c r="AE16" s="65">
        <f t="shared" si="15"/>
        <v>36780</v>
      </c>
      <c r="AF16" s="56">
        <f t="shared" si="16"/>
        <v>919.5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9"/>
        <v>0</v>
      </c>
      <c r="AN16" s="67" t="str">
        <f t="shared" si="19"/>
        <v/>
      </c>
      <c r="AO16" s="68">
        <v>177</v>
      </c>
      <c r="AP16" s="64">
        <v>505</v>
      </c>
      <c r="AQ16" s="52">
        <v>1494050</v>
      </c>
      <c r="AR16" s="53">
        <f t="shared" si="20"/>
        <v>2958.5148514851485</v>
      </c>
      <c r="AS16" s="52">
        <v>825500</v>
      </c>
      <c r="AT16" s="54">
        <f t="shared" si="21"/>
        <v>1634.6534653465346</v>
      </c>
      <c r="AU16" s="54">
        <v>7150</v>
      </c>
      <c r="AV16" s="69">
        <f t="shared" si="30"/>
        <v>2326700</v>
      </c>
      <c r="AW16" s="67">
        <f t="shared" si="22"/>
        <v>4607.3267326732675</v>
      </c>
      <c r="AX16" s="82">
        <f t="shared" si="23"/>
        <v>49</v>
      </c>
      <c r="AY16" s="59">
        <f t="shared" si="24"/>
        <v>1824490</v>
      </c>
      <c r="AZ16" s="59">
        <f t="shared" si="25"/>
        <v>927540</v>
      </c>
      <c r="BA16" s="71">
        <f t="shared" si="26"/>
        <v>2759180</v>
      </c>
      <c r="BB16" s="72">
        <f t="shared" si="31"/>
        <v>5500</v>
      </c>
      <c r="BC16" s="73">
        <v>49</v>
      </c>
      <c r="BD16" s="74">
        <v>303010</v>
      </c>
      <c r="BE16" s="74">
        <v>92690</v>
      </c>
      <c r="BF16" s="75">
        <v>3300</v>
      </c>
      <c r="BG16" s="75">
        <v>2200</v>
      </c>
      <c r="BH16" s="75"/>
      <c r="BI16" s="75">
        <f>12760*0.8</f>
        <v>10208</v>
      </c>
      <c r="BJ16" s="76">
        <f t="shared" si="32"/>
        <v>401200</v>
      </c>
      <c r="BK16" s="47">
        <v>12</v>
      </c>
      <c r="BL16" s="77">
        <f t="shared" si="27"/>
        <v>411408</v>
      </c>
      <c r="BM16" s="47" t="s">
        <v>99</v>
      </c>
    </row>
    <row r="17" spans="2:64" ht="20" customHeight="1">
      <c r="B17" s="78">
        <f t="shared" si="28"/>
        <v>45151</v>
      </c>
      <c r="C17" s="83"/>
      <c r="D17" s="50"/>
      <c r="E17" s="51">
        <v>14</v>
      </c>
      <c r="F17" s="52">
        <v>60720</v>
      </c>
      <c r="G17" s="53">
        <f t="shared" si="0"/>
        <v>3942.8571428571427</v>
      </c>
      <c r="H17" s="52">
        <v>3660</v>
      </c>
      <c r="I17" s="54">
        <f t="shared" si="1"/>
        <v>237.64285714285714</v>
      </c>
      <c r="J17" s="55">
        <f t="shared" si="2"/>
        <v>64380</v>
      </c>
      <c r="K17" s="56">
        <f t="shared" si="3"/>
        <v>4598.5714285714284</v>
      </c>
      <c r="L17" s="57"/>
      <c r="M17" s="58">
        <f t="shared" si="4"/>
        <v>19</v>
      </c>
      <c r="N17" s="59">
        <f t="shared" si="4"/>
        <v>174570</v>
      </c>
      <c r="O17" s="53">
        <f t="shared" si="5"/>
        <v>8352.6315789473683</v>
      </c>
      <c r="P17" s="59">
        <f t="shared" si="6"/>
        <v>25820</v>
      </c>
      <c r="Q17" s="54">
        <f t="shared" si="7"/>
        <v>1235.3684210526317</v>
      </c>
      <c r="R17" s="60">
        <f t="shared" si="8"/>
        <v>200390</v>
      </c>
      <c r="S17" s="56">
        <f t="shared" si="9"/>
        <v>10546.842105263158</v>
      </c>
      <c r="T17" s="80">
        <f t="shared" si="10"/>
        <v>33</v>
      </c>
      <c r="U17" s="59">
        <f t="shared" si="10"/>
        <v>235290</v>
      </c>
      <c r="V17" s="59">
        <f t="shared" si="11"/>
        <v>29480</v>
      </c>
      <c r="W17" s="62">
        <f t="shared" si="12"/>
        <v>264770</v>
      </c>
      <c r="X17" s="81"/>
      <c r="Y17" s="63"/>
      <c r="Z17" s="64">
        <v>18</v>
      </c>
      <c r="AA17" s="52">
        <v>13560</v>
      </c>
      <c r="AB17" s="53">
        <f t="shared" si="13"/>
        <v>753.33333333333337</v>
      </c>
      <c r="AC17" s="52">
        <v>8000</v>
      </c>
      <c r="AD17" s="54">
        <f t="shared" si="14"/>
        <v>444.44444444444446</v>
      </c>
      <c r="AE17" s="65">
        <f t="shared" si="15"/>
        <v>21560</v>
      </c>
      <c r="AF17" s="56">
        <f t="shared" si="16"/>
        <v>1197.7777777777778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9"/>
        <v>0</v>
      </c>
      <c r="AN17" s="67" t="str">
        <f t="shared" si="19"/>
        <v/>
      </c>
      <c r="AO17" s="68">
        <v>195</v>
      </c>
      <c r="AP17" s="64">
        <v>527</v>
      </c>
      <c r="AQ17" s="52">
        <v>1473850</v>
      </c>
      <c r="AR17" s="53">
        <f t="shared" si="20"/>
        <v>2796.6793168880454</v>
      </c>
      <c r="AS17" s="52">
        <v>799500</v>
      </c>
      <c r="AT17" s="54">
        <f t="shared" si="21"/>
        <v>1517.07779886148</v>
      </c>
      <c r="AU17" s="54">
        <v>11000</v>
      </c>
      <c r="AV17" s="69">
        <f t="shared" si="30"/>
        <v>2284350</v>
      </c>
      <c r="AW17" s="67">
        <f t="shared" si="22"/>
        <v>4334.6299810246683</v>
      </c>
      <c r="AX17" s="82">
        <f t="shared" si="23"/>
        <v>33</v>
      </c>
      <c r="AY17" s="59">
        <f t="shared" si="24"/>
        <v>1722700</v>
      </c>
      <c r="AZ17" s="59">
        <f t="shared" si="25"/>
        <v>836980</v>
      </c>
      <c r="BA17" s="71">
        <f t="shared" si="26"/>
        <v>2570680</v>
      </c>
      <c r="BB17" s="72">
        <f t="shared" si="31"/>
        <v>8800</v>
      </c>
      <c r="BC17" s="73">
        <v>33</v>
      </c>
      <c r="BD17" s="74">
        <v>235290</v>
      </c>
      <c r="BE17" s="74">
        <v>29480</v>
      </c>
      <c r="BF17" s="75">
        <v>8800</v>
      </c>
      <c r="BG17" s="75"/>
      <c r="BH17" s="75"/>
      <c r="BI17" s="75"/>
      <c r="BJ17" s="76">
        <f t="shared" si="32"/>
        <v>273570</v>
      </c>
      <c r="BK17" s="47">
        <v>13</v>
      </c>
      <c r="BL17" s="77">
        <f t="shared" si="27"/>
        <v>273570</v>
      </c>
    </row>
    <row r="18" spans="2:64" ht="20" customHeight="1">
      <c r="B18" s="78">
        <f t="shared" si="28"/>
        <v>45152</v>
      </c>
      <c r="C18" s="79"/>
      <c r="D18" s="50"/>
      <c r="E18" s="51">
        <v>21</v>
      </c>
      <c r="F18" s="52">
        <v>86020</v>
      </c>
      <c r="G18" s="53">
        <f t="shared" si="0"/>
        <v>3723.8095238095239</v>
      </c>
      <c r="H18" s="52">
        <v>10220</v>
      </c>
      <c r="I18" s="54">
        <f t="shared" si="1"/>
        <v>442.38095238095241</v>
      </c>
      <c r="J18" s="55">
        <f t="shared" si="2"/>
        <v>96240</v>
      </c>
      <c r="K18" s="56">
        <f t="shared" si="3"/>
        <v>4582.8571428571431</v>
      </c>
      <c r="L18" s="57"/>
      <c r="M18" s="58">
        <f t="shared" si="4"/>
        <v>14</v>
      </c>
      <c r="N18" s="59">
        <f t="shared" si="4"/>
        <v>117480</v>
      </c>
      <c r="O18" s="53">
        <f t="shared" si="5"/>
        <v>7628.5714285714284</v>
      </c>
      <c r="P18" s="59">
        <f t="shared" si="6"/>
        <v>47520</v>
      </c>
      <c r="Q18" s="54">
        <f t="shared" si="7"/>
        <v>3085.7142857142858</v>
      </c>
      <c r="R18" s="60">
        <f t="shared" si="8"/>
        <v>165000</v>
      </c>
      <c r="S18" s="56">
        <f t="shared" si="9"/>
        <v>11785.714285714286</v>
      </c>
      <c r="T18" s="80">
        <f t="shared" si="10"/>
        <v>35</v>
      </c>
      <c r="U18" s="59">
        <f t="shared" si="10"/>
        <v>203500</v>
      </c>
      <c r="V18" s="59">
        <f t="shared" si="11"/>
        <v>57740</v>
      </c>
      <c r="W18" s="62">
        <f t="shared" si="12"/>
        <v>261240</v>
      </c>
      <c r="X18" s="81"/>
      <c r="Y18" s="63"/>
      <c r="Z18" s="64">
        <v>25</v>
      </c>
      <c r="AA18" s="52">
        <v>15220</v>
      </c>
      <c r="AB18" s="53">
        <f t="shared" si="13"/>
        <v>608.79999999999995</v>
      </c>
      <c r="AC18" s="52">
        <v>3500</v>
      </c>
      <c r="AD18" s="54">
        <f t="shared" si="14"/>
        <v>140</v>
      </c>
      <c r="AE18" s="65">
        <f t="shared" si="15"/>
        <v>18720</v>
      </c>
      <c r="AF18" s="56">
        <f t="shared" si="16"/>
        <v>748.8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>
        <v>177</v>
      </c>
      <c r="AP18" s="64">
        <v>456</v>
      </c>
      <c r="AQ18" s="52">
        <v>1247650</v>
      </c>
      <c r="AR18" s="53">
        <f t="shared" si="20"/>
        <v>2736.0745614035086</v>
      </c>
      <c r="AS18" s="52">
        <v>677000</v>
      </c>
      <c r="AT18" s="54">
        <f t="shared" si="21"/>
        <v>1484.6491228070176</v>
      </c>
      <c r="AU18" s="54">
        <v>16500</v>
      </c>
      <c r="AV18" s="69">
        <f t="shared" si="30"/>
        <v>1941150</v>
      </c>
      <c r="AW18" s="67">
        <f t="shared" si="22"/>
        <v>4256.9078947368425</v>
      </c>
      <c r="AX18" s="82">
        <f t="shared" si="23"/>
        <v>35</v>
      </c>
      <c r="AY18" s="59">
        <f t="shared" si="24"/>
        <v>1466370</v>
      </c>
      <c r="AZ18" s="59">
        <f t="shared" si="25"/>
        <v>738240</v>
      </c>
      <c r="BA18" s="71">
        <f t="shared" si="26"/>
        <v>2221110</v>
      </c>
      <c r="BB18" s="72">
        <f t="shared" si="31"/>
        <v>2200</v>
      </c>
      <c r="BC18" s="73">
        <v>35</v>
      </c>
      <c r="BD18" s="74">
        <v>203500</v>
      </c>
      <c r="BE18" s="74">
        <v>57740</v>
      </c>
      <c r="BF18" s="75">
        <v>2200</v>
      </c>
      <c r="BG18" s="75"/>
      <c r="BH18" s="75"/>
      <c r="BI18" s="75"/>
      <c r="BJ18" s="76">
        <f t="shared" si="32"/>
        <v>263440</v>
      </c>
      <c r="BK18" s="47">
        <v>14</v>
      </c>
      <c r="BL18" s="77">
        <f t="shared" si="27"/>
        <v>263440</v>
      </c>
    </row>
    <row r="19" spans="2:64" ht="20" customHeight="1">
      <c r="B19" s="78">
        <f t="shared" si="28"/>
        <v>45153</v>
      </c>
      <c r="C19" s="79"/>
      <c r="D19" s="50"/>
      <c r="E19" s="51">
        <v>33</v>
      </c>
      <c r="F19" s="52">
        <v>122080</v>
      </c>
      <c r="G19" s="53">
        <f t="shared" si="0"/>
        <v>3363.060606060606</v>
      </c>
      <c r="H19" s="52">
        <v>15880</v>
      </c>
      <c r="I19" s="54">
        <f t="shared" si="1"/>
        <v>437.45454545454544</v>
      </c>
      <c r="J19" s="55">
        <f t="shared" si="2"/>
        <v>137960</v>
      </c>
      <c r="K19" s="56">
        <f t="shared" si="3"/>
        <v>4180.606060606061</v>
      </c>
      <c r="L19" s="57"/>
      <c r="M19" s="58">
        <f t="shared" si="4"/>
        <v>20</v>
      </c>
      <c r="N19" s="59">
        <f t="shared" si="4"/>
        <v>210670</v>
      </c>
      <c r="O19" s="53">
        <f t="shared" si="5"/>
        <v>9575.9</v>
      </c>
      <c r="P19" s="59">
        <f t="shared" si="6"/>
        <v>49640</v>
      </c>
      <c r="Q19" s="84">
        <f t="shared" si="7"/>
        <v>2256.35</v>
      </c>
      <c r="R19" s="60">
        <f t="shared" si="8"/>
        <v>260310</v>
      </c>
      <c r="S19" s="56">
        <f t="shared" si="9"/>
        <v>13015.5</v>
      </c>
      <c r="T19" s="80">
        <f t="shared" si="10"/>
        <v>53</v>
      </c>
      <c r="U19" s="59">
        <f t="shared" si="10"/>
        <v>332750</v>
      </c>
      <c r="V19" s="59">
        <f t="shared" si="11"/>
        <v>65520</v>
      </c>
      <c r="W19" s="62">
        <f t="shared" si="12"/>
        <v>398270</v>
      </c>
      <c r="X19" s="81"/>
      <c r="Y19" s="63"/>
      <c r="Z19" s="64">
        <v>21</v>
      </c>
      <c r="AA19" s="52">
        <v>9250</v>
      </c>
      <c r="AB19" s="53">
        <f t="shared" si="13"/>
        <v>440.47619047619048</v>
      </c>
      <c r="AC19" s="52">
        <v>1000</v>
      </c>
      <c r="AD19" s="54">
        <f t="shared" si="14"/>
        <v>47.61904761904762</v>
      </c>
      <c r="AE19" s="65">
        <f t="shared" si="15"/>
        <v>10250</v>
      </c>
      <c r="AF19" s="56">
        <f t="shared" si="16"/>
        <v>488.09523809523807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>
        <v>175</v>
      </c>
      <c r="AP19" s="64">
        <v>477</v>
      </c>
      <c r="AQ19" s="52">
        <v>1324650</v>
      </c>
      <c r="AR19" s="53">
        <f t="shared" si="20"/>
        <v>2777.0440251572327</v>
      </c>
      <c r="AS19" s="52">
        <v>665650</v>
      </c>
      <c r="AT19" s="54">
        <f t="shared" si="21"/>
        <v>1395.4926624737946</v>
      </c>
      <c r="AU19" s="54">
        <v>21450</v>
      </c>
      <c r="AV19" s="69">
        <f t="shared" si="30"/>
        <v>2011750</v>
      </c>
      <c r="AW19" s="67">
        <f t="shared" si="22"/>
        <v>4217.5052410901471</v>
      </c>
      <c r="AX19" s="82">
        <f t="shared" si="23"/>
        <v>53</v>
      </c>
      <c r="AY19" s="59">
        <f t="shared" si="24"/>
        <v>1666650</v>
      </c>
      <c r="AZ19" s="59">
        <f t="shared" si="25"/>
        <v>732170</v>
      </c>
      <c r="BA19" s="71">
        <f t="shared" si="26"/>
        <v>2420270</v>
      </c>
      <c r="BB19" s="72">
        <f t="shared" si="31"/>
        <v>7700</v>
      </c>
      <c r="BC19" s="73">
        <v>53</v>
      </c>
      <c r="BD19" s="74">
        <v>332750</v>
      </c>
      <c r="BE19" s="74">
        <v>65520</v>
      </c>
      <c r="BF19" s="75">
        <v>7700</v>
      </c>
      <c r="BG19" s="75"/>
      <c r="BH19" s="75"/>
      <c r="BI19" s="75"/>
      <c r="BJ19" s="76">
        <f t="shared" si="32"/>
        <v>405970</v>
      </c>
      <c r="BK19" s="47">
        <v>15</v>
      </c>
      <c r="BL19" s="77">
        <f t="shared" si="27"/>
        <v>405970</v>
      </c>
    </row>
    <row r="20" spans="2:64" ht="20" customHeight="1">
      <c r="B20" s="78">
        <f t="shared" si="28"/>
        <v>45154</v>
      </c>
      <c r="C20" s="79"/>
      <c r="D20" s="50"/>
      <c r="E20" s="51">
        <v>33</v>
      </c>
      <c r="F20" s="52">
        <v>154770</v>
      </c>
      <c r="G20" s="53">
        <f t="shared" si="0"/>
        <v>4263.636363636364</v>
      </c>
      <c r="H20" s="52">
        <v>22260</v>
      </c>
      <c r="I20" s="53">
        <f t="shared" si="1"/>
        <v>613.21212121212125</v>
      </c>
      <c r="J20" s="55">
        <f t="shared" si="2"/>
        <v>177030</v>
      </c>
      <c r="K20" s="56">
        <f t="shared" si="3"/>
        <v>5364.545454545455</v>
      </c>
      <c r="L20" s="57"/>
      <c r="M20" s="58">
        <f t="shared" si="4"/>
        <v>14</v>
      </c>
      <c r="N20" s="59">
        <f t="shared" si="4"/>
        <v>88220</v>
      </c>
      <c r="O20" s="53">
        <f t="shared" si="5"/>
        <v>5728.5714285714284</v>
      </c>
      <c r="P20" s="59">
        <f t="shared" si="6"/>
        <v>19140</v>
      </c>
      <c r="Q20" s="84">
        <f t="shared" si="7"/>
        <v>1242.8571428571429</v>
      </c>
      <c r="R20" s="60">
        <f t="shared" si="8"/>
        <v>107360</v>
      </c>
      <c r="S20" s="56">
        <f t="shared" si="9"/>
        <v>7668.5714285714284</v>
      </c>
      <c r="T20" s="80">
        <f t="shared" si="10"/>
        <v>47</v>
      </c>
      <c r="U20" s="59">
        <f t="shared" si="10"/>
        <v>242990</v>
      </c>
      <c r="V20" s="59">
        <f t="shared" si="11"/>
        <v>41400</v>
      </c>
      <c r="W20" s="62">
        <f t="shared" si="12"/>
        <v>284390</v>
      </c>
      <c r="X20" s="81"/>
      <c r="Y20" s="63"/>
      <c r="Z20" s="64">
        <v>26</v>
      </c>
      <c r="AA20" s="52">
        <v>13220</v>
      </c>
      <c r="AB20" s="53">
        <f t="shared" si="13"/>
        <v>508.46153846153845</v>
      </c>
      <c r="AC20" s="52">
        <v>2000</v>
      </c>
      <c r="AD20" s="54">
        <f t="shared" si="14"/>
        <v>76.92307692307692</v>
      </c>
      <c r="AE20" s="65">
        <f t="shared" si="15"/>
        <v>15220</v>
      </c>
      <c r="AF20" s="56">
        <f t="shared" si="16"/>
        <v>585.38461538461536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9"/>
        <v>0</v>
      </c>
      <c r="AN20" s="67" t="str">
        <f t="shared" si="19"/>
        <v/>
      </c>
      <c r="AO20" s="68">
        <v>88</v>
      </c>
      <c r="AP20" s="64">
        <v>215</v>
      </c>
      <c r="AQ20" s="52">
        <v>538250</v>
      </c>
      <c r="AR20" s="53">
        <f t="shared" si="20"/>
        <v>2503.4883720930234</v>
      </c>
      <c r="AS20" s="52">
        <v>295400</v>
      </c>
      <c r="AT20" s="54">
        <f t="shared" si="21"/>
        <v>1373.953488372093</v>
      </c>
      <c r="AU20" s="54">
        <v>6050</v>
      </c>
      <c r="AV20" s="69">
        <f t="shared" si="30"/>
        <v>839700</v>
      </c>
      <c r="AW20" s="67">
        <f t="shared" si="22"/>
        <v>3905.5813953488373</v>
      </c>
      <c r="AX20" s="82">
        <f t="shared" si="23"/>
        <v>47</v>
      </c>
      <c r="AY20" s="59">
        <f t="shared" si="24"/>
        <v>794460</v>
      </c>
      <c r="AZ20" s="59">
        <f t="shared" si="25"/>
        <v>338800</v>
      </c>
      <c r="BA20" s="71">
        <f t="shared" si="26"/>
        <v>1139310</v>
      </c>
      <c r="BB20" s="72">
        <f t="shared" si="31"/>
        <v>5500</v>
      </c>
      <c r="BC20" s="73">
        <v>47</v>
      </c>
      <c r="BD20" s="74">
        <v>242990</v>
      </c>
      <c r="BE20" s="74">
        <v>41400</v>
      </c>
      <c r="BF20" s="75">
        <v>5500</v>
      </c>
      <c r="BG20" s="75"/>
      <c r="BH20" s="75"/>
      <c r="BI20" s="75"/>
      <c r="BJ20" s="76">
        <f t="shared" si="32"/>
        <v>289890</v>
      </c>
      <c r="BK20" s="47">
        <v>16</v>
      </c>
      <c r="BL20" s="77">
        <f t="shared" si="27"/>
        <v>289890</v>
      </c>
    </row>
    <row r="21" spans="2:64" ht="20" customHeight="1">
      <c r="B21" s="78">
        <f t="shared" si="28"/>
        <v>45155</v>
      </c>
      <c r="C21" s="79"/>
      <c r="D21" s="50"/>
      <c r="E21" s="51">
        <v>28</v>
      </c>
      <c r="F21" s="52">
        <v>91300</v>
      </c>
      <c r="G21" s="53">
        <f t="shared" si="0"/>
        <v>2964.2857142857142</v>
      </c>
      <c r="H21" s="52">
        <v>1800</v>
      </c>
      <c r="I21" s="53">
        <f t="shared" si="1"/>
        <v>58.428571428571431</v>
      </c>
      <c r="J21" s="55">
        <f t="shared" si="2"/>
        <v>93100</v>
      </c>
      <c r="K21" s="56">
        <f t="shared" si="3"/>
        <v>3325</v>
      </c>
      <c r="L21" s="57"/>
      <c r="M21" s="58">
        <f t="shared" si="4"/>
        <v>7</v>
      </c>
      <c r="N21" s="59">
        <f t="shared" si="4"/>
        <v>75350</v>
      </c>
      <c r="O21" s="53">
        <f t="shared" si="5"/>
        <v>9785.7142857142862</v>
      </c>
      <c r="P21" s="59">
        <f t="shared" si="6"/>
        <v>39100</v>
      </c>
      <c r="Q21" s="84">
        <f t="shared" si="7"/>
        <v>5077.8571428571431</v>
      </c>
      <c r="R21" s="60">
        <f t="shared" si="8"/>
        <v>114450</v>
      </c>
      <c r="S21" s="56">
        <f t="shared" si="9"/>
        <v>16350</v>
      </c>
      <c r="T21" s="80">
        <f t="shared" si="10"/>
        <v>35</v>
      </c>
      <c r="U21" s="59">
        <f t="shared" si="10"/>
        <v>166650</v>
      </c>
      <c r="V21" s="59">
        <f t="shared" si="11"/>
        <v>40900</v>
      </c>
      <c r="W21" s="62">
        <f t="shared" si="12"/>
        <v>207550</v>
      </c>
      <c r="X21" s="81"/>
      <c r="Y21" s="63"/>
      <c r="Z21" s="64">
        <v>27</v>
      </c>
      <c r="AA21" s="52">
        <v>16650</v>
      </c>
      <c r="AB21" s="53">
        <f t="shared" si="13"/>
        <v>616.66666666666663</v>
      </c>
      <c r="AC21" s="52">
        <v>7000</v>
      </c>
      <c r="AD21" s="54">
        <f t="shared" si="14"/>
        <v>259.25925925925924</v>
      </c>
      <c r="AE21" s="65">
        <f t="shared" si="15"/>
        <v>23650</v>
      </c>
      <c r="AF21" s="56">
        <f t="shared" si="16"/>
        <v>875.92592592592598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>
        <v>114</v>
      </c>
      <c r="AP21" s="64">
        <v>277</v>
      </c>
      <c r="AQ21" s="52">
        <v>589350</v>
      </c>
      <c r="AR21" s="53">
        <f t="shared" si="20"/>
        <v>2127.6173285198556</v>
      </c>
      <c r="AS21" s="52">
        <v>383500</v>
      </c>
      <c r="AT21" s="54">
        <f t="shared" si="21"/>
        <v>1384.4765342960288</v>
      </c>
      <c r="AU21" s="54">
        <v>2200</v>
      </c>
      <c r="AV21" s="69">
        <f t="shared" si="30"/>
        <v>975050</v>
      </c>
      <c r="AW21" s="67">
        <f t="shared" si="22"/>
        <v>3520.0361010830325</v>
      </c>
      <c r="AX21" s="82">
        <f t="shared" si="23"/>
        <v>35</v>
      </c>
      <c r="AY21" s="59">
        <f t="shared" si="24"/>
        <v>772650</v>
      </c>
      <c r="AZ21" s="59">
        <f t="shared" si="25"/>
        <v>431400</v>
      </c>
      <c r="BA21" s="71">
        <f>W21+AE21+AM21+AV21</f>
        <v>1206250</v>
      </c>
      <c r="BB21" s="72">
        <f t="shared" si="31"/>
        <v>1100</v>
      </c>
      <c r="BC21" s="73">
        <v>35</v>
      </c>
      <c r="BD21" s="74">
        <v>166650</v>
      </c>
      <c r="BE21" s="74">
        <v>40900</v>
      </c>
      <c r="BF21" s="75">
        <v>1100</v>
      </c>
      <c r="BG21" s="75"/>
      <c r="BH21" s="75"/>
      <c r="BI21" s="75"/>
      <c r="BJ21" s="76">
        <f t="shared" si="32"/>
        <v>208650</v>
      </c>
      <c r="BK21" s="47">
        <v>17</v>
      </c>
      <c r="BL21" s="77">
        <f t="shared" si="27"/>
        <v>208650</v>
      </c>
    </row>
    <row r="22" spans="2:64" ht="20" customHeight="1">
      <c r="B22" s="78">
        <f t="shared" si="28"/>
        <v>45156</v>
      </c>
      <c r="C22" s="79"/>
      <c r="D22" s="50"/>
      <c r="E22" s="51">
        <v>34</v>
      </c>
      <c r="F22" s="52">
        <v>124410</v>
      </c>
      <c r="G22" s="53">
        <f t="shared" si="0"/>
        <v>3326.4705882352941</v>
      </c>
      <c r="H22" s="52">
        <v>5030</v>
      </c>
      <c r="I22" s="53">
        <f t="shared" si="1"/>
        <v>134.47058823529412</v>
      </c>
      <c r="J22" s="55">
        <f t="shared" si="2"/>
        <v>129440</v>
      </c>
      <c r="K22" s="56">
        <f t="shared" si="3"/>
        <v>3807.0588235294117</v>
      </c>
      <c r="L22" s="57"/>
      <c r="M22" s="58">
        <f t="shared" si="4"/>
        <v>10</v>
      </c>
      <c r="N22" s="59">
        <f t="shared" si="4"/>
        <v>97130</v>
      </c>
      <c r="O22" s="53">
        <f t="shared" si="5"/>
        <v>8830</v>
      </c>
      <c r="P22" s="59">
        <f t="shared" si="6"/>
        <v>13450</v>
      </c>
      <c r="Q22" s="84">
        <f t="shared" si="7"/>
        <v>1222.7</v>
      </c>
      <c r="R22" s="60">
        <f t="shared" si="8"/>
        <v>110580</v>
      </c>
      <c r="S22" s="56">
        <f t="shared" si="9"/>
        <v>11058</v>
      </c>
      <c r="T22" s="80">
        <f t="shared" si="10"/>
        <v>44</v>
      </c>
      <c r="U22" s="59">
        <f t="shared" si="10"/>
        <v>221540</v>
      </c>
      <c r="V22" s="59">
        <f t="shared" si="11"/>
        <v>18480</v>
      </c>
      <c r="W22" s="62">
        <f t="shared" si="12"/>
        <v>240020</v>
      </c>
      <c r="X22" s="81"/>
      <c r="Y22" s="63"/>
      <c r="Z22" s="64">
        <v>10</v>
      </c>
      <c r="AA22" s="52">
        <v>5890</v>
      </c>
      <c r="AB22" s="53">
        <f t="shared" si="13"/>
        <v>589</v>
      </c>
      <c r="AC22" s="52">
        <v>1000</v>
      </c>
      <c r="AD22" s="54">
        <f t="shared" si="14"/>
        <v>100</v>
      </c>
      <c r="AE22" s="65">
        <f t="shared" si="15"/>
        <v>6890</v>
      </c>
      <c r="AF22" s="56">
        <f t="shared" si="16"/>
        <v>689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>
        <v>132</v>
      </c>
      <c r="AP22" s="64">
        <v>387</v>
      </c>
      <c r="AQ22" s="52">
        <v>1137850</v>
      </c>
      <c r="AR22" s="53">
        <f t="shared" si="20"/>
        <v>2940.1808785529715</v>
      </c>
      <c r="AS22" s="52">
        <v>661650</v>
      </c>
      <c r="AT22" s="54">
        <f t="shared" si="21"/>
        <v>1709.6899224806202</v>
      </c>
      <c r="AU22" s="54">
        <v>29150</v>
      </c>
      <c r="AV22" s="69">
        <f t="shared" si="30"/>
        <v>1828650</v>
      </c>
      <c r="AW22" s="67">
        <f t="shared" si="22"/>
        <v>4725.1937984496126</v>
      </c>
      <c r="AX22" s="82">
        <f t="shared" si="23"/>
        <v>44</v>
      </c>
      <c r="AY22" s="59">
        <f t="shared" si="24"/>
        <v>1365280</v>
      </c>
      <c r="AZ22" s="59">
        <f t="shared" si="25"/>
        <v>681130</v>
      </c>
      <c r="BA22" s="71">
        <f t="shared" si="26"/>
        <v>2075560</v>
      </c>
      <c r="BB22" s="72">
        <f t="shared" si="31"/>
        <v>4400</v>
      </c>
      <c r="BC22" s="73">
        <v>44</v>
      </c>
      <c r="BD22" s="74">
        <v>221540</v>
      </c>
      <c r="BE22" s="74">
        <v>18480</v>
      </c>
      <c r="BF22" s="75">
        <v>3300</v>
      </c>
      <c r="BG22" s="75">
        <v>1100</v>
      </c>
      <c r="BH22" s="75"/>
      <c r="BI22" s="75">
        <v>14160</v>
      </c>
      <c r="BJ22" s="76">
        <f t="shared" si="32"/>
        <v>244420</v>
      </c>
      <c r="BK22" s="47">
        <v>18</v>
      </c>
      <c r="BL22" s="77">
        <f t="shared" si="27"/>
        <v>258580</v>
      </c>
    </row>
    <row r="23" spans="2:64" ht="20" customHeight="1">
      <c r="B23" s="78">
        <f t="shared" si="28"/>
        <v>45157</v>
      </c>
      <c r="C23" s="79"/>
      <c r="D23" s="50"/>
      <c r="E23" s="51">
        <v>25</v>
      </c>
      <c r="F23" s="52">
        <v>101090</v>
      </c>
      <c r="G23" s="53">
        <f t="shared" si="0"/>
        <v>3676</v>
      </c>
      <c r="H23" s="52">
        <v>13790</v>
      </c>
      <c r="I23" s="53">
        <f t="shared" si="1"/>
        <v>501.44</v>
      </c>
      <c r="J23" s="55">
        <f t="shared" si="2"/>
        <v>114880</v>
      </c>
      <c r="K23" s="56">
        <f t="shared" si="3"/>
        <v>4595.2</v>
      </c>
      <c r="L23" s="57"/>
      <c r="M23" s="58">
        <f t="shared" si="4"/>
        <v>21</v>
      </c>
      <c r="N23" s="59">
        <f t="shared" si="4"/>
        <v>217140</v>
      </c>
      <c r="O23" s="53">
        <f t="shared" si="5"/>
        <v>9400</v>
      </c>
      <c r="P23" s="59">
        <f t="shared" si="6"/>
        <v>45090</v>
      </c>
      <c r="Q23" s="84">
        <f t="shared" si="7"/>
        <v>1951.9047619047619</v>
      </c>
      <c r="R23" s="60">
        <f t="shared" si="8"/>
        <v>262230</v>
      </c>
      <c r="S23" s="56">
        <f t="shared" si="9"/>
        <v>12487.142857142857</v>
      </c>
      <c r="T23" s="80">
        <f t="shared" si="10"/>
        <v>46</v>
      </c>
      <c r="U23" s="59">
        <f t="shared" si="10"/>
        <v>318230</v>
      </c>
      <c r="V23" s="59">
        <f t="shared" si="11"/>
        <v>58880</v>
      </c>
      <c r="W23" s="62">
        <f t="shared" si="12"/>
        <v>377110</v>
      </c>
      <c r="X23" s="81"/>
      <c r="Y23" s="63"/>
      <c r="Z23" s="64">
        <v>22</v>
      </c>
      <c r="AA23" s="52">
        <v>11480</v>
      </c>
      <c r="AB23" s="53">
        <f t="shared" si="13"/>
        <v>521.81818181818187</v>
      </c>
      <c r="AC23" s="52">
        <v>2500</v>
      </c>
      <c r="AD23" s="54">
        <f t="shared" si="14"/>
        <v>113.63636363636364</v>
      </c>
      <c r="AE23" s="65">
        <f t="shared" si="15"/>
        <v>13980</v>
      </c>
      <c r="AF23" s="56">
        <f t="shared" si="16"/>
        <v>635.4545454545455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9"/>
        <v>0</v>
      </c>
      <c r="AN23" s="67" t="str">
        <f t="shared" si="19"/>
        <v/>
      </c>
      <c r="AO23" s="68">
        <v>180</v>
      </c>
      <c r="AP23" s="64">
        <v>515</v>
      </c>
      <c r="AQ23" s="52">
        <v>1463750</v>
      </c>
      <c r="AR23" s="53">
        <f t="shared" si="20"/>
        <v>2842.2330097087379</v>
      </c>
      <c r="AS23" s="52">
        <v>817750</v>
      </c>
      <c r="AT23" s="54">
        <f t="shared" si="21"/>
        <v>1587.8640776699028</v>
      </c>
      <c r="AU23" s="54">
        <v>20900</v>
      </c>
      <c r="AV23" s="69">
        <f t="shared" si="30"/>
        <v>2302400</v>
      </c>
      <c r="AW23" s="67">
        <f>IF(AP23="","",AV23/AP23)</f>
        <v>4470.6796116504856</v>
      </c>
      <c r="AX23" s="82">
        <f t="shared" si="23"/>
        <v>46</v>
      </c>
      <c r="AY23" s="59">
        <f t="shared" si="24"/>
        <v>1793460</v>
      </c>
      <c r="AZ23" s="59">
        <f t="shared" si="25"/>
        <v>879130</v>
      </c>
      <c r="BA23" s="71">
        <f t="shared" si="26"/>
        <v>2693490</v>
      </c>
      <c r="BB23" s="72">
        <f>BF23+BG23</f>
        <v>6600</v>
      </c>
      <c r="BC23" s="73">
        <v>46</v>
      </c>
      <c r="BD23" s="74">
        <v>318230</v>
      </c>
      <c r="BE23" s="74">
        <v>58880</v>
      </c>
      <c r="BF23" s="75">
        <v>5500</v>
      </c>
      <c r="BG23" s="75">
        <v>1100</v>
      </c>
      <c r="BH23" s="75"/>
      <c r="BI23" s="75"/>
      <c r="BJ23" s="76">
        <f t="shared" si="32"/>
        <v>383710</v>
      </c>
      <c r="BK23" s="47">
        <v>19</v>
      </c>
      <c r="BL23" s="77">
        <f t="shared" si="27"/>
        <v>383710</v>
      </c>
    </row>
    <row r="24" spans="2:64" ht="20" customHeight="1">
      <c r="B24" s="78">
        <f t="shared" si="28"/>
        <v>45158</v>
      </c>
      <c r="C24" s="79"/>
      <c r="D24" s="50"/>
      <c r="E24" s="51">
        <v>25</v>
      </c>
      <c r="F24" s="52">
        <v>110220</v>
      </c>
      <c r="G24" s="53">
        <f t="shared" si="0"/>
        <v>4008</v>
      </c>
      <c r="H24" s="52">
        <v>22390</v>
      </c>
      <c r="I24" s="53">
        <f t="shared" si="1"/>
        <v>814.16</v>
      </c>
      <c r="J24" s="55">
        <f t="shared" si="2"/>
        <v>132610</v>
      </c>
      <c r="K24" s="56">
        <f t="shared" si="3"/>
        <v>5304.4</v>
      </c>
      <c r="L24" s="57"/>
      <c r="M24" s="58">
        <f t="shared" si="4"/>
        <v>17</v>
      </c>
      <c r="N24" s="59">
        <f t="shared" si="4"/>
        <v>145530</v>
      </c>
      <c r="O24" s="53">
        <f t="shared" si="5"/>
        <v>7782.3529411764703</v>
      </c>
      <c r="P24" s="59">
        <f t="shared" si="6"/>
        <v>26380</v>
      </c>
      <c r="Q24" s="84">
        <f t="shared" si="7"/>
        <v>1410.6470588235295</v>
      </c>
      <c r="R24" s="60">
        <f t="shared" si="8"/>
        <v>171910</v>
      </c>
      <c r="S24" s="56">
        <f t="shared" si="9"/>
        <v>10112.35294117647</v>
      </c>
      <c r="T24" s="80">
        <f t="shared" si="10"/>
        <v>42</v>
      </c>
      <c r="U24" s="59">
        <f t="shared" si="10"/>
        <v>255750</v>
      </c>
      <c r="V24" s="59">
        <f t="shared" si="11"/>
        <v>48770</v>
      </c>
      <c r="W24" s="62">
        <f t="shared" si="12"/>
        <v>304520</v>
      </c>
      <c r="X24" s="81"/>
      <c r="Y24" s="63"/>
      <c r="Z24" s="64">
        <v>29</v>
      </c>
      <c r="AA24" s="52">
        <v>15270</v>
      </c>
      <c r="AB24" s="53">
        <f t="shared" si="13"/>
        <v>526.55172413793105</v>
      </c>
      <c r="AC24" s="52">
        <v>4200</v>
      </c>
      <c r="AD24" s="54">
        <f t="shared" si="14"/>
        <v>144.82758620689654</v>
      </c>
      <c r="AE24" s="65">
        <f t="shared" si="15"/>
        <v>19470</v>
      </c>
      <c r="AF24" s="56">
        <f t="shared" si="16"/>
        <v>671.37931034482756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>
        <v>152</v>
      </c>
      <c r="AP24" s="64">
        <v>428</v>
      </c>
      <c r="AQ24" s="52">
        <v>1143400</v>
      </c>
      <c r="AR24" s="53">
        <f t="shared" si="20"/>
        <v>2671.4953271028039</v>
      </c>
      <c r="AS24" s="52">
        <v>637950</v>
      </c>
      <c r="AT24" s="54">
        <f t="shared" si="21"/>
        <v>1490.5373831775701</v>
      </c>
      <c r="AU24" s="54">
        <v>16500</v>
      </c>
      <c r="AV24" s="69">
        <f t="shared" si="30"/>
        <v>1797850</v>
      </c>
      <c r="AW24" s="67">
        <f t="shared" si="22"/>
        <v>4200.5841121495323</v>
      </c>
      <c r="AX24" s="82">
        <f t="shared" si="23"/>
        <v>42</v>
      </c>
      <c r="AY24" s="59">
        <f t="shared" si="24"/>
        <v>1414420</v>
      </c>
      <c r="AZ24" s="59">
        <f t="shared" si="25"/>
        <v>690920</v>
      </c>
      <c r="BA24" s="71">
        <f t="shared" si="26"/>
        <v>2121840</v>
      </c>
      <c r="BB24" s="72">
        <f t="shared" si="31"/>
        <v>4400</v>
      </c>
      <c r="BC24" s="73">
        <v>42</v>
      </c>
      <c r="BD24" s="74">
        <v>255750</v>
      </c>
      <c r="BE24" s="74">
        <v>48770</v>
      </c>
      <c r="BF24" s="75">
        <v>2200</v>
      </c>
      <c r="BG24" s="75">
        <v>2200</v>
      </c>
      <c r="BH24" s="75"/>
      <c r="BI24" s="75"/>
      <c r="BJ24" s="76">
        <f t="shared" si="32"/>
        <v>308920</v>
      </c>
      <c r="BK24" s="47">
        <v>20</v>
      </c>
      <c r="BL24" s="77">
        <f t="shared" si="27"/>
        <v>308920</v>
      </c>
    </row>
    <row r="25" spans="2:64" ht="20" customHeight="1">
      <c r="B25" s="78">
        <f t="shared" si="28"/>
        <v>45159</v>
      </c>
      <c r="C25" s="79"/>
      <c r="D25" s="50"/>
      <c r="E25" s="51">
        <v>23</v>
      </c>
      <c r="F25" s="52">
        <v>83270</v>
      </c>
      <c r="G25" s="53">
        <f t="shared" si="0"/>
        <v>3291.304347826087</v>
      </c>
      <c r="H25" s="52">
        <v>6210</v>
      </c>
      <c r="I25" s="53">
        <f t="shared" si="1"/>
        <v>245.43478260869566</v>
      </c>
      <c r="J25" s="55">
        <f t="shared" si="2"/>
        <v>89480</v>
      </c>
      <c r="K25" s="56">
        <f t="shared" si="3"/>
        <v>3890.4347826086955</v>
      </c>
      <c r="L25" s="57"/>
      <c r="M25" s="58">
        <f t="shared" si="4"/>
        <v>13</v>
      </c>
      <c r="N25" s="59">
        <f t="shared" si="4"/>
        <v>119130</v>
      </c>
      <c r="O25" s="53">
        <f t="shared" si="5"/>
        <v>8330.7692307692305</v>
      </c>
      <c r="P25" s="59">
        <f t="shared" si="6"/>
        <v>17100</v>
      </c>
      <c r="Q25" s="84">
        <f t="shared" si="7"/>
        <v>1195.7692307692307</v>
      </c>
      <c r="R25" s="60">
        <f t="shared" si="8"/>
        <v>136230</v>
      </c>
      <c r="S25" s="56">
        <f t="shared" si="9"/>
        <v>10479.23076923077</v>
      </c>
      <c r="T25" s="80">
        <f t="shared" si="10"/>
        <v>36</v>
      </c>
      <c r="U25" s="59">
        <f t="shared" si="10"/>
        <v>202400</v>
      </c>
      <c r="V25" s="59">
        <f t="shared" si="11"/>
        <v>23310</v>
      </c>
      <c r="W25" s="62">
        <f t="shared" si="12"/>
        <v>225710</v>
      </c>
      <c r="X25" s="81"/>
      <c r="Y25" s="63"/>
      <c r="Z25" s="64">
        <v>6</v>
      </c>
      <c r="AA25" s="52">
        <v>2500</v>
      </c>
      <c r="AB25" s="53">
        <f t="shared" si="13"/>
        <v>416.66666666666669</v>
      </c>
      <c r="AC25" s="52">
        <v>2000</v>
      </c>
      <c r="AD25" s="54">
        <f t="shared" si="14"/>
        <v>333.33333333333331</v>
      </c>
      <c r="AE25" s="65">
        <f t="shared" si="15"/>
        <v>4500</v>
      </c>
      <c r="AF25" s="56">
        <f t="shared" si="16"/>
        <v>750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9"/>
        <v>0</v>
      </c>
      <c r="AN25" s="67" t="str">
        <f t="shared" si="19"/>
        <v/>
      </c>
      <c r="AO25" s="68">
        <v>93</v>
      </c>
      <c r="AP25" s="64">
        <v>329</v>
      </c>
      <c r="AQ25" s="52">
        <v>866000</v>
      </c>
      <c r="AR25" s="53">
        <f t="shared" si="20"/>
        <v>2632.2188449848022</v>
      </c>
      <c r="AS25" s="52">
        <v>481500</v>
      </c>
      <c r="AT25" s="54">
        <f t="shared" si="21"/>
        <v>1463.5258358662613</v>
      </c>
      <c r="AU25" s="54">
        <v>8250</v>
      </c>
      <c r="AV25" s="69">
        <f t="shared" si="30"/>
        <v>1355750</v>
      </c>
      <c r="AW25" s="67">
        <f t="shared" si="22"/>
        <v>4120.8206686930089</v>
      </c>
      <c r="AX25" s="82">
        <f t="shared" si="23"/>
        <v>36</v>
      </c>
      <c r="AY25" s="59">
        <f t="shared" si="24"/>
        <v>1070900</v>
      </c>
      <c r="AZ25" s="59">
        <f t="shared" si="25"/>
        <v>506810</v>
      </c>
      <c r="BA25" s="71">
        <f t="shared" si="26"/>
        <v>1585960</v>
      </c>
      <c r="BB25" s="72">
        <f t="shared" si="31"/>
        <v>0</v>
      </c>
      <c r="BC25" s="73">
        <v>36</v>
      </c>
      <c r="BD25" s="74">
        <v>202400</v>
      </c>
      <c r="BE25" s="74">
        <v>23310</v>
      </c>
      <c r="BF25" s="75">
        <v>0</v>
      </c>
      <c r="BG25" s="75"/>
      <c r="BH25" s="75"/>
      <c r="BI25" s="75"/>
      <c r="BJ25" s="76">
        <f t="shared" si="32"/>
        <v>225710</v>
      </c>
      <c r="BK25" s="47">
        <v>21</v>
      </c>
      <c r="BL25" s="77">
        <f t="shared" si="27"/>
        <v>225710</v>
      </c>
    </row>
    <row r="26" spans="2:64" ht="20" customHeight="1">
      <c r="B26" s="78">
        <f t="shared" si="28"/>
        <v>45160</v>
      </c>
      <c r="C26" s="79"/>
      <c r="D26" s="50"/>
      <c r="E26" s="51">
        <v>47</v>
      </c>
      <c r="F26" s="52">
        <v>168960</v>
      </c>
      <c r="G26" s="53">
        <f t="shared" si="0"/>
        <v>3268.0851063829787</v>
      </c>
      <c r="H26" s="52">
        <v>33650</v>
      </c>
      <c r="I26" s="53">
        <f t="shared" si="1"/>
        <v>650.85106382978722</v>
      </c>
      <c r="J26" s="55">
        <f t="shared" si="2"/>
        <v>202610</v>
      </c>
      <c r="K26" s="56">
        <f t="shared" si="3"/>
        <v>4310.8510638297876</v>
      </c>
      <c r="L26" s="57"/>
      <c r="M26" s="58">
        <f t="shared" si="4"/>
        <v>16</v>
      </c>
      <c r="N26" s="59">
        <f t="shared" si="4"/>
        <v>108460</v>
      </c>
      <c r="O26" s="53">
        <f t="shared" si="5"/>
        <v>6162.5</v>
      </c>
      <c r="P26" s="59">
        <f t="shared" si="6"/>
        <v>43100</v>
      </c>
      <c r="Q26" s="84">
        <f t="shared" si="7"/>
        <v>2448.8125</v>
      </c>
      <c r="R26" s="60">
        <f t="shared" si="8"/>
        <v>151560</v>
      </c>
      <c r="S26" s="56">
        <f t="shared" si="9"/>
        <v>9472.5</v>
      </c>
      <c r="T26" s="80">
        <f t="shared" si="10"/>
        <v>63</v>
      </c>
      <c r="U26" s="59">
        <f t="shared" si="10"/>
        <v>277420</v>
      </c>
      <c r="V26" s="59">
        <f t="shared" si="11"/>
        <v>76750</v>
      </c>
      <c r="W26" s="62">
        <f t="shared" si="12"/>
        <v>354170</v>
      </c>
      <c r="X26" s="81"/>
      <c r="Y26" s="63"/>
      <c r="Z26" s="64">
        <v>14</v>
      </c>
      <c r="AA26" s="52">
        <v>8950</v>
      </c>
      <c r="AB26" s="53">
        <f t="shared" si="13"/>
        <v>639.28571428571433</v>
      </c>
      <c r="AC26" s="52">
        <v>3500</v>
      </c>
      <c r="AD26" s="54">
        <f t="shared" si="14"/>
        <v>250</v>
      </c>
      <c r="AE26" s="65">
        <f t="shared" si="15"/>
        <v>12450</v>
      </c>
      <c r="AF26" s="56">
        <f t="shared" si="16"/>
        <v>889.28571428571433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9"/>
        <v>0</v>
      </c>
      <c r="AN26" s="67" t="str">
        <f t="shared" si="19"/>
        <v/>
      </c>
      <c r="AO26" s="68">
        <v>109</v>
      </c>
      <c r="AP26" s="64">
        <v>281</v>
      </c>
      <c r="AQ26" s="52">
        <v>832300</v>
      </c>
      <c r="AR26" s="53">
        <f t="shared" si="20"/>
        <v>2961.9217081850534</v>
      </c>
      <c r="AS26" s="52">
        <v>475750</v>
      </c>
      <c r="AT26" s="54">
        <f t="shared" si="21"/>
        <v>1693.0604982206405</v>
      </c>
      <c r="AU26" s="54">
        <v>4950</v>
      </c>
      <c r="AV26" s="69">
        <f t="shared" si="30"/>
        <v>1313000</v>
      </c>
      <c r="AW26" s="67">
        <f t="shared" si="22"/>
        <v>4672.5978647686834</v>
      </c>
      <c r="AX26" s="82">
        <f t="shared" si="23"/>
        <v>63</v>
      </c>
      <c r="AY26" s="59">
        <f t="shared" si="24"/>
        <v>1118670</v>
      </c>
      <c r="AZ26" s="59">
        <f t="shared" si="25"/>
        <v>556000</v>
      </c>
      <c r="BA26" s="71">
        <f>W26+AE26+AM26+AV26</f>
        <v>1679620</v>
      </c>
      <c r="BB26" s="72">
        <f>BF26+BG26</f>
        <v>1650</v>
      </c>
      <c r="BC26" s="73">
        <v>63</v>
      </c>
      <c r="BD26" s="74">
        <v>277420</v>
      </c>
      <c r="BE26" s="74">
        <v>76750</v>
      </c>
      <c r="BF26" s="75">
        <v>1650</v>
      </c>
      <c r="BG26" s="75"/>
      <c r="BH26" s="75"/>
      <c r="BI26" s="75"/>
      <c r="BJ26" s="76">
        <f t="shared" si="32"/>
        <v>355820</v>
      </c>
      <c r="BK26" s="47">
        <v>22</v>
      </c>
      <c r="BL26" s="77">
        <f t="shared" si="27"/>
        <v>355820</v>
      </c>
    </row>
    <row r="27" spans="2:64" ht="20" customHeight="1">
      <c r="B27" s="78">
        <f t="shared" si="28"/>
        <v>45161</v>
      </c>
      <c r="C27" s="79"/>
      <c r="D27" s="50"/>
      <c r="E27" s="51">
        <v>28</v>
      </c>
      <c r="F27" s="52">
        <v>120230</v>
      </c>
      <c r="G27" s="53">
        <f t="shared" si="0"/>
        <v>3903.5714285714284</v>
      </c>
      <c r="H27" s="52">
        <v>26500</v>
      </c>
      <c r="I27" s="53">
        <f t="shared" si="1"/>
        <v>860.35714285714289</v>
      </c>
      <c r="J27" s="55">
        <f t="shared" si="2"/>
        <v>146730</v>
      </c>
      <c r="K27" s="56">
        <f t="shared" si="3"/>
        <v>5240.3571428571431</v>
      </c>
      <c r="L27" s="57"/>
      <c r="M27" s="58">
        <f t="shared" si="4"/>
        <v>12</v>
      </c>
      <c r="N27" s="59">
        <f t="shared" si="4"/>
        <v>122260</v>
      </c>
      <c r="O27" s="53">
        <f t="shared" si="5"/>
        <v>9262.0833333333339</v>
      </c>
      <c r="P27" s="59">
        <f t="shared" si="6"/>
        <v>30500</v>
      </c>
      <c r="Q27" s="54">
        <f t="shared" si="7"/>
        <v>2310.5833333333335</v>
      </c>
      <c r="R27" s="60">
        <f t="shared" si="8"/>
        <v>152760</v>
      </c>
      <c r="S27" s="56">
        <f t="shared" si="9"/>
        <v>12730</v>
      </c>
      <c r="T27" s="80">
        <f t="shared" si="10"/>
        <v>40</v>
      </c>
      <c r="U27" s="59">
        <f t="shared" si="10"/>
        <v>242490</v>
      </c>
      <c r="V27" s="59">
        <f t="shared" si="11"/>
        <v>57000</v>
      </c>
      <c r="W27" s="62">
        <f t="shared" si="12"/>
        <v>299490</v>
      </c>
      <c r="X27" s="81"/>
      <c r="Y27" s="63"/>
      <c r="Z27" s="64">
        <v>18</v>
      </c>
      <c r="AA27" s="52">
        <v>11340</v>
      </c>
      <c r="AB27" s="53">
        <f t="shared" si="13"/>
        <v>630</v>
      </c>
      <c r="AC27" s="52">
        <v>2000</v>
      </c>
      <c r="AD27" s="54">
        <f t="shared" si="14"/>
        <v>111.11111111111111</v>
      </c>
      <c r="AE27" s="65">
        <f t="shared" si="15"/>
        <v>13340</v>
      </c>
      <c r="AF27" s="56">
        <f t="shared" si="16"/>
        <v>741.11111111111109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9"/>
        <v>0</v>
      </c>
      <c r="AN27" s="67" t="str">
        <f t="shared" si="19"/>
        <v/>
      </c>
      <c r="AO27" s="68">
        <v>80</v>
      </c>
      <c r="AP27" s="64">
        <v>258</v>
      </c>
      <c r="AQ27" s="52">
        <v>784400</v>
      </c>
      <c r="AR27" s="53">
        <f t="shared" si="20"/>
        <v>3040.3100775193798</v>
      </c>
      <c r="AS27" s="52">
        <v>451600</v>
      </c>
      <c r="AT27" s="54">
        <f t="shared" si="21"/>
        <v>1750.3875968992247</v>
      </c>
      <c r="AU27" s="54">
        <v>4400</v>
      </c>
      <c r="AV27" s="69">
        <f t="shared" si="30"/>
        <v>1240400</v>
      </c>
      <c r="AW27" s="67">
        <f t="shared" si="22"/>
        <v>4807.7519379844962</v>
      </c>
      <c r="AX27" s="82">
        <f t="shared" si="23"/>
        <v>40</v>
      </c>
      <c r="AY27" s="59">
        <f t="shared" si="24"/>
        <v>1038230</v>
      </c>
      <c r="AZ27" s="59">
        <f t="shared" si="25"/>
        <v>510600</v>
      </c>
      <c r="BA27" s="71">
        <f>W27+AE27+AM27+AV27</f>
        <v>1553230</v>
      </c>
      <c r="BB27" s="72">
        <f t="shared" si="31"/>
        <v>3850</v>
      </c>
      <c r="BC27" s="73">
        <v>40</v>
      </c>
      <c r="BD27" s="74">
        <v>242490</v>
      </c>
      <c r="BE27" s="74">
        <v>57000</v>
      </c>
      <c r="BF27" s="75">
        <v>3850</v>
      </c>
      <c r="BG27" s="75"/>
      <c r="BH27" s="75"/>
      <c r="BI27" s="75"/>
      <c r="BJ27" s="76">
        <f t="shared" si="32"/>
        <v>303340</v>
      </c>
      <c r="BK27" s="47">
        <v>23</v>
      </c>
      <c r="BL27" s="77">
        <f t="shared" si="27"/>
        <v>303340</v>
      </c>
    </row>
    <row r="28" spans="2:64" ht="20" customHeight="1">
      <c r="B28" s="78">
        <f>B27+1</f>
        <v>45162</v>
      </c>
      <c r="C28" s="79"/>
      <c r="D28" s="50"/>
      <c r="E28" s="51">
        <v>35</v>
      </c>
      <c r="F28" s="52">
        <v>132110</v>
      </c>
      <c r="G28" s="53">
        <f t="shared" si="0"/>
        <v>3431.4285714285716</v>
      </c>
      <c r="H28" s="52">
        <v>17070</v>
      </c>
      <c r="I28" s="53">
        <f t="shared" si="1"/>
        <v>443.37142857142857</v>
      </c>
      <c r="J28" s="55">
        <f t="shared" si="2"/>
        <v>149180</v>
      </c>
      <c r="K28" s="56">
        <f t="shared" si="3"/>
        <v>4262.2857142857147</v>
      </c>
      <c r="L28" s="57"/>
      <c r="M28" s="58">
        <f t="shared" si="4"/>
        <v>14</v>
      </c>
      <c r="N28" s="59">
        <f t="shared" si="4"/>
        <v>133540</v>
      </c>
      <c r="O28" s="53">
        <f t="shared" si="5"/>
        <v>8671.4285714285706</v>
      </c>
      <c r="P28" s="59">
        <f t="shared" si="6"/>
        <v>35020</v>
      </c>
      <c r="Q28" s="54">
        <f>ROUNDDOWN(P28/1.1,0)/M28</f>
        <v>2274</v>
      </c>
      <c r="R28" s="60">
        <f t="shared" si="8"/>
        <v>168560</v>
      </c>
      <c r="S28" s="56">
        <f t="shared" si="9"/>
        <v>12040</v>
      </c>
      <c r="T28" s="80">
        <f t="shared" si="10"/>
        <v>49</v>
      </c>
      <c r="U28" s="59">
        <f t="shared" si="10"/>
        <v>265650</v>
      </c>
      <c r="V28" s="59">
        <f t="shared" si="11"/>
        <v>52090</v>
      </c>
      <c r="W28" s="62">
        <f t="shared" si="12"/>
        <v>317740</v>
      </c>
      <c r="X28" s="81"/>
      <c r="Y28" s="63"/>
      <c r="Z28" s="64">
        <v>12</v>
      </c>
      <c r="AA28" s="52">
        <v>6690</v>
      </c>
      <c r="AB28" s="53">
        <f t="shared" si="13"/>
        <v>557.5</v>
      </c>
      <c r="AC28" s="52">
        <v>1500</v>
      </c>
      <c r="AD28" s="54">
        <f t="shared" si="14"/>
        <v>125</v>
      </c>
      <c r="AE28" s="65">
        <f t="shared" si="15"/>
        <v>8190</v>
      </c>
      <c r="AF28" s="56">
        <f t="shared" si="16"/>
        <v>682.5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>
        <v>66</v>
      </c>
      <c r="AP28" s="64">
        <v>230</v>
      </c>
      <c r="AQ28" s="52">
        <v>738550</v>
      </c>
      <c r="AR28" s="53">
        <f t="shared" si="20"/>
        <v>3211.086956521739</v>
      </c>
      <c r="AS28" s="52">
        <v>408850</v>
      </c>
      <c r="AT28" s="54">
        <f t="shared" si="21"/>
        <v>1777.608695652174</v>
      </c>
      <c r="AU28" s="54">
        <v>18700</v>
      </c>
      <c r="AV28" s="215">
        <f t="shared" si="30"/>
        <v>1166100</v>
      </c>
      <c r="AW28" s="67">
        <f t="shared" si="22"/>
        <v>5070</v>
      </c>
      <c r="AX28" s="82">
        <f t="shared" si="23"/>
        <v>49</v>
      </c>
      <c r="AY28" s="59">
        <f t="shared" si="24"/>
        <v>1010890</v>
      </c>
      <c r="AZ28" s="59">
        <f t="shared" si="25"/>
        <v>462440</v>
      </c>
      <c r="BA28" s="71">
        <f t="shared" si="26"/>
        <v>1492030</v>
      </c>
      <c r="BB28" s="72">
        <f t="shared" si="31"/>
        <v>10450</v>
      </c>
      <c r="BC28" s="73">
        <v>49</v>
      </c>
      <c r="BD28" s="74">
        <v>265650</v>
      </c>
      <c r="BE28" s="74">
        <v>52090</v>
      </c>
      <c r="BF28" s="75">
        <v>4950</v>
      </c>
      <c r="BG28" s="75">
        <v>5500</v>
      </c>
      <c r="BH28" s="75"/>
      <c r="BI28" s="75"/>
      <c r="BJ28" s="76">
        <f t="shared" si="32"/>
        <v>328190</v>
      </c>
      <c r="BK28" s="47">
        <v>24</v>
      </c>
      <c r="BL28" s="77">
        <f t="shared" si="27"/>
        <v>328190</v>
      </c>
    </row>
    <row r="29" spans="2:64" ht="20" customHeight="1">
      <c r="B29" s="78">
        <f t="shared" si="28"/>
        <v>45163</v>
      </c>
      <c r="C29" s="79"/>
      <c r="D29" s="50"/>
      <c r="E29" s="51">
        <v>30</v>
      </c>
      <c r="F29" s="52">
        <v>110550</v>
      </c>
      <c r="G29" s="53">
        <f t="shared" si="0"/>
        <v>3350</v>
      </c>
      <c r="H29" s="52">
        <v>22680</v>
      </c>
      <c r="I29" s="53">
        <f t="shared" si="1"/>
        <v>687.26666666666665</v>
      </c>
      <c r="J29" s="55">
        <f t="shared" si="2"/>
        <v>133230</v>
      </c>
      <c r="K29" s="56">
        <f t="shared" si="3"/>
        <v>4441</v>
      </c>
      <c r="L29" s="57"/>
      <c r="M29" s="58">
        <f t="shared" si="4"/>
        <v>20</v>
      </c>
      <c r="N29" s="59">
        <f t="shared" si="4"/>
        <v>210430</v>
      </c>
      <c r="O29" s="53">
        <f t="shared" si="5"/>
        <v>9565</v>
      </c>
      <c r="P29" s="59">
        <f t="shared" si="6"/>
        <v>60500</v>
      </c>
      <c r="Q29" s="54">
        <f t="shared" si="7"/>
        <v>2750</v>
      </c>
      <c r="R29" s="60">
        <f t="shared" si="8"/>
        <v>270930</v>
      </c>
      <c r="S29" s="56">
        <f t="shared" si="9"/>
        <v>13546.5</v>
      </c>
      <c r="T29" s="80">
        <f t="shared" si="10"/>
        <v>50</v>
      </c>
      <c r="U29" s="59">
        <f t="shared" si="10"/>
        <v>320980</v>
      </c>
      <c r="V29" s="59">
        <f t="shared" si="11"/>
        <v>83180</v>
      </c>
      <c r="W29" s="62">
        <f t="shared" si="12"/>
        <v>404160</v>
      </c>
      <c r="X29" s="81"/>
      <c r="Y29" s="63"/>
      <c r="Z29" s="64">
        <v>12</v>
      </c>
      <c r="AA29" s="52">
        <v>7240</v>
      </c>
      <c r="AB29" s="53">
        <f t="shared" si="13"/>
        <v>603.33333333333337</v>
      </c>
      <c r="AC29" s="52">
        <v>3000</v>
      </c>
      <c r="AD29" s="54">
        <f t="shared" si="14"/>
        <v>250</v>
      </c>
      <c r="AE29" s="65">
        <f t="shared" si="15"/>
        <v>10240</v>
      </c>
      <c r="AF29" s="56">
        <f t="shared" si="16"/>
        <v>853.33333333333337</v>
      </c>
      <c r="AG29" s="66">
        <v>1</v>
      </c>
      <c r="AH29" s="64">
        <v>31</v>
      </c>
      <c r="AI29" s="52">
        <v>121365</v>
      </c>
      <c r="AJ29" s="53">
        <f t="shared" si="17"/>
        <v>3915</v>
      </c>
      <c r="AK29" s="52">
        <v>40455</v>
      </c>
      <c r="AL29" s="54">
        <f t="shared" si="18"/>
        <v>1305</v>
      </c>
      <c r="AM29" s="65">
        <f t="shared" si="29"/>
        <v>161820</v>
      </c>
      <c r="AN29" s="67">
        <f t="shared" si="19"/>
        <v>5220</v>
      </c>
      <c r="AO29" s="68">
        <v>60</v>
      </c>
      <c r="AP29" s="64">
        <v>265</v>
      </c>
      <c r="AQ29" s="52">
        <v>848850</v>
      </c>
      <c r="AR29" s="53">
        <f t="shared" si="20"/>
        <v>3203.2075471698113</v>
      </c>
      <c r="AS29" s="52">
        <v>452650</v>
      </c>
      <c r="AT29" s="54">
        <f t="shared" si="21"/>
        <v>1708.1132075471698</v>
      </c>
      <c r="AU29" s="54">
        <v>22550</v>
      </c>
      <c r="AV29" s="69">
        <f t="shared" si="30"/>
        <v>1324050</v>
      </c>
      <c r="AW29" s="67">
        <f t="shared" si="22"/>
        <v>4996.4150943396226</v>
      </c>
      <c r="AX29" s="82">
        <f t="shared" si="23"/>
        <v>50</v>
      </c>
      <c r="AY29" s="59">
        <f t="shared" si="24"/>
        <v>1298435</v>
      </c>
      <c r="AZ29" s="59">
        <f t="shared" si="25"/>
        <v>579285</v>
      </c>
      <c r="BA29" s="71">
        <f t="shared" si="26"/>
        <v>1900270</v>
      </c>
      <c r="BB29" s="72">
        <f t="shared" si="31"/>
        <v>5500</v>
      </c>
      <c r="BC29" s="73">
        <v>50</v>
      </c>
      <c r="BD29" s="74">
        <v>320980</v>
      </c>
      <c r="BE29" s="74">
        <v>83180</v>
      </c>
      <c r="BF29" s="75">
        <v>5500</v>
      </c>
      <c r="BG29" s="75"/>
      <c r="BH29" s="75"/>
      <c r="BI29" s="75">
        <v>20000</v>
      </c>
      <c r="BJ29" s="76">
        <f t="shared" si="32"/>
        <v>409660</v>
      </c>
      <c r="BK29" s="47">
        <v>25</v>
      </c>
      <c r="BL29" s="77">
        <f t="shared" si="27"/>
        <v>429660</v>
      </c>
    </row>
    <row r="30" spans="2:64" ht="20" customHeight="1">
      <c r="B30" s="78">
        <f t="shared" si="28"/>
        <v>45164</v>
      </c>
      <c r="C30" s="79"/>
      <c r="D30" s="50"/>
      <c r="E30" s="51">
        <v>36</v>
      </c>
      <c r="F30" s="52">
        <v>159610</v>
      </c>
      <c r="G30" s="53">
        <f t="shared" si="0"/>
        <v>4030.5555555555557</v>
      </c>
      <c r="H30" s="52">
        <v>38050</v>
      </c>
      <c r="I30" s="53">
        <f t="shared" si="1"/>
        <v>960.83333333333337</v>
      </c>
      <c r="J30" s="55">
        <f t="shared" si="2"/>
        <v>197660</v>
      </c>
      <c r="K30" s="56">
        <f t="shared" si="3"/>
        <v>5490.5555555555557</v>
      </c>
      <c r="L30" s="57"/>
      <c r="M30" s="58">
        <f t="shared" si="4"/>
        <v>26</v>
      </c>
      <c r="N30" s="59">
        <f t="shared" si="4"/>
        <v>255450</v>
      </c>
      <c r="O30" s="53">
        <f t="shared" si="5"/>
        <v>8931.8076923076915</v>
      </c>
      <c r="P30" s="59">
        <f t="shared" si="6"/>
        <v>70660</v>
      </c>
      <c r="Q30" s="53">
        <f t="shared" si="7"/>
        <v>2470.6153846153848</v>
      </c>
      <c r="R30" s="60">
        <f t="shared" si="8"/>
        <v>326110</v>
      </c>
      <c r="S30" s="56">
        <f t="shared" si="9"/>
        <v>12542.692307692309</v>
      </c>
      <c r="T30" s="80">
        <f t="shared" si="10"/>
        <v>62</v>
      </c>
      <c r="U30" s="59">
        <f t="shared" si="10"/>
        <v>415060</v>
      </c>
      <c r="V30" s="59">
        <f t="shared" si="11"/>
        <v>108710</v>
      </c>
      <c r="W30" s="62">
        <f t="shared" si="12"/>
        <v>523770</v>
      </c>
      <c r="X30" s="81"/>
      <c r="Y30" s="63"/>
      <c r="Z30" s="64">
        <v>44</v>
      </c>
      <c r="AA30" s="52">
        <v>25200</v>
      </c>
      <c r="AB30" s="53">
        <f t="shared" si="13"/>
        <v>572.72727272727275</v>
      </c>
      <c r="AC30" s="52">
        <v>10500</v>
      </c>
      <c r="AD30" s="54">
        <f t="shared" si="14"/>
        <v>238.63636363636363</v>
      </c>
      <c r="AE30" s="65">
        <f t="shared" si="15"/>
        <v>35700</v>
      </c>
      <c r="AF30" s="56">
        <f t="shared" si="16"/>
        <v>811.36363636363637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9"/>
        <v>0</v>
      </c>
      <c r="AN30" s="67" t="str">
        <f t="shared" si="19"/>
        <v/>
      </c>
      <c r="AO30" s="68">
        <v>135</v>
      </c>
      <c r="AP30" s="64">
        <v>407</v>
      </c>
      <c r="AQ30" s="52">
        <v>1102550</v>
      </c>
      <c r="AR30" s="53">
        <f t="shared" si="20"/>
        <v>2708.9680589680588</v>
      </c>
      <c r="AS30" s="52">
        <v>639200</v>
      </c>
      <c r="AT30" s="54">
        <f t="shared" si="21"/>
        <v>1570.5159705159706</v>
      </c>
      <c r="AU30" s="54">
        <v>39050</v>
      </c>
      <c r="AV30" s="69">
        <f t="shared" si="30"/>
        <v>1780800</v>
      </c>
      <c r="AW30" s="67">
        <f t="shared" si="22"/>
        <v>4375.4299754299755</v>
      </c>
      <c r="AX30" s="82">
        <f t="shared" si="23"/>
        <v>62</v>
      </c>
      <c r="AY30" s="59">
        <f t="shared" si="24"/>
        <v>1542810</v>
      </c>
      <c r="AZ30" s="59">
        <f t="shared" si="25"/>
        <v>758410</v>
      </c>
      <c r="BA30" s="71">
        <f t="shared" si="26"/>
        <v>2340270</v>
      </c>
      <c r="BB30" s="72">
        <f t="shared" si="31"/>
        <v>4400</v>
      </c>
      <c r="BC30" s="73">
        <v>62</v>
      </c>
      <c r="BD30" s="74">
        <v>415060</v>
      </c>
      <c r="BE30" s="74">
        <v>108710</v>
      </c>
      <c r="BF30" s="75">
        <v>3300</v>
      </c>
      <c r="BG30" s="75">
        <v>1100</v>
      </c>
      <c r="BH30" s="75"/>
      <c r="BI30" s="75"/>
      <c r="BJ30" s="76">
        <f t="shared" si="32"/>
        <v>528170</v>
      </c>
      <c r="BK30" s="47">
        <v>26</v>
      </c>
      <c r="BL30" s="77">
        <f t="shared" si="27"/>
        <v>528170</v>
      </c>
    </row>
    <row r="31" spans="2:64" ht="20" customHeight="1">
      <c r="B31" s="78">
        <f t="shared" si="28"/>
        <v>45165</v>
      </c>
      <c r="C31" s="79"/>
      <c r="D31" s="50"/>
      <c r="E31" s="51">
        <v>30</v>
      </c>
      <c r="F31" s="52">
        <v>102960</v>
      </c>
      <c r="G31" s="53">
        <f t="shared" si="0"/>
        <v>3120</v>
      </c>
      <c r="H31" s="52">
        <v>28300</v>
      </c>
      <c r="I31" s="53">
        <f t="shared" si="1"/>
        <v>857.56666666666672</v>
      </c>
      <c r="J31" s="55">
        <f t="shared" si="2"/>
        <v>131260</v>
      </c>
      <c r="K31" s="56">
        <f t="shared" si="3"/>
        <v>4375.333333333333</v>
      </c>
      <c r="L31" s="57"/>
      <c r="M31" s="58">
        <f t="shared" si="4"/>
        <v>19</v>
      </c>
      <c r="N31" s="59">
        <f t="shared" si="4"/>
        <v>188540</v>
      </c>
      <c r="O31" s="53">
        <f t="shared" si="5"/>
        <v>9021.0526315789466</v>
      </c>
      <c r="P31" s="59">
        <f t="shared" si="6"/>
        <v>32370</v>
      </c>
      <c r="Q31" s="53">
        <f t="shared" si="7"/>
        <v>1548.7894736842106</v>
      </c>
      <c r="R31" s="60">
        <f t="shared" si="8"/>
        <v>220910</v>
      </c>
      <c r="S31" s="56">
        <f t="shared" si="9"/>
        <v>11626.842105263158</v>
      </c>
      <c r="T31" s="80">
        <f t="shared" si="10"/>
        <v>49</v>
      </c>
      <c r="U31" s="59">
        <f t="shared" si="10"/>
        <v>291500</v>
      </c>
      <c r="V31" s="59">
        <f t="shared" si="11"/>
        <v>60670</v>
      </c>
      <c r="W31" s="62">
        <f t="shared" si="12"/>
        <v>352170</v>
      </c>
      <c r="X31" s="81"/>
      <c r="Y31" s="63"/>
      <c r="Z31" s="64">
        <v>9</v>
      </c>
      <c r="AA31" s="52">
        <v>5200</v>
      </c>
      <c r="AB31" s="53">
        <f t="shared" si="13"/>
        <v>577.77777777777783</v>
      </c>
      <c r="AC31" s="52">
        <v>3990</v>
      </c>
      <c r="AD31" s="54">
        <f t="shared" si="14"/>
        <v>443.33333333333331</v>
      </c>
      <c r="AE31" s="65">
        <f t="shared" si="15"/>
        <v>9190</v>
      </c>
      <c r="AF31" s="56">
        <f t="shared" si="16"/>
        <v>1021.1111111111111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>
        <v>117</v>
      </c>
      <c r="AP31" s="64">
        <v>341</v>
      </c>
      <c r="AQ31" s="52">
        <v>1007250</v>
      </c>
      <c r="AR31" s="53">
        <f t="shared" si="20"/>
        <v>2953.8123167155427</v>
      </c>
      <c r="AS31" s="52">
        <v>556800</v>
      </c>
      <c r="AT31" s="54">
        <f t="shared" si="21"/>
        <v>1632.8445747800586</v>
      </c>
      <c r="AU31" s="54">
        <v>30800</v>
      </c>
      <c r="AV31" s="69">
        <f t="shared" si="30"/>
        <v>1594850</v>
      </c>
      <c r="AW31" s="67">
        <f t="shared" si="22"/>
        <v>4676.9794721407625</v>
      </c>
      <c r="AX31" s="82">
        <f t="shared" si="23"/>
        <v>49</v>
      </c>
      <c r="AY31" s="59">
        <f t="shared" si="24"/>
        <v>1303950</v>
      </c>
      <c r="AZ31" s="59">
        <f t="shared" si="25"/>
        <v>621460</v>
      </c>
      <c r="BA31" s="71">
        <f>W31+AE31+AM31+AV31</f>
        <v>1956210</v>
      </c>
      <c r="BB31" s="72">
        <f t="shared" si="31"/>
        <v>9350</v>
      </c>
      <c r="BC31" s="73">
        <v>49</v>
      </c>
      <c r="BD31" s="74">
        <v>291500</v>
      </c>
      <c r="BE31" s="74">
        <v>60670</v>
      </c>
      <c r="BF31" s="75">
        <v>2750</v>
      </c>
      <c r="BG31" s="75">
        <v>6600</v>
      </c>
      <c r="BH31" s="75"/>
      <c r="BI31" s="75"/>
      <c r="BJ31" s="76">
        <f t="shared" si="32"/>
        <v>361520</v>
      </c>
      <c r="BK31" s="47">
        <v>27</v>
      </c>
      <c r="BL31" s="77">
        <f t="shared" si="27"/>
        <v>361520</v>
      </c>
    </row>
    <row r="32" spans="2:64" ht="20" customHeight="1">
      <c r="B32" s="78">
        <f t="shared" si="28"/>
        <v>45166</v>
      </c>
      <c r="C32" s="79"/>
      <c r="D32" s="50"/>
      <c r="E32" s="51">
        <v>31</v>
      </c>
      <c r="F32" s="52">
        <v>136070</v>
      </c>
      <c r="G32" s="53">
        <f t="shared" si="0"/>
        <v>3990.3225806451615</v>
      </c>
      <c r="H32" s="52">
        <v>24280</v>
      </c>
      <c r="I32" s="53">
        <f t="shared" si="1"/>
        <v>712</v>
      </c>
      <c r="J32" s="55">
        <f t="shared" si="2"/>
        <v>160350</v>
      </c>
      <c r="K32" s="56">
        <f t="shared" si="3"/>
        <v>5172.5806451612907</v>
      </c>
      <c r="L32" s="57"/>
      <c r="M32" s="58">
        <f t="shared" si="4"/>
        <v>8</v>
      </c>
      <c r="N32" s="59">
        <f t="shared" si="4"/>
        <v>81620</v>
      </c>
      <c r="O32" s="53">
        <f t="shared" si="5"/>
        <v>9275</v>
      </c>
      <c r="P32" s="59">
        <f t="shared" si="6"/>
        <v>49170</v>
      </c>
      <c r="Q32" s="53">
        <f t="shared" si="7"/>
        <v>5587.5</v>
      </c>
      <c r="R32" s="60">
        <f t="shared" si="8"/>
        <v>130790</v>
      </c>
      <c r="S32" s="56">
        <f t="shared" si="9"/>
        <v>16348.75</v>
      </c>
      <c r="T32" s="80">
        <f t="shared" si="10"/>
        <v>39</v>
      </c>
      <c r="U32" s="59">
        <f t="shared" si="10"/>
        <v>217690</v>
      </c>
      <c r="V32" s="59">
        <f t="shared" si="11"/>
        <v>73450</v>
      </c>
      <c r="W32" s="62">
        <f t="shared" si="12"/>
        <v>291140</v>
      </c>
      <c r="X32" s="81"/>
      <c r="Y32" s="63"/>
      <c r="Z32" s="64">
        <v>17</v>
      </c>
      <c r="AA32" s="52">
        <v>9900</v>
      </c>
      <c r="AB32" s="53">
        <f t="shared" si="13"/>
        <v>582.35294117647061</v>
      </c>
      <c r="AC32" s="52">
        <v>4500</v>
      </c>
      <c r="AD32" s="54">
        <f t="shared" si="14"/>
        <v>264.70588235294116</v>
      </c>
      <c r="AE32" s="65">
        <f t="shared" si="15"/>
        <v>14400</v>
      </c>
      <c r="AF32" s="56">
        <f t="shared" si="16"/>
        <v>847.05882352941171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>
        <v>84</v>
      </c>
      <c r="AP32" s="64">
        <v>209</v>
      </c>
      <c r="AQ32" s="52">
        <v>547500</v>
      </c>
      <c r="AR32" s="53">
        <f t="shared" si="20"/>
        <v>2619.6172248803828</v>
      </c>
      <c r="AS32" s="52">
        <v>282400</v>
      </c>
      <c r="AT32" s="54">
        <f t="shared" si="21"/>
        <v>1351.1961722488038</v>
      </c>
      <c r="AU32" s="54">
        <v>2200</v>
      </c>
      <c r="AV32" s="69">
        <f t="shared" si="30"/>
        <v>832100</v>
      </c>
      <c r="AW32" s="67">
        <f t="shared" si="22"/>
        <v>3981.3397129186601</v>
      </c>
      <c r="AX32" s="82">
        <f t="shared" si="23"/>
        <v>39</v>
      </c>
      <c r="AY32" s="59">
        <f t="shared" si="24"/>
        <v>775090</v>
      </c>
      <c r="AZ32" s="59">
        <f t="shared" si="25"/>
        <v>360350</v>
      </c>
      <c r="BA32" s="71">
        <f t="shared" si="26"/>
        <v>1137640</v>
      </c>
      <c r="BB32" s="72">
        <f t="shared" si="31"/>
        <v>6050</v>
      </c>
      <c r="BC32" s="73">
        <v>39</v>
      </c>
      <c r="BD32" s="74">
        <v>217690</v>
      </c>
      <c r="BE32" s="74">
        <v>73450</v>
      </c>
      <c r="BF32" s="75">
        <v>6050</v>
      </c>
      <c r="BG32" s="75"/>
      <c r="BH32" s="75"/>
      <c r="BI32" s="75"/>
      <c r="BJ32" s="76">
        <f t="shared" si="32"/>
        <v>297190</v>
      </c>
      <c r="BK32" s="47">
        <v>28</v>
      </c>
      <c r="BL32" s="77">
        <f t="shared" si="27"/>
        <v>297190</v>
      </c>
    </row>
    <row r="33" spans="2:69" ht="20" customHeight="1">
      <c r="B33" s="78">
        <f t="shared" si="28"/>
        <v>45167</v>
      </c>
      <c r="C33" s="79"/>
      <c r="D33" s="50"/>
      <c r="E33" s="51">
        <v>39</v>
      </c>
      <c r="F33" s="52">
        <v>161260</v>
      </c>
      <c r="G33" s="53">
        <f t="shared" si="0"/>
        <v>3758.9743589743589</v>
      </c>
      <c r="H33" s="52">
        <v>19840</v>
      </c>
      <c r="I33" s="53">
        <f t="shared" si="1"/>
        <v>462.46153846153845</v>
      </c>
      <c r="J33" s="55">
        <f t="shared" si="2"/>
        <v>181100</v>
      </c>
      <c r="K33" s="56">
        <f t="shared" si="3"/>
        <v>4643.5897435897432</v>
      </c>
      <c r="L33" s="57"/>
      <c r="M33" s="58">
        <f t="shared" si="4"/>
        <v>6</v>
      </c>
      <c r="N33" s="59">
        <f t="shared" si="4"/>
        <v>58960</v>
      </c>
      <c r="O33" s="53">
        <f t="shared" si="5"/>
        <v>8933.3333333333339</v>
      </c>
      <c r="P33" s="59">
        <f t="shared" si="6"/>
        <v>19030</v>
      </c>
      <c r="Q33" s="53">
        <f t="shared" si="7"/>
        <v>2883.3333333333335</v>
      </c>
      <c r="R33" s="60">
        <f t="shared" si="8"/>
        <v>77990</v>
      </c>
      <c r="S33" s="56">
        <f t="shared" si="9"/>
        <v>12998.333333333334</v>
      </c>
      <c r="T33" s="80">
        <f t="shared" si="10"/>
        <v>45</v>
      </c>
      <c r="U33" s="59">
        <f t="shared" si="10"/>
        <v>220220</v>
      </c>
      <c r="V33" s="59">
        <f t="shared" si="11"/>
        <v>38870</v>
      </c>
      <c r="W33" s="62">
        <f>J33+R33</f>
        <v>259090</v>
      </c>
      <c r="X33" s="81"/>
      <c r="Y33" s="63"/>
      <c r="Z33" s="64">
        <v>10</v>
      </c>
      <c r="AA33" s="52">
        <v>6750</v>
      </c>
      <c r="AB33" s="53">
        <f t="shared" si="13"/>
        <v>675</v>
      </c>
      <c r="AC33" s="52">
        <v>0</v>
      </c>
      <c r="AD33" s="54">
        <f t="shared" si="14"/>
        <v>0</v>
      </c>
      <c r="AE33" s="65">
        <f t="shared" si="15"/>
        <v>6750</v>
      </c>
      <c r="AF33" s="56">
        <f t="shared" si="16"/>
        <v>675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9"/>
        <v>0</v>
      </c>
      <c r="AN33" s="67" t="str">
        <f t="shared" si="19"/>
        <v/>
      </c>
      <c r="AO33" s="68">
        <v>94</v>
      </c>
      <c r="AP33" s="64">
        <v>259</v>
      </c>
      <c r="AQ33" s="52">
        <v>771850</v>
      </c>
      <c r="AR33" s="53">
        <f t="shared" si="20"/>
        <v>2980.1158301158302</v>
      </c>
      <c r="AS33" s="52">
        <v>411350</v>
      </c>
      <c r="AT33" s="54">
        <f t="shared" si="21"/>
        <v>1588.2239382239381</v>
      </c>
      <c r="AU33" s="54">
        <v>1100</v>
      </c>
      <c r="AV33" s="69">
        <f t="shared" si="30"/>
        <v>1184300</v>
      </c>
      <c r="AW33" s="67">
        <f t="shared" si="22"/>
        <v>4572.5868725868722</v>
      </c>
      <c r="AX33" s="82">
        <f t="shared" si="23"/>
        <v>45</v>
      </c>
      <c r="AY33" s="59">
        <f t="shared" si="24"/>
        <v>998820</v>
      </c>
      <c r="AZ33" s="59">
        <f t="shared" si="25"/>
        <v>450220</v>
      </c>
      <c r="BA33" s="71">
        <f>W33+AE33+AM33+AV33</f>
        <v>1450140</v>
      </c>
      <c r="BB33" s="72">
        <f t="shared" si="31"/>
        <v>4950</v>
      </c>
      <c r="BC33" s="73">
        <v>45</v>
      </c>
      <c r="BD33" s="74">
        <v>220220</v>
      </c>
      <c r="BE33" s="74">
        <v>38870</v>
      </c>
      <c r="BF33" s="75">
        <v>4950</v>
      </c>
      <c r="BG33" s="75"/>
      <c r="BH33" s="75"/>
      <c r="BI33" s="75"/>
      <c r="BJ33" s="76">
        <f t="shared" si="32"/>
        <v>264040</v>
      </c>
      <c r="BK33" s="47">
        <v>29</v>
      </c>
      <c r="BL33" s="77">
        <f t="shared" si="27"/>
        <v>264040</v>
      </c>
    </row>
    <row r="34" spans="2:69" ht="20" customHeight="1">
      <c r="B34" s="78">
        <f t="shared" si="28"/>
        <v>45168</v>
      </c>
      <c r="C34" s="79"/>
      <c r="D34" s="50"/>
      <c r="E34" s="51">
        <v>21</v>
      </c>
      <c r="F34" s="52">
        <v>74030</v>
      </c>
      <c r="G34" s="53">
        <f t="shared" si="0"/>
        <v>3204.7619047619046</v>
      </c>
      <c r="H34" s="52">
        <v>20340</v>
      </c>
      <c r="I34" s="53">
        <f t="shared" si="1"/>
        <v>880.47619047619048</v>
      </c>
      <c r="J34" s="55">
        <f t="shared" si="2"/>
        <v>94370</v>
      </c>
      <c r="K34" s="56">
        <f t="shared" si="3"/>
        <v>4493.8095238095239</v>
      </c>
      <c r="L34" s="57"/>
      <c r="M34" s="58">
        <f t="shared" si="4"/>
        <v>17</v>
      </c>
      <c r="N34" s="59">
        <f t="shared" si="4"/>
        <v>165000</v>
      </c>
      <c r="O34" s="53">
        <f t="shared" si="5"/>
        <v>8823.5294117647063</v>
      </c>
      <c r="P34" s="59">
        <f t="shared" si="6"/>
        <v>50060</v>
      </c>
      <c r="Q34" s="53">
        <f t="shared" si="7"/>
        <v>2677</v>
      </c>
      <c r="R34" s="60">
        <f t="shared" si="8"/>
        <v>215060</v>
      </c>
      <c r="S34" s="56">
        <f t="shared" si="9"/>
        <v>12650.588235294117</v>
      </c>
      <c r="T34" s="80">
        <f t="shared" si="10"/>
        <v>38</v>
      </c>
      <c r="U34" s="59">
        <f t="shared" si="10"/>
        <v>239030</v>
      </c>
      <c r="V34" s="59">
        <f t="shared" si="11"/>
        <v>70400</v>
      </c>
      <c r="W34" s="62">
        <f t="shared" si="12"/>
        <v>309430</v>
      </c>
      <c r="X34" s="81"/>
      <c r="Y34" s="85"/>
      <c r="Z34" s="86">
        <v>17</v>
      </c>
      <c r="AA34" s="87">
        <v>8970</v>
      </c>
      <c r="AB34" s="53">
        <f t="shared" si="13"/>
        <v>527.64705882352939</v>
      </c>
      <c r="AC34" s="87">
        <v>6000</v>
      </c>
      <c r="AD34" s="54">
        <f t="shared" si="14"/>
        <v>352.94117647058823</v>
      </c>
      <c r="AE34" s="65">
        <f t="shared" si="15"/>
        <v>14970</v>
      </c>
      <c r="AF34" s="56">
        <f t="shared" si="16"/>
        <v>880.58823529411768</v>
      </c>
      <c r="AG34" s="66"/>
      <c r="AH34" s="86"/>
      <c r="AI34" s="87"/>
      <c r="AJ34" s="53" t="e">
        <f t="shared" si="17"/>
        <v>#DIV/0!</v>
      </c>
      <c r="AK34" s="87"/>
      <c r="AL34" s="54" t="e">
        <f t="shared" si="18"/>
        <v>#DIV/0!</v>
      </c>
      <c r="AM34" s="65">
        <f t="shared" si="29"/>
        <v>0</v>
      </c>
      <c r="AN34" s="67" t="str">
        <f t="shared" si="19"/>
        <v/>
      </c>
      <c r="AO34" s="68">
        <v>86</v>
      </c>
      <c r="AP34" s="86">
        <v>322</v>
      </c>
      <c r="AQ34" s="87">
        <v>741700</v>
      </c>
      <c r="AR34" s="53">
        <f t="shared" si="20"/>
        <v>2303.4161490683232</v>
      </c>
      <c r="AS34" s="87">
        <v>425200</v>
      </c>
      <c r="AT34" s="54">
        <f t="shared" si="21"/>
        <v>1320.4968944099378</v>
      </c>
      <c r="AU34" s="54">
        <v>49500</v>
      </c>
      <c r="AV34" s="69">
        <f t="shared" si="30"/>
        <v>1216400</v>
      </c>
      <c r="AW34" s="67">
        <f t="shared" si="22"/>
        <v>3777.6397515527951</v>
      </c>
      <c r="AX34" s="82">
        <f t="shared" si="23"/>
        <v>38</v>
      </c>
      <c r="AY34" s="59">
        <f t="shared" si="24"/>
        <v>989700</v>
      </c>
      <c r="AZ34" s="59">
        <f t="shared" si="25"/>
        <v>501600</v>
      </c>
      <c r="BA34" s="71">
        <f>W34+AE34+AM34+AV34</f>
        <v>1540800</v>
      </c>
      <c r="BB34" s="72">
        <f t="shared" si="31"/>
        <v>0</v>
      </c>
      <c r="BC34" s="73">
        <v>38</v>
      </c>
      <c r="BD34" s="74">
        <v>239030</v>
      </c>
      <c r="BE34" s="74">
        <v>70400</v>
      </c>
      <c r="BF34" s="75">
        <v>0</v>
      </c>
      <c r="BG34" s="75"/>
      <c r="BH34" s="75"/>
      <c r="BI34" s="75"/>
      <c r="BJ34" s="76">
        <f t="shared" si="32"/>
        <v>309430</v>
      </c>
      <c r="BK34" s="47">
        <v>30</v>
      </c>
      <c r="BL34" s="77">
        <f t="shared" si="27"/>
        <v>309430</v>
      </c>
    </row>
    <row r="35" spans="2:69" ht="20" customHeight="1" thickBot="1">
      <c r="B35" s="88">
        <f t="shared" si="28"/>
        <v>45169</v>
      </c>
      <c r="C35" s="79"/>
      <c r="D35" s="50"/>
      <c r="E35" s="51">
        <v>30</v>
      </c>
      <c r="F35" s="52">
        <v>126720</v>
      </c>
      <c r="G35" s="53">
        <f t="shared" si="0"/>
        <v>3840</v>
      </c>
      <c r="H35" s="52">
        <v>11810</v>
      </c>
      <c r="I35" s="53">
        <f t="shared" si="1"/>
        <v>357.86666666666667</v>
      </c>
      <c r="J35" s="55">
        <f t="shared" si="2"/>
        <v>138530</v>
      </c>
      <c r="K35" s="56">
        <f t="shared" si="3"/>
        <v>4617.666666666667</v>
      </c>
      <c r="L35" s="57"/>
      <c r="M35" s="89">
        <f t="shared" si="4"/>
        <v>18</v>
      </c>
      <c r="N35" s="59">
        <f t="shared" si="4"/>
        <v>179960</v>
      </c>
      <c r="O35" s="53">
        <f t="shared" si="5"/>
        <v>9088.8888888888887</v>
      </c>
      <c r="P35" s="59">
        <f t="shared" si="6"/>
        <v>37890</v>
      </c>
      <c r="Q35" s="53">
        <f t="shared" si="7"/>
        <v>1913.6111111111111</v>
      </c>
      <c r="R35" s="60">
        <f t="shared" si="8"/>
        <v>217850</v>
      </c>
      <c r="S35" s="56">
        <f t="shared" si="9"/>
        <v>12102.777777777777</v>
      </c>
      <c r="T35" s="90">
        <f t="shared" si="10"/>
        <v>48</v>
      </c>
      <c r="U35" s="91">
        <f t="shared" si="10"/>
        <v>306680</v>
      </c>
      <c r="V35" s="91">
        <f t="shared" si="11"/>
        <v>49700</v>
      </c>
      <c r="W35" s="92">
        <f t="shared" si="12"/>
        <v>356380</v>
      </c>
      <c r="X35" s="91"/>
      <c r="Y35" s="93"/>
      <c r="Z35" s="94">
        <v>3</v>
      </c>
      <c r="AA35" s="95">
        <v>2210</v>
      </c>
      <c r="AB35" s="96">
        <f t="shared" si="13"/>
        <v>736.66666666666663</v>
      </c>
      <c r="AC35" s="95">
        <v>0</v>
      </c>
      <c r="AD35" s="97">
        <f t="shared" si="14"/>
        <v>0</v>
      </c>
      <c r="AE35" s="98">
        <f t="shared" si="15"/>
        <v>2210</v>
      </c>
      <c r="AF35" s="56">
        <f t="shared" si="16"/>
        <v>736.66666666666663</v>
      </c>
      <c r="AG35" s="99"/>
      <c r="AH35" s="94"/>
      <c r="AI35" s="95"/>
      <c r="AJ35" s="96" t="e">
        <f t="shared" si="17"/>
        <v>#DIV/0!</v>
      </c>
      <c r="AK35" s="95"/>
      <c r="AL35" s="97" t="e">
        <f t="shared" si="18"/>
        <v>#DIV/0!</v>
      </c>
      <c r="AM35" s="65">
        <f t="shared" si="29"/>
        <v>0</v>
      </c>
      <c r="AN35" s="67" t="str">
        <f t="shared" si="19"/>
        <v/>
      </c>
      <c r="AO35" s="100">
        <v>81</v>
      </c>
      <c r="AP35" s="94">
        <v>259</v>
      </c>
      <c r="AQ35" s="95">
        <v>650700</v>
      </c>
      <c r="AR35" s="96">
        <f t="shared" si="20"/>
        <v>2512.3552123552122</v>
      </c>
      <c r="AS35" s="95">
        <v>362800</v>
      </c>
      <c r="AT35" s="97">
        <f t="shared" si="21"/>
        <v>1400.7722007722007</v>
      </c>
      <c r="AU35" s="97">
        <v>26950</v>
      </c>
      <c r="AV35" s="69">
        <f t="shared" si="30"/>
        <v>1040450</v>
      </c>
      <c r="AW35" s="67">
        <f t="shared" si="22"/>
        <v>4017.1814671814673</v>
      </c>
      <c r="AX35" s="101">
        <f t="shared" si="23"/>
        <v>48</v>
      </c>
      <c r="AY35" s="59">
        <f t="shared" si="24"/>
        <v>959590</v>
      </c>
      <c r="AZ35" s="59">
        <f t="shared" si="25"/>
        <v>412500</v>
      </c>
      <c r="BA35" s="71">
        <f t="shared" si="26"/>
        <v>1399040</v>
      </c>
      <c r="BB35" s="72">
        <f t="shared" si="31"/>
        <v>2200</v>
      </c>
      <c r="BC35" s="102">
        <v>48</v>
      </c>
      <c r="BD35" s="103">
        <v>306680</v>
      </c>
      <c r="BE35" s="103">
        <v>49700</v>
      </c>
      <c r="BF35" s="104"/>
      <c r="BG35" s="104">
        <v>2200</v>
      </c>
      <c r="BH35" s="104">
        <v>3500</v>
      </c>
      <c r="BI35" s="104"/>
      <c r="BJ35" s="76">
        <f t="shared" si="32"/>
        <v>358580</v>
      </c>
      <c r="BK35" s="47">
        <v>31</v>
      </c>
      <c r="BL35" s="77">
        <f t="shared" si="27"/>
        <v>358580</v>
      </c>
    </row>
    <row r="36" spans="2:69" s="127" customFormat="1" ht="20" customHeight="1" thickTop="1">
      <c r="B36" s="105" t="s">
        <v>28</v>
      </c>
      <c r="C36" s="106">
        <f>SUM(C5:C35)</f>
        <v>0</v>
      </c>
      <c r="D36" s="107">
        <f>SUM(D5:D35)</f>
        <v>0</v>
      </c>
      <c r="E36" s="108">
        <f>SUM(E5:E35)</f>
        <v>881</v>
      </c>
      <c r="F36" s="109">
        <f>SUM(F5:F35)</f>
        <v>3476200</v>
      </c>
      <c r="G36" s="110">
        <f>F36/E36</f>
        <v>3945.743473325766</v>
      </c>
      <c r="H36" s="106">
        <f>SUM(H5:H35)</f>
        <v>532020</v>
      </c>
      <c r="I36" s="111">
        <f>H36/E36</f>
        <v>603.88195232690123</v>
      </c>
      <c r="J36" s="112">
        <f>SUM(J5:J35)+BB36/2</f>
        <v>4092645</v>
      </c>
      <c r="K36" s="113">
        <f>J36/E36</f>
        <v>4645.4540295119186</v>
      </c>
      <c r="L36" s="114">
        <f>SUM(L5:L35)</f>
        <v>0</v>
      </c>
      <c r="M36" s="108">
        <f>SUM(M5:M35)</f>
        <v>511</v>
      </c>
      <c r="N36" s="109">
        <f>SUM(N5:N35)</f>
        <v>4724480</v>
      </c>
      <c r="O36" s="110">
        <f>N36/M36</f>
        <v>9245.5577299412907</v>
      </c>
      <c r="P36" s="115">
        <f>SUM(P5:P35)</f>
        <v>1247260</v>
      </c>
      <c r="Q36" s="111">
        <f>P36/M36</f>
        <v>2440.821917808219</v>
      </c>
      <c r="R36" s="116">
        <f>SUM(R5:R35)+BB36/2</f>
        <v>6056165</v>
      </c>
      <c r="S36" s="117">
        <f>R36/M36</f>
        <v>11851.594911937378</v>
      </c>
      <c r="T36" s="108">
        <f t="shared" ref="T36:AA36" si="33">SUM(T5:T35)</f>
        <v>1392</v>
      </c>
      <c r="U36" s="115">
        <f t="shared" si="33"/>
        <v>8200680</v>
      </c>
      <c r="V36" s="115">
        <f t="shared" si="33"/>
        <v>1779280</v>
      </c>
      <c r="W36" s="112">
        <f>SUM(W5:W35)+BF36</f>
        <v>10100410</v>
      </c>
      <c r="X36" s="118">
        <f t="shared" si="33"/>
        <v>0</v>
      </c>
      <c r="Y36" s="107">
        <f t="shared" si="33"/>
        <v>0</v>
      </c>
      <c r="Z36" s="108">
        <f t="shared" si="33"/>
        <v>607</v>
      </c>
      <c r="AA36" s="110">
        <f t="shared" si="33"/>
        <v>375190</v>
      </c>
      <c r="AB36" s="110">
        <f>AA36/Z36</f>
        <v>618.10543657331141</v>
      </c>
      <c r="AC36" s="106">
        <f>SUM(AC5:AC35)</f>
        <v>106190</v>
      </c>
      <c r="AD36" s="111">
        <f>AC36/Z36</f>
        <v>174.94233937397036</v>
      </c>
      <c r="AE36" s="116">
        <f>SUM(AE5:AE35)</f>
        <v>481380</v>
      </c>
      <c r="AF36" s="119">
        <f>AE36/Z36</f>
        <v>793.04777594728171</v>
      </c>
      <c r="AG36" s="120">
        <f t="shared" ref="AG36:AI36" si="34">SUM(AG5:AG35)</f>
        <v>3</v>
      </c>
      <c r="AH36" s="108">
        <f t="shared" si="34"/>
        <v>75</v>
      </c>
      <c r="AI36" s="110">
        <f t="shared" si="34"/>
        <v>310155</v>
      </c>
      <c r="AJ36" s="110"/>
      <c r="AK36" s="106">
        <f>SUM(AK5:AK35)</f>
        <v>97875</v>
      </c>
      <c r="AL36" s="111"/>
      <c r="AM36" s="116">
        <f>SUM(AM5:AM35)</f>
        <v>408030</v>
      </c>
      <c r="AN36" s="121">
        <f>AM36/AH36</f>
        <v>5440.4</v>
      </c>
      <c r="AO36" s="122">
        <f t="shared" ref="AO36:AQ36" si="35">SUM(AO5:AO35)</f>
        <v>3618</v>
      </c>
      <c r="AP36" s="108">
        <f t="shared" si="35"/>
        <v>11093</v>
      </c>
      <c r="AQ36" s="110">
        <f t="shared" si="35"/>
        <v>31425950</v>
      </c>
      <c r="AR36" s="110"/>
      <c r="AS36" s="106">
        <f>SUM(AS5:AS35)</f>
        <v>17305250</v>
      </c>
      <c r="AT36" s="111"/>
      <c r="AU36" s="106">
        <f>SUM(AU5:AU35)</f>
        <v>615450</v>
      </c>
      <c r="AV36" s="116">
        <f>SUM(AV5:AV35)</f>
        <v>49346650</v>
      </c>
      <c r="AW36" s="121">
        <f>AV36/AP36</f>
        <v>4448.4494726404037</v>
      </c>
      <c r="AX36" s="123">
        <f t="shared" ref="AX36:BJ36" si="36">SUM(AX5:AX35)</f>
        <v>1392</v>
      </c>
      <c r="AY36" s="115">
        <f t="shared" si="36"/>
        <v>40311975</v>
      </c>
      <c r="AZ36" s="115">
        <f t="shared" si="36"/>
        <v>19288595</v>
      </c>
      <c r="BA36" s="116">
        <f>SUM(BA5:BA35)</f>
        <v>60216020</v>
      </c>
      <c r="BB36" s="124">
        <f>SUM(BB5:BB35)</f>
        <v>168850</v>
      </c>
      <c r="BC36" s="125">
        <f t="shared" si="36"/>
        <v>1392</v>
      </c>
      <c r="BD36" s="125">
        <f t="shared" si="36"/>
        <v>8200680</v>
      </c>
      <c r="BE36" s="125">
        <f t="shared" si="36"/>
        <v>1779280</v>
      </c>
      <c r="BF36" s="125">
        <f t="shared" si="36"/>
        <v>120450</v>
      </c>
      <c r="BG36" s="125">
        <f t="shared" si="36"/>
        <v>48400</v>
      </c>
      <c r="BH36" s="125">
        <f t="shared" si="36"/>
        <v>3500</v>
      </c>
      <c r="BI36" s="125">
        <f t="shared" si="36"/>
        <v>44368</v>
      </c>
      <c r="BJ36" s="126">
        <f t="shared" si="36"/>
        <v>10148810</v>
      </c>
      <c r="BL36" s="128">
        <f>SUM(BL5:BL35)</f>
        <v>10193178</v>
      </c>
    </row>
    <row r="37" spans="2:69" s="127" customFormat="1" ht="18">
      <c r="B37" s="129"/>
      <c r="E37" s="130" t="s">
        <v>40</v>
      </c>
      <c r="F37" s="131">
        <f>F36/1.1</f>
        <v>3160181.8181818179</v>
      </c>
      <c r="G37" s="132">
        <f>F37/E36</f>
        <v>3587.0395212052417</v>
      </c>
      <c r="H37" s="133">
        <f>H36/1.1</f>
        <v>483654.54545454541</v>
      </c>
      <c r="I37" s="132">
        <f>H37/E36</f>
        <v>548.98359302445567</v>
      </c>
      <c r="J37" s="134">
        <f>J36/1.1</f>
        <v>3720586.3636363633</v>
      </c>
      <c r="K37" s="135">
        <f>G37+I37</f>
        <v>4136.0231142296971</v>
      </c>
      <c r="L37" s="136"/>
      <c r="M37" s="130" t="s">
        <v>40</v>
      </c>
      <c r="N37" s="131">
        <f>N36/1.1</f>
        <v>4294981.8181818174</v>
      </c>
      <c r="O37" s="132">
        <f>N37/M36</f>
        <v>8405.0524817648093</v>
      </c>
      <c r="P37" s="133">
        <f>P36/1.1</f>
        <v>1133872.7272727273</v>
      </c>
      <c r="Q37" s="132">
        <f>P37/M36</f>
        <v>2218.92901618929</v>
      </c>
      <c r="R37" s="132">
        <f>R36/1.1</f>
        <v>5505604.5454545449</v>
      </c>
      <c r="S37" s="137">
        <f>R37/M36</f>
        <v>10774.177192670342</v>
      </c>
      <c r="T37" s="130" t="s">
        <v>40</v>
      </c>
      <c r="U37" s="131">
        <f>U36/1.1</f>
        <v>7455163.6363636358</v>
      </c>
      <c r="V37" s="131">
        <f>V36/1.1</f>
        <v>1617527.2727272727</v>
      </c>
      <c r="W37" s="134">
        <f>W36/1.1</f>
        <v>9182190.9090909082</v>
      </c>
      <c r="X37" s="138"/>
      <c r="Y37" s="136"/>
      <c r="Z37" s="130" t="s">
        <v>40</v>
      </c>
      <c r="AA37" s="131">
        <f>AA36/1.1</f>
        <v>341081.81818181818</v>
      </c>
      <c r="AB37" s="133">
        <f>AA37/Z36</f>
        <v>561.91403324846488</v>
      </c>
      <c r="AC37" s="133">
        <f>AC36/1.1</f>
        <v>96536.363636363632</v>
      </c>
      <c r="AD37" s="133">
        <f>AC37/Z36</f>
        <v>159.03849033997304</v>
      </c>
      <c r="AE37" s="132">
        <f>AE36/1.1</f>
        <v>437618.18181818177</v>
      </c>
      <c r="AF37" s="139" t="e">
        <f>AE37/Y36</f>
        <v>#DIV/0!</v>
      </c>
      <c r="AG37" s="136"/>
      <c r="AH37" s="130" t="s">
        <v>40</v>
      </c>
      <c r="AI37" s="131">
        <f>AI36/1.1</f>
        <v>281959.09090909088</v>
      </c>
      <c r="AJ37" s="133">
        <f>AI37/AH36</f>
        <v>3759.454545454545</v>
      </c>
      <c r="AK37" s="133">
        <f>AK36/1.1</f>
        <v>88977.272727272721</v>
      </c>
      <c r="AL37" s="133">
        <f>AK37/AH36</f>
        <v>1186.3636363636363</v>
      </c>
      <c r="AM37" s="132">
        <f>AM36/1.1</f>
        <v>370936.36363636359</v>
      </c>
      <c r="AN37" s="140">
        <f>AM37/AG36</f>
        <v>123645.45454545453</v>
      </c>
      <c r="AO37" s="136"/>
      <c r="AP37" s="130" t="s">
        <v>40</v>
      </c>
      <c r="AQ37" s="131">
        <f>AQ36/1.1</f>
        <v>28569045.454545453</v>
      </c>
      <c r="AR37" s="133">
        <f>AQ37/AP36</f>
        <v>2575.4120124894484</v>
      </c>
      <c r="AS37" s="133">
        <f>AS36/1.1</f>
        <v>15732045.454545453</v>
      </c>
      <c r="AT37" s="133">
        <f>AS37/AP36</f>
        <v>1418.1957499815608</v>
      </c>
      <c r="AU37" s="133">
        <f>AU36/1.1</f>
        <v>559500</v>
      </c>
      <c r="AV37" s="132">
        <f>AV36/1.1</f>
        <v>44860590.909090906</v>
      </c>
      <c r="AW37" s="140">
        <f>AV37/AP36</f>
        <v>4044.0449751276396</v>
      </c>
      <c r="AX37" s="141" t="s">
        <v>40</v>
      </c>
      <c r="AY37" s="131">
        <f>AY36/1.1</f>
        <v>36647250</v>
      </c>
      <c r="AZ37" s="131">
        <f>AZ36/1.1</f>
        <v>17535086.363636363</v>
      </c>
      <c r="BA37" s="132">
        <f>BA36/1.1</f>
        <v>54741836.36363636</v>
      </c>
      <c r="BB37" s="142">
        <f>BB36/1.1</f>
        <v>153500</v>
      </c>
      <c r="BG37" s="143"/>
      <c r="BJ37" s="144"/>
      <c r="BL37" s="144"/>
    </row>
    <row r="38" spans="2:69">
      <c r="C38" s="47">
        <v>31</v>
      </c>
      <c r="E38" s="145" t="s">
        <v>41</v>
      </c>
      <c r="F38" s="146">
        <f>E36/G38</f>
        <v>28.419354838709676</v>
      </c>
      <c r="G38" s="147">
        <v>31</v>
      </c>
      <c r="H38" s="146"/>
      <c r="I38" s="146"/>
      <c r="J38" s="148" t="s">
        <v>42</v>
      </c>
      <c r="K38" s="149">
        <f>J37/G38</f>
        <v>120018.91495601172</v>
      </c>
      <c r="M38" s="145" t="s">
        <v>41</v>
      </c>
      <c r="N38" s="146">
        <f>M36/O38</f>
        <v>16.483870967741936</v>
      </c>
      <c r="O38" s="147">
        <f>G38</f>
        <v>31</v>
      </c>
      <c r="P38" s="146"/>
      <c r="Q38" s="146"/>
      <c r="R38" s="148" t="s">
        <v>42</v>
      </c>
      <c r="S38" s="150">
        <f>R37/O38</f>
        <v>177600.14662756596</v>
      </c>
      <c r="U38" s="151">
        <f>O38</f>
        <v>31</v>
      </c>
      <c r="W38" s="152">
        <f>W37/U38</f>
        <v>296199.70674486802</v>
      </c>
      <c r="X38" s="77"/>
      <c r="AA38" s="153">
        <f>G38</f>
        <v>31</v>
      </c>
      <c r="AB38" s="146"/>
      <c r="AC38" s="146"/>
      <c r="AD38" s="146"/>
      <c r="AE38" s="146"/>
      <c r="AF38" s="149">
        <f>AE37/AA38</f>
        <v>14116.715542521992</v>
      </c>
      <c r="AI38" s="153">
        <v>2</v>
      </c>
      <c r="AJ38" s="146"/>
      <c r="AK38" s="146"/>
      <c r="AL38" s="146"/>
      <c r="AM38" s="146"/>
      <c r="AN38" s="149">
        <f>AM37/AI38</f>
        <v>185468.18181818179</v>
      </c>
      <c r="AQ38" s="153">
        <f>G38</f>
        <v>31</v>
      </c>
      <c r="AR38" s="146"/>
      <c r="AS38" s="146"/>
      <c r="AT38" s="146"/>
      <c r="AU38" s="146"/>
      <c r="AV38" s="146"/>
      <c r="AW38" s="149">
        <f>AV37/AQ38</f>
        <v>1447115.835777126</v>
      </c>
      <c r="BA38" s="152"/>
      <c r="BB38" s="77" t="e">
        <f>BA37/BC37</f>
        <v>#DIV/0!</v>
      </c>
      <c r="BC38" s="154">
        <f>AX36+T36</f>
        <v>2784</v>
      </c>
      <c r="BG38" s="152"/>
    </row>
    <row r="39" spans="2:69">
      <c r="D39" s="155" t="s">
        <v>43</v>
      </c>
      <c r="E39" s="156"/>
      <c r="F39" s="146"/>
      <c r="G39" s="157"/>
      <c r="H39" s="146"/>
      <c r="I39" s="146"/>
      <c r="J39" s="148"/>
      <c r="K39" s="149"/>
      <c r="L39" s="158" t="s">
        <v>44</v>
      </c>
      <c r="M39" s="145"/>
      <c r="N39" s="146"/>
      <c r="O39" s="146"/>
      <c r="P39" s="146"/>
      <c r="Q39" s="146"/>
      <c r="R39" s="148"/>
      <c r="S39" s="149"/>
      <c r="W39" s="152"/>
      <c r="X39" s="77"/>
      <c r="Y39" s="158" t="s">
        <v>45</v>
      </c>
      <c r="AA39" s="146"/>
      <c r="AB39" s="146"/>
      <c r="AC39" s="146"/>
      <c r="AD39" s="146"/>
      <c r="AE39" s="146"/>
      <c r="AF39" s="149"/>
      <c r="AG39" s="158" t="s">
        <v>46</v>
      </c>
      <c r="AI39" s="146"/>
      <c r="AJ39" s="146"/>
      <c r="AK39" s="146"/>
      <c r="AL39" s="146"/>
      <c r="AM39" s="146"/>
      <c r="AN39" s="149"/>
      <c r="AO39" s="158" t="s">
        <v>47</v>
      </c>
      <c r="AQ39" s="146"/>
      <c r="AR39" s="146"/>
      <c r="AS39" s="146"/>
      <c r="AT39" s="146"/>
      <c r="AU39" s="146"/>
      <c r="AV39" s="146"/>
      <c r="AW39" s="149"/>
      <c r="BA39" s="77">
        <f>BA36+BB36</f>
        <v>60384870</v>
      </c>
      <c r="BB39" s="159">
        <f>BA39/G38</f>
        <v>1947899.0322580645</v>
      </c>
      <c r="BC39" s="47" t="s">
        <v>48</v>
      </c>
      <c r="BG39" s="152"/>
    </row>
    <row r="40" spans="2:69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BA40" s="161">
        <f>BA37+BB37</f>
        <v>54895336.36363636</v>
      </c>
      <c r="BD40" s="216" t="s">
        <v>100</v>
      </c>
      <c r="BE40" s="216"/>
      <c r="BF40" s="216"/>
      <c r="BG40" s="216"/>
      <c r="BH40" s="216"/>
      <c r="BI40" s="216" t="s">
        <v>101</v>
      </c>
      <c r="BJ40" s="216"/>
      <c r="BK40" s="216"/>
      <c r="BL40" s="216"/>
      <c r="BM40" s="216"/>
    </row>
    <row r="41" spans="2:69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W41" s="152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BA41" s="77"/>
      <c r="BB41" s="159">
        <f>BA40/G38</f>
        <v>1770817.3020527859</v>
      </c>
      <c r="BC41" s="47" t="s">
        <v>49</v>
      </c>
      <c r="BD41" s="47">
        <v>9</v>
      </c>
      <c r="BE41" s="163">
        <v>1425864</v>
      </c>
      <c r="BF41" s="217">
        <v>6615293</v>
      </c>
      <c r="BG41" s="218">
        <f>BF41/(BE41+BE42)</f>
        <v>0.38555355578283951</v>
      </c>
      <c r="BI41" s="47">
        <v>9</v>
      </c>
      <c r="BJ41" s="163">
        <f>'[1]2023(9)'!AQ37</f>
        <v>3291799.9999999995</v>
      </c>
      <c r="BK41" s="217">
        <f>BN42</f>
        <v>7419714.8148148144</v>
      </c>
      <c r="BL41" s="218">
        <f>BK41/(BJ41+BJ42)</f>
        <v>0.23287877986163968</v>
      </c>
      <c r="BO41" s="152">
        <f t="shared" ref="BO41:BP45" si="37">BJ41+BE41</f>
        <v>4717664</v>
      </c>
      <c r="BP41" s="219">
        <f t="shared" si="37"/>
        <v>14035007.814814813</v>
      </c>
      <c r="BQ41" s="218">
        <f>BP41/(BO41+BO42)</f>
        <v>0.28631914133363501</v>
      </c>
    </row>
    <row r="42" spans="2:69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  <c r="BE42" s="152">
        <f>AS37</f>
        <v>15732045.454545453</v>
      </c>
      <c r="BF42" s="217"/>
      <c r="BG42" s="218"/>
      <c r="BI42" s="47">
        <v>8</v>
      </c>
      <c r="BJ42" s="152">
        <f>AQ37</f>
        <v>28569045.454545453</v>
      </c>
      <c r="BK42" s="217"/>
      <c r="BL42" s="218"/>
      <c r="BN42" s="47">
        <f>(14900000-337187-6549521)/1.08</f>
        <v>7419714.8148148144</v>
      </c>
      <c r="BO42" s="152">
        <f t="shared" si="37"/>
        <v>44301090.909090906</v>
      </c>
      <c r="BP42" s="219"/>
      <c r="BQ42" s="218"/>
    </row>
    <row r="43" spans="2:69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152">
        <f>BA37+BB37</f>
        <v>54895336.36363636</v>
      </c>
      <c r="BB43" s="162" t="s">
        <v>50</v>
      </c>
      <c r="BD43" s="47">
        <v>7</v>
      </c>
      <c r="BE43" s="163">
        <f>'[1]2023(7)'!AS37</f>
        <v>15843636.363636361</v>
      </c>
      <c r="BF43" s="163">
        <v>6266320</v>
      </c>
      <c r="BG43" s="164">
        <f>BF43/BE43</f>
        <v>0.39551021344962134</v>
      </c>
      <c r="BI43" s="47">
        <v>7</v>
      </c>
      <c r="BJ43" s="163">
        <f>'[1]2023(7)'!AQ37</f>
        <v>28597272.727272727</v>
      </c>
      <c r="BK43" s="163">
        <f>BN43</f>
        <v>7187274.0740740737</v>
      </c>
      <c r="BL43" s="164">
        <f>BK43/BJ43</f>
        <v>0.25132725566587666</v>
      </c>
      <c r="BN43" s="47">
        <f>(14648964-337187-6549521)/1.08</f>
        <v>7187274.0740740737</v>
      </c>
      <c r="BO43" s="152">
        <f t="shared" si="37"/>
        <v>44440909.090909086</v>
      </c>
      <c r="BP43" s="152">
        <f t="shared" si="37"/>
        <v>13453594.074074075</v>
      </c>
      <c r="BQ43" s="164">
        <f t="shared" ref="BQ43:BQ45" si="38">BP43/BO43</f>
        <v>0.30272994745794179</v>
      </c>
    </row>
    <row r="44" spans="2:69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7"/>
      <c r="AZ44" s="165" t="s">
        <v>51</v>
      </c>
      <c r="BA44" s="144">
        <f>J45+R45+AE45+BB44+AM45+AV45</f>
        <v>40290080</v>
      </c>
      <c r="BB44" s="166"/>
      <c r="BC44" s="127"/>
      <c r="BD44" s="47">
        <v>6</v>
      </c>
      <c r="BE44" s="163">
        <v>7119727</v>
      </c>
      <c r="BF44" s="163">
        <v>2680643</v>
      </c>
      <c r="BG44" s="164">
        <f t="shared" ref="BG44:BG45" si="39">BF44/BE44</f>
        <v>0.37650923975034434</v>
      </c>
      <c r="BI44" s="47">
        <v>6</v>
      </c>
      <c r="BJ44" s="163">
        <f>'[1]2023(6)'!AQ37</f>
        <v>11829999.999999998</v>
      </c>
      <c r="BK44" s="163">
        <f>BN44</f>
        <v>3340669.444444444</v>
      </c>
      <c r="BL44" s="164">
        <f t="shared" ref="BL44:BL45" si="40">BK44/BJ44</f>
        <v>0.28238964027425567</v>
      </c>
      <c r="BN44" s="47">
        <f>(6288566-2592601-88042)/1.08</f>
        <v>3340669.444444444</v>
      </c>
      <c r="BO44" s="152">
        <f t="shared" si="37"/>
        <v>18949727</v>
      </c>
      <c r="BP44" s="152">
        <f t="shared" si="37"/>
        <v>6021312.444444444</v>
      </c>
      <c r="BQ44" s="164">
        <f t="shared" si="38"/>
        <v>0.31775193618591147</v>
      </c>
    </row>
    <row r="45" spans="2:69" ht="21" customHeight="1">
      <c r="H45" s="167"/>
      <c r="I45" s="168" t="s">
        <v>53</v>
      </c>
      <c r="J45" s="144">
        <v>4131680</v>
      </c>
      <c r="K45" s="169" t="s">
        <v>54</v>
      </c>
      <c r="L45" s="127"/>
      <c r="M45" s="127"/>
      <c r="N45" s="127"/>
      <c r="O45" s="127"/>
      <c r="P45" s="127"/>
      <c r="Q45" s="168" t="s">
        <v>55</v>
      </c>
      <c r="R45" s="144">
        <v>9374400</v>
      </c>
      <c r="S45" s="169" t="s">
        <v>54</v>
      </c>
      <c r="T45" s="127"/>
      <c r="U45" s="127"/>
      <c r="V45" s="168" t="s">
        <v>56</v>
      </c>
      <c r="W45" s="144">
        <f>J45+R45</f>
        <v>13506080</v>
      </c>
      <c r="X45" s="169" t="s">
        <v>54</v>
      </c>
      <c r="Y45" s="127"/>
      <c r="Z45" s="127"/>
      <c r="AA45" s="127"/>
      <c r="AB45" s="127"/>
      <c r="AC45" s="127"/>
      <c r="AD45" s="167" t="s">
        <v>57</v>
      </c>
      <c r="AE45" s="144">
        <v>840000</v>
      </c>
      <c r="AF45" s="169" t="s">
        <v>54</v>
      </c>
      <c r="AG45" s="169"/>
      <c r="AH45" s="169"/>
      <c r="AI45" s="169"/>
      <c r="AJ45" s="169"/>
      <c r="AK45" s="127"/>
      <c r="AL45" s="168" t="s">
        <v>58</v>
      </c>
      <c r="AM45" s="144">
        <v>504000</v>
      </c>
      <c r="AN45" s="169" t="s">
        <v>54</v>
      </c>
      <c r="AO45" s="169"/>
      <c r="AP45" s="169"/>
      <c r="AQ45" s="169"/>
      <c r="AR45" s="169"/>
      <c r="AS45" s="127"/>
      <c r="AT45" s="168" t="s">
        <v>59</v>
      </c>
      <c r="AU45" s="168"/>
      <c r="AV45" s="144">
        <v>25440000</v>
      </c>
      <c r="AW45" s="169" t="s">
        <v>54</v>
      </c>
      <c r="AX45" s="127"/>
      <c r="AY45" s="127"/>
      <c r="AZ45" s="165" t="s">
        <v>60</v>
      </c>
      <c r="BA45" s="143">
        <f>BA44-BA37-BB37</f>
        <v>-14605256.36363636</v>
      </c>
      <c r="BB45" s="143">
        <f>BB44-BB37</f>
        <v>-153500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9"/>
        <v>0</v>
      </c>
      <c r="BH45" s="77" t="s">
        <v>61</v>
      </c>
      <c r="BI45" s="47">
        <v>5</v>
      </c>
      <c r="BJ45" s="163">
        <f>'[1]2023(5)'!AQ37</f>
        <v>1157545.4545454544</v>
      </c>
      <c r="BK45" s="163">
        <f>BN45</f>
        <v>531910.18518518517</v>
      </c>
      <c r="BL45" s="164">
        <f t="shared" si="40"/>
        <v>0.45951559232207945</v>
      </c>
      <c r="BM45" s="77" t="s">
        <v>61</v>
      </c>
      <c r="BN45" s="47">
        <f>(1848341-1250550-23328)/1.08</f>
        <v>531910.18518518517</v>
      </c>
      <c r="BO45" s="152">
        <f t="shared" si="37"/>
        <v>1795227.4545454544</v>
      </c>
      <c r="BP45" s="152">
        <f t="shared" si="37"/>
        <v>531910.18518518517</v>
      </c>
      <c r="BQ45" s="164">
        <f t="shared" si="38"/>
        <v>0.296291249244438</v>
      </c>
    </row>
    <row r="46" spans="2:69" ht="21" customHeight="1">
      <c r="H46" s="167"/>
      <c r="I46" s="167" t="s">
        <v>60</v>
      </c>
      <c r="J46" s="143">
        <f>J45-J37</f>
        <v>411093.6363636367</v>
      </c>
      <c r="K46" s="220">
        <f>C38-G38</f>
        <v>0</v>
      </c>
      <c r="L46" s="127"/>
      <c r="M46" s="127"/>
      <c r="N46" s="127"/>
      <c r="O46" s="127"/>
      <c r="P46" s="127"/>
      <c r="Q46" s="167" t="s">
        <v>60</v>
      </c>
      <c r="R46" s="143">
        <f>R45-R37</f>
        <v>3868795.4545454551</v>
      </c>
      <c r="S46" s="127">
        <f>K46</f>
        <v>0</v>
      </c>
      <c r="T46" s="127"/>
      <c r="U46" s="127"/>
      <c r="V46" s="167" t="s">
        <v>60</v>
      </c>
      <c r="W46" s="143">
        <f>W45-W37</f>
        <v>4323889.0909090918</v>
      </c>
      <c r="X46" s="127">
        <f>P46</f>
        <v>0</v>
      </c>
      <c r="Y46" s="127"/>
      <c r="Z46" s="127"/>
      <c r="AA46" s="127"/>
      <c r="AB46" s="127"/>
      <c r="AC46" s="127"/>
      <c r="AD46" s="167" t="s">
        <v>60</v>
      </c>
      <c r="AE46" s="143">
        <f>AE45-AE37</f>
        <v>402381.81818181823</v>
      </c>
      <c r="AF46" s="127">
        <f>K46</f>
        <v>0</v>
      </c>
      <c r="AG46" s="127"/>
      <c r="AH46" s="127"/>
      <c r="AI46" s="127"/>
      <c r="AJ46" s="127"/>
      <c r="AK46" s="127"/>
      <c r="AL46" s="167" t="s">
        <v>60</v>
      </c>
      <c r="AM46" s="143">
        <f>AM45-AM37</f>
        <v>133063.63636363641</v>
      </c>
      <c r="AN46" s="127">
        <f>AF46</f>
        <v>0</v>
      </c>
      <c r="AO46" s="127"/>
      <c r="AP46" s="127"/>
      <c r="AQ46" s="127"/>
      <c r="AR46" s="127"/>
      <c r="AS46" s="127"/>
      <c r="AT46" s="167" t="s">
        <v>60</v>
      </c>
      <c r="AU46" s="167"/>
      <c r="AV46" s="143">
        <f>AV45-AV37</f>
        <v>-19420590.909090906</v>
      </c>
      <c r="AW46" s="127">
        <f>AN46</f>
        <v>0</v>
      </c>
      <c r="AX46" s="127"/>
      <c r="AY46" s="172"/>
      <c r="AZ46" s="173" t="s">
        <v>62</v>
      </c>
      <c r="BA46" s="174" t="e">
        <f>BA45/K46</f>
        <v>#DIV/0!</v>
      </c>
      <c r="BB46" s="175">
        <f>(BA37+BB37)/BA44</f>
        <v>1.3625025406659992</v>
      </c>
      <c r="BC46" s="172"/>
      <c r="BD46" s="221">
        <f>'[1]2023(6)'!AU37+'[1]2023(7)'!AU37+'[1]2023(8)'!AU37+'[1]2023(9)'!AU37</f>
        <v>1139172.7272727273</v>
      </c>
      <c r="BE46" s="177">
        <f>SUM(BE41:BE45)</f>
        <v>40758954.818181813</v>
      </c>
      <c r="BF46" s="178">
        <f>BF41+BF43+BF44+BF45</f>
        <v>15562256</v>
      </c>
      <c r="BG46" s="179">
        <f>BF46/BE46</f>
        <v>0.3818119495315902</v>
      </c>
      <c r="BH46" s="180">
        <f>BE46-BF46</f>
        <v>25196698.818181813</v>
      </c>
      <c r="BI46" s="176"/>
      <c r="BJ46" s="177">
        <f>SUM(BJ41:BJ45)</f>
        <v>73445663.636363626</v>
      </c>
      <c r="BK46" s="178">
        <f>BK41+BK43+BK44+BK45</f>
        <v>18479568.518518519</v>
      </c>
      <c r="BL46" s="179">
        <f>BK46/BJ46</f>
        <v>0.25160870776541139</v>
      </c>
      <c r="BM46" s="180">
        <f>BJ46-BK46</f>
        <v>54966095.117845103</v>
      </c>
      <c r="BO46" s="152">
        <f>BJ46+BE46</f>
        <v>114204618.45454544</v>
      </c>
      <c r="BP46" s="152">
        <f>BK46+BF46</f>
        <v>34041824.518518522</v>
      </c>
      <c r="BQ46" s="164">
        <f>BP46/BO46</f>
        <v>0.29807747689352426</v>
      </c>
    </row>
    <row r="47" spans="2:69" s="176" customFormat="1" ht="26" customHeight="1">
      <c r="B47" s="181"/>
      <c r="H47" s="182"/>
      <c r="I47" s="173" t="s">
        <v>62</v>
      </c>
      <c r="J47" s="183" t="e">
        <f>J46/K46</f>
        <v>#DIV/0!</v>
      </c>
      <c r="K47" s="184">
        <f>J37/J45</f>
        <v>0.90050206299528601</v>
      </c>
      <c r="L47" s="172"/>
      <c r="M47" s="172"/>
      <c r="N47" s="172"/>
      <c r="O47" s="172"/>
      <c r="P47" s="172"/>
      <c r="Q47" s="173" t="s">
        <v>62</v>
      </c>
      <c r="R47" s="174" t="e">
        <f>R46/S46</f>
        <v>#DIV/0!</v>
      </c>
      <c r="S47" s="184">
        <f>R37/R45</f>
        <v>0.58730207218110442</v>
      </c>
      <c r="T47" s="172"/>
      <c r="U47" s="172"/>
      <c r="V47" s="173" t="s">
        <v>62</v>
      </c>
      <c r="W47" s="174" t="e">
        <f>W46/X46</f>
        <v>#DIV/0!</v>
      </c>
      <c r="X47" s="184">
        <f>W37/W45</f>
        <v>0.67985610251760009</v>
      </c>
      <c r="Y47" s="172"/>
      <c r="Z47" s="172"/>
      <c r="AA47" s="172"/>
      <c r="AB47" s="172"/>
      <c r="AC47" s="172"/>
      <c r="AD47" s="173" t="s">
        <v>62</v>
      </c>
      <c r="AE47" s="183" t="e">
        <f>AE46/AF46</f>
        <v>#DIV/0!</v>
      </c>
      <c r="AF47" s="184">
        <f>AE37/AE45</f>
        <v>0.52097402597402587</v>
      </c>
      <c r="AG47" s="184"/>
      <c r="AH47" s="184"/>
      <c r="AI47" s="184"/>
      <c r="AJ47" s="184"/>
      <c r="AK47" s="172"/>
      <c r="AL47" s="173" t="s">
        <v>62</v>
      </c>
      <c r="AM47" s="174" t="e">
        <f>AM46/AN46</f>
        <v>#DIV/0!</v>
      </c>
      <c r="AN47" s="184">
        <f>AM37/AM45</f>
        <v>0.73598484848484835</v>
      </c>
      <c r="AO47" s="184"/>
      <c r="AP47" s="184"/>
      <c r="AQ47" s="184"/>
      <c r="AR47" s="184"/>
      <c r="AS47" s="172"/>
      <c r="AT47" s="173" t="s">
        <v>62</v>
      </c>
      <c r="AU47" s="173"/>
      <c r="AV47" s="174" t="e">
        <f>AV46/AW46</f>
        <v>#DIV/0!</v>
      </c>
      <c r="AW47" s="184">
        <f>AV37/AV45</f>
        <v>1.7633880074328185</v>
      </c>
      <c r="AX47" s="172"/>
      <c r="AY47" s="47"/>
      <c r="AZ47" s="47"/>
      <c r="BA47" s="152"/>
      <c r="BB47" s="47"/>
      <c r="BC47" s="47"/>
      <c r="BD47" s="47"/>
      <c r="BH47" s="185"/>
      <c r="BJ47" s="185"/>
    </row>
    <row r="48" spans="2:69">
      <c r="AY48" s="186"/>
      <c r="AZ48" s="186"/>
      <c r="BA48" s="186"/>
      <c r="BB48" s="186"/>
      <c r="BC48" s="186"/>
      <c r="BD48" s="186"/>
      <c r="BH48" s="77"/>
      <c r="BL48" s="47"/>
    </row>
    <row r="49" spans="2:62" s="186" customFormat="1" ht="24" customHeight="1">
      <c r="B49" s="187"/>
      <c r="E49" s="186" t="s">
        <v>102</v>
      </c>
      <c r="F49" s="186" t="s">
        <v>103</v>
      </c>
      <c r="G49" s="186" t="s">
        <v>104</v>
      </c>
      <c r="H49" s="186" t="s">
        <v>105</v>
      </c>
      <c r="I49" s="186" t="s">
        <v>106</v>
      </c>
      <c r="J49" s="186" t="s">
        <v>107</v>
      </c>
      <c r="K49" s="186" t="s">
        <v>108</v>
      </c>
      <c r="L49" s="188"/>
      <c r="M49" s="47"/>
      <c r="N49" s="47"/>
      <c r="O49" s="47"/>
      <c r="P49" s="47"/>
      <c r="Q49" s="47"/>
      <c r="R49" s="188"/>
      <c r="AE49" s="186">
        <f>AE45/31</f>
        <v>27096.774193548386</v>
      </c>
      <c r="AY49" s="1"/>
      <c r="AZ49" s="1"/>
      <c r="BA49" s="1"/>
      <c r="BB49" s="1"/>
      <c r="BC49" s="189" t="s">
        <v>63</v>
      </c>
      <c r="BD49" s="1" t="s">
        <v>64</v>
      </c>
      <c r="BE49" s="1" t="s">
        <v>65</v>
      </c>
      <c r="BF49" s="1" t="s">
        <v>66</v>
      </c>
      <c r="BG49" s="1" t="s">
        <v>67</v>
      </c>
      <c r="BH49" s="190" t="s">
        <v>68</v>
      </c>
      <c r="BI49" s="190" t="s">
        <v>69</v>
      </c>
      <c r="BJ49" s="190" t="s">
        <v>70</v>
      </c>
    </row>
    <row r="50" spans="2:62" s="1" customFormat="1" ht="24" customHeight="1">
      <c r="B50" s="187"/>
      <c r="E50" s="222">
        <f>E11+E18+E25+E32</f>
        <v>106</v>
      </c>
      <c r="F50" s="222">
        <f>E12+E19+E26+E33+E5</f>
        <v>186</v>
      </c>
      <c r="G50" s="222">
        <f>E6+E13+E20+E27+E34</f>
        <v>148</v>
      </c>
      <c r="H50" s="222">
        <f>E7+E14+E21+E28+E35</f>
        <v>129</v>
      </c>
      <c r="I50" s="222">
        <f>E8+E15+E22+E29</f>
        <v>125</v>
      </c>
      <c r="J50" s="222">
        <f>E9+E16+E23+E30</f>
        <v>93</v>
      </c>
      <c r="K50" s="222">
        <f>E10+E17+E24+E31</f>
        <v>94</v>
      </c>
      <c r="L50" s="191"/>
      <c r="M50" s="154">
        <f>SUM(E50:L50)</f>
        <v>881</v>
      </c>
      <c r="N50" s="47"/>
      <c r="O50" s="47"/>
      <c r="P50" s="47"/>
      <c r="Q50" s="47"/>
      <c r="R50" s="191"/>
      <c r="S50" s="191"/>
      <c r="Z50" s="192"/>
      <c r="AY50" s="186"/>
      <c r="AZ50" s="186"/>
      <c r="BA50" s="186"/>
      <c r="BB50" s="186"/>
      <c r="BC50" s="189" t="s">
        <v>71</v>
      </c>
      <c r="BD50" s="193">
        <v>1800</v>
      </c>
      <c r="BE50" s="193">
        <v>21</v>
      </c>
      <c r="BF50" s="194">
        <v>0</v>
      </c>
      <c r="BG50" s="193"/>
      <c r="BH50" s="195">
        <f>BE50*BD50</f>
        <v>37800</v>
      </c>
      <c r="BI50" s="195">
        <f>BD50*BF50</f>
        <v>0</v>
      </c>
      <c r="BJ50" s="195">
        <f>BH50-BI50</f>
        <v>37800</v>
      </c>
    </row>
    <row r="51" spans="2:62" s="186" customFormat="1" ht="24" customHeight="1">
      <c r="B51" s="187"/>
      <c r="C51" s="186" t="s">
        <v>109</v>
      </c>
      <c r="F51" s="223">
        <f>(G5+G12+G19+G26+G33)/5</f>
        <v>3364.3322580111876</v>
      </c>
      <c r="K51" s="1"/>
      <c r="L51" s="191"/>
      <c r="M51" s="47"/>
      <c r="N51" s="47"/>
      <c r="O51" s="47"/>
      <c r="P51" s="47"/>
      <c r="Q51" s="47"/>
      <c r="R51" s="196"/>
      <c r="S51" s="197"/>
      <c r="T51" s="197"/>
      <c r="U51" s="197" t="s">
        <v>72</v>
      </c>
      <c r="V51" s="197"/>
      <c r="W51" s="198"/>
      <c r="X51" s="199"/>
      <c r="Y51" s="189"/>
      <c r="Z51" s="195"/>
      <c r="AS51" s="224">
        <f>AS37+'[1]2023(9)'!AS37</f>
        <v>17806797.27272727</v>
      </c>
      <c r="BC51" s="189" t="s">
        <v>73</v>
      </c>
      <c r="BD51" s="193">
        <v>10800</v>
      </c>
      <c r="BE51" s="193">
        <v>640</v>
      </c>
      <c r="BF51" s="193">
        <v>20</v>
      </c>
      <c r="BG51" s="193"/>
      <c r="BH51" s="195">
        <f t="shared" ref="BH51:BH70" si="41">BD51*BE51</f>
        <v>6912000</v>
      </c>
      <c r="BI51" s="195">
        <f t="shared" ref="BI51:BI70" si="42">BD51*BF51</f>
        <v>216000</v>
      </c>
      <c r="BJ51" s="195">
        <f t="shared" ref="BJ51:BJ70" si="43">BH51-BI51</f>
        <v>6696000</v>
      </c>
    </row>
    <row r="52" spans="2:62" s="186" customFormat="1" ht="24" customHeight="1">
      <c r="B52" s="187"/>
      <c r="C52" s="186" t="s">
        <v>110</v>
      </c>
      <c r="F52" s="186">
        <f>(I5+I12+I19+I26+I33)/5</f>
        <v>517.08891342014203</v>
      </c>
      <c r="K52" s="1"/>
      <c r="L52" s="191"/>
      <c r="M52" s="47"/>
      <c r="N52" s="47"/>
      <c r="O52" s="47"/>
      <c r="P52" s="47"/>
      <c r="Q52" s="47"/>
      <c r="R52" s="198"/>
      <c r="S52" s="197"/>
      <c r="T52" s="197"/>
      <c r="U52" s="200" t="s">
        <v>74</v>
      </c>
      <c r="V52" s="201" t="s">
        <v>75</v>
      </c>
      <c r="W52" s="202"/>
      <c r="X52" s="203" t="e">
        <f>W52/Y52</f>
        <v>#DIV/0!</v>
      </c>
      <c r="Y52" s="204">
        <f>W52+W53</f>
        <v>0</v>
      </c>
      <c r="Z52" s="205"/>
      <c r="AA52" s="205"/>
      <c r="AS52" s="224">
        <f>AS62+BI71</f>
        <v>7433285</v>
      </c>
      <c r="BC52" s="189" t="s">
        <v>76</v>
      </c>
      <c r="BD52" s="193">
        <v>6120</v>
      </c>
      <c r="BE52" s="193">
        <v>40</v>
      </c>
      <c r="BF52" s="193">
        <v>4</v>
      </c>
      <c r="BG52" s="193"/>
      <c r="BH52" s="195">
        <f t="shared" si="41"/>
        <v>244800</v>
      </c>
      <c r="BI52" s="195">
        <f t="shared" si="42"/>
        <v>24480</v>
      </c>
      <c r="BJ52" s="195">
        <f t="shared" si="43"/>
        <v>220320</v>
      </c>
    </row>
    <row r="53" spans="2:62" s="186" customFormat="1" ht="24" customHeight="1">
      <c r="B53" s="187"/>
      <c r="K53" s="1"/>
      <c r="L53" s="191"/>
      <c r="M53" s="47"/>
      <c r="N53" s="47"/>
      <c r="O53" s="47"/>
      <c r="P53" s="47"/>
      <c r="Q53" s="47"/>
      <c r="R53" s="198"/>
      <c r="S53" s="197"/>
      <c r="T53" s="197"/>
      <c r="U53" s="200"/>
      <c r="V53" s="201" t="s">
        <v>77</v>
      </c>
      <c r="W53" s="202"/>
      <c r="X53" s="203" t="e">
        <f>W53/Y52</f>
        <v>#DIV/0!</v>
      </c>
      <c r="Y53" s="205"/>
      <c r="Z53" s="205"/>
      <c r="AA53" s="205"/>
      <c r="AS53" s="225">
        <f>AS52/AS51</f>
        <v>0.417440873063948</v>
      </c>
      <c r="BA53" s="186" t="s">
        <v>111</v>
      </c>
      <c r="BC53" s="189" t="s">
        <v>78</v>
      </c>
      <c r="BD53" s="193">
        <v>1780</v>
      </c>
      <c r="BE53" s="193">
        <v>24</v>
      </c>
      <c r="BF53" s="193">
        <v>4</v>
      </c>
      <c r="BG53" s="193"/>
      <c r="BH53" s="195">
        <f t="shared" si="41"/>
        <v>42720</v>
      </c>
      <c r="BI53" s="195">
        <f t="shared" si="42"/>
        <v>7120</v>
      </c>
      <c r="BJ53" s="195">
        <f t="shared" si="43"/>
        <v>35600</v>
      </c>
    </row>
    <row r="54" spans="2:62" s="186" customFormat="1" ht="24" customHeight="1">
      <c r="B54" s="187"/>
      <c r="K54" s="1"/>
      <c r="L54" s="191"/>
      <c r="M54" s="47"/>
      <c r="N54" s="47"/>
      <c r="O54" s="47"/>
      <c r="P54" s="47"/>
      <c r="Q54" s="47"/>
      <c r="R54" s="198"/>
      <c r="S54" s="197"/>
      <c r="T54" s="197"/>
      <c r="U54" s="206" t="s">
        <v>79</v>
      </c>
      <c r="V54" s="201" t="s">
        <v>75</v>
      </c>
      <c r="W54" s="202"/>
      <c r="X54" s="203" t="e">
        <f t="shared" ref="X54" si="44">W54/Y54</f>
        <v>#DIV/0!</v>
      </c>
      <c r="Y54" s="204">
        <f t="shared" ref="Y54" si="45">W54+W55</f>
        <v>0</v>
      </c>
      <c r="Z54" s="205"/>
      <c r="AA54" s="205"/>
      <c r="BC54" s="189" t="s">
        <v>80</v>
      </c>
      <c r="BD54" s="193">
        <v>1780</v>
      </c>
      <c r="BE54" s="193">
        <v>24</v>
      </c>
      <c r="BF54" s="193">
        <v>20</v>
      </c>
      <c r="BG54" s="193"/>
      <c r="BH54" s="195">
        <f t="shared" si="41"/>
        <v>42720</v>
      </c>
      <c r="BI54" s="195">
        <f t="shared" si="42"/>
        <v>35600</v>
      </c>
      <c r="BJ54" s="195">
        <f t="shared" si="43"/>
        <v>7120</v>
      </c>
    </row>
    <row r="55" spans="2:62" s="186" customFormat="1" ht="24" customHeight="1">
      <c r="B55" s="187"/>
      <c r="L55" s="188"/>
      <c r="M55" s="47"/>
      <c r="N55" s="47"/>
      <c r="O55" s="47"/>
      <c r="P55" s="47"/>
      <c r="Q55" s="47"/>
      <c r="R55" s="207"/>
      <c r="S55" s="197"/>
      <c r="T55" s="197"/>
      <c r="U55" s="206"/>
      <c r="V55" s="201" t="s">
        <v>77</v>
      </c>
      <c r="W55" s="202"/>
      <c r="X55" s="203" t="e">
        <f t="shared" ref="X55" si="46">W55/Y54</f>
        <v>#DIV/0!</v>
      </c>
      <c r="Y55" s="205"/>
      <c r="Z55" s="205"/>
      <c r="AA55" s="205"/>
      <c r="AY55" s="47"/>
      <c r="AZ55" s="47"/>
      <c r="BA55" s="47"/>
      <c r="BB55" s="47"/>
      <c r="BC55" s="189" t="s">
        <v>81</v>
      </c>
      <c r="BD55" s="208">
        <v>8190</v>
      </c>
      <c r="BE55" s="193">
        <v>13</v>
      </c>
      <c r="BF55" s="193">
        <v>4</v>
      </c>
      <c r="BG55" s="193"/>
      <c r="BH55" s="195">
        <f t="shared" si="41"/>
        <v>106470</v>
      </c>
      <c r="BI55" s="195">
        <f t="shared" si="42"/>
        <v>32760</v>
      </c>
      <c r="BJ55" s="195">
        <f t="shared" si="43"/>
        <v>73710</v>
      </c>
    </row>
    <row r="56" spans="2:62" ht="24" customHeight="1">
      <c r="U56" s="209" t="s">
        <v>2</v>
      </c>
      <c r="V56" s="210" t="s">
        <v>75</v>
      </c>
      <c r="W56" s="202"/>
      <c r="X56" s="203" t="e">
        <f t="shared" ref="X56:X58" si="47">W56/Y56</f>
        <v>#DIV/0!</v>
      </c>
      <c r="Y56" s="204">
        <f t="shared" ref="Y56" si="48">W56+W57</f>
        <v>0</v>
      </c>
      <c r="Z56" s="205"/>
      <c r="AA56" s="205"/>
      <c r="BC56" s="189" t="s">
        <v>82</v>
      </c>
      <c r="BD56" s="208">
        <v>5784</v>
      </c>
      <c r="BE56" s="208">
        <v>36</v>
      </c>
      <c r="BF56" s="208">
        <v>28</v>
      </c>
      <c r="BG56" s="208"/>
      <c r="BH56" s="195">
        <f t="shared" si="41"/>
        <v>208224</v>
      </c>
      <c r="BI56" s="195">
        <f t="shared" si="42"/>
        <v>161952</v>
      </c>
      <c r="BJ56" s="195">
        <f t="shared" si="43"/>
        <v>46272</v>
      </c>
    </row>
    <row r="57" spans="2:62" ht="24" customHeight="1">
      <c r="U57" s="209"/>
      <c r="V57" s="210" t="s">
        <v>77</v>
      </c>
      <c r="W57" s="202"/>
      <c r="X57" s="203" t="e">
        <f t="shared" ref="X57:X59" si="49">W57/Y56</f>
        <v>#DIV/0!</v>
      </c>
      <c r="Y57" s="205"/>
      <c r="Z57" s="205"/>
      <c r="AA57" s="205"/>
      <c r="BC57" s="189" t="s">
        <v>83</v>
      </c>
      <c r="BD57" s="208">
        <v>6775</v>
      </c>
      <c r="BE57" s="208">
        <v>12</v>
      </c>
      <c r="BF57" s="208">
        <v>11</v>
      </c>
      <c r="BG57" s="208"/>
      <c r="BH57" s="195">
        <f t="shared" si="41"/>
        <v>81300</v>
      </c>
      <c r="BI57" s="195">
        <f t="shared" si="42"/>
        <v>74525</v>
      </c>
      <c r="BJ57" s="195">
        <f t="shared" si="43"/>
        <v>6775</v>
      </c>
    </row>
    <row r="58" spans="2:62" ht="24" customHeight="1">
      <c r="U58" s="211" t="s">
        <v>84</v>
      </c>
      <c r="V58" s="210" t="s">
        <v>75</v>
      </c>
      <c r="W58" s="202"/>
      <c r="X58" s="203" t="e">
        <f t="shared" si="47"/>
        <v>#DIV/0!</v>
      </c>
      <c r="Y58" s="212">
        <f>SUM(Y52:AA56)</f>
        <v>0</v>
      </c>
      <c r="Z58" s="213"/>
      <c r="AA58" s="213"/>
      <c r="BC58" s="189" t="s">
        <v>85</v>
      </c>
      <c r="BD58" s="208">
        <v>1755</v>
      </c>
      <c r="BE58" s="208">
        <v>14</v>
      </c>
      <c r="BF58" s="208">
        <v>2</v>
      </c>
      <c r="BG58" s="208"/>
      <c r="BH58" s="195">
        <f t="shared" si="41"/>
        <v>24570</v>
      </c>
      <c r="BI58" s="195">
        <f t="shared" si="42"/>
        <v>3510</v>
      </c>
      <c r="BJ58" s="195">
        <f t="shared" si="43"/>
        <v>21060</v>
      </c>
    </row>
    <row r="59" spans="2:62" ht="24" customHeight="1">
      <c r="U59" s="211"/>
      <c r="V59" s="210" t="s">
        <v>77</v>
      </c>
      <c r="W59" s="202"/>
      <c r="X59" s="203" t="e">
        <f t="shared" si="49"/>
        <v>#DIV/0!</v>
      </c>
      <c r="Y59" s="213"/>
      <c r="Z59" s="213"/>
      <c r="AA59" s="213"/>
      <c r="BC59" s="189" t="s">
        <v>86</v>
      </c>
      <c r="BD59" s="208">
        <v>1755</v>
      </c>
      <c r="BE59" s="208">
        <v>10</v>
      </c>
      <c r="BF59" s="208">
        <v>0</v>
      </c>
      <c r="BG59" s="208"/>
      <c r="BH59" s="195">
        <f t="shared" si="41"/>
        <v>17550</v>
      </c>
      <c r="BI59" s="195">
        <f t="shared" si="42"/>
        <v>0</v>
      </c>
      <c r="BJ59" s="195">
        <f t="shared" si="43"/>
        <v>17550</v>
      </c>
    </row>
    <row r="60" spans="2:62" ht="24" customHeight="1">
      <c r="BC60" s="189" t="s">
        <v>87</v>
      </c>
      <c r="BD60" s="208">
        <v>1075</v>
      </c>
      <c r="BE60" s="208">
        <v>96</v>
      </c>
      <c r="BF60" s="208">
        <v>38</v>
      </c>
      <c r="BG60" s="208"/>
      <c r="BH60" s="195">
        <f t="shared" si="41"/>
        <v>103200</v>
      </c>
      <c r="BI60" s="195">
        <f t="shared" si="42"/>
        <v>40850</v>
      </c>
      <c r="BJ60" s="195">
        <f t="shared" si="43"/>
        <v>62350</v>
      </c>
    </row>
    <row r="61" spans="2:62" ht="24" customHeight="1">
      <c r="BC61" s="189" t="s">
        <v>88</v>
      </c>
      <c r="BD61" s="208">
        <v>3860</v>
      </c>
      <c r="BE61" s="208">
        <v>166</v>
      </c>
      <c r="BF61" s="208">
        <v>13</v>
      </c>
      <c r="BG61" s="208"/>
      <c r="BH61" s="195">
        <f t="shared" si="41"/>
        <v>640760</v>
      </c>
      <c r="BI61" s="195">
        <f t="shared" si="42"/>
        <v>50180</v>
      </c>
      <c r="BJ61" s="195">
        <f t="shared" si="43"/>
        <v>590580</v>
      </c>
    </row>
    <row r="62" spans="2:62" ht="24" customHeight="1">
      <c r="AS62" s="47">
        <v>6615293</v>
      </c>
      <c r="BC62" s="189" t="s">
        <v>89</v>
      </c>
      <c r="BD62" s="208">
        <v>6450</v>
      </c>
      <c r="BE62" s="208">
        <v>137</v>
      </c>
      <c r="BF62" s="208">
        <v>12</v>
      </c>
      <c r="BG62" s="208"/>
      <c r="BH62" s="195">
        <f t="shared" si="41"/>
        <v>883650</v>
      </c>
      <c r="BI62" s="195">
        <f t="shared" si="42"/>
        <v>77400</v>
      </c>
      <c r="BJ62" s="195">
        <f t="shared" si="43"/>
        <v>806250</v>
      </c>
    </row>
    <row r="63" spans="2:62" ht="24" customHeight="1">
      <c r="BC63" s="189" t="s">
        <v>90</v>
      </c>
      <c r="BD63" s="208">
        <v>1380</v>
      </c>
      <c r="BE63" s="208">
        <v>35</v>
      </c>
      <c r="BF63" s="208">
        <v>5</v>
      </c>
      <c r="BG63" s="208"/>
      <c r="BH63" s="195">
        <f t="shared" si="41"/>
        <v>48300</v>
      </c>
      <c r="BI63" s="195">
        <f t="shared" si="42"/>
        <v>6900</v>
      </c>
      <c r="BJ63" s="195">
        <f t="shared" si="43"/>
        <v>41400</v>
      </c>
    </row>
    <row r="64" spans="2:62" ht="24" customHeight="1">
      <c r="BC64" s="189" t="s">
        <v>91</v>
      </c>
      <c r="BD64" s="208">
        <v>1380</v>
      </c>
      <c r="BE64" s="208">
        <v>39</v>
      </c>
      <c r="BF64" s="208">
        <v>6</v>
      </c>
      <c r="BG64" s="208"/>
      <c r="BH64" s="195">
        <f t="shared" si="41"/>
        <v>53820</v>
      </c>
      <c r="BI64" s="195">
        <f t="shared" si="42"/>
        <v>8280</v>
      </c>
      <c r="BJ64" s="195">
        <f t="shared" si="43"/>
        <v>45540</v>
      </c>
    </row>
    <row r="65" spans="55:62" ht="24" customHeight="1">
      <c r="BC65" s="189" t="s">
        <v>92</v>
      </c>
      <c r="BD65" s="208">
        <v>160</v>
      </c>
      <c r="BE65" s="208">
        <v>594</v>
      </c>
      <c r="BF65" s="208">
        <v>53</v>
      </c>
      <c r="BG65" s="208"/>
      <c r="BH65" s="195">
        <f t="shared" si="41"/>
        <v>95040</v>
      </c>
      <c r="BI65" s="195">
        <f t="shared" si="42"/>
        <v>8480</v>
      </c>
      <c r="BJ65" s="195">
        <f t="shared" si="43"/>
        <v>86560</v>
      </c>
    </row>
    <row r="66" spans="55:62" ht="24" customHeight="1">
      <c r="BC66" s="189" t="s">
        <v>93</v>
      </c>
      <c r="BD66" s="208">
        <v>160</v>
      </c>
      <c r="BE66" s="208">
        <v>300</v>
      </c>
      <c r="BF66" s="208">
        <v>47</v>
      </c>
      <c r="BG66" s="208"/>
      <c r="BH66" s="195">
        <f t="shared" si="41"/>
        <v>48000</v>
      </c>
      <c r="BI66" s="195">
        <f t="shared" si="42"/>
        <v>7520</v>
      </c>
      <c r="BJ66" s="195">
        <f t="shared" si="43"/>
        <v>40480</v>
      </c>
    </row>
    <row r="67" spans="55:62" ht="24" customHeight="1">
      <c r="BC67" s="189" t="s">
        <v>94</v>
      </c>
      <c r="BD67" s="208">
        <v>205</v>
      </c>
      <c r="BE67" s="208">
        <v>366</v>
      </c>
      <c r="BF67" s="208">
        <v>49</v>
      </c>
      <c r="BG67" s="208"/>
      <c r="BH67" s="195">
        <f t="shared" si="41"/>
        <v>75030</v>
      </c>
      <c r="BI67" s="195">
        <f t="shared" si="42"/>
        <v>10045</v>
      </c>
      <c r="BJ67" s="195">
        <f t="shared" si="43"/>
        <v>64985</v>
      </c>
    </row>
    <row r="68" spans="55:62" ht="24" customHeight="1">
      <c r="BC68" s="189" t="s">
        <v>95</v>
      </c>
      <c r="BD68" s="208">
        <v>295</v>
      </c>
      <c r="BE68" s="208">
        <v>612</v>
      </c>
      <c r="BF68" s="208">
        <v>86</v>
      </c>
      <c r="BG68" s="208"/>
      <c r="BH68" s="195">
        <f t="shared" si="41"/>
        <v>180540</v>
      </c>
      <c r="BI68" s="195">
        <f t="shared" si="42"/>
        <v>25370</v>
      </c>
      <c r="BJ68" s="195">
        <f t="shared" si="43"/>
        <v>155170</v>
      </c>
    </row>
    <row r="69" spans="55:62" ht="24" customHeight="1">
      <c r="BC69" s="189" t="s">
        <v>96</v>
      </c>
      <c r="BD69" s="208">
        <v>70</v>
      </c>
      <c r="BE69" s="208">
        <v>480</v>
      </c>
      <c r="BF69" s="208">
        <v>71</v>
      </c>
      <c r="BG69" s="208"/>
      <c r="BH69" s="195">
        <f t="shared" si="41"/>
        <v>33600</v>
      </c>
      <c r="BI69" s="195">
        <f t="shared" si="42"/>
        <v>4970</v>
      </c>
      <c r="BJ69" s="195">
        <f t="shared" si="43"/>
        <v>28630</v>
      </c>
    </row>
    <row r="70" spans="55:62" ht="24" customHeight="1">
      <c r="BC70" s="189" t="s">
        <v>97</v>
      </c>
      <c r="BD70" s="208">
        <v>2450</v>
      </c>
      <c r="BE70" s="208">
        <v>31</v>
      </c>
      <c r="BF70" s="208">
        <v>9</v>
      </c>
      <c r="BG70" s="208"/>
      <c r="BH70" s="195">
        <f t="shared" si="41"/>
        <v>75950</v>
      </c>
      <c r="BI70" s="195">
        <f t="shared" si="42"/>
        <v>22050</v>
      </c>
      <c r="BJ70" s="195">
        <f t="shared" si="43"/>
        <v>53900</v>
      </c>
    </row>
    <row r="71" spans="55:62" ht="24" customHeight="1">
      <c r="BC71" s="189"/>
      <c r="BH71" s="214">
        <f>SUM(BH50:BH70)</f>
        <v>9956044</v>
      </c>
      <c r="BI71" s="214">
        <f t="shared" ref="BI71:BJ71" si="50">SUM(BI50:BI70)</f>
        <v>817992</v>
      </c>
      <c r="BJ71" s="214">
        <f t="shared" si="50"/>
        <v>9138052</v>
      </c>
    </row>
    <row r="72" spans="55:62" ht="24" customHeight="1">
      <c r="BC72" s="189"/>
    </row>
    <row r="73" spans="55:62" ht="24" customHeight="1">
      <c r="BC73" s="189"/>
    </row>
    <row r="74" spans="55:62" ht="24" customHeight="1">
      <c r="BC74" s="189"/>
    </row>
    <row r="75" spans="55:62" ht="24" customHeight="1">
      <c r="BC75" s="189"/>
    </row>
    <row r="76" spans="55:62" ht="24" customHeight="1">
      <c r="BC76" s="189"/>
    </row>
    <row r="77" spans="55:62" ht="24" customHeight="1">
      <c r="BC77" s="189"/>
    </row>
    <row r="78" spans="55:62" ht="24" customHeight="1">
      <c r="BC78" s="189"/>
    </row>
    <row r="79" spans="55:62" ht="24" customHeight="1">
      <c r="BC79" s="189"/>
    </row>
    <row r="80" spans="55:62" ht="24" customHeight="1">
      <c r="BC80" s="189"/>
    </row>
    <row r="81" spans="55:55" ht="24" customHeight="1">
      <c r="BC81" s="189"/>
    </row>
    <row r="82" spans="55:55" ht="24" customHeight="1">
      <c r="BC82" s="189"/>
    </row>
    <row r="83" spans="55:55" ht="24" customHeight="1">
      <c r="BC83" s="189"/>
    </row>
    <row r="84" spans="55:55" ht="24" customHeight="1">
      <c r="BC84" s="189"/>
    </row>
    <row r="85" spans="55:55" ht="24" customHeight="1">
      <c r="BC85" s="189"/>
    </row>
    <row r="86" spans="55:55" ht="24" customHeight="1">
      <c r="BC86" s="189"/>
    </row>
    <row r="87" spans="55:55" ht="24" customHeight="1">
      <c r="BC87" s="189"/>
    </row>
    <row r="88" spans="55:55" ht="24" customHeight="1">
      <c r="BC88" s="189"/>
    </row>
    <row r="89" spans="55:55" ht="24" customHeight="1">
      <c r="BC89" s="189"/>
    </row>
    <row r="90" spans="55:55" ht="24" customHeight="1">
      <c r="BC90" s="189"/>
    </row>
    <row r="91" spans="55:55" ht="24" customHeight="1">
      <c r="BC91" s="189"/>
    </row>
    <row r="92" spans="55:55" ht="24" customHeight="1">
      <c r="BC92" s="189"/>
    </row>
    <row r="93" spans="55:55" ht="24" customHeight="1">
      <c r="BC93" s="189"/>
    </row>
    <row r="94" spans="55:55" ht="24" customHeight="1">
      <c r="BC94" s="189"/>
    </row>
    <row r="95" spans="55:55" ht="24" customHeight="1">
      <c r="BC95" s="189"/>
    </row>
    <row r="96" spans="55:55" ht="24" customHeight="1">
      <c r="BC96" s="189"/>
    </row>
    <row r="97" spans="55:55" ht="24" customHeight="1">
      <c r="BC97" s="189"/>
    </row>
    <row r="98" spans="55:55" ht="24" customHeight="1">
      <c r="BC98" s="189"/>
    </row>
    <row r="99" spans="55:55" ht="24" customHeight="1">
      <c r="BC99" s="189"/>
    </row>
    <row r="100" spans="55:55" ht="24" customHeight="1">
      <c r="BC100" s="189"/>
    </row>
    <row r="101" spans="55:55" ht="24" customHeight="1">
      <c r="BC101" s="189"/>
    </row>
    <row r="102" spans="55:55" ht="24" customHeight="1">
      <c r="BC102" s="189"/>
    </row>
    <row r="103" spans="55:55" ht="24" customHeight="1">
      <c r="BC103" s="189"/>
    </row>
    <row r="104" spans="55:55" ht="24" customHeight="1">
      <c r="BC104" s="189"/>
    </row>
    <row r="105" spans="55:55" ht="24" customHeight="1">
      <c r="BC105" s="189"/>
    </row>
    <row r="106" spans="55:55" ht="24" customHeight="1">
      <c r="BC106" s="189"/>
    </row>
    <row r="107" spans="55:55" ht="24" customHeight="1">
      <c r="BC107" s="189"/>
    </row>
    <row r="108" spans="55:55" ht="24" customHeight="1">
      <c r="BC108" s="189"/>
    </row>
    <row r="109" spans="55:55" ht="24" customHeight="1">
      <c r="BC109" s="189"/>
    </row>
    <row r="110" spans="55:55" ht="24" customHeight="1">
      <c r="BC110" s="189"/>
    </row>
    <row r="111" spans="55:55" ht="24" customHeight="1">
      <c r="BC111" s="189"/>
    </row>
    <row r="112" spans="55:55" ht="24" customHeight="1">
      <c r="BC112" s="189"/>
    </row>
    <row r="113" spans="55:55" ht="24" customHeight="1">
      <c r="BC113" s="189"/>
    </row>
    <row r="114" spans="55:55" ht="24" customHeight="1">
      <c r="BC114" s="189"/>
    </row>
    <row r="115" spans="55:55" ht="24" customHeight="1">
      <c r="BC115" s="189"/>
    </row>
    <row r="116" spans="55:55" ht="24" customHeight="1">
      <c r="BC116" s="189"/>
    </row>
    <row r="117" spans="55:55" ht="24" customHeight="1">
      <c r="BC117" s="189"/>
    </row>
    <row r="118" spans="55:55" ht="24" customHeight="1">
      <c r="BC118" s="189"/>
    </row>
    <row r="119" spans="55:55" ht="24" customHeight="1">
      <c r="BC119" s="189"/>
    </row>
    <row r="120" spans="55:55" ht="24" customHeight="1">
      <c r="BC120" s="189"/>
    </row>
    <row r="121" spans="55:55" ht="24" customHeight="1">
      <c r="BC121" s="189"/>
    </row>
    <row r="122" spans="55:55" ht="24" customHeight="1">
      <c r="BC122" s="189"/>
    </row>
    <row r="123" spans="55:55" ht="24" customHeight="1">
      <c r="BC123" s="189"/>
    </row>
    <row r="124" spans="55:55" ht="24" customHeight="1">
      <c r="BC124" s="189"/>
    </row>
    <row r="125" spans="55:55" ht="24" customHeight="1">
      <c r="BC125" s="189"/>
    </row>
    <row r="126" spans="55:55" ht="24" customHeight="1">
      <c r="BC126" s="189"/>
    </row>
    <row r="127" spans="55:55" ht="24" customHeight="1">
      <c r="BC127" s="189"/>
    </row>
    <row r="128" spans="55:55" ht="24" customHeight="1">
      <c r="BC128" s="189"/>
    </row>
    <row r="129" spans="55:55" ht="24" customHeight="1">
      <c r="BC129" s="189"/>
    </row>
    <row r="130" spans="55:55" ht="24" customHeight="1">
      <c r="BC130" s="189"/>
    </row>
    <row r="131" spans="55:55" ht="24" customHeight="1">
      <c r="BC131" s="189"/>
    </row>
    <row r="132" spans="55:55" ht="24" customHeight="1">
      <c r="BC132" s="189"/>
    </row>
    <row r="133" spans="55:55" ht="24" customHeight="1">
      <c r="BC133" s="189"/>
    </row>
    <row r="134" spans="55:55" ht="24" customHeight="1">
      <c r="BC134" s="189"/>
    </row>
    <row r="135" spans="55:55" ht="24" customHeight="1">
      <c r="BC135" s="189"/>
    </row>
    <row r="136" spans="55:55" ht="24" customHeight="1">
      <c r="BC136" s="189"/>
    </row>
    <row r="137" spans="55:55" ht="24" customHeight="1">
      <c r="BC137" s="189"/>
    </row>
    <row r="138" spans="55:55" ht="24" customHeight="1">
      <c r="BC138" s="189"/>
    </row>
    <row r="139" spans="55:55" ht="24" customHeight="1">
      <c r="BC139" s="189"/>
    </row>
    <row r="140" spans="55:55" ht="24" customHeight="1">
      <c r="BC140" s="189"/>
    </row>
    <row r="141" spans="55:55" ht="24" customHeight="1">
      <c r="BC141" s="189"/>
    </row>
    <row r="142" spans="55:55" ht="24" customHeight="1">
      <c r="BC142" s="189"/>
    </row>
    <row r="143" spans="55:55" ht="24" customHeight="1">
      <c r="BC143" s="189"/>
    </row>
    <row r="144" spans="55:55" ht="24" customHeight="1">
      <c r="BC144" s="189"/>
    </row>
    <row r="145" spans="55:55" ht="24" customHeight="1">
      <c r="BC145" s="189"/>
    </row>
    <row r="146" spans="55:55" ht="24" customHeight="1">
      <c r="BC146" s="189"/>
    </row>
    <row r="147" spans="55:55" ht="24" customHeight="1">
      <c r="BC147" s="189"/>
    </row>
    <row r="148" spans="55:55" ht="24" customHeight="1">
      <c r="BC148" s="189"/>
    </row>
    <row r="149" spans="55:55" ht="24" customHeight="1">
      <c r="BC149" s="189"/>
    </row>
    <row r="150" spans="55:55" ht="24" customHeight="1">
      <c r="BC150" s="189"/>
    </row>
    <row r="151" spans="55:55" ht="24" customHeight="1">
      <c r="BC151" s="189"/>
    </row>
    <row r="152" spans="55:55" ht="24" customHeight="1">
      <c r="BC152" s="189"/>
    </row>
    <row r="153" spans="55:55" ht="24" customHeight="1">
      <c r="BC153" s="189"/>
    </row>
    <row r="154" spans="55:55" ht="24" customHeight="1">
      <c r="BC154" s="189"/>
    </row>
    <row r="155" spans="55:55" ht="24" customHeight="1">
      <c r="BC155" s="189"/>
    </row>
    <row r="156" spans="55:55" ht="24" customHeight="1">
      <c r="BC156" s="189"/>
    </row>
    <row r="157" spans="55:55" ht="24" customHeight="1">
      <c r="BC157" s="189"/>
    </row>
    <row r="158" spans="55:55" ht="24" customHeight="1">
      <c r="BC158" s="189"/>
    </row>
    <row r="159" spans="55:55" ht="24" customHeight="1">
      <c r="BC159" s="189"/>
    </row>
    <row r="160" spans="55:55" ht="24" customHeight="1">
      <c r="BC160" s="189"/>
    </row>
    <row r="161" spans="55:55" ht="24" customHeight="1">
      <c r="BC161" s="189"/>
    </row>
    <row r="162" spans="55:55" ht="24" customHeight="1">
      <c r="BC162" s="189"/>
    </row>
    <row r="163" spans="55:55" ht="24" customHeight="1">
      <c r="BC163" s="189"/>
    </row>
    <row r="164" spans="55:55" ht="24" customHeight="1">
      <c r="BC164" s="189"/>
    </row>
    <row r="165" spans="55:55" ht="24" customHeight="1">
      <c r="BC165" s="189"/>
    </row>
    <row r="166" spans="55:55" ht="24" customHeight="1">
      <c r="BC166" s="189"/>
    </row>
    <row r="167" spans="55:55" ht="24" customHeight="1">
      <c r="BC167" s="189"/>
    </row>
    <row r="168" spans="55:55" ht="24" customHeight="1">
      <c r="BC168" s="189"/>
    </row>
    <row r="169" spans="55:55" ht="24" customHeight="1">
      <c r="BC169" s="189"/>
    </row>
    <row r="170" spans="55:55" ht="24" customHeight="1">
      <c r="BC170" s="189"/>
    </row>
    <row r="171" spans="55:55" ht="24" customHeight="1">
      <c r="BC171" s="189"/>
    </row>
    <row r="172" spans="55:55" ht="24" customHeight="1">
      <c r="BC172" s="189"/>
    </row>
    <row r="173" spans="55:55" ht="24" customHeight="1">
      <c r="BC173" s="189"/>
    </row>
    <row r="174" spans="55:55" ht="24" customHeight="1">
      <c r="BC174" s="189"/>
    </row>
    <row r="175" spans="55:55" ht="24" customHeight="1">
      <c r="BC175" s="189"/>
    </row>
    <row r="176" spans="55:55" ht="24" customHeight="1">
      <c r="BC176" s="189"/>
    </row>
    <row r="177" spans="55:55" ht="24" customHeight="1">
      <c r="BC177" s="189"/>
    </row>
    <row r="178" spans="55:55" ht="24" customHeight="1">
      <c r="BC178" s="189"/>
    </row>
    <row r="179" spans="55:55" ht="24" customHeight="1">
      <c r="BC179" s="189"/>
    </row>
    <row r="180" spans="55:55" ht="24" customHeight="1">
      <c r="BC180" s="189"/>
    </row>
    <row r="181" spans="55:55" ht="24" customHeight="1">
      <c r="BC181" s="189"/>
    </row>
    <row r="182" spans="55:55" ht="24" customHeight="1">
      <c r="BC182" s="189"/>
    </row>
    <row r="183" spans="55:55" ht="24" customHeight="1">
      <c r="BC183" s="189"/>
    </row>
    <row r="184" spans="55:55">
      <c r="BC184" s="189"/>
    </row>
    <row r="185" spans="55:55">
      <c r="BC185" s="189"/>
    </row>
    <row r="186" spans="55:55">
      <c r="BC186" s="189"/>
    </row>
    <row r="187" spans="55:55">
      <c r="BC187" s="189"/>
    </row>
    <row r="188" spans="55:55">
      <c r="BC188" s="189"/>
    </row>
    <row r="189" spans="55:55">
      <c r="BC189" s="189"/>
    </row>
    <row r="190" spans="55:55">
      <c r="BC190" s="189"/>
    </row>
    <row r="191" spans="55:55">
      <c r="BC191" s="189"/>
    </row>
    <row r="192" spans="55:55">
      <c r="BC192" s="189"/>
    </row>
    <row r="193" spans="55:55">
      <c r="BC193" s="189"/>
    </row>
    <row r="194" spans="55:55">
      <c r="BC194" s="189"/>
    </row>
    <row r="195" spans="55:55">
      <c r="BC195" s="189"/>
    </row>
    <row r="196" spans="55:55">
      <c r="BC196" s="189"/>
    </row>
    <row r="197" spans="55:55">
      <c r="BC197" s="189"/>
    </row>
    <row r="198" spans="55:55">
      <c r="BC198" s="189"/>
    </row>
    <row r="199" spans="55:55">
      <c r="BC199" s="189"/>
    </row>
    <row r="200" spans="55:55">
      <c r="BC200" s="189"/>
    </row>
    <row r="201" spans="55:55">
      <c r="BC201" s="189"/>
    </row>
    <row r="202" spans="55:55">
      <c r="BC202" s="189"/>
    </row>
    <row r="203" spans="55:55">
      <c r="BC203" s="189"/>
    </row>
    <row r="204" spans="55:55">
      <c r="BC204" s="189"/>
    </row>
    <row r="205" spans="55:55">
      <c r="BC205" s="189"/>
    </row>
    <row r="206" spans="55:55">
      <c r="BC206" s="189"/>
    </row>
    <row r="207" spans="55:55">
      <c r="BC207" s="189"/>
    </row>
    <row r="208" spans="55:55">
      <c r="BC208" s="189"/>
    </row>
    <row r="209" spans="55:55">
      <c r="BC209" s="189"/>
    </row>
    <row r="210" spans="55:55">
      <c r="BC210" s="189"/>
    </row>
    <row r="211" spans="55:55">
      <c r="BC211" s="189"/>
    </row>
    <row r="212" spans="55:55">
      <c r="BC212" s="189"/>
    </row>
    <row r="213" spans="55:55">
      <c r="BC213" s="189"/>
    </row>
    <row r="214" spans="55:55">
      <c r="BC214" s="189"/>
    </row>
    <row r="215" spans="55:55">
      <c r="BC215" s="189"/>
    </row>
    <row r="216" spans="55:55">
      <c r="BC216" s="189"/>
    </row>
    <row r="217" spans="55:55">
      <c r="BC217" s="189"/>
    </row>
    <row r="218" spans="55:55">
      <c r="BC218" s="189"/>
    </row>
    <row r="219" spans="55:55">
      <c r="BC219" s="189"/>
    </row>
    <row r="220" spans="55:55">
      <c r="BC220" s="189"/>
    </row>
    <row r="221" spans="55:55">
      <c r="BC221" s="189"/>
    </row>
    <row r="222" spans="55:55">
      <c r="BC222" s="189"/>
    </row>
    <row r="223" spans="55:55">
      <c r="BC223" s="189"/>
    </row>
    <row r="224" spans="55:55">
      <c r="BC224" s="189"/>
    </row>
  </sheetData>
  <mergeCells count="30">
    <mergeCell ref="U58:U59"/>
    <mergeCell ref="Y58:AA59"/>
    <mergeCell ref="U52:U53"/>
    <mergeCell ref="Y52:AA53"/>
    <mergeCell ref="U54:U55"/>
    <mergeCell ref="Y54:AA55"/>
    <mergeCell ref="U56:U57"/>
    <mergeCell ref="Y56:AA57"/>
    <mergeCell ref="BF41:BF42"/>
    <mergeCell ref="BG41:BG42"/>
    <mergeCell ref="BK41:BK42"/>
    <mergeCell ref="BL41:BL42"/>
    <mergeCell ref="BP41:BP42"/>
    <mergeCell ref="BQ41:BQ42"/>
    <mergeCell ref="AO3:AW3"/>
    <mergeCell ref="AX3:BB3"/>
    <mergeCell ref="BC3:BJ3"/>
    <mergeCell ref="D40:K44"/>
    <mergeCell ref="L40:S44"/>
    <mergeCell ref="Y40:AF44"/>
    <mergeCell ref="AG40:AN44"/>
    <mergeCell ref="AO40:AW44"/>
    <mergeCell ref="BD40:BH40"/>
    <mergeCell ref="BI40:BM40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0006-AE1C-7047-A7DD-1E9C1DD2FA09}">
  <dimension ref="A1:BM224"/>
  <sheetViews>
    <sheetView tabSelected="1" workbookViewId="0">
      <selection activeCell="C8" sqref="C8"/>
    </sheetView>
  </sheetViews>
  <sheetFormatPr baseColWidth="10" defaultColWidth="11.140625" defaultRowHeight="16"/>
  <cols>
    <col min="1" max="1" width="11.140625" style="47"/>
    <col min="2" max="2" width="10.42578125" style="129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5" s="3" customFormat="1">
      <c r="A1" s="1" t="s">
        <v>0</v>
      </c>
      <c r="B1" s="2"/>
      <c r="BJ1" s="4"/>
      <c r="BL1" s="4"/>
    </row>
    <row r="2" spans="1:65" s="3" customFormat="1" ht="35" thickBot="1">
      <c r="A2" s="5">
        <v>2023</v>
      </c>
      <c r="B2" s="6">
        <v>9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5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112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5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5" ht="20" customHeight="1" thickTop="1">
      <c r="B5" s="48">
        <f>DATE($A$2,$B$2,1)</f>
        <v>45170</v>
      </c>
      <c r="C5" s="49"/>
      <c r="D5" s="50"/>
      <c r="E5" s="51">
        <v>39</v>
      </c>
      <c r="F5" s="52">
        <v>151030</v>
      </c>
      <c r="G5" s="53">
        <f t="shared" ref="G5:G35" si="0">ROUNDDOWN(F5/1.1,0)/E5</f>
        <v>3520.5128205128203</v>
      </c>
      <c r="H5" s="52">
        <v>24170</v>
      </c>
      <c r="I5" s="54">
        <f t="shared" ref="I5:I35" si="1">ROUNDDOWN(H5/1.1,0)/E5</f>
        <v>563.38461538461536</v>
      </c>
      <c r="J5" s="55">
        <f t="shared" ref="J5:J35" si="2">F5+H5</f>
        <v>175200</v>
      </c>
      <c r="K5" s="56">
        <f t="shared" ref="K5:K35" si="3">IF(E5="","",J5/E5)</f>
        <v>4492.3076923076924</v>
      </c>
      <c r="L5" s="57"/>
      <c r="M5" s="58">
        <f t="shared" ref="M5:N35" si="4">BC5-E5</f>
        <v>6</v>
      </c>
      <c r="N5" s="59">
        <f t="shared" si="4"/>
        <v>82610</v>
      </c>
      <c r="O5" s="53">
        <f t="shared" ref="O5:O35" si="5">ROUNDDOWN(N5/1.1,0)/M5</f>
        <v>12516.666666666666</v>
      </c>
      <c r="P5" s="59">
        <f t="shared" ref="P5:P35" si="6">BE5-H5</f>
        <v>22140</v>
      </c>
      <c r="Q5" s="54">
        <f t="shared" ref="Q5:Q35" si="7">ROUNDDOWN(P5/1.1,0)/M5</f>
        <v>3354.5</v>
      </c>
      <c r="R5" s="60">
        <f t="shared" ref="R5:R35" si="8">N5+P5</f>
        <v>104750</v>
      </c>
      <c r="S5" s="56">
        <f t="shared" ref="S5:S35" si="9">IF(M5="","",R5/M5)</f>
        <v>17458.333333333332</v>
      </c>
      <c r="T5" s="61">
        <f t="shared" ref="T5:U35" si="10">E5+M5</f>
        <v>45</v>
      </c>
      <c r="U5" s="59">
        <f t="shared" si="10"/>
        <v>233640</v>
      </c>
      <c r="V5" s="59">
        <f t="shared" ref="V5:V35" si="11">H5+P5</f>
        <v>46310</v>
      </c>
      <c r="W5" s="62">
        <f t="shared" ref="W5:W35" si="12">J5+R5</f>
        <v>279950</v>
      </c>
      <c r="X5" s="59"/>
      <c r="Y5" s="63"/>
      <c r="Z5" s="64">
        <v>10</v>
      </c>
      <c r="AA5" s="52">
        <v>5690</v>
      </c>
      <c r="AB5" s="53">
        <f t="shared" ref="AB5:AB35" si="13">AA5/Z5</f>
        <v>569</v>
      </c>
      <c r="AC5" s="52">
        <v>1000</v>
      </c>
      <c r="AD5" s="54">
        <f t="shared" ref="AD5:AD35" si="14">AC5/Z5</f>
        <v>100</v>
      </c>
      <c r="AE5" s="65">
        <f t="shared" ref="AE5:AE35" si="15">AA5+AC5</f>
        <v>6690</v>
      </c>
      <c r="AF5" s="56">
        <f t="shared" ref="AF5:AF35" si="16">IF(Z5="","",AE5/Z5)</f>
        <v>669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>
        <v>72</v>
      </c>
      <c r="AP5" s="64">
        <v>263</v>
      </c>
      <c r="AQ5" s="52">
        <v>771000</v>
      </c>
      <c r="AR5" s="53">
        <f t="shared" ref="AR5:AR35" si="20">AQ5/AP5</f>
        <v>2931.5589353612168</v>
      </c>
      <c r="AS5" s="52">
        <v>462000</v>
      </c>
      <c r="AT5" s="54">
        <f t="shared" ref="AT5:AT35" si="21">AS5/AP5</f>
        <v>1756.6539923954372</v>
      </c>
      <c r="AU5" s="54">
        <v>7890</v>
      </c>
      <c r="AV5" s="69">
        <f>AQ5+AS5+AU5</f>
        <v>1240890</v>
      </c>
      <c r="AW5" s="67">
        <f t="shared" ref="AW5:AW35" si="22">IF(AP5="","",AV5/AP5)</f>
        <v>4718.2129277566537</v>
      </c>
      <c r="AX5" s="70">
        <f t="shared" ref="AX5:AX35" si="23">SUM(E5,M5)</f>
        <v>45</v>
      </c>
      <c r="AY5" s="59">
        <f t="shared" ref="AY5:AY35" si="24">U5+AA5+AI5+AQ5</f>
        <v>1010330</v>
      </c>
      <c r="AZ5" s="59">
        <f t="shared" ref="AZ5:AZ35" si="25">V5+AC5+AK5+AS5</f>
        <v>509310</v>
      </c>
      <c r="BA5" s="71">
        <f t="shared" ref="BA5:BA35" si="26">W5+AE5+AM5+AV5</f>
        <v>1527530</v>
      </c>
      <c r="BB5" s="72">
        <f>BF5+BG5</f>
        <v>3850</v>
      </c>
      <c r="BC5" s="73">
        <v>45</v>
      </c>
      <c r="BD5" s="74">
        <v>233640</v>
      </c>
      <c r="BE5" s="74">
        <v>46310</v>
      </c>
      <c r="BF5" s="75">
        <v>3850</v>
      </c>
      <c r="BG5" s="75"/>
      <c r="BH5" s="75"/>
      <c r="BI5" s="75"/>
      <c r="BJ5" s="76">
        <f>SUM(BD5:BG5)</f>
        <v>283800</v>
      </c>
      <c r="BK5" s="47">
        <v>1</v>
      </c>
      <c r="BL5" s="77">
        <f t="shared" ref="BL5:BL35" si="27">BI5+BJ5</f>
        <v>283800</v>
      </c>
    </row>
    <row r="6" spans="1:65" ht="20" customHeight="1">
      <c r="B6" s="78">
        <f t="shared" ref="B6:B35" si="28">B5+1</f>
        <v>45171</v>
      </c>
      <c r="C6" s="79"/>
      <c r="D6" s="50"/>
      <c r="E6" s="51">
        <v>43</v>
      </c>
      <c r="F6" s="52">
        <v>158510</v>
      </c>
      <c r="G6" s="53">
        <f t="shared" si="0"/>
        <v>3351.1627906976746</v>
      </c>
      <c r="H6" s="52">
        <v>15550</v>
      </c>
      <c r="I6" s="54">
        <f t="shared" si="1"/>
        <v>328.74418604651163</v>
      </c>
      <c r="J6" s="55">
        <f t="shared" si="2"/>
        <v>174060</v>
      </c>
      <c r="K6" s="56">
        <f t="shared" si="3"/>
        <v>4047.9069767441861</v>
      </c>
      <c r="L6" s="57"/>
      <c r="M6" s="58">
        <f t="shared" si="4"/>
        <v>23</v>
      </c>
      <c r="N6" s="59">
        <f t="shared" si="4"/>
        <v>214170</v>
      </c>
      <c r="O6" s="53">
        <f t="shared" si="5"/>
        <v>8465.217391304348</v>
      </c>
      <c r="P6" s="59">
        <f t="shared" si="6"/>
        <v>51350</v>
      </c>
      <c r="Q6" s="54">
        <f t="shared" si="7"/>
        <v>2029.608695652174</v>
      </c>
      <c r="R6" s="60">
        <f t="shared" si="8"/>
        <v>265520</v>
      </c>
      <c r="S6" s="56">
        <f t="shared" si="9"/>
        <v>11544.347826086956</v>
      </c>
      <c r="T6" s="80">
        <f t="shared" si="10"/>
        <v>66</v>
      </c>
      <c r="U6" s="59">
        <f t="shared" si="10"/>
        <v>372680</v>
      </c>
      <c r="V6" s="59">
        <f t="shared" si="11"/>
        <v>66900</v>
      </c>
      <c r="W6" s="62">
        <f t="shared" si="12"/>
        <v>439580</v>
      </c>
      <c r="X6" s="81"/>
      <c r="Y6" s="63"/>
      <c r="Z6" s="64">
        <v>11</v>
      </c>
      <c r="AA6" s="52">
        <v>7310</v>
      </c>
      <c r="AB6" s="53">
        <f t="shared" si="13"/>
        <v>664.5454545454545</v>
      </c>
      <c r="AC6" s="52">
        <v>1500</v>
      </c>
      <c r="AD6" s="54">
        <f t="shared" si="14"/>
        <v>136.36363636363637</v>
      </c>
      <c r="AE6" s="65">
        <f>AA6+AC6</f>
        <v>8810</v>
      </c>
      <c r="AF6" s="56">
        <f t="shared" si="16"/>
        <v>800.90909090909088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>
        <v>137</v>
      </c>
      <c r="AP6" s="64">
        <v>368</v>
      </c>
      <c r="AQ6" s="52">
        <v>1077700</v>
      </c>
      <c r="AR6" s="53">
        <f t="shared" si="20"/>
        <v>2928.532608695652</v>
      </c>
      <c r="AS6" s="52">
        <v>588200</v>
      </c>
      <c r="AT6" s="54">
        <f t="shared" si="21"/>
        <v>1598.3695652173913</v>
      </c>
      <c r="AU6" s="54">
        <v>31350</v>
      </c>
      <c r="AV6" s="69">
        <f t="shared" ref="AV6:AV35" si="30">AQ6+AS6+AU6</f>
        <v>1697250</v>
      </c>
      <c r="AW6" s="67">
        <f t="shared" si="22"/>
        <v>4612.092391304348</v>
      </c>
      <c r="AX6" s="82">
        <f t="shared" si="23"/>
        <v>66</v>
      </c>
      <c r="AY6" s="59">
        <f t="shared" si="24"/>
        <v>1457690</v>
      </c>
      <c r="AZ6" s="59">
        <f t="shared" si="25"/>
        <v>656600</v>
      </c>
      <c r="BA6" s="71">
        <f t="shared" si="26"/>
        <v>2145640</v>
      </c>
      <c r="BB6" s="72">
        <f t="shared" ref="BB6:BB35" si="31">BF6+BG6</f>
        <v>9900</v>
      </c>
      <c r="BC6" s="73">
        <v>66</v>
      </c>
      <c r="BD6" s="74">
        <v>372680</v>
      </c>
      <c r="BE6" s="74">
        <v>66900</v>
      </c>
      <c r="BF6" s="75">
        <v>9900</v>
      </c>
      <c r="BG6" s="75"/>
      <c r="BH6" s="75">
        <v>3300</v>
      </c>
      <c r="BI6" s="75"/>
      <c r="BJ6" s="76">
        <f t="shared" ref="BJ6:BJ35" si="32">SUM(BD6:BG6)</f>
        <v>449480</v>
      </c>
      <c r="BK6" s="47">
        <v>2</v>
      </c>
      <c r="BL6" s="77">
        <f t="shared" si="27"/>
        <v>449480</v>
      </c>
    </row>
    <row r="7" spans="1:65" ht="20" customHeight="1">
      <c r="B7" s="78">
        <f>B6+1</f>
        <v>45172</v>
      </c>
      <c r="C7" s="79"/>
      <c r="D7" s="50"/>
      <c r="E7" s="51">
        <v>27</v>
      </c>
      <c r="F7" s="52">
        <v>128150</v>
      </c>
      <c r="G7" s="53">
        <f t="shared" si="0"/>
        <v>4314.8148148148148</v>
      </c>
      <c r="H7" s="52">
        <v>38320</v>
      </c>
      <c r="I7" s="54">
        <f t="shared" si="1"/>
        <v>1290.2222222222222</v>
      </c>
      <c r="J7" s="55">
        <f t="shared" si="2"/>
        <v>166470</v>
      </c>
      <c r="K7" s="56">
        <f t="shared" si="3"/>
        <v>6165.5555555555557</v>
      </c>
      <c r="L7" s="57"/>
      <c r="M7" s="58">
        <f t="shared" si="4"/>
        <v>8</v>
      </c>
      <c r="N7" s="59">
        <f t="shared" si="4"/>
        <v>79860</v>
      </c>
      <c r="O7" s="53">
        <f t="shared" si="5"/>
        <v>9075</v>
      </c>
      <c r="P7" s="59">
        <f t="shared" si="6"/>
        <v>17820</v>
      </c>
      <c r="Q7" s="54">
        <f t="shared" si="7"/>
        <v>2025</v>
      </c>
      <c r="R7" s="60">
        <f t="shared" si="8"/>
        <v>97680</v>
      </c>
      <c r="S7" s="56">
        <f t="shared" si="9"/>
        <v>12210</v>
      </c>
      <c r="T7" s="80">
        <f t="shared" si="10"/>
        <v>35</v>
      </c>
      <c r="U7" s="59">
        <f t="shared" si="10"/>
        <v>208010</v>
      </c>
      <c r="V7" s="59">
        <f t="shared" si="11"/>
        <v>56140</v>
      </c>
      <c r="W7" s="62">
        <f t="shared" si="12"/>
        <v>264150</v>
      </c>
      <c r="X7" s="81"/>
      <c r="Y7" s="63"/>
      <c r="Z7" s="64">
        <v>12</v>
      </c>
      <c r="AA7" s="52">
        <v>6000</v>
      </c>
      <c r="AB7" s="53">
        <f t="shared" si="13"/>
        <v>500</v>
      </c>
      <c r="AC7" s="52">
        <v>7340</v>
      </c>
      <c r="AD7" s="54">
        <f t="shared" si="14"/>
        <v>611.66666666666663</v>
      </c>
      <c r="AE7" s="65">
        <f t="shared" si="15"/>
        <v>13340</v>
      </c>
      <c r="AF7" s="56">
        <f t="shared" si="16"/>
        <v>1111.6666666666667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>
        <v>131</v>
      </c>
      <c r="AP7" s="64">
        <v>343</v>
      </c>
      <c r="AQ7" s="52">
        <v>973500</v>
      </c>
      <c r="AR7" s="53">
        <f t="shared" si="20"/>
        <v>2838.1924198250731</v>
      </c>
      <c r="AS7" s="52">
        <v>518250</v>
      </c>
      <c r="AT7" s="54">
        <f t="shared" si="21"/>
        <v>1510.9329446064139</v>
      </c>
      <c r="AU7" s="54">
        <v>30800</v>
      </c>
      <c r="AV7" s="69">
        <f t="shared" si="30"/>
        <v>1522550</v>
      </c>
      <c r="AW7" s="67">
        <f t="shared" si="22"/>
        <v>4438.921282798834</v>
      </c>
      <c r="AX7" s="82">
        <f t="shared" si="23"/>
        <v>35</v>
      </c>
      <c r="AY7" s="59">
        <f t="shared" si="24"/>
        <v>1187510</v>
      </c>
      <c r="AZ7" s="59">
        <f t="shared" si="25"/>
        <v>581730</v>
      </c>
      <c r="BA7" s="71">
        <f t="shared" si="26"/>
        <v>1800040</v>
      </c>
      <c r="BB7" s="72">
        <f t="shared" si="31"/>
        <v>2200</v>
      </c>
      <c r="BC7" s="73">
        <v>35</v>
      </c>
      <c r="BD7" s="74">
        <v>208010</v>
      </c>
      <c r="BE7" s="74">
        <v>56140</v>
      </c>
      <c r="BF7" s="75">
        <v>2200</v>
      </c>
      <c r="BG7" s="75"/>
      <c r="BH7" s="75"/>
      <c r="BI7" s="75"/>
      <c r="BJ7" s="76">
        <f t="shared" si="32"/>
        <v>266350</v>
      </c>
      <c r="BK7" s="47">
        <v>3</v>
      </c>
      <c r="BL7" s="77">
        <f t="shared" si="27"/>
        <v>266350</v>
      </c>
    </row>
    <row r="8" spans="1:65" ht="20" customHeight="1">
      <c r="B8" s="78">
        <f t="shared" si="28"/>
        <v>45173</v>
      </c>
      <c r="C8" s="79"/>
      <c r="D8" s="50"/>
      <c r="E8" s="51">
        <v>22</v>
      </c>
      <c r="F8" s="52">
        <v>80960</v>
      </c>
      <c r="G8" s="53">
        <f t="shared" si="0"/>
        <v>3345.4545454545455</v>
      </c>
      <c r="H8" s="52">
        <v>8570</v>
      </c>
      <c r="I8" s="54">
        <f t="shared" si="1"/>
        <v>354.09090909090907</v>
      </c>
      <c r="J8" s="55">
        <f t="shared" si="2"/>
        <v>89530</v>
      </c>
      <c r="K8" s="56">
        <f t="shared" si="3"/>
        <v>4069.5454545454545</v>
      </c>
      <c r="L8" s="57"/>
      <c r="M8" s="58">
        <f t="shared" si="4"/>
        <v>13</v>
      </c>
      <c r="N8" s="59">
        <f t="shared" si="4"/>
        <v>125400</v>
      </c>
      <c r="O8" s="53">
        <f t="shared" si="5"/>
        <v>8769.2307692307695</v>
      </c>
      <c r="P8" s="59">
        <f t="shared" si="6"/>
        <v>46630</v>
      </c>
      <c r="Q8" s="54">
        <f t="shared" si="7"/>
        <v>3260.7692307692309</v>
      </c>
      <c r="R8" s="60">
        <f t="shared" si="8"/>
        <v>172030</v>
      </c>
      <c r="S8" s="56">
        <f t="shared" si="9"/>
        <v>13233.076923076924</v>
      </c>
      <c r="T8" s="80">
        <f t="shared" si="10"/>
        <v>35</v>
      </c>
      <c r="U8" s="59">
        <f t="shared" si="10"/>
        <v>206360</v>
      </c>
      <c r="V8" s="59">
        <f t="shared" si="11"/>
        <v>55200</v>
      </c>
      <c r="W8" s="62">
        <f t="shared" si="12"/>
        <v>261560</v>
      </c>
      <c r="X8" s="81"/>
      <c r="Y8" s="63"/>
      <c r="Z8" s="64">
        <v>7</v>
      </c>
      <c r="AA8" s="52">
        <v>3050</v>
      </c>
      <c r="AB8" s="53">
        <f t="shared" si="13"/>
        <v>435.71428571428572</v>
      </c>
      <c r="AC8" s="52">
        <v>2400</v>
      </c>
      <c r="AD8" s="54">
        <f t="shared" si="14"/>
        <v>342.85714285714283</v>
      </c>
      <c r="AE8" s="65">
        <f t="shared" si="15"/>
        <v>5450</v>
      </c>
      <c r="AF8" s="56">
        <f t="shared" si="16"/>
        <v>778.57142857142856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/>
      <c r="AQ8" s="52"/>
      <c r="AR8" s="53" t="e">
        <f t="shared" si="20"/>
        <v>#DIV/0!</v>
      </c>
      <c r="AS8" s="52"/>
      <c r="AT8" s="54" t="e">
        <f t="shared" si="21"/>
        <v>#DIV/0!</v>
      </c>
      <c r="AU8" s="54"/>
      <c r="AV8" s="69">
        <f t="shared" si="30"/>
        <v>0</v>
      </c>
      <c r="AW8" s="67" t="str">
        <f t="shared" si="22"/>
        <v/>
      </c>
      <c r="AX8" s="82">
        <f t="shared" si="23"/>
        <v>35</v>
      </c>
      <c r="AY8" s="59">
        <f t="shared" si="24"/>
        <v>209410</v>
      </c>
      <c r="AZ8" s="59">
        <f t="shared" si="25"/>
        <v>57600</v>
      </c>
      <c r="BA8" s="71">
        <f t="shared" si="26"/>
        <v>267010</v>
      </c>
      <c r="BB8" s="72">
        <f t="shared" si="31"/>
        <v>1650</v>
      </c>
      <c r="BC8" s="73">
        <v>35</v>
      </c>
      <c r="BD8" s="74">
        <v>206360</v>
      </c>
      <c r="BE8" s="74">
        <v>55200</v>
      </c>
      <c r="BF8" s="75"/>
      <c r="BG8" s="75">
        <v>1650</v>
      </c>
      <c r="BH8" s="75"/>
      <c r="BI8" s="75"/>
      <c r="BJ8" s="76">
        <f t="shared" si="32"/>
        <v>263210</v>
      </c>
      <c r="BK8" s="47">
        <v>4</v>
      </c>
      <c r="BL8" s="77">
        <f t="shared" si="27"/>
        <v>263210</v>
      </c>
    </row>
    <row r="9" spans="1:65" ht="20" customHeight="1">
      <c r="B9" s="78">
        <f t="shared" si="28"/>
        <v>45174</v>
      </c>
      <c r="C9" s="79"/>
      <c r="D9" s="50"/>
      <c r="E9" s="51">
        <v>26</v>
      </c>
      <c r="F9" s="52">
        <v>100320</v>
      </c>
      <c r="G9" s="53">
        <f t="shared" si="0"/>
        <v>3507.6923076923076</v>
      </c>
      <c r="H9" s="52">
        <v>14340</v>
      </c>
      <c r="I9" s="54">
        <f t="shared" si="1"/>
        <v>501.38461538461536</v>
      </c>
      <c r="J9" s="55">
        <f t="shared" si="2"/>
        <v>114660</v>
      </c>
      <c r="K9" s="56">
        <f t="shared" si="3"/>
        <v>4410</v>
      </c>
      <c r="L9" s="57"/>
      <c r="M9" s="58">
        <f t="shared" si="4"/>
        <v>16</v>
      </c>
      <c r="N9" s="59">
        <f t="shared" si="4"/>
        <v>116820</v>
      </c>
      <c r="O9" s="53">
        <f t="shared" si="5"/>
        <v>6637.5</v>
      </c>
      <c r="P9" s="59">
        <f t="shared" si="6"/>
        <v>26270</v>
      </c>
      <c r="Q9" s="54">
        <f t="shared" si="7"/>
        <v>1492.5625</v>
      </c>
      <c r="R9" s="60">
        <f t="shared" si="8"/>
        <v>143090</v>
      </c>
      <c r="S9" s="56">
        <f t="shared" si="9"/>
        <v>8943.125</v>
      </c>
      <c r="T9" s="80">
        <f t="shared" si="10"/>
        <v>42</v>
      </c>
      <c r="U9" s="59">
        <f t="shared" si="10"/>
        <v>217140</v>
      </c>
      <c r="V9" s="59">
        <f t="shared" si="11"/>
        <v>40610</v>
      </c>
      <c r="W9" s="62">
        <f t="shared" si="12"/>
        <v>257750</v>
      </c>
      <c r="X9" s="81"/>
      <c r="Y9" s="63"/>
      <c r="Z9" s="64">
        <v>7</v>
      </c>
      <c r="AA9" s="52">
        <v>3500</v>
      </c>
      <c r="AB9" s="53">
        <f t="shared" si="13"/>
        <v>500</v>
      </c>
      <c r="AC9" s="52">
        <v>2150</v>
      </c>
      <c r="AD9" s="54">
        <f t="shared" si="14"/>
        <v>307.14285714285717</v>
      </c>
      <c r="AE9" s="65">
        <f t="shared" si="15"/>
        <v>5650</v>
      </c>
      <c r="AF9" s="56">
        <f t="shared" si="16"/>
        <v>807.14285714285711</v>
      </c>
      <c r="AG9" s="66"/>
      <c r="AH9" s="64">
        <v>8</v>
      </c>
      <c r="AI9" s="52">
        <v>39150</v>
      </c>
      <c r="AJ9" s="53">
        <f t="shared" si="17"/>
        <v>4893.75</v>
      </c>
      <c r="AK9" s="52">
        <v>13050</v>
      </c>
      <c r="AL9" s="54">
        <f t="shared" si="18"/>
        <v>1631.25</v>
      </c>
      <c r="AM9" s="65">
        <f t="shared" si="29"/>
        <v>52200</v>
      </c>
      <c r="AN9" s="67">
        <f t="shared" si="19"/>
        <v>6525</v>
      </c>
      <c r="AO9" s="68"/>
      <c r="AP9" s="64"/>
      <c r="AQ9" s="52"/>
      <c r="AR9" s="53" t="e">
        <f t="shared" si="20"/>
        <v>#DIV/0!</v>
      </c>
      <c r="AS9" s="52"/>
      <c r="AT9" s="54" t="e">
        <f t="shared" si="21"/>
        <v>#DIV/0!</v>
      </c>
      <c r="AU9" s="54"/>
      <c r="AV9" s="69">
        <f t="shared" si="30"/>
        <v>0</v>
      </c>
      <c r="AW9" s="67" t="str">
        <f>IF(AP9="","",AV9/AP9)</f>
        <v/>
      </c>
      <c r="AX9" s="82">
        <f t="shared" si="23"/>
        <v>42</v>
      </c>
      <c r="AY9" s="59">
        <f t="shared" si="24"/>
        <v>259790</v>
      </c>
      <c r="AZ9" s="59">
        <f t="shared" si="25"/>
        <v>55810</v>
      </c>
      <c r="BA9" s="71">
        <f t="shared" si="26"/>
        <v>315600</v>
      </c>
      <c r="BB9" s="72">
        <f t="shared" si="31"/>
        <v>1100</v>
      </c>
      <c r="BC9" s="73">
        <v>42</v>
      </c>
      <c r="BD9" s="74">
        <v>217140</v>
      </c>
      <c r="BE9" s="74">
        <v>40610</v>
      </c>
      <c r="BF9" s="75">
        <v>1100</v>
      </c>
      <c r="BG9" s="75"/>
      <c r="BH9" s="75"/>
      <c r="BI9" s="75"/>
      <c r="BJ9" s="76">
        <f t="shared" si="32"/>
        <v>258850</v>
      </c>
      <c r="BK9" s="47">
        <v>5</v>
      </c>
      <c r="BL9" s="77">
        <f t="shared" si="27"/>
        <v>258850</v>
      </c>
    </row>
    <row r="10" spans="1:65" ht="20" customHeight="1">
      <c r="B10" s="78">
        <f t="shared" si="28"/>
        <v>45175</v>
      </c>
      <c r="C10" s="79"/>
      <c r="D10" s="50"/>
      <c r="E10" s="51">
        <v>25</v>
      </c>
      <c r="F10" s="52">
        <v>86020</v>
      </c>
      <c r="G10" s="53">
        <f t="shared" si="0"/>
        <v>3128</v>
      </c>
      <c r="H10" s="52">
        <v>9650</v>
      </c>
      <c r="I10" s="54">
        <f t="shared" si="1"/>
        <v>350.88</v>
      </c>
      <c r="J10" s="55">
        <f t="shared" si="2"/>
        <v>95670</v>
      </c>
      <c r="K10" s="56">
        <f t="shared" si="3"/>
        <v>3826.8</v>
      </c>
      <c r="L10" s="57"/>
      <c r="M10" s="58">
        <f t="shared" si="4"/>
        <v>32</v>
      </c>
      <c r="N10" s="59">
        <f t="shared" si="4"/>
        <v>323400</v>
      </c>
      <c r="O10" s="53">
        <f t="shared" si="5"/>
        <v>9187.5</v>
      </c>
      <c r="P10" s="59">
        <f t="shared" si="6"/>
        <v>72600</v>
      </c>
      <c r="Q10" s="54">
        <f t="shared" si="7"/>
        <v>2062.5</v>
      </c>
      <c r="R10" s="60">
        <f t="shared" si="8"/>
        <v>396000</v>
      </c>
      <c r="S10" s="56">
        <f t="shared" si="9"/>
        <v>12375</v>
      </c>
      <c r="T10" s="80">
        <f t="shared" si="10"/>
        <v>57</v>
      </c>
      <c r="U10" s="59">
        <f t="shared" si="10"/>
        <v>409420</v>
      </c>
      <c r="V10" s="59">
        <f t="shared" si="11"/>
        <v>82250</v>
      </c>
      <c r="W10" s="62">
        <f t="shared" si="12"/>
        <v>491670</v>
      </c>
      <c r="X10" s="81"/>
      <c r="Y10" s="63"/>
      <c r="Z10" s="64">
        <v>11</v>
      </c>
      <c r="AA10" s="52">
        <v>4900</v>
      </c>
      <c r="AB10" s="53">
        <f t="shared" si="13"/>
        <v>445.45454545454544</v>
      </c>
      <c r="AC10" s="52">
        <v>5500</v>
      </c>
      <c r="AD10" s="54">
        <f t="shared" si="14"/>
        <v>500</v>
      </c>
      <c r="AE10" s="65">
        <f t="shared" si="15"/>
        <v>10400</v>
      </c>
      <c r="AF10" s="56">
        <f t="shared" si="16"/>
        <v>945.4545454545455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/>
      <c r="AP10" s="64"/>
      <c r="AQ10" s="52"/>
      <c r="AR10" s="53" t="e">
        <f t="shared" si="20"/>
        <v>#DIV/0!</v>
      </c>
      <c r="AS10" s="52"/>
      <c r="AT10" s="54" t="e">
        <f t="shared" si="21"/>
        <v>#DIV/0!</v>
      </c>
      <c r="AU10" s="54"/>
      <c r="AV10" s="69">
        <f t="shared" si="30"/>
        <v>0</v>
      </c>
      <c r="AW10" s="67" t="str">
        <f t="shared" si="22"/>
        <v/>
      </c>
      <c r="AX10" s="82">
        <f t="shared" si="23"/>
        <v>57</v>
      </c>
      <c r="AY10" s="59">
        <f t="shared" si="24"/>
        <v>414320</v>
      </c>
      <c r="AZ10" s="59">
        <f t="shared" si="25"/>
        <v>87750</v>
      </c>
      <c r="BA10" s="71">
        <f t="shared" si="26"/>
        <v>502070</v>
      </c>
      <c r="BB10" s="72">
        <f t="shared" si="31"/>
        <v>1100</v>
      </c>
      <c r="BC10" s="73">
        <v>57</v>
      </c>
      <c r="BD10" s="74">
        <v>409420</v>
      </c>
      <c r="BE10" s="74">
        <v>82250</v>
      </c>
      <c r="BF10" s="75">
        <v>1100</v>
      </c>
      <c r="BG10" s="75"/>
      <c r="BH10" s="75"/>
      <c r="BI10" s="75"/>
      <c r="BJ10" s="76">
        <f t="shared" si="32"/>
        <v>492770</v>
      </c>
      <c r="BK10" s="47">
        <v>6</v>
      </c>
      <c r="BL10" s="77">
        <f t="shared" si="27"/>
        <v>492770</v>
      </c>
    </row>
    <row r="11" spans="1:65" ht="20" customHeight="1">
      <c r="B11" s="78">
        <f t="shared" si="28"/>
        <v>45176</v>
      </c>
      <c r="C11" s="79"/>
      <c r="D11" s="50"/>
      <c r="E11" s="51">
        <v>24</v>
      </c>
      <c r="F11" s="52">
        <v>94490</v>
      </c>
      <c r="G11" s="53">
        <f t="shared" si="0"/>
        <v>3579.1666666666665</v>
      </c>
      <c r="H11" s="52">
        <v>10760</v>
      </c>
      <c r="I11" s="54">
        <f t="shared" si="1"/>
        <v>407.54166666666669</v>
      </c>
      <c r="J11" s="55">
        <f t="shared" si="2"/>
        <v>105250</v>
      </c>
      <c r="K11" s="56">
        <f t="shared" si="3"/>
        <v>4385.416666666667</v>
      </c>
      <c r="L11" s="57"/>
      <c r="M11" s="58">
        <f t="shared" si="4"/>
        <v>10</v>
      </c>
      <c r="N11" s="59">
        <f t="shared" si="4"/>
        <v>90200</v>
      </c>
      <c r="O11" s="53">
        <f t="shared" si="5"/>
        <v>8200</v>
      </c>
      <c r="P11" s="59">
        <f t="shared" si="6"/>
        <v>20240</v>
      </c>
      <c r="Q11" s="54">
        <f t="shared" si="7"/>
        <v>1840</v>
      </c>
      <c r="R11" s="60">
        <f t="shared" si="8"/>
        <v>110440</v>
      </c>
      <c r="S11" s="56">
        <f t="shared" si="9"/>
        <v>11044</v>
      </c>
      <c r="T11" s="80">
        <f t="shared" si="10"/>
        <v>34</v>
      </c>
      <c r="U11" s="59">
        <f t="shared" si="10"/>
        <v>184690</v>
      </c>
      <c r="V11" s="59">
        <f t="shared" si="11"/>
        <v>31000</v>
      </c>
      <c r="W11" s="62">
        <f t="shared" si="12"/>
        <v>215690</v>
      </c>
      <c r="X11" s="81"/>
      <c r="Y11" s="63"/>
      <c r="Z11" s="64">
        <v>14</v>
      </c>
      <c r="AA11" s="52">
        <v>6680</v>
      </c>
      <c r="AB11" s="53">
        <f t="shared" si="13"/>
        <v>477.14285714285717</v>
      </c>
      <c r="AC11" s="52">
        <v>4500</v>
      </c>
      <c r="AD11" s="54">
        <f t="shared" si="14"/>
        <v>321.42857142857144</v>
      </c>
      <c r="AE11" s="65">
        <f t="shared" si="15"/>
        <v>11180</v>
      </c>
      <c r="AF11" s="56">
        <f t="shared" si="16"/>
        <v>798.57142857142856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/>
      <c r="AP11" s="64"/>
      <c r="AQ11" s="52"/>
      <c r="AR11" s="53" t="e">
        <f t="shared" si="20"/>
        <v>#DIV/0!</v>
      </c>
      <c r="AS11" s="52"/>
      <c r="AT11" s="54" t="e">
        <f t="shared" si="21"/>
        <v>#DIV/0!</v>
      </c>
      <c r="AU11" s="54"/>
      <c r="AV11" s="69">
        <f t="shared" si="30"/>
        <v>0</v>
      </c>
      <c r="AW11" s="67" t="str">
        <f t="shared" si="22"/>
        <v/>
      </c>
      <c r="AX11" s="82">
        <f t="shared" si="23"/>
        <v>34</v>
      </c>
      <c r="AY11" s="59">
        <f t="shared" si="24"/>
        <v>191370</v>
      </c>
      <c r="AZ11" s="59">
        <f t="shared" si="25"/>
        <v>35500</v>
      </c>
      <c r="BA11" s="71">
        <f t="shared" si="26"/>
        <v>226870</v>
      </c>
      <c r="BB11" s="72">
        <f t="shared" si="31"/>
        <v>5500</v>
      </c>
      <c r="BC11" s="73">
        <v>34</v>
      </c>
      <c r="BD11" s="74">
        <v>184690</v>
      </c>
      <c r="BE11" s="74">
        <v>31000</v>
      </c>
      <c r="BF11" s="75">
        <v>5500</v>
      </c>
      <c r="BG11" s="75"/>
      <c r="BH11" s="75"/>
      <c r="BI11" s="75"/>
      <c r="BJ11" s="76">
        <f t="shared" si="32"/>
        <v>221190</v>
      </c>
      <c r="BK11" s="47">
        <v>7</v>
      </c>
      <c r="BL11" s="77">
        <f t="shared" si="27"/>
        <v>221190</v>
      </c>
    </row>
    <row r="12" spans="1:65" ht="20" customHeight="1">
      <c r="B12" s="78">
        <f t="shared" si="28"/>
        <v>45177</v>
      </c>
      <c r="C12" s="83"/>
      <c r="D12" s="50"/>
      <c r="E12" s="51">
        <v>34</v>
      </c>
      <c r="F12" s="52">
        <v>125180</v>
      </c>
      <c r="G12" s="53">
        <f t="shared" si="0"/>
        <v>3347.0588235294117</v>
      </c>
      <c r="H12" s="52">
        <v>11630</v>
      </c>
      <c r="I12" s="54">
        <f t="shared" si="1"/>
        <v>310.94117647058823</v>
      </c>
      <c r="J12" s="55">
        <f t="shared" si="2"/>
        <v>136810</v>
      </c>
      <c r="K12" s="56">
        <f t="shared" si="3"/>
        <v>4023.8235294117649</v>
      </c>
      <c r="L12" s="57"/>
      <c r="M12" s="58">
        <f t="shared" si="4"/>
        <v>20</v>
      </c>
      <c r="N12" s="59">
        <f t="shared" si="4"/>
        <v>219010</v>
      </c>
      <c r="O12" s="53">
        <f t="shared" si="5"/>
        <v>9955</v>
      </c>
      <c r="P12" s="59">
        <f t="shared" si="6"/>
        <v>93390</v>
      </c>
      <c r="Q12" s="84">
        <f t="shared" si="7"/>
        <v>4245</v>
      </c>
      <c r="R12" s="60">
        <f t="shared" si="8"/>
        <v>312400</v>
      </c>
      <c r="S12" s="56">
        <f t="shared" si="9"/>
        <v>15620</v>
      </c>
      <c r="T12" s="80">
        <f t="shared" si="10"/>
        <v>54</v>
      </c>
      <c r="U12" s="59">
        <f t="shared" si="10"/>
        <v>344190</v>
      </c>
      <c r="V12" s="59">
        <f t="shared" si="11"/>
        <v>105020</v>
      </c>
      <c r="W12" s="62">
        <f t="shared" si="12"/>
        <v>449210</v>
      </c>
      <c r="X12" s="81"/>
      <c r="Y12" s="63"/>
      <c r="Z12" s="64">
        <v>16</v>
      </c>
      <c r="AA12" s="52">
        <v>9970</v>
      </c>
      <c r="AB12" s="53">
        <f t="shared" si="13"/>
        <v>623.125</v>
      </c>
      <c r="AC12" s="52">
        <v>1500</v>
      </c>
      <c r="AD12" s="54">
        <f t="shared" si="14"/>
        <v>93.75</v>
      </c>
      <c r="AE12" s="65">
        <f t="shared" si="15"/>
        <v>11470</v>
      </c>
      <c r="AF12" s="56">
        <f t="shared" si="16"/>
        <v>716.875</v>
      </c>
      <c r="AG12" s="66"/>
      <c r="AH12" s="64">
        <v>17</v>
      </c>
      <c r="AI12" s="52">
        <v>66555</v>
      </c>
      <c r="AJ12" s="53">
        <f t="shared" si="17"/>
        <v>3915</v>
      </c>
      <c r="AK12" s="52">
        <v>22185</v>
      </c>
      <c r="AL12" s="54">
        <f t="shared" si="18"/>
        <v>1305</v>
      </c>
      <c r="AM12" s="65">
        <f t="shared" si="29"/>
        <v>88740</v>
      </c>
      <c r="AN12" s="67">
        <f t="shared" si="19"/>
        <v>5220</v>
      </c>
      <c r="AO12" s="68"/>
      <c r="AP12" s="64"/>
      <c r="AQ12" s="52"/>
      <c r="AR12" s="53" t="e">
        <f t="shared" si="20"/>
        <v>#DIV/0!</v>
      </c>
      <c r="AS12" s="52"/>
      <c r="AT12" s="54" t="e">
        <f t="shared" si="21"/>
        <v>#DIV/0!</v>
      </c>
      <c r="AU12" s="54"/>
      <c r="AV12" s="69">
        <f t="shared" si="30"/>
        <v>0</v>
      </c>
      <c r="AW12" s="67" t="str">
        <f t="shared" si="22"/>
        <v/>
      </c>
      <c r="AX12" s="82">
        <f t="shared" si="23"/>
        <v>54</v>
      </c>
      <c r="AY12" s="59">
        <f t="shared" si="24"/>
        <v>420715</v>
      </c>
      <c r="AZ12" s="59">
        <f t="shared" si="25"/>
        <v>128705</v>
      </c>
      <c r="BA12" s="71">
        <f t="shared" si="26"/>
        <v>549420</v>
      </c>
      <c r="BB12" s="72">
        <f t="shared" si="31"/>
        <v>3300</v>
      </c>
      <c r="BC12" s="73">
        <v>54</v>
      </c>
      <c r="BD12" s="74">
        <v>344190</v>
      </c>
      <c r="BE12" s="74">
        <v>105020</v>
      </c>
      <c r="BF12" s="75">
        <v>3300</v>
      </c>
      <c r="BG12" s="75"/>
      <c r="BH12" s="75"/>
      <c r="BI12" s="75"/>
      <c r="BJ12" s="76">
        <f t="shared" si="32"/>
        <v>452510</v>
      </c>
      <c r="BK12" s="47">
        <v>8</v>
      </c>
      <c r="BL12" s="77">
        <f t="shared" si="27"/>
        <v>452510</v>
      </c>
    </row>
    <row r="13" spans="1:65" ht="20" customHeight="1">
      <c r="B13" s="78">
        <f t="shared" si="28"/>
        <v>45178</v>
      </c>
      <c r="C13" s="79"/>
      <c r="D13" s="50"/>
      <c r="E13" s="51">
        <v>27</v>
      </c>
      <c r="F13" s="52">
        <v>124740</v>
      </c>
      <c r="G13" s="53">
        <f t="shared" si="0"/>
        <v>4200</v>
      </c>
      <c r="H13" s="52">
        <v>24030</v>
      </c>
      <c r="I13" s="54">
        <f t="shared" si="1"/>
        <v>809.07407407407402</v>
      </c>
      <c r="J13" s="55">
        <f t="shared" si="2"/>
        <v>148770</v>
      </c>
      <c r="K13" s="56">
        <f t="shared" si="3"/>
        <v>5510</v>
      </c>
      <c r="L13" s="57"/>
      <c r="M13" s="58">
        <f t="shared" si="4"/>
        <v>30</v>
      </c>
      <c r="N13" s="59">
        <f t="shared" si="4"/>
        <v>272640</v>
      </c>
      <c r="O13" s="53">
        <f t="shared" si="5"/>
        <v>8261.7999999999993</v>
      </c>
      <c r="P13" s="59">
        <f t="shared" si="6"/>
        <v>73940</v>
      </c>
      <c r="Q13" s="54">
        <f t="shared" si="7"/>
        <v>2240.6</v>
      </c>
      <c r="R13" s="60">
        <f t="shared" si="8"/>
        <v>346580</v>
      </c>
      <c r="S13" s="56">
        <f t="shared" si="9"/>
        <v>11552.666666666666</v>
      </c>
      <c r="T13" s="80">
        <f t="shared" si="10"/>
        <v>57</v>
      </c>
      <c r="U13" s="59">
        <f t="shared" si="10"/>
        <v>397380</v>
      </c>
      <c r="V13" s="59">
        <f t="shared" si="11"/>
        <v>97970</v>
      </c>
      <c r="W13" s="62">
        <f t="shared" si="12"/>
        <v>495350</v>
      </c>
      <c r="X13" s="81"/>
      <c r="Y13" s="63"/>
      <c r="Z13" s="64">
        <v>9</v>
      </c>
      <c r="AA13" s="52">
        <v>4810</v>
      </c>
      <c r="AB13" s="53">
        <f t="shared" si="13"/>
        <v>534.44444444444446</v>
      </c>
      <c r="AC13" s="52">
        <v>3500</v>
      </c>
      <c r="AD13" s="54">
        <f t="shared" si="14"/>
        <v>388.88888888888891</v>
      </c>
      <c r="AE13" s="65">
        <f t="shared" si="15"/>
        <v>8310</v>
      </c>
      <c r="AF13" s="56">
        <f t="shared" si="16"/>
        <v>923.33333333333337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9"/>
        <v>0</v>
      </c>
      <c r="AN13" s="67" t="str">
        <f t="shared" si="19"/>
        <v/>
      </c>
      <c r="AO13" s="68">
        <v>68</v>
      </c>
      <c r="AP13" s="64">
        <v>80</v>
      </c>
      <c r="AQ13" s="52">
        <v>47510</v>
      </c>
      <c r="AR13" s="53">
        <f t="shared" si="20"/>
        <v>593.875</v>
      </c>
      <c r="AS13" s="52">
        <v>43250</v>
      </c>
      <c r="AT13" s="54">
        <f t="shared" si="21"/>
        <v>540.625</v>
      </c>
      <c r="AU13" s="54"/>
      <c r="AV13" s="69">
        <f>AQ13+AS13+AU13</f>
        <v>90760</v>
      </c>
      <c r="AW13" s="67">
        <f t="shared" si="22"/>
        <v>1134.5</v>
      </c>
      <c r="AX13" s="82">
        <f t="shared" si="23"/>
        <v>57</v>
      </c>
      <c r="AY13" s="59">
        <f t="shared" si="24"/>
        <v>449700</v>
      </c>
      <c r="AZ13" s="59">
        <f t="shared" si="25"/>
        <v>144720</v>
      </c>
      <c r="BA13" s="71">
        <f t="shared" si="26"/>
        <v>594420</v>
      </c>
      <c r="BB13" s="72">
        <f t="shared" si="31"/>
        <v>0</v>
      </c>
      <c r="BC13" s="73">
        <v>57</v>
      </c>
      <c r="BD13" s="74">
        <v>397380</v>
      </c>
      <c r="BE13" s="74">
        <v>97970</v>
      </c>
      <c r="BF13" s="75"/>
      <c r="BG13" s="75"/>
      <c r="BH13" s="75"/>
      <c r="BI13" s="75"/>
      <c r="BJ13" s="76">
        <f t="shared" si="32"/>
        <v>495350</v>
      </c>
      <c r="BK13" s="47">
        <v>9</v>
      </c>
      <c r="BL13" s="77">
        <f t="shared" si="27"/>
        <v>495350</v>
      </c>
    </row>
    <row r="14" spans="1:65" ht="20" customHeight="1">
      <c r="B14" s="78">
        <f t="shared" si="28"/>
        <v>45179</v>
      </c>
      <c r="C14" s="79"/>
      <c r="D14" s="50"/>
      <c r="E14" s="51">
        <v>16</v>
      </c>
      <c r="F14" s="52">
        <v>79310</v>
      </c>
      <c r="G14" s="53">
        <f t="shared" si="0"/>
        <v>4506.25</v>
      </c>
      <c r="H14" s="52">
        <v>21610</v>
      </c>
      <c r="I14" s="54">
        <f t="shared" si="1"/>
        <v>1227.8125</v>
      </c>
      <c r="J14" s="55">
        <f t="shared" si="2"/>
        <v>100920</v>
      </c>
      <c r="K14" s="56">
        <f t="shared" si="3"/>
        <v>6307.5</v>
      </c>
      <c r="L14" s="57"/>
      <c r="M14" s="58">
        <f t="shared" si="4"/>
        <v>8</v>
      </c>
      <c r="N14" s="59">
        <f t="shared" si="4"/>
        <v>46649</v>
      </c>
      <c r="O14" s="53">
        <f t="shared" si="5"/>
        <v>5301</v>
      </c>
      <c r="P14" s="59">
        <f t="shared" si="6"/>
        <v>7750</v>
      </c>
      <c r="Q14" s="54">
        <f t="shared" si="7"/>
        <v>880.625</v>
      </c>
      <c r="R14" s="60">
        <f t="shared" si="8"/>
        <v>54399</v>
      </c>
      <c r="S14" s="56">
        <f t="shared" si="9"/>
        <v>6799.875</v>
      </c>
      <c r="T14" s="80">
        <f t="shared" si="10"/>
        <v>24</v>
      </c>
      <c r="U14" s="59">
        <f t="shared" si="10"/>
        <v>125959</v>
      </c>
      <c r="V14" s="59">
        <f t="shared" si="11"/>
        <v>29360</v>
      </c>
      <c r="W14" s="62">
        <f t="shared" si="12"/>
        <v>155319</v>
      </c>
      <c r="X14" s="81"/>
      <c r="Y14" s="63"/>
      <c r="Z14" s="64">
        <v>8</v>
      </c>
      <c r="AA14" s="52">
        <v>4330</v>
      </c>
      <c r="AB14" s="53">
        <f t="shared" si="13"/>
        <v>541.25</v>
      </c>
      <c r="AC14" s="52">
        <v>2500</v>
      </c>
      <c r="AD14" s="54">
        <f t="shared" si="14"/>
        <v>312.5</v>
      </c>
      <c r="AE14" s="65">
        <f t="shared" si="15"/>
        <v>6830</v>
      </c>
      <c r="AF14" s="56">
        <f t="shared" si="16"/>
        <v>853.75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>
        <v>73</v>
      </c>
      <c r="AP14" s="64">
        <v>73</v>
      </c>
      <c r="AQ14" s="52">
        <v>42290</v>
      </c>
      <c r="AR14" s="53">
        <f t="shared" si="20"/>
        <v>579.31506849315065</v>
      </c>
      <c r="AS14" s="52">
        <v>43500</v>
      </c>
      <c r="AT14" s="54">
        <f t="shared" si="21"/>
        <v>595.89041095890411</v>
      </c>
      <c r="AU14" s="54"/>
      <c r="AV14" s="69">
        <f t="shared" si="30"/>
        <v>85790</v>
      </c>
      <c r="AW14" s="67">
        <f t="shared" si="22"/>
        <v>1175.2054794520548</v>
      </c>
      <c r="AX14" s="82">
        <f t="shared" si="23"/>
        <v>24</v>
      </c>
      <c r="AY14" s="59">
        <f t="shared" si="24"/>
        <v>172579</v>
      </c>
      <c r="AZ14" s="59">
        <f t="shared" si="25"/>
        <v>75360</v>
      </c>
      <c r="BA14" s="71">
        <f t="shared" si="26"/>
        <v>247939</v>
      </c>
      <c r="BB14" s="72">
        <f t="shared" si="31"/>
        <v>0</v>
      </c>
      <c r="BC14" s="73">
        <v>24</v>
      </c>
      <c r="BD14" s="74">
        <v>125959</v>
      </c>
      <c r="BE14" s="74">
        <v>29360</v>
      </c>
      <c r="BF14" s="75"/>
      <c r="BG14" s="75"/>
      <c r="BH14" s="75">
        <v>3300</v>
      </c>
      <c r="BI14" s="75"/>
      <c r="BJ14" s="76">
        <f t="shared" si="32"/>
        <v>155319</v>
      </c>
      <c r="BK14" s="47">
        <v>10</v>
      </c>
      <c r="BL14" s="77">
        <f t="shared" si="27"/>
        <v>155319</v>
      </c>
    </row>
    <row r="15" spans="1:65" ht="20" customHeight="1">
      <c r="B15" s="78">
        <f t="shared" si="28"/>
        <v>45180</v>
      </c>
      <c r="C15" s="83"/>
      <c r="D15" s="50"/>
      <c r="E15" s="51">
        <v>23</v>
      </c>
      <c r="F15" s="52">
        <v>97350</v>
      </c>
      <c r="G15" s="53">
        <f t="shared" si="0"/>
        <v>3847.8260869565215</v>
      </c>
      <c r="H15" s="52">
        <v>8070</v>
      </c>
      <c r="I15" s="54">
        <f t="shared" si="1"/>
        <v>318.95652173913044</v>
      </c>
      <c r="J15" s="55">
        <f t="shared" si="2"/>
        <v>105420</v>
      </c>
      <c r="K15" s="56">
        <f t="shared" si="3"/>
        <v>4583.478260869565</v>
      </c>
      <c r="L15" s="57"/>
      <c r="M15" s="58">
        <f t="shared" si="4"/>
        <v>19</v>
      </c>
      <c r="N15" s="59">
        <f t="shared" si="4"/>
        <v>189970</v>
      </c>
      <c r="O15" s="53">
        <f t="shared" si="5"/>
        <v>9089.4736842105267</v>
      </c>
      <c r="P15" s="59">
        <f t="shared" si="6"/>
        <v>52230</v>
      </c>
      <c r="Q15" s="54">
        <f t="shared" si="7"/>
        <v>2499</v>
      </c>
      <c r="R15" s="60">
        <f t="shared" si="8"/>
        <v>242200</v>
      </c>
      <c r="S15" s="56">
        <f t="shared" si="9"/>
        <v>12747.368421052632</v>
      </c>
      <c r="T15" s="80">
        <f t="shared" si="10"/>
        <v>42</v>
      </c>
      <c r="U15" s="59">
        <f t="shared" si="10"/>
        <v>287320</v>
      </c>
      <c r="V15" s="59">
        <f t="shared" si="11"/>
        <v>60300</v>
      </c>
      <c r="W15" s="62">
        <f t="shared" si="12"/>
        <v>347620</v>
      </c>
      <c r="X15" s="81"/>
      <c r="Y15" s="63"/>
      <c r="Z15" s="64">
        <v>5</v>
      </c>
      <c r="AA15" s="52">
        <v>2200</v>
      </c>
      <c r="AB15" s="53">
        <f t="shared" si="13"/>
        <v>440</v>
      </c>
      <c r="AC15" s="52">
        <v>1500</v>
      </c>
      <c r="AD15" s="54">
        <f t="shared" si="14"/>
        <v>300</v>
      </c>
      <c r="AE15" s="65">
        <f t="shared" si="15"/>
        <v>3700</v>
      </c>
      <c r="AF15" s="56">
        <f t="shared" si="16"/>
        <v>740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>
        <v>19</v>
      </c>
      <c r="AP15" s="64">
        <v>19</v>
      </c>
      <c r="AQ15" s="52">
        <v>11350</v>
      </c>
      <c r="AR15" s="53">
        <f t="shared" si="20"/>
        <v>597.36842105263156</v>
      </c>
      <c r="AS15" s="52">
        <v>10580</v>
      </c>
      <c r="AT15" s="54">
        <f t="shared" si="21"/>
        <v>556.84210526315792</v>
      </c>
      <c r="AU15" s="54"/>
      <c r="AV15" s="69">
        <f t="shared" si="30"/>
        <v>21930</v>
      </c>
      <c r="AW15" s="67">
        <f t="shared" si="22"/>
        <v>1154.2105263157894</v>
      </c>
      <c r="AX15" s="82">
        <f t="shared" si="23"/>
        <v>42</v>
      </c>
      <c r="AY15" s="59">
        <f t="shared" si="24"/>
        <v>300870</v>
      </c>
      <c r="AZ15" s="59">
        <f t="shared" si="25"/>
        <v>72380</v>
      </c>
      <c r="BA15" s="71">
        <f t="shared" si="26"/>
        <v>373250</v>
      </c>
      <c r="BB15" s="72">
        <f t="shared" si="31"/>
        <v>4400</v>
      </c>
      <c r="BC15" s="73">
        <v>42</v>
      </c>
      <c r="BD15" s="74">
        <v>287320</v>
      </c>
      <c r="BE15" s="74">
        <v>60300</v>
      </c>
      <c r="BF15" s="75">
        <v>4400</v>
      </c>
      <c r="BG15" s="75"/>
      <c r="BH15" s="75"/>
      <c r="BI15" s="75"/>
      <c r="BJ15" s="76">
        <f t="shared" si="32"/>
        <v>352020</v>
      </c>
      <c r="BK15" s="47">
        <v>11</v>
      </c>
      <c r="BL15" s="77">
        <f t="shared" si="27"/>
        <v>352020</v>
      </c>
    </row>
    <row r="16" spans="1:65" ht="20" customHeight="1">
      <c r="B16" s="78">
        <f t="shared" si="28"/>
        <v>45181</v>
      </c>
      <c r="C16" s="79"/>
      <c r="D16" s="50"/>
      <c r="E16" s="51">
        <v>39</v>
      </c>
      <c r="F16" s="52">
        <v>128810</v>
      </c>
      <c r="G16" s="53">
        <f t="shared" si="0"/>
        <v>3002.5641025641025</v>
      </c>
      <c r="H16" s="52">
        <v>14260</v>
      </c>
      <c r="I16" s="54">
        <f t="shared" si="1"/>
        <v>332.38461538461536</v>
      </c>
      <c r="J16" s="55">
        <f t="shared" si="2"/>
        <v>143070</v>
      </c>
      <c r="K16" s="56">
        <f t="shared" si="3"/>
        <v>3668.4615384615386</v>
      </c>
      <c r="L16" s="57"/>
      <c r="M16" s="58">
        <f t="shared" si="4"/>
        <v>6</v>
      </c>
      <c r="N16" s="59">
        <f t="shared" si="4"/>
        <v>68200</v>
      </c>
      <c r="O16" s="53">
        <f t="shared" si="5"/>
        <v>10333.333333333334</v>
      </c>
      <c r="P16" s="59">
        <f t="shared" si="6"/>
        <v>16170</v>
      </c>
      <c r="Q16" s="54">
        <f t="shared" si="7"/>
        <v>2450</v>
      </c>
      <c r="R16" s="60">
        <f t="shared" si="8"/>
        <v>84370</v>
      </c>
      <c r="S16" s="56">
        <f t="shared" si="9"/>
        <v>14061.666666666666</v>
      </c>
      <c r="T16" s="80">
        <f t="shared" si="10"/>
        <v>45</v>
      </c>
      <c r="U16" s="59">
        <f t="shared" si="10"/>
        <v>197010</v>
      </c>
      <c r="V16" s="59">
        <f t="shared" si="11"/>
        <v>30430</v>
      </c>
      <c r="W16" s="62">
        <f t="shared" si="12"/>
        <v>227440</v>
      </c>
      <c r="X16" s="81"/>
      <c r="Y16" s="63"/>
      <c r="Z16" s="64">
        <v>12</v>
      </c>
      <c r="AA16" s="52">
        <v>6560</v>
      </c>
      <c r="AB16" s="53">
        <f t="shared" si="13"/>
        <v>546.66666666666663</v>
      </c>
      <c r="AC16" s="52">
        <v>6000</v>
      </c>
      <c r="AD16" s="54">
        <f t="shared" si="14"/>
        <v>500</v>
      </c>
      <c r="AE16" s="65">
        <f t="shared" si="15"/>
        <v>12560</v>
      </c>
      <c r="AF16" s="56">
        <f t="shared" si="16"/>
        <v>1046.6666666666667</v>
      </c>
      <c r="AG16" s="66"/>
      <c r="AH16" s="64">
        <v>13</v>
      </c>
      <c r="AI16" s="52">
        <v>50895</v>
      </c>
      <c r="AJ16" s="53">
        <f t="shared" si="17"/>
        <v>3915</v>
      </c>
      <c r="AK16" s="52">
        <v>16965</v>
      </c>
      <c r="AL16" s="54">
        <f t="shared" si="18"/>
        <v>1305</v>
      </c>
      <c r="AM16" s="65">
        <f t="shared" si="29"/>
        <v>67860</v>
      </c>
      <c r="AN16" s="67">
        <f t="shared" si="19"/>
        <v>5220</v>
      </c>
      <c r="AO16" s="68">
        <v>27</v>
      </c>
      <c r="AP16" s="64">
        <v>28</v>
      </c>
      <c r="AQ16" s="52">
        <v>24060</v>
      </c>
      <c r="AR16" s="53">
        <f t="shared" si="20"/>
        <v>859.28571428571433</v>
      </c>
      <c r="AS16" s="52">
        <v>7800</v>
      </c>
      <c r="AT16" s="54">
        <f t="shared" si="21"/>
        <v>278.57142857142856</v>
      </c>
      <c r="AU16" s="54"/>
      <c r="AV16" s="69">
        <f t="shared" si="30"/>
        <v>31860</v>
      </c>
      <c r="AW16" s="67">
        <f t="shared" si="22"/>
        <v>1137.8571428571429</v>
      </c>
      <c r="AX16" s="82">
        <f t="shared" si="23"/>
        <v>45</v>
      </c>
      <c r="AY16" s="59">
        <f t="shared" si="24"/>
        <v>278525</v>
      </c>
      <c r="AZ16" s="59">
        <f t="shared" si="25"/>
        <v>61195</v>
      </c>
      <c r="BA16" s="71">
        <f t="shared" si="26"/>
        <v>339720</v>
      </c>
      <c r="BB16" s="72">
        <f t="shared" si="31"/>
        <v>6050</v>
      </c>
      <c r="BC16" s="73">
        <v>45</v>
      </c>
      <c r="BD16" s="74">
        <v>197010</v>
      </c>
      <c r="BE16" s="74">
        <v>30430</v>
      </c>
      <c r="BF16" s="75">
        <v>6050</v>
      </c>
      <c r="BG16" s="75"/>
      <c r="BH16" s="75"/>
      <c r="BI16" s="75"/>
      <c r="BJ16" s="76">
        <f t="shared" si="32"/>
        <v>233490</v>
      </c>
      <c r="BK16" s="47">
        <v>12</v>
      </c>
      <c r="BL16" s="77">
        <f t="shared" si="27"/>
        <v>233490</v>
      </c>
      <c r="BM16" s="47" t="s">
        <v>99</v>
      </c>
    </row>
    <row r="17" spans="2:64" ht="20" customHeight="1">
      <c r="B17" s="78">
        <f t="shared" si="28"/>
        <v>45182</v>
      </c>
      <c r="C17" s="83"/>
      <c r="D17" s="50"/>
      <c r="E17" s="51">
        <v>28</v>
      </c>
      <c r="F17" s="52">
        <v>116380</v>
      </c>
      <c r="G17" s="53">
        <f t="shared" si="0"/>
        <v>3778.5714285714284</v>
      </c>
      <c r="H17" s="52">
        <v>8670</v>
      </c>
      <c r="I17" s="54">
        <f t="shared" si="1"/>
        <v>281.46428571428572</v>
      </c>
      <c r="J17" s="55">
        <f t="shared" si="2"/>
        <v>125050</v>
      </c>
      <c r="K17" s="56">
        <f t="shared" si="3"/>
        <v>4466.0714285714284</v>
      </c>
      <c r="L17" s="57"/>
      <c r="M17" s="58">
        <f t="shared" si="4"/>
        <v>20</v>
      </c>
      <c r="N17" s="59">
        <f t="shared" si="4"/>
        <v>189310</v>
      </c>
      <c r="O17" s="53">
        <f t="shared" si="5"/>
        <v>8605</v>
      </c>
      <c r="P17" s="59">
        <f t="shared" si="6"/>
        <v>31480</v>
      </c>
      <c r="Q17" s="54">
        <f t="shared" si="7"/>
        <v>1430.9</v>
      </c>
      <c r="R17" s="60">
        <f t="shared" si="8"/>
        <v>220790</v>
      </c>
      <c r="S17" s="56">
        <f t="shared" si="9"/>
        <v>11039.5</v>
      </c>
      <c r="T17" s="80">
        <f>E17+M17</f>
        <v>48</v>
      </c>
      <c r="U17" s="59">
        <f t="shared" si="10"/>
        <v>305690</v>
      </c>
      <c r="V17" s="59">
        <f t="shared" si="11"/>
        <v>40150</v>
      </c>
      <c r="W17" s="62">
        <f t="shared" si="12"/>
        <v>345840</v>
      </c>
      <c r="X17" s="81"/>
      <c r="Y17" s="63"/>
      <c r="Z17" s="64">
        <v>11</v>
      </c>
      <c r="AA17" s="52">
        <v>2300</v>
      </c>
      <c r="AB17" s="53">
        <f t="shared" si="13"/>
        <v>209.09090909090909</v>
      </c>
      <c r="AC17" s="52">
        <v>4000</v>
      </c>
      <c r="AD17" s="54">
        <f t="shared" si="14"/>
        <v>363.63636363636363</v>
      </c>
      <c r="AE17" s="65">
        <f t="shared" si="15"/>
        <v>6300</v>
      </c>
      <c r="AF17" s="56">
        <f t="shared" si="16"/>
        <v>572.72727272727275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9"/>
        <v>0</v>
      </c>
      <c r="AN17" s="67" t="str">
        <f t="shared" si="19"/>
        <v/>
      </c>
      <c r="AO17" s="68"/>
      <c r="AP17" s="64">
        <v>58</v>
      </c>
      <c r="AQ17" s="52">
        <v>48300</v>
      </c>
      <c r="AR17" s="53">
        <f t="shared" si="20"/>
        <v>832.75862068965512</v>
      </c>
      <c r="AS17" s="52">
        <v>27600</v>
      </c>
      <c r="AT17" s="54">
        <f t="shared" si="21"/>
        <v>475.86206896551727</v>
      </c>
      <c r="AU17" s="54"/>
      <c r="AV17" s="69">
        <f t="shared" si="30"/>
        <v>75900</v>
      </c>
      <c r="AW17" s="67">
        <f t="shared" si="22"/>
        <v>1308.6206896551723</v>
      </c>
      <c r="AX17" s="82">
        <f t="shared" si="23"/>
        <v>48</v>
      </c>
      <c r="AY17" s="59">
        <f t="shared" si="24"/>
        <v>356290</v>
      </c>
      <c r="AZ17" s="59">
        <f t="shared" si="25"/>
        <v>71750</v>
      </c>
      <c r="BA17" s="71">
        <f t="shared" si="26"/>
        <v>428040</v>
      </c>
      <c r="BB17" s="72">
        <f t="shared" si="31"/>
        <v>2200</v>
      </c>
      <c r="BC17" s="73">
        <v>48</v>
      </c>
      <c r="BD17" s="74">
        <v>305690</v>
      </c>
      <c r="BE17" s="74">
        <v>40150</v>
      </c>
      <c r="BF17" s="75">
        <v>1100</v>
      </c>
      <c r="BG17" s="75">
        <v>1100</v>
      </c>
      <c r="BH17" s="75"/>
      <c r="BI17" s="75"/>
      <c r="BJ17" s="76">
        <f t="shared" si="32"/>
        <v>348040</v>
      </c>
      <c r="BK17" s="47">
        <v>13</v>
      </c>
      <c r="BL17" s="77">
        <f t="shared" si="27"/>
        <v>348040</v>
      </c>
    </row>
    <row r="18" spans="2:64" ht="20" customHeight="1">
      <c r="B18" s="78">
        <f t="shared" si="28"/>
        <v>45183</v>
      </c>
      <c r="C18" s="79"/>
      <c r="D18" s="50"/>
      <c r="E18" s="51">
        <v>33</v>
      </c>
      <c r="F18" s="52">
        <v>119020</v>
      </c>
      <c r="G18" s="53">
        <f t="shared" si="0"/>
        <v>3278.787878787879</v>
      </c>
      <c r="H18" s="52">
        <v>6030</v>
      </c>
      <c r="I18" s="54">
        <f t="shared" si="1"/>
        <v>166.09090909090909</v>
      </c>
      <c r="J18" s="55">
        <f t="shared" si="2"/>
        <v>125050</v>
      </c>
      <c r="K18" s="56">
        <f t="shared" si="3"/>
        <v>3789.3939393939395</v>
      </c>
      <c r="L18" s="57"/>
      <c r="M18" s="58">
        <f t="shared" si="4"/>
        <v>8</v>
      </c>
      <c r="N18" s="59">
        <f t="shared" si="4"/>
        <v>74250</v>
      </c>
      <c r="O18" s="53">
        <f t="shared" si="5"/>
        <v>8437.5</v>
      </c>
      <c r="P18" s="59">
        <f t="shared" si="6"/>
        <v>16270</v>
      </c>
      <c r="Q18" s="54">
        <f t="shared" si="7"/>
        <v>1848.75</v>
      </c>
      <c r="R18" s="60">
        <f t="shared" si="8"/>
        <v>90520</v>
      </c>
      <c r="S18" s="56">
        <f t="shared" si="9"/>
        <v>11315</v>
      </c>
      <c r="T18" s="80">
        <f t="shared" si="10"/>
        <v>41</v>
      </c>
      <c r="U18" s="59">
        <f t="shared" si="10"/>
        <v>193270</v>
      </c>
      <c r="V18" s="59">
        <f t="shared" si="11"/>
        <v>22300</v>
      </c>
      <c r="W18" s="62">
        <f t="shared" si="12"/>
        <v>215570</v>
      </c>
      <c r="X18" s="81"/>
      <c r="Y18" s="63"/>
      <c r="Z18" s="64">
        <v>4</v>
      </c>
      <c r="AA18" s="52">
        <v>1250</v>
      </c>
      <c r="AB18" s="53">
        <f t="shared" si="13"/>
        <v>312.5</v>
      </c>
      <c r="AC18" s="52">
        <v>2000</v>
      </c>
      <c r="AD18" s="54">
        <f t="shared" si="14"/>
        <v>500</v>
      </c>
      <c r="AE18" s="65">
        <f t="shared" si="15"/>
        <v>3250</v>
      </c>
      <c r="AF18" s="56">
        <f t="shared" si="16"/>
        <v>812.5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>
        <v>32</v>
      </c>
      <c r="AQ18" s="52">
        <v>23700</v>
      </c>
      <c r="AR18" s="53">
        <f t="shared" si="20"/>
        <v>740.625</v>
      </c>
      <c r="AS18" s="52">
        <v>12750</v>
      </c>
      <c r="AT18" s="54">
        <f t="shared" si="21"/>
        <v>398.4375</v>
      </c>
      <c r="AU18" s="54"/>
      <c r="AV18" s="69">
        <f t="shared" si="30"/>
        <v>36450</v>
      </c>
      <c r="AW18" s="67">
        <f t="shared" si="22"/>
        <v>1139.0625</v>
      </c>
      <c r="AX18" s="82">
        <f t="shared" si="23"/>
        <v>41</v>
      </c>
      <c r="AY18" s="59">
        <f t="shared" si="24"/>
        <v>218220</v>
      </c>
      <c r="AZ18" s="59">
        <f t="shared" si="25"/>
        <v>37050</v>
      </c>
      <c r="BA18" s="71">
        <f t="shared" si="26"/>
        <v>255270</v>
      </c>
      <c r="BB18" s="72">
        <f t="shared" si="31"/>
        <v>0</v>
      </c>
      <c r="BC18" s="73">
        <v>41</v>
      </c>
      <c r="BD18" s="74">
        <v>193270</v>
      </c>
      <c r="BE18" s="74">
        <v>22300</v>
      </c>
      <c r="BF18" s="75"/>
      <c r="BG18" s="75"/>
      <c r="BH18" s="75"/>
      <c r="BI18" s="75"/>
      <c r="BJ18" s="76">
        <f t="shared" si="32"/>
        <v>215570</v>
      </c>
      <c r="BK18" s="47">
        <v>14</v>
      </c>
      <c r="BL18" s="77">
        <f t="shared" si="27"/>
        <v>215570</v>
      </c>
    </row>
    <row r="19" spans="2:64" ht="20" customHeight="1">
      <c r="B19" s="78">
        <f t="shared" si="28"/>
        <v>45184</v>
      </c>
      <c r="C19" s="79"/>
      <c r="D19" s="50"/>
      <c r="E19" s="51">
        <v>18</v>
      </c>
      <c r="F19" s="52">
        <v>64240</v>
      </c>
      <c r="G19" s="53">
        <f t="shared" si="0"/>
        <v>3244.4444444444443</v>
      </c>
      <c r="H19" s="52">
        <v>5140</v>
      </c>
      <c r="I19" s="54">
        <f t="shared" si="1"/>
        <v>259.55555555555554</v>
      </c>
      <c r="J19" s="55">
        <f t="shared" si="2"/>
        <v>69380</v>
      </c>
      <c r="K19" s="56">
        <f t="shared" si="3"/>
        <v>3854.4444444444443</v>
      </c>
      <c r="L19" s="57"/>
      <c r="M19" s="58">
        <f t="shared" si="4"/>
        <v>15</v>
      </c>
      <c r="N19" s="59">
        <f t="shared" si="4"/>
        <v>120810</v>
      </c>
      <c r="O19" s="53">
        <f t="shared" si="5"/>
        <v>7321.8</v>
      </c>
      <c r="P19" s="59">
        <f t="shared" si="6"/>
        <v>31011</v>
      </c>
      <c r="Q19" s="84">
        <f t="shared" si="7"/>
        <v>1879.4</v>
      </c>
      <c r="R19" s="60">
        <f t="shared" si="8"/>
        <v>151821</v>
      </c>
      <c r="S19" s="56">
        <f t="shared" si="9"/>
        <v>10121.4</v>
      </c>
      <c r="T19" s="80">
        <f t="shared" si="10"/>
        <v>33</v>
      </c>
      <c r="U19" s="59">
        <f t="shared" si="10"/>
        <v>185050</v>
      </c>
      <c r="V19" s="59">
        <f t="shared" si="11"/>
        <v>36151</v>
      </c>
      <c r="W19" s="62">
        <f t="shared" si="12"/>
        <v>221201</v>
      </c>
      <c r="X19" s="81"/>
      <c r="Y19" s="63"/>
      <c r="Z19" s="64">
        <v>9</v>
      </c>
      <c r="AA19" s="52">
        <v>3850</v>
      </c>
      <c r="AB19" s="53">
        <f t="shared" si="13"/>
        <v>427.77777777777777</v>
      </c>
      <c r="AC19" s="52">
        <v>2000</v>
      </c>
      <c r="AD19" s="54">
        <f t="shared" si="14"/>
        <v>222.22222222222223</v>
      </c>
      <c r="AE19" s="65">
        <f t="shared" si="15"/>
        <v>5850</v>
      </c>
      <c r="AF19" s="56">
        <f t="shared" si="16"/>
        <v>650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/>
      <c r="AP19" s="64">
        <v>49</v>
      </c>
      <c r="AQ19" s="52">
        <v>45790</v>
      </c>
      <c r="AR19" s="53">
        <f t="shared" si="20"/>
        <v>934.48979591836735</v>
      </c>
      <c r="AS19" s="52">
        <v>25400</v>
      </c>
      <c r="AT19" s="54">
        <f t="shared" si="21"/>
        <v>518.36734693877554</v>
      </c>
      <c r="AU19" s="54"/>
      <c r="AV19" s="69">
        <f t="shared" si="30"/>
        <v>71190</v>
      </c>
      <c r="AW19" s="67">
        <f t="shared" si="22"/>
        <v>1452.8571428571429</v>
      </c>
      <c r="AX19" s="82">
        <f t="shared" si="23"/>
        <v>33</v>
      </c>
      <c r="AY19" s="59">
        <f t="shared" si="24"/>
        <v>234690</v>
      </c>
      <c r="AZ19" s="59">
        <f t="shared" si="25"/>
        <v>63551</v>
      </c>
      <c r="BA19" s="71">
        <f t="shared" si="26"/>
        <v>298241</v>
      </c>
      <c r="BB19" s="72">
        <f t="shared" si="31"/>
        <v>1100</v>
      </c>
      <c r="BC19" s="73">
        <v>33</v>
      </c>
      <c r="BD19" s="74">
        <v>185050</v>
      </c>
      <c r="BE19" s="74">
        <v>36151</v>
      </c>
      <c r="BF19" s="75"/>
      <c r="BG19" s="75">
        <v>1100</v>
      </c>
      <c r="BH19" s="75"/>
      <c r="BI19" s="75"/>
      <c r="BJ19" s="76">
        <f t="shared" si="32"/>
        <v>222301</v>
      </c>
      <c r="BK19" s="47">
        <v>15</v>
      </c>
      <c r="BL19" s="77">
        <f t="shared" si="27"/>
        <v>222301</v>
      </c>
    </row>
    <row r="20" spans="2:64" ht="20" customHeight="1">
      <c r="B20" s="78">
        <f t="shared" si="28"/>
        <v>45185</v>
      </c>
      <c r="C20" s="79"/>
      <c r="D20" s="50"/>
      <c r="E20" s="51">
        <v>31</v>
      </c>
      <c r="F20" s="52">
        <v>155980</v>
      </c>
      <c r="G20" s="53">
        <f t="shared" si="0"/>
        <v>4574.1935483870966</v>
      </c>
      <c r="H20" s="52">
        <v>39620</v>
      </c>
      <c r="I20" s="53">
        <f t="shared" si="1"/>
        <v>1161.8709677419354</v>
      </c>
      <c r="J20" s="55">
        <f t="shared" si="2"/>
        <v>195600</v>
      </c>
      <c r="K20" s="56">
        <f t="shared" si="3"/>
        <v>6309.677419354839</v>
      </c>
      <c r="L20" s="57"/>
      <c r="M20" s="58">
        <f t="shared" si="4"/>
        <v>26</v>
      </c>
      <c r="N20" s="59">
        <f t="shared" si="4"/>
        <v>256960</v>
      </c>
      <c r="O20" s="53">
        <f t="shared" si="5"/>
        <v>8984.6153846153848</v>
      </c>
      <c r="P20" s="59">
        <f t="shared" si="6"/>
        <v>116080</v>
      </c>
      <c r="Q20" s="84">
        <f t="shared" si="7"/>
        <v>4058.7307692307691</v>
      </c>
      <c r="R20" s="60">
        <f t="shared" si="8"/>
        <v>373040</v>
      </c>
      <c r="S20" s="56">
        <f t="shared" si="9"/>
        <v>14347.692307692309</v>
      </c>
      <c r="T20" s="80">
        <f t="shared" si="10"/>
        <v>57</v>
      </c>
      <c r="U20" s="59">
        <f t="shared" si="10"/>
        <v>412940</v>
      </c>
      <c r="V20" s="59">
        <f t="shared" si="11"/>
        <v>155700</v>
      </c>
      <c r="W20" s="62">
        <f t="shared" si="12"/>
        <v>568640</v>
      </c>
      <c r="X20" s="81"/>
      <c r="Y20" s="63"/>
      <c r="Z20" s="64">
        <v>30</v>
      </c>
      <c r="AA20" s="52">
        <v>14160</v>
      </c>
      <c r="AB20" s="53">
        <f t="shared" si="13"/>
        <v>472</v>
      </c>
      <c r="AC20" s="52">
        <v>4000</v>
      </c>
      <c r="AD20" s="54">
        <f t="shared" si="14"/>
        <v>133.33333333333334</v>
      </c>
      <c r="AE20" s="65">
        <f t="shared" si="15"/>
        <v>18160</v>
      </c>
      <c r="AF20" s="56">
        <f t="shared" si="16"/>
        <v>605.33333333333337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9"/>
        <v>0</v>
      </c>
      <c r="AN20" s="67" t="str">
        <f t="shared" si="19"/>
        <v/>
      </c>
      <c r="AO20" s="68"/>
      <c r="AP20" s="64">
        <v>118</v>
      </c>
      <c r="AQ20" s="52">
        <v>79710</v>
      </c>
      <c r="AR20" s="53">
        <f t="shared" si="20"/>
        <v>675.50847457627117</v>
      </c>
      <c r="AS20" s="52">
        <v>42850</v>
      </c>
      <c r="AT20" s="54">
        <f t="shared" si="21"/>
        <v>363.13559322033899</v>
      </c>
      <c r="AU20" s="54"/>
      <c r="AV20" s="69">
        <f t="shared" si="30"/>
        <v>122560</v>
      </c>
      <c r="AW20" s="67">
        <f t="shared" si="22"/>
        <v>1038.6440677966102</v>
      </c>
      <c r="AX20" s="82">
        <f t="shared" si="23"/>
        <v>57</v>
      </c>
      <c r="AY20" s="59">
        <f t="shared" si="24"/>
        <v>506810</v>
      </c>
      <c r="AZ20" s="59">
        <f t="shared" si="25"/>
        <v>202550</v>
      </c>
      <c r="BA20" s="71">
        <f t="shared" si="26"/>
        <v>709360</v>
      </c>
      <c r="BB20" s="72">
        <f t="shared" si="31"/>
        <v>1100</v>
      </c>
      <c r="BC20" s="73">
        <v>57</v>
      </c>
      <c r="BD20" s="74">
        <v>412940</v>
      </c>
      <c r="BE20" s="74">
        <v>155700</v>
      </c>
      <c r="BF20" s="75">
        <v>1100</v>
      </c>
      <c r="BG20" s="75"/>
      <c r="BH20" s="75"/>
      <c r="BI20" s="75"/>
      <c r="BJ20" s="76">
        <f t="shared" si="32"/>
        <v>569740</v>
      </c>
      <c r="BK20" s="47">
        <v>16</v>
      </c>
      <c r="BL20" s="77">
        <f t="shared" si="27"/>
        <v>569740</v>
      </c>
    </row>
    <row r="21" spans="2:64" ht="20" customHeight="1">
      <c r="B21" s="78">
        <f t="shared" si="28"/>
        <v>45186</v>
      </c>
      <c r="C21" s="79"/>
      <c r="D21" s="50"/>
      <c r="E21" s="51">
        <v>30</v>
      </c>
      <c r="F21" s="52">
        <v>142450</v>
      </c>
      <c r="G21" s="53">
        <f t="shared" si="0"/>
        <v>4316.666666666667</v>
      </c>
      <c r="H21" s="52">
        <v>66520</v>
      </c>
      <c r="I21" s="53">
        <f t="shared" si="1"/>
        <v>2015.7333333333333</v>
      </c>
      <c r="J21" s="55">
        <f t="shared" si="2"/>
        <v>208970</v>
      </c>
      <c r="K21" s="56">
        <f t="shared" si="3"/>
        <v>6965.666666666667</v>
      </c>
      <c r="L21" s="57"/>
      <c r="M21" s="58">
        <f t="shared" si="4"/>
        <v>27</v>
      </c>
      <c r="N21" s="59">
        <f t="shared" si="4"/>
        <v>248930</v>
      </c>
      <c r="O21" s="53">
        <f t="shared" si="5"/>
        <v>8381.4814814814818</v>
      </c>
      <c r="P21" s="59">
        <f t="shared" si="6"/>
        <v>47600</v>
      </c>
      <c r="Q21" s="84">
        <f t="shared" si="7"/>
        <v>1602.6666666666667</v>
      </c>
      <c r="R21" s="60">
        <f t="shared" si="8"/>
        <v>296530</v>
      </c>
      <c r="S21" s="56">
        <f t="shared" si="9"/>
        <v>10982.592592592593</v>
      </c>
      <c r="T21" s="80">
        <f t="shared" si="10"/>
        <v>57</v>
      </c>
      <c r="U21" s="59">
        <f t="shared" si="10"/>
        <v>391380</v>
      </c>
      <c r="V21" s="59">
        <f t="shared" si="11"/>
        <v>114120</v>
      </c>
      <c r="W21" s="62">
        <f t="shared" si="12"/>
        <v>505500</v>
      </c>
      <c r="X21" s="81"/>
      <c r="Y21" s="63"/>
      <c r="Z21" s="64">
        <v>16</v>
      </c>
      <c r="AA21" s="52">
        <v>9040</v>
      </c>
      <c r="AB21" s="53">
        <f t="shared" si="13"/>
        <v>565</v>
      </c>
      <c r="AC21" s="52">
        <v>3500</v>
      </c>
      <c r="AD21" s="54">
        <f t="shared" si="14"/>
        <v>218.75</v>
      </c>
      <c r="AE21" s="65">
        <f t="shared" si="15"/>
        <v>12540</v>
      </c>
      <c r="AF21" s="56">
        <f t="shared" si="16"/>
        <v>783.75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/>
      <c r="AP21" s="64">
        <v>109</v>
      </c>
      <c r="AQ21" s="52">
        <v>75660</v>
      </c>
      <c r="AR21" s="53">
        <f t="shared" si="20"/>
        <v>694.12844036697243</v>
      </c>
      <c r="AS21" s="52">
        <v>54550</v>
      </c>
      <c r="AT21" s="54">
        <f t="shared" si="21"/>
        <v>500.45871559633025</v>
      </c>
      <c r="AU21" s="54"/>
      <c r="AV21" s="69">
        <f t="shared" si="30"/>
        <v>130210</v>
      </c>
      <c r="AW21" s="67">
        <f t="shared" si="22"/>
        <v>1194.5871559633028</v>
      </c>
      <c r="AX21" s="82">
        <f t="shared" si="23"/>
        <v>57</v>
      </c>
      <c r="AY21" s="59">
        <f t="shared" si="24"/>
        <v>476080</v>
      </c>
      <c r="AZ21" s="59">
        <f t="shared" si="25"/>
        <v>172170</v>
      </c>
      <c r="BA21" s="71">
        <f>W21+AE21+AM21+AV21</f>
        <v>648250</v>
      </c>
      <c r="BB21" s="72">
        <f t="shared" si="31"/>
        <v>5500</v>
      </c>
      <c r="BC21" s="73">
        <v>57</v>
      </c>
      <c r="BD21" s="74">
        <v>391380</v>
      </c>
      <c r="BE21" s="74">
        <v>114120</v>
      </c>
      <c r="BF21" s="75">
        <v>5500</v>
      </c>
      <c r="BG21" s="75"/>
      <c r="BH21" s="75"/>
      <c r="BI21" s="75"/>
      <c r="BJ21" s="76">
        <f t="shared" si="32"/>
        <v>511000</v>
      </c>
      <c r="BK21" s="47">
        <v>17</v>
      </c>
      <c r="BL21" s="77">
        <f t="shared" si="27"/>
        <v>511000</v>
      </c>
    </row>
    <row r="22" spans="2:64" ht="20" customHeight="1">
      <c r="B22" s="78">
        <f t="shared" si="28"/>
        <v>45187</v>
      </c>
      <c r="C22" s="79"/>
      <c r="D22" s="50"/>
      <c r="E22" s="51">
        <v>20</v>
      </c>
      <c r="F22" s="52">
        <v>76340</v>
      </c>
      <c r="G22" s="53">
        <f t="shared" si="0"/>
        <v>3470</v>
      </c>
      <c r="H22" s="52">
        <v>6470</v>
      </c>
      <c r="I22" s="53">
        <f t="shared" si="1"/>
        <v>294.05</v>
      </c>
      <c r="J22" s="55">
        <f t="shared" si="2"/>
        <v>82810</v>
      </c>
      <c r="K22" s="56">
        <f t="shared" si="3"/>
        <v>4140.5</v>
      </c>
      <c r="L22" s="57"/>
      <c r="M22" s="58">
        <f t="shared" si="4"/>
        <v>33</v>
      </c>
      <c r="N22" s="59">
        <f t="shared" si="4"/>
        <v>353130</v>
      </c>
      <c r="O22" s="53">
        <f t="shared" si="5"/>
        <v>9728.0909090909099</v>
      </c>
      <c r="P22" s="59">
        <f t="shared" si="6"/>
        <v>92770</v>
      </c>
      <c r="Q22" s="84">
        <f t="shared" si="7"/>
        <v>2555.6363636363635</v>
      </c>
      <c r="R22" s="60">
        <f t="shared" si="8"/>
        <v>445900</v>
      </c>
      <c r="S22" s="56">
        <f t="shared" si="9"/>
        <v>13512.121212121212</v>
      </c>
      <c r="T22" s="80">
        <f t="shared" si="10"/>
        <v>53</v>
      </c>
      <c r="U22" s="59">
        <f t="shared" si="10"/>
        <v>429470</v>
      </c>
      <c r="V22" s="59">
        <f t="shared" si="11"/>
        <v>99240</v>
      </c>
      <c r="W22" s="62">
        <f t="shared" si="12"/>
        <v>528710</v>
      </c>
      <c r="X22" s="81"/>
      <c r="Y22" s="63"/>
      <c r="Z22" s="64">
        <v>11</v>
      </c>
      <c r="AA22" s="52">
        <v>5680</v>
      </c>
      <c r="AB22" s="53">
        <f t="shared" si="13"/>
        <v>516.36363636363637</v>
      </c>
      <c r="AC22" s="52">
        <v>5000</v>
      </c>
      <c r="AD22" s="54">
        <f t="shared" si="14"/>
        <v>454.54545454545456</v>
      </c>
      <c r="AE22" s="65">
        <f t="shared" si="15"/>
        <v>10680</v>
      </c>
      <c r="AF22" s="56">
        <f t="shared" si="16"/>
        <v>970.90909090909088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/>
      <c r="AP22" s="64">
        <v>59</v>
      </c>
      <c r="AQ22" s="52">
        <v>31610</v>
      </c>
      <c r="AR22" s="53">
        <f t="shared" si="20"/>
        <v>535.76271186440681</v>
      </c>
      <c r="AS22" s="52">
        <v>21900</v>
      </c>
      <c r="AT22" s="54">
        <f t="shared" si="21"/>
        <v>371.18644067796612</v>
      </c>
      <c r="AU22" s="54"/>
      <c r="AV22" s="69">
        <f t="shared" si="30"/>
        <v>53510</v>
      </c>
      <c r="AW22" s="67">
        <f t="shared" si="22"/>
        <v>906.94915254237287</v>
      </c>
      <c r="AX22" s="82">
        <f t="shared" si="23"/>
        <v>53</v>
      </c>
      <c r="AY22" s="59">
        <f t="shared" si="24"/>
        <v>466760</v>
      </c>
      <c r="AZ22" s="59">
        <f t="shared" si="25"/>
        <v>126140</v>
      </c>
      <c r="BA22" s="71">
        <f t="shared" si="26"/>
        <v>592900</v>
      </c>
      <c r="BB22" s="72">
        <f t="shared" si="31"/>
        <v>1100</v>
      </c>
      <c r="BC22" s="73">
        <v>53</v>
      </c>
      <c r="BD22" s="74">
        <v>429470</v>
      </c>
      <c r="BE22" s="74">
        <v>99240</v>
      </c>
      <c r="BF22" s="75"/>
      <c r="BG22" s="75">
        <v>1100</v>
      </c>
      <c r="BH22" s="75"/>
      <c r="BI22" s="75"/>
      <c r="BJ22" s="76">
        <f t="shared" si="32"/>
        <v>529810</v>
      </c>
      <c r="BK22" s="47">
        <v>18</v>
      </c>
      <c r="BL22" s="77">
        <f t="shared" si="27"/>
        <v>529810</v>
      </c>
    </row>
    <row r="23" spans="2:64" ht="20" customHeight="1">
      <c r="B23" s="78">
        <f t="shared" si="28"/>
        <v>45188</v>
      </c>
      <c r="C23" s="79"/>
      <c r="D23" s="50"/>
      <c r="E23" s="51">
        <v>34</v>
      </c>
      <c r="F23" s="52">
        <v>134310</v>
      </c>
      <c r="G23" s="53">
        <f t="shared" si="0"/>
        <v>3591.1764705882351</v>
      </c>
      <c r="H23" s="52">
        <v>17680</v>
      </c>
      <c r="I23" s="53">
        <f t="shared" si="1"/>
        <v>472.70588235294116</v>
      </c>
      <c r="J23" s="55">
        <f t="shared" si="2"/>
        <v>151990</v>
      </c>
      <c r="K23" s="56">
        <f t="shared" si="3"/>
        <v>4470.2941176470586</v>
      </c>
      <c r="L23" s="57"/>
      <c r="M23" s="58">
        <f t="shared" si="4"/>
        <v>8</v>
      </c>
      <c r="N23" s="59">
        <f t="shared" si="4"/>
        <v>57200</v>
      </c>
      <c r="O23" s="53">
        <f t="shared" si="5"/>
        <v>6500</v>
      </c>
      <c r="P23" s="59">
        <f t="shared" si="6"/>
        <v>4820</v>
      </c>
      <c r="Q23" s="84">
        <f t="shared" si="7"/>
        <v>547.625</v>
      </c>
      <c r="R23" s="60">
        <f t="shared" si="8"/>
        <v>62020</v>
      </c>
      <c r="S23" s="56">
        <f t="shared" si="9"/>
        <v>7752.5</v>
      </c>
      <c r="T23" s="80">
        <f t="shared" si="10"/>
        <v>42</v>
      </c>
      <c r="U23" s="59">
        <f t="shared" si="10"/>
        <v>191510</v>
      </c>
      <c r="V23" s="59">
        <f t="shared" si="11"/>
        <v>22500</v>
      </c>
      <c r="W23" s="62">
        <f t="shared" si="12"/>
        <v>214010</v>
      </c>
      <c r="X23" s="81"/>
      <c r="Y23" s="63"/>
      <c r="Z23" s="64">
        <v>9</v>
      </c>
      <c r="AA23" s="52">
        <v>4380</v>
      </c>
      <c r="AB23" s="53">
        <f t="shared" si="13"/>
        <v>486.66666666666669</v>
      </c>
      <c r="AC23" s="52">
        <v>2350</v>
      </c>
      <c r="AD23" s="54">
        <f t="shared" si="14"/>
        <v>261.11111111111109</v>
      </c>
      <c r="AE23" s="65">
        <f t="shared" si="15"/>
        <v>6730</v>
      </c>
      <c r="AF23" s="56">
        <f t="shared" si="16"/>
        <v>747.77777777777783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9"/>
        <v>0</v>
      </c>
      <c r="AN23" s="67" t="str">
        <f t="shared" si="19"/>
        <v/>
      </c>
      <c r="AO23" s="68"/>
      <c r="AP23" s="64">
        <v>45</v>
      </c>
      <c r="AQ23" s="52">
        <v>38030</v>
      </c>
      <c r="AR23" s="53">
        <f t="shared" si="20"/>
        <v>845.11111111111109</v>
      </c>
      <c r="AS23" s="52">
        <v>16050</v>
      </c>
      <c r="AT23" s="54">
        <f t="shared" si="21"/>
        <v>356.66666666666669</v>
      </c>
      <c r="AU23" s="54"/>
      <c r="AV23" s="69">
        <f t="shared" si="30"/>
        <v>54080</v>
      </c>
      <c r="AW23" s="67">
        <f>IF(AP23="","",AV23/AP23)</f>
        <v>1201.7777777777778</v>
      </c>
      <c r="AX23" s="82">
        <f t="shared" si="23"/>
        <v>42</v>
      </c>
      <c r="AY23" s="59">
        <f t="shared" si="24"/>
        <v>233920</v>
      </c>
      <c r="AZ23" s="59">
        <f t="shared" si="25"/>
        <v>40900</v>
      </c>
      <c r="BA23" s="71">
        <f t="shared" si="26"/>
        <v>274820</v>
      </c>
      <c r="BB23" s="72">
        <f t="shared" si="31"/>
        <v>2752</v>
      </c>
      <c r="BC23" s="73">
        <v>42</v>
      </c>
      <c r="BD23" s="74">
        <v>191510</v>
      </c>
      <c r="BE23" s="74">
        <v>22500</v>
      </c>
      <c r="BF23" s="75">
        <v>2752</v>
      </c>
      <c r="BG23" s="75"/>
      <c r="BH23" s="75"/>
      <c r="BI23" s="75"/>
      <c r="BJ23" s="76">
        <f t="shared" si="32"/>
        <v>216762</v>
      </c>
      <c r="BK23" s="47">
        <v>19</v>
      </c>
      <c r="BL23" s="77">
        <f t="shared" si="27"/>
        <v>216762</v>
      </c>
    </row>
    <row r="24" spans="2:64" ht="20" customHeight="1">
      <c r="B24" s="78">
        <f t="shared" si="28"/>
        <v>45189</v>
      </c>
      <c r="C24" s="79"/>
      <c r="D24" s="50"/>
      <c r="E24" s="51">
        <v>19</v>
      </c>
      <c r="F24" s="52">
        <f>67870+5500</f>
        <v>73370</v>
      </c>
      <c r="G24" s="53">
        <f t="shared" si="0"/>
        <v>3510.5263157894738</v>
      </c>
      <c r="H24" s="52">
        <v>6320</v>
      </c>
      <c r="I24" s="53">
        <f t="shared" si="1"/>
        <v>302.36842105263156</v>
      </c>
      <c r="J24" s="55">
        <f t="shared" si="2"/>
        <v>79690</v>
      </c>
      <c r="K24" s="56">
        <f t="shared" si="3"/>
        <v>4194.2105263157891</v>
      </c>
      <c r="L24" s="57"/>
      <c r="M24" s="58">
        <f t="shared" si="4"/>
        <v>28</v>
      </c>
      <c r="N24" s="59">
        <f t="shared" si="4"/>
        <v>169290</v>
      </c>
      <c r="O24" s="53">
        <f t="shared" si="5"/>
        <v>5496.4285714285716</v>
      </c>
      <c r="P24" s="59">
        <f t="shared" si="6"/>
        <v>62590</v>
      </c>
      <c r="Q24" s="84">
        <f t="shared" si="7"/>
        <v>2032.1428571428571</v>
      </c>
      <c r="R24" s="60">
        <f t="shared" si="8"/>
        <v>231880</v>
      </c>
      <c r="S24" s="56">
        <f t="shared" si="9"/>
        <v>8281.4285714285706</v>
      </c>
      <c r="T24" s="80">
        <f t="shared" si="10"/>
        <v>47</v>
      </c>
      <c r="U24" s="59">
        <f t="shared" si="10"/>
        <v>242660</v>
      </c>
      <c r="V24" s="59">
        <f t="shared" si="11"/>
        <v>68910</v>
      </c>
      <c r="W24" s="62">
        <f t="shared" si="12"/>
        <v>311570</v>
      </c>
      <c r="X24" s="81"/>
      <c r="Y24" s="63"/>
      <c r="Z24" s="64">
        <v>5</v>
      </c>
      <c r="AA24" s="52">
        <v>450</v>
      </c>
      <c r="AB24" s="53">
        <f t="shared" si="13"/>
        <v>90</v>
      </c>
      <c r="AC24" s="52">
        <v>2500</v>
      </c>
      <c r="AD24" s="54">
        <f t="shared" si="14"/>
        <v>500</v>
      </c>
      <c r="AE24" s="65">
        <f t="shared" si="15"/>
        <v>2950</v>
      </c>
      <c r="AF24" s="56">
        <f t="shared" si="16"/>
        <v>590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/>
      <c r="AP24" s="64">
        <v>31</v>
      </c>
      <c r="AQ24" s="52">
        <v>21240</v>
      </c>
      <c r="AR24" s="53">
        <f t="shared" si="20"/>
        <v>685.16129032258061</v>
      </c>
      <c r="AS24" s="52">
        <v>10350</v>
      </c>
      <c r="AT24" s="54">
        <f t="shared" si="21"/>
        <v>333.87096774193549</v>
      </c>
      <c r="AU24" s="54"/>
      <c r="AV24" s="69">
        <f t="shared" si="30"/>
        <v>31590</v>
      </c>
      <c r="AW24" s="67">
        <f t="shared" si="22"/>
        <v>1019.0322580645161</v>
      </c>
      <c r="AX24" s="82">
        <f t="shared" si="23"/>
        <v>47</v>
      </c>
      <c r="AY24" s="59">
        <f t="shared" si="24"/>
        <v>264350</v>
      </c>
      <c r="AZ24" s="59">
        <f t="shared" si="25"/>
        <v>81760</v>
      </c>
      <c r="BA24" s="71">
        <f t="shared" si="26"/>
        <v>346110</v>
      </c>
      <c r="BB24" s="72">
        <f t="shared" si="31"/>
        <v>2200</v>
      </c>
      <c r="BC24" s="73">
        <v>47</v>
      </c>
      <c r="BD24" s="74">
        <v>242660</v>
      </c>
      <c r="BE24" s="74">
        <v>68910</v>
      </c>
      <c r="BF24" s="75">
        <v>2200</v>
      </c>
      <c r="BG24" s="75"/>
      <c r="BH24" s="75"/>
      <c r="BI24" s="75"/>
      <c r="BJ24" s="76">
        <f t="shared" si="32"/>
        <v>313770</v>
      </c>
      <c r="BK24" s="47">
        <v>20</v>
      </c>
      <c r="BL24" s="77">
        <f t="shared" si="27"/>
        <v>313770</v>
      </c>
    </row>
    <row r="25" spans="2:64" ht="20" customHeight="1">
      <c r="B25" s="78">
        <f t="shared" si="28"/>
        <v>45190</v>
      </c>
      <c r="C25" s="79"/>
      <c r="D25" s="50"/>
      <c r="E25" s="51">
        <v>25</v>
      </c>
      <c r="F25" s="52">
        <v>89320</v>
      </c>
      <c r="G25" s="53">
        <f t="shared" si="0"/>
        <v>3248</v>
      </c>
      <c r="H25" s="52">
        <v>7460</v>
      </c>
      <c r="I25" s="53">
        <f t="shared" si="1"/>
        <v>271.24</v>
      </c>
      <c r="J25" s="55">
        <f t="shared" si="2"/>
        <v>96780</v>
      </c>
      <c r="K25" s="56">
        <f t="shared" si="3"/>
        <v>3871.2</v>
      </c>
      <c r="L25" s="57"/>
      <c r="M25" s="58">
        <f t="shared" si="4"/>
        <v>13</v>
      </c>
      <c r="N25" s="59">
        <f t="shared" si="4"/>
        <v>129610</v>
      </c>
      <c r="O25" s="53">
        <f t="shared" si="5"/>
        <v>9063.6153846153848</v>
      </c>
      <c r="P25" s="59">
        <f t="shared" si="6"/>
        <v>36080</v>
      </c>
      <c r="Q25" s="84">
        <f t="shared" si="7"/>
        <v>2523.0769230769229</v>
      </c>
      <c r="R25" s="60">
        <f t="shared" si="8"/>
        <v>165690</v>
      </c>
      <c r="S25" s="56">
        <f t="shared" si="9"/>
        <v>12745.384615384615</v>
      </c>
      <c r="T25" s="80">
        <f t="shared" si="10"/>
        <v>38</v>
      </c>
      <c r="U25" s="59">
        <f t="shared" si="10"/>
        <v>218930</v>
      </c>
      <c r="V25" s="59">
        <f t="shared" si="11"/>
        <v>43540</v>
      </c>
      <c r="W25" s="62">
        <f t="shared" si="12"/>
        <v>262470</v>
      </c>
      <c r="X25" s="81"/>
      <c r="Y25" s="63"/>
      <c r="Z25" s="64">
        <v>3</v>
      </c>
      <c r="AA25" s="52">
        <v>1150</v>
      </c>
      <c r="AB25" s="53">
        <f t="shared" si="13"/>
        <v>383.33333333333331</v>
      </c>
      <c r="AC25" s="52">
        <v>850</v>
      </c>
      <c r="AD25" s="54">
        <f t="shared" si="14"/>
        <v>283.33333333333331</v>
      </c>
      <c r="AE25" s="65">
        <f t="shared" si="15"/>
        <v>2000</v>
      </c>
      <c r="AF25" s="56">
        <f t="shared" si="16"/>
        <v>666.66666666666663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9"/>
        <v>0</v>
      </c>
      <c r="AN25" s="67" t="str">
        <f t="shared" si="19"/>
        <v/>
      </c>
      <c r="AO25" s="68"/>
      <c r="AP25" s="64">
        <v>24</v>
      </c>
      <c r="AQ25" s="52">
        <v>18850</v>
      </c>
      <c r="AR25" s="53">
        <f t="shared" si="20"/>
        <v>785.41666666666663</v>
      </c>
      <c r="AS25" s="52">
        <v>15750</v>
      </c>
      <c r="AT25" s="54">
        <f t="shared" si="21"/>
        <v>656.25</v>
      </c>
      <c r="AU25" s="54"/>
      <c r="AV25" s="69">
        <f t="shared" si="30"/>
        <v>34600</v>
      </c>
      <c r="AW25" s="67">
        <f t="shared" si="22"/>
        <v>1441.6666666666667</v>
      </c>
      <c r="AX25" s="82">
        <f t="shared" si="23"/>
        <v>38</v>
      </c>
      <c r="AY25" s="59">
        <f t="shared" si="24"/>
        <v>238930</v>
      </c>
      <c r="AZ25" s="59">
        <f t="shared" si="25"/>
        <v>60140</v>
      </c>
      <c r="BA25" s="71">
        <f t="shared" si="26"/>
        <v>299070</v>
      </c>
      <c r="BB25" s="72">
        <f t="shared" si="31"/>
        <v>2750</v>
      </c>
      <c r="BC25" s="73">
        <v>38</v>
      </c>
      <c r="BD25" s="74">
        <v>218930</v>
      </c>
      <c r="BE25" s="74">
        <v>43540</v>
      </c>
      <c r="BF25" s="75">
        <v>2750</v>
      </c>
      <c r="BG25" s="75"/>
      <c r="BH25" s="75"/>
      <c r="BI25" s="75"/>
      <c r="BJ25" s="76">
        <f t="shared" si="32"/>
        <v>265220</v>
      </c>
      <c r="BK25" s="47">
        <v>21</v>
      </c>
      <c r="BL25" s="77">
        <f t="shared" si="27"/>
        <v>265220</v>
      </c>
    </row>
    <row r="26" spans="2:64" ht="20" customHeight="1">
      <c r="B26" s="78">
        <f t="shared" si="28"/>
        <v>45191</v>
      </c>
      <c r="C26" s="79"/>
      <c r="D26" s="50"/>
      <c r="E26" s="51">
        <v>36</v>
      </c>
      <c r="F26" s="52">
        <v>143220</v>
      </c>
      <c r="G26" s="53">
        <f t="shared" si="0"/>
        <v>3616.6666666666665</v>
      </c>
      <c r="H26" s="52">
        <v>16480</v>
      </c>
      <c r="I26" s="53">
        <f t="shared" si="1"/>
        <v>416.13888888888891</v>
      </c>
      <c r="J26" s="55">
        <f t="shared" si="2"/>
        <v>159700</v>
      </c>
      <c r="K26" s="56">
        <f t="shared" si="3"/>
        <v>4436.1111111111113</v>
      </c>
      <c r="L26" s="57"/>
      <c r="M26" s="58">
        <f t="shared" si="4"/>
        <v>17</v>
      </c>
      <c r="N26" s="59">
        <f t="shared" si="4"/>
        <v>165000</v>
      </c>
      <c r="O26" s="53">
        <f t="shared" si="5"/>
        <v>8823.5294117647063</v>
      </c>
      <c r="P26" s="59">
        <f t="shared" si="6"/>
        <v>31420</v>
      </c>
      <c r="Q26" s="84">
        <f t="shared" si="7"/>
        <v>1680.1764705882354</v>
      </c>
      <c r="R26" s="60">
        <f t="shared" si="8"/>
        <v>196420</v>
      </c>
      <c r="S26" s="56">
        <f t="shared" si="9"/>
        <v>11554.117647058823</v>
      </c>
      <c r="T26" s="80">
        <f t="shared" si="10"/>
        <v>53</v>
      </c>
      <c r="U26" s="59">
        <f t="shared" si="10"/>
        <v>308220</v>
      </c>
      <c r="V26" s="59">
        <f t="shared" si="11"/>
        <v>47900</v>
      </c>
      <c r="W26" s="62">
        <f t="shared" si="12"/>
        <v>356120</v>
      </c>
      <c r="X26" s="81"/>
      <c r="Y26" s="63"/>
      <c r="Z26" s="64">
        <v>17</v>
      </c>
      <c r="AA26" s="52">
        <v>7780</v>
      </c>
      <c r="AB26" s="53">
        <f t="shared" si="13"/>
        <v>457.64705882352939</v>
      </c>
      <c r="AC26" s="52">
        <v>0</v>
      </c>
      <c r="AD26" s="54">
        <f t="shared" si="14"/>
        <v>0</v>
      </c>
      <c r="AE26" s="65">
        <f t="shared" si="15"/>
        <v>7780</v>
      </c>
      <c r="AF26" s="56">
        <f t="shared" si="16"/>
        <v>457.64705882352939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9"/>
        <v>0</v>
      </c>
      <c r="AN26" s="67" t="str">
        <f t="shared" si="19"/>
        <v/>
      </c>
      <c r="AO26" s="68"/>
      <c r="AP26" s="64">
        <v>47</v>
      </c>
      <c r="AQ26" s="52">
        <v>28090</v>
      </c>
      <c r="AR26" s="53">
        <f t="shared" si="20"/>
        <v>597.65957446808511</v>
      </c>
      <c r="AS26" s="52">
        <v>26750</v>
      </c>
      <c r="AT26" s="54">
        <f t="shared" si="21"/>
        <v>569.14893617021278</v>
      </c>
      <c r="AU26" s="54"/>
      <c r="AV26" s="69">
        <f t="shared" si="30"/>
        <v>54840</v>
      </c>
      <c r="AW26" s="67">
        <f t="shared" si="22"/>
        <v>1166.8085106382978</v>
      </c>
      <c r="AX26" s="82">
        <f t="shared" si="23"/>
        <v>53</v>
      </c>
      <c r="AY26" s="59">
        <f t="shared" si="24"/>
        <v>344090</v>
      </c>
      <c r="AZ26" s="59">
        <f t="shared" si="25"/>
        <v>74650</v>
      </c>
      <c r="BA26" s="71">
        <f>W26+AE26+AM26+AV26</f>
        <v>418740</v>
      </c>
      <c r="BB26" s="72">
        <f>BF26+BG26</f>
        <v>3300</v>
      </c>
      <c r="BC26" s="73">
        <v>53</v>
      </c>
      <c r="BD26" s="74">
        <v>308220</v>
      </c>
      <c r="BE26" s="74">
        <v>47900</v>
      </c>
      <c r="BF26" s="75"/>
      <c r="BG26" s="75">
        <v>3300</v>
      </c>
      <c r="BH26" s="75"/>
      <c r="BI26" s="75"/>
      <c r="BJ26" s="76">
        <f t="shared" si="32"/>
        <v>359420</v>
      </c>
      <c r="BK26" s="47">
        <v>22</v>
      </c>
      <c r="BL26" s="77">
        <f t="shared" si="27"/>
        <v>359420</v>
      </c>
    </row>
    <row r="27" spans="2:64" ht="20" customHeight="1">
      <c r="B27" s="78">
        <f t="shared" si="28"/>
        <v>45192</v>
      </c>
      <c r="C27" s="79"/>
      <c r="D27" s="50"/>
      <c r="E27" s="51">
        <v>28</v>
      </c>
      <c r="F27" s="52">
        <v>109450</v>
      </c>
      <c r="G27" s="53">
        <f t="shared" si="0"/>
        <v>3553.5714285714284</v>
      </c>
      <c r="H27" s="52">
        <v>18070</v>
      </c>
      <c r="I27" s="53">
        <f t="shared" si="1"/>
        <v>586.67857142857144</v>
      </c>
      <c r="J27" s="55">
        <f t="shared" si="2"/>
        <v>127520</v>
      </c>
      <c r="K27" s="56">
        <f t="shared" si="3"/>
        <v>4554.2857142857147</v>
      </c>
      <c r="L27" s="57"/>
      <c r="M27" s="58">
        <f t="shared" si="4"/>
        <v>31</v>
      </c>
      <c r="N27" s="59">
        <f t="shared" si="4"/>
        <v>270930</v>
      </c>
      <c r="O27" s="53">
        <f t="shared" si="5"/>
        <v>7945.1612903225805</v>
      </c>
      <c r="P27" s="59">
        <f t="shared" si="6"/>
        <v>81530</v>
      </c>
      <c r="Q27" s="54">
        <f t="shared" si="7"/>
        <v>2390.9032258064517</v>
      </c>
      <c r="R27" s="60">
        <f t="shared" si="8"/>
        <v>352460</v>
      </c>
      <c r="S27" s="56">
        <f t="shared" si="9"/>
        <v>11369.677419354839</v>
      </c>
      <c r="T27" s="80">
        <f t="shared" si="10"/>
        <v>59</v>
      </c>
      <c r="U27" s="59">
        <f t="shared" si="10"/>
        <v>380380</v>
      </c>
      <c r="V27" s="59">
        <f t="shared" si="11"/>
        <v>99600</v>
      </c>
      <c r="W27" s="62">
        <f t="shared" si="12"/>
        <v>479980</v>
      </c>
      <c r="X27" s="81"/>
      <c r="Y27" s="63"/>
      <c r="Z27" s="64">
        <v>21</v>
      </c>
      <c r="AA27" s="52">
        <v>10510</v>
      </c>
      <c r="AB27" s="53">
        <f t="shared" si="13"/>
        <v>500.47619047619048</v>
      </c>
      <c r="AC27" s="52">
        <v>4500</v>
      </c>
      <c r="AD27" s="54">
        <f t="shared" si="14"/>
        <v>214.28571428571428</v>
      </c>
      <c r="AE27" s="65">
        <f t="shared" si="15"/>
        <v>15010</v>
      </c>
      <c r="AF27" s="56">
        <f t="shared" si="16"/>
        <v>714.76190476190482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9"/>
        <v>0</v>
      </c>
      <c r="AN27" s="67" t="str">
        <f t="shared" si="19"/>
        <v/>
      </c>
      <c r="AO27" s="68"/>
      <c r="AP27" s="64">
        <v>91</v>
      </c>
      <c r="AQ27" s="52">
        <v>56280</v>
      </c>
      <c r="AR27" s="53">
        <f t="shared" si="20"/>
        <v>618.46153846153845</v>
      </c>
      <c r="AS27" s="52">
        <v>53600</v>
      </c>
      <c r="AT27" s="54">
        <f t="shared" si="21"/>
        <v>589.01098901098896</v>
      </c>
      <c r="AU27" s="54"/>
      <c r="AV27" s="69">
        <f t="shared" si="30"/>
        <v>109880</v>
      </c>
      <c r="AW27" s="67">
        <f t="shared" si="22"/>
        <v>1207.4725274725274</v>
      </c>
      <c r="AX27" s="82">
        <f t="shared" si="23"/>
        <v>59</v>
      </c>
      <c r="AY27" s="59">
        <f t="shared" si="24"/>
        <v>447170</v>
      </c>
      <c r="AZ27" s="59">
        <f t="shared" si="25"/>
        <v>157700</v>
      </c>
      <c r="BA27" s="71">
        <f>W27+AE27+AM27+AV27</f>
        <v>604870</v>
      </c>
      <c r="BB27" s="72">
        <f t="shared" si="31"/>
        <v>7150</v>
      </c>
      <c r="BC27" s="73">
        <v>59</v>
      </c>
      <c r="BD27" s="74">
        <v>380380</v>
      </c>
      <c r="BE27" s="74">
        <v>99600</v>
      </c>
      <c r="BF27" s="75">
        <v>7150</v>
      </c>
      <c r="BG27" s="75"/>
      <c r="BH27" s="75"/>
      <c r="BI27" s="75"/>
      <c r="BJ27" s="76">
        <f t="shared" si="32"/>
        <v>487130</v>
      </c>
      <c r="BK27" s="47">
        <v>23</v>
      </c>
      <c r="BL27" s="77">
        <f t="shared" si="27"/>
        <v>487130</v>
      </c>
    </row>
    <row r="28" spans="2:64" ht="20" customHeight="1">
      <c r="B28" s="78">
        <f>B27+1</f>
        <v>45193</v>
      </c>
      <c r="C28" s="79"/>
      <c r="D28" s="50"/>
      <c r="E28" s="51">
        <v>30</v>
      </c>
      <c r="F28" s="52">
        <v>138380</v>
      </c>
      <c r="G28" s="53">
        <f t="shared" si="0"/>
        <v>4193.333333333333</v>
      </c>
      <c r="H28" s="52">
        <v>27360</v>
      </c>
      <c r="I28" s="53">
        <f t="shared" si="1"/>
        <v>829.06666666666672</v>
      </c>
      <c r="J28" s="55">
        <f t="shared" si="2"/>
        <v>165740</v>
      </c>
      <c r="K28" s="56">
        <f t="shared" si="3"/>
        <v>5524.666666666667</v>
      </c>
      <c r="L28" s="57"/>
      <c r="M28" s="58">
        <f t="shared" si="4"/>
        <v>26</v>
      </c>
      <c r="N28" s="59">
        <f t="shared" si="4"/>
        <v>173360</v>
      </c>
      <c r="O28" s="53">
        <f t="shared" si="5"/>
        <v>6061.5384615384619</v>
      </c>
      <c r="P28" s="59">
        <f t="shared" si="6"/>
        <v>32230</v>
      </c>
      <c r="Q28" s="54">
        <f>ROUNDDOWN(P28/1.1,0)/M28</f>
        <v>1126.9230769230769</v>
      </c>
      <c r="R28" s="60">
        <f t="shared" si="8"/>
        <v>205590</v>
      </c>
      <c r="S28" s="56">
        <f t="shared" si="9"/>
        <v>7907.3076923076924</v>
      </c>
      <c r="T28" s="80">
        <f t="shared" si="10"/>
        <v>56</v>
      </c>
      <c r="U28" s="59">
        <f t="shared" si="10"/>
        <v>311740</v>
      </c>
      <c r="V28" s="59">
        <f t="shared" si="11"/>
        <v>59590</v>
      </c>
      <c r="W28" s="62">
        <f t="shared" si="12"/>
        <v>371330</v>
      </c>
      <c r="X28" s="81"/>
      <c r="Y28" s="63"/>
      <c r="Z28" s="64">
        <v>12</v>
      </c>
      <c r="AA28" s="52">
        <v>5830</v>
      </c>
      <c r="AB28" s="53">
        <f t="shared" si="13"/>
        <v>485.83333333333331</v>
      </c>
      <c r="AC28" s="52">
        <v>1000</v>
      </c>
      <c r="AD28" s="54">
        <f t="shared" si="14"/>
        <v>83.333333333333329</v>
      </c>
      <c r="AE28" s="65">
        <f t="shared" si="15"/>
        <v>6830</v>
      </c>
      <c r="AF28" s="56">
        <f t="shared" si="16"/>
        <v>569.16666666666663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/>
      <c r="AP28" s="64">
        <v>86</v>
      </c>
      <c r="AQ28" s="52">
        <v>48400</v>
      </c>
      <c r="AR28" s="53">
        <f t="shared" si="20"/>
        <v>562.79069767441865</v>
      </c>
      <c r="AS28" s="52">
        <v>56100</v>
      </c>
      <c r="AT28" s="54">
        <f t="shared" si="21"/>
        <v>652.32558139534888</v>
      </c>
      <c r="AU28" s="54"/>
      <c r="AV28" s="215">
        <f t="shared" si="30"/>
        <v>104500</v>
      </c>
      <c r="AW28" s="67">
        <f t="shared" si="22"/>
        <v>1215.1162790697674</v>
      </c>
      <c r="AX28" s="82">
        <f t="shared" si="23"/>
        <v>56</v>
      </c>
      <c r="AY28" s="59">
        <f t="shared" si="24"/>
        <v>365970</v>
      </c>
      <c r="AZ28" s="59">
        <f t="shared" si="25"/>
        <v>116690</v>
      </c>
      <c r="BA28" s="71">
        <f t="shared" si="26"/>
        <v>482660</v>
      </c>
      <c r="BB28" s="72">
        <f t="shared" si="31"/>
        <v>7700</v>
      </c>
      <c r="BC28" s="73">
        <v>56</v>
      </c>
      <c r="BD28" s="74">
        <v>311740</v>
      </c>
      <c r="BE28" s="74">
        <v>59590</v>
      </c>
      <c r="BF28" s="75">
        <v>6600</v>
      </c>
      <c r="BG28" s="75">
        <v>1100</v>
      </c>
      <c r="BH28" s="75"/>
      <c r="BI28" s="75"/>
      <c r="BJ28" s="76">
        <f t="shared" si="32"/>
        <v>379030</v>
      </c>
      <c r="BK28" s="47">
        <v>24</v>
      </c>
      <c r="BL28" s="77">
        <f t="shared" si="27"/>
        <v>379030</v>
      </c>
    </row>
    <row r="29" spans="2:64" ht="20" customHeight="1">
      <c r="B29" s="78">
        <f t="shared" si="28"/>
        <v>45194</v>
      </c>
      <c r="C29" s="79"/>
      <c r="D29" s="50"/>
      <c r="E29" s="51">
        <v>29</v>
      </c>
      <c r="F29" s="52">
        <v>105380</v>
      </c>
      <c r="G29" s="53">
        <f t="shared" si="0"/>
        <v>3303.4482758620688</v>
      </c>
      <c r="H29" s="52">
        <v>10190</v>
      </c>
      <c r="I29" s="53">
        <f t="shared" si="1"/>
        <v>319.41379310344826</v>
      </c>
      <c r="J29" s="55">
        <f t="shared" si="2"/>
        <v>115570</v>
      </c>
      <c r="K29" s="56">
        <f t="shared" si="3"/>
        <v>3985.1724137931033</v>
      </c>
      <c r="L29" s="57"/>
      <c r="M29" s="58">
        <f t="shared" si="4"/>
        <v>24</v>
      </c>
      <c r="N29" s="59">
        <f t="shared" si="4"/>
        <v>241670</v>
      </c>
      <c r="O29" s="53">
        <f t="shared" si="5"/>
        <v>9154.1666666666661</v>
      </c>
      <c r="P29" s="59">
        <f t="shared" si="6"/>
        <v>69760</v>
      </c>
      <c r="Q29" s="54">
        <f t="shared" si="7"/>
        <v>2642.4166666666665</v>
      </c>
      <c r="R29" s="60">
        <f t="shared" si="8"/>
        <v>311430</v>
      </c>
      <c r="S29" s="56">
        <f t="shared" si="9"/>
        <v>12976.25</v>
      </c>
      <c r="T29" s="80">
        <f t="shared" si="10"/>
        <v>53</v>
      </c>
      <c r="U29" s="59">
        <f t="shared" si="10"/>
        <v>347050</v>
      </c>
      <c r="V29" s="59">
        <f t="shared" si="11"/>
        <v>79950</v>
      </c>
      <c r="W29" s="62">
        <f t="shared" si="12"/>
        <v>427000</v>
      </c>
      <c r="X29" s="81"/>
      <c r="Y29" s="63"/>
      <c r="Z29" s="64">
        <v>6</v>
      </c>
      <c r="AA29" s="52">
        <v>3460</v>
      </c>
      <c r="AB29" s="53">
        <f t="shared" si="13"/>
        <v>576.66666666666663</v>
      </c>
      <c r="AC29" s="52">
        <v>1500</v>
      </c>
      <c r="AD29" s="54">
        <f t="shared" si="14"/>
        <v>250</v>
      </c>
      <c r="AE29" s="65">
        <f t="shared" si="15"/>
        <v>4960</v>
      </c>
      <c r="AF29" s="56">
        <f t="shared" si="16"/>
        <v>826.66666666666663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9"/>
        <v>0</v>
      </c>
      <c r="AN29" s="67" t="str">
        <f t="shared" si="19"/>
        <v/>
      </c>
      <c r="AO29" s="68"/>
      <c r="AP29" s="64">
        <v>56</v>
      </c>
      <c r="AQ29" s="52">
        <v>34660</v>
      </c>
      <c r="AR29" s="53">
        <f t="shared" si="20"/>
        <v>618.92857142857144</v>
      </c>
      <c r="AS29" s="52">
        <v>29650</v>
      </c>
      <c r="AT29" s="54">
        <f t="shared" si="21"/>
        <v>529.46428571428567</v>
      </c>
      <c r="AU29" s="54"/>
      <c r="AV29" s="69">
        <f t="shared" si="30"/>
        <v>64310</v>
      </c>
      <c r="AW29" s="67">
        <f t="shared" si="22"/>
        <v>1148.3928571428571</v>
      </c>
      <c r="AX29" s="82">
        <f t="shared" si="23"/>
        <v>53</v>
      </c>
      <c r="AY29" s="59">
        <f t="shared" si="24"/>
        <v>385170</v>
      </c>
      <c r="AZ29" s="59">
        <f t="shared" si="25"/>
        <v>111100</v>
      </c>
      <c r="BA29" s="71">
        <f t="shared" si="26"/>
        <v>496270</v>
      </c>
      <c r="BB29" s="72">
        <f t="shared" si="31"/>
        <v>8250</v>
      </c>
      <c r="BC29" s="73">
        <v>53</v>
      </c>
      <c r="BD29" s="74">
        <v>347050</v>
      </c>
      <c r="BE29" s="74">
        <v>79950</v>
      </c>
      <c r="BF29" s="75">
        <v>8250</v>
      </c>
      <c r="BG29" s="75"/>
      <c r="BH29" s="75"/>
      <c r="BI29" s="75"/>
      <c r="BJ29" s="76">
        <f t="shared" si="32"/>
        <v>435250</v>
      </c>
      <c r="BK29" s="47">
        <v>25</v>
      </c>
      <c r="BL29" s="77">
        <f t="shared" si="27"/>
        <v>435250</v>
      </c>
    </row>
    <row r="30" spans="2:64" ht="20" customHeight="1">
      <c r="B30" s="78">
        <f t="shared" si="28"/>
        <v>45195</v>
      </c>
      <c r="C30" s="79"/>
      <c r="D30" s="50"/>
      <c r="E30" s="51">
        <v>25</v>
      </c>
      <c r="F30" s="52">
        <v>123420</v>
      </c>
      <c r="G30" s="53">
        <f t="shared" si="0"/>
        <v>4488</v>
      </c>
      <c r="H30" s="52">
        <v>9490</v>
      </c>
      <c r="I30" s="53">
        <f t="shared" si="1"/>
        <v>345.08</v>
      </c>
      <c r="J30" s="55">
        <f t="shared" si="2"/>
        <v>132910</v>
      </c>
      <c r="K30" s="56">
        <v>9490</v>
      </c>
      <c r="L30" s="57"/>
      <c r="M30" s="58">
        <f t="shared" si="4"/>
        <v>10</v>
      </c>
      <c r="N30" s="59">
        <f t="shared" si="4"/>
        <v>121960</v>
      </c>
      <c r="O30" s="53">
        <f t="shared" si="5"/>
        <v>11087.2</v>
      </c>
      <c r="P30" s="59">
        <f t="shared" si="6"/>
        <v>245960</v>
      </c>
      <c r="Q30" s="53">
        <f t="shared" si="7"/>
        <v>22360</v>
      </c>
      <c r="R30" s="60">
        <f t="shared" si="8"/>
        <v>367920</v>
      </c>
      <c r="S30" s="56">
        <f t="shared" si="9"/>
        <v>36792</v>
      </c>
      <c r="T30" s="80">
        <f t="shared" si="10"/>
        <v>35</v>
      </c>
      <c r="U30" s="59">
        <f t="shared" si="10"/>
        <v>245380</v>
      </c>
      <c r="V30" s="59">
        <f t="shared" si="11"/>
        <v>255450</v>
      </c>
      <c r="W30" s="62">
        <f t="shared" si="12"/>
        <v>500830</v>
      </c>
      <c r="X30" s="81"/>
      <c r="Y30" s="63"/>
      <c r="Z30" s="64">
        <v>18</v>
      </c>
      <c r="AA30" s="52">
        <v>9590</v>
      </c>
      <c r="AB30" s="53">
        <f t="shared" si="13"/>
        <v>532.77777777777783</v>
      </c>
      <c r="AC30" s="52">
        <v>1350</v>
      </c>
      <c r="AD30" s="54">
        <f t="shared" si="14"/>
        <v>75</v>
      </c>
      <c r="AE30" s="65">
        <f t="shared" si="15"/>
        <v>10940</v>
      </c>
      <c r="AF30" s="56">
        <f t="shared" si="16"/>
        <v>607.77777777777783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9"/>
        <v>0</v>
      </c>
      <c r="AN30" s="67" t="str">
        <f t="shared" si="19"/>
        <v/>
      </c>
      <c r="AO30" s="68"/>
      <c r="AP30" s="64">
        <v>34</v>
      </c>
      <c r="AQ30" s="52">
        <v>23250</v>
      </c>
      <c r="AR30" s="53">
        <f t="shared" si="20"/>
        <v>683.82352941176475</v>
      </c>
      <c r="AS30" s="52">
        <v>18800</v>
      </c>
      <c r="AT30" s="54">
        <f t="shared" si="21"/>
        <v>552.94117647058829</v>
      </c>
      <c r="AU30" s="54"/>
      <c r="AV30" s="69">
        <f t="shared" si="30"/>
        <v>42050</v>
      </c>
      <c r="AW30" s="67">
        <f t="shared" si="22"/>
        <v>1236.7647058823529</v>
      </c>
      <c r="AX30" s="82">
        <f t="shared" si="23"/>
        <v>35</v>
      </c>
      <c r="AY30" s="59">
        <f t="shared" si="24"/>
        <v>278220</v>
      </c>
      <c r="AZ30" s="59">
        <f t="shared" si="25"/>
        <v>275600</v>
      </c>
      <c r="BA30" s="71">
        <f t="shared" si="26"/>
        <v>553820</v>
      </c>
      <c r="BB30" s="72">
        <f t="shared" si="31"/>
        <v>0</v>
      </c>
      <c r="BC30" s="73">
        <v>35</v>
      </c>
      <c r="BD30" s="74">
        <v>245380</v>
      </c>
      <c r="BE30" s="74">
        <v>255450</v>
      </c>
      <c r="BF30" s="75"/>
      <c r="BG30" s="75"/>
      <c r="BH30" s="75"/>
      <c r="BI30" s="75"/>
      <c r="BJ30" s="76">
        <f t="shared" si="32"/>
        <v>500830</v>
      </c>
      <c r="BK30" s="47">
        <v>26</v>
      </c>
      <c r="BL30" s="77">
        <f t="shared" si="27"/>
        <v>500830</v>
      </c>
    </row>
    <row r="31" spans="2:64" ht="20" customHeight="1">
      <c r="B31" s="78">
        <f t="shared" si="28"/>
        <v>45196</v>
      </c>
      <c r="C31" s="79"/>
      <c r="D31" s="50"/>
      <c r="E31" s="51">
        <v>33</v>
      </c>
      <c r="F31" s="52">
        <v>134310</v>
      </c>
      <c r="G31" s="53">
        <f t="shared" si="0"/>
        <v>3700</v>
      </c>
      <c r="H31" s="52">
        <v>13630</v>
      </c>
      <c r="I31" s="53">
        <f t="shared" si="1"/>
        <v>375.45454545454544</v>
      </c>
      <c r="J31" s="55">
        <f t="shared" si="2"/>
        <v>147940</v>
      </c>
      <c r="K31" s="56">
        <f t="shared" si="3"/>
        <v>4483.030303030303</v>
      </c>
      <c r="L31" s="57"/>
      <c r="M31" s="58">
        <f t="shared" si="4"/>
        <v>4</v>
      </c>
      <c r="N31" s="59">
        <f t="shared" si="4"/>
        <v>46970</v>
      </c>
      <c r="O31" s="53">
        <f t="shared" si="5"/>
        <v>10675</v>
      </c>
      <c r="P31" s="59">
        <f t="shared" si="6"/>
        <v>10280</v>
      </c>
      <c r="Q31" s="53">
        <f t="shared" si="7"/>
        <v>2336.25</v>
      </c>
      <c r="R31" s="60">
        <f t="shared" si="8"/>
        <v>57250</v>
      </c>
      <c r="S31" s="56">
        <f t="shared" si="9"/>
        <v>14312.5</v>
      </c>
      <c r="T31" s="80">
        <f t="shared" si="10"/>
        <v>37</v>
      </c>
      <c r="U31" s="59">
        <f t="shared" si="10"/>
        <v>181280</v>
      </c>
      <c r="V31" s="59">
        <f t="shared" si="11"/>
        <v>23910</v>
      </c>
      <c r="W31" s="62">
        <f t="shared" si="12"/>
        <v>205190</v>
      </c>
      <c r="X31" s="81"/>
      <c r="Y31" s="63"/>
      <c r="Z31" s="64">
        <v>6</v>
      </c>
      <c r="AA31" s="52">
        <v>2930</v>
      </c>
      <c r="AB31" s="53">
        <f t="shared" si="13"/>
        <v>488.33333333333331</v>
      </c>
      <c r="AC31" s="52">
        <v>2500</v>
      </c>
      <c r="AD31" s="54">
        <f t="shared" si="14"/>
        <v>416.66666666666669</v>
      </c>
      <c r="AE31" s="65">
        <f t="shared" si="15"/>
        <v>5430</v>
      </c>
      <c r="AF31" s="56">
        <f t="shared" si="16"/>
        <v>905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/>
      <c r="AP31" s="64"/>
      <c r="AQ31" s="52"/>
      <c r="AR31" s="53" t="e">
        <f t="shared" si="20"/>
        <v>#DIV/0!</v>
      </c>
      <c r="AS31" s="52"/>
      <c r="AT31" s="54" t="e">
        <f t="shared" si="21"/>
        <v>#DIV/0!</v>
      </c>
      <c r="AU31" s="54"/>
      <c r="AV31" s="69">
        <f t="shared" si="30"/>
        <v>0</v>
      </c>
      <c r="AW31" s="67" t="str">
        <f t="shared" si="22"/>
        <v/>
      </c>
      <c r="AX31" s="82">
        <f t="shared" si="23"/>
        <v>37</v>
      </c>
      <c r="AY31" s="59">
        <f t="shared" si="24"/>
        <v>184210</v>
      </c>
      <c r="AZ31" s="59">
        <f t="shared" si="25"/>
        <v>26410</v>
      </c>
      <c r="BA31" s="71">
        <f>W31+AE31+AM31+AV31</f>
        <v>210620</v>
      </c>
      <c r="BB31" s="72">
        <f t="shared" si="31"/>
        <v>3850</v>
      </c>
      <c r="BC31" s="73">
        <v>37</v>
      </c>
      <c r="BD31" s="74">
        <v>181280</v>
      </c>
      <c r="BE31" s="74">
        <v>23910</v>
      </c>
      <c r="BF31" s="75">
        <v>3850</v>
      </c>
      <c r="BG31" s="75"/>
      <c r="BH31" s="75"/>
      <c r="BI31" s="75"/>
      <c r="BJ31" s="76">
        <f t="shared" si="32"/>
        <v>209040</v>
      </c>
      <c r="BK31" s="47">
        <v>27</v>
      </c>
      <c r="BL31" s="77">
        <f t="shared" si="27"/>
        <v>209040</v>
      </c>
    </row>
    <row r="32" spans="2:64" ht="20" customHeight="1">
      <c r="B32" s="78">
        <f t="shared" si="28"/>
        <v>45197</v>
      </c>
      <c r="C32" s="79"/>
      <c r="D32" s="50"/>
      <c r="E32" s="51">
        <v>34</v>
      </c>
      <c r="F32" s="52">
        <v>124080</v>
      </c>
      <c r="G32" s="53">
        <f t="shared" si="0"/>
        <v>3317.6470588235293</v>
      </c>
      <c r="H32" s="52">
        <v>19210</v>
      </c>
      <c r="I32" s="53">
        <f t="shared" si="1"/>
        <v>513.61764705882354</v>
      </c>
      <c r="J32" s="55">
        <f t="shared" si="2"/>
        <v>143290</v>
      </c>
      <c r="K32" s="56">
        <f t="shared" si="3"/>
        <v>4214.411764705882</v>
      </c>
      <c r="L32" s="57"/>
      <c r="M32" s="58">
        <f t="shared" si="4"/>
        <v>6</v>
      </c>
      <c r="N32" s="59">
        <f t="shared" si="4"/>
        <v>55000</v>
      </c>
      <c r="O32" s="53">
        <f t="shared" si="5"/>
        <v>8333.3333333333339</v>
      </c>
      <c r="P32" s="59">
        <f t="shared" si="6"/>
        <v>17820</v>
      </c>
      <c r="Q32" s="53">
        <f t="shared" si="7"/>
        <v>2700</v>
      </c>
      <c r="R32" s="60">
        <f t="shared" si="8"/>
        <v>72820</v>
      </c>
      <c r="S32" s="56">
        <f t="shared" si="9"/>
        <v>12136.666666666666</v>
      </c>
      <c r="T32" s="80">
        <f t="shared" si="10"/>
        <v>40</v>
      </c>
      <c r="U32" s="59">
        <f t="shared" si="10"/>
        <v>179080</v>
      </c>
      <c r="V32" s="59">
        <f t="shared" si="11"/>
        <v>37030</v>
      </c>
      <c r="W32" s="62">
        <f t="shared" si="12"/>
        <v>216110</v>
      </c>
      <c r="X32" s="81"/>
      <c r="Y32" s="63"/>
      <c r="Z32" s="64">
        <v>9</v>
      </c>
      <c r="AA32" s="52">
        <v>5580</v>
      </c>
      <c r="AB32" s="53">
        <f t="shared" si="13"/>
        <v>620</v>
      </c>
      <c r="AC32" s="52">
        <v>4000</v>
      </c>
      <c r="AD32" s="54">
        <f t="shared" si="14"/>
        <v>444.44444444444446</v>
      </c>
      <c r="AE32" s="65">
        <f t="shared" si="15"/>
        <v>9580</v>
      </c>
      <c r="AF32" s="56">
        <f t="shared" si="16"/>
        <v>1064.4444444444443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/>
      <c r="AP32" s="64">
        <v>250</v>
      </c>
      <c r="AQ32" s="226">
        <v>100000</v>
      </c>
      <c r="AR32" s="227">
        <f t="shared" si="20"/>
        <v>400</v>
      </c>
      <c r="AS32" s="226">
        <v>196547</v>
      </c>
      <c r="AT32" s="228">
        <f t="shared" si="21"/>
        <v>786.18799999999999</v>
      </c>
      <c r="AU32" s="228"/>
      <c r="AV32" s="229">
        <f t="shared" si="30"/>
        <v>296547</v>
      </c>
      <c r="AW32" s="67">
        <f t="shared" si="22"/>
        <v>1186.1880000000001</v>
      </c>
      <c r="AX32" s="82">
        <f t="shared" si="23"/>
        <v>40</v>
      </c>
      <c r="AY32" s="59">
        <f t="shared" si="24"/>
        <v>284660</v>
      </c>
      <c r="AZ32" s="59">
        <f t="shared" si="25"/>
        <v>237577</v>
      </c>
      <c r="BA32" s="71">
        <f t="shared" si="26"/>
        <v>522237</v>
      </c>
      <c r="BB32" s="72">
        <f t="shared" si="31"/>
        <v>6050</v>
      </c>
      <c r="BC32" s="73">
        <v>40</v>
      </c>
      <c r="BD32" s="74">
        <v>179080</v>
      </c>
      <c r="BE32" s="74">
        <v>37030</v>
      </c>
      <c r="BF32" s="75">
        <v>6050</v>
      </c>
      <c r="BG32" s="75"/>
      <c r="BH32" s="75"/>
      <c r="BI32" s="75"/>
      <c r="BJ32" s="76">
        <f t="shared" si="32"/>
        <v>222160</v>
      </c>
      <c r="BK32" s="47">
        <v>28</v>
      </c>
      <c r="BL32" s="77">
        <f t="shared" si="27"/>
        <v>222160</v>
      </c>
    </row>
    <row r="33" spans="2:64" ht="20" customHeight="1">
      <c r="B33" s="78">
        <f t="shared" si="28"/>
        <v>45198</v>
      </c>
      <c r="C33" s="79"/>
      <c r="D33" s="50"/>
      <c r="E33" s="51">
        <v>39</v>
      </c>
      <c r="F33" s="52">
        <v>139920</v>
      </c>
      <c r="G33" s="53">
        <f t="shared" si="0"/>
        <v>3261.5384615384614</v>
      </c>
      <c r="H33" s="52">
        <v>10820</v>
      </c>
      <c r="I33" s="53">
        <f t="shared" si="1"/>
        <v>252.2051282051282</v>
      </c>
      <c r="J33" s="55">
        <f t="shared" si="2"/>
        <v>150740</v>
      </c>
      <c r="K33" s="56">
        <f t="shared" si="3"/>
        <v>3865.1282051282051</v>
      </c>
      <c r="L33" s="57"/>
      <c r="M33" s="58">
        <f t="shared" si="4"/>
        <v>18</v>
      </c>
      <c r="N33" s="59">
        <f t="shared" si="4"/>
        <v>143660</v>
      </c>
      <c r="O33" s="53">
        <f t="shared" si="5"/>
        <v>7255.5555555555557</v>
      </c>
      <c r="P33" s="59">
        <f t="shared" si="6"/>
        <v>69660</v>
      </c>
      <c r="Q33" s="53">
        <f t="shared" si="7"/>
        <v>3518.1666666666665</v>
      </c>
      <c r="R33" s="60">
        <f t="shared" si="8"/>
        <v>213320</v>
      </c>
      <c r="S33" s="56">
        <f t="shared" si="9"/>
        <v>11851.111111111111</v>
      </c>
      <c r="T33" s="80">
        <f t="shared" si="10"/>
        <v>57</v>
      </c>
      <c r="U33" s="59">
        <f t="shared" si="10"/>
        <v>283580</v>
      </c>
      <c r="V33" s="59">
        <f t="shared" si="11"/>
        <v>80480</v>
      </c>
      <c r="W33" s="62">
        <f>J33+R33</f>
        <v>364060</v>
      </c>
      <c r="X33" s="81"/>
      <c r="Y33" s="63"/>
      <c r="Z33" s="64">
        <v>15</v>
      </c>
      <c r="AA33" s="52">
        <v>6580</v>
      </c>
      <c r="AB33" s="53">
        <f t="shared" si="13"/>
        <v>438.66666666666669</v>
      </c>
      <c r="AC33" s="52">
        <v>2000</v>
      </c>
      <c r="AD33" s="54">
        <f t="shared" si="14"/>
        <v>133.33333333333334</v>
      </c>
      <c r="AE33" s="65">
        <f t="shared" si="15"/>
        <v>8580</v>
      </c>
      <c r="AF33" s="56">
        <f t="shared" si="16"/>
        <v>572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9"/>
        <v>0</v>
      </c>
      <c r="AN33" s="67" t="str">
        <f t="shared" si="19"/>
        <v/>
      </c>
      <c r="AO33" s="68"/>
      <c r="AP33" s="64"/>
      <c r="AQ33" s="52"/>
      <c r="AR33" s="53" t="e">
        <f t="shared" si="20"/>
        <v>#DIV/0!</v>
      </c>
      <c r="AS33" s="52"/>
      <c r="AT33" s="54" t="e">
        <f t="shared" si="21"/>
        <v>#DIV/0!</v>
      </c>
      <c r="AU33" s="54"/>
      <c r="AV33" s="69">
        <f t="shared" si="30"/>
        <v>0</v>
      </c>
      <c r="AW33" s="67" t="str">
        <f t="shared" si="22"/>
        <v/>
      </c>
      <c r="AX33" s="82">
        <f t="shared" si="23"/>
        <v>57</v>
      </c>
      <c r="AY33" s="59">
        <f t="shared" si="24"/>
        <v>290160</v>
      </c>
      <c r="AZ33" s="59">
        <f t="shared" si="25"/>
        <v>82480</v>
      </c>
      <c r="BA33" s="71">
        <f>W33+AE33+AM33+AV33</f>
        <v>372640</v>
      </c>
      <c r="BB33" s="72">
        <f t="shared" si="31"/>
        <v>11000</v>
      </c>
      <c r="BC33" s="73">
        <v>57</v>
      </c>
      <c r="BD33" s="74">
        <v>283580</v>
      </c>
      <c r="BE33" s="74">
        <v>80480</v>
      </c>
      <c r="BF33" s="75">
        <v>11000</v>
      </c>
      <c r="BG33" s="75"/>
      <c r="BH33" s="75"/>
      <c r="BI33" s="75">
        <v>23100</v>
      </c>
      <c r="BJ33" s="76">
        <f t="shared" si="32"/>
        <v>375060</v>
      </c>
      <c r="BK33" s="47">
        <v>29</v>
      </c>
      <c r="BL33" s="77">
        <f t="shared" si="27"/>
        <v>398160</v>
      </c>
    </row>
    <row r="34" spans="2:64" ht="20" customHeight="1">
      <c r="B34" s="78">
        <f t="shared" si="28"/>
        <v>45199</v>
      </c>
      <c r="C34" s="79"/>
      <c r="D34" s="50"/>
      <c r="E34" s="51">
        <v>21</v>
      </c>
      <c r="F34" s="52">
        <v>98120</v>
      </c>
      <c r="G34" s="53">
        <f t="shared" si="0"/>
        <v>4247.6190476190477</v>
      </c>
      <c r="H34" s="52">
        <v>14820</v>
      </c>
      <c r="I34" s="53">
        <f t="shared" si="1"/>
        <v>641.52380952380952</v>
      </c>
      <c r="J34" s="55">
        <f t="shared" si="2"/>
        <v>112940</v>
      </c>
      <c r="K34" s="56">
        <f t="shared" si="3"/>
        <v>5378.0952380952385</v>
      </c>
      <c r="L34" s="57"/>
      <c r="M34" s="58">
        <f t="shared" si="4"/>
        <v>2</v>
      </c>
      <c r="N34" s="59">
        <f t="shared" si="4"/>
        <v>179630</v>
      </c>
      <c r="O34" s="53">
        <f t="shared" si="5"/>
        <v>81650</v>
      </c>
      <c r="P34" s="59">
        <f t="shared" si="6"/>
        <v>24500</v>
      </c>
      <c r="Q34" s="53">
        <f t="shared" si="7"/>
        <v>11136</v>
      </c>
      <c r="R34" s="60">
        <f t="shared" si="8"/>
        <v>204130</v>
      </c>
      <c r="S34" s="56">
        <f t="shared" si="9"/>
        <v>102065</v>
      </c>
      <c r="T34" s="80">
        <f t="shared" si="10"/>
        <v>23</v>
      </c>
      <c r="U34" s="59">
        <f t="shared" si="10"/>
        <v>277750</v>
      </c>
      <c r="V34" s="59">
        <f t="shared" si="11"/>
        <v>39320</v>
      </c>
      <c r="W34" s="62">
        <f t="shared" si="12"/>
        <v>317070</v>
      </c>
      <c r="X34" s="81"/>
      <c r="Y34" s="85"/>
      <c r="Z34" s="86">
        <v>36</v>
      </c>
      <c r="AA34" s="87">
        <v>18170</v>
      </c>
      <c r="AB34" s="53">
        <f t="shared" si="13"/>
        <v>504.72222222222223</v>
      </c>
      <c r="AC34" s="87">
        <v>4000</v>
      </c>
      <c r="AD34" s="54">
        <f t="shared" si="14"/>
        <v>111.11111111111111</v>
      </c>
      <c r="AE34" s="65">
        <f t="shared" si="15"/>
        <v>22170</v>
      </c>
      <c r="AF34" s="56">
        <f t="shared" si="16"/>
        <v>615.83333333333337</v>
      </c>
      <c r="AG34" s="66"/>
      <c r="AH34" s="86"/>
      <c r="AI34" s="87"/>
      <c r="AJ34" s="53" t="e">
        <f t="shared" si="17"/>
        <v>#DIV/0!</v>
      </c>
      <c r="AK34" s="87"/>
      <c r="AL34" s="54" t="e">
        <f t="shared" si="18"/>
        <v>#DIV/0!</v>
      </c>
      <c r="AM34" s="65">
        <f t="shared" si="29"/>
        <v>0</v>
      </c>
      <c r="AN34" s="67" t="str">
        <f t="shared" si="19"/>
        <v/>
      </c>
      <c r="AO34" s="68"/>
      <c r="AP34" s="86"/>
      <c r="AQ34" s="87"/>
      <c r="AR34" s="53" t="e">
        <f t="shared" si="20"/>
        <v>#DIV/0!</v>
      </c>
      <c r="AS34" s="87"/>
      <c r="AT34" s="54" t="e">
        <f t="shared" si="21"/>
        <v>#DIV/0!</v>
      </c>
      <c r="AU34" s="54"/>
      <c r="AV34" s="69">
        <f t="shared" si="30"/>
        <v>0</v>
      </c>
      <c r="AW34" s="67" t="str">
        <f t="shared" si="22"/>
        <v/>
      </c>
      <c r="AX34" s="82">
        <f t="shared" si="23"/>
        <v>23</v>
      </c>
      <c r="AY34" s="59">
        <f t="shared" si="24"/>
        <v>295920</v>
      </c>
      <c r="AZ34" s="59">
        <f t="shared" si="25"/>
        <v>43320</v>
      </c>
      <c r="BA34" s="71">
        <f>W34+AE34+AM34+AV34</f>
        <v>339240</v>
      </c>
      <c r="BB34" s="72">
        <f t="shared" si="31"/>
        <v>12100</v>
      </c>
      <c r="BC34" s="73">
        <v>23</v>
      </c>
      <c r="BD34" s="74">
        <v>277750</v>
      </c>
      <c r="BE34" s="74">
        <v>39320</v>
      </c>
      <c r="BF34" s="75">
        <v>5500</v>
      </c>
      <c r="BG34" s="75">
        <v>6600</v>
      </c>
      <c r="BH34" s="75"/>
      <c r="BI34" s="75"/>
      <c r="BJ34" s="76">
        <f t="shared" si="32"/>
        <v>329170</v>
      </c>
      <c r="BK34" s="47">
        <v>30</v>
      </c>
      <c r="BL34" s="77">
        <f t="shared" si="27"/>
        <v>329170</v>
      </c>
    </row>
    <row r="35" spans="2:64" ht="20" customHeight="1" thickBot="1">
      <c r="B35" s="88">
        <f t="shared" si="28"/>
        <v>45200</v>
      </c>
      <c r="C35" s="79"/>
      <c r="D35" s="50"/>
      <c r="E35" s="51"/>
      <c r="F35" s="52"/>
      <c r="G35" s="53" t="e">
        <f t="shared" si="0"/>
        <v>#DIV/0!</v>
      </c>
      <c r="H35" s="52"/>
      <c r="I35" s="53" t="e">
        <f t="shared" si="1"/>
        <v>#DIV/0!</v>
      </c>
      <c r="J35" s="55">
        <f t="shared" si="2"/>
        <v>0</v>
      </c>
      <c r="K35" s="56" t="str">
        <f t="shared" si="3"/>
        <v/>
      </c>
      <c r="L35" s="57"/>
      <c r="M35" s="89">
        <f t="shared" si="4"/>
        <v>0</v>
      </c>
      <c r="N35" s="59">
        <f t="shared" si="4"/>
        <v>0</v>
      </c>
      <c r="O35" s="53" t="e">
        <f t="shared" si="5"/>
        <v>#DIV/0!</v>
      </c>
      <c r="P35" s="59">
        <f t="shared" si="6"/>
        <v>0</v>
      </c>
      <c r="Q35" s="53" t="e">
        <f t="shared" si="7"/>
        <v>#DIV/0!</v>
      </c>
      <c r="R35" s="60">
        <f t="shared" si="8"/>
        <v>0</v>
      </c>
      <c r="S35" s="56" t="e">
        <f t="shared" si="9"/>
        <v>#DIV/0!</v>
      </c>
      <c r="T35" s="90">
        <f t="shared" si="10"/>
        <v>0</v>
      </c>
      <c r="U35" s="91">
        <f t="shared" si="10"/>
        <v>0</v>
      </c>
      <c r="V35" s="91">
        <f t="shared" si="11"/>
        <v>0</v>
      </c>
      <c r="W35" s="92">
        <f t="shared" si="12"/>
        <v>0</v>
      </c>
      <c r="X35" s="91"/>
      <c r="Y35" s="93"/>
      <c r="Z35" s="94"/>
      <c r="AA35" s="95"/>
      <c r="AB35" s="96" t="e">
        <f t="shared" si="13"/>
        <v>#DIV/0!</v>
      </c>
      <c r="AC35" s="95"/>
      <c r="AD35" s="97" t="e">
        <f t="shared" si="14"/>
        <v>#DIV/0!</v>
      </c>
      <c r="AE35" s="98">
        <f t="shared" si="15"/>
        <v>0</v>
      </c>
      <c r="AF35" s="56" t="str">
        <f t="shared" si="16"/>
        <v/>
      </c>
      <c r="AG35" s="99"/>
      <c r="AH35" s="94"/>
      <c r="AI35" s="95"/>
      <c r="AJ35" s="96" t="e">
        <f t="shared" si="17"/>
        <v>#DIV/0!</v>
      </c>
      <c r="AK35" s="95"/>
      <c r="AL35" s="97" t="e">
        <f t="shared" si="18"/>
        <v>#DIV/0!</v>
      </c>
      <c r="AM35" s="65">
        <f t="shared" si="29"/>
        <v>0</v>
      </c>
      <c r="AN35" s="67" t="str">
        <f t="shared" si="19"/>
        <v/>
      </c>
      <c r="AO35" s="100"/>
      <c r="AP35" s="94"/>
      <c r="AQ35" s="95"/>
      <c r="AR35" s="96" t="e">
        <f t="shared" si="20"/>
        <v>#DIV/0!</v>
      </c>
      <c r="AS35" s="95"/>
      <c r="AT35" s="97" t="e">
        <f t="shared" si="21"/>
        <v>#DIV/0!</v>
      </c>
      <c r="AU35" s="97"/>
      <c r="AV35" s="69">
        <f t="shared" si="30"/>
        <v>0</v>
      </c>
      <c r="AW35" s="67" t="str">
        <f t="shared" si="22"/>
        <v/>
      </c>
      <c r="AX35" s="101">
        <f t="shared" si="23"/>
        <v>0</v>
      </c>
      <c r="AY35" s="59">
        <f t="shared" si="24"/>
        <v>0</v>
      </c>
      <c r="AZ35" s="59">
        <f t="shared" si="25"/>
        <v>0</v>
      </c>
      <c r="BA35" s="71">
        <f t="shared" si="26"/>
        <v>0</v>
      </c>
      <c r="BB35" s="72">
        <f t="shared" si="31"/>
        <v>0</v>
      </c>
      <c r="BC35" s="102"/>
      <c r="BD35" s="103"/>
      <c r="BE35" s="103"/>
      <c r="BF35" s="104"/>
      <c r="BG35" s="104"/>
      <c r="BH35" s="104"/>
      <c r="BI35" s="104"/>
      <c r="BJ35" s="76">
        <f t="shared" si="32"/>
        <v>0</v>
      </c>
      <c r="BK35" s="47">
        <v>31</v>
      </c>
      <c r="BL35" s="77">
        <f t="shared" si="27"/>
        <v>0</v>
      </c>
    </row>
    <row r="36" spans="2:64" s="127" customFormat="1" ht="20" customHeight="1" thickTop="1">
      <c r="B36" s="105" t="s">
        <v>28</v>
      </c>
      <c r="C36" s="106">
        <f>SUM(C5:C35)</f>
        <v>0</v>
      </c>
      <c r="D36" s="107">
        <f>SUM(D5:D35)</f>
        <v>0</v>
      </c>
      <c r="E36" s="108">
        <f>SUM(E5:E35)</f>
        <v>858</v>
      </c>
      <c r="F36" s="109">
        <f>SUM(F5:F35)</f>
        <v>3442560</v>
      </c>
      <c r="G36" s="110">
        <f>F36/E36</f>
        <v>4012.3076923076924</v>
      </c>
      <c r="H36" s="106">
        <f>SUM(H5:H35)</f>
        <v>504940</v>
      </c>
      <c r="I36" s="111">
        <f>H36/E36</f>
        <v>588.50815850815854</v>
      </c>
      <c r="J36" s="112">
        <f>SUM(J5:J35)+BB36/2</f>
        <v>4006076</v>
      </c>
      <c r="K36" s="113">
        <f>J36/E36</f>
        <v>4669.0862470862467</v>
      </c>
      <c r="L36" s="114">
        <f>SUM(L5:L35)</f>
        <v>0</v>
      </c>
      <c r="M36" s="108">
        <f>SUM(M5:M35)</f>
        <v>507</v>
      </c>
      <c r="N36" s="109">
        <f>SUM(N5:N35)</f>
        <v>4826599</v>
      </c>
      <c r="O36" s="110">
        <f>N36/M36</f>
        <v>9519.919132149902</v>
      </c>
      <c r="P36" s="115">
        <f>SUM(P5:P35)</f>
        <v>1522391</v>
      </c>
      <c r="Q36" s="111">
        <f>P36/M36</f>
        <v>3002.7435897435898</v>
      </c>
      <c r="R36" s="116">
        <f>SUM(R5:R35)+BB36/2</f>
        <v>6407566</v>
      </c>
      <c r="S36" s="117">
        <f>R36/M36</f>
        <v>12638.197238658777</v>
      </c>
      <c r="T36" s="108">
        <f t="shared" ref="T36:AA36" si="33">SUM(T5:T35)</f>
        <v>1365</v>
      </c>
      <c r="U36" s="115">
        <f t="shared" si="33"/>
        <v>8269159</v>
      </c>
      <c r="V36" s="115">
        <f t="shared" si="33"/>
        <v>2027331</v>
      </c>
      <c r="W36" s="112">
        <f>SUM(W5:W35)+BF36</f>
        <v>10397692</v>
      </c>
      <c r="X36" s="118">
        <f t="shared" si="33"/>
        <v>0</v>
      </c>
      <c r="Y36" s="107">
        <f t="shared" si="33"/>
        <v>0</v>
      </c>
      <c r="Z36" s="108">
        <f t="shared" si="33"/>
        <v>360</v>
      </c>
      <c r="AA36" s="110">
        <f t="shared" si="33"/>
        <v>177690</v>
      </c>
      <c r="AB36" s="110">
        <f>AA36/Z36</f>
        <v>493.58333333333331</v>
      </c>
      <c r="AC36" s="106">
        <f>SUM(AC5:AC35)</f>
        <v>86440</v>
      </c>
      <c r="AD36" s="111">
        <f>AC36/Z36</f>
        <v>240.11111111111111</v>
      </c>
      <c r="AE36" s="116">
        <f>SUM(AE5:AE35)</f>
        <v>264130</v>
      </c>
      <c r="AF36" s="119">
        <f>AE36/Z36</f>
        <v>733.69444444444446</v>
      </c>
      <c r="AG36" s="120">
        <f t="shared" ref="AG36:AI36" si="34">SUM(AG5:AG35)</f>
        <v>0</v>
      </c>
      <c r="AH36" s="108">
        <f t="shared" si="34"/>
        <v>38</v>
      </c>
      <c r="AI36" s="110">
        <f t="shared" si="34"/>
        <v>156600</v>
      </c>
      <c r="AJ36" s="110"/>
      <c r="AK36" s="106">
        <f>SUM(AK5:AK35)</f>
        <v>52200</v>
      </c>
      <c r="AL36" s="111"/>
      <c r="AM36" s="116">
        <f>SUM(AM5:AM35)</f>
        <v>208800</v>
      </c>
      <c r="AN36" s="121">
        <f>AM36/AH36</f>
        <v>5494.7368421052633</v>
      </c>
      <c r="AO36" s="122">
        <f t="shared" ref="AO36:AQ36" si="35">SUM(AO5:AO35)</f>
        <v>527</v>
      </c>
      <c r="AP36" s="108">
        <f t="shared" si="35"/>
        <v>2263</v>
      </c>
      <c r="AQ36" s="110">
        <f t="shared" si="35"/>
        <v>3620980</v>
      </c>
      <c r="AR36" s="110"/>
      <c r="AS36" s="106">
        <f>SUM(AS5:AS35)</f>
        <v>2282227</v>
      </c>
      <c r="AT36" s="111"/>
      <c r="AU36" s="106">
        <f>SUM(AU5:AU35)</f>
        <v>70040</v>
      </c>
      <c r="AV36" s="116">
        <f>SUM(AV5:AV35)</f>
        <v>5973247</v>
      </c>
      <c r="AW36" s="121">
        <f>AV36/AP36</f>
        <v>2639.5258506407422</v>
      </c>
      <c r="AX36" s="123">
        <f t="shared" ref="AX36:BJ36" si="36">SUM(AX5:AX35)</f>
        <v>1365</v>
      </c>
      <c r="AY36" s="115">
        <f t="shared" si="36"/>
        <v>12224429</v>
      </c>
      <c r="AZ36" s="115">
        <f t="shared" si="36"/>
        <v>4448198</v>
      </c>
      <c r="BA36" s="116">
        <f>SUM(BA5:BA35)</f>
        <v>16742667</v>
      </c>
      <c r="BB36" s="124">
        <f t="shared" si="36"/>
        <v>117152</v>
      </c>
      <c r="BC36" s="125">
        <f t="shared" si="36"/>
        <v>1365</v>
      </c>
      <c r="BD36" s="125">
        <f t="shared" si="36"/>
        <v>8269159</v>
      </c>
      <c r="BE36" s="125">
        <f t="shared" si="36"/>
        <v>2027331</v>
      </c>
      <c r="BF36" s="125">
        <f t="shared" si="36"/>
        <v>101202</v>
      </c>
      <c r="BG36" s="125">
        <f t="shared" si="36"/>
        <v>15950</v>
      </c>
      <c r="BH36" s="125">
        <f t="shared" si="36"/>
        <v>6600</v>
      </c>
      <c r="BI36" s="125">
        <f t="shared" si="36"/>
        <v>23100</v>
      </c>
      <c r="BJ36" s="126">
        <f t="shared" si="36"/>
        <v>10413642</v>
      </c>
      <c r="BL36" s="128">
        <f>SUM(BL5:BL35)</f>
        <v>10436742</v>
      </c>
    </row>
    <row r="37" spans="2:64" s="127" customFormat="1" ht="18">
      <c r="B37" s="129"/>
      <c r="E37" s="130" t="s">
        <v>40</v>
      </c>
      <c r="F37" s="131">
        <f>F36/1.1</f>
        <v>3129599.9999999995</v>
      </c>
      <c r="G37" s="132">
        <f>F37/E36</f>
        <v>3647.5524475524471</v>
      </c>
      <c r="H37" s="133">
        <f>H36/1.1</f>
        <v>459036.36363636359</v>
      </c>
      <c r="I37" s="132">
        <f>H37/E36</f>
        <v>535.00741682559863</v>
      </c>
      <c r="J37" s="134">
        <f>J36/1.1</f>
        <v>3641887.2727272725</v>
      </c>
      <c r="K37" s="135">
        <f>G37+I37</f>
        <v>4182.5598643780459</v>
      </c>
      <c r="L37" s="136"/>
      <c r="M37" s="130" t="s">
        <v>40</v>
      </c>
      <c r="N37" s="131">
        <f>N36/1.1</f>
        <v>4387817.2727272725</v>
      </c>
      <c r="O37" s="132">
        <f>N37/M36</f>
        <v>8654.4719383180909</v>
      </c>
      <c r="P37" s="133">
        <f>P36/1.1</f>
        <v>1383991.8181818181</v>
      </c>
      <c r="Q37" s="132">
        <f>P37/M36</f>
        <v>2729.7668997668998</v>
      </c>
      <c r="R37" s="132">
        <f>R36/1.1</f>
        <v>5825059.9999999991</v>
      </c>
      <c r="S37" s="137">
        <f>R37/M36</f>
        <v>11489.270216962523</v>
      </c>
      <c r="T37" s="130" t="s">
        <v>40</v>
      </c>
      <c r="U37" s="131">
        <f>U36/1.1</f>
        <v>7517417.2727272725</v>
      </c>
      <c r="V37" s="131">
        <f>V36/1.1</f>
        <v>1843028.1818181816</v>
      </c>
      <c r="W37" s="134">
        <f>W36/1.1</f>
        <v>9452447.2727272715</v>
      </c>
      <c r="X37" s="138"/>
      <c r="Y37" s="136"/>
      <c r="Z37" s="130" t="s">
        <v>40</v>
      </c>
      <c r="AA37" s="131">
        <f>AA36/1.1</f>
        <v>161536.36363636362</v>
      </c>
      <c r="AB37" s="133">
        <f>AA37/Z36</f>
        <v>448.71212121212113</v>
      </c>
      <c r="AC37" s="133">
        <f>AC36/1.1</f>
        <v>78581.818181818177</v>
      </c>
      <c r="AD37" s="133">
        <f>AC37/Z36</f>
        <v>218.28282828282826</v>
      </c>
      <c r="AE37" s="132">
        <f>AE36/1.1</f>
        <v>240118.18181818179</v>
      </c>
      <c r="AF37" s="139" t="e">
        <f>AE37/Y36</f>
        <v>#DIV/0!</v>
      </c>
      <c r="AG37" s="136"/>
      <c r="AH37" s="130" t="s">
        <v>40</v>
      </c>
      <c r="AI37" s="131">
        <f>AI36/1.1</f>
        <v>142363.63636363635</v>
      </c>
      <c r="AJ37" s="133">
        <f>AI37/AH36</f>
        <v>3746.4114832535884</v>
      </c>
      <c r="AK37" s="133">
        <f>AK36/1.1</f>
        <v>47454.545454545449</v>
      </c>
      <c r="AL37" s="133">
        <f>AK37/AH36</f>
        <v>1248.803827751196</v>
      </c>
      <c r="AM37" s="132">
        <f>AM36/1.1</f>
        <v>189818.18181818179</v>
      </c>
      <c r="AN37" s="140" t="e">
        <f>AM37/AG36</f>
        <v>#DIV/0!</v>
      </c>
      <c r="AO37" s="136"/>
      <c r="AP37" s="130" t="s">
        <v>40</v>
      </c>
      <c r="AQ37" s="131">
        <f>AQ36/1.1</f>
        <v>3291799.9999999995</v>
      </c>
      <c r="AR37" s="133">
        <f>AQ37/AP36</f>
        <v>1454.6177640300484</v>
      </c>
      <c r="AS37" s="133">
        <f>AS36/1.1</f>
        <v>2074751.8181818181</v>
      </c>
      <c r="AT37" s="133">
        <f>AS37/AP36</f>
        <v>916.8147672036315</v>
      </c>
      <c r="AU37" s="133">
        <f>AU36/1.1</f>
        <v>63672.727272727265</v>
      </c>
      <c r="AV37" s="132">
        <f>AV36/1.1</f>
        <v>5430224.5454545449</v>
      </c>
      <c r="AW37" s="140">
        <f>AV37/AP36</f>
        <v>2399.5689551279474</v>
      </c>
      <c r="AX37" s="141" t="s">
        <v>40</v>
      </c>
      <c r="AY37" s="131">
        <f>AY36/1.1</f>
        <v>11113117.272727272</v>
      </c>
      <c r="AZ37" s="131">
        <f>AZ36/1.1</f>
        <v>4043816.3636363633</v>
      </c>
      <c r="BA37" s="132">
        <f>BA36/1.1</f>
        <v>15220606.363636363</v>
      </c>
      <c r="BB37" s="142">
        <f>BB36/1.1</f>
        <v>106501.81818181818</v>
      </c>
      <c r="BG37" s="143"/>
      <c r="BJ37" s="144"/>
      <c r="BL37" s="144"/>
    </row>
    <row r="38" spans="2:64">
      <c r="C38" s="47">
        <v>31</v>
      </c>
      <c r="E38" s="145" t="s">
        <v>41</v>
      </c>
      <c r="F38" s="146">
        <f>E36/G38</f>
        <v>28.6</v>
      </c>
      <c r="G38" s="147">
        <v>30</v>
      </c>
      <c r="H38" s="146"/>
      <c r="I38" s="146"/>
      <c r="J38" s="148" t="s">
        <v>42</v>
      </c>
      <c r="K38" s="149">
        <f>J37/G38</f>
        <v>121396.24242424242</v>
      </c>
      <c r="M38" s="145" t="s">
        <v>41</v>
      </c>
      <c r="N38" s="146">
        <f>M36/O38</f>
        <v>16.899999999999999</v>
      </c>
      <c r="O38" s="147">
        <f>G38</f>
        <v>30</v>
      </c>
      <c r="P38" s="146"/>
      <c r="Q38" s="146"/>
      <c r="R38" s="148" t="s">
        <v>42</v>
      </c>
      <c r="S38" s="150">
        <f>R37/O38</f>
        <v>194168.66666666663</v>
      </c>
      <c r="U38" s="151">
        <f>O38</f>
        <v>30</v>
      </c>
      <c r="W38" s="152">
        <f>W37/U38</f>
        <v>315081.57575757575</v>
      </c>
      <c r="X38" s="77"/>
      <c r="AA38" s="153">
        <f>G38</f>
        <v>30</v>
      </c>
      <c r="AB38" s="146"/>
      <c r="AC38" s="146"/>
      <c r="AD38" s="146"/>
      <c r="AE38" s="146"/>
      <c r="AF38" s="149">
        <f>AE37/AA38</f>
        <v>8003.9393939393931</v>
      </c>
      <c r="AI38" s="153">
        <v>2</v>
      </c>
      <c r="AJ38" s="146"/>
      <c r="AK38" s="146"/>
      <c r="AL38" s="146"/>
      <c r="AM38" s="146"/>
      <c r="AN38" s="149">
        <f>AM37/AI38</f>
        <v>94909.090909090897</v>
      </c>
      <c r="AQ38" s="153">
        <f>G38</f>
        <v>30</v>
      </c>
      <c r="AR38" s="146"/>
      <c r="AS38" s="146"/>
      <c r="AT38" s="146"/>
      <c r="AU38" s="146"/>
      <c r="AV38" s="146">
        <v>1516934</v>
      </c>
      <c r="AW38" s="149">
        <f>AV37/AQ38</f>
        <v>181007.48484848483</v>
      </c>
      <c r="BA38" s="152"/>
      <c r="BB38" s="77" t="e">
        <f>BA37/BC37</f>
        <v>#DIV/0!</v>
      </c>
      <c r="BC38" s="154">
        <f>AX36+T36</f>
        <v>2730</v>
      </c>
      <c r="BG38" s="152"/>
    </row>
    <row r="39" spans="2:64">
      <c r="D39" s="155" t="s">
        <v>43</v>
      </c>
      <c r="E39" s="156"/>
      <c r="F39" s="146"/>
      <c r="G39" s="157"/>
      <c r="H39" s="146"/>
      <c r="I39" s="146"/>
      <c r="J39" s="148"/>
      <c r="K39" s="149"/>
      <c r="L39" s="158" t="s">
        <v>44</v>
      </c>
      <c r="M39" s="145"/>
      <c r="N39" s="146"/>
      <c r="O39" s="146"/>
      <c r="P39" s="146"/>
      <c r="Q39" s="146"/>
      <c r="R39" s="148"/>
      <c r="S39" s="149"/>
      <c r="W39" s="152"/>
      <c r="X39" s="77"/>
      <c r="Y39" s="158" t="s">
        <v>45</v>
      </c>
      <c r="AA39" s="146"/>
      <c r="AB39" s="146"/>
      <c r="AC39" s="146"/>
      <c r="AD39" s="146"/>
      <c r="AE39" s="146"/>
      <c r="AF39" s="149"/>
      <c r="AG39" s="158" t="s">
        <v>46</v>
      </c>
      <c r="AI39" s="146"/>
      <c r="AJ39" s="146"/>
      <c r="AK39" s="146"/>
      <c r="AL39" s="146"/>
      <c r="AM39" s="146"/>
      <c r="AN39" s="149"/>
      <c r="AO39" s="158" t="s">
        <v>47</v>
      </c>
      <c r="AQ39" s="146"/>
      <c r="AR39" s="146"/>
      <c r="AS39" s="146"/>
      <c r="AT39" s="146"/>
      <c r="AU39" s="146"/>
      <c r="AV39" s="146">
        <v>1379566</v>
      </c>
      <c r="AW39" s="149"/>
      <c r="BA39" s="77">
        <f>BA36+BB36</f>
        <v>16859819</v>
      </c>
      <c r="BB39" s="159">
        <f>BA39/G38</f>
        <v>561993.96666666667</v>
      </c>
      <c r="BC39" s="47" t="s">
        <v>48</v>
      </c>
      <c r="BG39" s="152"/>
    </row>
    <row r="40" spans="2:64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47" t="s">
        <v>113</v>
      </c>
      <c r="AY40" s="47">
        <v>1512557</v>
      </c>
      <c r="BA40" s="161">
        <f>BA37+BB37</f>
        <v>15327108.181818182</v>
      </c>
      <c r="BB40" s="152">
        <f>BC40-BA40</f>
        <v>0.81818181835114956</v>
      </c>
      <c r="BC40" s="47">
        <v>15327109</v>
      </c>
      <c r="BD40" s="47">
        <f>BB40*1.1</f>
        <v>0.90000000018626458</v>
      </c>
      <c r="BE40" s="152">
        <f>BA37+BB37-BC40</f>
        <v>-0.81818181835114956</v>
      </c>
    </row>
    <row r="41" spans="2:64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W41" s="152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BA41" s="77"/>
      <c r="BB41" s="159">
        <f>BA40/G38</f>
        <v>510903.60606060608</v>
      </c>
      <c r="BC41" s="47" t="s">
        <v>49</v>
      </c>
      <c r="BD41" s="47">
        <v>9</v>
      </c>
    </row>
    <row r="42" spans="2:64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  <c r="BE42" s="152">
        <f>AS37</f>
        <v>2074751.8181818181</v>
      </c>
    </row>
    <row r="43" spans="2:64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152">
        <f>BA37+BB37</f>
        <v>15327108.181818182</v>
      </c>
      <c r="BB43" s="162" t="s">
        <v>50</v>
      </c>
      <c r="BD43" s="47">
        <v>7</v>
      </c>
      <c r="BE43" s="163">
        <f>'[1]2023(7)'!AS37</f>
        <v>15843636.363636361</v>
      </c>
      <c r="BF43" s="163">
        <v>6266320</v>
      </c>
      <c r="BG43" s="164">
        <f>BF43/BE43</f>
        <v>0.39551021344962134</v>
      </c>
    </row>
    <row r="44" spans="2:64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7"/>
      <c r="AZ44" s="165" t="s">
        <v>51</v>
      </c>
      <c r="BA44" s="144">
        <f>J45+R45+AE45+BB44+AM45+AV45</f>
        <v>23633400</v>
      </c>
      <c r="BB44" s="166"/>
      <c r="BC44" s="127"/>
      <c r="BD44" s="47">
        <v>6</v>
      </c>
      <c r="BE44" s="163">
        <v>7119727</v>
      </c>
      <c r="BF44" s="163">
        <v>2680643</v>
      </c>
      <c r="BG44" s="164">
        <f t="shared" ref="BG44:BG45" si="37">BF44/BE44</f>
        <v>0.37650923975034434</v>
      </c>
      <c r="BH44" s="47" t="s">
        <v>52</v>
      </c>
    </row>
    <row r="45" spans="2:64" ht="21" customHeight="1">
      <c r="H45" s="167"/>
      <c r="I45" s="168" t="s">
        <v>53</v>
      </c>
      <c r="J45" s="144">
        <v>3998400</v>
      </c>
      <c r="K45" s="169" t="s">
        <v>54</v>
      </c>
      <c r="L45" s="127"/>
      <c r="M45" s="127"/>
      <c r="N45" s="127"/>
      <c r="O45" s="127"/>
      <c r="P45" s="127"/>
      <c r="Q45" s="168" t="s">
        <v>55</v>
      </c>
      <c r="R45" s="144">
        <v>9072000</v>
      </c>
      <c r="S45" s="169" t="s">
        <v>54</v>
      </c>
      <c r="T45" s="127"/>
      <c r="U45" s="127"/>
      <c r="V45" s="168" t="s">
        <v>56</v>
      </c>
      <c r="W45" s="144">
        <f>J45+R45</f>
        <v>13070400</v>
      </c>
      <c r="X45" s="169" t="s">
        <v>54</v>
      </c>
      <c r="Y45" s="127"/>
      <c r="Z45" s="127"/>
      <c r="AA45" s="127"/>
      <c r="AB45" s="127"/>
      <c r="AC45" s="127"/>
      <c r="AD45" s="167" t="s">
        <v>57</v>
      </c>
      <c r="AE45" s="144">
        <v>784000</v>
      </c>
      <c r="AF45" s="169" t="s">
        <v>54</v>
      </c>
      <c r="AG45" s="169"/>
      <c r="AH45" s="169"/>
      <c r="AI45" s="169"/>
      <c r="AJ45" s="169"/>
      <c r="AK45" s="127"/>
      <c r="AL45" s="168" t="s">
        <v>58</v>
      </c>
      <c r="AM45" s="144">
        <v>504000</v>
      </c>
      <c r="AN45" s="169" t="s">
        <v>54</v>
      </c>
      <c r="AO45" s="169"/>
      <c r="AP45" s="169"/>
      <c r="AQ45" s="169"/>
      <c r="AR45" s="169"/>
      <c r="AS45" s="127"/>
      <c r="AT45" s="168" t="s">
        <v>59</v>
      </c>
      <c r="AU45" s="168"/>
      <c r="AV45" s="144">
        <v>9275000</v>
      </c>
      <c r="AW45" s="169" t="s">
        <v>54</v>
      </c>
      <c r="AX45" s="127"/>
      <c r="AY45" s="127"/>
      <c r="AZ45" s="165" t="s">
        <v>60</v>
      </c>
      <c r="BA45" s="143">
        <f>BA44-BA37-BB37</f>
        <v>8306291.8181818184</v>
      </c>
      <c r="BB45" s="143">
        <f>BB44-BB37</f>
        <v>-106501.81818181818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7"/>
        <v>0</v>
      </c>
      <c r="BH45" s="77" t="s">
        <v>61</v>
      </c>
      <c r="BL45" s="47"/>
    </row>
    <row r="46" spans="2:64" ht="21" customHeight="1">
      <c r="H46" s="167"/>
      <c r="I46" s="167" t="s">
        <v>60</v>
      </c>
      <c r="J46" s="143">
        <f>J45-J37</f>
        <v>356512.72727272753</v>
      </c>
      <c r="K46" s="220">
        <f>C38-G38</f>
        <v>1</v>
      </c>
      <c r="L46" s="127"/>
      <c r="M46" s="127"/>
      <c r="N46" s="127"/>
      <c r="O46" s="127"/>
      <c r="P46" s="127"/>
      <c r="Q46" s="167" t="s">
        <v>60</v>
      </c>
      <c r="R46" s="143">
        <f>R45-R37</f>
        <v>3246940.0000000009</v>
      </c>
      <c r="S46" s="127">
        <f>K46</f>
        <v>1</v>
      </c>
      <c r="T46" s="127"/>
      <c r="U46" s="127"/>
      <c r="V46" s="167" t="s">
        <v>60</v>
      </c>
      <c r="W46" s="143">
        <f>W45-W37</f>
        <v>3617952.7272727285</v>
      </c>
      <c r="X46" s="127">
        <f>P46</f>
        <v>0</v>
      </c>
      <c r="Y46" s="127"/>
      <c r="Z46" s="127"/>
      <c r="AA46" s="127"/>
      <c r="AB46" s="127"/>
      <c r="AC46" s="127"/>
      <c r="AD46" s="167" t="s">
        <v>60</v>
      </c>
      <c r="AE46" s="143">
        <f>AE45-AE37</f>
        <v>543881.81818181823</v>
      </c>
      <c r="AF46" s="127">
        <f>K46</f>
        <v>1</v>
      </c>
      <c r="AG46" s="127"/>
      <c r="AH46" s="127"/>
      <c r="AI46" s="127"/>
      <c r="AJ46" s="127"/>
      <c r="AK46" s="127"/>
      <c r="AL46" s="167" t="s">
        <v>60</v>
      </c>
      <c r="AM46" s="143">
        <f>AM45-AM37</f>
        <v>314181.81818181823</v>
      </c>
      <c r="AN46" s="127">
        <f>AF46</f>
        <v>1</v>
      </c>
      <c r="AO46" s="127"/>
      <c r="AP46" s="127"/>
      <c r="AQ46" s="127"/>
      <c r="AR46" s="127"/>
      <c r="AS46" s="127"/>
      <c r="AT46" s="167" t="s">
        <v>60</v>
      </c>
      <c r="AU46" s="167"/>
      <c r="AV46" s="143">
        <f>AV45-AV37</f>
        <v>3844775.4545454551</v>
      </c>
      <c r="AW46" s="127">
        <f>AN46</f>
        <v>1</v>
      </c>
      <c r="AX46" s="127"/>
      <c r="AY46" s="172"/>
      <c r="AZ46" s="173" t="s">
        <v>62</v>
      </c>
      <c r="BA46" s="174">
        <f>BA45/K46</f>
        <v>8306291.8181818184</v>
      </c>
      <c r="BB46" s="175">
        <f>(BA37+BB37)/BA44</f>
        <v>0.64853589334662731</v>
      </c>
      <c r="BC46" s="172"/>
      <c r="BD46" s="176"/>
      <c r="BE46" s="177">
        <f>SUM(BE41:BE45)</f>
        <v>25675797.18181818</v>
      </c>
      <c r="BF46" s="178">
        <f>BJ71</f>
        <v>9138052</v>
      </c>
      <c r="BG46" s="179">
        <f>BF46/BE46</f>
        <v>0.35590139364673495</v>
      </c>
      <c r="BH46" s="180">
        <f>BE46-BF46</f>
        <v>16537745.18181818</v>
      </c>
      <c r="BL46" s="47"/>
    </row>
    <row r="47" spans="2:64" s="176" customFormat="1" ht="26" customHeight="1">
      <c r="B47" s="181"/>
      <c r="H47" s="182"/>
      <c r="I47" s="173" t="s">
        <v>62</v>
      </c>
      <c r="J47" s="183">
        <f>J46/K46</f>
        <v>356512.72727272753</v>
      </c>
      <c r="K47" s="184">
        <f>J37/J45</f>
        <v>0.91083615264287532</v>
      </c>
      <c r="L47" s="172"/>
      <c r="M47" s="172"/>
      <c r="N47" s="172"/>
      <c r="O47" s="172"/>
      <c r="P47" s="172"/>
      <c r="Q47" s="173" t="s">
        <v>62</v>
      </c>
      <c r="R47" s="174">
        <f>R46/S46</f>
        <v>3246940.0000000009</v>
      </c>
      <c r="S47" s="184">
        <f>R37/R45</f>
        <v>0.64209215167548495</v>
      </c>
      <c r="T47" s="172"/>
      <c r="U47" s="172"/>
      <c r="V47" s="173" t="s">
        <v>62</v>
      </c>
      <c r="W47" s="174" t="e">
        <f>W46/X46</f>
        <v>#DIV/0!</v>
      </c>
      <c r="X47" s="184">
        <f>W37/W45</f>
        <v>0.72319494986590094</v>
      </c>
      <c r="Y47" s="172"/>
      <c r="Z47" s="172"/>
      <c r="AA47" s="172"/>
      <c r="AB47" s="172"/>
      <c r="AC47" s="172"/>
      <c r="AD47" s="173" t="s">
        <v>62</v>
      </c>
      <c r="AE47" s="183">
        <f>AE46/AF46</f>
        <v>543881.81818181823</v>
      </c>
      <c r="AF47" s="184">
        <f>AE37/AE45</f>
        <v>0.30627319109461965</v>
      </c>
      <c r="AG47" s="184"/>
      <c r="AH47" s="184"/>
      <c r="AI47" s="184"/>
      <c r="AJ47" s="184"/>
      <c r="AK47" s="172"/>
      <c r="AL47" s="173" t="s">
        <v>62</v>
      </c>
      <c r="AM47" s="174">
        <f>AM46/AN46</f>
        <v>314181.81818181823</v>
      </c>
      <c r="AN47" s="184">
        <f>AM37/AM45</f>
        <v>0.37662337662337658</v>
      </c>
      <c r="AO47" s="184"/>
      <c r="AP47" s="184"/>
      <c r="AQ47" s="184"/>
      <c r="AR47" s="184"/>
      <c r="AS47" s="172"/>
      <c r="AT47" s="173" t="s">
        <v>62</v>
      </c>
      <c r="AU47" s="173"/>
      <c r="AV47" s="174">
        <f>AV46/AW46</f>
        <v>3844775.4545454551</v>
      </c>
      <c r="AW47" s="184">
        <f>AV37/AV45</f>
        <v>0.58546895368782159</v>
      </c>
      <c r="AX47" s="172"/>
      <c r="AY47" s="47"/>
      <c r="AZ47" s="47"/>
      <c r="BA47" s="152"/>
      <c r="BB47" s="47"/>
      <c r="BC47" s="47"/>
      <c r="BD47" s="47"/>
      <c r="BH47" s="185"/>
      <c r="BJ47" s="185"/>
    </row>
    <row r="48" spans="2:64">
      <c r="AY48" s="186"/>
      <c r="AZ48" s="186"/>
      <c r="BA48" s="186"/>
      <c r="BB48" s="186"/>
      <c r="BC48" s="186"/>
      <c r="BD48" s="186"/>
      <c r="BH48" s="77"/>
      <c r="BL48" s="47"/>
    </row>
    <row r="49" spans="2:62" s="186" customFormat="1" ht="24" customHeight="1">
      <c r="B49" s="187"/>
      <c r="I49" s="186" t="s">
        <v>114</v>
      </c>
      <c r="J49" s="230">
        <f>(I5+I8+I9+I10+I11+I12+I15+I16+I17+I18+I19+I22+I23+I24+I25+I26)/16</f>
        <v>350.19862892352205</v>
      </c>
      <c r="L49" s="188"/>
      <c r="M49" s="47"/>
      <c r="N49" s="47"/>
      <c r="O49" s="47"/>
      <c r="P49" s="47"/>
      <c r="Q49" s="47"/>
      <c r="R49" s="188"/>
      <c r="AE49" s="186">
        <f>AE45/31</f>
        <v>25290.322580645163</v>
      </c>
      <c r="AQ49" s="231">
        <f>AP14+AP21</f>
        <v>182</v>
      </c>
      <c r="AR49" s="224">
        <f>AR14+AR21</f>
        <v>1273.4435088601231</v>
      </c>
      <c r="AS49" s="224">
        <f>AT14+AT21</f>
        <v>1096.3491265552343</v>
      </c>
      <c r="AY49" s="1"/>
      <c r="AZ49" s="1"/>
      <c r="BA49" s="1"/>
      <c r="BB49" s="1"/>
      <c r="BC49" s="189" t="s">
        <v>63</v>
      </c>
      <c r="BD49" s="1" t="s">
        <v>64</v>
      </c>
      <c r="BE49" s="1" t="s">
        <v>65</v>
      </c>
      <c r="BF49" s="1" t="s">
        <v>66</v>
      </c>
      <c r="BG49" s="1" t="s">
        <v>67</v>
      </c>
      <c r="BH49" s="190" t="s">
        <v>68</v>
      </c>
      <c r="BI49" s="190" t="s">
        <v>69</v>
      </c>
      <c r="BJ49" s="190" t="s">
        <v>70</v>
      </c>
    </row>
    <row r="50" spans="2:62" s="1" customFormat="1" ht="24" customHeight="1">
      <c r="B50" s="187"/>
      <c r="I50" s="1" t="s">
        <v>115</v>
      </c>
      <c r="J50" s="230">
        <f>(I6+I7+I13+I14+I20+I21+I27)/7</f>
        <v>1060.0194078352356</v>
      </c>
      <c r="L50" s="191"/>
      <c r="M50" s="47"/>
      <c r="N50" s="47"/>
      <c r="O50" s="47"/>
      <c r="P50" s="47"/>
      <c r="Q50" s="47"/>
      <c r="R50" s="191"/>
      <c r="S50" s="191"/>
      <c r="Z50" s="192"/>
      <c r="AQ50" s="1">
        <f>AQ49/2</f>
        <v>91</v>
      </c>
      <c r="AR50" s="232">
        <f t="shared" ref="AR50:AS50" si="38">AR49/2</f>
        <v>636.72175443006154</v>
      </c>
      <c r="AS50" s="232">
        <f t="shared" si="38"/>
        <v>548.17456327761715</v>
      </c>
      <c r="AY50" s="186"/>
      <c r="AZ50" s="186"/>
      <c r="BA50" s="186"/>
      <c r="BB50" s="186"/>
      <c r="BC50" s="189" t="s">
        <v>71</v>
      </c>
      <c r="BD50" s="193">
        <v>1800</v>
      </c>
      <c r="BE50" s="193">
        <v>21</v>
      </c>
      <c r="BF50" s="194">
        <v>0</v>
      </c>
      <c r="BG50" s="193"/>
      <c r="BH50" s="195">
        <f>BE50*BD50</f>
        <v>37800</v>
      </c>
      <c r="BI50" s="195">
        <f>BD50*BF50</f>
        <v>0</v>
      </c>
      <c r="BJ50" s="195">
        <f>BH50-BI50</f>
        <v>37800</v>
      </c>
    </row>
    <row r="51" spans="2:62" s="186" customFormat="1" ht="24" customHeight="1">
      <c r="B51" s="187"/>
      <c r="K51" s="1"/>
      <c r="L51" s="191"/>
      <c r="M51" s="47"/>
      <c r="N51" s="47"/>
      <c r="O51" s="47"/>
      <c r="P51" s="47"/>
      <c r="Q51" s="47"/>
      <c r="R51" s="196"/>
      <c r="S51" s="197"/>
      <c r="T51" s="197"/>
      <c r="U51" s="197" t="s">
        <v>72</v>
      </c>
      <c r="V51" s="197"/>
      <c r="W51" s="198"/>
      <c r="X51" s="199"/>
      <c r="Y51" s="189"/>
      <c r="Z51" s="195"/>
      <c r="BC51" s="189" t="s">
        <v>73</v>
      </c>
      <c r="BD51" s="193">
        <v>10800</v>
      </c>
      <c r="BE51" s="193">
        <v>640</v>
      </c>
      <c r="BF51" s="193">
        <v>20</v>
      </c>
      <c r="BG51" s="193"/>
      <c r="BH51" s="195">
        <f t="shared" ref="BH51:BH70" si="39">BD51*BE51</f>
        <v>6912000</v>
      </c>
      <c r="BI51" s="195">
        <f t="shared" ref="BI51:BI70" si="40">BD51*BF51</f>
        <v>216000</v>
      </c>
      <c r="BJ51" s="195">
        <f t="shared" ref="BJ51:BJ70" si="41">BH51-BI51</f>
        <v>6696000</v>
      </c>
    </row>
    <row r="52" spans="2:62" s="186" customFormat="1" ht="24" customHeight="1">
      <c r="B52" s="187"/>
      <c r="K52" s="1"/>
      <c r="L52" s="191"/>
      <c r="M52" s="47"/>
      <c r="N52" s="47"/>
      <c r="O52" s="47"/>
      <c r="P52" s="47"/>
      <c r="Q52" s="47"/>
      <c r="R52" s="198"/>
      <c r="S52" s="197"/>
      <c r="T52" s="197"/>
      <c r="U52" s="200" t="s">
        <v>74</v>
      </c>
      <c r="V52" s="201" t="s">
        <v>75</v>
      </c>
      <c r="W52" s="202"/>
      <c r="X52" s="203" t="e">
        <f>W52/Y52</f>
        <v>#DIV/0!</v>
      </c>
      <c r="Y52" s="204">
        <f>W52+W53</f>
        <v>0</v>
      </c>
      <c r="Z52" s="205"/>
      <c r="AA52" s="205"/>
      <c r="BC52" s="189" t="s">
        <v>76</v>
      </c>
      <c r="BD52" s="193">
        <v>6120</v>
      </c>
      <c r="BE52" s="193">
        <v>40</v>
      </c>
      <c r="BF52" s="193">
        <v>4</v>
      </c>
      <c r="BG52" s="193"/>
      <c r="BH52" s="195">
        <f t="shared" si="39"/>
        <v>244800</v>
      </c>
      <c r="BI52" s="195">
        <f t="shared" si="40"/>
        <v>24480</v>
      </c>
      <c r="BJ52" s="195">
        <f t="shared" si="41"/>
        <v>220320</v>
      </c>
    </row>
    <row r="53" spans="2:62" s="186" customFormat="1" ht="24" customHeight="1">
      <c r="B53" s="187"/>
      <c r="K53" s="1"/>
      <c r="L53" s="191"/>
      <c r="M53" s="47"/>
      <c r="N53" s="47"/>
      <c r="O53" s="47"/>
      <c r="P53" s="47"/>
      <c r="Q53" s="47"/>
      <c r="R53" s="198"/>
      <c r="S53" s="197"/>
      <c r="T53" s="197"/>
      <c r="U53" s="200"/>
      <c r="V53" s="201" t="s">
        <v>77</v>
      </c>
      <c r="W53" s="202"/>
      <c r="X53" s="203" t="e">
        <f>W53/Y52</f>
        <v>#DIV/0!</v>
      </c>
      <c r="Y53" s="205"/>
      <c r="Z53" s="205"/>
      <c r="AA53" s="205"/>
      <c r="BA53" s="186" t="s">
        <v>111</v>
      </c>
      <c r="BC53" s="189" t="s">
        <v>78</v>
      </c>
      <c r="BD53" s="193">
        <v>1780</v>
      </c>
      <c r="BE53" s="193">
        <v>24</v>
      </c>
      <c r="BF53" s="193">
        <v>4</v>
      </c>
      <c r="BG53" s="193"/>
      <c r="BH53" s="195">
        <f t="shared" si="39"/>
        <v>42720</v>
      </c>
      <c r="BI53" s="195">
        <f t="shared" si="40"/>
        <v>7120</v>
      </c>
      <c r="BJ53" s="195">
        <f t="shared" si="41"/>
        <v>35600</v>
      </c>
    </row>
    <row r="54" spans="2:62" s="186" customFormat="1" ht="24" customHeight="1">
      <c r="B54" s="187"/>
      <c r="K54" s="1"/>
      <c r="L54" s="191"/>
      <c r="M54" s="47"/>
      <c r="N54" s="47"/>
      <c r="O54" s="47"/>
      <c r="P54" s="47"/>
      <c r="Q54" s="47"/>
      <c r="R54" s="198"/>
      <c r="S54" s="197"/>
      <c r="T54" s="197"/>
      <c r="U54" s="206" t="s">
        <v>79</v>
      </c>
      <c r="V54" s="201" t="s">
        <v>75</v>
      </c>
      <c r="W54" s="202"/>
      <c r="X54" s="203" t="e">
        <f t="shared" ref="X54" si="42">W54/Y54</f>
        <v>#DIV/0!</v>
      </c>
      <c r="Y54" s="204">
        <f t="shared" ref="Y54" si="43">W54+W55</f>
        <v>0</v>
      </c>
      <c r="Z54" s="205"/>
      <c r="AA54" s="205"/>
      <c r="BC54" s="189" t="s">
        <v>80</v>
      </c>
      <c r="BD54" s="193">
        <v>1780</v>
      </c>
      <c r="BE54" s="193">
        <v>24</v>
      </c>
      <c r="BF54" s="193">
        <v>20</v>
      </c>
      <c r="BG54" s="193"/>
      <c r="BH54" s="195">
        <f t="shared" si="39"/>
        <v>42720</v>
      </c>
      <c r="BI54" s="195">
        <f t="shared" si="40"/>
        <v>35600</v>
      </c>
      <c r="BJ54" s="195">
        <f t="shared" si="41"/>
        <v>7120</v>
      </c>
    </row>
    <row r="55" spans="2:62" s="186" customFormat="1" ht="24" customHeight="1">
      <c r="B55" s="187"/>
      <c r="L55" s="188"/>
      <c r="M55" s="47"/>
      <c r="N55" s="47"/>
      <c r="O55" s="47"/>
      <c r="P55" s="47"/>
      <c r="Q55" s="47"/>
      <c r="R55" s="207"/>
      <c r="S55" s="197"/>
      <c r="T55" s="197"/>
      <c r="U55" s="206"/>
      <c r="V55" s="201" t="s">
        <v>77</v>
      </c>
      <c r="W55" s="202"/>
      <c r="X55" s="203" t="e">
        <f t="shared" ref="X55" si="44">W55/Y54</f>
        <v>#DIV/0!</v>
      </c>
      <c r="Y55" s="205"/>
      <c r="Z55" s="205"/>
      <c r="AA55" s="205"/>
      <c r="AY55" s="47"/>
      <c r="AZ55" s="47"/>
      <c r="BA55" s="47"/>
      <c r="BB55" s="47"/>
      <c r="BC55" s="189" t="s">
        <v>81</v>
      </c>
      <c r="BD55" s="208">
        <v>8190</v>
      </c>
      <c r="BE55" s="193">
        <v>13</v>
      </c>
      <c r="BF55" s="193">
        <v>4</v>
      </c>
      <c r="BG55" s="193"/>
      <c r="BH55" s="195">
        <f t="shared" si="39"/>
        <v>106470</v>
      </c>
      <c r="BI55" s="195">
        <f t="shared" si="40"/>
        <v>32760</v>
      </c>
      <c r="BJ55" s="195">
        <f t="shared" si="41"/>
        <v>73710</v>
      </c>
    </row>
    <row r="56" spans="2:62" ht="24" customHeight="1">
      <c r="U56" s="209" t="s">
        <v>2</v>
      </c>
      <c r="V56" s="210" t="s">
        <v>75</v>
      </c>
      <c r="W56" s="202"/>
      <c r="X56" s="203" t="e">
        <f t="shared" ref="X56:X58" si="45">W56/Y56</f>
        <v>#DIV/0!</v>
      </c>
      <c r="Y56" s="204">
        <f t="shared" ref="Y56" si="46">W56+W57</f>
        <v>0</v>
      </c>
      <c r="Z56" s="205"/>
      <c r="AA56" s="205"/>
      <c r="BC56" s="189" t="s">
        <v>82</v>
      </c>
      <c r="BD56" s="208">
        <v>5784</v>
      </c>
      <c r="BE56" s="208">
        <v>36</v>
      </c>
      <c r="BF56" s="208">
        <v>28</v>
      </c>
      <c r="BG56" s="208"/>
      <c r="BH56" s="195">
        <f t="shared" si="39"/>
        <v>208224</v>
      </c>
      <c r="BI56" s="195">
        <f t="shared" si="40"/>
        <v>161952</v>
      </c>
      <c r="BJ56" s="195">
        <f t="shared" si="41"/>
        <v>46272</v>
      </c>
    </row>
    <row r="57" spans="2:62" ht="24" customHeight="1">
      <c r="U57" s="209"/>
      <c r="V57" s="210" t="s">
        <v>77</v>
      </c>
      <c r="W57" s="202"/>
      <c r="X57" s="203" t="e">
        <f t="shared" ref="X57:X59" si="47">W57/Y56</f>
        <v>#DIV/0!</v>
      </c>
      <c r="Y57" s="205"/>
      <c r="Z57" s="205"/>
      <c r="AA57" s="205"/>
      <c r="BC57" s="189" t="s">
        <v>83</v>
      </c>
      <c r="BD57" s="208">
        <v>6775</v>
      </c>
      <c r="BE57" s="208">
        <v>12</v>
      </c>
      <c r="BF57" s="208">
        <v>11</v>
      </c>
      <c r="BG57" s="208"/>
      <c r="BH57" s="195">
        <f t="shared" si="39"/>
        <v>81300</v>
      </c>
      <c r="BI57" s="195">
        <f t="shared" si="40"/>
        <v>74525</v>
      </c>
      <c r="BJ57" s="195">
        <f t="shared" si="41"/>
        <v>6775</v>
      </c>
    </row>
    <row r="58" spans="2:62" ht="24" customHeight="1">
      <c r="U58" s="211" t="s">
        <v>84</v>
      </c>
      <c r="V58" s="210" t="s">
        <v>75</v>
      </c>
      <c r="W58" s="202"/>
      <c r="X58" s="203" t="e">
        <f t="shared" si="45"/>
        <v>#DIV/0!</v>
      </c>
      <c r="Y58" s="212">
        <f>SUM(Y52:AA56)</f>
        <v>0</v>
      </c>
      <c r="Z58" s="213"/>
      <c r="AA58" s="213"/>
      <c r="BC58" s="189" t="s">
        <v>85</v>
      </c>
      <c r="BD58" s="208">
        <v>1755</v>
      </c>
      <c r="BE58" s="208">
        <v>14</v>
      </c>
      <c r="BF58" s="208">
        <v>2</v>
      </c>
      <c r="BG58" s="208"/>
      <c r="BH58" s="195">
        <f t="shared" si="39"/>
        <v>24570</v>
      </c>
      <c r="BI58" s="195">
        <f t="shared" si="40"/>
        <v>3510</v>
      </c>
      <c r="BJ58" s="195">
        <f t="shared" si="41"/>
        <v>21060</v>
      </c>
    </row>
    <row r="59" spans="2:62" ht="24" customHeight="1">
      <c r="U59" s="211"/>
      <c r="V59" s="210" t="s">
        <v>77</v>
      </c>
      <c r="W59" s="202"/>
      <c r="X59" s="203" t="e">
        <f t="shared" si="47"/>
        <v>#DIV/0!</v>
      </c>
      <c r="Y59" s="213"/>
      <c r="Z59" s="213"/>
      <c r="AA59" s="213"/>
      <c r="BC59" s="189" t="s">
        <v>86</v>
      </c>
      <c r="BD59" s="208">
        <v>1755</v>
      </c>
      <c r="BE59" s="208">
        <v>10</v>
      </c>
      <c r="BF59" s="208">
        <v>0</v>
      </c>
      <c r="BG59" s="208"/>
      <c r="BH59" s="195">
        <f t="shared" si="39"/>
        <v>17550</v>
      </c>
      <c r="BI59" s="195">
        <f t="shared" si="40"/>
        <v>0</v>
      </c>
      <c r="BJ59" s="195">
        <f t="shared" si="41"/>
        <v>17550</v>
      </c>
    </row>
    <row r="60" spans="2:62" ht="24" customHeight="1">
      <c r="BC60" s="189" t="s">
        <v>87</v>
      </c>
      <c r="BD60" s="208">
        <v>1075</v>
      </c>
      <c r="BE60" s="208">
        <v>96</v>
      </c>
      <c r="BF60" s="208">
        <v>38</v>
      </c>
      <c r="BG60" s="208"/>
      <c r="BH60" s="195">
        <f t="shared" si="39"/>
        <v>103200</v>
      </c>
      <c r="BI60" s="195">
        <f t="shared" si="40"/>
        <v>40850</v>
      </c>
      <c r="BJ60" s="195">
        <f t="shared" si="41"/>
        <v>62350</v>
      </c>
    </row>
    <row r="61" spans="2:62" ht="24" customHeight="1">
      <c r="BC61" s="189" t="s">
        <v>88</v>
      </c>
      <c r="BD61" s="208">
        <v>3860</v>
      </c>
      <c r="BE61" s="208">
        <v>166</v>
      </c>
      <c r="BF61" s="208">
        <v>13</v>
      </c>
      <c r="BG61" s="208"/>
      <c r="BH61" s="195">
        <f t="shared" si="39"/>
        <v>640760</v>
      </c>
      <c r="BI61" s="195">
        <f t="shared" si="40"/>
        <v>50180</v>
      </c>
      <c r="BJ61" s="195">
        <f t="shared" si="41"/>
        <v>590580</v>
      </c>
    </row>
    <row r="62" spans="2:62" ht="24" customHeight="1">
      <c r="BC62" s="189" t="s">
        <v>89</v>
      </c>
      <c r="BD62" s="208">
        <v>6450</v>
      </c>
      <c r="BE62" s="208">
        <v>137</v>
      </c>
      <c r="BF62" s="208">
        <v>12</v>
      </c>
      <c r="BG62" s="208"/>
      <c r="BH62" s="195">
        <f t="shared" si="39"/>
        <v>883650</v>
      </c>
      <c r="BI62" s="195">
        <f t="shared" si="40"/>
        <v>77400</v>
      </c>
      <c r="BJ62" s="195">
        <f t="shared" si="41"/>
        <v>806250</v>
      </c>
    </row>
    <row r="63" spans="2:62" ht="24" customHeight="1">
      <c r="BC63" s="189" t="s">
        <v>90</v>
      </c>
      <c r="BD63" s="208">
        <v>1380</v>
      </c>
      <c r="BE63" s="208">
        <v>35</v>
      </c>
      <c r="BF63" s="208">
        <v>5</v>
      </c>
      <c r="BG63" s="208"/>
      <c r="BH63" s="195">
        <f t="shared" si="39"/>
        <v>48300</v>
      </c>
      <c r="BI63" s="195">
        <f t="shared" si="40"/>
        <v>6900</v>
      </c>
      <c r="BJ63" s="195">
        <f t="shared" si="41"/>
        <v>41400</v>
      </c>
    </row>
    <row r="64" spans="2:62" ht="24" customHeight="1">
      <c r="BC64" s="189" t="s">
        <v>91</v>
      </c>
      <c r="BD64" s="208">
        <v>1380</v>
      </c>
      <c r="BE64" s="208">
        <v>39</v>
      </c>
      <c r="BF64" s="208">
        <v>6</v>
      </c>
      <c r="BG64" s="208"/>
      <c r="BH64" s="195">
        <f t="shared" si="39"/>
        <v>53820</v>
      </c>
      <c r="BI64" s="195">
        <f t="shared" si="40"/>
        <v>8280</v>
      </c>
      <c r="BJ64" s="195">
        <f t="shared" si="41"/>
        <v>45540</v>
      </c>
    </row>
    <row r="65" spans="55:62" ht="24" customHeight="1">
      <c r="BC65" s="189" t="s">
        <v>92</v>
      </c>
      <c r="BD65" s="208">
        <v>160</v>
      </c>
      <c r="BE65" s="208">
        <v>594</v>
      </c>
      <c r="BF65" s="208">
        <v>53</v>
      </c>
      <c r="BG65" s="208"/>
      <c r="BH65" s="195">
        <f t="shared" si="39"/>
        <v>95040</v>
      </c>
      <c r="BI65" s="195">
        <f t="shared" si="40"/>
        <v>8480</v>
      </c>
      <c r="BJ65" s="195">
        <f t="shared" si="41"/>
        <v>86560</v>
      </c>
    </row>
    <row r="66" spans="55:62" ht="24" customHeight="1">
      <c r="BC66" s="189" t="s">
        <v>93</v>
      </c>
      <c r="BD66" s="208">
        <v>160</v>
      </c>
      <c r="BE66" s="208">
        <v>300</v>
      </c>
      <c r="BF66" s="208">
        <v>47</v>
      </c>
      <c r="BG66" s="208"/>
      <c r="BH66" s="195">
        <f t="shared" si="39"/>
        <v>48000</v>
      </c>
      <c r="BI66" s="195">
        <f t="shared" si="40"/>
        <v>7520</v>
      </c>
      <c r="BJ66" s="195">
        <f t="shared" si="41"/>
        <v>40480</v>
      </c>
    </row>
    <row r="67" spans="55:62" ht="24" customHeight="1">
      <c r="BC67" s="189" t="s">
        <v>94</v>
      </c>
      <c r="BD67" s="208">
        <v>205</v>
      </c>
      <c r="BE67" s="208">
        <v>366</v>
      </c>
      <c r="BF67" s="208">
        <v>49</v>
      </c>
      <c r="BG67" s="208"/>
      <c r="BH67" s="195">
        <f t="shared" si="39"/>
        <v>75030</v>
      </c>
      <c r="BI67" s="195">
        <f t="shared" si="40"/>
        <v>10045</v>
      </c>
      <c r="BJ67" s="195">
        <f t="shared" si="41"/>
        <v>64985</v>
      </c>
    </row>
    <row r="68" spans="55:62" ht="24" customHeight="1">
      <c r="BC68" s="189" t="s">
        <v>95</v>
      </c>
      <c r="BD68" s="208">
        <v>295</v>
      </c>
      <c r="BE68" s="208">
        <v>612</v>
      </c>
      <c r="BF68" s="208">
        <v>86</v>
      </c>
      <c r="BG68" s="208"/>
      <c r="BH68" s="195">
        <f t="shared" si="39"/>
        <v>180540</v>
      </c>
      <c r="BI68" s="195">
        <f t="shared" si="40"/>
        <v>25370</v>
      </c>
      <c r="BJ68" s="195">
        <f t="shared" si="41"/>
        <v>155170</v>
      </c>
    </row>
    <row r="69" spans="55:62" ht="24" customHeight="1">
      <c r="BC69" s="189" t="s">
        <v>96</v>
      </c>
      <c r="BD69" s="208">
        <v>70</v>
      </c>
      <c r="BE69" s="208">
        <v>480</v>
      </c>
      <c r="BF69" s="208">
        <v>71</v>
      </c>
      <c r="BG69" s="208"/>
      <c r="BH69" s="195">
        <f t="shared" si="39"/>
        <v>33600</v>
      </c>
      <c r="BI69" s="195">
        <f t="shared" si="40"/>
        <v>4970</v>
      </c>
      <c r="BJ69" s="195">
        <f t="shared" si="41"/>
        <v>28630</v>
      </c>
    </row>
    <row r="70" spans="55:62" ht="24" customHeight="1">
      <c r="BC70" s="189" t="s">
        <v>97</v>
      </c>
      <c r="BD70" s="208">
        <v>2450</v>
      </c>
      <c r="BE70" s="208">
        <v>31</v>
      </c>
      <c r="BF70" s="208">
        <v>9</v>
      </c>
      <c r="BG70" s="208"/>
      <c r="BH70" s="195">
        <f t="shared" si="39"/>
        <v>75950</v>
      </c>
      <c r="BI70" s="195">
        <f t="shared" si="40"/>
        <v>22050</v>
      </c>
      <c r="BJ70" s="195">
        <f t="shared" si="41"/>
        <v>53900</v>
      </c>
    </row>
    <row r="71" spans="55:62" ht="24" customHeight="1">
      <c r="BC71" s="189"/>
      <c r="BH71" s="214">
        <f>SUM(BH50:BH70)</f>
        <v>9956044</v>
      </c>
      <c r="BI71" s="214">
        <f t="shared" ref="BI71:BJ71" si="48">SUM(BI50:BI70)</f>
        <v>817992</v>
      </c>
      <c r="BJ71" s="214">
        <f t="shared" si="48"/>
        <v>9138052</v>
      </c>
    </row>
    <row r="72" spans="55:62" ht="24" customHeight="1">
      <c r="BC72" s="189"/>
    </row>
    <row r="73" spans="55:62" ht="24" customHeight="1">
      <c r="BC73" s="189"/>
    </row>
    <row r="74" spans="55:62" ht="24" customHeight="1">
      <c r="BC74" s="189"/>
    </row>
    <row r="75" spans="55:62" ht="24" customHeight="1">
      <c r="BC75" s="189"/>
    </row>
    <row r="76" spans="55:62" ht="24" customHeight="1">
      <c r="BC76" s="189"/>
    </row>
    <row r="77" spans="55:62" ht="24" customHeight="1">
      <c r="BC77" s="189"/>
    </row>
    <row r="78" spans="55:62" ht="24" customHeight="1">
      <c r="BC78" s="189"/>
    </row>
    <row r="79" spans="55:62" ht="24" customHeight="1">
      <c r="BC79" s="189"/>
    </row>
    <row r="80" spans="55:62" ht="24" customHeight="1">
      <c r="BC80" s="189"/>
    </row>
    <row r="81" spans="55:55" ht="24" customHeight="1">
      <c r="BC81" s="189"/>
    </row>
    <row r="82" spans="55:55" ht="24" customHeight="1">
      <c r="BC82" s="189"/>
    </row>
    <row r="83" spans="55:55" ht="24" customHeight="1">
      <c r="BC83" s="189"/>
    </row>
    <row r="84" spans="55:55" ht="24" customHeight="1">
      <c r="BC84" s="189"/>
    </row>
    <row r="85" spans="55:55" ht="24" customHeight="1">
      <c r="BC85" s="189"/>
    </row>
    <row r="86" spans="55:55" ht="24" customHeight="1">
      <c r="BC86" s="189"/>
    </row>
    <row r="87" spans="55:55" ht="24" customHeight="1">
      <c r="BC87" s="189"/>
    </row>
    <row r="88" spans="55:55" ht="24" customHeight="1">
      <c r="BC88" s="189"/>
    </row>
    <row r="89" spans="55:55" ht="24" customHeight="1">
      <c r="BC89" s="189"/>
    </row>
    <row r="90" spans="55:55" ht="24" customHeight="1">
      <c r="BC90" s="189"/>
    </row>
    <row r="91" spans="55:55" ht="24" customHeight="1">
      <c r="BC91" s="189"/>
    </row>
    <row r="92" spans="55:55" ht="24" customHeight="1">
      <c r="BC92" s="189"/>
    </row>
    <row r="93" spans="55:55" ht="24" customHeight="1">
      <c r="BC93" s="189"/>
    </row>
    <row r="94" spans="55:55" ht="24" customHeight="1">
      <c r="BC94" s="189"/>
    </row>
    <row r="95" spans="55:55" ht="24" customHeight="1">
      <c r="BC95" s="189"/>
    </row>
    <row r="96" spans="55:55" ht="24" customHeight="1">
      <c r="BC96" s="189"/>
    </row>
    <row r="97" spans="55:55" ht="24" customHeight="1">
      <c r="BC97" s="189"/>
    </row>
    <row r="98" spans="55:55" ht="24" customHeight="1">
      <c r="BC98" s="189"/>
    </row>
    <row r="99" spans="55:55" ht="24" customHeight="1">
      <c r="BC99" s="189"/>
    </row>
    <row r="100" spans="55:55" ht="24" customHeight="1">
      <c r="BC100" s="189"/>
    </row>
    <row r="101" spans="55:55" ht="24" customHeight="1">
      <c r="BC101" s="189"/>
    </row>
    <row r="102" spans="55:55" ht="24" customHeight="1">
      <c r="BC102" s="189"/>
    </row>
    <row r="103" spans="55:55" ht="24" customHeight="1">
      <c r="BC103" s="189"/>
    </row>
    <row r="104" spans="55:55" ht="24" customHeight="1">
      <c r="BC104" s="189"/>
    </row>
    <row r="105" spans="55:55" ht="24" customHeight="1">
      <c r="BC105" s="189"/>
    </row>
    <row r="106" spans="55:55" ht="24" customHeight="1">
      <c r="BC106" s="189"/>
    </row>
    <row r="107" spans="55:55" ht="24" customHeight="1">
      <c r="BC107" s="189"/>
    </row>
    <row r="108" spans="55:55" ht="24" customHeight="1">
      <c r="BC108" s="189"/>
    </row>
    <row r="109" spans="55:55" ht="24" customHeight="1">
      <c r="BC109" s="189"/>
    </row>
    <row r="110" spans="55:55" ht="24" customHeight="1">
      <c r="BC110" s="189"/>
    </row>
    <row r="111" spans="55:55" ht="24" customHeight="1">
      <c r="BC111" s="189"/>
    </row>
    <row r="112" spans="55:55" ht="24" customHeight="1">
      <c r="BC112" s="189"/>
    </row>
    <row r="113" spans="55:55" ht="24" customHeight="1">
      <c r="BC113" s="189"/>
    </row>
    <row r="114" spans="55:55" ht="24" customHeight="1">
      <c r="BC114" s="189"/>
    </row>
    <row r="115" spans="55:55" ht="24" customHeight="1">
      <c r="BC115" s="189"/>
    </row>
    <row r="116" spans="55:55" ht="24" customHeight="1">
      <c r="BC116" s="189"/>
    </row>
    <row r="117" spans="55:55" ht="24" customHeight="1">
      <c r="BC117" s="189"/>
    </row>
    <row r="118" spans="55:55" ht="24" customHeight="1">
      <c r="BC118" s="189"/>
    </row>
    <row r="119" spans="55:55" ht="24" customHeight="1">
      <c r="BC119" s="189"/>
    </row>
    <row r="120" spans="55:55" ht="24" customHeight="1">
      <c r="BC120" s="189"/>
    </row>
    <row r="121" spans="55:55" ht="24" customHeight="1">
      <c r="BC121" s="189"/>
    </row>
    <row r="122" spans="55:55" ht="24" customHeight="1">
      <c r="BC122" s="189"/>
    </row>
    <row r="123" spans="55:55" ht="24" customHeight="1">
      <c r="BC123" s="189"/>
    </row>
    <row r="124" spans="55:55" ht="24" customHeight="1">
      <c r="BC124" s="189"/>
    </row>
    <row r="125" spans="55:55" ht="24" customHeight="1">
      <c r="BC125" s="189"/>
    </row>
    <row r="126" spans="55:55" ht="24" customHeight="1">
      <c r="BC126" s="189"/>
    </row>
    <row r="127" spans="55:55" ht="24" customHeight="1">
      <c r="BC127" s="189"/>
    </row>
    <row r="128" spans="55:55" ht="24" customHeight="1">
      <c r="BC128" s="189"/>
    </row>
    <row r="129" spans="55:55" ht="24" customHeight="1">
      <c r="BC129" s="189"/>
    </row>
    <row r="130" spans="55:55" ht="24" customHeight="1">
      <c r="BC130" s="189"/>
    </row>
    <row r="131" spans="55:55" ht="24" customHeight="1">
      <c r="BC131" s="189"/>
    </row>
    <row r="132" spans="55:55" ht="24" customHeight="1">
      <c r="BC132" s="189"/>
    </row>
    <row r="133" spans="55:55" ht="24" customHeight="1">
      <c r="BC133" s="189"/>
    </row>
    <row r="134" spans="55:55" ht="24" customHeight="1">
      <c r="BC134" s="189"/>
    </row>
    <row r="135" spans="55:55" ht="24" customHeight="1">
      <c r="BC135" s="189"/>
    </row>
    <row r="136" spans="55:55" ht="24" customHeight="1">
      <c r="BC136" s="189"/>
    </row>
    <row r="137" spans="55:55" ht="24" customHeight="1">
      <c r="BC137" s="189"/>
    </row>
    <row r="138" spans="55:55" ht="24" customHeight="1">
      <c r="BC138" s="189"/>
    </row>
    <row r="139" spans="55:55" ht="24" customHeight="1">
      <c r="BC139" s="189"/>
    </row>
    <row r="140" spans="55:55" ht="24" customHeight="1">
      <c r="BC140" s="189"/>
    </row>
    <row r="141" spans="55:55" ht="24" customHeight="1">
      <c r="BC141" s="189"/>
    </row>
    <row r="142" spans="55:55" ht="24" customHeight="1">
      <c r="BC142" s="189"/>
    </row>
    <row r="143" spans="55:55" ht="24" customHeight="1">
      <c r="BC143" s="189"/>
    </row>
    <row r="144" spans="55:55" ht="24" customHeight="1">
      <c r="BC144" s="189"/>
    </row>
    <row r="145" spans="55:55" ht="24" customHeight="1">
      <c r="BC145" s="189"/>
    </row>
    <row r="146" spans="55:55" ht="24" customHeight="1">
      <c r="BC146" s="189"/>
    </row>
    <row r="147" spans="55:55" ht="24" customHeight="1">
      <c r="BC147" s="189"/>
    </row>
    <row r="148" spans="55:55" ht="24" customHeight="1">
      <c r="BC148" s="189"/>
    </row>
    <row r="149" spans="55:55" ht="24" customHeight="1">
      <c r="BC149" s="189"/>
    </row>
    <row r="150" spans="55:55" ht="24" customHeight="1">
      <c r="BC150" s="189"/>
    </row>
    <row r="151" spans="55:55" ht="24" customHeight="1">
      <c r="BC151" s="189"/>
    </row>
    <row r="152" spans="55:55" ht="24" customHeight="1">
      <c r="BC152" s="189"/>
    </row>
    <row r="153" spans="55:55" ht="24" customHeight="1">
      <c r="BC153" s="189"/>
    </row>
    <row r="154" spans="55:55" ht="24" customHeight="1">
      <c r="BC154" s="189"/>
    </row>
    <row r="155" spans="55:55" ht="24" customHeight="1">
      <c r="BC155" s="189"/>
    </row>
    <row r="156" spans="55:55" ht="24" customHeight="1">
      <c r="BC156" s="189"/>
    </row>
    <row r="157" spans="55:55" ht="24" customHeight="1">
      <c r="BC157" s="189"/>
    </row>
    <row r="158" spans="55:55" ht="24" customHeight="1">
      <c r="BC158" s="189"/>
    </row>
    <row r="159" spans="55:55" ht="24" customHeight="1">
      <c r="BC159" s="189"/>
    </row>
    <row r="160" spans="55:55" ht="24" customHeight="1">
      <c r="BC160" s="189"/>
    </row>
    <row r="161" spans="55:55" ht="24" customHeight="1">
      <c r="BC161" s="189"/>
    </row>
    <row r="162" spans="55:55" ht="24" customHeight="1">
      <c r="BC162" s="189"/>
    </row>
    <row r="163" spans="55:55" ht="24" customHeight="1">
      <c r="BC163" s="189"/>
    </row>
    <row r="164" spans="55:55" ht="24" customHeight="1">
      <c r="BC164" s="189"/>
    </row>
    <row r="165" spans="55:55" ht="24" customHeight="1">
      <c r="BC165" s="189"/>
    </row>
    <row r="166" spans="55:55" ht="24" customHeight="1">
      <c r="BC166" s="189"/>
    </row>
    <row r="167" spans="55:55" ht="24" customHeight="1">
      <c r="BC167" s="189"/>
    </row>
    <row r="168" spans="55:55" ht="24" customHeight="1">
      <c r="BC168" s="189"/>
    </row>
    <row r="169" spans="55:55" ht="24" customHeight="1">
      <c r="BC169" s="189"/>
    </row>
    <row r="170" spans="55:55" ht="24" customHeight="1">
      <c r="BC170" s="189"/>
    </row>
    <row r="171" spans="55:55" ht="24" customHeight="1">
      <c r="BC171" s="189"/>
    </row>
    <row r="172" spans="55:55" ht="24" customHeight="1">
      <c r="BC172" s="189"/>
    </row>
    <row r="173" spans="55:55" ht="24" customHeight="1">
      <c r="BC173" s="189"/>
    </row>
    <row r="174" spans="55:55" ht="24" customHeight="1">
      <c r="BC174" s="189"/>
    </row>
    <row r="175" spans="55:55" ht="24" customHeight="1">
      <c r="BC175" s="189"/>
    </row>
    <row r="176" spans="55:55" ht="24" customHeight="1">
      <c r="BC176" s="189"/>
    </row>
    <row r="177" spans="55:55" ht="24" customHeight="1">
      <c r="BC177" s="189"/>
    </row>
    <row r="178" spans="55:55" ht="24" customHeight="1">
      <c r="BC178" s="189"/>
    </row>
    <row r="179" spans="55:55" ht="24" customHeight="1">
      <c r="BC179" s="189"/>
    </row>
    <row r="180" spans="55:55" ht="24" customHeight="1">
      <c r="BC180" s="189"/>
    </row>
    <row r="181" spans="55:55" ht="24" customHeight="1">
      <c r="BC181" s="189"/>
    </row>
    <row r="182" spans="55:55" ht="24" customHeight="1">
      <c r="BC182" s="189"/>
    </row>
    <row r="183" spans="55:55" ht="24" customHeight="1">
      <c r="BC183" s="189"/>
    </row>
    <row r="184" spans="55:55">
      <c r="BC184" s="189"/>
    </row>
    <row r="185" spans="55:55">
      <c r="BC185" s="189"/>
    </row>
    <row r="186" spans="55:55">
      <c r="BC186" s="189"/>
    </row>
    <row r="187" spans="55:55">
      <c r="BC187" s="189"/>
    </row>
    <row r="188" spans="55:55">
      <c r="BC188" s="189"/>
    </row>
    <row r="189" spans="55:55">
      <c r="BC189" s="189"/>
    </row>
    <row r="190" spans="55:55">
      <c r="BC190" s="189"/>
    </row>
    <row r="191" spans="55:55">
      <c r="BC191" s="189"/>
    </row>
    <row r="192" spans="55:55">
      <c r="BC192" s="189"/>
    </row>
    <row r="193" spans="55:55">
      <c r="BC193" s="189"/>
    </row>
    <row r="194" spans="55:55">
      <c r="BC194" s="189"/>
    </row>
    <row r="195" spans="55:55">
      <c r="BC195" s="189"/>
    </row>
    <row r="196" spans="55:55">
      <c r="BC196" s="189"/>
    </row>
    <row r="197" spans="55:55">
      <c r="BC197" s="189"/>
    </row>
    <row r="198" spans="55:55">
      <c r="BC198" s="189"/>
    </row>
    <row r="199" spans="55:55">
      <c r="BC199" s="189"/>
    </row>
    <row r="200" spans="55:55">
      <c r="BC200" s="189"/>
    </row>
    <row r="201" spans="55:55">
      <c r="BC201" s="189"/>
    </row>
    <row r="202" spans="55:55">
      <c r="BC202" s="189"/>
    </row>
    <row r="203" spans="55:55">
      <c r="BC203" s="189"/>
    </row>
    <row r="204" spans="55:55">
      <c r="BC204" s="189"/>
    </row>
    <row r="205" spans="55:55">
      <c r="BC205" s="189"/>
    </row>
    <row r="206" spans="55:55">
      <c r="BC206" s="189"/>
    </row>
    <row r="207" spans="55:55">
      <c r="BC207" s="189"/>
    </row>
    <row r="208" spans="55:55">
      <c r="BC208" s="189"/>
    </row>
    <row r="209" spans="55:55">
      <c r="BC209" s="189"/>
    </row>
    <row r="210" spans="55:55">
      <c r="BC210" s="189"/>
    </row>
    <row r="211" spans="55:55">
      <c r="BC211" s="189"/>
    </row>
    <row r="212" spans="55:55">
      <c r="BC212" s="189"/>
    </row>
    <row r="213" spans="55:55">
      <c r="BC213" s="189"/>
    </row>
    <row r="214" spans="55:55">
      <c r="BC214" s="189"/>
    </row>
    <row r="215" spans="55:55">
      <c r="BC215" s="189"/>
    </row>
    <row r="216" spans="55:55">
      <c r="BC216" s="189"/>
    </row>
    <row r="217" spans="55:55">
      <c r="BC217" s="189"/>
    </row>
    <row r="218" spans="55:55">
      <c r="BC218" s="189"/>
    </row>
    <row r="219" spans="55:55">
      <c r="BC219" s="189"/>
    </row>
    <row r="220" spans="55:55">
      <c r="BC220" s="189"/>
    </row>
    <row r="221" spans="55:55">
      <c r="BC221" s="189"/>
    </row>
    <row r="222" spans="55:55">
      <c r="BC222" s="189"/>
    </row>
    <row r="223" spans="55:55">
      <c r="BC223" s="189"/>
    </row>
    <row r="224" spans="55:55">
      <c r="BC224" s="189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2023.07</vt:lpstr>
      <vt:lpstr>2023.08</vt:lpstr>
      <vt:lpstr>2023.09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IGA</dc:creator>
  <cp:lastModifiedBy>SATOSHI IGA</cp:lastModifiedBy>
  <dcterms:created xsi:type="dcterms:W3CDTF">2026-02-11T09:12:17Z</dcterms:created>
  <dcterms:modified xsi:type="dcterms:W3CDTF">2026-02-11T09:13:58Z</dcterms:modified>
</cp:coreProperties>
</file>