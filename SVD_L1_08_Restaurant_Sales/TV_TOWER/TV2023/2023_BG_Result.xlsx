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date1904="1"/>
  <mc:AlternateContent xmlns:mc="http://schemas.openxmlformats.org/markup-compatibility/2006">
    <mc:Choice Requires="x15">
      <x15ac:absPath xmlns:x15ac="http://schemas.microsoft.com/office/spreadsheetml/2010/11/ac" url="/Users/satoshiiga/dotfiles/SVD_L1_08_Restaurant_Sales/TV_TOWER/TV2023/"/>
    </mc:Choice>
  </mc:AlternateContent>
  <xr:revisionPtr revIDLastSave="0" documentId="13_ncr:1_{2E216A9C-DB8A-B445-ADBD-F3E7E8A936E0}" xr6:coauthVersionLast="47" xr6:coauthVersionMax="47" xr10:uidLastSave="{00000000-0000-0000-0000-000000000000}"/>
  <bookViews>
    <workbookView xWindow="2000" yWindow="660" windowWidth="28100" windowHeight="18880" firstSheet="5" activeTab="10" xr2:uid="{F528F252-A233-E440-9475-773F75A33E5B}"/>
  </bookViews>
  <sheets>
    <sheet name="レビュー" sheetId="45" r:id="rId1"/>
    <sheet name="計画値・予測・実績進捗" sheetId="39" r:id="rId2"/>
    <sheet name="2023.9月実績" sheetId="38" r:id="rId3"/>
    <sheet name="9月時間帯別売上実績 " sheetId="41" r:id="rId4"/>
    <sheet name="2023.8月実績" sheetId="37" r:id="rId5"/>
    <sheet name="8月時間帯別売上実績" sheetId="40" r:id="rId6"/>
    <sheet name="2023.7月実績" sheetId="36" r:id="rId7"/>
    <sheet name="7月時間帯別売上実績" sheetId="42" r:id="rId8"/>
    <sheet name="2023.6月実績" sheetId="35" r:id="rId9"/>
    <sheet name="6月時間帯別売上実績" sheetId="43" r:id="rId10"/>
    <sheet name="2023.5月実績" sheetId="33" r:id="rId11"/>
    <sheet name="5月時間帯別売上実績" sheetId="44" r:id="rId12"/>
  </sheets>
  <definedNames>
    <definedName name="_xlnm.Print_Area" localSheetId="0">レビュー!$A$1:$R$52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3" i="33" l="1"/>
  <c r="H62" i="33"/>
  <c r="H61" i="33"/>
  <c r="H60" i="33"/>
  <c r="H59" i="33"/>
  <c r="H58" i="33"/>
  <c r="H57" i="33"/>
  <c r="H53" i="33"/>
  <c r="H52" i="33"/>
  <c r="H51" i="33"/>
  <c r="H50" i="33"/>
  <c r="H49" i="33"/>
  <c r="H48" i="33"/>
  <c r="H47" i="33"/>
  <c r="H43" i="33"/>
  <c r="H42" i="33"/>
  <c r="H41" i="33"/>
  <c r="H40" i="33"/>
  <c r="H39" i="33"/>
  <c r="H38" i="33"/>
  <c r="H37" i="33"/>
  <c r="H33" i="33"/>
  <c r="H32" i="33"/>
  <c r="H31" i="33"/>
  <c r="H30" i="33"/>
  <c r="H29" i="33"/>
  <c r="H28" i="33"/>
  <c r="H27" i="33"/>
  <c r="H23" i="33"/>
  <c r="H22" i="33"/>
  <c r="H21" i="33"/>
  <c r="H20" i="33"/>
  <c r="H19" i="33"/>
  <c r="H18" i="33"/>
  <c r="H17" i="33"/>
  <c r="H8" i="33"/>
  <c r="H9" i="33"/>
  <c r="H10" i="33"/>
  <c r="H11" i="33"/>
  <c r="H12" i="33"/>
  <c r="H13" i="33"/>
  <c r="H7" i="33"/>
  <c r="H63" i="35"/>
  <c r="H62" i="35"/>
  <c r="H61" i="35"/>
  <c r="H60" i="35"/>
  <c r="H59" i="35"/>
  <c r="H58" i="35"/>
  <c r="H57" i="35"/>
  <c r="H53" i="35"/>
  <c r="H52" i="35"/>
  <c r="H51" i="35"/>
  <c r="H50" i="35"/>
  <c r="H49" i="35"/>
  <c r="H48" i="35"/>
  <c r="H47" i="35"/>
  <c r="H43" i="35"/>
  <c r="H42" i="35"/>
  <c r="H41" i="35"/>
  <c r="H40" i="35"/>
  <c r="H39" i="35"/>
  <c r="H38" i="35"/>
  <c r="H37" i="35"/>
  <c r="H33" i="35"/>
  <c r="H32" i="35"/>
  <c r="H31" i="35"/>
  <c r="H30" i="35"/>
  <c r="H29" i="35"/>
  <c r="H28" i="35"/>
  <c r="H27" i="35"/>
  <c r="H23" i="35"/>
  <c r="H22" i="35"/>
  <c r="H21" i="35"/>
  <c r="H20" i="35"/>
  <c r="H19" i="35"/>
  <c r="H18" i="35"/>
  <c r="H17" i="35"/>
  <c r="H8" i="35"/>
  <c r="H9" i="35"/>
  <c r="H10" i="35"/>
  <c r="H11" i="35"/>
  <c r="H12" i="35"/>
  <c r="H13" i="35"/>
  <c r="H7" i="35"/>
  <c r="D63" i="36"/>
  <c r="D62" i="36"/>
  <c r="D61" i="36"/>
  <c r="D60" i="36"/>
  <c r="D59" i="36"/>
  <c r="D58" i="36"/>
  <c r="D57" i="36"/>
  <c r="D53" i="36"/>
  <c r="D52" i="36"/>
  <c r="D51" i="36"/>
  <c r="D50" i="36"/>
  <c r="D49" i="36"/>
  <c r="D48" i="36"/>
  <c r="D47" i="36"/>
  <c r="D43" i="36"/>
  <c r="D42" i="36"/>
  <c r="D41" i="36"/>
  <c r="D40" i="36"/>
  <c r="D39" i="36"/>
  <c r="D38" i="36"/>
  <c r="D37" i="36"/>
  <c r="D33" i="36"/>
  <c r="D32" i="36"/>
  <c r="D31" i="36"/>
  <c r="D30" i="36"/>
  <c r="D29" i="36"/>
  <c r="D28" i="36"/>
  <c r="D27" i="36"/>
  <c r="D23" i="36"/>
  <c r="D22" i="36"/>
  <c r="D21" i="36"/>
  <c r="D20" i="36"/>
  <c r="D19" i="36"/>
  <c r="D18" i="36"/>
  <c r="D17" i="36"/>
  <c r="D13" i="36"/>
  <c r="D12" i="36"/>
  <c r="D11" i="36"/>
  <c r="D10" i="36"/>
  <c r="D9" i="36"/>
  <c r="D8" i="36"/>
  <c r="D7" i="36"/>
  <c r="D63" i="37"/>
  <c r="D62" i="37"/>
  <c r="D61" i="37"/>
  <c r="D60" i="37"/>
  <c r="D59" i="37"/>
  <c r="D58" i="37"/>
  <c r="D57" i="37"/>
  <c r="D53" i="37"/>
  <c r="D52" i="37"/>
  <c r="D51" i="37"/>
  <c r="D50" i="37"/>
  <c r="D49" i="37"/>
  <c r="D48" i="37"/>
  <c r="D47" i="37"/>
  <c r="D43" i="37"/>
  <c r="D42" i="37"/>
  <c r="D41" i="37"/>
  <c r="D40" i="37"/>
  <c r="D39" i="37"/>
  <c r="D38" i="37"/>
  <c r="D37" i="37"/>
  <c r="D33" i="37"/>
  <c r="D32" i="37"/>
  <c r="D31" i="37"/>
  <c r="D30" i="37"/>
  <c r="D29" i="37"/>
  <c r="D28" i="37"/>
  <c r="D27" i="37"/>
  <c r="D23" i="37"/>
  <c r="D22" i="37"/>
  <c r="D21" i="37"/>
  <c r="D20" i="37"/>
  <c r="D19" i="37"/>
  <c r="D18" i="37"/>
  <c r="D17" i="37"/>
  <c r="D8" i="37"/>
  <c r="D9" i="37"/>
  <c r="D10" i="37"/>
  <c r="D11" i="37"/>
  <c r="D12" i="37"/>
  <c r="D13" i="37"/>
  <c r="D7" i="37"/>
  <c r="B74" i="38" l="1"/>
  <c r="Q5" i="39"/>
  <c r="O25" i="39"/>
  <c r="O26" i="39"/>
  <c r="O27" i="39"/>
  <c r="O28" i="39"/>
  <c r="M28" i="39"/>
  <c r="N28" i="39"/>
  <c r="N26" i="39"/>
  <c r="N27" i="39"/>
  <c r="N25" i="39"/>
  <c r="L28" i="39"/>
  <c r="H18" i="45"/>
  <c r="G18" i="45"/>
  <c r="H17" i="45"/>
  <c r="G17" i="45"/>
  <c r="H16" i="45"/>
  <c r="G16" i="45"/>
  <c r="H15" i="45"/>
  <c r="G15" i="45"/>
  <c r="H14" i="45"/>
  <c r="G14" i="45"/>
  <c r="H13" i="45"/>
  <c r="G13" i="45"/>
  <c r="H9" i="45"/>
  <c r="G9" i="45"/>
  <c r="H8" i="45"/>
  <c r="G8" i="45"/>
  <c r="H7" i="45"/>
  <c r="G7" i="45"/>
  <c r="H6" i="45"/>
  <c r="G6" i="45"/>
  <c r="H5" i="45"/>
  <c r="G5" i="45"/>
  <c r="H4" i="45"/>
  <c r="G4" i="45"/>
  <c r="H23" i="45"/>
  <c r="H24" i="45"/>
  <c r="H25" i="45"/>
  <c r="H26" i="45"/>
  <c r="H27" i="45"/>
  <c r="H22" i="45"/>
  <c r="G23" i="45"/>
  <c r="G24" i="45"/>
  <c r="G25" i="45"/>
  <c r="G26" i="45"/>
  <c r="G27" i="45"/>
  <c r="G22" i="45"/>
  <c r="I17" i="45"/>
  <c r="I16" i="45"/>
  <c r="I15" i="45"/>
  <c r="I14" i="45"/>
  <c r="I13" i="45"/>
  <c r="I5" i="45"/>
  <c r="I6" i="45"/>
  <c r="I7" i="45"/>
  <c r="I8" i="45"/>
  <c r="I4" i="45"/>
  <c r="X9" i="39"/>
  <c r="W9" i="39"/>
  <c r="U9" i="39"/>
  <c r="V9" i="39"/>
  <c r="T9" i="39"/>
  <c r="N8" i="39"/>
  <c r="N7" i="39"/>
  <c r="Q7" i="39"/>
  <c r="E52" i="45" l="1"/>
  <c r="C52" i="45"/>
  <c r="I52" i="45" s="1"/>
  <c r="B52" i="45"/>
  <c r="I51" i="45"/>
  <c r="G51" i="45"/>
  <c r="H51" i="45" s="1"/>
  <c r="F51" i="45"/>
  <c r="D51" i="45"/>
  <c r="I50" i="45"/>
  <c r="G50" i="45"/>
  <c r="H50" i="45" s="1"/>
  <c r="F50" i="45"/>
  <c r="D50" i="45"/>
  <c r="I49" i="45"/>
  <c r="G49" i="45"/>
  <c r="H49" i="45" s="1"/>
  <c r="F49" i="45"/>
  <c r="D49" i="45"/>
  <c r="I48" i="45"/>
  <c r="G48" i="45"/>
  <c r="G52" i="45" s="1"/>
  <c r="F48" i="45"/>
  <c r="D48" i="45"/>
  <c r="I47" i="45"/>
  <c r="G47" i="45"/>
  <c r="H47" i="45" s="1"/>
  <c r="F47" i="45"/>
  <c r="D47" i="45"/>
  <c r="C43" i="45"/>
  <c r="B43" i="45"/>
  <c r="D42" i="45"/>
  <c r="D41" i="45"/>
  <c r="D40" i="45"/>
  <c r="D39" i="45"/>
  <c r="D38" i="45"/>
  <c r="G36" i="45"/>
  <c r="E36" i="45"/>
  <c r="C36" i="45"/>
  <c r="B36" i="45"/>
  <c r="I35" i="45"/>
  <c r="E42" i="45" s="1"/>
  <c r="H35" i="45"/>
  <c r="F35" i="45"/>
  <c r="D35" i="45"/>
  <c r="I34" i="45"/>
  <c r="E41" i="45" s="1"/>
  <c r="G41" i="45" s="1"/>
  <c r="H41" i="45" s="1"/>
  <c r="H34" i="45"/>
  <c r="F34" i="45"/>
  <c r="D34" i="45"/>
  <c r="I33" i="45"/>
  <c r="E40" i="45" s="1"/>
  <c r="F40" i="45" s="1"/>
  <c r="H33" i="45"/>
  <c r="F33" i="45"/>
  <c r="D33" i="45"/>
  <c r="I32" i="45"/>
  <c r="E39" i="45" s="1"/>
  <c r="G39" i="45" s="1"/>
  <c r="H39" i="45" s="1"/>
  <c r="H32" i="45"/>
  <c r="F32" i="45"/>
  <c r="D32" i="45"/>
  <c r="I31" i="45"/>
  <c r="E38" i="45" s="1"/>
  <c r="H31" i="45"/>
  <c r="F31" i="45"/>
  <c r="D31" i="45"/>
  <c r="B26" i="45"/>
  <c r="B25" i="45"/>
  <c r="E25" i="45" s="1"/>
  <c r="B24" i="45"/>
  <c r="B23" i="45"/>
  <c r="B22" i="45"/>
  <c r="E22" i="45" s="1"/>
  <c r="D13" i="45"/>
  <c r="E13" i="45"/>
  <c r="D14" i="45"/>
  <c r="E14" i="45"/>
  <c r="D15" i="45"/>
  <c r="E15" i="45"/>
  <c r="D16" i="45"/>
  <c r="E16" i="45"/>
  <c r="D17" i="45"/>
  <c r="E17" i="45"/>
  <c r="B18" i="45"/>
  <c r="C18" i="45"/>
  <c r="F18" i="45"/>
  <c r="F9" i="45"/>
  <c r="E5" i="45"/>
  <c r="E6" i="45"/>
  <c r="E7" i="45"/>
  <c r="E8" i="45"/>
  <c r="E4" i="45"/>
  <c r="D5" i="45"/>
  <c r="D6" i="45"/>
  <c r="D7" i="45"/>
  <c r="D8" i="45"/>
  <c r="D4" i="45"/>
  <c r="B9" i="45"/>
  <c r="I9" i="45" s="1"/>
  <c r="C9" i="45"/>
  <c r="G36" i="44"/>
  <c r="E36" i="44"/>
  <c r="B36" i="44"/>
  <c r="K35" i="44"/>
  <c r="C35" i="43"/>
  <c r="D35" i="43"/>
  <c r="E35" i="43"/>
  <c r="F35" i="43"/>
  <c r="E36" i="43" s="1"/>
  <c r="G35" i="43"/>
  <c r="H35" i="43"/>
  <c r="I35" i="43"/>
  <c r="J35" i="43"/>
  <c r="K35" i="43"/>
  <c r="B35" i="43"/>
  <c r="B38" i="40"/>
  <c r="L28" i="40"/>
  <c r="B38" i="42"/>
  <c r="B36" i="43"/>
  <c r="H35" i="42"/>
  <c r="I35" i="42"/>
  <c r="J35" i="42"/>
  <c r="L35" i="42" s="1"/>
  <c r="K35" i="42"/>
  <c r="G35" i="42"/>
  <c r="L34" i="42"/>
  <c r="E36" i="42"/>
  <c r="B36" i="42"/>
  <c r="L33" i="42"/>
  <c r="L32" i="42"/>
  <c r="L31" i="42"/>
  <c r="L30" i="42"/>
  <c r="L29" i="42"/>
  <c r="L28" i="42"/>
  <c r="L27" i="42"/>
  <c r="L26" i="42"/>
  <c r="L25" i="42"/>
  <c r="L24" i="42"/>
  <c r="L23" i="42"/>
  <c r="L22" i="42"/>
  <c r="L21" i="42"/>
  <c r="L20" i="42"/>
  <c r="L19" i="42"/>
  <c r="L18" i="42"/>
  <c r="L17" i="42"/>
  <c r="L16" i="42"/>
  <c r="L15" i="42"/>
  <c r="L14" i="42"/>
  <c r="L13" i="42"/>
  <c r="L12" i="42"/>
  <c r="L11" i="42"/>
  <c r="L10" i="42"/>
  <c r="L9" i="42"/>
  <c r="L8" i="42"/>
  <c r="L7" i="42"/>
  <c r="L6" i="42"/>
  <c r="L5" i="42"/>
  <c r="L4" i="42"/>
  <c r="L46" i="41"/>
  <c r="L45" i="41"/>
  <c r="L40" i="41"/>
  <c r="H35" i="41"/>
  <c r="I35" i="41"/>
  <c r="G36" i="41" s="1"/>
  <c r="J35" i="41"/>
  <c r="K35" i="41"/>
  <c r="G35" i="41"/>
  <c r="F35" i="41"/>
  <c r="E35" i="41"/>
  <c r="E36" i="41" s="1"/>
  <c r="C35" i="41"/>
  <c r="D35" i="41"/>
  <c r="B35" i="41"/>
  <c r="B36" i="41" s="1"/>
  <c r="G36" i="40"/>
  <c r="E36" i="40"/>
  <c r="B36" i="40"/>
  <c r="L35" i="40"/>
  <c r="L34" i="40"/>
  <c r="L33" i="40"/>
  <c r="L32" i="40"/>
  <c r="L31" i="40"/>
  <c r="L30" i="40"/>
  <c r="L29" i="40"/>
  <c r="L27" i="40"/>
  <c r="L26" i="40"/>
  <c r="L25" i="40"/>
  <c r="L24" i="40"/>
  <c r="L23" i="40"/>
  <c r="L22" i="40"/>
  <c r="L21" i="40"/>
  <c r="L20" i="40"/>
  <c r="L19" i="40"/>
  <c r="L18" i="40"/>
  <c r="L17" i="40"/>
  <c r="L16" i="40"/>
  <c r="L15" i="40"/>
  <c r="L14" i="40"/>
  <c r="L13" i="40"/>
  <c r="L12" i="40"/>
  <c r="L11" i="40"/>
  <c r="L10" i="40"/>
  <c r="L9" i="40"/>
  <c r="L8" i="40"/>
  <c r="L7" i="40"/>
  <c r="L6" i="40"/>
  <c r="L5" i="40"/>
  <c r="L4" i="40"/>
  <c r="L5" i="41"/>
  <c r="L6" i="41"/>
  <c r="L7" i="41"/>
  <c r="L8" i="41"/>
  <c r="L9" i="41"/>
  <c r="L10" i="41"/>
  <c r="L11" i="41"/>
  <c r="L12" i="41"/>
  <c r="L13" i="41"/>
  <c r="L14" i="41"/>
  <c r="L15" i="41"/>
  <c r="L16" i="41"/>
  <c r="L17" i="41"/>
  <c r="L18" i="41"/>
  <c r="L19" i="41"/>
  <c r="L20" i="41"/>
  <c r="L21" i="41"/>
  <c r="L22" i="41"/>
  <c r="L23" i="41"/>
  <c r="L24" i="41"/>
  <c r="L25" i="41"/>
  <c r="L26" i="41"/>
  <c r="L27" i="41"/>
  <c r="L28" i="41"/>
  <c r="L29" i="41"/>
  <c r="L30" i="41"/>
  <c r="L31" i="41"/>
  <c r="L32" i="41"/>
  <c r="L33" i="41"/>
  <c r="L34" i="41"/>
  <c r="L4" i="41"/>
  <c r="W34" i="37"/>
  <c r="I18" i="45" l="1"/>
  <c r="E9" i="45"/>
  <c r="B27" i="45"/>
  <c r="H52" i="45"/>
  <c r="D36" i="45"/>
  <c r="F36" i="45"/>
  <c r="D18" i="45"/>
  <c r="F27" i="45"/>
  <c r="I36" i="45"/>
  <c r="D22" i="45"/>
  <c r="D52" i="45"/>
  <c r="D43" i="45"/>
  <c r="C27" i="45"/>
  <c r="E18" i="45"/>
  <c r="F52" i="45"/>
  <c r="E43" i="45"/>
  <c r="F43" i="45" s="1"/>
  <c r="G38" i="45"/>
  <c r="F38" i="45"/>
  <c r="F42" i="45"/>
  <c r="G42" i="45"/>
  <c r="H42" i="45" s="1"/>
  <c r="F39" i="45"/>
  <c r="D24" i="45"/>
  <c r="F41" i="45"/>
  <c r="E24" i="45"/>
  <c r="H36" i="45"/>
  <c r="D26" i="45"/>
  <c r="H48" i="45"/>
  <c r="D25" i="45"/>
  <c r="G40" i="45"/>
  <c r="H40" i="45" s="1"/>
  <c r="E26" i="45"/>
  <c r="D23" i="45"/>
  <c r="E23" i="45"/>
  <c r="D9" i="45"/>
  <c r="L36" i="44"/>
  <c r="B37" i="44" s="1"/>
  <c r="G36" i="43"/>
  <c r="L35" i="43"/>
  <c r="L36" i="43"/>
  <c r="G36" i="42"/>
  <c r="L36" i="42"/>
  <c r="B37" i="42" s="1"/>
  <c r="L35" i="41"/>
  <c r="L36" i="40"/>
  <c r="B37" i="40" s="1"/>
  <c r="L36" i="41"/>
  <c r="B37" i="41" s="1"/>
  <c r="D27" i="45" l="1"/>
  <c r="E27" i="45"/>
  <c r="H38" i="45"/>
  <c r="G43" i="45"/>
  <c r="H43" i="45" s="1"/>
  <c r="G37" i="44"/>
  <c r="E37" i="44"/>
  <c r="B38" i="44" s="1"/>
  <c r="E37" i="43"/>
  <c r="B37" i="43"/>
  <c r="B38" i="43" s="1"/>
  <c r="G37" i="43"/>
  <c r="G37" i="42"/>
  <c r="E37" i="42"/>
  <c r="E37" i="40"/>
  <c r="L37" i="40" s="1"/>
  <c r="G37" i="40"/>
  <c r="E37" i="41"/>
  <c r="G37" i="41"/>
  <c r="X73" i="38"/>
  <c r="W73" i="38"/>
  <c r="V73" i="38"/>
  <c r="U73" i="38"/>
  <c r="T73" i="38"/>
  <c r="X72" i="38"/>
  <c r="W72" i="38"/>
  <c r="V72" i="38"/>
  <c r="U72" i="38"/>
  <c r="T72" i="38"/>
  <c r="X71" i="38"/>
  <c r="W71" i="38"/>
  <c r="V71" i="38"/>
  <c r="U71" i="38"/>
  <c r="T71" i="38"/>
  <c r="X70" i="38"/>
  <c r="W70" i="38"/>
  <c r="V70" i="38"/>
  <c r="U70" i="38"/>
  <c r="T70" i="38"/>
  <c r="X69" i="38"/>
  <c r="W69" i="38"/>
  <c r="V69" i="38"/>
  <c r="U69" i="38"/>
  <c r="T69" i="38"/>
  <c r="X68" i="38"/>
  <c r="W68" i="38"/>
  <c r="V68" i="38"/>
  <c r="U68" i="38"/>
  <c r="T68" i="38"/>
  <c r="X67" i="38"/>
  <c r="W67" i="38"/>
  <c r="V67" i="38"/>
  <c r="U67" i="38"/>
  <c r="T67" i="38"/>
  <c r="T65" i="38"/>
  <c r="X64" i="38"/>
  <c r="W64" i="38"/>
  <c r="V64" i="38"/>
  <c r="Y64" i="38" s="1"/>
  <c r="U64" i="38"/>
  <c r="T64" i="38"/>
  <c r="Y63" i="38"/>
  <c r="Y62" i="38"/>
  <c r="Y61" i="38"/>
  <c r="Y60" i="38"/>
  <c r="Y59" i="38"/>
  <c r="Y58" i="38"/>
  <c r="Y57" i="38"/>
  <c r="T55" i="38"/>
  <c r="X54" i="38"/>
  <c r="W54" i="38"/>
  <c r="V54" i="38"/>
  <c r="Y54" i="38" s="1"/>
  <c r="U54" i="38"/>
  <c r="T54" i="38"/>
  <c r="Y53" i="38"/>
  <c r="Y52" i="38"/>
  <c r="Y51" i="38"/>
  <c r="Y50" i="38"/>
  <c r="Y49" i="38"/>
  <c r="Y48" i="38"/>
  <c r="Y47" i="38"/>
  <c r="T45" i="38"/>
  <c r="X44" i="38"/>
  <c r="W44" i="38"/>
  <c r="V44" i="38"/>
  <c r="Y44" i="38" s="1"/>
  <c r="U44" i="38"/>
  <c r="T44" i="38"/>
  <c r="Y43" i="38"/>
  <c r="Y42" i="38"/>
  <c r="Y41" i="38"/>
  <c r="Y40" i="38"/>
  <c r="Y39" i="38"/>
  <c r="Y38" i="38"/>
  <c r="Y37" i="38"/>
  <c r="T35" i="38"/>
  <c r="X34" i="38"/>
  <c r="W34" i="38"/>
  <c r="V34" i="38"/>
  <c r="U34" i="38"/>
  <c r="T34" i="38"/>
  <c r="Y33" i="38"/>
  <c r="Y32" i="38"/>
  <c r="Y31" i="38"/>
  <c r="Y30" i="38"/>
  <c r="Y29" i="38"/>
  <c r="Y28" i="38"/>
  <c r="Y27" i="38"/>
  <c r="T25" i="38"/>
  <c r="X24" i="38"/>
  <c r="W24" i="38"/>
  <c r="V24" i="38"/>
  <c r="U24" i="38"/>
  <c r="T24" i="38"/>
  <c r="Y23" i="38"/>
  <c r="Y22" i="38"/>
  <c r="Y21" i="38"/>
  <c r="Y20" i="38"/>
  <c r="Y19" i="38"/>
  <c r="Y18" i="38"/>
  <c r="Y17" i="38"/>
  <c r="T15" i="38"/>
  <c r="X14" i="38"/>
  <c r="W14" i="38"/>
  <c r="V14" i="38"/>
  <c r="U14" i="38"/>
  <c r="T14" i="38"/>
  <c r="Y13" i="38"/>
  <c r="Y12" i="38"/>
  <c r="Y11" i="38"/>
  <c r="Y10" i="38"/>
  <c r="Y9" i="38"/>
  <c r="Y8" i="38"/>
  <c r="Y7" i="38"/>
  <c r="T5" i="38"/>
  <c r="X73" i="37"/>
  <c r="W73" i="37"/>
  <c r="V73" i="37"/>
  <c r="U73" i="37"/>
  <c r="T73" i="37"/>
  <c r="S73" i="37"/>
  <c r="X72" i="37"/>
  <c r="W72" i="37"/>
  <c r="V72" i="37"/>
  <c r="U72" i="37"/>
  <c r="T72" i="37"/>
  <c r="X71" i="37"/>
  <c r="W71" i="37"/>
  <c r="V71" i="37"/>
  <c r="U71" i="37"/>
  <c r="T71" i="37"/>
  <c r="X70" i="37"/>
  <c r="W70" i="37"/>
  <c r="V70" i="37"/>
  <c r="U70" i="37"/>
  <c r="T70" i="37"/>
  <c r="X69" i="37"/>
  <c r="W69" i="37"/>
  <c r="V69" i="37"/>
  <c r="U69" i="37"/>
  <c r="T69" i="37"/>
  <c r="X68" i="37"/>
  <c r="W68" i="37"/>
  <c r="V68" i="37"/>
  <c r="U68" i="37"/>
  <c r="T68" i="37"/>
  <c r="X67" i="37"/>
  <c r="W67" i="37"/>
  <c r="V67" i="37"/>
  <c r="U67" i="37"/>
  <c r="T67" i="37"/>
  <c r="T65" i="37"/>
  <c r="X64" i="37"/>
  <c r="W64" i="37"/>
  <c r="V64" i="37"/>
  <c r="Y64" i="37" s="1"/>
  <c r="U64" i="37"/>
  <c r="T64" i="37"/>
  <c r="Y63" i="37"/>
  <c r="Y62" i="37"/>
  <c r="Y61" i="37"/>
  <c r="Y60" i="37"/>
  <c r="Y59" i="37"/>
  <c r="Y58" i="37"/>
  <c r="Y57" i="37"/>
  <c r="T55" i="37"/>
  <c r="X54" i="37"/>
  <c r="W54" i="37"/>
  <c r="V54" i="37"/>
  <c r="U54" i="37"/>
  <c r="T54" i="37"/>
  <c r="Y53" i="37"/>
  <c r="Y52" i="37"/>
  <c r="Y51" i="37"/>
  <c r="Y50" i="37"/>
  <c r="Y49" i="37"/>
  <c r="Y48" i="37"/>
  <c r="Y47" i="37"/>
  <c r="T45" i="37"/>
  <c r="X44" i="37"/>
  <c r="W44" i="37"/>
  <c r="V44" i="37"/>
  <c r="U44" i="37"/>
  <c r="T44" i="37"/>
  <c r="Y43" i="37"/>
  <c r="Y42" i="37"/>
  <c r="Y41" i="37"/>
  <c r="Y40" i="37"/>
  <c r="Y39" i="37"/>
  <c r="Y38" i="37"/>
  <c r="Y37" i="37"/>
  <c r="T35" i="37"/>
  <c r="X34" i="37"/>
  <c r="V34" i="37"/>
  <c r="U34" i="37"/>
  <c r="T34" i="37"/>
  <c r="Y33" i="37"/>
  <c r="Y32" i="37"/>
  <c r="Y31" i="37"/>
  <c r="Y30" i="37"/>
  <c r="Y29" i="37"/>
  <c r="Y28" i="37"/>
  <c r="Y27" i="37"/>
  <c r="T25" i="37"/>
  <c r="X24" i="37"/>
  <c r="W24" i="37"/>
  <c r="V24" i="37"/>
  <c r="U24" i="37"/>
  <c r="T24" i="37"/>
  <c r="Y23" i="37"/>
  <c r="Y22" i="37"/>
  <c r="Y21" i="37"/>
  <c r="Y20" i="37"/>
  <c r="Y19" i="37"/>
  <c r="Y18" i="37"/>
  <c r="Y17" i="37"/>
  <c r="T15" i="37"/>
  <c r="X14" i="37"/>
  <c r="W14" i="37"/>
  <c r="V14" i="37"/>
  <c r="U14" i="37"/>
  <c r="T14" i="37"/>
  <c r="Y13" i="37"/>
  <c r="Y12" i="37"/>
  <c r="Y11" i="37"/>
  <c r="Y10" i="37"/>
  <c r="Y9" i="37"/>
  <c r="Y8" i="37"/>
  <c r="Y7" i="37"/>
  <c r="T5" i="37"/>
  <c r="AB73" i="33"/>
  <c r="AA73" i="33"/>
  <c r="Z73" i="33"/>
  <c r="Y73" i="33"/>
  <c r="X73" i="33"/>
  <c r="W73" i="33"/>
  <c r="AB72" i="33"/>
  <c r="AA72" i="33"/>
  <c r="Z72" i="33"/>
  <c r="Y72" i="33"/>
  <c r="X72" i="33"/>
  <c r="AB71" i="33"/>
  <c r="AA71" i="33"/>
  <c r="Z71" i="33"/>
  <c r="AC71" i="33" s="1"/>
  <c r="Y71" i="33"/>
  <c r="X71" i="33"/>
  <c r="AB70" i="33"/>
  <c r="AA70" i="33"/>
  <c r="Z70" i="33"/>
  <c r="Y70" i="33"/>
  <c r="X70" i="33"/>
  <c r="AB69" i="33"/>
  <c r="AA69" i="33"/>
  <c r="Z69" i="33"/>
  <c r="Y69" i="33"/>
  <c r="X69" i="33"/>
  <c r="AB68" i="33"/>
  <c r="AA68" i="33"/>
  <c r="Z68" i="33"/>
  <c r="Y68" i="33"/>
  <c r="X68" i="33"/>
  <c r="AB67" i="33"/>
  <c r="AA67" i="33"/>
  <c r="Z67" i="33"/>
  <c r="Y67" i="33"/>
  <c r="X67" i="33"/>
  <c r="X65" i="33"/>
  <c r="AB64" i="33"/>
  <c r="AA64" i="33"/>
  <c r="Z64" i="33"/>
  <c r="AC64" i="33" s="1"/>
  <c r="Y64" i="33"/>
  <c r="X64" i="33"/>
  <c r="AC63" i="33"/>
  <c r="AC62" i="33"/>
  <c r="AC61" i="33"/>
  <c r="AC60" i="33"/>
  <c r="AC59" i="33"/>
  <c r="AC58" i="33"/>
  <c r="AC57" i="33"/>
  <c r="X55" i="33"/>
  <c r="AB54" i="33"/>
  <c r="AA54" i="33"/>
  <c r="Z54" i="33"/>
  <c r="Y54" i="33"/>
  <c r="X54" i="33"/>
  <c r="AC53" i="33"/>
  <c r="AC52" i="33"/>
  <c r="AC51" i="33"/>
  <c r="AC50" i="33"/>
  <c r="AC49" i="33"/>
  <c r="AC48" i="33"/>
  <c r="AC47" i="33"/>
  <c r="X45" i="33"/>
  <c r="AB44" i="33"/>
  <c r="AA44" i="33"/>
  <c r="Z44" i="33"/>
  <c r="Y44" i="33"/>
  <c r="X44" i="33"/>
  <c r="AC43" i="33"/>
  <c r="AC42" i="33"/>
  <c r="AC41" i="33"/>
  <c r="AC40" i="33"/>
  <c r="AC39" i="33"/>
  <c r="AC38" i="33"/>
  <c r="AC37" i="33"/>
  <c r="X35" i="33"/>
  <c r="AB34" i="33"/>
  <c r="AA34" i="33"/>
  <c r="Z34" i="33"/>
  <c r="Y34" i="33"/>
  <c r="X34" i="33"/>
  <c r="AC33" i="33"/>
  <c r="AC32" i="33"/>
  <c r="AC31" i="33"/>
  <c r="AC30" i="33"/>
  <c r="AC29" i="33"/>
  <c r="AC28" i="33"/>
  <c r="AC27" i="33"/>
  <c r="X25" i="33"/>
  <c r="AB24" i="33"/>
  <c r="AA24" i="33"/>
  <c r="Z24" i="33"/>
  <c r="AC24" i="33" s="1"/>
  <c r="Y24" i="33"/>
  <c r="X24" i="33"/>
  <c r="AC23" i="33"/>
  <c r="AC22" i="33"/>
  <c r="AC21" i="33"/>
  <c r="AC20" i="33"/>
  <c r="AC19" i="33"/>
  <c r="AC18" i="33"/>
  <c r="AC17" i="33"/>
  <c r="X15" i="33"/>
  <c r="AB14" i="33"/>
  <c r="AA14" i="33"/>
  <c r="Z14" i="33"/>
  <c r="AC14" i="33" s="1"/>
  <c r="Y14" i="33"/>
  <c r="X14" i="33"/>
  <c r="AC13" i="33"/>
  <c r="AC12" i="33"/>
  <c r="AC11" i="33"/>
  <c r="AC10" i="33"/>
  <c r="AC9" i="33"/>
  <c r="AC8" i="33"/>
  <c r="AC7" i="33"/>
  <c r="X5" i="33"/>
  <c r="AB73" i="35"/>
  <c r="AA73" i="35"/>
  <c r="Z73" i="35"/>
  <c r="Y73" i="35"/>
  <c r="X73" i="35"/>
  <c r="W73" i="35"/>
  <c r="AB72" i="35"/>
  <c r="AA72" i="35"/>
  <c r="Z72" i="35"/>
  <c r="Y72" i="35"/>
  <c r="X72" i="35"/>
  <c r="AB71" i="35"/>
  <c r="AA71" i="35"/>
  <c r="Z71" i="35"/>
  <c r="Y71" i="35"/>
  <c r="X71" i="35"/>
  <c r="AB70" i="35"/>
  <c r="AA70" i="35"/>
  <c r="Z70" i="35"/>
  <c r="Y70" i="35"/>
  <c r="X70" i="35"/>
  <c r="AB69" i="35"/>
  <c r="AA69" i="35"/>
  <c r="Z69" i="35"/>
  <c r="Y69" i="35"/>
  <c r="X69" i="35"/>
  <c r="AB68" i="35"/>
  <c r="AA68" i="35"/>
  <c r="Z68" i="35"/>
  <c r="Y68" i="35"/>
  <c r="X68" i="35"/>
  <c r="AB67" i="35"/>
  <c r="AA67" i="35"/>
  <c r="Z67" i="35"/>
  <c r="Y67" i="35"/>
  <c r="X67" i="35"/>
  <c r="X65" i="35"/>
  <c r="AB64" i="35"/>
  <c r="AA64" i="35"/>
  <c r="Z64" i="35"/>
  <c r="Y64" i="35"/>
  <c r="X64" i="35"/>
  <c r="AC63" i="35"/>
  <c r="AC62" i="35"/>
  <c r="AC61" i="35"/>
  <c r="AC60" i="35"/>
  <c r="AC59" i="35"/>
  <c r="AC58" i="35"/>
  <c r="AC57" i="35"/>
  <c r="X55" i="35"/>
  <c r="AB54" i="35"/>
  <c r="AA54" i="35"/>
  <c r="Z54" i="35"/>
  <c r="Y54" i="35"/>
  <c r="X54" i="35"/>
  <c r="AC53" i="35"/>
  <c r="AC52" i="35"/>
  <c r="AC51" i="35"/>
  <c r="AC50" i="35"/>
  <c r="AC49" i="35"/>
  <c r="AC48" i="35"/>
  <c r="AC47" i="35"/>
  <c r="X45" i="35"/>
  <c r="AB44" i="35"/>
  <c r="AA44" i="35"/>
  <c r="Z44" i="35"/>
  <c r="Y44" i="35"/>
  <c r="X44" i="35"/>
  <c r="AC43" i="35"/>
  <c r="AC42" i="35"/>
  <c r="AC41" i="35"/>
  <c r="AC40" i="35"/>
  <c r="AC39" i="35"/>
  <c r="AC38" i="35"/>
  <c r="AC37" i="35"/>
  <c r="X35" i="35"/>
  <c r="AB34" i="35"/>
  <c r="AA34" i="35"/>
  <c r="Z34" i="35"/>
  <c r="Y34" i="35"/>
  <c r="X34" i="35"/>
  <c r="AC33" i="35"/>
  <c r="AC32" i="35"/>
  <c r="AC31" i="35"/>
  <c r="AC30" i="35"/>
  <c r="AC29" i="35"/>
  <c r="AC28" i="35"/>
  <c r="AC27" i="35"/>
  <c r="X25" i="35"/>
  <c r="AB24" i="35"/>
  <c r="AA24" i="35"/>
  <c r="Z24" i="35"/>
  <c r="Y24" i="35"/>
  <c r="X24" i="35"/>
  <c r="AC23" i="35"/>
  <c r="AC22" i="35"/>
  <c r="AC21" i="35"/>
  <c r="AC20" i="35"/>
  <c r="AC19" i="35"/>
  <c r="AC18" i="35"/>
  <c r="AC17" i="35"/>
  <c r="X15" i="35"/>
  <c r="AB14" i="35"/>
  <c r="AA14" i="35"/>
  <c r="Z14" i="35"/>
  <c r="Y14" i="35"/>
  <c r="X14" i="35"/>
  <c r="AC13" i="35"/>
  <c r="AC12" i="35"/>
  <c r="AC11" i="35"/>
  <c r="AC10" i="35"/>
  <c r="AC9" i="35"/>
  <c r="AC8" i="35"/>
  <c r="AC7" i="35"/>
  <c r="X5" i="35"/>
  <c r="V68" i="36"/>
  <c r="W68" i="36"/>
  <c r="X68" i="36"/>
  <c r="V69" i="36"/>
  <c r="W69" i="36"/>
  <c r="X69" i="36"/>
  <c r="V70" i="36"/>
  <c r="W70" i="36"/>
  <c r="X70" i="36"/>
  <c r="V71" i="36"/>
  <c r="W71" i="36"/>
  <c r="X71" i="36"/>
  <c r="V72" i="36"/>
  <c r="W72" i="36"/>
  <c r="X72" i="36"/>
  <c r="V73" i="36"/>
  <c r="W73" i="36"/>
  <c r="X73" i="36"/>
  <c r="W67" i="36"/>
  <c r="X67" i="36"/>
  <c r="V67" i="36"/>
  <c r="Y63" i="36"/>
  <c r="Y62" i="36"/>
  <c r="Y61" i="36"/>
  <c r="Y60" i="36"/>
  <c r="Y59" i="36"/>
  <c r="Y58" i="36"/>
  <c r="Y57" i="36"/>
  <c r="Y53" i="36"/>
  <c r="Y52" i="36"/>
  <c r="Y51" i="36"/>
  <c r="Y50" i="36"/>
  <c r="Y49" i="36"/>
  <c r="Y48" i="36"/>
  <c r="Y47" i="36"/>
  <c r="Y43" i="36"/>
  <c r="Y42" i="36"/>
  <c r="Y41" i="36"/>
  <c r="Y40" i="36"/>
  <c r="Y39" i="36"/>
  <c r="Y38" i="36"/>
  <c r="Y37" i="36"/>
  <c r="Y33" i="36"/>
  <c r="Y32" i="36"/>
  <c r="Y31" i="36"/>
  <c r="Y30" i="36"/>
  <c r="Y29" i="36"/>
  <c r="Y28" i="36"/>
  <c r="Y27" i="36"/>
  <c r="Y23" i="36"/>
  <c r="Y22" i="36"/>
  <c r="Y21" i="36"/>
  <c r="Y20" i="36"/>
  <c r="Y19" i="36"/>
  <c r="Y18" i="36"/>
  <c r="Y17" i="36"/>
  <c r="X64" i="36"/>
  <c r="W64" i="36"/>
  <c r="V64" i="36"/>
  <c r="X54" i="36"/>
  <c r="W54" i="36"/>
  <c r="V54" i="36"/>
  <c r="X44" i="36"/>
  <c r="W44" i="36"/>
  <c r="V44" i="36"/>
  <c r="X34" i="36"/>
  <c r="W34" i="36"/>
  <c r="V34" i="36"/>
  <c r="X24" i="36"/>
  <c r="W24" i="36"/>
  <c r="V24" i="36"/>
  <c r="Y8" i="36"/>
  <c r="Y9" i="36"/>
  <c r="Y10" i="36"/>
  <c r="Y11" i="36"/>
  <c r="Y12" i="36"/>
  <c r="Y13" i="36"/>
  <c r="Y7" i="36"/>
  <c r="X14" i="36"/>
  <c r="W14" i="36"/>
  <c r="V14" i="36"/>
  <c r="U24" i="36"/>
  <c r="S73" i="36"/>
  <c r="U73" i="36"/>
  <c r="U72" i="36"/>
  <c r="U71" i="36"/>
  <c r="U70" i="36"/>
  <c r="U69" i="36"/>
  <c r="U68" i="36"/>
  <c r="U67" i="36"/>
  <c r="T73" i="36"/>
  <c r="T68" i="36"/>
  <c r="T69" i="36"/>
  <c r="T70" i="36"/>
  <c r="T71" i="36"/>
  <c r="T72" i="36"/>
  <c r="T67" i="36"/>
  <c r="T65" i="36"/>
  <c r="U64" i="36"/>
  <c r="T64" i="36"/>
  <c r="T55" i="36"/>
  <c r="U54" i="36"/>
  <c r="T54" i="36"/>
  <c r="T45" i="36"/>
  <c r="U44" i="36"/>
  <c r="T44" i="36"/>
  <c r="T35" i="36"/>
  <c r="U34" i="36"/>
  <c r="T34" i="36"/>
  <c r="T25" i="36"/>
  <c r="T24" i="36"/>
  <c r="T15" i="36"/>
  <c r="U14" i="36"/>
  <c r="T14" i="36"/>
  <c r="T5" i="36"/>
  <c r="Z9" i="39"/>
  <c r="Y9" i="39"/>
  <c r="AA8" i="39" s="1"/>
  <c r="Y69" i="36" l="1"/>
  <c r="Y14" i="36"/>
  <c r="Y67" i="36"/>
  <c r="Y72" i="36"/>
  <c r="Y68" i="36"/>
  <c r="W74" i="36"/>
  <c r="V74" i="38"/>
  <c r="V74" i="36"/>
  <c r="Y70" i="36"/>
  <c r="Y73" i="36"/>
  <c r="Y71" i="36"/>
  <c r="Y34" i="37"/>
  <c r="Y72" i="38"/>
  <c r="Y69" i="38"/>
  <c r="Y70" i="38"/>
  <c r="Y71" i="38"/>
  <c r="L37" i="44"/>
  <c r="L37" i="43"/>
  <c r="L37" i="42"/>
  <c r="L37" i="41"/>
  <c r="Y54" i="37"/>
  <c r="Y24" i="37"/>
  <c r="Y73" i="37"/>
  <c r="Y44" i="37"/>
  <c r="AC54" i="35"/>
  <c r="AC44" i="35"/>
  <c r="AC34" i="35"/>
  <c r="AC71" i="35"/>
  <c r="AC24" i="35"/>
  <c r="AC69" i="33"/>
  <c r="AC54" i="33"/>
  <c r="Y70" i="37"/>
  <c r="Y72" i="37"/>
  <c r="Y71" i="37"/>
  <c r="Y67" i="37"/>
  <c r="Y69" i="37"/>
  <c r="U74" i="37"/>
  <c r="Y68" i="37"/>
  <c r="T74" i="37"/>
  <c r="Y14" i="37"/>
  <c r="X74" i="37"/>
  <c r="V74" i="37"/>
  <c r="AC44" i="33"/>
  <c r="AC34" i="33"/>
  <c r="AC68" i="33"/>
  <c r="AC67" i="33"/>
  <c r="X74" i="33"/>
  <c r="AC72" i="33"/>
  <c r="AC70" i="33"/>
  <c r="AC73" i="33"/>
  <c r="Z74" i="33"/>
  <c r="AB74" i="33"/>
  <c r="AA74" i="33"/>
  <c r="Y74" i="33"/>
  <c r="AC64" i="35"/>
  <c r="Z74" i="35"/>
  <c r="Y74" i="35"/>
  <c r="AC73" i="35"/>
  <c r="AB74" i="35"/>
  <c r="AC69" i="35"/>
  <c r="AC70" i="35"/>
  <c r="AC68" i="35"/>
  <c r="AC72" i="35"/>
  <c r="X74" i="35"/>
  <c r="AC14" i="35"/>
  <c r="Y14" i="38"/>
  <c r="Y68" i="38"/>
  <c r="T74" i="38"/>
  <c r="Y73" i="38"/>
  <c r="Y34" i="38"/>
  <c r="X74" i="38"/>
  <c r="Y24" i="38"/>
  <c r="U74" i="38"/>
  <c r="Y67" i="38"/>
  <c r="W74" i="38"/>
  <c r="W74" i="37"/>
  <c r="AC67" i="35"/>
  <c r="AA74" i="35"/>
  <c r="X74" i="36"/>
  <c r="Y64" i="36"/>
  <c r="Y54" i="36"/>
  <c r="Y44" i="36"/>
  <c r="Y34" i="36"/>
  <c r="Y24" i="36"/>
  <c r="U74" i="36"/>
  <c r="T74" i="36"/>
  <c r="Q64" i="36"/>
  <c r="Q73" i="36"/>
  <c r="N4" i="39"/>
  <c r="N9" i="39" s="1"/>
  <c r="X5" i="39"/>
  <c r="X6" i="39"/>
  <c r="Q6" i="39" s="1"/>
  <c r="X7" i="39"/>
  <c r="X8" i="39"/>
  <c r="X4" i="39"/>
  <c r="Q4" i="39" s="1"/>
  <c r="R4" i="39" s="1"/>
  <c r="N5" i="39"/>
  <c r="N6" i="39"/>
  <c r="S9" i="39"/>
  <c r="Y74" i="36" l="1"/>
  <c r="Q8" i="39"/>
  <c r="Y74" i="37"/>
  <c r="AC74" i="33"/>
  <c r="AC74" i="35"/>
  <c r="Y74" i="38"/>
  <c r="R5" i="39"/>
  <c r="R6" i="39"/>
  <c r="Q54" i="36"/>
  <c r="O16" i="39"/>
  <c r="R8" i="39" l="1"/>
  <c r="Q9" i="39"/>
  <c r="L28" i="36"/>
  <c r="J64" i="37"/>
  <c r="J54" i="37"/>
  <c r="J44" i="37"/>
  <c r="J34" i="37"/>
  <c r="J24" i="37"/>
  <c r="J14" i="37"/>
  <c r="J73" i="37"/>
  <c r="J72" i="37"/>
  <c r="J71" i="37"/>
  <c r="J70" i="37"/>
  <c r="J69" i="37"/>
  <c r="J68" i="37"/>
  <c r="J67" i="37"/>
  <c r="J73" i="36"/>
  <c r="J72" i="36"/>
  <c r="J71" i="36"/>
  <c r="J70" i="36"/>
  <c r="J69" i="36"/>
  <c r="J68" i="36"/>
  <c r="J67" i="36"/>
  <c r="J24" i="36"/>
  <c r="J64" i="36"/>
  <c r="J54" i="36"/>
  <c r="J44" i="36"/>
  <c r="J34" i="36"/>
  <c r="J14" i="36"/>
  <c r="H34" i="36"/>
  <c r="J74" i="36" l="1"/>
  <c r="J74" i="37"/>
  <c r="N73" i="35" l="1"/>
  <c r="N72" i="35"/>
  <c r="N71" i="35"/>
  <c r="N70" i="35"/>
  <c r="N69" i="35"/>
  <c r="N68" i="35"/>
  <c r="N67" i="35"/>
  <c r="N64" i="35"/>
  <c r="N54" i="35"/>
  <c r="N44" i="35"/>
  <c r="N34" i="35"/>
  <c r="N24" i="35"/>
  <c r="N14" i="35"/>
  <c r="N74" i="35" l="1"/>
  <c r="F8" i="39"/>
  <c r="E9" i="39"/>
  <c r="F5" i="39"/>
  <c r="F6" i="39"/>
  <c r="F7" i="39"/>
  <c r="F4" i="39"/>
  <c r="G5" i="39"/>
  <c r="G6" i="39"/>
  <c r="G8" i="39"/>
  <c r="G4" i="39"/>
  <c r="Q34" i="38"/>
  <c r="Q24" i="38"/>
  <c r="Q14" i="38"/>
  <c r="Q64" i="37"/>
  <c r="Q54" i="37"/>
  <c r="Q44" i="37"/>
  <c r="Q34" i="37"/>
  <c r="Q24" i="37"/>
  <c r="Q14" i="37"/>
  <c r="Q44" i="36"/>
  <c r="Q34" i="36"/>
  <c r="Q24" i="36"/>
  <c r="Q14" i="36"/>
  <c r="U64" i="35"/>
  <c r="U54" i="35"/>
  <c r="U44" i="35"/>
  <c r="U34" i="35"/>
  <c r="U24" i="35"/>
  <c r="U14" i="35"/>
  <c r="Q73" i="38"/>
  <c r="Q72" i="38"/>
  <c r="Q71" i="38"/>
  <c r="Q70" i="38"/>
  <c r="Q69" i="38"/>
  <c r="Q68" i="38"/>
  <c r="Q67" i="38"/>
  <c r="Q73" i="37"/>
  <c r="Q72" i="37"/>
  <c r="Q71" i="37"/>
  <c r="Q70" i="37"/>
  <c r="Q69" i="37"/>
  <c r="Q68" i="37"/>
  <c r="Q67" i="37"/>
  <c r="Q72" i="36"/>
  <c r="Q71" i="36"/>
  <c r="Q70" i="36"/>
  <c r="Q69" i="36"/>
  <c r="Q68" i="36"/>
  <c r="Q67" i="36"/>
  <c r="U73" i="35"/>
  <c r="U72" i="35"/>
  <c r="U71" i="35"/>
  <c r="U70" i="35"/>
  <c r="U69" i="35"/>
  <c r="U68" i="35"/>
  <c r="U67" i="35"/>
  <c r="U73" i="33"/>
  <c r="U72" i="33"/>
  <c r="U71" i="33"/>
  <c r="U70" i="33"/>
  <c r="U69" i="33"/>
  <c r="U68" i="33"/>
  <c r="U67" i="33"/>
  <c r="U64" i="33"/>
  <c r="U54" i="33"/>
  <c r="U44" i="33"/>
  <c r="L80" i="38"/>
  <c r="H80" i="38"/>
  <c r="D74" i="38"/>
  <c r="H73" i="38"/>
  <c r="I73" i="38" s="1"/>
  <c r="G73" i="38"/>
  <c r="F73" i="38"/>
  <c r="E73" i="38"/>
  <c r="H72" i="38"/>
  <c r="F72" i="38"/>
  <c r="E72" i="38"/>
  <c r="H71" i="38"/>
  <c r="F71" i="38"/>
  <c r="E71" i="38"/>
  <c r="H70" i="38"/>
  <c r="F70" i="38"/>
  <c r="E70" i="38"/>
  <c r="H69" i="38"/>
  <c r="F69" i="38"/>
  <c r="E69" i="38"/>
  <c r="H68" i="38"/>
  <c r="F68" i="38"/>
  <c r="E68" i="38"/>
  <c r="H67" i="38"/>
  <c r="F67" i="38"/>
  <c r="E67" i="38"/>
  <c r="H64" i="38"/>
  <c r="F64" i="38"/>
  <c r="E64" i="38"/>
  <c r="L63" i="38"/>
  <c r="R63" i="38" s="1"/>
  <c r="I63" i="38"/>
  <c r="G63" i="38"/>
  <c r="L62" i="38"/>
  <c r="R62" i="38" s="1"/>
  <c r="I62" i="38"/>
  <c r="G62" i="38"/>
  <c r="L61" i="38"/>
  <c r="R61" i="38" s="1"/>
  <c r="I61" i="38"/>
  <c r="G61" i="38"/>
  <c r="L60" i="38"/>
  <c r="M60" i="38" s="1"/>
  <c r="I60" i="38"/>
  <c r="G60" i="38"/>
  <c r="L59" i="38"/>
  <c r="R59" i="38" s="1"/>
  <c r="I59" i="38"/>
  <c r="G59" i="38"/>
  <c r="L58" i="38"/>
  <c r="R58" i="38" s="1"/>
  <c r="I58" i="38"/>
  <c r="G58" i="38"/>
  <c r="L57" i="38"/>
  <c r="R57" i="38" s="1"/>
  <c r="I57" i="38"/>
  <c r="G57" i="38"/>
  <c r="H54" i="38"/>
  <c r="F54" i="38"/>
  <c r="E54" i="38"/>
  <c r="L53" i="38"/>
  <c r="R53" i="38" s="1"/>
  <c r="I53" i="38"/>
  <c r="G53" i="38"/>
  <c r="L52" i="38"/>
  <c r="R52" i="38" s="1"/>
  <c r="I52" i="38"/>
  <c r="G52" i="38"/>
  <c r="L51" i="38"/>
  <c r="R51" i="38" s="1"/>
  <c r="I51" i="38"/>
  <c r="G51" i="38"/>
  <c r="L50" i="38"/>
  <c r="R50" i="38" s="1"/>
  <c r="I50" i="38"/>
  <c r="G50" i="38"/>
  <c r="L49" i="38"/>
  <c r="R49" i="38" s="1"/>
  <c r="I49" i="38"/>
  <c r="G49" i="38"/>
  <c r="L48" i="38"/>
  <c r="R48" i="38" s="1"/>
  <c r="I48" i="38"/>
  <c r="G48" i="38"/>
  <c r="L47" i="38"/>
  <c r="R47" i="38" s="1"/>
  <c r="I47" i="38"/>
  <c r="G47" i="38"/>
  <c r="H44" i="38"/>
  <c r="F44" i="38"/>
  <c r="E44" i="38"/>
  <c r="L43" i="38"/>
  <c r="R43" i="38" s="1"/>
  <c r="I43" i="38"/>
  <c r="G43" i="38"/>
  <c r="L42" i="38"/>
  <c r="R42" i="38" s="1"/>
  <c r="I42" i="38"/>
  <c r="G42" i="38"/>
  <c r="L41" i="38"/>
  <c r="R41" i="38" s="1"/>
  <c r="I41" i="38"/>
  <c r="G41" i="38"/>
  <c r="L40" i="38"/>
  <c r="R40" i="38" s="1"/>
  <c r="I40" i="38"/>
  <c r="G40" i="38"/>
  <c r="L39" i="38"/>
  <c r="R39" i="38" s="1"/>
  <c r="I39" i="38"/>
  <c r="G39" i="38"/>
  <c r="L38" i="38"/>
  <c r="M38" i="38" s="1"/>
  <c r="I38" i="38"/>
  <c r="G38" i="38"/>
  <c r="L37" i="38"/>
  <c r="R37" i="38" s="1"/>
  <c r="I37" i="38"/>
  <c r="G37" i="38"/>
  <c r="H34" i="38"/>
  <c r="F34" i="38"/>
  <c r="E34" i="38"/>
  <c r="L33" i="38"/>
  <c r="R33" i="38" s="1"/>
  <c r="I33" i="38"/>
  <c r="G33" i="38"/>
  <c r="L32" i="38"/>
  <c r="R32" i="38" s="1"/>
  <c r="I32" i="38"/>
  <c r="G32" i="38"/>
  <c r="L31" i="38"/>
  <c r="R31" i="38" s="1"/>
  <c r="I31" i="38"/>
  <c r="G31" i="38"/>
  <c r="L30" i="38"/>
  <c r="R30" i="38" s="1"/>
  <c r="I30" i="38"/>
  <c r="G30" i="38"/>
  <c r="L29" i="38"/>
  <c r="R29" i="38" s="1"/>
  <c r="I29" i="38"/>
  <c r="G29" i="38"/>
  <c r="L28" i="38"/>
  <c r="R28" i="38" s="1"/>
  <c r="I28" i="38"/>
  <c r="G28" i="38"/>
  <c r="L27" i="38"/>
  <c r="R27" i="38" s="1"/>
  <c r="I27" i="38"/>
  <c r="G27" i="38"/>
  <c r="H24" i="38"/>
  <c r="F24" i="38"/>
  <c r="E24" i="38"/>
  <c r="L23" i="38"/>
  <c r="R23" i="38" s="1"/>
  <c r="I23" i="38"/>
  <c r="G23" i="38"/>
  <c r="L22" i="38"/>
  <c r="R22" i="38" s="1"/>
  <c r="I22" i="38"/>
  <c r="G22" i="38"/>
  <c r="L21" i="38"/>
  <c r="R21" i="38" s="1"/>
  <c r="I21" i="38"/>
  <c r="G21" i="38"/>
  <c r="L20" i="38"/>
  <c r="R20" i="38" s="1"/>
  <c r="I20" i="38"/>
  <c r="G20" i="38"/>
  <c r="L19" i="38"/>
  <c r="R19" i="38" s="1"/>
  <c r="I19" i="38"/>
  <c r="G19" i="38"/>
  <c r="L18" i="38"/>
  <c r="R18" i="38" s="1"/>
  <c r="I18" i="38"/>
  <c r="G18" i="38"/>
  <c r="L17" i="38"/>
  <c r="R17" i="38" s="1"/>
  <c r="I17" i="38"/>
  <c r="G17" i="38"/>
  <c r="H14" i="38"/>
  <c r="F14" i="38"/>
  <c r="E14" i="38"/>
  <c r="L13" i="38"/>
  <c r="R13" i="38" s="1"/>
  <c r="I13" i="38"/>
  <c r="G13" i="38"/>
  <c r="L12" i="38"/>
  <c r="R12" i="38" s="1"/>
  <c r="I12" i="38"/>
  <c r="G12" i="38"/>
  <c r="L11" i="38"/>
  <c r="R11" i="38" s="1"/>
  <c r="I11" i="38"/>
  <c r="G11" i="38"/>
  <c r="L10" i="38"/>
  <c r="I10" i="38"/>
  <c r="G10" i="38"/>
  <c r="L9" i="38"/>
  <c r="M9" i="38" s="1"/>
  <c r="I9" i="38"/>
  <c r="G9" i="38"/>
  <c r="L8" i="38"/>
  <c r="R8" i="38" s="1"/>
  <c r="I8" i="38"/>
  <c r="G8" i="38"/>
  <c r="L7" i="38"/>
  <c r="R7" i="38" s="1"/>
  <c r="I7" i="38"/>
  <c r="G7" i="38"/>
  <c r="R4" i="38"/>
  <c r="D74" i="37"/>
  <c r="H73" i="37"/>
  <c r="F73" i="37"/>
  <c r="E73" i="37"/>
  <c r="H72" i="37"/>
  <c r="F72" i="37"/>
  <c r="E72" i="37"/>
  <c r="H71" i="37"/>
  <c r="F71" i="37"/>
  <c r="E71" i="37"/>
  <c r="H70" i="37"/>
  <c r="F70" i="37"/>
  <c r="E70" i="37"/>
  <c r="H69" i="37"/>
  <c r="F69" i="37"/>
  <c r="E69" i="37"/>
  <c r="H68" i="37"/>
  <c r="F68" i="37"/>
  <c r="E68" i="37"/>
  <c r="H67" i="37"/>
  <c r="F67" i="37"/>
  <c r="E67" i="37"/>
  <c r="H64" i="37"/>
  <c r="F64" i="37"/>
  <c r="E64" i="37"/>
  <c r="L63" i="37"/>
  <c r="R63" i="37" s="1"/>
  <c r="I63" i="37"/>
  <c r="G63" i="37"/>
  <c r="L62" i="37"/>
  <c r="R62" i="37" s="1"/>
  <c r="I62" i="37"/>
  <c r="G62" i="37"/>
  <c r="L61" i="37"/>
  <c r="R61" i="37" s="1"/>
  <c r="I61" i="37"/>
  <c r="G61" i="37"/>
  <c r="L60" i="37"/>
  <c r="I60" i="37"/>
  <c r="G60" i="37"/>
  <c r="L59" i="37"/>
  <c r="R59" i="37" s="1"/>
  <c r="I59" i="37"/>
  <c r="G59" i="37"/>
  <c r="L58" i="37"/>
  <c r="R58" i="37" s="1"/>
  <c r="I58" i="37"/>
  <c r="G58" i="37"/>
  <c r="L57" i="37"/>
  <c r="R57" i="37" s="1"/>
  <c r="I57" i="37"/>
  <c r="G57" i="37"/>
  <c r="H54" i="37"/>
  <c r="F54" i="37"/>
  <c r="E54" i="37"/>
  <c r="L53" i="37"/>
  <c r="R53" i="37" s="1"/>
  <c r="I53" i="37"/>
  <c r="G53" i="37"/>
  <c r="L52" i="37"/>
  <c r="I52" i="37"/>
  <c r="G52" i="37"/>
  <c r="L51" i="37"/>
  <c r="R51" i="37" s="1"/>
  <c r="I51" i="37"/>
  <c r="G51" i="37"/>
  <c r="L50" i="37"/>
  <c r="R50" i="37" s="1"/>
  <c r="I50" i="37"/>
  <c r="G50" i="37"/>
  <c r="L49" i="37"/>
  <c r="M49" i="37" s="1"/>
  <c r="I49" i="37"/>
  <c r="G49" i="37"/>
  <c r="L48" i="37"/>
  <c r="I48" i="37"/>
  <c r="G48" i="37"/>
  <c r="L47" i="37"/>
  <c r="R47" i="37" s="1"/>
  <c r="I47" i="37"/>
  <c r="G47" i="37"/>
  <c r="D74" i="36"/>
  <c r="H73" i="36"/>
  <c r="F73" i="36"/>
  <c r="E73" i="36"/>
  <c r="H72" i="36"/>
  <c r="F72" i="36"/>
  <c r="E72" i="36"/>
  <c r="H71" i="36"/>
  <c r="F71" i="36"/>
  <c r="E71" i="36"/>
  <c r="H70" i="36"/>
  <c r="F70" i="36"/>
  <c r="E70" i="36"/>
  <c r="H69" i="36"/>
  <c r="F69" i="36"/>
  <c r="E69" i="36"/>
  <c r="H68" i="36"/>
  <c r="F68" i="36"/>
  <c r="E68" i="36"/>
  <c r="H67" i="36"/>
  <c r="F67" i="36"/>
  <c r="E67" i="36"/>
  <c r="H64" i="36"/>
  <c r="F64" i="36"/>
  <c r="E64" i="36"/>
  <c r="L63" i="36"/>
  <c r="R63" i="36" s="1"/>
  <c r="I63" i="36"/>
  <c r="G63" i="36"/>
  <c r="L62" i="36"/>
  <c r="R62" i="36" s="1"/>
  <c r="I62" i="36"/>
  <c r="G62" i="36"/>
  <c r="L61" i="36"/>
  <c r="R61" i="36" s="1"/>
  <c r="I61" i="36"/>
  <c r="G61" i="36"/>
  <c r="L60" i="36"/>
  <c r="R60" i="36" s="1"/>
  <c r="I60" i="36"/>
  <c r="G60" i="36"/>
  <c r="L59" i="36"/>
  <c r="R59" i="36" s="1"/>
  <c r="I59" i="36"/>
  <c r="G59" i="36"/>
  <c r="L58" i="36"/>
  <c r="R58" i="36" s="1"/>
  <c r="I58" i="36"/>
  <c r="G58" i="36"/>
  <c r="L57" i="36"/>
  <c r="R57" i="36" s="1"/>
  <c r="I57" i="36"/>
  <c r="G57" i="36"/>
  <c r="H54" i="36"/>
  <c r="F54" i="36"/>
  <c r="E54" i="36"/>
  <c r="L53" i="36"/>
  <c r="I53" i="36"/>
  <c r="G53" i="36"/>
  <c r="L52" i="36"/>
  <c r="I52" i="36"/>
  <c r="G52" i="36"/>
  <c r="L51" i="36"/>
  <c r="R51" i="36" s="1"/>
  <c r="I51" i="36"/>
  <c r="G51" i="36"/>
  <c r="L50" i="36"/>
  <c r="R50" i="36" s="1"/>
  <c r="I50" i="36"/>
  <c r="G50" i="36"/>
  <c r="L49" i="36"/>
  <c r="I49" i="36"/>
  <c r="G49" i="36"/>
  <c r="L48" i="36"/>
  <c r="I48" i="36"/>
  <c r="G48" i="36"/>
  <c r="L47" i="36"/>
  <c r="R47" i="36" s="1"/>
  <c r="I47" i="36"/>
  <c r="G47" i="36"/>
  <c r="L72" i="35"/>
  <c r="L71" i="35"/>
  <c r="L70" i="35"/>
  <c r="L69" i="35"/>
  <c r="L68" i="35"/>
  <c r="L67" i="35"/>
  <c r="L64" i="35"/>
  <c r="J64" i="35"/>
  <c r="I64" i="35"/>
  <c r="P63" i="35"/>
  <c r="V63" i="35" s="1"/>
  <c r="M63" i="35"/>
  <c r="K63" i="35"/>
  <c r="P62" i="35"/>
  <c r="V62" i="35" s="1"/>
  <c r="M62" i="35"/>
  <c r="K62" i="35"/>
  <c r="P61" i="35"/>
  <c r="V61" i="35" s="1"/>
  <c r="M61" i="35"/>
  <c r="K61" i="35"/>
  <c r="P60" i="35"/>
  <c r="Q60" i="35" s="1"/>
  <c r="M60" i="35"/>
  <c r="K60" i="35"/>
  <c r="P59" i="35"/>
  <c r="Q59" i="35" s="1"/>
  <c r="M59" i="35"/>
  <c r="K59" i="35"/>
  <c r="P58" i="35"/>
  <c r="V58" i="35" s="1"/>
  <c r="M58" i="35"/>
  <c r="K58" i="35"/>
  <c r="P57" i="35"/>
  <c r="Q57" i="35" s="1"/>
  <c r="M57" i="35"/>
  <c r="K57" i="35"/>
  <c r="L80" i="36"/>
  <c r="H80" i="36"/>
  <c r="H44" i="36"/>
  <c r="F44" i="36"/>
  <c r="E44" i="36"/>
  <c r="L43" i="36"/>
  <c r="R43" i="36" s="1"/>
  <c r="I43" i="36"/>
  <c r="G43" i="36"/>
  <c r="L42" i="36"/>
  <c r="R42" i="36" s="1"/>
  <c r="I42" i="36"/>
  <c r="G42" i="36"/>
  <c r="L41" i="36"/>
  <c r="R41" i="36" s="1"/>
  <c r="I41" i="36"/>
  <c r="G41" i="36"/>
  <c r="L40" i="36"/>
  <c r="R40" i="36" s="1"/>
  <c r="I40" i="36"/>
  <c r="G40" i="36"/>
  <c r="L39" i="36"/>
  <c r="R39" i="36" s="1"/>
  <c r="I39" i="36"/>
  <c r="G39" i="36"/>
  <c r="L38" i="36"/>
  <c r="M38" i="36" s="1"/>
  <c r="I38" i="36"/>
  <c r="G38" i="36"/>
  <c r="L37" i="36"/>
  <c r="R37" i="36" s="1"/>
  <c r="I37" i="36"/>
  <c r="G37" i="36"/>
  <c r="F34" i="36"/>
  <c r="E34" i="36"/>
  <c r="L33" i="36"/>
  <c r="R33" i="36" s="1"/>
  <c r="I33" i="36"/>
  <c r="G33" i="36"/>
  <c r="L32" i="36"/>
  <c r="R32" i="36" s="1"/>
  <c r="I32" i="36"/>
  <c r="G32" i="36"/>
  <c r="L31" i="36"/>
  <c r="M31" i="36" s="1"/>
  <c r="I31" i="36"/>
  <c r="G31" i="36"/>
  <c r="L30" i="36"/>
  <c r="R30" i="36" s="1"/>
  <c r="I30" i="36"/>
  <c r="G30" i="36"/>
  <c r="L29" i="36"/>
  <c r="R29" i="36" s="1"/>
  <c r="I29" i="36"/>
  <c r="G29" i="36"/>
  <c r="R28" i="36"/>
  <c r="I28" i="36"/>
  <c r="G28" i="36"/>
  <c r="L27" i="36"/>
  <c r="R27" i="36" s="1"/>
  <c r="I27" i="36"/>
  <c r="G27" i="36"/>
  <c r="H24" i="36"/>
  <c r="F24" i="36"/>
  <c r="E24" i="36"/>
  <c r="L23" i="36"/>
  <c r="R23" i="36" s="1"/>
  <c r="I23" i="36"/>
  <c r="G23" i="36"/>
  <c r="L22" i="36"/>
  <c r="R22" i="36" s="1"/>
  <c r="I22" i="36"/>
  <c r="G22" i="36"/>
  <c r="L21" i="36"/>
  <c r="R21" i="36" s="1"/>
  <c r="I21" i="36"/>
  <c r="G21" i="36"/>
  <c r="L20" i="36"/>
  <c r="R20" i="36" s="1"/>
  <c r="I20" i="36"/>
  <c r="G20" i="36"/>
  <c r="L19" i="36"/>
  <c r="R19" i="36" s="1"/>
  <c r="I19" i="36"/>
  <c r="G19" i="36"/>
  <c r="L18" i="36"/>
  <c r="M18" i="36" s="1"/>
  <c r="I18" i="36"/>
  <c r="G18" i="36"/>
  <c r="L17" i="36"/>
  <c r="R17" i="36" s="1"/>
  <c r="I17" i="36"/>
  <c r="G17" i="36"/>
  <c r="H14" i="36"/>
  <c r="F14" i="36"/>
  <c r="E14" i="36"/>
  <c r="L13" i="36"/>
  <c r="R13" i="36" s="1"/>
  <c r="I13" i="36"/>
  <c r="G13" i="36"/>
  <c r="L12" i="36"/>
  <c r="M12" i="36" s="1"/>
  <c r="I12" i="36"/>
  <c r="G12" i="36"/>
  <c r="L11" i="36"/>
  <c r="R11" i="36" s="1"/>
  <c r="I11" i="36"/>
  <c r="G11" i="36"/>
  <c r="L10" i="36"/>
  <c r="I10" i="36"/>
  <c r="G10" i="36"/>
  <c r="L9" i="36"/>
  <c r="R9" i="36" s="1"/>
  <c r="I9" i="36"/>
  <c r="G9" i="36"/>
  <c r="L8" i="36"/>
  <c r="R8" i="36" s="1"/>
  <c r="I8" i="36"/>
  <c r="G8" i="36"/>
  <c r="L7" i="36"/>
  <c r="R7" i="36" s="1"/>
  <c r="I7" i="36"/>
  <c r="G7" i="36"/>
  <c r="R4" i="36"/>
  <c r="L80" i="37"/>
  <c r="H80" i="37"/>
  <c r="H44" i="37"/>
  <c r="F44" i="37"/>
  <c r="E44" i="37"/>
  <c r="L43" i="37"/>
  <c r="R43" i="37" s="1"/>
  <c r="I43" i="37"/>
  <c r="G43" i="37"/>
  <c r="L42" i="37"/>
  <c r="M42" i="37" s="1"/>
  <c r="I42" i="37"/>
  <c r="G42" i="37"/>
  <c r="L41" i="37"/>
  <c r="R41" i="37" s="1"/>
  <c r="I41" i="37"/>
  <c r="G41" i="37"/>
  <c r="L40" i="37"/>
  <c r="M40" i="37" s="1"/>
  <c r="I40" i="37"/>
  <c r="G40" i="37"/>
  <c r="L39" i="37"/>
  <c r="R39" i="37" s="1"/>
  <c r="I39" i="37"/>
  <c r="G39" i="37"/>
  <c r="L38" i="37"/>
  <c r="M38" i="37" s="1"/>
  <c r="I38" i="37"/>
  <c r="G38" i="37"/>
  <c r="L37" i="37"/>
  <c r="R37" i="37" s="1"/>
  <c r="I37" i="37"/>
  <c r="G37" i="37"/>
  <c r="H34" i="37"/>
  <c r="F34" i="37"/>
  <c r="E34" i="37"/>
  <c r="L33" i="37"/>
  <c r="M33" i="37" s="1"/>
  <c r="I33" i="37"/>
  <c r="G33" i="37"/>
  <c r="L32" i="37"/>
  <c r="R32" i="37" s="1"/>
  <c r="I32" i="37"/>
  <c r="G32" i="37"/>
  <c r="L31" i="37"/>
  <c r="M31" i="37" s="1"/>
  <c r="I31" i="37"/>
  <c r="G31" i="37"/>
  <c r="L30" i="37"/>
  <c r="M30" i="37" s="1"/>
  <c r="I30" i="37"/>
  <c r="G30" i="37"/>
  <c r="L29" i="37"/>
  <c r="R29" i="37" s="1"/>
  <c r="I29" i="37"/>
  <c r="G29" i="37"/>
  <c r="L28" i="37"/>
  <c r="R28" i="37" s="1"/>
  <c r="I28" i="37"/>
  <c r="G28" i="37"/>
  <c r="L27" i="37"/>
  <c r="R27" i="37" s="1"/>
  <c r="I27" i="37"/>
  <c r="G27" i="37"/>
  <c r="H24" i="37"/>
  <c r="F24" i="37"/>
  <c r="E24" i="37"/>
  <c r="L23" i="37"/>
  <c r="M23" i="37" s="1"/>
  <c r="I23" i="37"/>
  <c r="G23" i="37"/>
  <c r="L22" i="37"/>
  <c r="R22" i="37" s="1"/>
  <c r="I22" i="37"/>
  <c r="G22" i="37"/>
  <c r="L21" i="37"/>
  <c r="R21" i="37" s="1"/>
  <c r="I21" i="37"/>
  <c r="G21" i="37"/>
  <c r="L20" i="37"/>
  <c r="R20" i="37" s="1"/>
  <c r="I20" i="37"/>
  <c r="G20" i="37"/>
  <c r="L19" i="37"/>
  <c r="M19" i="37" s="1"/>
  <c r="I19" i="37"/>
  <c r="G19" i="37"/>
  <c r="L18" i="37"/>
  <c r="R18" i="37" s="1"/>
  <c r="I18" i="37"/>
  <c r="G18" i="37"/>
  <c r="L17" i="37"/>
  <c r="M17" i="37" s="1"/>
  <c r="I17" i="37"/>
  <c r="G17" i="37"/>
  <c r="H14" i="37"/>
  <c r="F14" i="37"/>
  <c r="E14" i="37"/>
  <c r="L13" i="37"/>
  <c r="R13" i="37" s="1"/>
  <c r="I13" i="37"/>
  <c r="G13" i="37"/>
  <c r="L12" i="37"/>
  <c r="M12" i="37" s="1"/>
  <c r="I12" i="37"/>
  <c r="G12" i="37"/>
  <c r="L11" i="37"/>
  <c r="R11" i="37" s="1"/>
  <c r="I11" i="37"/>
  <c r="G11" i="37"/>
  <c r="L10" i="37"/>
  <c r="M10" i="37" s="1"/>
  <c r="I10" i="37"/>
  <c r="G10" i="37"/>
  <c r="L9" i="37"/>
  <c r="I9" i="37"/>
  <c r="G9" i="37"/>
  <c r="L8" i="37"/>
  <c r="M8" i="37" s="1"/>
  <c r="I8" i="37"/>
  <c r="G8" i="37"/>
  <c r="L7" i="37"/>
  <c r="R7" i="37" s="1"/>
  <c r="I7" i="37"/>
  <c r="G7" i="37"/>
  <c r="V4" i="35"/>
  <c r="P80" i="35"/>
  <c r="L80" i="35"/>
  <c r="H74" i="35"/>
  <c r="L73" i="35"/>
  <c r="J73" i="35"/>
  <c r="I73" i="35"/>
  <c r="J72" i="35"/>
  <c r="I72" i="35"/>
  <c r="J71" i="35"/>
  <c r="I71" i="35"/>
  <c r="J70" i="35"/>
  <c r="I70" i="35"/>
  <c r="J69" i="35"/>
  <c r="I69" i="35"/>
  <c r="J68" i="35"/>
  <c r="I68" i="35"/>
  <c r="J67" i="35"/>
  <c r="I67" i="35"/>
  <c r="F64" i="35"/>
  <c r="L54" i="35"/>
  <c r="J54" i="35"/>
  <c r="I54" i="35"/>
  <c r="F54" i="35"/>
  <c r="P53" i="35"/>
  <c r="M53" i="35"/>
  <c r="K53" i="35"/>
  <c r="P52" i="35"/>
  <c r="Q52" i="35" s="1"/>
  <c r="M52" i="35"/>
  <c r="K52" i="35"/>
  <c r="P51" i="35"/>
  <c r="V51" i="35" s="1"/>
  <c r="M51" i="35"/>
  <c r="K51" i="35"/>
  <c r="P50" i="35"/>
  <c r="V50" i="35" s="1"/>
  <c r="M50" i="35"/>
  <c r="K50" i="35"/>
  <c r="P49" i="35"/>
  <c r="V49" i="35" s="1"/>
  <c r="M49" i="35"/>
  <c r="K49" i="35"/>
  <c r="P48" i="35"/>
  <c r="V48" i="35" s="1"/>
  <c r="M48" i="35"/>
  <c r="K48" i="35"/>
  <c r="P47" i="35"/>
  <c r="V47" i="35" s="1"/>
  <c r="M47" i="35"/>
  <c r="K47" i="35"/>
  <c r="L44" i="35"/>
  <c r="J44" i="35"/>
  <c r="I44" i="35"/>
  <c r="F44" i="35"/>
  <c r="P43" i="35"/>
  <c r="V43" i="35" s="1"/>
  <c r="M43" i="35"/>
  <c r="K43" i="35"/>
  <c r="P42" i="35"/>
  <c r="V42" i="35" s="1"/>
  <c r="M42" i="35"/>
  <c r="K42" i="35"/>
  <c r="P41" i="35"/>
  <c r="V41" i="35" s="1"/>
  <c r="M41" i="35"/>
  <c r="K41" i="35"/>
  <c r="P40" i="35"/>
  <c r="Q40" i="35" s="1"/>
  <c r="M40" i="35"/>
  <c r="K40" i="35"/>
  <c r="P39" i="35"/>
  <c r="V39" i="35" s="1"/>
  <c r="M39" i="35"/>
  <c r="K39" i="35"/>
  <c r="P38" i="35"/>
  <c r="V38" i="35" s="1"/>
  <c r="M38" i="35"/>
  <c r="K38" i="35"/>
  <c r="P37" i="35"/>
  <c r="Q37" i="35" s="1"/>
  <c r="M37" i="35"/>
  <c r="K37" i="35"/>
  <c r="L34" i="35"/>
  <c r="J34" i="35"/>
  <c r="I34" i="35"/>
  <c r="F34" i="35"/>
  <c r="P33" i="35"/>
  <c r="Q33" i="35" s="1"/>
  <c r="M33" i="35"/>
  <c r="K33" i="35"/>
  <c r="P32" i="35"/>
  <c r="Q32" i="35" s="1"/>
  <c r="M32" i="35"/>
  <c r="K32" i="35"/>
  <c r="P31" i="35"/>
  <c r="V31" i="35" s="1"/>
  <c r="M31" i="35"/>
  <c r="K31" i="35"/>
  <c r="P30" i="35"/>
  <c r="V30" i="35" s="1"/>
  <c r="M30" i="35"/>
  <c r="K30" i="35"/>
  <c r="P29" i="35"/>
  <c r="V29" i="35" s="1"/>
  <c r="M29" i="35"/>
  <c r="K29" i="35"/>
  <c r="P28" i="35"/>
  <c r="M28" i="35"/>
  <c r="K28" i="35"/>
  <c r="P27" i="35"/>
  <c r="Q27" i="35" s="1"/>
  <c r="M27" i="35"/>
  <c r="K27" i="35"/>
  <c r="L24" i="35"/>
  <c r="J24" i="35"/>
  <c r="I24" i="35"/>
  <c r="F24" i="35"/>
  <c r="P23" i="35"/>
  <c r="V23" i="35" s="1"/>
  <c r="M23" i="35"/>
  <c r="K23" i="35"/>
  <c r="P22" i="35"/>
  <c r="V22" i="35" s="1"/>
  <c r="M22" i="35"/>
  <c r="K22" i="35"/>
  <c r="P21" i="35"/>
  <c r="Q21" i="35" s="1"/>
  <c r="M21" i="35"/>
  <c r="K21" i="35"/>
  <c r="P20" i="35"/>
  <c r="V20" i="35" s="1"/>
  <c r="M20" i="35"/>
  <c r="K20" i="35"/>
  <c r="P19" i="35"/>
  <c r="Q19" i="35" s="1"/>
  <c r="M19" i="35"/>
  <c r="K19" i="35"/>
  <c r="P18" i="35"/>
  <c r="V18" i="35" s="1"/>
  <c r="M18" i="35"/>
  <c r="K18" i="35"/>
  <c r="P17" i="35"/>
  <c r="V17" i="35" s="1"/>
  <c r="M17" i="35"/>
  <c r="K17" i="35"/>
  <c r="L14" i="35"/>
  <c r="J14" i="35"/>
  <c r="I14" i="35"/>
  <c r="F14" i="35"/>
  <c r="P13" i="35"/>
  <c r="V13" i="35" s="1"/>
  <c r="M13" i="35"/>
  <c r="K13" i="35"/>
  <c r="P12" i="35"/>
  <c r="V12" i="35" s="1"/>
  <c r="M12" i="35"/>
  <c r="K12" i="35"/>
  <c r="P11" i="35"/>
  <c r="Q11" i="35" s="1"/>
  <c r="M11" i="35"/>
  <c r="K11" i="35"/>
  <c r="P10" i="35"/>
  <c r="V10" i="35" s="1"/>
  <c r="M10" i="35"/>
  <c r="K10" i="35"/>
  <c r="P9" i="35"/>
  <c r="V9" i="35" s="1"/>
  <c r="M9" i="35"/>
  <c r="K9" i="35"/>
  <c r="P8" i="35"/>
  <c r="V8" i="35" s="1"/>
  <c r="M8" i="35"/>
  <c r="K8" i="35"/>
  <c r="P7" i="35"/>
  <c r="M7" i="35"/>
  <c r="K7" i="35"/>
  <c r="P53" i="33"/>
  <c r="V53" i="33" s="1"/>
  <c r="M53" i="33"/>
  <c r="K53" i="33"/>
  <c r="P52" i="33"/>
  <c r="V52" i="33" s="1"/>
  <c r="M52" i="33"/>
  <c r="K52" i="33"/>
  <c r="P51" i="33"/>
  <c r="V51" i="33" s="1"/>
  <c r="M51" i="33"/>
  <c r="K51" i="33"/>
  <c r="P50" i="33"/>
  <c r="Q50" i="33" s="1"/>
  <c r="M50" i="33"/>
  <c r="K50" i="33"/>
  <c r="P49" i="33"/>
  <c r="V49" i="33" s="1"/>
  <c r="M49" i="33"/>
  <c r="K49" i="33"/>
  <c r="P48" i="33"/>
  <c r="V48" i="33" s="1"/>
  <c r="M48" i="33"/>
  <c r="K48" i="33"/>
  <c r="P47" i="33"/>
  <c r="V47" i="33" s="1"/>
  <c r="M47" i="33"/>
  <c r="K47" i="33"/>
  <c r="P43" i="33"/>
  <c r="V43" i="33" s="1"/>
  <c r="M43" i="33"/>
  <c r="K43" i="33"/>
  <c r="P42" i="33"/>
  <c r="Q42" i="33" s="1"/>
  <c r="M42" i="33"/>
  <c r="K42" i="33"/>
  <c r="P41" i="33"/>
  <c r="V41" i="33" s="1"/>
  <c r="M41" i="33"/>
  <c r="K41" i="33"/>
  <c r="P40" i="33"/>
  <c r="Q40" i="33" s="1"/>
  <c r="M40" i="33"/>
  <c r="K40" i="33"/>
  <c r="P39" i="33"/>
  <c r="V39" i="33" s="1"/>
  <c r="M39" i="33"/>
  <c r="K39" i="33"/>
  <c r="P38" i="33"/>
  <c r="V38" i="33" s="1"/>
  <c r="M38" i="33"/>
  <c r="K38" i="33"/>
  <c r="P37" i="33"/>
  <c r="Q37" i="33" s="1"/>
  <c r="M37" i="33"/>
  <c r="K37" i="33"/>
  <c r="P33" i="33"/>
  <c r="V33" i="33" s="1"/>
  <c r="M33" i="33"/>
  <c r="K33" i="33"/>
  <c r="P32" i="33"/>
  <c r="V32" i="33" s="1"/>
  <c r="M32" i="33"/>
  <c r="K32" i="33"/>
  <c r="P31" i="33"/>
  <c r="Q31" i="33" s="1"/>
  <c r="M31" i="33"/>
  <c r="K31" i="33"/>
  <c r="P30" i="33"/>
  <c r="Q30" i="33" s="1"/>
  <c r="M30" i="33"/>
  <c r="K30" i="33"/>
  <c r="P29" i="33"/>
  <c r="V29" i="33" s="1"/>
  <c r="M29" i="33"/>
  <c r="K29" i="33"/>
  <c r="P28" i="33"/>
  <c r="V28" i="33" s="1"/>
  <c r="M28" i="33"/>
  <c r="K28" i="33"/>
  <c r="P27" i="33"/>
  <c r="Q27" i="33" s="1"/>
  <c r="M27" i="33"/>
  <c r="K27" i="33"/>
  <c r="P22" i="33"/>
  <c r="V22" i="33" s="1"/>
  <c r="M22" i="33"/>
  <c r="K22" i="33"/>
  <c r="P21" i="33"/>
  <c r="Q21" i="33" s="1"/>
  <c r="M21" i="33"/>
  <c r="K21" i="33"/>
  <c r="P20" i="33"/>
  <c r="Q20" i="33" s="1"/>
  <c r="M20" i="33"/>
  <c r="K20" i="33"/>
  <c r="P19" i="33"/>
  <c r="Q19" i="33" s="1"/>
  <c r="M19" i="33"/>
  <c r="K19" i="33"/>
  <c r="P18" i="33"/>
  <c r="V18" i="33" s="1"/>
  <c r="M18" i="33"/>
  <c r="K18" i="33"/>
  <c r="P17" i="33"/>
  <c r="V17" i="33" s="1"/>
  <c r="M17" i="33"/>
  <c r="K17" i="33"/>
  <c r="K8" i="33"/>
  <c r="M8" i="33"/>
  <c r="K9" i="33"/>
  <c r="M9" i="33"/>
  <c r="K10" i="33"/>
  <c r="M10" i="33"/>
  <c r="K11" i="33"/>
  <c r="M11" i="33"/>
  <c r="K12" i="33"/>
  <c r="M12" i="33"/>
  <c r="M7" i="33"/>
  <c r="K7" i="33"/>
  <c r="I67" i="33"/>
  <c r="J67" i="33"/>
  <c r="L64" i="33"/>
  <c r="J64" i="33"/>
  <c r="P64" i="33" s="1"/>
  <c r="AE64" i="33" s="1"/>
  <c r="I64" i="33"/>
  <c r="P63" i="33"/>
  <c r="V63" i="33" s="1"/>
  <c r="M63" i="33"/>
  <c r="K63" i="33"/>
  <c r="P62" i="33"/>
  <c r="V62" i="33" s="1"/>
  <c r="P61" i="33"/>
  <c r="Q61" i="33" s="1"/>
  <c r="P60" i="33"/>
  <c r="V60" i="33" s="1"/>
  <c r="P59" i="33"/>
  <c r="Q59" i="33" s="1"/>
  <c r="P58" i="33"/>
  <c r="Q58" i="33" s="1"/>
  <c r="P57" i="33"/>
  <c r="Q57" i="33" s="1"/>
  <c r="L54" i="33"/>
  <c r="J54" i="33"/>
  <c r="I54" i="33"/>
  <c r="L34" i="33"/>
  <c r="J34" i="33"/>
  <c r="I34" i="33"/>
  <c r="L24" i="33"/>
  <c r="J24" i="33"/>
  <c r="I24" i="33"/>
  <c r="P23" i="33"/>
  <c r="Q23" i="33" s="1"/>
  <c r="M23" i="33"/>
  <c r="K23" i="33"/>
  <c r="L14" i="33"/>
  <c r="J14" i="33"/>
  <c r="I14" i="33"/>
  <c r="P13" i="33"/>
  <c r="V13" i="33" s="1"/>
  <c r="M13" i="33"/>
  <c r="K13" i="33"/>
  <c r="P12" i="33"/>
  <c r="Q12" i="33" s="1"/>
  <c r="P11" i="33"/>
  <c r="V11" i="33" s="1"/>
  <c r="P10" i="33"/>
  <c r="V10" i="33" s="1"/>
  <c r="P9" i="33"/>
  <c r="Q9" i="33" s="1"/>
  <c r="P8" i="33"/>
  <c r="V8" i="33" s="1"/>
  <c r="P7" i="33"/>
  <c r="V7" i="33" s="1"/>
  <c r="J44" i="33"/>
  <c r="L44" i="33"/>
  <c r="Q7" i="33" l="1"/>
  <c r="V40" i="33"/>
  <c r="U74" i="33"/>
  <c r="V37" i="33"/>
  <c r="V58" i="33"/>
  <c r="Q32" i="33"/>
  <c r="V57" i="35"/>
  <c r="Q62" i="35"/>
  <c r="P64" i="35"/>
  <c r="AE64" i="35" s="1"/>
  <c r="L64" i="37"/>
  <c r="AA64" i="37" s="1"/>
  <c r="G64" i="37"/>
  <c r="G34" i="38"/>
  <c r="G72" i="38"/>
  <c r="G64" i="38"/>
  <c r="R60" i="38"/>
  <c r="G70" i="38"/>
  <c r="M27" i="38"/>
  <c r="L64" i="38"/>
  <c r="R64" i="38" s="1"/>
  <c r="I24" i="38"/>
  <c r="J24" i="38" s="1"/>
  <c r="L34" i="38"/>
  <c r="R34" i="38" s="1"/>
  <c r="L44" i="38"/>
  <c r="M44" i="38" s="1"/>
  <c r="R38" i="38"/>
  <c r="G71" i="38"/>
  <c r="I71" i="38"/>
  <c r="L24" i="38"/>
  <c r="M24" i="38" s="1"/>
  <c r="G68" i="38"/>
  <c r="G54" i="38"/>
  <c r="I44" i="38"/>
  <c r="J44" i="38" s="1"/>
  <c r="M63" i="38"/>
  <c r="G69" i="38"/>
  <c r="G64" i="36"/>
  <c r="M40" i="36"/>
  <c r="I68" i="38"/>
  <c r="E74" i="38"/>
  <c r="E84" i="38" s="1"/>
  <c r="G14" i="38"/>
  <c r="M60" i="36"/>
  <c r="M18" i="38"/>
  <c r="M22" i="38"/>
  <c r="M30" i="38"/>
  <c r="G44" i="38"/>
  <c r="I64" i="38"/>
  <c r="J64" i="38" s="1"/>
  <c r="L70" i="38"/>
  <c r="R70" i="38" s="1"/>
  <c r="L14" i="38"/>
  <c r="M28" i="38"/>
  <c r="M40" i="38"/>
  <c r="M50" i="38"/>
  <c r="M8" i="38"/>
  <c r="M12" i="38"/>
  <c r="M42" i="38"/>
  <c r="V27" i="33"/>
  <c r="R12" i="36"/>
  <c r="F74" i="38"/>
  <c r="I69" i="38"/>
  <c r="Q18" i="33"/>
  <c r="V30" i="33"/>
  <c r="Q8" i="35"/>
  <c r="M64" i="35"/>
  <c r="M59" i="36"/>
  <c r="M57" i="38"/>
  <c r="M59" i="38"/>
  <c r="G67" i="38"/>
  <c r="V60" i="35"/>
  <c r="M61" i="37"/>
  <c r="M37" i="38"/>
  <c r="M49" i="38"/>
  <c r="M53" i="38"/>
  <c r="M61" i="38"/>
  <c r="H74" i="38"/>
  <c r="H85" i="38" s="1"/>
  <c r="I72" i="38"/>
  <c r="Q62" i="33"/>
  <c r="M61" i="36"/>
  <c r="M63" i="36"/>
  <c r="M59" i="37"/>
  <c r="M7" i="38"/>
  <c r="M11" i="38"/>
  <c r="M19" i="38"/>
  <c r="M23" i="38"/>
  <c r="M31" i="38"/>
  <c r="M41" i="38"/>
  <c r="V59" i="33"/>
  <c r="V21" i="33"/>
  <c r="M8" i="36"/>
  <c r="M24" i="33"/>
  <c r="N24" i="33" s="1"/>
  <c r="Q52" i="33"/>
  <c r="V19" i="33"/>
  <c r="V59" i="35"/>
  <c r="I54" i="38"/>
  <c r="J54" i="38" s="1"/>
  <c r="I70" i="38"/>
  <c r="L54" i="37"/>
  <c r="I54" i="37"/>
  <c r="G54" i="37"/>
  <c r="L44" i="37"/>
  <c r="G34" i="37"/>
  <c r="G72" i="37"/>
  <c r="I72" i="37"/>
  <c r="L24" i="37"/>
  <c r="H74" i="37"/>
  <c r="H85" i="37" s="1"/>
  <c r="G70" i="37"/>
  <c r="G73" i="37"/>
  <c r="G71" i="37"/>
  <c r="F74" i="37"/>
  <c r="G69" i="37"/>
  <c r="G67" i="37"/>
  <c r="G68" i="37"/>
  <c r="L14" i="37"/>
  <c r="AA14" i="37" s="1"/>
  <c r="R8" i="37"/>
  <c r="I70" i="37"/>
  <c r="I68" i="37"/>
  <c r="I73" i="37"/>
  <c r="I69" i="37"/>
  <c r="I71" i="37"/>
  <c r="E74" i="37"/>
  <c r="E91" i="37" s="1"/>
  <c r="G14" i="37"/>
  <c r="M57" i="36"/>
  <c r="L64" i="36"/>
  <c r="Q74" i="36"/>
  <c r="M47" i="36"/>
  <c r="I54" i="36"/>
  <c r="L54" i="36"/>
  <c r="M51" i="36"/>
  <c r="M50" i="36"/>
  <c r="I44" i="36"/>
  <c r="M42" i="36"/>
  <c r="M41" i="36"/>
  <c r="G54" i="36"/>
  <c r="I72" i="36"/>
  <c r="M63" i="37"/>
  <c r="M57" i="37"/>
  <c r="R49" i="37"/>
  <c r="M53" i="37"/>
  <c r="M50" i="37"/>
  <c r="R31" i="37"/>
  <c r="L70" i="37"/>
  <c r="R70" i="37" s="1"/>
  <c r="L72" i="37"/>
  <c r="R72" i="37" s="1"/>
  <c r="M7" i="37"/>
  <c r="L68" i="37"/>
  <c r="R68" i="37" s="1"/>
  <c r="I64" i="36"/>
  <c r="L44" i="36"/>
  <c r="M37" i="36"/>
  <c r="R31" i="36"/>
  <c r="L34" i="36"/>
  <c r="R18" i="36"/>
  <c r="L24" i="36"/>
  <c r="R38" i="36"/>
  <c r="M30" i="36"/>
  <c r="G34" i="36"/>
  <c r="M27" i="36"/>
  <c r="M23" i="36"/>
  <c r="M22" i="36"/>
  <c r="L72" i="36"/>
  <c r="L70" i="36"/>
  <c r="R70" i="36" s="1"/>
  <c r="M19" i="36"/>
  <c r="G44" i="36"/>
  <c r="G72" i="36"/>
  <c r="G71" i="36"/>
  <c r="I71" i="36"/>
  <c r="E74" i="36"/>
  <c r="G70" i="36"/>
  <c r="I70" i="36"/>
  <c r="I69" i="36"/>
  <c r="G69" i="36"/>
  <c r="G68" i="36"/>
  <c r="I68" i="36"/>
  <c r="I24" i="36"/>
  <c r="L73" i="36"/>
  <c r="R73" i="36" s="1"/>
  <c r="G14" i="36"/>
  <c r="G73" i="36"/>
  <c r="I73" i="36"/>
  <c r="U74" i="35"/>
  <c r="K54" i="35"/>
  <c r="Q42" i="35"/>
  <c r="K72" i="35"/>
  <c r="Q74" i="38"/>
  <c r="Q74" i="37"/>
  <c r="H74" i="36"/>
  <c r="H84" i="36" s="1"/>
  <c r="L69" i="36"/>
  <c r="R69" i="36" s="1"/>
  <c r="M7" i="36"/>
  <c r="L14" i="36"/>
  <c r="AA14" i="36" s="1"/>
  <c r="L68" i="36"/>
  <c r="R68" i="36" s="1"/>
  <c r="M11" i="36"/>
  <c r="F74" i="36"/>
  <c r="I34" i="38"/>
  <c r="J34" i="38" s="1"/>
  <c r="L54" i="38"/>
  <c r="M10" i="38"/>
  <c r="I14" i="38"/>
  <c r="J14" i="38" s="1"/>
  <c r="M29" i="38"/>
  <c r="M33" i="38"/>
  <c r="M48" i="38"/>
  <c r="M52" i="38"/>
  <c r="I67" i="38"/>
  <c r="R10" i="38"/>
  <c r="M17" i="38"/>
  <c r="M21" i="38"/>
  <c r="G24" i="38"/>
  <c r="L67" i="38"/>
  <c r="R67" i="38" s="1"/>
  <c r="L68" i="38"/>
  <c r="R68" i="38" s="1"/>
  <c r="L69" i="38"/>
  <c r="R69" i="38" s="1"/>
  <c r="L71" i="38"/>
  <c r="R71" i="38" s="1"/>
  <c r="L72" i="38"/>
  <c r="R72" i="38" s="1"/>
  <c r="L73" i="38"/>
  <c r="R73" i="38" s="1"/>
  <c r="M13" i="38"/>
  <c r="M32" i="38"/>
  <c r="M47" i="38"/>
  <c r="M51" i="38"/>
  <c r="R9" i="38"/>
  <c r="M20" i="38"/>
  <c r="M39" i="38"/>
  <c r="M43" i="38"/>
  <c r="M58" i="38"/>
  <c r="M62" i="38"/>
  <c r="M60" i="37"/>
  <c r="I64" i="37"/>
  <c r="M48" i="37"/>
  <c r="M52" i="37"/>
  <c r="R60" i="37"/>
  <c r="I67" i="37"/>
  <c r="R48" i="37"/>
  <c r="R52" i="37"/>
  <c r="L67" i="37"/>
  <c r="R67" i="37" s="1"/>
  <c r="L69" i="37"/>
  <c r="R69" i="37" s="1"/>
  <c r="L71" i="37"/>
  <c r="R71" i="37" s="1"/>
  <c r="L73" i="37"/>
  <c r="R73" i="37" s="1"/>
  <c r="M47" i="37"/>
  <c r="M51" i="37"/>
  <c r="M58" i="37"/>
  <c r="M62" i="37"/>
  <c r="M49" i="36"/>
  <c r="M53" i="36"/>
  <c r="G67" i="36"/>
  <c r="R49" i="36"/>
  <c r="R53" i="36"/>
  <c r="M48" i="36"/>
  <c r="M52" i="36"/>
  <c r="I67" i="36"/>
  <c r="R48" i="36"/>
  <c r="R52" i="36"/>
  <c r="L67" i="36"/>
  <c r="R67" i="36" s="1"/>
  <c r="L71" i="36"/>
  <c r="M58" i="36"/>
  <c r="M62" i="36"/>
  <c r="K64" i="35"/>
  <c r="Q61" i="35"/>
  <c r="Q58" i="35"/>
  <c r="Q63" i="35"/>
  <c r="M72" i="35"/>
  <c r="I34" i="36"/>
  <c r="M10" i="36"/>
  <c r="I14" i="36"/>
  <c r="M29" i="36"/>
  <c r="M33" i="36"/>
  <c r="R10" i="36"/>
  <c r="M17" i="36"/>
  <c r="M21" i="36"/>
  <c r="G24" i="36"/>
  <c r="M9" i="36"/>
  <c r="M13" i="36"/>
  <c r="M28" i="36"/>
  <c r="M32" i="36"/>
  <c r="M20" i="36"/>
  <c r="M39" i="36"/>
  <c r="M43" i="36"/>
  <c r="R38" i="37"/>
  <c r="M37" i="37"/>
  <c r="G44" i="37"/>
  <c r="R42" i="37"/>
  <c r="I44" i="37"/>
  <c r="M41" i="37"/>
  <c r="L34" i="37"/>
  <c r="R30" i="37"/>
  <c r="M27" i="37"/>
  <c r="R19" i="37"/>
  <c r="M22" i="37"/>
  <c r="I24" i="37"/>
  <c r="M18" i="37"/>
  <c r="R23" i="37"/>
  <c r="R12" i="37"/>
  <c r="M11" i="37"/>
  <c r="I14" i="37"/>
  <c r="M29" i="37"/>
  <c r="R10" i="37"/>
  <c r="R33" i="37"/>
  <c r="I34" i="37"/>
  <c r="M9" i="37"/>
  <c r="M13" i="37"/>
  <c r="R17" i="37"/>
  <c r="M28" i="37"/>
  <c r="M32" i="37"/>
  <c r="R40" i="37"/>
  <c r="M21" i="37"/>
  <c r="R9" i="37"/>
  <c r="M20" i="37"/>
  <c r="M39" i="37"/>
  <c r="M43" i="37"/>
  <c r="G24" i="37"/>
  <c r="Q50" i="35"/>
  <c r="P54" i="35"/>
  <c r="M70" i="35"/>
  <c r="Q38" i="35"/>
  <c r="P44" i="35"/>
  <c r="AE44" i="35" s="1"/>
  <c r="V33" i="35"/>
  <c r="M71" i="35"/>
  <c r="M69" i="35"/>
  <c r="M34" i="35"/>
  <c r="P34" i="35"/>
  <c r="M68" i="35"/>
  <c r="L74" i="35"/>
  <c r="L85" i="35" s="1"/>
  <c r="P24" i="35"/>
  <c r="M73" i="35"/>
  <c r="Q41" i="35"/>
  <c r="V37" i="35"/>
  <c r="P67" i="35"/>
  <c r="V67" i="35" s="1"/>
  <c r="Q29" i="35"/>
  <c r="P73" i="35"/>
  <c r="V73" i="35" s="1"/>
  <c r="K24" i="35"/>
  <c r="V21" i="35"/>
  <c r="Q20" i="35"/>
  <c r="P70" i="35"/>
  <c r="V70" i="35" s="1"/>
  <c r="P68" i="35"/>
  <c r="V68" i="35" s="1"/>
  <c r="Q17" i="35"/>
  <c r="J74" i="35"/>
  <c r="Q12" i="35"/>
  <c r="M44" i="35"/>
  <c r="I74" i="35"/>
  <c r="K34" i="35"/>
  <c r="K70" i="35"/>
  <c r="K69" i="35"/>
  <c r="K68" i="35"/>
  <c r="K67" i="35"/>
  <c r="M24" i="35"/>
  <c r="K73" i="35"/>
  <c r="K14" i="35"/>
  <c r="K71" i="35"/>
  <c r="M14" i="35"/>
  <c r="Q54" i="35"/>
  <c r="P72" i="35"/>
  <c r="Q7" i="35"/>
  <c r="V32" i="35"/>
  <c r="Q10" i="35"/>
  <c r="Q31" i="35"/>
  <c r="P14" i="35"/>
  <c r="AE14" i="35" s="1"/>
  <c r="M67" i="35"/>
  <c r="Q49" i="35"/>
  <c r="Q53" i="35"/>
  <c r="M54" i="35"/>
  <c r="V7" i="35"/>
  <c r="K44" i="35"/>
  <c r="V53" i="35"/>
  <c r="V40" i="35"/>
  <c r="P69" i="35"/>
  <c r="V69" i="35" s="1"/>
  <c r="Q28" i="35"/>
  <c r="V28" i="35"/>
  <c r="Q34" i="35"/>
  <c r="Q48" i="35"/>
  <c r="Q18" i="35"/>
  <c r="Q22" i="35"/>
  <c r="V27" i="35"/>
  <c r="Q39" i="35"/>
  <c r="Q43" i="35"/>
  <c r="V52" i="35"/>
  <c r="V11" i="35"/>
  <c r="Q23" i="35"/>
  <c r="V19" i="35"/>
  <c r="Q9" i="35"/>
  <c r="Q13" i="35"/>
  <c r="Q30" i="35"/>
  <c r="Q47" i="35"/>
  <c r="Q51" i="35"/>
  <c r="P71" i="35"/>
  <c r="V71" i="35" s="1"/>
  <c r="V50" i="33"/>
  <c r="K54" i="33"/>
  <c r="Q47" i="33"/>
  <c r="M54" i="33"/>
  <c r="N54" i="33" s="1"/>
  <c r="K64" i="33"/>
  <c r="M64" i="33"/>
  <c r="N64" i="33" s="1"/>
  <c r="Q49" i="33"/>
  <c r="P54" i="33"/>
  <c r="Q51" i="33"/>
  <c r="Q48" i="33"/>
  <c r="Q53" i="33"/>
  <c r="V42" i="33"/>
  <c r="Q41" i="33"/>
  <c r="Q38" i="33"/>
  <c r="Q39" i="33"/>
  <c r="Q43" i="33"/>
  <c r="K67" i="33"/>
  <c r="Q29" i="33"/>
  <c r="Q28" i="33"/>
  <c r="V31" i="33"/>
  <c r="Q33" i="33"/>
  <c r="M34" i="33"/>
  <c r="N34" i="33" s="1"/>
  <c r="P34" i="33"/>
  <c r="V34" i="33" s="1"/>
  <c r="Q17" i="33"/>
  <c r="V20" i="33"/>
  <c r="Q22" i="33"/>
  <c r="V9" i="33"/>
  <c r="V12" i="33"/>
  <c r="Q8" i="33"/>
  <c r="Q11" i="33"/>
  <c r="P14" i="33"/>
  <c r="P24" i="33"/>
  <c r="V24" i="33" s="1"/>
  <c r="M14" i="33"/>
  <c r="N14" i="33" s="1"/>
  <c r="V64" i="33"/>
  <c r="Q64" i="33"/>
  <c r="V57" i="33"/>
  <c r="Q60" i="33"/>
  <c r="Q63" i="33"/>
  <c r="V61" i="33"/>
  <c r="K34" i="33"/>
  <c r="K24" i="33"/>
  <c r="V23" i="33"/>
  <c r="K14" i="33"/>
  <c r="Q10" i="33"/>
  <c r="Q13" i="33"/>
  <c r="P44" i="33"/>
  <c r="Q64" i="35" l="1"/>
  <c r="V64" i="35"/>
  <c r="M64" i="37"/>
  <c r="R64" i="37"/>
  <c r="V44" i="33"/>
  <c r="AE44" i="33"/>
  <c r="Q24" i="33"/>
  <c r="V54" i="33"/>
  <c r="AE54" i="33"/>
  <c r="V54" i="35"/>
  <c r="AE54" i="35"/>
  <c r="V24" i="35"/>
  <c r="AE24" i="35"/>
  <c r="V34" i="35"/>
  <c r="AE34" i="35"/>
  <c r="R34" i="36"/>
  <c r="AA34" i="36"/>
  <c r="R44" i="36"/>
  <c r="AA44" i="36"/>
  <c r="M34" i="36"/>
  <c r="M24" i="36"/>
  <c r="AA24" i="36"/>
  <c r="M54" i="36"/>
  <c r="AA54" i="36"/>
  <c r="R64" i="36"/>
  <c r="AA64" i="36"/>
  <c r="R44" i="37"/>
  <c r="AA44" i="37"/>
  <c r="M44" i="37"/>
  <c r="R24" i="37"/>
  <c r="AA24" i="37"/>
  <c r="R54" i="37"/>
  <c r="AA54" i="37"/>
  <c r="R34" i="37"/>
  <c r="AA34" i="37"/>
  <c r="M64" i="38"/>
  <c r="R44" i="38"/>
  <c r="G74" i="38"/>
  <c r="E91" i="38"/>
  <c r="E92" i="38"/>
  <c r="E85" i="38"/>
  <c r="M34" i="38"/>
  <c r="L2" i="38"/>
  <c r="AA14" i="38"/>
  <c r="M69" i="38"/>
  <c r="M14" i="38"/>
  <c r="R24" i="38"/>
  <c r="R24" i="36"/>
  <c r="R54" i="36"/>
  <c r="M68" i="38"/>
  <c r="H91" i="38"/>
  <c r="H92" i="38"/>
  <c r="H84" i="38"/>
  <c r="I74" i="38"/>
  <c r="R14" i="38"/>
  <c r="V14" i="33"/>
  <c r="M71" i="38"/>
  <c r="M72" i="38"/>
  <c r="M67" i="38"/>
  <c r="M24" i="37"/>
  <c r="M64" i="36"/>
  <c r="M54" i="37"/>
  <c r="Q14" i="33"/>
  <c r="Q24" i="35"/>
  <c r="M73" i="37"/>
  <c r="M34" i="37"/>
  <c r="M68" i="37"/>
  <c r="I74" i="37"/>
  <c r="R14" i="37"/>
  <c r="M14" i="37"/>
  <c r="G74" i="37"/>
  <c r="R72" i="36"/>
  <c r="L74" i="36"/>
  <c r="M74" i="36" s="1"/>
  <c r="M70" i="36"/>
  <c r="R71" i="36"/>
  <c r="M44" i="36"/>
  <c r="E84" i="36"/>
  <c r="M72" i="37"/>
  <c r="M69" i="37"/>
  <c r="M70" i="37"/>
  <c r="M71" i="37"/>
  <c r="M67" i="37"/>
  <c r="H85" i="36"/>
  <c r="E91" i="36"/>
  <c r="I74" i="36"/>
  <c r="G74" i="36"/>
  <c r="M71" i="36"/>
  <c r="M67" i="36"/>
  <c r="R14" i="36"/>
  <c r="L2" i="36"/>
  <c r="M73" i="36"/>
  <c r="P74" i="35"/>
  <c r="P93" i="35" s="1"/>
  <c r="V72" i="35"/>
  <c r="V44" i="35"/>
  <c r="P2" i="35"/>
  <c r="I85" i="35"/>
  <c r="M74" i="35"/>
  <c r="M69" i="36"/>
  <c r="M14" i="36"/>
  <c r="M73" i="38"/>
  <c r="M70" i="38"/>
  <c r="R54" i="38"/>
  <c r="M54" i="38"/>
  <c r="L74" i="38"/>
  <c r="L93" i="38" s="1"/>
  <c r="L74" i="37"/>
  <c r="M68" i="36"/>
  <c r="M72" i="36"/>
  <c r="H91" i="36"/>
  <c r="E92" i="36"/>
  <c r="H92" i="36"/>
  <c r="E85" i="36"/>
  <c r="H91" i="37"/>
  <c r="H84" i="37"/>
  <c r="H92" i="37"/>
  <c r="E84" i="37"/>
  <c r="E92" i="37"/>
  <c r="E85" i="37"/>
  <c r="K74" i="35"/>
  <c r="I91" i="35"/>
  <c r="Q44" i="35"/>
  <c r="Q71" i="35"/>
  <c r="L84" i="35"/>
  <c r="L92" i="35"/>
  <c r="L91" i="35"/>
  <c r="Q68" i="35"/>
  <c r="Q67" i="35"/>
  <c r="Q72" i="35"/>
  <c r="I84" i="35"/>
  <c r="I92" i="35"/>
  <c r="Q14" i="35"/>
  <c r="V14" i="35"/>
  <c r="Q73" i="35"/>
  <c r="Q69" i="35"/>
  <c r="Q70" i="35"/>
  <c r="Q54" i="33"/>
  <c r="Q34" i="33"/>
  <c r="P92" i="35" l="1"/>
  <c r="K8" i="39"/>
  <c r="R74" i="38"/>
  <c r="M74" i="37"/>
  <c r="L93" i="37"/>
  <c r="K7" i="39" s="1"/>
  <c r="R74" i="37"/>
  <c r="L93" i="36"/>
  <c r="R74" i="36"/>
  <c r="R95" i="36" s="1"/>
  <c r="V74" i="35"/>
  <c r="V95" i="35" s="1"/>
  <c r="K5" i="39"/>
  <c r="L85" i="38"/>
  <c r="M74" i="38"/>
  <c r="L92" i="38"/>
  <c r="L84" i="38"/>
  <c r="L91" i="38"/>
  <c r="L85" i="36"/>
  <c r="L92" i="36"/>
  <c r="L84" i="36"/>
  <c r="L91" i="36"/>
  <c r="L85" i="37"/>
  <c r="L92" i="37"/>
  <c r="L84" i="37"/>
  <c r="L91" i="37"/>
  <c r="Q74" i="35"/>
  <c r="P91" i="35"/>
  <c r="P85" i="35"/>
  <c r="P84" i="35"/>
  <c r="P8" i="39" l="1"/>
  <c r="M8" i="39"/>
  <c r="O8" i="39"/>
  <c r="L8" i="39"/>
  <c r="L5" i="39"/>
  <c r="O5" i="39"/>
  <c r="K6" i="39"/>
  <c r="M5" i="39"/>
  <c r="P5" i="39"/>
  <c r="P80" i="33"/>
  <c r="L80" i="33"/>
  <c r="H74" i="33"/>
  <c r="J5" i="39"/>
  <c r="J6" i="39"/>
  <c r="J7" i="39"/>
  <c r="J8" i="39"/>
  <c r="J4" i="39"/>
  <c r="I9" i="39"/>
  <c r="H5" i="39"/>
  <c r="H6" i="39"/>
  <c r="H8" i="39"/>
  <c r="H4" i="39"/>
  <c r="C9" i="39"/>
  <c r="D5" i="39"/>
  <c r="D6" i="39"/>
  <c r="D7" i="39"/>
  <c r="D8" i="39"/>
  <c r="D4" i="39"/>
  <c r="B9" i="39"/>
  <c r="F74" i="35"/>
  <c r="D63" i="38"/>
  <c r="D62" i="38"/>
  <c r="D61" i="38"/>
  <c r="D60" i="38"/>
  <c r="D59" i="38"/>
  <c r="D58" i="38"/>
  <c r="D57" i="38"/>
  <c r="D53" i="38"/>
  <c r="D52" i="38"/>
  <c r="D51" i="38"/>
  <c r="D50" i="38"/>
  <c r="D49" i="38"/>
  <c r="D48" i="38"/>
  <c r="D47" i="38"/>
  <c r="D43" i="38"/>
  <c r="D42" i="38"/>
  <c r="D41" i="38"/>
  <c r="D40" i="38"/>
  <c r="D39" i="38"/>
  <c r="D38" i="38"/>
  <c r="D37" i="38"/>
  <c r="D33" i="38"/>
  <c r="D32" i="38"/>
  <c r="D31" i="38"/>
  <c r="D30" i="38"/>
  <c r="D29" i="38"/>
  <c r="D28" i="38"/>
  <c r="D27" i="38"/>
  <c r="D23" i="38"/>
  <c r="D22" i="38"/>
  <c r="D21" i="38"/>
  <c r="D20" i="38"/>
  <c r="D19" i="38"/>
  <c r="D18" i="38"/>
  <c r="D17" i="38"/>
  <c r="D13" i="38"/>
  <c r="D12" i="38"/>
  <c r="D11" i="38"/>
  <c r="D10" i="38"/>
  <c r="D9" i="38"/>
  <c r="D8" i="38"/>
  <c r="D7" i="38"/>
  <c r="B74" i="37"/>
  <c r="B74" i="36"/>
  <c r="B74" i="35"/>
  <c r="K62" i="33"/>
  <c r="K61" i="33"/>
  <c r="K60" i="33"/>
  <c r="K59" i="33"/>
  <c r="K58" i="33"/>
  <c r="K57" i="33"/>
  <c r="F74" i="33"/>
  <c r="B74" i="33"/>
  <c r="F64" i="33"/>
  <c r="F54" i="33"/>
  <c r="F44" i="33"/>
  <c r="F34" i="33"/>
  <c r="F24" i="33"/>
  <c r="F14" i="33"/>
  <c r="H18" i="39" l="1"/>
  <c r="J18" i="39" s="1"/>
  <c r="O6" i="39"/>
  <c r="M7" i="39"/>
  <c r="O7" i="39"/>
  <c r="L7" i="39"/>
  <c r="M6" i="39"/>
  <c r="P6" i="39"/>
  <c r="L6" i="39"/>
  <c r="F9" i="39"/>
  <c r="B11" i="39"/>
  <c r="J9" i="39"/>
  <c r="D9" i="39"/>
  <c r="I44" i="33"/>
  <c r="Q44" i="33" s="1"/>
  <c r="I73" i="33"/>
  <c r="D24" i="35"/>
  <c r="M58" i="33"/>
  <c r="M60" i="33"/>
  <c r="M62" i="33"/>
  <c r="M59" i="33"/>
  <c r="M61" i="33"/>
  <c r="M44" i="33" l="1"/>
  <c r="N44" i="33" s="1"/>
  <c r="K44" i="33"/>
  <c r="I68" i="33"/>
  <c r="I69" i="33"/>
  <c r="Q71" i="33"/>
  <c r="Q68" i="33"/>
  <c r="Q72" i="33"/>
  <c r="D34" i="33"/>
  <c r="Q69" i="33"/>
  <c r="I72" i="33"/>
  <c r="D64" i="33"/>
  <c r="I70" i="33"/>
  <c r="D14" i="33"/>
  <c r="I71" i="33"/>
  <c r="D44" i="33"/>
  <c r="D74" i="35"/>
  <c r="D64" i="35"/>
  <c r="D44" i="35"/>
  <c r="D54" i="35"/>
  <c r="D14" i="35"/>
  <c r="D34" i="35"/>
  <c r="M57" i="33"/>
  <c r="L70" i="33" l="1"/>
  <c r="M70" i="33" s="1"/>
  <c r="L71" i="33"/>
  <c r="M71" i="33" s="1"/>
  <c r="Q67" i="33"/>
  <c r="L68" i="33"/>
  <c r="M68" i="33" s="1"/>
  <c r="Q70" i="33"/>
  <c r="L67" i="33"/>
  <c r="M67" i="33" s="1"/>
  <c r="I74" i="33"/>
  <c r="D54" i="33"/>
  <c r="D24" i="33"/>
  <c r="L69" i="33" l="1"/>
  <c r="M69" i="33" s="1"/>
  <c r="P68" i="33"/>
  <c r="V68" i="33" s="1"/>
  <c r="J68" i="33"/>
  <c r="K68" i="33" s="1"/>
  <c r="J73" i="33"/>
  <c r="K73" i="33" s="1"/>
  <c r="I91" i="33"/>
  <c r="I84" i="33"/>
  <c r="I85" i="33"/>
  <c r="I92" i="33"/>
  <c r="L72" i="33"/>
  <c r="M72" i="33" s="1"/>
  <c r="J71" i="33"/>
  <c r="K71" i="33" s="1"/>
  <c r="J70" i="33"/>
  <c r="K70" i="33" s="1"/>
  <c r="P70" i="33"/>
  <c r="V70" i="33" s="1"/>
  <c r="J69" i="33"/>
  <c r="K69" i="33" s="1"/>
  <c r="P69" i="33"/>
  <c r="V69" i="33" s="1"/>
  <c r="J72" i="33"/>
  <c r="K72" i="33" s="1"/>
  <c r="D74" i="33"/>
  <c r="P72" i="33" l="1"/>
  <c r="V72" i="33" s="1"/>
  <c r="P71" i="33"/>
  <c r="V71" i="33" s="1"/>
  <c r="P67" i="33"/>
  <c r="V67" i="33" s="1"/>
  <c r="R93" i="36" l="1"/>
  <c r="Q93" i="36"/>
  <c r="V93" i="35"/>
  <c r="U93" i="35"/>
  <c r="J74" i="33"/>
  <c r="K74" i="33" s="1"/>
  <c r="P73" i="33" l="1"/>
  <c r="Q73" i="33"/>
  <c r="L73" i="33"/>
  <c r="P74" i="33" l="1"/>
  <c r="V73" i="33"/>
  <c r="L74" i="33"/>
  <c r="M73" i="33"/>
  <c r="P92" i="33"/>
  <c r="P91" i="33"/>
  <c r="Q74" i="33"/>
  <c r="P85" i="33"/>
  <c r="P84" i="33"/>
  <c r="L91" i="33" l="1"/>
  <c r="M74" i="33"/>
  <c r="P93" i="33"/>
  <c r="V74" i="33"/>
  <c r="L84" i="33"/>
  <c r="L92" i="33"/>
  <c r="L85" i="33"/>
  <c r="U93" i="33" l="1"/>
  <c r="V93" i="33"/>
  <c r="K4" i="39"/>
  <c r="G7" i="39"/>
  <c r="H7" i="39" s="1"/>
  <c r="P7" i="39" l="1"/>
  <c r="L4" i="39"/>
  <c r="O4" i="39"/>
  <c r="M4" i="39"/>
  <c r="P4" i="39"/>
  <c r="K9" i="39"/>
  <c r="R9" i="39"/>
  <c r="G9" i="39" s="1"/>
  <c r="H9" i="39" s="1"/>
  <c r="P9" i="39" l="1"/>
  <c r="N10" i="39"/>
  <c r="P10" i="39"/>
  <c r="O10" i="39"/>
  <c r="AA3" i="39"/>
  <c r="K18" i="39"/>
  <c r="K17" i="39"/>
  <c r="M17" i="39" s="1"/>
  <c r="X10" i="39"/>
  <c r="L9" i="39"/>
  <c r="P15" i="39"/>
  <c r="P14" i="39"/>
  <c r="K14" i="39"/>
  <c r="M14" i="39" s="1"/>
  <c r="K16" i="39"/>
  <c r="M16" i="39" s="1"/>
  <c r="K15" i="39"/>
  <c r="M15" i="39" s="1"/>
  <c r="P16" i="39"/>
  <c r="M9" i="39"/>
  <c r="O9" i="39"/>
  <c r="M18" i="39" l="1"/>
  <c r="L18" i="39"/>
  <c r="AA5" i="39"/>
  <c r="AA4" i="39"/>
  <c r="AA6" i="39"/>
  <c r="AA9" i="39"/>
  <c r="AA7" i="39"/>
  <c r="AA10" i="39" l="1"/>
</calcChain>
</file>

<file path=xl/sharedStrings.xml><?xml version="1.0" encoding="utf-8"?>
<sst xmlns="http://schemas.openxmlformats.org/spreadsheetml/2006/main" count="2527" uniqueCount="389">
  <si>
    <t>ランチ</t>
    <phoneticPr fontId="1"/>
  </si>
  <si>
    <t>客数</t>
    <rPh sb="0" eb="2">
      <t>キャクスウ</t>
    </rPh>
    <phoneticPr fontId="1"/>
  </si>
  <si>
    <t>TOTAL</t>
    <phoneticPr fontId="1"/>
  </si>
  <si>
    <t>日</t>
    <rPh sb="0" eb="1">
      <t>ニチ</t>
    </rPh>
    <phoneticPr fontId="1"/>
  </si>
  <si>
    <t>月</t>
    <rPh sb="0" eb="1">
      <t>ゲツ</t>
    </rPh>
    <phoneticPr fontId="1"/>
  </si>
  <si>
    <t>火</t>
  </si>
  <si>
    <t>水</t>
  </si>
  <si>
    <t>木</t>
  </si>
  <si>
    <t>金</t>
  </si>
  <si>
    <t>土</t>
  </si>
  <si>
    <t>曜日</t>
    <rPh sb="0" eb="2">
      <t>ヨウビ</t>
    </rPh>
    <phoneticPr fontId="1"/>
  </si>
  <si>
    <t>日にち</t>
    <rPh sb="0" eb="1">
      <t>ヒ</t>
    </rPh>
    <phoneticPr fontId="1"/>
  </si>
  <si>
    <t>1st week</t>
    <phoneticPr fontId="1"/>
  </si>
  <si>
    <t>SUB　TOTAL</t>
    <phoneticPr fontId="1"/>
  </si>
  <si>
    <t>2nd week</t>
    <phoneticPr fontId="1"/>
  </si>
  <si>
    <t>3rd week</t>
    <phoneticPr fontId="1"/>
  </si>
  <si>
    <t>4th week</t>
    <phoneticPr fontId="1"/>
  </si>
  <si>
    <t>5th week</t>
    <phoneticPr fontId="1"/>
  </si>
  <si>
    <t>6th week</t>
    <phoneticPr fontId="1"/>
  </si>
  <si>
    <t>日数</t>
    <rPh sb="0" eb="2">
      <t>ニッスウ</t>
    </rPh>
    <phoneticPr fontId="1"/>
  </si>
  <si>
    <t>F売上</t>
    <rPh sb="1" eb="3">
      <t>ウリアゲ</t>
    </rPh>
    <phoneticPr fontId="1"/>
  </si>
  <si>
    <t>B売上</t>
    <rPh sb="1" eb="3">
      <t>ウリアゲ</t>
    </rPh>
    <phoneticPr fontId="1"/>
  </si>
  <si>
    <t>■予算差異</t>
    <rPh sb="1" eb="3">
      <t>ヨサン</t>
    </rPh>
    <rPh sb="3" eb="5">
      <t>サイ</t>
    </rPh>
    <phoneticPr fontId="1"/>
  </si>
  <si>
    <t>■前年差異</t>
    <rPh sb="1" eb="3">
      <t>ゼンネン</t>
    </rPh>
    <rPh sb="3" eb="5">
      <t>サイ</t>
    </rPh>
    <phoneticPr fontId="1"/>
  </si>
  <si>
    <t>■対比</t>
    <rPh sb="1" eb="3">
      <t>タイヒ</t>
    </rPh>
    <phoneticPr fontId="1"/>
  </si>
  <si>
    <t>予算</t>
    <rPh sb="0" eb="2">
      <t>ヨサン</t>
    </rPh>
    <phoneticPr fontId="1"/>
  </si>
  <si>
    <t>■前年値（数値残っていない休業）</t>
    <rPh sb="1" eb="3">
      <t>ゼンネン</t>
    </rPh>
    <rPh sb="3" eb="4">
      <t>チ</t>
    </rPh>
    <rPh sb="5" eb="7">
      <t>スウチ</t>
    </rPh>
    <rPh sb="7" eb="8">
      <t>ノコ</t>
    </rPh>
    <rPh sb="13" eb="15">
      <t>キュウギョウ</t>
    </rPh>
    <phoneticPr fontId="1"/>
  </si>
  <si>
    <t>売上</t>
    <rPh sb="0" eb="2">
      <t xml:space="preserve">ウリアゲ </t>
    </rPh>
    <phoneticPr fontId="1"/>
  </si>
  <si>
    <t>飲料売上</t>
    <rPh sb="0" eb="2">
      <t xml:space="preserve">インリョウ </t>
    </rPh>
    <rPh sb="2" eb="4">
      <t xml:space="preserve">ウリアゲ </t>
    </rPh>
    <phoneticPr fontId="1"/>
  </si>
  <si>
    <t>飲料単価</t>
    <rPh sb="0" eb="2">
      <t xml:space="preserve">インリョウ </t>
    </rPh>
    <rPh sb="2" eb="4">
      <t xml:space="preserve">タンカ </t>
    </rPh>
    <phoneticPr fontId="1"/>
  </si>
  <si>
    <t>料理売上</t>
    <rPh sb="0" eb="2">
      <t xml:space="preserve">リョウリ </t>
    </rPh>
    <rPh sb="2" eb="4">
      <t xml:space="preserve">ウリアゲ </t>
    </rPh>
    <phoneticPr fontId="1"/>
  </si>
  <si>
    <t>料理単価</t>
    <rPh sb="0" eb="2">
      <t xml:space="preserve">リョウリ </t>
    </rPh>
    <rPh sb="2" eb="4">
      <t xml:space="preserve">タンカ </t>
    </rPh>
    <phoneticPr fontId="1"/>
  </si>
  <si>
    <t>A</t>
    <phoneticPr fontId="1"/>
  </si>
  <si>
    <t>B</t>
    <phoneticPr fontId="1"/>
  </si>
  <si>
    <t>C</t>
    <phoneticPr fontId="1"/>
  </si>
  <si>
    <t>S</t>
    <phoneticPr fontId="1"/>
  </si>
  <si>
    <t>P/D</t>
    <phoneticPr fontId="1"/>
  </si>
  <si>
    <t>日にち</t>
    <rPh sb="0" eb="1">
      <t xml:space="preserve">ヒニチ </t>
    </rPh>
    <phoneticPr fontId="1"/>
  </si>
  <si>
    <t>売上予測</t>
    <rPh sb="0" eb="2">
      <t xml:space="preserve">ウリアゲ </t>
    </rPh>
    <rPh sb="2" eb="4">
      <t xml:space="preserve">ヨソク </t>
    </rPh>
    <phoneticPr fontId="1"/>
  </si>
  <si>
    <t>構成比率</t>
    <rPh sb="0" eb="4">
      <t xml:space="preserve">コウセイヒリツ </t>
    </rPh>
    <phoneticPr fontId="1"/>
  </si>
  <si>
    <t>合計</t>
    <rPh sb="0" eb="2">
      <t xml:space="preserve">ゴウケイ </t>
    </rPh>
    <phoneticPr fontId="1"/>
  </si>
  <si>
    <t>予算</t>
    <rPh sb="0" eb="2">
      <t xml:space="preserve">ヨサン </t>
    </rPh>
    <phoneticPr fontId="1"/>
  </si>
  <si>
    <t>客数</t>
    <rPh sb="0" eb="1">
      <t xml:space="preserve">キャクスウ </t>
    </rPh>
    <phoneticPr fontId="1"/>
  </si>
  <si>
    <t>客単価</t>
    <rPh sb="0" eb="3">
      <t xml:space="preserve">キャクタンカ </t>
    </rPh>
    <phoneticPr fontId="1"/>
  </si>
  <si>
    <t>売上総合計（レストラン+テイク）</t>
    <rPh sb="0" eb="2">
      <t xml:space="preserve">ウリアゲ </t>
    </rPh>
    <rPh sb="2" eb="5">
      <t xml:space="preserve">ソウゴウケイ </t>
    </rPh>
    <phoneticPr fontId="1"/>
  </si>
  <si>
    <t>5月</t>
    <rPh sb="1" eb="2">
      <t xml:space="preserve">ガツ </t>
    </rPh>
    <phoneticPr fontId="1"/>
  </si>
  <si>
    <t>6月</t>
    <rPh sb="1" eb="2">
      <t xml:space="preserve">ガツ </t>
    </rPh>
    <phoneticPr fontId="1"/>
  </si>
  <si>
    <t>FOOD</t>
    <phoneticPr fontId="1"/>
  </si>
  <si>
    <t>合計単価</t>
    <rPh sb="0" eb="2">
      <t xml:space="preserve">ゴウケイ </t>
    </rPh>
    <rPh sb="2" eb="4">
      <t xml:space="preserve">タンカ </t>
    </rPh>
    <phoneticPr fontId="1"/>
  </si>
  <si>
    <t>OFF1</t>
    <phoneticPr fontId="1"/>
  </si>
  <si>
    <t>OFF2</t>
    <phoneticPr fontId="1"/>
  </si>
  <si>
    <t>客数</t>
    <rPh sb="0" eb="2">
      <t xml:space="preserve">キャクスウ </t>
    </rPh>
    <phoneticPr fontId="1"/>
  </si>
  <si>
    <t>1日平均</t>
    <rPh sb="2" eb="4">
      <t xml:space="preserve">ヘイキン </t>
    </rPh>
    <phoneticPr fontId="1"/>
  </si>
  <si>
    <t>■モデルシフト</t>
    <phoneticPr fontId="1"/>
  </si>
  <si>
    <t>モデルシフト　カテゴリー</t>
    <phoneticPr fontId="1"/>
  </si>
  <si>
    <t>TOP1</t>
    <phoneticPr fontId="1"/>
  </si>
  <si>
    <t>TOP2</t>
    <phoneticPr fontId="1"/>
  </si>
  <si>
    <t>ON1</t>
    <phoneticPr fontId="1"/>
  </si>
  <si>
    <t>ON2</t>
    <phoneticPr fontId="1"/>
  </si>
  <si>
    <t>ショルダー</t>
    <phoneticPr fontId="1"/>
  </si>
  <si>
    <t>8月</t>
    <rPh sb="1" eb="2">
      <t xml:space="preserve">ガツ </t>
    </rPh>
    <phoneticPr fontId="1"/>
  </si>
  <si>
    <t>7月</t>
    <rPh sb="1" eb="2">
      <t xml:space="preserve">ガツ </t>
    </rPh>
    <phoneticPr fontId="1"/>
  </si>
  <si>
    <t>売上予算</t>
    <rPh sb="0" eb="4">
      <t xml:space="preserve">ウリアゲヨサン </t>
    </rPh>
    <phoneticPr fontId="1"/>
  </si>
  <si>
    <t>月</t>
    <rPh sb="0" eb="1">
      <t xml:space="preserve">ツキ </t>
    </rPh>
    <phoneticPr fontId="1"/>
  </si>
  <si>
    <t>人件費率</t>
    <rPh sb="0" eb="4">
      <t xml:space="preserve">ジンケンヒリツ </t>
    </rPh>
    <phoneticPr fontId="1"/>
  </si>
  <si>
    <t>※ノヴェロ派遣分のみ算出</t>
    <rPh sb="5" eb="7">
      <t xml:space="preserve">ハケン </t>
    </rPh>
    <rPh sb="7" eb="8">
      <t xml:space="preserve">ブン </t>
    </rPh>
    <rPh sb="10" eb="12">
      <t xml:space="preserve">サンシュツ </t>
    </rPh>
    <phoneticPr fontId="1"/>
  </si>
  <si>
    <t>差異</t>
    <rPh sb="0" eb="2">
      <t xml:space="preserve">サイ </t>
    </rPh>
    <phoneticPr fontId="1"/>
  </si>
  <si>
    <t>提出予算</t>
    <rPh sb="0" eb="2">
      <t xml:space="preserve">テイシュツ </t>
    </rPh>
    <rPh sb="2" eb="4">
      <t xml:space="preserve">ヨサン </t>
    </rPh>
    <phoneticPr fontId="1"/>
  </si>
  <si>
    <t>※天気要因見込まず算出</t>
    <rPh sb="1" eb="5">
      <t xml:space="preserve">テンキヨウイン </t>
    </rPh>
    <rPh sb="5" eb="7">
      <t xml:space="preserve">ミコマズ </t>
    </rPh>
    <rPh sb="9" eb="11">
      <t xml:space="preserve">サンシュツ </t>
    </rPh>
    <phoneticPr fontId="1"/>
  </si>
  <si>
    <t>対予算</t>
    <rPh sb="0" eb="3">
      <t xml:space="preserve">タイヨサン </t>
    </rPh>
    <phoneticPr fontId="1"/>
  </si>
  <si>
    <t>実績</t>
    <rPh sb="0" eb="2">
      <t xml:space="preserve">ジッセキ </t>
    </rPh>
    <phoneticPr fontId="1"/>
  </si>
  <si>
    <t>売上合計</t>
    <rPh sb="0" eb="2">
      <t xml:space="preserve">ウリアゲ </t>
    </rPh>
    <rPh sb="2" eb="4">
      <t xml:space="preserve">ゴウケイ </t>
    </rPh>
    <phoneticPr fontId="1"/>
  </si>
  <si>
    <t>その他売上</t>
    <rPh sb="3" eb="5">
      <t xml:space="preserve">ウリアゲ </t>
    </rPh>
    <phoneticPr fontId="1"/>
  </si>
  <si>
    <t>人時売上高</t>
    <rPh sb="0" eb="4">
      <t xml:space="preserve">ニンジウリアゲ </t>
    </rPh>
    <rPh sb="4" eb="5">
      <t xml:space="preserve">タカ </t>
    </rPh>
    <phoneticPr fontId="1"/>
  </si>
  <si>
    <t>売上予算</t>
    <rPh sb="0" eb="2">
      <t xml:space="preserve">ウリアゲ </t>
    </rPh>
    <rPh sb="2" eb="4">
      <t xml:space="preserve">ヨサン </t>
    </rPh>
    <phoneticPr fontId="1"/>
  </si>
  <si>
    <t>ビアガーデン9月　実績TOTAL</t>
    <rPh sb="7" eb="8">
      <t xml:space="preserve">ガツ </t>
    </rPh>
    <rPh sb="9" eb="11">
      <t xml:space="preserve">ジッセキ </t>
    </rPh>
    <phoneticPr fontId="1"/>
  </si>
  <si>
    <t>ビアガーデン8月　TOTAL実績</t>
    <rPh sb="7" eb="8">
      <t xml:space="preserve">ガツ </t>
    </rPh>
    <rPh sb="14" eb="16">
      <t xml:space="preserve">ジッセキ </t>
    </rPh>
    <phoneticPr fontId="1"/>
  </si>
  <si>
    <t>ビアガーデン7月　TOTAL実績</t>
    <rPh sb="7" eb="8">
      <t xml:space="preserve">ガツ </t>
    </rPh>
    <rPh sb="14" eb="16">
      <t xml:space="preserve">ジッセキ </t>
    </rPh>
    <phoneticPr fontId="1"/>
  </si>
  <si>
    <t>ビアガーデン6月　TOTAL実績</t>
    <rPh sb="7" eb="8">
      <t xml:space="preserve">ガツ </t>
    </rPh>
    <rPh sb="14" eb="16">
      <t xml:space="preserve">ジッセキ </t>
    </rPh>
    <phoneticPr fontId="1"/>
  </si>
  <si>
    <t>ビアガーデン5月　TOTAL実績</t>
    <rPh sb="7" eb="8">
      <t xml:space="preserve">ガツ </t>
    </rPh>
    <rPh sb="14" eb="16">
      <t xml:space="preserve">ジッセキ </t>
    </rPh>
    <phoneticPr fontId="1"/>
  </si>
  <si>
    <t>対予測達成率</t>
    <rPh sb="0" eb="1">
      <t xml:space="preserve">タイ </t>
    </rPh>
    <rPh sb="1" eb="3">
      <t xml:space="preserve">ヨソク </t>
    </rPh>
    <rPh sb="3" eb="6">
      <t xml:space="preserve">タッセイリツ </t>
    </rPh>
    <phoneticPr fontId="1"/>
  </si>
  <si>
    <t>税抜売上</t>
    <rPh sb="0" eb="2">
      <t xml:space="preserve">ゼイヌキ </t>
    </rPh>
    <rPh sb="2" eb="4">
      <t xml:space="preserve">ウリアゲ </t>
    </rPh>
    <phoneticPr fontId="1"/>
  </si>
  <si>
    <t>対予測</t>
    <rPh sb="0" eb="3">
      <t xml:space="preserve">タイヨソク </t>
    </rPh>
    <phoneticPr fontId="1"/>
  </si>
  <si>
    <t>人件費</t>
    <rPh sb="0" eb="3">
      <t xml:space="preserve">ジンケンヒ </t>
    </rPh>
    <phoneticPr fontId="1"/>
  </si>
  <si>
    <t>実労働時間</t>
    <rPh sb="0" eb="1">
      <t xml:space="preserve">ジツ </t>
    </rPh>
    <rPh sb="1" eb="5">
      <t xml:space="preserve">ジツロウドウジカン </t>
    </rPh>
    <phoneticPr fontId="1"/>
  </si>
  <si>
    <t>人時生産性</t>
    <rPh sb="0" eb="5">
      <t xml:space="preserve">ニンジセイサンセイ </t>
    </rPh>
    <phoneticPr fontId="1"/>
  </si>
  <si>
    <t>想定人件費</t>
    <rPh sb="0" eb="2">
      <t xml:space="preserve">ソウテイ </t>
    </rPh>
    <rPh sb="2" eb="5">
      <t xml:space="preserve">ジンケンヒ </t>
    </rPh>
    <phoneticPr fontId="1"/>
  </si>
  <si>
    <t>終了時点の進捗状況</t>
    <rPh sb="0" eb="4">
      <t xml:space="preserve">シュウリョウジテンノ </t>
    </rPh>
    <rPh sb="5" eb="7">
      <t xml:space="preserve">シンチョク </t>
    </rPh>
    <rPh sb="7" eb="9">
      <t xml:space="preserve">ジョウキョウ </t>
    </rPh>
    <phoneticPr fontId="1"/>
  </si>
  <si>
    <t>売上実績</t>
    <rPh sb="0" eb="2">
      <t xml:space="preserve">ウリアゲ </t>
    </rPh>
    <rPh sb="2" eb="4">
      <t xml:space="preserve">ジッセキ </t>
    </rPh>
    <phoneticPr fontId="1"/>
  </si>
  <si>
    <t>計画値</t>
    <rPh sb="0" eb="2">
      <t xml:space="preserve">ケイカクチ </t>
    </rPh>
    <rPh sb="2" eb="3">
      <t xml:space="preserve">アタイ </t>
    </rPh>
    <phoneticPr fontId="1"/>
  </si>
  <si>
    <t>予測値</t>
    <rPh sb="0" eb="3">
      <t xml:space="preserve">ヨソクチ </t>
    </rPh>
    <phoneticPr fontId="1"/>
  </si>
  <si>
    <t>概算人件費率</t>
    <rPh sb="0" eb="2">
      <t xml:space="preserve">ガイサン </t>
    </rPh>
    <rPh sb="2" eb="6">
      <t xml:space="preserve">ジンケンヒリツ </t>
    </rPh>
    <phoneticPr fontId="1"/>
  </si>
  <si>
    <r>
      <t>■</t>
    </r>
    <r>
      <rPr>
        <b/>
        <sz val="18"/>
        <color theme="1"/>
        <rFont val="Yu Gothic"/>
        <family val="3"/>
        <charset val="128"/>
        <scheme val="minor"/>
      </rPr>
      <t>R5</t>
    </r>
    <r>
      <rPr>
        <b/>
        <sz val="18"/>
        <color theme="1"/>
        <rFont val="Yu Gothic"/>
        <family val="2"/>
        <scheme val="minor"/>
      </rPr>
      <t>年さっぽろテレビ塔ビアガーデン売上計画（予算）・売上予測・実績進捗確認表</t>
    </r>
    <rPh sb="3" eb="4">
      <t xml:space="preserve">ネン </t>
    </rPh>
    <rPh sb="18" eb="20">
      <t xml:space="preserve">ウリアゲ </t>
    </rPh>
    <rPh sb="20" eb="22">
      <t xml:space="preserve">ケイカク </t>
    </rPh>
    <rPh sb="23" eb="25">
      <t xml:space="preserve">ヨサン </t>
    </rPh>
    <rPh sb="27" eb="29">
      <t xml:space="preserve">ウリアゲ </t>
    </rPh>
    <rPh sb="29" eb="31">
      <t xml:space="preserve">ヨソク </t>
    </rPh>
    <rPh sb="32" eb="36">
      <t xml:space="preserve">ジッセキシンチョク </t>
    </rPh>
    <rPh sb="36" eb="38">
      <t xml:space="preserve">カクニン </t>
    </rPh>
    <rPh sb="38" eb="39">
      <t xml:space="preserve">ヒョウ </t>
    </rPh>
    <phoneticPr fontId="1"/>
  </si>
  <si>
    <t>労働時間（予測値）</t>
    <rPh sb="0" eb="4">
      <t xml:space="preserve">ロウドウジカン </t>
    </rPh>
    <rPh sb="5" eb="7">
      <t xml:space="preserve">ヨソク </t>
    </rPh>
    <rPh sb="7" eb="8">
      <t xml:space="preserve">アタイ </t>
    </rPh>
    <phoneticPr fontId="1"/>
  </si>
  <si>
    <t>平均</t>
    <rPh sb="0" eb="2">
      <t xml:space="preserve">ヘイキン </t>
    </rPh>
    <phoneticPr fontId="1"/>
  </si>
  <si>
    <t>予算まで</t>
    <rPh sb="0" eb="2">
      <t xml:space="preserve">ヨサンマデ </t>
    </rPh>
    <phoneticPr fontId="1"/>
  </si>
  <si>
    <t>予測まで</t>
    <rPh sb="0" eb="1">
      <t xml:space="preserve">ヨソクマデ </t>
    </rPh>
    <phoneticPr fontId="1"/>
  </si>
  <si>
    <t>一億円まで</t>
    <rPh sb="0" eb="3">
      <t xml:space="preserve">イチオクエン </t>
    </rPh>
    <phoneticPr fontId="1"/>
  </si>
  <si>
    <t>一億一千万まで</t>
    <rPh sb="0" eb="1">
      <t>110000000</t>
    </rPh>
    <phoneticPr fontId="1"/>
  </si>
  <si>
    <t>営業日数</t>
    <rPh sb="0" eb="4">
      <t xml:space="preserve">エイギョウニッスウ </t>
    </rPh>
    <phoneticPr fontId="1"/>
  </si>
  <si>
    <t>実績進捗（派遣分のみ）</t>
    <rPh sb="0" eb="4">
      <t xml:space="preserve">ジッセキシンチョク </t>
    </rPh>
    <rPh sb="5" eb="7">
      <t xml:space="preserve">ハケン </t>
    </rPh>
    <rPh sb="7" eb="8">
      <t xml:space="preserve">ブンノミ </t>
    </rPh>
    <phoneticPr fontId="1"/>
  </si>
  <si>
    <r>
      <rPr>
        <sz val="11"/>
        <color theme="1"/>
        <rFont val="Yu Gothic"/>
        <family val="2"/>
        <scheme val="minor"/>
      </rPr>
      <t>拘束時間</t>
    </r>
    <rPh sb="0" eb="2">
      <t xml:space="preserve">コウソク </t>
    </rPh>
    <rPh sb="2" eb="4">
      <t xml:space="preserve">ジカン </t>
    </rPh>
    <phoneticPr fontId="1"/>
  </si>
  <si>
    <t>残業時間</t>
    <rPh sb="0" eb="4">
      <t xml:space="preserve">ザンギョウジカン </t>
    </rPh>
    <phoneticPr fontId="1"/>
  </si>
  <si>
    <t>人件費合計</t>
    <rPh sb="0" eb="3">
      <t xml:space="preserve">ジンケンヒ </t>
    </rPh>
    <rPh sb="3" eb="5">
      <t xml:space="preserve">ゴウケイ </t>
    </rPh>
    <phoneticPr fontId="1"/>
  </si>
  <si>
    <t>交通費合計</t>
    <rPh sb="0" eb="3">
      <t xml:space="preserve">コウツウヒ </t>
    </rPh>
    <rPh sb="3" eb="5">
      <t xml:space="preserve">ゴウケイ </t>
    </rPh>
    <phoneticPr fontId="1"/>
  </si>
  <si>
    <t>ノヴェロさん請求内容</t>
    <rPh sb="6" eb="10">
      <t xml:space="preserve">セイキュウナイヨウ </t>
    </rPh>
    <phoneticPr fontId="1"/>
  </si>
  <si>
    <t>材料費</t>
    <rPh sb="0" eb="3">
      <t xml:space="preserve">ザイリョウヒ </t>
    </rPh>
    <phoneticPr fontId="1"/>
  </si>
  <si>
    <t>消耗品費</t>
    <rPh sb="0" eb="4">
      <t xml:space="preserve">ショウモウヒンヒ </t>
    </rPh>
    <phoneticPr fontId="1"/>
  </si>
  <si>
    <t>イニシャル</t>
    <phoneticPr fontId="1"/>
  </si>
  <si>
    <t>利益</t>
    <rPh sb="0" eb="2">
      <t xml:space="preserve">リエキ </t>
    </rPh>
    <phoneticPr fontId="1"/>
  </si>
  <si>
    <t>家賃</t>
    <rPh sb="0" eb="2">
      <t xml:space="preserve">ヤチン </t>
    </rPh>
    <phoneticPr fontId="1"/>
  </si>
  <si>
    <t>流動固定費</t>
    <rPh sb="0" eb="5">
      <t xml:space="preserve">リュウドウコテイヒ </t>
    </rPh>
    <phoneticPr fontId="1"/>
  </si>
  <si>
    <t>1日</t>
    <phoneticPr fontId="1"/>
  </si>
  <si>
    <t>家賃</t>
    <rPh sb="0" eb="1">
      <t xml:space="preserve">ヤチン </t>
    </rPh>
    <phoneticPr fontId="1"/>
  </si>
  <si>
    <t>最低</t>
    <rPh sb="0" eb="2">
      <t xml:space="preserve">サイテイ </t>
    </rPh>
    <phoneticPr fontId="1"/>
  </si>
  <si>
    <t>最高</t>
    <rPh sb="0" eb="2">
      <t xml:space="preserve">サイコウ </t>
    </rPh>
    <phoneticPr fontId="1"/>
  </si>
  <si>
    <t>12時</t>
    <phoneticPr fontId="1"/>
  </si>
  <si>
    <t>15時</t>
    <rPh sb="2" eb="3">
      <t xml:space="preserve">ジ </t>
    </rPh>
    <phoneticPr fontId="1"/>
  </si>
  <si>
    <t>18時</t>
    <rPh sb="2" eb="3">
      <t xml:space="preserve">ジ </t>
    </rPh>
    <phoneticPr fontId="1"/>
  </si>
  <si>
    <r>
      <t>※予算値は</t>
    </r>
    <r>
      <rPr>
        <b/>
        <sz val="11"/>
        <color theme="1"/>
        <rFont val="Yu Gothic"/>
        <family val="3"/>
        <charset val="128"/>
        <scheme val="minor"/>
      </rPr>
      <t>115</t>
    </r>
    <r>
      <rPr>
        <b/>
        <sz val="11"/>
        <color theme="1"/>
        <rFont val="Yu Gothic"/>
        <family val="2"/>
        <scheme val="minor"/>
      </rPr>
      <t>日計算で</t>
    </r>
    <r>
      <rPr>
        <b/>
        <sz val="11"/>
        <color theme="1"/>
        <rFont val="Yu Gothic"/>
        <family val="3"/>
        <charset val="128"/>
        <scheme val="minor"/>
      </rPr>
      <t>P/D</t>
    </r>
    <r>
      <rPr>
        <b/>
        <sz val="11"/>
        <color theme="1"/>
        <rFont val="Yu Gothic"/>
        <family val="2"/>
        <scheme val="minor"/>
      </rPr>
      <t>（</t>
    </r>
    <r>
      <rPr>
        <b/>
        <sz val="11"/>
        <color theme="1"/>
        <rFont val="Yu Gothic"/>
        <family val="3"/>
        <charset val="128"/>
        <scheme val="minor"/>
      </rPr>
      <t>1</t>
    </r>
    <r>
      <rPr>
        <b/>
        <sz val="11"/>
        <color theme="1"/>
        <rFont val="Yu Gothic"/>
        <family val="2"/>
        <scheme val="minor"/>
      </rPr>
      <t>日平均）</t>
    </r>
    <r>
      <rPr>
        <b/>
        <sz val="11"/>
        <color theme="1"/>
        <rFont val="Yu Gothic"/>
        <family val="3"/>
        <charset val="128"/>
        <scheme val="minor"/>
      </rPr>
      <t>804</t>
    </r>
    <r>
      <rPr>
        <b/>
        <sz val="11"/>
        <color theme="1"/>
        <rFont val="Yu Gothic"/>
        <family val="2"/>
        <scheme val="minor"/>
      </rPr>
      <t>千円にて積み上げ。予測は100日営業、各施策と季節波動を効かせて算出。</t>
    </r>
    <rPh sb="1" eb="3">
      <t xml:space="preserve">ヨサン </t>
    </rPh>
    <rPh sb="3" eb="4">
      <t xml:space="preserve">アタイ </t>
    </rPh>
    <rPh sb="8" eb="9">
      <t xml:space="preserve">ニチ </t>
    </rPh>
    <rPh sb="9" eb="11">
      <t xml:space="preserve">ケイサンデ </t>
    </rPh>
    <rPh sb="18" eb="20">
      <t xml:space="preserve">ヘイキン </t>
    </rPh>
    <rPh sb="24" eb="26">
      <t xml:space="preserve">センエン </t>
    </rPh>
    <rPh sb="28" eb="29">
      <t xml:space="preserve">ツミアゲ </t>
    </rPh>
    <rPh sb="33" eb="35">
      <t xml:space="preserve">ヨソクハ </t>
    </rPh>
    <rPh sb="39" eb="40">
      <t xml:space="preserve">ニチ </t>
    </rPh>
    <rPh sb="40" eb="42">
      <t xml:space="preserve">エイギョウ </t>
    </rPh>
    <rPh sb="43" eb="46">
      <t xml:space="preserve">カクシサク </t>
    </rPh>
    <rPh sb="47" eb="49">
      <t xml:space="preserve">キセツ </t>
    </rPh>
    <rPh sb="49" eb="51">
      <t xml:space="preserve">ハドウ </t>
    </rPh>
    <rPh sb="52" eb="53">
      <t xml:space="preserve">キカセテ </t>
    </rPh>
    <rPh sb="56" eb="58">
      <t xml:space="preserve">サンシュツ </t>
    </rPh>
    <phoneticPr fontId="1"/>
  </si>
  <si>
    <t>曇</t>
    <rPh sb="0" eb="1">
      <t xml:space="preserve">クモリ </t>
    </rPh>
    <phoneticPr fontId="1"/>
  </si>
  <si>
    <t>雨</t>
    <rPh sb="0" eb="1">
      <t xml:space="preserve">アメ </t>
    </rPh>
    <phoneticPr fontId="1"/>
  </si>
  <si>
    <t>■天候要因</t>
    <rPh sb="1" eb="3">
      <t xml:space="preserve">テンコウ </t>
    </rPh>
    <rPh sb="3" eb="5">
      <t xml:space="preserve">ヨウイン </t>
    </rPh>
    <phoneticPr fontId="1"/>
  </si>
  <si>
    <t>晴れ（33度まで）</t>
    <rPh sb="0" eb="1">
      <t xml:space="preserve">ハレ </t>
    </rPh>
    <rPh sb="5" eb="6">
      <t xml:space="preserve">ド </t>
    </rPh>
    <phoneticPr fontId="1"/>
  </si>
  <si>
    <t>晴れ（25度以下）</t>
    <rPh sb="0" eb="1">
      <t xml:space="preserve">ハレ </t>
    </rPh>
    <rPh sb="5" eb="6">
      <t xml:space="preserve">ド </t>
    </rPh>
    <rPh sb="6" eb="8">
      <t xml:space="preserve">イカ </t>
    </rPh>
    <phoneticPr fontId="1"/>
  </si>
  <si>
    <t>評価点</t>
    <rPh sb="0" eb="2">
      <t xml:space="preserve">ヒョウカ </t>
    </rPh>
    <rPh sb="2" eb="3">
      <t xml:space="preserve">テン </t>
    </rPh>
    <phoneticPr fontId="1"/>
  </si>
  <si>
    <t>豪雨・雷雨</t>
    <rPh sb="0" eb="2">
      <t xml:space="preserve">ゴウウ </t>
    </rPh>
    <rPh sb="3" eb="5">
      <t xml:space="preserve">ライウウ </t>
    </rPh>
    <phoneticPr fontId="1"/>
  </si>
  <si>
    <t>Ave</t>
    <phoneticPr fontId="1"/>
  </si>
  <si>
    <t>晴れ（33度以上）曇25度以上</t>
    <rPh sb="0" eb="1">
      <t xml:space="preserve">ハレ </t>
    </rPh>
    <rPh sb="3" eb="4">
      <t xml:space="preserve">33ド </t>
    </rPh>
    <rPh sb="6" eb="8">
      <t xml:space="preserve">イジョウ </t>
    </rPh>
    <rPh sb="9" eb="10">
      <t xml:space="preserve">クモリ </t>
    </rPh>
    <rPh sb="12" eb="13">
      <t xml:space="preserve">ド </t>
    </rPh>
    <rPh sb="13" eb="15">
      <t xml:space="preserve">イジョウ </t>
    </rPh>
    <phoneticPr fontId="1"/>
  </si>
  <si>
    <t>※5.6月は18時は最低気温を採用。7月〜は最高気温を採用。</t>
    <rPh sb="4" eb="5">
      <t xml:space="preserve">ガツ </t>
    </rPh>
    <rPh sb="8" eb="9">
      <t xml:space="preserve">ジ </t>
    </rPh>
    <rPh sb="10" eb="14">
      <t xml:space="preserve">サイテイキオン </t>
    </rPh>
    <rPh sb="15" eb="17">
      <t xml:space="preserve">サイヨウ </t>
    </rPh>
    <rPh sb="19" eb="20">
      <t xml:space="preserve">ガツ </t>
    </rPh>
    <rPh sb="22" eb="26">
      <t xml:space="preserve">サイコウキオン </t>
    </rPh>
    <rPh sb="27" eb="29">
      <t xml:space="preserve">サイヨウ </t>
    </rPh>
    <phoneticPr fontId="1"/>
  </si>
  <si>
    <t xml:space="preserve"> ①</t>
    <phoneticPr fontId="1"/>
  </si>
  <si>
    <t>②</t>
    <phoneticPr fontId="1"/>
  </si>
  <si>
    <t>③</t>
    <phoneticPr fontId="1"/>
  </si>
  <si>
    <t>④</t>
    <phoneticPr fontId="1"/>
  </si>
  <si>
    <t>⑤</t>
    <phoneticPr fontId="1"/>
  </si>
  <si>
    <t>⑥</t>
    <phoneticPr fontId="1"/>
  </si>
  <si>
    <t>⑦</t>
    <phoneticPr fontId="1"/>
  </si>
  <si>
    <t>⑧</t>
    <phoneticPr fontId="1"/>
  </si>
  <si>
    <t>⑨</t>
    <phoneticPr fontId="1"/>
  </si>
  <si>
    <t>➓</t>
    <phoneticPr fontId="1"/>
  </si>
  <si>
    <t>※1日平均売上</t>
    <rPh sb="2" eb="3">
      <t xml:space="preserve">ニチ </t>
    </rPh>
    <rPh sb="3" eb="5">
      <t xml:space="preserve">ヘイキン </t>
    </rPh>
    <rPh sb="5" eb="7">
      <t xml:space="preserve">ウリアゲ </t>
    </rPh>
    <phoneticPr fontId="1"/>
  </si>
  <si>
    <t>営業日</t>
  </si>
  <si>
    <t>12時</t>
  </si>
  <si>
    <t>13時</t>
  </si>
  <si>
    <t>14時</t>
  </si>
  <si>
    <t>15時</t>
  </si>
  <si>
    <t>16時</t>
  </si>
  <si>
    <t>17時</t>
  </si>
  <si>
    <t>18時</t>
  </si>
  <si>
    <t>19時</t>
  </si>
  <si>
    <t>20時</t>
  </si>
  <si>
    <t>合計</t>
  </si>
  <si>
    <t>2023/08/01(火)</t>
  </si>
  <si>
    <t>2023/08/02(水)</t>
  </si>
  <si>
    <t>2023/08/03(木)</t>
  </si>
  <si>
    <t>2023/08/04(金)</t>
  </si>
  <si>
    <t>2023/08/05(土)</t>
  </si>
  <si>
    <t>2023/08/06(日)</t>
  </si>
  <si>
    <t>2023/08/07(月)</t>
  </si>
  <si>
    <t>2023/08/08(火)</t>
  </si>
  <si>
    <t>2023/08/09(水)</t>
  </si>
  <si>
    <t>2023/08/10(木)</t>
  </si>
  <si>
    <t>2023/08/11(金)</t>
  </si>
  <si>
    <t>2023/08/12(土)</t>
  </si>
  <si>
    <t>2023/08/13(日)</t>
  </si>
  <si>
    <t>2023/08/14(月)</t>
  </si>
  <si>
    <t>2023/08/15(火)</t>
  </si>
  <si>
    <t>2023/08/16(水)</t>
  </si>
  <si>
    <t>2023/08/17(木)</t>
  </si>
  <si>
    <t>2023/08/18(金)</t>
  </si>
  <si>
    <t>2023/08/19(土)</t>
  </si>
  <si>
    <t>2023/08/20(日)</t>
  </si>
  <si>
    <t>2023/08/21(月)</t>
  </si>
  <si>
    <t>2023/08/22(火)</t>
  </si>
  <si>
    <t>2023/08/23(水)</t>
  </si>
  <si>
    <t>2023/08/24(木)</t>
  </si>
  <si>
    <t>2023/08/25(金)</t>
  </si>
  <si>
    <t>2023/08/26(土)</t>
  </si>
  <si>
    <t>2023/08/27(日)</t>
  </si>
  <si>
    <t>2023/08/28(月)</t>
  </si>
  <si>
    <t>2023/08/29(火)</t>
  </si>
  <si>
    <t>2023/08/30(水)</t>
  </si>
  <si>
    <t>2023/08/31(木)</t>
  </si>
  <si>
    <t>【合計】</t>
  </si>
  <si>
    <t>【日曜日 平均】</t>
  </si>
  <si>
    <t>【月曜日 平均】</t>
  </si>
  <si>
    <t>【火曜日 平均】</t>
  </si>
  <si>
    <t>【水曜日 平均】</t>
  </si>
  <si>
    <t>【木曜日 平均】</t>
  </si>
  <si>
    <t>【金曜日 平均】</t>
  </si>
  <si>
    <t>【土曜日 平均】</t>
  </si>
  <si>
    <t>【日曜日 合計】</t>
  </si>
  <si>
    <t>【月曜日 合計】</t>
  </si>
  <si>
    <t>【火曜日 合計】</t>
  </si>
  <si>
    <t>【水曜日 合計】</t>
  </si>
  <si>
    <t>【木曜日 合計】</t>
  </si>
  <si>
    <t>【金曜日 合計】</t>
  </si>
  <si>
    <t>【土曜日 合計】</t>
  </si>
  <si>
    <t>■8月時間帯別売上実績&amp;曜日別売上実績</t>
    <rPh sb="3" eb="7">
      <t xml:space="preserve">ジカンタイベツ </t>
    </rPh>
    <rPh sb="7" eb="9">
      <t xml:space="preserve">ウリアゲ </t>
    </rPh>
    <rPh sb="9" eb="11">
      <t xml:space="preserve">ジッセキ </t>
    </rPh>
    <rPh sb="12" eb="15">
      <t xml:space="preserve">ヨウビベツ </t>
    </rPh>
    <rPh sb="15" eb="17">
      <t xml:space="preserve">ウリアゲ </t>
    </rPh>
    <rPh sb="17" eb="19">
      <t xml:space="preserve">ジッセキ </t>
    </rPh>
    <phoneticPr fontId="1"/>
  </si>
  <si>
    <t>アイドル</t>
    <phoneticPr fontId="1"/>
  </si>
  <si>
    <t>ディナー</t>
    <phoneticPr fontId="1"/>
  </si>
  <si>
    <t>売上比率</t>
    <rPh sb="0" eb="2">
      <t xml:space="preserve">ウリアゲ </t>
    </rPh>
    <rPh sb="2" eb="4">
      <t xml:space="preserve">ヒリツ </t>
    </rPh>
    <phoneticPr fontId="1"/>
  </si>
  <si>
    <t>■8月曜日別売上平均</t>
    <rPh sb="3" eb="6">
      <t xml:space="preserve">ヨウビベツ </t>
    </rPh>
    <rPh sb="6" eb="8">
      <t xml:space="preserve">ウリアゲ </t>
    </rPh>
    <rPh sb="8" eb="10">
      <t xml:space="preserve">ヘイキン </t>
    </rPh>
    <phoneticPr fontId="1"/>
  </si>
  <si>
    <t>■8月曜日別売上合計</t>
    <rPh sb="3" eb="4">
      <t xml:space="preserve">ヨウビベツ </t>
    </rPh>
    <rPh sb="6" eb="7">
      <t xml:space="preserve">ウリアゲゴウケイ </t>
    </rPh>
    <phoneticPr fontId="1"/>
  </si>
  <si>
    <t>21時</t>
  </si>
  <si>
    <t>2023/09/01(金)</t>
  </si>
  <si>
    <t>2023/09/02(土)</t>
  </si>
  <si>
    <t>2023/09/03(日)</t>
  </si>
  <si>
    <t>2023/09/04(月)</t>
  </si>
  <si>
    <t>2023/09/05(火)</t>
  </si>
  <si>
    <t>2023/09/06(水)</t>
  </si>
  <si>
    <t>2023/09/07(木)</t>
  </si>
  <si>
    <t>2023/09/08(金)</t>
  </si>
  <si>
    <t>2023/09/09(土)</t>
  </si>
  <si>
    <t>2023/09/10(日)</t>
  </si>
  <si>
    <t>2023/09/11(月)</t>
  </si>
  <si>
    <t>2023/09/12(火)</t>
  </si>
  <si>
    <t>2023/09/13(水)</t>
  </si>
  <si>
    <t>2023/09/14(木)</t>
  </si>
  <si>
    <t>2023/09/15(金)</t>
  </si>
  <si>
    <t>2023/09/16(土)</t>
  </si>
  <si>
    <t>2023/09/17(日)</t>
  </si>
  <si>
    <t>2023/09/18(月)</t>
  </si>
  <si>
    <t>2023/09/19(火)</t>
  </si>
  <si>
    <t>2023/09/20(水)</t>
  </si>
  <si>
    <t>2023/09/21(木)</t>
  </si>
  <si>
    <t>2023/09/22(金)</t>
  </si>
  <si>
    <t>2023/09/23(土)</t>
  </si>
  <si>
    <t>2023/09/24(日)</t>
  </si>
  <si>
    <t>2023/09/25(月)</t>
  </si>
  <si>
    <t>2023/09/26(火)</t>
  </si>
  <si>
    <t>2023/09/27(水)</t>
  </si>
  <si>
    <t>2023/09/28(木)</t>
  </si>
  <si>
    <t>2023/09/29(金)</t>
  </si>
  <si>
    <t>2023/09/30(土)</t>
  </si>
  <si>
    <t>■9月時間帯別売上実績&amp;曜日別売上実績</t>
    <rPh sb="3" eb="7">
      <t xml:space="preserve">ジカンタイベツ </t>
    </rPh>
    <rPh sb="7" eb="9">
      <t xml:space="preserve">ウリアゲ </t>
    </rPh>
    <rPh sb="9" eb="11">
      <t xml:space="preserve">ジッセキ </t>
    </rPh>
    <rPh sb="12" eb="15">
      <t xml:space="preserve">ヨウビベツ </t>
    </rPh>
    <rPh sb="15" eb="17">
      <t xml:space="preserve">ウリアゲ </t>
    </rPh>
    <rPh sb="17" eb="19">
      <t xml:space="preserve">ジッセキ </t>
    </rPh>
    <phoneticPr fontId="1"/>
  </si>
  <si>
    <t>■9月曜日別売上平均</t>
    <rPh sb="3" eb="6">
      <t xml:space="preserve">ヨウビベツ </t>
    </rPh>
    <rPh sb="6" eb="8">
      <t xml:space="preserve">ウリアゲ </t>
    </rPh>
    <rPh sb="8" eb="10">
      <t xml:space="preserve">ヘイキン </t>
    </rPh>
    <phoneticPr fontId="1"/>
  </si>
  <si>
    <t>■9月曜日別売上合計</t>
    <rPh sb="3" eb="4">
      <t xml:space="preserve">ヨウビベツ </t>
    </rPh>
    <rPh sb="6" eb="7">
      <t xml:space="preserve">ウリアゲゴウケイ </t>
    </rPh>
    <phoneticPr fontId="1"/>
  </si>
  <si>
    <t>■7月 曜日別売上合計</t>
    <rPh sb="4" eb="5">
      <t xml:space="preserve">ヨウビベツ </t>
    </rPh>
    <rPh sb="7" eb="8">
      <t xml:space="preserve">ウリアゲゴウケイ </t>
    </rPh>
    <phoneticPr fontId="1"/>
  </si>
  <si>
    <t>■7月 曜日別売上平均</t>
    <rPh sb="4" eb="7">
      <t xml:space="preserve">ヨウビベツ </t>
    </rPh>
    <rPh sb="7" eb="9">
      <t xml:space="preserve">ウリアゲ </t>
    </rPh>
    <rPh sb="9" eb="11">
      <t xml:space="preserve">ヘイキン </t>
    </rPh>
    <phoneticPr fontId="1"/>
  </si>
  <si>
    <t>■7月 時間帯別売上実績&amp;曜日別売上実績</t>
    <rPh sb="4" eb="8">
      <t xml:space="preserve">ジカンタイベツ </t>
    </rPh>
    <rPh sb="8" eb="10">
      <t xml:space="preserve">ウリアゲ </t>
    </rPh>
    <rPh sb="10" eb="12">
      <t xml:space="preserve">ジッセキ </t>
    </rPh>
    <rPh sb="13" eb="16">
      <t xml:space="preserve">ヨウビベツ </t>
    </rPh>
    <rPh sb="16" eb="18">
      <t xml:space="preserve">ウリアゲ </t>
    </rPh>
    <rPh sb="18" eb="20">
      <t xml:space="preserve">ジッセキ </t>
    </rPh>
    <phoneticPr fontId="1"/>
  </si>
  <si>
    <t>2023/07/01(土)</t>
  </si>
  <si>
    <t>2023/07/02(日)</t>
  </si>
  <si>
    <t>2023/07/03(月)</t>
  </si>
  <si>
    <t>2023/07/04(火)</t>
  </si>
  <si>
    <t>2023/07/05(水)</t>
  </si>
  <si>
    <t>2023/07/06(木)</t>
  </si>
  <si>
    <t>2023/07/07(金)</t>
  </si>
  <si>
    <t>2023/07/08(土)</t>
  </si>
  <si>
    <t>2023/07/09(日)</t>
  </si>
  <si>
    <t>2023/07/10(月)</t>
  </si>
  <si>
    <t>2023/07/11(火)</t>
  </si>
  <si>
    <t>2023/07/12(水)</t>
  </si>
  <si>
    <t>2023/07/13(木)</t>
  </si>
  <si>
    <t>2023/07/14(金)</t>
  </si>
  <si>
    <t>2023/07/15(土)</t>
  </si>
  <si>
    <t>2023/07/16(日)</t>
  </si>
  <si>
    <t>2023/07/17(月)</t>
  </si>
  <si>
    <t>2023/07/18(火)</t>
  </si>
  <si>
    <t>2023/07/19(水)</t>
  </si>
  <si>
    <t>2023/07/20(木)</t>
  </si>
  <si>
    <t>2023/07/21(金)</t>
  </si>
  <si>
    <t>2023/07/22(土)</t>
  </si>
  <si>
    <t>2023/07/23(日)</t>
  </si>
  <si>
    <t>2023/07/24(月)</t>
  </si>
  <si>
    <t>2023/07/25(火)</t>
  </si>
  <si>
    <t>2023/07/26(水)</t>
  </si>
  <si>
    <t>2023/07/27(木)</t>
  </si>
  <si>
    <t>2023/07/28(金)</t>
  </si>
  <si>
    <t>2023/07/29(土)</t>
  </si>
  <si>
    <t>2023/07/30(日)</t>
  </si>
  <si>
    <t>2023/07/31(月)</t>
  </si>
  <si>
    <t>2023/06/01(木)</t>
  </si>
  <si>
    <t>2023/06/02(金)</t>
  </si>
  <si>
    <t>2023/06/03(土)</t>
  </si>
  <si>
    <t>2023/06/04(日)</t>
  </si>
  <si>
    <t>2023/06/05(月)</t>
  </si>
  <si>
    <t>2023/06/06(火)</t>
  </si>
  <si>
    <t>2023/06/07(水)</t>
  </si>
  <si>
    <t>2023/06/08(木)</t>
  </si>
  <si>
    <t>2023/06/09(金)</t>
  </si>
  <si>
    <t>2023/06/10(土)</t>
  </si>
  <si>
    <t>2023/06/11(日)</t>
  </si>
  <si>
    <t>2023/06/12(月)</t>
  </si>
  <si>
    <t>2023/06/13(火)</t>
  </si>
  <si>
    <t>2023/06/14(水)</t>
  </si>
  <si>
    <t>2023/06/15(木)</t>
  </si>
  <si>
    <t>2023/06/16(金)</t>
  </si>
  <si>
    <t>2023/06/17(土)</t>
  </si>
  <si>
    <t>2023/06/18(日)</t>
  </si>
  <si>
    <t>2023/06/19(月)</t>
  </si>
  <si>
    <t>2023/06/20(火)</t>
  </si>
  <si>
    <t>2023/06/21(水)</t>
  </si>
  <si>
    <t>2023/06/22(木)</t>
  </si>
  <si>
    <t>2023/06/23(金)</t>
  </si>
  <si>
    <t>2023/06/24(土)</t>
  </si>
  <si>
    <t>2023/06/25(日)</t>
  </si>
  <si>
    <t>2023/06/26(月)</t>
  </si>
  <si>
    <t>2023/06/27(火)</t>
  </si>
  <si>
    <t>2023/06/28(水)</t>
  </si>
  <si>
    <t>2023/06/29(木)</t>
  </si>
  <si>
    <t>2023/06/30(金)</t>
  </si>
  <si>
    <t>■6月 時間帯別売上実績&amp;曜日別売上実績</t>
    <rPh sb="4" eb="8">
      <t xml:space="preserve">ジカンタイベツ </t>
    </rPh>
    <rPh sb="8" eb="10">
      <t xml:space="preserve">ウリアゲ </t>
    </rPh>
    <rPh sb="10" eb="12">
      <t xml:space="preserve">ジッセキ </t>
    </rPh>
    <rPh sb="13" eb="16">
      <t xml:space="preserve">ヨウビベツ </t>
    </rPh>
    <rPh sb="16" eb="18">
      <t xml:space="preserve">ウリアゲ </t>
    </rPh>
    <rPh sb="18" eb="20">
      <t xml:space="preserve">ジッセキ </t>
    </rPh>
    <phoneticPr fontId="1"/>
  </si>
  <si>
    <t>■6月 曜日別売上平均</t>
    <rPh sb="4" eb="7">
      <t xml:space="preserve">ヨウビベツ </t>
    </rPh>
    <rPh sb="7" eb="9">
      <t xml:space="preserve">ウリアゲ </t>
    </rPh>
    <rPh sb="9" eb="11">
      <t xml:space="preserve">ヘイキン </t>
    </rPh>
    <phoneticPr fontId="1"/>
  </si>
  <si>
    <t>■6月 曜日別売上合計</t>
    <rPh sb="4" eb="5">
      <t xml:space="preserve">ヨウビベツ </t>
    </rPh>
    <rPh sb="7" eb="8">
      <t xml:space="preserve">ウリアゲゴウケイ </t>
    </rPh>
    <phoneticPr fontId="1"/>
  </si>
  <si>
    <t>■5月 時間帯別売上実績&amp;曜日別売上実績</t>
    <rPh sb="4" eb="8">
      <t xml:space="preserve">ジカンタイベツ </t>
    </rPh>
    <rPh sb="8" eb="10">
      <t xml:space="preserve">ウリアゲ </t>
    </rPh>
    <rPh sb="10" eb="12">
      <t xml:space="preserve">ジッセキ </t>
    </rPh>
    <rPh sb="13" eb="16">
      <t xml:space="preserve">ヨウビベツ </t>
    </rPh>
    <rPh sb="16" eb="18">
      <t xml:space="preserve">ウリアゲ </t>
    </rPh>
    <rPh sb="18" eb="20">
      <t xml:space="preserve">ジッセキ </t>
    </rPh>
    <phoneticPr fontId="1"/>
  </si>
  <si>
    <t>■5月 曜日別売上平均</t>
    <rPh sb="4" eb="7">
      <t xml:space="preserve">ヨウビベツ </t>
    </rPh>
    <rPh sb="7" eb="9">
      <t xml:space="preserve">ウリアゲ </t>
    </rPh>
    <rPh sb="9" eb="11">
      <t xml:space="preserve">ヘイキン </t>
    </rPh>
    <phoneticPr fontId="1"/>
  </si>
  <si>
    <t>■5月 曜日別売上合計</t>
    <rPh sb="4" eb="5">
      <t xml:space="preserve">ヨウビベツ </t>
    </rPh>
    <rPh sb="7" eb="8">
      <t xml:space="preserve">ウリアゲゴウケイ </t>
    </rPh>
    <phoneticPr fontId="1"/>
  </si>
  <si>
    <t>2023/05/01(月)</t>
  </si>
  <si>
    <t>2023/05/02(火)</t>
  </si>
  <si>
    <t>2023/05/03(水)</t>
  </si>
  <si>
    <t>2023/05/04(木)</t>
  </si>
  <si>
    <t>2023/05/05(金)</t>
  </si>
  <si>
    <t>2023/05/06(土)</t>
  </si>
  <si>
    <t>2023/05/07(日)</t>
  </si>
  <si>
    <t>2023/05/08(月)</t>
  </si>
  <si>
    <t>2023/05/09(火)</t>
  </si>
  <si>
    <t>2023/05/10(水)</t>
  </si>
  <si>
    <t>2023/05/11(木)</t>
  </si>
  <si>
    <t>2023/05/12(金)</t>
  </si>
  <si>
    <t>2023/05/13(土)</t>
  </si>
  <si>
    <t>2023/05/14(日)</t>
  </si>
  <si>
    <t>2023/05/15(月)</t>
  </si>
  <si>
    <t>2023/05/16(火)</t>
  </si>
  <si>
    <t>2023/05/17(水)</t>
  </si>
  <si>
    <t>2023/05/18(木)</t>
  </si>
  <si>
    <t>2023/05/19(金)</t>
  </si>
  <si>
    <t>2023/05/20(土)</t>
  </si>
  <si>
    <t>2023/05/21(日)</t>
  </si>
  <si>
    <t>2023/05/22(月)</t>
  </si>
  <si>
    <t>2023/05/23(火)</t>
  </si>
  <si>
    <t>2023/05/24(水)</t>
  </si>
  <si>
    <t>2023/05/25(木)</t>
  </si>
  <si>
    <t>2023/05/26(金)</t>
  </si>
  <si>
    <t>2023/05/27(土)</t>
  </si>
  <si>
    <t>2023/05/28(日)</t>
  </si>
  <si>
    <t>2023/05/29(月)</t>
  </si>
  <si>
    <t>2023/05/30(火)</t>
  </si>
  <si>
    <t>2023/05/31(水)</t>
  </si>
  <si>
    <t>2019年度</t>
    <rPh sb="4" eb="6">
      <t xml:space="preserve">ネンド </t>
    </rPh>
    <phoneticPr fontId="1"/>
  </si>
  <si>
    <t>予算比</t>
    <rPh sb="0" eb="3">
      <t xml:space="preserve">ヨサンヒ </t>
    </rPh>
    <phoneticPr fontId="1"/>
  </si>
  <si>
    <t>予測</t>
    <rPh sb="0" eb="2">
      <t xml:space="preserve">ヨソク </t>
    </rPh>
    <phoneticPr fontId="1"/>
  </si>
  <si>
    <t>予測比</t>
    <rPh sb="0" eb="3">
      <t xml:space="preserve">ヨソクヒ </t>
    </rPh>
    <phoneticPr fontId="1"/>
  </si>
  <si>
    <r>
      <t xml:space="preserve">【R5 </t>
    </r>
    <r>
      <rPr>
        <b/>
        <sz val="14"/>
        <color theme="1"/>
        <rFont val="Yu Gothic"/>
        <family val="2"/>
        <charset val="128"/>
        <scheme val="minor"/>
      </rPr>
      <t>さっぽろテレビ塔ビアガーデン振り返り】</t>
    </r>
    <rPh sb="18" eb="19">
      <t xml:space="preserve">フリカエリ </t>
    </rPh>
    <phoneticPr fontId="1"/>
  </si>
  <si>
    <t>単位：円</t>
    <rPh sb="0" eb="2">
      <t xml:space="preserve">タンイ </t>
    </rPh>
    <rPh sb="3" eb="4">
      <t xml:space="preserve">エン </t>
    </rPh>
    <phoneticPr fontId="1"/>
  </si>
  <si>
    <t>単位：名</t>
    <rPh sb="0" eb="2">
      <t xml:space="preserve">タンイ </t>
    </rPh>
    <rPh sb="3" eb="4">
      <t xml:space="preserve">メイ </t>
    </rPh>
    <phoneticPr fontId="1"/>
  </si>
  <si>
    <t>5,500プラン</t>
    <phoneticPr fontId="1"/>
  </si>
  <si>
    <t>利用率</t>
    <rPh sb="0" eb="3">
      <t xml:space="preserve">リヨウリツ </t>
    </rPh>
    <phoneticPr fontId="1"/>
  </si>
  <si>
    <t>6,600プラン</t>
    <phoneticPr fontId="1"/>
  </si>
  <si>
    <t>8,800プラン</t>
    <phoneticPr fontId="1"/>
  </si>
  <si>
    <t>チケットプラン</t>
    <phoneticPr fontId="1"/>
  </si>
  <si>
    <t>小計</t>
    <rPh sb="0" eb="1">
      <t xml:space="preserve">ショウ </t>
    </rPh>
    <rPh sb="1" eb="2">
      <t xml:space="preserve">ゴウケイ </t>
    </rPh>
    <phoneticPr fontId="1"/>
  </si>
  <si>
    <t>プラン合計</t>
    <rPh sb="3" eb="5">
      <t xml:space="preserve">ゴウケイ </t>
    </rPh>
    <phoneticPr fontId="1"/>
  </si>
  <si>
    <t>アラカルト利用</t>
    <rPh sb="5" eb="7">
      <t xml:space="preserve">リヨウ </t>
    </rPh>
    <phoneticPr fontId="1"/>
  </si>
  <si>
    <t>TC</t>
    <phoneticPr fontId="1"/>
  </si>
  <si>
    <t>電話</t>
    <rPh sb="0" eb="2">
      <t xml:space="preserve">デンワ </t>
    </rPh>
    <phoneticPr fontId="1"/>
  </si>
  <si>
    <t>パッサージュ</t>
    <phoneticPr fontId="1"/>
  </si>
  <si>
    <t>Web予約率</t>
    <rPh sb="3" eb="6">
      <t xml:space="preserve">ヨヤクリツ </t>
    </rPh>
    <phoneticPr fontId="1"/>
  </si>
  <si>
    <t>組数</t>
    <rPh sb="0" eb="2">
      <t xml:space="preserve">クミスウ </t>
    </rPh>
    <phoneticPr fontId="1"/>
  </si>
  <si>
    <t>平均気温</t>
    <rPh sb="0" eb="4">
      <t xml:space="preserve">ヘイキンキオン </t>
    </rPh>
    <phoneticPr fontId="1"/>
  </si>
  <si>
    <t>13.8℃</t>
    <phoneticPr fontId="1"/>
  </si>
  <si>
    <t>19.3℃</t>
    <phoneticPr fontId="1"/>
  </si>
  <si>
    <t>23.8℃</t>
    <phoneticPr fontId="1"/>
  </si>
  <si>
    <t>26.7℃</t>
    <phoneticPr fontId="1"/>
  </si>
  <si>
    <t>24.7℃</t>
    <phoneticPr fontId="1"/>
  </si>
  <si>
    <t>天候要因（売上との関連性を数値化する）</t>
    <rPh sb="0" eb="2">
      <t xml:space="preserve">テンコウ </t>
    </rPh>
    <rPh sb="2" eb="4">
      <t xml:space="preserve">ヨウイン </t>
    </rPh>
    <rPh sb="5" eb="7">
      <t xml:space="preserve">ウリアゲトノ </t>
    </rPh>
    <rPh sb="9" eb="12">
      <t xml:space="preserve">カンレンセイ </t>
    </rPh>
    <rPh sb="13" eb="16">
      <t xml:space="preserve">スウチカスル </t>
    </rPh>
    <phoneticPr fontId="1"/>
  </si>
  <si>
    <t>①売上</t>
    <rPh sb="1" eb="3">
      <t xml:space="preserve">ウリアゲ </t>
    </rPh>
    <phoneticPr fontId="1"/>
  </si>
  <si>
    <t>①コメント</t>
    <phoneticPr fontId="1"/>
  </si>
  <si>
    <t>②コメント</t>
    <phoneticPr fontId="1"/>
  </si>
  <si>
    <t>②客数</t>
    <rPh sb="1" eb="3">
      <t xml:space="preserve">キャクスウ </t>
    </rPh>
    <phoneticPr fontId="1"/>
  </si>
  <si>
    <t>③コメント</t>
    <phoneticPr fontId="1"/>
  </si>
  <si>
    <t>③-1 客単価</t>
    <rPh sb="4" eb="5">
      <t xml:space="preserve">キャクスウ </t>
    </rPh>
    <rPh sb="5" eb="7">
      <t xml:space="preserve">タンカ </t>
    </rPh>
    <phoneticPr fontId="1"/>
  </si>
  <si>
    <t>③-2 プラン出卓数と月別プラン利用率</t>
    <rPh sb="7" eb="8">
      <t xml:space="preserve">デ </t>
    </rPh>
    <rPh sb="8" eb="9">
      <t xml:space="preserve">タク </t>
    </rPh>
    <rPh sb="9" eb="10">
      <t xml:space="preserve">スウ </t>
    </rPh>
    <rPh sb="11" eb="13">
      <t xml:space="preserve">ツキベツ </t>
    </rPh>
    <rPh sb="16" eb="19">
      <t xml:space="preserve">リヨウリツ </t>
    </rPh>
    <phoneticPr fontId="1"/>
  </si>
  <si>
    <t>③-3 Web予約受注率</t>
    <rPh sb="7" eb="11">
      <t xml:space="preserve">ヨヤクジュチュウ </t>
    </rPh>
    <rPh sb="11" eb="12">
      <t xml:space="preserve">リツ </t>
    </rPh>
    <phoneticPr fontId="1"/>
  </si>
  <si>
    <t>派遣人件費（リザルト）</t>
    <rPh sb="0" eb="2">
      <t xml:space="preserve">ハケン </t>
    </rPh>
    <rPh sb="2" eb="5">
      <t xml:space="preserve">ジンケンヒ </t>
    </rPh>
    <phoneticPr fontId="1"/>
  </si>
  <si>
    <t>FOOD予測</t>
    <rPh sb="4" eb="6">
      <t xml:space="preserve">ヨソク </t>
    </rPh>
    <phoneticPr fontId="1"/>
  </si>
  <si>
    <t>④memo</t>
    <phoneticPr fontId="1"/>
  </si>
  <si>
    <t>概算（仮置き）</t>
    <rPh sb="0" eb="2">
      <t xml:space="preserve">ガイサン </t>
    </rPh>
    <rPh sb="3" eb="4">
      <t xml:space="preserve">カテイ </t>
    </rPh>
    <rPh sb="4" eb="5">
      <t xml:space="preserve">オキ </t>
    </rPh>
    <phoneticPr fontId="1"/>
  </si>
  <si>
    <r>
      <t>売上については左記の通り、</t>
    </r>
    <r>
      <rPr>
        <b/>
        <u/>
        <sz val="10"/>
        <color theme="1"/>
        <rFont val="Yu Gothic"/>
        <family val="3"/>
        <charset val="128"/>
        <scheme val="minor"/>
      </rPr>
      <t>対予算123.9％</t>
    </r>
    <r>
      <rPr>
        <sz val="10"/>
        <color theme="1"/>
        <rFont val="Yu Gothic"/>
        <family val="3"/>
        <charset val="128"/>
        <scheme val="minor"/>
      </rPr>
      <t>にて終了いたしました。</t>
    </r>
    <r>
      <rPr>
        <b/>
        <u/>
        <sz val="10"/>
        <color rgb="FFFF0000"/>
        <rFont val="Yu Gothic"/>
        <family val="3"/>
        <charset val="1"/>
      </rPr>
      <t>コロナ禍前の</t>
    </r>
    <r>
      <rPr>
        <b/>
        <u/>
        <sz val="10"/>
        <color rgb="FFFF0000"/>
        <rFont val="Yu Gothic"/>
        <family val="3"/>
        <charset val="128"/>
      </rPr>
      <t>2019</t>
    </r>
    <r>
      <rPr>
        <b/>
        <u/>
        <sz val="10"/>
        <color rgb="FFFF0000"/>
        <rFont val="Yu Gothic"/>
        <family val="3"/>
        <charset val="1"/>
      </rPr>
      <t>年と比較しても対比</t>
    </r>
    <r>
      <rPr>
        <b/>
        <u/>
        <sz val="10"/>
        <color rgb="FFFF0000"/>
        <rFont val="Yu Gothic"/>
        <family val="3"/>
        <charset val="128"/>
      </rPr>
      <t>125.4</t>
    </r>
    <r>
      <rPr>
        <b/>
        <u/>
        <sz val="10"/>
        <color rgb="FFFF0000"/>
        <rFont val="Yu Gothic"/>
        <family val="3"/>
        <charset val="1"/>
      </rPr>
      <t>％（</t>
    </r>
    <r>
      <rPr>
        <b/>
        <u/>
        <sz val="10"/>
        <color rgb="FFFF0000"/>
        <rFont val="Yu Gothic"/>
        <family val="3"/>
        <charset val="128"/>
      </rPr>
      <t>+22,223</t>
    </r>
    <r>
      <rPr>
        <b/>
        <u/>
        <sz val="10"/>
        <color rgb="FFFF0000"/>
        <rFont val="Yu Gothic"/>
        <family val="3"/>
        <charset val="1"/>
      </rPr>
      <t>千円）の結果</t>
    </r>
    <r>
      <rPr>
        <sz val="10"/>
        <color theme="1"/>
        <rFont val="Yu Gothic"/>
        <family val="3"/>
        <charset val="128"/>
        <scheme val="minor"/>
      </rPr>
      <t>となりました。これまで1億円の大台に達したことはなかったということです。その大きな要因としてはスタッフの頑張りはもちろんですが、やはり史上稀に見る猛暑となったことが挙げられます。特に</t>
    </r>
    <r>
      <rPr>
        <b/>
        <u/>
        <sz val="10"/>
        <color theme="1"/>
        <rFont val="Yu Gothic"/>
        <family val="3"/>
        <charset val="128"/>
        <scheme val="minor"/>
      </rPr>
      <t>6月と8月は気象庁の観測史上最高値を記録し、7月においても史上2番目の平均気温</t>
    </r>
    <r>
      <rPr>
        <sz val="10"/>
        <color theme="1"/>
        <rFont val="Yu Gothic"/>
        <family val="3"/>
        <charset val="128"/>
        <scheme val="minor"/>
      </rPr>
      <t>となりました。ただ、天候要因については影響値として一定の条件下で記録していかなければならないもので、いかにこの天候要因を限定的にできるか？というのが引き続きの課題となります。※各月に天候要因を数値化したものを載せています。次年度へ向け今年度のデータを活かし、テーブル配置・スタッフアサインメント・予約システム再構築・RPA/DX 促進・メニューラインナップの見直し等により、さらにポテンシャルを引き出し売上を積み上げられると認識しています。</t>
    </r>
    <rPh sb="0" eb="2">
      <t xml:space="preserve">ウリアゲニ </t>
    </rPh>
    <rPh sb="7" eb="9">
      <t>サキ</t>
    </rPh>
    <rPh sb="13" eb="14">
      <t xml:space="preserve">タイ </t>
    </rPh>
    <rPh sb="14" eb="16">
      <t xml:space="preserve">ヨサンヒ </t>
    </rPh>
    <rPh sb="24" eb="26">
      <t xml:space="preserve">シュウリョウ </t>
    </rPh>
    <rPh sb="43" eb="44">
      <t xml:space="preserve">ネントヒカクシテモ </t>
    </rPh>
    <rPh sb="50" eb="52">
      <t xml:space="preserve">タイヒ </t>
    </rPh>
    <rPh sb="66" eb="68">
      <t xml:space="preserve">センエン </t>
    </rPh>
    <rPh sb="70" eb="72">
      <t xml:space="preserve">ケッカ </t>
    </rPh>
    <rPh sb="84" eb="86">
      <t xml:space="preserve">オクエンノ </t>
    </rPh>
    <rPh sb="87" eb="89">
      <t xml:space="preserve">オオダイニ </t>
    </rPh>
    <rPh sb="90" eb="91">
      <t xml:space="preserve">タッシタコトハ </t>
    </rPh>
    <rPh sb="110" eb="111">
      <t xml:space="preserve">オオキナ </t>
    </rPh>
    <rPh sb="113" eb="115">
      <t xml:space="preserve">ヨウイントシテ </t>
    </rPh>
    <rPh sb="124" eb="126">
      <t xml:space="preserve">ガンバリハ </t>
    </rPh>
    <rPh sb="139" eb="141">
      <t xml:space="preserve">シジョウ </t>
    </rPh>
    <rPh sb="141" eb="142">
      <t xml:space="preserve">マレニミル </t>
    </rPh>
    <rPh sb="145" eb="147">
      <t xml:space="preserve">モウショ </t>
    </rPh>
    <rPh sb="154" eb="155">
      <t xml:space="preserve">アゲラレマス </t>
    </rPh>
    <rPh sb="161" eb="162">
      <t xml:space="preserve">トクニ </t>
    </rPh>
    <rPh sb="164" eb="165">
      <t xml:space="preserve">ガツ </t>
    </rPh>
    <rPh sb="167" eb="168">
      <t xml:space="preserve">ガツハ </t>
    </rPh>
    <rPh sb="169" eb="172">
      <t xml:space="preserve">キショウチョウ </t>
    </rPh>
    <rPh sb="173" eb="175">
      <t xml:space="preserve">カンソク </t>
    </rPh>
    <rPh sb="175" eb="177">
      <t xml:space="preserve">シジョウ </t>
    </rPh>
    <rPh sb="177" eb="180">
      <t xml:space="preserve">サイコウチ </t>
    </rPh>
    <rPh sb="181" eb="183">
      <t xml:space="preserve">キロクシ </t>
    </rPh>
    <rPh sb="186" eb="187">
      <t xml:space="preserve">ガツニ </t>
    </rPh>
    <rPh sb="192" eb="194">
      <t xml:space="preserve">シジョウ </t>
    </rPh>
    <rPh sb="195" eb="197">
      <t xml:space="preserve">バンメ </t>
    </rPh>
    <rPh sb="198" eb="200">
      <t xml:space="preserve">ヘイキン </t>
    </rPh>
    <rPh sb="200" eb="202">
      <t xml:space="preserve">キオントナリマシタ </t>
    </rPh>
    <rPh sb="212" eb="216">
      <t xml:space="preserve">テンコウヨウインニ </t>
    </rPh>
    <rPh sb="221" eb="223">
      <t xml:space="preserve">エイキョウチ </t>
    </rPh>
    <rPh sb="223" eb="224">
      <t xml:space="preserve">アタイ </t>
    </rPh>
    <rPh sb="227" eb="229">
      <t xml:space="preserve">イッテイノ </t>
    </rPh>
    <rPh sb="230" eb="233">
      <t xml:space="preserve">ジョウケンカデ </t>
    </rPh>
    <rPh sb="234" eb="236">
      <t xml:space="preserve">キロク </t>
    </rPh>
    <rPh sb="257" eb="261">
      <t xml:space="preserve">テンコウヨウインヲ </t>
    </rPh>
    <rPh sb="262" eb="265">
      <t xml:space="preserve">ゲンテイテキニ </t>
    </rPh>
    <rPh sb="276" eb="277">
      <t xml:space="preserve">ヒキツヅキノ </t>
    </rPh>
    <rPh sb="281" eb="283">
      <t xml:space="preserve">カダイトナリマス </t>
    </rPh>
    <rPh sb="290" eb="292">
      <t xml:space="preserve">カクツキ </t>
    </rPh>
    <rPh sb="293" eb="297">
      <t xml:space="preserve">テンコウヨウイン </t>
    </rPh>
    <rPh sb="298" eb="301">
      <t xml:space="preserve">スウチカ </t>
    </rPh>
    <rPh sb="306" eb="307">
      <t xml:space="preserve">ノセテイマス </t>
    </rPh>
    <rPh sb="313" eb="316">
      <t xml:space="preserve">ジネンドヘ </t>
    </rPh>
    <rPh sb="317" eb="318">
      <t xml:space="preserve">ムケ </t>
    </rPh>
    <rPh sb="319" eb="322">
      <t xml:space="preserve">コンエンドオ </t>
    </rPh>
    <rPh sb="327" eb="328">
      <t xml:space="preserve">イカシ </t>
    </rPh>
    <rPh sb="350" eb="352">
      <t xml:space="preserve">ヨヤクシステム </t>
    </rPh>
    <rPh sb="356" eb="359">
      <t xml:space="preserve">サイコウチク </t>
    </rPh>
    <rPh sb="367" eb="369">
      <t xml:space="preserve">ソクシン </t>
    </rPh>
    <rPh sb="384" eb="385">
      <t xml:space="preserve">トウ </t>
    </rPh>
    <rPh sb="399" eb="400">
      <t xml:space="preserve">ヒキダシ </t>
    </rPh>
    <rPh sb="403" eb="405">
      <t xml:space="preserve">ウリアゲ </t>
    </rPh>
    <rPh sb="406" eb="407">
      <t xml:space="preserve">ツミアゲラレルト </t>
    </rPh>
    <rPh sb="414" eb="416">
      <t xml:space="preserve">ニンシキシテイマス </t>
    </rPh>
    <phoneticPr fontId="1"/>
  </si>
  <si>
    <t>入客実績は左記の通りです。7/21（金）から8/16（土）の間で開催された大通りビアガーデン期間中も1日平均405名の入客となり、客数減少懸念は杞憂となりました。過去開催の数値によると盆明けは下降線を辿るはずでしたが、①にもある通り観測史上最高の平均気温となったことやチケットの駆け込み利用もあり、勢いを保ったまま最終日まで賑わいが続きました。シーズン設定をして6月末までは20:30クローズ、7月1日〜は21:30クローズとしたことは大きな成果に繋がったと考えています。7/22（土）が717名の来場とピーク、また、この週（7月第4週・通期では第9週）が最大の売上・入客となりました。次年度は予約システムをさらに活用し、入客を引き上げたいと考えています。</t>
    <rPh sb="0" eb="2">
      <t xml:space="preserve">ニュウキャクニツイテ </t>
    </rPh>
    <rPh sb="2" eb="4">
      <t xml:space="preserve">ジッセキハ </t>
    </rPh>
    <rPh sb="5" eb="7">
      <t xml:space="preserve">サキ </t>
    </rPh>
    <rPh sb="8" eb="9">
      <t xml:space="preserve">トオリ </t>
    </rPh>
    <rPh sb="18" eb="19">
      <t>🈲</t>
    </rPh>
    <rPh sb="27" eb="28">
      <t xml:space="preserve">ド </t>
    </rPh>
    <rPh sb="30" eb="31">
      <t xml:space="preserve">アイダ </t>
    </rPh>
    <rPh sb="32" eb="34">
      <t xml:space="preserve">カイサイサレタ </t>
    </rPh>
    <rPh sb="37" eb="39">
      <t xml:space="preserve">オオドオリ </t>
    </rPh>
    <rPh sb="46" eb="49">
      <t xml:space="preserve">キカンチュウ </t>
    </rPh>
    <rPh sb="57" eb="58">
      <t xml:space="preserve">メイノ </t>
    </rPh>
    <rPh sb="59" eb="61">
      <t xml:space="preserve">ニュウキャクトナリ </t>
    </rPh>
    <rPh sb="65" eb="67">
      <t xml:space="preserve">キャクスウ </t>
    </rPh>
    <rPh sb="67" eb="69">
      <t xml:space="preserve">ゲンショウ </t>
    </rPh>
    <rPh sb="69" eb="71">
      <t xml:space="preserve">ケネンハ </t>
    </rPh>
    <rPh sb="72" eb="74">
      <t xml:space="preserve">キユウトナリマシタ </t>
    </rPh>
    <rPh sb="81" eb="83">
      <t xml:space="preserve">カコ </t>
    </rPh>
    <rPh sb="83" eb="85">
      <t xml:space="preserve">カイサイ </t>
    </rPh>
    <rPh sb="86" eb="88">
      <t xml:space="preserve">スウチニヨルト </t>
    </rPh>
    <rPh sb="92" eb="94">
      <t xml:space="preserve">ボンアケハ </t>
    </rPh>
    <rPh sb="96" eb="99">
      <t xml:space="preserve">カコウセンヲ </t>
    </rPh>
    <rPh sb="100" eb="101">
      <t xml:space="preserve">タドル </t>
    </rPh>
    <rPh sb="116" eb="122">
      <t xml:space="preserve">カンソクシジョウサイコウノ </t>
    </rPh>
    <rPh sb="123" eb="127">
      <t xml:space="preserve">ヘイキンキオン </t>
    </rPh>
    <rPh sb="139" eb="140">
      <t xml:space="preserve">カケコミ </t>
    </rPh>
    <rPh sb="143" eb="145">
      <t xml:space="preserve">リヨウ </t>
    </rPh>
    <rPh sb="149" eb="150">
      <t xml:space="preserve">イキオイヲ </t>
    </rPh>
    <rPh sb="152" eb="153">
      <t xml:space="preserve">タモッタママ </t>
    </rPh>
    <rPh sb="157" eb="160">
      <t xml:space="preserve">サイシュウビマデ </t>
    </rPh>
    <rPh sb="162" eb="163">
      <t xml:space="preserve">ニギワイガ </t>
    </rPh>
    <rPh sb="166" eb="167">
      <t xml:space="preserve">ツヅキマシタ </t>
    </rPh>
    <rPh sb="183" eb="184">
      <t xml:space="preserve">マツマデハ </t>
    </rPh>
    <rPh sb="200" eb="201">
      <t xml:space="preserve">ニチ </t>
    </rPh>
    <rPh sb="218" eb="219">
      <t xml:space="preserve">オオキナ </t>
    </rPh>
    <rPh sb="221" eb="223">
      <t xml:space="preserve">セイカニ </t>
    </rPh>
    <rPh sb="224" eb="225">
      <t xml:space="preserve">ツナガッタ </t>
    </rPh>
    <rPh sb="229" eb="230">
      <t xml:space="preserve">カンガエテイマス </t>
    </rPh>
    <rPh sb="241" eb="242">
      <t xml:space="preserve">ド </t>
    </rPh>
    <rPh sb="247" eb="248">
      <t xml:space="preserve">メイ </t>
    </rPh>
    <rPh sb="249" eb="251">
      <t xml:space="preserve">ライジョウ </t>
    </rPh>
    <rPh sb="264" eb="265">
      <t xml:space="preserve">ガツ </t>
    </rPh>
    <rPh sb="265" eb="268">
      <t xml:space="preserve">ダイヨンシュウ </t>
    </rPh>
    <rPh sb="269" eb="271">
      <t xml:space="preserve">ツウキデハ </t>
    </rPh>
    <rPh sb="273" eb="274">
      <t xml:space="preserve">ダイ </t>
    </rPh>
    <rPh sb="275" eb="276">
      <t xml:space="preserve">シュウ </t>
    </rPh>
    <rPh sb="278" eb="280">
      <t xml:space="preserve">サイダイ </t>
    </rPh>
    <rPh sb="281" eb="283">
      <t xml:space="preserve">ウリアゲ </t>
    </rPh>
    <rPh sb="284" eb="286">
      <t xml:space="preserve">ニュウキャクト </t>
    </rPh>
    <rPh sb="293" eb="296">
      <t xml:space="preserve">ジネンドハ </t>
    </rPh>
    <rPh sb="297" eb="299">
      <t xml:space="preserve">ヨヤクシステム </t>
    </rPh>
    <rPh sb="307" eb="309">
      <t xml:space="preserve">カツヨウシ </t>
    </rPh>
    <rPh sb="311" eb="313">
      <t xml:space="preserve">ニュウキャク </t>
    </rPh>
    <rPh sb="314" eb="315">
      <t xml:space="preserve">ヒキアゲタイト </t>
    </rPh>
    <rPh sb="321" eb="322">
      <t xml:space="preserve">カンガエマス </t>
    </rPh>
    <phoneticPr fontId="1"/>
  </si>
  <si>
    <r>
      <t>通期での客単価は</t>
    </r>
    <r>
      <rPr>
        <sz val="12"/>
        <color theme="1"/>
        <rFont val="Yu Gothic"/>
        <family val="3"/>
        <charset val="128"/>
      </rPr>
      <t>3,964</t>
    </r>
    <r>
      <rPr>
        <sz val="12"/>
        <color theme="1"/>
        <rFont val="Yu Gothic"/>
        <family val="3"/>
        <charset val="1"/>
      </rPr>
      <t>円にて着地いたしました。</t>
    </r>
    <r>
      <rPr>
        <b/>
        <sz val="12"/>
        <color theme="1"/>
        <rFont val="Yu Gothic"/>
        <family val="3"/>
        <charset val="1"/>
      </rPr>
      <t>予算設定時点では</t>
    </r>
    <r>
      <rPr>
        <b/>
        <sz val="12"/>
        <color theme="1"/>
        <rFont val="Yu Gothic"/>
        <family val="3"/>
        <charset val="128"/>
      </rPr>
      <t>80%</t>
    </r>
    <r>
      <rPr>
        <b/>
        <sz val="12"/>
        <color theme="1"/>
        <rFont val="Yu Gothic"/>
        <family val="3"/>
        <charset val="1"/>
      </rPr>
      <t>がプラン利用を想定しての数値でしたので、予算値からはマイナスとなっています。最終的にプラン利用率は</t>
    </r>
    <r>
      <rPr>
        <b/>
        <sz val="12"/>
        <color theme="1"/>
        <rFont val="Yu Gothic"/>
        <family val="3"/>
        <charset val="128"/>
      </rPr>
      <t>53.6%</t>
    </r>
    <r>
      <rPr>
        <b/>
        <sz val="12"/>
        <color theme="1"/>
        <rFont val="Yu Gothic"/>
        <family val="3"/>
        <charset val="1"/>
      </rPr>
      <t>となり、アラカルト（単品）利用率を上回りました。</t>
    </r>
    <r>
      <rPr>
        <sz val="12"/>
        <color theme="1"/>
        <rFont val="Yu Gothic"/>
        <family val="3"/>
        <charset val="1"/>
      </rPr>
      <t>左記データから読み取れるのは、とてもシンプルですが、</t>
    </r>
    <r>
      <rPr>
        <b/>
        <u/>
        <sz val="12"/>
        <color rgb="FFFF0000"/>
        <rFont val="Yu Gothic"/>
        <family val="3"/>
        <charset val="1"/>
      </rPr>
      <t>パッサージュ（フリー入客）利用率が高いと客単価が下がるという事実と、予約数を高めることにより客単価が伸びるという事実</t>
    </r>
    <r>
      <rPr>
        <sz val="12"/>
        <color theme="1"/>
        <rFont val="Yu Gothic"/>
        <family val="3"/>
        <charset val="1"/>
      </rPr>
      <t>です。このことから、次年度は今回</t>
    </r>
    <r>
      <rPr>
        <sz val="12"/>
        <color theme="1"/>
        <rFont val="Yu Gothic"/>
        <family val="3"/>
        <charset val="128"/>
      </rPr>
      <t>25</t>
    </r>
    <r>
      <rPr>
        <sz val="12"/>
        <color theme="1"/>
        <rFont val="Yu Gothic"/>
        <family val="3"/>
        <charset val="1"/>
      </rPr>
      <t>％程であった予約利用率を</t>
    </r>
    <r>
      <rPr>
        <sz val="12"/>
        <color theme="1"/>
        <rFont val="Yu Gothic"/>
        <family val="3"/>
        <charset val="128"/>
      </rPr>
      <t>35</t>
    </r>
    <r>
      <rPr>
        <sz val="12"/>
        <color theme="1"/>
        <rFont val="Yu Gothic"/>
        <family val="3"/>
        <charset val="1"/>
      </rPr>
      <t>％程度まで引き上げることで、いわゆる「値上げ」の必要がなく、客単価と入客の天秤関係を限定的にしながら、</t>
    </r>
    <r>
      <rPr>
        <b/>
        <u/>
        <sz val="12"/>
        <color theme="1"/>
        <rFont val="Yu Gothic"/>
        <family val="3"/>
        <charset val="1"/>
      </rPr>
      <t>【入客を高めつつ客単価も引き上げることができる】という伸び代</t>
    </r>
    <r>
      <rPr>
        <sz val="12"/>
        <color theme="1"/>
        <rFont val="Yu Gothic"/>
        <family val="3"/>
        <charset val="1"/>
      </rPr>
      <t>を確認することができました。また今回はテーブルチェックを導入し、専用</t>
    </r>
    <r>
      <rPr>
        <sz val="12"/>
        <color theme="1"/>
        <rFont val="Yu Gothic"/>
        <family val="3"/>
        <charset val="128"/>
      </rPr>
      <t>LP</t>
    </r>
    <r>
      <rPr>
        <sz val="12"/>
        <color theme="1"/>
        <rFont val="Yu Gothic"/>
        <family val="3"/>
        <charset val="1"/>
      </rPr>
      <t>と紐付けして予約受注を行ったことにより、約</t>
    </r>
    <r>
      <rPr>
        <sz val="12"/>
        <color theme="1"/>
        <rFont val="Yu Gothic"/>
        <family val="3"/>
        <charset val="128"/>
      </rPr>
      <t>83%</t>
    </r>
    <r>
      <rPr>
        <sz val="12"/>
        <color theme="1"/>
        <rFont val="Yu Gothic"/>
        <family val="3"/>
        <charset val="1"/>
      </rPr>
      <t>の方が</t>
    </r>
    <r>
      <rPr>
        <sz val="12"/>
        <color theme="1"/>
        <rFont val="Yu Gothic"/>
        <family val="3"/>
        <charset val="128"/>
      </rPr>
      <t>Web</t>
    </r>
    <r>
      <rPr>
        <sz val="12"/>
        <color theme="1"/>
        <rFont val="Yu Gothic"/>
        <family val="3"/>
        <charset val="1"/>
      </rPr>
      <t>から予約をしてくださいました。これまでの開催は全て電話予約で対応し紙台帳管理をしていたという課題を、予約システム導入によって解決できた大きな成果と認められます。現地オペレーションとの連携を高めていけば、まだまだこうしたシステムを活かすことができます。今年度実績を基にし、人員発注と人員配置、予約システムの強みをさらに引き出しての予約受注強化（相性が良いと見られるLINE/L-STEPの活用など）や、天候要件の影響値を最小化（※悪天候時でも当日キャンセルは</t>
    </r>
    <r>
      <rPr>
        <sz val="12"/>
        <color theme="1"/>
        <rFont val="Yu Gothic"/>
        <family val="3"/>
        <charset val="128"/>
      </rPr>
      <t>2</t>
    </r>
    <r>
      <rPr>
        <sz val="12"/>
        <color theme="1"/>
        <rFont val="Yu Gothic"/>
        <family val="3"/>
        <charset val="1"/>
      </rPr>
      <t>割に満たない）していくことで、次年度は客席拡大、スタッフ増員に強気で臨むことができます。設備を含めて改善しつつ、さらに客単価を10％程度引き上げることで、売上も今年度の</t>
    </r>
    <r>
      <rPr>
        <sz val="12"/>
        <color theme="1"/>
        <rFont val="Yu Gothic"/>
        <family val="3"/>
        <charset val="128"/>
      </rPr>
      <t>1</t>
    </r>
    <r>
      <rPr>
        <sz val="12"/>
        <color theme="1"/>
        <rFont val="Yu Gothic"/>
        <family val="3"/>
        <charset val="1"/>
      </rPr>
      <t>日平均</t>
    </r>
    <r>
      <rPr>
        <sz val="12"/>
        <color theme="1"/>
        <rFont val="Yu Gothic"/>
        <family val="3"/>
        <charset val="128"/>
      </rPr>
      <t>114</t>
    </r>
    <r>
      <rPr>
        <sz val="12"/>
        <color theme="1"/>
        <rFont val="Yu Gothic"/>
        <family val="3"/>
        <charset val="1"/>
      </rPr>
      <t>万円から</t>
    </r>
    <r>
      <rPr>
        <sz val="12"/>
        <color theme="1"/>
        <rFont val="Yu Gothic"/>
        <family val="3"/>
        <charset val="128"/>
      </rPr>
      <t>130</t>
    </r>
    <r>
      <rPr>
        <sz val="12"/>
        <color theme="1"/>
        <rFont val="Yu Gothic"/>
        <family val="3"/>
        <charset val="1"/>
      </rPr>
      <t>万円（合計</t>
    </r>
    <r>
      <rPr>
        <sz val="12"/>
        <color theme="1"/>
        <rFont val="Yu Gothic"/>
        <family val="3"/>
        <charset val="128"/>
      </rPr>
      <t>1</t>
    </r>
    <r>
      <rPr>
        <sz val="12"/>
        <color theme="1"/>
        <rFont val="Yu Gothic"/>
        <family val="3"/>
        <charset val="1"/>
      </rPr>
      <t>億</t>
    </r>
    <r>
      <rPr>
        <sz val="12"/>
        <color theme="1"/>
        <rFont val="Yu Gothic"/>
        <family val="3"/>
        <charset val="128"/>
      </rPr>
      <t>3,000</t>
    </r>
    <r>
      <rPr>
        <sz val="12"/>
        <color theme="1"/>
        <rFont val="Yu Gothic"/>
        <family val="3"/>
        <charset val="1"/>
      </rPr>
      <t>万円）までは伸ばすことができると確信しています。</t>
    </r>
    <rPh sb="0" eb="1">
      <t xml:space="preserve">ツウキデノ </t>
    </rPh>
    <rPh sb="1" eb="2">
      <t>🌳</t>
    </rPh>
    <rPh sb="4" eb="7">
      <t xml:space="preserve">キャクタンカハ </t>
    </rPh>
    <rPh sb="13" eb="14">
      <t xml:space="preserve">エン </t>
    </rPh>
    <rPh sb="16" eb="18">
      <t xml:space="preserve">チャクチイタシマシタ </t>
    </rPh>
    <rPh sb="25" eb="27">
      <t xml:space="preserve">ヨサン </t>
    </rPh>
    <rPh sb="27" eb="31">
      <t xml:space="preserve">セッテイジテンデハ </t>
    </rPh>
    <rPh sb="43" eb="45">
      <t xml:space="preserve">ソウテイシテノ </t>
    </rPh>
    <rPh sb="48" eb="50">
      <t xml:space="preserve">スウチデシタノデ </t>
    </rPh>
    <rPh sb="56" eb="59">
      <t xml:space="preserve">ヨサンチ </t>
    </rPh>
    <rPh sb="74" eb="77">
      <t xml:space="preserve">サイシュウテキニ </t>
    </rPh>
    <rPh sb="83" eb="84">
      <t xml:space="preserve">リツ </t>
    </rPh>
    <rPh sb="100" eb="102">
      <t xml:space="preserve">タンピン </t>
    </rPh>
    <rPh sb="103" eb="106">
      <t xml:space="preserve">リヨウリツ </t>
    </rPh>
    <rPh sb="107" eb="109">
      <t xml:space="preserve">ウワマワリマシタ </t>
    </rPh>
    <rPh sb="114" eb="116">
      <t>サキ</t>
    </rPh>
    <rPh sb="121" eb="122">
      <t xml:space="preserve">ヨミトレルノハ </t>
    </rPh>
    <rPh sb="150" eb="152">
      <t xml:space="preserve">ニュウキャク </t>
    </rPh>
    <rPh sb="153" eb="156">
      <t xml:space="preserve">リヨウリツ </t>
    </rPh>
    <rPh sb="157" eb="158">
      <t xml:space="preserve">タカイト </t>
    </rPh>
    <rPh sb="160" eb="163">
      <t xml:space="preserve">キャクタンカガ </t>
    </rPh>
    <rPh sb="164" eb="165">
      <t xml:space="preserve">サガル </t>
    </rPh>
    <rPh sb="170" eb="172">
      <t xml:space="preserve">ジジツト </t>
    </rPh>
    <rPh sb="174" eb="176">
      <t xml:space="preserve">ヨヤクヲ </t>
    </rPh>
    <rPh sb="176" eb="177">
      <t xml:space="preserve">スウヲ </t>
    </rPh>
    <rPh sb="178" eb="179">
      <t xml:space="preserve">タカメル </t>
    </rPh>
    <rPh sb="186" eb="189">
      <t xml:space="preserve">キャクタンカガ </t>
    </rPh>
    <rPh sb="190" eb="191">
      <t xml:space="preserve">ノビル </t>
    </rPh>
    <rPh sb="196" eb="198">
      <t xml:space="preserve">ジジツ </t>
    </rPh>
    <rPh sb="208" eb="211">
      <t xml:space="preserve">ジネンドハ </t>
    </rPh>
    <rPh sb="212" eb="214">
      <t xml:space="preserve">コンカイ </t>
    </rPh>
    <rPh sb="217" eb="218">
      <t xml:space="preserve">ホドデアッタ </t>
    </rPh>
    <rPh sb="222" eb="224">
      <t xml:space="preserve">ヨヤク </t>
    </rPh>
    <rPh sb="224" eb="226">
      <t xml:space="preserve">リヨウ </t>
    </rPh>
    <rPh sb="226" eb="227">
      <t xml:space="preserve">リツ </t>
    </rPh>
    <rPh sb="231" eb="233">
      <t xml:space="preserve">テイドマデ </t>
    </rPh>
    <rPh sb="235" eb="236">
      <t xml:space="preserve">ヒキアゲ </t>
    </rPh>
    <rPh sb="249" eb="251">
      <t xml:space="preserve">ネアゲ </t>
    </rPh>
    <rPh sb="254" eb="256">
      <t xml:space="preserve">ヒツヨウガ </t>
    </rPh>
    <rPh sb="260" eb="263">
      <t xml:space="preserve">キャクタンカ </t>
    </rPh>
    <rPh sb="264" eb="266">
      <t xml:space="preserve">ニュウキャク </t>
    </rPh>
    <rPh sb="267" eb="271">
      <t xml:space="preserve">テンビンカンケイ </t>
    </rPh>
    <rPh sb="272" eb="275">
      <t xml:space="preserve">ゲンテイテキニシツツ </t>
    </rPh>
    <rPh sb="282" eb="284">
      <t xml:space="preserve">ニュウキャクヲ </t>
    </rPh>
    <rPh sb="285" eb="286">
      <t xml:space="preserve">タカメツツ </t>
    </rPh>
    <rPh sb="289" eb="292">
      <t xml:space="preserve">キャクタンカ </t>
    </rPh>
    <rPh sb="293" eb="294">
      <t xml:space="preserve">ヒキアゲル </t>
    </rPh>
    <rPh sb="308" eb="309">
      <t xml:space="preserve">ノビシロ </t>
    </rPh>
    <rPh sb="312" eb="314">
      <t xml:space="preserve">カクニン </t>
    </rPh>
    <rPh sb="327" eb="329">
      <t xml:space="preserve">コンカイハ </t>
    </rPh>
    <rPh sb="339" eb="341">
      <t xml:space="preserve">ドウニュウシ </t>
    </rPh>
    <rPh sb="343" eb="345">
      <t xml:space="preserve">センヨウ </t>
    </rPh>
    <rPh sb="348" eb="350">
      <t xml:space="preserve">ヒモヅケシテ </t>
    </rPh>
    <rPh sb="353" eb="357">
      <t xml:space="preserve">ヨヤクジュチュウヲ </t>
    </rPh>
    <rPh sb="358" eb="359">
      <t xml:space="preserve">オコナッタコトニヨリ </t>
    </rPh>
    <rPh sb="367" eb="368">
      <t xml:space="preserve">ヤク </t>
    </rPh>
    <rPh sb="372" eb="373">
      <t xml:space="preserve">カタガ </t>
    </rPh>
    <rPh sb="379" eb="381">
      <t xml:space="preserve">ヨヤクヲ </t>
    </rPh>
    <rPh sb="400" eb="401">
      <t xml:space="preserve">スベテ </t>
    </rPh>
    <rPh sb="402" eb="406">
      <t xml:space="preserve">デンワヨヤクデ </t>
    </rPh>
    <rPh sb="407" eb="409">
      <t xml:space="preserve">タイオウ </t>
    </rPh>
    <rPh sb="410" eb="411">
      <t xml:space="preserve">カミ </t>
    </rPh>
    <rPh sb="411" eb="415">
      <t xml:space="preserve">ダイチョウカンリ </t>
    </rPh>
    <rPh sb="423" eb="425">
      <t xml:space="preserve">カダイヲ </t>
    </rPh>
    <rPh sb="427" eb="429">
      <t xml:space="preserve">ヨヤクシステム </t>
    </rPh>
    <rPh sb="433" eb="435">
      <t xml:space="preserve">ドウニュウ </t>
    </rPh>
    <rPh sb="439" eb="441">
      <t xml:space="preserve">カイケツ </t>
    </rPh>
    <rPh sb="444" eb="445">
      <t xml:space="preserve">オオキナ </t>
    </rPh>
    <rPh sb="447" eb="449">
      <t xml:space="preserve">セイカト </t>
    </rPh>
    <rPh sb="450" eb="451">
      <t xml:space="preserve">ミトメラレマス </t>
    </rPh>
    <rPh sb="457" eb="459">
      <t xml:space="preserve">ゲンチ </t>
    </rPh>
    <rPh sb="468" eb="470">
      <t xml:space="preserve">レンケイヲ </t>
    </rPh>
    <rPh sb="471" eb="472">
      <t xml:space="preserve">タカメテイケバ </t>
    </rPh>
    <rPh sb="491" eb="492">
      <t xml:space="preserve">イカシテイケルノデ </t>
    </rPh>
    <rPh sb="502" eb="505">
      <t xml:space="preserve">コンエンドヲ </t>
    </rPh>
    <rPh sb="505" eb="507">
      <t xml:space="preserve">ジッセキ </t>
    </rPh>
    <rPh sb="508" eb="509">
      <t xml:space="preserve">モトニシタ </t>
    </rPh>
    <rPh sb="512" eb="514">
      <t xml:space="preserve">ジンイン </t>
    </rPh>
    <rPh sb="514" eb="516">
      <t xml:space="preserve">ハッチュウ </t>
    </rPh>
    <rPh sb="517" eb="521">
      <t xml:space="preserve">ジンインハイチ </t>
    </rPh>
    <rPh sb="522" eb="524">
      <t xml:space="preserve">ヨヤクシステムン </t>
    </rPh>
    <rPh sb="529" eb="530">
      <t xml:space="preserve">ツヨミヲ </t>
    </rPh>
    <rPh sb="541" eb="545">
      <t xml:space="preserve">ヨヤクジュチュウ </t>
    </rPh>
    <rPh sb="545" eb="547">
      <t xml:space="preserve">キョウカ </t>
    </rPh>
    <rPh sb="548" eb="550">
      <t xml:space="preserve">アイショウガ </t>
    </rPh>
    <rPh sb="551" eb="552">
      <t xml:space="preserve">ヨイト </t>
    </rPh>
    <rPh sb="554" eb="555">
      <t xml:space="preserve">ミラレルツ </t>
    </rPh>
    <rPh sb="570" eb="572">
      <t xml:space="preserve">カツヨウ </t>
    </rPh>
    <rPh sb="577" eb="581">
      <t xml:space="preserve">テンコウヨウケン </t>
    </rPh>
    <rPh sb="582" eb="585">
      <t xml:space="preserve">エイキョウチ </t>
    </rPh>
    <rPh sb="586" eb="589">
      <t xml:space="preserve">サイショウカ </t>
    </rPh>
    <rPh sb="591" eb="595">
      <t xml:space="preserve">アクテンコウジ </t>
    </rPh>
    <rPh sb="597" eb="599">
      <t xml:space="preserve">トウジツ </t>
    </rPh>
    <rPh sb="606" eb="607">
      <t xml:space="preserve">ワリニ </t>
    </rPh>
    <rPh sb="608" eb="609">
      <t xml:space="preserve">ミタナイ </t>
    </rPh>
    <rPh sb="621" eb="624">
      <t xml:space="preserve">ジネンドノ </t>
    </rPh>
    <rPh sb="625" eb="629">
      <t xml:space="preserve">キャクセキカクダイ </t>
    </rPh>
    <rPh sb="634" eb="636">
      <t xml:space="preserve">ゾウイン </t>
    </rPh>
    <rPh sb="637" eb="639">
      <t xml:space="preserve">ツヨキデ </t>
    </rPh>
    <rPh sb="640" eb="641">
      <t xml:space="preserve">ノゾムコトガデキマス </t>
    </rPh>
    <rPh sb="650" eb="652">
      <t xml:space="preserve">セツビヲ </t>
    </rPh>
    <rPh sb="653" eb="654">
      <t xml:space="preserve">フクメテ </t>
    </rPh>
    <rPh sb="656" eb="658">
      <t xml:space="preserve">カイゼンテン </t>
    </rPh>
    <rPh sb="665" eb="668">
      <t xml:space="preserve">キャクタンカヲ </t>
    </rPh>
    <rPh sb="672" eb="674">
      <t xml:space="preserve">テイド </t>
    </rPh>
    <rPh sb="674" eb="675">
      <t xml:space="preserve">ヒキアゲルコトデ </t>
    </rPh>
    <rPh sb="683" eb="685">
      <t xml:space="preserve">ウリアゲ </t>
    </rPh>
    <rPh sb="686" eb="689">
      <t xml:space="preserve">コンネンド </t>
    </rPh>
    <rPh sb="691" eb="692">
      <t xml:space="preserve">ニチケイキン </t>
    </rPh>
    <rPh sb="692" eb="694">
      <t xml:space="preserve">ヘイキン </t>
    </rPh>
    <rPh sb="697" eb="699">
      <t xml:space="preserve">マンエン </t>
    </rPh>
    <rPh sb="704" eb="706">
      <t xml:space="preserve">マンエン </t>
    </rPh>
    <rPh sb="707" eb="709">
      <t xml:space="preserve">ゴウケイ </t>
    </rPh>
    <rPh sb="710" eb="711">
      <t xml:space="preserve">オク </t>
    </rPh>
    <rPh sb="716" eb="718">
      <t xml:space="preserve">マンエン </t>
    </rPh>
    <rPh sb="722" eb="723">
      <t xml:space="preserve">ノバスコトガデキルト </t>
    </rPh>
    <rPh sb="732" eb="734">
      <t xml:space="preserve">カクシンシテイマス </t>
    </rPh>
    <phoneticPr fontId="1"/>
  </si>
  <si>
    <t>1日平均売上</t>
    <rPh sb="2" eb="4">
      <t xml:space="preserve">ヘイキン </t>
    </rPh>
    <rPh sb="4" eb="6">
      <t xml:space="preserve">ウリアゲ </t>
    </rPh>
    <phoneticPr fontId="1"/>
  </si>
  <si>
    <r>
      <rPr>
        <b/>
        <sz val="10"/>
        <color theme="1"/>
        <rFont val="Yu Gothic"/>
        <family val="3"/>
        <charset val="1"/>
      </rPr>
      <t>設備・備品課題※情報共有前　</t>
    </r>
    <r>
      <rPr>
        <sz val="10"/>
        <color theme="1"/>
        <rFont val="Yu Gothic"/>
        <family val="3"/>
        <charset val="1"/>
      </rPr>
      <t>◆英字メニュー　◆テーブル番号札（視認性・会計）　◆会計カード（プラスチック札）の作成　◆会計の仕方がわからない　◆キャッシュレス決済が行えることの告知　◆エクスキューズ（場内案内・トイレ・会計方法など）　◆飲み放題と単品オーダーの判別がつきづらい　◆床清掃の定期スケジュールと不定期実施のオペレーション　 ◆ワインの利用方法と場所　◆ワインコーナーにローズマリーのプランター設置　◆イベント開催　◆キャッシャー増設検討　◆ジョッキのサイズ　◆グラス洗浄マシンとの相性　◆鍋洗い機（高圧洗浄機）の複数洗浄機導入　◆Wi-Fi環境　　◆問い合わせ専用電話の設置</t>
    </r>
    <rPh sb="0" eb="2">
      <t xml:space="preserve">セツビ </t>
    </rPh>
    <rPh sb="3" eb="5">
      <t xml:space="preserve">ビヒン </t>
    </rPh>
    <rPh sb="5" eb="7">
      <t xml:space="preserve">カダイ </t>
    </rPh>
    <rPh sb="8" eb="12">
      <t xml:space="preserve">ジョウホウキョウユウ </t>
    </rPh>
    <rPh sb="12" eb="13">
      <t xml:space="preserve">マエ </t>
    </rPh>
    <rPh sb="15" eb="17">
      <t xml:space="preserve">エイジ </t>
    </rPh>
    <rPh sb="27" eb="29">
      <t xml:space="preserve">バンゴウ </t>
    </rPh>
    <rPh sb="29" eb="30">
      <t xml:space="preserve">フダ </t>
    </rPh>
    <rPh sb="31" eb="34">
      <t xml:space="preserve">シニンセイ </t>
    </rPh>
    <rPh sb="35" eb="37">
      <t xml:space="preserve">カイケイ </t>
    </rPh>
    <rPh sb="40" eb="42">
      <t xml:space="preserve">カイケイカード </t>
    </rPh>
    <rPh sb="52" eb="53">
      <t xml:space="preserve">フダ </t>
    </rPh>
    <rPh sb="55" eb="57">
      <t xml:space="preserve">サクセイ </t>
    </rPh>
    <rPh sb="60" eb="61">
      <t xml:space="preserve">ノミホウダイ </t>
    </rPh>
    <rPh sb="65" eb="67">
      <t xml:space="preserve">タンピン </t>
    </rPh>
    <rPh sb="72" eb="74">
      <t xml:space="preserve">ハンベツ </t>
    </rPh>
    <rPh sb="82" eb="84">
      <t xml:space="preserve">カイケイノ </t>
    </rPh>
    <rPh sb="85" eb="87">
      <t xml:space="preserve">シカタガ </t>
    </rPh>
    <rPh sb="105" eb="106">
      <t xml:space="preserve">オコナエルコトノ </t>
    </rPh>
    <rPh sb="111" eb="113">
      <t xml:space="preserve">コクチ </t>
    </rPh>
    <rPh sb="123" eb="125">
      <t xml:space="preserve">ジョウナイ </t>
    </rPh>
    <rPh sb="125" eb="127">
      <t xml:space="preserve">アンナイ </t>
    </rPh>
    <rPh sb="132" eb="136">
      <t xml:space="preserve">カイケイホウホウ </t>
    </rPh>
    <rPh sb="140" eb="143">
      <t xml:space="preserve">ユカセイソウ </t>
    </rPh>
    <rPh sb="144" eb="146">
      <t xml:space="preserve">テイキ </t>
    </rPh>
    <rPh sb="153" eb="156">
      <t xml:space="preserve">フテイキ </t>
    </rPh>
    <rPh sb="156" eb="158">
      <t xml:space="preserve">ジッシノ </t>
    </rPh>
    <rPh sb="173" eb="177">
      <t xml:space="preserve">リヨウホウホウ </t>
    </rPh>
    <rPh sb="178" eb="180">
      <t xml:space="preserve">バショノ </t>
    </rPh>
    <rPh sb="220" eb="222">
      <t xml:space="preserve">ゾウセツ </t>
    </rPh>
    <rPh sb="222" eb="224">
      <t xml:space="preserve">ケントウ </t>
    </rPh>
    <rPh sb="239" eb="241">
      <t xml:space="preserve">センジョウマシン </t>
    </rPh>
    <rPh sb="246" eb="248">
      <t xml:space="preserve">アイショウ </t>
    </rPh>
    <rPh sb="250" eb="252">
      <t xml:space="preserve">ナベアライキ </t>
    </rPh>
    <rPh sb="253" eb="254">
      <t xml:space="preserve">キカイ </t>
    </rPh>
    <rPh sb="255" eb="259">
      <t xml:space="preserve">コウアツセンジョウ </t>
    </rPh>
    <rPh sb="259" eb="260">
      <t>🪵</t>
    </rPh>
    <rPh sb="262" eb="264">
      <t xml:space="preserve">フクスウ </t>
    </rPh>
    <rPh sb="264" eb="266">
      <t xml:space="preserve">センジョウ </t>
    </rPh>
    <rPh sb="266" eb="267">
      <t>🪵</t>
    </rPh>
    <rPh sb="267" eb="269">
      <t xml:space="preserve">ドウニュウ </t>
    </rPh>
    <rPh sb="276" eb="278">
      <t xml:space="preserve">カンキョウ </t>
    </rPh>
    <rPh sb="281" eb="282">
      <t xml:space="preserve">トイアワセ </t>
    </rPh>
    <rPh sb="286" eb="288">
      <t xml:space="preserve">センヨウ </t>
    </rPh>
    <rPh sb="288" eb="290">
      <t xml:space="preserve">デンワノ </t>
    </rPh>
    <rPh sb="291" eb="293">
      <t xml:space="preserve">セッチ </t>
    </rPh>
    <phoneticPr fontId="1"/>
  </si>
  <si>
    <t>■R5年度　ビアガーデン売上実績</t>
    <rPh sb="3" eb="5">
      <t xml:space="preserve">ネンド </t>
    </rPh>
    <rPh sb="12" eb="14">
      <t xml:space="preserve">ウリアゲヨソク </t>
    </rPh>
    <rPh sb="14" eb="16">
      <t xml:space="preserve">ジッセキ </t>
    </rPh>
    <phoneticPr fontId="1"/>
  </si>
  <si>
    <t>物販</t>
    <rPh sb="0" eb="2">
      <t xml:space="preserve">ブッパン </t>
    </rPh>
    <phoneticPr fontId="1"/>
  </si>
  <si>
    <t>サーフィンズ</t>
    <phoneticPr fontId="1"/>
  </si>
  <si>
    <t>forking</t>
    <phoneticPr fontId="1"/>
  </si>
  <si>
    <t>Timee</t>
    <phoneticPr fontId="1"/>
  </si>
  <si>
    <t>テント利用料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</si>
</sst>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176" formatCode="0.0"/>
    <numFmt numFmtId="177" formatCode="0.0%"/>
    <numFmt numFmtId="178" formatCode="#,##0.0;[Red]\-#,##0.0"/>
    <numFmt numFmtId="179" formatCode="0.0_);[Red]\(0.0\)"/>
    <numFmt numFmtId="180" formatCode="0.0_ "/>
  </numFmts>
  <fonts count="79">
    <font>
      <sz val="11"/>
      <color theme="1"/>
      <name val="Yu Gothic"/>
      <family val="2"/>
      <scheme val="minor"/>
    </font>
    <font>
      <sz val="6"/>
      <name val="Yu Gothic"/>
      <family val="3"/>
      <charset val="128"/>
      <scheme val="minor"/>
    </font>
    <font>
      <sz val="11"/>
      <color theme="1"/>
      <name val="Yu Gothic"/>
      <family val="2"/>
      <scheme val="minor"/>
    </font>
    <font>
      <sz val="11"/>
      <color theme="1"/>
      <name val="Meiryo UI"/>
      <family val="3"/>
      <charset val="128"/>
    </font>
    <font>
      <sz val="8"/>
      <color theme="1"/>
      <name val="Meiryo UI"/>
      <family val="3"/>
      <charset val="128"/>
    </font>
    <font>
      <b/>
      <sz val="11"/>
      <color theme="1"/>
      <name val="Meiryo UI"/>
      <family val="3"/>
      <charset val="128"/>
    </font>
    <font>
      <b/>
      <sz val="9"/>
      <color theme="1"/>
      <name val="Meiryo UI"/>
      <family val="3"/>
      <charset val="128"/>
    </font>
    <font>
      <sz val="9"/>
      <color theme="1"/>
      <name val="Meiryo UI"/>
      <family val="3"/>
      <charset val="128"/>
    </font>
    <font>
      <sz val="9"/>
      <color rgb="FFFF0000"/>
      <name val="Meiryo UI"/>
      <family val="3"/>
      <charset val="128"/>
    </font>
    <font>
      <sz val="9"/>
      <color rgb="FF0070C0"/>
      <name val="Meiryo UI"/>
      <family val="3"/>
      <charset val="128"/>
    </font>
    <font>
      <b/>
      <sz val="10"/>
      <color theme="1"/>
      <name val="Meiryo UI"/>
      <family val="3"/>
      <charset val="128"/>
    </font>
    <font>
      <sz val="11"/>
      <color theme="0"/>
      <name val="Meiryo UI"/>
      <family val="3"/>
      <charset val="128"/>
    </font>
    <font>
      <sz val="10"/>
      <color theme="1"/>
      <name val="Meiryo UI"/>
      <family val="3"/>
      <charset val="128"/>
    </font>
    <font>
      <b/>
      <sz val="10.5"/>
      <color theme="1"/>
      <name val="Meiryo UI"/>
      <family val="3"/>
      <charset val="128"/>
    </font>
    <font>
      <sz val="10.5"/>
      <color theme="1"/>
      <name val="Meiryo UI"/>
      <family val="3"/>
      <charset val="128"/>
    </font>
    <font>
      <b/>
      <sz val="12"/>
      <color theme="1"/>
      <name val="Meiryo UI"/>
      <family val="3"/>
      <charset val="128"/>
    </font>
    <font>
      <sz val="12"/>
      <color theme="1"/>
      <name val="Meiryo UI"/>
      <family val="3"/>
      <charset val="128"/>
    </font>
    <font>
      <b/>
      <sz val="16"/>
      <color theme="1"/>
      <name val="Meiryo UI"/>
      <family val="3"/>
      <charset val="128"/>
    </font>
    <font>
      <b/>
      <sz val="10"/>
      <color theme="1"/>
      <name val="Meiryo UI"/>
      <family val="2"/>
      <charset val="128"/>
    </font>
    <font>
      <sz val="10"/>
      <color theme="1"/>
      <name val="Meiryo UI"/>
      <family val="2"/>
      <charset val="128"/>
    </font>
    <font>
      <b/>
      <sz val="9"/>
      <color theme="1"/>
      <name val="Meiryo UI"/>
      <family val="2"/>
      <charset val="128"/>
    </font>
    <font>
      <sz val="11"/>
      <color theme="2" tint="-9.9978637043366805E-2"/>
      <name val="Meiryo UI"/>
      <family val="3"/>
      <charset val="128"/>
    </font>
    <font>
      <b/>
      <sz val="14"/>
      <color theme="1"/>
      <name val="Meiryo UI"/>
      <family val="2"/>
      <charset val="128"/>
    </font>
    <font>
      <b/>
      <sz val="16"/>
      <color theme="1"/>
      <name val="Meiryo UI"/>
      <family val="2"/>
      <charset val="128"/>
    </font>
    <font>
      <b/>
      <sz val="18"/>
      <color theme="1"/>
      <name val="Meiryo UI"/>
      <family val="2"/>
      <charset val="128"/>
    </font>
    <font>
      <b/>
      <sz val="11"/>
      <color theme="1"/>
      <name val="Meiryo UI"/>
      <family val="2"/>
      <charset val="128"/>
    </font>
    <font>
      <b/>
      <sz val="12"/>
      <color theme="1"/>
      <name val="Meiryo UI"/>
      <family val="2"/>
      <charset val="128"/>
    </font>
    <font>
      <b/>
      <sz val="20"/>
      <color theme="1"/>
      <name val="Meiryo UI"/>
      <family val="3"/>
      <charset val="128"/>
    </font>
    <font>
      <b/>
      <sz val="20"/>
      <color theme="1"/>
      <name val="Meiryo UI"/>
      <family val="2"/>
      <charset val="128"/>
    </font>
    <font>
      <sz val="14"/>
      <color theme="1"/>
      <name val="Meiryo UI"/>
      <family val="2"/>
      <charset val="128"/>
    </font>
    <font>
      <sz val="9"/>
      <color rgb="FFFF0000"/>
      <name val="Meiryo UI"/>
      <family val="2"/>
      <charset val="128"/>
    </font>
    <font>
      <sz val="10"/>
      <color rgb="FFFF0000"/>
      <name val="Meiryo UI"/>
      <family val="2"/>
      <charset val="128"/>
    </font>
    <font>
      <b/>
      <sz val="11"/>
      <color theme="1"/>
      <name val="Yu Gothic"/>
      <family val="3"/>
      <charset val="128"/>
      <scheme val="minor"/>
    </font>
    <font>
      <b/>
      <sz val="11"/>
      <color theme="1"/>
      <name val="Yu Gothic"/>
      <family val="2"/>
      <scheme val="minor"/>
    </font>
    <font>
      <sz val="10"/>
      <color theme="1"/>
      <name val="Yu Gothic"/>
      <family val="2"/>
      <scheme val="minor"/>
    </font>
    <font>
      <sz val="12"/>
      <color theme="1"/>
      <name val="Meiryo UI"/>
      <family val="2"/>
      <charset val="128"/>
    </font>
    <font>
      <sz val="12"/>
      <color rgb="FFFF0000"/>
      <name val="Meiryo UI"/>
      <family val="2"/>
      <charset val="128"/>
    </font>
    <font>
      <sz val="12"/>
      <color rgb="FF0070C0"/>
      <name val="Meiryo UI"/>
      <family val="2"/>
      <charset val="128"/>
    </font>
    <font>
      <b/>
      <sz val="11"/>
      <name val="Yu Gothic"/>
      <family val="3"/>
      <charset val="128"/>
      <scheme val="minor"/>
    </font>
    <font>
      <sz val="11"/>
      <name val="Yu Gothic"/>
      <family val="3"/>
      <charset val="128"/>
      <scheme val="minor"/>
    </font>
    <font>
      <b/>
      <sz val="14"/>
      <color theme="1"/>
      <name val="Yu Gothic"/>
      <family val="3"/>
      <charset val="128"/>
      <scheme val="minor"/>
    </font>
    <font>
      <b/>
      <sz val="14"/>
      <name val="Yu Gothic"/>
      <family val="3"/>
      <charset val="128"/>
      <scheme val="minor"/>
    </font>
    <font>
      <b/>
      <sz val="16"/>
      <color theme="1"/>
      <name val="Yu Gothic"/>
      <family val="3"/>
      <charset val="128"/>
      <scheme val="minor"/>
    </font>
    <font>
      <b/>
      <sz val="18"/>
      <color theme="1"/>
      <name val="Yu Gothic"/>
      <family val="2"/>
      <scheme val="minor"/>
    </font>
    <font>
      <b/>
      <sz val="18"/>
      <color theme="1"/>
      <name val="Yu Gothic"/>
      <family val="3"/>
      <charset val="128"/>
      <scheme val="minor"/>
    </font>
    <font>
      <b/>
      <sz val="16"/>
      <name val="Yu Gothic"/>
      <family val="3"/>
      <charset val="128"/>
      <scheme val="minor"/>
    </font>
    <font>
      <sz val="16"/>
      <color theme="1"/>
      <name val="Meiryo UI"/>
      <family val="2"/>
      <charset val="128"/>
    </font>
    <font>
      <sz val="11"/>
      <color theme="0"/>
      <name val="Yu Gothic"/>
      <family val="2"/>
      <scheme val="minor"/>
    </font>
    <font>
      <sz val="11"/>
      <color theme="1"/>
      <name val="Yu Gothic"/>
      <family val="3"/>
      <charset val="128"/>
      <scheme val="minor"/>
    </font>
    <font>
      <sz val="11"/>
      <color theme="1"/>
      <name val="Segoe UI Symbol"/>
      <family val="2"/>
    </font>
    <font>
      <sz val="18"/>
      <color theme="1"/>
      <name val="Meiryo UI"/>
      <family val="2"/>
      <charset val="128"/>
    </font>
    <font>
      <sz val="10"/>
      <color rgb="FF000000"/>
      <name val="Hiragino Kaku Gothic ProN"/>
    </font>
    <font>
      <b/>
      <sz val="10"/>
      <color rgb="FF000000"/>
      <name val="Hiragino Kaku Gothic ProN"/>
    </font>
    <font>
      <sz val="12"/>
      <color theme="1"/>
      <name val="Helvetica"/>
      <family val="2"/>
    </font>
    <font>
      <sz val="11"/>
      <color theme="1"/>
      <name val="メイリオ"/>
      <family val="2"/>
      <charset val="128"/>
    </font>
    <font>
      <b/>
      <sz val="10"/>
      <color rgb="FF000000"/>
      <name val="メイリオ"/>
      <family val="2"/>
      <charset val="128"/>
    </font>
    <font>
      <sz val="10"/>
      <color rgb="FF000000"/>
      <name val="メイリオ"/>
      <family val="2"/>
      <charset val="128"/>
    </font>
    <font>
      <sz val="12"/>
      <color theme="1"/>
      <name val="メイリオ"/>
      <family val="2"/>
      <charset val="128"/>
    </font>
    <font>
      <b/>
      <sz val="14"/>
      <color theme="1"/>
      <name val="メイリオ"/>
      <family val="2"/>
      <charset val="128"/>
    </font>
    <font>
      <b/>
      <sz val="14"/>
      <color theme="1"/>
      <name val="Yu Gothic"/>
      <family val="2"/>
      <charset val="128"/>
      <scheme val="minor"/>
    </font>
    <font>
      <b/>
      <sz val="9"/>
      <color theme="1"/>
      <name val="Yu Gothic"/>
      <family val="3"/>
      <charset val="128"/>
      <scheme val="minor"/>
    </font>
    <font>
      <sz val="10"/>
      <color theme="1"/>
      <name val="Yu Gothic"/>
      <family val="3"/>
      <charset val="1"/>
    </font>
    <font>
      <b/>
      <sz val="10"/>
      <color theme="1"/>
      <name val="Yu Gothic"/>
      <family val="3"/>
      <charset val="1"/>
    </font>
    <font>
      <sz val="12"/>
      <color theme="1"/>
      <name val="Yu Gothic"/>
      <family val="3"/>
      <charset val="1"/>
    </font>
    <font>
      <sz val="12"/>
      <color theme="1"/>
      <name val="Yu Gothic"/>
      <family val="3"/>
      <charset val="128"/>
    </font>
    <font>
      <b/>
      <u/>
      <sz val="12"/>
      <color theme="1"/>
      <name val="Yu Gothic"/>
      <family val="3"/>
      <charset val="1"/>
    </font>
    <font>
      <b/>
      <sz val="11"/>
      <color theme="1"/>
      <name val="Yu Gothic (本文)"/>
      <family val="3"/>
      <charset val="128"/>
    </font>
    <font>
      <sz val="10"/>
      <color theme="1"/>
      <name val="Yu Gothic"/>
      <family val="3"/>
      <charset val="128"/>
      <scheme val="minor"/>
    </font>
    <font>
      <b/>
      <u/>
      <sz val="10"/>
      <color theme="1"/>
      <name val="Yu Gothic"/>
      <family val="3"/>
      <charset val="128"/>
      <scheme val="minor"/>
    </font>
    <font>
      <b/>
      <sz val="10"/>
      <color theme="1"/>
      <name val="Yu Gothic"/>
      <family val="3"/>
      <charset val="128"/>
      <scheme val="minor"/>
    </font>
    <font>
      <b/>
      <sz val="10"/>
      <color theme="1"/>
      <name val="Yu Gothic (本文)"/>
      <family val="3"/>
      <charset val="128"/>
    </font>
    <font>
      <b/>
      <sz val="11"/>
      <color theme="0"/>
      <name val="Yu Gothic"/>
      <family val="3"/>
      <charset val="128"/>
      <scheme val="minor"/>
    </font>
    <font>
      <b/>
      <sz val="12"/>
      <color theme="1"/>
      <name val="Yu Gothic"/>
      <family val="3"/>
      <charset val="1"/>
    </font>
    <font>
      <b/>
      <sz val="12"/>
      <color theme="1"/>
      <name val="Yu Gothic"/>
      <family val="3"/>
      <charset val="128"/>
    </font>
    <font>
      <b/>
      <u/>
      <sz val="12"/>
      <color rgb="FFFF0000"/>
      <name val="Yu Gothic"/>
      <family val="3"/>
      <charset val="1"/>
    </font>
    <font>
      <b/>
      <u/>
      <sz val="10"/>
      <color rgb="FFFF0000"/>
      <name val="Yu Gothic"/>
      <family val="3"/>
      <charset val="1"/>
    </font>
    <font>
      <b/>
      <u/>
      <sz val="10"/>
      <color rgb="FFFF0000"/>
      <name val="Yu Gothic"/>
      <family val="3"/>
      <charset val="128"/>
    </font>
    <font>
      <sz val="11"/>
      <color theme="1"/>
      <name val="Yu Gothic"/>
      <family val="3"/>
      <charset val="1"/>
    </font>
    <font>
      <sz val="11"/>
      <color theme="1"/>
      <name val="Yu Gothic (本文)"/>
      <family val="3"/>
      <charset val="128"/>
    </font>
  </fonts>
  <fills count="17">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00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theme="1"/>
        <bgColor indexed="64"/>
      </patternFill>
    </fill>
    <fill>
      <patternFill patternType="solid">
        <fgColor theme="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7E79"/>
        <bgColor indexed="64"/>
      </patternFill>
    </fill>
    <fill>
      <patternFill patternType="solid">
        <fgColor theme="8" tint="0.79998168889431442"/>
        <bgColor indexed="64"/>
      </patternFill>
    </fill>
    <fill>
      <patternFill patternType="solid">
        <fgColor theme="2" tint="-9.9978637043366805E-2"/>
        <bgColor indexed="64"/>
      </patternFill>
    </fill>
  </fills>
  <borders count="80">
    <border>
      <left/>
      <right/>
      <top/>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medium">
        <color auto="1"/>
      </bottom>
      <diagonal/>
    </border>
    <border>
      <left style="medium">
        <color auto="1"/>
      </left>
      <right/>
      <top style="medium">
        <color auto="1"/>
      </top>
      <bottom style="thin">
        <color auto="1"/>
      </bottom>
      <diagonal/>
    </border>
    <border>
      <left/>
      <right/>
      <top style="thick">
        <color auto="1"/>
      </top>
      <bottom/>
      <diagonal/>
    </border>
    <border>
      <left style="medium">
        <color auto="1"/>
      </left>
      <right/>
      <top style="thick">
        <color auto="1"/>
      </top>
      <bottom style="medium">
        <color auto="1"/>
      </bottom>
      <diagonal/>
    </border>
    <border>
      <left/>
      <right style="medium">
        <color auto="1"/>
      </right>
      <top style="thick">
        <color auto="1"/>
      </top>
      <bottom style="medium">
        <color auto="1"/>
      </bottom>
      <diagonal/>
    </border>
    <border>
      <left/>
      <right/>
      <top style="thick">
        <color auto="1"/>
      </top>
      <bottom style="medium">
        <color auto="1"/>
      </bottom>
      <diagonal/>
    </border>
    <border>
      <left style="thick">
        <color auto="1"/>
      </left>
      <right/>
      <top/>
      <bottom/>
      <diagonal/>
    </border>
    <border>
      <left/>
      <right/>
      <top/>
      <bottom style="thick">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thin">
        <color auto="1"/>
      </left>
      <right/>
      <top/>
      <bottom/>
      <diagonal/>
    </border>
    <border>
      <left/>
      <right/>
      <top style="thin">
        <color auto="1"/>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medium">
        <color auto="1"/>
      </right>
      <top/>
      <bottom/>
      <diagonal/>
    </border>
    <border>
      <left/>
      <right style="medium">
        <color auto="1"/>
      </right>
      <top/>
      <bottom style="medium">
        <color auto="1"/>
      </bottom>
      <diagonal/>
    </border>
    <border>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double">
        <color auto="1"/>
      </left>
      <right style="thin">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top style="double">
        <color auto="1"/>
      </top>
      <bottom/>
      <diagonal/>
    </border>
    <border>
      <left/>
      <right style="thin">
        <color auto="1"/>
      </right>
      <top style="thin">
        <color auto="1"/>
      </top>
      <bottom style="double">
        <color auto="1"/>
      </bottom>
      <diagonal/>
    </border>
    <border>
      <left style="thin">
        <color auto="1"/>
      </left>
      <right/>
      <top style="thin">
        <color auto="1"/>
      </top>
      <bottom style="double">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double">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double">
        <color auto="1"/>
      </right>
      <top style="double">
        <color auto="1"/>
      </top>
      <bottom style="thin">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right style="double">
        <color auto="1"/>
      </right>
      <top style="double">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double">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style="double">
        <color auto="1"/>
      </right>
      <top/>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thin">
        <color auto="1"/>
      </bottom>
      <diagonal/>
    </border>
    <border>
      <left style="double">
        <color auto="1"/>
      </left>
      <right style="double">
        <color auto="1"/>
      </right>
      <top style="thin">
        <color auto="1"/>
      </top>
      <bottom style="double">
        <color auto="1"/>
      </bottom>
      <diagonal/>
    </border>
    <border>
      <left style="thick">
        <color auto="1"/>
      </left>
      <right/>
      <top/>
      <bottom style="thin">
        <color auto="1"/>
      </bottom>
      <diagonal/>
    </border>
    <border>
      <left/>
      <right style="thin">
        <color auto="1"/>
      </right>
      <top style="thick">
        <color auto="1"/>
      </top>
      <bottom style="thin">
        <color auto="1"/>
      </bottom>
      <diagonal/>
    </border>
    <border>
      <left style="thick">
        <color auto="1"/>
      </left>
      <right/>
      <top style="thick">
        <color auto="1"/>
      </top>
      <bottom style="thin">
        <color auto="1"/>
      </bottom>
      <diagonal/>
    </border>
    <border>
      <left style="thin">
        <color auto="1"/>
      </left>
      <right/>
      <top style="thick">
        <color auto="1"/>
      </top>
      <bottom style="thin">
        <color auto="1"/>
      </bottom>
      <diagonal/>
    </border>
    <border>
      <left/>
      <right/>
      <top style="thick">
        <color auto="1"/>
      </top>
      <bottom style="thin">
        <color auto="1"/>
      </bottom>
      <diagonal/>
    </border>
  </borders>
  <cellStyleXfs count="3">
    <xf numFmtId="0" fontId="0" fillId="0" borderId="0"/>
    <xf numFmtId="38" fontId="2" fillId="0" borderId="0" applyFont="0" applyFill="0" applyBorder="0" applyAlignment="0" applyProtection="0">
      <alignment vertical="center"/>
    </xf>
    <xf numFmtId="9" fontId="2" fillId="0" borderId="0" applyFont="0" applyFill="0" applyBorder="0" applyAlignment="0" applyProtection="0">
      <alignment vertical="center"/>
    </xf>
  </cellStyleXfs>
  <cellXfs count="560">
    <xf numFmtId="0" fontId="0" fillId="0" borderId="0" xfId="0"/>
    <xf numFmtId="0" fontId="3" fillId="0" borderId="0" xfId="0" applyFont="1" applyAlignment="1">
      <alignment vertical="center"/>
    </xf>
    <xf numFmtId="0" fontId="4" fillId="0" borderId="0" xfId="0" applyFont="1" applyAlignment="1">
      <alignment horizontal="center" vertical="center"/>
    </xf>
    <xf numFmtId="0" fontId="7" fillId="0" borderId="5" xfId="0" applyFont="1" applyBorder="1" applyAlignment="1">
      <alignment horizontal="center" vertical="center"/>
    </xf>
    <xf numFmtId="38" fontId="10" fillId="0" borderId="8" xfId="1" applyFont="1" applyBorder="1" applyAlignment="1">
      <alignment vertical="center"/>
    </xf>
    <xf numFmtId="0" fontId="11" fillId="0" borderId="0" xfId="0" applyFont="1" applyAlignment="1">
      <alignment vertical="center"/>
    </xf>
    <xf numFmtId="0" fontId="7" fillId="0" borderId="3" xfId="0" applyFont="1" applyBorder="1" applyAlignment="1">
      <alignment horizontal="center" vertical="center"/>
    </xf>
    <xf numFmtId="0" fontId="7" fillId="0" borderId="6" xfId="0" applyFont="1" applyBorder="1" applyAlignment="1">
      <alignment horizontal="center" vertical="center"/>
    </xf>
    <xf numFmtId="0" fontId="3" fillId="0" borderId="14" xfId="0" applyFont="1" applyBorder="1" applyAlignment="1">
      <alignment vertical="center"/>
    </xf>
    <xf numFmtId="38" fontId="4" fillId="0" borderId="0" xfId="1" applyFont="1" applyBorder="1" applyAlignment="1">
      <alignment vertical="center"/>
    </xf>
    <xf numFmtId="38" fontId="3" fillId="0" borderId="0" xfId="0" applyNumberFormat="1" applyFont="1" applyAlignment="1">
      <alignment vertical="center"/>
    </xf>
    <xf numFmtId="0" fontId="3" fillId="0" borderId="19" xfId="0" applyFont="1" applyBorder="1" applyAlignment="1">
      <alignment vertical="center"/>
    </xf>
    <xf numFmtId="38" fontId="12" fillId="0" borderId="8" xfId="1" applyFont="1" applyBorder="1" applyAlignment="1">
      <alignment vertical="center"/>
    </xf>
    <xf numFmtId="38" fontId="12" fillId="0" borderId="9" xfId="1" applyFont="1" applyBorder="1" applyAlignment="1">
      <alignment vertical="center"/>
    </xf>
    <xf numFmtId="38" fontId="12" fillId="0" borderId="12" xfId="1" applyFont="1" applyBorder="1" applyAlignment="1">
      <alignment vertical="center"/>
    </xf>
    <xf numFmtId="0" fontId="7" fillId="0" borderId="20" xfId="0" applyFont="1" applyBorder="1" applyAlignment="1">
      <alignment horizontal="center" vertical="center"/>
    </xf>
    <xf numFmtId="38" fontId="12" fillId="2" borderId="20" xfId="1" applyFont="1" applyFill="1" applyBorder="1" applyAlignment="1">
      <alignment vertical="center"/>
    </xf>
    <xf numFmtId="38" fontId="12" fillId="0" borderId="20" xfId="1" applyFont="1" applyBorder="1" applyAlignment="1">
      <alignment vertical="center"/>
    </xf>
    <xf numFmtId="38" fontId="10" fillId="0" borderId="20" xfId="1" applyFont="1" applyBorder="1" applyAlignment="1">
      <alignment vertical="center"/>
    </xf>
    <xf numFmtId="177" fontId="3" fillId="0" borderId="20" xfId="2" applyNumberFormat="1" applyFont="1" applyBorder="1" applyAlignment="1">
      <alignment vertical="center"/>
    </xf>
    <xf numFmtId="38" fontId="10" fillId="2" borderId="7" xfId="1" applyFont="1" applyFill="1" applyBorder="1" applyAlignment="1">
      <alignment vertical="center"/>
    </xf>
    <xf numFmtId="38" fontId="12" fillId="0" borderId="21" xfId="1" applyFont="1" applyFill="1" applyBorder="1" applyAlignment="1">
      <alignment vertical="center"/>
    </xf>
    <xf numFmtId="38" fontId="10" fillId="0" borderId="21" xfId="1" applyFont="1" applyFill="1" applyBorder="1" applyAlignment="1">
      <alignment vertical="center"/>
    </xf>
    <xf numFmtId="177" fontId="6" fillId="3" borderId="20" xfId="2" applyNumberFormat="1" applyFont="1" applyFill="1" applyBorder="1" applyAlignment="1">
      <alignment vertical="center"/>
    </xf>
    <xf numFmtId="0" fontId="16" fillId="0" borderId="0" xfId="0" applyFont="1" applyAlignment="1">
      <alignment vertical="center"/>
    </xf>
    <xf numFmtId="0" fontId="16" fillId="0" borderId="0" xfId="0" applyFont="1" applyAlignment="1">
      <alignment horizontal="right" vertical="center"/>
    </xf>
    <xf numFmtId="0" fontId="3" fillId="5" borderId="0" xfId="0" applyFont="1" applyFill="1" applyAlignment="1">
      <alignment vertical="center"/>
    </xf>
    <xf numFmtId="0" fontId="13" fillId="0" borderId="0" xfId="0" applyFont="1" applyAlignment="1">
      <alignment vertical="center"/>
    </xf>
    <xf numFmtId="38" fontId="13" fillId="0" borderId="0" xfId="1" applyFont="1" applyFill="1" applyBorder="1" applyAlignment="1">
      <alignment vertical="center"/>
    </xf>
    <xf numFmtId="176" fontId="6" fillId="0" borderId="0" xfId="0" applyNumberFormat="1" applyFont="1" applyAlignment="1">
      <alignment vertical="center"/>
    </xf>
    <xf numFmtId="0" fontId="14" fillId="0" borderId="0" xfId="0" applyFont="1" applyAlignment="1">
      <alignment vertical="center"/>
    </xf>
    <xf numFmtId="0" fontId="3" fillId="0" borderId="20" xfId="0" applyFont="1" applyBorder="1" applyAlignment="1">
      <alignment horizontal="center" vertical="center"/>
    </xf>
    <xf numFmtId="176" fontId="10" fillId="3" borderId="20" xfId="0" applyNumberFormat="1" applyFont="1" applyFill="1" applyBorder="1" applyAlignment="1">
      <alignment vertical="center"/>
    </xf>
    <xf numFmtId="0" fontId="17" fillId="0" borderId="0" xfId="0" applyFont="1" applyAlignment="1">
      <alignment vertical="center"/>
    </xf>
    <xf numFmtId="0" fontId="19" fillId="0" borderId="0" xfId="0" applyFont="1" applyAlignment="1">
      <alignment vertical="center"/>
    </xf>
    <xf numFmtId="0" fontId="3" fillId="0" borderId="0" xfId="0" applyFont="1" applyAlignment="1">
      <alignment horizontal="center" vertical="center"/>
    </xf>
    <xf numFmtId="0" fontId="19" fillId="0" borderId="3" xfId="0" applyFont="1" applyBorder="1" applyAlignment="1">
      <alignment horizontal="center" vertical="center"/>
    </xf>
    <xf numFmtId="0" fontId="18" fillId="0" borderId="0" xfId="0" applyFont="1" applyAlignment="1">
      <alignment vertical="center"/>
    </xf>
    <xf numFmtId="0" fontId="15" fillId="5" borderId="0" xfId="0" applyFont="1" applyFill="1" applyAlignment="1">
      <alignment vertical="center"/>
    </xf>
    <xf numFmtId="0" fontId="19" fillId="5" borderId="0" xfId="0" applyFont="1" applyFill="1" applyAlignment="1">
      <alignment vertical="center"/>
    </xf>
    <xf numFmtId="0" fontId="7" fillId="0" borderId="4" xfId="0" applyFont="1" applyBorder="1" applyAlignment="1">
      <alignment horizontal="center" vertical="center"/>
    </xf>
    <xf numFmtId="0" fontId="21" fillId="0" borderId="0" xfId="0" applyFont="1" applyAlignment="1">
      <alignment vertical="center"/>
    </xf>
    <xf numFmtId="38" fontId="19" fillId="2" borderId="3" xfId="1" applyFont="1" applyFill="1" applyBorder="1" applyAlignment="1">
      <alignment vertical="center"/>
    </xf>
    <xf numFmtId="176" fontId="19" fillId="0" borderId="0" xfId="0" applyNumberFormat="1" applyFont="1" applyAlignment="1">
      <alignment vertical="center"/>
    </xf>
    <xf numFmtId="0" fontId="19" fillId="0" borderId="0" xfId="0" applyFont="1" applyAlignment="1">
      <alignment horizontal="center" vertical="center"/>
    </xf>
    <xf numFmtId="0" fontId="18" fillId="0" borderId="0" xfId="0" applyFont="1" applyAlignment="1">
      <alignment horizontal="center" vertical="center"/>
    </xf>
    <xf numFmtId="0" fontId="24" fillId="8" borderId="0" xfId="0" applyFont="1" applyFill="1" applyAlignment="1">
      <alignment vertical="center"/>
    </xf>
    <xf numFmtId="177" fontId="3" fillId="0" borderId="21" xfId="2" applyNumberFormat="1" applyFont="1" applyBorder="1" applyAlignment="1">
      <alignment vertical="center"/>
    </xf>
    <xf numFmtId="0" fontId="3" fillId="0" borderId="3" xfId="0" applyFont="1" applyBorder="1" applyAlignment="1">
      <alignment horizontal="center" vertical="center"/>
    </xf>
    <xf numFmtId="0" fontId="19" fillId="6" borderId="3" xfId="0" applyFont="1" applyFill="1" applyBorder="1" applyAlignment="1">
      <alignment vertical="center"/>
    </xf>
    <xf numFmtId="0" fontId="7" fillId="0" borderId="0" xfId="0" applyFont="1" applyAlignment="1">
      <alignment horizontal="center" vertical="center"/>
    </xf>
    <xf numFmtId="177" fontId="3" fillId="0" borderId="0" xfId="2" applyNumberFormat="1" applyFont="1" applyBorder="1" applyAlignment="1">
      <alignment vertical="center"/>
    </xf>
    <xf numFmtId="0" fontId="4" fillId="0" borderId="26" xfId="0" applyFont="1" applyBorder="1" applyAlignment="1">
      <alignment horizontal="center" vertical="center"/>
    </xf>
    <xf numFmtId="0" fontId="8" fillId="0" borderId="26" xfId="0" applyFont="1" applyBorder="1" applyAlignment="1">
      <alignment horizontal="center" vertical="center"/>
    </xf>
    <xf numFmtId="0" fontId="7" fillId="0" borderId="26" xfId="0" applyFont="1" applyBorder="1" applyAlignment="1">
      <alignment horizontal="center" vertical="center"/>
    </xf>
    <xf numFmtId="0" fontId="9" fillId="0" borderId="26" xfId="0" applyFont="1" applyBorder="1" applyAlignment="1">
      <alignment horizontal="center" vertical="center"/>
    </xf>
    <xf numFmtId="0" fontId="10" fillId="0" borderId="30" xfId="0" applyFont="1" applyBorder="1" applyAlignment="1">
      <alignment vertical="center"/>
    </xf>
    <xf numFmtId="38" fontId="18" fillId="0" borderId="31" xfId="1" applyFont="1" applyBorder="1" applyAlignment="1">
      <alignment vertical="center"/>
    </xf>
    <xf numFmtId="38" fontId="23" fillId="3" borderId="31" xfId="1" applyFont="1" applyFill="1" applyBorder="1" applyAlignment="1">
      <alignment vertical="center"/>
    </xf>
    <xf numFmtId="0" fontId="3" fillId="0" borderId="23" xfId="0" applyFont="1" applyBorder="1" applyAlignment="1">
      <alignment vertical="center"/>
    </xf>
    <xf numFmtId="38" fontId="24" fillId="0" borderId="35" xfId="0" applyNumberFormat="1" applyFont="1" applyBorder="1" applyAlignment="1">
      <alignment vertical="center"/>
    </xf>
    <xf numFmtId="0" fontId="25" fillId="0" borderId="34" xfId="0" applyFont="1" applyBorder="1" applyAlignment="1">
      <alignment horizontal="center" vertical="center"/>
    </xf>
    <xf numFmtId="0" fontId="3" fillId="0" borderId="14" xfId="0" applyFont="1" applyBorder="1" applyAlignment="1">
      <alignment horizontal="center" vertical="center"/>
    </xf>
    <xf numFmtId="0" fontId="5" fillId="0" borderId="0" xfId="0" applyFont="1" applyAlignment="1">
      <alignment horizontal="center" vertical="center"/>
    </xf>
    <xf numFmtId="0" fontId="7" fillId="0" borderId="36" xfId="0" applyFont="1" applyBorder="1" applyAlignment="1">
      <alignment horizontal="center" vertical="center"/>
    </xf>
    <xf numFmtId="38" fontId="12" fillId="0" borderId="37" xfId="1" applyFont="1" applyBorder="1" applyAlignment="1">
      <alignment vertical="center"/>
    </xf>
    <xf numFmtId="38" fontId="12" fillId="0" borderId="0" xfId="1" applyFont="1" applyFill="1" applyBorder="1" applyAlignment="1">
      <alignment vertical="center"/>
    </xf>
    <xf numFmtId="177" fontId="6" fillId="3" borderId="0" xfId="2" applyNumberFormat="1" applyFont="1" applyFill="1" applyBorder="1" applyAlignment="1">
      <alignment vertical="center"/>
    </xf>
    <xf numFmtId="38" fontId="12" fillId="0" borderId="0" xfId="1" applyFont="1" applyBorder="1" applyAlignment="1">
      <alignment vertical="center"/>
    </xf>
    <xf numFmtId="38" fontId="12" fillId="2" borderId="0" xfId="1" applyFont="1" applyFill="1" applyBorder="1" applyAlignment="1">
      <alignment vertical="center"/>
    </xf>
    <xf numFmtId="38" fontId="23" fillId="0" borderId="3" xfId="1" applyFont="1" applyBorder="1" applyAlignment="1">
      <alignment vertical="center"/>
    </xf>
    <xf numFmtId="38" fontId="23" fillId="3" borderId="32" xfId="0" applyNumberFormat="1" applyFont="1" applyFill="1" applyBorder="1" applyAlignment="1">
      <alignment vertical="center"/>
    </xf>
    <xf numFmtId="176" fontId="25" fillId="8" borderId="0" xfId="0" applyNumberFormat="1" applyFont="1" applyFill="1" applyAlignment="1">
      <alignment vertical="center"/>
    </xf>
    <xf numFmtId="38" fontId="26" fillId="0" borderId="3" xfId="1" applyFont="1" applyFill="1" applyBorder="1" applyAlignment="1">
      <alignment vertical="center"/>
    </xf>
    <xf numFmtId="0" fontId="28" fillId="0" borderId="39" xfId="0" applyFont="1" applyBorder="1" applyAlignment="1">
      <alignment horizontal="center" vertical="center"/>
    </xf>
    <xf numFmtId="0" fontId="24" fillId="0" borderId="3" xfId="0" applyFont="1" applyBorder="1" applyAlignment="1">
      <alignment horizontal="center" vertical="center"/>
    </xf>
    <xf numFmtId="38" fontId="24" fillId="0" borderId="3" xfId="0" applyNumberFormat="1" applyFont="1" applyBorder="1" applyAlignment="1">
      <alignment horizontal="center" vertical="center"/>
    </xf>
    <xf numFmtId="0" fontId="24" fillId="0" borderId="3" xfId="0" applyFont="1" applyBorder="1" applyAlignment="1">
      <alignment horizontal="center" vertical="center" wrapText="1"/>
    </xf>
    <xf numFmtId="0" fontId="18" fillId="0" borderId="26" xfId="0" applyFont="1" applyBorder="1" applyAlignment="1">
      <alignment horizontal="center" vertical="center"/>
    </xf>
    <xf numFmtId="0" fontId="18" fillId="0" borderId="3" xfId="0" applyFont="1" applyBorder="1" applyAlignment="1">
      <alignment horizontal="center" vertical="center"/>
    </xf>
    <xf numFmtId="0" fontId="25" fillId="0" borderId="0" xfId="0" applyFont="1" applyAlignment="1">
      <alignment vertical="center"/>
    </xf>
    <xf numFmtId="0" fontId="17" fillId="0" borderId="0" xfId="0" applyFont="1" applyAlignment="1">
      <alignment horizontal="left" vertical="center"/>
    </xf>
    <xf numFmtId="0" fontId="30" fillId="0" borderId="26" xfId="0" applyFont="1" applyBorder="1" applyAlignment="1">
      <alignment horizontal="center" vertical="center"/>
    </xf>
    <xf numFmtId="0" fontId="31" fillId="6" borderId="3" xfId="0" applyFont="1" applyFill="1" applyBorder="1" applyAlignment="1">
      <alignment vertical="center"/>
    </xf>
    <xf numFmtId="38" fontId="0" fillId="0" borderId="0" xfId="1" applyFont="1" applyAlignment="1"/>
    <xf numFmtId="0" fontId="0" fillId="0" borderId="0" xfId="0" applyAlignment="1">
      <alignment horizontal="center" vertical="center"/>
    </xf>
    <xf numFmtId="0" fontId="0" fillId="0" borderId="0" xfId="0" applyAlignment="1">
      <alignment horizontal="right" vertical="center"/>
    </xf>
    <xf numFmtId="0" fontId="33" fillId="0" borderId="0" xfId="0" applyFont="1" applyAlignment="1">
      <alignment vertical="center"/>
    </xf>
    <xf numFmtId="38" fontId="32" fillId="0" borderId="0" xfId="1" applyFont="1" applyAlignment="1">
      <alignment vertical="center"/>
    </xf>
    <xf numFmtId="0" fontId="32" fillId="0" borderId="0" xfId="0" applyFont="1" applyAlignment="1">
      <alignment horizontal="right" vertical="center"/>
    </xf>
    <xf numFmtId="38" fontId="0" fillId="0" borderId="3" xfId="1" applyFont="1" applyBorder="1" applyAlignment="1">
      <alignment horizontal="right" vertical="center"/>
    </xf>
    <xf numFmtId="0" fontId="32" fillId="0" borderId="0" xfId="0" applyFont="1" applyAlignment="1">
      <alignment horizontal="left" vertical="center"/>
    </xf>
    <xf numFmtId="0" fontId="0" fillId="10" borderId="40" xfId="0" applyFill="1" applyBorder="1" applyAlignment="1">
      <alignment horizontal="center" vertical="center"/>
    </xf>
    <xf numFmtId="0" fontId="0" fillId="0" borderId="41" xfId="0" applyBorder="1" applyAlignment="1">
      <alignment horizontal="right" vertical="center"/>
    </xf>
    <xf numFmtId="0" fontId="32" fillId="3" borderId="43" xfId="0" applyFont="1" applyFill="1" applyBorder="1" applyAlignment="1">
      <alignment horizontal="right" vertical="center"/>
    </xf>
    <xf numFmtId="38" fontId="32" fillId="3" borderId="44" xfId="1" applyFont="1" applyFill="1" applyBorder="1" applyAlignment="1">
      <alignment horizontal="right" vertical="center"/>
    </xf>
    <xf numFmtId="177" fontId="32" fillId="3" borderId="45" xfId="2" applyNumberFormat="1" applyFont="1" applyFill="1" applyBorder="1" applyAlignment="1">
      <alignment horizontal="right" vertical="center"/>
    </xf>
    <xf numFmtId="0" fontId="3" fillId="0" borderId="15" xfId="0" applyFont="1" applyBorder="1" applyAlignment="1">
      <alignment horizontal="center" vertical="center"/>
    </xf>
    <xf numFmtId="38" fontId="20" fillId="0" borderId="3" xfId="0" applyNumberFormat="1" applyFont="1" applyBorder="1" applyAlignment="1">
      <alignment horizontal="right" vertical="center" wrapText="1"/>
    </xf>
    <xf numFmtId="0" fontId="20" fillId="0" borderId="3" xfId="0" applyFont="1" applyBorder="1" applyAlignment="1">
      <alignment horizontal="center" vertical="center" wrapText="1"/>
    </xf>
    <xf numFmtId="38" fontId="20" fillId="0" borderId="27" xfId="1" applyFont="1" applyBorder="1" applyAlignment="1">
      <alignment horizontal="center" vertical="center" wrapText="1"/>
    </xf>
    <xf numFmtId="0" fontId="35" fillId="0" borderId="26" xfId="0" applyFont="1" applyBorder="1" applyAlignment="1">
      <alignment horizontal="center" vertical="center"/>
    </xf>
    <xf numFmtId="0" fontId="35" fillId="0" borderId="3" xfId="0" applyFont="1" applyBorder="1" applyAlignment="1">
      <alignment horizontal="center" vertical="center"/>
    </xf>
    <xf numFmtId="0" fontId="35" fillId="0" borderId="4" xfId="0" applyFont="1" applyBorder="1" applyAlignment="1">
      <alignment horizontal="center" vertical="center"/>
    </xf>
    <xf numFmtId="0" fontId="35" fillId="0" borderId="27" xfId="0" applyFont="1" applyBorder="1" applyAlignment="1">
      <alignment horizontal="center" vertical="center"/>
    </xf>
    <xf numFmtId="0" fontId="36" fillId="0" borderId="26" xfId="0" applyFont="1" applyBorder="1" applyAlignment="1">
      <alignment horizontal="center" vertical="center"/>
    </xf>
    <xf numFmtId="38" fontId="35" fillId="0" borderId="3" xfId="1" applyFont="1" applyBorder="1" applyAlignment="1">
      <alignment vertical="center"/>
    </xf>
    <xf numFmtId="38" fontId="35" fillId="0" borderId="3" xfId="1" applyFont="1" applyFill="1" applyBorder="1" applyAlignment="1">
      <alignment vertical="center"/>
    </xf>
    <xf numFmtId="38" fontId="26" fillId="0" borderId="3" xfId="1" applyFont="1" applyBorder="1" applyAlignment="1">
      <alignment vertical="center"/>
    </xf>
    <xf numFmtId="38" fontId="35" fillId="0" borderId="4" xfId="1" applyFont="1" applyBorder="1" applyAlignment="1">
      <alignment vertical="center"/>
    </xf>
    <xf numFmtId="38" fontId="26" fillId="0" borderId="27" xfId="0" applyNumberFormat="1" applyFont="1" applyBorder="1" applyAlignment="1">
      <alignment vertical="center"/>
    </xf>
    <xf numFmtId="0" fontId="37" fillId="0" borderId="26" xfId="0" applyFont="1" applyBorder="1" applyAlignment="1">
      <alignment horizontal="center" vertical="center"/>
    </xf>
    <xf numFmtId="0" fontId="26" fillId="0" borderId="26" xfId="0" applyFont="1" applyBorder="1" applyAlignment="1">
      <alignment horizontal="center" vertical="center"/>
    </xf>
    <xf numFmtId="0" fontId="26" fillId="0" borderId="3" xfId="0" applyFont="1" applyBorder="1" applyAlignment="1">
      <alignment horizontal="center" vertical="center"/>
    </xf>
    <xf numFmtId="38" fontId="26" fillId="0" borderId="4" xfId="1" applyFont="1" applyBorder="1" applyAlignment="1">
      <alignment vertical="center"/>
    </xf>
    <xf numFmtId="38" fontId="35" fillId="2" borderId="3" xfId="1" applyFont="1" applyFill="1" applyBorder="1" applyAlignment="1">
      <alignment vertical="center"/>
    </xf>
    <xf numFmtId="0" fontId="26" fillId="3" borderId="30" xfId="0" applyFont="1" applyFill="1" applyBorder="1" applyAlignment="1">
      <alignment vertical="center"/>
    </xf>
    <xf numFmtId="38" fontId="26" fillId="3" borderId="31" xfId="1" applyFont="1" applyFill="1" applyBorder="1" applyAlignment="1">
      <alignment vertical="center"/>
    </xf>
    <xf numFmtId="38" fontId="35" fillId="0" borderId="3" xfId="0" applyNumberFormat="1" applyFont="1" applyBorder="1" applyAlignment="1">
      <alignment vertical="center"/>
    </xf>
    <xf numFmtId="38" fontId="22" fillId="0" borderId="3" xfId="1" applyFont="1" applyBorder="1" applyAlignment="1">
      <alignment vertical="center"/>
    </xf>
    <xf numFmtId="38" fontId="22" fillId="0" borderId="3" xfId="1" applyFont="1" applyFill="1" applyBorder="1" applyAlignment="1">
      <alignment vertical="center"/>
    </xf>
    <xf numFmtId="38" fontId="22" fillId="0" borderId="4" xfId="1" applyFont="1" applyBorder="1" applyAlignment="1">
      <alignment vertical="center"/>
    </xf>
    <xf numFmtId="38" fontId="22" fillId="0" borderId="27" xfId="0" applyNumberFormat="1" applyFont="1" applyBorder="1" applyAlignment="1">
      <alignment vertical="center"/>
    </xf>
    <xf numFmtId="38" fontId="24" fillId="0" borderId="0" xfId="1" applyFont="1" applyAlignment="1">
      <alignment vertical="center"/>
    </xf>
    <xf numFmtId="177" fontId="24" fillId="0" borderId="0" xfId="2" applyNumberFormat="1" applyFont="1" applyAlignment="1">
      <alignment vertical="center"/>
    </xf>
    <xf numFmtId="38" fontId="22" fillId="0" borderId="3" xfId="0" applyNumberFormat="1" applyFont="1" applyBorder="1" applyAlignment="1">
      <alignment horizontal="right" vertical="center" wrapText="1"/>
    </xf>
    <xf numFmtId="38" fontId="22" fillId="0" borderId="27" xfId="1" applyFont="1" applyBorder="1" applyAlignment="1">
      <alignment horizontal="right" vertical="center" wrapText="1"/>
    </xf>
    <xf numFmtId="0" fontId="22" fillId="0" borderId="3" xfId="0" applyFont="1" applyBorder="1" applyAlignment="1">
      <alignment horizontal="center" vertical="center" wrapText="1"/>
    </xf>
    <xf numFmtId="38" fontId="16" fillId="0" borderId="0" xfId="0" applyNumberFormat="1" applyFont="1" applyAlignment="1">
      <alignment vertical="center"/>
    </xf>
    <xf numFmtId="0" fontId="22" fillId="0" borderId="0" xfId="0" applyFont="1" applyAlignment="1">
      <alignment horizontal="right" vertical="center"/>
    </xf>
    <xf numFmtId="0" fontId="25" fillId="0" borderId="0" xfId="0" applyFont="1" applyAlignment="1">
      <alignment horizontal="right" vertical="center"/>
    </xf>
    <xf numFmtId="0" fontId="38" fillId="0" borderId="0" xfId="0" applyFont="1" applyAlignment="1">
      <alignment vertical="center"/>
    </xf>
    <xf numFmtId="0" fontId="39" fillId="0" borderId="0" xfId="0" applyFont="1"/>
    <xf numFmtId="38" fontId="35" fillId="0" borderId="27" xfId="1" applyFont="1" applyFill="1" applyBorder="1" applyAlignment="1">
      <alignment vertical="center"/>
    </xf>
    <xf numFmtId="38" fontId="22" fillId="3" borderId="31" xfId="1" applyFont="1" applyFill="1" applyBorder="1" applyAlignment="1">
      <alignment vertical="center"/>
    </xf>
    <xf numFmtId="38" fontId="0" fillId="3" borderId="44" xfId="1" applyFont="1" applyFill="1" applyBorder="1" applyAlignment="1">
      <alignment horizontal="right" vertical="center"/>
    </xf>
    <xf numFmtId="177" fontId="32" fillId="0" borderId="3" xfId="2" applyNumberFormat="1" applyFont="1" applyBorder="1" applyAlignment="1">
      <alignment horizontal="right" vertical="center"/>
    </xf>
    <xf numFmtId="177" fontId="32" fillId="0" borderId="4" xfId="2" applyNumberFormat="1" applyFont="1" applyBorder="1" applyAlignment="1">
      <alignment horizontal="right" vertical="center"/>
    </xf>
    <xf numFmtId="38" fontId="32" fillId="11" borderId="41" xfId="0" applyNumberFormat="1" applyFont="1" applyFill="1" applyBorder="1" applyAlignment="1">
      <alignment horizontal="right" vertical="center"/>
    </xf>
    <xf numFmtId="38" fontId="32" fillId="12" borderId="38" xfId="1" applyFont="1" applyFill="1" applyBorder="1" applyAlignment="1">
      <alignment horizontal="right" vertical="center"/>
    </xf>
    <xf numFmtId="38" fontId="32" fillId="7" borderId="3" xfId="1" applyFont="1" applyFill="1" applyBorder="1" applyAlignment="1">
      <alignment horizontal="right" vertical="center"/>
    </xf>
    <xf numFmtId="38" fontId="40" fillId="3" borderId="43" xfId="0" applyNumberFormat="1" applyFont="1" applyFill="1" applyBorder="1" applyAlignment="1">
      <alignment horizontal="right" vertical="center"/>
    </xf>
    <xf numFmtId="56" fontId="42" fillId="3" borderId="0" xfId="0" applyNumberFormat="1" applyFont="1" applyFill="1" applyAlignment="1">
      <alignment horizontal="right" vertical="center"/>
    </xf>
    <xf numFmtId="0" fontId="33" fillId="0" borderId="46" xfId="0" applyFont="1" applyBorder="1" applyAlignment="1">
      <alignment vertical="center"/>
    </xf>
    <xf numFmtId="38" fontId="32" fillId="3" borderId="47" xfId="0" applyNumberFormat="1" applyFont="1" applyFill="1" applyBorder="1" applyAlignment="1">
      <alignment horizontal="right" vertical="center"/>
    </xf>
    <xf numFmtId="38" fontId="33" fillId="10" borderId="49" xfId="1" applyFont="1" applyFill="1" applyBorder="1" applyAlignment="1">
      <alignment horizontal="center" vertical="center"/>
    </xf>
    <xf numFmtId="0" fontId="0" fillId="10" borderId="49" xfId="0" applyFill="1" applyBorder="1" applyAlignment="1">
      <alignment horizontal="center" vertical="center"/>
    </xf>
    <xf numFmtId="0" fontId="34" fillId="10" borderId="49" xfId="0" applyFont="1" applyFill="1" applyBorder="1" applyAlignment="1">
      <alignment horizontal="center" vertical="center"/>
    </xf>
    <xf numFmtId="0" fontId="0" fillId="10" borderId="50" xfId="0" applyFill="1" applyBorder="1" applyAlignment="1">
      <alignment horizontal="center" vertical="center"/>
    </xf>
    <xf numFmtId="0" fontId="33" fillId="10" borderId="51" xfId="0" applyFont="1" applyFill="1" applyBorder="1" applyAlignment="1">
      <alignment horizontal="center" vertical="center"/>
    </xf>
    <xf numFmtId="0" fontId="0" fillId="10" borderId="52" xfId="0" applyFill="1" applyBorder="1" applyAlignment="1">
      <alignment horizontal="center" vertical="center"/>
    </xf>
    <xf numFmtId="0" fontId="33" fillId="10" borderId="53" xfId="0" applyFont="1" applyFill="1" applyBorder="1" applyAlignment="1">
      <alignment horizontal="center" vertical="center"/>
    </xf>
    <xf numFmtId="0" fontId="39" fillId="10" borderId="50" xfId="0" applyFont="1" applyFill="1" applyBorder="1" applyAlignment="1">
      <alignment horizontal="center" vertical="center"/>
    </xf>
    <xf numFmtId="0" fontId="43" fillId="0" borderId="0" xfId="0" applyFont="1" applyAlignment="1">
      <alignment vertical="center"/>
    </xf>
    <xf numFmtId="177" fontId="32" fillId="3" borderId="48" xfId="2" applyNumberFormat="1" applyFont="1" applyFill="1" applyBorder="1" applyAlignment="1">
      <alignment horizontal="right" vertical="center"/>
    </xf>
    <xf numFmtId="177" fontId="40" fillId="3" borderId="44" xfId="2" applyNumberFormat="1" applyFont="1" applyFill="1" applyBorder="1" applyAlignment="1">
      <alignment horizontal="right" vertical="center"/>
    </xf>
    <xf numFmtId="38" fontId="40" fillId="3" borderId="44" xfId="0" applyNumberFormat="1" applyFont="1" applyFill="1" applyBorder="1" applyAlignment="1">
      <alignment horizontal="right" vertical="center"/>
    </xf>
    <xf numFmtId="38" fontId="41" fillId="3" borderId="45" xfId="0" applyNumberFormat="1" applyFont="1" applyFill="1" applyBorder="1" applyAlignment="1">
      <alignment horizontal="right" vertical="center"/>
    </xf>
    <xf numFmtId="38" fontId="32" fillId="3" borderId="47" xfId="1" applyFont="1" applyFill="1" applyBorder="1" applyAlignment="1">
      <alignment horizontal="right" vertical="center"/>
    </xf>
    <xf numFmtId="38" fontId="0" fillId="0" borderId="42" xfId="1" applyFont="1" applyBorder="1" applyAlignment="1">
      <alignment horizontal="right" vertical="center"/>
    </xf>
    <xf numFmtId="38" fontId="32" fillId="3" borderId="45" xfId="1" applyFont="1" applyFill="1" applyBorder="1" applyAlignment="1">
      <alignment horizontal="right" vertical="center"/>
    </xf>
    <xf numFmtId="0" fontId="34" fillId="10" borderId="51" xfId="0" applyFont="1" applyFill="1" applyBorder="1" applyAlignment="1">
      <alignment horizontal="center" vertical="center"/>
    </xf>
    <xf numFmtId="38" fontId="42" fillId="0" borderId="3" xfId="0" applyNumberFormat="1" applyFont="1" applyBorder="1" applyAlignment="1">
      <alignment horizontal="right" vertical="center"/>
    </xf>
    <xf numFmtId="177" fontId="42" fillId="0" borderId="3" xfId="2" applyNumberFormat="1" applyFont="1" applyBorder="1" applyAlignment="1">
      <alignment horizontal="right" vertical="center"/>
    </xf>
    <xf numFmtId="38" fontId="42" fillId="8" borderId="3" xfId="0" applyNumberFormat="1" applyFont="1" applyFill="1" applyBorder="1" applyAlignment="1">
      <alignment horizontal="right" vertical="center"/>
    </xf>
    <xf numFmtId="2" fontId="35" fillId="0" borderId="0" xfId="0" applyNumberFormat="1" applyFont="1" applyAlignment="1">
      <alignment vertical="center"/>
    </xf>
    <xf numFmtId="2" fontId="35" fillId="0" borderId="4" xfId="1" applyNumberFormat="1" applyFont="1" applyBorder="1" applyAlignment="1">
      <alignment vertical="center"/>
    </xf>
    <xf numFmtId="2" fontId="46" fillId="0" borderId="4" xfId="1" applyNumberFormat="1" applyFont="1" applyBorder="1" applyAlignment="1">
      <alignment vertical="center"/>
    </xf>
    <xf numFmtId="2" fontId="23" fillId="0" borderId="4" xfId="1" applyNumberFormat="1" applyFont="1" applyBorder="1" applyAlignment="1">
      <alignment vertical="center"/>
    </xf>
    <xf numFmtId="2" fontId="26" fillId="0" borderId="4" xfId="1" applyNumberFormat="1" applyFont="1" applyBorder="1" applyAlignment="1">
      <alignment vertical="center"/>
    </xf>
    <xf numFmtId="2" fontId="35" fillId="0" borderId="3" xfId="1" applyNumberFormat="1" applyFont="1" applyFill="1" applyBorder="1" applyAlignment="1">
      <alignment vertical="center"/>
    </xf>
    <xf numFmtId="2" fontId="26" fillId="3" borderId="31" xfId="1" applyNumberFormat="1" applyFont="1" applyFill="1" applyBorder="1" applyAlignment="1">
      <alignment vertical="center"/>
    </xf>
    <xf numFmtId="2" fontId="26" fillId="0" borderId="0" xfId="1" applyNumberFormat="1" applyFont="1" applyFill="1" applyBorder="1" applyAlignment="1">
      <alignment vertical="center"/>
    </xf>
    <xf numFmtId="2" fontId="35" fillId="5" borderId="0" xfId="0" applyNumberFormat="1" applyFont="1" applyFill="1" applyAlignment="1">
      <alignment vertical="center"/>
    </xf>
    <xf numFmtId="2" fontId="35" fillId="0" borderId="14" xfId="0" applyNumberFormat="1" applyFont="1" applyBorder="1" applyAlignment="1">
      <alignment horizontal="center" vertical="center"/>
    </xf>
    <xf numFmtId="2" fontId="26" fillId="0" borderId="0" xfId="0" applyNumberFormat="1" applyFont="1" applyAlignment="1">
      <alignment horizontal="center" vertical="center"/>
    </xf>
    <xf numFmtId="2" fontId="35" fillId="0" borderId="36" xfId="0" applyNumberFormat="1" applyFont="1" applyBorder="1" applyAlignment="1">
      <alignment horizontal="center" vertical="center"/>
    </xf>
    <xf numFmtId="2" fontId="35" fillId="0" borderId="37" xfId="1" applyNumberFormat="1" applyFont="1" applyBorder="1" applyAlignment="1">
      <alignment vertical="center"/>
    </xf>
    <xf numFmtId="2" fontId="35" fillId="0" borderId="0" xfId="0" applyNumberFormat="1" applyFont="1" applyAlignment="1">
      <alignment horizontal="center" vertical="center"/>
    </xf>
    <xf numFmtId="2" fontId="35" fillId="0" borderId="0" xfId="1" applyNumberFormat="1" applyFont="1" applyFill="1" applyBorder="1" applyAlignment="1">
      <alignment vertical="center"/>
    </xf>
    <xf numFmtId="2" fontId="26" fillId="3" borderId="0" xfId="2" applyNumberFormat="1" applyFont="1" applyFill="1" applyBorder="1" applyAlignment="1">
      <alignment vertical="center"/>
    </xf>
    <xf numFmtId="2" fontId="35" fillId="0" borderId="0" xfId="1" applyNumberFormat="1" applyFont="1" applyBorder="1" applyAlignment="1">
      <alignment vertical="center"/>
    </xf>
    <xf numFmtId="2" fontId="35" fillId="2" borderId="0" xfId="1" applyNumberFormat="1" applyFont="1" applyFill="1" applyBorder="1" applyAlignment="1">
      <alignment vertical="center"/>
    </xf>
    <xf numFmtId="2" fontId="35" fillId="0" borderId="0" xfId="2" applyNumberFormat="1" applyFont="1" applyBorder="1" applyAlignment="1">
      <alignment vertical="center"/>
    </xf>
    <xf numFmtId="2" fontId="26" fillId="0" borderId="34" xfId="0" applyNumberFormat="1" applyFont="1" applyBorder="1" applyAlignment="1">
      <alignment horizontal="center" vertical="center"/>
    </xf>
    <xf numFmtId="2" fontId="26" fillId="0" borderId="0" xfId="0" applyNumberFormat="1" applyFont="1" applyAlignment="1">
      <alignment vertical="center"/>
    </xf>
    <xf numFmtId="40" fontId="16" fillId="0" borderId="0" xfId="0" applyNumberFormat="1" applyFont="1" applyAlignment="1">
      <alignment vertical="center"/>
    </xf>
    <xf numFmtId="40" fontId="35" fillId="0" borderId="4" xfId="1" applyNumberFormat="1" applyFont="1" applyBorder="1" applyAlignment="1">
      <alignment vertical="center"/>
    </xf>
    <xf numFmtId="40" fontId="26" fillId="0" borderId="4" xfId="1" applyNumberFormat="1" applyFont="1" applyBorder="1" applyAlignment="1">
      <alignment vertical="center"/>
    </xf>
    <xf numFmtId="40" fontId="22" fillId="0" borderId="4" xfId="1" applyNumberFormat="1" applyFont="1" applyBorder="1" applyAlignment="1">
      <alignment vertical="center"/>
    </xf>
    <xf numFmtId="40" fontId="35" fillId="0" borderId="3" xfId="1" applyNumberFormat="1" applyFont="1" applyFill="1" applyBorder="1" applyAlignment="1">
      <alignment vertical="center"/>
    </xf>
    <xf numFmtId="40" fontId="22" fillId="3" borderId="31" xfId="1" applyNumberFormat="1" applyFont="1" applyFill="1" applyBorder="1" applyAlignment="1">
      <alignment vertical="center"/>
    </xf>
    <xf numFmtId="40" fontId="13" fillId="0" borderId="0" xfId="1" applyNumberFormat="1" applyFont="1" applyFill="1" applyBorder="1" applyAlignment="1">
      <alignment vertical="center"/>
    </xf>
    <xf numFmtId="40" fontId="3" fillId="5" borderId="0" xfId="0" applyNumberFormat="1" applyFont="1" applyFill="1" applyAlignment="1">
      <alignment vertical="center"/>
    </xf>
    <xf numFmtId="40" fontId="3" fillId="0" borderId="14" xfId="0" applyNumberFormat="1" applyFont="1" applyBorder="1" applyAlignment="1">
      <alignment horizontal="center" vertical="center"/>
    </xf>
    <xf numFmtId="40" fontId="5" fillId="0" borderId="0" xfId="0" applyNumberFormat="1" applyFont="1" applyAlignment="1">
      <alignment horizontal="center" vertical="center"/>
    </xf>
    <xf numFmtId="40" fontId="7" fillId="0" borderId="36" xfId="0" applyNumberFormat="1" applyFont="1" applyBorder="1" applyAlignment="1">
      <alignment horizontal="center" vertical="center"/>
    </xf>
    <xf numFmtId="40" fontId="12" fillId="0" borderId="37" xfId="1" applyNumberFormat="1" applyFont="1" applyBorder="1" applyAlignment="1">
      <alignment vertical="center"/>
    </xf>
    <xf numFmtId="40" fontId="3" fillId="0" borderId="0" xfId="0" applyNumberFormat="1" applyFont="1" applyAlignment="1">
      <alignment vertical="center"/>
    </xf>
    <xf numFmtId="40" fontId="7" fillId="0" borderId="0" xfId="0" applyNumberFormat="1" applyFont="1" applyAlignment="1">
      <alignment horizontal="center" vertical="center"/>
    </xf>
    <xf numFmtId="40" fontId="12" fillId="0" borderId="0" xfId="1" applyNumberFormat="1" applyFont="1" applyFill="1" applyBorder="1" applyAlignment="1">
      <alignment vertical="center"/>
    </xf>
    <xf numFmtId="40" fontId="6" fillId="3" borderId="0" xfId="2" applyNumberFormat="1" applyFont="1" applyFill="1" applyBorder="1" applyAlignment="1">
      <alignment vertical="center"/>
    </xf>
    <xf numFmtId="40" fontId="12" fillId="0" borderId="0" xfId="1" applyNumberFormat="1" applyFont="1" applyBorder="1" applyAlignment="1">
      <alignment vertical="center"/>
    </xf>
    <xf numFmtId="40" fontId="12" fillId="2" borderId="0" xfId="1" applyNumberFormat="1" applyFont="1" applyFill="1" applyBorder="1" applyAlignment="1">
      <alignment vertical="center"/>
    </xf>
    <xf numFmtId="40" fontId="3" fillId="0" borderId="0" xfId="2" applyNumberFormat="1" applyFont="1" applyBorder="1" applyAlignment="1">
      <alignment vertical="center"/>
    </xf>
    <xf numFmtId="40" fontId="25" fillId="0" borderId="34" xfId="0" applyNumberFormat="1" applyFont="1" applyBorder="1" applyAlignment="1">
      <alignment horizontal="center" vertical="center"/>
    </xf>
    <xf numFmtId="40" fontId="25" fillId="0" borderId="0" xfId="0" applyNumberFormat="1" applyFont="1" applyAlignment="1">
      <alignment vertical="center"/>
    </xf>
    <xf numFmtId="10" fontId="24" fillId="0" borderId="0" xfId="2" applyNumberFormat="1" applyFont="1" applyAlignment="1">
      <alignment vertical="center"/>
    </xf>
    <xf numFmtId="38" fontId="0" fillId="0" borderId="0" xfId="0" applyNumberFormat="1"/>
    <xf numFmtId="177" fontId="0" fillId="0" borderId="0" xfId="2" applyNumberFormat="1" applyFont="1" applyAlignment="1"/>
    <xf numFmtId="0" fontId="0" fillId="0" borderId="0" xfId="0" applyAlignment="1">
      <alignment horizontal="right"/>
    </xf>
    <xf numFmtId="38" fontId="47" fillId="0" borderId="0" xfId="1" applyFont="1" applyAlignment="1"/>
    <xf numFmtId="178" fontId="35" fillId="0" borderId="4" xfId="1" applyNumberFormat="1" applyFont="1" applyBorder="1" applyAlignment="1">
      <alignment vertical="center"/>
    </xf>
    <xf numFmtId="178" fontId="26" fillId="0" borderId="4" xfId="1" applyNumberFormat="1" applyFont="1" applyBorder="1" applyAlignment="1">
      <alignment vertical="center"/>
    </xf>
    <xf numFmtId="38" fontId="42" fillId="8" borderId="3" xfId="0" quotePrefix="1" applyNumberFormat="1" applyFont="1" applyFill="1" applyBorder="1" applyAlignment="1">
      <alignment horizontal="right" vertical="center"/>
    </xf>
    <xf numFmtId="0" fontId="42" fillId="8" borderId="3" xfId="0" applyFont="1" applyFill="1" applyBorder="1" applyAlignment="1">
      <alignment horizontal="right" vertical="center"/>
    </xf>
    <xf numFmtId="38" fontId="45" fillId="3" borderId="42" xfId="0" applyNumberFormat="1" applyFont="1" applyFill="1" applyBorder="1" applyAlignment="1">
      <alignment horizontal="right" vertical="center"/>
    </xf>
    <xf numFmtId="38" fontId="32" fillId="0" borderId="38" xfId="1" applyFont="1" applyBorder="1" applyAlignment="1">
      <alignment horizontal="right" vertical="center"/>
    </xf>
    <xf numFmtId="38" fontId="32" fillId="0" borderId="3" xfId="1" applyFont="1" applyBorder="1" applyAlignment="1">
      <alignment horizontal="right" vertical="center"/>
    </xf>
    <xf numFmtId="177" fontId="32" fillId="0" borderId="42" xfId="2" applyNumberFormat="1" applyFont="1" applyBorder="1" applyAlignment="1">
      <alignment horizontal="right" vertical="center"/>
    </xf>
    <xf numFmtId="38" fontId="0" fillId="0" borderId="0" xfId="1" applyFont="1" applyAlignment="1">
      <alignment horizontal="right" vertical="center"/>
    </xf>
    <xf numFmtId="38" fontId="32" fillId="0" borderId="0" xfId="1" applyFont="1" applyAlignment="1">
      <alignment horizontal="right" vertical="center"/>
    </xf>
    <xf numFmtId="38" fontId="33" fillId="0" borderId="0" xfId="1" applyFont="1" applyAlignment="1">
      <alignment horizontal="right" vertical="center"/>
    </xf>
    <xf numFmtId="38" fontId="0" fillId="0" borderId="0" xfId="1" applyFont="1" applyAlignment="1">
      <alignment horizontal="right"/>
    </xf>
    <xf numFmtId="38" fontId="32" fillId="0" borderId="0" xfId="0" applyNumberFormat="1" applyFont="1" applyAlignment="1">
      <alignment horizontal="right" vertical="center"/>
    </xf>
    <xf numFmtId="38" fontId="39" fillId="0" borderId="0" xfId="0" applyNumberFormat="1" applyFont="1"/>
    <xf numFmtId="176" fontId="38" fillId="0" borderId="41" xfId="0" applyNumberFormat="1" applyFont="1" applyBorder="1" applyAlignment="1">
      <alignment horizontal="right" vertical="center"/>
    </xf>
    <xf numFmtId="0" fontId="0" fillId="0" borderId="3" xfId="0" applyBorder="1" applyAlignment="1">
      <alignment horizontal="right" vertical="center"/>
    </xf>
    <xf numFmtId="38" fontId="0" fillId="0" borderId="42" xfId="0" applyNumberFormat="1" applyBorder="1" applyAlignment="1">
      <alignment horizontal="right" vertical="center"/>
    </xf>
    <xf numFmtId="176" fontId="38" fillId="0" borderId="43" xfId="0" applyNumberFormat="1" applyFont="1" applyBorder="1" applyAlignment="1">
      <alignment horizontal="right" vertical="center"/>
    </xf>
    <xf numFmtId="0" fontId="32" fillId="0" borderId="44" xfId="0" applyFont="1" applyBorder="1" applyAlignment="1">
      <alignment horizontal="right" vertical="center"/>
    </xf>
    <xf numFmtId="38" fontId="0" fillId="0" borderId="45" xfId="0" applyNumberFormat="1" applyBorder="1" applyAlignment="1">
      <alignment horizontal="right" vertical="center"/>
    </xf>
    <xf numFmtId="0" fontId="39" fillId="0" borderId="53" xfId="0" applyFont="1" applyBorder="1" applyAlignment="1">
      <alignment horizontal="center" vertical="center"/>
    </xf>
    <xf numFmtId="0" fontId="0" fillId="0" borderId="49" xfId="0" applyBorder="1" applyAlignment="1">
      <alignment horizontal="center" vertical="center"/>
    </xf>
    <xf numFmtId="0" fontId="48" fillId="0" borderId="49" xfId="0" applyFont="1" applyBorder="1" applyAlignment="1">
      <alignment horizontal="center" vertical="center"/>
    </xf>
    <xf numFmtId="0" fontId="48" fillId="0" borderId="50" xfId="0" applyFont="1" applyBorder="1" applyAlignment="1">
      <alignment horizontal="center" vertical="center"/>
    </xf>
    <xf numFmtId="0" fontId="0" fillId="0" borderId="40" xfId="0" applyBorder="1" applyAlignment="1">
      <alignment horizontal="center" vertical="center"/>
    </xf>
    <xf numFmtId="0" fontId="0" fillId="0" borderId="60" xfId="0" applyBorder="1" applyAlignment="1">
      <alignment horizontal="center" vertical="center"/>
    </xf>
    <xf numFmtId="38" fontId="0" fillId="0" borderId="41" xfId="1" applyFont="1" applyBorder="1" applyAlignment="1">
      <alignment horizontal="right" vertical="center"/>
    </xf>
    <xf numFmtId="38" fontId="32" fillId="0" borderId="41" xfId="1" applyFont="1" applyBorder="1" applyAlignment="1">
      <alignment horizontal="right" vertical="center"/>
    </xf>
    <xf numFmtId="38" fontId="32" fillId="0" borderId="45" xfId="1" applyFont="1" applyBorder="1" applyAlignment="1">
      <alignment horizontal="right" vertical="center"/>
    </xf>
    <xf numFmtId="38" fontId="0" fillId="0" borderId="43" xfId="1" applyFont="1" applyBorder="1" applyAlignment="1">
      <alignment horizontal="right" vertical="center"/>
    </xf>
    <xf numFmtId="0" fontId="3" fillId="0" borderId="3" xfId="0" applyFont="1" applyBorder="1" applyAlignment="1">
      <alignment vertical="center"/>
    </xf>
    <xf numFmtId="179" fontId="3" fillId="0" borderId="3" xfId="0" applyNumberFormat="1" applyFont="1" applyBorder="1" applyAlignment="1">
      <alignment vertical="center"/>
    </xf>
    <xf numFmtId="179" fontId="3" fillId="0" borderId="65" xfId="0" applyNumberFormat="1" applyFont="1" applyBorder="1" applyAlignment="1">
      <alignment vertical="center"/>
    </xf>
    <xf numFmtId="0" fontId="3" fillId="0" borderId="65" xfId="0" applyFont="1" applyBorder="1" applyAlignment="1">
      <alignment vertical="center"/>
    </xf>
    <xf numFmtId="179" fontId="3" fillId="0" borderId="61" xfId="0" applyNumberFormat="1" applyFont="1" applyBorder="1" applyAlignment="1">
      <alignment vertical="center"/>
    </xf>
    <xf numFmtId="176" fontId="3" fillId="0" borderId="3" xfId="0" applyNumberFormat="1" applyFont="1" applyBorder="1" applyAlignment="1">
      <alignment vertical="center"/>
    </xf>
    <xf numFmtId="176" fontId="3" fillId="0" borderId="65" xfId="0" applyNumberFormat="1" applyFont="1" applyBorder="1" applyAlignment="1">
      <alignment vertical="center"/>
    </xf>
    <xf numFmtId="0" fontId="3" fillId="9" borderId="3" xfId="0" applyFont="1" applyFill="1" applyBorder="1" applyAlignment="1">
      <alignment vertical="center"/>
    </xf>
    <xf numFmtId="179" fontId="3" fillId="9" borderId="3" xfId="0" applyNumberFormat="1" applyFont="1" applyFill="1" applyBorder="1" applyAlignment="1">
      <alignment vertical="center"/>
    </xf>
    <xf numFmtId="176" fontId="3" fillId="0" borderId="62" xfId="0" applyNumberFormat="1" applyFont="1" applyBorder="1" applyAlignment="1">
      <alignment vertical="center"/>
    </xf>
    <xf numFmtId="0" fontId="3" fillId="13" borderId="3" xfId="0" applyFont="1" applyFill="1" applyBorder="1" applyAlignment="1">
      <alignment horizontal="center" vertical="center"/>
    </xf>
    <xf numFmtId="0" fontId="3" fillId="12" borderId="3" xfId="0" applyFont="1" applyFill="1" applyBorder="1" applyAlignment="1">
      <alignment horizontal="center" vertical="center"/>
    </xf>
    <xf numFmtId="0" fontId="3" fillId="0" borderId="65" xfId="0" applyFont="1" applyBorder="1" applyAlignment="1">
      <alignment horizontal="center" vertical="center"/>
    </xf>
    <xf numFmtId="176" fontId="3" fillId="0" borderId="3" xfId="0" applyNumberFormat="1" applyFont="1" applyBorder="1" applyAlignment="1">
      <alignment horizontal="center" vertical="center"/>
    </xf>
    <xf numFmtId="176" fontId="3" fillId="0" borderId="65" xfId="0" applyNumberFormat="1" applyFont="1" applyBorder="1" applyAlignment="1">
      <alignment horizontal="center" vertical="center"/>
    </xf>
    <xf numFmtId="38" fontId="24" fillId="0" borderId="3" xfId="1" applyFont="1" applyBorder="1" applyAlignment="1">
      <alignment vertical="center"/>
    </xf>
    <xf numFmtId="38" fontId="24" fillId="0" borderId="27" xfId="0" applyNumberFormat="1" applyFont="1" applyBorder="1" applyAlignment="1">
      <alignment vertical="center"/>
    </xf>
    <xf numFmtId="0" fontId="50" fillId="0" borderId="0" xfId="0" applyFont="1" applyAlignment="1">
      <alignment vertical="center"/>
    </xf>
    <xf numFmtId="0" fontId="50" fillId="0" borderId="0" xfId="0" applyFont="1" applyAlignment="1">
      <alignment horizontal="center" vertical="center"/>
    </xf>
    <xf numFmtId="38" fontId="24" fillId="0" borderId="3" xfId="1" applyFont="1" applyFill="1" applyBorder="1" applyAlignment="1">
      <alignment vertical="center"/>
    </xf>
    <xf numFmtId="38" fontId="24" fillId="0" borderId="4" xfId="1" applyFont="1" applyBorder="1" applyAlignment="1">
      <alignment vertical="center"/>
    </xf>
    <xf numFmtId="178" fontId="24" fillId="0" borderId="4" xfId="1" applyNumberFormat="1" applyFont="1" applyBorder="1" applyAlignment="1">
      <alignment vertical="center"/>
    </xf>
    <xf numFmtId="179" fontId="50" fillId="0" borderId="61" xfId="0" applyNumberFormat="1" applyFont="1" applyBorder="1" applyAlignment="1">
      <alignment vertical="center"/>
    </xf>
    <xf numFmtId="0" fontId="50" fillId="0" borderId="62" xfId="0" applyFont="1" applyBorder="1" applyAlignment="1">
      <alignment vertical="center"/>
    </xf>
    <xf numFmtId="176" fontId="50" fillId="0" borderId="62" xfId="0" applyNumberFormat="1" applyFont="1" applyBorder="1" applyAlignment="1">
      <alignment vertical="center"/>
    </xf>
    <xf numFmtId="176" fontId="50" fillId="0" borderId="61" xfId="0" applyNumberFormat="1" applyFont="1" applyBorder="1" applyAlignment="1">
      <alignment vertical="center"/>
    </xf>
    <xf numFmtId="176" fontId="50" fillId="0" borderId="63" xfId="0" applyNumberFormat="1" applyFont="1" applyBorder="1" applyAlignment="1">
      <alignment horizontal="center" vertical="center"/>
    </xf>
    <xf numFmtId="0" fontId="3" fillId="0" borderId="0" xfId="0" applyFont="1" applyAlignment="1">
      <alignment horizontal="right" vertical="center"/>
    </xf>
    <xf numFmtId="0" fontId="12" fillId="0" borderId="0" xfId="0" applyFont="1" applyAlignment="1">
      <alignment horizontal="left" vertical="center"/>
    </xf>
    <xf numFmtId="176" fontId="50" fillId="0" borderId="3" xfId="0" applyNumberFormat="1" applyFont="1" applyBorder="1" applyAlignment="1">
      <alignment horizontal="center" vertical="center"/>
    </xf>
    <xf numFmtId="176" fontId="50" fillId="0" borderId="44" xfId="0" applyNumberFormat="1" applyFont="1" applyBorder="1" applyAlignment="1">
      <alignment horizontal="center" vertical="center"/>
    </xf>
    <xf numFmtId="176" fontId="49" fillId="0" borderId="65" xfId="0" applyNumberFormat="1" applyFont="1" applyBorder="1" applyAlignment="1">
      <alignment horizontal="center" vertical="center"/>
    </xf>
    <xf numFmtId="180" fontId="3" fillId="9" borderId="3" xfId="0" applyNumberFormat="1" applyFont="1" applyFill="1" applyBorder="1" applyAlignment="1">
      <alignment vertical="center"/>
    </xf>
    <xf numFmtId="176" fontId="50" fillId="9" borderId="3" xfId="0" applyNumberFormat="1" applyFont="1" applyFill="1" applyBorder="1" applyAlignment="1">
      <alignment horizontal="center" vertical="center"/>
    </xf>
    <xf numFmtId="176" fontId="50" fillId="9" borderId="44" xfId="0" applyNumberFormat="1" applyFont="1" applyFill="1" applyBorder="1" applyAlignment="1">
      <alignment horizontal="center" vertical="center"/>
    </xf>
    <xf numFmtId="10" fontId="0" fillId="0" borderId="0" xfId="2" applyNumberFormat="1" applyFont="1" applyAlignment="1"/>
    <xf numFmtId="0" fontId="16" fillId="0" borderId="0" xfId="0" applyFont="1" applyAlignment="1">
      <alignment horizontal="center" vertical="center"/>
    </xf>
    <xf numFmtId="177" fontId="42" fillId="0" borderId="66" xfId="2" applyNumberFormat="1" applyFont="1" applyFill="1" applyBorder="1" applyAlignment="1">
      <alignment horizontal="right" vertical="center"/>
    </xf>
    <xf numFmtId="38" fontId="23" fillId="0" borderId="27" xfId="0" applyNumberFormat="1" applyFont="1" applyBorder="1" applyAlignment="1">
      <alignment vertical="center"/>
    </xf>
    <xf numFmtId="176" fontId="46" fillId="0" borderId="0" xfId="0" applyNumberFormat="1" applyFont="1" applyAlignment="1">
      <alignment vertical="center"/>
    </xf>
    <xf numFmtId="0" fontId="46" fillId="0" borderId="0" xfId="0" applyFont="1" applyAlignment="1">
      <alignment vertical="center"/>
    </xf>
    <xf numFmtId="0" fontId="46" fillId="0" borderId="0" xfId="0" applyFont="1" applyAlignment="1">
      <alignment horizontal="center" vertical="center"/>
    </xf>
    <xf numFmtId="38" fontId="23" fillId="0" borderId="3" xfId="1" applyFont="1" applyFill="1" applyBorder="1" applyAlignment="1">
      <alignment vertical="center"/>
    </xf>
    <xf numFmtId="38" fontId="23" fillId="0" borderId="4" xfId="1" applyFont="1" applyBorder="1" applyAlignment="1">
      <alignment vertical="center"/>
    </xf>
    <xf numFmtId="0" fontId="29" fillId="0" borderId="0" xfId="0" applyFont="1" applyAlignment="1">
      <alignment vertical="center"/>
    </xf>
    <xf numFmtId="179" fontId="23" fillId="0" borderId="61" xfId="0" applyNumberFormat="1" applyFont="1" applyBorder="1" applyAlignment="1">
      <alignment vertical="center"/>
    </xf>
    <xf numFmtId="176" fontId="23" fillId="0" borderId="62" xfId="0" applyNumberFormat="1" applyFont="1" applyBorder="1" applyAlignment="1">
      <alignment vertical="center"/>
    </xf>
    <xf numFmtId="179" fontId="24" fillId="0" borderId="61" xfId="0" applyNumberFormat="1" applyFont="1" applyBorder="1" applyAlignment="1">
      <alignment vertical="center"/>
    </xf>
    <xf numFmtId="176" fontId="24" fillId="0" borderId="62" xfId="0" applyNumberFormat="1" applyFont="1" applyBorder="1" applyAlignment="1">
      <alignment vertical="center"/>
    </xf>
    <xf numFmtId="179" fontId="25" fillId="0" borderId="61" xfId="0" applyNumberFormat="1" applyFont="1" applyBorder="1" applyAlignment="1">
      <alignment vertical="center"/>
    </xf>
    <xf numFmtId="176" fontId="25" fillId="0" borderId="62" xfId="0" applyNumberFormat="1" applyFont="1" applyBorder="1" applyAlignment="1">
      <alignment vertical="center"/>
    </xf>
    <xf numFmtId="0" fontId="24" fillId="0" borderId="62" xfId="0" applyFont="1" applyBorder="1" applyAlignment="1">
      <alignment vertical="center"/>
    </xf>
    <xf numFmtId="176" fontId="24" fillId="0" borderId="61" xfId="0" applyNumberFormat="1" applyFont="1" applyBorder="1" applyAlignment="1">
      <alignment vertical="center"/>
    </xf>
    <xf numFmtId="179" fontId="22" fillId="0" borderId="61" xfId="0" applyNumberFormat="1" applyFont="1" applyBorder="1" applyAlignment="1">
      <alignment vertical="center"/>
    </xf>
    <xf numFmtId="176" fontId="22" fillId="0" borderId="62" xfId="0" applyNumberFormat="1" applyFont="1" applyBorder="1" applyAlignment="1">
      <alignment vertical="center"/>
    </xf>
    <xf numFmtId="176" fontId="24" fillId="14" borderId="62" xfId="0" applyNumberFormat="1" applyFont="1" applyFill="1" applyBorder="1" applyAlignment="1">
      <alignment vertical="center"/>
    </xf>
    <xf numFmtId="0" fontId="4" fillId="0" borderId="0" xfId="0" applyFont="1" applyAlignment="1">
      <alignment horizontal="right" vertical="center"/>
    </xf>
    <xf numFmtId="0" fontId="46" fillId="0" borderId="0" xfId="0" applyFont="1" applyAlignment="1">
      <alignment horizontal="right" vertical="center"/>
    </xf>
    <xf numFmtId="0" fontId="50" fillId="0" borderId="0" xfId="0" applyFont="1" applyAlignment="1">
      <alignment horizontal="right" vertical="center"/>
    </xf>
    <xf numFmtId="0" fontId="18" fillId="0" borderId="0" xfId="0" applyFont="1" applyAlignment="1">
      <alignment horizontal="right" vertical="center"/>
    </xf>
    <xf numFmtId="0" fontId="19" fillId="0" borderId="0" xfId="0" applyFont="1" applyAlignment="1">
      <alignment horizontal="right" vertical="center"/>
    </xf>
    <xf numFmtId="0" fontId="14" fillId="0" borderId="0" xfId="0" applyFont="1" applyAlignment="1">
      <alignment horizontal="right" vertical="center"/>
    </xf>
    <xf numFmtId="0" fontId="11" fillId="0" borderId="0" xfId="0" applyFont="1" applyAlignment="1">
      <alignment horizontal="right" vertical="center"/>
    </xf>
    <xf numFmtId="2" fontId="24" fillId="0" borderId="62" xfId="0" applyNumberFormat="1" applyFont="1" applyBorder="1" applyAlignment="1">
      <alignment vertical="center"/>
    </xf>
    <xf numFmtId="2" fontId="24" fillId="0" borderId="63" xfId="0" applyNumberFormat="1" applyFont="1" applyBorder="1" applyAlignment="1">
      <alignment horizontal="center" vertical="center"/>
    </xf>
    <xf numFmtId="2" fontId="24" fillId="14" borderId="63" xfId="0" applyNumberFormat="1" applyFont="1" applyFill="1" applyBorder="1" applyAlignment="1">
      <alignment horizontal="center" vertical="center"/>
    </xf>
    <xf numFmtId="2" fontId="23" fillId="0" borderId="62" xfId="0" applyNumberFormat="1" applyFont="1" applyBorder="1" applyAlignment="1">
      <alignment vertical="center"/>
    </xf>
    <xf numFmtId="2" fontId="23" fillId="0" borderId="63" xfId="0" applyNumberFormat="1" applyFont="1" applyBorder="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25" fillId="0" borderId="0" xfId="0" applyFont="1" applyAlignment="1">
      <alignment horizontal="center" vertical="center"/>
    </xf>
    <xf numFmtId="2" fontId="22" fillId="0" borderId="62" xfId="0" applyNumberFormat="1" applyFont="1" applyBorder="1" applyAlignment="1">
      <alignment vertical="center"/>
    </xf>
    <xf numFmtId="2" fontId="22" fillId="0" borderId="63" xfId="0" applyNumberFormat="1" applyFont="1" applyBorder="1" applyAlignment="1">
      <alignment horizontal="center" vertical="center"/>
    </xf>
    <xf numFmtId="0" fontId="52" fillId="0" borderId="0" xfId="0" applyFont="1"/>
    <xf numFmtId="0" fontId="51" fillId="0" borderId="0" xfId="0" applyFont="1"/>
    <xf numFmtId="6" fontId="51" fillId="0" borderId="0" xfId="0" applyNumberFormat="1" applyFont="1"/>
    <xf numFmtId="0" fontId="53" fillId="0" borderId="0" xfId="0" applyFont="1"/>
    <xf numFmtId="0" fontId="54" fillId="0" borderId="0" xfId="0" applyFont="1"/>
    <xf numFmtId="0" fontId="57" fillId="0" borderId="0" xfId="0" applyFont="1"/>
    <xf numFmtId="0" fontId="57" fillId="0" borderId="0" xfId="0" applyFont="1" applyAlignment="1">
      <alignment horizontal="center"/>
    </xf>
    <xf numFmtId="0" fontId="54" fillId="0" borderId="0" xfId="0" applyFont="1" applyAlignment="1">
      <alignment horizontal="center" vertical="center"/>
    </xf>
    <xf numFmtId="0" fontId="55" fillId="0" borderId="3" xfId="0" applyFont="1" applyBorder="1" applyAlignment="1">
      <alignment horizontal="center" vertical="center"/>
    </xf>
    <xf numFmtId="0" fontId="56" fillId="0" borderId="3" xfId="0" applyFont="1" applyBorder="1"/>
    <xf numFmtId="6" fontId="56" fillId="0" borderId="3" xfId="0" applyNumberFormat="1" applyFont="1" applyBorder="1"/>
    <xf numFmtId="0" fontId="56" fillId="0" borderId="3" xfId="0" applyFont="1" applyBorder="1" applyAlignment="1">
      <alignment horizontal="center" vertical="center"/>
    </xf>
    <xf numFmtId="6" fontId="57" fillId="0" borderId="3" xfId="0" applyNumberFormat="1" applyFont="1" applyBorder="1"/>
    <xf numFmtId="177" fontId="57" fillId="0" borderId="3" xfId="0" applyNumberFormat="1" applyFont="1" applyBorder="1"/>
    <xf numFmtId="0" fontId="55" fillId="7" borderId="3" xfId="0" applyFont="1" applyFill="1" applyBorder="1" applyAlignment="1">
      <alignment horizontal="center" vertical="center"/>
    </xf>
    <xf numFmtId="6" fontId="56" fillId="7" borderId="3" xfId="0" applyNumberFormat="1" applyFont="1" applyFill="1" applyBorder="1"/>
    <xf numFmtId="0" fontId="55" fillId="15" borderId="3" xfId="0" applyFont="1" applyFill="1" applyBorder="1" applyAlignment="1">
      <alignment horizontal="center" vertical="center"/>
    </xf>
    <xf numFmtId="6" fontId="56" fillId="15" borderId="3" xfId="0" applyNumberFormat="1" applyFont="1" applyFill="1" applyBorder="1"/>
    <xf numFmtId="0" fontId="58" fillId="0" borderId="0" xfId="0" applyFont="1" applyAlignment="1">
      <alignment horizontal="left" vertical="center"/>
    </xf>
    <xf numFmtId="0" fontId="56" fillId="0" borderId="0" xfId="0" applyFont="1" applyAlignment="1">
      <alignment horizontal="center" vertical="center"/>
    </xf>
    <xf numFmtId="177" fontId="57" fillId="0" borderId="0" xfId="0" applyNumberFormat="1" applyFont="1"/>
    <xf numFmtId="6" fontId="56" fillId="6" borderId="3" xfId="0" applyNumberFormat="1" applyFont="1" applyFill="1" applyBorder="1"/>
    <xf numFmtId="6" fontId="56" fillId="13" borderId="3" xfId="0" applyNumberFormat="1" applyFont="1" applyFill="1" applyBorder="1"/>
    <xf numFmtId="6" fontId="56" fillId="2" borderId="3" xfId="0" applyNumberFormat="1" applyFont="1" applyFill="1" applyBorder="1"/>
    <xf numFmtId="0" fontId="32" fillId="0" borderId="0" xfId="0" applyFont="1"/>
    <xf numFmtId="0" fontId="32" fillId="0" borderId="0" xfId="0" applyFont="1" applyAlignment="1">
      <alignment horizontal="center"/>
    </xf>
    <xf numFmtId="0" fontId="32" fillId="16" borderId="3" xfId="0" applyFont="1" applyFill="1" applyBorder="1" applyAlignment="1">
      <alignment horizontal="center"/>
    </xf>
    <xf numFmtId="38" fontId="32" fillId="0" borderId="3" xfId="1" applyFont="1" applyBorder="1" applyAlignment="1"/>
    <xf numFmtId="0" fontId="48" fillId="0" borderId="3" xfId="0" applyFont="1" applyBorder="1"/>
    <xf numFmtId="38" fontId="48" fillId="0" borderId="3" xfId="1" applyFont="1" applyBorder="1" applyAlignment="1"/>
    <xf numFmtId="177" fontId="48" fillId="0" borderId="3" xfId="2" applyNumberFormat="1" applyFont="1" applyBorder="1" applyAlignment="1"/>
    <xf numFmtId="0" fontId="32" fillId="0" borderId="3" xfId="0" applyFont="1" applyBorder="1" applyAlignment="1">
      <alignment horizontal="center" vertical="center"/>
    </xf>
    <xf numFmtId="38" fontId="32" fillId="0" borderId="3" xfId="1" applyFont="1" applyBorder="1" applyAlignment="1">
      <alignment vertical="center"/>
    </xf>
    <xf numFmtId="177" fontId="32" fillId="0" borderId="3" xfId="2" applyNumberFormat="1" applyFont="1" applyBorder="1" applyAlignment="1">
      <alignment vertical="center"/>
    </xf>
    <xf numFmtId="0" fontId="40" fillId="0" borderId="0" xfId="0" applyFont="1" applyAlignment="1">
      <alignment horizontal="left" vertical="center"/>
    </xf>
    <xf numFmtId="0" fontId="32" fillId="0" borderId="0" xfId="0" applyFont="1" applyAlignment="1">
      <alignment horizontal="right"/>
    </xf>
    <xf numFmtId="0" fontId="60" fillId="16" borderId="3" xfId="0" applyFont="1" applyFill="1" applyBorder="1" applyAlignment="1">
      <alignment horizontal="center"/>
    </xf>
    <xf numFmtId="0" fontId="32" fillId="16" borderId="4" xfId="0" applyFont="1" applyFill="1" applyBorder="1" applyAlignment="1">
      <alignment horizontal="center"/>
    </xf>
    <xf numFmtId="177" fontId="32" fillId="0" borderId="4" xfId="2" applyNumberFormat="1" applyFont="1" applyBorder="1" applyAlignment="1">
      <alignment vertical="center"/>
    </xf>
    <xf numFmtId="0" fontId="32" fillId="16" borderId="38" xfId="0" applyFont="1" applyFill="1" applyBorder="1" applyAlignment="1">
      <alignment horizontal="center"/>
    </xf>
    <xf numFmtId="38" fontId="48" fillId="0" borderId="38" xfId="1" applyFont="1" applyBorder="1" applyAlignment="1"/>
    <xf numFmtId="38" fontId="48" fillId="0" borderId="38" xfId="1" applyFont="1" applyBorder="1" applyAlignment="1">
      <alignment vertical="center"/>
    </xf>
    <xf numFmtId="0" fontId="32" fillId="16" borderId="40" xfId="0" applyFont="1" applyFill="1" applyBorder="1" applyAlignment="1">
      <alignment horizontal="center"/>
    </xf>
    <xf numFmtId="0" fontId="32" fillId="16" borderId="67" xfId="0" applyFont="1" applyFill="1" applyBorder="1" applyAlignment="1">
      <alignment horizontal="center"/>
    </xf>
    <xf numFmtId="0" fontId="60" fillId="16" borderId="67" xfId="0" applyFont="1" applyFill="1" applyBorder="1" applyAlignment="1">
      <alignment horizontal="center"/>
    </xf>
    <xf numFmtId="0" fontId="32" fillId="16" borderId="60" xfId="0" applyFont="1" applyFill="1" applyBorder="1" applyAlignment="1">
      <alignment horizontal="center"/>
    </xf>
    <xf numFmtId="38" fontId="32" fillId="0" borderId="41" xfId="1" applyFont="1" applyBorder="1" applyAlignment="1"/>
    <xf numFmtId="177" fontId="32" fillId="0" borderId="42" xfId="2" applyNumberFormat="1" applyFont="1" applyBorder="1" applyAlignment="1">
      <alignment vertical="center"/>
    </xf>
    <xf numFmtId="38" fontId="32" fillId="2" borderId="43" xfId="1" applyFont="1" applyFill="1" applyBorder="1" applyAlignment="1">
      <alignment vertical="center"/>
    </xf>
    <xf numFmtId="177" fontId="32" fillId="2" borderId="44" xfId="2" applyNumberFormat="1" applyFont="1" applyFill="1" applyBorder="1" applyAlignment="1">
      <alignment vertical="center"/>
    </xf>
    <xf numFmtId="38" fontId="32" fillId="2" borderId="44" xfId="1" applyFont="1" applyFill="1" applyBorder="1" applyAlignment="1">
      <alignment vertical="center"/>
    </xf>
    <xf numFmtId="177" fontId="32" fillId="2" borderId="45" xfId="2" applyNumberFormat="1" applyFont="1" applyFill="1" applyBorder="1" applyAlignment="1">
      <alignment vertical="center"/>
    </xf>
    <xf numFmtId="177" fontId="32" fillId="6" borderId="3" xfId="2" applyNumberFormat="1" applyFont="1" applyFill="1" applyBorder="1" applyAlignment="1">
      <alignment vertical="center"/>
    </xf>
    <xf numFmtId="0" fontId="61" fillId="0" borderId="0" xfId="0" applyFont="1" applyAlignment="1">
      <alignment vertical="top" wrapText="1"/>
    </xf>
    <xf numFmtId="38" fontId="24" fillId="14" borderId="3" xfId="1" applyFont="1" applyFill="1" applyBorder="1" applyAlignment="1">
      <alignment vertical="center"/>
    </xf>
    <xf numFmtId="38" fontId="26" fillId="14" borderId="3" xfId="1" applyFont="1" applyFill="1" applyBorder="1" applyAlignment="1">
      <alignment vertical="center"/>
    </xf>
    <xf numFmtId="176" fontId="50" fillId="14" borderId="44" xfId="0" applyNumberFormat="1" applyFont="1" applyFill="1" applyBorder="1" applyAlignment="1">
      <alignment horizontal="center" vertical="center"/>
    </xf>
    <xf numFmtId="10" fontId="0" fillId="0" borderId="71" xfId="2" applyNumberFormat="1" applyFont="1" applyFill="1" applyBorder="1" applyAlignment="1">
      <alignment horizontal="right" vertical="center"/>
    </xf>
    <xf numFmtId="10" fontId="40" fillId="3" borderId="44" xfId="2" applyNumberFormat="1" applyFont="1" applyFill="1" applyBorder="1" applyAlignment="1">
      <alignment horizontal="right" vertical="center"/>
    </xf>
    <xf numFmtId="178" fontId="32" fillId="0" borderId="44" xfId="1" applyNumberFormat="1" applyFont="1" applyBorder="1" applyAlignment="1">
      <alignment horizontal="right" vertical="center"/>
    </xf>
    <xf numFmtId="0" fontId="66" fillId="0" borderId="0" xfId="0" applyFont="1"/>
    <xf numFmtId="0" fontId="69" fillId="0" borderId="0" xfId="0" applyFont="1" applyAlignment="1">
      <alignment horizontal="center"/>
    </xf>
    <xf numFmtId="0" fontId="69" fillId="0" borderId="0" xfId="0" applyFont="1" applyAlignment="1">
      <alignment horizontal="right"/>
    </xf>
    <xf numFmtId="0" fontId="69" fillId="0" borderId="0" xfId="0" applyFont="1"/>
    <xf numFmtId="176" fontId="69" fillId="0" borderId="0" xfId="0" applyNumberFormat="1" applyFont="1"/>
    <xf numFmtId="0" fontId="70" fillId="0" borderId="0" xfId="0" applyFont="1"/>
    <xf numFmtId="0" fontId="71" fillId="0" borderId="0" xfId="0" applyFont="1"/>
    <xf numFmtId="0" fontId="71" fillId="0" borderId="0" xfId="0" applyFont="1" applyAlignment="1">
      <alignment horizontal="center"/>
    </xf>
    <xf numFmtId="38" fontId="69" fillId="0" borderId="3" xfId="1" applyFont="1" applyBorder="1" applyAlignment="1"/>
    <xf numFmtId="0" fontId="69" fillId="16" borderId="3" xfId="0" applyFont="1" applyFill="1" applyBorder="1" applyAlignment="1">
      <alignment horizontal="center"/>
    </xf>
    <xf numFmtId="178" fontId="69" fillId="0" borderId="3" xfId="1" applyNumberFormat="1" applyFont="1" applyBorder="1" applyAlignment="1"/>
    <xf numFmtId="0" fontId="32" fillId="16" borderId="72" xfId="0" applyFont="1" applyFill="1" applyBorder="1" applyAlignment="1">
      <alignment horizontal="center"/>
    </xf>
    <xf numFmtId="177" fontId="32" fillId="0" borderId="73" xfId="2" applyNumberFormat="1" applyFont="1" applyBorder="1" applyAlignment="1"/>
    <xf numFmtId="177" fontId="32" fillId="6" borderId="74" xfId="2" applyNumberFormat="1" applyFont="1" applyFill="1" applyBorder="1" applyAlignment="1"/>
    <xf numFmtId="0" fontId="24" fillId="0" borderId="38" xfId="0" applyFont="1" applyBorder="1" applyAlignment="1">
      <alignment horizontal="center" vertical="center" wrapText="1"/>
    </xf>
    <xf numFmtId="2" fontId="50" fillId="0" borderId="62" xfId="0" applyNumberFormat="1" applyFont="1" applyBorder="1" applyAlignment="1">
      <alignment vertical="center"/>
    </xf>
    <xf numFmtId="2" fontId="50" fillId="0" borderId="63" xfId="0" applyNumberFormat="1" applyFont="1" applyBorder="1" applyAlignment="1">
      <alignment horizontal="center" vertical="center"/>
    </xf>
    <xf numFmtId="0" fontId="61" fillId="0" borderId="68" xfId="0" applyFont="1" applyBorder="1" applyAlignment="1">
      <alignment horizontal="left" vertical="top" wrapText="1"/>
    </xf>
    <xf numFmtId="0" fontId="61" fillId="0" borderId="23" xfId="0" applyFont="1" applyBorder="1" applyAlignment="1">
      <alignment horizontal="left" vertical="top" wrapText="1"/>
    </xf>
    <xf numFmtId="0" fontId="61" fillId="0" borderId="69" xfId="0" applyFont="1" applyBorder="1" applyAlignment="1">
      <alignment horizontal="left" vertical="top" wrapText="1"/>
    </xf>
    <xf numFmtId="0" fontId="61" fillId="0" borderId="22" xfId="0" applyFont="1" applyBorder="1" applyAlignment="1">
      <alignment horizontal="left" vertical="top" wrapText="1"/>
    </xf>
    <xf numFmtId="0" fontId="61" fillId="0" borderId="0" xfId="0" applyFont="1" applyAlignment="1">
      <alignment horizontal="left" vertical="top" wrapText="1"/>
    </xf>
    <xf numFmtId="0" fontId="61" fillId="0" borderId="70" xfId="0" applyFont="1" applyBorder="1" applyAlignment="1">
      <alignment horizontal="left" vertical="top" wrapText="1"/>
    </xf>
    <xf numFmtId="0" fontId="61" fillId="0" borderId="52" xfId="0" applyFont="1" applyBorder="1" applyAlignment="1">
      <alignment horizontal="left" vertical="top" wrapText="1"/>
    </xf>
    <xf numFmtId="0" fontId="61" fillId="0" borderId="10" xfId="0" applyFont="1" applyBorder="1" applyAlignment="1">
      <alignment horizontal="left" vertical="top" wrapText="1"/>
    </xf>
    <xf numFmtId="0" fontId="61" fillId="0" borderId="51" xfId="0" applyFont="1" applyBorder="1" applyAlignment="1">
      <alignment horizontal="left" vertical="top" wrapText="1"/>
    </xf>
    <xf numFmtId="0" fontId="67" fillId="0" borderId="68" xfId="0" applyFont="1" applyBorder="1" applyAlignment="1">
      <alignment horizontal="left" vertical="top" wrapText="1"/>
    </xf>
    <xf numFmtId="0" fontId="67" fillId="0" borderId="23" xfId="0" applyFont="1" applyBorder="1" applyAlignment="1">
      <alignment horizontal="left" vertical="top" wrapText="1"/>
    </xf>
    <xf numFmtId="0" fontId="67" fillId="0" borderId="69" xfId="0" applyFont="1" applyBorder="1" applyAlignment="1">
      <alignment horizontal="left" vertical="top" wrapText="1"/>
    </xf>
    <xf numFmtId="0" fontId="67" fillId="0" borderId="22" xfId="0" applyFont="1" applyBorder="1" applyAlignment="1">
      <alignment horizontal="left" vertical="top" wrapText="1"/>
    </xf>
    <xf numFmtId="0" fontId="67" fillId="0" borderId="0" xfId="0" applyFont="1" applyAlignment="1">
      <alignment horizontal="left" vertical="top" wrapText="1"/>
    </xf>
    <xf numFmtId="0" fontId="67" fillId="0" borderId="70" xfId="0" applyFont="1" applyBorder="1" applyAlignment="1">
      <alignment horizontal="left" vertical="top" wrapText="1"/>
    </xf>
    <xf numFmtId="0" fontId="67" fillId="0" borderId="52" xfId="0" applyFont="1" applyBorder="1" applyAlignment="1">
      <alignment horizontal="left" vertical="top" wrapText="1"/>
    </xf>
    <xf numFmtId="0" fontId="67" fillId="0" borderId="10" xfId="0" applyFont="1" applyBorder="1" applyAlignment="1">
      <alignment horizontal="left" vertical="top" wrapText="1"/>
    </xf>
    <xf numFmtId="0" fontId="67" fillId="0" borderId="51" xfId="0" applyFont="1" applyBorder="1" applyAlignment="1">
      <alignment horizontal="left" vertical="top" wrapText="1"/>
    </xf>
    <xf numFmtId="0" fontId="77" fillId="0" borderId="68" xfId="0" applyFont="1" applyBorder="1" applyAlignment="1">
      <alignment horizontal="left" vertical="top" wrapText="1"/>
    </xf>
    <xf numFmtId="0" fontId="78" fillId="0" borderId="23" xfId="0" applyFont="1" applyBorder="1" applyAlignment="1">
      <alignment horizontal="left" vertical="top" wrapText="1"/>
    </xf>
    <xf numFmtId="0" fontId="78" fillId="0" borderId="69" xfId="0" applyFont="1" applyBorder="1" applyAlignment="1">
      <alignment horizontal="left" vertical="top" wrapText="1"/>
    </xf>
    <xf numFmtId="0" fontId="78" fillId="0" borderId="22" xfId="0" applyFont="1" applyBorder="1" applyAlignment="1">
      <alignment horizontal="left" vertical="top" wrapText="1"/>
    </xf>
    <xf numFmtId="0" fontId="78" fillId="0" borderId="0" xfId="0" applyFont="1" applyAlignment="1">
      <alignment horizontal="left" vertical="top" wrapText="1"/>
    </xf>
    <xf numFmtId="0" fontId="78" fillId="0" borderId="70" xfId="0" applyFont="1" applyBorder="1" applyAlignment="1">
      <alignment horizontal="left" vertical="top" wrapText="1"/>
    </xf>
    <xf numFmtId="0" fontId="78" fillId="0" borderId="52" xfId="0" applyFont="1" applyBorder="1" applyAlignment="1">
      <alignment horizontal="left" vertical="top" wrapText="1"/>
    </xf>
    <xf numFmtId="0" fontId="78" fillId="0" borderId="10" xfId="0" applyFont="1" applyBorder="1" applyAlignment="1">
      <alignment horizontal="left" vertical="top" wrapText="1"/>
    </xf>
    <xf numFmtId="0" fontId="78" fillId="0" borderId="51" xfId="0" applyFont="1" applyBorder="1" applyAlignment="1">
      <alignment horizontal="left" vertical="top" wrapText="1"/>
    </xf>
    <xf numFmtId="0" fontId="63" fillId="0" borderId="68" xfId="0" applyFont="1" applyBorder="1" applyAlignment="1">
      <alignment horizontal="left" vertical="top" wrapText="1"/>
    </xf>
    <xf numFmtId="0" fontId="64" fillId="0" borderId="23" xfId="0" applyFont="1" applyBorder="1" applyAlignment="1">
      <alignment horizontal="left" vertical="top" wrapText="1"/>
    </xf>
    <xf numFmtId="0" fontId="64" fillId="0" borderId="69" xfId="0" applyFont="1" applyBorder="1" applyAlignment="1">
      <alignment horizontal="left" vertical="top" wrapText="1"/>
    </xf>
    <xf numFmtId="0" fontId="64" fillId="0" borderId="22" xfId="0" applyFont="1" applyBorder="1" applyAlignment="1">
      <alignment horizontal="left" vertical="top" wrapText="1"/>
    </xf>
    <xf numFmtId="0" fontId="64" fillId="0" borderId="0" xfId="0" applyFont="1" applyAlignment="1">
      <alignment horizontal="left" vertical="top" wrapText="1"/>
    </xf>
    <xf numFmtId="0" fontId="64" fillId="0" borderId="70" xfId="0" applyFont="1" applyBorder="1" applyAlignment="1">
      <alignment horizontal="left" vertical="top" wrapText="1"/>
    </xf>
    <xf numFmtId="0" fontId="64" fillId="0" borderId="52" xfId="0" applyFont="1" applyBorder="1" applyAlignment="1">
      <alignment horizontal="left" vertical="top" wrapText="1"/>
    </xf>
    <xf numFmtId="0" fontId="64" fillId="0" borderId="10" xfId="0" applyFont="1" applyBorder="1" applyAlignment="1">
      <alignment horizontal="left" vertical="top" wrapText="1"/>
    </xf>
    <xf numFmtId="0" fontId="64" fillId="0" borderId="51" xfId="0" applyFont="1" applyBorder="1" applyAlignment="1">
      <alignment horizontal="left" vertical="top" wrapText="1"/>
    </xf>
    <xf numFmtId="0" fontId="62" fillId="0" borderId="10" xfId="0" applyFont="1" applyBorder="1" applyAlignment="1">
      <alignment horizontal="left" vertical="top" wrapText="1"/>
    </xf>
    <xf numFmtId="0" fontId="33" fillId="3" borderId="54" xfId="0" applyFont="1" applyFill="1" applyBorder="1" applyAlignment="1">
      <alignment horizontal="left" vertical="top" wrapText="1"/>
    </xf>
    <xf numFmtId="0" fontId="33" fillId="3" borderId="55" xfId="0" applyFont="1" applyFill="1" applyBorder="1" applyAlignment="1">
      <alignment horizontal="left" vertical="top" wrapText="1"/>
    </xf>
    <xf numFmtId="0" fontId="33" fillId="3" borderId="56" xfId="0" applyFont="1" applyFill="1" applyBorder="1" applyAlignment="1">
      <alignment horizontal="left" vertical="top" wrapText="1"/>
    </xf>
    <xf numFmtId="0" fontId="33" fillId="3" borderId="57" xfId="0" applyFont="1" applyFill="1" applyBorder="1" applyAlignment="1">
      <alignment horizontal="left" vertical="top" wrapText="1"/>
    </xf>
    <xf numFmtId="0" fontId="33" fillId="3" borderId="0" xfId="0" applyFont="1" applyFill="1" applyAlignment="1">
      <alignment horizontal="left" vertical="top" wrapText="1"/>
    </xf>
    <xf numFmtId="0" fontId="33" fillId="3" borderId="36" xfId="0" applyFont="1" applyFill="1" applyBorder="1" applyAlignment="1">
      <alignment horizontal="left" vertical="top" wrapText="1"/>
    </xf>
    <xf numFmtId="0" fontId="33" fillId="3" borderId="58" xfId="0" applyFont="1" applyFill="1" applyBorder="1" applyAlignment="1">
      <alignment horizontal="left" vertical="top" wrapText="1"/>
    </xf>
    <xf numFmtId="0" fontId="33" fillId="3" borderId="59" xfId="0" applyFont="1" applyFill="1" applyBorder="1" applyAlignment="1">
      <alignment horizontal="left" vertical="top" wrapText="1"/>
    </xf>
    <xf numFmtId="0" fontId="33" fillId="3" borderId="37" xfId="0" applyFont="1" applyFill="1" applyBorder="1" applyAlignment="1">
      <alignment horizontal="left" vertical="top" wrapText="1"/>
    </xf>
    <xf numFmtId="0" fontId="33" fillId="0" borderId="46" xfId="0" applyFont="1" applyBorder="1" applyAlignment="1">
      <alignment horizontal="center" vertical="center"/>
    </xf>
    <xf numFmtId="0" fontId="33" fillId="0" borderId="64" xfId="0" applyFont="1" applyBorder="1" applyAlignment="1">
      <alignment horizontal="center" vertical="center"/>
    </xf>
    <xf numFmtId="0" fontId="33" fillId="11" borderId="34" xfId="0" applyFont="1" applyFill="1" applyBorder="1" applyAlignment="1">
      <alignment horizontal="center" vertical="center"/>
    </xf>
    <xf numFmtId="0" fontId="33" fillId="11" borderId="35" xfId="0" applyFont="1" applyFill="1" applyBorder="1" applyAlignment="1">
      <alignment horizontal="center" vertical="center"/>
    </xf>
    <xf numFmtId="38" fontId="32" fillId="7" borderId="33" xfId="1" applyFont="1" applyFill="1" applyBorder="1" applyAlignment="1">
      <alignment horizontal="center" vertical="center"/>
    </xf>
    <xf numFmtId="38" fontId="32" fillId="7" borderId="34" xfId="1" applyFont="1" applyFill="1" applyBorder="1" applyAlignment="1">
      <alignment horizontal="center" vertical="center"/>
    </xf>
    <xf numFmtId="38" fontId="32" fillId="7" borderId="35" xfId="1" applyFont="1" applyFill="1" applyBorder="1" applyAlignment="1">
      <alignment horizontal="center" vertical="center"/>
    </xf>
    <xf numFmtId="0" fontId="33" fillId="12" borderId="34" xfId="0" applyFont="1" applyFill="1" applyBorder="1" applyAlignment="1">
      <alignment horizontal="center" vertical="center"/>
    </xf>
    <xf numFmtId="0" fontId="33" fillId="12" borderId="35" xfId="0" applyFont="1" applyFill="1" applyBorder="1" applyAlignment="1">
      <alignment horizontal="center" vertical="center"/>
    </xf>
    <xf numFmtId="0" fontId="33" fillId="0" borderId="61" xfId="0" applyFont="1" applyBorder="1" applyAlignment="1">
      <alignment horizontal="center" vertical="center"/>
    </xf>
    <xf numFmtId="0" fontId="33" fillId="0" borderId="62" xfId="0" applyFont="1" applyBorder="1" applyAlignment="1">
      <alignment horizontal="center" vertical="center"/>
    </xf>
    <xf numFmtId="0" fontId="33" fillId="0" borderId="63" xfId="0" applyFont="1" applyBorder="1" applyAlignment="1">
      <alignment horizontal="center" vertical="center"/>
    </xf>
    <xf numFmtId="0" fontId="27" fillId="0" borderId="24" xfId="0" applyFont="1" applyBorder="1" applyAlignment="1">
      <alignment horizontal="center" vertical="center"/>
    </xf>
    <xf numFmtId="0" fontId="27" fillId="0" borderId="25" xfId="0" applyFont="1" applyBorder="1" applyAlignment="1">
      <alignment horizontal="center" vertical="center"/>
    </xf>
    <xf numFmtId="0" fontId="24" fillId="0" borderId="26"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wrapText="1"/>
    </xf>
    <xf numFmtId="0" fontId="24" fillId="0" borderId="38" xfId="0" applyFont="1" applyBorder="1" applyAlignment="1">
      <alignment horizontal="center" vertical="center" wrapText="1"/>
    </xf>
    <xf numFmtId="0" fontId="6" fillId="3" borderId="28"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29" xfId="0" applyFont="1" applyFill="1" applyBorder="1" applyAlignment="1">
      <alignment horizontal="center" vertical="center"/>
    </xf>
    <xf numFmtId="0" fontId="22" fillId="0" borderId="26" xfId="0" applyFont="1" applyBorder="1" applyAlignment="1">
      <alignment horizontal="center" vertical="center"/>
    </xf>
    <xf numFmtId="0" fontId="22" fillId="0" borderId="3" xfId="0" applyFont="1" applyBorder="1" applyAlignment="1">
      <alignment horizontal="center" vertical="center"/>
    </xf>
    <xf numFmtId="0" fontId="26" fillId="3" borderId="28" xfId="0" applyFont="1" applyFill="1" applyBorder="1" applyAlignment="1">
      <alignment horizontal="center" vertical="center"/>
    </xf>
    <xf numFmtId="0" fontId="26" fillId="3" borderId="11" xfId="0" applyFont="1" applyFill="1" applyBorder="1" applyAlignment="1">
      <alignment horizontal="center" vertical="center"/>
    </xf>
    <xf numFmtId="0" fontId="26" fillId="3" borderId="29" xfId="0" applyFont="1" applyFill="1" applyBorder="1" applyAlignment="1">
      <alignment horizontal="center" vertical="center"/>
    </xf>
    <xf numFmtId="0" fontId="26" fillId="0" borderId="26" xfId="0" applyFont="1" applyBorder="1" applyAlignment="1">
      <alignment horizontal="center" vertical="center"/>
    </xf>
    <xf numFmtId="0" fontId="26" fillId="0" borderId="3" xfId="0" applyFont="1" applyBorder="1" applyAlignment="1">
      <alignment horizontal="center" vertical="center"/>
    </xf>
    <xf numFmtId="14" fontId="26" fillId="0" borderId="19" xfId="0" applyNumberFormat="1" applyFont="1" applyBorder="1" applyAlignment="1">
      <alignment horizontal="center" vertical="center"/>
    </xf>
    <xf numFmtId="0" fontId="17" fillId="0" borderId="77" xfId="0" applyFont="1" applyBorder="1" applyAlignment="1">
      <alignment horizontal="center" vertical="center"/>
    </xf>
    <xf numFmtId="0" fontId="17" fillId="0" borderId="76" xfId="0" applyFont="1" applyBorder="1" applyAlignment="1">
      <alignment horizontal="center" vertical="center"/>
    </xf>
    <xf numFmtId="38" fontId="25" fillId="0" borderId="28" xfId="1" applyFont="1" applyBorder="1" applyAlignment="1">
      <alignment horizontal="center" vertical="center"/>
    </xf>
    <xf numFmtId="38" fontId="25" fillId="0" borderId="38" xfId="1" applyFont="1" applyBorder="1" applyAlignment="1">
      <alignment horizontal="center" vertical="center"/>
    </xf>
    <xf numFmtId="0" fontId="10" fillId="0" borderId="28" xfId="0" applyFont="1" applyBorder="1" applyAlignment="1">
      <alignment horizontal="center" vertical="center"/>
    </xf>
    <xf numFmtId="0" fontId="10" fillId="0" borderId="38" xfId="0" applyFont="1" applyBorder="1" applyAlignment="1">
      <alignment horizontal="center" vertical="center"/>
    </xf>
    <xf numFmtId="0" fontId="22" fillId="0" borderId="28" xfId="0" applyFont="1" applyBorder="1" applyAlignment="1">
      <alignment horizontal="center" vertical="center"/>
    </xf>
    <xf numFmtId="0" fontId="22" fillId="0" borderId="38" xfId="0" applyFont="1" applyBorder="1" applyAlignment="1">
      <alignment horizontal="center" vertical="center"/>
    </xf>
    <xf numFmtId="0" fontId="3" fillId="0" borderId="68" xfId="0" applyFont="1" applyBorder="1" applyAlignment="1">
      <alignment horizontal="center" vertical="center"/>
    </xf>
    <xf numFmtId="0" fontId="3" fillId="0" borderId="23" xfId="0" applyFont="1" applyBorder="1" applyAlignment="1">
      <alignment horizontal="center" vertical="center"/>
    </xf>
    <xf numFmtId="0" fontId="5" fillId="4" borderId="28" xfId="0" applyFont="1" applyFill="1" applyBorder="1" applyAlignment="1">
      <alignment horizontal="center" vertical="center"/>
    </xf>
    <xf numFmtId="0" fontId="5" fillId="4" borderId="11" xfId="0" applyFont="1" applyFill="1" applyBorder="1" applyAlignment="1">
      <alignment horizontal="center" vertical="center"/>
    </xf>
    <xf numFmtId="0" fontId="5" fillId="5" borderId="18" xfId="0" applyFont="1" applyFill="1" applyBorder="1" applyAlignment="1">
      <alignment horizontal="center" vertical="center"/>
    </xf>
    <xf numFmtId="0" fontId="5" fillId="5" borderId="0" xfId="0" applyFont="1" applyFill="1" applyAlignment="1">
      <alignment horizontal="center" vertical="center"/>
    </xf>
    <xf numFmtId="0" fontId="5" fillId="5" borderId="75" xfId="0" applyFont="1" applyFill="1" applyBorder="1" applyAlignment="1">
      <alignment horizontal="center" vertical="center"/>
    </xf>
    <xf numFmtId="0" fontId="5" fillId="5" borderId="10" xfId="0" applyFont="1" applyFill="1" applyBorder="1" applyAlignment="1">
      <alignment horizontal="center" vertical="center"/>
    </xf>
    <xf numFmtId="0" fontId="26" fillId="4" borderId="28" xfId="0" applyFont="1" applyFill="1" applyBorder="1" applyAlignment="1">
      <alignment horizontal="center" vertical="center"/>
    </xf>
    <xf numFmtId="0" fontId="26" fillId="4" borderId="11" xfId="0" applyFont="1" applyFill="1" applyBorder="1" applyAlignment="1">
      <alignment horizontal="center" vertical="center"/>
    </xf>
    <xf numFmtId="0" fontId="26" fillId="4" borderId="29" xfId="0" applyFont="1" applyFill="1" applyBorder="1" applyAlignment="1">
      <alignment horizontal="center" vertical="center"/>
    </xf>
    <xf numFmtId="0" fontId="3" fillId="0" borderId="17" xfId="0" applyFont="1" applyBorder="1" applyAlignment="1">
      <alignment horizontal="center" vertical="center"/>
    </xf>
    <xf numFmtId="0" fontId="3" fillId="0" borderId="16" xfId="0" applyFont="1" applyBorder="1" applyAlignment="1">
      <alignment horizontal="center" vertical="center"/>
    </xf>
    <xf numFmtId="0" fontId="5" fillId="0" borderId="13"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38" fontId="29" fillId="0" borderId="33" xfId="1" applyFont="1" applyBorder="1" applyAlignment="1">
      <alignment horizontal="center" vertical="center"/>
    </xf>
    <xf numFmtId="38" fontId="29" fillId="0" borderId="34" xfId="1" applyFont="1" applyBorder="1" applyAlignment="1">
      <alignment horizontal="center" vertical="center"/>
    </xf>
    <xf numFmtId="38" fontId="29" fillId="0" borderId="35" xfId="1" applyFont="1" applyBorder="1" applyAlignment="1">
      <alignment horizontal="center" vertical="center"/>
    </xf>
    <xf numFmtId="0" fontId="24" fillId="0" borderId="4" xfId="0" applyFont="1" applyBorder="1" applyAlignment="1">
      <alignment horizontal="center" vertical="center"/>
    </xf>
    <xf numFmtId="0" fontId="24" fillId="0" borderId="11" xfId="0" applyFont="1" applyBorder="1" applyAlignment="1">
      <alignment horizontal="center" vertical="center"/>
    </xf>
    <xf numFmtId="0" fontId="24" fillId="0" borderId="38" xfId="0" applyFont="1" applyBorder="1" applyAlignment="1">
      <alignment horizontal="center" vertical="center"/>
    </xf>
    <xf numFmtId="0" fontId="3" fillId="3" borderId="3" xfId="0" applyFont="1" applyFill="1" applyBorder="1" applyAlignment="1">
      <alignment horizontal="center" vertical="center"/>
    </xf>
    <xf numFmtId="0" fontId="55" fillId="0" borderId="3" xfId="0" applyFont="1" applyBorder="1" applyAlignment="1">
      <alignment horizontal="center" vertical="center"/>
    </xf>
    <xf numFmtId="177" fontId="57" fillId="7" borderId="23" xfId="2" applyNumberFormat="1" applyFont="1" applyFill="1" applyBorder="1" applyAlignment="1">
      <alignment horizontal="center"/>
    </xf>
    <xf numFmtId="177" fontId="57" fillId="15" borderId="23" xfId="2" applyNumberFormat="1" applyFont="1" applyFill="1" applyBorder="1" applyAlignment="1">
      <alignment horizontal="center"/>
    </xf>
    <xf numFmtId="177" fontId="57" fillId="7" borderId="3" xfId="2" applyNumberFormat="1" applyFont="1" applyFill="1" applyBorder="1" applyAlignment="1">
      <alignment horizontal="center"/>
    </xf>
    <xf numFmtId="177" fontId="57" fillId="0" borderId="3" xfId="2" applyNumberFormat="1" applyFont="1" applyBorder="1" applyAlignment="1">
      <alignment horizontal="center"/>
    </xf>
    <xf numFmtId="6" fontId="57" fillId="15" borderId="4" xfId="0" applyNumberFormat="1" applyFont="1" applyFill="1" applyBorder="1" applyAlignment="1">
      <alignment horizontal="center"/>
    </xf>
    <xf numFmtId="6" fontId="57" fillId="15" borderId="11" xfId="0" applyNumberFormat="1" applyFont="1" applyFill="1" applyBorder="1" applyAlignment="1">
      <alignment horizontal="center"/>
    </xf>
    <xf numFmtId="6" fontId="57" fillId="15" borderId="38" xfId="0" applyNumberFormat="1" applyFont="1" applyFill="1" applyBorder="1" applyAlignment="1">
      <alignment horizontal="center"/>
    </xf>
    <xf numFmtId="177" fontId="57" fillId="15" borderId="4" xfId="2" applyNumberFormat="1" applyFont="1" applyFill="1" applyBorder="1" applyAlignment="1">
      <alignment horizontal="center"/>
    </xf>
    <xf numFmtId="177" fontId="57" fillId="15" borderId="11" xfId="2" applyNumberFormat="1" applyFont="1" applyFill="1" applyBorder="1" applyAlignment="1">
      <alignment horizontal="center"/>
    </xf>
    <xf numFmtId="177" fontId="57" fillId="15" borderId="38" xfId="2" applyNumberFormat="1" applyFont="1" applyFill="1" applyBorder="1" applyAlignment="1">
      <alignment horizontal="center"/>
    </xf>
    <xf numFmtId="0" fontId="56" fillId="0" borderId="3" xfId="0" applyFont="1" applyBorder="1" applyAlignment="1">
      <alignment horizontal="center" vertical="center"/>
    </xf>
    <xf numFmtId="6" fontId="57" fillId="7" borderId="3" xfId="0" applyNumberFormat="1" applyFont="1" applyFill="1" applyBorder="1" applyAlignment="1">
      <alignment horizontal="center"/>
    </xf>
    <xf numFmtId="0" fontId="57" fillId="7" borderId="3" xfId="0" applyFont="1" applyFill="1" applyBorder="1" applyAlignment="1">
      <alignment horizontal="center"/>
    </xf>
    <xf numFmtId="6" fontId="57" fillId="0" borderId="3" xfId="0" applyNumberFormat="1" applyFont="1" applyBorder="1" applyAlignment="1">
      <alignment horizontal="center"/>
    </xf>
    <xf numFmtId="0" fontId="57" fillId="0" borderId="3" xfId="0" applyFont="1" applyBorder="1" applyAlignment="1">
      <alignment horizontal="center"/>
    </xf>
    <xf numFmtId="0" fontId="54" fillId="15" borderId="4" xfId="0" applyFont="1" applyFill="1" applyBorder="1" applyAlignment="1">
      <alignment horizontal="center" vertical="center"/>
    </xf>
    <xf numFmtId="0" fontId="54" fillId="15" borderId="11" xfId="0" applyFont="1" applyFill="1" applyBorder="1" applyAlignment="1">
      <alignment horizontal="center" vertical="center"/>
    </xf>
    <xf numFmtId="0" fontId="54" fillId="15" borderId="38" xfId="0" applyFont="1" applyFill="1" applyBorder="1" applyAlignment="1">
      <alignment horizontal="center" vertical="center"/>
    </xf>
    <xf numFmtId="0" fontId="54" fillId="7" borderId="3" xfId="0" applyFont="1" applyFill="1" applyBorder="1" applyAlignment="1">
      <alignment horizontal="center" vertical="center"/>
    </xf>
    <xf numFmtId="0" fontId="54" fillId="0" borderId="3" xfId="0" applyFont="1" applyBorder="1" applyAlignment="1">
      <alignment horizontal="center" vertical="center"/>
    </xf>
    <xf numFmtId="14" fontId="26" fillId="0" borderId="0" xfId="0" applyNumberFormat="1" applyFont="1" applyAlignment="1">
      <alignment horizontal="center" vertical="center"/>
    </xf>
    <xf numFmtId="0" fontId="26" fillId="0" borderId="0" xfId="0" applyFont="1" applyAlignment="1">
      <alignment horizontal="center" vertical="center"/>
    </xf>
    <xf numFmtId="0" fontId="17" fillId="0" borderId="24" xfId="0" applyFont="1" applyBorder="1" applyAlignment="1">
      <alignment horizontal="center" vertical="center"/>
    </xf>
    <xf numFmtId="0" fontId="23" fillId="0" borderId="25" xfId="0" applyFont="1" applyBorder="1" applyAlignment="1">
      <alignment horizontal="center" vertical="center"/>
    </xf>
    <xf numFmtId="38" fontId="25" fillId="0" borderId="26" xfId="1" applyFont="1" applyBorder="1" applyAlignment="1">
      <alignment horizontal="center" vertical="center"/>
    </xf>
    <xf numFmtId="38" fontId="25" fillId="0" borderId="3" xfId="1" applyFont="1" applyBorder="1" applyAlignment="1">
      <alignment horizontal="center" vertical="center"/>
    </xf>
    <xf numFmtId="0" fontId="10" fillId="0" borderId="26" xfId="0" applyFont="1" applyBorder="1" applyAlignment="1">
      <alignment horizontal="center" vertical="center"/>
    </xf>
    <xf numFmtId="0" fontId="10" fillId="0" borderId="3" xfId="0" applyFont="1" applyBorder="1" applyAlignment="1">
      <alignment horizontal="center" vertical="center"/>
    </xf>
    <xf numFmtId="0" fontId="3" fillId="0" borderId="3" xfId="0" applyFont="1" applyBorder="1" applyAlignment="1">
      <alignment horizontal="center" vertical="center"/>
    </xf>
    <xf numFmtId="0" fontId="25" fillId="0" borderId="3" xfId="0" applyFont="1" applyBorder="1" applyAlignment="1">
      <alignment horizontal="center" vertical="center"/>
    </xf>
    <xf numFmtId="0" fontId="3" fillId="0" borderId="0" xfId="0" applyFont="1" applyAlignment="1">
      <alignment horizontal="center" vertical="center"/>
    </xf>
    <xf numFmtId="0" fontId="25" fillId="0" borderId="33" xfId="0" applyFont="1" applyBorder="1" applyAlignment="1">
      <alignment horizontal="center" vertical="center"/>
    </xf>
    <xf numFmtId="0" fontId="25" fillId="0" borderId="34" xfId="0" applyFont="1" applyBorder="1" applyAlignment="1">
      <alignment horizontal="center" vertical="center"/>
    </xf>
    <xf numFmtId="38" fontId="50" fillId="0" borderId="33" xfId="1" applyFont="1" applyBorder="1" applyAlignment="1">
      <alignment horizontal="center" vertical="center"/>
    </xf>
    <xf numFmtId="38" fontId="50" fillId="0" borderId="34" xfId="1" applyFont="1" applyBorder="1" applyAlignment="1">
      <alignment horizontal="center" vertical="center"/>
    </xf>
    <xf numFmtId="38" fontId="50" fillId="0" borderId="35" xfId="1" applyFont="1" applyBorder="1" applyAlignment="1">
      <alignment horizontal="center" vertical="center"/>
    </xf>
    <xf numFmtId="38" fontId="50" fillId="0" borderId="0" xfId="1" applyFont="1" applyAlignment="1">
      <alignment horizontal="center" vertical="center"/>
    </xf>
    <xf numFmtId="38" fontId="24" fillId="0" borderId="0" xfId="0" applyNumberFormat="1" applyFont="1" applyAlignment="1">
      <alignment horizontal="center" vertical="center"/>
    </xf>
    <xf numFmtId="0" fontId="24" fillId="0" borderId="0" xfId="0" applyFont="1" applyAlignment="1">
      <alignment horizontal="center" vertical="center"/>
    </xf>
    <xf numFmtId="38" fontId="50" fillId="14" borderId="33" xfId="1" applyFont="1" applyFill="1" applyBorder="1" applyAlignment="1">
      <alignment horizontal="center" vertical="center"/>
    </xf>
    <xf numFmtId="38" fontId="50" fillId="14" borderId="34" xfId="1" applyFont="1" applyFill="1" applyBorder="1" applyAlignment="1">
      <alignment horizontal="center" vertical="center"/>
    </xf>
    <xf numFmtId="38" fontId="50" fillId="14" borderId="35" xfId="1" applyFont="1" applyFill="1" applyBorder="1" applyAlignment="1">
      <alignment horizontal="center" vertical="center"/>
    </xf>
    <xf numFmtId="38" fontId="3" fillId="0" borderId="0" xfId="0" applyNumberFormat="1" applyFont="1" applyAlignment="1">
      <alignment horizontal="center" vertical="center"/>
    </xf>
    <xf numFmtId="0" fontId="23" fillId="0" borderId="26" xfId="0" applyFont="1" applyBorder="1" applyAlignment="1">
      <alignment horizontal="center" vertical="center"/>
    </xf>
    <xf numFmtId="0" fontId="23" fillId="0" borderId="3" xfId="0" applyFont="1" applyBorder="1" applyAlignment="1">
      <alignment horizontal="center" vertical="center"/>
    </xf>
    <xf numFmtId="0" fontId="28" fillId="0" borderId="78" xfId="0" applyFont="1" applyBorder="1" applyAlignment="1">
      <alignment horizontal="center" vertical="center"/>
    </xf>
    <xf numFmtId="0" fontId="28" fillId="0" borderId="79" xfId="0" applyFont="1" applyBorder="1" applyAlignment="1">
      <alignment horizontal="center" vertical="center"/>
    </xf>
    <xf numFmtId="0" fontId="28" fillId="0" borderId="76" xfId="0" applyFont="1" applyBorder="1" applyAlignment="1">
      <alignment horizontal="center" vertical="center"/>
    </xf>
    <xf numFmtId="0" fontId="22" fillId="0" borderId="4"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38" xfId="0" applyFont="1" applyBorder="1" applyAlignment="1">
      <alignment horizontal="center" vertical="center" wrapText="1"/>
    </xf>
    <xf numFmtId="38" fontId="35" fillId="0" borderId="0" xfId="1" applyFont="1" applyBorder="1" applyAlignment="1">
      <alignment vertical="center"/>
    </xf>
    <xf numFmtId="2" fontId="26" fillId="0" borderId="78" xfId="0" applyNumberFormat="1" applyFont="1" applyBorder="1" applyAlignment="1">
      <alignment horizontal="center" vertical="center"/>
    </xf>
    <xf numFmtId="2" fontId="26" fillId="0" borderId="79" xfId="0" applyNumberFormat="1" applyFont="1" applyBorder="1" applyAlignment="1">
      <alignment horizontal="center" vertical="center"/>
    </xf>
    <xf numFmtId="2" fontId="26" fillId="0" borderId="76" xfId="0" applyNumberFormat="1" applyFont="1" applyBorder="1" applyAlignment="1">
      <alignment horizontal="center" vertical="center"/>
    </xf>
    <xf numFmtId="40" fontId="28" fillId="0" borderId="78" xfId="0" applyNumberFormat="1" applyFont="1" applyBorder="1" applyAlignment="1">
      <alignment horizontal="center" vertical="center"/>
    </xf>
    <xf numFmtId="40" fontId="28" fillId="0" borderId="79" xfId="0" applyNumberFormat="1" applyFont="1" applyBorder="1" applyAlignment="1">
      <alignment horizontal="center" vertical="center"/>
    </xf>
    <xf numFmtId="40" fontId="28" fillId="0" borderId="76" xfId="0" applyNumberFormat="1" applyFont="1" applyBorder="1" applyAlignment="1">
      <alignment horizontal="center" vertical="center"/>
    </xf>
    <xf numFmtId="40" fontId="20" fillId="0" borderId="4" xfId="0" applyNumberFormat="1" applyFont="1" applyBorder="1" applyAlignment="1">
      <alignment horizontal="center" vertical="center" wrapText="1"/>
    </xf>
    <xf numFmtId="40" fontId="20" fillId="0" borderId="11" xfId="0" applyNumberFormat="1" applyFont="1" applyBorder="1" applyAlignment="1">
      <alignment horizontal="center" vertical="center" wrapText="1"/>
    </xf>
    <xf numFmtId="40" fontId="20" fillId="0" borderId="38" xfId="0" applyNumberFormat="1" applyFont="1" applyBorder="1" applyAlignment="1">
      <alignment horizontal="center" vertical="center" wrapText="1"/>
    </xf>
  </cellXfs>
  <cellStyles count="3">
    <cellStyle name="パーセント" xfId="2" builtinId="5"/>
    <cellStyle name="桁区切り" xfId="1" builtinId="6"/>
    <cellStyle name="標準" xfId="0" builtinId="0"/>
  </cellStyles>
  <dxfs count="0"/>
  <tableStyles count="0" defaultTableStyle="TableStyleMedium2" defaultPivotStyle="PivotStyleLight16"/>
  <colors>
    <mruColors>
      <color rgb="FFFF7E79"/>
      <color rgb="FFCCECFF"/>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39876-F03B-C44E-8B2F-7E97A5718E71}">
  <sheetPr>
    <tabColor rgb="FF7030A0"/>
    <pageSetUpPr fitToPage="1"/>
  </sheetPr>
  <dimension ref="A1:S53"/>
  <sheetViews>
    <sheetView topLeftCell="A20" zoomScale="111" zoomScaleNormal="37" workbookViewId="0">
      <selection activeCell="K39" sqref="K39:R52"/>
    </sheetView>
  </sheetViews>
  <sheetFormatPr baseColWidth="10" defaultRowHeight="18"/>
  <cols>
    <col min="1" max="1" width="10" style="339" customWidth="1"/>
    <col min="2" max="9" width="13.1640625" style="339" customWidth="1"/>
    <col min="10" max="10" width="9.6640625" style="378" bestFit="1" customWidth="1"/>
    <col min="11" max="11" width="13.5" style="339" customWidth="1"/>
    <col min="12" max="17" width="10.83203125" style="339"/>
    <col min="18" max="18" width="28.6640625" style="339" customWidth="1"/>
    <col min="19" max="16384" width="10.83203125" style="339"/>
  </cols>
  <sheetData>
    <row r="1" spans="1:19" s="349" customFormat="1" ht="23" customHeight="1">
      <c r="A1" s="349" t="s">
        <v>343</v>
      </c>
    </row>
    <row r="2" spans="1:19" ht="19" customHeight="1">
      <c r="A2" s="339" t="s">
        <v>366</v>
      </c>
      <c r="I2" s="350" t="s">
        <v>344</v>
      </c>
      <c r="J2" s="376"/>
      <c r="K2" s="339" t="s">
        <v>367</v>
      </c>
      <c r="S2" s="381"/>
    </row>
    <row r="3" spans="1:19" s="340" customFormat="1" ht="19" customHeight="1">
      <c r="A3" s="341" t="s">
        <v>63</v>
      </c>
      <c r="B3" s="341" t="s">
        <v>70</v>
      </c>
      <c r="C3" s="341" t="s">
        <v>41</v>
      </c>
      <c r="D3" s="341" t="s">
        <v>340</v>
      </c>
      <c r="E3" s="341" t="s">
        <v>66</v>
      </c>
      <c r="F3" s="341" t="s">
        <v>341</v>
      </c>
      <c r="G3" s="341" t="s">
        <v>342</v>
      </c>
      <c r="H3" s="341" t="s">
        <v>66</v>
      </c>
      <c r="I3" s="384" t="s">
        <v>381</v>
      </c>
      <c r="J3" s="376" t="s">
        <v>359</v>
      </c>
      <c r="K3" s="401" t="s">
        <v>378</v>
      </c>
      <c r="L3" s="402"/>
      <c r="M3" s="402"/>
      <c r="N3" s="402"/>
      <c r="O3" s="402"/>
      <c r="P3" s="402"/>
      <c r="Q3" s="402"/>
      <c r="R3" s="403"/>
      <c r="S3" s="382"/>
    </row>
    <row r="4" spans="1:19" ht="19" customHeight="1">
      <c r="A4" s="343">
        <v>5</v>
      </c>
      <c r="B4" s="344">
        <v>1795227.2727272725</v>
      </c>
      <c r="C4" s="344">
        <v>6890000</v>
      </c>
      <c r="D4" s="345">
        <f>B4/C4</f>
        <v>0.26055548225359543</v>
      </c>
      <c r="E4" s="344">
        <f>B4-C4</f>
        <v>-5094772.7272727275</v>
      </c>
      <c r="F4" s="344">
        <v>1963000</v>
      </c>
      <c r="G4" s="345">
        <f>B4/F4</f>
        <v>0.91453248738016935</v>
      </c>
      <c r="H4" s="344">
        <f>B4-F4</f>
        <v>-167772.72727272753</v>
      </c>
      <c r="I4" s="383">
        <f t="shared" ref="I4:I9" si="0">B4/S4</f>
        <v>359045.45454545447</v>
      </c>
      <c r="J4" s="377" t="s">
        <v>360</v>
      </c>
      <c r="K4" s="404"/>
      <c r="L4" s="405"/>
      <c r="M4" s="405"/>
      <c r="N4" s="405"/>
      <c r="O4" s="405"/>
      <c r="P4" s="405"/>
      <c r="Q4" s="405"/>
      <c r="R4" s="406"/>
      <c r="S4" s="381">
        <v>5</v>
      </c>
    </row>
    <row r="5" spans="1:19" ht="19" customHeight="1">
      <c r="A5" s="343">
        <v>6</v>
      </c>
      <c r="B5" s="344">
        <v>19049727.27272727</v>
      </c>
      <c r="C5" s="344">
        <v>25440000</v>
      </c>
      <c r="D5" s="345">
        <f t="shared" ref="D5:D9" si="1">B5/C5</f>
        <v>0.74881003430531723</v>
      </c>
      <c r="E5" s="344">
        <f t="shared" ref="E5:E8" si="2">B5-C5</f>
        <v>-6390272.7272727303</v>
      </c>
      <c r="F5" s="344">
        <v>17338000</v>
      </c>
      <c r="G5" s="345">
        <f t="shared" ref="G5:G9" si="3">B5/F5</f>
        <v>1.0987269161799094</v>
      </c>
      <c r="H5" s="344">
        <f t="shared" ref="H5:H9" si="4">B5-F5</f>
        <v>1711727.2727272697</v>
      </c>
      <c r="I5" s="383">
        <f t="shared" si="0"/>
        <v>634990.90909090894</v>
      </c>
      <c r="J5" s="377" t="s">
        <v>361</v>
      </c>
      <c r="K5" s="404"/>
      <c r="L5" s="405"/>
      <c r="M5" s="405"/>
      <c r="N5" s="405"/>
      <c r="O5" s="405"/>
      <c r="P5" s="405"/>
      <c r="Q5" s="405"/>
      <c r="R5" s="406"/>
      <c r="S5" s="381">
        <v>30</v>
      </c>
    </row>
    <row r="6" spans="1:19" ht="19" customHeight="1">
      <c r="A6" s="343">
        <v>7</v>
      </c>
      <c r="B6" s="344">
        <v>44856909.090909086</v>
      </c>
      <c r="C6" s="344">
        <v>25440000</v>
      </c>
      <c r="D6" s="345">
        <f t="shared" si="1"/>
        <v>1.7632432818753572</v>
      </c>
      <c r="E6" s="344">
        <f t="shared" si="2"/>
        <v>19416909.090909086</v>
      </c>
      <c r="F6" s="344">
        <v>35016000</v>
      </c>
      <c r="G6" s="345">
        <f t="shared" si="3"/>
        <v>1.2810403555777099</v>
      </c>
      <c r="H6" s="344">
        <f t="shared" si="4"/>
        <v>9840909.0909090862</v>
      </c>
      <c r="I6" s="383">
        <f t="shared" si="0"/>
        <v>1446997.0674486803</v>
      </c>
      <c r="J6" s="377" t="s">
        <v>362</v>
      </c>
      <c r="K6" s="404"/>
      <c r="L6" s="405"/>
      <c r="M6" s="405"/>
      <c r="N6" s="405"/>
      <c r="O6" s="405"/>
      <c r="P6" s="405"/>
      <c r="Q6" s="405"/>
      <c r="R6" s="406"/>
      <c r="S6" s="381">
        <v>31</v>
      </c>
    </row>
    <row r="7" spans="1:19" ht="19" customHeight="1">
      <c r="A7" s="343">
        <v>8</v>
      </c>
      <c r="B7" s="344">
        <v>44863045.454545453</v>
      </c>
      <c r="C7" s="344">
        <v>25440000</v>
      </c>
      <c r="D7" s="345">
        <f t="shared" si="1"/>
        <v>1.7634844911377929</v>
      </c>
      <c r="E7" s="344">
        <f t="shared" si="2"/>
        <v>19423045.454545453</v>
      </c>
      <c r="F7" s="344">
        <v>39760000</v>
      </c>
      <c r="G7" s="345">
        <f t="shared" si="3"/>
        <v>1.1283462136455094</v>
      </c>
      <c r="H7" s="344">
        <f t="shared" si="4"/>
        <v>5103045.4545454532</v>
      </c>
      <c r="I7" s="383">
        <f t="shared" si="0"/>
        <v>1447195.0146627566</v>
      </c>
      <c r="J7" s="377" t="s">
        <v>363</v>
      </c>
      <c r="K7" s="404"/>
      <c r="L7" s="405"/>
      <c r="M7" s="405"/>
      <c r="N7" s="405"/>
      <c r="O7" s="405"/>
      <c r="P7" s="405"/>
      <c r="Q7" s="405"/>
      <c r="R7" s="406"/>
      <c r="S7" s="381">
        <v>31</v>
      </c>
    </row>
    <row r="8" spans="1:19" ht="19" customHeight="1">
      <c r="A8" s="343">
        <v>9</v>
      </c>
      <c r="B8" s="344">
        <v>4058727.2727272725</v>
      </c>
      <c r="C8" s="344">
        <v>9275000</v>
      </c>
      <c r="D8" s="345">
        <f t="shared" si="1"/>
        <v>0.43759862778730702</v>
      </c>
      <c r="E8" s="344">
        <f t="shared" si="2"/>
        <v>-5216272.7272727275</v>
      </c>
      <c r="F8" s="344">
        <v>4300000</v>
      </c>
      <c r="G8" s="345">
        <f t="shared" si="3"/>
        <v>0.94389006342494708</v>
      </c>
      <c r="H8" s="344">
        <f t="shared" si="4"/>
        <v>-241272.72727272753</v>
      </c>
      <c r="I8" s="383">
        <f t="shared" si="0"/>
        <v>1352909.0909090908</v>
      </c>
      <c r="J8" s="377" t="s">
        <v>364</v>
      </c>
      <c r="K8" s="404"/>
      <c r="L8" s="405"/>
      <c r="M8" s="405"/>
      <c r="N8" s="405"/>
      <c r="O8" s="405"/>
      <c r="P8" s="405"/>
      <c r="Q8" s="405"/>
      <c r="R8" s="406"/>
      <c r="S8" s="381">
        <v>3</v>
      </c>
    </row>
    <row r="9" spans="1:19" ht="19" customHeight="1">
      <c r="A9" s="346" t="s">
        <v>2</v>
      </c>
      <c r="B9" s="347">
        <f>SUM(B4:B8)</f>
        <v>114623636.36363634</v>
      </c>
      <c r="C9" s="347">
        <f>SUM(C4:C8)</f>
        <v>92485000</v>
      </c>
      <c r="D9" s="348">
        <f t="shared" si="1"/>
        <v>1.2393754269734156</v>
      </c>
      <c r="E9" s="347">
        <f>B9-C9</f>
        <v>22138636.363636345</v>
      </c>
      <c r="F9" s="347">
        <f>SUM(F4:F8)</f>
        <v>98377000</v>
      </c>
      <c r="G9" s="345">
        <f t="shared" si="3"/>
        <v>1.1651466944879021</v>
      </c>
      <c r="H9" s="344">
        <f t="shared" si="4"/>
        <v>16246636.363636345</v>
      </c>
      <c r="I9" s="383">
        <f t="shared" si="0"/>
        <v>1146236.3636363635</v>
      </c>
      <c r="K9" s="407"/>
      <c r="L9" s="408"/>
      <c r="M9" s="408"/>
      <c r="N9" s="408"/>
      <c r="O9" s="408"/>
      <c r="P9" s="408"/>
      <c r="Q9" s="408"/>
      <c r="R9" s="409"/>
      <c r="S9" s="381">
        <v>100</v>
      </c>
    </row>
    <row r="10" spans="1:19" ht="11" customHeight="1">
      <c r="S10" s="381"/>
    </row>
    <row r="11" spans="1:19" ht="19" customHeight="1">
      <c r="A11" s="339" t="s">
        <v>369</v>
      </c>
      <c r="I11" s="350" t="s">
        <v>345</v>
      </c>
      <c r="K11" s="339" t="s">
        <v>368</v>
      </c>
      <c r="S11" s="381"/>
    </row>
    <row r="12" spans="1:19" s="340" customFormat="1" ht="19" customHeight="1">
      <c r="A12" s="341" t="s">
        <v>63</v>
      </c>
      <c r="B12" s="341" t="s">
        <v>70</v>
      </c>
      <c r="C12" s="341" t="s">
        <v>41</v>
      </c>
      <c r="D12" s="341" t="s">
        <v>340</v>
      </c>
      <c r="E12" s="341" t="s">
        <v>66</v>
      </c>
      <c r="F12" s="341" t="s">
        <v>341</v>
      </c>
      <c r="G12" s="341" t="s">
        <v>342</v>
      </c>
      <c r="H12" s="341" t="s">
        <v>66</v>
      </c>
      <c r="I12" s="384" t="s">
        <v>52</v>
      </c>
      <c r="J12" s="376"/>
      <c r="K12" s="410" t="s">
        <v>379</v>
      </c>
      <c r="L12" s="411"/>
      <c r="M12" s="411"/>
      <c r="N12" s="411"/>
      <c r="O12" s="411"/>
      <c r="P12" s="411"/>
      <c r="Q12" s="411"/>
      <c r="R12" s="412"/>
      <c r="S12" s="382"/>
    </row>
    <row r="13" spans="1:19" ht="19" customHeight="1">
      <c r="A13" s="343">
        <v>5</v>
      </c>
      <c r="B13" s="344">
        <v>506</v>
      </c>
      <c r="C13" s="344">
        <v>1300</v>
      </c>
      <c r="D13" s="345">
        <f>B13/C13</f>
        <v>0.38923076923076921</v>
      </c>
      <c r="E13" s="344">
        <f>B13-C13</f>
        <v>-794</v>
      </c>
      <c r="F13" s="344">
        <v>395</v>
      </c>
      <c r="G13" s="345">
        <f>B13/F13</f>
        <v>1.281012658227848</v>
      </c>
      <c r="H13" s="344">
        <f>B13-F13</f>
        <v>111</v>
      </c>
      <c r="I13" s="385">
        <f t="shared" ref="I13:I18" si="5">B13/S13</f>
        <v>101.2</v>
      </c>
      <c r="J13" s="379"/>
      <c r="K13" s="413"/>
      <c r="L13" s="414"/>
      <c r="M13" s="414"/>
      <c r="N13" s="414"/>
      <c r="O13" s="414"/>
      <c r="P13" s="414"/>
      <c r="Q13" s="414"/>
      <c r="R13" s="415"/>
      <c r="S13" s="381">
        <v>5</v>
      </c>
    </row>
    <row r="14" spans="1:19" ht="19" customHeight="1">
      <c r="A14" s="343">
        <v>6</v>
      </c>
      <c r="B14" s="344">
        <v>5309</v>
      </c>
      <c r="C14" s="344">
        <v>4800</v>
      </c>
      <c r="D14" s="345">
        <f t="shared" ref="D14:D18" si="6">B14/C14</f>
        <v>1.1060416666666666</v>
      </c>
      <c r="E14" s="344">
        <f t="shared" ref="E14:E17" si="7">B14-C14</f>
        <v>509</v>
      </c>
      <c r="F14" s="344">
        <v>3450</v>
      </c>
      <c r="G14" s="345">
        <f t="shared" ref="G14:G18" si="8">B14/F14</f>
        <v>1.538840579710145</v>
      </c>
      <c r="H14" s="344">
        <f t="shared" ref="H14:H18" si="9">B14-F14</f>
        <v>1859</v>
      </c>
      <c r="I14" s="385">
        <f t="shared" si="5"/>
        <v>176.96666666666667</v>
      </c>
      <c r="J14" s="379"/>
      <c r="K14" s="413"/>
      <c r="L14" s="414"/>
      <c r="M14" s="414"/>
      <c r="N14" s="414"/>
      <c r="O14" s="414"/>
      <c r="P14" s="414"/>
      <c r="Q14" s="414"/>
      <c r="R14" s="415"/>
      <c r="S14" s="381">
        <v>30</v>
      </c>
    </row>
    <row r="15" spans="1:19" ht="19" customHeight="1">
      <c r="A15" s="343">
        <v>7</v>
      </c>
      <c r="B15" s="344">
        <v>11036</v>
      </c>
      <c r="C15" s="344">
        <v>4800</v>
      </c>
      <c r="D15" s="345">
        <f t="shared" si="6"/>
        <v>2.2991666666666668</v>
      </c>
      <c r="E15" s="344">
        <f t="shared" si="7"/>
        <v>6236</v>
      </c>
      <c r="F15" s="344">
        <v>7050</v>
      </c>
      <c r="G15" s="345">
        <f t="shared" si="8"/>
        <v>1.5653900709219859</v>
      </c>
      <c r="H15" s="344">
        <f t="shared" si="9"/>
        <v>3986</v>
      </c>
      <c r="I15" s="385">
        <f t="shared" si="5"/>
        <v>356</v>
      </c>
      <c r="J15" s="379"/>
      <c r="K15" s="413"/>
      <c r="L15" s="414"/>
      <c r="M15" s="414"/>
      <c r="N15" s="414"/>
      <c r="O15" s="414"/>
      <c r="P15" s="414"/>
      <c r="Q15" s="414"/>
      <c r="R15" s="415"/>
      <c r="S15" s="381">
        <v>31</v>
      </c>
    </row>
    <row r="16" spans="1:19" ht="19" customHeight="1">
      <c r="A16" s="343">
        <v>8</v>
      </c>
      <c r="B16" s="344">
        <v>11093</v>
      </c>
      <c r="C16" s="344">
        <v>4800</v>
      </c>
      <c r="D16" s="345">
        <f t="shared" si="6"/>
        <v>2.3110416666666667</v>
      </c>
      <c r="E16" s="344">
        <f t="shared" si="7"/>
        <v>6293</v>
      </c>
      <c r="F16" s="344">
        <v>8100</v>
      </c>
      <c r="G16" s="345">
        <f t="shared" si="8"/>
        <v>1.3695061728395062</v>
      </c>
      <c r="H16" s="344">
        <f t="shared" si="9"/>
        <v>2993</v>
      </c>
      <c r="I16" s="385">
        <f t="shared" si="5"/>
        <v>357.83870967741933</v>
      </c>
      <c r="J16" s="379"/>
      <c r="K16" s="413"/>
      <c r="L16" s="414"/>
      <c r="M16" s="414"/>
      <c r="N16" s="414"/>
      <c r="O16" s="414"/>
      <c r="P16" s="414"/>
      <c r="Q16" s="414"/>
      <c r="R16" s="415"/>
      <c r="S16" s="381">
        <v>31</v>
      </c>
    </row>
    <row r="17" spans="1:19" ht="19" customHeight="1">
      <c r="A17" s="343">
        <v>9</v>
      </c>
      <c r="B17" s="344">
        <v>974</v>
      </c>
      <c r="C17" s="344">
        <v>1750</v>
      </c>
      <c r="D17" s="345">
        <f t="shared" si="6"/>
        <v>0.55657142857142861</v>
      </c>
      <c r="E17" s="344">
        <f t="shared" si="7"/>
        <v>-776</v>
      </c>
      <c r="F17" s="344">
        <v>880</v>
      </c>
      <c r="G17" s="345">
        <f t="shared" si="8"/>
        <v>1.1068181818181819</v>
      </c>
      <c r="H17" s="344">
        <f t="shared" si="9"/>
        <v>94</v>
      </c>
      <c r="I17" s="385">
        <f t="shared" si="5"/>
        <v>324.66666666666669</v>
      </c>
      <c r="J17" s="379"/>
      <c r="K17" s="413"/>
      <c r="L17" s="414"/>
      <c r="M17" s="414"/>
      <c r="N17" s="414"/>
      <c r="O17" s="414"/>
      <c r="P17" s="414"/>
      <c r="Q17" s="414"/>
      <c r="R17" s="415"/>
      <c r="S17" s="381">
        <v>3</v>
      </c>
    </row>
    <row r="18" spans="1:19" ht="19" customHeight="1">
      <c r="A18" s="346" t="s">
        <v>2</v>
      </c>
      <c r="B18" s="347">
        <f>SUM(B13:B17)</f>
        <v>28918</v>
      </c>
      <c r="C18" s="347">
        <f>SUM(C13:C17)</f>
        <v>17450</v>
      </c>
      <c r="D18" s="348">
        <f t="shared" si="6"/>
        <v>1.657191977077364</v>
      </c>
      <c r="E18" s="347">
        <f>B18-C18</f>
        <v>11468</v>
      </c>
      <c r="F18" s="347">
        <f>SUM(F13:F17)</f>
        <v>19875</v>
      </c>
      <c r="G18" s="345">
        <f t="shared" si="8"/>
        <v>1.4549937106918238</v>
      </c>
      <c r="H18" s="344">
        <f t="shared" si="9"/>
        <v>9043</v>
      </c>
      <c r="I18" s="385">
        <f t="shared" si="5"/>
        <v>289.18</v>
      </c>
      <c r="J18" s="379"/>
      <c r="K18" s="416"/>
      <c r="L18" s="417"/>
      <c r="M18" s="417"/>
      <c r="N18" s="417"/>
      <c r="O18" s="417"/>
      <c r="P18" s="417"/>
      <c r="Q18" s="417"/>
      <c r="R18" s="418"/>
      <c r="S18" s="381">
        <v>100</v>
      </c>
    </row>
    <row r="19" spans="1:19" ht="11" customHeight="1">
      <c r="S19" s="381"/>
    </row>
    <row r="20" spans="1:19" ht="19" customHeight="1">
      <c r="A20" s="339" t="s">
        <v>371</v>
      </c>
      <c r="I20" s="350" t="s">
        <v>344</v>
      </c>
      <c r="K20" s="339" t="s">
        <v>370</v>
      </c>
      <c r="S20" s="381"/>
    </row>
    <row r="21" spans="1:19" s="340" customFormat="1" ht="19" customHeight="1">
      <c r="A21" s="341" t="s">
        <v>63</v>
      </c>
      <c r="B21" s="341" t="s">
        <v>70</v>
      </c>
      <c r="C21" s="341" t="s">
        <v>41</v>
      </c>
      <c r="D21" s="341" t="s">
        <v>340</v>
      </c>
      <c r="E21" s="341" t="s">
        <v>66</v>
      </c>
      <c r="F21" s="341" t="s">
        <v>341</v>
      </c>
      <c r="G21" s="341" t="s">
        <v>342</v>
      </c>
      <c r="H21" s="341" t="s">
        <v>66</v>
      </c>
      <c r="I21" s="341"/>
      <c r="J21" s="376"/>
      <c r="K21" s="419" t="s">
        <v>380</v>
      </c>
      <c r="L21" s="420"/>
      <c r="M21" s="420"/>
      <c r="N21" s="420"/>
      <c r="O21" s="420"/>
      <c r="P21" s="420"/>
      <c r="Q21" s="420"/>
      <c r="R21" s="421"/>
      <c r="S21" s="382"/>
    </row>
    <row r="22" spans="1:19" ht="19" customHeight="1">
      <c r="A22" s="343">
        <v>5</v>
      </c>
      <c r="B22" s="344">
        <f t="shared" ref="B22:B27" si="10">B4/B13</f>
        <v>3547.8799856270207</v>
      </c>
      <c r="C22" s="344">
        <v>5300</v>
      </c>
      <c r="D22" s="345">
        <f>B22/C22</f>
        <v>0.66941131804283405</v>
      </c>
      <c r="E22" s="344">
        <f>B22-C22</f>
        <v>-1752.1200143729793</v>
      </c>
      <c r="F22" s="344">
        <v>4970</v>
      </c>
      <c r="G22" s="345">
        <f>B22/F22</f>
        <v>0.71385915203762995</v>
      </c>
      <c r="H22" s="344">
        <f>B22-F22</f>
        <v>-1422.1200143729793</v>
      </c>
      <c r="I22" s="344"/>
      <c r="K22" s="422"/>
      <c r="L22" s="423"/>
      <c r="M22" s="423"/>
      <c r="N22" s="423"/>
      <c r="O22" s="423"/>
      <c r="P22" s="423"/>
      <c r="Q22" s="423"/>
      <c r="R22" s="424"/>
    </row>
    <row r="23" spans="1:19" ht="19" customHeight="1">
      <c r="A23" s="343">
        <v>6</v>
      </c>
      <c r="B23" s="344">
        <f t="shared" si="10"/>
        <v>3588.1950033390976</v>
      </c>
      <c r="C23" s="344">
        <v>5300</v>
      </c>
      <c r="D23" s="345">
        <f t="shared" ref="D23:D27" si="11">B23/C23</f>
        <v>0.67701792515832027</v>
      </c>
      <c r="E23" s="344">
        <f t="shared" ref="E23:E26" si="12">B23-C23</f>
        <v>-1711.8049966609024</v>
      </c>
      <c r="F23" s="344">
        <v>5026</v>
      </c>
      <c r="G23" s="345">
        <f t="shared" ref="G23:G27" si="13">B23/F23</f>
        <v>0.71392658243913598</v>
      </c>
      <c r="H23" s="344">
        <f t="shared" ref="H23:H27" si="14">B23-F23</f>
        <v>-1437.8049966609024</v>
      </c>
      <c r="I23" s="344"/>
      <c r="K23" s="422"/>
      <c r="L23" s="423"/>
      <c r="M23" s="423"/>
      <c r="N23" s="423"/>
      <c r="O23" s="423"/>
      <c r="P23" s="423"/>
      <c r="Q23" s="423"/>
      <c r="R23" s="424"/>
    </row>
    <row r="24" spans="1:19" ht="19" customHeight="1">
      <c r="A24" s="343">
        <v>7</v>
      </c>
      <c r="B24" s="344">
        <f t="shared" si="10"/>
        <v>4064.5985040693263</v>
      </c>
      <c r="C24" s="344">
        <v>5300</v>
      </c>
      <c r="D24" s="345">
        <f t="shared" si="11"/>
        <v>0.76690537812628801</v>
      </c>
      <c r="E24" s="344">
        <f t="shared" si="12"/>
        <v>-1235.4014959306737</v>
      </c>
      <c r="F24" s="344">
        <v>4967</v>
      </c>
      <c r="G24" s="345">
        <f t="shared" si="13"/>
        <v>0.81832061688530833</v>
      </c>
      <c r="H24" s="344">
        <f t="shared" si="14"/>
        <v>-902.40149593067372</v>
      </c>
      <c r="I24" s="344"/>
      <c r="K24" s="422"/>
      <c r="L24" s="423"/>
      <c r="M24" s="423"/>
      <c r="N24" s="423"/>
      <c r="O24" s="423"/>
      <c r="P24" s="423"/>
      <c r="Q24" s="423"/>
      <c r="R24" s="424"/>
    </row>
    <row r="25" spans="1:19" ht="19" customHeight="1">
      <c r="A25" s="343">
        <v>8</v>
      </c>
      <c r="B25" s="344">
        <f t="shared" si="10"/>
        <v>4044.2662448882588</v>
      </c>
      <c r="C25" s="344">
        <v>5300</v>
      </c>
      <c r="D25" s="345">
        <f t="shared" si="11"/>
        <v>0.76306910280910545</v>
      </c>
      <c r="E25" s="344">
        <f t="shared" si="12"/>
        <v>-1255.7337551117412</v>
      </c>
      <c r="F25" s="344">
        <v>4909</v>
      </c>
      <c r="G25" s="345">
        <f t="shared" si="13"/>
        <v>0.82384726927852081</v>
      </c>
      <c r="H25" s="344">
        <f t="shared" si="14"/>
        <v>-864.73375511174117</v>
      </c>
      <c r="I25" s="344"/>
      <c r="K25" s="422"/>
      <c r="L25" s="423"/>
      <c r="M25" s="423"/>
      <c r="N25" s="423"/>
      <c r="O25" s="423"/>
      <c r="P25" s="423"/>
      <c r="Q25" s="423"/>
      <c r="R25" s="424"/>
    </row>
    <row r="26" spans="1:19" ht="19" customHeight="1">
      <c r="A26" s="343">
        <v>9</v>
      </c>
      <c r="B26" s="344">
        <f t="shared" si="10"/>
        <v>4167.0711218965835</v>
      </c>
      <c r="C26" s="344">
        <v>5300</v>
      </c>
      <c r="D26" s="345">
        <f t="shared" si="11"/>
        <v>0.78623983432011013</v>
      </c>
      <c r="E26" s="344">
        <f t="shared" si="12"/>
        <v>-1132.9288781034165</v>
      </c>
      <c r="F26" s="344">
        <v>4886</v>
      </c>
      <c r="G26" s="345">
        <f t="shared" si="13"/>
        <v>0.85285941913560859</v>
      </c>
      <c r="H26" s="344">
        <f t="shared" si="14"/>
        <v>-718.92887810341654</v>
      </c>
      <c r="I26" s="344"/>
      <c r="K26" s="422"/>
      <c r="L26" s="423"/>
      <c r="M26" s="423"/>
      <c r="N26" s="423"/>
      <c r="O26" s="423"/>
      <c r="P26" s="423"/>
      <c r="Q26" s="423"/>
      <c r="R26" s="424"/>
    </row>
    <row r="27" spans="1:19" ht="19" customHeight="1">
      <c r="A27" s="346" t="s">
        <v>2</v>
      </c>
      <c r="B27" s="347">
        <f t="shared" si="10"/>
        <v>3963.7470213581973</v>
      </c>
      <c r="C27" s="347">
        <f>C9/C18</f>
        <v>5300</v>
      </c>
      <c r="D27" s="348">
        <f t="shared" si="11"/>
        <v>0.7478767964826788</v>
      </c>
      <c r="E27" s="347">
        <f>B27-C27</f>
        <v>-1336.2529786418027</v>
      </c>
      <c r="F27" s="347">
        <f>F9/F18</f>
        <v>4949.7861635220124</v>
      </c>
      <c r="G27" s="345">
        <f t="shared" si="13"/>
        <v>0.80079156763770165</v>
      </c>
      <c r="H27" s="344">
        <f t="shared" si="14"/>
        <v>-986.03914216381509</v>
      </c>
      <c r="I27" s="347"/>
      <c r="K27" s="422"/>
      <c r="L27" s="423"/>
      <c r="M27" s="423"/>
      <c r="N27" s="423"/>
      <c r="O27" s="423"/>
      <c r="P27" s="423"/>
      <c r="Q27" s="423"/>
      <c r="R27" s="424"/>
    </row>
    <row r="28" spans="1:19" ht="11" customHeight="1">
      <c r="K28" s="422"/>
      <c r="L28" s="423"/>
      <c r="M28" s="423"/>
      <c r="N28" s="423"/>
      <c r="O28" s="423"/>
      <c r="P28" s="423"/>
      <c r="Q28" s="423"/>
      <c r="R28" s="424"/>
    </row>
    <row r="29" spans="1:19" ht="19" customHeight="1">
      <c r="A29" s="339" t="s">
        <v>372</v>
      </c>
      <c r="K29" s="422"/>
      <c r="L29" s="423"/>
      <c r="M29" s="423"/>
      <c r="N29" s="423"/>
      <c r="O29" s="423"/>
      <c r="P29" s="423"/>
      <c r="Q29" s="423"/>
      <c r="R29" s="424"/>
    </row>
    <row r="30" spans="1:19" s="340" customFormat="1" ht="19" customHeight="1">
      <c r="A30" s="341" t="s">
        <v>63</v>
      </c>
      <c r="B30" s="341" t="s">
        <v>51</v>
      </c>
      <c r="C30" s="341" t="s">
        <v>346</v>
      </c>
      <c r="D30" s="341" t="s">
        <v>347</v>
      </c>
      <c r="E30" s="341" t="s">
        <v>348</v>
      </c>
      <c r="F30" s="341" t="s">
        <v>347</v>
      </c>
      <c r="G30" s="341" t="s">
        <v>349</v>
      </c>
      <c r="H30" s="341" t="s">
        <v>347</v>
      </c>
      <c r="I30" s="341" t="s">
        <v>351</v>
      </c>
      <c r="J30" s="376"/>
      <c r="K30" s="422"/>
      <c r="L30" s="423"/>
      <c r="M30" s="423"/>
      <c r="N30" s="423"/>
      <c r="O30" s="423"/>
      <c r="P30" s="423"/>
      <c r="Q30" s="423"/>
      <c r="R30" s="424"/>
    </row>
    <row r="31" spans="1:19" ht="19" customHeight="1">
      <c r="A31" s="343">
        <v>5</v>
      </c>
      <c r="B31" s="344">
        <v>506</v>
      </c>
      <c r="C31" s="344">
        <v>205</v>
      </c>
      <c r="D31" s="348">
        <f t="shared" ref="D31:D35" si="15">C31/B31</f>
        <v>0.40513833992094861</v>
      </c>
      <c r="E31" s="344">
        <v>7</v>
      </c>
      <c r="F31" s="348">
        <f t="shared" ref="F31:F35" si="16">E31/B31</f>
        <v>1.383399209486166E-2</v>
      </c>
      <c r="G31" s="344">
        <v>2</v>
      </c>
      <c r="H31" s="348">
        <f t="shared" ref="H31:H35" si="17">G31/B31</f>
        <v>3.952569169960474E-3</v>
      </c>
      <c r="I31" s="342">
        <f>C31+E31+G31</f>
        <v>214</v>
      </c>
      <c r="K31" s="422"/>
      <c r="L31" s="423"/>
      <c r="M31" s="423"/>
      <c r="N31" s="423"/>
      <c r="O31" s="423"/>
      <c r="P31" s="423"/>
      <c r="Q31" s="423"/>
      <c r="R31" s="424"/>
    </row>
    <row r="32" spans="1:19" ht="19" customHeight="1">
      <c r="A32" s="343">
        <v>6</v>
      </c>
      <c r="B32" s="344">
        <v>5309</v>
      </c>
      <c r="C32" s="344">
        <v>2074</v>
      </c>
      <c r="D32" s="348">
        <f t="shared" si="15"/>
        <v>0.39065737427010738</v>
      </c>
      <c r="E32" s="344">
        <v>80</v>
      </c>
      <c r="F32" s="348">
        <f t="shared" si="16"/>
        <v>1.5068751177246186E-2</v>
      </c>
      <c r="G32" s="344">
        <v>9</v>
      </c>
      <c r="H32" s="348">
        <f t="shared" si="17"/>
        <v>1.6952345074401959E-3</v>
      </c>
      <c r="I32" s="342">
        <f t="shared" ref="I32:I36" si="18">C32+E32+G32</f>
        <v>2163</v>
      </c>
      <c r="K32" s="422"/>
      <c r="L32" s="423"/>
      <c r="M32" s="423"/>
      <c r="N32" s="423"/>
      <c r="O32" s="423"/>
      <c r="P32" s="423"/>
      <c r="Q32" s="423"/>
      <c r="R32" s="424"/>
    </row>
    <row r="33" spans="1:18" ht="19" customHeight="1">
      <c r="A33" s="343">
        <v>7</v>
      </c>
      <c r="B33" s="344">
        <v>11036</v>
      </c>
      <c r="C33" s="344">
        <v>5792</v>
      </c>
      <c r="D33" s="348">
        <f t="shared" si="15"/>
        <v>0.52482783617252626</v>
      </c>
      <c r="E33" s="344">
        <v>190</v>
      </c>
      <c r="F33" s="348">
        <f t="shared" si="16"/>
        <v>1.7216382747372236E-2</v>
      </c>
      <c r="G33" s="344">
        <v>161</v>
      </c>
      <c r="H33" s="348">
        <f t="shared" si="17"/>
        <v>1.4588619064878579E-2</v>
      </c>
      <c r="I33" s="342">
        <f t="shared" si="18"/>
        <v>6143</v>
      </c>
      <c r="K33" s="422"/>
      <c r="L33" s="423"/>
      <c r="M33" s="423"/>
      <c r="N33" s="423"/>
      <c r="O33" s="423"/>
      <c r="P33" s="423"/>
      <c r="Q33" s="423"/>
      <c r="R33" s="424"/>
    </row>
    <row r="34" spans="1:18" ht="19" customHeight="1">
      <c r="A34" s="343">
        <v>8</v>
      </c>
      <c r="B34" s="344">
        <v>11093</v>
      </c>
      <c r="C34" s="344">
        <v>5149</v>
      </c>
      <c r="D34" s="348">
        <f t="shared" si="15"/>
        <v>0.46416659154421708</v>
      </c>
      <c r="E34" s="344">
        <v>271</v>
      </c>
      <c r="F34" s="348">
        <f t="shared" si="16"/>
        <v>2.4429820607590372E-2</v>
      </c>
      <c r="G34" s="344">
        <v>77</v>
      </c>
      <c r="H34" s="348">
        <f t="shared" si="17"/>
        <v>6.9413143423780761E-3</v>
      </c>
      <c r="I34" s="342">
        <f t="shared" si="18"/>
        <v>5497</v>
      </c>
      <c r="K34" s="422"/>
      <c r="L34" s="423"/>
      <c r="M34" s="423"/>
      <c r="N34" s="423"/>
      <c r="O34" s="423"/>
      <c r="P34" s="423"/>
      <c r="Q34" s="423"/>
      <c r="R34" s="424"/>
    </row>
    <row r="35" spans="1:18" ht="19" customHeight="1">
      <c r="A35" s="343">
        <v>9</v>
      </c>
      <c r="B35" s="344">
        <v>974</v>
      </c>
      <c r="C35" s="344">
        <v>314</v>
      </c>
      <c r="D35" s="348">
        <f t="shared" si="15"/>
        <v>0.32238193018480493</v>
      </c>
      <c r="E35" s="344">
        <v>34</v>
      </c>
      <c r="F35" s="348">
        <f t="shared" si="16"/>
        <v>3.4907597535934289E-2</v>
      </c>
      <c r="G35" s="344">
        <v>9</v>
      </c>
      <c r="H35" s="348">
        <f t="shared" si="17"/>
        <v>9.2402464065708418E-3</v>
      </c>
      <c r="I35" s="342">
        <f t="shared" si="18"/>
        <v>357</v>
      </c>
      <c r="K35" s="422"/>
      <c r="L35" s="423"/>
      <c r="M35" s="423"/>
      <c r="N35" s="423"/>
      <c r="O35" s="423"/>
      <c r="P35" s="423"/>
      <c r="Q35" s="423"/>
      <c r="R35" s="424"/>
    </row>
    <row r="36" spans="1:18" ht="19" customHeight="1" thickBot="1">
      <c r="A36" s="346" t="s">
        <v>2</v>
      </c>
      <c r="B36" s="347">
        <f>SUM(B31:B35)</f>
        <v>28918</v>
      </c>
      <c r="C36" s="347">
        <f>SUM(C31:C35)</f>
        <v>13534</v>
      </c>
      <c r="D36" s="348">
        <f>C36/B36</f>
        <v>0.46801300228231552</v>
      </c>
      <c r="E36" s="347">
        <f>SUM(E31:E35)</f>
        <v>582</v>
      </c>
      <c r="F36" s="348">
        <f>E36/B36</f>
        <v>2.0125873158586348E-2</v>
      </c>
      <c r="G36" s="347">
        <f>SUM(G31:G35)</f>
        <v>258</v>
      </c>
      <c r="H36" s="348">
        <f>G36/B36</f>
        <v>8.9217788228784841E-3</v>
      </c>
      <c r="I36" s="347">
        <f t="shared" si="18"/>
        <v>14374</v>
      </c>
      <c r="K36" s="425"/>
      <c r="L36" s="426"/>
      <c r="M36" s="426"/>
      <c r="N36" s="426"/>
      <c r="O36" s="426"/>
      <c r="P36" s="426"/>
      <c r="Q36" s="426"/>
      <c r="R36" s="427"/>
    </row>
    <row r="37" spans="1:18" s="340" customFormat="1" ht="19" customHeight="1" thickTop="1">
      <c r="A37" s="341" t="s">
        <v>63</v>
      </c>
      <c r="B37" s="341" t="s">
        <v>51</v>
      </c>
      <c r="C37" s="351" t="s">
        <v>350</v>
      </c>
      <c r="D37" s="352" t="s">
        <v>347</v>
      </c>
      <c r="E37" s="357" t="s">
        <v>352</v>
      </c>
      <c r="F37" s="358" t="s">
        <v>347</v>
      </c>
      <c r="G37" s="359" t="s">
        <v>353</v>
      </c>
      <c r="H37" s="360" t="s">
        <v>347</v>
      </c>
      <c r="I37" s="354"/>
      <c r="J37" s="376"/>
      <c r="K37" s="368"/>
      <c r="L37" s="368"/>
      <c r="M37" s="368"/>
      <c r="N37" s="368"/>
      <c r="O37" s="368"/>
      <c r="P37" s="368"/>
      <c r="Q37" s="368"/>
      <c r="R37" s="368"/>
    </row>
    <row r="38" spans="1:18" ht="19" customHeight="1">
      <c r="A38" s="343">
        <v>5</v>
      </c>
      <c r="B38" s="344">
        <v>506</v>
      </c>
      <c r="C38" s="344">
        <v>0</v>
      </c>
      <c r="D38" s="353">
        <f t="shared" ref="D38:D42" si="19">C38/B38</f>
        <v>0</v>
      </c>
      <c r="E38" s="361">
        <f>C38+I31</f>
        <v>214</v>
      </c>
      <c r="F38" s="348">
        <f t="shared" ref="F38:F42" si="20">E38/B38</f>
        <v>0.42292490118577075</v>
      </c>
      <c r="G38" s="344">
        <f>B38-E38</f>
        <v>292</v>
      </c>
      <c r="H38" s="362">
        <f t="shared" ref="H38:H42" si="21">G38/B38</f>
        <v>0.57707509881422925</v>
      </c>
      <c r="I38" s="355"/>
      <c r="K38" s="428" t="s">
        <v>376</v>
      </c>
      <c r="L38" s="428"/>
      <c r="M38" s="368"/>
      <c r="N38" s="368"/>
      <c r="O38" s="368"/>
      <c r="P38" s="368"/>
      <c r="Q38" s="368"/>
      <c r="R38" s="368"/>
    </row>
    <row r="39" spans="1:18" ht="19" customHeight="1">
      <c r="A39" s="343">
        <v>6</v>
      </c>
      <c r="B39" s="344">
        <v>5309</v>
      </c>
      <c r="C39" s="344">
        <v>0</v>
      </c>
      <c r="D39" s="353">
        <f t="shared" si="19"/>
        <v>0</v>
      </c>
      <c r="E39" s="361">
        <f>C39+I32</f>
        <v>2163</v>
      </c>
      <c r="F39" s="348">
        <f t="shared" si="20"/>
        <v>0.40742135995479373</v>
      </c>
      <c r="G39" s="344">
        <f t="shared" ref="G39:G42" si="22">B39-E39</f>
        <v>3146</v>
      </c>
      <c r="H39" s="362">
        <f t="shared" si="21"/>
        <v>0.59257864004520622</v>
      </c>
      <c r="I39" s="355"/>
      <c r="K39" s="392" t="s">
        <v>382</v>
      </c>
      <c r="L39" s="393"/>
      <c r="M39" s="393"/>
      <c r="N39" s="393"/>
      <c r="O39" s="393"/>
      <c r="P39" s="393"/>
      <c r="Q39" s="393"/>
      <c r="R39" s="394"/>
    </row>
    <row r="40" spans="1:18" ht="19" customHeight="1">
      <c r="A40" s="343">
        <v>7</v>
      </c>
      <c r="B40" s="344">
        <v>11036</v>
      </c>
      <c r="C40" s="344">
        <v>107</v>
      </c>
      <c r="D40" s="353">
        <f t="shared" si="19"/>
        <v>9.6955418629938381E-3</v>
      </c>
      <c r="E40" s="361">
        <f>C40+I33</f>
        <v>6250</v>
      </c>
      <c r="F40" s="348">
        <f t="shared" si="20"/>
        <v>0.56632837984777096</v>
      </c>
      <c r="G40" s="344">
        <f t="shared" si="22"/>
        <v>4786</v>
      </c>
      <c r="H40" s="362">
        <f t="shared" si="21"/>
        <v>0.43367162015222904</v>
      </c>
      <c r="I40" s="355"/>
      <c r="K40" s="395"/>
      <c r="L40" s="396"/>
      <c r="M40" s="396"/>
      <c r="N40" s="396"/>
      <c r="O40" s="396"/>
      <c r="P40" s="396"/>
      <c r="Q40" s="396"/>
      <c r="R40" s="397"/>
    </row>
    <row r="41" spans="1:18" ht="19" customHeight="1">
      <c r="A41" s="343">
        <v>8</v>
      </c>
      <c r="B41" s="344">
        <v>11093</v>
      </c>
      <c r="C41" s="344">
        <v>765</v>
      </c>
      <c r="D41" s="353">
        <f t="shared" si="19"/>
        <v>6.8962408726223751E-2</v>
      </c>
      <c r="E41" s="361">
        <f>C41+I34</f>
        <v>6262</v>
      </c>
      <c r="F41" s="348">
        <f t="shared" si="20"/>
        <v>0.56450013522040932</v>
      </c>
      <c r="G41" s="344">
        <f t="shared" si="22"/>
        <v>4831</v>
      </c>
      <c r="H41" s="362">
        <f t="shared" si="21"/>
        <v>0.43549986477959074</v>
      </c>
      <c r="I41" s="355"/>
      <c r="K41" s="395"/>
      <c r="L41" s="396"/>
      <c r="M41" s="396"/>
      <c r="N41" s="396"/>
      <c r="O41" s="396"/>
      <c r="P41" s="396"/>
      <c r="Q41" s="396"/>
      <c r="R41" s="397"/>
    </row>
    <row r="42" spans="1:18" ht="19" customHeight="1">
      <c r="A42" s="343">
        <v>9</v>
      </c>
      <c r="B42" s="344">
        <v>974</v>
      </c>
      <c r="C42" s="344">
        <v>240</v>
      </c>
      <c r="D42" s="353">
        <f t="shared" si="19"/>
        <v>0.24640657084188911</v>
      </c>
      <c r="E42" s="361">
        <f>C42+I35</f>
        <v>597</v>
      </c>
      <c r="F42" s="348">
        <f t="shared" si="20"/>
        <v>0.61293634496919913</v>
      </c>
      <c r="G42" s="344">
        <f t="shared" si="22"/>
        <v>377</v>
      </c>
      <c r="H42" s="362">
        <f t="shared" si="21"/>
        <v>0.38706365503080081</v>
      </c>
      <c r="I42" s="355"/>
      <c r="K42" s="395"/>
      <c r="L42" s="396"/>
      <c r="M42" s="396"/>
      <c r="N42" s="396"/>
      <c r="O42" s="396"/>
      <c r="P42" s="396"/>
      <c r="Q42" s="396"/>
      <c r="R42" s="397"/>
    </row>
    <row r="43" spans="1:18" ht="19" customHeight="1" thickBot="1">
      <c r="A43" s="346" t="s">
        <v>2</v>
      </c>
      <c r="B43" s="347">
        <f>SUM(B38:B42)</f>
        <v>28918</v>
      </c>
      <c r="C43" s="347">
        <f>SUM(C38:C42)</f>
        <v>1112</v>
      </c>
      <c r="D43" s="353">
        <f>C43/B43</f>
        <v>3.845355833736773E-2</v>
      </c>
      <c r="E43" s="363">
        <f>SUM(E38:E42)</f>
        <v>15486</v>
      </c>
      <c r="F43" s="364">
        <f>E43/B43</f>
        <v>0.53551421260114807</v>
      </c>
      <c r="G43" s="365">
        <f>SUM(G38:G42)</f>
        <v>13432</v>
      </c>
      <c r="H43" s="366">
        <f>G43/B43</f>
        <v>0.46448578739885193</v>
      </c>
      <c r="I43" s="356"/>
      <c r="K43" s="395"/>
      <c r="L43" s="396"/>
      <c r="M43" s="396"/>
      <c r="N43" s="396"/>
      <c r="O43" s="396"/>
      <c r="P43" s="396"/>
      <c r="Q43" s="396"/>
      <c r="R43" s="397"/>
    </row>
    <row r="44" spans="1:18" ht="11" customHeight="1" thickTop="1">
      <c r="K44" s="395"/>
      <c r="L44" s="396"/>
      <c r="M44" s="396"/>
      <c r="N44" s="396"/>
      <c r="O44" s="396"/>
      <c r="P44" s="396"/>
      <c r="Q44" s="396"/>
      <c r="R44" s="397"/>
    </row>
    <row r="45" spans="1:18" s="375" customFormat="1" ht="19" customHeight="1" thickBot="1">
      <c r="A45" s="375" t="s">
        <v>373</v>
      </c>
      <c r="J45" s="380"/>
      <c r="K45" s="395"/>
      <c r="L45" s="396"/>
      <c r="M45" s="396"/>
      <c r="N45" s="396"/>
      <c r="O45" s="396"/>
      <c r="P45" s="396"/>
      <c r="Q45" s="396"/>
      <c r="R45" s="397"/>
    </row>
    <row r="46" spans="1:18" s="340" customFormat="1" ht="19" customHeight="1" thickTop="1">
      <c r="A46" s="341" t="s">
        <v>63</v>
      </c>
      <c r="B46" s="341" t="s">
        <v>358</v>
      </c>
      <c r="C46" s="341" t="s">
        <v>354</v>
      </c>
      <c r="D46" s="341" t="s">
        <v>347</v>
      </c>
      <c r="E46" s="341" t="s">
        <v>355</v>
      </c>
      <c r="F46" s="341" t="s">
        <v>347</v>
      </c>
      <c r="G46" s="341" t="s">
        <v>356</v>
      </c>
      <c r="H46" s="352" t="s">
        <v>347</v>
      </c>
      <c r="I46" s="386" t="s">
        <v>357</v>
      </c>
      <c r="J46" s="376"/>
      <c r="K46" s="395"/>
      <c r="L46" s="396"/>
      <c r="M46" s="396"/>
      <c r="N46" s="396"/>
      <c r="O46" s="396"/>
      <c r="P46" s="396"/>
      <c r="Q46" s="396"/>
      <c r="R46" s="397"/>
    </row>
    <row r="47" spans="1:18" ht="19" customHeight="1">
      <c r="A47" s="343">
        <v>5</v>
      </c>
      <c r="B47" s="344">
        <v>122</v>
      </c>
      <c r="C47" s="344">
        <v>13</v>
      </c>
      <c r="D47" s="367">
        <f t="shared" ref="D47:D51" si="23">C47/B47</f>
        <v>0.10655737704918032</v>
      </c>
      <c r="E47" s="344">
        <v>16</v>
      </c>
      <c r="F47" s="367">
        <f t="shared" ref="F47:F51" si="24">E47/B47</f>
        <v>0.13114754098360656</v>
      </c>
      <c r="G47" s="344">
        <f>B47-C47-E47</f>
        <v>93</v>
      </c>
      <c r="H47" s="353">
        <f t="shared" ref="H47:H51" si="25">G47/B47</f>
        <v>0.76229508196721307</v>
      </c>
      <c r="I47" s="387">
        <f>C47/(C47+E47)</f>
        <v>0.44827586206896552</v>
      </c>
      <c r="K47" s="395"/>
      <c r="L47" s="396"/>
      <c r="M47" s="396"/>
      <c r="N47" s="396"/>
      <c r="O47" s="396"/>
      <c r="P47" s="396"/>
      <c r="Q47" s="396"/>
      <c r="R47" s="397"/>
    </row>
    <row r="48" spans="1:18" ht="19" customHeight="1">
      <c r="A48" s="343">
        <v>6</v>
      </c>
      <c r="B48" s="344">
        <v>2015</v>
      </c>
      <c r="C48" s="344">
        <v>240</v>
      </c>
      <c r="D48" s="367">
        <f t="shared" si="23"/>
        <v>0.11910669975186104</v>
      </c>
      <c r="E48" s="344">
        <v>51</v>
      </c>
      <c r="F48" s="367">
        <f t="shared" si="24"/>
        <v>2.5310173697270472E-2</v>
      </c>
      <c r="G48" s="344">
        <f>B48-C48-E48</f>
        <v>1724</v>
      </c>
      <c r="H48" s="353">
        <f t="shared" si="25"/>
        <v>0.85558312655086843</v>
      </c>
      <c r="I48" s="387">
        <f>C48/(C48+E48)</f>
        <v>0.82474226804123707</v>
      </c>
      <c r="K48" s="395"/>
      <c r="L48" s="396"/>
      <c r="M48" s="396"/>
      <c r="N48" s="396"/>
      <c r="O48" s="396"/>
      <c r="P48" s="396"/>
      <c r="Q48" s="396"/>
      <c r="R48" s="397"/>
    </row>
    <row r="49" spans="1:18" ht="19" customHeight="1">
      <c r="A49" s="343">
        <v>7</v>
      </c>
      <c r="B49" s="344">
        <v>3542</v>
      </c>
      <c r="C49" s="344">
        <v>674</v>
      </c>
      <c r="D49" s="367">
        <f t="shared" si="23"/>
        <v>0.19028797289666854</v>
      </c>
      <c r="E49" s="344">
        <v>160</v>
      </c>
      <c r="F49" s="367">
        <f t="shared" si="24"/>
        <v>4.517221908526256E-2</v>
      </c>
      <c r="G49" s="344">
        <f t="shared" ref="G49:G51" si="26">B49-C49-E49</f>
        <v>2708</v>
      </c>
      <c r="H49" s="353">
        <f t="shared" si="25"/>
        <v>0.76453980801806887</v>
      </c>
      <c r="I49" s="387">
        <f t="shared" ref="I49" si="27">C49/(C49+E49)</f>
        <v>0.80815347721822539</v>
      </c>
      <c r="K49" s="395"/>
      <c r="L49" s="396"/>
      <c r="M49" s="396"/>
      <c r="N49" s="396"/>
      <c r="O49" s="396"/>
      <c r="P49" s="396"/>
      <c r="Q49" s="396"/>
      <c r="R49" s="397"/>
    </row>
    <row r="50" spans="1:18" ht="19" customHeight="1">
      <c r="A50" s="343">
        <v>8</v>
      </c>
      <c r="B50" s="344">
        <v>3618</v>
      </c>
      <c r="C50" s="344">
        <v>885</v>
      </c>
      <c r="D50" s="367">
        <f t="shared" si="23"/>
        <v>0.24461028192371476</v>
      </c>
      <c r="E50" s="344">
        <v>156</v>
      </c>
      <c r="F50" s="367">
        <f t="shared" si="24"/>
        <v>4.3117744610281922E-2</v>
      </c>
      <c r="G50" s="344">
        <f t="shared" si="26"/>
        <v>2577</v>
      </c>
      <c r="H50" s="353">
        <f t="shared" si="25"/>
        <v>0.71227197346600335</v>
      </c>
      <c r="I50" s="387">
        <f>C50/(C50+E50)</f>
        <v>0.85014409221902021</v>
      </c>
      <c r="K50" s="395"/>
      <c r="L50" s="396"/>
      <c r="M50" s="396"/>
      <c r="N50" s="396"/>
      <c r="O50" s="396"/>
      <c r="P50" s="396"/>
      <c r="Q50" s="396"/>
      <c r="R50" s="397"/>
    </row>
    <row r="51" spans="1:18" ht="19" customHeight="1">
      <c r="A51" s="343">
        <v>9</v>
      </c>
      <c r="B51" s="344">
        <v>340</v>
      </c>
      <c r="C51" s="344">
        <v>125</v>
      </c>
      <c r="D51" s="367">
        <f t="shared" si="23"/>
        <v>0.36764705882352944</v>
      </c>
      <c r="E51" s="344">
        <v>19</v>
      </c>
      <c r="F51" s="367">
        <f t="shared" si="24"/>
        <v>5.5882352941176473E-2</v>
      </c>
      <c r="G51" s="344">
        <f t="shared" si="26"/>
        <v>196</v>
      </c>
      <c r="H51" s="353">
        <f t="shared" si="25"/>
        <v>0.57647058823529407</v>
      </c>
      <c r="I51" s="387">
        <f t="shared" ref="I51:I52" si="28">C51/(C51+E51)</f>
        <v>0.86805555555555558</v>
      </c>
      <c r="K51" s="395"/>
      <c r="L51" s="396"/>
      <c r="M51" s="396"/>
      <c r="N51" s="396"/>
      <c r="O51" s="396"/>
      <c r="P51" s="396"/>
      <c r="Q51" s="396"/>
      <c r="R51" s="397"/>
    </row>
    <row r="52" spans="1:18" ht="18" customHeight="1" thickBot="1">
      <c r="A52" s="346" t="s">
        <v>2</v>
      </c>
      <c r="B52" s="347">
        <f>SUM(B47:B51)</f>
        <v>9637</v>
      </c>
      <c r="C52" s="347">
        <f>SUM(C47:C51)</f>
        <v>1937</v>
      </c>
      <c r="D52" s="367">
        <f>C52/B52</f>
        <v>0.20099616063090173</v>
      </c>
      <c r="E52" s="347">
        <f>SUM(E47:E51)</f>
        <v>402</v>
      </c>
      <c r="F52" s="367">
        <f>E52/B52</f>
        <v>4.1714226419010063E-2</v>
      </c>
      <c r="G52" s="347">
        <f>SUM(G47:G51)</f>
        <v>7298</v>
      </c>
      <c r="H52" s="353">
        <f>G52/B52</f>
        <v>0.75728961295008823</v>
      </c>
      <c r="I52" s="388">
        <f t="shared" si="28"/>
        <v>0.82813168020521588</v>
      </c>
      <c r="K52" s="398"/>
      <c r="L52" s="399"/>
      <c r="M52" s="399"/>
      <c r="N52" s="399"/>
      <c r="O52" s="399"/>
      <c r="P52" s="399"/>
      <c r="Q52" s="399"/>
      <c r="R52" s="400"/>
    </row>
    <row r="53" spans="1:18" ht="18" customHeight="1" thickTop="1"/>
  </sheetData>
  <mergeCells count="5">
    <mergeCell ref="K39:R52"/>
    <mergeCell ref="K3:R9"/>
    <mergeCell ref="K12:R18"/>
    <mergeCell ref="K21:R36"/>
    <mergeCell ref="K38:L38"/>
  </mergeCells>
  <phoneticPr fontId="1"/>
  <pageMargins left="0.7" right="0.7" top="0.75" bottom="0.75" header="0.3" footer="0.3"/>
  <pageSetup paperSize="9" scale="50" orientation="landscape" horizontalDpi="0" verticalDpi="0"/>
  <rowBreaks count="1" manualBreakCount="1">
    <brk id="9" max="17" man="1"/>
  </rowBreaks>
  <colBreaks count="1" manualBreakCount="1">
    <brk id="5" max="51"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4F019-48DF-C14A-A176-EDC5F77FDB9D}">
  <sheetPr>
    <tabColor rgb="FFFFFF00"/>
  </sheetPr>
  <dimension ref="A1:AF28"/>
  <sheetViews>
    <sheetView zoomScale="57" workbookViewId="0">
      <selection activeCell="Q5" sqref="Q5"/>
    </sheetView>
  </sheetViews>
  <sheetFormatPr baseColWidth="10" defaultRowHeight="17"/>
  <cols>
    <col min="1" max="1" width="16.33203125" customWidth="1"/>
    <col min="2" max="2" width="16.33203125" style="84" customWidth="1"/>
    <col min="3" max="9" width="16.33203125" customWidth="1"/>
    <col min="10" max="10" width="17.6640625" customWidth="1"/>
    <col min="11" max="11" width="22.1640625" customWidth="1"/>
    <col min="12" max="13" width="16.33203125" customWidth="1"/>
    <col min="14" max="16" width="22.1640625" customWidth="1"/>
    <col min="17" max="17" width="22.1640625" style="132" customWidth="1"/>
    <col min="18" max="18" width="22.1640625" customWidth="1"/>
    <col min="22" max="22" width="14" customWidth="1"/>
    <col min="24" max="24" width="19" customWidth="1"/>
    <col min="25" max="26" width="14" customWidth="1"/>
    <col min="27" max="27" width="23.1640625" style="223" customWidth="1"/>
    <col min="28" max="28" width="15.1640625" customWidth="1"/>
  </cols>
  <sheetData>
    <row r="1" spans="1:32" s="87" customFormat="1" ht="58" customHeight="1" thickBot="1">
      <c r="A1" s="153" t="s">
        <v>92</v>
      </c>
      <c r="B1" s="88"/>
      <c r="Q1" s="131"/>
      <c r="AA1" s="222"/>
    </row>
    <row r="2" spans="1:32" s="87" customFormat="1" ht="32" customHeight="1" thickTop="1" thickBot="1">
      <c r="A2" s="143"/>
      <c r="B2" s="442" t="s">
        <v>89</v>
      </c>
      <c r="C2" s="443"/>
      <c r="D2" s="444"/>
      <c r="E2" s="445" t="s">
        <v>90</v>
      </c>
      <c r="F2" s="445"/>
      <c r="G2" s="445"/>
      <c r="H2" s="445"/>
      <c r="I2" s="445"/>
      <c r="J2" s="446"/>
      <c r="K2" s="440" t="s">
        <v>100</v>
      </c>
      <c r="L2" s="440"/>
      <c r="M2" s="440"/>
      <c r="N2" s="440"/>
      <c r="O2" s="440"/>
      <c r="P2" s="440"/>
      <c r="Q2" s="441"/>
      <c r="R2" s="447" t="s">
        <v>105</v>
      </c>
      <c r="S2" s="448"/>
      <c r="T2" s="448"/>
      <c r="U2" s="448"/>
      <c r="V2" s="448"/>
      <c r="W2" s="448"/>
      <c r="X2" s="449"/>
      <c r="Y2" s="438" t="s">
        <v>113</v>
      </c>
      <c r="Z2" s="439"/>
      <c r="AA2" s="222" t="s">
        <v>377</v>
      </c>
    </row>
    <row r="3" spans="1:32" s="85" customFormat="1" ht="32" customHeight="1" thickTop="1">
      <c r="A3" s="92" t="s">
        <v>63</v>
      </c>
      <c r="B3" s="145" t="s">
        <v>62</v>
      </c>
      <c r="C3" s="146" t="s">
        <v>51</v>
      </c>
      <c r="D3" s="148" t="s">
        <v>43</v>
      </c>
      <c r="E3" s="161" t="s">
        <v>93</v>
      </c>
      <c r="F3" s="146" t="s">
        <v>85</v>
      </c>
      <c r="G3" s="147" t="s">
        <v>86</v>
      </c>
      <c r="H3" s="148" t="s">
        <v>64</v>
      </c>
      <c r="I3" s="149" t="s">
        <v>38</v>
      </c>
      <c r="J3" s="150" t="s">
        <v>69</v>
      </c>
      <c r="K3" s="151" t="s">
        <v>88</v>
      </c>
      <c r="L3" s="146" t="s">
        <v>82</v>
      </c>
      <c r="M3" s="146" t="s">
        <v>69</v>
      </c>
      <c r="N3" s="146" t="s">
        <v>84</v>
      </c>
      <c r="O3" s="146" t="s">
        <v>85</v>
      </c>
      <c r="P3" s="146" t="s">
        <v>91</v>
      </c>
      <c r="Q3" s="152" t="s">
        <v>374</v>
      </c>
      <c r="R3" s="232" t="s">
        <v>83</v>
      </c>
      <c r="S3" s="233" t="s">
        <v>99</v>
      </c>
      <c r="T3" s="233" t="s">
        <v>101</v>
      </c>
      <c r="U3" s="234" t="s">
        <v>102</v>
      </c>
      <c r="V3" s="234" t="s">
        <v>103</v>
      </c>
      <c r="W3" s="234" t="s">
        <v>104</v>
      </c>
      <c r="X3" s="235" t="s">
        <v>40</v>
      </c>
      <c r="Y3" s="236" t="s">
        <v>110</v>
      </c>
      <c r="Z3" s="237" t="s">
        <v>112</v>
      </c>
      <c r="AA3" s="220">
        <f>K9</f>
        <v>114623636.36363634</v>
      </c>
    </row>
    <row r="4" spans="1:32" s="86" customFormat="1" ht="36" customHeight="1">
      <c r="A4" s="93">
        <v>5</v>
      </c>
      <c r="B4" s="140">
        <v>6890000</v>
      </c>
      <c r="C4" s="90">
        <v>1300</v>
      </c>
      <c r="D4" s="159">
        <f>B4/C4</f>
        <v>5300</v>
      </c>
      <c r="E4" s="217">
        <v>310</v>
      </c>
      <c r="F4" s="218">
        <f>I4/E4</f>
        <v>6332.2580645161288</v>
      </c>
      <c r="G4" s="218">
        <f>E4*R4</f>
        <v>526437.80737704912</v>
      </c>
      <c r="H4" s="219">
        <f>G4/B4</f>
        <v>7.6406067834114536E-2</v>
      </c>
      <c r="I4" s="139">
        <v>1963000</v>
      </c>
      <c r="J4" s="137">
        <f>I4/B4</f>
        <v>0.28490566037735848</v>
      </c>
      <c r="K4" s="138">
        <f>'2023.5月実績'!P93</f>
        <v>1795227.2727272725</v>
      </c>
      <c r="L4" s="136">
        <f>K4/I4</f>
        <v>0.91453248738016935</v>
      </c>
      <c r="M4" s="136">
        <f>K4/B4</f>
        <v>0.26055548225359543</v>
      </c>
      <c r="N4" s="164">
        <f>T4+U4</f>
        <v>488</v>
      </c>
      <c r="O4" s="162">
        <f>K4/N4</f>
        <v>3678.7444113263782</v>
      </c>
      <c r="P4" s="163">
        <f>Q4/K4</f>
        <v>0.46162121787568056</v>
      </c>
      <c r="Q4" s="216">
        <f t="shared" ref="Q4:Q8" si="0">X4</f>
        <v>828715</v>
      </c>
      <c r="R4" s="226">
        <f>Q4/N4</f>
        <v>1698.186475409836</v>
      </c>
      <c r="S4" s="227">
        <v>5</v>
      </c>
      <c r="T4" s="227">
        <v>479.5</v>
      </c>
      <c r="U4" s="227">
        <v>8.5</v>
      </c>
      <c r="V4" s="90">
        <v>759715</v>
      </c>
      <c r="W4" s="90">
        <v>69000</v>
      </c>
      <c r="X4" s="228">
        <f>V4+W4</f>
        <v>828715</v>
      </c>
      <c r="Y4" s="238">
        <v>150000</v>
      </c>
      <c r="Z4" s="159">
        <v>30000</v>
      </c>
      <c r="AA4" s="220">
        <f>AA3*23.8%</f>
        <v>27280425.454545453</v>
      </c>
      <c r="AB4" s="86" t="s">
        <v>83</v>
      </c>
    </row>
    <row r="5" spans="1:32" s="86" customFormat="1" ht="36" customHeight="1">
      <c r="A5" s="93">
        <v>6</v>
      </c>
      <c r="B5" s="140">
        <v>25440000</v>
      </c>
      <c r="C5" s="90">
        <v>4800</v>
      </c>
      <c r="D5" s="159">
        <f t="shared" ref="D5:D9" si="1">B5/C5</f>
        <v>5300</v>
      </c>
      <c r="E5" s="217">
        <v>3555</v>
      </c>
      <c r="F5" s="218">
        <f t="shared" ref="F5:F7" si="2">I5/E5</f>
        <v>4877.0745428973278</v>
      </c>
      <c r="G5" s="218">
        <f t="shared" ref="G5:G8" si="3">E5*R5</f>
        <v>6025477.3375860332</v>
      </c>
      <c r="H5" s="219">
        <f t="shared" ref="H5:H9" si="4">G5/B5</f>
        <v>0.23685052427618056</v>
      </c>
      <c r="I5" s="139">
        <v>17338000</v>
      </c>
      <c r="J5" s="137">
        <f t="shared" ref="J5:J9" si="5">I5/B5</f>
        <v>0.68152515723270435</v>
      </c>
      <c r="K5" s="138">
        <f>'2023.6月実績'!P93</f>
        <v>19049727.27272727</v>
      </c>
      <c r="L5" s="136">
        <f t="shared" ref="L5:L9" si="6">K5/I5</f>
        <v>1.0987269161799094</v>
      </c>
      <c r="M5" s="136">
        <f t="shared" ref="M5:M9" si="7">K5/B5</f>
        <v>0.74881003430531723</v>
      </c>
      <c r="N5" s="164">
        <f>2946+32.5</f>
        <v>2978.5</v>
      </c>
      <c r="O5" s="162">
        <f>K5/N5</f>
        <v>6395.745265310482</v>
      </c>
      <c r="P5" s="163">
        <f t="shared" ref="P5:P9" si="8">Q5/K5</f>
        <v>0.26500904331725106</v>
      </c>
      <c r="Q5" s="216">
        <f t="shared" si="0"/>
        <v>5048350</v>
      </c>
      <c r="R5" s="226">
        <f>Q5/N5</f>
        <v>1694.9303340607689</v>
      </c>
      <c r="S5" s="227">
        <v>30</v>
      </c>
      <c r="T5" s="227">
        <v>2946</v>
      </c>
      <c r="U5" s="227">
        <v>32.5</v>
      </c>
      <c r="V5" s="90">
        <v>4629350</v>
      </c>
      <c r="W5" s="90">
        <v>419000</v>
      </c>
      <c r="X5" s="228">
        <f t="shared" ref="X5:X8" si="9">V5+W5</f>
        <v>5048350</v>
      </c>
      <c r="Y5" s="238">
        <v>2250000</v>
      </c>
      <c r="Z5" s="159">
        <v>75000</v>
      </c>
      <c r="AA5" s="220">
        <f>AA3*31.5%</f>
        <v>36106445.454545446</v>
      </c>
      <c r="AB5" s="86" t="s">
        <v>106</v>
      </c>
    </row>
    <row r="6" spans="1:32" s="86" customFormat="1" ht="36" customHeight="1">
      <c r="A6" s="93">
        <v>7</v>
      </c>
      <c r="B6" s="140">
        <v>25440000</v>
      </c>
      <c r="C6" s="90">
        <v>4800</v>
      </c>
      <c r="D6" s="159">
        <f t="shared" si="1"/>
        <v>5300</v>
      </c>
      <c r="E6" s="217">
        <v>4940</v>
      </c>
      <c r="F6" s="218">
        <f t="shared" si="2"/>
        <v>7088.2591093117408</v>
      </c>
      <c r="G6" s="218">
        <f t="shared" si="3"/>
        <v>8385722.8959876196</v>
      </c>
      <c r="H6" s="219">
        <f t="shared" si="4"/>
        <v>0.32962747232655737</v>
      </c>
      <c r="I6" s="139">
        <v>35016000</v>
      </c>
      <c r="J6" s="137">
        <f t="shared" si="5"/>
        <v>1.3764150943396227</v>
      </c>
      <c r="K6" s="138">
        <f>'2023.7月実績'!L93</f>
        <v>44856909.090909086</v>
      </c>
      <c r="L6" s="136">
        <f t="shared" si="6"/>
        <v>1.2810403555777099</v>
      </c>
      <c r="M6" s="136">
        <f t="shared" si="7"/>
        <v>1.7632432818753572</v>
      </c>
      <c r="N6" s="214">
        <f>4281.75+241.75</f>
        <v>4523.5</v>
      </c>
      <c r="O6" s="162">
        <f>K6/N6</f>
        <v>9916.4162906840029</v>
      </c>
      <c r="P6" s="163">
        <f t="shared" si="8"/>
        <v>0.17118228062566629</v>
      </c>
      <c r="Q6" s="216">
        <f t="shared" si="0"/>
        <v>7678708</v>
      </c>
      <c r="R6" s="226">
        <f>Q6/N6</f>
        <v>1697.5147562727975</v>
      </c>
      <c r="S6" s="227">
        <v>31</v>
      </c>
      <c r="T6" s="227">
        <v>4281.75</v>
      </c>
      <c r="U6" s="227">
        <v>241.75</v>
      </c>
      <c r="V6" s="90">
        <v>7105708</v>
      </c>
      <c r="W6" s="90">
        <v>573000</v>
      </c>
      <c r="X6" s="228">
        <f t="shared" si="9"/>
        <v>7678708</v>
      </c>
      <c r="Y6" s="239">
        <v>3100000</v>
      </c>
      <c r="Z6" s="159">
        <v>100000</v>
      </c>
      <c r="AA6" s="220">
        <f>AA3*7%</f>
        <v>8023654.5454545449</v>
      </c>
      <c r="AB6" s="86" t="s">
        <v>107</v>
      </c>
    </row>
    <row r="7" spans="1:32" s="86" customFormat="1" ht="36" customHeight="1">
      <c r="A7" s="93">
        <v>8</v>
      </c>
      <c r="B7" s="140">
        <v>25440000</v>
      </c>
      <c r="C7" s="90">
        <v>4800</v>
      </c>
      <c r="D7" s="159">
        <f t="shared" si="1"/>
        <v>5300</v>
      </c>
      <c r="E7" s="217">
        <v>5080</v>
      </c>
      <c r="F7" s="218">
        <f t="shared" si="2"/>
        <v>7826.7716535433074</v>
      </c>
      <c r="G7" s="218">
        <f t="shared" si="3"/>
        <v>9144000</v>
      </c>
      <c r="H7" s="219">
        <f t="shared" si="4"/>
        <v>0.35943396226415092</v>
      </c>
      <c r="I7" s="139">
        <v>39760000</v>
      </c>
      <c r="J7" s="137">
        <f t="shared" si="5"/>
        <v>1.5628930817610063</v>
      </c>
      <c r="K7" s="138">
        <f>'2023.8月実績'!L93</f>
        <v>44863045.454545453</v>
      </c>
      <c r="L7" s="136">
        <f t="shared" si="6"/>
        <v>1.1283462136455094</v>
      </c>
      <c r="M7" s="136">
        <f t="shared" si="7"/>
        <v>1.7634844911377929</v>
      </c>
      <c r="N7" s="164">
        <f>T7+U7</f>
        <v>4935.5</v>
      </c>
      <c r="O7" s="162">
        <f t="shared" ref="O7:O9" si="10">K7/N7</f>
        <v>9089.8683931811265</v>
      </c>
      <c r="P7" s="163">
        <f>Q7/K7</f>
        <v>0.20105168761088038</v>
      </c>
      <c r="Q7" s="216">
        <f t="shared" si="0"/>
        <v>9019791</v>
      </c>
      <c r="R7" s="226">
        <v>1800</v>
      </c>
      <c r="S7" s="227">
        <v>31</v>
      </c>
      <c r="T7" s="227">
        <v>4717.25</v>
      </c>
      <c r="U7" s="227">
        <v>218.25</v>
      </c>
      <c r="V7" s="90">
        <v>8392791</v>
      </c>
      <c r="W7" s="90">
        <v>627000</v>
      </c>
      <c r="X7" s="228">
        <f t="shared" si="9"/>
        <v>9019791</v>
      </c>
      <c r="Y7" s="238">
        <v>3100000</v>
      </c>
      <c r="Z7" s="159">
        <v>100000</v>
      </c>
      <c r="AA7" s="220">
        <f>AA3*15%</f>
        <v>17193545.454545449</v>
      </c>
      <c r="AB7" s="86" t="s">
        <v>108</v>
      </c>
      <c r="AF7" s="220"/>
    </row>
    <row r="8" spans="1:32" s="86" customFormat="1" ht="36" customHeight="1">
      <c r="A8" s="93">
        <v>9</v>
      </c>
      <c r="B8" s="140">
        <v>9275000</v>
      </c>
      <c r="C8" s="90">
        <v>1750</v>
      </c>
      <c r="D8" s="159">
        <f t="shared" si="1"/>
        <v>5300</v>
      </c>
      <c r="E8" s="217">
        <v>510</v>
      </c>
      <c r="F8" s="218">
        <f>I8/E8</f>
        <v>8431.3725490196084</v>
      </c>
      <c r="G8" s="218">
        <f t="shared" si="3"/>
        <v>950482.64972776768</v>
      </c>
      <c r="H8" s="219">
        <f t="shared" si="4"/>
        <v>0.10247791371727953</v>
      </c>
      <c r="I8" s="139">
        <v>4300000</v>
      </c>
      <c r="J8" s="137">
        <f t="shared" si="5"/>
        <v>0.46361185983827491</v>
      </c>
      <c r="K8" s="138">
        <f>'2023.9月実績'!L93</f>
        <v>4058727.2727272725</v>
      </c>
      <c r="L8" s="136">
        <f t="shared" si="6"/>
        <v>0.94389006342494708</v>
      </c>
      <c r="M8" s="136">
        <f t="shared" si="7"/>
        <v>0.43759862778730702</v>
      </c>
      <c r="N8" s="215">
        <f>T8+U8</f>
        <v>551</v>
      </c>
      <c r="O8" s="162">
        <f t="shared" si="10"/>
        <v>7366.1112027718191</v>
      </c>
      <c r="P8" s="163">
        <f t="shared" si="8"/>
        <v>0.2530088697755678</v>
      </c>
      <c r="Q8" s="216">
        <f t="shared" si="0"/>
        <v>1026894</v>
      </c>
      <c r="R8" s="226">
        <f t="shared" ref="R8:R9" si="11">Q8/N8</f>
        <v>1863.6914700544464</v>
      </c>
      <c r="S8" s="227">
        <v>3</v>
      </c>
      <c r="T8" s="227">
        <v>506</v>
      </c>
      <c r="U8" s="227">
        <v>45</v>
      </c>
      <c r="V8" s="90">
        <v>958894</v>
      </c>
      <c r="W8" s="90">
        <v>68000</v>
      </c>
      <c r="X8" s="228">
        <f t="shared" si="9"/>
        <v>1026894</v>
      </c>
      <c r="Y8" s="238">
        <v>90000</v>
      </c>
      <c r="Z8" s="159">
        <v>30000</v>
      </c>
      <c r="AA8" s="221">
        <f>Y9</f>
        <v>8690000</v>
      </c>
      <c r="AB8" s="86" t="s">
        <v>110</v>
      </c>
      <c r="AF8" s="220"/>
    </row>
    <row r="9" spans="1:32" s="89" customFormat="1" ht="36" customHeight="1" thickBot="1">
      <c r="A9" s="94" t="s">
        <v>2</v>
      </c>
      <c r="B9" s="95">
        <f>SUM(B4:B8)</f>
        <v>92485000</v>
      </c>
      <c r="C9" s="95">
        <f>SUM(C4:C8)</f>
        <v>17450</v>
      </c>
      <c r="D9" s="160">
        <f t="shared" si="1"/>
        <v>5300</v>
      </c>
      <c r="E9" s="158">
        <f>SUM(E4:E8)</f>
        <v>14395</v>
      </c>
      <c r="F9" s="95">
        <f>I9/E9</f>
        <v>6834.1090656477945</v>
      </c>
      <c r="G9" s="135">
        <f>E9*R9</f>
        <v>25211099.536971767</v>
      </c>
      <c r="H9" s="96">
        <f t="shared" si="4"/>
        <v>0.27259663228601144</v>
      </c>
      <c r="I9" s="144">
        <f>SUM(I4:I8)</f>
        <v>98377000</v>
      </c>
      <c r="J9" s="154">
        <f t="shared" si="5"/>
        <v>1.0637076282640427</v>
      </c>
      <c r="K9" s="141">
        <f>SUM(K4:K8)</f>
        <v>114623636.36363634</v>
      </c>
      <c r="L9" s="155">
        <f t="shared" si="6"/>
        <v>1.1651466944879021</v>
      </c>
      <c r="M9" s="155">
        <f t="shared" si="7"/>
        <v>1.2393754269734156</v>
      </c>
      <c r="N9" s="156">
        <f>SUM(N4:N8)</f>
        <v>13476.5</v>
      </c>
      <c r="O9" s="156">
        <f t="shared" si="10"/>
        <v>8505.4455061504359</v>
      </c>
      <c r="P9" s="373">
        <f t="shared" si="8"/>
        <v>0.20591266119949878</v>
      </c>
      <c r="Q9" s="157">
        <f>SUM(Q4:Q8)</f>
        <v>23602458</v>
      </c>
      <c r="R9" s="229">
        <f t="shared" si="11"/>
        <v>1751.3789188587541</v>
      </c>
      <c r="S9" s="230">
        <f>SUM(S4:S8)</f>
        <v>100</v>
      </c>
      <c r="T9" s="374">
        <f>SUM(T4:T8)</f>
        <v>12930.5</v>
      </c>
      <c r="U9" s="374">
        <f t="shared" ref="U9:W9" si="12">SUM(U4:U8)</f>
        <v>546</v>
      </c>
      <c r="V9" s="374">
        <f t="shared" si="12"/>
        <v>21846458</v>
      </c>
      <c r="W9" s="374">
        <f t="shared" si="12"/>
        <v>1756000</v>
      </c>
      <c r="X9" s="231">
        <f>SUM(X4:X8)</f>
        <v>23602458</v>
      </c>
      <c r="Y9" s="241">
        <f>SUM(Y4:Y8)</f>
        <v>8690000</v>
      </c>
      <c r="Z9" s="240">
        <f>SUM(Z4:Z8)</f>
        <v>335000</v>
      </c>
      <c r="AA9" s="224">
        <f>AA3*5%</f>
        <v>5731181.8181818174</v>
      </c>
      <c r="AB9" s="89" t="s">
        <v>111</v>
      </c>
      <c r="AF9" s="221"/>
    </row>
    <row r="10" spans="1:32" ht="36" customHeight="1" thickTop="1" thickBot="1">
      <c r="B10" s="84">
        <v>92485000</v>
      </c>
      <c r="C10" t="s">
        <v>67</v>
      </c>
      <c r="G10" s="91" t="s">
        <v>65</v>
      </c>
      <c r="H10" s="91"/>
      <c r="I10" s="91" t="s">
        <v>68</v>
      </c>
      <c r="K10" s="142">
        <v>43710</v>
      </c>
      <c r="L10" s="87" t="s">
        <v>87</v>
      </c>
      <c r="N10" s="88">
        <f>K9/S10</f>
        <v>1146236.3636363635</v>
      </c>
      <c r="O10" s="208">
        <f>K9-B10</f>
        <v>22138636.363636345</v>
      </c>
      <c r="P10" s="279">
        <f>K9/B10</f>
        <v>1.2393754269734156</v>
      </c>
      <c r="Q10" s="225"/>
      <c r="S10" s="86">
        <v>100</v>
      </c>
      <c r="X10" s="372">
        <f>X9/K9</f>
        <v>0.20591266119949878</v>
      </c>
      <c r="AA10" s="224">
        <f>AA3-AA4-AA5-AA6-AA7-AA8-AA9</f>
        <v>11598383.636363633</v>
      </c>
      <c r="AB10" s="89" t="s">
        <v>109</v>
      </c>
      <c r="AF10" s="84"/>
    </row>
    <row r="11" spans="1:32" ht="36" customHeight="1">
      <c r="B11" s="84">
        <f>B9-B10</f>
        <v>0</v>
      </c>
      <c r="C11" t="s">
        <v>66</v>
      </c>
      <c r="D11" s="429" t="s">
        <v>119</v>
      </c>
      <c r="E11" s="430"/>
      <c r="F11" s="430"/>
      <c r="G11" s="430"/>
      <c r="H11" s="430"/>
      <c r="I11" s="430"/>
      <c r="J11" s="430"/>
      <c r="K11" s="430"/>
      <c r="L11" s="430"/>
      <c r="M11" s="430"/>
      <c r="N11" s="430"/>
      <c r="O11" s="430"/>
      <c r="P11" s="430"/>
      <c r="Q11" s="430"/>
      <c r="R11" s="430"/>
      <c r="S11" s="430"/>
      <c r="T11" s="430"/>
      <c r="U11" s="430"/>
      <c r="V11" s="430"/>
      <c r="W11" s="430"/>
      <c r="X11" s="430"/>
      <c r="Y11" s="430"/>
      <c r="Z11" s="431"/>
      <c r="AF11" s="84"/>
    </row>
    <row r="12" spans="1:32" ht="36" customHeight="1">
      <c r="D12" s="432"/>
      <c r="E12" s="433"/>
      <c r="F12" s="433"/>
      <c r="G12" s="433"/>
      <c r="H12" s="433"/>
      <c r="I12" s="433"/>
      <c r="J12" s="433"/>
      <c r="K12" s="433"/>
      <c r="L12" s="433"/>
      <c r="M12" s="433"/>
      <c r="N12" s="433"/>
      <c r="O12" s="433"/>
      <c r="P12" s="433"/>
      <c r="Q12" s="433"/>
      <c r="R12" s="433"/>
      <c r="S12" s="433"/>
      <c r="T12" s="433"/>
      <c r="U12" s="433"/>
      <c r="V12" s="433"/>
      <c r="W12" s="433"/>
      <c r="X12" s="433"/>
      <c r="Y12" s="433"/>
      <c r="Z12" s="434"/>
      <c r="AF12" s="84"/>
    </row>
    <row r="13" spans="1:32" ht="36" customHeight="1" thickBot="1">
      <c r="D13" s="435"/>
      <c r="E13" s="436"/>
      <c r="F13" s="436"/>
      <c r="G13" s="436"/>
      <c r="H13" s="436"/>
      <c r="I13" s="436"/>
      <c r="J13" s="436"/>
      <c r="K13" s="436"/>
      <c r="L13" s="436"/>
      <c r="M13" s="436"/>
      <c r="N13" s="436"/>
      <c r="O13" s="436"/>
      <c r="P13" s="436"/>
      <c r="Q13" s="436"/>
      <c r="R13" s="436"/>
      <c r="S13" s="436"/>
      <c r="T13" s="436"/>
      <c r="U13" s="436"/>
      <c r="V13" s="436"/>
      <c r="W13" s="436"/>
      <c r="X13" s="436"/>
      <c r="Y13" s="436"/>
      <c r="Z13" s="437"/>
    </row>
    <row r="14" spans="1:32" ht="36" customHeight="1">
      <c r="I14" s="211">
        <v>100000000</v>
      </c>
      <c r="J14" t="s">
        <v>95</v>
      </c>
      <c r="K14" s="208">
        <f>B9-K9</f>
        <v>-22138636.363636345</v>
      </c>
      <c r="L14">
        <v>12</v>
      </c>
      <c r="M14" s="84">
        <f>K14/L14</f>
        <v>-1844886.3636363621</v>
      </c>
      <c r="N14">
        <v>2019</v>
      </c>
      <c r="O14" s="84">
        <v>58190982</v>
      </c>
      <c r="P14" s="209">
        <f>K9/O14</f>
        <v>1.9697835029427126</v>
      </c>
    </row>
    <row r="15" spans="1:32" ht="36" customHeight="1">
      <c r="I15" s="211">
        <v>111111111</v>
      </c>
      <c r="J15" t="s">
        <v>96</v>
      </c>
      <c r="K15" s="208">
        <f>I9-K9</f>
        <v>-16246636.363636345</v>
      </c>
      <c r="L15">
        <v>12</v>
      </c>
      <c r="M15" s="84">
        <f t="shared" ref="M15:M17" si="13">K15/L15</f>
        <v>-1353886.3636363621</v>
      </c>
      <c r="N15">
        <v>2018</v>
      </c>
      <c r="O15" s="84">
        <v>44179221</v>
      </c>
      <c r="P15" s="209">
        <f>K9/O15</f>
        <v>2.5945146557390939</v>
      </c>
    </row>
    <row r="16" spans="1:32" ht="36" customHeight="1">
      <c r="J16" t="s">
        <v>97</v>
      </c>
      <c r="K16" s="208">
        <f>I14-K9</f>
        <v>-14623636.363636345</v>
      </c>
      <c r="L16">
        <v>12</v>
      </c>
      <c r="M16" s="84">
        <f t="shared" si="13"/>
        <v>-1218636.3636363621</v>
      </c>
      <c r="N16" s="210" t="s">
        <v>94</v>
      </c>
      <c r="O16" s="208">
        <f>(O14+O15)/2</f>
        <v>51185101.5</v>
      </c>
      <c r="P16" s="209">
        <f>K9/O16</f>
        <v>2.2393945309190477</v>
      </c>
    </row>
    <row r="17" spans="7:15" ht="36" customHeight="1">
      <c r="G17" t="s">
        <v>339</v>
      </c>
      <c r="J17" t="s">
        <v>98</v>
      </c>
      <c r="K17" s="208">
        <f>I15-K9</f>
        <v>-3512525.3636363447</v>
      </c>
      <c r="L17">
        <v>12</v>
      </c>
      <c r="M17" s="84">
        <f t="shared" si="13"/>
        <v>-292710.44696969539</v>
      </c>
    </row>
    <row r="18" spans="7:15" ht="36" customHeight="1">
      <c r="G18" s="84">
        <v>91399704</v>
      </c>
      <c r="H18" s="208">
        <f>K6-K7</f>
        <v>-6136.363636367023</v>
      </c>
      <c r="I18">
        <v>945247</v>
      </c>
      <c r="J18" s="208">
        <f>I18-H18</f>
        <v>951383.36363636702</v>
      </c>
      <c r="K18" s="208">
        <f>K9</f>
        <v>114623636.36363634</v>
      </c>
      <c r="L18" s="277">
        <f>K18/G18</f>
        <v>1.2540919865958904</v>
      </c>
      <c r="M18" s="208">
        <f>K18-G18</f>
        <v>23223932.363636345</v>
      </c>
    </row>
    <row r="25" spans="7:15">
      <c r="L25" s="84">
        <v>5187</v>
      </c>
      <c r="M25" s="84">
        <v>6717</v>
      </c>
      <c r="N25" s="84">
        <f>M25-L25</f>
        <v>1530</v>
      </c>
      <c r="O25" s="209">
        <f t="shared" ref="O25:O27" si="14">M25/L25</f>
        <v>1.2949681897050318</v>
      </c>
    </row>
    <row r="26" spans="7:15">
      <c r="L26" s="84">
        <v>992</v>
      </c>
      <c r="M26" s="84">
        <v>1941</v>
      </c>
      <c r="N26" s="84">
        <f t="shared" ref="N26:N27" si="15">M26-L26</f>
        <v>949</v>
      </c>
      <c r="O26" s="209">
        <f t="shared" si="14"/>
        <v>1.9566532258064515</v>
      </c>
    </row>
    <row r="27" spans="7:15">
      <c r="L27" s="84">
        <v>318</v>
      </c>
      <c r="M27" s="84">
        <v>2503</v>
      </c>
      <c r="N27" s="84">
        <f t="shared" si="15"/>
        <v>2185</v>
      </c>
      <c r="O27" s="209">
        <f t="shared" si="14"/>
        <v>7.8710691823899372</v>
      </c>
    </row>
    <row r="28" spans="7:15">
      <c r="L28" s="84">
        <f>SUM(L25:L27)</f>
        <v>6497</v>
      </c>
      <c r="M28" s="84">
        <f>SUM(M25:M27)</f>
        <v>11161</v>
      </c>
      <c r="N28" s="84">
        <f>SUM(N25:N27)</f>
        <v>4664</v>
      </c>
      <c r="O28" s="209">
        <f>M28/L28</f>
        <v>1.7178697860551024</v>
      </c>
    </row>
  </sheetData>
  <mergeCells count="6">
    <mergeCell ref="D11:Z13"/>
    <mergeCell ref="Y2:Z2"/>
    <mergeCell ref="K2:Q2"/>
    <mergeCell ref="B2:D2"/>
    <mergeCell ref="E2:J2"/>
    <mergeCell ref="R2:X2"/>
  </mergeCells>
  <phoneticPr fontId="1"/>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6F0D-0A20-0A47-BE98-615A90809FED}">
  <sheetPr>
    <tabColor rgb="FFFFC000"/>
    <pageSetUpPr fitToPage="1"/>
  </sheetPr>
  <dimension ref="A1:AF99"/>
  <sheetViews>
    <sheetView topLeftCell="A2" zoomScale="50" workbookViewId="0">
      <selection activeCell="E6" sqref="E6:Q6"/>
    </sheetView>
  </sheetViews>
  <sheetFormatPr baseColWidth="10" defaultColWidth="9" defaultRowHeight="16"/>
  <cols>
    <col min="1" max="1" width="8.1640625" style="1" customWidth="1"/>
    <col min="2" max="2" width="6.6640625" style="34" customWidth="1"/>
    <col min="3" max="3" width="15.5" style="1" customWidth="1"/>
    <col min="4" max="4" width="7.1640625" style="1" customWidth="1"/>
    <col min="5" max="11" width="16" style="1" customWidth="1"/>
    <col min="12" max="12" width="26.33203125" style="1" customWidth="1"/>
    <col min="13" max="18" width="16" style="1" customWidth="1"/>
    <col min="19" max="19" width="5.1640625" style="1" customWidth="1"/>
    <col min="20" max="21" width="15.33203125" style="1" bestFit="1" customWidth="1"/>
    <col min="22" max="25" width="10.33203125" style="1" customWidth="1"/>
    <col min="26" max="26" width="6" style="1" customWidth="1"/>
    <col min="27" max="27" width="9" style="1"/>
    <col min="28" max="28" width="19.5" style="1" customWidth="1"/>
    <col min="29" max="16384" width="9" style="1"/>
  </cols>
  <sheetData>
    <row r="1" spans="1:32" s="24" customFormat="1" ht="64" customHeight="1">
      <c r="A1" s="81" t="s">
        <v>383</v>
      </c>
      <c r="B1" s="34"/>
    </row>
    <row r="2" spans="1:32" s="24" customFormat="1" ht="34.25" customHeight="1" thickBot="1">
      <c r="A2" s="466">
        <v>43708</v>
      </c>
      <c r="B2" s="466"/>
      <c r="L2" s="128">
        <f>L14+L24+L34+L44+L54+L64</f>
        <v>4387600</v>
      </c>
      <c r="R2" s="24">
        <v>10</v>
      </c>
    </row>
    <row r="3" spans="1:32" ht="53" customHeight="1" thickTop="1">
      <c r="A3" s="467" t="s">
        <v>47</v>
      </c>
      <c r="B3" s="468"/>
      <c r="C3" s="450" t="s">
        <v>75</v>
      </c>
      <c r="D3" s="451"/>
      <c r="E3" s="451"/>
      <c r="F3" s="451"/>
      <c r="G3" s="451"/>
      <c r="H3" s="451"/>
      <c r="I3" s="451"/>
      <c r="J3" s="451"/>
      <c r="K3" s="451"/>
      <c r="L3" s="451"/>
      <c r="M3" s="451"/>
      <c r="N3" s="544" t="s">
        <v>51</v>
      </c>
      <c r="O3" s="545"/>
      <c r="P3" s="545"/>
      <c r="Q3" s="546"/>
      <c r="R3" s="74" t="s">
        <v>27</v>
      </c>
    </row>
    <row r="4" spans="1:32" s="35" customFormat="1" ht="53" customHeight="1">
      <c r="A4" s="469" t="s">
        <v>41</v>
      </c>
      <c r="B4" s="470"/>
      <c r="C4" s="452" t="s">
        <v>70</v>
      </c>
      <c r="D4" s="453"/>
      <c r="E4" s="75" t="s">
        <v>42</v>
      </c>
      <c r="F4" s="76"/>
      <c r="G4" s="77" t="s">
        <v>43</v>
      </c>
      <c r="H4" s="98"/>
      <c r="I4" s="454" t="s">
        <v>74</v>
      </c>
      <c r="J4" s="455"/>
      <c r="K4" s="389"/>
      <c r="L4" s="125">
        <v>9275000</v>
      </c>
      <c r="M4" s="127" t="s">
        <v>52</v>
      </c>
      <c r="N4" s="547"/>
      <c r="O4" s="548"/>
      <c r="P4" s="548"/>
      <c r="Q4" s="549"/>
      <c r="R4" s="126">
        <f>L4/R2</f>
        <v>927500</v>
      </c>
      <c r="T4" s="494" t="s">
        <v>365</v>
      </c>
      <c r="U4" s="495"/>
      <c r="V4" s="495"/>
      <c r="W4" s="495"/>
      <c r="X4" s="495"/>
      <c r="Y4" s="496"/>
    </row>
    <row r="5" spans="1:32" ht="23.5" customHeight="1">
      <c r="A5" s="456" t="s">
        <v>12</v>
      </c>
      <c r="B5" s="457"/>
      <c r="C5" s="456" t="s">
        <v>12</v>
      </c>
      <c r="D5" s="457"/>
      <c r="E5" s="457"/>
      <c r="F5" s="457"/>
      <c r="G5" s="457"/>
      <c r="H5" s="457"/>
      <c r="I5" s="457"/>
      <c r="J5" s="457"/>
      <c r="K5" s="457"/>
      <c r="L5" s="457"/>
      <c r="M5" s="457"/>
      <c r="N5" s="457"/>
      <c r="O5" s="457"/>
      <c r="P5" s="457"/>
      <c r="Q5" s="457"/>
      <c r="R5" s="458"/>
      <c r="T5" s="497" t="str">
        <f>C5</f>
        <v>1st week</v>
      </c>
      <c r="U5" s="497"/>
      <c r="V5" s="497"/>
      <c r="W5" s="497"/>
      <c r="X5" s="497"/>
      <c r="Y5" s="497"/>
      <c r="AC5" s="35"/>
    </row>
    <row r="6" spans="1:32" s="2" customFormat="1" ht="23.5" customHeight="1">
      <c r="A6" s="52" t="s">
        <v>10</v>
      </c>
      <c r="B6" s="36" t="s">
        <v>11</v>
      </c>
      <c r="C6" s="101" t="s">
        <v>10</v>
      </c>
      <c r="D6" s="102" t="s">
        <v>11</v>
      </c>
      <c r="E6" s="102" t="s">
        <v>1</v>
      </c>
      <c r="F6" s="102" t="s">
        <v>30</v>
      </c>
      <c r="G6" s="102" t="s">
        <v>31</v>
      </c>
      <c r="H6" s="102" t="s">
        <v>28</v>
      </c>
      <c r="I6" s="102" t="s">
        <v>29</v>
      </c>
      <c r="J6" s="102" t="s">
        <v>388</v>
      </c>
      <c r="K6" s="102" t="s">
        <v>384</v>
      </c>
      <c r="L6" s="102" t="s">
        <v>71</v>
      </c>
      <c r="M6" s="103" t="s">
        <v>48</v>
      </c>
      <c r="N6" s="103" t="s">
        <v>385</v>
      </c>
      <c r="O6" s="103" t="s">
        <v>386</v>
      </c>
      <c r="P6" s="103" t="s">
        <v>387</v>
      </c>
      <c r="Q6" s="103" t="s">
        <v>40</v>
      </c>
      <c r="R6" s="104" t="s">
        <v>73</v>
      </c>
      <c r="T6" s="252" t="s">
        <v>114</v>
      </c>
      <c r="U6" s="253" t="s">
        <v>115</v>
      </c>
      <c r="V6" s="48" t="s">
        <v>116</v>
      </c>
      <c r="W6" s="48" t="s">
        <v>117</v>
      </c>
      <c r="X6" s="48" t="s">
        <v>118</v>
      </c>
      <c r="Y6" s="254" t="s">
        <v>127</v>
      </c>
      <c r="AA6" s="1" t="s">
        <v>122</v>
      </c>
      <c r="AB6" s="1"/>
      <c r="AC6" s="35" t="s">
        <v>125</v>
      </c>
    </row>
    <row r="7" spans="1:32" ht="23.5" customHeight="1">
      <c r="A7" s="53" t="s">
        <v>3</v>
      </c>
      <c r="B7" s="49"/>
      <c r="C7" s="105" t="s">
        <v>3</v>
      </c>
      <c r="D7" s="118" t="e">
        <f>#REF!</f>
        <v>#REF!</v>
      </c>
      <c r="E7" s="73">
        <v>263</v>
      </c>
      <c r="F7" s="106">
        <v>799050</v>
      </c>
      <c r="G7" s="106">
        <f>F7/E7</f>
        <v>3038.2129277566542</v>
      </c>
      <c r="H7" s="106">
        <v>430900</v>
      </c>
      <c r="I7" s="107">
        <f>H7/E7</f>
        <v>1638.403041825095</v>
      </c>
      <c r="J7" s="107">
        <v>14850</v>
      </c>
      <c r="K7" s="107"/>
      <c r="L7" s="108">
        <f>F7+H7+J7</f>
        <v>1244800</v>
      </c>
      <c r="M7" s="109">
        <f>L7/E7</f>
        <v>4733.0798479087453</v>
      </c>
      <c r="N7" s="109"/>
      <c r="O7" s="109"/>
      <c r="P7" s="109"/>
      <c r="Q7" s="109"/>
      <c r="R7" s="110" t="e">
        <f>L7/Q7</f>
        <v>#DIV/0!</v>
      </c>
      <c r="T7" s="247">
        <v>24.9</v>
      </c>
      <c r="U7" s="247">
        <v>27</v>
      </c>
      <c r="V7" s="255">
        <v>3</v>
      </c>
      <c r="W7" s="255">
        <v>1</v>
      </c>
      <c r="X7" s="255">
        <v>1</v>
      </c>
      <c r="Y7" s="271">
        <f t="shared" ref="Y7:Y14" si="0">SUM(V7:X7)/3</f>
        <v>1.6666666666666667</v>
      </c>
      <c r="AA7" s="270" t="s">
        <v>123</v>
      </c>
      <c r="AB7" s="2"/>
      <c r="AC7" s="269">
        <v>5</v>
      </c>
    </row>
    <row r="8" spans="1:32" ht="23.5" customHeight="1">
      <c r="A8" s="54" t="s">
        <v>4</v>
      </c>
      <c r="B8" s="49"/>
      <c r="C8" s="101" t="s">
        <v>4</v>
      </c>
      <c r="D8" s="118" t="e">
        <f>#REF!</f>
        <v>#REF!</v>
      </c>
      <c r="E8" s="73">
        <v>368</v>
      </c>
      <c r="F8" s="106">
        <v>1077700</v>
      </c>
      <c r="G8" s="106">
        <f t="shared" ref="G8:G12" si="1">F8/E8</f>
        <v>2928.532608695652</v>
      </c>
      <c r="H8" s="106">
        <v>588200</v>
      </c>
      <c r="I8" s="107">
        <f t="shared" ref="I8:I12" si="2">H8/E8</f>
        <v>1598.3695652173913</v>
      </c>
      <c r="J8" s="107">
        <v>31350</v>
      </c>
      <c r="K8" s="107"/>
      <c r="L8" s="108">
        <f t="shared" ref="L8:L12" si="3">F8+H8+J8</f>
        <v>1697250</v>
      </c>
      <c r="M8" s="109">
        <f t="shared" ref="M8:M13" si="4">L8/E8</f>
        <v>4612.092391304348</v>
      </c>
      <c r="N8" s="109"/>
      <c r="O8" s="109"/>
      <c r="P8" s="109"/>
      <c r="Q8" s="109"/>
      <c r="R8" s="110" t="e">
        <f t="shared" ref="R8:R14" si="5">L8/Q8</f>
        <v>#DIV/0!</v>
      </c>
      <c r="T8" s="247">
        <v>20.7</v>
      </c>
      <c r="U8" s="247">
        <v>29.1</v>
      </c>
      <c r="V8" s="255">
        <v>5</v>
      </c>
      <c r="W8" s="255">
        <v>1</v>
      </c>
      <c r="X8" s="255">
        <v>5</v>
      </c>
      <c r="Y8" s="271">
        <f t="shared" si="0"/>
        <v>3.6666666666666665</v>
      </c>
      <c r="AA8" s="34" t="s">
        <v>124</v>
      </c>
      <c r="AC8" s="1">
        <v>4</v>
      </c>
    </row>
    <row r="9" spans="1:32" ht="23.5" customHeight="1">
      <c r="A9" s="54" t="s">
        <v>5</v>
      </c>
      <c r="B9" s="49"/>
      <c r="C9" s="101" t="s">
        <v>5</v>
      </c>
      <c r="D9" s="118" t="e">
        <f>#REF!</f>
        <v>#REF!</v>
      </c>
      <c r="E9" s="73">
        <v>343</v>
      </c>
      <c r="F9" s="106">
        <v>973500</v>
      </c>
      <c r="G9" s="106">
        <f t="shared" si="1"/>
        <v>2838.1924198250731</v>
      </c>
      <c r="H9" s="106">
        <v>518250</v>
      </c>
      <c r="I9" s="107">
        <f t="shared" si="2"/>
        <v>1510.9329446064139</v>
      </c>
      <c r="J9" s="107">
        <v>30800</v>
      </c>
      <c r="K9" s="107"/>
      <c r="L9" s="108">
        <f t="shared" si="3"/>
        <v>1522550</v>
      </c>
      <c r="M9" s="109">
        <f t="shared" si="4"/>
        <v>4438.921282798834</v>
      </c>
      <c r="N9" s="109"/>
      <c r="O9" s="109"/>
      <c r="P9" s="109"/>
      <c r="Q9" s="109"/>
      <c r="R9" s="110" t="e">
        <f t="shared" si="5"/>
        <v>#DIV/0!</v>
      </c>
      <c r="T9" s="247">
        <v>18.600000000000001</v>
      </c>
      <c r="U9" s="247">
        <v>29.8</v>
      </c>
      <c r="V9" s="255">
        <v>5</v>
      </c>
      <c r="W9" s="255">
        <v>5</v>
      </c>
      <c r="X9" s="255">
        <v>5</v>
      </c>
      <c r="Y9" s="271">
        <f t="shared" si="0"/>
        <v>5</v>
      </c>
      <c r="AA9" s="34" t="s">
        <v>128</v>
      </c>
      <c r="AC9" s="1">
        <v>3</v>
      </c>
    </row>
    <row r="10" spans="1:32" ht="23.5" customHeight="1">
      <c r="A10" s="54" t="s">
        <v>6</v>
      </c>
      <c r="B10" s="49"/>
      <c r="C10" s="101" t="s">
        <v>6</v>
      </c>
      <c r="D10" s="118" t="e">
        <f>#REF!</f>
        <v>#REF!</v>
      </c>
      <c r="E10" s="73"/>
      <c r="F10" s="106">
        <v>0</v>
      </c>
      <c r="G10" s="106" t="e">
        <f t="shared" si="1"/>
        <v>#DIV/0!</v>
      </c>
      <c r="H10" s="106">
        <v>0</v>
      </c>
      <c r="I10" s="107" t="e">
        <f t="shared" si="2"/>
        <v>#DIV/0!</v>
      </c>
      <c r="J10" s="107"/>
      <c r="K10" s="107"/>
      <c r="L10" s="108">
        <f t="shared" si="3"/>
        <v>0</v>
      </c>
      <c r="M10" s="109" t="e">
        <f t="shared" si="4"/>
        <v>#DIV/0!</v>
      </c>
      <c r="N10" s="109"/>
      <c r="O10" s="109"/>
      <c r="P10" s="109"/>
      <c r="Q10" s="109"/>
      <c r="R10" s="110" t="e">
        <f t="shared" si="5"/>
        <v>#DIV/0!</v>
      </c>
      <c r="T10" s="247"/>
      <c r="U10" s="247"/>
      <c r="V10" s="255"/>
      <c r="W10" s="255"/>
      <c r="X10" s="255"/>
      <c r="Y10" s="271">
        <f t="shared" si="0"/>
        <v>0</v>
      </c>
      <c r="AA10" s="34" t="s">
        <v>120</v>
      </c>
      <c r="AC10" s="1">
        <v>2</v>
      </c>
    </row>
    <row r="11" spans="1:32" ht="23.5" customHeight="1">
      <c r="A11" s="54" t="s">
        <v>7</v>
      </c>
      <c r="B11" s="49"/>
      <c r="C11" s="101" t="s">
        <v>7</v>
      </c>
      <c r="D11" s="118" t="e">
        <f>#REF!</f>
        <v>#REF!</v>
      </c>
      <c r="E11" s="73"/>
      <c r="F11" s="106"/>
      <c r="G11" s="106" t="e">
        <f t="shared" si="1"/>
        <v>#DIV/0!</v>
      </c>
      <c r="H11" s="106"/>
      <c r="I11" s="107" t="e">
        <f t="shared" si="2"/>
        <v>#DIV/0!</v>
      </c>
      <c r="J11" s="107"/>
      <c r="K11" s="107"/>
      <c r="L11" s="108">
        <f t="shared" si="3"/>
        <v>0</v>
      </c>
      <c r="M11" s="109" t="e">
        <f t="shared" si="4"/>
        <v>#DIV/0!</v>
      </c>
      <c r="N11" s="109"/>
      <c r="O11" s="109"/>
      <c r="P11" s="109"/>
      <c r="Q11" s="109"/>
      <c r="R11" s="110" t="e">
        <f t="shared" si="5"/>
        <v>#DIV/0!</v>
      </c>
      <c r="T11" s="247"/>
      <c r="U11" s="247"/>
      <c r="V11" s="255"/>
      <c r="W11" s="255"/>
      <c r="X11" s="255"/>
      <c r="Y11" s="271">
        <f t="shared" si="0"/>
        <v>0</v>
      </c>
      <c r="AA11" s="34" t="s">
        <v>121</v>
      </c>
      <c r="AC11" s="1">
        <v>1</v>
      </c>
    </row>
    <row r="12" spans="1:32" ht="23.5" customHeight="1">
      <c r="A12" s="54" t="s">
        <v>8</v>
      </c>
      <c r="B12" s="49">
        <v>1</v>
      </c>
      <c r="C12" s="101" t="s">
        <v>8</v>
      </c>
      <c r="D12" s="118" t="e">
        <f>#REF!</f>
        <v>#REF!</v>
      </c>
      <c r="E12" s="73"/>
      <c r="F12" s="106"/>
      <c r="G12" s="106" t="e">
        <f t="shared" si="1"/>
        <v>#DIV/0!</v>
      </c>
      <c r="H12" s="106"/>
      <c r="I12" s="107" t="e">
        <f t="shared" si="2"/>
        <v>#DIV/0!</v>
      </c>
      <c r="J12" s="107"/>
      <c r="K12" s="107"/>
      <c r="L12" s="108">
        <f t="shared" si="3"/>
        <v>0</v>
      </c>
      <c r="M12" s="109" t="e">
        <f t="shared" si="4"/>
        <v>#DIV/0!</v>
      </c>
      <c r="N12" s="109"/>
      <c r="O12" s="109"/>
      <c r="P12" s="109"/>
      <c r="Q12" s="109"/>
      <c r="R12" s="110" t="e">
        <f t="shared" si="5"/>
        <v>#DIV/0!</v>
      </c>
      <c r="T12" s="247"/>
      <c r="U12" s="247"/>
      <c r="V12" s="255"/>
      <c r="W12" s="255"/>
      <c r="X12" s="255"/>
      <c r="Y12" s="271">
        <f t="shared" si="0"/>
        <v>0</v>
      </c>
      <c r="AA12" s="34" t="s">
        <v>126</v>
      </c>
      <c r="AC12" s="1">
        <v>0</v>
      </c>
    </row>
    <row r="13" spans="1:32" ht="23.5" customHeight="1" thickBot="1">
      <c r="A13" s="55" t="s">
        <v>9</v>
      </c>
      <c r="B13" s="49">
        <v>2</v>
      </c>
      <c r="C13" s="111" t="s">
        <v>9</v>
      </c>
      <c r="D13" s="118" t="e">
        <f>#REF!</f>
        <v>#REF!</v>
      </c>
      <c r="E13" s="73"/>
      <c r="F13" s="106"/>
      <c r="G13" s="106" t="e">
        <f>F13/E13</f>
        <v>#DIV/0!</v>
      </c>
      <c r="H13" s="106"/>
      <c r="I13" s="107" t="e">
        <f>H13/E13</f>
        <v>#DIV/0!</v>
      </c>
      <c r="J13" s="107">
        <v>0</v>
      </c>
      <c r="K13" s="107"/>
      <c r="L13" s="108">
        <f>F13+H13+J13</f>
        <v>0</v>
      </c>
      <c r="M13" s="109" t="e">
        <f t="shared" si="4"/>
        <v>#DIV/0!</v>
      </c>
      <c r="N13" s="109"/>
      <c r="O13" s="109"/>
      <c r="P13" s="109"/>
      <c r="Q13" s="109"/>
      <c r="R13" s="110" t="e">
        <f t="shared" si="5"/>
        <v>#DIV/0!</v>
      </c>
      <c r="T13" s="248"/>
      <c r="U13" s="248"/>
      <c r="V13" s="273"/>
      <c r="W13" s="255"/>
      <c r="X13" s="255"/>
      <c r="Y13" s="272">
        <f t="shared" si="0"/>
        <v>0</v>
      </c>
      <c r="AA13" s="1" t="s">
        <v>129</v>
      </c>
    </row>
    <row r="14" spans="1:32" s="286" customFormat="1" ht="36" customHeight="1" thickTop="1" thickBot="1">
      <c r="A14" s="473" t="s">
        <v>13</v>
      </c>
      <c r="B14" s="474"/>
      <c r="C14" s="459" t="s">
        <v>13</v>
      </c>
      <c r="D14" s="460"/>
      <c r="E14" s="119">
        <f>SUM(E7:E13)</f>
        <v>974</v>
      </c>
      <c r="F14" s="119">
        <f>SUM(F7:F13)</f>
        <v>2850250</v>
      </c>
      <c r="G14" s="119">
        <f>F14/E14</f>
        <v>2926.3347022587268</v>
      </c>
      <c r="H14" s="119">
        <f>SUM(H7:H13)</f>
        <v>1537350</v>
      </c>
      <c r="I14" s="120">
        <f>H14/E14</f>
        <v>1578.388090349076</v>
      </c>
      <c r="J14" s="120">
        <f>I14/F14</f>
        <v>5.5377180610440349E-4</v>
      </c>
      <c r="K14" s="120"/>
      <c r="L14" s="119">
        <f>F14+H14</f>
        <v>4387600</v>
      </c>
      <c r="M14" s="121">
        <f>L14/E14</f>
        <v>4504.7227926078031</v>
      </c>
      <c r="N14" s="121"/>
      <c r="O14" s="121"/>
      <c r="P14" s="121"/>
      <c r="Q14" s="121">
        <f>SUM(Q7:Q13)</f>
        <v>0</v>
      </c>
      <c r="R14" s="122" t="e">
        <f t="shared" si="5"/>
        <v>#DIV/0!</v>
      </c>
      <c r="S14" s="286">
        <v>3</v>
      </c>
      <c r="T14" s="295">
        <f>SUM(T7:T13)/S14</f>
        <v>21.399999999999995</v>
      </c>
      <c r="U14" s="296">
        <f>SUM(U7:U13)/S14</f>
        <v>28.633333333333336</v>
      </c>
      <c r="V14" s="313">
        <f>SUM(V7:V13)/S14</f>
        <v>4.333333333333333</v>
      </c>
      <c r="W14" s="313">
        <f>SUM(W7:W13)/S14</f>
        <v>2.3333333333333335</v>
      </c>
      <c r="X14" s="313">
        <f>SUM(X7:X13)/S14</f>
        <v>3.6666666666666665</v>
      </c>
      <c r="Y14" s="314">
        <f t="shared" si="0"/>
        <v>3.4444444444444442</v>
      </c>
      <c r="Z14" s="286">
        <v>15</v>
      </c>
      <c r="AA14" s="491">
        <f>L14/S14</f>
        <v>1462533.3333333333</v>
      </c>
      <c r="AB14" s="492"/>
      <c r="AC14" s="492"/>
      <c r="AD14" s="492"/>
      <c r="AE14" s="493"/>
      <c r="AF14" s="282" t="s">
        <v>140</v>
      </c>
    </row>
    <row r="15" spans="1:32" ht="23.5" customHeight="1" thickTop="1">
      <c r="A15" s="456" t="s">
        <v>14</v>
      </c>
      <c r="B15" s="457"/>
      <c r="C15" s="461" t="s">
        <v>14</v>
      </c>
      <c r="D15" s="462"/>
      <c r="E15" s="462"/>
      <c r="F15" s="462"/>
      <c r="G15" s="462"/>
      <c r="H15" s="462"/>
      <c r="I15" s="462"/>
      <c r="J15" s="462"/>
      <c r="K15" s="462"/>
      <c r="L15" s="462"/>
      <c r="M15" s="462"/>
      <c r="N15" s="462"/>
      <c r="O15" s="462"/>
      <c r="P15" s="462"/>
      <c r="Q15" s="462"/>
      <c r="R15" s="463"/>
      <c r="T15" s="497" t="str">
        <f>C15</f>
        <v>2nd week</v>
      </c>
      <c r="U15" s="497"/>
      <c r="V15" s="497"/>
      <c r="W15" s="497"/>
      <c r="X15" s="497"/>
      <c r="Y15" s="497"/>
    </row>
    <row r="16" spans="1:32" ht="23.5" customHeight="1">
      <c r="A16" s="52" t="s">
        <v>10</v>
      </c>
      <c r="B16" s="36" t="s">
        <v>11</v>
      </c>
      <c r="C16" s="101" t="s">
        <v>10</v>
      </c>
      <c r="D16" s="102" t="s">
        <v>11</v>
      </c>
      <c r="E16" s="102" t="s">
        <v>1</v>
      </c>
      <c r="F16" s="102" t="s">
        <v>30</v>
      </c>
      <c r="G16" s="102" t="s">
        <v>31</v>
      </c>
      <c r="H16" s="102" t="s">
        <v>28</v>
      </c>
      <c r="I16" s="102" t="s">
        <v>29</v>
      </c>
      <c r="J16" s="102" t="s">
        <v>388</v>
      </c>
      <c r="K16" s="102" t="s">
        <v>384</v>
      </c>
      <c r="L16" s="102" t="s">
        <v>71</v>
      </c>
      <c r="M16" s="103" t="s">
        <v>48</v>
      </c>
      <c r="N16" s="103" t="s">
        <v>385</v>
      </c>
      <c r="O16" s="103" t="s">
        <v>386</v>
      </c>
      <c r="P16" s="103" t="s">
        <v>387</v>
      </c>
      <c r="Q16" s="103" t="s">
        <v>40</v>
      </c>
      <c r="R16" s="104" t="s">
        <v>73</v>
      </c>
      <c r="T16" s="252" t="s">
        <v>114</v>
      </c>
      <c r="U16" s="253" t="s">
        <v>115</v>
      </c>
      <c r="V16" s="48" t="s">
        <v>116</v>
      </c>
      <c r="W16" s="48" t="s">
        <v>117</v>
      </c>
      <c r="X16" s="48" t="s">
        <v>118</v>
      </c>
      <c r="Y16" s="254" t="s">
        <v>127</v>
      </c>
      <c r="AA16" s="1" t="s">
        <v>122</v>
      </c>
      <c r="AC16" s="35" t="s">
        <v>125</v>
      </c>
    </row>
    <row r="17" spans="1:29" ht="23.5" customHeight="1">
      <c r="A17" s="53" t="s">
        <v>3</v>
      </c>
      <c r="B17" s="49">
        <v>3</v>
      </c>
      <c r="C17" s="105" t="s">
        <v>3</v>
      </c>
      <c r="D17" s="118" t="e">
        <f>#REF!</f>
        <v>#REF!</v>
      </c>
      <c r="E17" s="73"/>
      <c r="F17" s="106"/>
      <c r="G17" s="106" t="e">
        <f>F17/E17</f>
        <v>#DIV/0!</v>
      </c>
      <c r="H17" s="106"/>
      <c r="I17" s="107" t="e">
        <f>H17/E17</f>
        <v>#DIV/0!</v>
      </c>
      <c r="J17" s="107"/>
      <c r="K17" s="107"/>
      <c r="L17" s="108">
        <f>F17+H17+J17</f>
        <v>0</v>
      </c>
      <c r="M17" s="109" t="e">
        <f>L17/E17</f>
        <v>#DIV/0!</v>
      </c>
      <c r="N17" s="109"/>
      <c r="O17" s="109"/>
      <c r="P17" s="109"/>
      <c r="Q17" s="109"/>
      <c r="R17" s="110" t="e">
        <f>L17/Q17</f>
        <v>#DIV/0!</v>
      </c>
      <c r="T17" s="247"/>
      <c r="U17" s="247"/>
      <c r="V17" s="255"/>
      <c r="W17" s="255"/>
      <c r="X17" s="255"/>
      <c r="Y17" s="271">
        <f>SUM(V17:X17)/3</f>
        <v>0</v>
      </c>
      <c r="AA17" s="270" t="s">
        <v>123</v>
      </c>
      <c r="AB17" s="2"/>
      <c r="AC17" s="269">
        <v>5</v>
      </c>
    </row>
    <row r="18" spans="1:29" ht="23.5" customHeight="1">
      <c r="A18" s="54" t="s">
        <v>4</v>
      </c>
      <c r="B18" s="49">
        <v>4</v>
      </c>
      <c r="C18" s="101" t="s">
        <v>4</v>
      </c>
      <c r="D18" s="118" t="e">
        <f>#REF!</f>
        <v>#REF!</v>
      </c>
      <c r="E18" s="73"/>
      <c r="F18" s="106"/>
      <c r="G18" s="106" t="e">
        <f t="shared" ref="G18:G22" si="6">F18/E18</f>
        <v>#DIV/0!</v>
      </c>
      <c r="H18" s="106"/>
      <c r="I18" s="107" t="e">
        <f t="shared" ref="I18:I22" si="7">H18/E18</f>
        <v>#DIV/0!</v>
      </c>
      <c r="J18" s="107"/>
      <c r="K18" s="107"/>
      <c r="L18" s="108">
        <f t="shared" ref="L18:L22" si="8">F18+H18+J18</f>
        <v>0</v>
      </c>
      <c r="M18" s="109" t="e">
        <f t="shared" ref="M18:M23" si="9">L18/E18</f>
        <v>#DIV/0!</v>
      </c>
      <c r="N18" s="109"/>
      <c r="O18" s="109"/>
      <c r="P18" s="109"/>
      <c r="Q18" s="109"/>
      <c r="R18" s="110" t="e">
        <f t="shared" ref="R18:R24" si="10">L18/Q18</f>
        <v>#DIV/0!</v>
      </c>
      <c r="T18" s="247"/>
      <c r="U18" s="247"/>
      <c r="V18" s="255"/>
      <c r="W18" s="255"/>
      <c r="X18" s="255"/>
      <c r="Y18" s="271">
        <f t="shared" ref="Y18:Y23" si="11">SUM(V18:X18)/3</f>
        <v>0</v>
      </c>
      <c r="AA18" s="34" t="s">
        <v>124</v>
      </c>
      <c r="AC18" s="1">
        <v>4</v>
      </c>
    </row>
    <row r="19" spans="1:29" ht="23.5" customHeight="1">
      <c r="A19" s="54" t="s">
        <v>5</v>
      </c>
      <c r="B19" s="49">
        <v>5</v>
      </c>
      <c r="C19" s="101" t="s">
        <v>5</v>
      </c>
      <c r="D19" s="118" t="e">
        <f>#REF!</f>
        <v>#REF!</v>
      </c>
      <c r="E19" s="73"/>
      <c r="F19" s="106"/>
      <c r="G19" s="106" t="e">
        <f t="shared" si="6"/>
        <v>#DIV/0!</v>
      </c>
      <c r="H19" s="106"/>
      <c r="I19" s="107" t="e">
        <f t="shared" si="7"/>
        <v>#DIV/0!</v>
      </c>
      <c r="J19" s="107"/>
      <c r="K19" s="107"/>
      <c r="L19" s="108">
        <f t="shared" si="8"/>
        <v>0</v>
      </c>
      <c r="M19" s="109" t="e">
        <f t="shared" si="9"/>
        <v>#DIV/0!</v>
      </c>
      <c r="N19" s="109"/>
      <c r="O19" s="109"/>
      <c r="P19" s="109"/>
      <c r="Q19" s="109"/>
      <c r="R19" s="110" t="e">
        <f t="shared" si="10"/>
        <v>#DIV/0!</v>
      </c>
      <c r="T19" s="247"/>
      <c r="U19" s="247"/>
      <c r="V19" s="255"/>
      <c r="W19" s="255"/>
      <c r="X19" s="255"/>
      <c r="Y19" s="271">
        <f t="shared" si="11"/>
        <v>0</v>
      </c>
      <c r="AA19" s="34" t="s">
        <v>128</v>
      </c>
      <c r="AC19" s="1">
        <v>3</v>
      </c>
    </row>
    <row r="20" spans="1:29" ht="23.5" customHeight="1">
      <c r="A20" s="54" t="s">
        <v>6</v>
      </c>
      <c r="B20" s="49">
        <v>6</v>
      </c>
      <c r="C20" s="101" t="s">
        <v>6</v>
      </c>
      <c r="D20" s="118" t="e">
        <f>#REF!</f>
        <v>#REF!</v>
      </c>
      <c r="E20" s="73"/>
      <c r="F20" s="106"/>
      <c r="G20" s="106" t="e">
        <f t="shared" si="6"/>
        <v>#DIV/0!</v>
      </c>
      <c r="H20" s="106"/>
      <c r="I20" s="107" t="e">
        <f t="shared" si="7"/>
        <v>#DIV/0!</v>
      </c>
      <c r="J20" s="107"/>
      <c r="K20" s="107"/>
      <c r="L20" s="108">
        <f t="shared" si="8"/>
        <v>0</v>
      </c>
      <c r="M20" s="109" t="e">
        <f t="shared" si="9"/>
        <v>#DIV/0!</v>
      </c>
      <c r="N20" s="109"/>
      <c r="O20" s="109"/>
      <c r="P20" s="109"/>
      <c r="Q20" s="109"/>
      <c r="R20" s="110" t="e">
        <f t="shared" si="10"/>
        <v>#DIV/0!</v>
      </c>
      <c r="T20" s="247"/>
      <c r="U20" s="247"/>
      <c r="V20" s="255"/>
      <c r="W20" s="255"/>
      <c r="X20" s="255"/>
      <c r="Y20" s="271">
        <f t="shared" si="11"/>
        <v>0</v>
      </c>
      <c r="AA20" s="34" t="s">
        <v>120</v>
      </c>
      <c r="AC20" s="1">
        <v>2</v>
      </c>
    </row>
    <row r="21" spans="1:29" ht="23.5" customHeight="1">
      <c r="A21" s="54" t="s">
        <v>7</v>
      </c>
      <c r="B21" s="49">
        <v>7</v>
      </c>
      <c r="C21" s="101" t="s">
        <v>7</v>
      </c>
      <c r="D21" s="118" t="e">
        <f>#REF!</f>
        <v>#REF!</v>
      </c>
      <c r="E21" s="73"/>
      <c r="F21" s="106"/>
      <c r="G21" s="106" t="e">
        <f t="shared" si="6"/>
        <v>#DIV/0!</v>
      </c>
      <c r="H21" s="106"/>
      <c r="I21" s="107" t="e">
        <f t="shared" si="7"/>
        <v>#DIV/0!</v>
      </c>
      <c r="J21" s="107"/>
      <c r="K21" s="107"/>
      <c r="L21" s="108">
        <f t="shared" si="8"/>
        <v>0</v>
      </c>
      <c r="M21" s="109" t="e">
        <f t="shared" si="9"/>
        <v>#DIV/0!</v>
      </c>
      <c r="N21" s="109"/>
      <c r="O21" s="109"/>
      <c r="P21" s="109"/>
      <c r="Q21" s="109"/>
      <c r="R21" s="110" t="e">
        <f t="shared" si="10"/>
        <v>#DIV/0!</v>
      </c>
      <c r="T21" s="247"/>
      <c r="U21" s="247"/>
      <c r="V21" s="255"/>
      <c r="W21" s="255"/>
      <c r="X21" s="255"/>
      <c r="Y21" s="271">
        <f t="shared" si="11"/>
        <v>0</v>
      </c>
      <c r="AA21" s="34" t="s">
        <v>121</v>
      </c>
      <c r="AC21" s="1">
        <v>1</v>
      </c>
    </row>
    <row r="22" spans="1:29" ht="23.5" customHeight="1">
      <c r="A22" s="54" t="s">
        <v>8</v>
      </c>
      <c r="B22" s="49">
        <v>8</v>
      </c>
      <c r="C22" s="101" t="s">
        <v>8</v>
      </c>
      <c r="D22" s="118" t="e">
        <f>#REF!</f>
        <v>#REF!</v>
      </c>
      <c r="E22" s="73"/>
      <c r="F22" s="106"/>
      <c r="G22" s="106" t="e">
        <f t="shared" si="6"/>
        <v>#DIV/0!</v>
      </c>
      <c r="H22" s="106"/>
      <c r="I22" s="107" t="e">
        <f t="shared" si="7"/>
        <v>#DIV/0!</v>
      </c>
      <c r="J22" s="107"/>
      <c r="K22" s="107"/>
      <c r="L22" s="108">
        <f t="shared" si="8"/>
        <v>0</v>
      </c>
      <c r="M22" s="109" t="e">
        <f t="shared" si="9"/>
        <v>#DIV/0!</v>
      </c>
      <c r="N22" s="109"/>
      <c r="O22" s="109"/>
      <c r="P22" s="109"/>
      <c r="Q22" s="109"/>
      <c r="R22" s="110" t="e">
        <f t="shared" si="10"/>
        <v>#DIV/0!</v>
      </c>
      <c r="T22" s="247"/>
      <c r="U22" s="247"/>
      <c r="V22" s="255"/>
      <c r="W22" s="255"/>
      <c r="X22" s="255"/>
      <c r="Y22" s="271">
        <f t="shared" si="11"/>
        <v>0</v>
      </c>
      <c r="AA22" s="34" t="s">
        <v>126</v>
      </c>
      <c r="AC22" s="1">
        <v>0</v>
      </c>
    </row>
    <row r="23" spans="1:29" ht="23.5" customHeight="1" thickBot="1">
      <c r="A23" s="55" t="s">
        <v>9</v>
      </c>
      <c r="B23" s="49">
        <v>9</v>
      </c>
      <c r="C23" s="111" t="s">
        <v>9</v>
      </c>
      <c r="D23" s="118" t="e">
        <f>#REF!</f>
        <v>#REF!</v>
      </c>
      <c r="E23" s="73"/>
      <c r="F23" s="106"/>
      <c r="G23" s="106" t="e">
        <f>F23/E23</f>
        <v>#DIV/0!</v>
      </c>
      <c r="H23" s="106"/>
      <c r="I23" s="107" t="e">
        <f>H23/E23</f>
        <v>#DIV/0!</v>
      </c>
      <c r="J23" s="107">
        <v>0</v>
      </c>
      <c r="K23" s="107"/>
      <c r="L23" s="108">
        <f>F23+H23+J23</f>
        <v>0</v>
      </c>
      <c r="M23" s="109" t="e">
        <f t="shared" si="9"/>
        <v>#DIV/0!</v>
      </c>
      <c r="N23" s="109"/>
      <c r="O23" s="109"/>
      <c r="P23" s="109"/>
      <c r="Q23" s="109"/>
      <c r="R23" s="110" t="e">
        <f t="shared" si="10"/>
        <v>#DIV/0!</v>
      </c>
      <c r="T23" s="248"/>
      <c r="U23" s="248"/>
      <c r="V23" s="256"/>
      <c r="W23" s="255"/>
      <c r="X23" s="255"/>
      <c r="Y23" s="272">
        <f t="shared" si="11"/>
        <v>0</v>
      </c>
      <c r="AA23" s="1" t="s">
        <v>129</v>
      </c>
    </row>
    <row r="24" spans="1:29" ht="23.5" customHeight="1" thickTop="1" thickBot="1">
      <c r="A24" s="471" t="s">
        <v>13</v>
      </c>
      <c r="B24" s="472"/>
      <c r="C24" s="464" t="s">
        <v>13</v>
      </c>
      <c r="D24" s="465"/>
      <c r="E24" s="108">
        <f>SUM(E17:E23)</f>
        <v>0</v>
      </c>
      <c r="F24" s="108">
        <f>SUM(F17:F23)</f>
        <v>0</v>
      </c>
      <c r="G24" s="108" t="e">
        <f>F24/E24</f>
        <v>#DIV/0!</v>
      </c>
      <c r="H24" s="108">
        <f>SUM(H17:H23)</f>
        <v>0</v>
      </c>
      <c r="I24" s="73" t="e">
        <f>H24/E24</f>
        <v>#DIV/0!</v>
      </c>
      <c r="J24" s="73" t="e">
        <f>I24/F24</f>
        <v>#DIV/0!</v>
      </c>
      <c r="K24" s="73"/>
      <c r="L24" s="108">
        <f>F24+H24</f>
        <v>0</v>
      </c>
      <c r="M24" s="114" t="e">
        <f>L24/E24</f>
        <v>#DIV/0!</v>
      </c>
      <c r="N24" s="114"/>
      <c r="O24" s="114"/>
      <c r="P24" s="114"/>
      <c r="Q24" s="114">
        <f>SUM(Q17:Q23)</f>
        <v>0</v>
      </c>
      <c r="R24" s="110" t="e">
        <f t="shared" si="10"/>
        <v>#DIV/0!</v>
      </c>
      <c r="S24" s="259"/>
      <c r="T24" s="264" t="e">
        <f>SUM(T17:T23)/S24</f>
        <v>#DIV/0!</v>
      </c>
      <c r="U24" s="266" t="e">
        <f>SUM(U17:U23)/S24</f>
        <v>#DIV/0!</v>
      </c>
      <c r="V24" s="266" t="e">
        <f>SUM(V17:V23)/S24</f>
        <v>#DIV/0!</v>
      </c>
      <c r="W24" s="266" t="e">
        <f>SUM(W17:W23)/S24</f>
        <v>#DIV/0!</v>
      </c>
      <c r="X24" s="266" t="e">
        <f>SUM(X17:X23)/S24</f>
        <v>#DIV/0!</v>
      </c>
      <c r="Y24" s="268" t="e">
        <f>SUM(V24:X24)/3</f>
        <v>#DIV/0!</v>
      </c>
      <c r="Z24" s="259"/>
      <c r="AA24" s="259"/>
      <c r="AB24" s="259"/>
      <c r="AC24" s="259"/>
    </row>
    <row r="25" spans="1:29" ht="23.5" customHeight="1" thickTop="1">
      <c r="A25" s="456" t="s">
        <v>15</v>
      </c>
      <c r="B25" s="457"/>
      <c r="C25" s="461" t="s">
        <v>15</v>
      </c>
      <c r="D25" s="462"/>
      <c r="E25" s="462"/>
      <c r="F25" s="462"/>
      <c r="G25" s="462"/>
      <c r="H25" s="462"/>
      <c r="I25" s="462"/>
      <c r="J25" s="462"/>
      <c r="K25" s="462"/>
      <c r="L25" s="462"/>
      <c r="M25" s="462"/>
      <c r="N25" s="462"/>
      <c r="O25" s="462"/>
      <c r="P25" s="462"/>
      <c r="Q25" s="462"/>
      <c r="R25" s="463"/>
      <c r="T25" s="497" t="str">
        <f>C25</f>
        <v>3rd week</v>
      </c>
      <c r="U25" s="497"/>
      <c r="V25" s="497"/>
      <c r="W25" s="497"/>
      <c r="X25" s="497"/>
      <c r="Y25" s="497"/>
    </row>
    <row r="26" spans="1:29" ht="23.5" customHeight="1">
      <c r="A26" s="52" t="s">
        <v>10</v>
      </c>
      <c r="B26" s="36" t="s">
        <v>11</v>
      </c>
      <c r="C26" s="101" t="s">
        <v>10</v>
      </c>
      <c r="D26" s="102" t="s">
        <v>11</v>
      </c>
      <c r="E26" s="102" t="s">
        <v>1</v>
      </c>
      <c r="F26" s="102" t="s">
        <v>30</v>
      </c>
      <c r="G26" s="102" t="s">
        <v>31</v>
      </c>
      <c r="H26" s="102" t="s">
        <v>28</v>
      </c>
      <c r="I26" s="102" t="s">
        <v>29</v>
      </c>
      <c r="J26" s="102" t="s">
        <v>388</v>
      </c>
      <c r="K26" s="102" t="s">
        <v>384</v>
      </c>
      <c r="L26" s="102" t="s">
        <v>71</v>
      </c>
      <c r="M26" s="103" t="s">
        <v>48</v>
      </c>
      <c r="N26" s="103" t="s">
        <v>385</v>
      </c>
      <c r="O26" s="103" t="s">
        <v>386</v>
      </c>
      <c r="P26" s="103" t="s">
        <v>387</v>
      </c>
      <c r="Q26" s="103" t="s">
        <v>40</v>
      </c>
      <c r="R26" s="104" t="s">
        <v>73</v>
      </c>
      <c r="T26" s="252" t="s">
        <v>114</v>
      </c>
      <c r="U26" s="253" t="s">
        <v>115</v>
      </c>
      <c r="V26" s="48" t="s">
        <v>116</v>
      </c>
      <c r="W26" s="48" t="s">
        <v>117</v>
      </c>
      <c r="X26" s="48" t="s">
        <v>118</v>
      </c>
      <c r="Y26" s="254" t="s">
        <v>127</v>
      </c>
      <c r="AA26" s="1" t="s">
        <v>122</v>
      </c>
      <c r="AC26" s="35" t="s">
        <v>125</v>
      </c>
    </row>
    <row r="27" spans="1:29" ht="23.5" customHeight="1">
      <c r="A27" s="53" t="s">
        <v>3</v>
      </c>
      <c r="B27" s="49">
        <v>10</v>
      </c>
      <c r="C27" s="105" t="s">
        <v>3</v>
      </c>
      <c r="D27" s="118" t="e">
        <f>#REF!</f>
        <v>#REF!</v>
      </c>
      <c r="E27" s="73"/>
      <c r="F27" s="106"/>
      <c r="G27" s="106" t="e">
        <f>F27/E27</f>
        <v>#DIV/0!</v>
      </c>
      <c r="H27" s="106"/>
      <c r="I27" s="107" t="e">
        <f>H27/E27</f>
        <v>#DIV/0!</v>
      </c>
      <c r="J27" s="107"/>
      <c r="K27" s="107"/>
      <c r="L27" s="108">
        <f>F27+H27+J27</f>
        <v>0</v>
      </c>
      <c r="M27" s="109" t="e">
        <f>L27/E27</f>
        <v>#DIV/0!</v>
      </c>
      <c r="N27" s="109"/>
      <c r="O27" s="109"/>
      <c r="P27" s="109"/>
      <c r="Q27" s="109"/>
      <c r="R27" s="110" t="e">
        <f>L27/Q27</f>
        <v>#DIV/0!</v>
      </c>
      <c r="T27" s="247"/>
      <c r="U27" s="247"/>
      <c r="V27" s="255"/>
      <c r="W27" s="255"/>
      <c r="X27" s="255"/>
      <c r="Y27" s="271">
        <f>SUM(V27:X27)/3</f>
        <v>0</v>
      </c>
      <c r="AA27" s="270" t="s">
        <v>123</v>
      </c>
      <c r="AB27" s="2"/>
      <c r="AC27" s="269">
        <v>5</v>
      </c>
    </row>
    <row r="28" spans="1:29" ht="23.5" customHeight="1">
      <c r="A28" s="54" t="s">
        <v>4</v>
      </c>
      <c r="B28" s="49">
        <v>11</v>
      </c>
      <c r="C28" s="101" t="s">
        <v>4</v>
      </c>
      <c r="D28" s="118" t="e">
        <f>#REF!</f>
        <v>#REF!</v>
      </c>
      <c r="E28" s="73"/>
      <c r="F28" s="106"/>
      <c r="G28" s="106" t="e">
        <f t="shared" ref="G28:G32" si="12">F28/E28</f>
        <v>#DIV/0!</v>
      </c>
      <c r="H28" s="106"/>
      <c r="I28" s="107" t="e">
        <f t="shared" ref="I28:I32" si="13">H28/E28</f>
        <v>#DIV/0!</v>
      </c>
      <c r="J28" s="107"/>
      <c r="K28" s="107"/>
      <c r="L28" s="108">
        <f t="shared" ref="L28:L32" si="14">F28+H28+J28</f>
        <v>0</v>
      </c>
      <c r="M28" s="109" t="e">
        <f t="shared" ref="M28:M33" si="15">L28/E28</f>
        <v>#DIV/0!</v>
      </c>
      <c r="N28" s="109"/>
      <c r="O28" s="109"/>
      <c r="P28" s="109"/>
      <c r="Q28" s="109"/>
      <c r="R28" s="110" t="e">
        <f t="shared" ref="R28:R34" si="16">L28/Q28</f>
        <v>#DIV/0!</v>
      </c>
      <c r="T28" s="247"/>
      <c r="U28" s="247"/>
      <c r="V28" s="255"/>
      <c r="W28" s="255"/>
      <c r="X28" s="255"/>
      <c r="Y28" s="271">
        <f t="shared" ref="Y28:Y33" si="17">SUM(V28:X28)/3</f>
        <v>0</v>
      </c>
      <c r="AA28" s="34" t="s">
        <v>124</v>
      </c>
      <c r="AC28" s="1">
        <v>4</v>
      </c>
    </row>
    <row r="29" spans="1:29" ht="23.5" customHeight="1">
      <c r="A29" s="54" t="s">
        <v>5</v>
      </c>
      <c r="B29" s="49">
        <v>12</v>
      </c>
      <c r="C29" s="101" t="s">
        <v>5</v>
      </c>
      <c r="D29" s="118" t="e">
        <f>#REF!</f>
        <v>#REF!</v>
      </c>
      <c r="E29" s="73"/>
      <c r="F29" s="106"/>
      <c r="G29" s="106" t="e">
        <f t="shared" si="12"/>
        <v>#DIV/0!</v>
      </c>
      <c r="H29" s="106"/>
      <c r="I29" s="107" t="e">
        <f t="shared" si="13"/>
        <v>#DIV/0!</v>
      </c>
      <c r="J29" s="107"/>
      <c r="K29" s="107"/>
      <c r="L29" s="108">
        <f t="shared" si="14"/>
        <v>0</v>
      </c>
      <c r="M29" s="109" t="e">
        <f t="shared" si="15"/>
        <v>#DIV/0!</v>
      </c>
      <c r="N29" s="109"/>
      <c r="O29" s="109"/>
      <c r="P29" s="109"/>
      <c r="Q29" s="109"/>
      <c r="R29" s="110" t="e">
        <f t="shared" si="16"/>
        <v>#DIV/0!</v>
      </c>
      <c r="T29" s="247"/>
      <c r="U29" s="247"/>
      <c r="V29" s="255"/>
      <c r="W29" s="255"/>
      <c r="X29" s="255"/>
      <c r="Y29" s="271">
        <f t="shared" si="17"/>
        <v>0</v>
      </c>
      <c r="AA29" s="34" t="s">
        <v>128</v>
      </c>
      <c r="AC29" s="1">
        <v>3</v>
      </c>
    </row>
    <row r="30" spans="1:29" ht="23.5" customHeight="1">
      <c r="A30" s="54" t="s">
        <v>6</v>
      </c>
      <c r="B30" s="49">
        <v>13</v>
      </c>
      <c r="C30" s="101" t="s">
        <v>6</v>
      </c>
      <c r="D30" s="118" t="e">
        <f>#REF!</f>
        <v>#REF!</v>
      </c>
      <c r="E30" s="73"/>
      <c r="F30" s="106"/>
      <c r="G30" s="106" t="e">
        <f t="shared" si="12"/>
        <v>#DIV/0!</v>
      </c>
      <c r="H30" s="106"/>
      <c r="I30" s="107" t="e">
        <f t="shared" si="13"/>
        <v>#DIV/0!</v>
      </c>
      <c r="J30" s="107"/>
      <c r="K30" s="107"/>
      <c r="L30" s="108">
        <f t="shared" si="14"/>
        <v>0</v>
      </c>
      <c r="M30" s="109" t="e">
        <f t="shared" si="15"/>
        <v>#DIV/0!</v>
      </c>
      <c r="N30" s="109"/>
      <c r="O30" s="109"/>
      <c r="P30" s="109"/>
      <c r="Q30" s="109"/>
      <c r="R30" s="110" t="e">
        <f t="shared" si="16"/>
        <v>#DIV/0!</v>
      </c>
      <c r="T30" s="247"/>
      <c r="U30" s="247"/>
      <c r="V30" s="255"/>
      <c r="W30" s="255"/>
      <c r="X30" s="255"/>
      <c r="Y30" s="271">
        <f t="shared" si="17"/>
        <v>0</v>
      </c>
      <c r="AA30" s="34" t="s">
        <v>120</v>
      </c>
      <c r="AC30" s="1">
        <v>2</v>
      </c>
    </row>
    <row r="31" spans="1:29" ht="23.5" customHeight="1">
      <c r="A31" s="54" t="s">
        <v>7</v>
      </c>
      <c r="B31" s="49">
        <v>14</v>
      </c>
      <c r="C31" s="101" t="s">
        <v>7</v>
      </c>
      <c r="D31" s="118" t="e">
        <f>#REF!</f>
        <v>#REF!</v>
      </c>
      <c r="E31" s="73"/>
      <c r="F31" s="106"/>
      <c r="G31" s="106" t="e">
        <f t="shared" si="12"/>
        <v>#DIV/0!</v>
      </c>
      <c r="H31" s="106"/>
      <c r="I31" s="107" t="e">
        <f t="shared" si="13"/>
        <v>#DIV/0!</v>
      </c>
      <c r="J31" s="107"/>
      <c r="K31" s="107"/>
      <c r="L31" s="108">
        <f t="shared" si="14"/>
        <v>0</v>
      </c>
      <c r="M31" s="109" t="e">
        <f t="shared" si="15"/>
        <v>#DIV/0!</v>
      </c>
      <c r="N31" s="109"/>
      <c r="O31" s="109"/>
      <c r="P31" s="109"/>
      <c r="Q31" s="109"/>
      <c r="R31" s="110" t="e">
        <f t="shared" si="16"/>
        <v>#DIV/0!</v>
      </c>
      <c r="T31" s="247"/>
      <c r="U31" s="247"/>
      <c r="V31" s="255"/>
      <c r="W31" s="255"/>
      <c r="X31" s="255"/>
      <c r="Y31" s="271">
        <f t="shared" si="17"/>
        <v>0</v>
      </c>
      <c r="AA31" s="34" t="s">
        <v>121</v>
      </c>
      <c r="AC31" s="1">
        <v>1</v>
      </c>
    </row>
    <row r="32" spans="1:29" ht="23.5" customHeight="1">
      <c r="A32" s="54" t="s">
        <v>8</v>
      </c>
      <c r="B32" s="49">
        <v>15</v>
      </c>
      <c r="C32" s="101" t="s">
        <v>8</v>
      </c>
      <c r="D32" s="118" t="e">
        <f>#REF!</f>
        <v>#REF!</v>
      </c>
      <c r="E32" s="73"/>
      <c r="F32" s="106"/>
      <c r="G32" s="106" t="e">
        <f t="shared" si="12"/>
        <v>#DIV/0!</v>
      </c>
      <c r="H32" s="106"/>
      <c r="I32" s="107" t="e">
        <f t="shared" si="13"/>
        <v>#DIV/0!</v>
      </c>
      <c r="J32" s="107"/>
      <c r="K32" s="107"/>
      <c r="L32" s="108">
        <f t="shared" si="14"/>
        <v>0</v>
      </c>
      <c r="M32" s="109" t="e">
        <f t="shared" si="15"/>
        <v>#DIV/0!</v>
      </c>
      <c r="N32" s="109"/>
      <c r="O32" s="109"/>
      <c r="P32" s="109"/>
      <c r="Q32" s="109"/>
      <c r="R32" s="110" t="e">
        <f t="shared" si="16"/>
        <v>#DIV/0!</v>
      </c>
      <c r="T32" s="247"/>
      <c r="U32" s="247"/>
      <c r="V32" s="255"/>
      <c r="W32" s="255"/>
      <c r="X32" s="255"/>
      <c r="Y32" s="271">
        <f t="shared" si="17"/>
        <v>0</v>
      </c>
      <c r="AA32" s="34" t="s">
        <v>126</v>
      </c>
      <c r="AC32" s="1">
        <v>0</v>
      </c>
    </row>
    <row r="33" spans="1:29" ht="23.5" customHeight="1" thickBot="1">
      <c r="A33" s="55" t="s">
        <v>9</v>
      </c>
      <c r="B33" s="49">
        <v>16</v>
      </c>
      <c r="C33" s="111" t="s">
        <v>9</v>
      </c>
      <c r="D33" s="118" t="e">
        <f>#REF!</f>
        <v>#REF!</v>
      </c>
      <c r="E33" s="73"/>
      <c r="F33" s="106"/>
      <c r="G33" s="106" t="e">
        <f>F33/E33</f>
        <v>#DIV/0!</v>
      </c>
      <c r="H33" s="106"/>
      <c r="I33" s="107" t="e">
        <f>H33/E33</f>
        <v>#DIV/0!</v>
      </c>
      <c r="J33" s="107">
        <v>0</v>
      </c>
      <c r="K33" s="107"/>
      <c r="L33" s="108">
        <f>F33+H33+J33</f>
        <v>0</v>
      </c>
      <c r="M33" s="109" t="e">
        <f t="shared" si="15"/>
        <v>#DIV/0!</v>
      </c>
      <c r="N33" s="109"/>
      <c r="O33" s="109"/>
      <c r="P33" s="109"/>
      <c r="Q33" s="109"/>
      <c r="R33" s="110" t="e">
        <f t="shared" si="16"/>
        <v>#DIV/0!</v>
      </c>
      <c r="T33" s="248"/>
      <c r="U33" s="248"/>
      <c r="V33" s="256"/>
      <c r="W33" s="255"/>
      <c r="X33" s="256"/>
      <c r="Y33" s="272">
        <f t="shared" si="17"/>
        <v>0</v>
      </c>
      <c r="AA33" s="1" t="s">
        <v>129</v>
      </c>
    </row>
    <row r="34" spans="1:29" ht="23.5" customHeight="1" thickTop="1" thickBot="1">
      <c r="A34" s="471" t="s">
        <v>13</v>
      </c>
      <c r="B34" s="472"/>
      <c r="C34" s="464" t="s">
        <v>13</v>
      </c>
      <c r="D34" s="465"/>
      <c r="E34" s="108">
        <f>SUM(E27:E33)</f>
        <v>0</v>
      </c>
      <c r="F34" s="108">
        <f>SUM(F27:F33)</f>
        <v>0</v>
      </c>
      <c r="G34" s="108" t="e">
        <f>F34/E34</f>
        <v>#DIV/0!</v>
      </c>
      <c r="H34" s="108">
        <f>SUM(H27:H33)</f>
        <v>0</v>
      </c>
      <c r="I34" s="73" t="e">
        <f>H34/E34</f>
        <v>#DIV/0!</v>
      </c>
      <c r="J34" s="73" t="e">
        <f>I34/F34</f>
        <v>#DIV/0!</v>
      </c>
      <c r="K34" s="73"/>
      <c r="L34" s="108">
        <f>F34+H34</f>
        <v>0</v>
      </c>
      <c r="M34" s="114" t="e">
        <f>L34/E34</f>
        <v>#DIV/0!</v>
      </c>
      <c r="N34" s="114"/>
      <c r="O34" s="114"/>
      <c r="P34" s="114"/>
      <c r="Q34" s="114">
        <f>SUM(Q27:Q33)</f>
        <v>0</v>
      </c>
      <c r="R34" s="110" t="e">
        <f t="shared" si="16"/>
        <v>#DIV/0!</v>
      </c>
      <c r="S34" s="259"/>
      <c r="T34" s="264" t="e">
        <f>SUM(T27:T33)/S34</f>
        <v>#DIV/0!</v>
      </c>
      <c r="U34" s="266" t="e">
        <f>SUM(U27:U33)/S34</f>
        <v>#DIV/0!</v>
      </c>
      <c r="V34" s="266" t="e">
        <f>SUM(V27:V33)/S34</f>
        <v>#DIV/0!</v>
      </c>
      <c r="W34" s="266" t="e">
        <f>SUM(W27:W33)/S34</f>
        <v>#DIV/0!</v>
      </c>
      <c r="X34" s="266" t="e">
        <f>SUM(X27:X33)/S34</f>
        <v>#DIV/0!</v>
      </c>
      <c r="Y34" s="268" t="e">
        <f>SUM(V34:X34)/3</f>
        <v>#DIV/0!</v>
      </c>
      <c r="Z34" s="259"/>
      <c r="AA34" s="259"/>
      <c r="AB34" s="259"/>
      <c r="AC34" s="259"/>
    </row>
    <row r="35" spans="1:29" ht="23.5" customHeight="1" thickTop="1">
      <c r="A35" s="456" t="s">
        <v>16</v>
      </c>
      <c r="B35" s="457"/>
      <c r="C35" s="461" t="s">
        <v>16</v>
      </c>
      <c r="D35" s="462"/>
      <c r="E35" s="462"/>
      <c r="F35" s="462"/>
      <c r="G35" s="462"/>
      <c r="H35" s="462"/>
      <c r="I35" s="462"/>
      <c r="J35" s="462"/>
      <c r="K35" s="462"/>
      <c r="L35" s="462"/>
      <c r="M35" s="462"/>
      <c r="N35" s="462"/>
      <c r="O35" s="462"/>
      <c r="P35" s="462"/>
      <c r="Q35" s="462"/>
      <c r="R35" s="463"/>
      <c r="T35" s="497" t="str">
        <f>C35</f>
        <v>4th week</v>
      </c>
      <c r="U35" s="497"/>
      <c r="V35" s="497"/>
      <c r="W35" s="497"/>
      <c r="X35" s="497"/>
      <c r="Y35" s="497"/>
    </row>
    <row r="36" spans="1:29" ht="23.5" customHeight="1">
      <c r="A36" s="52" t="s">
        <v>10</v>
      </c>
      <c r="B36" s="36" t="s">
        <v>11</v>
      </c>
      <c r="C36" s="101" t="s">
        <v>10</v>
      </c>
      <c r="D36" s="102" t="s">
        <v>11</v>
      </c>
      <c r="E36" s="102" t="s">
        <v>1</v>
      </c>
      <c r="F36" s="102" t="s">
        <v>30</v>
      </c>
      <c r="G36" s="102" t="s">
        <v>31</v>
      </c>
      <c r="H36" s="102" t="s">
        <v>28</v>
      </c>
      <c r="I36" s="102" t="s">
        <v>29</v>
      </c>
      <c r="J36" s="102" t="s">
        <v>388</v>
      </c>
      <c r="K36" s="102" t="s">
        <v>384</v>
      </c>
      <c r="L36" s="102" t="s">
        <v>71</v>
      </c>
      <c r="M36" s="103" t="s">
        <v>48</v>
      </c>
      <c r="N36" s="103" t="s">
        <v>385</v>
      </c>
      <c r="O36" s="103" t="s">
        <v>386</v>
      </c>
      <c r="P36" s="103" t="s">
        <v>387</v>
      </c>
      <c r="Q36" s="103" t="s">
        <v>40</v>
      </c>
      <c r="R36" s="104" t="s">
        <v>73</v>
      </c>
      <c r="T36" s="252" t="s">
        <v>114</v>
      </c>
      <c r="U36" s="253" t="s">
        <v>115</v>
      </c>
      <c r="V36" s="48" t="s">
        <v>116</v>
      </c>
      <c r="W36" s="48" t="s">
        <v>117</v>
      </c>
      <c r="X36" s="48" t="s">
        <v>118</v>
      </c>
      <c r="Y36" s="254" t="s">
        <v>127</v>
      </c>
      <c r="AA36" s="1" t="s">
        <v>122</v>
      </c>
      <c r="AC36" s="35" t="s">
        <v>125</v>
      </c>
    </row>
    <row r="37" spans="1:29" ht="23.5" customHeight="1">
      <c r="A37" s="53" t="s">
        <v>3</v>
      </c>
      <c r="B37" s="49">
        <v>17</v>
      </c>
      <c r="C37" s="105" t="s">
        <v>3</v>
      </c>
      <c r="D37" s="118" t="e">
        <f>#REF!</f>
        <v>#REF!</v>
      </c>
      <c r="E37" s="73"/>
      <c r="F37" s="106"/>
      <c r="G37" s="106" t="e">
        <f>F37/E37</f>
        <v>#DIV/0!</v>
      </c>
      <c r="H37" s="106"/>
      <c r="I37" s="107" t="e">
        <f>H37/E37</f>
        <v>#DIV/0!</v>
      </c>
      <c r="J37" s="107"/>
      <c r="K37" s="107"/>
      <c r="L37" s="108">
        <f>F37+H37+J37</f>
        <v>0</v>
      </c>
      <c r="M37" s="109" t="e">
        <f>L37/E37</f>
        <v>#DIV/0!</v>
      </c>
      <c r="N37" s="109"/>
      <c r="O37" s="109"/>
      <c r="P37" s="109"/>
      <c r="Q37" s="109"/>
      <c r="R37" s="110" t="e">
        <f>L37/Q37</f>
        <v>#DIV/0!</v>
      </c>
      <c r="T37" s="247"/>
      <c r="U37" s="247"/>
      <c r="V37" s="255"/>
      <c r="W37" s="255"/>
      <c r="X37" s="255"/>
      <c r="Y37" s="271">
        <f>SUM(V37:X37)/3</f>
        <v>0</v>
      </c>
      <c r="AA37" s="270" t="s">
        <v>123</v>
      </c>
      <c r="AB37" s="2"/>
      <c r="AC37" s="269">
        <v>5</v>
      </c>
    </row>
    <row r="38" spans="1:29" ht="23.5" customHeight="1">
      <c r="A38" s="54" t="s">
        <v>4</v>
      </c>
      <c r="B38" s="49">
        <v>18</v>
      </c>
      <c r="C38" s="101" t="s">
        <v>4</v>
      </c>
      <c r="D38" s="118" t="e">
        <f>#REF!</f>
        <v>#REF!</v>
      </c>
      <c r="E38" s="73"/>
      <c r="F38" s="106"/>
      <c r="G38" s="106" t="e">
        <f t="shared" ref="G38:G42" si="18">F38/E38</f>
        <v>#DIV/0!</v>
      </c>
      <c r="H38" s="106"/>
      <c r="I38" s="107" t="e">
        <f t="shared" ref="I38:I42" si="19">H38/E38</f>
        <v>#DIV/0!</v>
      </c>
      <c r="J38" s="107"/>
      <c r="K38" s="107"/>
      <c r="L38" s="108">
        <f t="shared" ref="L38:L42" si="20">F38+H38+J38</f>
        <v>0</v>
      </c>
      <c r="M38" s="109" t="e">
        <f t="shared" ref="M38:M43" si="21">L38/E38</f>
        <v>#DIV/0!</v>
      </c>
      <c r="N38" s="109"/>
      <c r="O38" s="109"/>
      <c r="P38" s="109"/>
      <c r="Q38" s="109"/>
      <c r="R38" s="110" t="e">
        <f t="shared" ref="R38:R44" si="22">L38/Q38</f>
        <v>#DIV/0!</v>
      </c>
      <c r="T38" s="247"/>
      <c r="U38" s="247"/>
      <c r="V38" s="255"/>
      <c r="W38" s="255"/>
      <c r="X38" s="255"/>
      <c r="Y38" s="271">
        <f t="shared" ref="Y38:Y43" si="23">SUM(V38:X38)/3</f>
        <v>0</v>
      </c>
      <c r="AA38" s="34" t="s">
        <v>124</v>
      </c>
      <c r="AC38" s="1">
        <v>4</v>
      </c>
    </row>
    <row r="39" spans="1:29" ht="23.5" customHeight="1">
      <c r="A39" s="54" t="s">
        <v>5</v>
      </c>
      <c r="B39" s="49">
        <v>19</v>
      </c>
      <c r="C39" s="101" t="s">
        <v>5</v>
      </c>
      <c r="D39" s="118" t="e">
        <f>#REF!</f>
        <v>#REF!</v>
      </c>
      <c r="E39" s="73"/>
      <c r="F39" s="106"/>
      <c r="G39" s="106" t="e">
        <f t="shared" si="18"/>
        <v>#DIV/0!</v>
      </c>
      <c r="H39" s="106"/>
      <c r="I39" s="107" t="e">
        <f t="shared" si="19"/>
        <v>#DIV/0!</v>
      </c>
      <c r="J39" s="107"/>
      <c r="K39" s="107"/>
      <c r="L39" s="108">
        <f t="shared" si="20"/>
        <v>0</v>
      </c>
      <c r="M39" s="109" t="e">
        <f t="shared" si="21"/>
        <v>#DIV/0!</v>
      </c>
      <c r="N39" s="109"/>
      <c r="O39" s="109"/>
      <c r="P39" s="109"/>
      <c r="Q39" s="109"/>
      <c r="R39" s="110" t="e">
        <f t="shared" si="22"/>
        <v>#DIV/0!</v>
      </c>
      <c r="T39" s="247"/>
      <c r="U39" s="247"/>
      <c r="V39" s="255"/>
      <c r="W39" s="255"/>
      <c r="X39" s="255"/>
      <c r="Y39" s="271">
        <f t="shared" si="23"/>
        <v>0</v>
      </c>
      <c r="AA39" s="34" t="s">
        <v>128</v>
      </c>
      <c r="AC39" s="1">
        <v>3</v>
      </c>
    </row>
    <row r="40" spans="1:29" ht="23.5" customHeight="1">
      <c r="A40" s="54" t="s">
        <v>6</v>
      </c>
      <c r="B40" s="49">
        <v>20</v>
      </c>
      <c r="C40" s="101" t="s">
        <v>6</v>
      </c>
      <c r="D40" s="118" t="e">
        <f>#REF!</f>
        <v>#REF!</v>
      </c>
      <c r="E40" s="73"/>
      <c r="F40" s="106"/>
      <c r="G40" s="106" t="e">
        <f t="shared" si="18"/>
        <v>#DIV/0!</v>
      </c>
      <c r="H40" s="106"/>
      <c r="I40" s="107" t="e">
        <f t="shared" si="19"/>
        <v>#DIV/0!</v>
      </c>
      <c r="J40" s="107"/>
      <c r="K40" s="107"/>
      <c r="L40" s="108">
        <f t="shared" si="20"/>
        <v>0</v>
      </c>
      <c r="M40" s="109" t="e">
        <f t="shared" si="21"/>
        <v>#DIV/0!</v>
      </c>
      <c r="N40" s="109"/>
      <c r="O40" s="109"/>
      <c r="P40" s="109"/>
      <c r="Q40" s="109"/>
      <c r="R40" s="110" t="e">
        <f t="shared" si="22"/>
        <v>#DIV/0!</v>
      </c>
      <c r="T40" s="247"/>
      <c r="U40" s="247"/>
      <c r="V40" s="255"/>
      <c r="W40" s="255"/>
      <c r="X40" s="255"/>
      <c r="Y40" s="271">
        <f t="shared" si="23"/>
        <v>0</v>
      </c>
      <c r="AA40" s="34" t="s">
        <v>120</v>
      </c>
      <c r="AC40" s="1">
        <v>2</v>
      </c>
    </row>
    <row r="41" spans="1:29" ht="23.5" customHeight="1">
      <c r="A41" s="54" t="s">
        <v>7</v>
      </c>
      <c r="B41" s="49">
        <v>21</v>
      </c>
      <c r="C41" s="101" t="s">
        <v>7</v>
      </c>
      <c r="D41" s="118" t="e">
        <f>#REF!</f>
        <v>#REF!</v>
      </c>
      <c r="E41" s="73"/>
      <c r="F41" s="106"/>
      <c r="G41" s="106" t="e">
        <f t="shared" si="18"/>
        <v>#DIV/0!</v>
      </c>
      <c r="H41" s="106"/>
      <c r="I41" s="107" t="e">
        <f t="shared" si="19"/>
        <v>#DIV/0!</v>
      </c>
      <c r="J41" s="107"/>
      <c r="K41" s="107"/>
      <c r="L41" s="108">
        <f t="shared" si="20"/>
        <v>0</v>
      </c>
      <c r="M41" s="109" t="e">
        <f t="shared" si="21"/>
        <v>#DIV/0!</v>
      </c>
      <c r="N41" s="109"/>
      <c r="O41" s="109"/>
      <c r="P41" s="109"/>
      <c r="Q41" s="109"/>
      <c r="R41" s="110" t="e">
        <f t="shared" si="22"/>
        <v>#DIV/0!</v>
      </c>
      <c r="T41" s="247"/>
      <c r="U41" s="247"/>
      <c r="V41" s="255"/>
      <c r="W41" s="255"/>
      <c r="X41" s="255"/>
      <c r="Y41" s="271">
        <f t="shared" si="23"/>
        <v>0</v>
      </c>
      <c r="AA41" s="34" t="s">
        <v>121</v>
      </c>
      <c r="AC41" s="1">
        <v>1</v>
      </c>
    </row>
    <row r="42" spans="1:29" ht="23.5" customHeight="1">
      <c r="A42" s="54" t="s">
        <v>8</v>
      </c>
      <c r="B42" s="49">
        <v>22</v>
      </c>
      <c r="C42" s="101" t="s">
        <v>8</v>
      </c>
      <c r="D42" s="118" t="e">
        <f>#REF!</f>
        <v>#REF!</v>
      </c>
      <c r="E42" s="73"/>
      <c r="F42" s="106"/>
      <c r="G42" s="106" t="e">
        <f t="shared" si="18"/>
        <v>#DIV/0!</v>
      </c>
      <c r="H42" s="106"/>
      <c r="I42" s="107" t="e">
        <f t="shared" si="19"/>
        <v>#DIV/0!</v>
      </c>
      <c r="J42" s="107"/>
      <c r="K42" s="107"/>
      <c r="L42" s="108">
        <f t="shared" si="20"/>
        <v>0</v>
      </c>
      <c r="M42" s="109" t="e">
        <f t="shared" si="21"/>
        <v>#DIV/0!</v>
      </c>
      <c r="N42" s="109"/>
      <c r="O42" s="109"/>
      <c r="P42" s="109"/>
      <c r="Q42" s="109"/>
      <c r="R42" s="110" t="e">
        <f t="shared" si="22"/>
        <v>#DIV/0!</v>
      </c>
      <c r="T42" s="247"/>
      <c r="U42" s="247"/>
      <c r="V42" s="255"/>
      <c r="W42" s="255"/>
      <c r="X42" s="255"/>
      <c r="Y42" s="271">
        <f t="shared" si="23"/>
        <v>0</v>
      </c>
      <c r="AA42" s="34" t="s">
        <v>126</v>
      </c>
      <c r="AC42" s="1">
        <v>0</v>
      </c>
    </row>
    <row r="43" spans="1:29" ht="23.5" customHeight="1" thickBot="1">
      <c r="A43" s="55" t="s">
        <v>9</v>
      </c>
      <c r="B43" s="49">
        <v>23</v>
      </c>
      <c r="C43" s="111" t="s">
        <v>9</v>
      </c>
      <c r="D43" s="118" t="e">
        <f>#REF!</f>
        <v>#REF!</v>
      </c>
      <c r="E43" s="73"/>
      <c r="F43" s="106"/>
      <c r="G43" s="106" t="e">
        <f>F43/E43</f>
        <v>#DIV/0!</v>
      </c>
      <c r="H43" s="106"/>
      <c r="I43" s="107" t="e">
        <f>H43/E43</f>
        <v>#DIV/0!</v>
      </c>
      <c r="J43" s="107">
        <v>0</v>
      </c>
      <c r="K43" s="107"/>
      <c r="L43" s="108">
        <f>F43+H43+J43</f>
        <v>0</v>
      </c>
      <c r="M43" s="109" t="e">
        <f t="shared" si="21"/>
        <v>#DIV/0!</v>
      </c>
      <c r="N43" s="109"/>
      <c r="O43" s="109"/>
      <c r="P43" s="109"/>
      <c r="Q43" s="109"/>
      <c r="R43" s="110" t="e">
        <f t="shared" si="22"/>
        <v>#DIV/0!</v>
      </c>
      <c r="T43" s="248"/>
      <c r="U43" s="248"/>
      <c r="V43" s="256"/>
      <c r="W43" s="255"/>
      <c r="X43" s="255"/>
      <c r="Y43" s="272">
        <f t="shared" si="23"/>
        <v>0</v>
      </c>
      <c r="AA43" s="1" t="s">
        <v>129</v>
      </c>
    </row>
    <row r="44" spans="1:29" ht="23.5" customHeight="1" thickTop="1" thickBot="1">
      <c r="A44" s="471" t="s">
        <v>13</v>
      </c>
      <c r="B44" s="472"/>
      <c r="C44" s="464" t="s">
        <v>13</v>
      </c>
      <c r="D44" s="465"/>
      <c r="E44" s="119">
        <f>SUM(E37:E43)</f>
        <v>0</v>
      </c>
      <c r="F44" s="119">
        <f>SUM(F37:F43)</f>
        <v>0</v>
      </c>
      <c r="G44" s="119" t="e">
        <f>F44/E44</f>
        <v>#DIV/0!</v>
      </c>
      <c r="H44" s="119">
        <f>SUM(H37:H43)</f>
        <v>0</v>
      </c>
      <c r="I44" s="120" t="e">
        <f>H44/E44</f>
        <v>#DIV/0!</v>
      </c>
      <c r="J44" s="120" t="e">
        <f>I44/F44</f>
        <v>#DIV/0!</v>
      </c>
      <c r="K44" s="120"/>
      <c r="L44" s="119">
        <f>F44+H44</f>
        <v>0</v>
      </c>
      <c r="M44" s="121" t="e">
        <f>L44/E44</f>
        <v>#DIV/0!</v>
      </c>
      <c r="N44" s="121"/>
      <c r="O44" s="121"/>
      <c r="P44" s="121"/>
      <c r="Q44" s="121"/>
      <c r="R44" s="122" t="e">
        <f t="shared" si="22"/>
        <v>#DIV/0!</v>
      </c>
      <c r="S44" s="259"/>
      <c r="T44" s="264" t="e">
        <f>SUM(T37:T43)/S44</f>
        <v>#DIV/0!</v>
      </c>
      <c r="U44" s="266" t="e">
        <f>SUM(U37:U43)/S44</f>
        <v>#DIV/0!</v>
      </c>
      <c r="V44" s="266" t="e">
        <f>SUM(V37:V43)/S44</f>
        <v>#DIV/0!</v>
      </c>
      <c r="W44" s="266" t="e">
        <f>SUM(W37:W43)/S44</f>
        <v>#DIV/0!</v>
      </c>
      <c r="X44" s="266" t="e">
        <f>SUM(X37:X43)/S44</f>
        <v>#DIV/0!</v>
      </c>
      <c r="Y44" s="268" t="e">
        <f>SUM(V44:X44)/3</f>
        <v>#DIV/0!</v>
      </c>
      <c r="Z44" s="259"/>
      <c r="AA44" s="259"/>
      <c r="AB44" s="259"/>
      <c r="AC44" s="259"/>
    </row>
    <row r="45" spans="1:29" ht="23.5" customHeight="1" thickTop="1">
      <c r="A45" s="456" t="s">
        <v>17</v>
      </c>
      <c r="B45" s="457"/>
      <c r="C45" s="461" t="s">
        <v>17</v>
      </c>
      <c r="D45" s="462"/>
      <c r="E45" s="462"/>
      <c r="F45" s="462"/>
      <c r="G45" s="462"/>
      <c r="H45" s="462"/>
      <c r="I45" s="462"/>
      <c r="J45" s="462"/>
      <c r="K45" s="462"/>
      <c r="L45" s="462"/>
      <c r="M45" s="462"/>
      <c r="N45" s="462"/>
      <c r="O45" s="462"/>
      <c r="P45" s="462"/>
      <c r="Q45" s="462"/>
      <c r="R45" s="463"/>
      <c r="T45" s="497" t="str">
        <f>C45</f>
        <v>5th week</v>
      </c>
      <c r="U45" s="497"/>
      <c r="V45" s="497"/>
      <c r="W45" s="497"/>
      <c r="X45" s="497"/>
      <c r="Y45" s="497"/>
    </row>
    <row r="46" spans="1:29" ht="23.5" customHeight="1">
      <c r="A46" s="52" t="s">
        <v>10</v>
      </c>
      <c r="B46" s="36" t="s">
        <v>11</v>
      </c>
      <c r="C46" s="101" t="s">
        <v>10</v>
      </c>
      <c r="D46" s="102" t="s">
        <v>11</v>
      </c>
      <c r="E46" s="102" t="s">
        <v>1</v>
      </c>
      <c r="F46" s="102" t="s">
        <v>30</v>
      </c>
      <c r="G46" s="102" t="s">
        <v>31</v>
      </c>
      <c r="H46" s="102" t="s">
        <v>28</v>
      </c>
      <c r="I46" s="102" t="s">
        <v>29</v>
      </c>
      <c r="J46" s="102" t="s">
        <v>388</v>
      </c>
      <c r="K46" s="102" t="s">
        <v>384</v>
      </c>
      <c r="L46" s="102" t="s">
        <v>71</v>
      </c>
      <c r="M46" s="103" t="s">
        <v>48</v>
      </c>
      <c r="N46" s="103" t="s">
        <v>385</v>
      </c>
      <c r="O46" s="103" t="s">
        <v>386</v>
      </c>
      <c r="P46" s="103" t="s">
        <v>387</v>
      </c>
      <c r="Q46" s="103" t="s">
        <v>40</v>
      </c>
      <c r="R46" s="104" t="s">
        <v>73</v>
      </c>
      <c r="T46" s="252" t="s">
        <v>114</v>
      </c>
      <c r="U46" s="253" t="s">
        <v>115</v>
      </c>
      <c r="V46" s="48" t="s">
        <v>116</v>
      </c>
      <c r="W46" s="48" t="s">
        <v>117</v>
      </c>
      <c r="X46" s="48" t="s">
        <v>118</v>
      </c>
      <c r="Y46" s="254" t="s">
        <v>127</v>
      </c>
      <c r="AA46" s="1" t="s">
        <v>122</v>
      </c>
      <c r="AC46" s="35" t="s">
        <v>125</v>
      </c>
    </row>
    <row r="47" spans="1:29" ht="23.5" customHeight="1">
      <c r="A47" s="53" t="s">
        <v>3</v>
      </c>
      <c r="B47" s="49">
        <v>24</v>
      </c>
      <c r="C47" s="105" t="s">
        <v>3</v>
      </c>
      <c r="D47" s="118" t="e">
        <f>#REF!</f>
        <v>#REF!</v>
      </c>
      <c r="E47" s="73"/>
      <c r="F47" s="106"/>
      <c r="G47" s="106" t="e">
        <f>F47/E47</f>
        <v>#DIV/0!</v>
      </c>
      <c r="H47" s="106"/>
      <c r="I47" s="107" t="e">
        <f>H47/E47</f>
        <v>#DIV/0!</v>
      </c>
      <c r="J47" s="107"/>
      <c r="K47" s="107"/>
      <c r="L47" s="108">
        <f>F47+H47+J47</f>
        <v>0</v>
      </c>
      <c r="M47" s="109" t="e">
        <f>L47/E47</f>
        <v>#DIV/0!</v>
      </c>
      <c r="N47" s="109"/>
      <c r="O47" s="109"/>
      <c r="P47" s="109"/>
      <c r="Q47" s="109"/>
      <c r="R47" s="110" t="e">
        <f>L47/Q47</f>
        <v>#DIV/0!</v>
      </c>
      <c r="T47" s="247"/>
      <c r="U47" s="247"/>
      <c r="V47" s="255"/>
      <c r="W47" s="255"/>
      <c r="X47" s="255"/>
      <c r="Y47" s="271">
        <f>SUM(V47:X47)/3</f>
        <v>0</v>
      </c>
      <c r="AA47" s="270" t="s">
        <v>123</v>
      </c>
      <c r="AB47" s="2"/>
      <c r="AC47" s="269">
        <v>5</v>
      </c>
    </row>
    <row r="48" spans="1:29" ht="23.5" customHeight="1">
      <c r="A48" s="54" t="s">
        <v>4</v>
      </c>
      <c r="B48" s="49">
        <v>25</v>
      </c>
      <c r="C48" s="101" t="s">
        <v>4</v>
      </c>
      <c r="D48" s="118" t="e">
        <f>#REF!</f>
        <v>#REF!</v>
      </c>
      <c r="E48" s="73"/>
      <c r="F48" s="106"/>
      <c r="G48" s="106" t="e">
        <f t="shared" ref="G48:G52" si="24">F48/E48</f>
        <v>#DIV/0!</v>
      </c>
      <c r="H48" s="106"/>
      <c r="I48" s="107" t="e">
        <f t="shared" ref="I48:I52" si="25">H48/E48</f>
        <v>#DIV/0!</v>
      </c>
      <c r="J48" s="107"/>
      <c r="K48" s="107"/>
      <c r="L48" s="108">
        <f t="shared" ref="L48:L52" si="26">F48+H48+J48</f>
        <v>0</v>
      </c>
      <c r="M48" s="109" t="e">
        <f t="shared" ref="M48:M53" si="27">L48/E48</f>
        <v>#DIV/0!</v>
      </c>
      <c r="N48" s="109"/>
      <c r="O48" s="109"/>
      <c r="P48" s="109"/>
      <c r="Q48" s="109"/>
      <c r="R48" s="110" t="e">
        <f t="shared" ref="R48:R54" si="28">L48/Q48</f>
        <v>#DIV/0!</v>
      </c>
      <c r="T48" s="247"/>
      <c r="U48" s="247"/>
      <c r="V48" s="255"/>
      <c r="W48" s="255"/>
      <c r="X48" s="255"/>
      <c r="Y48" s="271">
        <f t="shared" ref="Y48:Y53" si="29">SUM(V48:X48)/3</f>
        <v>0</v>
      </c>
      <c r="AA48" s="34" t="s">
        <v>124</v>
      </c>
      <c r="AC48" s="1">
        <v>4</v>
      </c>
    </row>
    <row r="49" spans="1:29" ht="23.5" customHeight="1">
      <c r="A49" s="54" t="s">
        <v>5</v>
      </c>
      <c r="B49" s="49">
        <v>26</v>
      </c>
      <c r="C49" s="101" t="s">
        <v>5</v>
      </c>
      <c r="D49" s="118" t="e">
        <f>#REF!</f>
        <v>#REF!</v>
      </c>
      <c r="E49" s="73"/>
      <c r="F49" s="106"/>
      <c r="G49" s="106" t="e">
        <f t="shared" si="24"/>
        <v>#DIV/0!</v>
      </c>
      <c r="H49" s="106"/>
      <c r="I49" s="107" t="e">
        <f t="shared" si="25"/>
        <v>#DIV/0!</v>
      </c>
      <c r="J49" s="107"/>
      <c r="K49" s="107"/>
      <c r="L49" s="108">
        <f t="shared" si="26"/>
        <v>0</v>
      </c>
      <c r="M49" s="109" t="e">
        <f t="shared" si="27"/>
        <v>#DIV/0!</v>
      </c>
      <c r="N49" s="109"/>
      <c r="O49" s="109"/>
      <c r="P49" s="109"/>
      <c r="Q49" s="109"/>
      <c r="R49" s="110" t="e">
        <f t="shared" si="28"/>
        <v>#DIV/0!</v>
      </c>
      <c r="T49" s="247"/>
      <c r="U49" s="247"/>
      <c r="V49" s="255"/>
      <c r="W49" s="255"/>
      <c r="X49" s="255"/>
      <c r="Y49" s="271">
        <f t="shared" si="29"/>
        <v>0</v>
      </c>
      <c r="AA49" s="34" t="s">
        <v>128</v>
      </c>
      <c r="AC49" s="1">
        <v>3</v>
      </c>
    </row>
    <row r="50" spans="1:29" ht="23.5" customHeight="1">
      <c r="A50" s="54" t="s">
        <v>6</v>
      </c>
      <c r="B50" s="49">
        <v>27</v>
      </c>
      <c r="C50" s="101" t="s">
        <v>6</v>
      </c>
      <c r="D50" s="118" t="e">
        <f>#REF!</f>
        <v>#REF!</v>
      </c>
      <c r="E50" s="73"/>
      <c r="F50" s="106"/>
      <c r="G50" s="106" t="e">
        <f t="shared" si="24"/>
        <v>#DIV/0!</v>
      </c>
      <c r="H50" s="106"/>
      <c r="I50" s="107" t="e">
        <f t="shared" si="25"/>
        <v>#DIV/0!</v>
      </c>
      <c r="J50" s="107"/>
      <c r="K50" s="107"/>
      <c r="L50" s="108">
        <f t="shared" si="26"/>
        <v>0</v>
      </c>
      <c r="M50" s="109" t="e">
        <f t="shared" si="27"/>
        <v>#DIV/0!</v>
      </c>
      <c r="N50" s="109"/>
      <c r="O50" s="109"/>
      <c r="P50" s="109"/>
      <c r="Q50" s="109"/>
      <c r="R50" s="110" t="e">
        <f t="shared" si="28"/>
        <v>#DIV/0!</v>
      </c>
      <c r="T50" s="247"/>
      <c r="U50" s="247"/>
      <c r="V50" s="255"/>
      <c r="W50" s="255"/>
      <c r="X50" s="255"/>
      <c r="Y50" s="271">
        <f t="shared" si="29"/>
        <v>0</v>
      </c>
      <c r="AA50" s="34" t="s">
        <v>120</v>
      </c>
      <c r="AC50" s="1">
        <v>2</v>
      </c>
    </row>
    <row r="51" spans="1:29" ht="23.5" customHeight="1">
      <c r="A51" s="54" t="s">
        <v>7</v>
      </c>
      <c r="B51" s="49">
        <v>28</v>
      </c>
      <c r="C51" s="101" t="s">
        <v>7</v>
      </c>
      <c r="D51" s="118" t="e">
        <f>#REF!</f>
        <v>#REF!</v>
      </c>
      <c r="E51" s="73"/>
      <c r="F51" s="106"/>
      <c r="G51" s="106" t="e">
        <f t="shared" si="24"/>
        <v>#DIV/0!</v>
      </c>
      <c r="H51" s="106"/>
      <c r="I51" s="107" t="e">
        <f t="shared" si="25"/>
        <v>#DIV/0!</v>
      </c>
      <c r="J51" s="107"/>
      <c r="K51" s="107"/>
      <c r="L51" s="108">
        <f t="shared" si="26"/>
        <v>0</v>
      </c>
      <c r="M51" s="109" t="e">
        <f t="shared" si="27"/>
        <v>#DIV/0!</v>
      </c>
      <c r="N51" s="109"/>
      <c r="O51" s="109"/>
      <c r="P51" s="109"/>
      <c r="Q51" s="109"/>
      <c r="R51" s="110" t="e">
        <f t="shared" si="28"/>
        <v>#DIV/0!</v>
      </c>
      <c r="T51" s="247"/>
      <c r="U51" s="247"/>
      <c r="V51" s="255"/>
      <c r="W51" s="255"/>
      <c r="X51" s="255"/>
      <c r="Y51" s="271">
        <f t="shared" si="29"/>
        <v>0</v>
      </c>
      <c r="AA51" s="34" t="s">
        <v>121</v>
      </c>
      <c r="AC51" s="1">
        <v>1</v>
      </c>
    </row>
    <row r="52" spans="1:29" ht="23.5" customHeight="1">
      <c r="A52" s="54" t="s">
        <v>8</v>
      </c>
      <c r="B52" s="49">
        <v>29</v>
      </c>
      <c r="C52" s="101" t="s">
        <v>8</v>
      </c>
      <c r="D52" s="118" t="e">
        <f>#REF!</f>
        <v>#REF!</v>
      </c>
      <c r="E52" s="73"/>
      <c r="F52" s="106"/>
      <c r="G52" s="106" t="e">
        <f t="shared" si="24"/>
        <v>#DIV/0!</v>
      </c>
      <c r="H52" s="106">
        <v>0</v>
      </c>
      <c r="I52" s="107" t="e">
        <f t="shared" si="25"/>
        <v>#DIV/0!</v>
      </c>
      <c r="J52" s="107"/>
      <c r="K52" s="107"/>
      <c r="L52" s="108">
        <f t="shared" si="26"/>
        <v>0</v>
      </c>
      <c r="M52" s="109" t="e">
        <f t="shared" si="27"/>
        <v>#DIV/0!</v>
      </c>
      <c r="N52" s="109"/>
      <c r="O52" s="109"/>
      <c r="P52" s="109"/>
      <c r="Q52" s="109"/>
      <c r="R52" s="110" t="e">
        <f t="shared" si="28"/>
        <v>#DIV/0!</v>
      </c>
      <c r="T52" s="247"/>
      <c r="U52" s="247"/>
      <c r="V52" s="255"/>
      <c r="W52" s="255"/>
      <c r="X52" s="255"/>
      <c r="Y52" s="271">
        <f t="shared" si="29"/>
        <v>0</v>
      </c>
      <c r="AA52" s="34" t="s">
        <v>126</v>
      </c>
      <c r="AC52" s="1">
        <v>0</v>
      </c>
    </row>
    <row r="53" spans="1:29" ht="23.5" customHeight="1" thickBot="1">
      <c r="A53" s="55" t="s">
        <v>9</v>
      </c>
      <c r="B53" s="49">
        <v>30</v>
      </c>
      <c r="C53" s="111" t="s">
        <v>9</v>
      </c>
      <c r="D53" s="118" t="e">
        <f>#REF!</f>
        <v>#REF!</v>
      </c>
      <c r="E53" s="73"/>
      <c r="F53" s="106"/>
      <c r="G53" s="106" t="e">
        <f>F53/E53</f>
        <v>#DIV/0!</v>
      </c>
      <c r="H53" s="106">
        <v>0</v>
      </c>
      <c r="I53" s="107" t="e">
        <f>H53/E53</f>
        <v>#DIV/0!</v>
      </c>
      <c r="J53" s="107">
        <v>0</v>
      </c>
      <c r="K53" s="107"/>
      <c r="L53" s="108">
        <f>F53+H53+J53</f>
        <v>0</v>
      </c>
      <c r="M53" s="109" t="e">
        <f t="shared" si="27"/>
        <v>#DIV/0!</v>
      </c>
      <c r="N53" s="109"/>
      <c r="O53" s="109"/>
      <c r="P53" s="109"/>
      <c r="Q53" s="109"/>
      <c r="R53" s="110" t="e">
        <f t="shared" si="28"/>
        <v>#DIV/0!</v>
      </c>
      <c r="T53" s="248"/>
      <c r="U53" s="248"/>
      <c r="V53" s="256"/>
      <c r="W53" s="255"/>
      <c r="X53" s="255"/>
      <c r="Y53" s="272">
        <f t="shared" si="29"/>
        <v>0</v>
      </c>
      <c r="AA53" s="1" t="s">
        <v>129</v>
      </c>
    </row>
    <row r="54" spans="1:29" ht="23.5" customHeight="1" thickTop="1" thickBot="1">
      <c r="A54" s="471" t="s">
        <v>13</v>
      </c>
      <c r="B54" s="472"/>
      <c r="C54" s="464" t="s">
        <v>13</v>
      </c>
      <c r="D54" s="465"/>
      <c r="E54" s="119">
        <f>SUM(E47:E53)</f>
        <v>0</v>
      </c>
      <c r="F54" s="119">
        <f>SUM(F47:F53)</f>
        <v>0</v>
      </c>
      <c r="G54" s="119" t="e">
        <f>F54/E54</f>
        <v>#DIV/0!</v>
      </c>
      <c r="H54" s="119">
        <f>SUM(H47:H53)</f>
        <v>0</v>
      </c>
      <c r="I54" s="120" t="e">
        <f>H54/E54</f>
        <v>#DIV/0!</v>
      </c>
      <c r="J54" s="120" t="e">
        <f>I54/F54</f>
        <v>#DIV/0!</v>
      </c>
      <c r="K54" s="120"/>
      <c r="L54" s="119">
        <f>F54+H54</f>
        <v>0</v>
      </c>
      <c r="M54" s="121" t="e">
        <f>L54/E54</f>
        <v>#DIV/0!</v>
      </c>
      <c r="N54" s="121"/>
      <c r="O54" s="121"/>
      <c r="P54" s="121"/>
      <c r="Q54" s="121"/>
      <c r="R54" s="122" t="e">
        <f t="shared" si="28"/>
        <v>#DIV/0!</v>
      </c>
      <c r="S54" s="259"/>
      <c r="T54" s="264" t="e">
        <f>SUM(T47:T53)/S54</f>
        <v>#DIV/0!</v>
      </c>
      <c r="U54" s="266" t="e">
        <f>SUM(U47:U53)/S54</f>
        <v>#DIV/0!</v>
      </c>
      <c r="V54" s="266" t="e">
        <f>SUM(V47:V53)/S54</f>
        <v>#DIV/0!</v>
      </c>
      <c r="W54" s="266" t="e">
        <f>SUM(W47:W53)/S54</f>
        <v>#DIV/0!</v>
      </c>
      <c r="X54" s="266" t="e">
        <f>SUM(X47:X53)/S54</f>
        <v>#DIV/0!</v>
      </c>
      <c r="Y54" s="268" t="e">
        <f>SUM(V54:X54)/3</f>
        <v>#DIV/0!</v>
      </c>
      <c r="Z54" s="259"/>
      <c r="AA54" s="259"/>
      <c r="AB54" s="259"/>
      <c r="AC54" s="259"/>
    </row>
    <row r="55" spans="1:29" ht="23.5" customHeight="1" thickTop="1">
      <c r="A55" s="456" t="s">
        <v>18</v>
      </c>
      <c r="B55" s="457"/>
      <c r="C55" s="461" t="s">
        <v>18</v>
      </c>
      <c r="D55" s="462"/>
      <c r="E55" s="462"/>
      <c r="F55" s="462"/>
      <c r="G55" s="462"/>
      <c r="H55" s="462"/>
      <c r="I55" s="462"/>
      <c r="J55" s="462"/>
      <c r="K55" s="462"/>
      <c r="L55" s="462"/>
      <c r="M55" s="462"/>
      <c r="N55" s="462"/>
      <c r="O55" s="462"/>
      <c r="P55" s="462"/>
      <c r="Q55" s="462"/>
      <c r="R55" s="463"/>
      <c r="T55" s="497" t="str">
        <f>C55</f>
        <v>6th week</v>
      </c>
      <c r="U55" s="497"/>
      <c r="V55" s="497"/>
      <c r="W55" s="497"/>
      <c r="X55" s="497"/>
      <c r="Y55" s="497"/>
    </row>
    <row r="56" spans="1:29" ht="23.5" customHeight="1">
      <c r="A56" s="52" t="s">
        <v>10</v>
      </c>
      <c r="B56" s="36" t="s">
        <v>11</v>
      </c>
      <c r="C56" s="101" t="s">
        <v>10</v>
      </c>
      <c r="D56" s="102" t="s">
        <v>11</v>
      </c>
      <c r="E56" s="102" t="s">
        <v>1</v>
      </c>
      <c r="F56" s="102" t="s">
        <v>30</v>
      </c>
      <c r="G56" s="102" t="s">
        <v>31</v>
      </c>
      <c r="H56" s="102" t="s">
        <v>28</v>
      </c>
      <c r="I56" s="102" t="s">
        <v>29</v>
      </c>
      <c r="J56" s="102" t="s">
        <v>388</v>
      </c>
      <c r="K56" s="102" t="s">
        <v>384</v>
      </c>
      <c r="L56" s="102" t="s">
        <v>71</v>
      </c>
      <c r="M56" s="103" t="s">
        <v>48</v>
      </c>
      <c r="N56" s="103" t="s">
        <v>385</v>
      </c>
      <c r="O56" s="103" t="s">
        <v>386</v>
      </c>
      <c r="P56" s="103" t="s">
        <v>387</v>
      </c>
      <c r="Q56" s="103" t="s">
        <v>40</v>
      </c>
      <c r="R56" s="104" t="s">
        <v>73</v>
      </c>
      <c r="T56" s="252" t="s">
        <v>114</v>
      </c>
      <c r="U56" s="253" t="s">
        <v>115</v>
      </c>
      <c r="V56" s="48" t="s">
        <v>116</v>
      </c>
      <c r="W56" s="48" t="s">
        <v>117</v>
      </c>
      <c r="X56" s="48" t="s">
        <v>118</v>
      </c>
      <c r="Y56" s="254" t="s">
        <v>127</v>
      </c>
      <c r="AA56" s="1" t="s">
        <v>122</v>
      </c>
      <c r="AC56" s="35" t="s">
        <v>125</v>
      </c>
    </row>
    <row r="57" spans="1:29" ht="23.5" customHeight="1">
      <c r="A57" s="53" t="s">
        <v>3</v>
      </c>
      <c r="B57" s="49"/>
      <c r="C57" s="105" t="s">
        <v>3</v>
      </c>
      <c r="D57" s="118" t="e">
        <f>#REF!</f>
        <v>#REF!</v>
      </c>
      <c r="E57" s="73"/>
      <c r="F57" s="106"/>
      <c r="G57" s="106" t="e">
        <f>F57/E57</f>
        <v>#DIV/0!</v>
      </c>
      <c r="H57" s="106"/>
      <c r="I57" s="107" t="e">
        <f>H57/E57</f>
        <v>#DIV/0!</v>
      </c>
      <c r="J57" s="107"/>
      <c r="K57" s="107"/>
      <c r="L57" s="108">
        <f>F57+H57+J57</f>
        <v>0</v>
      </c>
      <c r="M57" s="109" t="e">
        <f>L57/E57</f>
        <v>#DIV/0!</v>
      </c>
      <c r="N57" s="109"/>
      <c r="O57" s="109"/>
      <c r="P57" s="109"/>
      <c r="Q57" s="109"/>
      <c r="R57" s="110" t="e">
        <f>L57/Q57</f>
        <v>#DIV/0!</v>
      </c>
      <c r="T57" s="247"/>
      <c r="U57" s="247"/>
      <c r="V57" s="255"/>
      <c r="W57" s="255"/>
      <c r="X57" s="255"/>
      <c r="Y57" s="271">
        <f>SUM(V57:X57)/3</f>
        <v>0</v>
      </c>
      <c r="AA57" s="270" t="s">
        <v>123</v>
      </c>
      <c r="AB57" s="2"/>
      <c r="AC57" s="269">
        <v>5</v>
      </c>
    </row>
    <row r="58" spans="1:29" ht="23.5" customHeight="1">
      <c r="A58" s="54" t="s">
        <v>4</v>
      </c>
      <c r="B58" s="49"/>
      <c r="C58" s="101" t="s">
        <v>4</v>
      </c>
      <c r="D58" s="118" t="e">
        <f>#REF!</f>
        <v>#REF!</v>
      </c>
      <c r="E58" s="73"/>
      <c r="F58" s="106"/>
      <c r="G58" s="106" t="e">
        <f t="shared" ref="G58:G62" si="30">F58/E58</f>
        <v>#DIV/0!</v>
      </c>
      <c r="H58" s="106"/>
      <c r="I58" s="107" t="e">
        <f t="shared" ref="I58:I62" si="31">H58/E58</f>
        <v>#DIV/0!</v>
      </c>
      <c r="J58" s="107"/>
      <c r="K58" s="107"/>
      <c r="L58" s="108">
        <f t="shared" ref="L58:L62" si="32">F58+H58+J58</f>
        <v>0</v>
      </c>
      <c r="M58" s="109" t="e">
        <f t="shared" ref="M58:M63" si="33">L58/E58</f>
        <v>#DIV/0!</v>
      </c>
      <c r="N58" s="109"/>
      <c r="O58" s="109"/>
      <c r="P58" s="109"/>
      <c r="Q58" s="109"/>
      <c r="R58" s="110" t="e">
        <f t="shared" ref="R58:R64" si="34">L58/Q58</f>
        <v>#DIV/0!</v>
      </c>
      <c r="T58" s="247"/>
      <c r="U58" s="247"/>
      <c r="V58" s="255"/>
      <c r="W58" s="255"/>
      <c r="X58" s="255"/>
      <c r="Y58" s="271">
        <f t="shared" ref="Y58:Y63" si="35">SUM(V58:X58)/3</f>
        <v>0</v>
      </c>
      <c r="AA58" s="34" t="s">
        <v>124</v>
      </c>
      <c r="AC58" s="1">
        <v>4</v>
      </c>
    </row>
    <row r="59" spans="1:29" ht="23.5" customHeight="1">
      <c r="A59" s="54" t="s">
        <v>5</v>
      </c>
      <c r="B59" s="49"/>
      <c r="C59" s="101" t="s">
        <v>5</v>
      </c>
      <c r="D59" s="118" t="e">
        <f>#REF!</f>
        <v>#REF!</v>
      </c>
      <c r="E59" s="73"/>
      <c r="F59" s="106"/>
      <c r="G59" s="106" t="e">
        <f t="shared" si="30"/>
        <v>#DIV/0!</v>
      </c>
      <c r="H59" s="106"/>
      <c r="I59" s="107" t="e">
        <f t="shared" si="31"/>
        <v>#DIV/0!</v>
      </c>
      <c r="J59" s="107"/>
      <c r="K59" s="107"/>
      <c r="L59" s="108">
        <f t="shared" si="32"/>
        <v>0</v>
      </c>
      <c r="M59" s="109" t="e">
        <f t="shared" si="33"/>
        <v>#DIV/0!</v>
      </c>
      <c r="N59" s="109"/>
      <c r="O59" s="109"/>
      <c r="P59" s="109"/>
      <c r="Q59" s="109"/>
      <c r="R59" s="110" t="e">
        <f t="shared" si="34"/>
        <v>#DIV/0!</v>
      </c>
      <c r="T59" s="247"/>
      <c r="U59" s="247"/>
      <c r="V59" s="255"/>
      <c r="W59" s="255"/>
      <c r="X59" s="255"/>
      <c r="Y59" s="271">
        <f t="shared" si="35"/>
        <v>0</v>
      </c>
      <c r="AA59" s="34" t="s">
        <v>128</v>
      </c>
      <c r="AC59" s="1">
        <v>3</v>
      </c>
    </row>
    <row r="60" spans="1:29" ht="23.5" customHeight="1">
      <c r="A60" s="54" t="s">
        <v>6</v>
      </c>
      <c r="B60" s="49"/>
      <c r="C60" s="101" t="s">
        <v>6</v>
      </c>
      <c r="D60" s="118" t="e">
        <f>#REF!</f>
        <v>#REF!</v>
      </c>
      <c r="E60" s="73"/>
      <c r="F60" s="106"/>
      <c r="G60" s="106" t="e">
        <f t="shared" si="30"/>
        <v>#DIV/0!</v>
      </c>
      <c r="H60" s="106"/>
      <c r="I60" s="107" t="e">
        <f t="shared" si="31"/>
        <v>#DIV/0!</v>
      </c>
      <c r="J60" s="107"/>
      <c r="K60" s="107"/>
      <c r="L60" s="108">
        <f t="shared" si="32"/>
        <v>0</v>
      </c>
      <c r="M60" s="109" t="e">
        <f t="shared" si="33"/>
        <v>#DIV/0!</v>
      </c>
      <c r="N60" s="109"/>
      <c r="O60" s="109"/>
      <c r="P60" s="109"/>
      <c r="Q60" s="109"/>
      <c r="R60" s="110" t="e">
        <f t="shared" si="34"/>
        <v>#DIV/0!</v>
      </c>
      <c r="T60" s="247"/>
      <c r="U60" s="247"/>
      <c r="V60" s="255"/>
      <c r="W60" s="255"/>
      <c r="X60" s="255"/>
      <c r="Y60" s="271">
        <f t="shared" si="35"/>
        <v>0</v>
      </c>
      <c r="AA60" s="34" t="s">
        <v>120</v>
      </c>
      <c r="AC60" s="1">
        <v>2</v>
      </c>
    </row>
    <row r="61" spans="1:29" ht="23.5" customHeight="1">
      <c r="A61" s="54" t="s">
        <v>7</v>
      </c>
      <c r="B61" s="49"/>
      <c r="C61" s="101" t="s">
        <v>7</v>
      </c>
      <c r="D61" s="118" t="e">
        <f>#REF!</f>
        <v>#REF!</v>
      </c>
      <c r="E61" s="73"/>
      <c r="F61" s="106"/>
      <c r="G61" s="106" t="e">
        <f t="shared" si="30"/>
        <v>#DIV/0!</v>
      </c>
      <c r="H61" s="106"/>
      <c r="I61" s="107" t="e">
        <f t="shared" si="31"/>
        <v>#DIV/0!</v>
      </c>
      <c r="J61" s="107"/>
      <c r="K61" s="107"/>
      <c r="L61" s="108">
        <f t="shared" si="32"/>
        <v>0</v>
      </c>
      <c r="M61" s="109" t="e">
        <f t="shared" si="33"/>
        <v>#DIV/0!</v>
      </c>
      <c r="N61" s="109"/>
      <c r="O61" s="109"/>
      <c r="P61" s="109"/>
      <c r="Q61" s="109"/>
      <c r="R61" s="110" t="e">
        <f t="shared" si="34"/>
        <v>#DIV/0!</v>
      </c>
      <c r="T61" s="247"/>
      <c r="U61" s="247"/>
      <c r="V61" s="255"/>
      <c r="W61" s="255"/>
      <c r="X61" s="255"/>
      <c r="Y61" s="271">
        <f t="shared" si="35"/>
        <v>0</v>
      </c>
      <c r="AA61" s="34" t="s">
        <v>121</v>
      </c>
      <c r="AC61" s="1">
        <v>1</v>
      </c>
    </row>
    <row r="62" spans="1:29" ht="23.5" customHeight="1">
      <c r="A62" s="54" t="s">
        <v>8</v>
      </c>
      <c r="B62" s="49"/>
      <c r="C62" s="101" t="s">
        <v>8</v>
      </c>
      <c r="D62" s="118" t="e">
        <f>#REF!</f>
        <v>#REF!</v>
      </c>
      <c r="E62" s="73"/>
      <c r="F62" s="106"/>
      <c r="G62" s="106" t="e">
        <f t="shared" si="30"/>
        <v>#DIV/0!</v>
      </c>
      <c r="H62" s="106">
        <v>0</v>
      </c>
      <c r="I62" s="107" t="e">
        <f t="shared" si="31"/>
        <v>#DIV/0!</v>
      </c>
      <c r="J62" s="107"/>
      <c r="K62" s="107"/>
      <c r="L62" s="108">
        <f t="shared" si="32"/>
        <v>0</v>
      </c>
      <c r="M62" s="109" t="e">
        <f t="shared" si="33"/>
        <v>#DIV/0!</v>
      </c>
      <c r="N62" s="109"/>
      <c r="O62" s="109"/>
      <c r="P62" s="109"/>
      <c r="Q62" s="109"/>
      <c r="R62" s="110" t="e">
        <f t="shared" si="34"/>
        <v>#DIV/0!</v>
      </c>
      <c r="T62" s="247"/>
      <c r="U62" s="247"/>
      <c r="V62" s="255"/>
      <c r="W62" s="255"/>
      <c r="X62" s="255"/>
      <c r="Y62" s="271">
        <f t="shared" si="35"/>
        <v>0</v>
      </c>
      <c r="AA62" s="34" t="s">
        <v>126</v>
      </c>
      <c r="AC62" s="1">
        <v>0</v>
      </c>
    </row>
    <row r="63" spans="1:29" ht="23.5" customHeight="1" thickBot="1">
      <c r="A63" s="55" t="s">
        <v>9</v>
      </c>
      <c r="B63" s="49"/>
      <c r="C63" s="111" t="s">
        <v>9</v>
      </c>
      <c r="D63" s="118" t="e">
        <f>#REF!</f>
        <v>#REF!</v>
      </c>
      <c r="E63" s="73"/>
      <c r="F63" s="106"/>
      <c r="G63" s="106" t="e">
        <f>F63/E63</f>
        <v>#DIV/0!</v>
      </c>
      <c r="H63" s="106">
        <v>0</v>
      </c>
      <c r="I63" s="107" t="e">
        <f>H63/E63</f>
        <v>#DIV/0!</v>
      </c>
      <c r="J63" s="107">
        <v>0</v>
      </c>
      <c r="K63" s="107"/>
      <c r="L63" s="108">
        <f>F63+H63+J63</f>
        <v>0</v>
      </c>
      <c r="M63" s="109" t="e">
        <f t="shared" si="33"/>
        <v>#DIV/0!</v>
      </c>
      <c r="N63" s="109"/>
      <c r="O63" s="109"/>
      <c r="P63" s="109"/>
      <c r="Q63" s="109"/>
      <c r="R63" s="110" t="e">
        <f t="shared" si="34"/>
        <v>#DIV/0!</v>
      </c>
      <c r="T63" s="248"/>
      <c r="U63" s="248"/>
      <c r="V63" s="256"/>
      <c r="W63" s="256"/>
      <c r="X63" s="256"/>
      <c r="Y63" s="272">
        <f t="shared" si="35"/>
        <v>0</v>
      </c>
      <c r="AA63" s="1" t="s">
        <v>129</v>
      </c>
    </row>
    <row r="64" spans="1:29" ht="23.5" customHeight="1" thickTop="1" thickBot="1">
      <c r="A64" s="471" t="s">
        <v>13</v>
      </c>
      <c r="B64" s="472"/>
      <c r="C64" s="464" t="s">
        <v>13</v>
      </c>
      <c r="D64" s="465"/>
      <c r="E64" s="119">
        <f>SUM(E57:E63)</f>
        <v>0</v>
      </c>
      <c r="F64" s="119">
        <f>SUM(F57:F63)</f>
        <v>0</v>
      </c>
      <c r="G64" s="119" t="e">
        <f>F64/E64</f>
        <v>#DIV/0!</v>
      </c>
      <c r="H64" s="119">
        <f>SUM(H57:H63)</f>
        <v>0</v>
      </c>
      <c r="I64" s="120" t="e">
        <f>H64/E64</f>
        <v>#DIV/0!</v>
      </c>
      <c r="J64" s="120" t="e">
        <f>I64/F64</f>
        <v>#DIV/0!</v>
      </c>
      <c r="K64" s="120"/>
      <c r="L64" s="119">
        <f>F64+H64</f>
        <v>0</v>
      </c>
      <c r="M64" s="121" t="e">
        <f>L64/E64</f>
        <v>#DIV/0!</v>
      </c>
      <c r="N64" s="121"/>
      <c r="O64" s="121"/>
      <c r="P64" s="121"/>
      <c r="Q64" s="121"/>
      <c r="R64" s="122" t="e">
        <f t="shared" si="34"/>
        <v>#DIV/0!</v>
      </c>
      <c r="S64" s="259"/>
      <c r="T64" s="267" t="e">
        <f>SUM(T57:T63)/S64</f>
        <v>#DIV/0!</v>
      </c>
      <c r="U64" s="266" t="e">
        <f>SUM(U57:U63)/S64</f>
        <v>#DIV/0!</v>
      </c>
      <c r="V64" s="266" t="e">
        <f>SUM(V57:V63)/S64</f>
        <v>#DIV/0!</v>
      </c>
      <c r="W64" s="266" t="e">
        <f>SUM(W57:W63)/S64</f>
        <v>#DIV/0!</v>
      </c>
      <c r="X64" s="266" t="e">
        <f>SUM(X57:X63)/S64</f>
        <v>#DIV/0!</v>
      </c>
      <c r="Y64" s="268" t="e">
        <f>SUM(V64:X64)/3</f>
        <v>#DIV/0!</v>
      </c>
      <c r="Z64" s="259"/>
      <c r="AA64" s="259"/>
      <c r="AB64" s="259"/>
      <c r="AC64" s="259"/>
    </row>
    <row r="65" spans="1:25" ht="33.5" customHeight="1" thickTop="1">
      <c r="A65" s="477" t="s">
        <v>2</v>
      </c>
      <c r="B65" s="478"/>
      <c r="C65" s="483" t="s">
        <v>2</v>
      </c>
      <c r="D65" s="484"/>
      <c r="E65" s="484"/>
      <c r="F65" s="484"/>
      <c r="G65" s="484"/>
      <c r="H65" s="484"/>
      <c r="I65" s="484"/>
      <c r="J65" s="484"/>
      <c r="K65" s="484"/>
      <c r="L65" s="484"/>
      <c r="M65" s="484"/>
      <c r="N65" s="484"/>
      <c r="O65" s="484"/>
      <c r="P65" s="484"/>
      <c r="Q65" s="484"/>
      <c r="R65" s="485"/>
      <c r="T65" s="497" t="str">
        <f>C65</f>
        <v>TOTAL</v>
      </c>
      <c r="U65" s="497"/>
      <c r="V65" s="497"/>
      <c r="W65" s="497"/>
      <c r="X65" s="497"/>
      <c r="Y65" s="497"/>
    </row>
    <row r="66" spans="1:25" s="37" customFormat="1" ht="23" customHeight="1">
      <c r="A66" s="78" t="s">
        <v>10</v>
      </c>
      <c r="B66" s="79" t="s">
        <v>19</v>
      </c>
      <c r="C66" s="112" t="s">
        <v>10</v>
      </c>
      <c r="D66" s="113" t="s">
        <v>19</v>
      </c>
      <c r="E66" s="102" t="s">
        <v>1</v>
      </c>
      <c r="F66" s="102" t="s">
        <v>30</v>
      </c>
      <c r="G66" s="102" t="s">
        <v>31</v>
      </c>
      <c r="H66" s="102" t="s">
        <v>28</v>
      </c>
      <c r="I66" s="102" t="s">
        <v>29</v>
      </c>
      <c r="J66" s="102" t="s">
        <v>388</v>
      </c>
      <c r="K66" s="102" t="s">
        <v>384</v>
      </c>
      <c r="L66" s="102" t="s">
        <v>71</v>
      </c>
      <c r="M66" s="103" t="s">
        <v>48</v>
      </c>
      <c r="N66" s="103" t="s">
        <v>385</v>
      </c>
      <c r="O66" s="103" t="s">
        <v>386</v>
      </c>
      <c r="P66" s="103" t="s">
        <v>387</v>
      </c>
      <c r="Q66" s="103" t="s">
        <v>40</v>
      </c>
      <c r="R66" s="104" t="s">
        <v>73</v>
      </c>
      <c r="T66" s="252" t="s">
        <v>114</v>
      </c>
      <c r="U66" s="253" t="s">
        <v>115</v>
      </c>
      <c r="V66" s="48" t="s">
        <v>116</v>
      </c>
      <c r="W66" s="48" t="s">
        <v>117</v>
      </c>
      <c r="X66" s="48" t="s">
        <v>118</v>
      </c>
      <c r="Y66" s="254" t="s">
        <v>127</v>
      </c>
    </row>
    <row r="67" spans="1:25" ht="23" customHeight="1">
      <c r="A67" s="53" t="s">
        <v>3</v>
      </c>
      <c r="B67" s="42"/>
      <c r="C67" s="105" t="s">
        <v>3</v>
      </c>
      <c r="D67" s="115"/>
      <c r="E67" s="107">
        <f t="shared" ref="E67:F70" si="36">E7+E17+E27+E37+E47+E57</f>
        <v>263</v>
      </c>
      <c r="F67" s="107">
        <f t="shared" si="36"/>
        <v>799050</v>
      </c>
      <c r="G67" s="106">
        <f t="shared" ref="G67:G74" si="37">F67/E67</f>
        <v>3038.2129277566542</v>
      </c>
      <c r="H67" s="107">
        <f>H7+H17+H27+H37+H47+H57</f>
        <v>430900</v>
      </c>
      <c r="I67" s="107">
        <f>H67/E67</f>
        <v>1638.403041825095</v>
      </c>
      <c r="J67" s="107"/>
      <c r="K67" s="107"/>
      <c r="L67" s="73">
        <f t="shared" ref="L67:M70" si="38">L7+L17+L27+L37+L47+L57</f>
        <v>1244800</v>
      </c>
      <c r="M67" s="107" t="e">
        <f t="shared" si="38"/>
        <v>#DIV/0!</v>
      </c>
      <c r="N67" s="107"/>
      <c r="O67" s="107"/>
      <c r="P67" s="107"/>
      <c r="Q67" s="107">
        <f>Q7+Q17+Q27+Q37+Q47+Q57</f>
        <v>0</v>
      </c>
      <c r="R67" s="133" t="e">
        <f>L67/Q67</f>
        <v>#DIV/0!</v>
      </c>
      <c r="T67" s="249">
        <f>T7+T17+T27+T37+T47+T57</f>
        <v>24.9</v>
      </c>
      <c r="U67" s="249">
        <f>U7+U17+U27+U37+U47+U57</f>
        <v>27</v>
      </c>
      <c r="V67" s="274">
        <f>V7+V17+V37+V47+V27+V57</f>
        <v>3</v>
      </c>
      <c r="W67" s="274">
        <f t="shared" ref="W67:X67" si="39">W7+W17+W37+W47+W27+W57</f>
        <v>1</v>
      </c>
      <c r="X67" s="274">
        <f t="shared" si="39"/>
        <v>1</v>
      </c>
      <c r="Y67" s="275">
        <f>SUM(V67:X67)/3</f>
        <v>1.6666666666666667</v>
      </c>
    </row>
    <row r="68" spans="1:25" ht="23" customHeight="1">
      <c r="A68" s="54" t="s">
        <v>4</v>
      </c>
      <c r="B68" s="42"/>
      <c r="C68" s="101" t="s">
        <v>4</v>
      </c>
      <c r="D68" s="115"/>
      <c r="E68" s="107">
        <f t="shared" si="36"/>
        <v>368</v>
      </c>
      <c r="F68" s="107">
        <f t="shared" si="36"/>
        <v>1077700</v>
      </c>
      <c r="G68" s="106">
        <f t="shared" si="37"/>
        <v>2928.532608695652</v>
      </c>
      <c r="H68" s="107">
        <f>H8+H18+H28+H38+H48+H58</f>
        <v>588200</v>
      </c>
      <c r="I68" s="107">
        <f t="shared" ref="I68:I73" si="40">H68/E68</f>
        <v>1598.3695652173913</v>
      </c>
      <c r="J68" s="107"/>
      <c r="K68" s="107"/>
      <c r="L68" s="73">
        <f t="shared" si="38"/>
        <v>1697250</v>
      </c>
      <c r="M68" s="107" t="e">
        <f t="shared" si="38"/>
        <v>#DIV/0!</v>
      </c>
      <c r="N68" s="107"/>
      <c r="O68" s="107"/>
      <c r="P68" s="107"/>
      <c r="Q68" s="107">
        <f>Q8+Q18+Q28+Q38+Q48+Q58</f>
        <v>0</v>
      </c>
      <c r="R68" s="133" t="e">
        <f t="shared" ref="R68:R73" si="41">L68/Q68</f>
        <v>#DIV/0!</v>
      </c>
      <c r="T68" s="249">
        <f t="shared" ref="T68:U72" si="42">T8+T18+T28+T38+T48+T58</f>
        <v>20.7</v>
      </c>
      <c r="U68" s="249">
        <f t="shared" si="42"/>
        <v>29.1</v>
      </c>
      <c r="V68" s="274">
        <f t="shared" ref="V68:X73" si="43">V8+V18+V38+V48+V28+V58</f>
        <v>5</v>
      </c>
      <c r="W68" s="274">
        <f t="shared" si="43"/>
        <v>1</v>
      </c>
      <c r="X68" s="274">
        <f t="shared" si="43"/>
        <v>5</v>
      </c>
      <c r="Y68" s="275">
        <f t="shared" ref="Y68:Y73" si="44">SUM(V68:X68)/3</f>
        <v>3.6666666666666665</v>
      </c>
    </row>
    <row r="69" spans="1:25" ht="23" customHeight="1">
      <c r="A69" s="54" t="s">
        <v>5</v>
      </c>
      <c r="B69" s="42"/>
      <c r="C69" s="101" t="s">
        <v>5</v>
      </c>
      <c r="D69" s="115"/>
      <c r="E69" s="107">
        <f t="shared" si="36"/>
        <v>343</v>
      </c>
      <c r="F69" s="107">
        <f t="shared" si="36"/>
        <v>973500</v>
      </c>
      <c r="G69" s="106">
        <f t="shared" si="37"/>
        <v>2838.1924198250731</v>
      </c>
      <c r="H69" s="107">
        <f>H9+H19+H29+H39+H49+H59</f>
        <v>518250</v>
      </c>
      <c r="I69" s="107">
        <f t="shared" si="40"/>
        <v>1510.9329446064139</v>
      </c>
      <c r="J69" s="107"/>
      <c r="K69" s="107"/>
      <c r="L69" s="73">
        <f t="shared" si="38"/>
        <v>1522550</v>
      </c>
      <c r="M69" s="107" t="e">
        <f t="shared" si="38"/>
        <v>#DIV/0!</v>
      </c>
      <c r="N69" s="107"/>
      <c r="O69" s="107"/>
      <c r="P69" s="107"/>
      <c r="Q69" s="107">
        <f>Q9+Q19+Q29+Q39+Q49+Q59</f>
        <v>0</v>
      </c>
      <c r="R69" s="133" t="e">
        <f t="shared" si="41"/>
        <v>#DIV/0!</v>
      </c>
      <c r="T69" s="249">
        <f t="shared" si="42"/>
        <v>18.600000000000001</v>
      </c>
      <c r="U69" s="249">
        <f t="shared" si="42"/>
        <v>29.8</v>
      </c>
      <c r="V69" s="274">
        <f t="shared" si="43"/>
        <v>5</v>
      </c>
      <c r="W69" s="274">
        <f t="shared" si="43"/>
        <v>5</v>
      </c>
      <c r="X69" s="274">
        <f t="shared" si="43"/>
        <v>5</v>
      </c>
      <c r="Y69" s="275">
        <f t="shared" si="44"/>
        <v>5</v>
      </c>
    </row>
    <row r="70" spans="1:25" ht="23" customHeight="1">
      <c r="A70" s="54" t="s">
        <v>6</v>
      </c>
      <c r="B70" s="42"/>
      <c r="C70" s="101" t="s">
        <v>6</v>
      </c>
      <c r="D70" s="115"/>
      <c r="E70" s="107">
        <f t="shared" si="36"/>
        <v>0</v>
      </c>
      <c r="F70" s="107">
        <f t="shared" si="36"/>
        <v>0</v>
      </c>
      <c r="G70" s="106" t="e">
        <f t="shared" si="37"/>
        <v>#DIV/0!</v>
      </c>
      <c r="H70" s="107">
        <f>H10+H20+H30+H40+H50+H60</f>
        <v>0</v>
      </c>
      <c r="I70" s="107" t="e">
        <f t="shared" si="40"/>
        <v>#DIV/0!</v>
      </c>
      <c r="J70" s="107"/>
      <c r="K70" s="107"/>
      <c r="L70" s="73">
        <f t="shared" si="38"/>
        <v>0</v>
      </c>
      <c r="M70" s="107" t="e">
        <f t="shared" si="38"/>
        <v>#DIV/0!</v>
      </c>
      <c r="N70" s="107"/>
      <c r="O70" s="107"/>
      <c r="P70" s="107"/>
      <c r="Q70" s="107">
        <f>Q10+Q20+Q30+Q40+Q50+Q60</f>
        <v>0</v>
      </c>
      <c r="R70" s="133" t="e">
        <f t="shared" si="41"/>
        <v>#DIV/0!</v>
      </c>
      <c r="T70" s="249">
        <f t="shared" si="42"/>
        <v>0</v>
      </c>
      <c r="U70" s="249">
        <f t="shared" si="42"/>
        <v>0</v>
      </c>
      <c r="V70" s="274">
        <f t="shared" si="43"/>
        <v>0</v>
      </c>
      <c r="W70" s="274">
        <f t="shared" si="43"/>
        <v>0</v>
      </c>
      <c r="X70" s="274">
        <f t="shared" si="43"/>
        <v>0</v>
      </c>
      <c r="Y70" s="275">
        <f t="shared" si="44"/>
        <v>0</v>
      </c>
    </row>
    <row r="71" spans="1:25" ht="23" customHeight="1">
      <c r="A71" s="54" t="s">
        <v>7</v>
      </c>
      <c r="B71" s="42"/>
      <c r="C71" s="101" t="s">
        <v>7</v>
      </c>
      <c r="D71" s="115"/>
      <c r="E71" s="107">
        <f>E21+E11+E31+E41+E51+E61</f>
        <v>0</v>
      </c>
      <c r="F71" s="107">
        <f>F21+F11+F31+F41+F51+F61</f>
        <v>0</v>
      </c>
      <c r="G71" s="106" t="e">
        <f t="shared" si="37"/>
        <v>#DIV/0!</v>
      </c>
      <c r="H71" s="107">
        <f>H21+H11+H31+H41+H51+H61</f>
        <v>0</v>
      </c>
      <c r="I71" s="107" t="e">
        <f t="shared" si="40"/>
        <v>#DIV/0!</v>
      </c>
      <c r="J71" s="107"/>
      <c r="K71" s="107"/>
      <c r="L71" s="73">
        <f>L21+L11+L31+L41+L51+L61</f>
        <v>0</v>
      </c>
      <c r="M71" s="107" t="e">
        <f>M21+M11+M31+M41+M51+M61</f>
        <v>#DIV/0!</v>
      </c>
      <c r="N71" s="107"/>
      <c r="O71" s="107"/>
      <c r="P71" s="107"/>
      <c r="Q71" s="107">
        <f>Q21+Q11+Q31+Q41+Q51+Q61</f>
        <v>0</v>
      </c>
      <c r="R71" s="133" t="e">
        <f t="shared" si="41"/>
        <v>#DIV/0!</v>
      </c>
      <c r="T71" s="249">
        <f t="shared" si="42"/>
        <v>0</v>
      </c>
      <c r="U71" s="249">
        <f t="shared" si="42"/>
        <v>0</v>
      </c>
      <c r="V71" s="274">
        <f t="shared" si="43"/>
        <v>0</v>
      </c>
      <c r="W71" s="274">
        <f t="shared" si="43"/>
        <v>0</v>
      </c>
      <c r="X71" s="274">
        <f t="shared" si="43"/>
        <v>0</v>
      </c>
      <c r="Y71" s="275">
        <f t="shared" si="44"/>
        <v>0</v>
      </c>
    </row>
    <row r="72" spans="1:25" ht="23" customHeight="1">
      <c r="A72" s="54" t="s">
        <v>8</v>
      </c>
      <c r="B72" s="42"/>
      <c r="C72" s="101" t="s">
        <v>8</v>
      </c>
      <c r="D72" s="115"/>
      <c r="E72" s="107">
        <f>E12+E22+E32+E42+E52+E62</f>
        <v>0</v>
      </c>
      <c r="F72" s="107">
        <f>F12+F22+F32+F42+F52+F62</f>
        <v>0</v>
      </c>
      <c r="G72" s="106" t="e">
        <f t="shared" si="37"/>
        <v>#DIV/0!</v>
      </c>
      <c r="H72" s="107">
        <f>H12+H22+H32+H42+H52+H62</f>
        <v>0</v>
      </c>
      <c r="I72" s="107" t="e">
        <f t="shared" si="40"/>
        <v>#DIV/0!</v>
      </c>
      <c r="J72" s="107"/>
      <c r="K72" s="107"/>
      <c r="L72" s="73">
        <f t="shared" ref="L72:Q73" si="45">L12+L22+L32+L42+L52+L62</f>
        <v>0</v>
      </c>
      <c r="M72" s="107" t="e">
        <f t="shared" si="45"/>
        <v>#DIV/0!</v>
      </c>
      <c r="N72" s="107"/>
      <c r="O72" s="107"/>
      <c r="P72" s="107"/>
      <c r="Q72" s="107">
        <f t="shared" si="45"/>
        <v>0</v>
      </c>
      <c r="R72" s="133" t="e">
        <f t="shared" si="41"/>
        <v>#DIV/0!</v>
      </c>
      <c r="T72" s="249">
        <f t="shared" si="42"/>
        <v>0</v>
      </c>
      <c r="U72" s="249">
        <f t="shared" si="42"/>
        <v>0</v>
      </c>
      <c r="V72" s="274">
        <f t="shared" si="43"/>
        <v>0</v>
      </c>
      <c r="W72" s="274">
        <f t="shared" si="43"/>
        <v>0</v>
      </c>
      <c r="X72" s="274">
        <f t="shared" si="43"/>
        <v>0</v>
      </c>
      <c r="Y72" s="275">
        <f t="shared" si="44"/>
        <v>0</v>
      </c>
    </row>
    <row r="73" spans="1:25" ht="23" customHeight="1" thickBot="1">
      <c r="A73" s="55" t="s">
        <v>9</v>
      </c>
      <c r="B73" s="42"/>
      <c r="C73" s="111" t="s">
        <v>9</v>
      </c>
      <c r="D73" s="115"/>
      <c r="E73" s="107">
        <f>E13+E23+E33+E43+E53+E63</f>
        <v>0</v>
      </c>
      <c r="F73" s="107">
        <f>F13+F23+F33+F43+F53+F63</f>
        <v>0</v>
      </c>
      <c r="G73" s="106" t="e">
        <f t="shared" si="37"/>
        <v>#DIV/0!</v>
      </c>
      <c r="H73" s="107">
        <f>H13+H23+H33+H43+H53+H63</f>
        <v>0</v>
      </c>
      <c r="I73" s="107" t="e">
        <f t="shared" si="40"/>
        <v>#DIV/0!</v>
      </c>
      <c r="J73" s="107"/>
      <c r="K73" s="107"/>
      <c r="L73" s="73">
        <f t="shared" si="45"/>
        <v>0</v>
      </c>
      <c r="M73" s="107" t="e">
        <f t="shared" si="45"/>
        <v>#DIV/0!</v>
      </c>
      <c r="N73" s="107"/>
      <c r="O73" s="107"/>
      <c r="P73" s="107"/>
      <c r="Q73" s="107">
        <f t="shared" si="45"/>
        <v>0</v>
      </c>
      <c r="R73" s="133" t="e">
        <f t="shared" si="41"/>
        <v>#DIV/0!</v>
      </c>
      <c r="S73" s="1">
        <v>3</v>
      </c>
      <c r="T73" s="250">
        <f>T13+T23+T33+T43+T53+T63</f>
        <v>0</v>
      </c>
      <c r="U73" s="250">
        <f>U13+U23+U33+U43+U53+U63</f>
        <v>0</v>
      </c>
      <c r="V73" s="274">
        <f t="shared" si="43"/>
        <v>0</v>
      </c>
      <c r="W73" s="274">
        <f t="shared" si="43"/>
        <v>0</v>
      </c>
      <c r="X73" s="274">
        <f t="shared" si="43"/>
        <v>0</v>
      </c>
      <c r="Y73" s="276">
        <f t="shared" si="44"/>
        <v>0</v>
      </c>
    </row>
    <row r="74" spans="1:25" s="34" customFormat="1" ht="47" customHeight="1" thickTop="1" thickBot="1">
      <c r="A74" s="56" t="s">
        <v>2</v>
      </c>
      <c r="B74" s="57">
        <f>SUM(B67:B73)</f>
        <v>0</v>
      </c>
      <c r="C74" s="116" t="s">
        <v>2</v>
      </c>
      <c r="D74" s="117">
        <f>SUM(D67:D73)</f>
        <v>0</v>
      </c>
      <c r="E74" s="58">
        <f>SUM(E67:E73)</f>
        <v>974</v>
      </c>
      <c r="F74" s="58">
        <f>SUM(F67:F73)</f>
        <v>2850250</v>
      </c>
      <c r="G74" s="58">
        <f t="shared" si="37"/>
        <v>2926.3347022587268</v>
      </c>
      <c r="H74" s="58">
        <f>SUM(H67:H73)</f>
        <v>1537350</v>
      </c>
      <c r="I74" s="58">
        <f>H74/E74</f>
        <v>1578.388090349076</v>
      </c>
      <c r="J74" s="58"/>
      <c r="K74" s="58"/>
      <c r="L74" s="58">
        <f>SUM(L67:L73)</f>
        <v>4464600</v>
      </c>
      <c r="M74" s="58">
        <f>L74/E74</f>
        <v>4583.7782340862423</v>
      </c>
      <c r="N74" s="58"/>
      <c r="O74" s="58"/>
      <c r="P74" s="58"/>
      <c r="Q74" s="134">
        <f>SUM(Q67:Q73)</f>
        <v>0</v>
      </c>
      <c r="R74" s="71" t="e">
        <f>L74/Q74</f>
        <v>#DIV/0!</v>
      </c>
      <c r="T74" s="246">
        <f>SUM(T67:T73)/S73</f>
        <v>21.399999999999995</v>
      </c>
      <c r="U74" s="251">
        <f>SUM(U67:U73)/S73</f>
        <v>28.633333333333336</v>
      </c>
      <c r="V74" s="390">
        <f>SUM(V67:V73)/S73</f>
        <v>4.333333333333333</v>
      </c>
      <c r="W74" s="390">
        <f>SUM(W67:W73)/S73</f>
        <v>2.3333333333333335</v>
      </c>
      <c r="X74" s="390">
        <f>SUM(X67:X73)/S73</f>
        <v>3.6666666666666665</v>
      </c>
      <c r="Y74" s="391">
        <f>SUM(V74:X74)/3</f>
        <v>3.4444444444444442</v>
      </c>
    </row>
    <row r="75" spans="1:25" s="30" customFormat="1" ht="20.25" hidden="1" customHeight="1" thickTop="1" thickBot="1">
      <c r="A75" s="27" t="s">
        <v>24</v>
      </c>
      <c r="B75" s="37"/>
      <c r="C75" s="27" t="s">
        <v>24</v>
      </c>
      <c r="D75" s="37"/>
      <c r="E75" s="27"/>
      <c r="F75" s="28"/>
      <c r="G75" s="28"/>
      <c r="H75" s="28"/>
      <c r="I75" s="28"/>
      <c r="J75" s="28"/>
      <c r="K75" s="28"/>
      <c r="L75" s="28"/>
      <c r="M75" s="28"/>
      <c r="N75" s="28"/>
      <c r="O75" s="28"/>
      <c r="P75" s="28"/>
      <c r="Q75" s="28"/>
      <c r="R75" s="29"/>
    </row>
    <row r="76" spans="1:25" ht="30.5" hidden="1" customHeight="1" thickTop="1">
      <c r="A76" s="38"/>
      <c r="B76" s="39"/>
      <c r="C76" s="38"/>
      <c r="D76" s="39"/>
      <c r="E76" s="26"/>
      <c r="F76" s="26"/>
      <c r="G76" s="26"/>
      <c r="H76" s="26"/>
      <c r="I76" s="26"/>
      <c r="J76" s="26"/>
      <c r="K76" s="26"/>
      <c r="L76" s="26"/>
      <c r="M76" s="26"/>
      <c r="N76" s="26"/>
      <c r="O76" s="26"/>
      <c r="P76" s="26"/>
      <c r="Q76" s="26"/>
    </row>
    <row r="77" spans="1:25" ht="32.25" hidden="1" customHeight="1" thickTop="1">
      <c r="A77" s="479" t="s">
        <v>0</v>
      </c>
      <c r="B77" s="480"/>
      <c r="C77" s="479" t="s">
        <v>0</v>
      </c>
      <c r="D77" s="480"/>
      <c r="E77" s="97" t="s">
        <v>25</v>
      </c>
      <c r="F77" s="486"/>
      <c r="G77" s="486"/>
      <c r="H77" s="486"/>
      <c r="I77" s="486"/>
      <c r="J77" s="486"/>
      <c r="K77" s="486"/>
      <c r="L77" s="487"/>
      <c r="M77" s="62"/>
      <c r="N77" s="62"/>
      <c r="O77" s="62"/>
      <c r="P77" s="62"/>
      <c r="Q77" s="62"/>
      <c r="R77" s="8"/>
    </row>
    <row r="78" spans="1:25" ht="32.25" hidden="1" customHeight="1" thickTop="1">
      <c r="A78" s="479"/>
      <c r="B78" s="480"/>
      <c r="C78" s="479"/>
      <c r="D78" s="480"/>
      <c r="E78" s="488" t="s">
        <v>0</v>
      </c>
      <c r="F78" s="489"/>
      <c r="G78" s="489"/>
      <c r="H78" s="489"/>
      <c r="I78" s="489"/>
      <c r="J78" s="489"/>
      <c r="K78" s="489"/>
      <c r="L78" s="490"/>
      <c r="M78" s="63"/>
      <c r="N78" s="63"/>
      <c r="O78" s="63"/>
      <c r="P78" s="63"/>
      <c r="Q78" s="63"/>
    </row>
    <row r="79" spans="1:25" ht="32.25" hidden="1" customHeight="1" thickTop="1">
      <c r="A79" s="479"/>
      <c r="B79" s="480"/>
      <c r="C79" s="479"/>
      <c r="D79" s="480"/>
      <c r="E79" s="3" t="s">
        <v>1</v>
      </c>
      <c r="F79" s="6"/>
      <c r="G79" s="6"/>
      <c r="H79" s="6" t="s">
        <v>20</v>
      </c>
      <c r="I79" s="40"/>
      <c r="J79" s="40"/>
      <c r="K79" s="40"/>
      <c r="L79" s="7" t="s">
        <v>21</v>
      </c>
      <c r="M79" s="64"/>
      <c r="N79" s="64"/>
      <c r="O79" s="64"/>
      <c r="P79" s="64"/>
      <c r="Q79" s="64"/>
      <c r="R79" s="31"/>
    </row>
    <row r="80" spans="1:25" ht="32.25" hidden="1" customHeight="1" thickTop="1">
      <c r="A80" s="479"/>
      <c r="B80" s="480"/>
      <c r="C80" s="479"/>
      <c r="D80" s="480"/>
      <c r="E80" s="20"/>
      <c r="F80" s="4"/>
      <c r="G80" s="4"/>
      <c r="H80" s="12" t="e">
        <f>#REF!*E80</f>
        <v>#REF!</v>
      </c>
      <c r="I80" s="14"/>
      <c r="J80" s="14"/>
      <c r="K80" s="14"/>
      <c r="L80" s="13" t="e">
        <f>#REF!*E80</f>
        <v>#REF!</v>
      </c>
      <c r="M80" s="65"/>
      <c r="N80" s="65"/>
      <c r="O80" s="65"/>
      <c r="P80" s="65"/>
      <c r="Q80" s="65"/>
      <c r="R80" s="32"/>
    </row>
    <row r="81" spans="1:18" ht="21" hidden="1" customHeight="1" thickTop="1">
      <c r="A81" s="479"/>
      <c r="B81" s="480"/>
      <c r="C81" s="479"/>
      <c r="D81" s="480"/>
      <c r="F81" s="9"/>
      <c r="G81" s="9"/>
    </row>
    <row r="82" spans="1:18" ht="32.25" hidden="1" customHeight="1" thickTop="1">
      <c r="A82" s="479"/>
      <c r="B82" s="480"/>
      <c r="C82" s="479"/>
      <c r="D82" s="480"/>
      <c r="E82" s="1" t="s">
        <v>22</v>
      </c>
      <c r="F82" s="10"/>
      <c r="G82" s="10"/>
    </row>
    <row r="83" spans="1:18" ht="32.25" hidden="1" customHeight="1" thickTop="1">
      <c r="A83" s="479"/>
      <c r="B83" s="480"/>
      <c r="C83" s="479"/>
      <c r="D83" s="480"/>
      <c r="E83" s="15" t="s">
        <v>1</v>
      </c>
      <c r="F83" s="15"/>
      <c r="G83" s="15"/>
      <c r="H83" s="15" t="s">
        <v>20</v>
      </c>
      <c r="I83" s="15"/>
      <c r="J83" s="15"/>
      <c r="K83" s="15"/>
      <c r="L83" s="15" t="s">
        <v>21</v>
      </c>
      <c r="M83" s="50"/>
      <c r="N83" s="50"/>
      <c r="O83" s="50"/>
      <c r="P83" s="50"/>
      <c r="Q83" s="50"/>
    </row>
    <row r="84" spans="1:18" s="5" customFormat="1" ht="32.25" hidden="1" customHeight="1" thickTop="1">
      <c r="A84" s="479"/>
      <c r="B84" s="480"/>
      <c r="C84" s="479"/>
      <c r="D84" s="480"/>
      <c r="E84" s="21">
        <f t="shared" ref="E84" si="46">E74-E80</f>
        <v>974</v>
      </c>
      <c r="F84" s="22"/>
      <c r="G84" s="22"/>
      <c r="H84" s="21" t="e">
        <f t="shared" ref="H84" si="47">H74-H80</f>
        <v>#REF!</v>
      </c>
      <c r="I84" s="21"/>
      <c r="J84" s="21"/>
      <c r="K84" s="21"/>
      <c r="L84" s="21" t="e">
        <f t="shared" ref="L84" si="48">L74-L80</f>
        <v>#REF!</v>
      </c>
      <c r="M84" s="66"/>
      <c r="N84" s="66"/>
      <c r="O84" s="66"/>
      <c r="P84" s="66"/>
      <c r="Q84" s="66"/>
      <c r="R84" s="1"/>
    </row>
    <row r="85" spans="1:18" s="5" customFormat="1" ht="32.25" hidden="1" customHeight="1" thickTop="1">
      <c r="A85" s="479"/>
      <c r="B85" s="480"/>
      <c r="C85" s="479"/>
      <c r="D85" s="480"/>
      <c r="E85" s="23" t="e">
        <f>E74/E80</f>
        <v>#DIV/0!</v>
      </c>
      <c r="F85" s="23"/>
      <c r="G85" s="23"/>
      <c r="H85" s="23" t="e">
        <f t="shared" ref="H85" si="49">H74/H80</f>
        <v>#REF!</v>
      </c>
      <c r="I85" s="23"/>
      <c r="J85" s="23"/>
      <c r="K85" s="23"/>
      <c r="L85" s="23" t="e">
        <f t="shared" ref="L85" si="50">L74/L80</f>
        <v>#REF!</v>
      </c>
      <c r="M85" s="67"/>
      <c r="N85" s="67"/>
      <c r="O85" s="67"/>
      <c r="P85" s="67"/>
      <c r="Q85" s="67"/>
      <c r="R85" s="1"/>
    </row>
    <row r="86" spans="1:18" s="5" customFormat="1" ht="32.25" hidden="1" customHeight="1" thickTop="1">
      <c r="A86" s="479"/>
      <c r="B86" s="480"/>
      <c r="C86" s="479"/>
      <c r="D86" s="480"/>
      <c r="E86" s="1" t="s">
        <v>26</v>
      </c>
      <c r="F86" s="1"/>
      <c r="G86" s="1"/>
      <c r="H86" s="1"/>
      <c r="I86" s="1"/>
      <c r="J86" s="1"/>
      <c r="K86" s="1"/>
      <c r="L86" s="1"/>
      <c r="M86" s="1"/>
      <c r="N86" s="1"/>
      <c r="O86" s="1"/>
      <c r="P86" s="1"/>
      <c r="Q86" s="1"/>
      <c r="R86" s="1"/>
    </row>
    <row r="87" spans="1:18" s="5" customFormat="1" ht="32.25" hidden="1" customHeight="1" thickTop="1">
      <c r="A87" s="479"/>
      <c r="B87" s="480"/>
      <c r="C87" s="479"/>
      <c r="D87" s="480"/>
      <c r="E87" s="15" t="s">
        <v>1</v>
      </c>
      <c r="F87" s="15"/>
      <c r="G87" s="15"/>
      <c r="H87" s="15" t="s">
        <v>20</v>
      </c>
      <c r="I87" s="15"/>
      <c r="J87" s="15"/>
      <c r="K87" s="15"/>
      <c r="L87" s="15" t="s">
        <v>21</v>
      </c>
      <c r="M87" s="50"/>
      <c r="N87" s="50"/>
      <c r="O87" s="50"/>
      <c r="P87" s="50"/>
      <c r="Q87" s="50"/>
      <c r="R87" s="1"/>
    </row>
    <row r="88" spans="1:18" s="5" customFormat="1" ht="32.25" hidden="1" customHeight="1" thickTop="1">
      <c r="A88" s="479"/>
      <c r="B88" s="480"/>
      <c r="C88" s="479"/>
      <c r="D88" s="480"/>
      <c r="E88" s="16"/>
      <c r="F88" s="18"/>
      <c r="G88" s="18"/>
      <c r="H88" s="17"/>
      <c r="I88" s="17"/>
      <c r="J88" s="17"/>
      <c r="K88" s="17"/>
      <c r="L88" s="17"/>
      <c r="M88" s="68"/>
      <c r="N88" s="68"/>
      <c r="O88" s="68"/>
      <c r="P88" s="68"/>
      <c r="Q88" s="68"/>
      <c r="R88" s="1"/>
    </row>
    <row r="89" spans="1:18" s="5" customFormat="1" ht="32.25" hidden="1" customHeight="1" thickTop="1">
      <c r="A89" s="479"/>
      <c r="B89" s="480"/>
      <c r="C89" s="479"/>
      <c r="D89" s="480"/>
      <c r="E89" s="1" t="s">
        <v>23</v>
      </c>
      <c r="F89" s="1"/>
      <c r="G89" s="1"/>
      <c r="H89" s="1"/>
      <c r="I89" s="1"/>
      <c r="J89" s="1"/>
      <c r="K89" s="1"/>
      <c r="L89" s="1"/>
      <c r="M89" s="1"/>
      <c r="N89" s="1"/>
      <c r="O89" s="1"/>
      <c r="P89" s="1"/>
      <c r="Q89" s="1"/>
      <c r="R89" s="1"/>
    </row>
    <row r="90" spans="1:18" s="5" customFormat="1" ht="32.25" hidden="1" customHeight="1" thickTop="1">
      <c r="A90" s="479"/>
      <c r="B90" s="480"/>
      <c r="C90" s="479"/>
      <c r="D90" s="480"/>
      <c r="E90" s="15" t="s">
        <v>1</v>
      </c>
      <c r="F90" s="15"/>
      <c r="G90" s="15"/>
      <c r="H90" s="15" t="s">
        <v>20</v>
      </c>
      <c r="I90" s="15"/>
      <c r="J90" s="15"/>
      <c r="K90" s="15"/>
      <c r="L90" s="15" t="s">
        <v>21</v>
      </c>
      <c r="M90" s="50"/>
      <c r="N90" s="50"/>
      <c r="O90" s="50"/>
      <c r="P90" s="50"/>
      <c r="Q90" s="50"/>
      <c r="R90" s="1"/>
    </row>
    <row r="91" spans="1:18" s="5" customFormat="1" ht="30" hidden="1" customHeight="1" thickTop="1">
      <c r="A91" s="479"/>
      <c r="B91" s="480"/>
      <c r="C91" s="479"/>
      <c r="D91" s="480"/>
      <c r="E91" s="16">
        <f>E74-E88</f>
        <v>974</v>
      </c>
      <c r="F91" s="16"/>
      <c r="G91" s="16"/>
      <c r="H91" s="16">
        <f t="shared" ref="H91" si="51">H74-H88</f>
        <v>1537350</v>
      </c>
      <c r="I91" s="16"/>
      <c r="J91" s="16"/>
      <c r="K91" s="16"/>
      <c r="L91" s="16">
        <f t="shared" ref="L91" si="52">L74-L88</f>
        <v>4464600</v>
      </c>
      <c r="M91" s="69"/>
      <c r="N91" s="69"/>
      <c r="O91" s="69"/>
      <c r="P91" s="69"/>
      <c r="Q91" s="69"/>
      <c r="R91" s="1"/>
    </row>
    <row r="92" spans="1:18" s="5" customFormat="1" ht="32" hidden="1" customHeight="1" thickTop="1">
      <c r="A92" s="481"/>
      <c r="B92" s="482"/>
      <c r="C92" s="479"/>
      <c r="D92" s="480"/>
      <c r="E92" s="47" t="e">
        <f>E74/E88</f>
        <v>#DIV/0!</v>
      </c>
      <c r="F92" s="19"/>
      <c r="G92" s="19"/>
      <c r="H92" s="19" t="e">
        <f t="shared" ref="H92" si="53">H74/H88</f>
        <v>#DIV/0!</v>
      </c>
      <c r="I92" s="19"/>
      <c r="J92" s="19"/>
      <c r="K92" s="19"/>
      <c r="L92" s="19" t="e">
        <f t="shared" ref="L92" si="54">L74/L88</f>
        <v>#DIV/0!</v>
      </c>
      <c r="M92" s="51"/>
      <c r="N92" s="51"/>
      <c r="O92" s="51"/>
      <c r="P92" s="51"/>
      <c r="Q92" s="51"/>
      <c r="R92" s="11"/>
    </row>
    <row r="93" spans="1:18" s="5" customFormat="1" ht="69" customHeight="1" thickTop="1">
      <c r="A93" s="475" t="s">
        <v>39</v>
      </c>
      <c r="B93" s="476"/>
      <c r="C93" s="59"/>
      <c r="D93" s="59"/>
      <c r="E93" s="59"/>
      <c r="F93" s="476"/>
      <c r="G93" s="476"/>
      <c r="H93" s="1"/>
      <c r="I93" s="1"/>
      <c r="J93" s="130" t="s">
        <v>81</v>
      </c>
      <c r="K93" s="130"/>
      <c r="L93" s="123">
        <f>L74/1.1</f>
        <v>4058727.2727272725</v>
      </c>
      <c r="M93" s="129" t="s">
        <v>80</v>
      </c>
      <c r="N93" s="129"/>
      <c r="O93" s="129"/>
      <c r="P93" s="129"/>
      <c r="Q93" s="124"/>
      <c r="R93" s="1"/>
    </row>
    <row r="94" spans="1:18" ht="73" customHeight="1">
      <c r="A94" s="476"/>
      <c r="B94" s="476"/>
    </row>
    <row r="95" spans="1:18" ht="32" customHeight="1"/>
    <row r="96" spans="1:18" ht="32" customHeight="1"/>
    <row r="97" ht="32" customHeight="1"/>
    <row r="98" ht="32" customHeight="1"/>
    <row r="99" ht="32" customHeight="1"/>
  </sheetData>
  <mergeCells count="50">
    <mergeCell ref="T35:Y35"/>
    <mergeCell ref="T45:Y45"/>
    <mergeCell ref="T55:Y55"/>
    <mergeCell ref="T65:Y65"/>
    <mergeCell ref="N3:Q3"/>
    <mergeCell ref="N4:Q4"/>
    <mergeCell ref="AA14:AE14"/>
    <mergeCell ref="T4:Y4"/>
    <mergeCell ref="T5:Y5"/>
    <mergeCell ref="T15:Y15"/>
    <mergeCell ref="T25:Y25"/>
    <mergeCell ref="A94:B94"/>
    <mergeCell ref="F93:G93"/>
    <mergeCell ref="C35:R35"/>
    <mergeCell ref="C44:D44"/>
    <mergeCell ref="C45:R45"/>
    <mergeCell ref="C54:D54"/>
    <mergeCell ref="C55:R55"/>
    <mergeCell ref="C64:D64"/>
    <mergeCell ref="C65:R65"/>
    <mergeCell ref="C77:D92"/>
    <mergeCell ref="F77:L77"/>
    <mergeCell ref="E78:L78"/>
    <mergeCell ref="A64:B64"/>
    <mergeCell ref="A45:B45"/>
    <mergeCell ref="A54:B54"/>
    <mergeCell ref="A93:B93"/>
    <mergeCell ref="A65:B65"/>
    <mergeCell ref="A77:B92"/>
    <mergeCell ref="A35:B35"/>
    <mergeCell ref="A44:B44"/>
    <mergeCell ref="A25:B25"/>
    <mergeCell ref="A34:B34"/>
    <mergeCell ref="A55:B55"/>
    <mergeCell ref="C15:R15"/>
    <mergeCell ref="C24:D24"/>
    <mergeCell ref="C25:R25"/>
    <mergeCell ref="C34:D34"/>
    <mergeCell ref="A2:B2"/>
    <mergeCell ref="A3:B3"/>
    <mergeCell ref="A4:B4"/>
    <mergeCell ref="A15:B15"/>
    <mergeCell ref="A24:B24"/>
    <mergeCell ref="A5:B5"/>
    <mergeCell ref="A14:B14"/>
    <mergeCell ref="C3:M3"/>
    <mergeCell ref="C4:D4"/>
    <mergeCell ref="I4:J4"/>
    <mergeCell ref="C5:R5"/>
    <mergeCell ref="C14:D14"/>
  </mergeCells>
  <phoneticPr fontId="1"/>
  <pageMargins left="0.7" right="0.7" top="0.75" bottom="0.75" header="0.3" footer="0.3"/>
  <pageSetup paperSize="8" scale="1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D3664-6EE6-BF4E-994F-25AC3E615ACE}">
  <sheetPr>
    <tabColor rgb="FFFFC000"/>
  </sheetPr>
  <dimension ref="A1:X54"/>
  <sheetViews>
    <sheetView workbookViewId="0"/>
  </sheetViews>
  <sheetFormatPr baseColWidth="10" defaultRowHeight="19"/>
  <cols>
    <col min="1" max="1" width="17.33203125" style="319" customWidth="1"/>
    <col min="2" max="7" width="11.5" style="319" bestFit="1" customWidth="1"/>
    <col min="8" max="9" width="12.5" style="319" bestFit="1" customWidth="1"/>
    <col min="10" max="10" width="11.5" style="319" bestFit="1" customWidth="1"/>
    <col min="11" max="11" width="11.5" style="319" customWidth="1"/>
    <col min="12" max="12" width="14.6640625" style="319" bestFit="1" customWidth="1"/>
    <col min="13" max="16384" width="10.83203125" style="319"/>
  </cols>
  <sheetData>
    <row r="1" spans="1:24" ht="45" customHeight="1">
      <c r="A1" s="333" t="s">
        <v>235</v>
      </c>
    </row>
    <row r="2" spans="1:24" s="322" customFormat="1">
      <c r="A2" s="498" t="s">
        <v>141</v>
      </c>
      <c r="B2" s="517" t="s">
        <v>0</v>
      </c>
      <c r="C2" s="517"/>
      <c r="D2" s="517"/>
      <c r="E2" s="518" t="s">
        <v>199</v>
      </c>
      <c r="F2" s="518"/>
      <c r="G2" s="514" t="s">
        <v>200</v>
      </c>
      <c r="H2" s="515"/>
      <c r="I2" s="515"/>
      <c r="J2" s="515"/>
      <c r="K2" s="516"/>
      <c r="L2" s="498" t="s">
        <v>151</v>
      </c>
    </row>
    <row r="3" spans="1:24" s="322" customFormat="1">
      <c r="A3" s="498"/>
      <c r="B3" s="329" t="s">
        <v>142</v>
      </c>
      <c r="C3" s="329" t="s">
        <v>143</v>
      </c>
      <c r="D3" s="329" t="s">
        <v>144</v>
      </c>
      <c r="E3" s="323" t="s">
        <v>145</v>
      </c>
      <c r="F3" s="323" t="s">
        <v>146</v>
      </c>
      <c r="G3" s="331" t="s">
        <v>147</v>
      </c>
      <c r="H3" s="331" t="s">
        <v>148</v>
      </c>
      <c r="I3" s="331" t="s">
        <v>149</v>
      </c>
      <c r="J3" s="331" t="s">
        <v>150</v>
      </c>
      <c r="K3" s="331" t="s">
        <v>204</v>
      </c>
      <c r="L3" s="498"/>
    </row>
    <row r="4" spans="1:24">
      <c r="A4" s="324" t="s">
        <v>205</v>
      </c>
      <c r="B4" s="330">
        <v>194750</v>
      </c>
      <c r="C4" s="330">
        <v>66600</v>
      </c>
      <c r="D4" s="330">
        <v>7050</v>
      </c>
      <c r="E4" s="325">
        <v>25050</v>
      </c>
      <c r="F4" s="325">
        <v>231550</v>
      </c>
      <c r="G4" s="332">
        <v>78150</v>
      </c>
      <c r="H4" s="332">
        <v>264250</v>
      </c>
      <c r="I4" s="332">
        <v>316650</v>
      </c>
      <c r="J4" s="332">
        <v>60750</v>
      </c>
      <c r="K4" s="332">
        <v>0</v>
      </c>
      <c r="L4" s="325">
        <f>SUM(B4:K4)</f>
        <v>1244800</v>
      </c>
      <c r="N4" s="315"/>
      <c r="O4" s="315"/>
      <c r="P4" s="315"/>
      <c r="Q4" s="315"/>
      <c r="R4" s="315"/>
      <c r="S4" s="315"/>
      <c r="T4" s="315"/>
      <c r="U4" s="315"/>
      <c r="V4" s="315"/>
      <c r="W4" s="315"/>
      <c r="X4" s="315"/>
    </row>
    <row r="5" spans="1:24">
      <c r="A5" s="324" t="s">
        <v>206</v>
      </c>
      <c r="B5" s="330">
        <v>239400</v>
      </c>
      <c r="C5" s="330">
        <v>217250</v>
      </c>
      <c r="D5" s="330">
        <v>103500</v>
      </c>
      <c r="E5" s="325">
        <v>145950</v>
      </c>
      <c r="F5" s="325">
        <v>256100</v>
      </c>
      <c r="G5" s="332">
        <v>312700</v>
      </c>
      <c r="H5" s="332">
        <v>259150</v>
      </c>
      <c r="I5" s="332">
        <v>135700</v>
      </c>
      <c r="J5" s="332">
        <v>27500</v>
      </c>
      <c r="K5" s="332">
        <v>0</v>
      </c>
      <c r="L5" s="325">
        <f t="shared" ref="L5:L35" si="0">SUM(B5:K5)</f>
        <v>1697250</v>
      </c>
      <c r="N5" s="317"/>
      <c r="O5" s="317"/>
      <c r="P5" s="317"/>
      <c r="Q5" s="317"/>
      <c r="R5" s="317"/>
      <c r="S5" s="317"/>
      <c r="T5" s="317"/>
      <c r="U5" s="317"/>
      <c r="V5" s="317"/>
      <c r="W5" s="317"/>
      <c r="X5" s="317"/>
    </row>
    <row r="6" spans="1:24">
      <c r="A6" s="324" t="s">
        <v>207</v>
      </c>
      <c r="B6" s="330">
        <v>235000</v>
      </c>
      <c r="C6" s="330">
        <v>232850</v>
      </c>
      <c r="D6" s="330">
        <v>102400</v>
      </c>
      <c r="E6" s="325">
        <v>54600</v>
      </c>
      <c r="F6" s="325">
        <v>212550</v>
      </c>
      <c r="G6" s="332">
        <v>300300</v>
      </c>
      <c r="H6" s="332">
        <v>181000</v>
      </c>
      <c r="I6" s="332">
        <v>150450</v>
      </c>
      <c r="J6" s="332">
        <v>31400</v>
      </c>
      <c r="K6" s="332">
        <v>22000</v>
      </c>
      <c r="L6" s="325">
        <f t="shared" si="0"/>
        <v>1522550</v>
      </c>
      <c r="N6" s="317"/>
      <c r="O6" s="317"/>
      <c r="P6" s="317"/>
      <c r="Q6" s="317"/>
      <c r="R6" s="317"/>
      <c r="S6" s="317"/>
      <c r="T6" s="317"/>
      <c r="U6" s="317"/>
      <c r="V6" s="317"/>
      <c r="W6" s="317"/>
      <c r="X6" s="317"/>
    </row>
    <row r="7" spans="1:24">
      <c r="A7" s="324" t="s">
        <v>208</v>
      </c>
      <c r="B7" s="330"/>
      <c r="C7" s="330"/>
      <c r="D7" s="330"/>
      <c r="E7" s="325"/>
      <c r="F7" s="325"/>
      <c r="G7" s="332"/>
      <c r="H7" s="332"/>
      <c r="I7" s="332"/>
      <c r="J7" s="332"/>
      <c r="K7" s="332"/>
      <c r="L7" s="325">
        <f t="shared" si="0"/>
        <v>0</v>
      </c>
      <c r="N7" s="317"/>
      <c r="O7" s="317"/>
      <c r="P7" s="317"/>
      <c r="Q7" s="317"/>
      <c r="R7" s="317"/>
      <c r="S7" s="317"/>
      <c r="T7" s="317"/>
      <c r="U7" s="317"/>
      <c r="V7" s="317"/>
      <c r="W7" s="317"/>
      <c r="X7" s="317"/>
    </row>
    <row r="8" spans="1:24">
      <c r="A8" s="324" t="s">
        <v>209</v>
      </c>
      <c r="B8" s="330"/>
      <c r="C8" s="330"/>
      <c r="D8" s="330"/>
      <c r="E8" s="325"/>
      <c r="F8" s="325"/>
      <c r="G8" s="332"/>
      <c r="H8" s="332"/>
      <c r="I8" s="332"/>
      <c r="J8" s="332"/>
      <c r="K8" s="332"/>
      <c r="L8" s="325">
        <f t="shared" si="0"/>
        <v>0</v>
      </c>
      <c r="N8" s="317"/>
      <c r="O8" s="317"/>
      <c r="P8" s="317"/>
      <c r="Q8" s="317"/>
      <c r="R8" s="317"/>
      <c r="S8" s="317"/>
      <c r="T8" s="317"/>
      <c r="U8" s="317"/>
      <c r="V8" s="317"/>
      <c r="W8" s="317"/>
      <c r="X8" s="317"/>
    </row>
    <row r="9" spans="1:24">
      <c r="A9" s="324" t="s">
        <v>210</v>
      </c>
      <c r="B9" s="330"/>
      <c r="C9" s="330"/>
      <c r="D9" s="330"/>
      <c r="E9" s="325"/>
      <c r="F9" s="325"/>
      <c r="G9" s="332"/>
      <c r="H9" s="332"/>
      <c r="I9" s="332"/>
      <c r="J9" s="332"/>
      <c r="K9" s="332"/>
      <c r="L9" s="325">
        <f t="shared" si="0"/>
        <v>0</v>
      </c>
    </row>
    <row r="10" spans="1:24">
      <c r="A10" s="324" t="s">
        <v>211</v>
      </c>
      <c r="B10" s="330"/>
      <c r="C10" s="330"/>
      <c r="D10" s="330"/>
      <c r="E10" s="325"/>
      <c r="F10" s="325"/>
      <c r="G10" s="332"/>
      <c r="H10" s="332"/>
      <c r="I10" s="332"/>
      <c r="J10" s="332"/>
      <c r="K10" s="332"/>
      <c r="L10" s="325">
        <f t="shared" si="0"/>
        <v>0</v>
      </c>
    </row>
    <row r="11" spans="1:24">
      <c r="A11" s="324" t="s">
        <v>212</v>
      </c>
      <c r="B11" s="330"/>
      <c r="C11" s="330"/>
      <c r="D11" s="330"/>
      <c r="E11" s="325"/>
      <c r="F11" s="325"/>
      <c r="G11" s="332"/>
      <c r="H11" s="332"/>
      <c r="I11" s="332"/>
      <c r="J11" s="332"/>
      <c r="K11" s="332"/>
      <c r="L11" s="325">
        <f t="shared" si="0"/>
        <v>0</v>
      </c>
    </row>
    <row r="12" spans="1:24">
      <c r="A12" s="324" t="s">
        <v>213</v>
      </c>
      <c r="B12" s="330"/>
      <c r="C12" s="330"/>
      <c r="D12" s="330"/>
      <c r="E12" s="325"/>
      <c r="F12" s="325"/>
      <c r="G12" s="332"/>
      <c r="H12" s="332"/>
      <c r="I12" s="332"/>
      <c r="J12" s="332"/>
      <c r="K12" s="332"/>
      <c r="L12" s="325">
        <f t="shared" si="0"/>
        <v>0</v>
      </c>
    </row>
    <row r="13" spans="1:24">
      <c r="A13" s="324" t="s">
        <v>214</v>
      </c>
      <c r="B13" s="330"/>
      <c r="C13" s="330"/>
      <c r="D13" s="330"/>
      <c r="E13" s="325"/>
      <c r="F13" s="325"/>
      <c r="G13" s="332"/>
      <c r="H13" s="332"/>
      <c r="I13" s="332"/>
      <c r="J13" s="332"/>
      <c r="K13" s="332"/>
      <c r="L13" s="325">
        <f t="shared" si="0"/>
        <v>0</v>
      </c>
    </row>
    <row r="14" spans="1:24">
      <c r="A14" s="324" t="s">
        <v>215</v>
      </c>
      <c r="B14" s="330"/>
      <c r="C14" s="330"/>
      <c r="D14" s="330"/>
      <c r="E14" s="325"/>
      <c r="F14" s="325"/>
      <c r="G14" s="332"/>
      <c r="H14" s="332"/>
      <c r="I14" s="332"/>
      <c r="J14" s="332"/>
      <c r="K14" s="332"/>
      <c r="L14" s="325">
        <f t="shared" si="0"/>
        <v>0</v>
      </c>
    </row>
    <row r="15" spans="1:24">
      <c r="A15" s="324" t="s">
        <v>216</v>
      </c>
      <c r="B15" s="330"/>
      <c r="C15" s="330"/>
      <c r="D15" s="330"/>
      <c r="E15" s="325"/>
      <c r="F15" s="325"/>
      <c r="G15" s="332"/>
      <c r="H15" s="332"/>
      <c r="I15" s="332"/>
      <c r="J15" s="332"/>
      <c r="K15" s="332"/>
      <c r="L15" s="325">
        <f t="shared" si="0"/>
        <v>0</v>
      </c>
    </row>
    <row r="16" spans="1:24">
      <c r="A16" s="324" t="s">
        <v>217</v>
      </c>
      <c r="B16" s="330"/>
      <c r="C16" s="330"/>
      <c r="D16" s="330"/>
      <c r="E16" s="325"/>
      <c r="F16" s="325"/>
      <c r="G16" s="332"/>
      <c r="H16" s="332"/>
      <c r="I16" s="332"/>
      <c r="J16" s="332"/>
      <c r="K16" s="332"/>
      <c r="L16" s="325">
        <f t="shared" si="0"/>
        <v>0</v>
      </c>
    </row>
    <row r="17" spans="1:12">
      <c r="A17" s="324" t="s">
        <v>218</v>
      </c>
      <c r="B17" s="330"/>
      <c r="C17" s="330"/>
      <c r="D17" s="330"/>
      <c r="E17" s="325"/>
      <c r="F17" s="325"/>
      <c r="G17" s="332"/>
      <c r="H17" s="332"/>
      <c r="I17" s="332"/>
      <c r="J17" s="332"/>
      <c r="K17" s="332"/>
      <c r="L17" s="325">
        <f t="shared" si="0"/>
        <v>0</v>
      </c>
    </row>
    <row r="18" spans="1:12">
      <c r="A18" s="324" t="s">
        <v>219</v>
      </c>
      <c r="B18" s="330"/>
      <c r="C18" s="330"/>
      <c r="D18" s="330"/>
      <c r="E18" s="325"/>
      <c r="F18" s="325"/>
      <c r="G18" s="332"/>
      <c r="H18" s="332"/>
      <c r="I18" s="332"/>
      <c r="J18" s="332"/>
      <c r="K18" s="332"/>
      <c r="L18" s="325">
        <f t="shared" si="0"/>
        <v>0</v>
      </c>
    </row>
    <row r="19" spans="1:12">
      <c r="A19" s="324" t="s">
        <v>220</v>
      </c>
      <c r="B19" s="330"/>
      <c r="C19" s="330"/>
      <c r="D19" s="330"/>
      <c r="E19" s="325"/>
      <c r="F19" s="325"/>
      <c r="G19" s="332"/>
      <c r="H19" s="332"/>
      <c r="I19" s="332"/>
      <c r="J19" s="332"/>
      <c r="K19" s="332"/>
      <c r="L19" s="325">
        <f t="shared" si="0"/>
        <v>0</v>
      </c>
    </row>
    <row r="20" spans="1:12">
      <c r="A20" s="324" t="s">
        <v>221</v>
      </c>
      <c r="B20" s="330"/>
      <c r="C20" s="330"/>
      <c r="D20" s="330"/>
      <c r="E20" s="325"/>
      <c r="F20" s="325"/>
      <c r="G20" s="332"/>
      <c r="H20" s="332"/>
      <c r="I20" s="332"/>
      <c r="J20" s="332"/>
      <c r="K20" s="332"/>
      <c r="L20" s="325">
        <f t="shared" si="0"/>
        <v>0</v>
      </c>
    </row>
    <row r="21" spans="1:12">
      <c r="A21" s="324" t="s">
        <v>222</v>
      </c>
      <c r="B21" s="330"/>
      <c r="C21" s="330"/>
      <c r="D21" s="330"/>
      <c r="E21" s="325"/>
      <c r="F21" s="325"/>
      <c r="G21" s="332"/>
      <c r="H21" s="332"/>
      <c r="I21" s="332"/>
      <c r="J21" s="332"/>
      <c r="K21" s="332"/>
      <c r="L21" s="325">
        <f t="shared" si="0"/>
        <v>0</v>
      </c>
    </row>
    <row r="22" spans="1:12">
      <c r="A22" s="324" t="s">
        <v>223</v>
      </c>
      <c r="B22" s="330"/>
      <c r="C22" s="330"/>
      <c r="D22" s="330"/>
      <c r="E22" s="325"/>
      <c r="F22" s="325"/>
      <c r="G22" s="332"/>
      <c r="H22" s="332"/>
      <c r="I22" s="332"/>
      <c r="J22" s="332"/>
      <c r="K22" s="332"/>
      <c r="L22" s="325">
        <f t="shared" si="0"/>
        <v>0</v>
      </c>
    </row>
    <row r="23" spans="1:12">
      <c r="A23" s="324" t="s">
        <v>224</v>
      </c>
      <c r="B23" s="330"/>
      <c r="C23" s="330"/>
      <c r="D23" s="330"/>
      <c r="E23" s="325"/>
      <c r="F23" s="325"/>
      <c r="G23" s="332"/>
      <c r="H23" s="332"/>
      <c r="I23" s="332"/>
      <c r="J23" s="332"/>
      <c r="K23" s="332"/>
      <c r="L23" s="325">
        <f t="shared" si="0"/>
        <v>0</v>
      </c>
    </row>
    <row r="24" spans="1:12">
      <c r="A24" s="324" t="s">
        <v>225</v>
      </c>
      <c r="B24" s="330"/>
      <c r="C24" s="330"/>
      <c r="D24" s="330"/>
      <c r="E24" s="325"/>
      <c r="F24" s="325"/>
      <c r="G24" s="332"/>
      <c r="H24" s="332"/>
      <c r="I24" s="332"/>
      <c r="J24" s="332"/>
      <c r="K24" s="332"/>
      <c r="L24" s="325">
        <f t="shared" si="0"/>
        <v>0</v>
      </c>
    </row>
    <row r="25" spans="1:12">
      <c r="A25" s="324" t="s">
        <v>226</v>
      </c>
      <c r="B25" s="330"/>
      <c r="C25" s="330"/>
      <c r="D25" s="330"/>
      <c r="E25" s="325"/>
      <c r="F25" s="325"/>
      <c r="G25" s="332"/>
      <c r="H25" s="332"/>
      <c r="I25" s="332"/>
      <c r="J25" s="332"/>
      <c r="K25" s="332"/>
      <c r="L25" s="325">
        <f t="shared" si="0"/>
        <v>0</v>
      </c>
    </row>
    <row r="26" spans="1:12">
      <c r="A26" s="324" t="s">
        <v>227</v>
      </c>
      <c r="B26" s="330"/>
      <c r="C26" s="330"/>
      <c r="D26" s="330"/>
      <c r="E26" s="325"/>
      <c r="F26" s="325"/>
      <c r="G26" s="332"/>
      <c r="H26" s="332"/>
      <c r="I26" s="332"/>
      <c r="J26" s="332"/>
      <c r="K26" s="332"/>
      <c r="L26" s="325">
        <f t="shared" si="0"/>
        <v>0</v>
      </c>
    </row>
    <row r="27" spans="1:12">
      <c r="A27" s="324" t="s">
        <v>228</v>
      </c>
      <c r="B27" s="330"/>
      <c r="C27" s="330"/>
      <c r="D27" s="330"/>
      <c r="E27" s="325"/>
      <c r="F27" s="325"/>
      <c r="G27" s="332"/>
      <c r="H27" s="332"/>
      <c r="I27" s="332"/>
      <c r="J27" s="332"/>
      <c r="K27" s="332"/>
      <c r="L27" s="325">
        <f t="shared" si="0"/>
        <v>0</v>
      </c>
    </row>
    <row r="28" spans="1:12">
      <c r="A28" s="324" t="s">
        <v>229</v>
      </c>
      <c r="B28" s="330"/>
      <c r="C28" s="330"/>
      <c r="D28" s="330"/>
      <c r="E28" s="325"/>
      <c r="F28" s="325"/>
      <c r="G28" s="332"/>
      <c r="H28" s="332"/>
      <c r="I28" s="332"/>
      <c r="J28" s="332"/>
      <c r="K28" s="332"/>
      <c r="L28" s="325">
        <f t="shared" si="0"/>
        <v>0</v>
      </c>
    </row>
    <row r="29" spans="1:12">
      <c r="A29" s="324" t="s">
        <v>230</v>
      </c>
      <c r="B29" s="330"/>
      <c r="C29" s="330"/>
      <c r="D29" s="330"/>
      <c r="E29" s="325"/>
      <c r="F29" s="325"/>
      <c r="G29" s="332"/>
      <c r="H29" s="332"/>
      <c r="I29" s="332"/>
      <c r="J29" s="332"/>
      <c r="K29" s="332"/>
      <c r="L29" s="325">
        <f t="shared" si="0"/>
        <v>0</v>
      </c>
    </row>
    <row r="30" spans="1:12">
      <c r="A30" s="324" t="s">
        <v>231</v>
      </c>
      <c r="B30" s="330"/>
      <c r="C30" s="330"/>
      <c r="D30" s="330"/>
      <c r="E30" s="325"/>
      <c r="F30" s="325"/>
      <c r="G30" s="332"/>
      <c r="H30" s="332"/>
      <c r="I30" s="332"/>
      <c r="J30" s="332"/>
      <c r="K30" s="332"/>
      <c r="L30" s="325">
        <f t="shared" si="0"/>
        <v>0</v>
      </c>
    </row>
    <row r="31" spans="1:12">
      <c r="A31" s="324" t="s">
        <v>232</v>
      </c>
      <c r="B31" s="330"/>
      <c r="C31" s="330"/>
      <c r="D31" s="330"/>
      <c r="E31" s="325"/>
      <c r="F31" s="325"/>
      <c r="G31" s="332"/>
      <c r="H31" s="332"/>
      <c r="I31" s="332"/>
      <c r="J31" s="332"/>
      <c r="K31" s="332"/>
      <c r="L31" s="325">
        <f t="shared" si="0"/>
        <v>0</v>
      </c>
    </row>
    <row r="32" spans="1:12">
      <c r="A32" s="324" t="s">
        <v>233</v>
      </c>
      <c r="B32" s="330"/>
      <c r="C32" s="330"/>
      <c r="D32" s="330"/>
      <c r="E32" s="325"/>
      <c r="F32" s="325"/>
      <c r="G32" s="332"/>
      <c r="H32" s="332"/>
      <c r="I32" s="332"/>
      <c r="J32" s="332"/>
      <c r="K32" s="332"/>
      <c r="L32" s="325">
        <f t="shared" si="0"/>
        <v>0</v>
      </c>
    </row>
    <row r="33" spans="1:24">
      <c r="A33" s="324" t="s">
        <v>234</v>
      </c>
      <c r="B33" s="330"/>
      <c r="C33" s="330"/>
      <c r="D33" s="330"/>
      <c r="E33" s="325"/>
      <c r="F33" s="325"/>
      <c r="G33" s="332"/>
      <c r="H33" s="332"/>
      <c r="I33" s="332"/>
      <c r="J33" s="332"/>
      <c r="K33" s="332"/>
      <c r="L33" s="325">
        <f t="shared" si="0"/>
        <v>0</v>
      </c>
    </row>
    <row r="34" spans="1:24">
      <c r="A34" s="324"/>
      <c r="B34" s="330"/>
      <c r="C34" s="330"/>
      <c r="D34" s="330"/>
      <c r="E34" s="325"/>
      <c r="F34" s="325"/>
      <c r="G34" s="332"/>
      <c r="H34" s="332"/>
      <c r="I34" s="332"/>
      <c r="J34" s="332"/>
      <c r="K34" s="332"/>
      <c r="L34" s="325">
        <f t="shared" si="0"/>
        <v>0</v>
      </c>
    </row>
    <row r="35" spans="1:24">
      <c r="A35" s="509" t="s">
        <v>183</v>
      </c>
      <c r="B35" s="330">
        <f>SUM(B4:B34)</f>
        <v>669150</v>
      </c>
      <c r="C35" s="330">
        <f t="shared" ref="C35:D35" si="1">SUM(C4:C34)</f>
        <v>516700</v>
      </c>
      <c r="D35" s="330">
        <f t="shared" si="1"/>
        <v>212950</v>
      </c>
      <c r="E35" s="325">
        <f>SUM(E4:E34)</f>
        <v>225600</v>
      </c>
      <c r="F35" s="325">
        <f>SUM(F4:F34)</f>
        <v>700200</v>
      </c>
      <c r="G35" s="332">
        <f>SUM(G4:G34)</f>
        <v>691150</v>
      </c>
      <c r="H35" s="332">
        <f t="shared" ref="H35:K35" si="2">SUM(H4:H34)</f>
        <v>704400</v>
      </c>
      <c r="I35" s="332">
        <f t="shared" si="2"/>
        <v>602800</v>
      </c>
      <c r="J35" s="332">
        <f t="shared" si="2"/>
        <v>119650</v>
      </c>
      <c r="K35" s="332">
        <f t="shared" si="2"/>
        <v>22000</v>
      </c>
      <c r="L35" s="325">
        <f t="shared" si="0"/>
        <v>4464600</v>
      </c>
    </row>
    <row r="36" spans="1:24" ht="25" customHeight="1">
      <c r="A36" s="509"/>
      <c r="B36" s="510">
        <f>B35+C35+D35</f>
        <v>1398800</v>
      </c>
      <c r="C36" s="511"/>
      <c r="D36" s="511"/>
      <c r="E36" s="512">
        <f>E35+F35</f>
        <v>925800</v>
      </c>
      <c r="F36" s="513"/>
      <c r="G36" s="503">
        <f>G35+H35+I35+J35+K35</f>
        <v>2140000</v>
      </c>
      <c r="H36" s="504"/>
      <c r="I36" s="504"/>
      <c r="J36" s="504"/>
      <c r="K36" s="505"/>
      <c r="L36" s="327">
        <f>SUM(B36:J36)</f>
        <v>4464600</v>
      </c>
    </row>
    <row r="37" spans="1:24" ht="20">
      <c r="A37" s="326" t="s">
        <v>201</v>
      </c>
      <c r="B37" s="501">
        <f>B36/L36</f>
        <v>0.31330914303633023</v>
      </c>
      <c r="C37" s="501"/>
      <c r="D37" s="501"/>
      <c r="E37" s="502">
        <f>E36/L36</f>
        <v>0.20736460153205213</v>
      </c>
      <c r="F37" s="502"/>
      <c r="G37" s="506">
        <f>G36/L36</f>
        <v>0.47932625543161761</v>
      </c>
      <c r="H37" s="507"/>
      <c r="I37" s="507"/>
      <c r="J37" s="507"/>
      <c r="K37" s="508"/>
      <c r="L37" s="328">
        <f>SUM(B37:J37)</f>
        <v>1</v>
      </c>
    </row>
    <row r="38" spans="1:24" ht="20">
      <c r="A38" s="334"/>
      <c r="B38" s="499"/>
      <c r="C38" s="499"/>
      <c r="D38" s="499"/>
      <c r="E38" s="499"/>
      <c r="F38" s="499"/>
      <c r="G38" s="500"/>
      <c r="H38" s="500"/>
      <c r="I38" s="500"/>
      <c r="J38" s="500"/>
      <c r="K38" s="500"/>
      <c r="L38" s="335"/>
    </row>
    <row r="39" spans="1:24" ht="34" customHeight="1">
      <c r="A39" s="320" t="s">
        <v>236</v>
      </c>
      <c r="B39" s="321"/>
      <c r="C39" s="321"/>
      <c r="D39" s="321"/>
      <c r="E39" s="320"/>
      <c r="F39" s="320"/>
      <c r="G39" s="320"/>
      <c r="H39" s="320"/>
      <c r="I39" s="320"/>
      <c r="J39" s="320"/>
      <c r="K39" s="320"/>
      <c r="L39" s="320"/>
    </row>
    <row r="40" spans="1:24">
      <c r="A40" s="324" t="s">
        <v>184</v>
      </c>
      <c r="B40" s="330">
        <v>235000</v>
      </c>
      <c r="C40" s="330">
        <v>232850</v>
      </c>
      <c r="D40" s="330">
        <v>102400</v>
      </c>
      <c r="E40" s="325">
        <v>54600</v>
      </c>
      <c r="F40" s="325">
        <v>212550</v>
      </c>
      <c r="G40" s="332">
        <v>300300</v>
      </c>
      <c r="H40" s="332">
        <v>181000</v>
      </c>
      <c r="I40" s="332">
        <v>150450</v>
      </c>
      <c r="J40" s="332">
        <v>31400</v>
      </c>
      <c r="K40" s="332">
        <v>22000</v>
      </c>
      <c r="L40" s="325">
        <f t="shared" ref="L40" si="3">SUM(B40:K40)</f>
        <v>1522550</v>
      </c>
      <c r="N40" s="317"/>
      <c r="O40" s="317"/>
      <c r="P40" s="317"/>
      <c r="Q40" s="317"/>
      <c r="R40" s="317"/>
      <c r="S40" s="317"/>
      <c r="T40" s="317"/>
      <c r="U40" s="317"/>
      <c r="V40" s="317"/>
      <c r="W40" s="317"/>
      <c r="X40" s="317"/>
    </row>
    <row r="41" spans="1:24">
      <c r="A41" s="324" t="s">
        <v>185</v>
      </c>
      <c r="B41" s="325">
        <v>0</v>
      </c>
      <c r="C41" s="325">
        <v>0</v>
      </c>
      <c r="D41" s="325">
        <v>0</v>
      </c>
      <c r="E41" s="325">
        <v>0</v>
      </c>
      <c r="F41" s="325">
        <v>0</v>
      </c>
      <c r="G41" s="325">
        <v>0</v>
      </c>
      <c r="H41" s="325">
        <v>0</v>
      </c>
      <c r="I41" s="325">
        <v>0</v>
      </c>
      <c r="J41" s="325">
        <v>0</v>
      </c>
      <c r="K41" s="325">
        <v>0</v>
      </c>
      <c r="L41" s="325">
        <v>0</v>
      </c>
      <c r="N41" s="317"/>
      <c r="O41" s="317"/>
      <c r="P41" s="317"/>
      <c r="Q41" s="317"/>
      <c r="R41" s="317"/>
      <c r="S41" s="317"/>
      <c r="T41" s="317"/>
      <c r="U41" s="317"/>
      <c r="V41" s="317"/>
      <c r="W41" s="317"/>
      <c r="X41" s="317"/>
    </row>
    <row r="42" spans="1:24">
      <c r="A42" s="324" t="s">
        <v>186</v>
      </c>
      <c r="B42" s="325">
        <v>0</v>
      </c>
      <c r="C42" s="325">
        <v>0</v>
      </c>
      <c r="D42" s="325">
        <v>0</v>
      </c>
      <c r="E42" s="325">
        <v>0</v>
      </c>
      <c r="F42" s="325">
        <v>0</v>
      </c>
      <c r="G42" s="325">
        <v>0</v>
      </c>
      <c r="H42" s="325">
        <v>0</v>
      </c>
      <c r="I42" s="325">
        <v>0</v>
      </c>
      <c r="J42" s="325">
        <v>0</v>
      </c>
      <c r="K42" s="325">
        <v>0</v>
      </c>
      <c r="L42" s="325">
        <v>0</v>
      </c>
      <c r="N42" s="317"/>
      <c r="O42" s="317"/>
      <c r="P42" s="317"/>
      <c r="Q42" s="317"/>
      <c r="R42" s="317"/>
      <c r="S42" s="317"/>
      <c r="T42" s="317"/>
      <c r="U42" s="317"/>
      <c r="V42" s="317"/>
      <c r="W42" s="317"/>
      <c r="X42" s="317"/>
    </row>
    <row r="43" spans="1:24">
      <c r="A43" s="324" t="s">
        <v>187</v>
      </c>
      <c r="B43" s="325">
        <v>0</v>
      </c>
      <c r="C43" s="325">
        <v>0</v>
      </c>
      <c r="D43" s="325">
        <v>0</v>
      </c>
      <c r="E43" s="325">
        <v>0</v>
      </c>
      <c r="F43" s="325">
        <v>0</v>
      </c>
      <c r="G43" s="325">
        <v>0</v>
      </c>
      <c r="H43" s="325">
        <v>0</v>
      </c>
      <c r="I43" s="325">
        <v>0</v>
      </c>
      <c r="J43" s="325">
        <v>0</v>
      </c>
      <c r="K43" s="325">
        <v>0</v>
      </c>
      <c r="L43" s="325">
        <v>0</v>
      </c>
      <c r="N43" s="317"/>
      <c r="O43" s="317"/>
      <c r="P43" s="317"/>
      <c r="Q43" s="317"/>
      <c r="R43" s="317"/>
      <c r="S43" s="317"/>
      <c r="T43" s="317"/>
      <c r="U43" s="317"/>
      <c r="V43" s="317"/>
      <c r="W43" s="317"/>
      <c r="X43" s="317"/>
    </row>
    <row r="44" spans="1:24">
      <c r="A44" s="324" t="s">
        <v>188</v>
      </c>
      <c r="B44" s="325">
        <v>0</v>
      </c>
      <c r="C44" s="325">
        <v>0</v>
      </c>
      <c r="D44" s="325">
        <v>0</v>
      </c>
      <c r="E44" s="325">
        <v>0</v>
      </c>
      <c r="F44" s="325">
        <v>0</v>
      </c>
      <c r="G44" s="325">
        <v>0</v>
      </c>
      <c r="H44" s="325">
        <v>0</v>
      </c>
      <c r="I44" s="325">
        <v>0</v>
      </c>
      <c r="J44" s="325">
        <v>0</v>
      </c>
      <c r="K44" s="325">
        <v>0</v>
      </c>
      <c r="L44" s="325">
        <v>0</v>
      </c>
      <c r="N44" s="317"/>
      <c r="O44" s="317"/>
      <c r="P44" s="317"/>
      <c r="Q44" s="317"/>
      <c r="R44" s="317"/>
      <c r="S44" s="317"/>
      <c r="T44" s="317"/>
      <c r="U44" s="317"/>
      <c r="V44" s="317"/>
      <c r="W44" s="317"/>
      <c r="X44" s="317"/>
    </row>
    <row r="45" spans="1:24">
      <c r="A45" s="324" t="s">
        <v>189</v>
      </c>
      <c r="B45" s="330">
        <v>194750</v>
      </c>
      <c r="C45" s="330">
        <v>66600</v>
      </c>
      <c r="D45" s="330">
        <v>7050</v>
      </c>
      <c r="E45" s="325">
        <v>25050</v>
      </c>
      <c r="F45" s="325">
        <v>231550</v>
      </c>
      <c r="G45" s="332">
        <v>78150</v>
      </c>
      <c r="H45" s="332">
        <v>264250</v>
      </c>
      <c r="I45" s="332">
        <v>316650</v>
      </c>
      <c r="J45" s="332">
        <v>60750</v>
      </c>
      <c r="K45" s="332">
        <v>0</v>
      </c>
      <c r="L45" s="325">
        <f>SUM(B45:K45)</f>
        <v>1244800</v>
      </c>
      <c r="N45" s="317"/>
      <c r="O45" s="317"/>
      <c r="P45" s="317"/>
      <c r="Q45" s="317"/>
      <c r="R45" s="317"/>
      <c r="S45" s="317"/>
      <c r="T45" s="317"/>
      <c r="U45" s="317"/>
      <c r="V45" s="317"/>
      <c r="W45" s="317"/>
      <c r="X45" s="317"/>
    </row>
    <row r="46" spans="1:24">
      <c r="A46" s="324" t="s">
        <v>190</v>
      </c>
      <c r="B46" s="330">
        <v>239400</v>
      </c>
      <c r="C46" s="330">
        <v>217250</v>
      </c>
      <c r="D46" s="330">
        <v>103500</v>
      </c>
      <c r="E46" s="325">
        <v>145950</v>
      </c>
      <c r="F46" s="325">
        <v>256100</v>
      </c>
      <c r="G46" s="332">
        <v>312700</v>
      </c>
      <c r="H46" s="332">
        <v>259150</v>
      </c>
      <c r="I46" s="332">
        <v>135700</v>
      </c>
      <c r="J46" s="332">
        <v>27500</v>
      </c>
      <c r="K46" s="332">
        <v>0</v>
      </c>
      <c r="L46" s="325">
        <f t="shared" ref="L46" si="4">SUM(B46:K46)</f>
        <v>1697250</v>
      </c>
      <c r="N46" s="317"/>
      <c r="O46" s="317"/>
      <c r="P46" s="317"/>
      <c r="Q46" s="317"/>
      <c r="R46" s="317"/>
      <c r="S46" s="317"/>
      <c r="T46" s="317"/>
      <c r="U46" s="317"/>
      <c r="V46" s="317"/>
      <c r="W46" s="317"/>
      <c r="X46" s="317"/>
    </row>
    <row r="47" spans="1:24" ht="39" customHeight="1">
      <c r="A47" s="320" t="s">
        <v>237</v>
      </c>
      <c r="B47" s="320"/>
      <c r="C47" s="320"/>
      <c r="D47" s="320"/>
      <c r="E47" s="320"/>
      <c r="F47" s="320"/>
      <c r="G47" s="320"/>
      <c r="H47" s="320"/>
      <c r="I47" s="320"/>
      <c r="J47" s="320"/>
      <c r="K47" s="320"/>
      <c r="L47" s="320"/>
      <c r="N47" s="318"/>
      <c r="O47" s="318"/>
      <c r="P47" s="318"/>
      <c r="Q47" s="318"/>
      <c r="R47" s="318"/>
      <c r="S47" s="318"/>
      <c r="T47" s="318"/>
      <c r="U47" s="318"/>
      <c r="V47" s="318"/>
      <c r="W47" s="318"/>
      <c r="X47" s="318"/>
    </row>
    <row r="48" spans="1:24">
      <c r="A48" s="324" t="s">
        <v>191</v>
      </c>
      <c r="B48" s="325">
        <v>235000</v>
      </c>
      <c r="C48" s="325">
        <v>232850</v>
      </c>
      <c r="D48" s="325">
        <v>102400</v>
      </c>
      <c r="E48" s="325">
        <v>54600</v>
      </c>
      <c r="F48" s="325">
        <v>212550</v>
      </c>
      <c r="G48" s="325">
        <v>300300</v>
      </c>
      <c r="H48" s="325">
        <v>181000</v>
      </c>
      <c r="I48" s="325">
        <v>150450</v>
      </c>
      <c r="J48" s="325">
        <v>31400</v>
      </c>
      <c r="K48" s="325">
        <v>22000</v>
      </c>
      <c r="L48" s="325">
        <v>1522550</v>
      </c>
      <c r="N48" s="317"/>
      <c r="O48" s="317"/>
      <c r="P48" s="317"/>
      <c r="Q48" s="317"/>
      <c r="R48" s="317"/>
      <c r="S48" s="317"/>
      <c r="T48" s="317"/>
      <c r="U48" s="317"/>
      <c r="V48" s="317"/>
      <c r="W48" s="317"/>
      <c r="X48" s="317"/>
    </row>
    <row r="49" spans="1:24">
      <c r="A49" s="324" t="s">
        <v>192</v>
      </c>
      <c r="B49" s="325">
        <v>0</v>
      </c>
      <c r="C49" s="325">
        <v>0</v>
      </c>
      <c r="D49" s="325">
        <v>0</v>
      </c>
      <c r="E49" s="325">
        <v>0</v>
      </c>
      <c r="F49" s="325">
        <v>0</v>
      </c>
      <c r="G49" s="325">
        <v>0</v>
      </c>
      <c r="H49" s="325">
        <v>0</v>
      </c>
      <c r="I49" s="325">
        <v>0</v>
      </c>
      <c r="J49" s="325">
        <v>0</v>
      </c>
      <c r="K49" s="325">
        <v>0</v>
      </c>
      <c r="L49" s="325">
        <v>0</v>
      </c>
      <c r="N49" s="317"/>
      <c r="O49" s="317"/>
      <c r="P49" s="317"/>
      <c r="Q49" s="317"/>
      <c r="R49" s="317"/>
      <c r="S49" s="317"/>
      <c r="T49" s="317"/>
      <c r="U49" s="317"/>
      <c r="V49" s="317"/>
      <c r="W49" s="317"/>
      <c r="X49" s="317"/>
    </row>
    <row r="50" spans="1:24">
      <c r="A50" s="324" t="s">
        <v>193</v>
      </c>
      <c r="B50" s="325">
        <v>0</v>
      </c>
      <c r="C50" s="325">
        <v>0</v>
      </c>
      <c r="D50" s="325">
        <v>0</v>
      </c>
      <c r="E50" s="325">
        <v>0</v>
      </c>
      <c r="F50" s="325">
        <v>0</v>
      </c>
      <c r="G50" s="325">
        <v>0</v>
      </c>
      <c r="H50" s="325">
        <v>0</v>
      </c>
      <c r="I50" s="325">
        <v>0</v>
      </c>
      <c r="J50" s="325">
        <v>0</v>
      </c>
      <c r="K50" s="325">
        <v>0</v>
      </c>
      <c r="L50" s="325">
        <v>0</v>
      </c>
      <c r="N50" s="317"/>
      <c r="O50" s="317"/>
      <c r="P50" s="317"/>
      <c r="Q50" s="317"/>
      <c r="R50" s="317"/>
      <c r="S50" s="317"/>
      <c r="T50" s="317"/>
      <c r="U50" s="317"/>
      <c r="V50" s="317"/>
      <c r="W50" s="317"/>
      <c r="X50" s="317"/>
    </row>
    <row r="51" spans="1:24">
      <c r="A51" s="324" t="s">
        <v>194</v>
      </c>
      <c r="B51" s="325">
        <v>0</v>
      </c>
      <c r="C51" s="325">
        <v>0</v>
      </c>
      <c r="D51" s="325">
        <v>0</v>
      </c>
      <c r="E51" s="325">
        <v>0</v>
      </c>
      <c r="F51" s="325">
        <v>0</v>
      </c>
      <c r="G51" s="325">
        <v>0</v>
      </c>
      <c r="H51" s="325">
        <v>0</v>
      </c>
      <c r="I51" s="325">
        <v>0</v>
      </c>
      <c r="J51" s="325">
        <v>0</v>
      </c>
      <c r="K51" s="325">
        <v>0</v>
      </c>
      <c r="L51" s="325">
        <v>0</v>
      </c>
      <c r="N51" s="317"/>
      <c r="O51" s="317"/>
      <c r="P51" s="317"/>
      <c r="Q51" s="317"/>
      <c r="R51" s="317"/>
      <c r="S51" s="317"/>
      <c r="T51" s="317"/>
      <c r="U51" s="317"/>
      <c r="V51" s="317"/>
      <c r="W51" s="317"/>
      <c r="X51" s="317"/>
    </row>
    <row r="52" spans="1:24">
      <c r="A52" s="324" t="s">
        <v>195</v>
      </c>
      <c r="B52" s="325">
        <v>0</v>
      </c>
      <c r="C52" s="325">
        <v>0</v>
      </c>
      <c r="D52" s="325">
        <v>0</v>
      </c>
      <c r="E52" s="325">
        <v>0</v>
      </c>
      <c r="F52" s="325">
        <v>0</v>
      </c>
      <c r="G52" s="325">
        <v>0</v>
      </c>
      <c r="H52" s="325">
        <v>0</v>
      </c>
      <c r="I52" s="325">
        <v>0</v>
      </c>
      <c r="J52" s="325">
        <v>0</v>
      </c>
      <c r="K52" s="325">
        <v>0</v>
      </c>
      <c r="L52" s="325">
        <v>0</v>
      </c>
      <c r="N52" s="317"/>
      <c r="O52" s="317"/>
      <c r="P52" s="317"/>
      <c r="Q52" s="317"/>
      <c r="R52" s="317"/>
      <c r="S52" s="317"/>
      <c r="T52" s="317"/>
      <c r="U52" s="317"/>
      <c r="V52" s="317"/>
      <c r="W52" s="317"/>
      <c r="X52" s="317"/>
    </row>
    <row r="53" spans="1:24">
      <c r="A53" s="324" t="s">
        <v>196</v>
      </c>
      <c r="B53" s="325">
        <v>194750</v>
      </c>
      <c r="C53" s="325">
        <v>66600</v>
      </c>
      <c r="D53" s="325">
        <v>7050</v>
      </c>
      <c r="E53" s="325">
        <v>25050</v>
      </c>
      <c r="F53" s="325">
        <v>231550</v>
      </c>
      <c r="G53" s="325">
        <v>78150</v>
      </c>
      <c r="H53" s="325">
        <v>264250</v>
      </c>
      <c r="I53" s="325">
        <v>316650</v>
      </c>
      <c r="J53" s="325">
        <v>60750</v>
      </c>
      <c r="K53" s="325">
        <v>0</v>
      </c>
      <c r="L53" s="325">
        <v>1244800</v>
      </c>
      <c r="N53" s="317"/>
      <c r="O53" s="317"/>
      <c r="P53" s="317"/>
      <c r="Q53" s="317"/>
      <c r="R53" s="317"/>
      <c r="S53" s="317"/>
      <c r="T53" s="317"/>
      <c r="U53" s="317"/>
      <c r="V53" s="317"/>
      <c r="W53" s="317"/>
      <c r="X53" s="317"/>
    </row>
    <row r="54" spans="1:24">
      <c r="A54" s="324" t="s">
        <v>197</v>
      </c>
      <c r="B54" s="325">
        <v>239400</v>
      </c>
      <c r="C54" s="325">
        <v>217250</v>
      </c>
      <c r="D54" s="325">
        <v>103500</v>
      </c>
      <c r="E54" s="325">
        <v>145950</v>
      </c>
      <c r="F54" s="325">
        <v>256100</v>
      </c>
      <c r="G54" s="325">
        <v>312700</v>
      </c>
      <c r="H54" s="325">
        <v>259150</v>
      </c>
      <c r="I54" s="325">
        <v>135700</v>
      </c>
      <c r="J54" s="325">
        <v>27500</v>
      </c>
      <c r="K54" s="325">
        <v>0</v>
      </c>
      <c r="L54" s="325">
        <v>1697250</v>
      </c>
      <c r="N54" s="317"/>
      <c r="O54" s="317"/>
      <c r="P54" s="317"/>
      <c r="Q54" s="317"/>
      <c r="R54" s="317"/>
      <c r="S54" s="317"/>
      <c r="T54" s="317"/>
      <c r="U54" s="317"/>
      <c r="V54" s="317"/>
      <c r="W54" s="317"/>
      <c r="X54" s="317"/>
    </row>
  </sheetData>
  <mergeCells count="14">
    <mergeCell ref="A35:A36"/>
    <mergeCell ref="B36:D36"/>
    <mergeCell ref="E36:F36"/>
    <mergeCell ref="G2:K2"/>
    <mergeCell ref="A2:A3"/>
    <mergeCell ref="B2:D2"/>
    <mergeCell ref="E2:F2"/>
    <mergeCell ref="L2:L3"/>
    <mergeCell ref="B38:F38"/>
    <mergeCell ref="G38:K38"/>
    <mergeCell ref="B37:D37"/>
    <mergeCell ref="E37:F37"/>
    <mergeCell ref="G36:K36"/>
    <mergeCell ref="G37:K37"/>
  </mergeCells>
  <phoneticPr fontId="1"/>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14960-2880-194A-A291-E26CD1074199}">
  <sheetPr>
    <tabColor rgb="FFFFC000"/>
    <pageSetUpPr fitToPage="1"/>
  </sheetPr>
  <dimension ref="A1:AF113"/>
  <sheetViews>
    <sheetView topLeftCell="A29" zoomScale="50" zoomScaleNormal="82" workbookViewId="0">
      <selection activeCell="E16" sqref="E16:R16"/>
    </sheetView>
  </sheetViews>
  <sheetFormatPr baseColWidth="10" defaultColWidth="9" defaultRowHeight="16"/>
  <cols>
    <col min="1" max="1" width="8.1640625" style="1" customWidth="1"/>
    <col min="2" max="2" width="6.6640625" style="34" customWidth="1"/>
    <col min="3" max="3" width="15.5" style="1" customWidth="1"/>
    <col min="4" max="4" width="9.83203125" style="1" customWidth="1"/>
    <col min="5" max="5" width="16" style="1" customWidth="1"/>
    <col min="6" max="6" width="19.5" style="1" customWidth="1"/>
    <col min="7" max="7" width="16" style="1" customWidth="1"/>
    <col min="8" max="8" width="23.6640625" style="1" customWidth="1"/>
    <col min="9" max="11" width="16" style="1" customWidth="1"/>
    <col min="12" max="12" width="26.33203125" style="1" customWidth="1"/>
    <col min="13" max="18" width="16" style="1" customWidth="1"/>
    <col min="19" max="19" width="5.1640625" style="1" customWidth="1"/>
    <col min="20" max="21" width="16.5" style="1" bestFit="1" customWidth="1"/>
    <col min="22" max="25" width="10.33203125" style="1" customWidth="1"/>
    <col min="26" max="26" width="6.33203125" style="1" customWidth="1"/>
    <col min="27" max="27" width="9" style="1"/>
    <col min="28" max="28" width="19.5" style="1" customWidth="1"/>
    <col min="29" max="16384" width="9" style="1"/>
  </cols>
  <sheetData>
    <row r="1" spans="1:32" s="24" customFormat="1" ht="64" customHeight="1">
      <c r="A1" s="81" t="s">
        <v>383</v>
      </c>
      <c r="B1" s="34"/>
    </row>
    <row r="2" spans="1:32" s="24" customFormat="1" ht="34.25" customHeight="1" thickBot="1">
      <c r="A2" s="519" t="s">
        <v>60</v>
      </c>
      <c r="B2" s="520"/>
      <c r="L2" s="128"/>
      <c r="R2" s="24">
        <v>31</v>
      </c>
    </row>
    <row r="3" spans="1:32" ht="53" customHeight="1" thickTop="1">
      <c r="A3" s="521"/>
      <c r="B3" s="522"/>
      <c r="C3" s="450" t="s">
        <v>76</v>
      </c>
      <c r="D3" s="451"/>
      <c r="E3" s="451"/>
      <c r="F3" s="451"/>
      <c r="G3" s="451"/>
      <c r="H3" s="451"/>
      <c r="I3" s="451"/>
      <c r="J3" s="451"/>
      <c r="K3" s="451"/>
      <c r="L3" s="451"/>
      <c r="M3" s="451"/>
      <c r="N3" s="544" t="s">
        <v>51</v>
      </c>
      <c r="O3" s="545"/>
      <c r="P3" s="545"/>
      <c r="Q3" s="546"/>
      <c r="R3" s="74" t="s">
        <v>27</v>
      </c>
    </row>
    <row r="4" spans="1:32" s="35" customFormat="1" ht="53" customHeight="1">
      <c r="A4" s="523"/>
      <c r="B4" s="524"/>
      <c r="C4" s="452" t="s">
        <v>70</v>
      </c>
      <c r="D4" s="453"/>
      <c r="E4" s="75" t="s">
        <v>42</v>
      </c>
      <c r="F4" s="76"/>
      <c r="G4" s="77" t="s">
        <v>43</v>
      </c>
      <c r="H4" s="98"/>
      <c r="I4" s="454" t="s">
        <v>74</v>
      </c>
      <c r="J4" s="455"/>
      <c r="K4" s="389"/>
      <c r="L4" s="125"/>
      <c r="M4" s="127" t="s">
        <v>52</v>
      </c>
      <c r="N4" s="547"/>
      <c r="O4" s="548"/>
      <c r="P4" s="548"/>
      <c r="Q4" s="549"/>
      <c r="R4" s="126"/>
      <c r="T4" s="494" t="s">
        <v>365</v>
      </c>
      <c r="U4" s="495"/>
      <c r="V4" s="495"/>
      <c r="W4" s="495"/>
      <c r="X4" s="495"/>
      <c r="Y4" s="496"/>
    </row>
    <row r="5" spans="1:32" ht="23.5" customHeight="1">
      <c r="A5" s="456" t="s">
        <v>12</v>
      </c>
      <c r="B5" s="457"/>
      <c r="C5" s="456" t="s">
        <v>12</v>
      </c>
      <c r="D5" s="457"/>
      <c r="E5" s="457"/>
      <c r="F5" s="457"/>
      <c r="G5" s="457"/>
      <c r="H5" s="457"/>
      <c r="I5" s="457"/>
      <c r="J5" s="457"/>
      <c r="K5" s="457"/>
      <c r="L5" s="457"/>
      <c r="M5" s="457"/>
      <c r="N5" s="457"/>
      <c r="O5" s="457"/>
      <c r="P5" s="457"/>
      <c r="Q5" s="457"/>
      <c r="R5" s="458"/>
      <c r="T5" s="497" t="str">
        <f>C5</f>
        <v>1st week</v>
      </c>
      <c r="U5" s="497"/>
      <c r="V5" s="497"/>
      <c r="W5" s="497"/>
      <c r="X5" s="497"/>
      <c r="Y5" s="497"/>
      <c r="AC5" s="35"/>
    </row>
    <row r="6" spans="1:32" s="2" customFormat="1" ht="23.5" customHeight="1">
      <c r="A6" s="52" t="s">
        <v>10</v>
      </c>
      <c r="B6" s="36" t="s">
        <v>11</v>
      </c>
      <c r="C6" s="101" t="s">
        <v>10</v>
      </c>
      <c r="D6" s="102" t="s">
        <v>11</v>
      </c>
      <c r="E6" s="102" t="s">
        <v>1</v>
      </c>
      <c r="F6" s="102" t="s">
        <v>30</v>
      </c>
      <c r="G6" s="102" t="s">
        <v>31</v>
      </c>
      <c r="H6" s="102" t="s">
        <v>28</v>
      </c>
      <c r="I6" s="102" t="s">
        <v>29</v>
      </c>
      <c r="J6" s="102" t="s">
        <v>388</v>
      </c>
      <c r="K6" s="102" t="s">
        <v>384</v>
      </c>
      <c r="L6" s="102" t="s">
        <v>71</v>
      </c>
      <c r="M6" s="103" t="s">
        <v>48</v>
      </c>
      <c r="N6" s="103" t="s">
        <v>385</v>
      </c>
      <c r="O6" s="103" t="s">
        <v>386</v>
      </c>
      <c r="P6" s="103" t="s">
        <v>387</v>
      </c>
      <c r="Q6" s="103" t="s">
        <v>40</v>
      </c>
      <c r="R6" s="104" t="s">
        <v>73</v>
      </c>
      <c r="T6" s="252" t="s">
        <v>114</v>
      </c>
      <c r="U6" s="253" t="s">
        <v>115</v>
      </c>
      <c r="V6" s="48" t="s">
        <v>116</v>
      </c>
      <c r="W6" s="48" t="s">
        <v>117</v>
      </c>
      <c r="X6" s="48" t="s">
        <v>118</v>
      </c>
      <c r="Y6" s="254" t="s">
        <v>127</v>
      </c>
      <c r="AA6" s="1" t="s">
        <v>122</v>
      </c>
      <c r="AB6" s="1"/>
      <c r="AC6" s="35" t="s">
        <v>125</v>
      </c>
    </row>
    <row r="7" spans="1:32" ht="23.5" customHeight="1">
      <c r="A7" s="53" t="s">
        <v>3</v>
      </c>
      <c r="B7" s="49"/>
      <c r="C7" s="105" t="s">
        <v>3</v>
      </c>
      <c r="D7" s="118">
        <f>B7</f>
        <v>0</v>
      </c>
      <c r="E7" s="73"/>
      <c r="F7" s="106"/>
      <c r="G7" s="106" t="e">
        <f>F7/E7</f>
        <v>#DIV/0!</v>
      </c>
      <c r="H7" s="106"/>
      <c r="I7" s="107" t="e">
        <f>H7/E7</f>
        <v>#DIV/0!</v>
      </c>
      <c r="J7" s="106">
        <v>0</v>
      </c>
      <c r="K7" s="106"/>
      <c r="L7" s="108">
        <f>F7+H7+J7</f>
        <v>0</v>
      </c>
      <c r="M7" s="109" t="e">
        <f>L7/E7</f>
        <v>#DIV/0!</v>
      </c>
      <c r="N7" s="109"/>
      <c r="O7" s="109"/>
      <c r="P7" s="109"/>
      <c r="Q7" s="109"/>
      <c r="R7" s="110" t="e">
        <f>L7/Q7</f>
        <v>#DIV/0!</v>
      </c>
      <c r="T7" s="242"/>
      <c r="U7" s="242"/>
      <c r="V7" s="48"/>
      <c r="W7" s="48"/>
      <c r="X7" s="48"/>
      <c r="Y7" s="271">
        <f t="shared" ref="Y7:Y14" si="0">SUM(V7:X7)/3</f>
        <v>0</v>
      </c>
      <c r="AA7" s="270" t="s">
        <v>123</v>
      </c>
      <c r="AB7" s="2"/>
      <c r="AC7" s="269">
        <v>5</v>
      </c>
    </row>
    <row r="8" spans="1:32" ht="23.5" customHeight="1">
      <c r="A8" s="54" t="s">
        <v>4</v>
      </c>
      <c r="B8" s="49"/>
      <c r="C8" s="101" t="s">
        <v>4</v>
      </c>
      <c r="D8" s="118">
        <f t="shared" ref="D8:D13" si="1">B8</f>
        <v>0</v>
      </c>
      <c r="E8" s="73"/>
      <c r="F8" s="106"/>
      <c r="G8" s="106" t="e">
        <f t="shared" ref="G8:G12" si="2">F8/E8</f>
        <v>#DIV/0!</v>
      </c>
      <c r="H8" s="106"/>
      <c r="I8" s="107" t="e">
        <f t="shared" ref="I8:I12" si="3">H8/E8</f>
        <v>#DIV/0!</v>
      </c>
      <c r="J8" s="106">
        <v>0</v>
      </c>
      <c r="K8" s="106"/>
      <c r="L8" s="108">
        <f>F8+H8+J8</f>
        <v>0</v>
      </c>
      <c r="M8" s="109" t="e">
        <f>L8/E8</f>
        <v>#DIV/0!</v>
      </c>
      <c r="N8" s="109"/>
      <c r="O8" s="109"/>
      <c r="P8" s="109"/>
      <c r="Q8" s="109"/>
      <c r="R8" s="110" t="e">
        <f t="shared" ref="R8:R14" si="4">L8/Q8</f>
        <v>#DIV/0!</v>
      </c>
      <c r="T8" s="242"/>
      <c r="U8" s="242"/>
      <c r="V8" s="48"/>
      <c r="W8" s="48"/>
      <c r="X8" s="48"/>
      <c r="Y8" s="271">
        <f t="shared" si="0"/>
        <v>0</v>
      </c>
      <c r="AA8" s="34" t="s">
        <v>124</v>
      </c>
      <c r="AC8" s="1">
        <v>4</v>
      </c>
    </row>
    <row r="9" spans="1:32" ht="23.5" customHeight="1">
      <c r="A9" s="54" t="s">
        <v>5</v>
      </c>
      <c r="B9" s="49">
        <v>1</v>
      </c>
      <c r="C9" s="101" t="s">
        <v>5</v>
      </c>
      <c r="D9" s="118">
        <f t="shared" si="1"/>
        <v>1</v>
      </c>
      <c r="E9" s="73">
        <v>342</v>
      </c>
      <c r="F9" s="106">
        <v>997050</v>
      </c>
      <c r="G9" s="106">
        <f t="shared" si="2"/>
        <v>2915.3508771929824</v>
      </c>
      <c r="H9" s="106">
        <v>560500</v>
      </c>
      <c r="I9" s="107">
        <f t="shared" si="3"/>
        <v>1638.8888888888889</v>
      </c>
      <c r="J9" s="106">
        <v>25300</v>
      </c>
      <c r="K9" s="106"/>
      <c r="L9" s="108">
        <f>F9+H9+J9</f>
        <v>1582850</v>
      </c>
      <c r="M9" s="109">
        <f>L9/E9</f>
        <v>4628.2163742690054</v>
      </c>
      <c r="N9" s="109"/>
      <c r="O9" s="109"/>
      <c r="P9" s="109"/>
      <c r="Q9" s="109">
        <v>156.5</v>
      </c>
      <c r="R9" s="110">
        <f t="shared" si="4"/>
        <v>10114.05750798722</v>
      </c>
      <c r="T9" s="247">
        <v>21.5</v>
      </c>
      <c r="U9" s="247">
        <v>31.1</v>
      </c>
      <c r="V9" s="255">
        <v>5</v>
      </c>
      <c r="W9" s="255">
        <v>3</v>
      </c>
      <c r="X9" s="255">
        <v>5</v>
      </c>
      <c r="Y9" s="271">
        <f t="shared" si="0"/>
        <v>4.333333333333333</v>
      </c>
      <c r="AA9" s="34" t="s">
        <v>128</v>
      </c>
      <c r="AC9" s="1">
        <v>3</v>
      </c>
    </row>
    <row r="10" spans="1:32" ht="23.5" customHeight="1">
      <c r="A10" s="54" t="s">
        <v>6</v>
      </c>
      <c r="B10" s="49">
        <v>2</v>
      </c>
      <c r="C10" s="101" t="s">
        <v>6</v>
      </c>
      <c r="D10" s="118">
        <f t="shared" si="1"/>
        <v>2</v>
      </c>
      <c r="E10" s="73">
        <v>310</v>
      </c>
      <c r="F10" s="106">
        <v>891200</v>
      </c>
      <c r="G10" s="106">
        <f t="shared" si="2"/>
        <v>2874.8387096774195</v>
      </c>
      <c r="H10" s="106">
        <v>522250</v>
      </c>
      <c r="I10" s="107">
        <f t="shared" si="3"/>
        <v>1684.6774193548388</v>
      </c>
      <c r="J10" s="106">
        <v>14850</v>
      </c>
      <c r="K10" s="106"/>
      <c r="L10" s="108">
        <f>F10+H10+J10</f>
        <v>1428300</v>
      </c>
      <c r="M10" s="109">
        <f>L10/E10</f>
        <v>4607.4193548387093</v>
      </c>
      <c r="N10" s="109"/>
      <c r="O10" s="109"/>
      <c r="P10" s="109"/>
      <c r="Q10" s="109">
        <v>135</v>
      </c>
      <c r="R10" s="110">
        <f t="shared" si="4"/>
        <v>10580</v>
      </c>
      <c r="T10" s="247">
        <v>24.2</v>
      </c>
      <c r="U10" s="247">
        <v>34</v>
      </c>
      <c r="V10" s="255">
        <v>3</v>
      </c>
      <c r="W10" s="255">
        <v>3</v>
      </c>
      <c r="X10" s="255">
        <v>3</v>
      </c>
      <c r="Y10" s="271">
        <f t="shared" si="0"/>
        <v>3</v>
      </c>
      <c r="AA10" s="34" t="s">
        <v>120</v>
      </c>
      <c r="AC10" s="1">
        <v>2</v>
      </c>
    </row>
    <row r="11" spans="1:32" ht="23.5" customHeight="1">
      <c r="A11" s="54" t="s">
        <v>7</v>
      </c>
      <c r="B11" s="49">
        <v>3</v>
      </c>
      <c r="C11" s="101" t="s">
        <v>7</v>
      </c>
      <c r="D11" s="118">
        <f t="shared" si="1"/>
        <v>3</v>
      </c>
      <c r="E11" s="73">
        <v>316</v>
      </c>
      <c r="F11" s="106">
        <v>790400</v>
      </c>
      <c r="G11" s="106">
        <f t="shared" si="2"/>
        <v>2501.2658227848101</v>
      </c>
      <c r="H11" s="106">
        <v>442100</v>
      </c>
      <c r="I11" s="107">
        <f t="shared" si="3"/>
        <v>1399.0506329113923</v>
      </c>
      <c r="J11" s="106">
        <v>30250</v>
      </c>
      <c r="K11" s="106"/>
      <c r="L11" s="108">
        <f>F11+H11+J11</f>
        <v>1262750</v>
      </c>
      <c r="M11" s="109">
        <f>L11/E11</f>
        <v>3996.0443037974683</v>
      </c>
      <c r="N11" s="109"/>
      <c r="O11" s="109"/>
      <c r="P11" s="109"/>
      <c r="Q11" s="109">
        <v>173.5</v>
      </c>
      <c r="R11" s="110">
        <f t="shared" si="4"/>
        <v>7278.0979827089341</v>
      </c>
      <c r="T11" s="247">
        <v>25.6</v>
      </c>
      <c r="U11" s="247">
        <v>32.200000000000003</v>
      </c>
      <c r="V11" s="255">
        <v>3</v>
      </c>
      <c r="W11" s="255">
        <v>3</v>
      </c>
      <c r="X11" s="255">
        <v>5</v>
      </c>
      <c r="Y11" s="271">
        <f t="shared" si="0"/>
        <v>3.6666666666666665</v>
      </c>
      <c r="AA11" s="34" t="s">
        <v>121</v>
      </c>
      <c r="AC11" s="1">
        <v>1</v>
      </c>
    </row>
    <row r="12" spans="1:32" ht="23.5" customHeight="1">
      <c r="A12" s="54" t="s">
        <v>8</v>
      </c>
      <c r="B12" s="49">
        <v>4</v>
      </c>
      <c r="C12" s="101" t="s">
        <v>8</v>
      </c>
      <c r="D12" s="118">
        <f t="shared" si="1"/>
        <v>4</v>
      </c>
      <c r="E12" s="73">
        <v>343</v>
      </c>
      <c r="F12" s="106">
        <v>1098200</v>
      </c>
      <c r="G12" s="106">
        <f t="shared" si="2"/>
        <v>3201.7492711370264</v>
      </c>
      <c r="H12" s="106">
        <v>626650</v>
      </c>
      <c r="I12" s="107">
        <f t="shared" si="3"/>
        <v>1826.9679300291546</v>
      </c>
      <c r="J12" s="106">
        <v>14300</v>
      </c>
      <c r="K12" s="106"/>
      <c r="L12" s="108">
        <f>F12+H12+J12</f>
        <v>1739150</v>
      </c>
      <c r="M12" s="109">
        <f>L12/E12</f>
        <v>5070.408163265306</v>
      </c>
      <c r="N12" s="109"/>
      <c r="O12" s="109"/>
      <c r="P12" s="109"/>
      <c r="Q12" s="109">
        <v>163</v>
      </c>
      <c r="R12" s="110">
        <f t="shared" si="4"/>
        <v>10669.63190184049</v>
      </c>
      <c r="T12" s="247">
        <v>27.1</v>
      </c>
      <c r="U12" s="247">
        <v>31</v>
      </c>
      <c r="V12" s="255">
        <v>3</v>
      </c>
      <c r="W12" s="255">
        <v>3</v>
      </c>
      <c r="X12" s="255">
        <v>1</v>
      </c>
      <c r="Y12" s="271">
        <f t="shared" si="0"/>
        <v>2.3333333333333335</v>
      </c>
      <c r="AA12" s="34" t="s">
        <v>126</v>
      </c>
      <c r="AC12" s="1">
        <v>0</v>
      </c>
    </row>
    <row r="13" spans="1:32" ht="23.5" customHeight="1" thickBot="1">
      <c r="A13" s="55" t="s">
        <v>9</v>
      </c>
      <c r="B13" s="49">
        <v>5</v>
      </c>
      <c r="C13" s="111" t="s">
        <v>9</v>
      </c>
      <c r="D13" s="118">
        <f t="shared" si="1"/>
        <v>5</v>
      </c>
      <c r="E13" s="73">
        <v>570</v>
      </c>
      <c r="F13" s="106">
        <v>1661250</v>
      </c>
      <c r="G13" s="106">
        <f>F13/E13</f>
        <v>2914.4736842105262</v>
      </c>
      <c r="H13" s="106">
        <v>912750</v>
      </c>
      <c r="I13" s="107">
        <f>H13/E13</f>
        <v>1601.3157894736842</v>
      </c>
      <c r="J13" s="106">
        <v>64350</v>
      </c>
      <c r="K13" s="106"/>
      <c r="L13" s="108">
        <f>F13+H13+J13</f>
        <v>2638350</v>
      </c>
      <c r="M13" s="109">
        <f>L13/E13</f>
        <v>4628.6842105263158</v>
      </c>
      <c r="N13" s="109"/>
      <c r="O13" s="109"/>
      <c r="P13" s="109"/>
      <c r="Q13" s="109">
        <v>185.5</v>
      </c>
      <c r="R13" s="110">
        <f t="shared" si="4"/>
        <v>14222.911051212937</v>
      </c>
      <c r="T13" s="248">
        <v>22.9</v>
      </c>
      <c r="U13" s="248">
        <v>29.4</v>
      </c>
      <c r="V13" s="273">
        <v>3</v>
      </c>
      <c r="W13" s="255">
        <v>1</v>
      </c>
      <c r="X13" s="255">
        <v>3</v>
      </c>
      <c r="Y13" s="272">
        <f t="shared" si="0"/>
        <v>2.3333333333333335</v>
      </c>
      <c r="AA13" s="1" t="s">
        <v>129</v>
      </c>
    </row>
    <row r="14" spans="1:32" ht="39" customHeight="1" thickTop="1" thickBot="1">
      <c r="A14" s="525" t="s">
        <v>13</v>
      </c>
      <c r="B14" s="526"/>
      <c r="C14" s="464" t="s">
        <v>13</v>
      </c>
      <c r="D14" s="465"/>
      <c r="E14" s="108">
        <f>SUM(E7:E13)</f>
        <v>1881</v>
      </c>
      <c r="F14" s="108">
        <f>SUM(F7:F13)</f>
        <v>5438100</v>
      </c>
      <c r="G14" s="108">
        <f>F14/E14</f>
        <v>2891.068580542265</v>
      </c>
      <c r="H14" s="108">
        <f>SUM(H7:H13)</f>
        <v>3064250</v>
      </c>
      <c r="I14" s="73">
        <f>H14/E14</f>
        <v>1629.0536948431686</v>
      </c>
      <c r="J14" s="108">
        <f>SUM(J7:J13)</f>
        <v>149050</v>
      </c>
      <c r="K14" s="108"/>
      <c r="L14" s="108">
        <f>F14+H14</f>
        <v>8502350</v>
      </c>
      <c r="M14" s="114">
        <f>L14/E14</f>
        <v>4520.1222753854336</v>
      </c>
      <c r="N14" s="114"/>
      <c r="O14" s="114"/>
      <c r="P14" s="114"/>
      <c r="Q14" s="114">
        <f>SUM(Q7:Q13)</f>
        <v>813.5</v>
      </c>
      <c r="R14" s="110">
        <f t="shared" si="4"/>
        <v>10451.567301782421</v>
      </c>
      <c r="S14" s="259">
        <v>5</v>
      </c>
      <c r="T14" s="294">
        <f>SUM(T7:T13)/S14</f>
        <v>24.26</v>
      </c>
      <c r="U14" s="297">
        <f>SUM(U7:U13)/S14</f>
        <v>31.540000000000003</v>
      </c>
      <c r="V14" s="305">
        <f>SUM(V7:V13)/S14</f>
        <v>3.4</v>
      </c>
      <c r="W14" s="305">
        <f>SUM(W7:W13)/S14</f>
        <v>2.6</v>
      </c>
      <c r="X14" s="305">
        <f>SUM(X7:X13)/S14</f>
        <v>3.4</v>
      </c>
      <c r="Y14" s="306">
        <f t="shared" si="0"/>
        <v>3.1333333333333333</v>
      </c>
      <c r="Z14" s="259">
        <v>11</v>
      </c>
      <c r="AA14" s="532">
        <f>L14/S14</f>
        <v>1700470</v>
      </c>
      <c r="AB14" s="533"/>
      <c r="AC14" s="533"/>
      <c r="AD14" s="533"/>
      <c r="AE14" s="534"/>
      <c r="AF14" s="282" t="s">
        <v>140</v>
      </c>
    </row>
    <row r="15" spans="1:32" ht="23.5" customHeight="1" thickTop="1">
      <c r="A15" s="456" t="s">
        <v>14</v>
      </c>
      <c r="B15" s="457"/>
      <c r="C15" s="461" t="s">
        <v>14</v>
      </c>
      <c r="D15" s="462"/>
      <c r="E15" s="462"/>
      <c r="F15" s="462"/>
      <c r="G15" s="462"/>
      <c r="H15" s="462"/>
      <c r="I15" s="462"/>
      <c r="J15" s="462"/>
      <c r="K15" s="462"/>
      <c r="L15" s="462"/>
      <c r="M15" s="462"/>
      <c r="N15" s="462"/>
      <c r="O15" s="462"/>
      <c r="P15" s="462"/>
      <c r="Q15" s="462"/>
      <c r="R15" s="463"/>
      <c r="T15" s="497" t="str">
        <f>C15</f>
        <v>2nd week</v>
      </c>
      <c r="U15" s="497"/>
      <c r="V15" s="497"/>
      <c r="W15" s="497"/>
      <c r="X15" s="497"/>
      <c r="Y15" s="497"/>
    </row>
    <row r="16" spans="1:32" ht="23.5" customHeight="1">
      <c r="A16" s="52" t="s">
        <v>10</v>
      </c>
      <c r="B16" s="36" t="s">
        <v>11</v>
      </c>
      <c r="C16" s="101" t="s">
        <v>10</v>
      </c>
      <c r="D16" s="102" t="s">
        <v>11</v>
      </c>
      <c r="E16" s="102" t="s">
        <v>1</v>
      </c>
      <c r="F16" s="102" t="s">
        <v>30</v>
      </c>
      <c r="G16" s="102" t="s">
        <v>31</v>
      </c>
      <c r="H16" s="102" t="s">
        <v>28</v>
      </c>
      <c r="I16" s="102" t="s">
        <v>29</v>
      </c>
      <c r="J16" s="102" t="s">
        <v>388</v>
      </c>
      <c r="K16" s="102" t="s">
        <v>384</v>
      </c>
      <c r="L16" s="102" t="s">
        <v>71</v>
      </c>
      <c r="M16" s="103" t="s">
        <v>48</v>
      </c>
      <c r="N16" s="103" t="s">
        <v>385</v>
      </c>
      <c r="O16" s="103" t="s">
        <v>386</v>
      </c>
      <c r="P16" s="103" t="s">
        <v>387</v>
      </c>
      <c r="Q16" s="103" t="s">
        <v>40</v>
      </c>
      <c r="R16" s="104" t="s">
        <v>73</v>
      </c>
      <c r="T16" s="252" t="s">
        <v>114</v>
      </c>
      <c r="U16" s="253" t="s">
        <v>115</v>
      </c>
      <c r="V16" s="48" t="s">
        <v>116</v>
      </c>
      <c r="W16" s="48" t="s">
        <v>117</v>
      </c>
      <c r="X16" s="48" t="s">
        <v>118</v>
      </c>
      <c r="Y16" s="254" t="s">
        <v>127</v>
      </c>
      <c r="AA16" s="1" t="s">
        <v>122</v>
      </c>
      <c r="AC16" s="35" t="s">
        <v>125</v>
      </c>
    </row>
    <row r="17" spans="1:32" ht="23.5" customHeight="1">
      <c r="A17" s="53" t="s">
        <v>3</v>
      </c>
      <c r="B17" s="49">
        <v>6</v>
      </c>
      <c r="C17" s="105" t="s">
        <v>3</v>
      </c>
      <c r="D17" s="118">
        <f>B17</f>
        <v>6</v>
      </c>
      <c r="E17" s="73">
        <v>288</v>
      </c>
      <c r="F17" s="106">
        <v>735050</v>
      </c>
      <c r="G17" s="106">
        <f>F17/E17</f>
        <v>2552.2569444444443</v>
      </c>
      <c r="H17" s="106">
        <v>368900</v>
      </c>
      <c r="I17" s="107">
        <f>H17/E17</f>
        <v>1280.9027777777778</v>
      </c>
      <c r="J17" s="106">
        <v>3850</v>
      </c>
      <c r="K17" s="106"/>
      <c r="L17" s="108">
        <f>F17+H17+J17</f>
        <v>1107800</v>
      </c>
      <c r="M17" s="109">
        <f>L17/E17</f>
        <v>3846.5277777777778</v>
      </c>
      <c r="N17" s="109"/>
      <c r="O17" s="109"/>
      <c r="P17" s="109"/>
      <c r="Q17" s="109">
        <v>187.5</v>
      </c>
      <c r="R17" s="110">
        <f>L17/Q17</f>
        <v>5908.2666666666664</v>
      </c>
      <c r="T17" s="247">
        <v>22.2</v>
      </c>
      <c r="U17" s="247">
        <v>25.7</v>
      </c>
      <c r="V17" s="255">
        <v>1</v>
      </c>
      <c r="W17" s="255">
        <v>3</v>
      </c>
      <c r="X17" s="255">
        <v>1</v>
      </c>
      <c r="Y17" s="271">
        <f>SUM(V17:X17)/3</f>
        <v>1.6666666666666667</v>
      </c>
      <c r="AA17" s="270" t="s">
        <v>123</v>
      </c>
      <c r="AB17" s="2"/>
      <c r="AC17" s="269">
        <v>5</v>
      </c>
    </row>
    <row r="18" spans="1:32" ht="23.5" customHeight="1">
      <c r="A18" s="54" t="s">
        <v>4</v>
      </c>
      <c r="B18" s="49">
        <v>7</v>
      </c>
      <c r="C18" s="101" t="s">
        <v>4</v>
      </c>
      <c r="D18" s="118">
        <f t="shared" ref="D18:D23" si="5">B18</f>
        <v>7</v>
      </c>
      <c r="E18" s="73">
        <v>322</v>
      </c>
      <c r="F18" s="106">
        <v>941600</v>
      </c>
      <c r="G18" s="106">
        <f t="shared" ref="G18:G22" si="6">F18/E18</f>
        <v>2924.2236024844719</v>
      </c>
      <c r="H18" s="106">
        <v>478900</v>
      </c>
      <c r="I18" s="107">
        <f t="shared" ref="I18:I22" si="7">H18/E18</f>
        <v>1487.2670807453417</v>
      </c>
      <c r="J18" s="106">
        <v>20900</v>
      </c>
      <c r="K18" s="106"/>
      <c r="L18" s="108">
        <f>F18+H18+J18</f>
        <v>1441400</v>
      </c>
      <c r="M18" s="109">
        <f>L18/E18</f>
        <v>4476.3975155279504</v>
      </c>
      <c r="N18" s="109"/>
      <c r="O18" s="109"/>
      <c r="P18" s="109"/>
      <c r="Q18" s="109">
        <v>163</v>
      </c>
      <c r="R18" s="110">
        <f t="shared" ref="R18:R24" si="8">L18/Q18</f>
        <v>8842.9447852760732</v>
      </c>
      <c r="T18" s="247">
        <v>19.7</v>
      </c>
      <c r="U18" s="247">
        <v>26.1</v>
      </c>
      <c r="V18" s="255">
        <v>3</v>
      </c>
      <c r="W18" s="255">
        <v>3</v>
      </c>
      <c r="X18" s="255">
        <v>3</v>
      </c>
      <c r="Y18" s="271">
        <f t="shared" ref="Y18:Y23" si="9">SUM(V18:X18)/3</f>
        <v>3</v>
      </c>
      <c r="AA18" s="34" t="s">
        <v>124</v>
      </c>
      <c r="AC18" s="1">
        <v>4</v>
      </c>
    </row>
    <row r="19" spans="1:32" ht="23.5" customHeight="1">
      <c r="A19" s="54" t="s">
        <v>5</v>
      </c>
      <c r="B19" s="49">
        <v>8</v>
      </c>
      <c r="C19" s="101" t="s">
        <v>5</v>
      </c>
      <c r="D19" s="118">
        <f t="shared" si="5"/>
        <v>8</v>
      </c>
      <c r="E19" s="73">
        <v>376</v>
      </c>
      <c r="F19" s="106">
        <v>1277000</v>
      </c>
      <c r="G19" s="106">
        <f t="shared" si="6"/>
        <v>3396.2765957446809</v>
      </c>
      <c r="H19" s="106">
        <v>652650</v>
      </c>
      <c r="I19" s="107">
        <f t="shared" si="7"/>
        <v>1735.7712765957447</v>
      </c>
      <c r="J19" s="106">
        <v>25300</v>
      </c>
      <c r="K19" s="106"/>
      <c r="L19" s="108">
        <f>F19+H19+J19</f>
        <v>1954950</v>
      </c>
      <c r="M19" s="109">
        <f>L19/E19</f>
        <v>5199.3351063829787</v>
      </c>
      <c r="N19" s="109"/>
      <c r="O19" s="109"/>
      <c r="P19" s="109"/>
      <c r="Q19" s="109">
        <v>165</v>
      </c>
      <c r="R19" s="110">
        <f t="shared" si="8"/>
        <v>11848.181818181818</v>
      </c>
      <c r="T19" s="247">
        <v>23.3</v>
      </c>
      <c r="U19" s="247">
        <v>27.7</v>
      </c>
      <c r="V19" s="255">
        <v>1</v>
      </c>
      <c r="W19" s="255">
        <v>1</v>
      </c>
      <c r="X19" s="255">
        <v>5</v>
      </c>
      <c r="Y19" s="271">
        <f t="shared" si="9"/>
        <v>2.3333333333333335</v>
      </c>
      <c r="AA19" s="34" t="s">
        <v>128</v>
      </c>
      <c r="AC19" s="1">
        <v>3</v>
      </c>
    </row>
    <row r="20" spans="1:32" ht="23.5" customHeight="1">
      <c r="A20" s="54" t="s">
        <v>6</v>
      </c>
      <c r="B20" s="49">
        <v>9</v>
      </c>
      <c r="C20" s="101" t="s">
        <v>6</v>
      </c>
      <c r="D20" s="118">
        <f t="shared" si="5"/>
        <v>9</v>
      </c>
      <c r="E20" s="73">
        <v>391</v>
      </c>
      <c r="F20" s="106">
        <v>1076850</v>
      </c>
      <c r="G20" s="106">
        <f t="shared" si="6"/>
        <v>2754.0920716112532</v>
      </c>
      <c r="H20" s="106">
        <v>577750</v>
      </c>
      <c r="I20" s="107">
        <f t="shared" si="7"/>
        <v>1477.6214833759591</v>
      </c>
      <c r="J20" s="106">
        <v>30800</v>
      </c>
      <c r="K20" s="106"/>
      <c r="L20" s="108">
        <f>F20+H20+J20</f>
        <v>1685400</v>
      </c>
      <c r="M20" s="109">
        <f>L20/E20</f>
        <v>4310.4859335038363</v>
      </c>
      <c r="N20" s="109"/>
      <c r="O20" s="109"/>
      <c r="P20" s="109"/>
      <c r="Q20" s="109">
        <v>189</v>
      </c>
      <c r="R20" s="110">
        <f t="shared" si="8"/>
        <v>8917.460317460318</v>
      </c>
      <c r="T20" s="247">
        <v>24.5</v>
      </c>
      <c r="U20" s="247">
        <v>30.8</v>
      </c>
      <c r="V20" s="255">
        <v>1</v>
      </c>
      <c r="W20" s="255">
        <v>3</v>
      </c>
      <c r="X20" s="255">
        <v>5</v>
      </c>
      <c r="Y20" s="271">
        <f t="shared" si="9"/>
        <v>3</v>
      </c>
      <c r="AA20" s="34" t="s">
        <v>120</v>
      </c>
      <c r="AC20" s="1">
        <v>2</v>
      </c>
    </row>
    <row r="21" spans="1:32" ht="23.5" customHeight="1">
      <c r="A21" s="54" t="s">
        <v>7</v>
      </c>
      <c r="B21" s="49">
        <v>10</v>
      </c>
      <c r="C21" s="101" t="s">
        <v>7</v>
      </c>
      <c r="D21" s="118">
        <f t="shared" si="5"/>
        <v>10</v>
      </c>
      <c r="E21" s="73">
        <v>441</v>
      </c>
      <c r="F21" s="106">
        <v>1244400</v>
      </c>
      <c r="G21" s="106">
        <f t="shared" si="6"/>
        <v>2821.7687074829932</v>
      </c>
      <c r="H21" s="106">
        <v>662400</v>
      </c>
      <c r="I21" s="107">
        <f t="shared" si="7"/>
        <v>1502.0408163265306</v>
      </c>
      <c r="J21" s="106">
        <v>15950</v>
      </c>
      <c r="K21" s="106"/>
      <c r="L21" s="108">
        <f>F21+H21+J21</f>
        <v>1922750</v>
      </c>
      <c r="M21" s="109">
        <f>L21/E21</f>
        <v>4359.9773242630381</v>
      </c>
      <c r="N21" s="109"/>
      <c r="O21" s="109"/>
      <c r="P21" s="109"/>
      <c r="Q21" s="109">
        <v>184.5</v>
      </c>
      <c r="R21" s="110">
        <f t="shared" si="8"/>
        <v>10421.40921409214</v>
      </c>
      <c r="T21" s="247">
        <v>25.7</v>
      </c>
      <c r="U21" s="247">
        <v>31.1</v>
      </c>
      <c r="V21" s="255">
        <v>5</v>
      </c>
      <c r="W21" s="255">
        <v>5</v>
      </c>
      <c r="X21" s="255">
        <v>5</v>
      </c>
      <c r="Y21" s="271">
        <f t="shared" si="9"/>
        <v>5</v>
      </c>
      <c r="AA21" s="34" t="s">
        <v>121</v>
      </c>
      <c r="AC21" s="1">
        <v>1</v>
      </c>
    </row>
    <row r="22" spans="1:32" ht="23.5" customHeight="1">
      <c r="A22" s="82" t="s">
        <v>8</v>
      </c>
      <c r="B22" s="83">
        <v>11</v>
      </c>
      <c r="C22" s="101" t="s">
        <v>8</v>
      </c>
      <c r="D22" s="118">
        <f t="shared" si="5"/>
        <v>11</v>
      </c>
      <c r="E22" s="73">
        <v>447</v>
      </c>
      <c r="F22" s="106">
        <v>1408500</v>
      </c>
      <c r="G22" s="106">
        <f t="shared" si="6"/>
        <v>3151.0067114093958</v>
      </c>
      <c r="H22" s="106">
        <v>788400</v>
      </c>
      <c r="I22" s="107">
        <f t="shared" si="7"/>
        <v>1763.7583892617449</v>
      </c>
      <c r="J22" s="106">
        <v>30250</v>
      </c>
      <c r="K22" s="106"/>
      <c r="L22" s="108">
        <f>F22+H22+J22</f>
        <v>2227150</v>
      </c>
      <c r="M22" s="109">
        <f>L22/E22</f>
        <v>4982.4384787472036</v>
      </c>
      <c r="N22" s="109"/>
      <c r="O22" s="109"/>
      <c r="P22" s="109"/>
      <c r="Q22" s="109">
        <v>184.5</v>
      </c>
      <c r="R22" s="110">
        <f t="shared" si="8"/>
        <v>12071.273712737127</v>
      </c>
      <c r="T22" s="247">
        <v>24.7</v>
      </c>
      <c r="U22" s="247">
        <v>32.299999999999997</v>
      </c>
      <c r="V22" s="255">
        <v>5</v>
      </c>
      <c r="W22" s="255">
        <v>5</v>
      </c>
      <c r="X22" s="255">
        <v>5</v>
      </c>
      <c r="Y22" s="271">
        <f t="shared" si="9"/>
        <v>5</v>
      </c>
      <c r="AA22" s="34" t="s">
        <v>126</v>
      </c>
      <c r="AC22" s="1">
        <v>0</v>
      </c>
    </row>
    <row r="23" spans="1:32" ht="23.5" customHeight="1" thickBot="1">
      <c r="A23" s="55" t="s">
        <v>9</v>
      </c>
      <c r="B23" s="49">
        <v>12</v>
      </c>
      <c r="C23" s="111" t="s">
        <v>9</v>
      </c>
      <c r="D23" s="118">
        <f t="shared" si="5"/>
        <v>12</v>
      </c>
      <c r="E23" s="73">
        <v>505</v>
      </c>
      <c r="F23" s="106">
        <v>1494050</v>
      </c>
      <c r="G23" s="106">
        <f>F23/E23</f>
        <v>2958.5148514851485</v>
      </c>
      <c r="H23" s="106">
        <v>825500</v>
      </c>
      <c r="I23" s="107">
        <f>H23/E23</f>
        <v>1634.6534653465346</v>
      </c>
      <c r="J23" s="106">
        <v>7150</v>
      </c>
      <c r="K23" s="106"/>
      <c r="L23" s="108">
        <f>F23+H23+J23</f>
        <v>2326700</v>
      </c>
      <c r="M23" s="109">
        <f>L23/E23</f>
        <v>4607.3267326732675</v>
      </c>
      <c r="N23" s="109"/>
      <c r="O23" s="109"/>
      <c r="P23" s="109"/>
      <c r="Q23" s="109"/>
      <c r="R23" s="110" t="e">
        <f t="shared" si="8"/>
        <v>#DIV/0!</v>
      </c>
      <c r="T23" s="248">
        <v>23.3</v>
      </c>
      <c r="U23" s="248">
        <v>32</v>
      </c>
      <c r="V23" s="256">
        <v>5</v>
      </c>
      <c r="W23" s="255">
        <v>5</v>
      </c>
      <c r="X23" s="255">
        <v>5</v>
      </c>
      <c r="Y23" s="272">
        <f t="shared" si="9"/>
        <v>5</v>
      </c>
      <c r="AA23" s="1" t="s">
        <v>129</v>
      </c>
    </row>
    <row r="24" spans="1:32" ht="39" customHeight="1" thickTop="1" thickBot="1">
      <c r="A24" s="525" t="s">
        <v>13</v>
      </c>
      <c r="B24" s="526"/>
      <c r="C24" s="464" t="s">
        <v>13</v>
      </c>
      <c r="D24" s="465"/>
      <c r="E24" s="108">
        <f>SUM(E17:E23)</f>
        <v>2770</v>
      </c>
      <c r="F24" s="108">
        <f>SUM(F17:F23)</f>
        <v>8177450</v>
      </c>
      <c r="G24" s="108">
        <f>F24/E24</f>
        <v>2952.1480144404331</v>
      </c>
      <c r="H24" s="108">
        <f>SUM(H17:H23)</f>
        <v>4354500</v>
      </c>
      <c r="I24" s="73">
        <f>H24/E24</f>
        <v>1572.0216606498195</v>
      </c>
      <c r="J24" s="108">
        <f>SUM(J17:J23)</f>
        <v>134200</v>
      </c>
      <c r="K24" s="108"/>
      <c r="L24" s="108">
        <f>F24+H24</f>
        <v>12531950</v>
      </c>
      <c r="M24" s="114">
        <f>L24/E24</f>
        <v>4524.1696750902529</v>
      </c>
      <c r="N24" s="114"/>
      <c r="O24" s="114"/>
      <c r="P24" s="114"/>
      <c r="Q24" s="114">
        <f>SUM(Q17:Q23)</f>
        <v>1073.5</v>
      </c>
      <c r="R24" s="110">
        <f t="shared" si="8"/>
        <v>11673.917093619004</v>
      </c>
      <c r="S24" s="259">
        <v>7</v>
      </c>
      <c r="T24" s="289">
        <f>SUM(T17:T23)/S24</f>
        <v>23.342857142857145</v>
      </c>
      <c r="U24" s="290">
        <f>SUM(U17:U23)/S24</f>
        <v>29.385714285714283</v>
      </c>
      <c r="V24" s="305">
        <f>SUM(V17:V23)/S24</f>
        <v>3</v>
      </c>
      <c r="W24" s="305">
        <f>SUM(W17:W23)/S24</f>
        <v>3.5714285714285716</v>
      </c>
      <c r="X24" s="305">
        <f>SUM(X17:X23)/S24</f>
        <v>4.1428571428571432</v>
      </c>
      <c r="Y24" s="306">
        <f>SUM(V24:X24)/3</f>
        <v>3.5714285714285716</v>
      </c>
      <c r="Z24" s="259">
        <v>12</v>
      </c>
      <c r="AA24" s="532">
        <f>L24/S24</f>
        <v>1790278.5714285714</v>
      </c>
      <c r="AB24" s="533"/>
      <c r="AC24" s="533"/>
      <c r="AD24" s="533"/>
      <c r="AE24" s="534"/>
      <c r="AF24" s="282" t="s">
        <v>140</v>
      </c>
    </row>
    <row r="25" spans="1:32" ht="23.5" customHeight="1" thickTop="1">
      <c r="A25" s="456" t="s">
        <v>15</v>
      </c>
      <c r="B25" s="457"/>
      <c r="C25" s="461" t="s">
        <v>15</v>
      </c>
      <c r="D25" s="462"/>
      <c r="E25" s="462"/>
      <c r="F25" s="462"/>
      <c r="G25" s="462"/>
      <c r="H25" s="462"/>
      <c r="I25" s="462"/>
      <c r="J25" s="462"/>
      <c r="K25" s="462"/>
      <c r="L25" s="462"/>
      <c r="M25" s="462"/>
      <c r="N25" s="462"/>
      <c r="O25" s="462"/>
      <c r="P25" s="462"/>
      <c r="Q25" s="462"/>
      <c r="R25" s="463"/>
      <c r="T25" s="497" t="str">
        <f>C25</f>
        <v>3rd week</v>
      </c>
      <c r="U25" s="497"/>
      <c r="V25" s="497"/>
      <c r="W25" s="497"/>
      <c r="X25" s="497"/>
      <c r="Y25" s="497"/>
    </row>
    <row r="26" spans="1:32" ht="23.5" customHeight="1">
      <c r="A26" s="52" t="s">
        <v>10</v>
      </c>
      <c r="B26" s="36" t="s">
        <v>11</v>
      </c>
      <c r="C26" s="101" t="s">
        <v>10</v>
      </c>
      <c r="D26" s="102" t="s">
        <v>11</v>
      </c>
      <c r="E26" s="102" t="s">
        <v>1</v>
      </c>
      <c r="F26" s="102" t="s">
        <v>30</v>
      </c>
      <c r="G26" s="102" t="s">
        <v>31</v>
      </c>
      <c r="H26" s="102" t="s">
        <v>28</v>
      </c>
      <c r="I26" s="102" t="s">
        <v>29</v>
      </c>
      <c r="J26" s="102" t="s">
        <v>388</v>
      </c>
      <c r="K26" s="102" t="s">
        <v>384</v>
      </c>
      <c r="L26" s="102" t="s">
        <v>71</v>
      </c>
      <c r="M26" s="103" t="s">
        <v>48</v>
      </c>
      <c r="N26" s="103" t="s">
        <v>385</v>
      </c>
      <c r="O26" s="103" t="s">
        <v>386</v>
      </c>
      <c r="P26" s="103" t="s">
        <v>387</v>
      </c>
      <c r="Q26" s="103" t="s">
        <v>40</v>
      </c>
      <c r="R26" s="104" t="s">
        <v>73</v>
      </c>
      <c r="T26" s="252" t="s">
        <v>114</v>
      </c>
      <c r="U26" s="253" t="s">
        <v>115</v>
      </c>
      <c r="V26" s="48" t="s">
        <v>116</v>
      </c>
      <c r="W26" s="48" t="s">
        <v>117</v>
      </c>
      <c r="X26" s="48" t="s">
        <v>118</v>
      </c>
      <c r="Y26" s="254" t="s">
        <v>127</v>
      </c>
      <c r="AA26" s="1" t="s">
        <v>122</v>
      </c>
      <c r="AC26" s="35" t="s">
        <v>125</v>
      </c>
    </row>
    <row r="27" spans="1:32" ht="23.5" customHeight="1">
      <c r="A27" s="53" t="s">
        <v>3</v>
      </c>
      <c r="B27" s="49">
        <v>13</v>
      </c>
      <c r="C27" s="105" t="s">
        <v>3</v>
      </c>
      <c r="D27" s="118">
        <f>B27</f>
        <v>13</v>
      </c>
      <c r="E27" s="73">
        <v>527</v>
      </c>
      <c r="F27" s="106">
        <v>1473850</v>
      </c>
      <c r="G27" s="106">
        <f>F27/E27</f>
        <v>2796.6793168880454</v>
      </c>
      <c r="H27" s="106">
        <v>799500</v>
      </c>
      <c r="I27" s="107">
        <f>H27/E27</f>
        <v>1517.07779886148</v>
      </c>
      <c r="J27" s="106">
        <v>11000</v>
      </c>
      <c r="K27" s="106"/>
      <c r="L27" s="108">
        <f>F27+H27+J27</f>
        <v>2284350</v>
      </c>
      <c r="M27" s="109">
        <f>L27/E27</f>
        <v>4334.6299810246683</v>
      </c>
      <c r="N27" s="109"/>
      <c r="O27" s="109"/>
      <c r="P27" s="109"/>
      <c r="Q27" s="109"/>
      <c r="R27" s="110" t="e">
        <f>L27/Q27</f>
        <v>#DIV/0!</v>
      </c>
      <c r="T27" s="247">
        <v>23.5</v>
      </c>
      <c r="U27" s="247">
        <v>30.5</v>
      </c>
      <c r="V27" s="255">
        <v>3</v>
      </c>
      <c r="W27" s="255">
        <v>5</v>
      </c>
      <c r="X27" s="255">
        <v>5</v>
      </c>
      <c r="Y27" s="271">
        <f>SUM(V27:X27)/3</f>
        <v>4.333333333333333</v>
      </c>
      <c r="AA27" s="270" t="s">
        <v>123</v>
      </c>
      <c r="AB27" s="2"/>
      <c r="AC27" s="269">
        <v>5</v>
      </c>
    </row>
    <row r="28" spans="1:32" ht="23.5" customHeight="1">
      <c r="A28" s="54" t="s">
        <v>4</v>
      </c>
      <c r="B28" s="49">
        <v>14</v>
      </c>
      <c r="C28" s="101" t="s">
        <v>4</v>
      </c>
      <c r="D28" s="118">
        <f t="shared" ref="D28:D33" si="10">B28</f>
        <v>14</v>
      </c>
      <c r="E28" s="73">
        <v>456</v>
      </c>
      <c r="F28" s="106">
        <v>1247650</v>
      </c>
      <c r="G28" s="106">
        <f t="shared" ref="G28:G32" si="11">F28/E28</f>
        <v>2736.0745614035086</v>
      </c>
      <c r="H28" s="106">
        <v>677000</v>
      </c>
      <c r="I28" s="107">
        <f t="shared" ref="I28:I32" si="12">H28/E28</f>
        <v>1484.6491228070176</v>
      </c>
      <c r="J28" s="106">
        <v>16500</v>
      </c>
      <c r="K28" s="106"/>
      <c r="L28" s="108">
        <f>F28+H28+J28</f>
        <v>1941150</v>
      </c>
      <c r="M28" s="109">
        <f>L28/E28</f>
        <v>4256.9078947368425</v>
      </c>
      <c r="N28" s="109"/>
      <c r="O28" s="109"/>
      <c r="P28" s="109"/>
      <c r="Q28" s="109"/>
      <c r="R28" s="110" t="e">
        <f t="shared" ref="R28:R34" si="13">L28/Q28</f>
        <v>#DIV/0!</v>
      </c>
      <c r="T28" s="247">
        <v>23.1</v>
      </c>
      <c r="U28" s="247">
        <v>30.7</v>
      </c>
      <c r="V28" s="255">
        <v>5</v>
      </c>
      <c r="W28" s="255">
        <v>3</v>
      </c>
      <c r="X28" s="255">
        <v>3</v>
      </c>
      <c r="Y28" s="271">
        <f t="shared" ref="Y28:Y33" si="14">SUM(V28:X28)/3</f>
        <v>3.6666666666666665</v>
      </c>
      <c r="AA28" s="34" t="s">
        <v>124</v>
      </c>
      <c r="AC28" s="1">
        <v>4</v>
      </c>
    </row>
    <row r="29" spans="1:32" ht="23.5" customHeight="1">
      <c r="A29" s="54" t="s">
        <v>5</v>
      </c>
      <c r="B29" s="49">
        <v>15</v>
      </c>
      <c r="C29" s="101" t="s">
        <v>5</v>
      </c>
      <c r="D29" s="118">
        <f t="shared" si="10"/>
        <v>15</v>
      </c>
      <c r="E29" s="73">
        <v>477</v>
      </c>
      <c r="F29" s="106">
        <v>1324650</v>
      </c>
      <c r="G29" s="106">
        <f t="shared" si="11"/>
        <v>2777.0440251572327</v>
      </c>
      <c r="H29" s="106">
        <v>665650</v>
      </c>
      <c r="I29" s="107">
        <f t="shared" si="12"/>
        <v>1395.4926624737946</v>
      </c>
      <c r="J29" s="106">
        <v>21450</v>
      </c>
      <c r="K29" s="106"/>
      <c r="L29" s="108">
        <f>F29+H29+J29</f>
        <v>2011750</v>
      </c>
      <c r="M29" s="109">
        <f>L29/E29</f>
        <v>4217.5052410901471</v>
      </c>
      <c r="N29" s="109"/>
      <c r="O29" s="109"/>
      <c r="P29" s="109"/>
      <c r="Q29" s="109"/>
      <c r="R29" s="110" t="e">
        <f t="shared" si="13"/>
        <v>#DIV/0!</v>
      </c>
      <c r="T29" s="247">
        <v>22.5</v>
      </c>
      <c r="U29" s="247">
        <v>30</v>
      </c>
      <c r="V29" s="255">
        <v>5</v>
      </c>
      <c r="W29" s="255">
        <v>3</v>
      </c>
      <c r="X29" s="255">
        <v>3</v>
      </c>
      <c r="Y29" s="271">
        <f t="shared" si="14"/>
        <v>3.6666666666666665</v>
      </c>
      <c r="AA29" s="34" t="s">
        <v>128</v>
      </c>
      <c r="AC29" s="1">
        <v>3</v>
      </c>
    </row>
    <row r="30" spans="1:32" ht="23.5" customHeight="1">
      <c r="A30" s="54" t="s">
        <v>6</v>
      </c>
      <c r="B30" s="49">
        <v>16</v>
      </c>
      <c r="C30" s="101" t="s">
        <v>6</v>
      </c>
      <c r="D30" s="118">
        <f t="shared" si="10"/>
        <v>16</v>
      </c>
      <c r="E30" s="73">
        <v>215</v>
      </c>
      <c r="F30" s="106">
        <v>538250</v>
      </c>
      <c r="G30" s="106">
        <f t="shared" si="11"/>
        <v>2503.4883720930234</v>
      </c>
      <c r="H30" s="106">
        <v>295400</v>
      </c>
      <c r="I30" s="107">
        <f t="shared" si="12"/>
        <v>1373.953488372093</v>
      </c>
      <c r="J30" s="106">
        <v>6050</v>
      </c>
      <c r="K30" s="106"/>
      <c r="L30" s="108">
        <f>F30+H30+J30</f>
        <v>839700</v>
      </c>
      <c r="M30" s="109">
        <f>L30/E30</f>
        <v>3905.5813953488373</v>
      </c>
      <c r="N30" s="109"/>
      <c r="O30" s="109"/>
      <c r="P30" s="109"/>
      <c r="Q30" s="109"/>
      <c r="R30" s="110" t="e">
        <f t="shared" si="13"/>
        <v>#DIV/0!</v>
      </c>
      <c r="T30" s="247">
        <v>23.2</v>
      </c>
      <c r="U30" s="247">
        <v>26.5</v>
      </c>
      <c r="V30" s="255">
        <v>1</v>
      </c>
      <c r="W30" s="255">
        <v>1</v>
      </c>
      <c r="X30" s="255">
        <v>3</v>
      </c>
      <c r="Y30" s="271">
        <f t="shared" si="14"/>
        <v>1.6666666666666667</v>
      </c>
      <c r="AA30" s="34" t="s">
        <v>120</v>
      </c>
      <c r="AC30" s="1">
        <v>2</v>
      </c>
    </row>
    <row r="31" spans="1:32" ht="23.5" customHeight="1">
      <c r="A31" s="54" t="s">
        <v>7</v>
      </c>
      <c r="B31" s="49">
        <v>17</v>
      </c>
      <c r="C31" s="101" t="s">
        <v>7</v>
      </c>
      <c r="D31" s="118">
        <f t="shared" si="10"/>
        <v>17</v>
      </c>
      <c r="E31" s="73">
        <v>277</v>
      </c>
      <c r="F31" s="106">
        <v>589350</v>
      </c>
      <c r="G31" s="106">
        <f t="shared" si="11"/>
        <v>2127.6173285198556</v>
      </c>
      <c r="H31" s="106">
        <v>383500</v>
      </c>
      <c r="I31" s="107">
        <f t="shared" si="12"/>
        <v>1384.4765342960288</v>
      </c>
      <c r="J31" s="106">
        <v>2200</v>
      </c>
      <c r="K31" s="106"/>
      <c r="L31" s="108">
        <f>F31+H31+J31</f>
        <v>975050</v>
      </c>
      <c r="M31" s="109">
        <f>L31/E31</f>
        <v>3520.0361010830325</v>
      </c>
      <c r="N31" s="109"/>
      <c r="O31" s="109"/>
      <c r="P31" s="109"/>
      <c r="Q31" s="109"/>
      <c r="R31" s="110" t="e">
        <f t="shared" si="13"/>
        <v>#DIV/0!</v>
      </c>
      <c r="T31" s="247">
        <v>25.2</v>
      </c>
      <c r="U31" s="247">
        <v>31.1</v>
      </c>
      <c r="V31" s="255">
        <v>5</v>
      </c>
      <c r="W31" s="255">
        <v>1</v>
      </c>
      <c r="X31" s="255">
        <v>1</v>
      </c>
      <c r="Y31" s="271">
        <f t="shared" si="14"/>
        <v>2.3333333333333335</v>
      </c>
      <c r="AA31" s="34" t="s">
        <v>121</v>
      </c>
      <c r="AC31" s="1">
        <v>1</v>
      </c>
    </row>
    <row r="32" spans="1:32" ht="23.5" customHeight="1">
      <c r="A32" s="54" t="s">
        <v>8</v>
      </c>
      <c r="B32" s="49">
        <v>18</v>
      </c>
      <c r="C32" s="101" t="s">
        <v>8</v>
      </c>
      <c r="D32" s="118">
        <f t="shared" si="10"/>
        <v>18</v>
      </c>
      <c r="E32" s="73">
        <v>387</v>
      </c>
      <c r="F32" s="106">
        <v>1137850</v>
      </c>
      <c r="G32" s="106">
        <f t="shared" si="11"/>
        <v>2940.1808785529715</v>
      </c>
      <c r="H32" s="106">
        <v>661650</v>
      </c>
      <c r="I32" s="107">
        <f t="shared" si="12"/>
        <v>1709.6899224806202</v>
      </c>
      <c r="J32" s="106">
        <v>29150</v>
      </c>
      <c r="K32" s="106"/>
      <c r="L32" s="108">
        <f>F32+H32+J32</f>
        <v>1828650</v>
      </c>
      <c r="M32" s="109">
        <f>L32/E32</f>
        <v>4725.1937984496126</v>
      </c>
      <c r="N32" s="109"/>
      <c r="O32" s="109"/>
      <c r="P32" s="109"/>
      <c r="Q32" s="109"/>
      <c r="R32" s="110" t="e">
        <f t="shared" si="13"/>
        <v>#DIV/0!</v>
      </c>
      <c r="T32" s="247">
        <v>23.4</v>
      </c>
      <c r="U32" s="247">
        <v>31</v>
      </c>
      <c r="V32" s="255">
        <v>3</v>
      </c>
      <c r="W32" s="255">
        <v>1</v>
      </c>
      <c r="X32" s="255">
        <v>3</v>
      </c>
      <c r="Y32" s="271">
        <f t="shared" si="14"/>
        <v>2.3333333333333335</v>
      </c>
      <c r="AA32" s="34" t="s">
        <v>126</v>
      </c>
      <c r="AC32" s="1">
        <v>0</v>
      </c>
    </row>
    <row r="33" spans="1:32" ht="23.5" customHeight="1" thickBot="1">
      <c r="A33" s="55" t="s">
        <v>9</v>
      </c>
      <c r="B33" s="49">
        <v>19</v>
      </c>
      <c r="C33" s="111" t="s">
        <v>9</v>
      </c>
      <c r="D33" s="118">
        <f t="shared" si="10"/>
        <v>19</v>
      </c>
      <c r="E33" s="73">
        <v>515</v>
      </c>
      <c r="F33" s="106">
        <v>1463750</v>
      </c>
      <c r="G33" s="106">
        <f>F33/E33</f>
        <v>2842.2330097087379</v>
      </c>
      <c r="H33" s="106">
        <v>817750</v>
      </c>
      <c r="I33" s="107">
        <f>H33/E33</f>
        <v>1587.8640776699028</v>
      </c>
      <c r="J33" s="106">
        <v>20900</v>
      </c>
      <c r="K33" s="106"/>
      <c r="L33" s="108">
        <f>F33+H33+J33</f>
        <v>2302400</v>
      </c>
      <c r="M33" s="109">
        <f>L33/E33</f>
        <v>4470.6796116504856</v>
      </c>
      <c r="N33" s="109"/>
      <c r="O33" s="109"/>
      <c r="P33" s="109"/>
      <c r="Q33" s="109"/>
      <c r="R33" s="110" t="e">
        <f t="shared" si="13"/>
        <v>#DIV/0!</v>
      </c>
      <c r="T33" s="248">
        <v>22.9</v>
      </c>
      <c r="U33" s="248">
        <v>32.200000000000003</v>
      </c>
      <c r="V33" s="256">
        <v>3</v>
      </c>
      <c r="W33" s="255">
        <v>3</v>
      </c>
      <c r="X33" s="256">
        <v>5</v>
      </c>
      <c r="Y33" s="272">
        <f t="shared" si="14"/>
        <v>3.6666666666666665</v>
      </c>
      <c r="AA33" s="1" t="s">
        <v>129</v>
      </c>
    </row>
    <row r="34" spans="1:32" ht="39" customHeight="1" thickTop="1" thickBot="1">
      <c r="A34" s="525" t="s">
        <v>13</v>
      </c>
      <c r="B34" s="526"/>
      <c r="C34" s="464" t="s">
        <v>13</v>
      </c>
      <c r="D34" s="465"/>
      <c r="E34" s="108">
        <f>SUM(E27:E33)</f>
        <v>2854</v>
      </c>
      <c r="F34" s="108">
        <f>SUM(F27:F33)</f>
        <v>7775350</v>
      </c>
      <c r="G34" s="108">
        <f>F34/E34</f>
        <v>2724.3693062368607</v>
      </c>
      <c r="H34" s="108">
        <f>SUM(H27:H33)</f>
        <v>4300450</v>
      </c>
      <c r="I34" s="73">
        <f>H34/E34</f>
        <v>1506.8149964961458</v>
      </c>
      <c r="J34" s="108">
        <f>SUM(J27:J33)</f>
        <v>107250</v>
      </c>
      <c r="K34" s="108"/>
      <c r="L34" s="108">
        <f>F34+H34</f>
        <v>12075800</v>
      </c>
      <c r="M34" s="114">
        <f>L34/E34</f>
        <v>4231.184302733006</v>
      </c>
      <c r="N34" s="114"/>
      <c r="O34" s="114"/>
      <c r="P34" s="114"/>
      <c r="Q34" s="114">
        <f>SUM(Q27:Q33)</f>
        <v>0</v>
      </c>
      <c r="R34" s="110" t="e">
        <f t="shared" si="13"/>
        <v>#DIV/0!</v>
      </c>
      <c r="S34" s="259">
        <v>7</v>
      </c>
      <c r="T34" s="289">
        <f>SUM(T27:T33)/S34</f>
        <v>23.400000000000002</v>
      </c>
      <c r="U34" s="297">
        <f>SUM(U27:U33)/S34</f>
        <v>30.285714285714285</v>
      </c>
      <c r="V34" s="305">
        <f>SUM(V27:V33)/S34</f>
        <v>3.5714285714285716</v>
      </c>
      <c r="W34" s="305">
        <f>SUM(W27:W33)/S34</f>
        <v>2.4285714285714284</v>
      </c>
      <c r="X34" s="305">
        <f>SUM(X27:X33)/S34</f>
        <v>3.2857142857142856</v>
      </c>
      <c r="Y34" s="306">
        <f>SUM(V34:X34)/3</f>
        <v>3.0952380952380949</v>
      </c>
      <c r="Z34" s="259">
        <v>13</v>
      </c>
      <c r="AA34" s="532">
        <f>L34/S34</f>
        <v>1725114.2857142857</v>
      </c>
      <c r="AB34" s="533"/>
      <c r="AC34" s="533"/>
      <c r="AD34" s="533"/>
      <c r="AE34" s="534"/>
      <c r="AF34" s="282" t="s">
        <v>140</v>
      </c>
    </row>
    <row r="35" spans="1:32" ht="23.5" customHeight="1" thickTop="1">
      <c r="A35" s="456" t="s">
        <v>16</v>
      </c>
      <c r="B35" s="457"/>
      <c r="C35" s="461" t="s">
        <v>16</v>
      </c>
      <c r="D35" s="462"/>
      <c r="E35" s="462"/>
      <c r="F35" s="462"/>
      <c r="G35" s="462"/>
      <c r="H35" s="462"/>
      <c r="I35" s="462"/>
      <c r="J35" s="462"/>
      <c r="K35" s="462"/>
      <c r="L35" s="462"/>
      <c r="M35" s="462"/>
      <c r="N35" s="462"/>
      <c r="O35" s="462"/>
      <c r="P35" s="462"/>
      <c r="Q35" s="462"/>
      <c r="R35" s="463"/>
      <c r="T35" s="497" t="str">
        <f>C35</f>
        <v>4th week</v>
      </c>
      <c r="U35" s="497"/>
      <c r="V35" s="497"/>
      <c r="W35" s="497"/>
      <c r="X35" s="497"/>
      <c r="Y35" s="497"/>
    </row>
    <row r="36" spans="1:32" ht="23.5" customHeight="1">
      <c r="A36" s="52" t="s">
        <v>10</v>
      </c>
      <c r="B36" s="36" t="s">
        <v>11</v>
      </c>
      <c r="C36" s="101" t="s">
        <v>10</v>
      </c>
      <c r="D36" s="102" t="s">
        <v>11</v>
      </c>
      <c r="E36" s="102" t="s">
        <v>1</v>
      </c>
      <c r="F36" s="102" t="s">
        <v>30</v>
      </c>
      <c r="G36" s="102" t="s">
        <v>31</v>
      </c>
      <c r="H36" s="102" t="s">
        <v>28</v>
      </c>
      <c r="I36" s="102" t="s">
        <v>29</v>
      </c>
      <c r="J36" s="102" t="s">
        <v>388</v>
      </c>
      <c r="K36" s="102" t="s">
        <v>384</v>
      </c>
      <c r="L36" s="102" t="s">
        <v>71</v>
      </c>
      <c r="M36" s="103" t="s">
        <v>48</v>
      </c>
      <c r="N36" s="103" t="s">
        <v>385</v>
      </c>
      <c r="O36" s="103" t="s">
        <v>386</v>
      </c>
      <c r="P36" s="103" t="s">
        <v>387</v>
      </c>
      <c r="Q36" s="103" t="s">
        <v>40</v>
      </c>
      <c r="R36" s="104" t="s">
        <v>73</v>
      </c>
      <c r="T36" s="252" t="s">
        <v>114</v>
      </c>
      <c r="U36" s="253" t="s">
        <v>115</v>
      </c>
      <c r="V36" s="48" t="s">
        <v>116</v>
      </c>
      <c r="W36" s="48" t="s">
        <v>117</v>
      </c>
      <c r="X36" s="48" t="s">
        <v>118</v>
      </c>
      <c r="Y36" s="254" t="s">
        <v>127</v>
      </c>
      <c r="AA36" s="1" t="s">
        <v>122</v>
      </c>
      <c r="AC36" s="35" t="s">
        <v>125</v>
      </c>
    </row>
    <row r="37" spans="1:32" ht="23.5" customHeight="1">
      <c r="A37" s="53" t="s">
        <v>3</v>
      </c>
      <c r="B37" s="49">
        <v>20</v>
      </c>
      <c r="C37" s="105" t="s">
        <v>3</v>
      </c>
      <c r="D37" s="118">
        <f>B37</f>
        <v>20</v>
      </c>
      <c r="E37" s="73">
        <v>428</v>
      </c>
      <c r="F37" s="106">
        <v>1143400</v>
      </c>
      <c r="G37" s="106">
        <f>F37/E37</f>
        <v>2671.4953271028039</v>
      </c>
      <c r="H37" s="106">
        <v>637950</v>
      </c>
      <c r="I37" s="107">
        <f>H37/E37</f>
        <v>1490.5373831775701</v>
      </c>
      <c r="J37" s="106">
        <v>16500</v>
      </c>
      <c r="K37" s="106"/>
      <c r="L37" s="108">
        <f>F37+H37+J37</f>
        <v>1797850</v>
      </c>
      <c r="M37" s="109">
        <f>L37/E37</f>
        <v>4200.5841121495323</v>
      </c>
      <c r="N37" s="109"/>
      <c r="O37" s="109"/>
      <c r="P37" s="109"/>
      <c r="Q37" s="109"/>
      <c r="R37" s="110" t="e">
        <f>L37/Q37</f>
        <v>#DIV/0!</v>
      </c>
      <c r="T37" s="247">
        <v>24.4</v>
      </c>
      <c r="U37" s="247">
        <v>29.8</v>
      </c>
      <c r="V37" s="255">
        <v>1</v>
      </c>
      <c r="W37" s="255">
        <v>5</v>
      </c>
      <c r="X37" s="255">
        <v>3</v>
      </c>
      <c r="Y37" s="271">
        <f>SUM(V37:X37)/3</f>
        <v>3</v>
      </c>
      <c r="AA37" s="270" t="s">
        <v>123</v>
      </c>
      <c r="AB37" s="2"/>
      <c r="AC37" s="269">
        <v>5</v>
      </c>
    </row>
    <row r="38" spans="1:32" ht="23.5" customHeight="1">
      <c r="A38" s="54" t="s">
        <v>4</v>
      </c>
      <c r="B38" s="49">
        <v>21</v>
      </c>
      <c r="C38" s="101" t="s">
        <v>4</v>
      </c>
      <c r="D38" s="118">
        <f t="shared" ref="D38:D43" si="15">B38</f>
        <v>21</v>
      </c>
      <c r="E38" s="73">
        <v>329</v>
      </c>
      <c r="F38" s="106">
        <v>866000</v>
      </c>
      <c r="G38" s="106">
        <f t="shared" ref="G38:G42" si="16">F38/E38</f>
        <v>2632.2188449848022</v>
      </c>
      <c r="H38" s="106">
        <v>481500</v>
      </c>
      <c r="I38" s="107">
        <f t="shared" ref="I38:I42" si="17">H38/E38</f>
        <v>1463.5258358662613</v>
      </c>
      <c r="J38" s="106">
        <v>8250</v>
      </c>
      <c r="K38" s="106"/>
      <c r="L38" s="108">
        <f>F38+H38+J38</f>
        <v>1355750</v>
      </c>
      <c r="M38" s="109">
        <f>L38/E38</f>
        <v>4120.8206686930089</v>
      </c>
      <c r="N38" s="109"/>
      <c r="O38" s="109"/>
      <c r="P38" s="109"/>
      <c r="Q38" s="109"/>
      <c r="R38" s="110" t="e">
        <f t="shared" ref="R38:R44" si="18">L38/Q38</f>
        <v>#DIV/0!</v>
      </c>
      <c r="T38" s="247">
        <v>23.9</v>
      </c>
      <c r="U38" s="247">
        <v>32.4</v>
      </c>
      <c r="V38" s="255">
        <v>5</v>
      </c>
      <c r="W38" s="255">
        <v>5</v>
      </c>
      <c r="X38" s="255">
        <v>4</v>
      </c>
      <c r="Y38" s="271">
        <f t="shared" ref="Y38:Y43" si="19">SUM(V38:X38)/3</f>
        <v>4.666666666666667</v>
      </c>
      <c r="AA38" s="34" t="s">
        <v>124</v>
      </c>
      <c r="AC38" s="1">
        <v>4</v>
      </c>
    </row>
    <row r="39" spans="1:32" ht="23.5" customHeight="1">
      <c r="A39" s="54" t="s">
        <v>5</v>
      </c>
      <c r="B39" s="49">
        <v>22</v>
      </c>
      <c r="C39" s="101" t="s">
        <v>5</v>
      </c>
      <c r="D39" s="118">
        <f t="shared" si="15"/>
        <v>22</v>
      </c>
      <c r="E39" s="73">
        <v>281</v>
      </c>
      <c r="F39" s="106">
        <v>832300</v>
      </c>
      <c r="G39" s="106">
        <f t="shared" si="16"/>
        <v>2961.9217081850534</v>
      </c>
      <c r="H39" s="106">
        <v>475750</v>
      </c>
      <c r="I39" s="107">
        <f t="shared" si="17"/>
        <v>1693.0604982206405</v>
      </c>
      <c r="J39" s="106">
        <v>4950</v>
      </c>
      <c r="K39" s="106"/>
      <c r="L39" s="108">
        <f>F39+H39+J39</f>
        <v>1313000</v>
      </c>
      <c r="M39" s="109">
        <f>L39/E39</f>
        <v>4672.5978647686834</v>
      </c>
      <c r="N39" s="109"/>
      <c r="O39" s="109"/>
      <c r="P39" s="109"/>
      <c r="Q39" s="109"/>
      <c r="R39" s="110" t="e">
        <f t="shared" si="18"/>
        <v>#DIV/0!</v>
      </c>
      <c r="T39" s="247">
        <v>24.7</v>
      </c>
      <c r="U39" s="247">
        <v>33.200000000000003</v>
      </c>
      <c r="V39" s="255">
        <v>3</v>
      </c>
      <c r="W39" s="255">
        <v>3</v>
      </c>
      <c r="X39" s="255">
        <v>4</v>
      </c>
      <c r="Y39" s="271">
        <f t="shared" si="19"/>
        <v>3.3333333333333335</v>
      </c>
      <c r="AA39" s="34" t="s">
        <v>128</v>
      </c>
      <c r="AC39" s="1">
        <v>3</v>
      </c>
    </row>
    <row r="40" spans="1:32" ht="23.5" customHeight="1">
      <c r="A40" s="54" t="s">
        <v>6</v>
      </c>
      <c r="B40" s="49">
        <v>23</v>
      </c>
      <c r="C40" s="101" t="s">
        <v>6</v>
      </c>
      <c r="D40" s="118">
        <f t="shared" si="15"/>
        <v>23</v>
      </c>
      <c r="E40" s="73">
        <v>258</v>
      </c>
      <c r="F40" s="106">
        <v>784400</v>
      </c>
      <c r="G40" s="106">
        <f t="shared" si="16"/>
        <v>3040.3100775193798</v>
      </c>
      <c r="H40" s="106">
        <v>451600</v>
      </c>
      <c r="I40" s="107">
        <f t="shared" si="17"/>
        <v>1750.3875968992247</v>
      </c>
      <c r="J40" s="106">
        <v>4400</v>
      </c>
      <c r="K40" s="106"/>
      <c r="L40" s="108">
        <f>F40+H40+J40</f>
        <v>1240400</v>
      </c>
      <c r="M40" s="109">
        <f>L40/E40</f>
        <v>4807.7519379844962</v>
      </c>
      <c r="N40" s="109"/>
      <c r="O40" s="109"/>
      <c r="P40" s="109"/>
      <c r="Q40" s="109"/>
      <c r="R40" s="110" t="e">
        <f t="shared" si="18"/>
        <v>#DIV/0!</v>
      </c>
      <c r="T40" s="247">
        <v>26.2</v>
      </c>
      <c r="U40" s="247">
        <v>36.299999999999997</v>
      </c>
      <c r="V40" s="255">
        <v>3</v>
      </c>
      <c r="W40" s="255">
        <v>3</v>
      </c>
      <c r="X40" s="255">
        <v>4</v>
      </c>
      <c r="Y40" s="271">
        <f t="shared" si="19"/>
        <v>3.3333333333333335</v>
      </c>
      <c r="AA40" s="34" t="s">
        <v>120</v>
      </c>
      <c r="AC40" s="1">
        <v>2</v>
      </c>
    </row>
    <row r="41" spans="1:32" ht="23.5" customHeight="1">
      <c r="A41" s="54" t="s">
        <v>7</v>
      </c>
      <c r="B41" s="49">
        <v>24</v>
      </c>
      <c r="C41" s="101" t="s">
        <v>7</v>
      </c>
      <c r="D41" s="118">
        <f t="shared" si="15"/>
        <v>24</v>
      </c>
      <c r="E41" s="73">
        <v>230</v>
      </c>
      <c r="F41" s="106">
        <v>738550</v>
      </c>
      <c r="G41" s="106">
        <f t="shared" si="16"/>
        <v>3211.086956521739</v>
      </c>
      <c r="H41" s="106">
        <v>408850</v>
      </c>
      <c r="I41" s="107">
        <f t="shared" si="17"/>
        <v>1777.608695652174</v>
      </c>
      <c r="J41" s="106">
        <v>18700</v>
      </c>
      <c r="K41" s="106"/>
      <c r="L41" s="108">
        <f>F41+H41+J41</f>
        <v>1166100</v>
      </c>
      <c r="M41" s="109">
        <f>L41/E41</f>
        <v>5070</v>
      </c>
      <c r="N41" s="109"/>
      <c r="O41" s="109"/>
      <c r="P41" s="109"/>
      <c r="Q41" s="109"/>
      <c r="R41" s="110" t="e">
        <f t="shared" si="18"/>
        <v>#DIV/0!</v>
      </c>
      <c r="T41" s="247">
        <v>26.3</v>
      </c>
      <c r="U41" s="247">
        <v>35</v>
      </c>
      <c r="V41" s="255">
        <v>3</v>
      </c>
      <c r="W41" s="255">
        <v>1</v>
      </c>
      <c r="X41" s="255">
        <v>4</v>
      </c>
      <c r="Y41" s="271">
        <f t="shared" si="19"/>
        <v>2.6666666666666665</v>
      </c>
      <c r="AA41" s="34" t="s">
        <v>121</v>
      </c>
      <c r="AC41" s="1">
        <v>1</v>
      </c>
    </row>
    <row r="42" spans="1:32" ht="23.5" customHeight="1">
      <c r="A42" s="54" t="s">
        <v>8</v>
      </c>
      <c r="B42" s="49">
        <v>25</v>
      </c>
      <c r="C42" s="101" t="s">
        <v>8</v>
      </c>
      <c r="D42" s="118">
        <f t="shared" si="15"/>
        <v>25</v>
      </c>
      <c r="E42" s="73">
        <v>265</v>
      </c>
      <c r="F42" s="106">
        <v>848850</v>
      </c>
      <c r="G42" s="106">
        <f t="shared" si="16"/>
        <v>3203.2075471698113</v>
      </c>
      <c r="H42" s="106">
        <v>452650</v>
      </c>
      <c r="I42" s="107">
        <f t="shared" si="17"/>
        <v>1708.1132075471698</v>
      </c>
      <c r="J42" s="106">
        <v>22550</v>
      </c>
      <c r="K42" s="106"/>
      <c r="L42" s="108">
        <f>F42+H42+J42</f>
        <v>1324050</v>
      </c>
      <c r="M42" s="109">
        <f>L42/E42</f>
        <v>4996.4150943396226</v>
      </c>
      <c r="N42" s="109"/>
      <c r="O42" s="109"/>
      <c r="P42" s="109"/>
      <c r="Q42" s="109"/>
      <c r="R42" s="110" t="e">
        <f t="shared" si="18"/>
        <v>#DIV/0!</v>
      </c>
      <c r="T42" s="247">
        <v>26</v>
      </c>
      <c r="U42" s="247">
        <v>34.700000000000003</v>
      </c>
      <c r="V42" s="255">
        <v>3</v>
      </c>
      <c r="W42" s="255">
        <v>3</v>
      </c>
      <c r="X42" s="255">
        <v>4</v>
      </c>
      <c r="Y42" s="271">
        <f t="shared" si="19"/>
        <v>3.3333333333333335</v>
      </c>
      <c r="AA42" s="34" t="s">
        <v>126</v>
      </c>
      <c r="AC42" s="1">
        <v>0</v>
      </c>
    </row>
    <row r="43" spans="1:32" ht="23.5" customHeight="1" thickBot="1">
      <c r="A43" s="55" t="s">
        <v>9</v>
      </c>
      <c r="B43" s="49">
        <v>26</v>
      </c>
      <c r="C43" s="111" t="s">
        <v>9</v>
      </c>
      <c r="D43" s="118">
        <f t="shared" si="15"/>
        <v>26</v>
      </c>
      <c r="E43" s="73">
        <v>407</v>
      </c>
      <c r="F43" s="106">
        <v>1102550</v>
      </c>
      <c r="G43" s="106">
        <f>F43/E43</f>
        <v>2708.9680589680588</v>
      </c>
      <c r="H43" s="106">
        <v>639200</v>
      </c>
      <c r="I43" s="107">
        <f>H43/E43</f>
        <v>1570.5159705159706</v>
      </c>
      <c r="J43" s="106">
        <v>39050</v>
      </c>
      <c r="K43" s="106"/>
      <c r="L43" s="108">
        <f>F43+H43+J43</f>
        <v>1780800</v>
      </c>
      <c r="M43" s="109">
        <f>L43/E43</f>
        <v>4375.4299754299755</v>
      </c>
      <c r="N43" s="109"/>
      <c r="O43" s="109"/>
      <c r="P43" s="109"/>
      <c r="Q43" s="109"/>
      <c r="R43" s="110" t="e">
        <f t="shared" si="18"/>
        <v>#DIV/0!</v>
      </c>
      <c r="T43" s="248">
        <v>26.7</v>
      </c>
      <c r="U43" s="248">
        <v>35.6</v>
      </c>
      <c r="V43" s="256">
        <v>3</v>
      </c>
      <c r="W43" s="255">
        <v>3</v>
      </c>
      <c r="X43" s="255">
        <v>4</v>
      </c>
      <c r="Y43" s="272">
        <f t="shared" si="19"/>
        <v>3.3333333333333335</v>
      </c>
      <c r="AA43" s="1" t="s">
        <v>129</v>
      </c>
    </row>
    <row r="44" spans="1:32" ht="39" customHeight="1" thickTop="1" thickBot="1">
      <c r="A44" s="525" t="s">
        <v>13</v>
      </c>
      <c r="B44" s="526"/>
      <c r="C44" s="464" t="s">
        <v>13</v>
      </c>
      <c r="D44" s="465"/>
      <c r="E44" s="119">
        <f>SUM(E37:E43)</f>
        <v>2198</v>
      </c>
      <c r="F44" s="119">
        <f>SUM(F37:F43)</f>
        <v>6316050</v>
      </c>
      <c r="G44" s="119">
        <f>F44/E44</f>
        <v>2873.5441310282076</v>
      </c>
      <c r="H44" s="119">
        <f>SUM(H37:H43)</f>
        <v>3547500</v>
      </c>
      <c r="I44" s="120">
        <f>H44/E44</f>
        <v>1613.9672429481348</v>
      </c>
      <c r="J44" s="108">
        <f>SUM(J37:J43)</f>
        <v>114400</v>
      </c>
      <c r="K44" s="108"/>
      <c r="L44" s="119">
        <f>F44+H44</f>
        <v>9863550</v>
      </c>
      <c r="M44" s="121">
        <f>L44/E44</f>
        <v>4487.5113739763419</v>
      </c>
      <c r="N44" s="121"/>
      <c r="O44" s="121"/>
      <c r="P44" s="121"/>
      <c r="Q44" s="114">
        <f>SUM(Q37:Q43)</f>
        <v>0</v>
      </c>
      <c r="R44" s="122" t="e">
        <f t="shared" si="18"/>
        <v>#DIV/0!</v>
      </c>
      <c r="S44" s="259">
        <v>7</v>
      </c>
      <c r="T44" s="289">
        <f>SUM(T37:T43)/S44</f>
        <v>25.457142857142856</v>
      </c>
      <c r="U44" s="297">
        <f>SUM(U37:U43)/S44</f>
        <v>33.857142857142854</v>
      </c>
      <c r="V44" s="305">
        <f>SUM(V37:V43)/S44</f>
        <v>3</v>
      </c>
      <c r="W44" s="305">
        <f>SUM(W37:W43)/S44</f>
        <v>3.2857142857142856</v>
      </c>
      <c r="X44" s="305">
        <f>SUM(X37:X43)/S44</f>
        <v>3.8571428571428572</v>
      </c>
      <c r="Y44" s="306">
        <f>SUM(V44:X44)/3</f>
        <v>3.3809523809523809</v>
      </c>
      <c r="Z44" s="259">
        <v>14</v>
      </c>
      <c r="AA44" s="532">
        <f>L44/S44</f>
        <v>1409078.5714285714</v>
      </c>
      <c r="AB44" s="533"/>
      <c r="AC44" s="533"/>
      <c r="AD44" s="533"/>
      <c r="AE44" s="534"/>
      <c r="AF44" s="282" t="s">
        <v>140</v>
      </c>
    </row>
    <row r="45" spans="1:32" ht="23.5" customHeight="1" thickTop="1">
      <c r="A45" s="456" t="s">
        <v>17</v>
      </c>
      <c r="B45" s="457"/>
      <c r="C45" s="461" t="s">
        <v>17</v>
      </c>
      <c r="D45" s="462"/>
      <c r="E45" s="462"/>
      <c r="F45" s="462"/>
      <c r="G45" s="462"/>
      <c r="H45" s="462"/>
      <c r="I45" s="462"/>
      <c r="J45" s="462"/>
      <c r="K45" s="462"/>
      <c r="L45" s="462"/>
      <c r="M45" s="462"/>
      <c r="N45" s="462"/>
      <c r="O45" s="462"/>
      <c r="P45" s="462"/>
      <c r="Q45" s="462"/>
      <c r="R45" s="463"/>
      <c r="T45" s="497" t="str">
        <f>C45</f>
        <v>5th week</v>
      </c>
      <c r="U45" s="497"/>
      <c r="V45" s="497"/>
      <c r="W45" s="497"/>
      <c r="X45" s="497"/>
      <c r="Y45" s="497"/>
    </row>
    <row r="46" spans="1:32" ht="23.5" customHeight="1">
      <c r="A46" s="52" t="s">
        <v>10</v>
      </c>
      <c r="B46" s="36" t="s">
        <v>11</v>
      </c>
      <c r="C46" s="101" t="s">
        <v>10</v>
      </c>
      <c r="D46" s="102" t="s">
        <v>11</v>
      </c>
      <c r="E46" s="102" t="s">
        <v>1</v>
      </c>
      <c r="F46" s="102" t="s">
        <v>30</v>
      </c>
      <c r="G46" s="102" t="s">
        <v>31</v>
      </c>
      <c r="H46" s="102" t="s">
        <v>28</v>
      </c>
      <c r="I46" s="102" t="s">
        <v>29</v>
      </c>
      <c r="J46" s="102" t="s">
        <v>388</v>
      </c>
      <c r="K46" s="102" t="s">
        <v>384</v>
      </c>
      <c r="L46" s="102" t="s">
        <v>71</v>
      </c>
      <c r="M46" s="103" t="s">
        <v>48</v>
      </c>
      <c r="N46" s="103" t="s">
        <v>385</v>
      </c>
      <c r="O46" s="103" t="s">
        <v>386</v>
      </c>
      <c r="P46" s="103" t="s">
        <v>387</v>
      </c>
      <c r="Q46" s="103" t="s">
        <v>40</v>
      </c>
      <c r="R46" s="104" t="s">
        <v>73</v>
      </c>
      <c r="T46" s="252" t="s">
        <v>114</v>
      </c>
      <c r="U46" s="253" t="s">
        <v>115</v>
      </c>
      <c r="V46" s="48" t="s">
        <v>116</v>
      </c>
      <c r="W46" s="48" t="s">
        <v>117</v>
      </c>
      <c r="X46" s="48" t="s">
        <v>118</v>
      </c>
      <c r="Y46" s="254" t="s">
        <v>127</v>
      </c>
      <c r="AA46" s="1" t="s">
        <v>122</v>
      </c>
      <c r="AC46" s="35" t="s">
        <v>125</v>
      </c>
    </row>
    <row r="47" spans="1:32" ht="23.5" customHeight="1">
      <c r="A47" s="53" t="s">
        <v>3</v>
      </c>
      <c r="B47" s="49">
        <v>27</v>
      </c>
      <c r="C47" s="105" t="s">
        <v>3</v>
      </c>
      <c r="D47" s="118">
        <f>B47</f>
        <v>27</v>
      </c>
      <c r="E47" s="73">
        <v>341</v>
      </c>
      <c r="F47" s="106">
        <v>1007250</v>
      </c>
      <c r="G47" s="106">
        <f>F47/E47</f>
        <v>2953.8123167155427</v>
      </c>
      <c r="H47" s="106">
        <v>556800</v>
      </c>
      <c r="I47" s="107">
        <f>H47/E47</f>
        <v>1632.8445747800586</v>
      </c>
      <c r="J47" s="106">
        <v>30800</v>
      </c>
      <c r="K47" s="106"/>
      <c r="L47" s="108">
        <f>F47+H47+J47</f>
        <v>1594850</v>
      </c>
      <c r="M47" s="109">
        <f>L47/E47</f>
        <v>4676.9794721407625</v>
      </c>
      <c r="N47" s="109"/>
      <c r="O47" s="109"/>
      <c r="P47" s="109"/>
      <c r="Q47" s="109"/>
      <c r="R47" s="110" t="e">
        <f>L47/Q47</f>
        <v>#DIV/0!</v>
      </c>
      <c r="T47" s="247">
        <v>26.4</v>
      </c>
      <c r="U47" s="247">
        <v>30.7</v>
      </c>
      <c r="V47" s="255">
        <v>1</v>
      </c>
      <c r="W47" s="255">
        <v>1</v>
      </c>
      <c r="X47" s="255">
        <v>3</v>
      </c>
      <c r="Y47" s="271">
        <f>SUM(V47:X47)/3</f>
        <v>1.6666666666666667</v>
      </c>
      <c r="AA47" s="270" t="s">
        <v>123</v>
      </c>
      <c r="AB47" s="2"/>
      <c r="AC47" s="269">
        <v>5</v>
      </c>
    </row>
    <row r="48" spans="1:32" ht="23.5" customHeight="1">
      <c r="A48" s="54" t="s">
        <v>4</v>
      </c>
      <c r="B48" s="49">
        <v>28</v>
      </c>
      <c r="C48" s="101" t="s">
        <v>4</v>
      </c>
      <c r="D48" s="118">
        <f t="shared" ref="D48:D53" si="20">B48</f>
        <v>28</v>
      </c>
      <c r="E48" s="73">
        <v>209</v>
      </c>
      <c r="F48" s="106">
        <v>547500</v>
      </c>
      <c r="G48" s="106">
        <f t="shared" ref="G48:G52" si="21">F48/E48</f>
        <v>2619.6172248803828</v>
      </c>
      <c r="H48" s="106">
        <v>282400</v>
      </c>
      <c r="I48" s="107">
        <f t="shared" ref="I48:I52" si="22">H48/E48</f>
        <v>1351.1961722488038</v>
      </c>
      <c r="J48" s="106">
        <v>2200</v>
      </c>
      <c r="K48" s="106"/>
      <c r="L48" s="108">
        <f>F48+H48+J48</f>
        <v>832100</v>
      </c>
      <c r="M48" s="109">
        <f>L48/E48</f>
        <v>3981.3397129186601</v>
      </c>
      <c r="N48" s="109"/>
      <c r="O48" s="109"/>
      <c r="P48" s="109"/>
      <c r="Q48" s="109"/>
      <c r="R48" s="110" t="e">
        <f t="shared" ref="R48:R54" si="23">L48/Q48</f>
        <v>#DIV/0!</v>
      </c>
      <c r="T48" s="247">
        <v>23.3</v>
      </c>
      <c r="U48" s="247">
        <v>27.8</v>
      </c>
      <c r="V48" s="255">
        <v>5</v>
      </c>
      <c r="W48" s="255">
        <v>5</v>
      </c>
      <c r="X48" s="255">
        <v>5</v>
      </c>
      <c r="Y48" s="271">
        <f t="shared" ref="Y48:Y53" si="24">SUM(V48:X48)/3</f>
        <v>5</v>
      </c>
      <c r="AA48" s="34" t="s">
        <v>124</v>
      </c>
      <c r="AC48" s="1">
        <v>4</v>
      </c>
    </row>
    <row r="49" spans="1:32" ht="23.5" customHeight="1">
      <c r="A49" s="54" t="s">
        <v>5</v>
      </c>
      <c r="B49" s="49">
        <v>29</v>
      </c>
      <c r="C49" s="101" t="s">
        <v>5</v>
      </c>
      <c r="D49" s="118">
        <f t="shared" si="20"/>
        <v>29</v>
      </c>
      <c r="E49" s="73">
        <v>259</v>
      </c>
      <c r="F49" s="106">
        <v>771850</v>
      </c>
      <c r="G49" s="106">
        <f t="shared" si="21"/>
        <v>2980.1158301158302</v>
      </c>
      <c r="H49" s="106">
        <v>411350</v>
      </c>
      <c r="I49" s="107">
        <f t="shared" si="22"/>
        <v>1588.2239382239381</v>
      </c>
      <c r="J49" s="106">
        <v>1100</v>
      </c>
      <c r="K49" s="106"/>
      <c r="L49" s="108">
        <f>F49+H49+J49</f>
        <v>1184300</v>
      </c>
      <c r="M49" s="109">
        <f>L49/E49</f>
        <v>4572.5868725868722</v>
      </c>
      <c r="N49" s="109"/>
      <c r="O49" s="109"/>
      <c r="P49" s="109"/>
      <c r="Q49" s="109"/>
      <c r="R49" s="110" t="e">
        <f t="shared" si="23"/>
        <v>#DIV/0!</v>
      </c>
      <c r="T49" s="247">
        <v>21.2</v>
      </c>
      <c r="U49" s="247">
        <v>27.2</v>
      </c>
      <c r="V49" s="255">
        <v>3</v>
      </c>
      <c r="W49" s="255">
        <v>3</v>
      </c>
      <c r="X49" s="255">
        <v>3</v>
      </c>
      <c r="Y49" s="271">
        <f t="shared" si="24"/>
        <v>3</v>
      </c>
      <c r="AA49" s="34" t="s">
        <v>128</v>
      </c>
      <c r="AC49" s="1">
        <v>3</v>
      </c>
    </row>
    <row r="50" spans="1:32" ht="23.5" customHeight="1">
      <c r="A50" s="54" t="s">
        <v>6</v>
      </c>
      <c r="B50" s="49">
        <v>30</v>
      </c>
      <c r="C50" s="101" t="s">
        <v>6</v>
      </c>
      <c r="D50" s="118">
        <f t="shared" si="20"/>
        <v>30</v>
      </c>
      <c r="E50" s="73">
        <v>322</v>
      </c>
      <c r="F50" s="106">
        <v>741700</v>
      </c>
      <c r="G50" s="106">
        <f t="shared" si="21"/>
        <v>2303.4161490683232</v>
      </c>
      <c r="H50" s="106">
        <v>425200</v>
      </c>
      <c r="I50" s="107">
        <f t="shared" si="22"/>
        <v>1320.4968944099378</v>
      </c>
      <c r="J50" s="106">
        <v>49500</v>
      </c>
      <c r="K50" s="106"/>
      <c r="L50" s="108">
        <f>F50+H50+J50</f>
        <v>1216400</v>
      </c>
      <c r="M50" s="109">
        <f>L50/E50</f>
        <v>3777.6397515527951</v>
      </c>
      <c r="N50" s="109"/>
      <c r="O50" s="109"/>
      <c r="P50" s="109"/>
      <c r="Q50" s="109"/>
      <c r="R50" s="110" t="e">
        <f t="shared" si="23"/>
        <v>#DIV/0!</v>
      </c>
      <c r="T50" s="247">
        <v>22.3</v>
      </c>
      <c r="U50" s="247">
        <v>27.7</v>
      </c>
      <c r="V50" s="255">
        <v>5</v>
      </c>
      <c r="W50" s="255">
        <v>5</v>
      </c>
      <c r="X50" s="255">
        <v>5</v>
      </c>
      <c r="Y50" s="271">
        <f t="shared" si="24"/>
        <v>5</v>
      </c>
      <c r="AA50" s="34" t="s">
        <v>120</v>
      </c>
      <c r="AC50" s="1">
        <v>2</v>
      </c>
    </row>
    <row r="51" spans="1:32" ht="23.5" customHeight="1">
      <c r="A51" s="54" t="s">
        <v>7</v>
      </c>
      <c r="B51" s="49">
        <v>31</v>
      </c>
      <c r="C51" s="101" t="s">
        <v>7</v>
      </c>
      <c r="D51" s="118">
        <f t="shared" si="20"/>
        <v>31</v>
      </c>
      <c r="E51" s="73">
        <v>259</v>
      </c>
      <c r="F51" s="106">
        <v>650700</v>
      </c>
      <c r="G51" s="106">
        <f t="shared" si="21"/>
        <v>2512.3552123552122</v>
      </c>
      <c r="H51" s="106">
        <v>362800</v>
      </c>
      <c r="I51" s="107">
        <f t="shared" si="22"/>
        <v>1400.7722007722007</v>
      </c>
      <c r="J51" s="106">
        <v>29650</v>
      </c>
      <c r="K51" s="106"/>
      <c r="L51" s="108">
        <f>F51+H51+J51</f>
        <v>1043150</v>
      </c>
      <c r="M51" s="109">
        <f>L51/E51</f>
        <v>4027.6061776061774</v>
      </c>
      <c r="N51" s="109"/>
      <c r="O51" s="109"/>
      <c r="P51" s="109"/>
      <c r="Q51" s="109"/>
      <c r="R51" s="110" t="e">
        <f t="shared" si="23"/>
        <v>#DIV/0!</v>
      </c>
      <c r="T51" s="247">
        <v>23.5</v>
      </c>
      <c r="U51" s="247">
        <v>31.1</v>
      </c>
      <c r="V51" s="255">
        <v>5</v>
      </c>
      <c r="W51" s="255">
        <v>5</v>
      </c>
      <c r="X51" s="255">
        <v>3</v>
      </c>
      <c r="Y51" s="271">
        <f t="shared" si="24"/>
        <v>4.333333333333333</v>
      </c>
      <c r="AA51" s="34" t="s">
        <v>121</v>
      </c>
      <c r="AC51" s="1">
        <v>1</v>
      </c>
    </row>
    <row r="52" spans="1:32" ht="23.5" customHeight="1">
      <c r="A52" s="54" t="s">
        <v>8</v>
      </c>
      <c r="B52" s="49"/>
      <c r="C52" s="101" t="s">
        <v>8</v>
      </c>
      <c r="D52" s="118">
        <f t="shared" si="20"/>
        <v>0</v>
      </c>
      <c r="E52" s="73"/>
      <c r="F52" s="106"/>
      <c r="G52" s="106" t="e">
        <f t="shared" si="21"/>
        <v>#DIV/0!</v>
      </c>
      <c r="H52" s="106">
        <v>0</v>
      </c>
      <c r="I52" s="107" t="e">
        <f t="shared" si="22"/>
        <v>#DIV/0!</v>
      </c>
      <c r="J52" s="106"/>
      <c r="K52" s="106"/>
      <c r="L52" s="108">
        <f>F52+H52+J52</f>
        <v>0</v>
      </c>
      <c r="M52" s="109" t="e">
        <f>L52/E52</f>
        <v>#DIV/0!</v>
      </c>
      <c r="N52" s="109"/>
      <c r="O52" s="109"/>
      <c r="P52" s="109"/>
      <c r="Q52" s="109"/>
      <c r="R52" s="110" t="e">
        <f t="shared" si="23"/>
        <v>#DIV/0!</v>
      </c>
      <c r="T52" s="247"/>
      <c r="U52" s="247"/>
      <c r="V52" s="255"/>
      <c r="W52" s="255"/>
      <c r="X52" s="255"/>
      <c r="Y52" s="271">
        <f t="shared" si="24"/>
        <v>0</v>
      </c>
      <c r="AA52" s="34" t="s">
        <v>126</v>
      </c>
      <c r="AC52" s="1">
        <v>0</v>
      </c>
    </row>
    <row r="53" spans="1:32" ht="23.5" customHeight="1" thickBot="1">
      <c r="A53" s="55" t="s">
        <v>9</v>
      </c>
      <c r="B53" s="49"/>
      <c r="C53" s="111" t="s">
        <v>9</v>
      </c>
      <c r="D53" s="118">
        <f t="shared" si="20"/>
        <v>0</v>
      </c>
      <c r="E53" s="73"/>
      <c r="F53" s="106"/>
      <c r="G53" s="106" t="e">
        <f>F53/E53</f>
        <v>#DIV/0!</v>
      </c>
      <c r="H53" s="106">
        <v>0</v>
      </c>
      <c r="I53" s="107" t="e">
        <f>H53/E53</f>
        <v>#DIV/0!</v>
      </c>
      <c r="J53" s="106"/>
      <c r="K53" s="106"/>
      <c r="L53" s="108">
        <f>F53+H53+J53</f>
        <v>0</v>
      </c>
      <c r="M53" s="109" t="e">
        <f>L53/E53</f>
        <v>#DIV/0!</v>
      </c>
      <c r="N53" s="109"/>
      <c r="O53" s="109"/>
      <c r="P53" s="109"/>
      <c r="Q53" s="109"/>
      <c r="R53" s="110" t="e">
        <f t="shared" si="23"/>
        <v>#DIV/0!</v>
      </c>
      <c r="T53" s="248"/>
      <c r="U53" s="248"/>
      <c r="V53" s="256"/>
      <c r="W53" s="255"/>
      <c r="X53" s="255"/>
      <c r="Y53" s="272">
        <f t="shared" si="24"/>
        <v>0</v>
      </c>
      <c r="AA53" s="1" t="s">
        <v>129</v>
      </c>
    </row>
    <row r="54" spans="1:32" ht="40" customHeight="1" thickTop="1" thickBot="1">
      <c r="A54" s="525" t="s">
        <v>13</v>
      </c>
      <c r="B54" s="526"/>
      <c r="C54" s="464" t="s">
        <v>13</v>
      </c>
      <c r="D54" s="465"/>
      <c r="E54" s="119">
        <f>SUM(E47:E53)</f>
        <v>1390</v>
      </c>
      <c r="F54" s="119">
        <f>SUM(F47:F53)</f>
        <v>3719000</v>
      </c>
      <c r="G54" s="119">
        <f>F54/E54</f>
        <v>2675.5395683453239</v>
      </c>
      <c r="H54" s="119">
        <f>SUM(H47:H53)</f>
        <v>2038550</v>
      </c>
      <c r="I54" s="120">
        <f>H54/E54</f>
        <v>1466.5827338129495</v>
      </c>
      <c r="J54" s="108">
        <f>SUM(J47:J53)</f>
        <v>113250</v>
      </c>
      <c r="K54" s="108"/>
      <c r="L54" s="119">
        <f>F54+H54</f>
        <v>5757550</v>
      </c>
      <c r="M54" s="121">
        <f>L54/E54</f>
        <v>4142.1223021582737</v>
      </c>
      <c r="N54" s="121"/>
      <c r="O54" s="121"/>
      <c r="P54" s="121"/>
      <c r="Q54" s="114">
        <f>SUM(Q47:Q53)</f>
        <v>0</v>
      </c>
      <c r="R54" s="122" t="e">
        <f t="shared" si="23"/>
        <v>#DIV/0!</v>
      </c>
      <c r="S54" s="259">
        <v>5</v>
      </c>
      <c r="T54" s="289">
        <f>SUM(T47:T53)/S54</f>
        <v>23.34</v>
      </c>
      <c r="U54" s="290">
        <f>SUM(U47:U53)/S54</f>
        <v>28.9</v>
      </c>
      <c r="V54" s="305">
        <f>SUM(V47:V53)/S54</f>
        <v>3.8</v>
      </c>
      <c r="W54" s="305">
        <f>SUM(W47:W53)/S54</f>
        <v>3.8</v>
      </c>
      <c r="X54" s="305">
        <f>SUM(X47:X53)/S54</f>
        <v>3.8</v>
      </c>
      <c r="Y54" s="306">
        <f>SUM(V54:X54)/3</f>
        <v>3.7999999999999994</v>
      </c>
      <c r="Z54" s="259">
        <v>15</v>
      </c>
      <c r="AA54" s="532">
        <f>L54/S54</f>
        <v>1151510</v>
      </c>
      <c r="AB54" s="533"/>
      <c r="AC54" s="533"/>
      <c r="AD54" s="533"/>
      <c r="AE54" s="534"/>
      <c r="AF54" s="282" t="s">
        <v>140</v>
      </c>
    </row>
    <row r="55" spans="1:32" ht="23.5" customHeight="1" thickTop="1">
      <c r="A55" s="456" t="s">
        <v>18</v>
      </c>
      <c r="B55" s="457"/>
      <c r="C55" s="461" t="s">
        <v>18</v>
      </c>
      <c r="D55" s="462"/>
      <c r="E55" s="462"/>
      <c r="F55" s="462"/>
      <c r="G55" s="462"/>
      <c r="H55" s="462"/>
      <c r="I55" s="462"/>
      <c r="J55" s="462"/>
      <c r="K55" s="462"/>
      <c r="L55" s="462"/>
      <c r="M55" s="462"/>
      <c r="N55" s="462"/>
      <c r="O55" s="462"/>
      <c r="P55" s="462"/>
      <c r="Q55" s="462"/>
      <c r="R55" s="463"/>
      <c r="T55" s="497" t="str">
        <f>C55</f>
        <v>6th week</v>
      </c>
      <c r="U55" s="497"/>
      <c r="V55" s="497"/>
      <c r="W55" s="497"/>
      <c r="X55" s="497"/>
      <c r="Y55" s="497"/>
    </row>
    <row r="56" spans="1:32" ht="23.5" customHeight="1">
      <c r="A56" s="52" t="s">
        <v>10</v>
      </c>
      <c r="B56" s="36" t="s">
        <v>11</v>
      </c>
      <c r="C56" s="101" t="s">
        <v>10</v>
      </c>
      <c r="D56" s="102" t="s">
        <v>11</v>
      </c>
      <c r="E56" s="102" t="s">
        <v>1</v>
      </c>
      <c r="F56" s="102" t="s">
        <v>30</v>
      </c>
      <c r="G56" s="102" t="s">
        <v>31</v>
      </c>
      <c r="H56" s="102" t="s">
        <v>28</v>
      </c>
      <c r="I56" s="102" t="s">
        <v>29</v>
      </c>
      <c r="J56" s="102" t="s">
        <v>388</v>
      </c>
      <c r="K56" s="102" t="s">
        <v>384</v>
      </c>
      <c r="L56" s="102" t="s">
        <v>71</v>
      </c>
      <c r="M56" s="103" t="s">
        <v>48</v>
      </c>
      <c r="N56" s="103" t="s">
        <v>385</v>
      </c>
      <c r="O56" s="103" t="s">
        <v>386</v>
      </c>
      <c r="P56" s="103" t="s">
        <v>387</v>
      </c>
      <c r="Q56" s="103" t="s">
        <v>40</v>
      </c>
      <c r="R56" s="104" t="s">
        <v>73</v>
      </c>
      <c r="T56" s="252" t="s">
        <v>114</v>
      </c>
      <c r="U56" s="253" t="s">
        <v>115</v>
      </c>
      <c r="V56" s="48" t="s">
        <v>116</v>
      </c>
      <c r="W56" s="48" t="s">
        <v>117</v>
      </c>
      <c r="X56" s="48" t="s">
        <v>118</v>
      </c>
      <c r="Y56" s="254" t="s">
        <v>127</v>
      </c>
      <c r="AA56" s="1" t="s">
        <v>122</v>
      </c>
      <c r="AC56" s="35" t="s">
        <v>125</v>
      </c>
    </row>
    <row r="57" spans="1:32" ht="23.5" customHeight="1">
      <c r="A57" s="53" t="s">
        <v>3</v>
      </c>
      <c r="B57" s="49"/>
      <c r="C57" s="105" t="s">
        <v>3</v>
      </c>
      <c r="D57" s="118">
        <f>B57</f>
        <v>0</v>
      </c>
      <c r="E57" s="73"/>
      <c r="F57" s="106"/>
      <c r="G57" s="106" t="e">
        <f>F57/E57</f>
        <v>#DIV/0!</v>
      </c>
      <c r="H57" s="106"/>
      <c r="I57" s="107" t="e">
        <f>H57/E57</f>
        <v>#DIV/0!</v>
      </c>
      <c r="J57" s="106">
        <v>0</v>
      </c>
      <c r="K57" s="106"/>
      <c r="L57" s="108">
        <f>F57+H57+J57</f>
        <v>0</v>
      </c>
      <c r="M57" s="109" t="e">
        <f>L57/E57</f>
        <v>#DIV/0!</v>
      </c>
      <c r="N57" s="109"/>
      <c r="O57" s="109"/>
      <c r="P57" s="109"/>
      <c r="Q57" s="109"/>
      <c r="R57" s="110" t="e">
        <f>L57/Q57</f>
        <v>#DIV/0!</v>
      </c>
      <c r="T57" s="247"/>
      <c r="U57" s="247"/>
      <c r="V57" s="255"/>
      <c r="W57" s="255"/>
      <c r="X57" s="255"/>
      <c r="Y57" s="271">
        <f>SUM(V57:X57)/3</f>
        <v>0</v>
      </c>
      <c r="AA57" s="270" t="s">
        <v>123</v>
      </c>
      <c r="AB57" s="2"/>
      <c r="AC57" s="269">
        <v>5</v>
      </c>
    </row>
    <row r="58" spans="1:32" ht="23.5" customHeight="1">
      <c r="A58" s="54" t="s">
        <v>4</v>
      </c>
      <c r="B58" s="49"/>
      <c r="C58" s="101" t="s">
        <v>4</v>
      </c>
      <c r="D58" s="118">
        <f t="shared" ref="D58:D63" si="25">B58</f>
        <v>0</v>
      </c>
      <c r="E58" s="73"/>
      <c r="F58" s="106"/>
      <c r="G58" s="106" t="e">
        <f t="shared" ref="G58:G62" si="26">F58/E58</f>
        <v>#DIV/0!</v>
      </c>
      <c r="H58" s="106"/>
      <c r="I58" s="107" t="e">
        <f t="shared" ref="I58:I62" si="27">H58/E58</f>
        <v>#DIV/0!</v>
      </c>
      <c r="J58" s="106">
        <v>0</v>
      </c>
      <c r="K58" s="106"/>
      <c r="L58" s="108">
        <f>F58+H58+J58</f>
        <v>0</v>
      </c>
      <c r="M58" s="109" t="e">
        <f>L58/E58</f>
        <v>#DIV/0!</v>
      </c>
      <c r="N58" s="109"/>
      <c r="O58" s="109"/>
      <c r="P58" s="109"/>
      <c r="Q58" s="109"/>
      <c r="R58" s="110" t="e">
        <f t="shared" ref="R58:R64" si="28">L58/Q58</f>
        <v>#DIV/0!</v>
      </c>
      <c r="T58" s="247"/>
      <c r="U58" s="247"/>
      <c r="V58" s="255"/>
      <c r="W58" s="255"/>
      <c r="X58" s="255"/>
      <c r="Y58" s="271">
        <f t="shared" ref="Y58:Y63" si="29">SUM(V58:X58)/3</f>
        <v>0</v>
      </c>
      <c r="AA58" s="34" t="s">
        <v>124</v>
      </c>
      <c r="AC58" s="1">
        <v>4</v>
      </c>
    </row>
    <row r="59" spans="1:32" ht="23.5" customHeight="1">
      <c r="A59" s="54" t="s">
        <v>5</v>
      </c>
      <c r="B59" s="49"/>
      <c r="C59" s="101" t="s">
        <v>5</v>
      </c>
      <c r="D59" s="118">
        <f t="shared" si="25"/>
        <v>0</v>
      </c>
      <c r="E59" s="73"/>
      <c r="F59" s="106"/>
      <c r="G59" s="106" t="e">
        <f t="shared" si="26"/>
        <v>#DIV/0!</v>
      </c>
      <c r="H59" s="106"/>
      <c r="I59" s="107" t="e">
        <f t="shared" si="27"/>
        <v>#DIV/0!</v>
      </c>
      <c r="J59" s="106">
        <v>0</v>
      </c>
      <c r="K59" s="106"/>
      <c r="L59" s="108">
        <f>F59+H59+J59</f>
        <v>0</v>
      </c>
      <c r="M59" s="109" t="e">
        <f>L59/E59</f>
        <v>#DIV/0!</v>
      </c>
      <c r="N59" s="109"/>
      <c r="O59" s="109"/>
      <c r="P59" s="109"/>
      <c r="Q59" s="109"/>
      <c r="R59" s="110" t="e">
        <f t="shared" si="28"/>
        <v>#DIV/0!</v>
      </c>
      <c r="T59" s="247"/>
      <c r="U59" s="247"/>
      <c r="V59" s="255"/>
      <c r="W59" s="255"/>
      <c r="X59" s="255"/>
      <c r="Y59" s="271">
        <f t="shared" si="29"/>
        <v>0</v>
      </c>
      <c r="AA59" s="34" t="s">
        <v>128</v>
      </c>
      <c r="AC59" s="1">
        <v>3</v>
      </c>
    </row>
    <row r="60" spans="1:32" ht="23.5" customHeight="1">
      <c r="A60" s="54" t="s">
        <v>6</v>
      </c>
      <c r="B60" s="49"/>
      <c r="C60" s="101" t="s">
        <v>6</v>
      </c>
      <c r="D60" s="118">
        <f t="shared" si="25"/>
        <v>0</v>
      </c>
      <c r="E60" s="73"/>
      <c r="F60" s="106"/>
      <c r="G60" s="106" t="e">
        <f t="shared" si="26"/>
        <v>#DIV/0!</v>
      </c>
      <c r="H60" s="106"/>
      <c r="I60" s="107" t="e">
        <f t="shared" si="27"/>
        <v>#DIV/0!</v>
      </c>
      <c r="J60" s="106">
        <v>0</v>
      </c>
      <c r="K60" s="106"/>
      <c r="L60" s="108">
        <f>F60+H60+J60</f>
        <v>0</v>
      </c>
      <c r="M60" s="109" t="e">
        <f>L60/E60</f>
        <v>#DIV/0!</v>
      </c>
      <c r="N60" s="109"/>
      <c r="O60" s="109"/>
      <c r="P60" s="109"/>
      <c r="Q60" s="109"/>
      <c r="R60" s="110" t="e">
        <f t="shared" si="28"/>
        <v>#DIV/0!</v>
      </c>
      <c r="T60" s="247"/>
      <c r="U60" s="247"/>
      <c r="V60" s="255"/>
      <c r="W60" s="255"/>
      <c r="X60" s="255"/>
      <c r="Y60" s="271">
        <f t="shared" si="29"/>
        <v>0</v>
      </c>
      <c r="AA60" s="34" t="s">
        <v>120</v>
      </c>
      <c r="AC60" s="1">
        <v>2</v>
      </c>
    </row>
    <row r="61" spans="1:32" ht="23.5" customHeight="1">
      <c r="A61" s="54" t="s">
        <v>7</v>
      </c>
      <c r="B61" s="49"/>
      <c r="C61" s="101" t="s">
        <v>7</v>
      </c>
      <c r="D61" s="118">
        <f t="shared" si="25"/>
        <v>0</v>
      </c>
      <c r="E61" s="73"/>
      <c r="F61" s="106"/>
      <c r="G61" s="106" t="e">
        <f t="shared" si="26"/>
        <v>#DIV/0!</v>
      </c>
      <c r="H61" s="106"/>
      <c r="I61" s="107" t="e">
        <f t="shared" si="27"/>
        <v>#DIV/0!</v>
      </c>
      <c r="J61" s="106"/>
      <c r="K61" s="106"/>
      <c r="L61" s="108">
        <f>F61+H61+J61</f>
        <v>0</v>
      </c>
      <c r="M61" s="109" t="e">
        <f>L61/E61</f>
        <v>#DIV/0!</v>
      </c>
      <c r="N61" s="109"/>
      <c r="O61" s="109"/>
      <c r="P61" s="109"/>
      <c r="Q61" s="109"/>
      <c r="R61" s="110" t="e">
        <f t="shared" si="28"/>
        <v>#DIV/0!</v>
      </c>
      <c r="T61" s="247"/>
      <c r="U61" s="247"/>
      <c r="V61" s="255"/>
      <c r="W61" s="255"/>
      <c r="X61" s="255"/>
      <c r="Y61" s="271">
        <f t="shared" si="29"/>
        <v>0</v>
      </c>
      <c r="AA61" s="34" t="s">
        <v>121</v>
      </c>
      <c r="AC61" s="1">
        <v>1</v>
      </c>
    </row>
    <row r="62" spans="1:32" ht="23.5" customHeight="1">
      <c r="A62" s="54" t="s">
        <v>8</v>
      </c>
      <c r="B62" s="49"/>
      <c r="C62" s="101" t="s">
        <v>8</v>
      </c>
      <c r="D62" s="118">
        <f t="shared" si="25"/>
        <v>0</v>
      </c>
      <c r="E62" s="73"/>
      <c r="F62" s="106"/>
      <c r="G62" s="106" t="e">
        <f t="shared" si="26"/>
        <v>#DIV/0!</v>
      </c>
      <c r="H62" s="106">
        <v>0</v>
      </c>
      <c r="I62" s="107" t="e">
        <f t="shared" si="27"/>
        <v>#DIV/0!</v>
      </c>
      <c r="J62" s="106"/>
      <c r="K62" s="106"/>
      <c r="L62" s="108">
        <f>F62+H62+J62</f>
        <v>0</v>
      </c>
      <c r="M62" s="109" t="e">
        <f>L62/E62</f>
        <v>#DIV/0!</v>
      </c>
      <c r="N62" s="109"/>
      <c r="O62" s="109"/>
      <c r="P62" s="109"/>
      <c r="Q62" s="109"/>
      <c r="R62" s="110" t="e">
        <f t="shared" si="28"/>
        <v>#DIV/0!</v>
      </c>
      <c r="T62" s="247"/>
      <c r="U62" s="247"/>
      <c r="V62" s="255"/>
      <c r="W62" s="255"/>
      <c r="X62" s="255"/>
      <c r="Y62" s="271">
        <f t="shared" si="29"/>
        <v>0</v>
      </c>
      <c r="AA62" s="34" t="s">
        <v>126</v>
      </c>
      <c r="AC62" s="1">
        <v>0</v>
      </c>
    </row>
    <row r="63" spans="1:32" ht="23.5" customHeight="1" thickBot="1">
      <c r="A63" s="55" t="s">
        <v>9</v>
      </c>
      <c r="B63" s="49"/>
      <c r="C63" s="111" t="s">
        <v>9</v>
      </c>
      <c r="D63" s="118">
        <f t="shared" si="25"/>
        <v>0</v>
      </c>
      <c r="E63" s="73"/>
      <c r="F63" s="106"/>
      <c r="G63" s="106" t="e">
        <f>F63/E63</f>
        <v>#DIV/0!</v>
      </c>
      <c r="H63" s="106">
        <v>0</v>
      </c>
      <c r="I63" s="107" t="e">
        <f>H63/E63</f>
        <v>#DIV/0!</v>
      </c>
      <c r="J63" s="106"/>
      <c r="K63" s="106"/>
      <c r="L63" s="108">
        <f>F63+H63+J63</f>
        <v>0</v>
      </c>
      <c r="M63" s="109" t="e">
        <f>L63/E63</f>
        <v>#DIV/0!</v>
      </c>
      <c r="N63" s="109"/>
      <c r="O63" s="109"/>
      <c r="P63" s="109"/>
      <c r="Q63" s="109"/>
      <c r="R63" s="110" t="e">
        <f t="shared" si="28"/>
        <v>#DIV/0!</v>
      </c>
      <c r="T63" s="248"/>
      <c r="U63" s="248"/>
      <c r="V63" s="256"/>
      <c r="W63" s="256"/>
      <c r="X63" s="256"/>
      <c r="Y63" s="272">
        <f t="shared" si="29"/>
        <v>0</v>
      </c>
      <c r="AA63" s="1" t="s">
        <v>129</v>
      </c>
    </row>
    <row r="64" spans="1:32" ht="23.5" customHeight="1" thickTop="1" thickBot="1">
      <c r="A64" s="525" t="s">
        <v>13</v>
      </c>
      <c r="B64" s="526"/>
      <c r="C64" s="464" t="s">
        <v>13</v>
      </c>
      <c r="D64" s="465"/>
      <c r="E64" s="119">
        <f>SUM(E57:E63)</f>
        <v>0</v>
      </c>
      <c r="F64" s="119">
        <f>SUM(F57:F63)</f>
        <v>0</v>
      </c>
      <c r="G64" s="119" t="e">
        <f>F64/E64</f>
        <v>#DIV/0!</v>
      </c>
      <c r="H64" s="119">
        <f>SUM(H57:H63)</f>
        <v>0</v>
      </c>
      <c r="I64" s="120" t="e">
        <f>H64/E64</f>
        <v>#DIV/0!</v>
      </c>
      <c r="J64" s="108">
        <f>SUM(J57:J63)</f>
        <v>0</v>
      </c>
      <c r="K64" s="108"/>
      <c r="L64" s="119">
        <f>F64+H64</f>
        <v>0</v>
      </c>
      <c r="M64" s="121" t="e">
        <f>L64/E64</f>
        <v>#DIV/0!</v>
      </c>
      <c r="N64" s="121"/>
      <c r="O64" s="121"/>
      <c r="P64" s="121"/>
      <c r="Q64" s="114">
        <f>SUM(Q57:Q63)</f>
        <v>0</v>
      </c>
      <c r="R64" s="122" t="e">
        <f t="shared" si="28"/>
        <v>#DIV/0!</v>
      </c>
      <c r="S64" s="259"/>
      <c r="T64" s="267" t="e">
        <f>SUM(T57:T63)/S64</f>
        <v>#DIV/0!</v>
      </c>
      <c r="U64" s="266" t="e">
        <f>SUM(U57:U63)/S64</f>
        <v>#DIV/0!</v>
      </c>
      <c r="V64" s="266" t="e">
        <f>SUM(V57:V63)/S64</f>
        <v>#DIV/0!</v>
      </c>
      <c r="W64" s="266" t="e">
        <f>SUM(W57:W63)/S64</f>
        <v>#DIV/0!</v>
      </c>
      <c r="X64" s="266" t="e">
        <f>SUM(X57:X63)/S64</f>
        <v>#DIV/0!</v>
      </c>
      <c r="Y64" s="268" t="e">
        <f>SUM(V64:X64)/3</f>
        <v>#DIV/0!</v>
      </c>
      <c r="Z64" s="259"/>
      <c r="AA64" s="535" t="e">
        <f>L64/S64</f>
        <v>#DIV/0!</v>
      </c>
      <c r="AB64" s="535"/>
      <c r="AC64" s="535"/>
      <c r="AD64" s="535"/>
      <c r="AE64" s="535"/>
    </row>
    <row r="65" spans="1:25" ht="33.5" customHeight="1" thickTop="1">
      <c r="A65" s="477" t="s">
        <v>2</v>
      </c>
      <c r="B65" s="478"/>
      <c r="C65" s="483" t="s">
        <v>2</v>
      </c>
      <c r="D65" s="484"/>
      <c r="E65" s="484"/>
      <c r="F65" s="484"/>
      <c r="G65" s="484"/>
      <c r="H65" s="484"/>
      <c r="I65" s="484"/>
      <c r="J65" s="484"/>
      <c r="K65" s="484"/>
      <c r="L65" s="484"/>
      <c r="M65" s="484"/>
      <c r="N65" s="484"/>
      <c r="O65" s="484"/>
      <c r="P65" s="484"/>
      <c r="Q65" s="484"/>
      <c r="R65" s="485"/>
      <c r="T65" s="497" t="str">
        <f>C65</f>
        <v>TOTAL</v>
      </c>
      <c r="U65" s="497"/>
      <c r="V65" s="497"/>
      <c r="W65" s="497"/>
      <c r="X65" s="497"/>
      <c r="Y65" s="497"/>
    </row>
    <row r="66" spans="1:25" s="37" customFormat="1" ht="23" customHeight="1">
      <c r="A66" s="78" t="s">
        <v>10</v>
      </c>
      <c r="B66" s="79" t="s">
        <v>19</v>
      </c>
      <c r="C66" s="112" t="s">
        <v>10</v>
      </c>
      <c r="D66" s="113" t="s">
        <v>19</v>
      </c>
      <c r="E66" s="102" t="s">
        <v>1</v>
      </c>
      <c r="F66" s="102" t="s">
        <v>30</v>
      </c>
      <c r="G66" s="102" t="s">
        <v>31</v>
      </c>
      <c r="H66" s="102" t="s">
        <v>28</v>
      </c>
      <c r="I66" s="102" t="s">
        <v>29</v>
      </c>
      <c r="J66" s="102" t="s">
        <v>72</v>
      </c>
      <c r="K66" s="102" t="s">
        <v>384</v>
      </c>
      <c r="L66" s="102" t="s">
        <v>71</v>
      </c>
      <c r="M66" s="103" t="s">
        <v>48</v>
      </c>
      <c r="N66" s="103" t="s">
        <v>385</v>
      </c>
      <c r="O66" s="103" t="s">
        <v>386</v>
      </c>
      <c r="P66" s="103" t="s">
        <v>387</v>
      </c>
      <c r="Q66" s="103" t="s">
        <v>40</v>
      </c>
      <c r="R66" s="104" t="s">
        <v>73</v>
      </c>
      <c r="T66" s="252" t="s">
        <v>114</v>
      </c>
      <c r="U66" s="253" t="s">
        <v>115</v>
      </c>
      <c r="V66" s="48" t="s">
        <v>116</v>
      </c>
      <c r="W66" s="48" t="s">
        <v>117</v>
      </c>
      <c r="X66" s="48" t="s">
        <v>118</v>
      </c>
      <c r="Y66" s="254" t="s">
        <v>127</v>
      </c>
    </row>
    <row r="67" spans="1:25" ht="23" customHeight="1">
      <c r="A67" s="53" t="s">
        <v>3</v>
      </c>
      <c r="B67" s="42"/>
      <c r="C67" s="105" t="s">
        <v>3</v>
      </c>
      <c r="D67" s="115"/>
      <c r="E67" s="107">
        <f t="shared" ref="E67:F70" si="30">E7+E17+E27+E37+E47+E57</f>
        <v>1584</v>
      </c>
      <c r="F67" s="107">
        <f t="shared" si="30"/>
        <v>4359550</v>
      </c>
      <c r="G67" s="106">
        <f t="shared" ref="G67:G74" si="31">F67/E67</f>
        <v>2752.2411616161617</v>
      </c>
      <c r="H67" s="107">
        <f>H7+H17+H27+H37+H47+H57</f>
        <v>2363150</v>
      </c>
      <c r="I67" s="107">
        <f>H67/E67</f>
        <v>1491.8876262626263</v>
      </c>
      <c r="J67" s="107">
        <f>J7+J17+J27+J37+J47+J57</f>
        <v>62150</v>
      </c>
      <c r="K67" s="107"/>
      <c r="L67" s="73">
        <f t="shared" ref="L67:M70" si="32">L7+L17+L27+L37+L47+L57</f>
        <v>6784850</v>
      </c>
      <c r="M67" s="107" t="e">
        <f t="shared" si="32"/>
        <v>#DIV/0!</v>
      </c>
      <c r="N67" s="107"/>
      <c r="O67" s="107"/>
      <c r="P67" s="107"/>
      <c r="Q67" s="107">
        <f>Q7+Q17+Q27+Q37+Q47+Q57</f>
        <v>187.5</v>
      </c>
      <c r="R67" s="133">
        <f>L67/Q67</f>
        <v>36185.866666666669</v>
      </c>
      <c r="T67" s="249">
        <f>T7+T17+T27+T37+T47+T57</f>
        <v>96.5</v>
      </c>
      <c r="U67" s="249">
        <f>U7+U17+U27+U37+U47+U57</f>
        <v>116.7</v>
      </c>
      <c r="V67" s="274">
        <f>V7+V17+V37+V47+V27+V57</f>
        <v>6</v>
      </c>
      <c r="W67" s="274">
        <f t="shared" ref="W67:X67" si="33">W7+W17+W37+W47+W27+W57</f>
        <v>14</v>
      </c>
      <c r="X67" s="274">
        <f t="shared" si="33"/>
        <v>12</v>
      </c>
      <c r="Y67" s="275">
        <f>SUM(V67:X67)/3</f>
        <v>10.666666666666666</v>
      </c>
    </row>
    <row r="68" spans="1:25" ht="23" customHeight="1">
      <c r="A68" s="54" t="s">
        <v>4</v>
      </c>
      <c r="B68" s="42"/>
      <c r="C68" s="101" t="s">
        <v>4</v>
      </c>
      <c r="D68" s="115"/>
      <c r="E68" s="107">
        <f t="shared" si="30"/>
        <v>1316</v>
      </c>
      <c r="F68" s="107">
        <f t="shared" si="30"/>
        <v>3602750</v>
      </c>
      <c r="G68" s="106">
        <f t="shared" si="31"/>
        <v>2737.6519756838907</v>
      </c>
      <c r="H68" s="107">
        <f>H8+H18+H28+H38+H48+H58</f>
        <v>1919800</v>
      </c>
      <c r="I68" s="107">
        <f t="shared" ref="I68:I73" si="34">H68/E68</f>
        <v>1458.8145896656536</v>
      </c>
      <c r="J68" s="107">
        <f>J8+J18+J28+J38+J48+J58</f>
        <v>47850</v>
      </c>
      <c r="K68" s="107"/>
      <c r="L68" s="73">
        <f t="shared" si="32"/>
        <v>5570400</v>
      </c>
      <c r="M68" s="107" t="e">
        <f t="shared" si="32"/>
        <v>#DIV/0!</v>
      </c>
      <c r="N68" s="107"/>
      <c r="O68" s="107"/>
      <c r="P68" s="107"/>
      <c r="Q68" s="107">
        <f>Q8+Q18+Q28+Q38+Q48+Q58</f>
        <v>163</v>
      </c>
      <c r="R68" s="133">
        <f t="shared" ref="R68:R73" si="35">L68/Q68</f>
        <v>34174.233128834356</v>
      </c>
      <c r="T68" s="249">
        <f t="shared" ref="T68:U72" si="36">T8+T18+T28+T38+T48+T58</f>
        <v>89.999999999999986</v>
      </c>
      <c r="U68" s="249">
        <f t="shared" si="36"/>
        <v>116.99999999999999</v>
      </c>
      <c r="V68" s="274">
        <f t="shared" ref="V68:X73" si="37">V8+V18+V38+V48+V28+V58</f>
        <v>18</v>
      </c>
      <c r="W68" s="274">
        <f t="shared" si="37"/>
        <v>16</v>
      </c>
      <c r="X68" s="274">
        <f t="shared" si="37"/>
        <v>15</v>
      </c>
      <c r="Y68" s="275">
        <f t="shared" ref="Y68:Y73" si="38">SUM(V68:X68)/3</f>
        <v>16.333333333333332</v>
      </c>
    </row>
    <row r="69" spans="1:25" ht="23" customHeight="1">
      <c r="A69" s="54" t="s">
        <v>5</v>
      </c>
      <c r="B69" s="42"/>
      <c r="C69" s="101" t="s">
        <v>5</v>
      </c>
      <c r="D69" s="115"/>
      <c r="E69" s="107">
        <f t="shared" si="30"/>
        <v>1735</v>
      </c>
      <c r="F69" s="107">
        <f t="shared" si="30"/>
        <v>5202850</v>
      </c>
      <c r="G69" s="106">
        <f t="shared" si="31"/>
        <v>2998.7608069164266</v>
      </c>
      <c r="H69" s="107">
        <f>H9+H19+H29+H39+H49+H59</f>
        <v>2765900</v>
      </c>
      <c r="I69" s="107">
        <f t="shared" si="34"/>
        <v>1594.178674351585</v>
      </c>
      <c r="J69" s="107">
        <f>J9+J19+J29+J39+J49+J59</f>
        <v>78100</v>
      </c>
      <c r="K69" s="107"/>
      <c r="L69" s="73">
        <f t="shared" si="32"/>
        <v>8046850</v>
      </c>
      <c r="M69" s="107" t="e">
        <f t="shared" si="32"/>
        <v>#DIV/0!</v>
      </c>
      <c r="N69" s="107"/>
      <c r="O69" s="107"/>
      <c r="P69" s="107"/>
      <c r="Q69" s="107">
        <f>Q9+Q19+Q29+Q39+Q49+Q59</f>
        <v>321.5</v>
      </c>
      <c r="R69" s="133">
        <f t="shared" si="35"/>
        <v>25029.082426127527</v>
      </c>
      <c r="T69" s="249">
        <f t="shared" si="36"/>
        <v>113.2</v>
      </c>
      <c r="U69" s="249">
        <f t="shared" si="36"/>
        <v>149.19999999999999</v>
      </c>
      <c r="V69" s="274">
        <f t="shared" si="37"/>
        <v>17</v>
      </c>
      <c r="W69" s="274">
        <f t="shared" si="37"/>
        <v>13</v>
      </c>
      <c r="X69" s="274">
        <f t="shared" si="37"/>
        <v>20</v>
      </c>
      <c r="Y69" s="275">
        <f t="shared" si="38"/>
        <v>16.666666666666668</v>
      </c>
    </row>
    <row r="70" spans="1:25" ht="23" customHeight="1">
      <c r="A70" s="54" t="s">
        <v>6</v>
      </c>
      <c r="B70" s="42"/>
      <c r="C70" s="101" t="s">
        <v>6</v>
      </c>
      <c r="D70" s="115"/>
      <c r="E70" s="107">
        <f t="shared" si="30"/>
        <v>1496</v>
      </c>
      <c r="F70" s="107">
        <f t="shared" si="30"/>
        <v>4032400</v>
      </c>
      <c r="G70" s="106">
        <f t="shared" si="31"/>
        <v>2695.4545454545455</v>
      </c>
      <c r="H70" s="107">
        <f>H10+H20+H30+H40+H50+H60</f>
        <v>2272200</v>
      </c>
      <c r="I70" s="107">
        <f t="shared" si="34"/>
        <v>1518.8502673796791</v>
      </c>
      <c r="J70" s="107">
        <f>J10+J20+J30+J40+J50+J60</f>
        <v>105600</v>
      </c>
      <c r="K70" s="107"/>
      <c r="L70" s="73">
        <f t="shared" si="32"/>
        <v>6410200</v>
      </c>
      <c r="M70" s="107" t="e">
        <f t="shared" si="32"/>
        <v>#DIV/0!</v>
      </c>
      <c r="N70" s="107"/>
      <c r="O70" s="107"/>
      <c r="P70" s="107"/>
      <c r="Q70" s="107">
        <f>Q10+Q20+Q30+Q40+Q50+Q60</f>
        <v>324</v>
      </c>
      <c r="R70" s="133">
        <f t="shared" si="35"/>
        <v>19784.567901234568</v>
      </c>
      <c r="T70" s="249">
        <f t="shared" si="36"/>
        <v>120.4</v>
      </c>
      <c r="U70" s="249">
        <f t="shared" si="36"/>
        <v>155.29999999999998</v>
      </c>
      <c r="V70" s="274">
        <f t="shared" si="37"/>
        <v>13</v>
      </c>
      <c r="W70" s="274">
        <f t="shared" si="37"/>
        <v>15</v>
      </c>
      <c r="X70" s="274">
        <f t="shared" si="37"/>
        <v>20</v>
      </c>
      <c r="Y70" s="275">
        <f t="shared" si="38"/>
        <v>16</v>
      </c>
    </row>
    <row r="71" spans="1:25" ht="23" customHeight="1">
      <c r="A71" s="54" t="s">
        <v>7</v>
      </c>
      <c r="B71" s="42"/>
      <c r="C71" s="101" t="s">
        <v>7</v>
      </c>
      <c r="D71" s="115"/>
      <c r="E71" s="107">
        <f>E21+E11+E31+E41+E51+E61</f>
        <v>1523</v>
      </c>
      <c r="F71" s="107">
        <f>F21+F11+F31+F41+F51+F61</f>
        <v>4013400</v>
      </c>
      <c r="G71" s="106">
        <f t="shared" si="31"/>
        <v>2635.1936966513458</v>
      </c>
      <c r="H71" s="107">
        <f>H21+H11+H31+H41+H51+H61</f>
        <v>2259650</v>
      </c>
      <c r="I71" s="107">
        <f t="shared" si="34"/>
        <v>1483.6835193696652</v>
      </c>
      <c r="J71" s="107">
        <f>J21+J11+J31+J41+J51+J61</f>
        <v>96750</v>
      </c>
      <c r="K71" s="107"/>
      <c r="L71" s="73">
        <f>L21+L11+L31+L41+L51+L61</f>
        <v>6369800</v>
      </c>
      <c r="M71" s="107" t="e">
        <f>M21+M11+M31+M41+M51+M61</f>
        <v>#DIV/0!</v>
      </c>
      <c r="N71" s="107"/>
      <c r="O71" s="107"/>
      <c r="P71" s="107"/>
      <c r="Q71" s="107">
        <f>Q21+Q11+Q31+Q41+Q51+Q61</f>
        <v>358</v>
      </c>
      <c r="R71" s="133">
        <f t="shared" si="35"/>
        <v>17792.737430167599</v>
      </c>
      <c r="T71" s="249">
        <f t="shared" si="36"/>
        <v>126.3</v>
      </c>
      <c r="U71" s="249">
        <f t="shared" si="36"/>
        <v>160.5</v>
      </c>
      <c r="V71" s="274">
        <f t="shared" si="37"/>
        <v>21</v>
      </c>
      <c r="W71" s="274">
        <f t="shared" si="37"/>
        <v>15</v>
      </c>
      <c r="X71" s="274">
        <f t="shared" si="37"/>
        <v>18</v>
      </c>
      <c r="Y71" s="275">
        <f t="shared" si="38"/>
        <v>18</v>
      </c>
    </row>
    <row r="72" spans="1:25" ht="23" customHeight="1">
      <c r="A72" s="54" t="s">
        <v>8</v>
      </c>
      <c r="B72" s="42"/>
      <c r="C72" s="101" t="s">
        <v>8</v>
      </c>
      <c r="D72" s="115"/>
      <c r="E72" s="107">
        <f>E12+E22+E32+E42+E52+E62</f>
        <v>1442</v>
      </c>
      <c r="F72" s="107">
        <f>F12+F22+F32+F42+F52+F62</f>
        <v>4493400</v>
      </c>
      <c r="G72" s="106">
        <f t="shared" si="31"/>
        <v>3116.0887656033287</v>
      </c>
      <c r="H72" s="107">
        <f>H12+H22+H32+H42+H52+H62</f>
        <v>2529350</v>
      </c>
      <c r="I72" s="107">
        <f t="shared" si="34"/>
        <v>1754.0568654646324</v>
      </c>
      <c r="J72" s="107">
        <f>J12+J22+J32+J42+J52+J62</f>
        <v>96250</v>
      </c>
      <c r="K72" s="107"/>
      <c r="L72" s="73">
        <f t="shared" ref="L72:Q73" si="39">L12+L22+L32+L42+L52+L62</f>
        <v>7119000</v>
      </c>
      <c r="M72" s="107" t="e">
        <f t="shared" si="39"/>
        <v>#DIV/0!</v>
      </c>
      <c r="N72" s="107"/>
      <c r="O72" s="107"/>
      <c r="P72" s="107"/>
      <c r="Q72" s="107">
        <f t="shared" si="39"/>
        <v>347.5</v>
      </c>
      <c r="R72" s="133">
        <f t="shared" si="35"/>
        <v>20486.330935251797</v>
      </c>
      <c r="T72" s="249">
        <f t="shared" si="36"/>
        <v>101.19999999999999</v>
      </c>
      <c r="U72" s="249">
        <f t="shared" si="36"/>
        <v>129</v>
      </c>
      <c r="V72" s="274">
        <f t="shared" si="37"/>
        <v>14</v>
      </c>
      <c r="W72" s="274">
        <f t="shared" si="37"/>
        <v>12</v>
      </c>
      <c r="X72" s="274">
        <f t="shared" si="37"/>
        <v>13</v>
      </c>
      <c r="Y72" s="275">
        <f t="shared" si="38"/>
        <v>13</v>
      </c>
    </row>
    <row r="73" spans="1:25" ht="23" customHeight="1" thickBot="1">
      <c r="A73" s="55" t="s">
        <v>9</v>
      </c>
      <c r="B73" s="42"/>
      <c r="C73" s="111" t="s">
        <v>9</v>
      </c>
      <c r="D73" s="115"/>
      <c r="E73" s="107">
        <f>E13+E23+E33+E43+E53+E63</f>
        <v>1997</v>
      </c>
      <c r="F73" s="107">
        <f>F13+F23+F33+F43+F53+F63</f>
        <v>5721600</v>
      </c>
      <c r="G73" s="106">
        <f t="shared" si="31"/>
        <v>2865.0976464697046</v>
      </c>
      <c r="H73" s="107">
        <f>H13+H23+H33+H43+H53+H63</f>
        <v>3195200</v>
      </c>
      <c r="I73" s="107">
        <f t="shared" si="34"/>
        <v>1600</v>
      </c>
      <c r="J73" s="107">
        <f>J13+J23+J33+J43+J53+J63</f>
        <v>131450</v>
      </c>
      <c r="K73" s="107"/>
      <c r="L73" s="73">
        <f t="shared" si="39"/>
        <v>9048250</v>
      </c>
      <c r="M73" s="107" t="e">
        <f t="shared" si="39"/>
        <v>#DIV/0!</v>
      </c>
      <c r="N73" s="107"/>
      <c r="O73" s="107"/>
      <c r="P73" s="107"/>
      <c r="Q73" s="107">
        <f t="shared" si="39"/>
        <v>185.5</v>
      </c>
      <c r="R73" s="133">
        <f t="shared" si="35"/>
        <v>48777.628032345012</v>
      </c>
      <c r="S73" s="1">
        <f>S14+S24+S34+S44+S54+S64</f>
        <v>31</v>
      </c>
      <c r="T73" s="250">
        <f>T13+T23+T33+T43+T53+T63</f>
        <v>95.8</v>
      </c>
      <c r="U73" s="250">
        <f>U13+U23+U33+U43+U53+U63</f>
        <v>129.19999999999999</v>
      </c>
      <c r="V73" s="274">
        <f t="shared" si="37"/>
        <v>14</v>
      </c>
      <c r="W73" s="274">
        <f t="shared" si="37"/>
        <v>12</v>
      </c>
      <c r="X73" s="274">
        <f t="shared" si="37"/>
        <v>17</v>
      </c>
      <c r="Y73" s="276">
        <f t="shared" si="38"/>
        <v>14.333333333333334</v>
      </c>
    </row>
    <row r="74" spans="1:25" s="34" customFormat="1" ht="47" customHeight="1" thickTop="1" thickBot="1">
      <c r="A74" s="56" t="s">
        <v>2</v>
      </c>
      <c r="B74" s="57">
        <f>SUM(B67:B73)</f>
        <v>0</v>
      </c>
      <c r="C74" s="116" t="s">
        <v>2</v>
      </c>
      <c r="D74" s="117">
        <f>SUM(D67:D73)</f>
        <v>0</v>
      </c>
      <c r="E74" s="58">
        <f>SUM(E67:E73)</f>
        <v>11093</v>
      </c>
      <c r="F74" s="58">
        <f>SUM(F67:F73)</f>
        <v>31425950</v>
      </c>
      <c r="G74" s="58">
        <f t="shared" si="31"/>
        <v>2832.9532137383935</v>
      </c>
      <c r="H74" s="58">
        <f>SUM(H67:H73)</f>
        <v>17305250</v>
      </c>
      <c r="I74" s="58">
        <f>H74/E74</f>
        <v>1560.015324979717</v>
      </c>
      <c r="J74" s="58">
        <f>SUM(J67:J73)</f>
        <v>618150</v>
      </c>
      <c r="K74" s="58"/>
      <c r="L74" s="58">
        <f>SUM(L67:L73)</f>
        <v>49349350</v>
      </c>
      <c r="M74" s="58">
        <f>L74/E74</f>
        <v>4448.6928693770842</v>
      </c>
      <c r="N74" s="58"/>
      <c r="O74" s="58"/>
      <c r="P74" s="58"/>
      <c r="Q74" s="134">
        <f>SUM(Q67:Q73)</f>
        <v>1887</v>
      </c>
      <c r="R74" s="71">
        <f>L74/Q74</f>
        <v>26152.278749337573</v>
      </c>
      <c r="T74" s="289">
        <f>SUM(T67:T73)/S73</f>
        <v>23.980645161290319</v>
      </c>
      <c r="U74" s="297">
        <f>SUM(U67:U73)/S73</f>
        <v>30.867741935483867</v>
      </c>
      <c r="V74" s="305">
        <f>SUM(V67:V73)/S73</f>
        <v>3.3225806451612905</v>
      </c>
      <c r="W74" s="305">
        <f>SUM(W67:W73)/S73</f>
        <v>3.129032258064516</v>
      </c>
      <c r="X74" s="305">
        <f>SUM(X67:X73)/S73</f>
        <v>3.7096774193548385</v>
      </c>
      <c r="Y74" s="306">
        <f>SUM(V74:X74)/3</f>
        <v>3.387096774193548</v>
      </c>
    </row>
    <row r="75" spans="1:25" s="30" customFormat="1" ht="20.25" hidden="1" customHeight="1" thickTop="1" thickBot="1">
      <c r="A75" s="27" t="s">
        <v>24</v>
      </c>
      <c r="B75" s="37"/>
      <c r="C75" s="27" t="s">
        <v>24</v>
      </c>
      <c r="D75" s="37"/>
      <c r="E75" s="27"/>
      <c r="F75" s="28"/>
      <c r="G75" s="28"/>
      <c r="H75" s="28"/>
      <c r="I75" s="28"/>
      <c r="J75" s="28"/>
      <c r="K75" s="28"/>
      <c r="L75" s="28"/>
      <c r="M75" s="28"/>
      <c r="N75" s="28"/>
      <c r="O75" s="28"/>
      <c r="P75" s="28"/>
      <c r="Q75" s="28"/>
      <c r="R75" s="29"/>
    </row>
    <row r="76" spans="1:25" ht="30.5" hidden="1" customHeight="1" thickTop="1">
      <c r="A76" s="38"/>
      <c r="B76" s="39"/>
      <c r="C76" s="38"/>
      <c r="D76" s="39"/>
      <c r="E76" s="26"/>
      <c r="F76" s="26"/>
      <c r="G76" s="26"/>
      <c r="H76" s="26"/>
      <c r="I76" s="26"/>
      <c r="J76" s="26"/>
      <c r="K76" s="26"/>
      <c r="L76" s="26"/>
      <c r="M76" s="26"/>
      <c r="N76" s="26"/>
      <c r="O76" s="26"/>
      <c r="P76" s="26"/>
      <c r="Q76" s="26"/>
    </row>
    <row r="77" spans="1:25" ht="32.25" hidden="1" customHeight="1" thickTop="1">
      <c r="A77" s="479" t="s">
        <v>0</v>
      </c>
      <c r="B77" s="480"/>
      <c r="C77" s="479" t="s">
        <v>0</v>
      </c>
      <c r="D77" s="480"/>
      <c r="E77" s="97" t="s">
        <v>25</v>
      </c>
      <c r="F77" s="486"/>
      <c r="G77" s="486"/>
      <c r="H77" s="486"/>
      <c r="I77" s="486"/>
      <c r="J77" s="486"/>
      <c r="K77" s="486"/>
      <c r="L77" s="487"/>
      <c r="M77" s="62"/>
      <c r="N77" s="62"/>
      <c r="O77" s="62"/>
      <c r="P77" s="62"/>
      <c r="Q77" s="62"/>
      <c r="R77" s="8"/>
    </row>
    <row r="78" spans="1:25" ht="32.25" hidden="1" customHeight="1" thickTop="1">
      <c r="A78" s="479"/>
      <c r="B78" s="480"/>
      <c r="C78" s="479"/>
      <c r="D78" s="480"/>
      <c r="E78" s="488" t="s">
        <v>0</v>
      </c>
      <c r="F78" s="489"/>
      <c r="G78" s="489"/>
      <c r="H78" s="489"/>
      <c r="I78" s="489"/>
      <c r="J78" s="489"/>
      <c r="K78" s="489"/>
      <c r="L78" s="490"/>
      <c r="M78" s="63"/>
      <c r="N78" s="63"/>
      <c r="O78" s="63"/>
      <c r="P78" s="63"/>
      <c r="Q78" s="63"/>
    </row>
    <row r="79" spans="1:25" ht="32.25" hidden="1" customHeight="1" thickTop="1">
      <c r="A79" s="479"/>
      <c r="B79" s="480"/>
      <c r="C79" s="479"/>
      <c r="D79" s="480"/>
      <c r="E79" s="3" t="s">
        <v>1</v>
      </c>
      <c r="F79" s="6"/>
      <c r="G79" s="6"/>
      <c r="H79" s="6" t="s">
        <v>20</v>
      </c>
      <c r="I79" s="40"/>
      <c r="J79" s="40"/>
      <c r="K79" s="40"/>
      <c r="L79" s="7" t="s">
        <v>21</v>
      </c>
      <c r="M79" s="64"/>
      <c r="N79" s="64"/>
      <c r="O79" s="64"/>
      <c r="P79" s="64"/>
      <c r="Q79" s="64"/>
      <c r="R79" s="31"/>
    </row>
    <row r="80" spans="1:25" ht="32.25" hidden="1" customHeight="1" thickTop="1">
      <c r="A80" s="479"/>
      <c r="B80" s="480"/>
      <c r="C80" s="479"/>
      <c r="D80" s="480"/>
      <c r="E80" s="20"/>
      <c r="F80" s="4"/>
      <c r="G80" s="4"/>
      <c r="H80" s="12" t="e">
        <f>#REF!*E80</f>
        <v>#REF!</v>
      </c>
      <c r="I80" s="14"/>
      <c r="J80" s="14"/>
      <c r="K80" s="14"/>
      <c r="L80" s="13" t="e">
        <f>#REF!*E80</f>
        <v>#REF!</v>
      </c>
      <c r="M80" s="65"/>
      <c r="N80" s="65"/>
      <c r="O80" s="65"/>
      <c r="P80" s="65"/>
      <c r="Q80" s="65"/>
      <c r="R80" s="32"/>
    </row>
    <row r="81" spans="1:18" ht="21" hidden="1" customHeight="1" thickTop="1">
      <c r="A81" s="479"/>
      <c r="B81" s="480"/>
      <c r="C81" s="479"/>
      <c r="D81" s="480"/>
      <c r="F81" s="9"/>
      <c r="G81" s="9"/>
    </row>
    <row r="82" spans="1:18" ht="32.25" hidden="1" customHeight="1" thickTop="1">
      <c r="A82" s="479"/>
      <c r="B82" s="480"/>
      <c r="C82" s="479"/>
      <c r="D82" s="480"/>
      <c r="E82" s="1" t="s">
        <v>22</v>
      </c>
      <c r="F82" s="10"/>
      <c r="G82" s="10"/>
    </row>
    <row r="83" spans="1:18" ht="32.25" hidden="1" customHeight="1" thickTop="1">
      <c r="A83" s="479"/>
      <c r="B83" s="480"/>
      <c r="C83" s="479"/>
      <c r="D83" s="480"/>
      <c r="E83" s="15" t="s">
        <v>1</v>
      </c>
      <c r="F83" s="15"/>
      <c r="G83" s="15"/>
      <c r="H83" s="15" t="s">
        <v>20</v>
      </c>
      <c r="I83" s="15"/>
      <c r="J83" s="15"/>
      <c r="K83" s="15"/>
      <c r="L83" s="15" t="s">
        <v>21</v>
      </c>
      <c r="M83" s="50"/>
      <c r="N83" s="50"/>
      <c r="O83" s="50"/>
      <c r="P83" s="50"/>
      <c r="Q83" s="50"/>
    </row>
    <row r="84" spans="1:18" s="5" customFormat="1" ht="32.25" hidden="1" customHeight="1" thickTop="1">
      <c r="A84" s="479"/>
      <c r="B84" s="480"/>
      <c r="C84" s="479"/>
      <c r="D84" s="480"/>
      <c r="E84" s="21">
        <f t="shared" ref="E84" si="40">E74-E80</f>
        <v>11093</v>
      </c>
      <c r="F84" s="22"/>
      <c r="G84" s="22"/>
      <c r="H84" s="21" t="e">
        <f t="shared" ref="H84" si="41">H74-H80</f>
        <v>#REF!</v>
      </c>
      <c r="I84" s="21"/>
      <c r="J84" s="21"/>
      <c r="K84" s="21"/>
      <c r="L84" s="21" t="e">
        <f t="shared" ref="L84" si="42">L74-L80</f>
        <v>#REF!</v>
      </c>
      <c r="M84" s="66"/>
      <c r="N84" s="66"/>
      <c r="O84" s="66"/>
      <c r="P84" s="66"/>
      <c r="Q84" s="66"/>
      <c r="R84" s="1"/>
    </row>
    <row r="85" spans="1:18" s="5" customFormat="1" ht="32.25" hidden="1" customHeight="1" thickTop="1">
      <c r="A85" s="479"/>
      <c r="B85" s="480"/>
      <c r="C85" s="479"/>
      <c r="D85" s="480"/>
      <c r="E85" s="23" t="e">
        <f>E74/E80</f>
        <v>#DIV/0!</v>
      </c>
      <c r="F85" s="23"/>
      <c r="G85" s="23"/>
      <c r="H85" s="23" t="e">
        <f t="shared" ref="H85" si="43">H74/H80</f>
        <v>#REF!</v>
      </c>
      <c r="I85" s="23"/>
      <c r="J85" s="23"/>
      <c r="K85" s="23"/>
      <c r="L85" s="23" t="e">
        <f t="shared" ref="L85" si="44">L74/L80</f>
        <v>#REF!</v>
      </c>
      <c r="M85" s="67"/>
      <c r="N85" s="67"/>
      <c r="O85" s="67"/>
      <c r="P85" s="67"/>
      <c r="Q85" s="67"/>
      <c r="R85" s="1"/>
    </row>
    <row r="86" spans="1:18" s="5" customFormat="1" ht="32.25" hidden="1" customHeight="1" thickTop="1">
      <c r="A86" s="479"/>
      <c r="B86" s="480"/>
      <c r="C86" s="479"/>
      <c r="D86" s="480"/>
      <c r="E86" s="1" t="s">
        <v>26</v>
      </c>
      <c r="F86" s="1"/>
      <c r="G86" s="1"/>
      <c r="H86" s="1"/>
      <c r="I86" s="1"/>
      <c r="J86" s="1"/>
      <c r="K86" s="1"/>
      <c r="L86" s="1"/>
      <c r="M86" s="1"/>
      <c r="N86" s="1"/>
      <c r="O86" s="1"/>
      <c r="P86" s="1"/>
      <c r="Q86" s="1"/>
      <c r="R86" s="1"/>
    </row>
    <row r="87" spans="1:18" s="5" customFormat="1" ht="32.25" hidden="1" customHeight="1" thickTop="1">
      <c r="A87" s="479"/>
      <c r="B87" s="480"/>
      <c r="C87" s="479"/>
      <c r="D87" s="480"/>
      <c r="E87" s="15" t="s">
        <v>1</v>
      </c>
      <c r="F87" s="15"/>
      <c r="G87" s="15"/>
      <c r="H87" s="15" t="s">
        <v>20</v>
      </c>
      <c r="I87" s="15"/>
      <c r="J87" s="15"/>
      <c r="K87" s="15"/>
      <c r="L87" s="15" t="s">
        <v>21</v>
      </c>
      <c r="M87" s="50"/>
      <c r="N87" s="50"/>
      <c r="O87" s="50"/>
      <c r="P87" s="50"/>
      <c r="Q87" s="50"/>
      <c r="R87" s="1"/>
    </row>
    <row r="88" spans="1:18" s="5" customFormat="1" ht="32.25" hidden="1" customHeight="1" thickTop="1">
      <c r="A88" s="479"/>
      <c r="B88" s="480"/>
      <c r="C88" s="479"/>
      <c r="D88" s="480"/>
      <c r="E88" s="16"/>
      <c r="F88" s="18"/>
      <c r="G88" s="18"/>
      <c r="H88" s="17"/>
      <c r="I88" s="17"/>
      <c r="J88" s="17"/>
      <c r="K88" s="17"/>
      <c r="L88" s="17"/>
      <c r="M88" s="68"/>
      <c r="N88" s="68"/>
      <c r="O88" s="68"/>
      <c r="P88" s="68"/>
      <c r="Q88" s="68"/>
      <c r="R88" s="1"/>
    </row>
    <row r="89" spans="1:18" s="5" customFormat="1" ht="32.25" hidden="1" customHeight="1" thickTop="1">
      <c r="A89" s="479"/>
      <c r="B89" s="480"/>
      <c r="C89" s="479"/>
      <c r="D89" s="480"/>
      <c r="E89" s="1" t="s">
        <v>23</v>
      </c>
      <c r="F89" s="1"/>
      <c r="G89" s="1"/>
      <c r="H89" s="1"/>
      <c r="I89" s="1"/>
      <c r="J89" s="1"/>
      <c r="K89" s="1"/>
      <c r="L89" s="1"/>
      <c r="M89" s="1"/>
      <c r="N89" s="1"/>
      <c r="O89" s="1"/>
      <c r="P89" s="1"/>
      <c r="Q89" s="1"/>
      <c r="R89" s="1"/>
    </row>
    <row r="90" spans="1:18" s="5" customFormat="1" ht="32.25" hidden="1" customHeight="1" thickTop="1">
      <c r="A90" s="479"/>
      <c r="B90" s="480"/>
      <c r="C90" s="479"/>
      <c r="D90" s="480"/>
      <c r="E90" s="15" t="s">
        <v>1</v>
      </c>
      <c r="F90" s="15"/>
      <c r="G90" s="15"/>
      <c r="H90" s="15" t="s">
        <v>20</v>
      </c>
      <c r="I90" s="15"/>
      <c r="J90" s="15"/>
      <c r="K90" s="15"/>
      <c r="L90" s="15" t="s">
        <v>21</v>
      </c>
      <c r="M90" s="50"/>
      <c r="N90" s="50"/>
      <c r="O90" s="50"/>
      <c r="P90" s="50"/>
      <c r="Q90" s="50"/>
      <c r="R90" s="1"/>
    </row>
    <row r="91" spans="1:18" s="5" customFormat="1" ht="30" hidden="1" customHeight="1" thickTop="1">
      <c r="A91" s="479"/>
      <c r="B91" s="480"/>
      <c r="C91" s="479"/>
      <c r="D91" s="480"/>
      <c r="E91" s="16">
        <f>E74-E88</f>
        <v>11093</v>
      </c>
      <c r="F91" s="16"/>
      <c r="G91" s="16"/>
      <c r="H91" s="16">
        <f t="shared" ref="H91" si="45">H74-H88</f>
        <v>17305250</v>
      </c>
      <c r="I91" s="16"/>
      <c r="J91" s="16"/>
      <c r="K91" s="16"/>
      <c r="L91" s="16">
        <f t="shared" ref="L91" si="46">L74-L88</f>
        <v>49349350</v>
      </c>
      <c r="M91" s="69"/>
      <c r="N91" s="69"/>
      <c r="O91" s="69"/>
      <c r="P91" s="69"/>
      <c r="Q91" s="69"/>
      <c r="R91" s="1"/>
    </row>
    <row r="92" spans="1:18" s="5" customFormat="1" ht="32" hidden="1" customHeight="1" thickTop="1">
      <c r="A92" s="479"/>
      <c r="B92" s="480"/>
      <c r="C92" s="479"/>
      <c r="D92" s="480"/>
      <c r="E92" s="47" t="e">
        <f>E74/E88</f>
        <v>#DIV/0!</v>
      </c>
      <c r="F92" s="19"/>
      <c r="G92" s="19"/>
      <c r="H92" s="19" t="e">
        <f t="shared" ref="H92" si="47">H74/H88</f>
        <v>#DIV/0!</v>
      </c>
      <c r="I92" s="19"/>
      <c r="J92" s="19"/>
      <c r="K92" s="19"/>
      <c r="L92" s="19" t="e">
        <f t="shared" ref="L92" si="48">L74/L88</f>
        <v>#DIV/0!</v>
      </c>
      <c r="M92" s="51"/>
      <c r="N92" s="51"/>
      <c r="O92" s="51"/>
      <c r="P92" s="51"/>
      <c r="Q92" s="51"/>
      <c r="R92" s="11"/>
    </row>
    <row r="93" spans="1:18" s="5" customFormat="1" ht="56" customHeight="1" thickTop="1">
      <c r="A93" s="527" t="s">
        <v>39</v>
      </c>
      <c r="B93" s="527"/>
      <c r="C93" s="59"/>
      <c r="D93" s="59"/>
      <c r="E93" s="59"/>
      <c r="F93" s="476"/>
      <c r="G93" s="476"/>
      <c r="H93" s="1"/>
      <c r="I93" s="1"/>
      <c r="J93" s="130" t="s">
        <v>81</v>
      </c>
      <c r="K93" s="130"/>
      <c r="L93" s="123">
        <f>L74/1.1</f>
        <v>44863045.454545453</v>
      </c>
      <c r="M93" s="129" t="s">
        <v>80</v>
      </c>
      <c r="N93" s="129"/>
      <c r="O93" s="129"/>
      <c r="P93" s="129"/>
      <c r="Q93" s="124"/>
      <c r="R93" s="1"/>
    </row>
    <row r="94" spans="1:18" s="5" customFormat="1" ht="21" customHeight="1" thickBot="1">
      <c r="A94" s="527"/>
      <c r="B94" s="527"/>
      <c r="C94" s="1"/>
      <c r="D94" s="1"/>
      <c r="E94" s="1"/>
      <c r="F94" s="35"/>
      <c r="G94" s="35"/>
      <c r="H94" s="1"/>
      <c r="I94" s="1"/>
      <c r="J94" s="1"/>
      <c r="K94" s="1"/>
      <c r="L94" s="1"/>
      <c r="M94" s="1"/>
      <c r="N94" s="1"/>
      <c r="O94" s="1"/>
      <c r="P94" s="1"/>
      <c r="Q94" s="1"/>
      <c r="R94" s="1"/>
    </row>
    <row r="95" spans="1:18" ht="66" customHeight="1" thickTop="1" thickBot="1">
      <c r="A95" s="527"/>
      <c r="B95" s="527"/>
      <c r="F95" s="51"/>
      <c r="G95" s="51"/>
      <c r="H95" s="530"/>
      <c r="I95" s="531"/>
      <c r="J95" s="531"/>
      <c r="K95" s="531"/>
      <c r="L95" s="531"/>
      <c r="M95" s="61"/>
      <c r="N95" s="61"/>
      <c r="O95" s="61"/>
      <c r="P95" s="61"/>
      <c r="Q95" s="61"/>
      <c r="R95" s="60"/>
    </row>
    <row r="96" spans="1:18" ht="17" thickTop="1"/>
    <row r="97" spans="1:2" ht="32" customHeight="1"/>
    <row r="98" spans="1:2" s="24" customFormat="1" ht="34.25" customHeight="1">
      <c r="A98" s="33" t="s">
        <v>53</v>
      </c>
      <c r="B98" s="34"/>
    </row>
    <row r="99" spans="1:2" s="80" customFormat="1" ht="32" customHeight="1">
      <c r="A99" s="528" t="s">
        <v>54</v>
      </c>
      <c r="B99" s="528"/>
    </row>
    <row r="100" spans="1:2" ht="73" customHeight="1">
      <c r="A100" s="460" t="s">
        <v>55</v>
      </c>
      <c r="B100" s="460"/>
    </row>
    <row r="101" spans="1:2" ht="73" customHeight="1">
      <c r="A101" s="460" t="s">
        <v>56</v>
      </c>
      <c r="B101" s="460"/>
    </row>
    <row r="102" spans="1:2" ht="73" customHeight="1">
      <c r="A102" s="460" t="s">
        <v>57</v>
      </c>
      <c r="B102" s="460"/>
    </row>
    <row r="103" spans="1:2" ht="73" customHeight="1">
      <c r="A103" s="460" t="s">
        <v>58</v>
      </c>
      <c r="B103" s="460"/>
    </row>
    <row r="104" spans="1:2" ht="73" customHeight="1">
      <c r="A104" s="460" t="s">
        <v>59</v>
      </c>
      <c r="B104" s="460"/>
    </row>
    <row r="105" spans="1:2" ht="73" customHeight="1">
      <c r="A105" s="460" t="s">
        <v>49</v>
      </c>
      <c r="B105" s="460"/>
    </row>
    <row r="106" spans="1:2" ht="73" customHeight="1">
      <c r="A106" s="460" t="s">
        <v>50</v>
      </c>
      <c r="B106" s="460"/>
    </row>
    <row r="107" spans="1:2" ht="73" customHeight="1">
      <c r="A107" s="460"/>
      <c r="B107" s="460"/>
    </row>
    <row r="108" spans="1:2" ht="73" customHeight="1">
      <c r="A108" s="529"/>
      <c r="B108" s="529"/>
    </row>
    <row r="109" spans="1:2" ht="32" customHeight="1"/>
    <row r="110" spans="1:2" ht="32" customHeight="1"/>
    <row r="111" spans="1:2" ht="32" customHeight="1"/>
    <row r="112" spans="1:2" ht="32" customHeight="1"/>
    <row r="113" ht="32" customHeight="1"/>
  </sheetData>
  <mergeCells count="65">
    <mergeCell ref="AA64:AE64"/>
    <mergeCell ref="T4:Y4"/>
    <mergeCell ref="T5:Y5"/>
    <mergeCell ref="T15:Y15"/>
    <mergeCell ref="T25:Y25"/>
    <mergeCell ref="T35:Y35"/>
    <mergeCell ref="T45:Y45"/>
    <mergeCell ref="T55:Y55"/>
    <mergeCell ref="AA14:AE14"/>
    <mergeCell ref="AA24:AE24"/>
    <mergeCell ref="AA34:AE34"/>
    <mergeCell ref="AA44:AE44"/>
    <mergeCell ref="AA54:AE54"/>
    <mergeCell ref="T65:Y65"/>
    <mergeCell ref="F93:G93"/>
    <mergeCell ref="H95:L95"/>
    <mergeCell ref="C35:R35"/>
    <mergeCell ref="C44:D44"/>
    <mergeCell ref="C45:R45"/>
    <mergeCell ref="C54:D54"/>
    <mergeCell ref="C55:R55"/>
    <mergeCell ref="C64:D64"/>
    <mergeCell ref="C65:R65"/>
    <mergeCell ref="C77:D92"/>
    <mergeCell ref="F77:L77"/>
    <mergeCell ref="E78:L78"/>
    <mergeCell ref="A105:B105"/>
    <mergeCell ref="A104:B104"/>
    <mergeCell ref="A108:B108"/>
    <mergeCell ref="A107:B107"/>
    <mergeCell ref="A106:B106"/>
    <mergeCell ref="A99:B99"/>
    <mergeCell ref="A101:B101"/>
    <mergeCell ref="A103:B103"/>
    <mergeCell ref="A102:B102"/>
    <mergeCell ref="A100:B100"/>
    <mergeCell ref="A64:B64"/>
    <mergeCell ref="A45:B45"/>
    <mergeCell ref="A54:B54"/>
    <mergeCell ref="A93:B95"/>
    <mergeCell ref="A65:B65"/>
    <mergeCell ref="A77:B92"/>
    <mergeCell ref="A35:B35"/>
    <mergeCell ref="A44:B44"/>
    <mergeCell ref="A25:B25"/>
    <mergeCell ref="A34:B34"/>
    <mergeCell ref="A55:B55"/>
    <mergeCell ref="C15:R15"/>
    <mergeCell ref="C24:D24"/>
    <mergeCell ref="C25:R25"/>
    <mergeCell ref="C34:D34"/>
    <mergeCell ref="A2:B2"/>
    <mergeCell ref="A3:B3"/>
    <mergeCell ref="A4:B4"/>
    <mergeCell ref="A15:B15"/>
    <mergeCell ref="A24:B24"/>
    <mergeCell ref="A5:B5"/>
    <mergeCell ref="A14:B14"/>
    <mergeCell ref="N3:Q3"/>
    <mergeCell ref="N4:Q4"/>
    <mergeCell ref="C3:M3"/>
    <mergeCell ref="C4:D4"/>
    <mergeCell ref="I4:J4"/>
    <mergeCell ref="C5:R5"/>
    <mergeCell ref="C14:D14"/>
  </mergeCells>
  <phoneticPr fontId="1"/>
  <pageMargins left="0.7" right="0.7" top="0.75" bottom="0.75" header="0.3" footer="0.3"/>
  <pageSetup paperSize="8" scale="1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1D4DF-5E66-B44C-8F7B-D6804EB04727}">
  <sheetPr>
    <tabColor rgb="FFFFC000"/>
  </sheetPr>
  <dimension ref="A1:L54"/>
  <sheetViews>
    <sheetView topLeftCell="A22" workbookViewId="0"/>
  </sheetViews>
  <sheetFormatPr baseColWidth="10" defaultRowHeight="19"/>
  <cols>
    <col min="1" max="1" width="17.33203125" style="319" customWidth="1"/>
    <col min="2" max="7" width="11.5" style="319" bestFit="1" customWidth="1"/>
    <col min="8" max="9" width="12.5" style="319" bestFit="1" customWidth="1"/>
    <col min="10" max="10" width="11.5" style="319" bestFit="1" customWidth="1"/>
    <col min="11" max="11" width="11.5" style="319" customWidth="1"/>
    <col min="12" max="12" width="14.6640625" style="319" bestFit="1" customWidth="1"/>
    <col min="13" max="16384" width="10.83203125" style="319"/>
  </cols>
  <sheetData>
    <row r="1" spans="1:12" ht="45" customHeight="1">
      <c r="A1" s="333" t="s">
        <v>198</v>
      </c>
    </row>
    <row r="2" spans="1:12" s="322" customFormat="1">
      <c r="A2" s="498" t="s">
        <v>141</v>
      </c>
      <c r="B2" s="517" t="s">
        <v>0</v>
      </c>
      <c r="C2" s="517"/>
      <c r="D2" s="517"/>
      <c r="E2" s="518" t="s">
        <v>199</v>
      </c>
      <c r="F2" s="518"/>
      <c r="G2" s="514" t="s">
        <v>200</v>
      </c>
      <c r="H2" s="515"/>
      <c r="I2" s="515"/>
      <c r="J2" s="515"/>
      <c r="K2" s="516"/>
      <c r="L2" s="498" t="s">
        <v>151</v>
      </c>
    </row>
    <row r="3" spans="1:12" s="322" customFormat="1">
      <c r="A3" s="498"/>
      <c r="B3" s="329" t="s">
        <v>142</v>
      </c>
      <c r="C3" s="329" t="s">
        <v>143</v>
      </c>
      <c r="D3" s="329" t="s">
        <v>144</v>
      </c>
      <c r="E3" s="323" t="s">
        <v>145</v>
      </c>
      <c r="F3" s="323" t="s">
        <v>146</v>
      </c>
      <c r="G3" s="331" t="s">
        <v>147</v>
      </c>
      <c r="H3" s="331" t="s">
        <v>148</v>
      </c>
      <c r="I3" s="331" t="s">
        <v>149</v>
      </c>
      <c r="J3" s="331" t="s">
        <v>150</v>
      </c>
      <c r="K3" s="331" t="s">
        <v>204</v>
      </c>
      <c r="L3" s="498"/>
    </row>
    <row r="4" spans="1:12">
      <c r="A4" s="324" t="s">
        <v>152</v>
      </c>
      <c r="B4" s="330">
        <v>91250</v>
      </c>
      <c r="C4" s="330">
        <v>106800</v>
      </c>
      <c r="D4" s="330">
        <v>75450</v>
      </c>
      <c r="E4" s="325">
        <v>91300</v>
      </c>
      <c r="F4" s="325">
        <v>205250</v>
      </c>
      <c r="G4" s="332">
        <v>297850</v>
      </c>
      <c r="H4" s="332">
        <v>429050</v>
      </c>
      <c r="I4" s="332">
        <v>182450</v>
      </c>
      <c r="J4" s="332">
        <v>96850</v>
      </c>
      <c r="K4" s="332">
        <v>6600</v>
      </c>
      <c r="L4" s="325">
        <f>SUM(B4:K4)</f>
        <v>1582850</v>
      </c>
    </row>
    <row r="5" spans="1:12">
      <c r="A5" s="324" t="s">
        <v>153</v>
      </c>
      <c r="B5" s="330">
        <v>106100</v>
      </c>
      <c r="C5" s="330">
        <v>24700</v>
      </c>
      <c r="D5" s="330">
        <v>32400</v>
      </c>
      <c r="E5" s="325">
        <v>18700</v>
      </c>
      <c r="F5" s="325">
        <v>135450</v>
      </c>
      <c r="G5" s="332">
        <v>159700</v>
      </c>
      <c r="H5" s="332">
        <v>458500</v>
      </c>
      <c r="I5" s="332">
        <v>380650</v>
      </c>
      <c r="J5" s="332">
        <v>86700</v>
      </c>
      <c r="K5" s="332">
        <v>22700</v>
      </c>
      <c r="L5" s="325">
        <f t="shared" ref="L5:L35" si="0">SUM(B5:K5)</f>
        <v>1425600</v>
      </c>
    </row>
    <row r="6" spans="1:12">
      <c r="A6" s="324" t="s">
        <v>154</v>
      </c>
      <c r="B6" s="330">
        <v>85550</v>
      </c>
      <c r="C6" s="330">
        <v>20250</v>
      </c>
      <c r="D6" s="330">
        <v>35100</v>
      </c>
      <c r="E6" s="325">
        <v>74900</v>
      </c>
      <c r="F6" s="325">
        <v>38500</v>
      </c>
      <c r="G6" s="332">
        <v>369750</v>
      </c>
      <c r="H6" s="332">
        <v>335250</v>
      </c>
      <c r="I6" s="332">
        <v>233650</v>
      </c>
      <c r="J6" s="332">
        <v>67400</v>
      </c>
      <c r="K6" s="332">
        <v>2400</v>
      </c>
      <c r="L6" s="325">
        <f t="shared" si="0"/>
        <v>1262750</v>
      </c>
    </row>
    <row r="7" spans="1:12">
      <c r="A7" s="324" t="s">
        <v>155</v>
      </c>
      <c r="B7" s="330">
        <v>17000</v>
      </c>
      <c r="C7" s="330">
        <v>62450</v>
      </c>
      <c r="D7" s="330">
        <v>73800</v>
      </c>
      <c r="E7" s="325">
        <v>52750</v>
      </c>
      <c r="F7" s="325">
        <v>51750</v>
      </c>
      <c r="G7" s="332">
        <v>291750</v>
      </c>
      <c r="H7" s="332">
        <v>383800</v>
      </c>
      <c r="I7" s="332">
        <v>626050</v>
      </c>
      <c r="J7" s="332">
        <v>179800</v>
      </c>
      <c r="K7" s="332">
        <v>0</v>
      </c>
      <c r="L7" s="325">
        <f t="shared" si="0"/>
        <v>1739150</v>
      </c>
    </row>
    <row r="8" spans="1:12">
      <c r="A8" s="324" t="s">
        <v>156</v>
      </c>
      <c r="B8" s="330">
        <v>184450</v>
      </c>
      <c r="C8" s="330">
        <v>147250</v>
      </c>
      <c r="D8" s="330">
        <v>249500</v>
      </c>
      <c r="E8" s="325">
        <v>163000</v>
      </c>
      <c r="F8" s="325">
        <v>298700</v>
      </c>
      <c r="G8" s="332">
        <v>288150</v>
      </c>
      <c r="H8" s="332">
        <v>643950</v>
      </c>
      <c r="I8" s="332">
        <v>430650</v>
      </c>
      <c r="J8" s="332">
        <v>221700</v>
      </c>
      <c r="K8" s="332">
        <v>11000</v>
      </c>
      <c r="L8" s="325">
        <f t="shared" si="0"/>
        <v>2638350</v>
      </c>
    </row>
    <row r="9" spans="1:12">
      <c r="A9" s="324" t="s">
        <v>157</v>
      </c>
      <c r="B9" s="330">
        <v>173450</v>
      </c>
      <c r="C9" s="330">
        <v>55150</v>
      </c>
      <c r="D9" s="330">
        <v>87700</v>
      </c>
      <c r="E9" s="325">
        <v>99750</v>
      </c>
      <c r="F9" s="325">
        <v>156150</v>
      </c>
      <c r="G9" s="332">
        <v>175750</v>
      </c>
      <c r="H9" s="332">
        <v>200900</v>
      </c>
      <c r="I9" s="332">
        <v>109600</v>
      </c>
      <c r="J9" s="332">
        <v>49350</v>
      </c>
      <c r="K9" s="332">
        <v>0</v>
      </c>
      <c r="L9" s="325">
        <f t="shared" si="0"/>
        <v>1107800</v>
      </c>
    </row>
    <row r="10" spans="1:12">
      <c r="A10" s="324" t="s">
        <v>158</v>
      </c>
      <c r="B10" s="330">
        <v>89150</v>
      </c>
      <c r="C10" s="330">
        <v>72150</v>
      </c>
      <c r="D10" s="330">
        <v>50900</v>
      </c>
      <c r="E10" s="325">
        <v>91350</v>
      </c>
      <c r="F10" s="325">
        <v>64900</v>
      </c>
      <c r="G10" s="332">
        <v>129600</v>
      </c>
      <c r="H10" s="332">
        <v>359100</v>
      </c>
      <c r="I10" s="332">
        <v>454800</v>
      </c>
      <c r="J10" s="332">
        <v>125350</v>
      </c>
      <c r="K10" s="332">
        <v>4100</v>
      </c>
      <c r="L10" s="325">
        <f t="shared" si="0"/>
        <v>1441400</v>
      </c>
    </row>
    <row r="11" spans="1:12">
      <c r="A11" s="324" t="s">
        <v>159</v>
      </c>
      <c r="B11" s="330">
        <v>114150</v>
      </c>
      <c r="C11" s="330">
        <v>83800</v>
      </c>
      <c r="D11" s="330">
        <v>33400</v>
      </c>
      <c r="E11" s="325">
        <v>261100</v>
      </c>
      <c r="F11" s="325">
        <v>24350</v>
      </c>
      <c r="G11" s="332">
        <v>177950</v>
      </c>
      <c r="H11" s="332">
        <v>277350</v>
      </c>
      <c r="I11" s="332">
        <v>947450</v>
      </c>
      <c r="J11" s="332">
        <v>33500</v>
      </c>
      <c r="K11" s="332">
        <v>1900</v>
      </c>
      <c r="L11" s="325">
        <f t="shared" si="0"/>
        <v>1954950</v>
      </c>
    </row>
    <row r="12" spans="1:12">
      <c r="A12" s="324" t="s">
        <v>160</v>
      </c>
      <c r="B12" s="330">
        <v>109200</v>
      </c>
      <c r="C12" s="330">
        <v>127200</v>
      </c>
      <c r="D12" s="330">
        <v>50050</v>
      </c>
      <c r="E12" s="325">
        <v>32100</v>
      </c>
      <c r="F12" s="325">
        <v>91000</v>
      </c>
      <c r="G12" s="332">
        <v>460650</v>
      </c>
      <c r="H12" s="332">
        <v>294500</v>
      </c>
      <c r="I12" s="332">
        <v>489500</v>
      </c>
      <c r="J12" s="332">
        <v>30500</v>
      </c>
      <c r="K12" s="332">
        <v>700</v>
      </c>
      <c r="L12" s="325">
        <f t="shared" si="0"/>
        <v>1685400</v>
      </c>
    </row>
    <row r="13" spans="1:12">
      <c r="A13" s="324" t="s">
        <v>161</v>
      </c>
      <c r="B13" s="330">
        <v>149900</v>
      </c>
      <c r="C13" s="330">
        <v>78700</v>
      </c>
      <c r="D13" s="330">
        <v>110150</v>
      </c>
      <c r="E13" s="325">
        <v>88650</v>
      </c>
      <c r="F13" s="325">
        <v>17200</v>
      </c>
      <c r="G13" s="332">
        <v>356150</v>
      </c>
      <c r="H13" s="332">
        <v>388600</v>
      </c>
      <c r="I13" s="332">
        <v>672250</v>
      </c>
      <c r="J13" s="332">
        <v>40550</v>
      </c>
      <c r="K13" s="332">
        <v>20600</v>
      </c>
      <c r="L13" s="325">
        <f t="shared" si="0"/>
        <v>1922750</v>
      </c>
    </row>
    <row r="14" spans="1:12">
      <c r="A14" s="324" t="s">
        <v>162</v>
      </c>
      <c r="B14" s="330">
        <v>222350</v>
      </c>
      <c r="C14" s="330">
        <v>186300</v>
      </c>
      <c r="D14" s="330">
        <v>118600</v>
      </c>
      <c r="E14" s="325">
        <v>164800</v>
      </c>
      <c r="F14" s="325">
        <v>323800</v>
      </c>
      <c r="G14" s="332">
        <v>355100</v>
      </c>
      <c r="H14" s="332">
        <v>314350</v>
      </c>
      <c r="I14" s="332">
        <v>370850</v>
      </c>
      <c r="J14" s="332">
        <v>139700</v>
      </c>
      <c r="K14" s="332">
        <v>16500</v>
      </c>
      <c r="L14" s="325">
        <f t="shared" si="0"/>
        <v>2212350</v>
      </c>
    </row>
    <row r="15" spans="1:12">
      <c r="A15" s="324" t="s">
        <v>163</v>
      </c>
      <c r="B15" s="330">
        <v>190750</v>
      </c>
      <c r="C15" s="330">
        <v>188900</v>
      </c>
      <c r="D15" s="330">
        <v>80000</v>
      </c>
      <c r="E15" s="325">
        <v>159200</v>
      </c>
      <c r="F15" s="325">
        <v>276900</v>
      </c>
      <c r="G15" s="332">
        <v>270700</v>
      </c>
      <c r="H15" s="332">
        <v>532250</v>
      </c>
      <c r="I15" s="332">
        <v>442950</v>
      </c>
      <c r="J15" s="332">
        <v>145600</v>
      </c>
      <c r="K15" s="332">
        <v>1400</v>
      </c>
      <c r="L15" s="325">
        <f t="shared" si="0"/>
        <v>2288650</v>
      </c>
    </row>
    <row r="16" spans="1:12">
      <c r="A16" s="324" t="s">
        <v>164</v>
      </c>
      <c r="B16" s="330">
        <v>282300</v>
      </c>
      <c r="C16" s="330">
        <v>139750</v>
      </c>
      <c r="D16" s="330">
        <v>141700</v>
      </c>
      <c r="E16" s="325">
        <v>132150</v>
      </c>
      <c r="F16" s="325">
        <v>189200</v>
      </c>
      <c r="G16" s="332">
        <v>370900</v>
      </c>
      <c r="H16" s="332">
        <v>390900</v>
      </c>
      <c r="I16" s="332">
        <v>401700</v>
      </c>
      <c r="J16" s="332">
        <v>187350</v>
      </c>
      <c r="K16" s="332">
        <v>9500</v>
      </c>
      <c r="L16" s="325">
        <f t="shared" si="0"/>
        <v>2245450</v>
      </c>
    </row>
    <row r="17" spans="1:12">
      <c r="A17" s="324" t="s">
        <v>165</v>
      </c>
      <c r="B17" s="330">
        <v>265500</v>
      </c>
      <c r="C17" s="330">
        <v>183750</v>
      </c>
      <c r="D17" s="330">
        <v>109600</v>
      </c>
      <c r="E17" s="325">
        <v>151950</v>
      </c>
      <c r="F17" s="325">
        <v>159850</v>
      </c>
      <c r="G17" s="332">
        <v>324850</v>
      </c>
      <c r="H17" s="332">
        <v>394850</v>
      </c>
      <c r="I17" s="332">
        <v>272250</v>
      </c>
      <c r="J17" s="332">
        <v>69150</v>
      </c>
      <c r="K17" s="332">
        <v>3900</v>
      </c>
      <c r="L17" s="325">
        <f t="shared" si="0"/>
        <v>1935650</v>
      </c>
    </row>
    <row r="18" spans="1:12">
      <c r="A18" s="324" t="s">
        <v>166</v>
      </c>
      <c r="B18" s="330">
        <v>249750</v>
      </c>
      <c r="C18" s="330">
        <v>90150</v>
      </c>
      <c r="D18" s="330">
        <v>117600</v>
      </c>
      <c r="E18" s="325">
        <v>147500</v>
      </c>
      <c r="F18" s="325">
        <v>165950</v>
      </c>
      <c r="G18" s="332">
        <v>402750</v>
      </c>
      <c r="H18" s="332">
        <v>515300</v>
      </c>
      <c r="I18" s="332">
        <v>220950</v>
      </c>
      <c r="J18" s="332">
        <v>55600</v>
      </c>
      <c r="K18" s="332">
        <v>22000</v>
      </c>
      <c r="L18" s="325">
        <f t="shared" si="0"/>
        <v>1987550</v>
      </c>
    </row>
    <row r="19" spans="1:12">
      <c r="A19" s="324" t="s">
        <v>167</v>
      </c>
      <c r="B19" s="330">
        <v>81450</v>
      </c>
      <c r="C19" s="330">
        <v>98450</v>
      </c>
      <c r="D19" s="330">
        <v>56500</v>
      </c>
      <c r="E19" s="325">
        <v>28850</v>
      </c>
      <c r="F19" s="325">
        <v>24800</v>
      </c>
      <c r="G19" s="332">
        <v>53100</v>
      </c>
      <c r="H19" s="332">
        <v>230250</v>
      </c>
      <c r="I19" s="332">
        <v>230250</v>
      </c>
      <c r="J19" s="332">
        <v>36050</v>
      </c>
      <c r="K19" s="332">
        <v>0</v>
      </c>
      <c r="L19" s="325">
        <f t="shared" si="0"/>
        <v>839700</v>
      </c>
    </row>
    <row r="20" spans="1:12">
      <c r="A20" s="324" t="s">
        <v>168</v>
      </c>
      <c r="B20" s="330">
        <v>115850</v>
      </c>
      <c r="C20" s="330">
        <v>122400</v>
      </c>
      <c r="D20" s="330">
        <v>36450</v>
      </c>
      <c r="E20" s="325">
        <v>100750</v>
      </c>
      <c r="F20" s="325">
        <v>75950</v>
      </c>
      <c r="G20" s="332">
        <v>104000</v>
      </c>
      <c r="H20" s="332">
        <v>176000</v>
      </c>
      <c r="I20" s="332">
        <v>195050</v>
      </c>
      <c r="J20" s="332">
        <v>43000</v>
      </c>
      <c r="K20" s="332">
        <v>5600</v>
      </c>
      <c r="L20" s="325">
        <f t="shared" si="0"/>
        <v>975050</v>
      </c>
    </row>
    <row r="21" spans="1:12">
      <c r="A21" s="324" t="s">
        <v>169</v>
      </c>
      <c r="B21" s="330">
        <v>128500</v>
      </c>
      <c r="C21" s="330">
        <v>88850</v>
      </c>
      <c r="D21" s="330">
        <v>54650</v>
      </c>
      <c r="E21" s="325">
        <v>97500</v>
      </c>
      <c r="F21" s="325">
        <v>127550</v>
      </c>
      <c r="G21" s="332">
        <v>208300</v>
      </c>
      <c r="H21" s="332">
        <v>633750</v>
      </c>
      <c r="I21" s="332">
        <v>376700</v>
      </c>
      <c r="J21" s="332">
        <v>112850</v>
      </c>
      <c r="K21" s="332">
        <v>0</v>
      </c>
      <c r="L21" s="325">
        <f t="shared" si="0"/>
        <v>1828650</v>
      </c>
    </row>
    <row r="22" spans="1:12">
      <c r="A22" s="324" t="s">
        <v>170</v>
      </c>
      <c r="B22" s="330">
        <v>291200</v>
      </c>
      <c r="C22" s="330">
        <v>211300</v>
      </c>
      <c r="D22" s="330">
        <v>110250</v>
      </c>
      <c r="E22" s="325">
        <v>177050</v>
      </c>
      <c r="F22" s="325">
        <v>281900</v>
      </c>
      <c r="G22" s="332">
        <v>223300</v>
      </c>
      <c r="H22" s="332">
        <v>588300</v>
      </c>
      <c r="I22" s="332">
        <v>306850</v>
      </c>
      <c r="J22" s="332">
        <v>99500</v>
      </c>
      <c r="K22" s="332">
        <v>12750</v>
      </c>
      <c r="L22" s="325">
        <f t="shared" si="0"/>
        <v>2302400</v>
      </c>
    </row>
    <row r="23" spans="1:12">
      <c r="A23" s="324" t="s">
        <v>171</v>
      </c>
      <c r="B23" s="330">
        <v>237600</v>
      </c>
      <c r="C23" s="330">
        <v>93800</v>
      </c>
      <c r="D23" s="330">
        <v>89250</v>
      </c>
      <c r="E23" s="325">
        <v>197750</v>
      </c>
      <c r="F23" s="325">
        <v>240350</v>
      </c>
      <c r="G23" s="332">
        <v>222600</v>
      </c>
      <c r="H23" s="332">
        <v>448100</v>
      </c>
      <c r="I23" s="332">
        <v>175200</v>
      </c>
      <c r="J23" s="332">
        <v>54700</v>
      </c>
      <c r="K23" s="332">
        <v>27500</v>
      </c>
      <c r="L23" s="325">
        <f t="shared" si="0"/>
        <v>1786850</v>
      </c>
    </row>
    <row r="24" spans="1:12">
      <c r="A24" s="324" t="s">
        <v>172</v>
      </c>
      <c r="B24" s="330">
        <v>125800</v>
      </c>
      <c r="C24" s="330">
        <v>116850</v>
      </c>
      <c r="D24" s="330">
        <v>49800</v>
      </c>
      <c r="E24" s="325">
        <v>77100</v>
      </c>
      <c r="F24" s="325">
        <v>112150</v>
      </c>
      <c r="G24" s="332">
        <v>119950</v>
      </c>
      <c r="H24" s="332">
        <v>447550</v>
      </c>
      <c r="I24" s="332">
        <v>252950</v>
      </c>
      <c r="J24" s="332">
        <v>42600</v>
      </c>
      <c r="K24" s="332">
        <v>0</v>
      </c>
      <c r="L24" s="325">
        <f t="shared" si="0"/>
        <v>1344750</v>
      </c>
    </row>
    <row r="25" spans="1:12">
      <c r="A25" s="324" t="s">
        <v>173</v>
      </c>
      <c r="B25" s="330">
        <v>89750</v>
      </c>
      <c r="C25" s="330">
        <v>40400</v>
      </c>
      <c r="D25" s="330">
        <v>74850</v>
      </c>
      <c r="E25" s="325">
        <v>59300</v>
      </c>
      <c r="F25" s="325">
        <v>32150</v>
      </c>
      <c r="G25" s="332">
        <v>268200</v>
      </c>
      <c r="H25" s="332">
        <v>376850</v>
      </c>
      <c r="I25" s="332">
        <v>267850</v>
      </c>
      <c r="J25" s="332">
        <v>80950</v>
      </c>
      <c r="K25" s="332">
        <v>22700</v>
      </c>
      <c r="L25" s="325">
        <f t="shared" si="0"/>
        <v>1313000</v>
      </c>
    </row>
    <row r="26" spans="1:12">
      <c r="A26" s="324" t="s">
        <v>174</v>
      </c>
      <c r="B26" s="330">
        <v>37400</v>
      </c>
      <c r="C26" s="330">
        <v>24400</v>
      </c>
      <c r="D26" s="330">
        <v>22650</v>
      </c>
      <c r="E26" s="325">
        <v>76900</v>
      </c>
      <c r="F26" s="325">
        <v>78550</v>
      </c>
      <c r="G26" s="332">
        <v>427450</v>
      </c>
      <c r="H26" s="332">
        <v>248200</v>
      </c>
      <c r="I26" s="332">
        <v>261500</v>
      </c>
      <c r="J26" s="332">
        <v>63350</v>
      </c>
      <c r="K26" s="332">
        <v>0</v>
      </c>
      <c r="L26" s="325">
        <f t="shared" si="0"/>
        <v>1240400</v>
      </c>
    </row>
    <row r="27" spans="1:12">
      <c r="A27" s="324" t="s">
        <v>175</v>
      </c>
      <c r="B27" s="330">
        <v>45650</v>
      </c>
      <c r="C27" s="330">
        <v>48600</v>
      </c>
      <c r="D27" s="330">
        <v>47350</v>
      </c>
      <c r="E27" s="325">
        <v>13450</v>
      </c>
      <c r="F27" s="325">
        <v>29500</v>
      </c>
      <c r="G27" s="332">
        <v>64850</v>
      </c>
      <c r="H27" s="332">
        <v>463600</v>
      </c>
      <c r="I27" s="332">
        <v>412700</v>
      </c>
      <c r="J27" s="332">
        <v>6700</v>
      </c>
      <c r="K27" s="332">
        <v>33700</v>
      </c>
      <c r="L27" s="325">
        <f t="shared" si="0"/>
        <v>1166100</v>
      </c>
    </row>
    <row r="28" spans="1:12">
      <c r="A28" s="324" t="s">
        <v>176</v>
      </c>
      <c r="B28" s="330">
        <v>76900</v>
      </c>
      <c r="C28" s="330">
        <v>25300</v>
      </c>
      <c r="D28" s="330">
        <v>48600</v>
      </c>
      <c r="E28" s="325">
        <v>23100</v>
      </c>
      <c r="F28" s="325">
        <v>15000</v>
      </c>
      <c r="G28" s="332">
        <v>97350</v>
      </c>
      <c r="H28" s="332">
        <v>293600</v>
      </c>
      <c r="I28" s="332">
        <v>558400</v>
      </c>
      <c r="J28" s="332">
        <v>183700</v>
      </c>
      <c r="K28" s="332">
        <v>11000</v>
      </c>
      <c r="L28" s="325">
        <f t="shared" si="0"/>
        <v>1332950</v>
      </c>
    </row>
    <row r="29" spans="1:12">
      <c r="A29" s="324" t="s">
        <v>177</v>
      </c>
      <c r="B29" s="330">
        <v>295500</v>
      </c>
      <c r="C29" s="330">
        <v>91650</v>
      </c>
      <c r="D29" s="330">
        <v>254900</v>
      </c>
      <c r="E29" s="325">
        <v>97900</v>
      </c>
      <c r="F29" s="325">
        <v>185150</v>
      </c>
      <c r="G29" s="332">
        <v>253650</v>
      </c>
      <c r="H29" s="332">
        <v>294350</v>
      </c>
      <c r="I29" s="332">
        <v>187000</v>
      </c>
      <c r="J29" s="332">
        <v>108600</v>
      </c>
      <c r="K29" s="332">
        <v>12100</v>
      </c>
      <c r="L29" s="325">
        <f t="shared" si="0"/>
        <v>1780800</v>
      </c>
    </row>
    <row r="30" spans="1:12">
      <c r="A30" s="324" t="s">
        <v>178</v>
      </c>
      <c r="B30" s="330">
        <v>266100</v>
      </c>
      <c r="C30" s="330">
        <v>65550</v>
      </c>
      <c r="D30" s="330">
        <v>163200</v>
      </c>
      <c r="E30" s="325">
        <v>102750</v>
      </c>
      <c r="F30" s="325">
        <v>234650</v>
      </c>
      <c r="G30" s="332">
        <v>186150</v>
      </c>
      <c r="H30" s="332">
        <v>338400</v>
      </c>
      <c r="I30" s="332">
        <v>174550</v>
      </c>
      <c r="J30" s="332">
        <v>61900</v>
      </c>
      <c r="K30" s="332">
        <v>1600</v>
      </c>
      <c r="L30" s="325">
        <f t="shared" si="0"/>
        <v>1594850</v>
      </c>
    </row>
    <row r="31" spans="1:12">
      <c r="A31" s="324" t="s">
        <v>179</v>
      </c>
      <c r="B31" s="330">
        <v>95550</v>
      </c>
      <c r="C31" s="330">
        <v>56200</v>
      </c>
      <c r="D31" s="330">
        <v>38000</v>
      </c>
      <c r="E31" s="325">
        <v>3400</v>
      </c>
      <c r="F31" s="325">
        <v>42950</v>
      </c>
      <c r="G31" s="332">
        <v>68000</v>
      </c>
      <c r="H31" s="332">
        <v>196200</v>
      </c>
      <c r="I31" s="332">
        <v>257100</v>
      </c>
      <c r="J31" s="332">
        <v>69200</v>
      </c>
      <c r="K31" s="332">
        <v>5500</v>
      </c>
      <c r="L31" s="325">
        <f t="shared" si="0"/>
        <v>832100</v>
      </c>
    </row>
    <row r="32" spans="1:12">
      <c r="A32" s="324" t="s">
        <v>180</v>
      </c>
      <c r="B32" s="330">
        <v>90750</v>
      </c>
      <c r="C32" s="330">
        <v>68600</v>
      </c>
      <c r="D32" s="330">
        <v>30800</v>
      </c>
      <c r="E32" s="325">
        <v>18550</v>
      </c>
      <c r="F32" s="325">
        <v>124200</v>
      </c>
      <c r="G32" s="332">
        <v>369900</v>
      </c>
      <c r="H32" s="332">
        <v>238000</v>
      </c>
      <c r="I32" s="332">
        <v>103400</v>
      </c>
      <c r="J32" s="332">
        <v>24600</v>
      </c>
      <c r="K32" s="332">
        <v>115500</v>
      </c>
      <c r="L32" s="325">
        <f t="shared" si="0"/>
        <v>1184300</v>
      </c>
    </row>
    <row r="33" spans="1:12">
      <c r="A33" s="324" t="s">
        <v>181</v>
      </c>
      <c r="B33" s="330">
        <v>95650</v>
      </c>
      <c r="C33" s="330">
        <v>133350</v>
      </c>
      <c r="D33" s="330">
        <v>47000</v>
      </c>
      <c r="E33" s="325">
        <v>88200</v>
      </c>
      <c r="F33" s="325">
        <v>27950</v>
      </c>
      <c r="G33" s="332">
        <v>59100</v>
      </c>
      <c r="H33" s="332">
        <v>520650</v>
      </c>
      <c r="I33" s="332">
        <v>149100</v>
      </c>
      <c r="J33" s="332">
        <v>29400</v>
      </c>
      <c r="K33" s="332">
        <v>66000</v>
      </c>
      <c r="L33" s="325">
        <f t="shared" si="0"/>
        <v>1216400</v>
      </c>
    </row>
    <row r="34" spans="1:12">
      <c r="A34" s="324" t="s">
        <v>182</v>
      </c>
      <c r="B34" s="330">
        <v>71150</v>
      </c>
      <c r="C34" s="330">
        <v>38150</v>
      </c>
      <c r="D34" s="330">
        <v>5250</v>
      </c>
      <c r="E34" s="325">
        <v>71350</v>
      </c>
      <c r="F34" s="325">
        <v>14800</v>
      </c>
      <c r="G34" s="332">
        <v>246800</v>
      </c>
      <c r="H34" s="332">
        <v>273850</v>
      </c>
      <c r="I34" s="332">
        <v>291550</v>
      </c>
      <c r="J34" s="332">
        <v>26850</v>
      </c>
      <c r="K34" s="332">
        <v>700</v>
      </c>
      <c r="L34" s="325">
        <f t="shared" si="0"/>
        <v>1040450</v>
      </c>
    </row>
    <row r="35" spans="1:12">
      <c r="A35" s="509" t="s">
        <v>183</v>
      </c>
      <c r="B35" s="330">
        <v>4475650</v>
      </c>
      <c r="C35" s="330">
        <v>2891150</v>
      </c>
      <c r="D35" s="330">
        <v>2486550</v>
      </c>
      <c r="E35" s="325">
        <v>2963100</v>
      </c>
      <c r="F35" s="325">
        <v>3846550</v>
      </c>
      <c r="G35" s="332">
        <v>7404300</v>
      </c>
      <c r="H35" s="332">
        <v>11686300</v>
      </c>
      <c r="I35" s="332">
        <v>10435900</v>
      </c>
      <c r="J35" s="332">
        <v>2573050</v>
      </c>
      <c r="K35" s="332">
        <v>437950</v>
      </c>
      <c r="L35" s="325">
        <f t="shared" si="0"/>
        <v>49200500</v>
      </c>
    </row>
    <row r="36" spans="1:12" ht="25" customHeight="1">
      <c r="A36" s="509"/>
      <c r="B36" s="510">
        <f>B35+C35+D35</f>
        <v>9853350</v>
      </c>
      <c r="C36" s="511"/>
      <c r="D36" s="511"/>
      <c r="E36" s="512">
        <f>E35+F35</f>
        <v>6809650</v>
      </c>
      <c r="F36" s="513"/>
      <c r="G36" s="503">
        <f>G35+H35+I35+J35+K35</f>
        <v>32537500</v>
      </c>
      <c r="H36" s="504"/>
      <c r="I36" s="504"/>
      <c r="J36" s="504"/>
      <c r="K36" s="505"/>
      <c r="L36" s="327">
        <f>SUM(B36:J36)</f>
        <v>49200500</v>
      </c>
    </row>
    <row r="37" spans="1:12" ht="20">
      <c r="A37" s="326" t="s">
        <v>201</v>
      </c>
      <c r="B37" s="501">
        <f>B36/L36</f>
        <v>0.20026930620623773</v>
      </c>
      <c r="C37" s="501"/>
      <c r="D37" s="501"/>
      <c r="E37" s="502">
        <f>E36/L36</f>
        <v>0.13840611375900652</v>
      </c>
      <c r="F37" s="502"/>
      <c r="G37" s="506">
        <f>G36/L36</f>
        <v>0.66132458003475569</v>
      </c>
      <c r="H37" s="507"/>
      <c r="I37" s="507"/>
      <c r="J37" s="507"/>
      <c r="K37" s="508"/>
      <c r="L37" s="328">
        <f>SUM(B37:J37)</f>
        <v>1</v>
      </c>
    </row>
    <row r="38" spans="1:12" ht="20">
      <c r="A38" s="334"/>
      <c r="B38" s="499">
        <f>B37+E37</f>
        <v>0.33867541996524425</v>
      </c>
      <c r="C38" s="499"/>
      <c r="D38" s="499"/>
      <c r="E38" s="499"/>
      <c r="F38" s="499"/>
      <c r="G38" s="500"/>
      <c r="H38" s="500"/>
      <c r="I38" s="500"/>
      <c r="J38" s="500"/>
      <c r="K38" s="500"/>
      <c r="L38" s="335"/>
    </row>
    <row r="39" spans="1:12" ht="34" customHeight="1">
      <c r="A39" s="320" t="s">
        <v>202</v>
      </c>
      <c r="B39" s="321"/>
      <c r="C39" s="321"/>
      <c r="D39" s="321"/>
      <c r="E39" s="320"/>
      <c r="F39" s="320"/>
      <c r="G39" s="320"/>
      <c r="H39" s="320"/>
      <c r="I39" s="320"/>
      <c r="J39" s="320"/>
      <c r="K39" s="320"/>
      <c r="L39" s="320"/>
    </row>
    <row r="40" spans="1:12">
      <c r="A40" s="324" t="s">
        <v>184</v>
      </c>
      <c r="B40" s="325">
        <v>239863</v>
      </c>
      <c r="C40" s="325">
        <v>88563</v>
      </c>
      <c r="D40" s="325">
        <v>120463</v>
      </c>
      <c r="E40" s="325">
        <v>133100</v>
      </c>
      <c r="F40" s="325">
        <v>205088</v>
      </c>
      <c r="G40" s="325">
        <v>238850</v>
      </c>
      <c r="H40" s="325">
        <v>344575</v>
      </c>
      <c r="I40" s="325">
        <v>215263</v>
      </c>
      <c r="J40" s="325">
        <v>88325</v>
      </c>
      <c r="K40" s="325">
        <v>9650</v>
      </c>
      <c r="L40" s="325">
        <v>1683738</v>
      </c>
    </row>
    <row r="41" spans="1:12">
      <c r="A41" s="324" t="s">
        <v>185</v>
      </c>
      <c r="B41" s="325">
        <v>144000</v>
      </c>
      <c r="C41" s="325">
        <v>107238</v>
      </c>
      <c r="D41" s="325">
        <v>62075</v>
      </c>
      <c r="E41" s="325">
        <v>80950</v>
      </c>
      <c r="F41" s="325">
        <v>94963</v>
      </c>
      <c r="G41" s="325">
        <v>160600</v>
      </c>
      <c r="H41" s="325">
        <v>349425</v>
      </c>
      <c r="I41" s="325">
        <v>309275</v>
      </c>
      <c r="J41" s="325">
        <v>76575</v>
      </c>
      <c r="K41" s="325">
        <v>3375</v>
      </c>
      <c r="L41" s="325">
        <v>1388475</v>
      </c>
    </row>
    <row r="42" spans="1:12">
      <c r="A42" s="324" t="s">
        <v>186</v>
      </c>
      <c r="B42" s="325">
        <v>127130</v>
      </c>
      <c r="C42" s="325">
        <v>77950</v>
      </c>
      <c r="D42" s="325">
        <v>66420</v>
      </c>
      <c r="E42" s="325">
        <v>115550</v>
      </c>
      <c r="F42" s="325">
        <v>110380</v>
      </c>
      <c r="G42" s="325">
        <v>303330</v>
      </c>
      <c r="H42" s="325">
        <v>367310</v>
      </c>
      <c r="I42" s="325">
        <v>344420</v>
      </c>
      <c r="J42" s="325">
        <v>58300</v>
      </c>
      <c r="K42" s="325">
        <v>33740</v>
      </c>
      <c r="L42" s="325">
        <v>1604530</v>
      </c>
    </row>
    <row r="43" spans="1:12">
      <c r="A43" s="324" t="s">
        <v>187</v>
      </c>
      <c r="B43" s="325">
        <v>85960</v>
      </c>
      <c r="C43" s="325">
        <v>81620</v>
      </c>
      <c r="D43" s="325">
        <v>41720</v>
      </c>
      <c r="E43" s="325">
        <v>48950</v>
      </c>
      <c r="F43" s="325">
        <v>71550</v>
      </c>
      <c r="G43" s="325">
        <v>232000</v>
      </c>
      <c r="H43" s="325">
        <v>350420</v>
      </c>
      <c r="I43" s="325">
        <v>302200</v>
      </c>
      <c r="J43" s="325">
        <v>49200</v>
      </c>
      <c r="K43" s="325">
        <v>17880</v>
      </c>
      <c r="L43" s="325">
        <v>1281500</v>
      </c>
    </row>
    <row r="44" spans="1:12">
      <c r="A44" s="324" t="s">
        <v>188</v>
      </c>
      <c r="B44" s="325">
        <v>93620</v>
      </c>
      <c r="C44" s="325">
        <v>61620</v>
      </c>
      <c r="D44" s="325">
        <v>46860</v>
      </c>
      <c r="E44" s="325">
        <v>69820</v>
      </c>
      <c r="F44" s="325">
        <v>35190</v>
      </c>
      <c r="G44" s="325">
        <v>228310</v>
      </c>
      <c r="H44" s="325">
        <v>327460</v>
      </c>
      <c r="I44" s="325">
        <v>361040</v>
      </c>
      <c r="J44" s="325">
        <v>36900</v>
      </c>
      <c r="K44" s="325">
        <v>12600</v>
      </c>
      <c r="L44" s="337">
        <v>1273420</v>
      </c>
    </row>
    <row r="45" spans="1:12">
      <c r="A45" s="324" t="s">
        <v>189</v>
      </c>
      <c r="B45" s="325">
        <v>111188</v>
      </c>
      <c r="C45" s="325">
        <v>90725</v>
      </c>
      <c r="D45" s="325">
        <v>71688</v>
      </c>
      <c r="E45" s="325">
        <v>84538</v>
      </c>
      <c r="F45" s="325">
        <v>129525</v>
      </c>
      <c r="G45" s="325">
        <v>238125</v>
      </c>
      <c r="H45" s="325">
        <v>406375</v>
      </c>
      <c r="I45" s="325">
        <v>483000</v>
      </c>
      <c r="J45" s="325">
        <v>154013</v>
      </c>
      <c r="K45" s="325">
        <v>6875</v>
      </c>
      <c r="L45" s="325">
        <v>1776050</v>
      </c>
    </row>
    <row r="46" spans="1:12">
      <c r="A46" s="324" t="s">
        <v>190</v>
      </c>
      <c r="B46" s="325">
        <v>240475</v>
      </c>
      <c r="C46" s="325">
        <v>159775</v>
      </c>
      <c r="D46" s="325">
        <v>173663</v>
      </c>
      <c r="E46" s="325">
        <v>149288</v>
      </c>
      <c r="F46" s="325">
        <v>260663</v>
      </c>
      <c r="G46" s="325">
        <v>258950</v>
      </c>
      <c r="H46" s="325">
        <v>514713</v>
      </c>
      <c r="I46" s="325">
        <v>341863</v>
      </c>
      <c r="J46" s="325">
        <v>143850</v>
      </c>
      <c r="K46" s="325">
        <v>9313</v>
      </c>
      <c r="L46" s="336">
        <v>2252550</v>
      </c>
    </row>
    <row r="47" spans="1:12" ht="39" customHeight="1">
      <c r="A47" s="320" t="s">
        <v>203</v>
      </c>
      <c r="B47" s="320"/>
      <c r="C47" s="320"/>
      <c r="D47" s="320"/>
      <c r="E47" s="320"/>
      <c r="F47" s="320"/>
      <c r="G47" s="320"/>
      <c r="H47" s="320"/>
      <c r="I47" s="320"/>
      <c r="J47" s="320"/>
      <c r="K47" s="320"/>
      <c r="L47" s="320"/>
    </row>
    <row r="48" spans="1:12">
      <c r="A48" s="324" t="s">
        <v>191</v>
      </c>
      <c r="B48" s="325">
        <v>959450</v>
      </c>
      <c r="C48" s="325">
        <v>354250</v>
      </c>
      <c r="D48" s="325">
        <v>481850</v>
      </c>
      <c r="E48" s="325">
        <v>532400</v>
      </c>
      <c r="F48" s="325">
        <v>820350</v>
      </c>
      <c r="G48" s="325">
        <v>955400</v>
      </c>
      <c r="H48" s="325">
        <v>1378300</v>
      </c>
      <c r="I48" s="325">
        <v>861050</v>
      </c>
      <c r="J48" s="325">
        <v>353300</v>
      </c>
      <c r="K48" s="325">
        <v>38600</v>
      </c>
      <c r="L48" s="325">
        <v>6734950</v>
      </c>
    </row>
    <row r="49" spans="1:12">
      <c r="A49" s="324" t="s">
        <v>192</v>
      </c>
      <c r="B49" s="325">
        <v>576000</v>
      </c>
      <c r="C49" s="325">
        <v>428950</v>
      </c>
      <c r="D49" s="325">
        <v>248300</v>
      </c>
      <c r="E49" s="325">
        <v>323800</v>
      </c>
      <c r="F49" s="325">
        <v>379850</v>
      </c>
      <c r="G49" s="325">
        <v>642400</v>
      </c>
      <c r="H49" s="325">
        <v>1397700</v>
      </c>
      <c r="I49" s="325">
        <v>1237100</v>
      </c>
      <c r="J49" s="325">
        <v>306300</v>
      </c>
      <c r="K49" s="325">
        <v>13500</v>
      </c>
      <c r="L49" s="325">
        <v>5553900</v>
      </c>
    </row>
    <row r="50" spans="1:12">
      <c r="A50" s="324" t="s">
        <v>193</v>
      </c>
      <c r="B50" s="325">
        <v>635650</v>
      </c>
      <c r="C50" s="325">
        <v>389750</v>
      </c>
      <c r="D50" s="325">
        <v>332100</v>
      </c>
      <c r="E50" s="325">
        <v>577750</v>
      </c>
      <c r="F50" s="325">
        <v>551900</v>
      </c>
      <c r="G50" s="325">
        <v>1516650</v>
      </c>
      <c r="H50" s="325">
        <v>1836550</v>
      </c>
      <c r="I50" s="325">
        <v>1722100</v>
      </c>
      <c r="J50" s="325">
        <v>291500</v>
      </c>
      <c r="K50" s="325">
        <v>168700</v>
      </c>
      <c r="L50" s="325">
        <v>8022650</v>
      </c>
    </row>
    <row r="51" spans="1:12">
      <c r="A51" s="324" t="s">
        <v>194</v>
      </c>
      <c r="B51" s="325">
        <v>429800</v>
      </c>
      <c r="C51" s="325">
        <v>408100</v>
      </c>
      <c r="D51" s="325">
        <v>208600</v>
      </c>
      <c r="E51" s="325">
        <v>244750</v>
      </c>
      <c r="F51" s="325">
        <v>357750</v>
      </c>
      <c r="G51" s="325">
        <v>1160000</v>
      </c>
      <c r="H51" s="325">
        <v>1752100</v>
      </c>
      <c r="I51" s="325">
        <v>1511000</v>
      </c>
      <c r="J51" s="325">
        <v>246000</v>
      </c>
      <c r="K51" s="325">
        <v>89400</v>
      </c>
      <c r="L51" s="325">
        <v>6407500</v>
      </c>
    </row>
    <row r="52" spans="1:12">
      <c r="A52" s="324" t="s">
        <v>195</v>
      </c>
      <c r="B52" s="325">
        <v>468100</v>
      </c>
      <c r="C52" s="325">
        <v>308100</v>
      </c>
      <c r="D52" s="325">
        <v>234300</v>
      </c>
      <c r="E52" s="325">
        <v>349100</v>
      </c>
      <c r="F52" s="325">
        <v>175950</v>
      </c>
      <c r="G52" s="325">
        <v>1141550</v>
      </c>
      <c r="H52" s="325">
        <v>1637300</v>
      </c>
      <c r="I52" s="325">
        <v>1805200</v>
      </c>
      <c r="J52" s="325">
        <v>184500</v>
      </c>
      <c r="K52" s="325">
        <v>63000</v>
      </c>
      <c r="L52" s="325">
        <v>6367100</v>
      </c>
    </row>
    <row r="53" spans="1:12">
      <c r="A53" s="324" t="s">
        <v>196</v>
      </c>
      <c r="B53" s="325">
        <v>444750</v>
      </c>
      <c r="C53" s="325">
        <v>362900</v>
      </c>
      <c r="D53" s="325">
        <v>286750</v>
      </c>
      <c r="E53" s="325">
        <v>338150</v>
      </c>
      <c r="F53" s="325">
        <v>518100</v>
      </c>
      <c r="G53" s="325">
        <v>952500</v>
      </c>
      <c r="H53" s="325">
        <v>1625500</v>
      </c>
      <c r="I53" s="325">
        <v>1932000</v>
      </c>
      <c r="J53" s="325">
        <v>616050</v>
      </c>
      <c r="K53" s="325">
        <v>27500</v>
      </c>
      <c r="L53" s="325">
        <v>7104200</v>
      </c>
    </row>
    <row r="54" spans="1:12">
      <c r="A54" s="324" t="s">
        <v>197</v>
      </c>
      <c r="B54" s="325">
        <v>961900</v>
      </c>
      <c r="C54" s="325">
        <v>639100</v>
      </c>
      <c r="D54" s="325">
        <v>694650</v>
      </c>
      <c r="E54" s="325">
        <v>597150</v>
      </c>
      <c r="F54" s="325">
        <v>1042650</v>
      </c>
      <c r="G54" s="325">
        <v>1035800</v>
      </c>
      <c r="H54" s="325">
        <v>2058850</v>
      </c>
      <c r="I54" s="325">
        <v>1367450</v>
      </c>
      <c r="J54" s="325">
        <v>575400</v>
      </c>
      <c r="K54" s="325">
        <v>37250</v>
      </c>
      <c r="L54" s="325">
        <v>9010200</v>
      </c>
    </row>
  </sheetData>
  <mergeCells count="14">
    <mergeCell ref="A2:A3"/>
    <mergeCell ref="A35:A36"/>
    <mergeCell ref="E36:F36"/>
    <mergeCell ref="L2:L3"/>
    <mergeCell ref="G36:K36"/>
    <mergeCell ref="G37:K37"/>
    <mergeCell ref="B36:D36"/>
    <mergeCell ref="B2:D2"/>
    <mergeCell ref="E2:F2"/>
    <mergeCell ref="B38:F38"/>
    <mergeCell ref="G38:K38"/>
    <mergeCell ref="B37:D37"/>
    <mergeCell ref="E37:F37"/>
    <mergeCell ref="G2:K2"/>
  </mergeCells>
  <phoneticPr fontId="1"/>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62524-DAF1-7446-8AE1-680129140CAC}">
  <sheetPr>
    <tabColor rgb="FFFFC000"/>
    <pageSetUpPr fitToPage="1"/>
  </sheetPr>
  <dimension ref="A1:AF113"/>
  <sheetViews>
    <sheetView topLeftCell="A38" zoomScale="63" workbookViewId="0">
      <selection activeCell="E56" sqref="E56:R56"/>
    </sheetView>
  </sheetViews>
  <sheetFormatPr baseColWidth="10" defaultColWidth="9" defaultRowHeight="16"/>
  <cols>
    <col min="1" max="1" width="8.1640625" style="1" customWidth="1"/>
    <col min="2" max="2" width="6.6640625" style="34" customWidth="1"/>
    <col min="3" max="3" width="15.5" style="1" customWidth="1"/>
    <col min="4" max="4" width="7.1640625" style="1" customWidth="1"/>
    <col min="5" max="5" width="16" style="1" customWidth="1"/>
    <col min="6" max="6" width="21" style="1" customWidth="1"/>
    <col min="7" max="7" width="16" style="1" customWidth="1"/>
    <col min="8" max="8" width="23.1640625" style="1" customWidth="1"/>
    <col min="9" max="11" width="16" style="1" customWidth="1"/>
    <col min="12" max="12" width="26.33203125" style="1" customWidth="1"/>
    <col min="13" max="18" width="16" style="1" customWidth="1"/>
    <col min="19" max="19" width="5.1640625" style="1" customWidth="1"/>
    <col min="20" max="20" width="12.1640625" style="1" bestFit="1" customWidth="1"/>
    <col min="21" max="21" width="10.33203125" style="1" bestFit="1" customWidth="1"/>
    <col min="22" max="25" width="10.33203125" style="1" customWidth="1"/>
    <col min="26" max="26" width="6" style="35" customWidth="1"/>
    <col min="27" max="27" width="9" style="1"/>
    <col min="28" max="28" width="19.5" style="1" customWidth="1"/>
    <col min="29" max="16384" width="9" style="1"/>
  </cols>
  <sheetData>
    <row r="1" spans="1:32" s="24" customFormat="1" ht="64" customHeight="1">
      <c r="A1" s="81" t="s">
        <v>383</v>
      </c>
      <c r="B1" s="34"/>
      <c r="Z1" s="278"/>
    </row>
    <row r="2" spans="1:32" s="24" customFormat="1" ht="34.25" customHeight="1" thickBot="1">
      <c r="A2" s="519" t="s">
        <v>61</v>
      </c>
      <c r="B2" s="520"/>
      <c r="L2" s="128">
        <f>L14+L24+L34+L44+L54+L64</f>
        <v>48885000</v>
      </c>
      <c r="R2" s="24">
        <v>31</v>
      </c>
      <c r="Z2" s="278"/>
    </row>
    <row r="3" spans="1:32" ht="53" customHeight="1" thickTop="1">
      <c r="A3" s="521" t="s">
        <v>375</v>
      </c>
      <c r="B3" s="522"/>
      <c r="C3" s="450" t="s">
        <v>77</v>
      </c>
      <c r="D3" s="451"/>
      <c r="E3" s="451"/>
      <c r="F3" s="451"/>
      <c r="G3" s="451"/>
      <c r="H3" s="451"/>
      <c r="I3" s="451"/>
      <c r="J3" s="451"/>
      <c r="K3" s="451"/>
      <c r="L3" s="451"/>
      <c r="M3" s="451"/>
      <c r="N3" s="544" t="s">
        <v>51</v>
      </c>
      <c r="O3" s="545"/>
      <c r="P3" s="545"/>
      <c r="Q3" s="546"/>
      <c r="R3" s="74" t="s">
        <v>27</v>
      </c>
    </row>
    <row r="4" spans="1:32" s="35" customFormat="1" ht="53" customHeight="1">
      <c r="A4" s="523" t="s">
        <v>41</v>
      </c>
      <c r="B4" s="524"/>
      <c r="C4" s="452" t="s">
        <v>70</v>
      </c>
      <c r="D4" s="453"/>
      <c r="E4" s="75" t="s">
        <v>42</v>
      </c>
      <c r="F4" s="76"/>
      <c r="G4" s="77" t="s">
        <v>43</v>
      </c>
      <c r="H4" s="98"/>
      <c r="I4" s="454" t="s">
        <v>74</v>
      </c>
      <c r="J4" s="455"/>
      <c r="K4" s="389"/>
      <c r="L4" s="125">
        <v>25440000</v>
      </c>
      <c r="M4" s="127" t="s">
        <v>52</v>
      </c>
      <c r="N4" s="547"/>
      <c r="O4" s="548"/>
      <c r="P4" s="548"/>
      <c r="Q4" s="549"/>
      <c r="R4" s="126">
        <f>L4/R2</f>
        <v>820645.16129032255</v>
      </c>
      <c r="T4" s="494" t="s">
        <v>365</v>
      </c>
      <c r="U4" s="495"/>
      <c r="V4" s="495"/>
      <c r="W4" s="495"/>
      <c r="X4" s="495"/>
      <c r="Y4" s="496"/>
    </row>
    <row r="5" spans="1:32" ht="23.5" customHeight="1">
      <c r="A5" s="456" t="s">
        <v>12</v>
      </c>
      <c r="B5" s="457"/>
      <c r="C5" s="456" t="s">
        <v>12</v>
      </c>
      <c r="D5" s="457"/>
      <c r="E5" s="457"/>
      <c r="F5" s="457"/>
      <c r="G5" s="457"/>
      <c r="H5" s="457"/>
      <c r="I5" s="457"/>
      <c r="J5" s="457"/>
      <c r="K5" s="457"/>
      <c r="L5" s="457"/>
      <c r="M5" s="457"/>
      <c r="N5" s="457"/>
      <c r="O5" s="457"/>
      <c r="P5" s="457"/>
      <c r="Q5" s="457"/>
      <c r="R5" s="458"/>
      <c r="T5" s="497" t="str">
        <f>C5</f>
        <v>1st week</v>
      </c>
      <c r="U5" s="497"/>
      <c r="V5" s="497"/>
      <c r="W5" s="497"/>
      <c r="X5" s="497"/>
      <c r="Y5" s="497"/>
      <c r="AC5" s="35"/>
    </row>
    <row r="6" spans="1:32" s="2" customFormat="1" ht="23.5" customHeight="1">
      <c r="A6" s="52" t="s">
        <v>10</v>
      </c>
      <c r="B6" s="36" t="s">
        <v>11</v>
      </c>
      <c r="C6" s="101" t="s">
        <v>10</v>
      </c>
      <c r="D6" s="102" t="s">
        <v>11</v>
      </c>
      <c r="E6" s="102" t="s">
        <v>1</v>
      </c>
      <c r="F6" s="102" t="s">
        <v>30</v>
      </c>
      <c r="G6" s="102" t="s">
        <v>31</v>
      </c>
      <c r="H6" s="102" t="s">
        <v>28</v>
      </c>
      <c r="I6" s="102" t="s">
        <v>29</v>
      </c>
      <c r="J6" s="102" t="s">
        <v>388</v>
      </c>
      <c r="K6" s="102" t="s">
        <v>384</v>
      </c>
      <c r="L6" s="102" t="s">
        <v>71</v>
      </c>
      <c r="M6" s="103" t="s">
        <v>48</v>
      </c>
      <c r="N6" s="103" t="s">
        <v>385</v>
      </c>
      <c r="O6" s="103" t="s">
        <v>386</v>
      </c>
      <c r="P6" s="103" t="s">
        <v>387</v>
      </c>
      <c r="Q6" s="103" t="s">
        <v>40</v>
      </c>
      <c r="R6" s="104" t="s">
        <v>73</v>
      </c>
      <c r="T6" s="252" t="s">
        <v>114</v>
      </c>
      <c r="U6" s="253" t="s">
        <v>115</v>
      </c>
      <c r="V6" s="48" t="s">
        <v>116</v>
      </c>
      <c r="W6" s="48" t="s">
        <v>117</v>
      </c>
      <c r="X6" s="48" t="s">
        <v>118</v>
      </c>
      <c r="Y6" s="254" t="s">
        <v>127</v>
      </c>
      <c r="AA6" s="1" t="s">
        <v>122</v>
      </c>
      <c r="AB6" s="1"/>
      <c r="AC6" s="35" t="s">
        <v>125</v>
      </c>
    </row>
    <row r="7" spans="1:32" ht="23.5" customHeight="1">
      <c r="A7" s="53" t="s">
        <v>3</v>
      </c>
      <c r="B7" s="49"/>
      <c r="C7" s="105" t="s">
        <v>3</v>
      </c>
      <c r="D7" s="118">
        <f>B7</f>
        <v>0</v>
      </c>
      <c r="E7" s="73"/>
      <c r="F7" s="106"/>
      <c r="G7" s="106" t="e">
        <f>F7/E7</f>
        <v>#DIV/0!</v>
      </c>
      <c r="H7" s="106"/>
      <c r="I7" s="107" t="e">
        <f>H7/E7</f>
        <v>#DIV/0!</v>
      </c>
      <c r="J7" s="107"/>
      <c r="K7" s="107"/>
      <c r="L7" s="108">
        <f>F7+H7+J7</f>
        <v>0</v>
      </c>
      <c r="M7" s="109" t="e">
        <f>L7/E7</f>
        <v>#DIV/0!</v>
      </c>
      <c r="N7" s="109"/>
      <c r="O7" s="109"/>
      <c r="P7" s="109"/>
      <c r="Q7" s="212"/>
      <c r="R7" s="110" t="e">
        <f>L7/Q7</f>
        <v>#DIV/0!</v>
      </c>
      <c r="T7" s="242"/>
      <c r="U7" s="242"/>
      <c r="V7" s="48"/>
      <c r="W7" s="48"/>
      <c r="X7" s="48"/>
      <c r="Y7" s="271">
        <f t="shared" ref="Y7:Y14" si="0">SUM(V7:X7)/3</f>
        <v>0</v>
      </c>
      <c r="AA7" s="270" t="s">
        <v>123</v>
      </c>
      <c r="AB7" s="2"/>
      <c r="AC7" s="269">
        <v>5</v>
      </c>
    </row>
    <row r="8" spans="1:32" ht="23.5" customHeight="1">
      <c r="A8" s="54" t="s">
        <v>4</v>
      </c>
      <c r="B8" s="49"/>
      <c r="C8" s="101" t="s">
        <v>4</v>
      </c>
      <c r="D8" s="118">
        <f t="shared" ref="D8:D13" si="1">B8</f>
        <v>0</v>
      </c>
      <c r="E8" s="73"/>
      <c r="F8" s="106"/>
      <c r="G8" s="106" t="e">
        <f t="shared" ref="G8:G12" si="2">F8/E8</f>
        <v>#DIV/0!</v>
      </c>
      <c r="H8" s="106"/>
      <c r="I8" s="107" t="e">
        <f t="shared" ref="I8:I12" si="3">H8/E8</f>
        <v>#DIV/0!</v>
      </c>
      <c r="J8" s="107"/>
      <c r="K8" s="107"/>
      <c r="L8" s="108">
        <f t="shared" ref="L8:L12" si="4">F8+H8+J8</f>
        <v>0</v>
      </c>
      <c r="M8" s="109" t="e">
        <f t="shared" ref="M8:M13" si="5">L8/E8</f>
        <v>#DIV/0!</v>
      </c>
      <c r="N8" s="109"/>
      <c r="O8" s="109"/>
      <c r="P8" s="109"/>
      <c r="Q8" s="212"/>
      <c r="R8" s="110" t="e">
        <f t="shared" ref="R8:R14" si="6">L8/Q8</f>
        <v>#DIV/0!</v>
      </c>
      <c r="T8" s="242"/>
      <c r="U8" s="242"/>
      <c r="V8" s="48"/>
      <c r="W8" s="48"/>
      <c r="X8" s="48"/>
      <c r="Y8" s="271">
        <f t="shared" si="0"/>
        <v>0</v>
      </c>
      <c r="AA8" s="34" t="s">
        <v>124</v>
      </c>
      <c r="AC8" s="1">
        <v>4</v>
      </c>
    </row>
    <row r="9" spans="1:32" ht="23.5" customHeight="1">
      <c r="A9" s="54" t="s">
        <v>5</v>
      </c>
      <c r="B9" s="49"/>
      <c r="C9" s="101" t="s">
        <v>5</v>
      </c>
      <c r="D9" s="118">
        <f t="shared" si="1"/>
        <v>0</v>
      </c>
      <c r="E9" s="73"/>
      <c r="F9" s="106"/>
      <c r="G9" s="106" t="e">
        <f t="shared" si="2"/>
        <v>#DIV/0!</v>
      </c>
      <c r="H9" s="106"/>
      <c r="I9" s="107" t="e">
        <f t="shared" si="3"/>
        <v>#DIV/0!</v>
      </c>
      <c r="J9" s="107"/>
      <c r="K9" s="107"/>
      <c r="L9" s="108">
        <f t="shared" si="4"/>
        <v>0</v>
      </c>
      <c r="M9" s="109" t="e">
        <f t="shared" si="5"/>
        <v>#DIV/0!</v>
      </c>
      <c r="N9" s="109"/>
      <c r="O9" s="109"/>
      <c r="P9" s="109"/>
      <c r="Q9" s="212"/>
      <c r="R9" s="110" t="e">
        <f t="shared" si="6"/>
        <v>#DIV/0!</v>
      </c>
      <c r="T9" s="242"/>
      <c r="U9" s="242"/>
      <c r="V9" s="48"/>
      <c r="W9" s="48"/>
      <c r="X9" s="48"/>
      <c r="Y9" s="271">
        <f t="shared" si="0"/>
        <v>0</v>
      </c>
      <c r="AA9" s="34" t="s">
        <v>128</v>
      </c>
      <c r="AC9" s="1">
        <v>3</v>
      </c>
    </row>
    <row r="10" spans="1:32" ht="23.5" customHeight="1">
      <c r="A10" s="54" t="s">
        <v>6</v>
      </c>
      <c r="B10" s="49"/>
      <c r="C10" s="101" t="s">
        <v>6</v>
      </c>
      <c r="D10" s="118">
        <f t="shared" si="1"/>
        <v>0</v>
      </c>
      <c r="E10" s="73"/>
      <c r="F10" s="106"/>
      <c r="G10" s="106" t="e">
        <f t="shared" si="2"/>
        <v>#DIV/0!</v>
      </c>
      <c r="H10" s="106"/>
      <c r="I10" s="107" t="e">
        <f t="shared" si="3"/>
        <v>#DIV/0!</v>
      </c>
      <c r="J10" s="107"/>
      <c r="K10" s="107"/>
      <c r="L10" s="108">
        <f t="shared" si="4"/>
        <v>0</v>
      </c>
      <c r="M10" s="109" t="e">
        <f t="shared" si="5"/>
        <v>#DIV/0!</v>
      </c>
      <c r="N10" s="109"/>
      <c r="O10" s="109"/>
      <c r="P10" s="109"/>
      <c r="Q10" s="212"/>
      <c r="R10" s="110" t="e">
        <f t="shared" si="6"/>
        <v>#DIV/0!</v>
      </c>
      <c r="T10" s="242"/>
      <c r="U10" s="242"/>
      <c r="V10" s="48"/>
      <c r="W10" s="48"/>
      <c r="X10" s="48"/>
      <c r="Y10" s="271">
        <f t="shared" si="0"/>
        <v>0</v>
      </c>
      <c r="AA10" s="34" t="s">
        <v>120</v>
      </c>
      <c r="AC10" s="1">
        <v>2</v>
      </c>
    </row>
    <row r="11" spans="1:32" ht="23.5" customHeight="1">
      <c r="A11" s="54" t="s">
        <v>7</v>
      </c>
      <c r="B11" s="49"/>
      <c r="C11" s="101" t="s">
        <v>7</v>
      </c>
      <c r="D11" s="118">
        <f t="shared" si="1"/>
        <v>0</v>
      </c>
      <c r="E11" s="73"/>
      <c r="F11" s="106"/>
      <c r="G11" s="106" t="e">
        <f t="shared" si="2"/>
        <v>#DIV/0!</v>
      </c>
      <c r="H11" s="106"/>
      <c r="I11" s="107" t="e">
        <f t="shared" si="3"/>
        <v>#DIV/0!</v>
      </c>
      <c r="J11" s="107"/>
      <c r="K11" s="107"/>
      <c r="L11" s="108">
        <f t="shared" si="4"/>
        <v>0</v>
      </c>
      <c r="M11" s="109" t="e">
        <f t="shared" si="5"/>
        <v>#DIV/0!</v>
      </c>
      <c r="N11" s="109"/>
      <c r="O11" s="109"/>
      <c r="P11" s="109"/>
      <c r="Q11" s="212"/>
      <c r="R11" s="110" t="e">
        <f t="shared" si="6"/>
        <v>#DIV/0!</v>
      </c>
      <c r="T11" s="242"/>
      <c r="U11" s="242"/>
      <c r="V11" s="48"/>
      <c r="W11" s="48"/>
      <c r="X11" s="48"/>
      <c r="Y11" s="271">
        <f t="shared" si="0"/>
        <v>0</v>
      </c>
      <c r="AA11" s="34" t="s">
        <v>121</v>
      </c>
      <c r="AC11" s="1">
        <v>1</v>
      </c>
    </row>
    <row r="12" spans="1:32" ht="23.5" customHeight="1">
      <c r="A12" s="54" t="s">
        <v>8</v>
      </c>
      <c r="B12" s="49"/>
      <c r="C12" s="101" t="s">
        <v>8</v>
      </c>
      <c r="D12" s="118">
        <f t="shared" si="1"/>
        <v>0</v>
      </c>
      <c r="E12" s="73"/>
      <c r="F12" s="106"/>
      <c r="G12" s="106" t="e">
        <f t="shared" si="2"/>
        <v>#DIV/0!</v>
      </c>
      <c r="H12" s="106"/>
      <c r="I12" s="107" t="e">
        <f t="shared" si="3"/>
        <v>#DIV/0!</v>
      </c>
      <c r="J12" s="107"/>
      <c r="K12" s="107"/>
      <c r="L12" s="108">
        <f t="shared" si="4"/>
        <v>0</v>
      </c>
      <c r="M12" s="109" t="e">
        <f t="shared" si="5"/>
        <v>#DIV/0!</v>
      </c>
      <c r="N12" s="109"/>
      <c r="O12" s="109"/>
      <c r="P12" s="109"/>
      <c r="Q12" s="212"/>
      <c r="R12" s="110" t="e">
        <f t="shared" si="6"/>
        <v>#DIV/0!</v>
      </c>
      <c r="T12" s="243"/>
      <c r="U12" s="242"/>
      <c r="V12" s="48"/>
      <c r="W12" s="48"/>
      <c r="X12" s="48"/>
      <c r="Y12" s="271">
        <f t="shared" si="0"/>
        <v>0</v>
      </c>
      <c r="AA12" s="34" t="s">
        <v>126</v>
      </c>
      <c r="AC12" s="1">
        <v>0</v>
      </c>
    </row>
    <row r="13" spans="1:32" ht="23.5" customHeight="1" thickBot="1">
      <c r="A13" s="55" t="s">
        <v>9</v>
      </c>
      <c r="B13" s="49">
        <v>1</v>
      </c>
      <c r="C13" s="111" t="s">
        <v>9</v>
      </c>
      <c r="D13" s="118">
        <f t="shared" si="1"/>
        <v>1</v>
      </c>
      <c r="E13" s="73">
        <v>217</v>
      </c>
      <c r="F13" s="106">
        <v>655350</v>
      </c>
      <c r="G13" s="106">
        <f>F13/E13</f>
        <v>3020.0460829493086</v>
      </c>
      <c r="H13" s="106">
        <v>331800</v>
      </c>
      <c r="I13" s="107">
        <f>H13/E13</f>
        <v>1529.0322580645161</v>
      </c>
      <c r="J13" s="107">
        <v>26950</v>
      </c>
      <c r="K13" s="107"/>
      <c r="L13" s="108">
        <f>F13+H13+J13</f>
        <v>1014100</v>
      </c>
      <c r="M13" s="109">
        <f t="shared" si="5"/>
        <v>4673.2718894009213</v>
      </c>
      <c r="N13" s="109"/>
      <c r="O13" s="109"/>
      <c r="P13" s="109"/>
      <c r="Q13" s="212">
        <v>151</v>
      </c>
      <c r="R13" s="110">
        <f t="shared" si="6"/>
        <v>6715.8940397350989</v>
      </c>
      <c r="T13" s="244">
        <v>19.600000000000001</v>
      </c>
      <c r="U13" s="245">
        <v>21.2</v>
      </c>
      <c r="V13" s="273">
        <v>2</v>
      </c>
      <c r="W13" s="255">
        <v>4</v>
      </c>
      <c r="X13" s="255">
        <v>4</v>
      </c>
      <c r="Y13" s="272">
        <f t="shared" si="0"/>
        <v>3.3333333333333335</v>
      </c>
      <c r="AA13" s="1" t="s">
        <v>129</v>
      </c>
    </row>
    <row r="14" spans="1:32" s="259" customFormat="1" ht="37" customHeight="1" thickTop="1" thickBot="1">
      <c r="A14" s="452" t="s">
        <v>13</v>
      </c>
      <c r="B14" s="453"/>
      <c r="C14" s="452" t="s">
        <v>13</v>
      </c>
      <c r="D14" s="453"/>
      <c r="E14" s="257">
        <f>SUM(E7:E13)</f>
        <v>217</v>
      </c>
      <c r="F14" s="257">
        <f>SUM(F7:F13)</f>
        <v>655350</v>
      </c>
      <c r="G14" s="257">
        <f>F14/E14</f>
        <v>3020.0460829493086</v>
      </c>
      <c r="H14" s="257">
        <f>SUM(H7:H13)</f>
        <v>331800</v>
      </c>
      <c r="I14" s="261">
        <f>H14/E14</f>
        <v>1529.0322580645161</v>
      </c>
      <c r="J14" s="261">
        <f>SUM(J7:J13)</f>
        <v>26950</v>
      </c>
      <c r="K14" s="261"/>
      <c r="L14" s="257">
        <f>F14+H14</f>
        <v>987150</v>
      </c>
      <c r="M14" s="262">
        <f>L14/E14</f>
        <v>4549.0783410138247</v>
      </c>
      <c r="N14" s="262"/>
      <c r="O14" s="262"/>
      <c r="P14" s="262"/>
      <c r="Q14" s="263">
        <f>SUM(Q7:Q13)</f>
        <v>151</v>
      </c>
      <c r="R14" s="258">
        <f t="shared" si="6"/>
        <v>6537.4172185430461</v>
      </c>
      <c r="S14" s="259">
        <v>1</v>
      </c>
      <c r="T14" s="289">
        <f>SUM(T7:T13)/S14</f>
        <v>19.600000000000001</v>
      </c>
      <c r="U14" s="293">
        <f>SUM(U7:U13)/S14</f>
        <v>21.2</v>
      </c>
      <c r="V14" s="305">
        <f>SUM(V7:V13)/S14</f>
        <v>2</v>
      </c>
      <c r="W14" s="305">
        <f>SUM(W7:W13)/S14</f>
        <v>4</v>
      </c>
      <c r="X14" s="305">
        <f>SUM(X7:X13)/S14</f>
        <v>4</v>
      </c>
      <c r="Y14" s="306">
        <f t="shared" si="0"/>
        <v>3.3333333333333335</v>
      </c>
      <c r="Z14" s="260" t="s">
        <v>135</v>
      </c>
      <c r="AA14" s="532">
        <f>L14/S14</f>
        <v>987150</v>
      </c>
      <c r="AB14" s="533"/>
      <c r="AC14" s="533"/>
      <c r="AD14" s="533"/>
      <c r="AE14" s="534"/>
      <c r="AF14" s="282" t="s">
        <v>140</v>
      </c>
    </row>
    <row r="15" spans="1:32" ht="23.5" customHeight="1" thickTop="1">
      <c r="A15" s="456" t="s">
        <v>14</v>
      </c>
      <c r="B15" s="457"/>
      <c r="C15" s="461" t="s">
        <v>14</v>
      </c>
      <c r="D15" s="462"/>
      <c r="E15" s="462"/>
      <c r="F15" s="462"/>
      <c r="G15" s="462"/>
      <c r="H15" s="462"/>
      <c r="I15" s="462"/>
      <c r="J15" s="462"/>
      <c r="K15" s="462"/>
      <c r="L15" s="462"/>
      <c r="M15" s="462"/>
      <c r="N15" s="462"/>
      <c r="O15" s="462"/>
      <c r="P15" s="462"/>
      <c r="Q15" s="462"/>
      <c r="R15" s="463"/>
      <c r="T15" s="497" t="str">
        <f>C15</f>
        <v>2nd week</v>
      </c>
      <c r="U15" s="497"/>
      <c r="V15" s="497"/>
      <c r="W15" s="497"/>
      <c r="X15" s="497"/>
      <c r="Y15" s="497"/>
      <c r="AF15" s="282" t="s">
        <v>140</v>
      </c>
    </row>
    <row r="16" spans="1:32" ht="23.5" customHeight="1">
      <c r="A16" s="52" t="s">
        <v>10</v>
      </c>
      <c r="B16" s="36" t="s">
        <v>11</v>
      </c>
      <c r="C16" s="101" t="s">
        <v>10</v>
      </c>
      <c r="D16" s="102" t="s">
        <v>11</v>
      </c>
      <c r="E16" s="102" t="s">
        <v>1</v>
      </c>
      <c r="F16" s="102" t="s">
        <v>30</v>
      </c>
      <c r="G16" s="102" t="s">
        <v>31</v>
      </c>
      <c r="H16" s="102" t="s">
        <v>28</v>
      </c>
      <c r="I16" s="102" t="s">
        <v>29</v>
      </c>
      <c r="J16" s="102" t="s">
        <v>388</v>
      </c>
      <c r="K16" s="102" t="s">
        <v>384</v>
      </c>
      <c r="L16" s="102" t="s">
        <v>71</v>
      </c>
      <c r="M16" s="103" t="s">
        <v>48</v>
      </c>
      <c r="N16" s="103" t="s">
        <v>385</v>
      </c>
      <c r="O16" s="103" t="s">
        <v>386</v>
      </c>
      <c r="P16" s="103" t="s">
        <v>387</v>
      </c>
      <c r="Q16" s="103" t="s">
        <v>40</v>
      </c>
      <c r="R16" s="104" t="s">
        <v>73</v>
      </c>
      <c r="T16" s="252" t="s">
        <v>114</v>
      </c>
      <c r="U16" s="253" t="s">
        <v>115</v>
      </c>
      <c r="V16" s="48" t="s">
        <v>116</v>
      </c>
      <c r="W16" s="48" t="s">
        <v>117</v>
      </c>
      <c r="X16" s="48" t="s">
        <v>118</v>
      </c>
      <c r="Y16" s="254" t="s">
        <v>127</v>
      </c>
      <c r="AA16" s="1" t="s">
        <v>122</v>
      </c>
      <c r="AC16" s="35" t="s">
        <v>125</v>
      </c>
    </row>
    <row r="17" spans="1:32" ht="23.5" customHeight="1">
      <c r="A17" s="53" t="s">
        <v>3</v>
      </c>
      <c r="B17" s="49">
        <v>2</v>
      </c>
      <c r="C17" s="105" t="s">
        <v>3</v>
      </c>
      <c r="D17" s="118">
        <f>B17</f>
        <v>2</v>
      </c>
      <c r="E17" s="73">
        <v>279</v>
      </c>
      <c r="F17" s="106">
        <v>753250</v>
      </c>
      <c r="G17" s="106">
        <f>F17/E17</f>
        <v>2699.820788530466</v>
      </c>
      <c r="H17" s="106">
        <v>387100</v>
      </c>
      <c r="I17" s="107">
        <f>H17/E17</f>
        <v>1387.4551971326164</v>
      </c>
      <c r="J17" s="107">
        <v>12100</v>
      </c>
      <c r="K17" s="107"/>
      <c r="L17" s="108">
        <f>F17+H17+J17</f>
        <v>1152450</v>
      </c>
      <c r="M17" s="109">
        <f>L17/E17</f>
        <v>4130.6451612903229</v>
      </c>
      <c r="N17" s="109"/>
      <c r="O17" s="109"/>
      <c r="P17" s="109"/>
      <c r="Q17" s="212">
        <v>151</v>
      </c>
      <c r="R17" s="110">
        <f>L17/Q17</f>
        <v>7632.1192052980132</v>
      </c>
      <c r="T17" s="247">
        <v>17</v>
      </c>
      <c r="U17" s="247">
        <v>22.9</v>
      </c>
      <c r="V17" s="255">
        <v>4</v>
      </c>
      <c r="W17" s="255">
        <v>3</v>
      </c>
      <c r="X17" s="255">
        <v>2</v>
      </c>
      <c r="Y17" s="271">
        <f>SUM(V17:X17)/3</f>
        <v>3</v>
      </c>
      <c r="AA17" s="270" t="s">
        <v>123</v>
      </c>
      <c r="AB17" s="2"/>
      <c r="AC17" s="269">
        <v>5</v>
      </c>
    </row>
    <row r="18" spans="1:32" ht="23.5" customHeight="1">
      <c r="A18" s="54" t="s">
        <v>4</v>
      </c>
      <c r="B18" s="49">
        <v>3</v>
      </c>
      <c r="C18" s="101" t="s">
        <v>4</v>
      </c>
      <c r="D18" s="118">
        <f t="shared" ref="D18:D23" si="7">B18</f>
        <v>3</v>
      </c>
      <c r="E18" s="73">
        <v>154</v>
      </c>
      <c r="F18" s="106">
        <v>408400</v>
      </c>
      <c r="G18" s="106">
        <f t="shared" ref="G18:G22" si="8">F18/E18</f>
        <v>2651.9480519480521</v>
      </c>
      <c r="H18" s="106">
        <v>253650</v>
      </c>
      <c r="I18" s="107">
        <f t="shared" ref="I18:I22" si="9">H18/E18</f>
        <v>1647.077922077922</v>
      </c>
      <c r="J18" s="107">
        <v>5500</v>
      </c>
      <c r="K18" s="107"/>
      <c r="L18" s="108">
        <f t="shared" ref="L18:L22" si="10">F18+H18+J18</f>
        <v>667550</v>
      </c>
      <c r="M18" s="109">
        <f t="shared" ref="M18:M23" si="11">L18/E18</f>
        <v>4334.7402597402597</v>
      </c>
      <c r="N18" s="109"/>
      <c r="O18" s="109"/>
      <c r="P18" s="109"/>
      <c r="Q18" s="212">
        <v>145</v>
      </c>
      <c r="R18" s="110">
        <f t="shared" ref="R18:R24" si="12">L18/Q18</f>
        <v>4603.7931034482763</v>
      </c>
      <c r="T18" s="247">
        <v>17.7</v>
      </c>
      <c r="U18" s="247">
        <v>23.9</v>
      </c>
      <c r="V18" s="255">
        <v>4</v>
      </c>
      <c r="W18" s="255">
        <v>4</v>
      </c>
      <c r="X18" s="255">
        <v>4</v>
      </c>
      <c r="Y18" s="271">
        <f t="shared" ref="Y18:Y23" si="13">SUM(V18:X18)/3</f>
        <v>4</v>
      </c>
      <c r="AA18" s="34" t="s">
        <v>124</v>
      </c>
      <c r="AC18" s="1">
        <v>4</v>
      </c>
    </row>
    <row r="19" spans="1:32" ht="23.5" customHeight="1">
      <c r="A19" s="54" t="s">
        <v>5</v>
      </c>
      <c r="B19" s="49">
        <v>4</v>
      </c>
      <c r="C19" s="101" t="s">
        <v>5</v>
      </c>
      <c r="D19" s="118">
        <f t="shared" si="7"/>
        <v>4</v>
      </c>
      <c r="E19" s="73">
        <v>201</v>
      </c>
      <c r="F19" s="106">
        <v>483850</v>
      </c>
      <c r="G19" s="106">
        <f t="shared" si="8"/>
        <v>2407.2139303482586</v>
      </c>
      <c r="H19" s="106">
        <v>319300</v>
      </c>
      <c r="I19" s="107">
        <f t="shared" si="9"/>
        <v>1588.5572139303483</v>
      </c>
      <c r="J19" s="107">
        <v>4950</v>
      </c>
      <c r="K19" s="107"/>
      <c r="L19" s="108">
        <f t="shared" si="10"/>
        <v>808100</v>
      </c>
      <c r="M19" s="109">
        <f t="shared" si="11"/>
        <v>4020.3980099502487</v>
      </c>
      <c r="N19" s="109"/>
      <c r="O19" s="109"/>
      <c r="P19" s="109"/>
      <c r="Q19" s="212">
        <v>145</v>
      </c>
      <c r="R19" s="110">
        <f t="shared" si="12"/>
        <v>5573.1034482758623</v>
      </c>
      <c r="T19" s="247">
        <v>18.2</v>
      </c>
      <c r="U19" s="247">
        <v>24.8</v>
      </c>
      <c r="V19" s="255">
        <v>4</v>
      </c>
      <c r="W19" s="255">
        <v>4</v>
      </c>
      <c r="X19" s="255">
        <v>4</v>
      </c>
      <c r="Y19" s="271">
        <f t="shared" si="13"/>
        <v>4</v>
      </c>
      <c r="AA19" s="34" t="s">
        <v>128</v>
      </c>
      <c r="AC19" s="1">
        <v>3</v>
      </c>
    </row>
    <row r="20" spans="1:32" ht="23.5" customHeight="1">
      <c r="A20" s="54" t="s">
        <v>6</v>
      </c>
      <c r="B20" s="49">
        <v>5</v>
      </c>
      <c r="C20" s="101" t="s">
        <v>6</v>
      </c>
      <c r="D20" s="118">
        <f t="shared" si="7"/>
        <v>5</v>
      </c>
      <c r="E20" s="73">
        <v>264</v>
      </c>
      <c r="F20" s="106">
        <v>712150</v>
      </c>
      <c r="G20" s="106">
        <f t="shared" si="8"/>
        <v>2697.537878787879</v>
      </c>
      <c r="H20" s="106">
        <v>379450</v>
      </c>
      <c r="I20" s="107">
        <f t="shared" si="9"/>
        <v>1437.310606060606</v>
      </c>
      <c r="J20" s="107">
        <v>3850</v>
      </c>
      <c r="K20" s="107"/>
      <c r="L20" s="108">
        <f t="shared" si="10"/>
        <v>1095450</v>
      </c>
      <c r="M20" s="109">
        <f t="shared" si="11"/>
        <v>4149.431818181818</v>
      </c>
      <c r="N20" s="109"/>
      <c r="O20" s="109"/>
      <c r="P20" s="109"/>
      <c r="Q20" s="212">
        <v>145</v>
      </c>
      <c r="R20" s="110">
        <f t="shared" si="12"/>
        <v>7554.8275862068967</v>
      </c>
      <c r="T20" s="247">
        <v>18</v>
      </c>
      <c r="U20" s="247">
        <v>27.4</v>
      </c>
      <c r="V20" s="255">
        <v>5</v>
      </c>
      <c r="W20" s="255">
        <v>5</v>
      </c>
      <c r="X20" s="255">
        <v>4</v>
      </c>
      <c r="Y20" s="271">
        <f t="shared" si="13"/>
        <v>4.666666666666667</v>
      </c>
      <c r="AA20" s="34" t="s">
        <v>120</v>
      </c>
      <c r="AC20" s="1">
        <v>2</v>
      </c>
    </row>
    <row r="21" spans="1:32" ht="23.5" customHeight="1">
      <c r="A21" s="54" t="s">
        <v>7</v>
      </c>
      <c r="B21" s="49">
        <v>6</v>
      </c>
      <c r="C21" s="101" t="s">
        <v>7</v>
      </c>
      <c r="D21" s="118">
        <f t="shared" si="7"/>
        <v>6</v>
      </c>
      <c r="E21" s="73">
        <v>305</v>
      </c>
      <c r="F21" s="106">
        <v>1036850</v>
      </c>
      <c r="G21" s="106">
        <f t="shared" si="8"/>
        <v>3399.5081967213114</v>
      </c>
      <c r="H21" s="106">
        <v>558700</v>
      </c>
      <c r="I21" s="107">
        <f t="shared" si="9"/>
        <v>1831.8032786885246</v>
      </c>
      <c r="J21" s="107">
        <v>11000</v>
      </c>
      <c r="K21" s="107"/>
      <c r="L21" s="108">
        <f t="shared" si="10"/>
        <v>1606550</v>
      </c>
      <c r="M21" s="109">
        <f t="shared" si="11"/>
        <v>5267.377049180328</v>
      </c>
      <c r="N21" s="109"/>
      <c r="O21" s="109"/>
      <c r="P21" s="109"/>
      <c r="Q21" s="212">
        <v>151</v>
      </c>
      <c r="R21" s="110">
        <f t="shared" si="12"/>
        <v>10639.403973509934</v>
      </c>
      <c r="T21" s="247">
        <v>18.399999999999999</v>
      </c>
      <c r="U21" s="247">
        <v>25.2</v>
      </c>
      <c r="V21" s="255">
        <v>3</v>
      </c>
      <c r="W21" s="255">
        <v>1</v>
      </c>
      <c r="X21" s="255">
        <v>1</v>
      </c>
      <c r="Y21" s="271">
        <f t="shared" si="13"/>
        <v>1.6666666666666667</v>
      </c>
      <c r="AA21" s="34" t="s">
        <v>121</v>
      </c>
      <c r="AC21" s="1">
        <v>1</v>
      </c>
    </row>
    <row r="22" spans="1:32" ht="23.5" customHeight="1">
      <c r="A22" s="54" t="s">
        <v>8</v>
      </c>
      <c r="B22" s="49">
        <v>7</v>
      </c>
      <c r="C22" s="101" t="s">
        <v>8</v>
      </c>
      <c r="D22" s="118">
        <f t="shared" si="7"/>
        <v>7</v>
      </c>
      <c r="E22" s="73">
        <v>392</v>
      </c>
      <c r="F22" s="106">
        <v>1074950</v>
      </c>
      <c r="G22" s="106">
        <f t="shared" si="8"/>
        <v>2742.2193877551022</v>
      </c>
      <c r="H22" s="106">
        <v>681300</v>
      </c>
      <c r="I22" s="107">
        <f t="shared" si="9"/>
        <v>1738.0102040816328</v>
      </c>
      <c r="J22" s="107">
        <v>20350</v>
      </c>
      <c r="K22" s="107"/>
      <c r="L22" s="108">
        <f t="shared" si="10"/>
        <v>1776600</v>
      </c>
      <c r="M22" s="109">
        <f t="shared" si="11"/>
        <v>4532.1428571428569</v>
      </c>
      <c r="N22" s="109"/>
      <c r="O22" s="109"/>
      <c r="P22" s="109"/>
      <c r="Q22" s="212">
        <v>165.5</v>
      </c>
      <c r="R22" s="110">
        <f t="shared" si="12"/>
        <v>10734.743202416919</v>
      </c>
      <c r="T22" s="247">
        <v>19.2</v>
      </c>
      <c r="U22" s="247">
        <v>26.1</v>
      </c>
      <c r="V22" s="255">
        <v>3</v>
      </c>
      <c r="W22" s="255">
        <v>5</v>
      </c>
      <c r="X22" s="255">
        <v>5</v>
      </c>
      <c r="Y22" s="271">
        <f t="shared" si="13"/>
        <v>4.333333333333333</v>
      </c>
      <c r="AA22" s="34" t="s">
        <v>126</v>
      </c>
      <c r="AC22" s="1">
        <v>0</v>
      </c>
    </row>
    <row r="23" spans="1:32" ht="23.5" customHeight="1" thickBot="1">
      <c r="A23" s="55" t="s">
        <v>9</v>
      </c>
      <c r="B23" s="49">
        <v>8</v>
      </c>
      <c r="C23" s="111" t="s">
        <v>9</v>
      </c>
      <c r="D23" s="118">
        <f t="shared" si="7"/>
        <v>8</v>
      </c>
      <c r="E23" s="73">
        <v>565</v>
      </c>
      <c r="F23" s="106">
        <v>1584500</v>
      </c>
      <c r="G23" s="106">
        <f>F23/E23</f>
        <v>2804.424778761062</v>
      </c>
      <c r="H23" s="106">
        <v>944950</v>
      </c>
      <c r="I23" s="107">
        <f>H23/E23</f>
        <v>1672.4778761061948</v>
      </c>
      <c r="J23" s="107">
        <v>13750</v>
      </c>
      <c r="K23" s="107"/>
      <c r="L23" s="108">
        <f>F23+H23+J23</f>
        <v>2543200</v>
      </c>
      <c r="M23" s="109">
        <f t="shared" si="11"/>
        <v>4501.2389380530976</v>
      </c>
      <c r="N23" s="109"/>
      <c r="O23" s="109"/>
      <c r="P23" s="109"/>
      <c r="Q23" s="212">
        <v>165.5</v>
      </c>
      <c r="R23" s="110">
        <f t="shared" si="12"/>
        <v>15366.767371601209</v>
      </c>
      <c r="T23" s="248">
        <v>19.600000000000001</v>
      </c>
      <c r="U23" s="248">
        <v>31.4</v>
      </c>
      <c r="V23" s="256">
        <v>5</v>
      </c>
      <c r="W23" s="255">
        <v>5</v>
      </c>
      <c r="X23" s="255">
        <v>5</v>
      </c>
      <c r="Y23" s="272">
        <f t="shared" si="13"/>
        <v>5</v>
      </c>
      <c r="AA23" s="1" t="s">
        <v>129</v>
      </c>
    </row>
    <row r="24" spans="1:32" s="259" customFormat="1" ht="33" customHeight="1" thickTop="1" thickBot="1">
      <c r="A24" s="452" t="s">
        <v>13</v>
      </c>
      <c r="B24" s="453"/>
      <c r="C24" s="452" t="s">
        <v>13</v>
      </c>
      <c r="D24" s="453"/>
      <c r="E24" s="257">
        <f>SUM(E17:E23)</f>
        <v>2160</v>
      </c>
      <c r="F24" s="257">
        <f>SUM(F17:F23)</f>
        <v>6053950</v>
      </c>
      <c r="G24" s="257">
        <f>F24/E24</f>
        <v>2802.7546296296296</v>
      </c>
      <c r="H24" s="257">
        <f>SUM(H17:H23)</f>
        <v>3524450</v>
      </c>
      <c r="I24" s="261">
        <f>H24/E24</f>
        <v>1631.6898148148148</v>
      </c>
      <c r="J24" s="261">
        <f>SUM(J17:J23)</f>
        <v>71500</v>
      </c>
      <c r="K24" s="261"/>
      <c r="L24" s="257">
        <f>F24+H24</f>
        <v>9578400</v>
      </c>
      <c r="M24" s="262">
        <f>L24/E24</f>
        <v>4434.4444444444443</v>
      </c>
      <c r="N24" s="262"/>
      <c r="O24" s="262"/>
      <c r="P24" s="262"/>
      <c r="Q24" s="263">
        <f>SUM(Q17:Q23)</f>
        <v>1068</v>
      </c>
      <c r="R24" s="258">
        <f t="shared" si="12"/>
        <v>8968.5393258426975</v>
      </c>
      <c r="S24" s="259">
        <v>7</v>
      </c>
      <c r="T24" s="289">
        <f>SUM(T17:T23)/S24</f>
        <v>18.300000000000004</v>
      </c>
      <c r="U24" s="290">
        <f>SUM(U17:U23)/S24</f>
        <v>25.957142857142859</v>
      </c>
      <c r="V24" s="305">
        <f>SUM(V17:V23)/S24</f>
        <v>4</v>
      </c>
      <c r="W24" s="305">
        <f>SUM(W17:W23)/S24</f>
        <v>3.8571428571428572</v>
      </c>
      <c r="X24" s="305">
        <f>SUM(X17:X23)/S24</f>
        <v>3.5714285714285716</v>
      </c>
      <c r="Y24" s="306">
        <f>SUM(V24:X24)/3</f>
        <v>3.8095238095238098</v>
      </c>
      <c r="Z24" s="260" t="s">
        <v>136</v>
      </c>
      <c r="AA24" s="532">
        <f>L24/S24</f>
        <v>1368342.857142857</v>
      </c>
      <c r="AB24" s="533"/>
      <c r="AC24" s="533"/>
      <c r="AD24" s="533"/>
      <c r="AE24" s="534"/>
      <c r="AF24" s="282" t="s">
        <v>140</v>
      </c>
    </row>
    <row r="25" spans="1:32" ht="23.5" customHeight="1" thickTop="1">
      <c r="A25" s="456" t="s">
        <v>15</v>
      </c>
      <c r="B25" s="457"/>
      <c r="C25" s="461" t="s">
        <v>15</v>
      </c>
      <c r="D25" s="462"/>
      <c r="E25" s="462"/>
      <c r="F25" s="462"/>
      <c r="G25" s="462"/>
      <c r="H25" s="462"/>
      <c r="I25" s="462"/>
      <c r="J25" s="462"/>
      <c r="K25" s="462"/>
      <c r="L25" s="462"/>
      <c r="M25" s="462"/>
      <c r="N25" s="462"/>
      <c r="O25" s="462"/>
      <c r="P25" s="462"/>
      <c r="Q25" s="462"/>
      <c r="R25" s="463"/>
      <c r="T25" s="497" t="str">
        <f>C25</f>
        <v>3rd week</v>
      </c>
      <c r="U25" s="497"/>
      <c r="V25" s="497"/>
      <c r="W25" s="497"/>
      <c r="X25" s="497"/>
      <c r="Y25" s="497"/>
    </row>
    <row r="26" spans="1:32" ht="23.5" customHeight="1">
      <c r="A26" s="52" t="s">
        <v>10</v>
      </c>
      <c r="B26" s="36" t="s">
        <v>11</v>
      </c>
      <c r="C26" s="101" t="s">
        <v>10</v>
      </c>
      <c r="D26" s="102" t="s">
        <v>11</v>
      </c>
      <c r="E26" s="102" t="s">
        <v>1</v>
      </c>
      <c r="F26" s="102" t="s">
        <v>30</v>
      </c>
      <c r="G26" s="102" t="s">
        <v>31</v>
      </c>
      <c r="H26" s="102" t="s">
        <v>28</v>
      </c>
      <c r="I26" s="102" t="s">
        <v>29</v>
      </c>
      <c r="J26" s="102" t="s">
        <v>388</v>
      </c>
      <c r="K26" s="102" t="s">
        <v>384</v>
      </c>
      <c r="L26" s="102" t="s">
        <v>71</v>
      </c>
      <c r="M26" s="103" t="s">
        <v>48</v>
      </c>
      <c r="N26" s="103" t="s">
        <v>385</v>
      </c>
      <c r="O26" s="103" t="s">
        <v>386</v>
      </c>
      <c r="P26" s="103" t="s">
        <v>387</v>
      </c>
      <c r="Q26" s="103" t="s">
        <v>40</v>
      </c>
      <c r="R26" s="104" t="s">
        <v>73</v>
      </c>
      <c r="T26" s="252" t="s">
        <v>114</v>
      </c>
      <c r="U26" s="253" t="s">
        <v>115</v>
      </c>
      <c r="V26" s="48" t="s">
        <v>116</v>
      </c>
      <c r="W26" s="48" t="s">
        <v>117</v>
      </c>
      <c r="X26" s="48" t="s">
        <v>118</v>
      </c>
      <c r="Y26" s="254" t="s">
        <v>127</v>
      </c>
      <c r="AA26" s="1" t="s">
        <v>122</v>
      </c>
      <c r="AC26" s="35" t="s">
        <v>125</v>
      </c>
    </row>
    <row r="27" spans="1:32" ht="23.5" customHeight="1">
      <c r="A27" s="53" t="s">
        <v>3</v>
      </c>
      <c r="B27" s="49">
        <v>9</v>
      </c>
      <c r="C27" s="105" t="s">
        <v>3</v>
      </c>
      <c r="D27" s="118">
        <f>B27</f>
        <v>9</v>
      </c>
      <c r="E27" s="73">
        <v>513</v>
      </c>
      <c r="F27" s="106">
        <v>1444350</v>
      </c>
      <c r="G27" s="106">
        <f>F27/E27</f>
        <v>2815.4970760233919</v>
      </c>
      <c r="H27" s="106">
        <v>831600</v>
      </c>
      <c r="I27" s="107">
        <f>H27/E27</f>
        <v>1621.0526315789473</v>
      </c>
      <c r="J27" s="107">
        <v>14850</v>
      </c>
      <c r="K27" s="107"/>
      <c r="L27" s="108">
        <f>F27+H27+J27</f>
        <v>2290800</v>
      </c>
      <c r="M27" s="109">
        <f>L27/E27</f>
        <v>4465.4970760233919</v>
      </c>
      <c r="N27" s="109"/>
      <c r="O27" s="109"/>
      <c r="P27" s="109"/>
      <c r="Q27" s="212">
        <v>165.5</v>
      </c>
      <c r="R27" s="110">
        <f>L27/Q27</f>
        <v>13841.691842900302</v>
      </c>
      <c r="T27" s="247">
        <v>21.3</v>
      </c>
      <c r="U27" s="247">
        <v>31.4</v>
      </c>
      <c r="V27" s="255">
        <v>1</v>
      </c>
      <c r="W27" s="255">
        <v>3</v>
      </c>
      <c r="X27" s="255">
        <v>5</v>
      </c>
      <c r="Y27" s="271">
        <f>SUM(V27:X27)/3</f>
        <v>3</v>
      </c>
      <c r="AA27" s="270" t="s">
        <v>123</v>
      </c>
      <c r="AB27" s="2"/>
      <c r="AC27" s="269">
        <v>5</v>
      </c>
    </row>
    <row r="28" spans="1:32" ht="23.5" customHeight="1">
      <c r="A28" s="54" t="s">
        <v>4</v>
      </c>
      <c r="B28" s="49">
        <v>10</v>
      </c>
      <c r="C28" s="101" t="s">
        <v>4</v>
      </c>
      <c r="D28" s="118">
        <f t="shared" ref="D28:D33" si="14">B28</f>
        <v>10</v>
      </c>
      <c r="E28" s="73">
        <v>293</v>
      </c>
      <c r="F28" s="106">
        <v>747400</v>
      </c>
      <c r="G28" s="106">
        <f t="shared" ref="G28:G32" si="15">F28/E28</f>
        <v>2550.8532423208189</v>
      </c>
      <c r="H28" s="106">
        <v>455750</v>
      </c>
      <c r="I28" s="107">
        <f t="shared" ref="I28:I32" si="16">H28/E28</f>
        <v>1555.4607508532424</v>
      </c>
      <c r="J28" s="107">
        <v>6050</v>
      </c>
      <c r="K28" s="107"/>
      <c r="L28" s="108">
        <f>F28+H28+J28</f>
        <v>1209200</v>
      </c>
      <c r="M28" s="109">
        <f t="shared" ref="M28:M33" si="17">L28/E28</f>
        <v>4126.9624573378842</v>
      </c>
      <c r="N28" s="109"/>
      <c r="O28" s="109"/>
      <c r="P28" s="109"/>
      <c r="Q28" s="212">
        <v>126</v>
      </c>
      <c r="R28" s="110">
        <f t="shared" ref="R28:R34" si="18">L28/Q28</f>
        <v>9596.8253968253975</v>
      </c>
      <c r="T28" s="247">
        <v>20.9</v>
      </c>
      <c r="U28" s="247">
        <v>28.4</v>
      </c>
      <c r="V28" s="255">
        <v>3</v>
      </c>
      <c r="W28" s="255">
        <v>3</v>
      </c>
      <c r="X28" s="255">
        <v>3</v>
      </c>
      <c r="Y28" s="271">
        <f t="shared" ref="Y28:Y33" si="19">SUM(V28:X28)/3</f>
        <v>3</v>
      </c>
      <c r="AA28" s="34" t="s">
        <v>124</v>
      </c>
      <c r="AC28" s="1">
        <v>4</v>
      </c>
    </row>
    <row r="29" spans="1:32" ht="23.5" customHeight="1">
      <c r="A29" s="54" t="s">
        <v>5</v>
      </c>
      <c r="B29" s="49">
        <v>11</v>
      </c>
      <c r="C29" s="101" t="s">
        <v>5</v>
      </c>
      <c r="D29" s="118">
        <f t="shared" si="14"/>
        <v>11</v>
      </c>
      <c r="E29" s="73">
        <v>181</v>
      </c>
      <c r="F29" s="106">
        <v>529650</v>
      </c>
      <c r="G29" s="106">
        <f t="shared" si="15"/>
        <v>2926.243093922652</v>
      </c>
      <c r="H29" s="106">
        <v>266300</v>
      </c>
      <c r="I29" s="107">
        <f t="shared" si="16"/>
        <v>1471.2707182320441</v>
      </c>
      <c r="J29" s="107">
        <v>13200</v>
      </c>
      <c r="K29" s="107"/>
      <c r="L29" s="108">
        <f t="shared" ref="L29:L32" si="20">F29+H29+J29</f>
        <v>809150</v>
      </c>
      <c r="M29" s="109">
        <f t="shared" si="17"/>
        <v>4470.441988950276</v>
      </c>
      <c r="N29" s="109"/>
      <c r="O29" s="109"/>
      <c r="P29" s="109"/>
      <c r="Q29" s="212">
        <v>126</v>
      </c>
      <c r="R29" s="110">
        <f t="shared" si="18"/>
        <v>6421.8253968253966</v>
      </c>
      <c r="T29" s="247">
        <v>22.3</v>
      </c>
      <c r="U29" s="247">
        <v>30.2</v>
      </c>
      <c r="V29" s="255">
        <v>5</v>
      </c>
      <c r="W29" s="255">
        <v>3</v>
      </c>
      <c r="X29" s="255">
        <v>3</v>
      </c>
      <c r="Y29" s="271">
        <f t="shared" si="19"/>
        <v>3.6666666666666665</v>
      </c>
      <c r="AA29" s="34" t="s">
        <v>128</v>
      </c>
      <c r="AC29" s="1">
        <v>3</v>
      </c>
    </row>
    <row r="30" spans="1:32" ht="23.5" customHeight="1">
      <c r="A30" s="54" t="s">
        <v>6</v>
      </c>
      <c r="B30" s="49">
        <v>12</v>
      </c>
      <c r="C30" s="101" t="s">
        <v>6</v>
      </c>
      <c r="D30" s="118">
        <f t="shared" si="14"/>
        <v>12</v>
      </c>
      <c r="E30" s="73">
        <v>175</v>
      </c>
      <c r="F30" s="106">
        <v>518650</v>
      </c>
      <c r="G30" s="106">
        <f t="shared" si="15"/>
        <v>2963.7142857142858</v>
      </c>
      <c r="H30" s="106">
        <v>266050</v>
      </c>
      <c r="I30" s="107">
        <f t="shared" si="16"/>
        <v>1520.2857142857142</v>
      </c>
      <c r="J30" s="107">
        <v>12650</v>
      </c>
      <c r="K30" s="107"/>
      <c r="L30" s="108">
        <f t="shared" si="20"/>
        <v>797350</v>
      </c>
      <c r="M30" s="109">
        <f t="shared" si="17"/>
        <v>4556.2857142857147</v>
      </c>
      <c r="N30" s="109"/>
      <c r="O30" s="109"/>
      <c r="P30" s="109"/>
      <c r="Q30" s="212">
        <v>125</v>
      </c>
      <c r="R30" s="110">
        <f t="shared" si="18"/>
        <v>6378.8</v>
      </c>
      <c r="T30" s="247">
        <v>21.4</v>
      </c>
      <c r="U30" s="247">
        <v>26.1</v>
      </c>
      <c r="V30" s="255">
        <v>1</v>
      </c>
      <c r="W30" s="255">
        <v>1</v>
      </c>
      <c r="X30" s="255">
        <v>1</v>
      </c>
      <c r="Y30" s="271">
        <f t="shared" si="19"/>
        <v>1</v>
      </c>
      <c r="AA30" s="34" t="s">
        <v>120</v>
      </c>
      <c r="AC30" s="1">
        <v>2</v>
      </c>
    </row>
    <row r="31" spans="1:32" ht="23.5" customHeight="1">
      <c r="A31" s="54" t="s">
        <v>7</v>
      </c>
      <c r="B31" s="49">
        <v>13</v>
      </c>
      <c r="C31" s="101" t="s">
        <v>7</v>
      </c>
      <c r="D31" s="118">
        <f t="shared" si="14"/>
        <v>13</v>
      </c>
      <c r="E31" s="73">
        <v>220</v>
      </c>
      <c r="F31" s="106">
        <v>610100</v>
      </c>
      <c r="G31" s="106">
        <f t="shared" si="15"/>
        <v>2773.181818181818</v>
      </c>
      <c r="H31" s="106">
        <v>339550</v>
      </c>
      <c r="I31" s="107">
        <f t="shared" si="16"/>
        <v>1543.409090909091</v>
      </c>
      <c r="J31" s="107">
        <v>1100</v>
      </c>
      <c r="K31" s="107"/>
      <c r="L31" s="108">
        <f t="shared" si="20"/>
        <v>950750</v>
      </c>
      <c r="M31" s="109">
        <f t="shared" si="17"/>
        <v>4321.590909090909</v>
      </c>
      <c r="N31" s="109"/>
      <c r="O31" s="109"/>
      <c r="P31" s="109"/>
      <c r="Q31" s="212">
        <v>145</v>
      </c>
      <c r="R31" s="110">
        <f t="shared" si="18"/>
        <v>6556.8965517241377</v>
      </c>
      <c r="T31" s="247">
        <v>21</v>
      </c>
      <c r="U31" s="247">
        <v>26.7</v>
      </c>
      <c r="V31" s="255">
        <v>3</v>
      </c>
      <c r="W31" s="255">
        <v>3</v>
      </c>
      <c r="X31" s="255">
        <v>3</v>
      </c>
      <c r="Y31" s="271">
        <f t="shared" si="19"/>
        <v>3</v>
      </c>
      <c r="AA31" s="34" t="s">
        <v>121</v>
      </c>
      <c r="AC31" s="1">
        <v>1</v>
      </c>
    </row>
    <row r="32" spans="1:32" ht="23.5" customHeight="1">
      <c r="A32" s="54" t="s">
        <v>8</v>
      </c>
      <c r="B32" s="49">
        <v>14</v>
      </c>
      <c r="C32" s="101" t="s">
        <v>8</v>
      </c>
      <c r="D32" s="118">
        <f t="shared" si="14"/>
        <v>14</v>
      </c>
      <c r="E32" s="73">
        <v>373</v>
      </c>
      <c r="F32" s="106">
        <v>1107700</v>
      </c>
      <c r="G32" s="106">
        <f t="shared" si="15"/>
        <v>2969.7050938337802</v>
      </c>
      <c r="H32" s="106">
        <v>596850</v>
      </c>
      <c r="I32" s="107">
        <f t="shared" si="16"/>
        <v>1600.1340482573726</v>
      </c>
      <c r="J32" s="107">
        <v>12100</v>
      </c>
      <c r="K32" s="107"/>
      <c r="L32" s="108">
        <f t="shared" si="20"/>
        <v>1716650</v>
      </c>
      <c r="M32" s="109">
        <f t="shared" si="17"/>
        <v>4602.2788203753353</v>
      </c>
      <c r="N32" s="109"/>
      <c r="O32" s="109"/>
      <c r="P32" s="109"/>
      <c r="Q32" s="212">
        <v>151</v>
      </c>
      <c r="R32" s="110">
        <f t="shared" si="18"/>
        <v>11368.543046357616</v>
      </c>
      <c r="T32" s="247">
        <v>20</v>
      </c>
      <c r="U32" s="247">
        <v>25.4</v>
      </c>
      <c r="V32" s="255">
        <v>3</v>
      </c>
      <c r="W32" s="255">
        <v>5</v>
      </c>
      <c r="X32" s="255">
        <v>1</v>
      </c>
      <c r="Y32" s="271">
        <f t="shared" si="19"/>
        <v>3</v>
      </c>
      <c r="AA32" s="34" t="s">
        <v>126</v>
      </c>
      <c r="AC32" s="1">
        <v>0</v>
      </c>
    </row>
    <row r="33" spans="1:32" ht="23.5" customHeight="1" thickBot="1">
      <c r="A33" s="55" t="s">
        <v>9</v>
      </c>
      <c r="B33" s="49">
        <v>15</v>
      </c>
      <c r="C33" s="111" t="s">
        <v>9</v>
      </c>
      <c r="D33" s="118">
        <f t="shared" si="14"/>
        <v>15</v>
      </c>
      <c r="E33" s="73">
        <v>252</v>
      </c>
      <c r="F33" s="106">
        <v>797100</v>
      </c>
      <c r="G33" s="106">
        <f>F33/E33</f>
        <v>3163.0952380952381</v>
      </c>
      <c r="H33" s="106">
        <v>410750</v>
      </c>
      <c r="I33" s="107">
        <f>H33/E33</f>
        <v>1629.9603174603174</v>
      </c>
      <c r="J33" s="107">
        <v>30250</v>
      </c>
      <c r="K33" s="107"/>
      <c r="L33" s="108">
        <f>F33+H33+J33</f>
        <v>1238100</v>
      </c>
      <c r="M33" s="109">
        <f t="shared" si="17"/>
        <v>4913.0952380952385</v>
      </c>
      <c r="N33" s="109"/>
      <c r="O33" s="109"/>
      <c r="P33" s="109"/>
      <c r="Q33" s="212">
        <v>165.5</v>
      </c>
      <c r="R33" s="110">
        <f t="shared" si="18"/>
        <v>7480.9667673716012</v>
      </c>
      <c r="T33" s="248">
        <v>19.399999999999999</v>
      </c>
      <c r="U33" s="248">
        <v>21.4</v>
      </c>
      <c r="V33" s="256">
        <v>1</v>
      </c>
      <c r="W33" s="255">
        <v>1</v>
      </c>
      <c r="X33" s="256">
        <v>1</v>
      </c>
      <c r="Y33" s="272">
        <f t="shared" si="19"/>
        <v>1</v>
      </c>
      <c r="AA33" s="1" t="s">
        <v>129</v>
      </c>
    </row>
    <row r="34" spans="1:32" s="259" customFormat="1" ht="31" customHeight="1" thickTop="1" thickBot="1">
      <c r="A34" s="452" t="s">
        <v>13</v>
      </c>
      <c r="B34" s="453"/>
      <c r="C34" s="452" t="s">
        <v>13</v>
      </c>
      <c r="D34" s="453"/>
      <c r="E34" s="257">
        <f>SUM(E27:E33)</f>
        <v>2007</v>
      </c>
      <c r="F34" s="257">
        <f>SUM(F27:F33)</f>
        <v>5754950</v>
      </c>
      <c r="G34" s="257">
        <f>F34/E34</f>
        <v>2867.4389636273045</v>
      </c>
      <c r="H34" s="257">
        <f>SUM(H27:H33)</f>
        <v>3166850</v>
      </c>
      <c r="I34" s="261">
        <f>H34/E34</f>
        <v>1577.902341803687</v>
      </c>
      <c r="J34" s="261">
        <f>SUM(J27:J33)</f>
        <v>90200</v>
      </c>
      <c r="K34" s="261"/>
      <c r="L34" s="257">
        <f>F34+H34</f>
        <v>8921800</v>
      </c>
      <c r="M34" s="262">
        <f>L34/E34</f>
        <v>4445.3413054309913</v>
      </c>
      <c r="N34" s="262"/>
      <c r="O34" s="262"/>
      <c r="P34" s="262"/>
      <c r="Q34" s="263">
        <f>SUM(Q27:Q33)</f>
        <v>1004</v>
      </c>
      <c r="R34" s="258">
        <f t="shared" si="18"/>
        <v>8886.2549800796805</v>
      </c>
      <c r="S34" s="259">
        <v>7</v>
      </c>
      <c r="T34" s="289">
        <f>SUM(T27:T33)/S34</f>
        <v>20.900000000000002</v>
      </c>
      <c r="U34" s="290">
        <f>SUM(U27:U33)/S34</f>
        <v>27.085714285714285</v>
      </c>
      <c r="V34" s="305">
        <f>SUM(V27:V33)/S34</f>
        <v>2.4285714285714284</v>
      </c>
      <c r="W34" s="305">
        <f>SUM(W27:W33)/S34</f>
        <v>2.7142857142857144</v>
      </c>
      <c r="X34" s="305">
        <f>SUM(X27:X33)/S34</f>
        <v>2.4285714285714284</v>
      </c>
      <c r="Y34" s="306">
        <f>SUM(V34:X34)/3</f>
        <v>2.5238095238095237</v>
      </c>
      <c r="Z34" s="260" t="s">
        <v>137</v>
      </c>
      <c r="AA34" s="532">
        <f>L34/S34</f>
        <v>1274542.857142857</v>
      </c>
      <c r="AB34" s="533"/>
      <c r="AC34" s="533"/>
      <c r="AD34" s="533"/>
      <c r="AE34" s="534"/>
      <c r="AF34" s="282" t="s">
        <v>140</v>
      </c>
    </row>
    <row r="35" spans="1:32" ht="23.5" customHeight="1" thickTop="1">
      <c r="A35" s="456" t="s">
        <v>16</v>
      </c>
      <c r="B35" s="457"/>
      <c r="C35" s="461" t="s">
        <v>16</v>
      </c>
      <c r="D35" s="462"/>
      <c r="E35" s="462"/>
      <c r="F35" s="462"/>
      <c r="G35" s="462"/>
      <c r="H35" s="462"/>
      <c r="I35" s="462"/>
      <c r="J35" s="462"/>
      <c r="K35" s="462"/>
      <c r="L35" s="462"/>
      <c r="M35" s="462"/>
      <c r="N35" s="462"/>
      <c r="O35" s="462"/>
      <c r="P35" s="462"/>
      <c r="Q35" s="462"/>
      <c r="R35" s="463"/>
      <c r="T35" s="497" t="str">
        <f>C35</f>
        <v>4th week</v>
      </c>
      <c r="U35" s="497"/>
      <c r="V35" s="497"/>
      <c r="W35" s="497"/>
      <c r="X35" s="497"/>
      <c r="Y35" s="497"/>
    </row>
    <row r="36" spans="1:32" ht="23.5" customHeight="1">
      <c r="A36" s="52" t="s">
        <v>10</v>
      </c>
      <c r="B36" s="36" t="s">
        <v>11</v>
      </c>
      <c r="C36" s="101" t="s">
        <v>10</v>
      </c>
      <c r="D36" s="102" t="s">
        <v>11</v>
      </c>
      <c r="E36" s="102" t="s">
        <v>1</v>
      </c>
      <c r="F36" s="102" t="s">
        <v>30</v>
      </c>
      <c r="G36" s="102" t="s">
        <v>31</v>
      </c>
      <c r="H36" s="102" t="s">
        <v>28</v>
      </c>
      <c r="I36" s="102" t="s">
        <v>29</v>
      </c>
      <c r="J36" s="102" t="s">
        <v>388</v>
      </c>
      <c r="K36" s="102" t="s">
        <v>384</v>
      </c>
      <c r="L36" s="102" t="s">
        <v>71</v>
      </c>
      <c r="M36" s="103" t="s">
        <v>48</v>
      </c>
      <c r="N36" s="103" t="s">
        <v>385</v>
      </c>
      <c r="O36" s="103" t="s">
        <v>386</v>
      </c>
      <c r="P36" s="103" t="s">
        <v>387</v>
      </c>
      <c r="Q36" s="103" t="s">
        <v>40</v>
      </c>
      <c r="R36" s="104" t="s">
        <v>73</v>
      </c>
      <c r="T36" s="252" t="s">
        <v>114</v>
      </c>
      <c r="U36" s="253" t="s">
        <v>115</v>
      </c>
      <c r="V36" s="48" t="s">
        <v>116</v>
      </c>
      <c r="W36" s="48" t="s">
        <v>117</v>
      </c>
      <c r="X36" s="48" t="s">
        <v>118</v>
      </c>
      <c r="Y36" s="254" t="s">
        <v>127</v>
      </c>
      <c r="AA36" s="1" t="s">
        <v>122</v>
      </c>
      <c r="AC36" s="35" t="s">
        <v>125</v>
      </c>
    </row>
    <row r="37" spans="1:32" ht="23.5" customHeight="1">
      <c r="A37" s="53" t="s">
        <v>3</v>
      </c>
      <c r="B37" s="49">
        <v>16</v>
      </c>
      <c r="C37" s="105" t="s">
        <v>3</v>
      </c>
      <c r="D37" s="118">
        <f>B37</f>
        <v>16</v>
      </c>
      <c r="E37" s="73">
        <v>660</v>
      </c>
      <c r="F37" s="106">
        <v>1804850</v>
      </c>
      <c r="G37" s="106">
        <f>F37/E37</f>
        <v>2734.621212121212</v>
      </c>
      <c r="H37" s="106">
        <v>1029900</v>
      </c>
      <c r="I37" s="107">
        <f>H37/E37</f>
        <v>1560.4545454545455</v>
      </c>
      <c r="J37" s="107">
        <v>24750</v>
      </c>
      <c r="K37" s="107"/>
      <c r="L37" s="108">
        <f>F37+H37+J37</f>
        <v>2859500</v>
      </c>
      <c r="M37" s="109">
        <f>L37/E37</f>
        <v>4332.575757575758</v>
      </c>
      <c r="N37" s="109"/>
      <c r="O37" s="109"/>
      <c r="P37" s="109"/>
      <c r="Q37" s="212">
        <v>165.5</v>
      </c>
      <c r="R37" s="110">
        <f>L37/Q37</f>
        <v>17277.945619335347</v>
      </c>
      <c r="T37" s="247">
        <v>20.100000000000001</v>
      </c>
      <c r="U37" s="247">
        <v>28</v>
      </c>
      <c r="V37" s="255">
        <v>5</v>
      </c>
      <c r="W37" s="255">
        <v>3</v>
      </c>
      <c r="X37" s="255">
        <v>3</v>
      </c>
      <c r="Y37" s="271">
        <f>SUM(V37:X37)/3</f>
        <v>3.6666666666666665</v>
      </c>
      <c r="AA37" s="270" t="s">
        <v>123</v>
      </c>
      <c r="AB37" s="2"/>
      <c r="AC37" s="269">
        <v>5</v>
      </c>
    </row>
    <row r="38" spans="1:32" ht="23.5" customHeight="1">
      <c r="A38" s="53" t="s">
        <v>4</v>
      </c>
      <c r="B38" s="49">
        <v>17</v>
      </c>
      <c r="C38" s="101" t="s">
        <v>4</v>
      </c>
      <c r="D38" s="118">
        <f t="shared" ref="D38:D43" si="21">B38</f>
        <v>17</v>
      </c>
      <c r="E38" s="73">
        <v>353</v>
      </c>
      <c r="F38" s="106">
        <v>924150</v>
      </c>
      <c r="G38" s="106">
        <f t="shared" ref="G38:G42" si="22">F38/E38</f>
        <v>2617.988668555241</v>
      </c>
      <c r="H38" s="106">
        <v>514000</v>
      </c>
      <c r="I38" s="107">
        <f t="shared" ref="I38:I42" si="23">H38/E38</f>
        <v>1456.0906515580737</v>
      </c>
      <c r="J38" s="107">
        <v>14850</v>
      </c>
      <c r="K38" s="107"/>
      <c r="L38" s="108">
        <f t="shared" ref="L38:L42" si="24">F38+H38+J38</f>
        <v>1453000</v>
      </c>
      <c r="M38" s="109">
        <f t="shared" ref="M38:M43" si="25">L38/E38</f>
        <v>4116.1473087818695</v>
      </c>
      <c r="N38" s="109"/>
      <c r="O38" s="109"/>
      <c r="P38" s="109"/>
      <c r="Q38" s="212">
        <v>124.5</v>
      </c>
      <c r="R38" s="110">
        <f t="shared" ref="R38:R44" si="26">L38/Q38</f>
        <v>11670.682730923694</v>
      </c>
      <c r="T38" s="247">
        <v>21.7</v>
      </c>
      <c r="U38" s="247">
        <v>26</v>
      </c>
      <c r="V38" s="255">
        <v>3</v>
      </c>
      <c r="W38" s="255">
        <v>3</v>
      </c>
      <c r="X38" s="255">
        <v>3</v>
      </c>
      <c r="Y38" s="271">
        <f t="shared" ref="Y38:Y43" si="27">SUM(V38:X38)/3</f>
        <v>3</v>
      </c>
      <c r="AA38" s="34" t="s">
        <v>124</v>
      </c>
      <c r="AC38" s="1">
        <v>4</v>
      </c>
    </row>
    <row r="39" spans="1:32" ht="23.5" customHeight="1">
      <c r="A39" s="54" t="s">
        <v>5</v>
      </c>
      <c r="B39" s="49">
        <v>18</v>
      </c>
      <c r="C39" s="101" t="s">
        <v>5</v>
      </c>
      <c r="D39" s="118">
        <f t="shared" si="21"/>
        <v>18</v>
      </c>
      <c r="E39" s="73">
        <v>280</v>
      </c>
      <c r="F39" s="106">
        <v>721150</v>
      </c>
      <c r="G39" s="106">
        <f t="shared" si="22"/>
        <v>2575.5357142857142</v>
      </c>
      <c r="H39" s="106">
        <v>391100</v>
      </c>
      <c r="I39" s="107">
        <f t="shared" si="23"/>
        <v>1396.7857142857142</v>
      </c>
      <c r="J39" s="107">
        <v>12650</v>
      </c>
      <c r="K39" s="107"/>
      <c r="L39" s="108">
        <f t="shared" si="24"/>
        <v>1124900</v>
      </c>
      <c r="M39" s="109">
        <f t="shared" si="25"/>
        <v>4017.5</v>
      </c>
      <c r="N39" s="109"/>
      <c r="O39" s="109"/>
      <c r="P39" s="109"/>
      <c r="Q39" s="212">
        <v>126</v>
      </c>
      <c r="R39" s="110">
        <f t="shared" si="26"/>
        <v>8927.7777777777774</v>
      </c>
      <c r="T39" s="247">
        <v>19.2</v>
      </c>
      <c r="U39" s="247">
        <v>24.7</v>
      </c>
      <c r="V39" s="255">
        <v>2</v>
      </c>
      <c r="W39" s="255">
        <v>2</v>
      </c>
      <c r="X39" s="255">
        <v>3</v>
      </c>
      <c r="Y39" s="271">
        <f t="shared" si="27"/>
        <v>2.3333333333333335</v>
      </c>
      <c r="AA39" s="34" t="s">
        <v>128</v>
      </c>
      <c r="AC39" s="1">
        <v>3</v>
      </c>
    </row>
    <row r="40" spans="1:32" ht="23.5" customHeight="1">
      <c r="A40" s="54" t="s">
        <v>6</v>
      </c>
      <c r="B40" s="49">
        <v>19</v>
      </c>
      <c r="C40" s="101" t="s">
        <v>6</v>
      </c>
      <c r="D40" s="118">
        <f t="shared" si="21"/>
        <v>19</v>
      </c>
      <c r="E40" s="73">
        <v>410</v>
      </c>
      <c r="F40" s="106">
        <v>1169800</v>
      </c>
      <c r="G40" s="106">
        <f t="shared" si="22"/>
        <v>2853.1707317073169</v>
      </c>
      <c r="H40" s="106">
        <v>639000</v>
      </c>
      <c r="I40" s="107">
        <f t="shared" si="23"/>
        <v>1558.5365853658536</v>
      </c>
      <c r="J40" s="107">
        <v>15400</v>
      </c>
      <c r="K40" s="107"/>
      <c r="L40" s="108">
        <f t="shared" si="24"/>
        <v>1824200</v>
      </c>
      <c r="M40" s="109">
        <f t="shared" si="25"/>
        <v>4449.2682926829266</v>
      </c>
      <c r="N40" s="109"/>
      <c r="O40" s="109"/>
      <c r="P40" s="109"/>
      <c r="Q40" s="212">
        <v>126</v>
      </c>
      <c r="R40" s="110">
        <f t="shared" si="26"/>
        <v>14477.777777777777</v>
      </c>
      <c r="T40" s="247">
        <v>19.399999999999999</v>
      </c>
      <c r="U40" s="247">
        <v>25</v>
      </c>
      <c r="V40" s="255">
        <v>3</v>
      </c>
      <c r="W40" s="255">
        <v>5</v>
      </c>
      <c r="X40" s="255">
        <v>5</v>
      </c>
      <c r="Y40" s="271">
        <f t="shared" si="27"/>
        <v>4.333333333333333</v>
      </c>
      <c r="AA40" s="34" t="s">
        <v>120</v>
      </c>
      <c r="AC40" s="1">
        <v>2</v>
      </c>
    </row>
    <row r="41" spans="1:32" ht="23.5" customHeight="1">
      <c r="A41" s="54" t="s">
        <v>7</v>
      </c>
      <c r="B41" s="49">
        <v>20</v>
      </c>
      <c r="C41" s="101" t="s">
        <v>7</v>
      </c>
      <c r="D41" s="118">
        <f t="shared" si="21"/>
        <v>20</v>
      </c>
      <c r="E41" s="73">
        <v>440</v>
      </c>
      <c r="F41" s="106">
        <v>1200400</v>
      </c>
      <c r="G41" s="106">
        <f t="shared" si="22"/>
        <v>2728.181818181818</v>
      </c>
      <c r="H41" s="106">
        <v>703650</v>
      </c>
      <c r="I41" s="107">
        <f t="shared" si="23"/>
        <v>1599.2045454545455</v>
      </c>
      <c r="J41" s="107">
        <v>12100</v>
      </c>
      <c r="K41" s="107"/>
      <c r="L41" s="108">
        <f t="shared" si="24"/>
        <v>1916150</v>
      </c>
      <c r="M41" s="109">
        <f t="shared" si="25"/>
        <v>4354.886363636364</v>
      </c>
      <c r="N41" s="109"/>
      <c r="O41" s="109"/>
      <c r="P41" s="109"/>
      <c r="Q41" s="212">
        <v>143.5</v>
      </c>
      <c r="R41" s="110">
        <f t="shared" si="26"/>
        <v>13352.961672473868</v>
      </c>
      <c r="T41" s="247">
        <v>20.100000000000001</v>
      </c>
      <c r="U41" s="247">
        <v>27.9</v>
      </c>
      <c r="V41" s="255">
        <v>5</v>
      </c>
      <c r="W41" s="255">
        <v>5</v>
      </c>
      <c r="X41" s="255">
        <v>5</v>
      </c>
      <c r="Y41" s="271">
        <f t="shared" si="27"/>
        <v>5</v>
      </c>
      <c r="AA41" s="34" t="s">
        <v>121</v>
      </c>
      <c r="AC41" s="1">
        <v>1</v>
      </c>
    </row>
    <row r="42" spans="1:32" ht="23.5" customHeight="1">
      <c r="A42" s="54" t="s">
        <v>8</v>
      </c>
      <c r="B42" s="49">
        <v>21</v>
      </c>
      <c r="C42" s="101" t="s">
        <v>8</v>
      </c>
      <c r="D42" s="118">
        <f t="shared" si="21"/>
        <v>21</v>
      </c>
      <c r="E42" s="73">
        <v>509</v>
      </c>
      <c r="F42" s="106">
        <v>1506700</v>
      </c>
      <c r="G42" s="106">
        <f t="shared" si="22"/>
        <v>2960.1178781925346</v>
      </c>
      <c r="H42" s="106">
        <v>809450</v>
      </c>
      <c r="I42" s="107">
        <f t="shared" si="23"/>
        <v>1590.2750491159136</v>
      </c>
      <c r="J42" s="107">
        <v>28600</v>
      </c>
      <c r="K42" s="107"/>
      <c r="L42" s="108">
        <f t="shared" si="24"/>
        <v>2344750</v>
      </c>
      <c r="M42" s="109">
        <f t="shared" si="25"/>
        <v>4606.5815324165033</v>
      </c>
      <c r="N42" s="109"/>
      <c r="O42" s="109"/>
      <c r="P42" s="109"/>
      <c r="Q42" s="212">
        <v>149</v>
      </c>
      <c r="R42" s="110">
        <f t="shared" si="26"/>
        <v>15736.577181208053</v>
      </c>
      <c r="T42" s="247">
        <v>19.3</v>
      </c>
      <c r="U42" s="247">
        <v>28.6</v>
      </c>
      <c r="V42" s="255">
        <v>5</v>
      </c>
      <c r="W42" s="255">
        <v>5</v>
      </c>
      <c r="X42" s="255">
        <v>3</v>
      </c>
      <c r="Y42" s="271">
        <f t="shared" si="27"/>
        <v>4.333333333333333</v>
      </c>
      <c r="AA42" s="34" t="s">
        <v>126</v>
      </c>
      <c r="AC42" s="1">
        <v>0</v>
      </c>
    </row>
    <row r="43" spans="1:32" ht="23.5" customHeight="1" thickBot="1">
      <c r="A43" s="55" t="s">
        <v>9</v>
      </c>
      <c r="B43" s="49">
        <v>22</v>
      </c>
      <c r="C43" s="111" t="s">
        <v>9</v>
      </c>
      <c r="D43" s="118">
        <f t="shared" si="21"/>
        <v>22</v>
      </c>
      <c r="E43" s="370">
        <v>717</v>
      </c>
      <c r="F43" s="106">
        <v>2006050</v>
      </c>
      <c r="G43" s="106">
        <f>F43/E43</f>
        <v>2797.8382147838215</v>
      </c>
      <c r="H43" s="106">
        <v>996400</v>
      </c>
      <c r="I43" s="107">
        <f>H43/E43</f>
        <v>1389.679218967922</v>
      </c>
      <c r="J43" s="107">
        <v>11000</v>
      </c>
      <c r="K43" s="107"/>
      <c r="L43" s="370">
        <f>F43+H43+J43</f>
        <v>3013450</v>
      </c>
      <c r="M43" s="109">
        <f t="shared" si="25"/>
        <v>4202.8591352859139</v>
      </c>
      <c r="N43" s="109"/>
      <c r="O43" s="109"/>
      <c r="P43" s="109"/>
      <c r="Q43" s="212">
        <v>170.5</v>
      </c>
      <c r="R43" s="110">
        <f t="shared" si="26"/>
        <v>17674.193548387098</v>
      </c>
      <c r="T43" s="248">
        <v>18.2</v>
      </c>
      <c r="U43" s="248">
        <v>29.4</v>
      </c>
      <c r="V43" s="256">
        <v>5</v>
      </c>
      <c r="W43" s="255">
        <v>5</v>
      </c>
      <c r="X43" s="255">
        <v>5</v>
      </c>
      <c r="Y43" s="371">
        <f t="shared" si="27"/>
        <v>5</v>
      </c>
      <c r="AA43" s="1" t="s">
        <v>129</v>
      </c>
    </row>
    <row r="44" spans="1:32" s="259" customFormat="1" ht="34" customHeight="1" thickTop="1" thickBot="1">
      <c r="A44" s="452" t="s">
        <v>13</v>
      </c>
      <c r="B44" s="453"/>
      <c r="C44" s="452" t="s">
        <v>13</v>
      </c>
      <c r="D44" s="453"/>
      <c r="E44" s="257">
        <f>SUM(E37:E43)</f>
        <v>3369</v>
      </c>
      <c r="F44" s="257">
        <f>SUM(F37:F43)</f>
        <v>9333100</v>
      </c>
      <c r="G44" s="257">
        <f>F44/E44</f>
        <v>2770.2879192638766</v>
      </c>
      <c r="H44" s="257">
        <f>SUM(H37:H43)</f>
        <v>5083500</v>
      </c>
      <c r="I44" s="261">
        <f>H44/E44</f>
        <v>1508.9047195013356</v>
      </c>
      <c r="J44" s="261">
        <f>SUM(J37:J43)</f>
        <v>119350</v>
      </c>
      <c r="K44" s="261"/>
      <c r="L44" s="369">
        <f>F44+H44</f>
        <v>14416600</v>
      </c>
      <c r="M44" s="262">
        <f>L44/E44</f>
        <v>4279.192638765212</v>
      </c>
      <c r="N44" s="262"/>
      <c r="O44" s="262"/>
      <c r="P44" s="262"/>
      <c r="Q44" s="263">
        <f>SUM(Q37:Q43)</f>
        <v>1005</v>
      </c>
      <c r="R44" s="258">
        <f t="shared" si="26"/>
        <v>14344.875621890547</v>
      </c>
      <c r="S44" s="259">
        <v>7</v>
      </c>
      <c r="T44" s="289">
        <f>SUM(T37:T43)/S44</f>
        <v>19.714285714285715</v>
      </c>
      <c r="U44" s="290">
        <f>SUM(U37:U43)/S44</f>
        <v>27.085714285714285</v>
      </c>
      <c r="V44" s="305">
        <f>SUM(V37:V43)/S44</f>
        <v>4</v>
      </c>
      <c r="W44" s="305">
        <f>SUM(W37:W43)/S44</f>
        <v>4</v>
      </c>
      <c r="X44" s="305">
        <f>SUM(X37:X43)/S44</f>
        <v>3.8571428571428572</v>
      </c>
      <c r="Y44" s="307">
        <f>SUM(V44:X44)/3</f>
        <v>3.9523809523809526</v>
      </c>
      <c r="Z44" s="260" t="s">
        <v>138</v>
      </c>
      <c r="AA44" s="538">
        <f>L44/S44</f>
        <v>2059514.2857142857</v>
      </c>
      <c r="AB44" s="539"/>
      <c r="AC44" s="539"/>
      <c r="AD44" s="539"/>
      <c r="AE44" s="540"/>
      <c r="AF44" s="282" t="s">
        <v>140</v>
      </c>
    </row>
    <row r="45" spans="1:32" ht="23.5" customHeight="1" thickTop="1">
      <c r="A45" s="456" t="s">
        <v>17</v>
      </c>
      <c r="B45" s="457"/>
      <c r="C45" s="461" t="s">
        <v>17</v>
      </c>
      <c r="D45" s="462"/>
      <c r="E45" s="462"/>
      <c r="F45" s="462"/>
      <c r="G45" s="462"/>
      <c r="H45" s="462"/>
      <c r="I45" s="462"/>
      <c r="J45" s="462"/>
      <c r="K45" s="462"/>
      <c r="L45" s="462"/>
      <c r="M45" s="462"/>
      <c r="N45" s="462"/>
      <c r="O45" s="462"/>
      <c r="P45" s="462"/>
      <c r="Q45" s="462"/>
      <c r="R45" s="463"/>
      <c r="T45" s="497" t="str">
        <f>C45</f>
        <v>5th week</v>
      </c>
      <c r="U45" s="497"/>
      <c r="V45" s="497"/>
      <c r="W45" s="497"/>
      <c r="X45" s="497"/>
      <c r="Y45" s="497"/>
    </row>
    <row r="46" spans="1:32" ht="23.5" customHeight="1">
      <c r="A46" s="52" t="s">
        <v>10</v>
      </c>
      <c r="B46" s="36" t="s">
        <v>11</v>
      </c>
      <c r="C46" s="101" t="s">
        <v>10</v>
      </c>
      <c r="D46" s="102" t="s">
        <v>11</v>
      </c>
      <c r="E46" s="102" t="s">
        <v>1</v>
      </c>
      <c r="F46" s="102" t="s">
        <v>30</v>
      </c>
      <c r="G46" s="102" t="s">
        <v>31</v>
      </c>
      <c r="H46" s="102" t="s">
        <v>28</v>
      </c>
      <c r="I46" s="102" t="s">
        <v>29</v>
      </c>
      <c r="J46" s="102" t="s">
        <v>388</v>
      </c>
      <c r="K46" s="102" t="s">
        <v>384</v>
      </c>
      <c r="L46" s="102" t="s">
        <v>71</v>
      </c>
      <c r="M46" s="103" t="s">
        <v>48</v>
      </c>
      <c r="N46" s="103" t="s">
        <v>385</v>
      </c>
      <c r="O46" s="103" t="s">
        <v>386</v>
      </c>
      <c r="P46" s="103" t="s">
        <v>387</v>
      </c>
      <c r="Q46" s="103" t="s">
        <v>40</v>
      </c>
      <c r="R46" s="104" t="s">
        <v>73</v>
      </c>
      <c r="T46" s="252" t="s">
        <v>114</v>
      </c>
      <c r="U46" s="253" t="s">
        <v>115</v>
      </c>
      <c r="V46" s="48" t="s">
        <v>116</v>
      </c>
      <c r="W46" s="48" t="s">
        <v>117</v>
      </c>
      <c r="X46" s="48" t="s">
        <v>118</v>
      </c>
      <c r="Y46" s="254" t="s">
        <v>127</v>
      </c>
      <c r="AA46" s="1" t="s">
        <v>122</v>
      </c>
      <c r="AC46" s="35" t="s">
        <v>125</v>
      </c>
    </row>
    <row r="47" spans="1:32" ht="23.5" customHeight="1">
      <c r="A47" s="53" t="s">
        <v>3</v>
      </c>
      <c r="B47" s="49">
        <v>23</v>
      </c>
      <c r="C47" s="105" t="s">
        <v>3</v>
      </c>
      <c r="D47" s="118">
        <f>B47</f>
        <v>23</v>
      </c>
      <c r="E47" s="73">
        <v>453</v>
      </c>
      <c r="F47" s="106">
        <v>1227450</v>
      </c>
      <c r="G47" s="106">
        <f>F47/E47</f>
        <v>2709.6026490066224</v>
      </c>
      <c r="H47" s="106">
        <v>618100</v>
      </c>
      <c r="I47" s="107">
        <f>H47/E47</f>
        <v>1364.4591611479029</v>
      </c>
      <c r="J47" s="107">
        <v>11000</v>
      </c>
      <c r="K47" s="107"/>
      <c r="L47" s="108">
        <f>F47+H47+J47</f>
        <v>1856550</v>
      </c>
      <c r="M47" s="109">
        <f>L47/E47</f>
        <v>4098.3443708609275</v>
      </c>
      <c r="N47" s="109"/>
      <c r="O47" s="109"/>
      <c r="P47" s="109"/>
      <c r="Q47" s="212">
        <v>173.5</v>
      </c>
      <c r="R47" s="110">
        <f>L47/Q47</f>
        <v>10700.57636887608</v>
      </c>
      <c r="T47" s="247">
        <v>21.2</v>
      </c>
      <c r="U47" s="247">
        <v>28.3</v>
      </c>
      <c r="V47" s="255">
        <v>5</v>
      </c>
      <c r="W47" s="255">
        <v>5</v>
      </c>
      <c r="X47" s="255">
        <v>5</v>
      </c>
      <c r="Y47" s="271">
        <f>SUM(V47:X47)/3</f>
        <v>5</v>
      </c>
      <c r="AA47" s="270" t="s">
        <v>123</v>
      </c>
      <c r="AB47" s="2"/>
      <c r="AC47" s="269">
        <v>5</v>
      </c>
    </row>
    <row r="48" spans="1:32" ht="23.5" customHeight="1">
      <c r="A48" s="54" t="s">
        <v>4</v>
      </c>
      <c r="B48" s="49">
        <v>24</v>
      </c>
      <c r="C48" s="101" t="s">
        <v>4</v>
      </c>
      <c r="D48" s="118">
        <f t="shared" ref="D48:D53" si="28">B48</f>
        <v>24</v>
      </c>
      <c r="E48" s="73">
        <v>314</v>
      </c>
      <c r="F48" s="106">
        <v>870800</v>
      </c>
      <c r="G48" s="106">
        <f t="shared" ref="G48:G52" si="29">F48/E48</f>
        <v>2773.248407643312</v>
      </c>
      <c r="H48" s="106">
        <v>476550</v>
      </c>
      <c r="I48" s="107">
        <f t="shared" ref="I48:I52" si="30">H48/E48</f>
        <v>1517.6751592356688</v>
      </c>
      <c r="J48" s="107">
        <v>24750</v>
      </c>
      <c r="K48" s="107"/>
      <c r="L48" s="108">
        <f t="shared" ref="L48:L52" si="31">F48+H48+J48</f>
        <v>1372100</v>
      </c>
      <c r="M48" s="109">
        <f t="shared" ref="M48:M53" si="32">L48/E48</f>
        <v>4369.7452229299361</v>
      </c>
      <c r="N48" s="109"/>
      <c r="O48" s="109"/>
      <c r="P48" s="109"/>
      <c r="Q48" s="212">
        <v>124.5</v>
      </c>
      <c r="R48" s="110">
        <f t="shared" ref="R48:R54" si="33">L48/Q48</f>
        <v>11020.883534136547</v>
      </c>
      <c r="T48" s="247">
        <v>22.7</v>
      </c>
      <c r="U48" s="247">
        <v>29.2</v>
      </c>
      <c r="V48" s="255">
        <v>3</v>
      </c>
      <c r="W48" s="255">
        <v>3</v>
      </c>
      <c r="X48" s="255">
        <v>3</v>
      </c>
      <c r="Y48" s="271">
        <f t="shared" ref="Y48:Y53" si="34">SUM(V48:X48)/3</f>
        <v>3</v>
      </c>
      <c r="AA48" s="34" t="s">
        <v>124</v>
      </c>
      <c r="AC48" s="1">
        <v>4</v>
      </c>
    </row>
    <row r="49" spans="1:32" ht="23.5" customHeight="1">
      <c r="A49" s="54" t="s">
        <v>5</v>
      </c>
      <c r="B49" s="49">
        <v>25</v>
      </c>
      <c r="C49" s="101" t="s">
        <v>5</v>
      </c>
      <c r="D49" s="118">
        <f t="shared" si="28"/>
        <v>25</v>
      </c>
      <c r="E49" s="73">
        <v>315</v>
      </c>
      <c r="F49" s="106">
        <v>1021400</v>
      </c>
      <c r="G49" s="106">
        <f t="shared" si="29"/>
        <v>3242.5396825396824</v>
      </c>
      <c r="H49" s="106">
        <v>573500</v>
      </c>
      <c r="I49" s="107">
        <f t="shared" si="30"/>
        <v>1820.6349206349207</v>
      </c>
      <c r="J49" s="107">
        <v>6050</v>
      </c>
      <c r="K49" s="107"/>
      <c r="L49" s="108">
        <f t="shared" si="31"/>
        <v>1600950</v>
      </c>
      <c r="M49" s="109">
        <f t="shared" si="32"/>
        <v>5082.3809523809523</v>
      </c>
      <c r="N49" s="109"/>
      <c r="O49" s="109"/>
      <c r="P49" s="109"/>
      <c r="Q49" s="212">
        <v>124.5</v>
      </c>
      <c r="R49" s="110">
        <f t="shared" si="33"/>
        <v>12859.036144578313</v>
      </c>
      <c r="T49" s="247">
        <v>24.8</v>
      </c>
      <c r="U49" s="247">
        <v>29.8</v>
      </c>
      <c r="V49" s="255">
        <v>1</v>
      </c>
      <c r="W49" s="255">
        <v>3</v>
      </c>
      <c r="X49" s="255">
        <v>1</v>
      </c>
      <c r="Y49" s="271">
        <f t="shared" si="34"/>
        <v>1.6666666666666667</v>
      </c>
      <c r="AA49" s="34" t="s">
        <v>128</v>
      </c>
      <c r="AC49" s="1">
        <v>3</v>
      </c>
    </row>
    <row r="50" spans="1:32" ht="23.5" customHeight="1">
      <c r="A50" s="54" t="s">
        <v>6</v>
      </c>
      <c r="B50" s="49">
        <v>26</v>
      </c>
      <c r="C50" s="101" t="s">
        <v>6</v>
      </c>
      <c r="D50" s="118">
        <f t="shared" si="28"/>
        <v>26</v>
      </c>
      <c r="E50" s="73">
        <v>334</v>
      </c>
      <c r="F50" s="106">
        <v>860500</v>
      </c>
      <c r="G50" s="106">
        <f t="shared" si="29"/>
        <v>2576.3473053892217</v>
      </c>
      <c r="H50" s="106">
        <v>520450</v>
      </c>
      <c r="I50" s="107">
        <f t="shared" si="30"/>
        <v>1558.2335329341317</v>
      </c>
      <c r="J50" s="107">
        <v>10450</v>
      </c>
      <c r="K50" s="107"/>
      <c r="L50" s="108">
        <f t="shared" si="31"/>
        <v>1391400</v>
      </c>
      <c r="M50" s="109">
        <f t="shared" si="32"/>
        <v>4165.868263473054</v>
      </c>
      <c r="N50" s="109"/>
      <c r="O50" s="109"/>
      <c r="P50" s="109"/>
      <c r="Q50" s="212">
        <v>125.5</v>
      </c>
      <c r="R50" s="110">
        <f t="shared" si="33"/>
        <v>11086.852589641434</v>
      </c>
      <c r="T50" s="247">
        <v>24</v>
      </c>
      <c r="U50" s="247">
        <v>32.700000000000003</v>
      </c>
      <c r="V50" s="255">
        <v>5</v>
      </c>
      <c r="W50" s="255">
        <v>5</v>
      </c>
      <c r="X50" s="255">
        <v>5</v>
      </c>
      <c r="Y50" s="271">
        <f t="shared" si="34"/>
        <v>5</v>
      </c>
      <c r="AA50" s="34" t="s">
        <v>120</v>
      </c>
      <c r="AC50" s="1">
        <v>2</v>
      </c>
    </row>
    <row r="51" spans="1:32" ht="23.5" customHeight="1">
      <c r="A51" s="54" t="s">
        <v>7</v>
      </c>
      <c r="B51" s="49">
        <v>27</v>
      </c>
      <c r="C51" s="101" t="s">
        <v>7</v>
      </c>
      <c r="D51" s="118">
        <f t="shared" si="28"/>
        <v>27</v>
      </c>
      <c r="E51" s="73">
        <v>335</v>
      </c>
      <c r="F51" s="106">
        <v>1048850</v>
      </c>
      <c r="G51" s="106">
        <f t="shared" si="29"/>
        <v>3130.8955223880598</v>
      </c>
      <c r="H51" s="106">
        <v>578250</v>
      </c>
      <c r="I51" s="107">
        <f t="shared" si="30"/>
        <v>1726.1194029850747</v>
      </c>
      <c r="J51" s="107">
        <v>13750</v>
      </c>
      <c r="K51" s="107"/>
      <c r="L51" s="108">
        <f t="shared" si="31"/>
        <v>1640850</v>
      </c>
      <c r="M51" s="109">
        <f t="shared" si="32"/>
        <v>4898.059701492537</v>
      </c>
      <c r="N51" s="109"/>
      <c r="O51" s="109"/>
      <c r="P51" s="109"/>
      <c r="Q51" s="212">
        <v>171</v>
      </c>
      <c r="R51" s="110">
        <f t="shared" si="33"/>
        <v>9595.6140350877195</v>
      </c>
      <c r="T51" s="247">
        <v>23.9</v>
      </c>
      <c r="U51" s="247">
        <v>32.9</v>
      </c>
      <c r="V51" s="255">
        <v>3</v>
      </c>
      <c r="W51" s="255">
        <v>5</v>
      </c>
      <c r="X51" s="255">
        <v>5</v>
      </c>
      <c r="Y51" s="271">
        <f t="shared" si="34"/>
        <v>4.333333333333333</v>
      </c>
      <c r="AA51" s="34" t="s">
        <v>121</v>
      </c>
      <c r="AC51" s="1">
        <v>1</v>
      </c>
    </row>
    <row r="52" spans="1:32" ht="23.5" customHeight="1">
      <c r="A52" s="54" t="s">
        <v>8</v>
      </c>
      <c r="B52" s="49">
        <v>28</v>
      </c>
      <c r="C52" s="101" t="s">
        <v>8</v>
      </c>
      <c r="D52" s="118">
        <f t="shared" si="28"/>
        <v>28</v>
      </c>
      <c r="E52" s="73">
        <v>410</v>
      </c>
      <c r="F52" s="106">
        <v>1340600</v>
      </c>
      <c r="G52" s="106">
        <f t="shared" si="29"/>
        <v>3269.7560975609758</v>
      </c>
      <c r="H52" s="106">
        <v>737300</v>
      </c>
      <c r="I52" s="107">
        <f t="shared" si="30"/>
        <v>1798.2926829268292</v>
      </c>
      <c r="J52" s="107">
        <v>37400</v>
      </c>
      <c r="K52" s="107"/>
      <c r="L52" s="108">
        <f t="shared" si="31"/>
        <v>2115300</v>
      </c>
      <c r="M52" s="109">
        <f t="shared" si="32"/>
        <v>5159.2682926829266</v>
      </c>
      <c r="N52" s="109"/>
      <c r="O52" s="109"/>
      <c r="P52" s="109"/>
      <c r="Q52" s="212">
        <v>162</v>
      </c>
      <c r="R52" s="110">
        <f t="shared" si="33"/>
        <v>13057.407407407407</v>
      </c>
      <c r="T52" s="247">
        <v>24.4</v>
      </c>
      <c r="U52" s="247">
        <v>33.700000000000003</v>
      </c>
      <c r="V52" s="255">
        <v>3</v>
      </c>
      <c r="W52" s="255">
        <v>5</v>
      </c>
      <c r="X52" s="255">
        <v>5</v>
      </c>
      <c r="Y52" s="271">
        <f t="shared" si="34"/>
        <v>4.333333333333333</v>
      </c>
      <c r="AA52" s="34" t="s">
        <v>126</v>
      </c>
      <c r="AC52" s="1">
        <v>0</v>
      </c>
    </row>
    <row r="53" spans="1:32" ht="23.5" customHeight="1" thickBot="1">
      <c r="A53" s="55" t="s">
        <v>9</v>
      </c>
      <c r="B53" s="49">
        <v>29</v>
      </c>
      <c r="C53" s="111" t="s">
        <v>9</v>
      </c>
      <c r="D53" s="118">
        <f t="shared" si="28"/>
        <v>29</v>
      </c>
      <c r="E53" s="73">
        <v>487</v>
      </c>
      <c r="F53" s="106">
        <v>1599500</v>
      </c>
      <c r="G53" s="106">
        <f>F53/E53</f>
        <v>3284.3942505133468</v>
      </c>
      <c r="H53" s="106">
        <v>885150</v>
      </c>
      <c r="I53" s="107">
        <f>H53/E53</f>
        <v>1817.5564681724845</v>
      </c>
      <c r="J53" s="107">
        <v>28600</v>
      </c>
      <c r="K53" s="107"/>
      <c r="L53" s="108">
        <f>F53+H53+J53</f>
        <v>2513250</v>
      </c>
      <c r="M53" s="109">
        <f t="shared" si="32"/>
        <v>5160.6776180698153</v>
      </c>
      <c r="N53" s="109"/>
      <c r="O53" s="109"/>
      <c r="P53" s="109"/>
      <c r="Q53" s="212">
        <v>167</v>
      </c>
      <c r="R53" s="110">
        <f t="shared" si="33"/>
        <v>15049.40119760479</v>
      </c>
      <c r="T53" s="248">
        <v>24.9</v>
      </c>
      <c r="U53" s="248">
        <v>34.4</v>
      </c>
      <c r="V53" s="256">
        <v>3</v>
      </c>
      <c r="W53" s="255">
        <v>3</v>
      </c>
      <c r="X53" s="255">
        <v>3</v>
      </c>
      <c r="Y53" s="272">
        <f t="shared" si="34"/>
        <v>3</v>
      </c>
      <c r="AA53" s="1" t="s">
        <v>129</v>
      </c>
    </row>
    <row r="54" spans="1:32" s="259" customFormat="1" ht="43" customHeight="1" thickTop="1" thickBot="1">
      <c r="A54" s="452" t="s">
        <v>13</v>
      </c>
      <c r="B54" s="453"/>
      <c r="C54" s="452" t="s">
        <v>13</v>
      </c>
      <c r="D54" s="453"/>
      <c r="E54" s="257">
        <f>SUM(E47:E53)</f>
        <v>2648</v>
      </c>
      <c r="F54" s="257">
        <f>SUM(F47:F53)</f>
        <v>7969100</v>
      </c>
      <c r="G54" s="257">
        <f>F54/E54</f>
        <v>3009.4788519637464</v>
      </c>
      <c r="H54" s="257">
        <f>SUM(H47:H53)</f>
        <v>4389300</v>
      </c>
      <c r="I54" s="261">
        <f>H54/E54</f>
        <v>1657.5906344410876</v>
      </c>
      <c r="J54" s="261">
        <f>SUM(J47:J53)</f>
        <v>132000</v>
      </c>
      <c r="K54" s="261"/>
      <c r="L54" s="257">
        <f>F54+H54</f>
        <v>12358400</v>
      </c>
      <c r="M54" s="262">
        <f>L54/E54</f>
        <v>4667.0694864048337</v>
      </c>
      <c r="N54" s="262"/>
      <c r="O54" s="262"/>
      <c r="P54" s="262"/>
      <c r="Q54" s="263">
        <f>SUM(Q47:Q53)</f>
        <v>1048</v>
      </c>
      <c r="R54" s="258">
        <f t="shared" si="33"/>
        <v>11792.36641221374</v>
      </c>
      <c r="S54" s="259">
        <v>7</v>
      </c>
      <c r="T54" s="289">
        <f>SUM(T47:T53)/S54</f>
        <v>23.7</v>
      </c>
      <c r="U54" s="297">
        <f>SUM(U47:U53)/S54</f>
        <v>31.571428571428577</v>
      </c>
      <c r="V54" s="305">
        <f>SUM(V47:V53)/S54</f>
        <v>3.2857142857142856</v>
      </c>
      <c r="W54" s="305">
        <f>SUM(W47:W53)/S54</f>
        <v>4.1428571428571432</v>
      </c>
      <c r="X54" s="305">
        <f>SUM(X47:X53)/S54</f>
        <v>3.8571428571428572</v>
      </c>
      <c r="Y54" s="306">
        <f>SUM(V54:X54)/3</f>
        <v>3.7619047619047623</v>
      </c>
      <c r="Z54" s="260" t="s">
        <v>139</v>
      </c>
      <c r="AA54" s="532">
        <f>L54/S54</f>
        <v>1765485.7142857143</v>
      </c>
      <c r="AB54" s="533"/>
      <c r="AC54" s="533"/>
      <c r="AD54" s="533"/>
      <c r="AE54" s="534"/>
      <c r="AF54" s="282" t="s">
        <v>140</v>
      </c>
    </row>
    <row r="55" spans="1:32" ht="23.5" customHeight="1" thickTop="1">
      <c r="A55" s="456" t="s">
        <v>18</v>
      </c>
      <c r="B55" s="457"/>
      <c r="C55" s="461" t="s">
        <v>18</v>
      </c>
      <c r="D55" s="462"/>
      <c r="E55" s="462"/>
      <c r="F55" s="462"/>
      <c r="G55" s="462"/>
      <c r="H55" s="462"/>
      <c r="I55" s="462"/>
      <c r="J55" s="462"/>
      <c r="K55" s="462"/>
      <c r="L55" s="462"/>
      <c r="M55" s="462"/>
      <c r="N55" s="462"/>
      <c r="O55" s="462"/>
      <c r="P55" s="462"/>
      <c r="Q55" s="462"/>
      <c r="R55" s="463"/>
      <c r="T55" s="497" t="str">
        <f>C55</f>
        <v>6th week</v>
      </c>
      <c r="U55" s="497"/>
      <c r="V55" s="497"/>
      <c r="W55" s="497"/>
      <c r="X55" s="497"/>
      <c r="Y55" s="497"/>
    </row>
    <row r="56" spans="1:32" ht="23.5" customHeight="1">
      <c r="A56" s="52" t="s">
        <v>10</v>
      </c>
      <c r="B56" s="36" t="s">
        <v>11</v>
      </c>
      <c r="C56" s="101" t="s">
        <v>10</v>
      </c>
      <c r="D56" s="102" t="s">
        <v>11</v>
      </c>
      <c r="E56" s="102" t="s">
        <v>1</v>
      </c>
      <c r="F56" s="102" t="s">
        <v>30</v>
      </c>
      <c r="G56" s="102" t="s">
        <v>31</v>
      </c>
      <c r="H56" s="102" t="s">
        <v>28</v>
      </c>
      <c r="I56" s="102" t="s">
        <v>29</v>
      </c>
      <c r="J56" s="102" t="s">
        <v>388</v>
      </c>
      <c r="K56" s="102" t="s">
        <v>384</v>
      </c>
      <c r="L56" s="102" t="s">
        <v>71</v>
      </c>
      <c r="M56" s="103" t="s">
        <v>48</v>
      </c>
      <c r="N56" s="103" t="s">
        <v>385</v>
      </c>
      <c r="O56" s="103" t="s">
        <v>386</v>
      </c>
      <c r="P56" s="103" t="s">
        <v>387</v>
      </c>
      <c r="Q56" s="103" t="s">
        <v>40</v>
      </c>
      <c r="R56" s="104" t="s">
        <v>73</v>
      </c>
      <c r="T56" s="252" t="s">
        <v>114</v>
      </c>
      <c r="U56" s="253" t="s">
        <v>115</v>
      </c>
      <c r="V56" s="48" t="s">
        <v>116</v>
      </c>
      <c r="W56" s="48" t="s">
        <v>117</v>
      </c>
      <c r="X56" s="48" t="s">
        <v>118</v>
      </c>
      <c r="Y56" s="254" t="s">
        <v>127</v>
      </c>
      <c r="AA56" s="1" t="s">
        <v>122</v>
      </c>
      <c r="AC56" s="35" t="s">
        <v>125</v>
      </c>
    </row>
    <row r="57" spans="1:32" ht="23.5" customHeight="1">
      <c r="A57" s="53" t="s">
        <v>3</v>
      </c>
      <c r="B57" s="49">
        <v>30</v>
      </c>
      <c r="C57" s="105" t="s">
        <v>3</v>
      </c>
      <c r="D57" s="118">
        <f>B57</f>
        <v>30</v>
      </c>
      <c r="E57" s="73">
        <v>389</v>
      </c>
      <c r="F57" s="106">
        <v>1051700</v>
      </c>
      <c r="G57" s="106">
        <f>F57/E57</f>
        <v>2703.5989717223651</v>
      </c>
      <c r="H57" s="106">
        <v>601750</v>
      </c>
      <c r="I57" s="107">
        <f>H57/E57</f>
        <v>1546.9151670951157</v>
      </c>
      <c r="J57" s="107">
        <v>9900</v>
      </c>
      <c r="K57" s="107"/>
      <c r="L57" s="108">
        <f>F57+H57+J57</f>
        <v>1663350</v>
      </c>
      <c r="M57" s="109">
        <f>L57/E57</f>
        <v>4275.9640102827761</v>
      </c>
      <c r="N57" s="109"/>
      <c r="O57" s="109"/>
      <c r="P57" s="109"/>
      <c r="Q57" s="212">
        <v>178</v>
      </c>
      <c r="R57" s="110">
        <f>L57/Q57</f>
        <v>9344.6629213483138</v>
      </c>
      <c r="T57" s="247">
        <v>26</v>
      </c>
      <c r="U57" s="247">
        <v>29.9</v>
      </c>
      <c r="V57" s="255">
        <v>5</v>
      </c>
      <c r="W57" s="255">
        <v>5</v>
      </c>
      <c r="X57" s="255">
        <v>5</v>
      </c>
      <c r="Y57" s="271">
        <f>SUM(V57:X57)/3</f>
        <v>5</v>
      </c>
      <c r="AA57" s="270" t="s">
        <v>123</v>
      </c>
      <c r="AB57" s="2"/>
      <c r="AC57" s="269">
        <v>5</v>
      </c>
    </row>
    <row r="58" spans="1:32" ht="23.5" customHeight="1">
      <c r="A58" s="54" t="s">
        <v>4</v>
      </c>
      <c r="B58" s="49">
        <v>31</v>
      </c>
      <c r="C58" s="101" t="s">
        <v>4</v>
      </c>
      <c r="D58" s="118">
        <f t="shared" ref="D58:D63" si="35">B58</f>
        <v>31</v>
      </c>
      <c r="E58" s="73">
        <v>246</v>
      </c>
      <c r="F58" s="106">
        <v>638850</v>
      </c>
      <c r="G58" s="106">
        <f t="shared" ref="G58:G62" si="36">F58/E58</f>
        <v>2596.9512195121952</v>
      </c>
      <c r="H58" s="106">
        <v>330350</v>
      </c>
      <c r="I58" s="107">
        <f t="shared" ref="I58:I62" si="37">H58/E58</f>
        <v>1342.8861788617887</v>
      </c>
      <c r="J58" s="107">
        <v>7700</v>
      </c>
      <c r="K58" s="107"/>
      <c r="L58" s="108">
        <f t="shared" ref="L58:L62" si="38">F58+H58+J58</f>
        <v>976900</v>
      </c>
      <c r="M58" s="109">
        <f t="shared" ref="M58:M63" si="39">L58/E58</f>
        <v>3971.1382113821137</v>
      </c>
      <c r="N58" s="109"/>
      <c r="O58" s="109"/>
      <c r="P58" s="109"/>
      <c r="Q58" s="212">
        <v>124.5</v>
      </c>
      <c r="R58" s="110">
        <f t="shared" ref="R58:R63" si="40">L58/Q58</f>
        <v>7846.5863453815264</v>
      </c>
      <c r="T58" s="247">
        <v>25.8</v>
      </c>
      <c r="U58" s="247">
        <v>28.2</v>
      </c>
      <c r="V58" s="255">
        <v>1</v>
      </c>
      <c r="W58" s="255">
        <v>1</v>
      </c>
      <c r="X58" s="255">
        <v>1</v>
      </c>
      <c r="Y58" s="271">
        <f t="shared" ref="Y58:Y63" si="41">SUM(V58:X58)/3</f>
        <v>1</v>
      </c>
      <c r="AA58" s="34" t="s">
        <v>124</v>
      </c>
      <c r="AC58" s="1">
        <v>4</v>
      </c>
    </row>
    <row r="59" spans="1:32" ht="23.5" customHeight="1">
      <c r="A59" s="54" t="s">
        <v>5</v>
      </c>
      <c r="B59" s="49"/>
      <c r="C59" s="101" t="s">
        <v>5</v>
      </c>
      <c r="D59" s="118">
        <f t="shared" si="35"/>
        <v>0</v>
      </c>
      <c r="E59" s="73"/>
      <c r="F59" s="106"/>
      <c r="G59" s="106" t="e">
        <f t="shared" si="36"/>
        <v>#DIV/0!</v>
      </c>
      <c r="H59" s="106"/>
      <c r="I59" s="107" t="e">
        <f t="shared" si="37"/>
        <v>#DIV/0!</v>
      </c>
      <c r="J59" s="107"/>
      <c r="K59" s="107"/>
      <c r="L59" s="108">
        <f t="shared" si="38"/>
        <v>0</v>
      </c>
      <c r="M59" s="109" t="e">
        <f t="shared" si="39"/>
        <v>#DIV/0!</v>
      </c>
      <c r="N59" s="109"/>
      <c r="O59" s="109"/>
      <c r="P59" s="109"/>
      <c r="Q59" s="212"/>
      <c r="R59" s="110" t="e">
        <f t="shared" si="40"/>
        <v>#DIV/0!</v>
      </c>
      <c r="T59" s="247"/>
      <c r="U59" s="247"/>
      <c r="V59" s="255"/>
      <c r="W59" s="255"/>
      <c r="X59" s="255"/>
      <c r="Y59" s="271">
        <f t="shared" si="41"/>
        <v>0</v>
      </c>
      <c r="AA59" s="34" t="s">
        <v>128</v>
      </c>
      <c r="AC59" s="1">
        <v>3</v>
      </c>
    </row>
    <row r="60" spans="1:32" ht="23.5" customHeight="1">
      <c r="A60" s="54" t="s">
        <v>6</v>
      </c>
      <c r="B60" s="49"/>
      <c r="C60" s="101" t="s">
        <v>6</v>
      </c>
      <c r="D60" s="118">
        <f t="shared" si="35"/>
        <v>0</v>
      </c>
      <c r="E60" s="73"/>
      <c r="F60" s="106"/>
      <c r="G60" s="106" t="e">
        <f t="shared" si="36"/>
        <v>#DIV/0!</v>
      </c>
      <c r="H60" s="106"/>
      <c r="I60" s="107" t="e">
        <f t="shared" si="37"/>
        <v>#DIV/0!</v>
      </c>
      <c r="J60" s="107"/>
      <c r="K60" s="107"/>
      <c r="L60" s="108">
        <f t="shared" si="38"/>
        <v>0</v>
      </c>
      <c r="M60" s="109" t="e">
        <f t="shared" si="39"/>
        <v>#DIV/0!</v>
      </c>
      <c r="N60" s="109"/>
      <c r="O60" s="109"/>
      <c r="P60" s="109"/>
      <c r="Q60" s="212"/>
      <c r="R60" s="110" t="e">
        <f t="shared" si="40"/>
        <v>#DIV/0!</v>
      </c>
      <c r="T60" s="247"/>
      <c r="U60" s="247"/>
      <c r="V60" s="255"/>
      <c r="W60" s="255"/>
      <c r="X60" s="255"/>
      <c r="Y60" s="271">
        <f t="shared" si="41"/>
        <v>0</v>
      </c>
      <c r="AA60" s="34" t="s">
        <v>120</v>
      </c>
      <c r="AC60" s="1">
        <v>2</v>
      </c>
    </row>
    <row r="61" spans="1:32" ht="23.5" customHeight="1">
      <c r="A61" s="54" t="s">
        <v>7</v>
      </c>
      <c r="B61" s="49"/>
      <c r="C61" s="101" t="s">
        <v>7</v>
      </c>
      <c r="D61" s="118">
        <f t="shared" si="35"/>
        <v>0</v>
      </c>
      <c r="E61" s="73"/>
      <c r="F61" s="106"/>
      <c r="G61" s="106" t="e">
        <f t="shared" si="36"/>
        <v>#DIV/0!</v>
      </c>
      <c r="H61" s="106"/>
      <c r="I61" s="107" t="e">
        <f t="shared" si="37"/>
        <v>#DIV/0!</v>
      </c>
      <c r="J61" s="107"/>
      <c r="K61" s="107"/>
      <c r="L61" s="108">
        <f t="shared" si="38"/>
        <v>0</v>
      </c>
      <c r="M61" s="109" t="e">
        <f t="shared" si="39"/>
        <v>#DIV/0!</v>
      </c>
      <c r="N61" s="109"/>
      <c r="O61" s="109"/>
      <c r="P61" s="109"/>
      <c r="Q61" s="212"/>
      <c r="R61" s="110" t="e">
        <f t="shared" si="40"/>
        <v>#DIV/0!</v>
      </c>
      <c r="T61" s="247"/>
      <c r="U61" s="247"/>
      <c r="V61" s="255"/>
      <c r="W61" s="255"/>
      <c r="X61" s="255"/>
      <c r="Y61" s="271">
        <f t="shared" si="41"/>
        <v>0</v>
      </c>
      <c r="AA61" s="34" t="s">
        <v>121</v>
      </c>
      <c r="AC61" s="1">
        <v>1</v>
      </c>
    </row>
    <row r="62" spans="1:32" ht="23.5" customHeight="1">
      <c r="A62" s="54" t="s">
        <v>8</v>
      </c>
      <c r="B62" s="49"/>
      <c r="C62" s="101" t="s">
        <v>8</v>
      </c>
      <c r="D62" s="118">
        <f t="shared" si="35"/>
        <v>0</v>
      </c>
      <c r="E62" s="73"/>
      <c r="F62" s="106"/>
      <c r="G62" s="106" t="e">
        <f t="shared" si="36"/>
        <v>#DIV/0!</v>
      </c>
      <c r="H62" s="106">
        <v>0</v>
      </c>
      <c r="I62" s="107" t="e">
        <f t="shared" si="37"/>
        <v>#DIV/0!</v>
      </c>
      <c r="J62" s="107"/>
      <c r="K62" s="107"/>
      <c r="L62" s="108">
        <f t="shared" si="38"/>
        <v>0</v>
      </c>
      <c r="M62" s="109" t="e">
        <f t="shared" si="39"/>
        <v>#DIV/0!</v>
      </c>
      <c r="N62" s="109"/>
      <c r="O62" s="109"/>
      <c r="P62" s="109"/>
      <c r="Q62" s="212"/>
      <c r="R62" s="110" t="e">
        <f t="shared" si="40"/>
        <v>#DIV/0!</v>
      </c>
      <c r="T62" s="247"/>
      <c r="U62" s="247"/>
      <c r="V62" s="255"/>
      <c r="W62" s="255"/>
      <c r="X62" s="255"/>
      <c r="Y62" s="271">
        <f t="shared" si="41"/>
        <v>0</v>
      </c>
      <c r="AA62" s="34" t="s">
        <v>126</v>
      </c>
      <c r="AC62" s="1">
        <v>0</v>
      </c>
    </row>
    <row r="63" spans="1:32" ht="23.5" customHeight="1" thickBot="1">
      <c r="A63" s="55" t="s">
        <v>9</v>
      </c>
      <c r="B63" s="49"/>
      <c r="C63" s="111" t="s">
        <v>9</v>
      </c>
      <c r="D63" s="118">
        <f t="shared" si="35"/>
        <v>0</v>
      </c>
      <c r="E63" s="73"/>
      <c r="F63" s="106"/>
      <c r="G63" s="106" t="e">
        <f>F63/E63</f>
        <v>#DIV/0!</v>
      </c>
      <c r="H63" s="106">
        <v>0</v>
      </c>
      <c r="I63" s="107" t="e">
        <f>H63/E63</f>
        <v>#DIV/0!</v>
      </c>
      <c r="J63" s="107">
        <v>0</v>
      </c>
      <c r="K63" s="107"/>
      <c r="L63" s="108">
        <f>F63+H63+J63</f>
        <v>0</v>
      </c>
      <c r="M63" s="109" t="e">
        <f t="shared" si="39"/>
        <v>#DIV/0!</v>
      </c>
      <c r="N63" s="109"/>
      <c r="O63" s="109"/>
      <c r="P63" s="109"/>
      <c r="Q63" s="213"/>
      <c r="R63" s="110" t="e">
        <f t="shared" si="40"/>
        <v>#DIV/0!</v>
      </c>
      <c r="T63" s="248"/>
      <c r="U63" s="248"/>
      <c r="V63" s="256"/>
      <c r="W63" s="256"/>
      <c r="X63" s="256"/>
      <c r="Y63" s="272">
        <f t="shared" si="41"/>
        <v>0</v>
      </c>
      <c r="AA63" s="1" t="s">
        <v>129</v>
      </c>
    </row>
    <row r="64" spans="1:32" s="259" customFormat="1" ht="43" customHeight="1" thickTop="1" thickBot="1">
      <c r="A64" s="452" t="s">
        <v>13</v>
      </c>
      <c r="B64" s="453"/>
      <c r="C64" s="452" t="s">
        <v>13</v>
      </c>
      <c r="D64" s="453"/>
      <c r="E64" s="257">
        <f>SUM(E57:E63)</f>
        <v>635</v>
      </c>
      <c r="F64" s="257">
        <f>SUM(F57:F63)</f>
        <v>1690550</v>
      </c>
      <c r="G64" s="257">
        <f>F64/E64</f>
        <v>2662.2834645669291</v>
      </c>
      <c r="H64" s="257">
        <f>SUM(H57:H63)</f>
        <v>932100</v>
      </c>
      <c r="I64" s="261">
        <f>H64/E64</f>
        <v>1467.8740157480315</v>
      </c>
      <c r="J64" s="261">
        <f>SUM(J57:J63)</f>
        <v>17600</v>
      </c>
      <c r="K64" s="261"/>
      <c r="L64" s="257">
        <f>F64+H64</f>
        <v>2622650</v>
      </c>
      <c r="M64" s="262">
        <f>L64/E64</f>
        <v>4130.1574803149606</v>
      </c>
      <c r="N64" s="262"/>
      <c r="O64" s="262"/>
      <c r="P64" s="262"/>
      <c r="Q64" s="263">
        <f>SUM(Q57:Q63)</f>
        <v>302.5</v>
      </c>
      <c r="R64" s="258">
        <f>L64/Q64</f>
        <v>8669.9173553719011</v>
      </c>
      <c r="S64" s="259">
        <v>2</v>
      </c>
      <c r="T64" s="294">
        <f>SUM(T57:T63)/S64</f>
        <v>25.9</v>
      </c>
      <c r="U64" s="290">
        <f>SUM(U57:U63)/S64</f>
        <v>29.049999999999997</v>
      </c>
      <c r="V64" s="305">
        <f>SUM(V57:V63)/S64</f>
        <v>3</v>
      </c>
      <c r="W64" s="305">
        <f>SUM(W57:W63)/S64</f>
        <v>3</v>
      </c>
      <c r="X64" s="305">
        <f>SUM(X57:X63)/S64</f>
        <v>3</v>
      </c>
      <c r="Y64" s="306">
        <f>SUM(V64:X64)/3</f>
        <v>3</v>
      </c>
      <c r="Z64" s="260">
        <v>11</v>
      </c>
      <c r="AA64" s="532">
        <f>L64/S64</f>
        <v>1311325</v>
      </c>
      <c r="AB64" s="533"/>
      <c r="AC64" s="533"/>
      <c r="AD64" s="533"/>
      <c r="AE64" s="534"/>
      <c r="AF64" s="282" t="s">
        <v>140</v>
      </c>
    </row>
    <row r="65" spans="1:26" ht="33.5" customHeight="1" thickTop="1">
      <c r="A65" s="477" t="s">
        <v>2</v>
      </c>
      <c r="B65" s="478"/>
      <c r="C65" s="483" t="s">
        <v>2</v>
      </c>
      <c r="D65" s="484"/>
      <c r="E65" s="484"/>
      <c r="F65" s="484"/>
      <c r="G65" s="484"/>
      <c r="H65" s="484"/>
      <c r="I65" s="484"/>
      <c r="J65" s="484"/>
      <c r="K65" s="484"/>
      <c r="L65" s="484"/>
      <c r="M65" s="484"/>
      <c r="N65" s="484"/>
      <c r="O65" s="484"/>
      <c r="P65" s="484"/>
      <c r="Q65" s="484"/>
      <c r="R65" s="485"/>
      <c r="T65" s="497" t="str">
        <f>C65</f>
        <v>TOTAL</v>
      </c>
      <c r="U65" s="497"/>
      <c r="V65" s="497"/>
      <c r="W65" s="497"/>
      <c r="X65" s="497"/>
      <c r="Y65" s="497"/>
    </row>
    <row r="66" spans="1:26" s="37" customFormat="1" ht="23" customHeight="1">
      <c r="A66" s="78" t="s">
        <v>10</v>
      </c>
      <c r="B66" s="79" t="s">
        <v>19</v>
      </c>
      <c r="C66" s="112" t="s">
        <v>10</v>
      </c>
      <c r="D66" s="113" t="s">
        <v>19</v>
      </c>
      <c r="E66" s="102" t="s">
        <v>1</v>
      </c>
      <c r="F66" s="102" t="s">
        <v>30</v>
      </c>
      <c r="G66" s="102" t="s">
        <v>31</v>
      </c>
      <c r="H66" s="102" t="s">
        <v>28</v>
      </c>
      <c r="I66" s="102" t="s">
        <v>29</v>
      </c>
      <c r="J66" s="102" t="s">
        <v>388</v>
      </c>
      <c r="K66" s="102" t="s">
        <v>384</v>
      </c>
      <c r="L66" s="102" t="s">
        <v>71</v>
      </c>
      <c r="M66" s="103" t="s">
        <v>48</v>
      </c>
      <c r="N66" s="103" t="s">
        <v>385</v>
      </c>
      <c r="O66" s="103" t="s">
        <v>386</v>
      </c>
      <c r="P66" s="103" t="s">
        <v>387</v>
      </c>
      <c r="Q66" s="103" t="s">
        <v>40</v>
      </c>
      <c r="R66" s="104" t="s">
        <v>73</v>
      </c>
      <c r="T66" s="252" t="s">
        <v>114</v>
      </c>
      <c r="U66" s="253" t="s">
        <v>115</v>
      </c>
      <c r="V66" s="48" t="s">
        <v>116</v>
      </c>
      <c r="W66" s="48" t="s">
        <v>117</v>
      </c>
      <c r="X66" s="48" t="s">
        <v>118</v>
      </c>
      <c r="Y66" s="254" t="s">
        <v>127</v>
      </c>
      <c r="Z66" s="45"/>
    </row>
    <row r="67" spans="1:26" ht="23" customHeight="1">
      <c r="A67" s="53" t="s">
        <v>3</v>
      </c>
      <c r="B67" s="42"/>
      <c r="C67" s="105" t="s">
        <v>3</v>
      </c>
      <c r="D67" s="115"/>
      <c r="E67" s="107">
        <f t="shared" ref="E67:F70" si="42">E7+E17+E27+E37+E47+E57</f>
        <v>2294</v>
      </c>
      <c r="F67" s="107">
        <f t="shared" si="42"/>
        <v>6281600</v>
      </c>
      <c r="G67" s="106">
        <f t="shared" ref="G67:G74" si="43">F67/E67</f>
        <v>2738.2737576285963</v>
      </c>
      <c r="H67" s="107">
        <f>H7+H17+H27+H37+H47+H57</f>
        <v>3468450</v>
      </c>
      <c r="I67" s="107">
        <f>H67/E67</f>
        <v>1511.9659982563207</v>
      </c>
      <c r="J67" s="107">
        <f>J7+J17+J27+J37+J47+J57</f>
        <v>72600</v>
      </c>
      <c r="K67" s="107"/>
      <c r="L67" s="73">
        <f t="shared" ref="L67:M70" si="44">L7+L17+L27+L37+L47+L57</f>
        <v>9822650</v>
      </c>
      <c r="M67" s="107" t="e">
        <f t="shared" si="44"/>
        <v>#DIV/0!</v>
      </c>
      <c r="N67" s="107"/>
      <c r="O67" s="107"/>
      <c r="P67" s="107"/>
      <c r="Q67" s="107">
        <f>Q7+Q17+Q27+Q37+Q47+Q57</f>
        <v>833.5</v>
      </c>
      <c r="R67" s="133">
        <f>L67/Q67</f>
        <v>11784.823035392921</v>
      </c>
      <c r="T67" s="249">
        <f>T7+T17+T27+T37+T47+T57</f>
        <v>105.6</v>
      </c>
      <c r="U67" s="249">
        <f>U7+U17+U27+U37+U47+U57</f>
        <v>140.5</v>
      </c>
      <c r="V67" s="274">
        <f>V7+V17+V37+V47+V27+V57</f>
        <v>20</v>
      </c>
      <c r="W67" s="274">
        <f t="shared" ref="W67:X67" si="45">W7+W17+W37+W47+W27+W57</f>
        <v>19</v>
      </c>
      <c r="X67" s="274">
        <f t="shared" si="45"/>
        <v>20</v>
      </c>
      <c r="Y67" s="275">
        <f>SUM(V67:X67)/3</f>
        <v>19.666666666666668</v>
      </c>
    </row>
    <row r="68" spans="1:26" ht="23" customHeight="1">
      <c r="A68" s="54" t="s">
        <v>4</v>
      </c>
      <c r="B68" s="42"/>
      <c r="C68" s="101" t="s">
        <v>4</v>
      </c>
      <c r="D68" s="115"/>
      <c r="E68" s="107">
        <f t="shared" si="42"/>
        <v>1360</v>
      </c>
      <c r="F68" s="107">
        <f t="shared" si="42"/>
        <v>3589600</v>
      </c>
      <c r="G68" s="106">
        <f t="shared" si="43"/>
        <v>2639.4117647058824</v>
      </c>
      <c r="H68" s="107">
        <f>H8+H18+H28+H38+H48+H58</f>
        <v>2030300</v>
      </c>
      <c r="I68" s="107">
        <f t="shared" ref="I68:I73" si="46">H68/E68</f>
        <v>1492.8676470588234</v>
      </c>
      <c r="J68" s="107">
        <f>J8+J18+J28+J38+J48+J58</f>
        <v>58850</v>
      </c>
      <c r="K68" s="107"/>
      <c r="L68" s="73">
        <f t="shared" si="44"/>
        <v>5678750</v>
      </c>
      <c r="M68" s="107" t="e">
        <f t="shared" si="44"/>
        <v>#DIV/0!</v>
      </c>
      <c r="N68" s="107"/>
      <c r="O68" s="107"/>
      <c r="P68" s="107"/>
      <c r="Q68" s="107">
        <f>Q8+Q18+Q28+Q38+Q48+Q58</f>
        <v>644.5</v>
      </c>
      <c r="R68" s="133">
        <f t="shared" ref="R68:R73" si="47">L68/Q68</f>
        <v>8811.0938712179977</v>
      </c>
      <c r="T68" s="249">
        <f t="shared" ref="T68:U72" si="48">T8+T18+T28+T38+T48+T58</f>
        <v>108.8</v>
      </c>
      <c r="U68" s="249">
        <f t="shared" si="48"/>
        <v>135.69999999999999</v>
      </c>
      <c r="V68" s="274">
        <f t="shared" ref="V68:X68" si="49">V8+V18+V38+V48+V28+V58</f>
        <v>14</v>
      </c>
      <c r="W68" s="274">
        <f t="shared" si="49"/>
        <v>14</v>
      </c>
      <c r="X68" s="274">
        <f t="shared" si="49"/>
        <v>14</v>
      </c>
      <c r="Y68" s="275">
        <f t="shared" ref="Y68:Y73" si="50">SUM(V68:X68)/3</f>
        <v>14</v>
      </c>
    </row>
    <row r="69" spans="1:26" ht="23" customHeight="1">
      <c r="A69" s="54" t="s">
        <v>5</v>
      </c>
      <c r="B69" s="42"/>
      <c r="C69" s="101" t="s">
        <v>5</v>
      </c>
      <c r="D69" s="115"/>
      <c r="E69" s="107">
        <f t="shared" si="42"/>
        <v>977</v>
      </c>
      <c r="F69" s="107">
        <f t="shared" si="42"/>
        <v>2756050</v>
      </c>
      <c r="G69" s="106">
        <f t="shared" si="43"/>
        <v>2820.9314227226205</v>
      </c>
      <c r="H69" s="107">
        <f>H9+H19+H29+H39+H49+H59</f>
        <v>1550200</v>
      </c>
      <c r="I69" s="107">
        <f t="shared" si="46"/>
        <v>1586.6939611054247</v>
      </c>
      <c r="J69" s="107">
        <f>J9+J19+J29+J39+J49+J59</f>
        <v>36850</v>
      </c>
      <c r="K69" s="107"/>
      <c r="L69" s="73">
        <f t="shared" si="44"/>
        <v>4343100</v>
      </c>
      <c r="M69" s="107" t="e">
        <f t="shared" si="44"/>
        <v>#DIV/0!</v>
      </c>
      <c r="N69" s="107"/>
      <c r="O69" s="107"/>
      <c r="P69" s="107"/>
      <c r="Q69" s="107">
        <f>Q9+Q19+Q29+Q39+Q49+Q59</f>
        <v>521.5</v>
      </c>
      <c r="R69" s="133">
        <f t="shared" si="47"/>
        <v>8328.0920421860028</v>
      </c>
      <c r="T69" s="249">
        <f t="shared" si="48"/>
        <v>84.5</v>
      </c>
      <c r="U69" s="249">
        <f t="shared" si="48"/>
        <v>109.5</v>
      </c>
      <c r="V69" s="274">
        <f t="shared" ref="V69:X69" si="51">V9+V19+V39+V49+V29+V59</f>
        <v>12</v>
      </c>
      <c r="W69" s="274">
        <f t="shared" si="51"/>
        <v>12</v>
      </c>
      <c r="X69" s="274">
        <f t="shared" si="51"/>
        <v>11</v>
      </c>
      <c r="Y69" s="275">
        <f t="shared" si="50"/>
        <v>11.666666666666666</v>
      </c>
    </row>
    <row r="70" spans="1:26" ht="23" customHeight="1">
      <c r="A70" s="54" t="s">
        <v>6</v>
      </c>
      <c r="B70" s="42"/>
      <c r="C70" s="101" t="s">
        <v>6</v>
      </c>
      <c r="D70" s="115"/>
      <c r="E70" s="107">
        <f t="shared" si="42"/>
        <v>1183</v>
      </c>
      <c r="F70" s="107">
        <f t="shared" si="42"/>
        <v>3261100</v>
      </c>
      <c r="G70" s="106">
        <f t="shared" si="43"/>
        <v>2756.6356720202875</v>
      </c>
      <c r="H70" s="107">
        <f>H10+H20+H30+H40+H50+H60</f>
        <v>1804950</v>
      </c>
      <c r="I70" s="107">
        <f t="shared" si="46"/>
        <v>1525.7396449704142</v>
      </c>
      <c r="J70" s="107">
        <f>J10+J20+J30+J40+J50+J60</f>
        <v>42350</v>
      </c>
      <c r="K70" s="107"/>
      <c r="L70" s="73">
        <f t="shared" si="44"/>
        <v>5108400</v>
      </c>
      <c r="M70" s="107" t="e">
        <f t="shared" si="44"/>
        <v>#DIV/0!</v>
      </c>
      <c r="N70" s="107"/>
      <c r="O70" s="107"/>
      <c r="P70" s="107"/>
      <c r="Q70" s="107">
        <f>Q10+Q20+Q30+Q40+Q50+Q60</f>
        <v>521.5</v>
      </c>
      <c r="R70" s="133">
        <f t="shared" si="47"/>
        <v>9795.5896452540746</v>
      </c>
      <c r="T70" s="249">
        <f t="shared" si="48"/>
        <v>82.8</v>
      </c>
      <c r="U70" s="249">
        <f t="shared" si="48"/>
        <v>111.2</v>
      </c>
      <c r="V70" s="274">
        <f t="shared" ref="V70:X70" si="52">V10+V20+V40+V50+V30+V60</f>
        <v>14</v>
      </c>
      <c r="W70" s="274">
        <f t="shared" si="52"/>
        <v>16</v>
      </c>
      <c r="X70" s="274">
        <f t="shared" si="52"/>
        <v>15</v>
      </c>
      <c r="Y70" s="275">
        <f t="shared" si="50"/>
        <v>15</v>
      </c>
    </row>
    <row r="71" spans="1:26" ht="23" customHeight="1">
      <c r="A71" s="54" t="s">
        <v>7</v>
      </c>
      <c r="B71" s="42"/>
      <c r="C71" s="101" t="s">
        <v>7</v>
      </c>
      <c r="D71" s="115"/>
      <c r="E71" s="107">
        <f>E21+E11+E31+E41+E51+E61</f>
        <v>1300</v>
      </c>
      <c r="F71" s="107">
        <f>F21+F11+F31+F41+F51+F61</f>
        <v>3896200</v>
      </c>
      <c r="G71" s="106">
        <f t="shared" si="43"/>
        <v>2997.0769230769229</v>
      </c>
      <c r="H71" s="107">
        <f>H21+H11+H31+H41+H51+H61</f>
        <v>2180150</v>
      </c>
      <c r="I71" s="107">
        <f t="shared" si="46"/>
        <v>1677.0384615384614</v>
      </c>
      <c r="J71" s="107">
        <f>J21+J11+J31+J41+J51+J61</f>
        <v>37950</v>
      </c>
      <c r="K71" s="107"/>
      <c r="L71" s="73">
        <f>L21+L11+L31+L41+L51+L61</f>
        <v>6114300</v>
      </c>
      <c r="M71" s="107" t="e">
        <f>M21+M11+M31+M41+M51+M61</f>
        <v>#DIV/0!</v>
      </c>
      <c r="N71" s="107"/>
      <c r="O71" s="107"/>
      <c r="P71" s="107"/>
      <c r="Q71" s="107">
        <f>Q21+Q11+Q31+Q41+Q51+Q61</f>
        <v>610.5</v>
      </c>
      <c r="R71" s="133">
        <f t="shared" si="47"/>
        <v>10015.233415233415</v>
      </c>
      <c r="T71" s="249">
        <f t="shared" si="48"/>
        <v>83.4</v>
      </c>
      <c r="U71" s="249">
        <f t="shared" si="48"/>
        <v>112.69999999999999</v>
      </c>
      <c r="V71" s="274">
        <f t="shared" ref="V71:X71" si="53">V11+V21+V41+V51+V31+V61</f>
        <v>14</v>
      </c>
      <c r="W71" s="274">
        <f t="shared" si="53"/>
        <v>14</v>
      </c>
      <c r="X71" s="274">
        <f t="shared" si="53"/>
        <v>14</v>
      </c>
      <c r="Y71" s="275">
        <f t="shared" si="50"/>
        <v>14</v>
      </c>
    </row>
    <row r="72" spans="1:26" ht="23" customHeight="1">
      <c r="A72" s="54" t="s">
        <v>8</v>
      </c>
      <c r="B72" s="42"/>
      <c r="C72" s="101" t="s">
        <v>8</v>
      </c>
      <c r="D72" s="115"/>
      <c r="E72" s="107">
        <f>E12+E22+E32+E42+E52+E62</f>
        <v>1684</v>
      </c>
      <c r="F72" s="107">
        <f>F12+F22+F32+F42+F52+F62</f>
        <v>5029950</v>
      </c>
      <c r="G72" s="106">
        <f t="shared" si="43"/>
        <v>2986.9061757719714</v>
      </c>
      <c r="H72" s="107">
        <f>H12+H22+H32+H42+H52+H62</f>
        <v>2824900</v>
      </c>
      <c r="I72" s="107">
        <f t="shared" si="46"/>
        <v>1677.4940617577197</v>
      </c>
      <c r="J72" s="107">
        <f>J12+J22+J32+J42+J52+J62</f>
        <v>98450</v>
      </c>
      <c r="K72" s="107"/>
      <c r="L72" s="73">
        <f t="shared" ref="L72:Q73" si="54">L12+L22+L32+L42+L52+L62</f>
        <v>7953300</v>
      </c>
      <c r="M72" s="107" t="e">
        <f t="shared" si="54"/>
        <v>#DIV/0!</v>
      </c>
      <c r="N72" s="107"/>
      <c r="O72" s="107"/>
      <c r="P72" s="107"/>
      <c r="Q72" s="107">
        <f t="shared" si="54"/>
        <v>627.5</v>
      </c>
      <c r="R72" s="133">
        <f t="shared" si="47"/>
        <v>12674.581673306773</v>
      </c>
      <c r="T72" s="249">
        <f t="shared" si="48"/>
        <v>82.9</v>
      </c>
      <c r="U72" s="249">
        <f t="shared" si="48"/>
        <v>113.8</v>
      </c>
      <c r="V72" s="274">
        <f t="shared" ref="V72:X72" si="55">V12+V22+V42+V52+V32+V62</f>
        <v>14</v>
      </c>
      <c r="W72" s="274">
        <f t="shared" si="55"/>
        <v>20</v>
      </c>
      <c r="X72" s="274">
        <f t="shared" si="55"/>
        <v>14</v>
      </c>
      <c r="Y72" s="275">
        <f t="shared" si="50"/>
        <v>16</v>
      </c>
    </row>
    <row r="73" spans="1:26" ht="23" customHeight="1" thickBot="1">
      <c r="A73" s="55" t="s">
        <v>9</v>
      </c>
      <c r="B73" s="42"/>
      <c r="C73" s="111" t="s">
        <v>9</v>
      </c>
      <c r="D73" s="115"/>
      <c r="E73" s="107">
        <f>E13+E23+E33+E43+E53+E63</f>
        <v>2238</v>
      </c>
      <c r="F73" s="107">
        <f>F13+F23+F33+F43+F53+F63</f>
        <v>6642500</v>
      </c>
      <c r="G73" s="106">
        <f t="shared" si="43"/>
        <v>2968.0518319928506</v>
      </c>
      <c r="H73" s="107">
        <f>H13+H23+H33+H43+H53+H63</f>
        <v>3569050</v>
      </c>
      <c r="I73" s="107">
        <f t="shared" si="46"/>
        <v>1594.7497765862377</v>
      </c>
      <c r="J73" s="107">
        <f>J13+J23+J33+J43+J53+J63</f>
        <v>110550</v>
      </c>
      <c r="K73" s="107"/>
      <c r="L73" s="73">
        <f t="shared" si="54"/>
        <v>10322100</v>
      </c>
      <c r="M73" s="107" t="e">
        <f t="shared" si="54"/>
        <v>#DIV/0!</v>
      </c>
      <c r="N73" s="107"/>
      <c r="O73" s="107"/>
      <c r="P73" s="107"/>
      <c r="Q73" s="107">
        <f>Q13+Q23+Q33+Q43+Q53+Q63</f>
        <v>819.5</v>
      </c>
      <c r="R73" s="133">
        <f t="shared" si="47"/>
        <v>12595.607077486273</v>
      </c>
      <c r="S73" s="1">
        <f>S14+S24+S34+S44+S54+S64</f>
        <v>31</v>
      </c>
      <c r="T73" s="250">
        <f>T13+T23+T33+T43+T53+T63</f>
        <v>101.69999999999999</v>
      </c>
      <c r="U73" s="250">
        <f>U13+U23+U33+U43+U53+U63</f>
        <v>137.80000000000001</v>
      </c>
      <c r="V73" s="274">
        <f t="shared" ref="V73:X73" si="56">V13+V23+V43+V53+V33+V63</f>
        <v>16</v>
      </c>
      <c r="W73" s="274">
        <f t="shared" si="56"/>
        <v>18</v>
      </c>
      <c r="X73" s="274">
        <f t="shared" si="56"/>
        <v>18</v>
      </c>
      <c r="Y73" s="276">
        <f t="shared" si="50"/>
        <v>17.333333333333332</v>
      </c>
    </row>
    <row r="74" spans="1:26" s="34" customFormat="1" ht="47" customHeight="1" thickTop="1" thickBot="1">
      <c r="A74" s="56" t="s">
        <v>2</v>
      </c>
      <c r="B74" s="57">
        <f>SUM(B67:B73)</f>
        <v>0</v>
      </c>
      <c r="C74" s="116" t="s">
        <v>2</v>
      </c>
      <c r="D74" s="117">
        <f>SUM(D67:D73)</f>
        <v>0</v>
      </c>
      <c r="E74" s="58">
        <f>SUM(E67:E73)</f>
        <v>11036</v>
      </c>
      <c r="F74" s="58">
        <f>SUM(F67:F73)</f>
        <v>31457000</v>
      </c>
      <c r="G74" s="58">
        <f t="shared" si="43"/>
        <v>2850.3986951794127</v>
      </c>
      <c r="H74" s="58">
        <f>SUM(H67:H73)</f>
        <v>17428000</v>
      </c>
      <c r="I74" s="58">
        <f>H74/E74</f>
        <v>1579.1953606379122</v>
      </c>
      <c r="J74" s="58">
        <f>SUM(J67:J73)</f>
        <v>457600</v>
      </c>
      <c r="K74" s="58"/>
      <c r="L74" s="58">
        <f>SUM(L67:L73)</f>
        <v>49342600</v>
      </c>
      <c r="M74" s="58">
        <f>L74/E74</f>
        <v>4471.0583544762594</v>
      </c>
      <c r="N74" s="58"/>
      <c r="O74" s="58"/>
      <c r="P74" s="58"/>
      <c r="Q74" s="134">
        <f>SUM(Q67:Q73)</f>
        <v>4578.5</v>
      </c>
      <c r="R74" s="71">
        <f>L74/Q74</f>
        <v>10777.023042481162</v>
      </c>
      <c r="T74" s="246">
        <f>SUM(T67:T73)/S73</f>
        <v>20.958064516129035</v>
      </c>
      <c r="U74" s="251">
        <f>SUM(U67:U73)/S73</f>
        <v>27.780645161290316</v>
      </c>
      <c r="V74" s="390">
        <f>SUM(V67:V73)/S73</f>
        <v>3.3548387096774195</v>
      </c>
      <c r="W74" s="390">
        <f>SUM(W67:W73)/S73</f>
        <v>3.6451612903225805</v>
      </c>
      <c r="X74" s="390">
        <f>SUM(X67:X73)/S73</f>
        <v>3.4193548387096775</v>
      </c>
      <c r="Y74" s="391">
        <f>SUM(V74:X74)/3</f>
        <v>3.4731182795698925</v>
      </c>
      <c r="Z74" s="44"/>
    </row>
    <row r="75" spans="1:26" s="30" customFormat="1" ht="20.25" hidden="1" customHeight="1" thickTop="1" thickBot="1">
      <c r="A75" s="27" t="s">
        <v>24</v>
      </c>
      <c r="B75" s="37"/>
      <c r="C75" s="27" t="s">
        <v>24</v>
      </c>
      <c r="D75" s="37"/>
      <c r="E75" s="27"/>
      <c r="F75" s="28"/>
      <c r="G75" s="28"/>
      <c r="H75" s="28"/>
      <c r="I75" s="28"/>
      <c r="J75" s="28"/>
      <c r="K75" s="28"/>
      <c r="L75" s="28"/>
      <c r="M75" s="28"/>
      <c r="N75" s="28"/>
      <c r="O75" s="28"/>
      <c r="P75" s="28"/>
      <c r="Q75" s="28"/>
      <c r="R75" s="29"/>
      <c r="Z75" s="310"/>
    </row>
    <row r="76" spans="1:26" ht="30.5" hidden="1" customHeight="1" thickTop="1">
      <c r="A76" s="38"/>
      <c r="B76" s="39"/>
      <c r="C76" s="38"/>
      <c r="D76" s="39"/>
      <c r="E76" s="26"/>
      <c r="F76" s="26"/>
      <c r="G76" s="26"/>
      <c r="H76" s="26"/>
      <c r="I76" s="26"/>
      <c r="J76" s="26"/>
      <c r="K76" s="26"/>
      <c r="L76" s="26"/>
      <c r="M76" s="26"/>
      <c r="N76" s="26"/>
      <c r="O76" s="26"/>
      <c r="P76" s="26"/>
      <c r="Q76" s="26"/>
    </row>
    <row r="77" spans="1:26" ht="32.25" hidden="1" customHeight="1" thickTop="1">
      <c r="A77" s="479" t="s">
        <v>0</v>
      </c>
      <c r="B77" s="480"/>
      <c r="C77" s="479" t="s">
        <v>0</v>
      </c>
      <c r="D77" s="480"/>
      <c r="E77" s="97" t="s">
        <v>25</v>
      </c>
      <c r="F77" s="486"/>
      <c r="G77" s="486"/>
      <c r="H77" s="486"/>
      <c r="I77" s="486"/>
      <c r="J77" s="486"/>
      <c r="K77" s="486"/>
      <c r="L77" s="487"/>
      <c r="M77" s="62"/>
      <c r="N77" s="62"/>
      <c r="O77" s="62"/>
      <c r="P77" s="62"/>
      <c r="Q77" s="62"/>
      <c r="R77" s="8"/>
    </row>
    <row r="78" spans="1:26" ht="32.25" hidden="1" customHeight="1" thickTop="1">
      <c r="A78" s="479"/>
      <c r="B78" s="480"/>
      <c r="C78" s="479"/>
      <c r="D78" s="480"/>
      <c r="E78" s="488" t="s">
        <v>0</v>
      </c>
      <c r="F78" s="489"/>
      <c r="G78" s="489"/>
      <c r="H78" s="489"/>
      <c r="I78" s="489"/>
      <c r="J78" s="489"/>
      <c r="K78" s="489"/>
      <c r="L78" s="490"/>
      <c r="M78" s="63"/>
      <c r="N78" s="63"/>
      <c r="O78" s="63"/>
      <c r="P78" s="63"/>
      <c r="Q78" s="63"/>
    </row>
    <row r="79" spans="1:26" ht="32.25" hidden="1" customHeight="1" thickTop="1">
      <c r="A79" s="479"/>
      <c r="B79" s="480"/>
      <c r="C79" s="479"/>
      <c r="D79" s="480"/>
      <c r="E79" s="3" t="s">
        <v>1</v>
      </c>
      <c r="F79" s="6"/>
      <c r="G79" s="6"/>
      <c r="H79" s="6" t="s">
        <v>20</v>
      </c>
      <c r="I79" s="40"/>
      <c r="J79" s="40"/>
      <c r="K79" s="40"/>
      <c r="L79" s="7" t="s">
        <v>21</v>
      </c>
      <c r="M79" s="64"/>
      <c r="N79" s="64"/>
      <c r="O79" s="64"/>
      <c r="P79" s="64"/>
      <c r="Q79" s="64"/>
      <c r="R79" s="31"/>
    </row>
    <row r="80" spans="1:26" ht="32.25" hidden="1" customHeight="1" thickTop="1">
      <c r="A80" s="479"/>
      <c r="B80" s="480"/>
      <c r="C80" s="479"/>
      <c r="D80" s="480"/>
      <c r="E80" s="20"/>
      <c r="F80" s="4"/>
      <c r="G80" s="4"/>
      <c r="H80" s="12" t="e">
        <f>#REF!*E80</f>
        <v>#REF!</v>
      </c>
      <c r="I80" s="14"/>
      <c r="J80" s="14"/>
      <c r="K80" s="14"/>
      <c r="L80" s="13" t="e">
        <f>#REF!*E80</f>
        <v>#REF!</v>
      </c>
      <c r="M80" s="65"/>
      <c r="N80" s="65"/>
      <c r="O80" s="65"/>
      <c r="P80" s="65"/>
      <c r="Q80" s="65"/>
      <c r="R80" s="32"/>
    </row>
    <row r="81" spans="1:26" ht="21" hidden="1" customHeight="1" thickTop="1">
      <c r="A81" s="479"/>
      <c r="B81" s="480"/>
      <c r="C81" s="479"/>
      <c r="D81" s="480"/>
      <c r="F81" s="9"/>
      <c r="G81" s="9"/>
    </row>
    <row r="82" spans="1:26" ht="32.25" hidden="1" customHeight="1" thickTop="1">
      <c r="A82" s="479"/>
      <c r="B82" s="480"/>
      <c r="C82" s="479"/>
      <c r="D82" s="480"/>
      <c r="E82" s="1" t="s">
        <v>22</v>
      </c>
      <c r="F82" s="10"/>
      <c r="G82" s="10"/>
    </row>
    <row r="83" spans="1:26" ht="32.25" hidden="1" customHeight="1" thickTop="1">
      <c r="A83" s="479"/>
      <c r="B83" s="480"/>
      <c r="C83" s="479"/>
      <c r="D83" s="480"/>
      <c r="E83" s="15" t="s">
        <v>1</v>
      </c>
      <c r="F83" s="15"/>
      <c r="G83" s="15"/>
      <c r="H83" s="15" t="s">
        <v>20</v>
      </c>
      <c r="I83" s="15"/>
      <c r="J83" s="15"/>
      <c r="K83" s="15"/>
      <c r="L83" s="15" t="s">
        <v>21</v>
      </c>
      <c r="M83" s="50"/>
      <c r="N83" s="50"/>
      <c r="O83" s="50"/>
      <c r="P83" s="50"/>
      <c r="Q83" s="50"/>
    </row>
    <row r="84" spans="1:26" s="5" customFormat="1" ht="32.25" hidden="1" customHeight="1" thickTop="1">
      <c r="A84" s="479"/>
      <c r="B84" s="480"/>
      <c r="C84" s="479"/>
      <c r="D84" s="480"/>
      <c r="E84" s="21">
        <f t="shared" ref="E84" si="57">E74-E80</f>
        <v>11036</v>
      </c>
      <c r="F84" s="22"/>
      <c r="G84" s="22"/>
      <c r="H84" s="21" t="e">
        <f t="shared" ref="H84" si="58">H74-H80</f>
        <v>#REF!</v>
      </c>
      <c r="I84" s="21"/>
      <c r="J84" s="21"/>
      <c r="K84" s="21"/>
      <c r="L84" s="21" t="e">
        <f t="shared" ref="L84" si="59">L74-L80</f>
        <v>#REF!</v>
      </c>
      <c r="M84" s="66"/>
      <c r="N84" s="66"/>
      <c r="O84" s="66"/>
      <c r="P84" s="66"/>
      <c r="Q84" s="66"/>
      <c r="R84" s="1"/>
      <c r="Z84" s="311"/>
    </row>
    <row r="85" spans="1:26" s="5" customFormat="1" ht="32.25" hidden="1" customHeight="1" thickTop="1">
      <c r="A85" s="479"/>
      <c r="B85" s="480"/>
      <c r="C85" s="479"/>
      <c r="D85" s="480"/>
      <c r="E85" s="23" t="e">
        <f>E74/E80</f>
        <v>#DIV/0!</v>
      </c>
      <c r="F85" s="23"/>
      <c r="G85" s="23"/>
      <c r="H85" s="23" t="e">
        <f t="shared" ref="H85" si="60">H74/H80</f>
        <v>#REF!</v>
      </c>
      <c r="I85" s="23"/>
      <c r="J85" s="23"/>
      <c r="K85" s="23"/>
      <c r="L85" s="23" t="e">
        <f t="shared" ref="L85" si="61">L74/L80</f>
        <v>#REF!</v>
      </c>
      <c r="M85" s="67"/>
      <c r="N85" s="67"/>
      <c r="O85" s="67"/>
      <c r="P85" s="67"/>
      <c r="Q85" s="67"/>
      <c r="R85" s="1"/>
      <c r="Z85" s="311"/>
    </row>
    <row r="86" spans="1:26" s="5" customFormat="1" ht="32.25" hidden="1" customHeight="1" thickTop="1">
      <c r="A86" s="479"/>
      <c r="B86" s="480"/>
      <c r="C86" s="479"/>
      <c r="D86" s="480"/>
      <c r="E86" s="1" t="s">
        <v>26</v>
      </c>
      <c r="F86" s="1"/>
      <c r="G86" s="1"/>
      <c r="H86" s="1"/>
      <c r="I86" s="1"/>
      <c r="J86" s="1"/>
      <c r="K86" s="1"/>
      <c r="L86" s="1"/>
      <c r="M86" s="1"/>
      <c r="N86" s="1"/>
      <c r="O86" s="1"/>
      <c r="P86" s="1"/>
      <c r="Q86" s="1"/>
      <c r="R86" s="1"/>
      <c r="Z86" s="311"/>
    </row>
    <row r="87" spans="1:26" s="5" customFormat="1" ht="32.25" hidden="1" customHeight="1" thickTop="1">
      <c r="A87" s="479"/>
      <c r="B87" s="480"/>
      <c r="C87" s="479"/>
      <c r="D87" s="480"/>
      <c r="E87" s="15" t="s">
        <v>1</v>
      </c>
      <c r="F87" s="15"/>
      <c r="G87" s="15"/>
      <c r="H87" s="15" t="s">
        <v>20</v>
      </c>
      <c r="I87" s="15"/>
      <c r="J87" s="15"/>
      <c r="K87" s="15"/>
      <c r="L87" s="15" t="s">
        <v>21</v>
      </c>
      <c r="M87" s="50"/>
      <c r="N87" s="50"/>
      <c r="O87" s="50"/>
      <c r="P87" s="50"/>
      <c r="Q87" s="50"/>
      <c r="R87" s="1"/>
      <c r="Z87" s="311"/>
    </row>
    <row r="88" spans="1:26" s="5" customFormat="1" ht="32.25" hidden="1" customHeight="1" thickTop="1">
      <c r="A88" s="479"/>
      <c r="B88" s="480"/>
      <c r="C88" s="479"/>
      <c r="D88" s="480"/>
      <c r="E88" s="16"/>
      <c r="F88" s="18"/>
      <c r="G88" s="18"/>
      <c r="H88" s="17"/>
      <c r="I88" s="17"/>
      <c r="J88" s="17"/>
      <c r="K88" s="17"/>
      <c r="L88" s="17"/>
      <c r="M88" s="68"/>
      <c r="N88" s="68"/>
      <c r="O88" s="68"/>
      <c r="P88" s="68"/>
      <c r="Q88" s="68"/>
      <c r="R88" s="1"/>
      <c r="Z88" s="311"/>
    </row>
    <row r="89" spans="1:26" s="5" customFormat="1" ht="32.25" hidden="1" customHeight="1" thickTop="1">
      <c r="A89" s="479"/>
      <c r="B89" s="480"/>
      <c r="C89" s="479"/>
      <c r="D89" s="480"/>
      <c r="E89" s="1" t="s">
        <v>23</v>
      </c>
      <c r="F89" s="1"/>
      <c r="G89" s="1"/>
      <c r="H89" s="1"/>
      <c r="I89" s="1"/>
      <c r="J89" s="1"/>
      <c r="K89" s="1"/>
      <c r="L89" s="1"/>
      <c r="M89" s="1"/>
      <c r="N89" s="1"/>
      <c r="O89" s="1"/>
      <c r="P89" s="1"/>
      <c r="Q89" s="1"/>
      <c r="R89" s="1"/>
      <c r="Z89" s="311"/>
    </row>
    <row r="90" spans="1:26" s="5" customFormat="1" ht="32.25" hidden="1" customHeight="1" thickTop="1">
      <c r="A90" s="479"/>
      <c r="B90" s="480"/>
      <c r="C90" s="479"/>
      <c r="D90" s="480"/>
      <c r="E90" s="15" t="s">
        <v>1</v>
      </c>
      <c r="F90" s="15"/>
      <c r="G90" s="15"/>
      <c r="H90" s="15" t="s">
        <v>20</v>
      </c>
      <c r="I90" s="15"/>
      <c r="J90" s="15"/>
      <c r="K90" s="15"/>
      <c r="L90" s="15" t="s">
        <v>21</v>
      </c>
      <c r="M90" s="50"/>
      <c r="N90" s="50"/>
      <c r="O90" s="50"/>
      <c r="P90" s="50"/>
      <c r="Q90" s="50"/>
      <c r="R90" s="1"/>
      <c r="Z90" s="311"/>
    </row>
    <row r="91" spans="1:26" s="5" customFormat="1" ht="30" hidden="1" customHeight="1" thickTop="1">
      <c r="A91" s="479"/>
      <c r="B91" s="480"/>
      <c r="C91" s="479"/>
      <c r="D91" s="480"/>
      <c r="E91" s="16">
        <f>E74-E88</f>
        <v>11036</v>
      </c>
      <c r="F91" s="16"/>
      <c r="G91" s="16"/>
      <c r="H91" s="16">
        <f t="shared" ref="H91" si="62">H74-H88</f>
        <v>17428000</v>
      </c>
      <c r="I91" s="16"/>
      <c r="J91" s="16"/>
      <c r="K91" s="16"/>
      <c r="L91" s="16">
        <f t="shared" ref="L91" si="63">L74-L88</f>
        <v>49342600</v>
      </c>
      <c r="M91" s="69"/>
      <c r="N91" s="69"/>
      <c r="O91" s="69"/>
      <c r="P91" s="69"/>
      <c r="Q91" s="69"/>
      <c r="R91" s="1"/>
      <c r="Z91" s="311"/>
    </row>
    <row r="92" spans="1:26" s="5" customFormat="1" ht="32" hidden="1" customHeight="1" thickTop="1">
      <c r="A92" s="479"/>
      <c r="B92" s="480"/>
      <c r="C92" s="479"/>
      <c r="D92" s="480"/>
      <c r="E92" s="47" t="e">
        <f>E74/E88</f>
        <v>#DIV/0!</v>
      </c>
      <c r="F92" s="19"/>
      <c r="G92" s="19"/>
      <c r="H92" s="19" t="e">
        <f t="shared" ref="H92" si="64">H74/H88</f>
        <v>#DIV/0!</v>
      </c>
      <c r="I92" s="19"/>
      <c r="J92" s="19"/>
      <c r="K92" s="19"/>
      <c r="L92" s="19" t="e">
        <f t="shared" ref="L92" si="65">L74/L88</f>
        <v>#DIV/0!</v>
      </c>
      <c r="M92" s="51"/>
      <c r="N92" s="51"/>
      <c r="O92" s="51"/>
      <c r="P92" s="51"/>
      <c r="Q92" s="51"/>
      <c r="R92" s="11"/>
      <c r="Z92" s="311"/>
    </row>
    <row r="93" spans="1:26" s="5" customFormat="1" ht="58" customHeight="1" thickTop="1">
      <c r="A93" s="527" t="s">
        <v>39</v>
      </c>
      <c r="B93" s="527"/>
      <c r="C93" s="59"/>
      <c r="D93" s="59"/>
      <c r="E93" s="59"/>
      <c r="F93" s="476"/>
      <c r="G93" s="476"/>
      <c r="H93" s="1"/>
      <c r="I93" s="1"/>
      <c r="J93" s="130" t="s">
        <v>81</v>
      </c>
      <c r="K93" s="130"/>
      <c r="L93" s="123">
        <f>L74/1.1</f>
        <v>44856909.090909086</v>
      </c>
      <c r="M93" s="129" t="s">
        <v>80</v>
      </c>
      <c r="N93" s="129"/>
      <c r="O93" s="129"/>
      <c r="P93" s="129"/>
      <c r="Q93" s="124" t="e">
        <f>L93/#REF!</f>
        <v>#REF!</v>
      </c>
      <c r="R93" s="536" t="e">
        <f>L93-#REF!</f>
        <v>#REF!</v>
      </c>
      <c r="S93" s="537"/>
      <c r="T93" s="537"/>
      <c r="U93" s="537"/>
      <c r="V93" s="537"/>
      <c r="Z93" s="311"/>
    </row>
    <row r="94" spans="1:26" s="5" customFormat="1" ht="21" customHeight="1" thickBot="1">
      <c r="A94" s="527"/>
      <c r="B94" s="527"/>
      <c r="C94" s="1"/>
      <c r="D94" s="1"/>
      <c r="E94" s="1"/>
      <c r="F94" s="35"/>
      <c r="G94" s="35"/>
      <c r="H94" s="1"/>
      <c r="I94" s="1"/>
      <c r="J94" s="1"/>
      <c r="K94" s="1"/>
      <c r="L94" s="1"/>
      <c r="M94" s="1"/>
      <c r="N94" s="1"/>
      <c r="O94" s="1"/>
      <c r="P94" s="1"/>
      <c r="Q94" s="1"/>
      <c r="R94" s="1"/>
      <c r="Z94" s="311"/>
    </row>
    <row r="95" spans="1:26" ht="66" customHeight="1" thickTop="1" thickBot="1">
      <c r="A95" s="527"/>
      <c r="B95" s="527"/>
      <c r="F95" s="51"/>
      <c r="G95" s="51"/>
      <c r="H95" s="530" t="s">
        <v>44</v>
      </c>
      <c r="I95" s="531"/>
      <c r="J95" s="531"/>
      <c r="K95" s="531"/>
      <c r="L95" s="531"/>
      <c r="M95" s="61"/>
      <c r="N95" s="61"/>
      <c r="O95" s="61"/>
      <c r="P95" s="61"/>
      <c r="Q95" s="61"/>
      <c r="R95" s="60" t="e">
        <f>R74+#REF!</f>
        <v>#REF!</v>
      </c>
    </row>
    <row r="96" spans="1:26" ht="17" thickTop="1"/>
    <row r="97" spans="1:26" ht="32" customHeight="1"/>
    <row r="98" spans="1:26" s="24" customFormat="1" ht="34.25" customHeight="1">
      <c r="A98" s="33" t="s">
        <v>53</v>
      </c>
      <c r="B98" s="34"/>
      <c r="Z98" s="278"/>
    </row>
    <row r="99" spans="1:26" s="80" customFormat="1" ht="32" customHeight="1">
      <c r="A99" s="528" t="s">
        <v>54</v>
      </c>
      <c r="B99" s="528"/>
      <c r="Z99" s="312"/>
    </row>
    <row r="100" spans="1:26" ht="73" customHeight="1">
      <c r="A100" s="460" t="s">
        <v>55</v>
      </c>
      <c r="B100" s="460"/>
    </row>
    <row r="101" spans="1:26" ht="73" customHeight="1">
      <c r="A101" s="460" t="s">
        <v>56</v>
      </c>
      <c r="B101" s="460"/>
    </row>
    <row r="102" spans="1:26" ht="73" customHeight="1">
      <c r="A102" s="460" t="s">
        <v>57</v>
      </c>
      <c r="B102" s="460"/>
    </row>
    <row r="103" spans="1:26" ht="73" customHeight="1">
      <c r="A103" s="460" t="s">
        <v>58</v>
      </c>
      <c r="B103" s="460"/>
    </row>
    <row r="104" spans="1:26" ht="73" customHeight="1">
      <c r="A104" s="460" t="s">
        <v>59</v>
      </c>
      <c r="B104" s="460"/>
    </row>
    <row r="105" spans="1:26" ht="73" customHeight="1">
      <c r="A105" s="460" t="s">
        <v>49</v>
      </c>
      <c r="B105" s="460"/>
    </row>
    <row r="106" spans="1:26" ht="73" customHeight="1">
      <c r="A106" s="460" t="s">
        <v>50</v>
      </c>
      <c r="B106" s="460"/>
    </row>
    <row r="107" spans="1:26" ht="73" customHeight="1">
      <c r="A107" s="460"/>
      <c r="B107" s="460"/>
    </row>
    <row r="108" spans="1:26" ht="73" customHeight="1">
      <c r="A108" s="529"/>
      <c r="B108" s="529"/>
    </row>
    <row r="109" spans="1:26" ht="32" customHeight="1"/>
    <row r="110" spans="1:26" ht="32" customHeight="1"/>
    <row r="111" spans="1:26" ht="32" customHeight="1"/>
    <row r="112" spans="1:26" ht="32" customHeight="1"/>
    <row r="113" ht="32" customHeight="1"/>
  </sheetData>
  <mergeCells count="66">
    <mergeCell ref="N3:Q3"/>
    <mergeCell ref="N4:Q4"/>
    <mergeCell ref="AA64:AE64"/>
    <mergeCell ref="T5:Y5"/>
    <mergeCell ref="T15:Y15"/>
    <mergeCell ref="T25:Y25"/>
    <mergeCell ref="T35:Y35"/>
    <mergeCell ref="T45:Y45"/>
    <mergeCell ref="AA14:AE14"/>
    <mergeCell ref="AA24:AE24"/>
    <mergeCell ref="AA34:AE34"/>
    <mergeCell ref="AA44:AE44"/>
    <mergeCell ref="AA54:AE54"/>
    <mergeCell ref="A105:B105"/>
    <mergeCell ref="A104:B104"/>
    <mergeCell ref="A107:B107"/>
    <mergeCell ref="A106:B106"/>
    <mergeCell ref="A108:B108"/>
    <mergeCell ref="A100:B100"/>
    <mergeCell ref="A99:B99"/>
    <mergeCell ref="A103:B103"/>
    <mergeCell ref="A101:B101"/>
    <mergeCell ref="A102:B102"/>
    <mergeCell ref="A54:B54"/>
    <mergeCell ref="A65:B65"/>
    <mergeCell ref="A93:B95"/>
    <mergeCell ref="A55:B55"/>
    <mergeCell ref="A64:B64"/>
    <mergeCell ref="A77:B92"/>
    <mergeCell ref="T4:Y4"/>
    <mergeCell ref="T55:Y55"/>
    <mergeCell ref="T65:Y65"/>
    <mergeCell ref="H95:L95"/>
    <mergeCell ref="A2:B2"/>
    <mergeCell ref="A3:B3"/>
    <mergeCell ref="A4:B4"/>
    <mergeCell ref="A15:B15"/>
    <mergeCell ref="A24:B24"/>
    <mergeCell ref="A5:B5"/>
    <mergeCell ref="A14:B14"/>
    <mergeCell ref="A35:B35"/>
    <mergeCell ref="A44:B44"/>
    <mergeCell ref="A25:B25"/>
    <mergeCell ref="A34:B34"/>
    <mergeCell ref="A45:B45"/>
    <mergeCell ref="C65:R65"/>
    <mergeCell ref="C77:D92"/>
    <mergeCell ref="F77:L77"/>
    <mergeCell ref="E78:L78"/>
    <mergeCell ref="F93:G93"/>
    <mergeCell ref="R93:V93"/>
    <mergeCell ref="C3:M3"/>
    <mergeCell ref="C4:D4"/>
    <mergeCell ref="I4:J4"/>
    <mergeCell ref="C5:R5"/>
    <mergeCell ref="C14:D14"/>
    <mergeCell ref="C15:R15"/>
    <mergeCell ref="C24:D24"/>
    <mergeCell ref="C25:R25"/>
    <mergeCell ref="C34:D34"/>
    <mergeCell ref="C35:R35"/>
    <mergeCell ref="C44:D44"/>
    <mergeCell ref="C45:R45"/>
    <mergeCell ref="C54:D54"/>
    <mergeCell ref="C55:R55"/>
    <mergeCell ref="C64:D64"/>
  </mergeCells>
  <phoneticPr fontId="1"/>
  <pageMargins left="0.7" right="0.7" top="0.75" bottom="0.75" header="0.3" footer="0.3"/>
  <pageSetup paperSize="8" scale="1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6620F-891F-D94D-8933-BDC1BB0C6E7C}">
  <sheetPr>
    <tabColor rgb="FFFFC000"/>
  </sheetPr>
  <dimension ref="A1:N54"/>
  <sheetViews>
    <sheetView topLeftCell="A16" workbookViewId="0"/>
  </sheetViews>
  <sheetFormatPr baseColWidth="10" defaultRowHeight="19"/>
  <cols>
    <col min="1" max="1" width="17.33203125" style="319" customWidth="1"/>
    <col min="2" max="7" width="11.5" style="319" bestFit="1" customWidth="1"/>
    <col min="8" max="9" width="12.5" style="319" bestFit="1" customWidth="1"/>
    <col min="10" max="10" width="11.5" style="319" bestFit="1" customWidth="1"/>
    <col min="11" max="11" width="11.5" style="319" customWidth="1"/>
    <col min="12" max="12" width="14.6640625" style="319" bestFit="1" customWidth="1"/>
    <col min="13" max="16384" width="10.83203125" style="319"/>
  </cols>
  <sheetData>
    <row r="1" spans="1:12" ht="45" customHeight="1">
      <c r="A1" s="333" t="s">
        <v>240</v>
      </c>
    </row>
    <row r="2" spans="1:12" s="322" customFormat="1">
      <c r="A2" s="498" t="s">
        <v>141</v>
      </c>
      <c r="B2" s="517" t="s">
        <v>0</v>
      </c>
      <c r="C2" s="517"/>
      <c r="D2" s="517"/>
      <c r="E2" s="518" t="s">
        <v>199</v>
      </c>
      <c r="F2" s="518"/>
      <c r="G2" s="514" t="s">
        <v>200</v>
      </c>
      <c r="H2" s="515"/>
      <c r="I2" s="515"/>
      <c r="J2" s="515"/>
      <c r="K2" s="516"/>
      <c r="L2" s="498" t="s">
        <v>151</v>
      </c>
    </row>
    <row r="3" spans="1:12" s="322" customFormat="1">
      <c r="A3" s="498"/>
      <c r="B3" s="329" t="s">
        <v>142</v>
      </c>
      <c r="C3" s="329" t="s">
        <v>143</v>
      </c>
      <c r="D3" s="329" t="s">
        <v>144</v>
      </c>
      <c r="E3" s="323" t="s">
        <v>145</v>
      </c>
      <c r="F3" s="323" t="s">
        <v>146</v>
      </c>
      <c r="G3" s="331" t="s">
        <v>147</v>
      </c>
      <c r="H3" s="331" t="s">
        <v>148</v>
      </c>
      <c r="I3" s="331" t="s">
        <v>149</v>
      </c>
      <c r="J3" s="331" t="s">
        <v>150</v>
      </c>
      <c r="K3" s="331" t="s">
        <v>204</v>
      </c>
      <c r="L3" s="498"/>
    </row>
    <row r="4" spans="1:12">
      <c r="A4" s="324" t="s">
        <v>241</v>
      </c>
      <c r="B4" s="330">
        <v>85900</v>
      </c>
      <c r="C4" s="330">
        <v>86450</v>
      </c>
      <c r="D4" s="330">
        <v>105050</v>
      </c>
      <c r="E4" s="325">
        <v>37400</v>
      </c>
      <c r="F4" s="325">
        <v>90900</v>
      </c>
      <c r="G4" s="332">
        <v>190750</v>
      </c>
      <c r="H4" s="332">
        <v>209850</v>
      </c>
      <c r="I4" s="332">
        <v>175750</v>
      </c>
      <c r="J4" s="332">
        <v>32050</v>
      </c>
      <c r="K4" s="332">
        <v>0</v>
      </c>
      <c r="L4" s="325">
        <f>SUM(B4:K4)</f>
        <v>1014100</v>
      </c>
    </row>
    <row r="5" spans="1:12">
      <c r="A5" s="324" t="s">
        <v>242</v>
      </c>
      <c r="B5" s="330">
        <v>198200</v>
      </c>
      <c r="C5" s="330">
        <v>152300</v>
      </c>
      <c r="D5" s="330">
        <v>93700</v>
      </c>
      <c r="E5" s="325">
        <v>87100</v>
      </c>
      <c r="F5" s="325">
        <v>118300</v>
      </c>
      <c r="G5" s="332">
        <v>119500</v>
      </c>
      <c r="H5" s="332">
        <v>138100</v>
      </c>
      <c r="I5" s="332">
        <v>150000</v>
      </c>
      <c r="J5" s="332">
        <v>91250</v>
      </c>
      <c r="K5" s="332">
        <v>4000</v>
      </c>
      <c r="L5" s="325">
        <f t="shared" ref="L5:L35" si="0">SUM(B5:K5)</f>
        <v>1152450</v>
      </c>
    </row>
    <row r="6" spans="1:12">
      <c r="A6" s="324" t="s">
        <v>243</v>
      </c>
      <c r="B6" s="330">
        <v>147150</v>
      </c>
      <c r="C6" s="330">
        <v>29000</v>
      </c>
      <c r="D6" s="330">
        <v>47450</v>
      </c>
      <c r="E6" s="325">
        <v>88800</v>
      </c>
      <c r="F6" s="325">
        <v>54900</v>
      </c>
      <c r="G6" s="332">
        <v>104400</v>
      </c>
      <c r="H6" s="332">
        <v>152850</v>
      </c>
      <c r="I6" s="332">
        <v>21900</v>
      </c>
      <c r="J6" s="332">
        <v>17000</v>
      </c>
      <c r="K6" s="332">
        <v>4100</v>
      </c>
      <c r="L6" s="325">
        <f t="shared" si="0"/>
        <v>667550</v>
      </c>
    </row>
    <row r="7" spans="1:12">
      <c r="A7" s="324" t="s">
        <v>244</v>
      </c>
      <c r="B7" s="330">
        <v>126250</v>
      </c>
      <c r="C7" s="330">
        <v>58800</v>
      </c>
      <c r="D7" s="330">
        <v>45800</v>
      </c>
      <c r="E7" s="325">
        <v>61400</v>
      </c>
      <c r="F7" s="325">
        <v>96550</v>
      </c>
      <c r="G7" s="332">
        <v>90550</v>
      </c>
      <c r="H7" s="332">
        <v>124950</v>
      </c>
      <c r="I7" s="332">
        <v>173050</v>
      </c>
      <c r="J7" s="332">
        <v>30750</v>
      </c>
      <c r="K7" s="332">
        <v>0</v>
      </c>
      <c r="L7" s="325">
        <f t="shared" si="0"/>
        <v>808100</v>
      </c>
    </row>
    <row r="8" spans="1:12">
      <c r="A8" s="324" t="s">
        <v>245</v>
      </c>
      <c r="B8" s="330">
        <v>110250</v>
      </c>
      <c r="C8" s="330">
        <v>71900</v>
      </c>
      <c r="D8" s="330">
        <v>154900</v>
      </c>
      <c r="E8" s="325">
        <v>106950</v>
      </c>
      <c r="F8" s="325">
        <v>66500</v>
      </c>
      <c r="G8" s="332">
        <v>73650</v>
      </c>
      <c r="H8" s="332">
        <v>310950</v>
      </c>
      <c r="I8" s="332">
        <v>167950</v>
      </c>
      <c r="J8" s="332">
        <v>32400</v>
      </c>
      <c r="K8" s="332">
        <v>0</v>
      </c>
      <c r="L8" s="325">
        <f t="shared" si="0"/>
        <v>1095450</v>
      </c>
    </row>
    <row r="9" spans="1:12">
      <c r="A9" s="324" t="s">
        <v>246</v>
      </c>
      <c r="B9" s="330">
        <v>129400</v>
      </c>
      <c r="C9" s="330">
        <v>73000</v>
      </c>
      <c r="D9" s="330">
        <v>47700</v>
      </c>
      <c r="E9" s="325">
        <v>38400</v>
      </c>
      <c r="F9" s="325">
        <v>15650</v>
      </c>
      <c r="G9" s="332">
        <v>108900</v>
      </c>
      <c r="H9" s="332">
        <v>22000</v>
      </c>
      <c r="I9" s="332">
        <v>0</v>
      </c>
      <c r="J9" s="332">
        <v>1127500</v>
      </c>
      <c r="K9" s="332">
        <v>44000</v>
      </c>
      <c r="L9" s="325">
        <f t="shared" si="0"/>
        <v>1606550</v>
      </c>
    </row>
    <row r="10" spans="1:12">
      <c r="A10" s="324" t="s">
        <v>247</v>
      </c>
      <c r="B10" s="330">
        <v>127450</v>
      </c>
      <c r="C10" s="330">
        <v>114550</v>
      </c>
      <c r="D10" s="330">
        <v>62300</v>
      </c>
      <c r="E10" s="325">
        <v>63800</v>
      </c>
      <c r="F10" s="325">
        <v>228350</v>
      </c>
      <c r="G10" s="332">
        <v>219450</v>
      </c>
      <c r="H10" s="332">
        <v>432850</v>
      </c>
      <c r="I10" s="332">
        <v>385450</v>
      </c>
      <c r="J10" s="332">
        <v>101400</v>
      </c>
      <c r="K10" s="332">
        <v>41000</v>
      </c>
      <c r="L10" s="325">
        <f t="shared" si="0"/>
        <v>1776600</v>
      </c>
    </row>
    <row r="11" spans="1:12">
      <c r="A11" s="324" t="s">
        <v>248</v>
      </c>
      <c r="B11" s="330">
        <v>327200</v>
      </c>
      <c r="C11" s="330">
        <v>236300</v>
      </c>
      <c r="D11" s="330">
        <v>233000</v>
      </c>
      <c r="E11" s="325">
        <v>299900</v>
      </c>
      <c r="F11" s="325">
        <v>149100</v>
      </c>
      <c r="G11" s="332">
        <v>272100</v>
      </c>
      <c r="H11" s="332">
        <v>293050</v>
      </c>
      <c r="I11" s="332">
        <v>373300</v>
      </c>
      <c r="J11" s="332">
        <v>357550</v>
      </c>
      <c r="K11" s="332">
        <v>1700</v>
      </c>
      <c r="L11" s="325">
        <f t="shared" si="0"/>
        <v>2543200</v>
      </c>
    </row>
    <row r="12" spans="1:12">
      <c r="A12" s="324" t="s">
        <v>249</v>
      </c>
      <c r="B12" s="330">
        <v>10150</v>
      </c>
      <c r="C12" s="330">
        <v>193350</v>
      </c>
      <c r="D12" s="330">
        <v>482800</v>
      </c>
      <c r="E12" s="325">
        <v>263150</v>
      </c>
      <c r="F12" s="325">
        <v>195750</v>
      </c>
      <c r="G12" s="332">
        <v>331000</v>
      </c>
      <c r="H12" s="332">
        <v>258150</v>
      </c>
      <c r="I12" s="332">
        <v>485100</v>
      </c>
      <c r="J12" s="332">
        <v>69250</v>
      </c>
      <c r="K12" s="332">
        <v>2100</v>
      </c>
      <c r="L12" s="325">
        <f t="shared" si="0"/>
        <v>2290800</v>
      </c>
    </row>
    <row r="13" spans="1:12">
      <c r="A13" s="324" t="s">
        <v>250</v>
      </c>
      <c r="B13" s="330">
        <v>147900</v>
      </c>
      <c r="C13" s="330">
        <v>76900</v>
      </c>
      <c r="D13" s="330">
        <v>79850</v>
      </c>
      <c r="E13" s="325">
        <v>99850</v>
      </c>
      <c r="F13" s="325">
        <v>52450</v>
      </c>
      <c r="G13" s="332">
        <v>160700</v>
      </c>
      <c r="H13" s="332">
        <v>349400</v>
      </c>
      <c r="I13" s="332">
        <v>175850</v>
      </c>
      <c r="J13" s="332">
        <v>66300</v>
      </c>
      <c r="K13" s="332">
        <v>0</v>
      </c>
      <c r="L13" s="325">
        <f t="shared" si="0"/>
        <v>1209200</v>
      </c>
    </row>
    <row r="14" spans="1:12">
      <c r="A14" s="324" t="s">
        <v>251</v>
      </c>
      <c r="B14" s="330">
        <v>143400</v>
      </c>
      <c r="C14" s="330">
        <v>128800</v>
      </c>
      <c r="D14" s="330">
        <v>44600</v>
      </c>
      <c r="E14" s="325">
        <v>3200</v>
      </c>
      <c r="F14" s="325">
        <v>40300</v>
      </c>
      <c r="G14" s="332">
        <v>119000</v>
      </c>
      <c r="H14" s="332">
        <v>76150</v>
      </c>
      <c r="I14" s="332">
        <v>235250</v>
      </c>
      <c r="J14" s="332">
        <v>18450</v>
      </c>
      <c r="K14" s="332">
        <v>0</v>
      </c>
      <c r="L14" s="325">
        <f t="shared" si="0"/>
        <v>809150</v>
      </c>
    </row>
    <row r="15" spans="1:12">
      <c r="A15" s="324" t="s">
        <v>252</v>
      </c>
      <c r="B15" s="330">
        <v>168150</v>
      </c>
      <c r="C15" s="330">
        <v>63000</v>
      </c>
      <c r="D15" s="330">
        <v>13700</v>
      </c>
      <c r="E15" s="325">
        <v>9900</v>
      </c>
      <c r="F15" s="325">
        <v>27250</v>
      </c>
      <c r="G15" s="332">
        <v>203000</v>
      </c>
      <c r="H15" s="332">
        <v>175600</v>
      </c>
      <c r="I15" s="332">
        <v>55250</v>
      </c>
      <c r="J15" s="332">
        <v>71500</v>
      </c>
      <c r="K15" s="332">
        <v>10000</v>
      </c>
      <c r="L15" s="325">
        <f t="shared" si="0"/>
        <v>797350</v>
      </c>
    </row>
    <row r="16" spans="1:12">
      <c r="A16" s="324" t="s">
        <v>253</v>
      </c>
      <c r="B16" s="330">
        <v>133700</v>
      </c>
      <c r="C16" s="330">
        <v>53700</v>
      </c>
      <c r="D16" s="330">
        <v>47000</v>
      </c>
      <c r="E16" s="325">
        <v>48500</v>
      </c>
      <c r="F16" s="325">
        <v>68450</v>
      </c>
      <c r="G16" s="332">
        <v>52000</v>
      </c>
      <c r="H16" s="332">
        <v>319250</v>
      </c>
      <c r="I16" s="332">
        <v>128350</v>
      </c>
      <c r="J16" s="332">
        <v>99800</v>
      </c>
      <c r="K16" s="332">
        <v>0</v>
      </c>
      <c r="L16" s="325">
        <f t="shared" si="0"/>
        <v>950750</v>
      </c>
    </row>
    <row r="17" spans="1:12">
      <c r="A17" s="324" t="s">
        <v>254</v>
      </c>
      <c r="B17" s="330">
        <v>123450</v>
      </c>
      <c r="C17" s="330">
        <v>47350</v>
      </c>
      <c r="D17" s="330">
        <v>51500</v>
      </c>
      <c r="E17" s="325">
        <v>9500</v>
      </c>
      <c r="F17" s="325">
        <v>138100</v>
      </c>
      <c r="G17" s="332">
        <v>188950</v>
      </c>
      <c r="H17" s="332">
        <v>694250</v>
      </c>
      <c r="I17" s="332">
        <v>344500</v>
      </c>
      <c r="J17" s="332">
        <v>111950</v>
      </c>
      <c r="K17" s="332">
        <v>7100</v>
      </c>
      <c r="L17" s="325">
        <f t="shared" si="0"/>
        <v>1716650</v>
      </c>
    </row>
    <row r="18" spans="1:12">
      <c r="A18" s="324" t="s">
        <v>255</v>
      </c>
      <c r="B18" s="330">
        <v>125800</v>
      </c>
      <c r="C18" s="330">
        <v>20500</v>
      </c>
      <c r="D18" s="330">
        <v>59250</v>
      </c>
      <c r="E18" s="325">
        <v>128400</v>
      </c>
      <c r="F18" s="325">
        <v>330500</v>
      </c>
      <c r="G18" s="332">
        <v>152500</v>
      </c>
      <c r="H18" s="332">
        <v>260350</v>
      </c>
      <c r="I18" s="332">
        <v>113150</v>
      </c>
      <c r="J18" s="332">
        <v>42150</v>
      </c>
      <c r="K18" s="332">
        <v>5500</v>
      </c>
      <c r="L18" s="325">
        <f t="shared" si="0"/>
        <v>1238100</v>
      </c>
    </row>
    <row r="19" spans="1:12">
      <c r="A19" s="324" t="s">
        <v>256</v>
      </c>
      <c r="B19" s="330">
        <v>546250</v>
      </c>
      <c r="C19" s="330">
        <v>240150</v>
      </c>
      <c r="D19" s="330">
        <v>361100</v>
      </c>
      <c r="E19" s="325">
        <v>223050</v>
      </c>
      <c r="F19" s="325">
        <v>354100</v>
      </c>
      <c r="G19" s="332">
        <v>386450</v>
      </c>
      <c r="H19" s="332">
        <v>249850</v>
      </c>
      <c r="I19" s="332">
        <v>330400</v>
      </c>
      <c r="J19" s="332">
        <v>157700</v>
      </c>
      <c r="K19" s="332">
        <v>10450</v>
      </c>
      <c r="L19" s="325">
        <f t="shared" si="0"/>
        <v>2859500</v>
      </c>
    </row>
    <row r="20" spans="1:12">
      <c r="A20" s="324" t="s">
        <v>257</v>
      </c>
      <c r="B20" s="330">
        <v>324300</v>
      </c>
      <c r="C20" s="330">
        <v>128000</v>
      </c>
      <c r="D20" s="330">
        <v>96100</v>
      </c>
      <c r="E20" s="325">
        <v>105100</v>
      </c>
      <c r="F20" s="325">
        <v>133100</v>
      </c>
      <c r="G20" s="332">
        <v>124550</v>
      </c>
      <c r="H20" s="332">
        <v>156450</v>
      </c>
      <c r="I20" s="332">
        <v>266900</v>
      </c>
      <c r="J20" s="332">
        <v>113700</v>
      </c>
      <c r="K20" s="332">
        <v>4800</v>
      </c>
      <c r="L20" s="325">
        <f t="shared" si="0"/>
        <v>1453000</v>
      </c>
    </row>
    <row r="21" spans="1:12">
      <c r="A21" s="324" t="s">
        <v>258</v>
      </c>
      <c r="B21" s="330">
        <v>96950</v>
      </c>
      <c r="C21" s="330">
        <v>102250</v>
      </c>
      <c r="D21" s="330">
        <v>79400</v>
      </c>
      <c r="E21" s="325">
        <v>95500</v>
      </c>
      <c r="F21" s="325">
        <v>78550</v>
      </c>
      <c r="G21" s="332">
        <v>112650</v>
      </c>
      <c r="H21" s="332">
        <v>145750</v>
      </c>
      <c r="I21" s="332">
        <v>386250</v>
      </c>
      <c r="J21" s="332">
        <v>27600</v>
      </c>
      <c r="K21" s="332">
        <v>0</v>
      </c>
      <c r="L21" s="325">
        <f t="shared" si="0"/>
        <v>1124900</v>
      </c>
    </row>
    <row r="22" spans="1:12">
      <c r="A22" s="324" t="s">
        <v>259</v>
      </c>
      <c r="B22" s="330">
        <v>217550</v>
      </c>
      <c r="C22" s="330">
        <v>106350</v>
      </c>
      <c r="D22" s="330">
        <v>78900</v>
      </c>
      <c r="E22" s="325">
        <v>38100</v>
      </c>
      <c r="F22" s="325">
        <v>121300</v>
      </c>
      <c r="G22" s="332">
        <v>145500</v>
      </c>
      <c r="H22" s="332">
        <v>246950</v>
      </c>
      <c r="I22" s="332">
        <v>147850</v>
      </c>
      <c r="J22" s="332">
        <v>34600</v>
      </c>
      <c r="K22" s="332">
        <v>687100</v>
      </c>
      <c r="L22" s="325">
        <f t="shared" si="0"/>
        <v>1824200</v>
      </c>
    </row>
    <row r="23" spans="1:12">
      <c r="A23" s="324" t="s">
        <v>260</v>
      </c>
      <c r="B23" s="330">
        <v>107300</v>
      </c>
      <c r="C23" s="330">
        <v>87250</v>
      </c>
      <c r="D23" s="330">
        <v>133950</v>
      </c>
      <c r="E23" s="325">
        <v>94300</v>
      </c>
      <c r="F23" s="325">
        <v>302250</v>
      </c>
      <c r="G23" s="332">
        <v>142800</v>
      </c>
      <c r="H23" s="332">
        <v>433350</v>
      </c>
      <c r="I23" s="332">
        <v>155500</v>
      </c>
      <c r="J23" s="332">
        <v>443550</v>
      </c>
      <c r="K23" s="332">
        <v>15900</v>
      </c>
      <c r="L23" s="325">
        <f t="shared" si="0"/>
        <v>1916150</v>
      </c>
    </row>
    <row r="24" spans="1:12">
      <c r="A24" s="324" t="s">
        <v>261</v>
      </c>
      <c r="B24" s="330">
        <v>101350</v>
      </c>
      <c r="C24" s="330">
        <v>134450</v>
      </c>
      <c r="D24" s="330">
        <v>74800</v>
      </c>
      <c r="E24" s="325">
        <v>225850</v>
      </c>
      <c r="F24" s="325">
        <v>127050</v>
      </c>
      <c r="G24" s="332">
        <v>460200</v>
      </c>
      <c r="H24" s="332">
        <v>270100</v>
      </c>
      <c r="I24" s="332">
        <v>389300</v>
      </c>
      <c r="J24" s="332">
        <v>479250</v>
      </c>
      <c r="K24" s="332">
        <v>82400</v>
      </c>
      <c r="L24" s="325">
        <f t="shared" si="0"/>
        <v>2344750</v>
      </c>
    </row>
    <row r="25" spans="1:12">
      <c r="A25" s="324" t="s">
        <v>262</v>
      </c>
      <c r="B25" s="330">
        <v>396000</v>
      </c>
      <c r="C25" s="330">
        <v>224250</v>
      </c>
      <c r="D25" s="330">
        <v>126300</v>
      </c>
      <c r="E25" s="325">
        <v>187700</v>
      </c>
      <c r="F25" s="325">
        <v>176050</v>
      </c>
      <c r="G25" s="332">
        <v>286050</v>
      </c>
      <c r="H25" s="332">
        <v>521100</v>
      </c>
      <c r="I25" s="332">
        <v>298300</v>
      </c>
      <c r="J25" s="332">
        <v>84250</v>
      </c>
      <c r="K25" s="332">
        <v>713450</v>
      </c>
      <c r="L25" s="325">
        <f t="shared" si="0"/>
        <v>3013450</v>
      </c>
    </row>
    <row r="26" spans="1:12">
      <c r="A26" s="324" t="s">
        <v>263</v>
      </c>
      <c r="B26" s="330">
        <v>295950</v>
      </c>
      <c r="C26" s="330">
        <v>236600</v>
      </c>
      <c r="D26" s="330">
        <v>151850</v>
      </c>
      <c r="E26" s="325">
        <v>84450</v>
      </c>
      <c r="F26" s="325">
        <v>81950</v>
      </c>
      <c r="G26" s="332">
        <v>310650</v>
      </c>
      <c r="H26" s="332">
        <v>310550</v>
      </c>
      <c r="I26" s="332">
        <v>286350</v>
      </c>
      <c r="J26" s="332">
        <v>85400</v>
      </c>
      <c r="K26" s="332">
        <v>12800</v>
      </c>
      <c r="L26" s="325">
        <f t="shared" si="0"/>
        <v>1856550</v>
      </c>
    </row>
    <row r="27" spans="1:12">
      <c r="A27" s="324" t="s">
        <v>264</v>
      </c>
      <c r="B27" s="330">
        <v>82800</v>
      </c>
      <c r="C27" s="330">
        <v>22400</v>
      </c>
      <c r="D27" s="330">
        <v>101650</v>
      </c>
      <c r="E27" s="325">
        <v>54700</v>
      </c>
      <c r="F27" s="325">
        <v>82450</v>
      </c>
      <c r="G27" s="332">
        <v>316100</v>
      </c>
      <c r="H27" s="332">
        <v>253300</v>
      </c>
      <c r="I27" s="332">
        <v>302550</v>
      </c>
      <c r="J27" s="332">
        <v>141650</v>
      </c>
      <c r="K27" s="332">
        <v>14500</v>
      </c>
      <c r="L27" s="325">
        <f t="shared" si="0"/>
        <v>1372100</v>
      </c>
    </row>
    <row r="28" spans="1:12">
      <c r="A28" s="324" t="s">
        <v>265</v>
      </c>
      <c r="B28" s="330">
        <v>92650</v>
      </c>
      <c r="C28" s="330">
        <v>15100</v>
      </c>
      <c r="D28" s="330">
        <v>77600</v>
      </c>
      <c r="E28" s="325">
        <v>18100</v>
      </c>
      <c r="F28" s="325">
        <v>96200</v>
      </c>
      <c r="G28" s="332">
        <v>122450</v>
      </c>
      <c r="H28" s="332">
        <v>312000</v>
      </c>
      <c r="I28" s="332">
        <v>359700</v>
      </c>
      <c r="J28" s="332">
        <v>237150</v>
      </c>
      <c r="K28" s="332">
        <v>270000</v>
      </c>
      <c r="L28" s="325">
        <f t="shared" si="0"/>
        <v>1600950</v>
      </c>
    </row>
    <row r="29" spans="1:12">
      <c r="A29" s="324" t="s">
        <v>266</v>
      </c>
      <c r="B29" s="330">
        <v>165350</v>
      </c>
      <c r="C29" s="330">
        <v>48600</v>
      </c>
      <c r="D29" s="330">
        <v>78050</v>
      </c>
      <c r="E29" s="325">
        <v>54100</v>
      </c>
      <c r="F29" s="325">
        <v>98250</v>
      </c>
      <c r="G29" s="332">
        <v>268950</v>
      </c>
      <c r="H29" s="332">
        <v>387850</v>
      </c>
      <c r="I29" s="332">
        <v>141400</v>
      </c>
      <c r="J29" s="332">
        <v>89650</v>
      </c>
      <c r="K29" s="332">
        <v>59200</v>
      </c>
      <c r="L29" s="325">
        <f t="shared" si="0"/>
        <v>1391400</v>
      </c>
    </row>
    <row r="30" spans="1:12">
      <c r="A30" s="324" t="s">
        <v>267</v>
      </c>
      <c r="B30" s="330">
        <v>45600</v>
      </c>
      <c r="C30" s="330">
        <v>68100</v>
      </c>
      <c r="D30" s="330">
        <v>28200</v>
      </c>
      <c r="E30" s="325">
        <v>65000</v>
      </c>
      <c r="F30" s="325">
        <v>312000</v>
      </c>
      <c r="G30" s="332">
        <v>154550</v>
      </c>
      <c r="H30" s="332">
        <v>572050</v>
      </c>
      <c r="I30" s="332">
        <v>302200</v>
      </c>
      <c r="J30" s="332">
        <v>93150</v>
      </c>
      <c r="K30" s="332">
        <v>0</v>
      </c>
      <c r="L30" s="325">
        <f t="shared" si="0"/>
        <v>1640850</v>
      </c>
    </row>
    <row r="31" spans="1:12">
      <c r="A31" s="324" t="s">
        <v>268</v>
      </c>
      <c r="B31" s="330">
        <v>187350</v>
      </c>
      <c r="C31" s="330">
        <v>210500</v>
      </c>
      <c r="D31" s="330">
        <v>62400</v>
      </c>
      <c r="E31" s="325">
        <v>39350</v>
      </c>
      <c r="F31" s="325">
        <v>121600</v>
      </c>
      <c r="G31" s="332">
        <v>284050</v>
      </c>
      <c r="H31" s="332">
        <v>504350</v>
      </c>
      <c r="I31" s="332">
        <v>496350</v>
      </c>
      <c r="J31" s="332">
        <v>100500</v>
      </c>
      <c r="K31" s="332">
        <v>108850</v>
      </c>
      <c r="L31" s="325">
        <f t="shared" si="0"/>
        <v>2115300</v>
      </c>
    </row>
    <row r="32" spans="1:12">
      <c r="A32" s="324" t="s">
        <v>269</v>
      </c>
      <c r="B32" s="330">
        <v>244100</v>
      </c>
      <c r="C32" s="330">
        <v>102500</v>
      </c>
      <c r="D32" s="330">
        <v>80950</v>
      </c>
      <c r="E32" s="325">
        <v>58450</v>
      </c>
      <c r="F32" s="325">
        <v>292550</v>
      </c>
      <c r="G32" s="332">
        <v>357200</v>
      </c>
      <c r="H32" s="332">
        <v>671800</v>
      </c>
      <c r="I32" s="332">
        <v>578050</v>
      </c>
      <c r="J32" s="332">
        <v>88450</v>
      </c>
      <c r="K32" s="332">
        <v>39200</v>
      </c>
      <c r="L32" s="325">
        <f t="shared" si="0"/>
        <v>2513250</v>
      </c>
    </row>
    <row r="33" spans="1:14">
      <c r="A33" s="324" t="s">
        <v>270</v>
      </c>
      <c r="B33" s="330">
        <v>178500</v>
      </c>
      <c r="C33" s="330">
        <v>115700</v>
      </c>
      <c r="D33" s="330">
        <v>110800</v>
      </c>
      <c r="E33" s="325">
        <v>221900</v>
      </c>
      <c r="F33" s="325">
        <v>206150</v>
      </c>
      <c r="G33" s="332">
        <v>262200</v>
      </c>
      <c r="H33" s="332">
        <v>255350</v>
      </c>
      <c r="I33" s="332">
        <v>230950</v>
      </c>
      <c r="J33" s="332">
        <v>68500</v>
      </c>
      <c r="K33" s="332">
        <v>1200</v>
      </c>
      <c r="L33" s="325">
        <f t="shared" si="0"/>
        <v>1651250</v>
      </c>
    </row>
    <row r="34" spans="1:14">
      <c r="A34" s="324" t="s">
        <v>271</v>
      </c>
      <c r="B34" s="330">
        <v>60900</v>
      </c>
      <c r="C34" s="330">
        <v>64450</v>
      </c>
      <c r="D34" s="330">
        <v>18500</v>
      </c>
      <c r="E34" s="325">
        <v>35000</v>
      </c>
      <c r="F34" s="325">
        <v>67550</v>
      </c>
      <c r="G34" s="332">
        <v>52850</v>
      </c>
      <c r="H34" s="332">
        <v>275300</v>
      </c>
      <c r="I34" s="332">
        <v>273300</v>
      </c>
      <c r="J34" s="332">
        <v>121650</v>
      </c>
      <c r="K34" s="332">
        <v>7400</v>
      </c>
      <c r="L34" s="325">
        <f t="shared" si="0"/>
        <v>976900</v>
      </c>
    </row>
    <row r="35" spans="1:14">
      <c r="A35" s="509" t="s">
        <v>183</v>
      </c>
      <c r="B35" s="330">
        <v>5247250</v>
      </c>
      <c r="C35" s="330">
        <v>3312550</v>
      </c>
      <c r="D35" s="330">
        <v>3229150</v>
      </c>
      <c r="E35" s="325">
        <v>2946900</v>
      </c>
      <c r="F35" s="325">
        <v>4324150</v>
      </c>
      <c r="G35" s="332">
        <f>SUM(G4:G34)</f>
        <v>6173650</v>
      </c>
      <c r="H35" s="332">
        <f t="shared" ref="H35:K35" si="1">SUM(H4:H34)</f>
        <v>9383850</v>
      </c>
      <c r="I35" s="332">
        <f t="shared" si="1"/>
        <v>7930200</v>
      </c>
      <c r="J35" s="332">
        <f t="shared" si="1"/>
        <v>4636050</v>
      </c>
      <c r="K35" s="332">
        <f t="shared" si="1"/>
        <v>2146750</v>
      </c>
      <c r="L35" s="325">
        <f t="shared" si="0"/>
        <v>49330500</v>
      </c>
    </row>
    <row r="36" spans="1:14" ht="25" customHeight="1">
      <c r="A36" s="509"/>
      <c r="B36" s="510">
        <f>B35+C35+D35</f>
        <v>11788950</v>
      </c>
      <c r="C36" s="511"/>
      <c r="D36" s="511"/>
      <c r="E36" s="512">
        <f>E35+F35</f>
        <v>7271050</v>
      </c>
      <c r="F36" s="513"/>
      <c r="G36" s="503">
        <f>G35+H35+I35+J35+K35</f>
        <v>30270500</v>
      </c>
      <c r="H36" s="504"/>
      <c r="I36" s="504"/>
      <c r="J36" s="504"/>
      <c r="K36" s="505"/>
      <c r="L36" s="327">
        <f>SUM(B36:J36)</f>
        <v>49330500</v>
      </c>
    </row>
    <row r="37" spans="1:14" ht="20">
      <c r="A37" s="326" t="s">
        <v>201</v>
      </c>
      <c r="B37" s="501">
        <f>B36/L36</f>
        <v>0.23897892784382888</v>
      </c>
      <c r="C37" s="501"/>
      <c r="D37" s="501"/>
      <c r="E37" s="502">
        <f>E36/L36</f>
        <v>0.1473946138798512</v>
      </c>
      <c r="F37" s="502"/>
      <c r="G37" s="506">
        <f>G36/L36</f>
        <v>0.6136264582763199</v>
      </c>
      <c r="H37" s="507"/>
      <c r="I37" s="507"/>
      <c r="J37" s="507"/>
      <c r="K37" s="508"/>
      <c r="L37" s="328">
        <f>SUM(B37:J37)</f>
        <v>1</v>
      </c>
    </row>
    <row r="38" spans="1:14" ht="20">
      <c r="A38" s="334"/>
      <c r="B38" s="499">
        <f>B37+E37</f>
        <v>0.3863735417236801</v>
      </c>
      <c r="C38" s="499"/>
      <c r="D38" s="499"/>
      <c r="E38" s="499"/>
      <c r="F38" s="499"/>
      <c r="G38" s="500"/>
      <c r="H38" s="500"/>
      <c r="I38" s="500"/>
      <c r="J38" s="500"/>
      <c r="K38" s="500"/>
      <c r="L38" s="335"/>
    </row>
    <row r="39" spans="1:14" ht="34" customHeight="1">
      <c r="A39" s="320" t="s">
        <v>239</v>
      </c>
      <c r="B39" s="321"/>
      <c r="C39" s="321"/>
      <c r="D39" s="321"/>
      <c r="E39" s="320"/>
      <c r="F39" s="320"/>
      <c r="G39" s="320"/>
      <c r="H39" s="320"/>
      <c r="I39" s="320"/>
      <c r="J39" s="320"/>
      <c r="K39" s="320"/>
      <c r="L39" s="320"/>
    </row>
    <row r="40" spans="1:14">
      <c r="A40" s="324" t="s">
        <v>184</v>
      </c>
      <c r="B40" s="325">
        <v>245810</v>
      </c>
      <c r="C40" s="325">
        <v>187620</v>
      </c>
      <c r="D40" s="325">
        <v>240050</v>
      </c>
      <c r="E40" s="325">
        <v>175930</v>
      </c>
      <c r="F40" s="325">
        <v>191250</v>
      </c>
      <c r="G40" s="325">
        <v>281960</v>
      </c>
      <c r="H40" s="325">
        <v>242400</v>
      </c>
      <c r="I40" s="325">
        <v>296560</v>
      </c>
      <c r="J40" s="325">
        <v>88325</v>
      </c>
      <c r="K40" s="325">
        <v>9650</v>
      </c>
      <c r="L40" s="338">
        <v>1962110</v>
      </c>
    </row>
    <row r="41" spans="1:14">
      <c r="A41" s="324" t="s">
        <v>185</v>
      </c>
      <c r="B41" s="325">
        <v>152610</v>
      </c>
      <c r="C41" s="325">
        <v>64150</v>
      </c>
      <c r="D41" s="325">
        <v>68710</v>
      </c>
      <c r="E41" s="325">
        <v>76690</v>
      </c>
      <c r="F41" s="325">
        <v>78090</v>
      </c>
      <c r="G41" s="325">
        <v>151720</v>
      </c>
      <c r="H41" s="325">
        <v>237460</v>
      </c>
      <c r="I41" s="325">
        <v>208100</v>
      </c>
      <c r="J41" s="325">
        <v>76575</v>
      </c>
      <c r="K41" s="325">
        <v>3375</v>
      </c>
      <c r="L41" s="325">
        <v>1135750</v>
      </c>
    </row>
    <row r="42" spans="1:14">
      <c r="A42" s="324" t="s">
        <v>186</v>
      </c>
      <c r="B42" s="325">
        <v>114813</v>
      </c>
      <c r="C42" s="325">
        <v>76238</v>
      </c>
      <c r="D42" s="325">
        <v>61850</v>
      </c>
      <c r="E42" s="325">
        <v>44550</v>
      </c>
      <c r="F42" s="325">
        <v>77900</v>
      </c>
      <c r="G42" s="325">
        <v>111163</v>
      </c>
      <c r="H42" s="325">
        <v>164713</v>
      </c>
      <c r="I42" s="325">
        <v>288563</v>
      </c>
      <c r="J42" s="325">
        <v>58300</v>
      </c>
      <c r="K42" s="325">
        <v>33740</v>
      </c>
      <c r="L42" s="325">
        <v>1085775</v>
      </c>
    </row>
    <row r="43" spans="1:14">
      <c r="A43" s="324" t="s">
        <v>187</v>
      </c>
      <c r="B43" s="325">
        <v>165325</v>
      </c>
      <c r="C43" s="325">
        <v>72463</v>
      </c>
      <c r="D43" s="325">
        <v>81388</v>
      </c>
      <c r="E43" s="325">
        <v>52263</v>
      </c>
      <c r="F43" s="325">
        <v>78325</v>
      </c>
      <c r="G43" s="325">
        <v>172775</v>
      </c>
      <c r="H43" s="325">
        <v>280338</v>
      </c>
      <c r="I43" s="325">
        <v>128113</v>
      </c>
      <c r="J43" s="325">
        <v>49200</v>
      </c>
      <c r="K43" s="325">
        <v>17880</v>
      </c>
      <c r="L43" s="325">
        <v>1277100</v>
      </c>
    </row>
    <row r="44" spans="1:14">
      <c r="A44" s="324" t="s">
        <v>188</v>
      </c>
      <c r="B44" s="325">
        <v>104000</v>
      </c>
      <c r="C44" s="325">
        <v>70513</v>
      </c>
      <c r="D44" s="325">
        <v>64213</v>
      </c>
      <c r="E44" s="325">
        <v>61550</v>
      </c>
      <c r="F44" s="325">
        <v>174588</v>
      </c>
      <c r="G44" s="325">
        <v>114563</v>
      </c>
      <c r="H44" s="325">
        <v>336663</v>
      </c>
      <c r="I44" s="325">
        <v>146513</v>
      </c>
      <c r="J44" s="325">
        <v>36900</v>
      </c>
      <c r="K44" s="325">
        <v>12600</v>
      </c>
      <c r="L44" s="325">
        <v>1528575</v>
      </c>
    </row>
    <row r="45" spans="1:14">
      <c r="A45" s="324" t="s">
        <v>189</v>
      </c>
      <c r="B45" s="325">
        <v>134900</v>
      </c>
      <c r="C45" s="325">
        <v>126713</v>
      </c>
      <c r="D45" s="325">
        <v>62750</v>
      </c>
      <c r="E45" s="325">
        <v>84625</v>
      </c>
      <c r="F45" s="325">
        <v>153775</v>
      </c>
      <c r="G45" s="325">
        <v>288163</v>
      </c>
      <c r="H45" s="325">
        <v>475388</v>
      </c>
      <c r="I45" s="325">
        <v>403900</v>
      </c>
      <c r="J45" s="325">
        <v>154013</v>
      </c>
      <c r="K45" s="325">
        <v>6875</v>
      </c>
      <c r="L45" s="338">
        <v>1988325</v>
      </c>
    </row>
    <row r="46" spans="1:14">
      <c r="A46" s="324" t="s">
        <v>190</v>
      </c>
      <c r="B46" s="325">
        <v>235800</v>
      </c>
      <c r="C46" s="325">
        <v>134000</v>
      </c>
      <c r="D46" s="325">
        <v>120910</v>
      </c>
      <c r="E46" s="325">
        <v>142370</v>
      </c>
      <c r="F46" s="325">
        <v>207820</v>
      </c>
      <c r="G46" s="325">
        <v>251720</v>
      </c>
      <c r="H46" s="325">
        <v>391230</v>
      </c>
      <c r="I46" s="325">
        <v>307710</v>
      </c>
      <c r="J46" s="325">
        <v>143850</v>
      </c>
      <c r="K46" s="325">
        <v>9313</v>
      </c>
      <c r="L46" s="338">
        <v>2064420</v>
      </c>
      <c r="N46" s="317">
        <v>2064420</v>
      </c>
    </row>
    <row r="47" spans="1:14" ht="39" customHeight="1">
      <c r="A47" s="320" t="s">
        <v>238</v>
      </c>
      <c r="B47" s="320"/>
      <c r="C47" s="320"/>
      <c r="D47" s="320"/>
      <c r="E47" s="320"/>
      <c r="F47" s="320"/>
      <c r="G47" s="320"/>
      <c r="H47" s="320"/>
      <c r="I47" s="320"/>
      <c r="J47" s="320"/>
      <c r="K47" s="320"/>
      <c r="L47" s="320"/>
    </row>
    <row r="48" spans="1:14">
      <c r="A48" s="324" t="s">
        <v>191</v>
      </c>
      <c r="B48" s="325">
        <v>959450</v>
      </c>
      <c r="C48" s="325">
        <v>354250</v>
      </c>
      <c r="D48" s="325">
        <v>481850</v>
      </c>
      <c r="E48" s="325">
        <v>532400</v>
      </c>
      <c r="F48" s="325">
        <v>820350</v>
      </c>
      <c r="G48" s="325">
        <v>955400</v>
      </c>
      <c r="H48" s="325">
        <v>1378300</v>
      </c>
      <c r="I48" s="325">
        <v>861050</v>
      </c>
      <c r="J48" s="325">
        <v>353300</v>
      </c>
      <c r="K48" s="325">
        <v>38600</v>
      </c>
      <c r="L48" s="325">
        <v>9810550</v>
      </c>
    </row>
    <row r="49" spans="1:14">
      <c r="A49" s="324" t="s">
        <v>192</v>
      </c>
      <c r="B49" s="325">
        <v>576000</v>
      </c>
      <c r="C49" s="325">
        <v>428950</v>
      </c>
      <c r="D49" s="325">
        <v>248300</v>
      </c>
      <c r="E49" s="325">
        <v>323800</v>
      </c>
      <c r="F49" s="325">
        <v>379850</v>
      </c>
      <c r="G49" s="325">
        <v>642400</v>
      </c>
      <c r="H49" s="325">
        <v>1397700</v>
      </c>
      <c r="I49" s="325">
        <v>1237100</v>
      </c>
      <c r="J49" s="325">
        <v>306300</v>
      </c>
      <c r="K49" s="325">
        <v>13500</v>
      </c>
      <c r="L49" s="325">
        <v>5678750</v>
      </c>
    </row>
    <row r="50" spans="1:14">
      <c r="A50" s="324" t="s">
        <v>193</v>
      </c>
      <c r="B50" s="325">
        <v>635650</v>
      </c>
      <c r="C50" s="325">
        <v>389750</v>
      </c>
      <c r="D50" s="325">
        <v>332100</v>
      </c>
      <c r="E50" s="325">
        <v>577750</v>
      </c>
      <c r="F50" s="325">
        <v>551900</v>
      </c>
      <c r="G50" s="325">
        <v>1516650</v>
      </c>
      <c r="H50" s="325">
        <v>1836550</v>
      </c>
      <c r="I50" s="325">
        <v>1722100</v>
      </c>
      <c r="J50" s="325">
        <v>291500</v>
      </c>
      <c r="K50" s="325">
        <v>168700</v>
      </c>
      <c r="L50" s="325">
        <v>4343100</v>
      </c>
    </row>
    <row r="51" spans="1:14">
      <c r="A51" s="324" t="s">
        <v>194</v>
      </c>
      <c r="B51" s="325">
        <v>429800</v>
      </c>
      <c r="C51" s="325">
        <v>408100</v>
      </c>
      <c r="D51" s="325">
        <v>208600</v>
      </c>
      <c r="E51" s="325">
        <v>244750</v>
      </c>
      <c r="F51" s="325">
        <v>357750</v>
      </c>
      <c r="G51" s="325">
        <v>1160000</v>
      </c>
      <c r="H51" s="325">
        <v>1752100</v>
      </c>
      <c r="I51" s="325">
        <v>1511000</v>
      </c>
      <c r="J51" s="325">
        <v>246000</v>
      </c>
      <c r="K51" s="325">
        <v>89400</v>
      </c>
      <c r="L51" s="325">
        <v>5108400</v>
      </c>
    </row>
    <row r="52" spans="1:14">
      <c r="A52" s="324" t="s">
        <v>195</v>
      </c>
      <c r="B52" s="325">
        <v>468100</v>
      </c>
      <c r="C52" s="325">
        <v>308100</v>
      </c>
      <c r="D52" s="325">
        <v>234300</v>
      </c>
      <c r="E52" s="325">
        <v>349100</v>
      </c>
      <c r="F52" s="325">
        <v>175950</v>
      </c>
      <c r="G52" s="325">
        <v>1141550</v>
      </c>
      <c r="H52" s="325">
        <v>1637300</v>
      </c>
      <c r="I52" s="325">
        <v>1805200</v>
      </c>
      <c r="J52" s="325">
        <v>184500</v>
      </c>
      <c r="K52" s="325">
        <v>63000</v>
      </c>
      <c r="L52" s="325">
        <v>6114300</v>
      </c>
    </row>
    <row r="53" spans="1:14">
      <c r="A53" s="324" t="s">
        <v>196</v>
      </c>
      <c r="B53" s="325">
        <v>444750</v>
      </c>
      <c r="C53" s="325">
        <v>362900</v>
      </c>
      <c r="D53" s="325">
        <v>286750</v>
      </c>
      <c r="E53" s="325">
        <v>338150</v>
      </c>
      <c r="F53" s="325">
        <v>518100</v>
      </c>
      <c r="G53" s="325">
        <v>952500</v>
      </c>
      <c r="H53" s="325">
        <v>1625500</v>
      </c>
      <c r="I53" s="325">
        <v>1932000</v>
      </c>
      <c r="J53" s="325">
        <v>616050</v>
      </c>
      <c r="K53" s="325">
        <v>27500</v>
      </c>
      <c r="L53" s="325">
        <v>7953300</v>
      </c>
    </row>
    <row r="54" spans="1:14">
      <c r="A54" s="324" t="s">
        <v>197</v>
      </c>
      <c r="B54" s="325">
        <v>961900</v>
      </c>
      <c r="C54" s="325">
        <v>639100</v>
      </c>
      <c r="D54" s="325">
        <v>694650</v>
      </c>
      <c r="E54" s="325">
        <v>597150</v>
      </c>
      <c r="F54" s="325">
        <v>1042650</v>
      </c>
      <c r="G54" s="325">
        <v>1035800</v>
      </c>
      <c r="H54" s="325">
        <v>2058850</v>
      </c>
      <c r="I54" s="325">
        <v>1367450</v>
      </c>
      <c r="J54" s="325">
        <v>575400</v>
      </c>
      <c r="K54" s="325">
        <v>37250</v>
      </c>
      <c r="L54" s="325">
        <v>10322100</v>
      </c>
      <c r="N54" s="317">
        <v>10322100</v>
      </c>
    </row>
  </sheetData>
  <mergeCells count="14">
    <mergeCell ref="A35:A36"/>
    <mergeCell ref="B36:D36"/>
    <mergeCell ref="E36:F36"/>
    <mergeCell ref="G36:K36"/>
    <mergeCell ref="A2:A3"/>
    <mergeCell ref="B2:D2"/>
    <mergeCell ref="E2:F2"/>
    <mergeCell ref="G2:K2"/>
    <mergeCell ref="L2:L3"/>
    <mergeCell ref="B37:D37"/>
    <mergeCell ref="E37:F37"/>
    <mergeCell ref="G37:K37"/>
    <mergeCell ref="B38:F38"/>
    <mergeCell ref="G38:K38"/>
  </mergeCells>
  <phoneticPr fontId="1"/>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7F5C6-CF11-3C4A-AC73-A00EC52A8C22}">
  <sheetPr>
    <tabColor rgb="FFFFC000"/>
    <pageSetUpPr fitToPage="1"/>
  </sheetPr>
  <dimension ref="A1:AJ113"/>
  <sheetViews>
    <sheetView zoomScale="50" workbookViewId="0">
      <selection activeCell="I6" sqref="I6:V6"/>
    </sheetView>
  </sheetViews>
  <sheetFormatPr baseColWidth="10" defaultColWidth="9" defaultRowHeight="18"/>
  <cols>
    <col min="1" max="1" width="8.1640625" style="1" customWidth="1"/>
    <col min="2" max="2" width="6.6640625" style="34" customWidth="1"/>
    <col min="3" max="3" width="7.5" style="1" hidden="1" customWidth="1"/>
    <col min="4" max="6" width="0.1640625" style="1" hidden="1" customWidth="1"/>
    <col min="7" max="7" width="15.5" style="1" customWidth="1"/>
    <col min="8" max="8" width="7.1640625" style="1" customWidth="1"/>
    <col min="9" max="9" width="16" style="1" customWidth="1"/>
    <col min="10" max="10" width="19" style="1" customWidth="1"/>
    <col min="11" max="15" width="16" style="1" customWidth="1"/>
    <col min="16" max="16" width="26.33203125" style="1" customWidth="1"/>
    <col min="17" max="20" width="16" style="1" customWidth="1"/>
    <col min="21" max="21" width="16" style="165" customWidth="1"/>
    <col min="22" max="22" width="16" style="1" customWidth="1"/>
    <col min="23" max="23" width="5.1640625" style="1" customWidth="1"/>
    <col min="24" max="24" width="12.1640625" style="1" bestFit="1" customWidth="1"/>
    <col min="25" max="25" width="12.83203125" style="1" bestFit="1" customWidth="1"/>
    <col min="26" max="29" width="10.33203125" style="1" customWidth="1"/>
    <col min="30" max="30" width="9" style="269"/>
    <col min="31" max="31" width="9" style="1"/>
    <col min="32" max="32" width="19.5" style="1" customWidth="1"/>
    <col min="33" max="16384" width="9" style="1"/>
  </cols>
  <sheetData>
    <row r="1" spans="1:36" s="24" customFormat="1" ht="64" customHeight="1">
      <c r="A1" s="81" t="s">
        <v>383</v>
      </c>
      <c r="B1" s="34"/>
      <c r="U1" s="165"/>
      <c r="AD1" s="25"/>
    </row>
    <row r="2" spans="1:36" s="24" customFormat="1" ht="34.25" customHeight="1" thickBot="1">
      <c r="A2" s="519" t="s">
        <v>46</v>
      </c>
      <c r="B2" s="520"/>
      <c r="P2" s="128">
        <f>P14+P24+P34+P44+P54+P64</f>
        <v>20844700</v>
      </c>
      <c r="U2" s="165"/>
      <c r="V2" s="24">
        <v>30</v>
      </c>
      <c r="AD2" s="25"/>
    </row>
    <row r="3" spans="1:36" ht="53" customHeight="1" thickTop="1">
      <c r="A3" s="521" t="s">
        <v>375</v>
      </c>
      <c r="B3" s="522"/>
      <c r="G3" s="450" t="s">
        <v>78</v>
      </c>
      <c r="H3" s="451"/>
      <c r="I3" s="451"/>
      <c r="J3" s="451"/>
      <c r="K3" s="451"/>
      <c r="L3" s="451"/>
      <c r="M3" s="451"/>
      <c r="N3" s="451"/>
      <c r="O3" s="451"/>
      <c r="P3" s="451"/>
      <c r="Q3" s="451"/>
      <c r="R3" s="551" t="s">
        <v>51</v>
      </c>
      <c r="S3" s="552"/>
      <c r="T3" s="552"/>
      <c r="U3" s="553"/>
      <c r="V3" s="74" t="s">
        <v>27</v>
      </c>
    </row>
    <row r="4" spans="1:36" s="35" customFormat="1" ht="53" customHeight="1">
      <c r="A4" s="523" t="s">
        <v>41</v>
      </c>
      <c r="B4" s="524"/>
      <c r="G4" s="452" t="s">
        <v>70</v>
      </c>
      <c r="H4" s="453"/>
      <c r="I4" s="75" t="s">
        <v>42</v>
      </c>
      <c r="J4" s="76"/>
      <c r="K4" s="77" t="s">
        <v>43</v>
      </c>
      <c r="L4" s="98"/>
      <c r="M4" s="454" t="s">
        <v>74</v>
      </c>
      <c r="N4" s="455"/>
      <c r="O4" s="389"/>
      <c r="P4" s="125">
        <v>25440000</v>
      </c>
      <c r="Q4" s="127" t="s">
        <v>52</v>
      </c>
      <c r="R4" s="547"/>
      <c r="S4" s="548"/>
      <c r="T4" s="548"/>
      <c r="U4" s="549"/>
      <c r="V4" s="126">
        <f>P4/V2</f>
        <v>848000</v>
      </c>
      <c r="X4" s="494" t="s">
        <v>365</v>
      </c>
      <c r="Y4" s="495"/>
      <c r="Z4" s="495"/>
      <c r="AA4" s="495"/>
      <c r="AB4" s="495"/>
      <c r="AC4" s="496"/>
      <c r="AD4" s="269"/>
    </row>
    <row r="5" spans="1:36" ht="23.5" customHeight="1">
      <c r="A5" s="456" t="s">
        <v>12</v>
      </c>
      <c r="B5" s="457"/>
      <c r="G5" s="456" t="s">
        <v>12</v>
      </c>
      <c r="H5" s="457"/>
      <c r="I5" s="457"/>
      <c r="J5" s="457"/>
      <c r="K5" s="457"/>
      <c r="L5" s="457"/>
      <c r="M5" s="457"/>
      <c r="N5" s="457"/>
      <c r="O5" s="457"/>
      <c r="P5" s="457"/>
      <c r="Q5" s="457"/>
      <c r="R5" s="457"/>
      <c r="S5" s="457"/>
      <c r="T5" s="457"/>
      <c r="U5" s="457"/>
      <c r="V5" s="458"/>
      <c r="X5" s="497" t="str">
        <f>G5</f>
        <v>1st week</v>
      </c>
      <c r="Y5" s="497"/>
      <c r="Z5" s="497"/>
      <c r="AA5" s="497"/>
      <c r="AB5" s="497"/>
      <c r="AC5" s="497"/>
      <c r="AG5" s="35"/>
    </row>
    <row r="6" spans="1:36" s="2" customFormat="1" ht="23.5" customHeight="1">
      <c r="A6" s="52" t="s">
        <v>10</v>
      </c>
      <c r="B6" s="36" t="s">
        <v>11</v>
      </c>
      <c r="C6" s="2" t="s">
        <v>32</v>
      </c>
      <c r="D6" s="2" t="s">
        <v>33</v>
      </c>
      <c r="E6" s="2" t="s">
        <v>34</v>
      </c>
      <c r="F6" s="2" t="s">
        <v>35</v>
      </c>
      <c r="G6" s="101" t="s">
        <v>10</v>
      </c>
      <c r="H6" s="102" t="s">
        <v>11</v>
      </c>
      <c r="I6" s="102" t="s">
        <v>1</v>
      </c>
      <c r="J6" s="102" t="s">
        <v>30</v>
      </c>
      <c r="K6" s="102" t="s">
        <v>31</v>
      </c>
      <c r="L6" s="102" t="s">
        <v>28</v>
      </c>
      <c r="M6" s="102" t="s">
        <v>29</v>
      </c>
      <c r="N6" s="102" t="s">
        <v>388</v>
      </c>
      <c r="O6" s="102" t="s">
        <v>384</v>
      </c>
      <c r="P6" s="102" t="s">
        <v>71</v>
      </c>
      <c r="Q6" s="103" t="s">
        <v>48</v>
      </c>
      <c r="R6" s="103" t="s">
        <v>385</v>
      </c>
      <c r="S6" s="103" t="s">
        <v>386</v>
      </c>
      <c r="T6" s="103" t="s">
        <v>387</v>
      </c>
      <c r="U6" s="103" t="s">
        <v>40</v>
      </c>
      <c r="V6" s="104" t="s">
        <v>73</v>
      </c>
      <c r="X6" s="252" t="s">
        <v>114</v>
      </c>
      <c r="Y6" s="253" t="s">
        <v>115</v>
      </c>
      <c r="Z6" s="48" t="s">
        <v>116</v>
      </c>
      <c r="AA6" s="48" t="s">
        <v>117</v>
      </c>
      <c r="AB6" s="48" t="s">
        <v>118</v>
      </c>
      <c r="AC6" s="254" t="s">
        <v>127</v>
      </c>
      <c r="AD6" s="298"/>
      <c r="AE6" s="1" t="s">
        <v>122</v>
      </c>
      <c r="AF6" s="1"/>
      <c r="AG6" s="35" t="s">
        <v>125</v>
      </c>
    </row>
    <row r="7" spans="1:36" ht="23.5" customHeight="1">
      <c r="A7" s="53" t="s">
        <v>3</v>
      </c>
      <c r="B7" s="49"/>
      <c r="C7" s="41"/>
      <c r="D7" s="41"/>
      <c r="E7" s="41"/>
      <c r="F7" s="41"/>
      <c r="G7" s="105" t="s">
        <v>3</v>
      </c>
      <c r="H7" s="118">
        <f>B7</f>
        <v>0</v>
      </c>
      <c r="I7" s="73"/>
      <c r="J7" s="106">
        <v>0</v>
      </c>
      <c r="K7" s="106" t="e">
        <f>J7/I7</f>
        <v>#DIV/0!</v>
      </c>
      <c r="L7" s="106">
        <v>0</v>
      </c>
      <c r="M7" s="107" t="e">
        <f>L7/I7</f>
        <v>#DIV/0!</v>
      </c>
      <c r="N7" s="107"/>
      <c r="O7" s="107"/>
      <c r="P7" s="108">
        <f>J7+L7+N7</f>
        <v>0</v>
      </c>
      <c r="Q7" s="109" t="e">
        <f>P7/I7</f>
        <v>#DIV/0!</v>
      </c>
      <c r="R7" s="109"/>
      <c r="S7" s="109"/>
      <c r="T7" s="109"/>
      <c r="U7" s="166"/>
      <c r="V7" s="110" t="e">
        <f>P7/U7</f>
        <v>#DIV/0!</v>
      </c>
      <c r="X7" s="242"/>
      <c r="Y7" s="242"/>
      <c r="Z7" s="48"/>
      <c r="AA7" s="48"/>
      <c r="AB7" s="48"/>
      <c r="AC7" s="271">
        <f t="shared" ref="AC7:AC14" si="0">SUM(Z7:AB7)/3</f>
        <v>0</v>
      </c>
      <c r="AE7" s="270" t="s">
        <v>123</v>
      </c>
      <c r="AF7" s="2"/>
      <c r="AG7" s="269">
        <v>5</v>
      </c>
    </row>
    <row r="8" spans="1:36" ht="23.5" customHeight="1">
      <c r="A8" s="54" t="s">
        <v>4</v>
      </c>
      <c r="B8" s="49"/>
      <c r="C8" s="41"/>
      <c r="D8" s="41"/>
      <c r="E8" s="41"/>
      <c r="F8" s="41"/>
      <c r="G8" s="101" t="s">
        <v>4</v>
      </c>
      <c r="H8" s="118">
        <f t="shared" ref="H8:H13" si="1">B8</f>
        <v>0</v>
      </c>
      <c r="I8" s="73"/>
      <c r="J8" s="106">
        <v>0</v>
      </c>
      <c r="K8" s="106" t="e">
        <f t="shared" ref="K8:K12" si="2">J8/I8</f>
        <v>#DIV/0!</v>
      </c>
      <c r="L8" s="106">
        <v>0</v>
      </c>
      <c r="M8" s="107" t="e">
        <f t="shared" ref="M8:M12" si="3">L8/I8</f>
        <v>#DIV/0!</v>
      </c>
      <c r="N8" s="107"/>
      <c r="O8" s="107"/>
      <c r="P8" s="108">
        <f t="shared" ref="P8:P12" si="4">J8+L8+N8</f>
        <v>0</v>
      </c>
      <c r="Q8" s="109" t="e">
        <f t="shared" ref="Q8:Q13" si="5">P8/I8</f>
        <v>#DIV/0!</v>
      </c>
      <c r="R8" s="109"/>
      <c r="S8" s="109"/>
      <c r="T8" s="109"/>
      <c r="U8" s="167"/>
      <c r="V8" s="110" t="e">
        <f t="shared" ref="V8:V14" si="6">P8/U8</f>
        <v>#DIV/0!</v>
      </c>
      <c r="X8" s="242"/>
      <c r="Y8" s="242"/>
      <c r="Z8" s="48"/>
      <c r="AA8" s="48"/>
      <c r="AB8" s="48"/>
      <c r="AC8" s="271">
        <f t="shared" si="0"/>
        <v>0</v>
      </c>
      <c r="AE8" s="34" t="s">
        <v>124</v>
      </c>
      <c r="AG8" s="1">
        <v>4</v>
      </c>
    </row>
    <row r="9" spans="1:36" ht="23.5" customHeight="1">
      <c r="A9" s="54" t="s">
        <v>5</v>
      </c>
      <c r="B9" s="49"/>
      <c r="C9" s="41"/>
      <c r="D9" s="41"/>
      <c r="E9" s="41"/>
      <c r="F9" s="41"/>
      <c r="G9" s="101" t="s">
        <v>5</v>
      </c>
      <c r="H9" s="118">
        <f t="shared" si="1"/>
        <v>0</v>
      </c>
      <c r="I9" s="73"/>
      <c r="J9" s="106">
        <v>0</v>
      </c>
      <c r="K9" s="106" t="e">
        <f t="shared" si="2"/>
        <v>#DIV/0!</v>
      </c>
      <c r="L9" s="106">
        <v>0</v>
      </c>
      <c r="M9" s="107" t="e">
        <f t="shared" si="3"/>
        <v>#DIV/0!</v>
      </c>
      <c r="N9" s="107"/>
      <c r="O9" s="107"/>
      <c r="P9" s="108">
        <f t="shared" si="4"/>
        <v>0</v>
      </c>
      <c r="Q9" s="109" t="e">
        <f t="shared" si="5"/>
        <v>#DIV/0!</v>
      </c>
      <c r="R9" s="109"/>
      <c r="S9" s="109"/>
      <c r="T9" s="109"/>
      <c r="U9" s="167"/>
      <c r="V9" s="110" t="e">
        <f t="shared" si="6"/>
        <v>#DIV/0!</v>
      </c>
      <c r="X9" s="242"/>
      <c r="Y9" s="242"/>
      <c r="Z9" s="48"/>
      <c r="AA9" s="48"/>
      <c r="AB9" s="48"/>
      <c r="AC9" s="271">
        <f t="shared" si="0"/>
        <v>0</v>
      </c>
      <c r="AE9" s="34" t="s">
        <v>128</v>
      </c>
      <c r="AG9" s="1">
        <v>3</v>
      </c>
    </row>
    <row r="10" spans="1:36" ht="23.5" customHeight="1">
      <c r="A10" s="54" t="s">
        <v>6</v>
      </c>
      <c r="B10" s="49"/>
      <c r="C10" s="41"/>
      <c r="D10" s="41"/>
      <c r="E10" s="41"/>
      <c r="F10" s="41"/>
      <c r="G10" s="101" t="s">
        <v>6</v>
      </c>
      <c r="H10" s="118">
        <f t="shared" si="1"/>
        <v>0</v>
      </c>
      <c r="I10" s="73"/>
      <c r="J10" s="106">
        <v>0</v>
      </c>
      <c r="K10" s="106" t="e">
        <f t="shared" si="2"/>
        <v>#DIV/0!</v>
      </c>
      <c r="L10" s="106">
        <v>0</v>
      </c>
      <c r="M10" s="107" t="e">
        <f t="shared" si="3"/>
        <v>#DIV/0!</v>
      </c>
      <c r="N10" s="107"/>
      <c r="O10" s="107"/>
      <c r="P10" s="108">
        <f t="shared" si="4"/>
        <v>0</v>
      </c>
      <c r="Q10" s="109" t="e">
        <f t="shared" si="5"/>
        <v>#DIV/0!</v>
      </c>
      <c r="R10" s="109"/>
      <c r="S10" s="109"/>
      <c r="T10" s="109"/>
      <c r="U10" s="167"/>
      <c r="V10" s="110" t="e">
        <f t="shared" si="6"/>
        <v>#DIV/0!</v>
      </c>
      <c r="X10" s="242"/>
      <c r="Y10" s="242"/>
      <c r="Z10" s="48"/>
      <c r="AA10" s="48"/>
      <c r="AB10" s="48"/>
      <c r="AC10" s="271">
        <f t="shared" si="0"/>
        <v>0</v>
      </c>
      <c r="AE10" s="34" t="s">
        <v>120</v>
      </c>
      <c r="AG10" s="1">
        <v>2</v>
      </c>
    </row>
    <row r="11" spans="1:36" ht="23.5" customHeight="1">
      <c r="A11" s="54" t="s">
        <v>7</v>
      </c>
      <c r="B11" s="49">
        <v>1</v>
      </c>
      <c r="C11" s="41"/>
      <c r="D11" s="41"/>
      <c r="E11" s="41"/>
      <c r="F11" s="41"/>
      <c r="G11" s="101" t="s">
        <v>7</v>
      </c>
      <c r="H11" s="118">
        <f t="shared" si="1"/>
        <v>1</v>
      </c>
      <c r="I11" s="73">
        <v>122</v>
      </c>
      <c r="J11" s="106">
        <v>267250</v>
      </c>
      <c r="K11" s="106">
        <f t="shared" si="2"/>
        <v>2190.5737704918033</v>
      </c>
      <c r="L11" s="106">
        <v>165950</v>
      </c>
      <c r="M11" s="107">
        <f t="shared" si="3"/>
        <v>1360.2459016393443</v>
      </c>
      <c r="N11" s="107"/>
      <c r="O11" s="107"/>
      <c r="P11" s="108">
        <f t="shared" si="4"/>
        <v>433200</v>
      </c>
      <c r="Q11" s="109">
        <f t="shared" si="5"/>
        <v>3550.8196721311474</v>
      </c>
      <c r="R11" s="109"/>
      <c r="S11" s="109"/>
      <c r="T11" s="109"/>
      <c r="U11" s="167">
        <v>82.5</v>
      </c>
      <c r="V11" s="110">
        <f t="shared" si="6"/>
        <v>5250.909090909091</v>
      </c>
      <c r="X11" s="242">
        <v>9.6</v>
      </c>
      <c r="Y11" s="242">
        <v>24.7</v>
      </c>
      <c r="Z11" s="255">
        <v>4</v>
      </c>
      <c r="AA11" s="255">
        <v>4</v>
      </c>
      <c r="AB11" s="255">
        <v>4</v>
      </c>
      <c r="AC11" s="271">
        <f t="shared" si="0"/>
        <v>4</v>
      </c>
      <c r="AE11" s="34" t="s">
        <v>121</v>
      </c>
      <c r="AG11" s="1">
        <v>1</v>
      </c>
    </row>
    <row r="12" spans="1:36" ht="23.5" customHeight="1">
      <c r="A12" s="54" t="s">
        <v>8</v>
      </c>
      <c r="B12" s="49">
        <v>2</v>
      </c>
      <c r="C12" s="41"/>
      <c r="D12" s="41"/>
      <c r="E12" s="41"/>
      <c r="F12" s="41"/>
      <c r="G12" s="101" t="s">
        <v>8</v>
      </c>
      <c r="H12" s="118">
        <f t="shared" si="1"/>
        <v>2</v>
      </c>
      <c r="I12" s="73">
        <v>86</v>
      </c>
      <c r="J12" s="106">
        <v>251600</v>
      </c>
      <c r="K12" s="106">
        <f t="shared" si="2"/>
        <v>2925.5813953488373</v>
      </c>
      <c r="L12" s="106">
        <v>138150</v>
      </c>
      <c r="M12" s="107">
        <f t="shared" si="3"/>
        <v>1606.3953488372092</v>
      </c>
      <c r="N12" s="107">
        <v>3300</v>
      </c>
      <c r="O12" s="107"/>
      <c r="P12" s="108">
        <f t="shared" si="4"/>
        <v>393050</v>
      </c>
      <c r="Q12" s="109">
        <f t="shared" si="5"/>
        <v>4570.3488372093025</v>
      </c>
      <c r="R12" s="109"/>
      <c r="S12" s="109"/>
      <c r="T12" s="109"/>
      <c r="U12" s="167">
        <v>80</v>
      </c>
      <c r="V12" s="110">
        <f t="shared" si="6"/>
        <v>4913.125</v>
      </c>
      <c r="X12" s="243">
        <v>15.4</v>
      </c>
      <c r="Y12" s="242">
        <v>21.9</v>
      </c>
      <c r="Z12" s="255">
        <v>4</v>
      </c>
      <c r="AA12" s="255">
        <v>4</v>
      </c>
      <c r="AB12" s="255">
        <v>1</v>
      </c>
      <c r="AC12" s="271">
        <f t="shared" si="0"/>
        <v>3</v>
      </c>
      <c r="AE12" s="34" t="s">
        <v>126</v>
      </c>
      <c r="AG12" s="1">
        <v>0</v>
      </c>
    </row>
    <row r="13" spans="1:36" ht="23.5" customHeight="1" thickBot="1">
      <c r="A13" s="55" t="s">
        <v>9</v>
      </c>
      <c r="B13" s="49">
        <v>3</v>
      </c>
      <c r="C13" s="41"/>
      <c r="D13" s="41"/>
      <c r="E13" s="41"/>
      <c r="F13" s="41"/>
      <c r="G13" s="111" t="s">
        <v>9</v>
      </c>
      <c r="H13" s="118">
        <f t="shared" si="1"/>
        <v>3</v>
      </c>
      <c r="I13" s="73">
        <v>89</v>
      </c>
      <c r="J13" s="106">
        <v>211600</v>
      </c>
      <c r="K13" s="106">
        <f>J13/I13</f>
        <v>2377.5280898876404</v>
      </c>
      <c r="L13" s="106">
        <v>127000</v>
      </c>
      <c r="M13" s="107">
        <f>L13/I13</f>
        <v>1426.9662921348315</v>
      </c>
      <c r="N13" s="107">
        <v>3850</v>
      </c>
      <c r="O13" s="107"/>
      <c r="P13" s="108">
        <f>J13+L13+N13</f>
        <v>342450</v>
      </c>
      <c r="Q13" s="109">
        <f t="shared" si="5"/>
        <v>3847.7528089887642</v>
      </c>
      <c r="R13" s="109"/>
      <c r="S13" s="109"/>
      <c r="T13" s="109"/>
      <c r="U13" s="167">
        <v>97.25</v>
      </c>
      <c r="V13" s="110">
        <f t="shared" si="6"/>
        <v>3521.3367609254497</v>
      </c>
      <c r="X13" s="244">
        <v>13.6</v>
      </c>
      <c r="Y13" s="245">
        <v>16.399999999999999</v>
      </c>
      <c r="Z13" s="255">
        <v>1</v>
      </c>
      <c r="AA13" s="255">
        <v>1</v>
      </c>
      <c r="AB13" s="255">
        <v>4</v>
      </c>
      <c r="AC13" s="272">
        <f t="shared" si="0"/>
        <v>2</v>
      </c>
      <c r="AE13" s="1" t="s">
        <v>129</v>
      </c>
    </row>
    <row r="14" spans="1:36" s="282" customFormat="1" ht="31" customHeight="1" thickTop="1" thickBot="1">
      <c r="A14" s="542" t="s">
        <v>13</v>
      </c>
      <c r="B14" s="543"/>
      <c r="C14" s="282" t="s">
        <v>36</v>
      </c>
      <c r="D14" s="281" t="e">
        <f>#REF!/F14</f>
        <v>#REF!</v>
      </c>
      <c r="E14" s="283" t="s">
        <v>37</v>
      </c>
      <c r="F14" s="282" t="e">
        <f>#REF!</f>
        <v>#REF!</v>
      </c>
      <c r="G14" s="542" t="s">
        <v>13</v>
      </c>
      <c r="H14" s="543"/>
      <c r="I14" s="70">
        <f>SUM(I7:I13)</f>
        <v>297</v>
      </c>
      <c r="J14" s="70">
        <f>SUM(J7:J13)</f>
        <v>730450</v>
      </c>
      <c r="K14" s="70">
        <f>J14/I14</f>
        <v>2459.4276094276092</v>
      </c>
      <c r="L14" s="70">
        <f>SUM(L7:L13)</f>
        <v>431100</v>
      </c>
      <c r="M14" s="284">
        <f>L14/I14</f>
        <v>1451.5151515151515</v>
      </c>
      <c r="N14" s="284">
        <f>SUM(N7:N13)</f>
        <v>7150</v>
      </c>
      <c r="O14" s="284"/>
      <c r="P14" s="70">
        <f>J14+L14</f>
        <v>1161550</v>
      </c>
      <c r="Q14" s="285">
        <f>P14/I14</f>
        <v>3910.9427609427607</v>
      </c>
      <c r="R14" s="285"/>
      <c r="S14" s="285"/>
      <c r="T14" s="285"/>
      <c r="U14" s="168">
        <f>SUM(U7:U13)</f>
        <v>259.75</v>
      </c>
      <c r="V14" s="280">
        <f t="shared" si="6"/>
        <v>4471.7998075072182</v>
      </c>
      <c r="W14" s="282">
        <v>3</v>
      </c>
      <c r="X14" s="287">
        <f>SUM(X7:X13)/W14</f>
        <v>12.866666666666667</v>
      </c>
      <c r="Y14" s="288">
        <f>SUM(Y7:Y13)/W14</f>
        <v>20.999999999999996</v>
      </c>
      <c r="Z14" s="308">
        <f>SUM(Z7:Z13)/W14</f>
        <v>3</v>
      </c>
      <c r="AA14" s="308">
        <f>SUM(AA7:AA13)/W14</f>
        <v>3</v>
      </c>
      <c r="AB14" s="308">
        <f>SUM(AB7:AB13)/W14</f>
        <v>3</v>
      </c>
      <c r="AC14" s="309">
        <f t="shared" si="0"/>
        <v>3</v>
      </c>
      <c r="AD14" s="299" t="s">
        <v>131</v>
      </c>
      <c r="AE14" s="532">
        <f>P14/W14</f>
        <v>387183.33333333331</v>
      </c>
      <c r="AF14" s="533"/>
      <c r="AG14" s="533"/>
      <c r="AH14" s="533"/>
      <c r="AI14" s="534"/>
      <c r="AJ14" s="282" t="s">
        <v>140</v>
      </c>
    </row>
    <row r="15" spans="1:36" ht="23.5" customHeight="1" thickTop="1">
      <c r="A15" s="456" t="s">
        <v>14</v>
      </c>
      <c r="B15" s="457"/>
      <c r="G15" s="461" t="s">
        <v>14</v>
      </c>
      <c r="H15" s="462"/>
      <c r="I15" s="462"/>
      <c r="J15" s="462"/>
      <c r="K15" s="462"/>
      <c r="L15" s="462"/>
      <c r="M15" s="462"/>
      <c r="N15" s="462"/>
      <c r="O15" s="462"/>
      <c r="P15" s="462"/>
      <c r="Q15" s="462"/>
      <c r="R15" s="462"/>
      <c r="S15" s="462"/>
      <c r="T15" s="462"/>
      <c r="U15" s="462"/>
      <c r="V15" s="463"/>
      <c r="X15" s="497" t="str">
        <f>G15</f>
        <v>2nd week</v>
      </c>
      <c r="Y15" s="497"/>
      <c r="Z15" s="497"/>
      <c r="AA15" s="497"/>
      <c r="AB15" s="497"/>
      <c r="AC15" s="497"/>
    </row>
    <row r="16" spans="1:36" ht="23.5" customHeight="1">
      <c r="A16" s="52" t="s">
        <v>10</v>
      </c>
      <c r="B16" s="36" t="s">
        <v>11</v>
      </c>
      <c r="C16" s="2" t="s">
        <v>32</v>
      </c>
      <c r="D16" s="2" t="s">
        <v>33</v>
      </c>
      <c r="E16" s="2" t="s">
        <v>34</v>
      </c>
      <c r="F16" s="2" t="s">
        <v>35</v>
      </c>
      <c r="G16" s="101" t="s">
        <v>10</v>
      </c>
      <c r="H16" s="102" t="s">
        <v>11</v>
      </c>
      <c r="I16" s="102" t="s">
        <v>1</v>
      </c>
      <c r="J16" s="102" t="s">
        <v>30</v>
      </c>
      <c r="K16" s="102" t="s">
        <v>31</v>
      </c>
      <c r="L16" s="102" t="s">
        <v>28</v>
      </c>
      <c r="M16" s="102" t="s">
        <v>29</v>
      </c>
      <c r="N16" s="102" t="s">
        <v>388</v>
      </c>
      <c r="O16" s="102" t="s">
        <v>384</v>
      </c>
      <c r="P16" s="102" t="s">
        <v>71</v>
      </c>
      <c r="Q16" s="103" t="s">
        <v>48</v>
      </c>
      <c r="R16" s="103" t="s">
        <v>385</v>
      </c>
      <c r="S16" s="103" t="s">
        <v>386</v>
      </c>
      <c r="T16" s="103" t="s">
        <v>387</v>
      </c>
      <c r="U16" s="103" t="s">
        <v>40</v>
      </c>
      <c r="V16" s="104" t="s">
        <v>73</v>
      </c>
      <c r="X16" s="252" t="s">
        <v>114</v>
      </c>
      <c r="Y16" s="253" t="s">
        <v>115</v>
      </c>
      <c r="Z16" s="48" t="s">
        <v>116</v>
      </c>
      <c r="AA16" s="48" t="s">
        <v>117</v>
      </c>
      <c r="AB16" s="48" t="s">
        <v>118</v>
      </c>
      <c r="AC16" s="254" t="s">
        <v>127</v>
      </c>
      <c r="AE16" s="1" t="s">
        <v>122</v>
      </c>
      <c r="AG16" s="35" t="s">
        <v>125</v>
      </c>
    </row>
    <row r="17" spans="1:36" ht="23.5" customHeight="1">
      <c r="A17" s="53" t="s">
        <v>3</v>
      </c>
      <c r="B17" s="49">
        <v>4</v>
      </c>
      <c r="C17" s="41"/>
      <c r="D17" s="41"/>
      <c r="E17" s="41"/>
      <c r="F17" s="41"/>
      <c r="G17" s="105" t="s">
        <v>3</v>
      </c>
      <c r="H17" s="118">
        <f>B17</f>
        <v>4</v>
      </c>
      <c r="I17" s="73">
        <v>65</v>
      </c>
      <c r="J17" s="106">
        <v>141300</v>
      </c>
      <c r="K17" s="106">
        <f>J17/I17</f>
        <v>2173.8461538461538</v>
      </c>
      <c r="L17" s="106">
        <v>91750</v>
      </c>
      <c r="M17" s="107">
        <f>L17/I17</f>
        <v>1411.5384615384614</v>
      </c>
      <c r="N17" s="107">
        <v>1650</v>
      </c>
      <c r="O17" s="107"/>
      <c r="P17" s="108">
        <f>J17+L17+N17</f>
        <v>234700</v>
      </c>
      <c r="Q17" s="109">
        <f>P17/I17</f>
        <v>3610.7692307692309</v>
      </c>
      <c r="R17" s="109"/>
      <c r="S17" s="109"/>
      <c r="T17" s="109"/>
      <c r="U17" s="166">
        <v>93.75</v>
      </c>
      <c r="V17" s="110">
        <f>P17/U17</f>
        <v>2503.4666666666667</v>
      </c>
      <c r="X17" s="247">
        <v>8.1999999999999993</v>
      </c>
      <c r="Y17" s="247">
        <v>17.399999999999999</v>
      </c>
      <c r="Z17" s="255">
        <v>1</v>
      </c>
      <c r="AA17" s="255">
        <v>1</v>
      </c>
      <c r="AB17" s="255">
        <v>4</v>
      </c>
      <c r="AC17" s="271">
        <f>SUM(Z17:AB17)/3</f>
        <v>2</v>
      </c>
      <c r="AE17" s="270" t="s">
        <v>123</v>
      </c>
      <c r="AF17" s="2"/>
      <c r="AG17" s="269">
        <v>5</v>
      </c>
    </row>
    <row r="18" spans="1:36" ht="23.5" customHeight="1">
      <c r="A18" s="54" t="s">
        <v>4</v>
      </c>
      <c r="B18" s="49">
        <v>5</v>
      </c>
      <c r="C18" s="41"/>
      <c r="D18" s="41"/>
      <c r="E18" s="41"/>
      <c r="F18" s="41"/>
      <c r="G18" s="101" t="s">
        <v>4</v>
      </c>
      <c r="H18" s="118">
        <f t="shared" ref="H18:H23" si="7">B18</f>
        <v>5</v>
      </c>
      <c r="I18" s="73">
        <v>29</v>
      </c>
      <c r="J18" s="106">
        <v>72850</v>
      </c>
      <c r="K18" s="106">
        <f t="shared" ref="K18:K22" si="8">J18/I18</f>
        <v>2512.0689655172414</v>
      </c>
      <c r="L18" s="106">
        <v>31500</v>
      </c>
      <c r="M18" s="107">
        <f t="shared" ref="M18:M22" si="9">L18/I18</f>
        <v>1086.2068965517242</v>
      </c>
      <c r="N18" s="107">
        <v>1100</v>
      </c>
      <c r="O18" s="107"/>
      <c r="P18" s="108">
        <f t="shared" ref="P18:P22" si="10">J18+L18+N18</f>
        <v>105450</v>
      </c>
      <c r="Q18" s="109">
        <f t="shared" ref="Q18:Q23" si="11">P18/I18</f>
        <v>3636.2068965517242</v>
      </c>
      <c r="R18" s="109"/>
      <c r="S18" s="109"/>
      <c r="T18" s="109"/>
      <c r="U18" s="166">
        <v>77.75</v>
      </c>
      <c r="V18" s="110" t="e">
        <f>P18/#REF!</f>
        <v>#REF!</v>
      </c>
      <c r="X18" s="247">
        <v>8.9</v>
      </c>
      <c r="Y18" s="247">
        <v>17.7</v>
      </c>
      <c r="Z18" s="255">
        <v>2</v>
      </c>
      <c r="AA18" s="255">
        <v>1</v>
      </c>
      <c r="AB18" s="255">
        <v>4</v>
      </c>
      <c r="AC18" s="271">
        <f t="shared" ref="AC18:AC23" si="12">SUM(Z18:AB18)/3</f>
        <v>2.3333333333333335</v>
      </c>
      <c r="AE18" s="34" t="s">
        <v>124</v>
      </c>
      <c r="AG18" s="1">
        <v>4</v>
      </c>
    </row>
    <row r="19" spans="1:36" ht="23.5" customHeight="1">
      <c r="A19" s="54" t="s">
        <v>5</v>
      </c>
      <c r="B19" s="49">
        <v>6</v>
      </c>
      <c r="C19" s="41"/>
      <c r="D19" s="41"/>
      <c r="E19" s="41"/>
      <c r="F19" s="41"/>
      <c r="G19" s="101" t="s">
        <v>5</v>
      </c>
      <c r="H19" s="118">
        <f t="shared" si="7"/>
        <v>6</v>
      </c>
      <c r="I19" s="73">
        <v>63</v>
      </c>
      <c r="J19" s="106">
        <v>164050</v>
      </c>
      <c r="K19" s="106">
        <f t="shared" si="8"/>
        <v>2603.968253968254</v>
      </c>
      <c r="L19" s="106">
        <v>90300</v>
      </c>
      <c r="M19" s="107">
        <f t="shared" si="9"/>
        <v>1433.3333333333333</v>
      </c>
      <c r="N19" s="107"/>
      <c r="O19" s="107"/>
      <c r="P19" s="108">
        <f t="shared" si="10"/>
        <v>254350</v>
      </c>
      <c r="Q19" s="109">
        <f t="shared" si="11"/>
        <v>4037.3015873015875</v>
      </c>
      <c r="R19" s="550"/>
      <c r="S19" s="550"/>
      <c r="T19" s="550"/>
      <c r="U19" s="165">
        <v>81.75</v>
      </c>
      <c r="V19" s="110">
        <f>P19/U18</f>
        <v>3271.3826366559488</v>
      </c>
      <c r="X19" s="247">
        <v>10.9</v>
      </c>
      <c r="Y19" s="247">
        <v>22.5</v>
      </c>
      <c r="Z19" s="255">
        <v>1</v>
      </c>
      <c r="AA19" s="255">
        <v>1</v>
      </c>
      <c r="AB19" s="255">
        <v>4</v>
      </c>
      <c r="AC19" s="271">
        <f t="shared" si="12"/>
        <v>2</v>
      </c>
      <c r="AE19" s="34" t="s">
        <v>128</v>
      </c>
      <c r="AG19" s="1">
        <v>3</v>
      </c>
    </row>
    <row r="20" spans="1:36" ht="23.5" customHeight="1">
      <c r="A20" s="54" t="s">
        <v>6</v>
      </c>
      <c r="B20" s="49">
        <v>7</v>
      </c>
      <c r="C20" s="41"/>
      <c r="D20" s="41"/>
      <c r="E20" s="41"/>
      <c r="F20" s="41"/>
      <c r="G20" s="101" t="s">
        <v>6</v>
      </c>
      <c r="H20" s="118">
        <f t="shared" si="7"/>
        <v>7</v>
      </c>
      <c r="I20" s="73">
        <v>43</v>
      </c>
      <c r="J20" s="106">
        <v>120750</v>
      </c>
      <c r="K20" s="106">
        <f t="shared" si="8"/>
        <v>2808.1395348837209</v>
      </c>
      <c r="L20" s="106">
        <v>58900</v>
      </c>
      <c r="M20" s="107">
        <f t="shared" si="9"/>
        <v>1369.7674418604652</v>
      </c>
      <c r="N20" s="107">
        <v>1100</v>
      </c>
      <c r="O20" s="107"/>
      <c r="P20" s="108">
        <f t="shared" si="10"/>
        <v>180750</v>
      </c>
      <c r="Q20" s="109">
        <f t="shared" si="11"/>
        <v>4203.4883720930229</v>
      </c>
      <c r="R20" s="109"/>
      <c r="S20" s="109"/>
      <c r="T20" s="109"/>
      <c r="U20" s="166">
        <v>81</v>
      </c>
      <c r="V20" s="110">
        <f t="shared" ref="V20:V24" si="13">P20/U20</f>
        <v>2231.4814814814813</v>
      </c>
      <c r="X20" s="247">
        <v>15.5</v>
      </c>
      <c r="Y20" s="247">
        <v>20.6</v>
      </c>
      <c r="Z20" s="255">
        <v>1</v>
      </c>
      <c r="AA20" s="255">
        <v>1</v>
      </c>
      <c r="AB20" s="255">
        <v>2</v>
      </c>
      <c r="AC20" s="271">
        <f t="shared" si="12"/>
        <v>1.3333333333333333</v>
      </c>
      <c r="AE20" s="34" t="s">
        <v>120</v>
      </c>
      <c r="AG20" s="1">
        <v>2</v>
      </c>
    </row>
    <row r="21" spans="1:36" ht="23.5" customHeight="1">
      <c r="A21" s="54" t="s">
        <v>7</v>
      </c>
      <c r="B21" s="49">
        <v>8</v>
      </c>
      <c r="C21" s="41"/>
      <c r="D21" s="41"/>
      <c r="E21" s="41"/>
      <c r="F21" s="41"/>
      <c r="G21" s="101" t="s">
        <v>7</v>
      </c>
      <c r="H21" s="118">
        <f t="shared" si="7"/>
        <v>8</v>
      </c>
      <c r="I21" s="73">
        <v>132</v>
      </c>
      <c r="J21" s="106">
        <v>294300</v>
      </c>
      <c r="K21" s="106">
        <f t="shared" si="8"/>
        <v>2229.5454545454545</v>
      </c>
      <c r="L21" s="106">
        <v>213750</v>
      </c>
      <c r="M21" s="107">
        <f t="shared" si="9"/>
        <v>1619.3181818181818</v>
      </c>
      <c r="N21" s="107"/>
      <c r="O21" s="107"/>
      <c r="P21" s="108">
        <f t="shared" si="10"/>
        <v>508050</v>
      </c>
      <c r="Q21" s="109">
        <f t="shared" si="11"/>
        <v>3848.8636363636365</v>
      </c>
      <c r="R21" s="109"/>
      <c r="S21" s="109"/>
      <c r="T21" s="109"/>
      <c r="U21" s="166">
        <v>84.5</v>
      </c>
      <c r="V21" s="110">
        <f t="shared" si="13"/>
        <v>6012.4260355029583</v>
      </c>
      <c r="X21" s="247">
        <v>14.3</v>
      </c>
      <c r="Y21" s="247">
        <v>26.2</v>
      </c>
      <c r="Z21" s="255">
        <v>5</v>
      </c>
      <c r="AA21" s="255">
        <v>5</v>
      </c>
      <c r="AB21" s="255">
        <v>4</v>
      </c>
      <c r="AC21" s="271">
        <f t="shared" si="12"/>
        <v>4.666666666666667</v>
      </c>
      <c r="AE21" s="34" t="s">
        <v>121</v>
      </c>
      <c r="AG21" s="1">
        <v>1</v>
      </c>
    </row>
    <row r="22" spans="1:36" ht="23.5" customHeight="1">
      <c r="A22" s="54" t="s">
        <v>8</v>
      </c>
      <c r="B22" s="49">
        <v>9</v>
      </c>
      <c r="C22" s="41"/>
      <c r="D22" s="41"/>
      <c r="E22" s="41"/>
      <c r="F22" s="41"/>
      <c r="G22" s="101" t="s">
        <v>8</v>
      </c>
      <c r="H22" s="118">
        <f t="shared" si="7"/>
        <v>9</v>
      </c>
      <c r="I22" s="73">
        <v>44</v>
      </c>
      <c r="J22" s="106">
        <v>101050</v>
      </c>
      <c r="K22" s="106">
        <f t="shared" si="8"/>
        <v>2296.590909090909</v>
      </c>
      <c r="L22" s="106">
        <v>67800</v>
      </c>
      <c r="M22" s="107">
        <f t="shared" si="9"/>
        <v>1540.909090909091</v>
      </c>
      <c r="N22" s="107">
        <v>2750</v>
      </c>
      <c r="O22" s="107"/>
      <c r="P22" s="108">
        <f t="shared" si="10"/>
        <v>171600</v>
      </c>
      <c r="Q22" s="109">
        <f t="shared" si="11"/>
        <v>3900</v>
      </c>
      <c r="R22" s="109"/>
      <c r="S22" s="109"/>
      <c r="T22" s="109"/>
      <c r="U22" s="166">
        <v>77</v>
      </c>
      <c r="V22" s="110">
        <f t="shared" si="13"/>
        <v>2228.5714285714284</v>
      </c>
      <c r="X22" s="247">
        <v>16.399999999999999</v>
      </c>
      <c r="Y22" s="247">
        <v>19.2</v>
      </c>
      <c r="Z22" s="255">
        <v>1</v>
      </c>
      <c r="AA22" s="255">
        <v>1</v>
      </c>
      <c r="AB22" s="255">
        <v>1</v>
      </c>
      <c r="AC22" s="271">
        <f t="shared" si="12"/>
        <v>1</v>
      </c>
      <c r="AE22" s="34" t="s">
        <v>126</v>
      </c>
      <c r="AG22" s="1">
        <v>0</v>
      </c>
    </row>
    <row r="23" spans="1:36" ht="23.5" customHeight="1" thickBot="1">
      <c r="A23" s="55" t="s">
        <v>9</v>
      </c>
      <c r="B23" s="49">
        <v>10</v>
      </c>
      <c r="C23" s="41"/>
      <c r="D23" s="41"/>
      <c r="E23" s="41"/>
      <c r="F23" s="41"/>
      <c r="G23" s="111" t="s">
        <v>9</v>
      </c>
      <c r="H23" s="118">
        <f t="shared" si="7"/>
        <v>10</v>
      </c>
      <c r="I23" s="73">
        <v>251</v>
      </c>
      <c r="J23" s="106">
        <v>475300</v>
      </c>
      <c r="K23" s="106">
        <f>J23/I23</f>
        <v>1893.6254980079682</v>
      </c>
      <c r="L23" s="106">
        <v>298450</v>
      </c>
      <c r="M23" s="107">
        <f>L23/I23</f>
        <v>1189.0438247011953</v>
      </c>
      <c r="N23" s="107">
        <v>2200</v>
      </c>
      <c r="O23" s="107"/>
      <c r="P23" s="108">
        <f>J23+L23+N23</f>
        <v>775950</v>
      </c>
      <c r="Q23" s="109">
        <f t="shared" si="11"/>
        <v>3091.4342629482071</v>
      </c>
      <c r="R23" s="109"/>
      <c r="S23" s="109"/>
      <c r="T23" s="109"/>
      <c r="U23" s="166">
        <v>107</v>
      </c>
      <c r="V23" s="110">
        <f t="shared" si="13"/>
        <v>7251.869158878505</v>
      </c>
      <c r="X23" s="248">
        <v>15.3</v>
      </c>
      <c r="Y23" s="248">
        <v>19.2</v>
      </c>
      <c r="Z23" s="256">
        <v>4</v>
      </c>
      <c r="AA23" s="255">
        <v>4</v>
      </c>
      <c r="AB23" s="255">
        <v>4</v>
      </c>
      <c r="AC23" s="272">
        <f t="shared" si="12"/>
        <v>4</v>
      </c>
      <c r="AE23" s="1" t="s">
        <v>129</v>
      </c>
    </row>
    <row r="24" spans="1:36" s="282" customFormat="1" ht="35" customHeight="1" thickTop="1" thickBot="1">
      <c r="A24" s="542" t="s">
        <v>13</v>
      </c>
      <c r="B24" s="543"/>
      <c r="C24" s="282" t="s">
        <v>36</v>
      </c>
      <c r="D24" s="281" t="e">
        <f>#REF!/F24</f>
        <v>#REF!</v>
      </c>
      <c r="E24" s="283" t="s">
        <v>37</v>
      </c>
      <c r="F24" s="282" t="e">
        <f>#REF!</f>
        <v>#REF!</v>
      </c>
      <c r="G24" s="542" t="s">
        <v>13</v>
      </c>
      <c r="H24" s="543"/>
      <c r="I24" s="70">
        <f>SUM(I17:I23)</f>
        <v>627</v>
      </c>
      <c r="J24" s="70">
        <f>SUM(J17:J23)</f>
        <v>1369600</v>
      </c>
      <c r="K24" s="70">
        <f>J24/I24</f>
        <v>2184.3700159489631</v>
      </c>
      <c r="L24" s="70">
        <f>SUM(L17:L23)</f>
        <v>852450</v>
      </c>
      <c r="M24" s="284">
        <f>L24/I24</f>
        <v>1359.5693779904307</v>
      </c>
      <c r="N24" s="284">
        <f>SUM(N17:N23)</f>
        <v>8800</v>
      </c>
      <c r="O24" s="284"/>
      <c r="P24" s="70">
        <f>J24+L24</f>
        <v>2222050</v>
      </c>
      <c r="Q24" s="285">
        <f>P24/I24</f>
        <v>3543.939393939394</v>
      </c>
      <c r="R24" s="285"/>
      <c r="S24" s="285"/>
      <c r="T24" s="285"/>
      <c r="U24" s="168">
        <f>SUM(U17:U23)</f>
        <v>602.75</v>
      </c>
      <c r="V24" s="280">
        <f t="shared" si="13"/>
        <v>3686.5201161343839</v>
      </c>
      <c r="W24" s="282">
        <v>7</v>
      </c>
      <c r="X24" s="287">
        <f>SUM(X17:X23)/W24</f>
        <v>12.785714285714283</v>
      </c>
      <c r="Y24" s="288">
        <f>SUM(Y17:Y23)/W24</f>
        <v>20.399999999999999</v>
      </c>
      <c r="Z24" s="308">
        <f>SUM(Z17:Z23)/W24</f>
        <v>2.1428571428571428</v>
      </c>
      <c r="AA24" s="308">
        <f>SUM(AA17:AA23)/W24</f>
        <v>2</v>
      </c>
      <c r="AB24" s="308">
        <f>SUM(AB17:AB23)/W24</f>
        <v>3.2857142857142856</v>
      </c>
      <c r="AC24" s="309">
        <f>SUM(Z24:AB24)/3</f>
        <v>2.4761904761904758</v>
      </c>
      <c r="AD24" s="299" t="s">
        <v>132</v>
      </c>
      <c r="AE24" s="532">
        <f>P24/W24</f>
        <v>317435.71428571426</v>
      </c>
      <c r="AF24" s="533"/>
      <c r="AG24" s="533"/>
      <c r="AH24" s="533"/>
      <c r="AI24" s="534"/>
      <c r="AJ24" s="282" t="s">
        <v>140</v>
      </c>
    </row>
    <row r="25" spans="1:36" ht="23.5" customHeight="1" thickTop="1">
      <c r="A25" s="456" t="s">
        <v>15</v>
      </c>
      <c r="B25" s="457"/>
      <c r="G25" s="461" t="s">
        <v>15</v>
      </c>
      <c r="H25" s="462"/>
      <c r="I25" s="462"/>
      <c r="J25" s="462"/>
      <c r="K25" s="462"/>
      <c r="L25" s="462"/>
      <c r="M25" s="462"/>
      <c r="N25" s="462"/>
      <c r="O25" s="462"/>
      <c r="P25" s="462"/>
      <c r="Q25" s="462"/>
      <c r="R25" s="462"/>
      <c r="S25" s="462"/>
      <c r="T25" s="462"/>
      <c r="U25" s="462"/>
      <c r="V25" s="463"/>
      <c r="X25" s="497" t="str">
        <f>G25</f>
        <v>3rd week</v>
      </c>
      <c r="Y25" s="497"/>
      <c r="Z25" s="497"/>
      <c r="AA25" s="497"/>
      <c r="AB25" s="497"/>
      <c r="AC25" s="497"/>
    </row>
    <row r="26" spans="1:36" ht="23.5" customHeight="1">
      <c r="A26" s="52" t="s">
        <v>10</v>
      </c>
      <c r="B26" s="36" t="s">
        <v>11</v>
      </c>
      <c r="C26" s="2" t="s">
        <v>32</v>
      </c>
      <c r="D26" s="2" t="s">
        <v>33</v>
      </c>
      <c r="E26" s="2" t="s">
        <v>34</v>
      </c>
      <c r="F26" s="2" t="s">
        <v>35</v>
      </c>
      <c r="G26" s="101" t="s">
        <v>10</v>
      </c>
      <c r="H26" s="102" t="s">
        <v>11</v>
      </c>
      <c r="I26" s="102" t="s">
        <v>1</v>
      </c>
      <c r="J26" s="102" t="s">
        <v>30</v>
      </c>
      <c r="K26" s="102" t="s">
        <v>31</v>
      </c>
      <c r="L26" s="102" t="s">
        <v>28</v>
      </c>
      <c r="M26" s="102" t="s">
        <v>29</v>
      </c>
      <c r="N26" s="102" t="s">
        <v>388</v>
      </c>
      <c r="O26" s="102" t="s">
        <v>384</v>
      </c>
      <c r="P26" s="102" t="s">
        <v>71</v>
      </c>
      <c r="Q26" s="103" t="s">
        <v>48</v>
      </c>
      <c r="R26" s="103" t="s">
        <v>385</v>
      </c>
      <c r="S26" s="103" t="s">
        <v>386</v>
      </c>
      <c r="T26" s="103" t="s">
        <v>387</v>
      </c>
      <c r="U26" s="103" t="s">
        <v>40</v>
      </c>
      <c r="V26" s="104" t="s">
        <v>73</v>
      </c>
      <c r="X26" s="252" t="s">
        <v>114</v>
      </c>
      <c r="Y26" s="253" t="s">
        <v>115</v>
      </c>
      <c r="Z26" s="48" t="s">
        <v>116</v>
      </c>
      <c r="AA26" s="48" t="s">
        <v>117</v>
      </c>
      <c r="AB26" s="48" t="s">
        <v>118</v>
      </c>
      <c r="AC26" s="254" t="s">
        <v>127</v>
      </c>
      <c r="AE26" s="1" t="s">
        <v>122</v>
      </c>
      <c r="AG26" s="35" t="s">
        <v>125</v>
      </c>
    </row>
    <row r="27" spans="1:36" ht="23.5" customHeight="1">
      <c r="A27" s="53" t="s">
        <v>3</v>
      </c>
      <c r="B27" s="49">
        <v>11</v>
      </c>
      <c r="C27" s="41"/>
      <c r="D27" s="41"/>
      <c r="E27" s="41"/>
      <c r="F27" s="41"/>
      <c r="G27" s="105" t="s">
        <v>3</v>
      </c>
      <c r="H27" s="118">
        <f>B27</f>
        <v>11</v>
      </c>
      <c r="I27" s="73">
        <v>357</v>
      </c>
      <c r="J27" s="106">
        <v>883900</v>
      </c>
      <c r="K27" s="106">
        <f>J27/I27</f>
        <v>2475.9103641456581</v>
      </c>
      <c r="L27" s="106">
        <v>474900</v>
      </c>
      <c r="M27" s="107">
        <f>L27/I27</f>
        <v>1330.2521008403362</v>
      </c>
      <c r="N27" s="107">
        <v>10450</v>
      </c>
      <c r="O27" s="107"/>
      <c r="P27" s="108">
        <f>J27+L27+N27</f>
        <v>1369250</v>
      </c>
      <c r="Q27" s="109">
        <f>P27/I27</f>
        <v>3835.4341736694678</v>
      </c>
      <c r="R27" s="109"/>
      <c r="S27" s="109"/>
      <c r="T27" s="109"/>
      <c r="U27" s="166">
        <v>112</v>
      </c>
      <c r="V27" s="110">
        <f>P27/U27</f>
        <v>12225.446428571429</v>
      </c>
      <c r="X27" s="247">
        <v>13.4</v>
      </c>
      <c r="Y27" s="247">
        <v>24.2</v>
      </c>
      <c r="Z27" s="255">
        <v>4</v>
      </c>
      <c r="AA27" s="255">
        <v>4</v>
      </c>
      <c r="AB27" s="255">
        <v>4</v>
      </c>
      <c r="AC27" s="271">
        <f>SUM(Z27:AB27)/3</f>
        <v>4</v>
      </c>
      <c r="AE27" s="270" t="s">
        <v>123</v>
      </c>
      <c r="AF27" s="2"/>
      <c r="AG27" s="269">
        <v>5</v>
      </c>
    </row>
    <row r="28" spans="1:36" ht="23.5" customHeight="1">
      <c r="A28" s="54" t="s">
        <v>4</v>
      </c>
      <c r="B28" s="49">
        <v>12</v>
      </c>
      <c r="C28" s="41"/>
      <c r="D28" s="41"/>
      <c r="E28" s="41"/>
      <c r="F28" s="41"/>
      <c r="G28" s="101" t="s">
        <v>4</v>
      </c>
      <c r="H28" s="118">
        <f t="shared" ref="H28:H33" si="14">B28</f>
        <v>12</v>
      </c>
      <c r="I28" s="73">
        <v>133</v>
      </c>
      <c r="J28" s="106">
        <v>326800</v>
      </c>
      <c r="K28" s="106">
        <f t="shared" ref="K28:K32" si="15">J28/I28</f>
        <v>2457.1428571428573</v>
      </c>
      <c r="L28" s="106">
        <v>207900</v>
      </c>
      <c r="M28" s="107">
        <f t="shared" ref="M28:M32" si="16">L28/I28</f>
        <v>1563.1578947368421</v>
      </c>
      <c r="N28" s="107">
        <v>0</v>
      </c>
      <c r="O28" s="107"/>
      <c r="P28" s="108">
        <f t="shared" ref="P28:P32" si="17">J28+L28+N28</f>
        <v>534700</v>
      </c>
      <c r="Q28" s="109">
        <f t="shared" ref="Q28:Q33" si="18">P28/I28</f>
        <v>4020.3007518796994</v>
      </c>
      <c r="R28" s="109"/>
      <c r="S28" s="109"/>
      <c r="T28" s="109"/>
      <c r="U28" s="166">
        <v>77</v>
      </c>
      <c r="V28" s="110">
        <f t="shared" ref="V28:V34" si="19">P28/U28</f>
        <v>6944.1558441558445</v>
      </c>
      <c r="X28" s="247">
        <v>15.7</v>
      </c>
      <c r="Y28" s="247">
        <v>25.6</v>
      </c>
      <c r="Z28" s="255">
        <v>5</v>
      </c>
      <c r="AA28" s="255">
        <v>5</v>
      </c>
      <c r="AB28" s="255">
        <v>4</v>
      </c>
      <c r="AC28" s="271">
        <f t="shared" ref="AC28:AC33" si="20">SUM(Z28:AB28)/3</f>
        <v>4.666666666666667</v>
      </c>
      <c r="AE28" s="34" t="s">
        <v>124</v>
      </c>
      <c r="AG28" s="1">
        <v>4</v>
      </c>
    </row>
    <row r="29" spans="1:36" ht="23.5" customHeight="1">
      <c r="A29" s="54" t="s">
        <v>5</v>
      </c>
      <c r="B29" s="49">
        <v>13</v>
      </c>
      <c r="C29" s="41"/>
      <c r="D29" s="41"/>
      <c r="E29" s="41"/>
      <c r="F29" s="41"/>
      <c r="G29" s="101" t="s">
        <v>5</v>
      </c>
      <c r="H29" s="118">
        <f t="shared" si="14"/>
        <v>13</v>
      </c>
      <c r="I29" s="73">
        <v>82</v>
      </c>
      <c r="J29" s="106">
        <v>198000</v>
      </c>
      <c r="K29" s="106">
        <f t="shared" si="15"/>
        <v>2414.6341463414633</v>
      </c>
      <c r="L29" s="106">
        <v>108850</v>
      </c>
      <c r="M29" s="107">
        <f t="shared" si="16"/>
        <v>1327.439024390244</v>
      </c>
      <c r="N29" s="107">
        <v>0</v>
      </c>
      <c r="O29" s="107"/>
      <c r="P29" s="108">
        <f t="shared" si="17"/>
        <v>306850</v>
      </c>
      <c r="Q29" s="109">
        <f t="shared" si="18"/>
        <v>3742.0731707317073</v>
      </c>
      <c r="R29" s="109"/>
      <c r="S29" s="109"/>
      <c r="T29" s="109"/>
      <c r="U29" s="166">
        <v>83</v>
      </c>
      <c r="V29" s="110">
        <f t="shared" si="19"/>
        <v>3696.9879518072289</v>
      </c>
      <c r="X29" s="247">
        <v>16.899999999999999</v>
      </c>
      <c r="Y29" s="247">
        <v>21.9</v>
      </c>
      <c r="Z29" s="255">
        <v>2</v>
      </c>
      <c r="AA29" s="255">
        <v>2</v>
      </c>
      <c r="AB29" s="255">
        <v>2</v>
      </c>
      <c r="AC29" s="271">
        <f t="shared" si="20"/>
        <v>2</v>
      </c>
      <c r="AE29" s="34" t="s">
        <v>128</v>
      </c>
      <c r="AG29" s="1">
        <v>3</v>
      </c>
    </row>
    <row r="30" spans="1:36" ht="23.5" customHeight="1">
      <c r="A30" s="54" t="s">
        <v>6</v>
      </c>
      <c r="B30" s="49">
        <v>14</v>
      </c>
      <c r="C30" s="41"/>
      <c r="D30" s="41"/>
      <c r="E30" s="41"/>
      <c r="F30" s="41"/>
      <c r="G30" s="101" t="s">
        <v>6</v>
      </c>
      <c r="H30" s="118">
        <f t="shared" si="14"/>
        <v>14</v>
      </c>
      <c r="I30" s="73">
        <v>140</v>
      </c>
      <c r="J30" s="106">
        <v>250550</v>
      </c>
      <c r="K30" s="106">
        <f t="shared" si="15"/>
        <v>1789.6428571428571</v>
      </c>
      <c r="L30" s="106">
        <v>164400</v>
      </c>
      <c r="M30" s="107">
        <f t="shared" si="16"/>
        <v>1174.2857142857142</v>
      </c>
      <c r="N30" s="107">
        <v>0</v>
      </c>
      <c r="O30" s="107"/>
      <c r="P30" s="108">
        <f t="shared" si="17"/>
        <v>414950</v>
      </c>
      <c r="Q30" s="109">
        <f t="shared" si="18"/>
        <v>2963.9285714285716</v>
      </c>
      <c r="R30" s="109"/>
      <c r="S30" s="109"/>
      <c r="T30" s="109"/>
      <c r="U30" s="166">
        <v>81.75</v>
      </c>
      <c r="V30" s="110">
        <f t="shared" si="19"/>
        <v>5075.8409785932718</v>
      </c>
      <c r="X30" s="247">
        <v>16.5</v>
      </c>
      <c r="Y30" s="247">
        <v>23.2</v>
      </c>
      <c r="Z30" s="255">
        <v>1</v>
      </c>
      <c r="AA30" s="255">
        <v>4</v>
      </c>
      <c r="AB30" s="255">
        <v>4</v>
      </c>
      <c r="AC30" s="271">
        <f t="shared" si="20"/>
        <v>3</v>
      </c>
      <c r="AE30" s="34" t="s">
        <v>120</v>
      </c>
      <c r="AG30" s="1">
        <v>2</v>
      </c>
    </row>
    <row r="31" spans="1:36" ht="23.5" customHeight="1">
      <c r="A31" s="54" t="s">
        <v>7</v>
      </c>
      <c r="B31" s="49">
        <v>15</v>
      </c>
      <c r="C31" s="41"/>
      <c r="D31" s="41"/>
      <c r="E31" s="41"/>
      <c r="F31" s="41"/>
      <c r="G31" s="101" t="s">
        <v>7</v>
      </c>
      <c r="H31" s="118">
        <f t="shared" si="14"/>
        <v>15</v>
      </c>
      <c r="I31" s="73">
        <v>302</v>
      </c>
      <c r="J31" s="106">
        <v>879850</v>
      </c>
      <c r="K31" s="106">
        <f t="shared" si="15"/>
        <v>2913.4105960264901</v>
      </c>
      <c r="L31" s="106">
        <v>491900</v>
      </c>
      <c r="M31" s="107">
        <f t="shared" si="16"/>
        <v>1628.8079470198675</v>
      </c>
      <c r="N31" s="107">
        <v>0</v>
      </c>
      <c r="O31" s="107"/>
      <c r="P31" s="108">
        <f t="shared" si="17"/>
        <v>1371750</v>
      </c>
      <c r="Q31" s="109">
        <f t="shared" si="18"/>
        <v>4542.2185430463578</v>
      </c>
      <c r="R31" s="109"/>
      <c r="S31" s="109"/>
      <c r="T31" s="109"/>
      <c r="U31" s="166">
        <v>116</v>
      </c>
      <c r="V31" s="110">
        <f t="shared" si="19"/>
        <v>11825.431034482759</v>
      </c>
      <c r="X31" s="247">
        <v>16</v>
      </c>
      <c r="Y31" s="247">
        <v>26.5</v>
      </c>
      <c r="Z31" s="255">
        <v>5</v>
      </c>
      <c r="AA31" s="255">
        <v>5</v>
      </c>
      <c r="AB31" s="255">
        <v>4</v>
      </c>
      <c r="AC31" s="271">
        <f t="shared" si="20"/>
        <v>4.666666666666667</v>
      </c>
      <c r="AE31" s="34" t="s">
        <v>121</v>
      </c>
      <c r="AG31" s="1">
        <v>1</v>
      </c>
    </row>
    <row r="32" spans="1:36" ht="23.5" customHeight="1">
      <c r="A32" s="54" t="s">
        <v>8</v>
      </c>
      <c r="B32" s="49">
        <v>16</v>
      </c>
      <c r="C32" s="41"/>
      <c r="D32" s="41"/>
      <c r="E32" s="41"/>
      <c r="F32" s="41"/>
      <c r="G32" s="101" t="s">
        <v>8</v>
      </c>
      <c r="H32" s="118">
        <f t="shared" si="14"/>
        <v>16</v>
      </c>
      <c r="I32" s="73">
        <v>219</v>
      </c>
      <c r="J32" s="106">
        <v>535200</v>
      </c>
      <c r="K32" s="106">
        <f t="shared" si="15"/>
        <v>2443.8356164383563</v>
      </c>
      <c r="L32" s="106">
        <v>338000</v>
      </c>
      <c r="M32" s="107">
        <f t="shared" si="16"/>
        <v>1543.3789954337899</v>
      </c>
      <c r="N32" s="107">
        <v>1650</v>
      </c>
      <c r="O32" s="107"/>
      <c r="P32" s="108">
        <f t="shared" si="17"/>
        <v>874850</v>
      </c>
      <c r="Q32" s="109">
        <f t="shared" si="18"/>
        <v>3994.7488584474886</v>
      </c>
      <c r="R32" s="109"/>
      <c r="S32" s="109"/>
      <c r="T32" s="109"/>
      <c r="U32" s="166">
        <v>99.75</v>
      </c>
      <c r="V32" s="110">
        <f t="shared" si="19"/>
        <v>8770.4260651629065</v>
      </c>
      <c r="X32" s="247">
        <v>17.3</v>
      </c>
      <c r="Y32" s="247">
        <v>27.3</v>
      </c>
      <c r="Z32" s="255">
        <v>5</v>
      </c>
      <c r="AA32" s="255">
        <v>5</v>
      </c>
      <c r="AB32" s="255">
        <v>3</v>
      </c>
      <c r="AC32" s="271">
        <f t="shared" si="20"/>
        <v>4.333333333333333</v>
      </c>
      <c r="AE32" s="34" t="s">
        <v>126</v>
      </c>
      <c r="AG32" s="1">
        <v>0</v>
      </c>
    </row>
    <row r="33" spans="1:36" ht="23.5" customHeight="1" thickBot="1">
      <c r="A33" s="55" t="s">
        <v>9</v>
      </c>
      <c r="B33" s="49">
        <v>17</v>
      </c>
      <c r="C33" s="41"/>
      <c r="D33" s="41"/>
      <c r="E33" s="41"/>
      <c r="F33" s="41"/>
      <c r="G33" s="111" t="s">
        <v>9</v>
      </c>
      <c r="H33" s="118">
        <f t="shared" si="14"/>
        <v>17</v>
      </c>
      <c r="I33" s="73">
        <v>443</v>
      </c>
      <c r="J33" s="106">
        <v>1093200</v>
      </c>
      <c r="K33" s="106">
        <f>J33/I33</f>
        <v>2467.7200902934537</v>
      </c>
      <c r="L33" s="106">
        <v>666750</v>
      </c>
      <c r="M33" s="107">
        <f>L33/I33</f>
        <v>1505.0790067720091</v>
      </c>
      <c r="N33" s="107">
        <v>11000</v>
      </c>
      <c r="O33" s="107"/>
      <c r="P33" s="108">
        <f>J33+L33+N33</f>
        <v>1770950</v>
      </c>
      <c r="Q33" s="109">
        <f t="shared" si="18"/>
        <v>3997.6297968397289</v>
      </c>
      <c r="R33" s="109"/>
      <c r="S33" s="109"/>
      <c r="T33" s="109"/>
      <c r="U33" s="166">
        <v>110.5</v>
      </c>
      <c r="V33" s="110">
        <f t="shared" si="19"/>
        <v>16026.696832579186</v>
      </c>
      <c r="X33" s="248">
        <v>16.899999999999999</v>
      </c>
      <c r="Y33" s="248">
        <v>28.7</v>
      </c>
      <c r="Z33" s="256">
        <v>5</v>
      </c>
      <c r="AA33" s="255">
        <v>5</v>
      </c>
      <c r="AB33" s="256">
        <v>4</v>
      </c>
      <c r="AC33" s="272">
        <f t="shared" si="20"/>
        <v>4.666666666666667</v>
      </c>
      <c r="AE33" s="1" t="s">
        <v>129</v>
      </c>
    </row>
    <row r="34" spans="1:36" s="282" customFormat="1" ht="35" customHeight="1" thickTop="1" thickBot="1">
      <c r="A34" s="542" t="s">
        <v>13</v>
      </c>
      <c r="B34" s="543"/>
      <c r="C34" s="282" t="s">
        <v>36</v>
      </c>
      <c r="D34" s="281" t="e">
        <f>#REF!/F34</f>
        <v>#REF!</v>
      </c>
      <c r="E34" s="283" t="s">
        <v>37</v>
      </c>
      <c r="F34" s="282" t="e">
        <f>#REF!</f>
        <v>#REF!</v>
      </c>
      <c r="G34" s="542" t="s">
        <v>13</v>
      </c>
      <c r="H34" s="543"/>
      <c r="I34" s="70">
        <f>SUM(I27:I33)</f>
        <v>1676</v>
      </c>
      <c r="J34" s="70">
        <f>SUM(J27:J33)</f>
        <v>4167500</v>
      </c>
      <c r="K34" s="70">
        <f>J34/I34</f>
        <v>2486.5751789976134</v>
      </c>
      <c r="L34" s="70">
        <f>SUM(L27:L33)</f>
        <v>2452700</v>
      </c>
      <c r="M34" s="284">
        <f>L34/I34</f>
        <v>1463.4248210023866</v>
      </c>
      <c r="N34" s="284">
        <f>SUM(N27:N33)</f>
        <v>23100</v>
      </c>
      <c r="O34" s="284"/>
      <c r="P34" s="70">
        <f>J34+L34</f>
        <v>6620200</v>
      </c>
      <c r="Q34" s="285">
        <f>P34/I34</f>
        <v>3950</v>
      </c>
      <c r="R34" s="285"/>
      <c r="S34" s="285"/>
      <c r="T34" s="285"/>
      <c r="U34" s="168">
        <f>SUM(U27:U33)</f>
        <v>680</v>
      </c>
      <c r="V34" s="280">
        <f t="shared" si="19"/>
        <v>9735.5882352941171</v>
      </c>
      <c r="W34" s="282">
        <v>7</v>
      </c>
      <c r="X34" s="287">
        <f>SUM(X27:X33)/W34</f>
        <v>16.099999999999998</v>
      </c>
      <c r="Y34" s="288">
        <f>SUM(Y27:Y33)/W34</f>
        <v>25.342857142857138</v>
      </c>
      <c r="Z34" s="308">
        <f>SUM(Z27:Z33)/W34</f>
        <v>3.8571428571428572</v>
      </c>
      <c r="AA34" s="308">
        <f>SUM(AA27:AA33)/W34</f>
        <v>4.2857142857142856</v>
      </c>
      <c r="AB34" s="308">
        <f>SUM(AB27:AB33)/W34</f>
        <v>3.5714285714285716</v>
      </c>
      <c r="AC34" s="309">
        <f>SUM(Z34:AB34)/3</f>
        <v>3.9047619047619047</v>
      </c>
      <c r="AD34" s="299" t="s">
        <v>133</v>
      </c>
      <c r="AE34" s="532">
        <f>P34/W34</f>
        <v>945742.85714285716</v>
      </c>
      <c r="AF34" s="533"/>
      <c r="AG34" s="533"/>
      <c r="AH34" s="533"/>
      <c r="AI34" s="534"/>
      <c r="AJ34" s="282" t="s">
        <v>140</v>
      </c>
    </row>
    <row r="35" spans="1:36" ht="23.5" customHeight="1" thickTop="1">
      <c r="A35" s="456" t="s">
        <v>16</v>
      </c>
      <c r="B35" s="457"/>
      <c r="G35" s="461" t="s">
        <v>16</v>
      </c>
      <c r="H35" s="462"/>
      <c r="I35" s="462"/>
      <c r="J35" s="462"/>
      <c r="K35" s="462"/>
      <c r="L35" s="462"/>
      <c r="M35" s="462"/>
      <c r="N35" s="462"/>
      <c r="O35" s="462"/>
      <c r="P35" s="462"/>
      <c r="Q35" s="462"/>
      <c r="R35" s="462"/>
      <c r="S35" s="462"/>
      <c r="T35" s="462"/>
      <c r="U35" s="462"/>
      <c r="V35" s="463"/>
      <c r="X35" s="497" t="str">
        <f>G35</f>
        <v>4th week</v>
      </c>
      <c r="Y35" s="497"/>
      <c r="Z35" s="497"/>
      <c r="AA35" s="497"/>
      <c r="AB35" s="497"/>
      <c r="AC35" s="497"/>
    </row>
    <row r="36" spans="1:36" ht="23.5" customHeight="1">
      <c r="A36" s="52" t="s">
        <v>10</v>
      </c>
      <c r="B36" s="36" t="s">
        <v>11</v>
      </c>
      <c r="C36" s="2" t="s">
        <v>32</v>
      </c>
      <c r="D36" s="2" t="s">
        <v>33</v>
      </c>
      <c r="E36" s="2" t="s">
        <v>34</v>
      </c>
      <c r="F36" s="2" t="s">
        <v>35</v>
      </c>
      <c r="G36" s="101" t="s">
        <v>10</v>
      </c>
      <c r="H36" s="102" t="s">
        <v>11</v>
      </c>
      <c r="I36" s="102" t="s">
        <v>1</v>
      </c>
      <c r="J36" s="102" t="s">
        <v>30</v>
      </c>
      <c r="K36" s="102" t="s">
        <v>31</v>
      </c>
      <c r="L36" s="102" t="s">
        <v>28</v>
      </c>
      <c r="M36" s="102" t="s">
        <v>29</v>
      </c>
      <c r="N36" s="102" t="s">
        <v>388</v>
      </c>
      <c r="O36" s="102" t="s">
        <v>384</v>
      </c>
      <c r="P36" s="102" t="s">
        <v>71</v>
      </c>
      <c r="Q36" s="103" t="s">
        <v>48</v>
      </c>
      <c r="R36" s="103" t="s">
        <v>385</v>
      </c>
      <c r="S36" s="103" t="s">
        <v>386</v>
      </c>
      <c r="T36" s="103" t="s">
        <v>387</v>
      </c>
      <c r="U36" s="103" t="s">
        <v>40</v>
      </c>
      <c r="V36" s="104" t="s">
        <v>73</v>
      </c>
      <c r="X36" s="252" t="s">
        <v>114</v>
      </c>
      <c r="Y36" s="253" t="s">
        <v>115</v>
      </c>
      <c r="Z36" s="48" t="s">
        <v>116</v>
      </c>
      <c r="AA36" s="48" t="s">
        <v>117</v>
      </c>
      <c r="AB36" s="48" t="s">
        <v>118</v>
      </c>
      <c r="AC36" s="254" t="s">
        <v>127</v>
      </c>
      <c r="AE36" s="1" t="s">
        <v>122</v>
      </c>
      <c r="AG36" s="35" t="s">
        <v>125</v>
      </c>
    </row>
    <row r="37" spans="1:36" ht="23.5" customHeight="1">
      <c r="A37" s="53" t="s">
        <v>3</v>
      </c>
      <c r="B37" s="49">
        <v>18</v>
      </c>
      <c r="C37" s="41"/>
      <c r="D37" s="41"/>
      <c r="E37" s="41"/>
      <c r="F37" s="41"/>
      <c r="G37" s="105" t="s">
        <v>3</v>
      </c>
      <c r="H37" s="118">
        <f>B37</f>
        <v>18</v>
      </c>
      <c r="I37" s="73">
        <v>137</v>
      </c>
      <c r="J37" s="106">
        <v>388350</v>
      </c>
      <c r="K37" s="106">
        <f>J37/I37</f>
        <v>2834.6715328467153</v>
      </c>
      <c r="L37" s="106">
        <v>197550</v>
      </c>
      <c r="M37" s="107">
        <f>L37/I37</f>
        <v>1441.9708029197079</v>
      </c>
      <c r="N37" s="107">
        <v>4400</v>
      </c>
      <c r="O37" s="107"/>
      <c r="P37" s="108">
        <f>J37+L37+N37</f>
        <v>590300</v>
      </c>
      <c r="Q37" s="109">
        <f>P37/I37</f>
        <v>4308.7591240875909</v>
      </c>
      <c r="R37" s="109"/>
      <c r="S37" s="109"/>
      <c r="T37" s="109"/>
      <c r="U37" s="166">
        <v>104.75</v>
      </c>
      <c r="V37" s="110">
        <f>P37/U37</f>
        <v>5635.3221957040569</v>
      </c>
      <c r="X37" s="247">
        <v>17.399999999999999</v>
      </c>
      <c r="Y37" s="247">
        <v>21.5</v>
      </c>
      <c r="Z37" s="255">
        <v>1</v>
      </c>
      <c r="AA37" s="255">
        <v>2</v>
      </c>
      <c r="AB37" s="255">
        <v>4</v>
      </c>
      <c r="AC37" s="271">
        <f>SUM(Z37:AB37)/3</f>
        <v>2.3333333333333335</v>
      </c>
      <c r="AE37" s="270" t="s">
        <v>123</v>
      </c>
      <c r="AF37" s="2"/>
      <c r="AG37" s="269">
        <v>5</v>
      </c>
    </row>
    <row r="38" spans="1:36" ht="23.5" customHeight="1">
      <c r="A38" s="54" t="s">
        <v>4</v>
      </c>
      <c r="B38" s="49">
        <v>19</v>
      </c>
      <c r="C38" s="41"/>
      <c r="D38" s="41"/>
      <c r="E38" s="41"/>
      <c r="F38" s="41"/>
      <c r="G38" s="101" t="s">
        <v>4</v>
      </c>
      <c r="H38" s="118">
        <f t="shared" ref="H38:H43" si="21">B38</f>
        <v>19</v>
      </c>
      <c r="I38" s="73">
        <v>132</v>
      </c>
      <c r="J38" s="106">
        <v>344400</v>
      </c>
      <c r="K38" s="106">
        <f t="shared" ref="K38:K42" si="22">J38/I38</f>
        <v>2609.090909090909</v>
      </c>
      <c r="L38" s="106">
        <v>207700</v>
      </c>
      <c r="M38" s="107">
        <f t="shared" ref="M38:M42" si="23">L38/I38</f>
        <v>1573.4848484848485</v>
      </c>
      <c r="N38" s="107">
        <v>8800</v>
      </c>
      <c r="O38" s="107"/>
      <c r="P38" s="108">
        <f t="shared" ref="P38:P42" si="24">J38+L38+N38</f>
        <v>560900</v>
      </c>
      <c r="Q38" s="109">
        <f t="shared" ref="Q38:Q43" si="25">P38/I38</f>
        <v>4249.242424242424</v>
      </c>
      <c r="R38" s="109"/>
      <c r="S38" s="109"/>
      <c r="T38" s="109"/>
      <c r="U38" s="166">
        <v>77.5</v>
      </c>
      <c r="V38" s="110">
        <f t="shared" ref="V38:V44" si="26">P38/U38</f>
        <v>7237.4193548387093</v>
      </c>
      <c r="X38" s="247">
        <v>14.7</v>
      </c>
      <c r="Y38" s="247">
        <v>20</v>
      </c>
      <c r="Z38" s="255">
        <v>4</v>
      </c>
      <c r="AA38" s="255">
        <v>4</v>
      </c>
      <c r="AB38" s="255">
        <v>4</v>
      </c>
      <c r="AC38" s="271">
        <f t="shared" ref="AC38:AC43" si="27">SUM(Z38:AB38)/3</f>
        <v>4</v>
      </c>
      <c r="AE38" s="34" t="s">
        <v>124</v>
      </c>
      <c r="AG38" s="1">
        <v>4</v>
      </c>
    </row>
    <row r="39" spans="1:36" ht="23.5" customHeight="1">
      <c r="A39" s="54" t="s">
        <v>5</v>
      </c>
      <c r="B39" s="49">
        <v>20</v>
      </c>
      <c r="C39" s="41"/>
      <c r="D39" s="41"/>
      <c r="E39" s="41"/>
      <c r="F39" s="41"/>
      <c r="G39" s="101" t="s">
        <v>5</v>
      </c>
      <c r="H39" s="118">
        <f t="shared" si="21"/>
        <v>20</v>
      </c>
      <c r="I39" s="73">
        <v>169</v>
      </c>
      <c r="J39" s="106">
        <v>438050</v>
      </c>
      <c r="K39" s="106">
        <f t="shared" si="22"/>
        <v>2592.0118343195268</v>
      </c>
      <c r="L39" s="106">
        <v>268950</v>
      </c>
      <c r="M39" s="107">
        <f t="shared" si="23"/>
        <v>1591.4201183431953</v>
      </c>
      <c r="N39" s="107">
        <v>5500</v>
      </c>
      <c r="O39" s="107"/>
      <c r="P39" s="108">
        <f t="shared" si="24"/>
        <v>712500</v>
      </c>
      <c r="Q39" s="109">
        <f t="shared" si="25"/>
        <v>4215.9763313609465</v>
      </c>
      <c r="R39" s="109"/>
      <c r="S39" s="109"/>
      <c r="T39" s="109"/>
      <c r="U39" s="166">
        <v>82.25</v>
      </c>
      <c r="V39" s="110">
        <f t="shared" si="26"/>
        <v>8662.6139817629173</v>
      </c>
      <c r="X39" s="247">
        <v>13.8</v>
      </c>
      <c r="Y39" s="247">
        <v>23.6</v>
      </c>
      <c r="Z39" s="255">
        <v>4</v>
      </c>
      <c r="AA39" s="255">
        <v>4</v>
      </c>
      <c r="AB39" s="255">
        <v>4</v>
      </c>
      <c r="AC39" s="271">
        <f t="shared" si="27"/>
        <v>4</v>
      </c>
      <c r="AE39" s="34" t="s">
        <v>128</v>
      </c>
      <c r="AG39" s="1">
        <v>3</v>
      </c>
    </row>
    <row r="40" spans="1:36" ht="23.5" customHeight="1">
      <c r="A40" s="54" t="s">
        <v>6</v>
      </c>
      <c r="B40" s="49">
        <v>21</v>
      </c>
      <c r="C40" s="41"/>
      <c r="D40" s="41"/>
      <c r="E40" s="41"/>
      <c r="F40" s="41"/>
      <c r="G40" s="101" t="s">
        <v>6</v>
      </c>
      <c r="H40" s="118">
        <f t="shared" si="21"/>
        <v>21</v>
      </c>
      <c r="I40" s="73">
        <v>200</v>
      </c>
      <c r="J40" s="106">
        <v>509950</v>
      </c>
      <c r="K40" s="106">
        <f t="shared" si="22"/>
        <v>2549.75</v>
      </c>
      <c r="L40" s="106">
        <v>326300</v>
      </c>
      <c r="M40" s="107">
        <f t="shared" si="23"/>
        <v>1631.5</v>
      </c>
      <c r="N40" s="107">
        <v>3300</v>
      </c>
      <c r="O40" s="107"/>
      <c r="P40" s="108">
        <f t="shared" si="24"/>
        <v>839550</v>
      </c>
      <c r="Q40" s="109">
        <f t="shared" si="25"/>
        <v>4197.75</v>
      </c>
      <c r="R40" s="109"/>
      <c r="S40" s="109"/>
      <c r="T40" s="109"/>
      <c r="U40" s="166">
        <v>84.75</v>
      </c>
      <c r="V40" s="110">
        <f t="shared" si="26"/>
        <v>9906.1946902654872</v>
      </c>
      <c r="X40" s="247">
        <v>14.5</v>
      </c>
      <c r="Y40" s="247">
        <v>28.2</v>
      </c>
      <c r="Z40" s="255">
        <v>5</v>
      </c>
      <c r="AA40" s="255">
        <v>5</v>
      </c>
      <c r="AB40" s="255">
        <v>4</v>
      </c>
      <c r="AC40" s="271">
        <f t="shared" si="27"/>
        <v>4.666666666666667</v>
      </c>
      <c r="AE40" s="34" t="s">
        <v>120</v>
      </c>
      <c r="AG40" s="1">
        <v>2</v>
      </c>
    </row>
    <row r="41" spans="1:36" ht="23.5" customHeight="1">
      <c r="A41" s="54" t="s">
        <v>7</v>
      </c>
      <c r="B41" s="49">
        <v>22</v>
      </c>
      <c r="C41" s="41"/>
      <c r="D41" s="41"/>
      <c r="E41" s="41"/>
      <c r="F41" s="41"/>
      <c r="G41" s="101" t="s">
        <v>7</v>
      </c>
      <c r="H41" s="118">
        <f t="shared" si="21"/>
        <v>22</v>
      </c>
      <c r="I41" s="73">
        <v>149</v>
      </c>
      <c r="J41" s="106">
        <v>335050</v>
      </c>
      <c r="K41" s="106">
        <f t="shared" si="22"/>
        <v>2248.6577181208054</v>
      </c>
      <c r="L41" s="106">
        <v>199500</v>
      </c>
      <c r="M41" s="107">
        <f t="shared" si="23"/>
        <v>1338.9261744966443</v>
      </c>
      <c r="N41" s="107">
        <v>0</v>
      </c>
      <c r="O41" s="107"/>
      <c r="P41" s="108">
        <f t="shared" si="24"/>
        <v>534550</v>
      </c>
      <c r="Q41" s="109">
        <f t="shared" si="25"/>
        <v>3587.5838926174497</v>
      </c>
      <c r="R41" s="109"/>
      <c r="S41" s="109"/>
      <c r="T41" s="109"/>
      <c r="U41" s="166">
        <v>99.75</v>
      </c>
      <c r="V41" s="110">
        <f t="shared" si="26"/>
        <v>5358.8972431077691</v>
      </c>
      <c r="X41" s="247">
        <v>17.100000000000001</v>
      </c>
      <c r="Y41" s="247">
        <v>24.5</v>
      </c>
      <c r="Z41" s="255">
        <v>4</v>
      </c>
      <c r="AA41" s="255">
        <v>4</v>
      </c>
      <c r="AB41" s="255">
        <v>4</v>
      </c>
      <c r="AC41" s="271">
        <f t="shared" si="27"/>
        <v>4</v>
      </c>
      <c r="AE41" s="34" t="s">
        <v>121</v>
      </c>
      <c r="AG41" s="1">
        <v>1</v>
      </c>
    </row>
    <row r="42" spans="1:36" ht="23.5" customHeight="1">
      <c r="A42" s="54" t="s">
        <v>8</v>
      </c>
      <c r="B42" s="49">
        <v>23</v>
      </c>
      <c r="C42" s="41"/>
      <c r="D42" s="41"/>
      <c r="E42" s="41"/>
      <c r="F42" s="41"/>
      <c r="G42" s="101" t="s">
        <v>8</v>
      </c>
      <c r="H42" s="118">
        <f t="shared" si="21"/>
        <v>23</v>
      </c>
      <c r="I42" s="73">
        <v>160</v>
      </c>
      <c r="J42" s="106">
        <v>434850</v>
      </c>
      <c r="K42" s="106">
        <f t="shared" si="22"/>
        <v>2717.8125</v>
      </c>
      <c r="L42" s="106">
        <v>222300</v>
      </c>
      <c r="M42" s="107">
        <f t="shared" si="23"/>
        <v>1389.375</v>
      </c>
      <c r="N42" s="107">
        <v>14850</v>
      </c>
      <c r="O42" s="107"/>
      <c r="P42" s="108">
        <f t="shared" si="24"/>
        <v>672000</v>
      </c>
      <c r="Q42" s="109">
        <f t="shared" si="25"/>
        <v>4200</v>
      </c>
      <c r="R42" s="109"/>
      <c r="S42" s="109"/>
      <c r="T42" s="109"/>
      <c r="U42" s="166">
        <v>99.75</v>
      </c>
      <c r="V42" s="110">
        <f t="shared" si="26"/>
        <v>6736.8421052631575</v>
      </c>
      <c r="X42" s="247">
        <v>18.399999999999999</v>
      </c>
      <c r="Y42" s="247">
        <v>26</v>
      </c>
      <c r="Z42" s="255">
        <v>3</v>
      </c>
      <c r="AA42" s="255">
        <v>3</v>
      </c>
      <c r="AB42" s="255">
        <v>4</v>
      </c>
      <c r="AC42" s="271">
        <f t="shared" si="27"/>
        <v>3.3333333333333335</v>
      </c>
      <c r="AE42" s="34" t="s">
        <v>126</v>
      </c>
      <c r="AG42" s="1">
        <v>0</v>
      </c>
    </row>
    <row r="43" spans="1:36" ht="23.5" customHeight="1" thickBot="1">
      <c r="A43" s="55" t="s">
        <v>9</v>
      </c>
      <c r="B43" s="49">
        <v>24</v>
      </c>
      <c r="C43" s="41"/>
      <c r="D43" s="41"/>
      <c r="E43" s="41"/>
      <c r="F43" s="41"/>
      <c r="G43" s="111" t="s">
        <v>9</v>
      </c>
      <c r="H43" s="118">
        <f t="shared" si="21"/>
        <v>24</v>
      </c>
      <c r="I43" s="73">
        <v>413</v>
      </c>
      <c r="J43" s="106">
        <v>1040950</v>
      </c>
      <c r="K43" s="106">
        <f>J43/I43</f>
        <v>2520.46004842615</v>
      </c>
      <c r="L43" s="106">
        <v>632850</v>
      </c>
      <c r="M43" s="107">
        <f>L43/I43</f>
        <v>1532.3244552058111</v>
      </c>
      <c r="N43" s="107">
        <v>4400</v>
      </c>
      <c r="O43" s="107"/>
      <c r="P43" s="108">
        <f>J43+L43+N43</f>
        <v>1678200</v>
      </c>
      <c r="Q43" s="109">
        <f t="shared" si="25"/>
        <v>4063.4382566585955</v>
      </c>
      <c r="R43" s="109"/>
      <c r="S43" s="109"/>
      <c r="T43" s="109"/>
      <c r="U43" s="166">
        <v>122.25</v>
      </c>
      <c r="V43" s="110">
        <f t="shared" si="26"/>
        <v>13727.60736196319</v>
      </c>
      <c r="X43" s="248">
        <v>16.8</v>
      </c>
      <c r="Y43" s="248">
        <v>25.3</v>
      </c>
      <c r="Z43" s="256">
        <v>5</v>
      </c>
      <c r="AA43" s="255">
        <v>5</v>
      </c>
      <c r="AB43" s="255">
        <v>4</v>
      </c>
      <c r="AC43" s="272">
        <f t="shared" si="27"/>
        <v>4.666666666666667</v>
      </c>
      <c r="AE43" s="1" t="s">
        <v>129</v>
      </c>
    </row>
    <row r="44" spans="1:36" ht="31" customHeight="1" thickTop="1" thickBot="1">
      <c r="A44" s="525" t="s">
        <v>13</v>
      </c>
      <c r="B44" s="526"/>
      <c r="C44" s="34" t="s">
        <v>36</v>
      </c>
      <c r="D44" s="43" t="e">
        <f>#REF!/F44</f>
        <v>#REF!</v>
      </c>
      <c r="E44" s="44" t="s">
        <v>37</v>
      </c>
      <c r="F44" s="34" t="e">
        <f>#REF!</f>
        <v>#REF!</v>
      </c>
      <c r="G44" s="464" t="s">
        <v>13</v>
      </c>
      <c r="H44" s="465"/>
      <c r="I44" s="119">
        <f>SUM(I37:I43)</f>
        <v>1360</v>
      </c>
      <c r="J44" s="119">
        <f>SUM(J37:J43)</f>
        <v>3491600</v>
      </c>
      <c r="K44" s="119">
        <f>J44/I44</f>
        <v>2567.3529411764707</v>
      </c>
      <c r="L44" s="119">
        <f>SUM(L37:L43)</f>
        <v>2055150</v>
      </c>
      <c r="M44" s="120">
        <f>L44/I44</f>
        <v>1511.1397058823529</v>
      </c>
      <c r="N44" s="73">
        <f>SUM(N37:N43)</f>
        <v>41250</v>
      </c>
      <c r="O44" s="73"/>
      <c r="P44" s="119">
        <f>J44+L44</f>
        <v>5546750</v>
      </c>
      <c r="Q44" s="121">
        <f>P44/I44</f>
        <v>4078.4926470588234</v>
      </c>
      <c r="R44" s="121"/>
      <c r="S44" s="121"/>
      <c r="T44" s="121"/>
      <c r="U44" s="169">
        <f>SUM(U37:U43)</f>
        <v>671</v>
      </c>
      <c r="V44" s="122">
        <f t="shared" si="26"/>
        <v>8266.3934426229516</v>
      </c>
      <c r="W44" s="259">
        <v>7</v>
      </c>
      <c r="X44" s="289">
        <f>SUM(X37:X43)/W44</f>
        <v>16.100000000000001</v>
      </c>
      <c r="Y44" s="290">
        <f>SUM(Y37:Y43)/W44</f>
        <v>24.157142857142862</v>
      </c>
      <c r="Z44" s="305">
        <f>SUM(Z37:Z43)/W44</f>
        <v>3.7142857142857144</v>
      </c>
      <c r="AA44" s="305">
        <f>SUM(AA37:AA43)/W44</f>
        <v>3.8571428571428572</v>
      </c>
      <c r="AB44" s="305">
        <f>SUM(AB37:AB43)/W44</f>
        <v>4</v>
      </c>
      <c r="AC44" s="306">
        <f>SUM(Z44:AB44)/3</f>
        <v>3.8571428571428572</v>
      </c>
      <c r="AD44" s="300" t="s">
        <v>134</v>
      </c>
      <c r="AE44" s="532">
        <f>P44/W44</f>
        <v>792392.85714285716</v>
      </c>
      <c r="AF44" s="533"/>
      <c r="AG44" s="533"/>
      <c r="AH44" s="533"/>
      <c r="AI44" s="534"/>
      <c r="AJ44" s="282" t="s">
        <v>140</v>
      </c>
    </row>
    <row r="45" spans="1:36" ht="23.5" customHeight="1" thickTop="1">
      <c r="A45" s="456" t="s">
        <v>17</v>
      </c>
      <c r="B45" s="457"/>
      <c r="G45" s="461" t="s">
        <v>17</v>
      </c>
      <c r="H45" s="462"/>
      <c r="I45" s="462"/>
      <c r="J45" s="462"/>
      <c r="K45" s="462"/>
      <c r="L45" s="462"/>
      <c r="M45" s="462"/>
      <c r="N45" s="462"/>
      <c r="O45" s="462"/>
      <c r="P45" s="462"/>
      <c r="Q45" s="462"/>
      <c r="R45" s="462"/>
      <c r="S45" s="462"/>
      <c r="T45" s="462"/>
      <c r="U45" s="462"/>
      <c r="V45" s="463"/>
      <c r="X45" s="497" t="str">
        <f>G45</f>
        <v>5th week</v>
      </c>
      <c r="Y45" s="497"/>
      <c r="Z45" s="497"/>
      <c r="AA45" s="497"/>
      <c r="AB45" s="497"/>
      <c r="AC45" s="497"/>
    </row>
    <row r="46" spans="1:36" ht="23.5" customHeight="1">
      <c r="A46" s="52" t="s">
        <v>10</v>
      </c>
      <c r="B46" s="36" t="s">
        <v>11</v>
      </c>
      <c r="C46" s="2" t="s">
        <v>32</v>
      </c>
      <c r="D46" s="2" t="s">
        <v>33</v>
      </c>
      <c r="E46" s="2" t="s">
        <v>34</v>
      </c>
      <c r="F46" s="2" t="s">
        <v>35</v>
      </c>
      <c r="G46" s="101" t="s">
        <v>10</v>
      </c>
      <c r="H46" s="102" t="s">
        <v>11</v>
      </c>
      <c r="I46" s="102" t="s">
        <v>1</v>
      </c>
      <c r="J46" s="102" t="s">
        <v>30</v>
      </c>
      <c r="K46" s="102" t="s">
        <v>31</v>
      </c>
      <c r="L46" s="102" t="s">
        <v>28</v>
      </c>
      <c r="M46" s="102" t="s">
        <v>29</v>
      </c>
      <c r="N46" s="102" t="s">
        <v>388</v>
      </c>
      <c r="O46" s="102" t="s">
        <v>384</v>
      </c>
      <c r="P46" s="102" t="s">
        <v>71</v>
      </c>
      <c r="Q46" s="103" t="s">
        <v>48</v>
      </c>
      <c r="R46" s="103" t="s">
        <v>385</v>
      </c>
      <c r="S46" s="103" t="s">
        <v>386</v>
      </c>
      <c r="T46" s="103" t="s">
        <v>387</v>
      </c>
      <c r="U46" s="103" t="s">
        <v>40</v>
      </c>
      <c r="V46" s="104" t="s">
        <v>73</v>
      </c>
      <c r="X46" s="252" t="s">
        <v>114</v>
      </c>
      <c r="Y46" s="253" t="s">
        <v>115</v>
      </c>
      <c r="Z46" s="48" t="s">
        <v>116</v>
      </c>
      <c r="AA46" s="48" t="s">
        <v>117</v>
      </c>
      <c r="AB46" s="48" t="s">
        <v>118</v>
      </c>
      <c r="AC46" s="254" t="s">
        <v>127</v>
      </c>
      <c r="AE46" s="1" t="s">
        <v>122</v>
      </c>
      <c r="AG46" s="35" t="s">
        <v>125</v>
      </c>
    </row>
    <row r="47" spans="1:36" ht="23.5" customHeight="1">
      <c r="A47" s="53" t="s">
        <v>3</v>
      </c>
      <c r="B47" s="49">
        <v>25</v>
      </c>
      <c r="C47" s="41"/>
      <c r="D47" s="41"/>
      <c r="E47" s="41"/>
      <c r="F47" s="41"/>
      <c r="G47" s="105" t="s">
        <v>3</v>
      </c>
      <c r="H47" s="118">
        <f>B47</f>
        <v>25</v>
      </c>
      <c r="I47" s="73">
        <v>435</v>
      </c>
      <c r="J47" s="106">
        <v>1115450</v>
      </c>
      <c r="K47" s="106">
        <f>J47/I47</f>
        <v>2564.2528735632186</v>
      </c>
      <c r="L47" s="106">
        <v>675450</v>
      </c>
      <c r="M47" s="107">
        <f>L47/I47</f>
        <v>1552.7586206896551</v>
      </c>
      <c r="N47" s="107">
        <v>2200</v>
      </c>
      <c r="O47" s="107"/>
      <c r="P47" s="108">
        <f>J47+L47+N47</f>
        <v>1793100</v>
      </c>
      <c r="Q47" s="109">
        <f>P47/I47</f>
        <v>4122.0689655172409</v>
      </c>
      <c r="R47" s="109"/>
      <c r="S47" s="109"/>
      <c r="T47" s="109"/>
      <c r="U47" s="166">
        <v>131.75</v>
      </c>
      <c r="V47" s="110">
        <f>P47/U47</f>
        <v>13609.867172675522</v>
      </c>
      <c r="X47" s="247">
        <v>16.3</v>
      </c>
      <c r="Y47" s="247">
        <v>27.9</v>
      </c>
      <c r="Z47" s="255">
        <v>5</v>
      </c>
      <c r="AA47" s="255">
        <v>5</v>
      </c>
      <c r="AB47" s="255">
        <v>4</v>
      </c>
      <c r="AC47" s="271">
        <f>SUM(Z47:AB47)/3</f>
        <v>4.666666666666667</v>
      </c>
      <c r="AE47" s="270" t="s">
        <v>123</v>
      </c>
      <c r="AF47" s="2"/>
      <c r="AG47" s="269">
        <v>5</v>
      </c>
    </row>
    <row r="48" spans="1:36" ht="23.5" customHeight="1">
      <c r="A48" s="54" t="s">
        <v>4</v>
      </c>
      <c r="B48" s="49">
        <v>26</v>
      </c>
      <c r="C48" s="41"/>
      <c r="D48" s="41"/>
      <c r="E48" s="41"/>
      <c r="F48" s="41"/>
      <c r="G48" s="101" t="s">
        <v>4</v>
      </c>
      <c r="H48" s="118">
        <f t="shared" ref="H48:H53" si="28">B48</f>
        <v>26</v>
      </c>
      <c r="I48" s="73">
        <v>210</v>
      </c>
      <c r="J48" s="106">
        <v>441450</v>
      </c>
      <c r="K48" s="106">
        <f t="shared" ref="K48:K52" si="29">J48/I48</f>
        <v>2102.1428571428573</v>
      </c>
      <c r="L48" s="106">
        <v>292650</v>
      </c>
      <c r="M48" s="107">
        <f t="shared" ref="M48:M52" si="30">L48/I48</f>
        <v>1393.5714285714287</v>
      </c>
      <c r="N48" s="107">
        <v>2200</v>
      </c>
      <c r="O48" s="107"/>
      <c r="P48" s="108">
        <f t="shared" ref="P48:P52" si="31">J48+L48+N48</f>
        <v>736300</v>
      </c>
      <c r="Q48" s="109">
        <f t="shared" ref="Q48:Q53" si="32">P48/I48</f>
        <v>3506.1904761904761</v>
      </c>
      <c r="R48" s="109"/>
      <c r="S48" s="109"/>
      <c r="T48" s="109"/>
      <c r="U48" s="166">
        <v>104.25</v>
      </c>
      <c r="V48" s="110">
        <f t="shared" ref="V48:V54" si="33">P48/U48</f>
        <v>7062.8297362110316</v>
      </c>
      <c r="X48" s="247">
        <v>17.600000000000001</v>
      </c>
      <c r="Y48" s="247">
        <v>28.3</v>
      </c>
      <c r="Z48" s="255">
        <v>5</v>
      </c>
      <c r="AA48" s="255">
        <v>5</v>
      </c>
      <c r="AB48" s="255">
        <v>4</v>
      </c>
      <c r="AC48" s="271">
        <f t="shared" ref="AC48:AC53" si="34">SUM(Z48:AB48)/3</f>
        <v>4.666666666666667</v>
      </c>
      <c r="AE48" s="34" t="s">
        <v>124</v>
      </c>
      <c r="AG48" s="1">
        <v>4</v>
      </c>
    </row>
    <row r="49" spans="1:36" ht="23.5" customHeight="1">
      <c r="A49" s="54" t="s">
        <v>5</v>
      </c>
      <c r="B49" s="49">
        <v>27</v>
      </c>
      <c r="C49" s="41"/>
      <c r="D49" s="41"/>
      <c r="E49" s="41"/>
      <c r="F49" s="41"/>
      <c r="G49" s="101" t="s">
        <v>5</v>
      </c>
      <c r="H49" s="118">
        <f t="shared" si="28"/>
        <v>27</v>
      </c>
      <c r="I49" s="73">
        <v>259</v>
      </c>
      <c r="J49" s="106">
        <v>660050</v>
      </c>
      <c r="K49" s="106">
        <f t="shared" si="29"/>
        <v>2548.4555984555986</v>
      </c>
      <c r="L49" s="106">
        <v>435850</v>
      </c>
      <c r="M49" s="107">
        <f t="shared" si="30"/>
        <v>1682.8185328185327</v>
      </c>
      <c r="N49" s="107">
        <v>6600</v>
      </c>
      <c r="O49" s="107"/>
      <c r="P49" s="108">
        <f t="shared" si="31"/>
        <v>1102500</v>
      </c>
      <c r="Q49" s="109">
        <f t="shared" si="32"/>
        <v>4256.7567567567567</v>
      </c>
      <c r="R49" s="109"/>
      <c r="S49" s="109"/>
      <c r="T49" s="109"/>
      <c r="U49" s="166">
        <v>102</v>
      </c>
      <c r="V49" s="110">
        <f t="shared" si="33"/>
        <v>10808.823529411764</v>
      </c>
      <c r="X49" s="247">
        <v>17.899999999999999</v>
      </c>
      <c r="Y49" s="247">
        <v>31.2</v>
      </c>
      <c r="Z49" s="255">
        <v>5</v>
      </c>
      <c r="AA49" s="255">
        <v>5</v>
      </c>
      <c r="AB49" s="255">
        <v>4</v>
      </c>
      <c r="AC49" s="271">
        <f t="shared" si="34"/>
        <v>4.666666666666667</v>
      </c>
      <c r="AE49" s="34" t="s">
        <v>128</v>
      </c>
      <c r="AG49" s="1">
        <v>3</v>
      </c>
    </row>
    <row r="50" spans="1:36" ht="23.5" customHeight="1">
      <c r="A50" s="54" t="s">
        <v>6</v>
      </c>
      <c r="B50" s="49">
        <v>28</v>
      </c>
      <c r="C50" s="41"/>
      <c r="D50" s="41"/>
      <c r="E50" s="41"/>
      <c r="F50" s="41"/>
      <c r="G50" s="101" t="s">
        <v>6</v>
      </c>
      <c r="H50" s="118">
        <f t="shared" si="28"/>
        <v>28</v>
      </c>
      <c r="I50" s="73">
        <v>240</v>
      </c>
      <c r="J50" s="106">
        <v>564400</v>
      </c>
      <c r="K50" s="106">
        <f t="shared" si="29"/>
        <v>2351.6666666666665</v>
      </c>
      <c r="L50" s="106">
        <v>332600</v>
      </c>
      <c r="M50" s="107">
        <f t="shared" si="30"/>
        <v>1385.8333333333333</v>
      </c>
      <c r="N50" s="107">
        <v>0</v>
      </c>
      <c r="O50" s="107"/>
      <c r="P50" s="108">
        <f t="shared" si="31"/>
        <v>897000</v>
      </c>
      <c r="Q50" s="109">
        <f t="shared" si="32"/>
        <v>3737.5</v>
      </c>
      <c r="R50" s="109"/>
      <c r="S50" s="109"/>
      <c r="T50" s="109"/>
      <c r="U50" s="166">
        <v>114.25</v>
      </c>
      <c r="V50" s="110">
        <f t="shared" si="33"/>
        <v>7851.2035010940917</v>
      </c>
      <c r="X50" s="247">
        <v>20.5</v>
      </c>
      <c r="Y50" s="247">
        <v>29.2</v>
      </c>
      <c r="Z50" s="255">
        <v>1</v>
      </c>
      <c r="AA50" s="255">
        <v>3</v>
      </c>
      <c r="AB50" s="255">
        <v>4</v>
      </c>
      <c r="AC50" s="271">
        <f t="shared" si="34"/>
        <v>2.6666666666666665</v>
      </c>
      <c r="AE50" s="34" t="s">
        <v>120</v>
      </c>
      <c r="AG50" s="1">
        <v>2</v>
      </c>
    </row>
    <row r="51" spans="1:36" ht="23.5" customHeight="1">
      <c r="A51" s="54" t="s">
        <v>7</v>
      </c>
      <c r="B51" s="49">
        <v>29</v>
      </c>
      <c r="C51" s="41"/>
      <c r="D51" s="41"/>
      <c r="E51" s="41"/>
      <c r="F51" s="41"/>
      <c r="G51" s="101" t="s">
        <v>7</v>
      </c>
      <c r="H51" s="118">
        <f t="shared" si="28"/>
        <v>29</v>
      </c>
      <c r="I51" s="73">
        <v>87</v>
      </c>
      <c r="J51" s="106">
        <v>190300</v>
      </c>
      <c r="K51" s="106">
        <f t="shared" si="29"/>
        <v>2187.3563218390805</v>
      </c>
      <c r="L51" s="106">
        <v>145100</v>
      </c>
      <c r="M51" s="107">
        <f t="shared" si="30"/>
        <v>1667.816091954023</v>
      </c>
      <c r="N51" s="107">
        <v>5500</v>
      </c>
      <c r="O51" s="107"/>
      <c r="P51" s="108">
        <f t="shared" si="31"/>
        <v>340900</v>
      </c>
      <c r="Q51" s="109">
        <f t="shared" si="32"/>
        <v>3918.3908045977009</v>
      </c>
      <c r="R51" s="109"/>
      <c r="S51" s="109"/>
      <c r="T51" s="109"/>
      <c r="U51" s="166">
        <v>85</v>
      </c>
      <c r="V51" s="110">
        <f t="shared" si="33"/>
        <v>4010.5882352941176</v>
      </c>
      <c r="X51" s="247">
        <v>21.3</v>
      </c>
      <c r="Y51" s="247">
        <v>28.2</v>
      </c>
      <c r="Z51" s="255">
        <v>1</v>
      </c>
      <c r="AA51" s="255">
        <v>3</v>
      </c>
      <c r="AB51" s="255">
        <v>1</v>
      </c>
      <c r="AC51" s="271">
        <f t="shared" si="34"/>
        <v>1.6666666666666667</v>
      </c>
      <c r="AE51" s="34" t="s">
        <v>121</v>
      </c>
      <c r="AG51" s="1">
        <v>1</v>
      </c>
    </row>
    <row r="52" spans="1:36" ht="23.5" customHeight="1">
      <c r="A52" s="54" t="s">
        <v>8</v>
      </c>
      <c r="B52" s="49">
        <v>30</v>
      </c>
      <c r="C52" s="41"/>
      <c r="D52" s="41"/>
      <c r="E52" s="41"/>
      <c r="F52" s="41"/>
      <c r="G52" s="101" t="s">
        <v>8</v>
      </c>
      <c r="H52" s="118">
        <f t="shared" si="28"/>
        <v>30</v>
      </c>
      <c r="I52" s="73">
        <v>118</v>
      </c>
      <c r="J52" s="106">
        <v>282200</v>
      </c>
      <c r="K52" s="106">
        <f t="shared" si="29"/>
        <v>2391.5254237288136</v>
      </c>
      <c r="L52" s="106">
        <v>158650</v>
      </c>
      <c r="M52" s="107">
        <f t="shared" si="30"/>
        <v>1344.4915254237287</v>
      </c>
      <c r="N52" s="107">
        <v>13200</v>
      </c>
      <c r="O52" s="107"/>
      <c r="P52" s="108">
        <f t="shared" si="31"/>
        <v>454050</v>
      </c>
      <c r="Q52" s="109">
        <f t="shared" si="32"/>
        <v>3847.8813559322034</v>
      </c>
      <c r="R52" s="109"/>
      <c r="S52" s="109"/>
      <c r="T52" s="109"/>
      <c r="U52" s="166">
        <v>118.5</v>
      </c>
      <c r="V52" s="110">
        <f t="shared" si="33"/>
        <v>3831.6455696202534</v>
      </c>
      <c r="X52" s="247">
        <v>20.7</v>
      </c>
      <c r="Y52" s="247">
        <v>25.7</v>
      </c>
      <c r="Z52" s="255">
        <v>3</v>
      </c>
      <c r="AA52" s="255">
        <v>1</v>
      </c>
      <c r="AB52" s="255">
        <v>2</v>
      </c>
      <c r="AC52" s="271">
        <f t="shared" si="34"/>
        <v>2</v>
      </c>
      <c r="AE52" s="34" t="s">
        <v>126</v>
      </c>
      <c r="AG52" s="1">
        <v>0</v>
      </c>
    </row>
    <row r="53" spans="1:36" ht="23.5" customHeight="1" thickBot="1">
      <c r="A53" s="55" t="s">
        <v>9</v>
      </c>
      <c r="B53" s="49"/>
      <c r="C53" s="41"/>
      <c r="D53" s="41"/>
      <c r="E53" s="41"/>
      <c r="F53" s="41"/>
      <c r="G53" s="111" t="s">
        <v>9</v>
      </c>
      <c r="H53" s="118">
        <f t="shared" si="28"/>
        <v>0</v>
      </c>
      <c r="I53" s="73"/>
      <c r="J53" s="106"/>
      <c r="K53" s="106" t="e">
        <f>J53/I53</f>
        <v>#DIV/0!</v>
      </c>
      <c r="L53" s="106">
        <v>0</v>
      </c>
      <c r="M53" s="107" t="e">
        <f>L53/I53</f>
        <v>#DIV/0!</v>
      </c>
      <c r="N53" s="107">
        <v>0</v>
      </c>
      <c r="O53" s="107"/>
      <c r="P53" s="108">
        <f>J53+L53+N53</f>
        <v>0</v>
      </c>
      <c r="Q53" s="109" t="e">
        <f t="shared" si="32"/>
        <v>#DIV/0!</v>
      </c>
      <c r="R53" s="109"/>
      <c r="S53" s="109"/>
      <c r="T53" s="109"/>
      <c r="U53" s="166"/>
      <c r="V53" s="110" t="e">
        <f t="shared" si="33"/>
        <v>#DIV/0!</v>
      </c>
      <c r="X53" s="248"/>
      <c r="Y53" s="248"/>
      <c r="Z53" s="256"/>
      <c r="AA53" s="255"/>
      <c r="AB53" s="255"/>
      <c r="AC53" s="272">
        <f t="shared" si="34"/>
        <v>0</v>
      </c>
      <c r="AE53" s="1" t="s">
        <v>129</v>
      </c>
    </row>
    <row r="54" spans="1:36" ht="37" customHeight="1" thickTop="1" thickBot="1">
      <c r="A54" s="525" t="s">
        <v>13</v>
      </c>
      <c r="B54" s="526"/>
      <c r="C54" s="34" t="s">
        <v>36</v>
      </c>
      <c r="D54" s="43" t="e">
        <f>#REF!/F54</f>
        <v>#REF!</v>
      </c>
      <c r="E54" s="44" t="s">
        <v>37</v>
      </c>
      <c r="F54" s="34" t="e">
        <f>#REF!</f>
        <v>#REF!</v>
      </c>
      <c r="G54" s="464" t="s">
        <v>13</v>
      </c>
      <c r="H54" s="465"/>
      <c r="I54" s="119">
        <f>SUM(I47:I53)</f>
        <v>1349</v>
      </c>
      <c r="J54" s="119">
        <f>SUM(J47:J53)</f>
        <v>3253850</v>
      </c>
      <c r="K54" s="119">
        <f>J54/I54</f>
        <v>2412.0459599703486</v>
      </c>
      <c r="L54" s="119">
        <f>SUM(L47:L53)</f>
        <v>2040300</v>
      </c>
      <c r="M54" s="120">
        <f>L54/I54</f>
        <v>1512.4536693847294</v>
      </c>
      <c r="N54" s="73">
        <f>SUM(N47:N53)</f>
        <v>29700</v>
      </c>
      <c r="O54" s="73"/>
      <c r="P54" s="119">
        <f>J54+L54</f>
        <v>5294150</v>
      </c>
      <c r="Q54" s="121">
        <f>P54/I54</f>
        <v>3924.499629355078</v>
      </c>
      <c r="R54" s="121"/>
      <c r="S54" s="121"/>
      <c r="T54" s="121"/>
      <c r="U54" s="169">
        <f>SUM(U47:U53)</f>
        <v>655.75</v>
      </c>
      <c r="V54" s="122">
        <f t="shared" si="33"/>
        <v>8073.4273732367519</v>
      </c>
      <c r="W54" s="259">
        <v>6</v>
      </c>
      <c r="X54" s="289">
        <f>SUM(X47:X53)/W54</f>
        <v>19.05</v>
      </c>
      <c r="Y54" s="290">
        <f>SUM(Y47:Y53)/W54</f>
        <v>28.416666666666668</v>
      </c>
      <c r="Z54" s="305">
        <f>SUM(Z47:Z53)/W54</f>
        <v>3.3333333333333335</v>
      </c>
      <c r="AA54" s="305">
        <f>SUM(AA47:AA53)/W54</f>
        <v>3.6666666666666665</v>
      </c>
      <c r="AB54" s="305">
        <f>SUM(AB47:AB53)/W54</f>
        <v>3.1666666666666665</v>
      </c>
      <c r="AC54" s="306">
        <f>SUM(Z54:AB54)/3</f>
        <v>3.3888888888888888</v>
      </c>
      <c r="AD54" s="300" t="s">
        <v>135</v>
      </c>
      <c r="AE54" s="532">
        <f>P54/W54</f>
        <v>882358.33333333337</v>
      </c>
      <c r="AF54" s="533"/>
      <c r="AG54" s="533"/>
      <c r="AH54" s="533"/>
      <c r="AI54" s="534"/>
      <c r="AJ54" s="282" t="s">
        <v>140</v>
      </c>
    </row>
    <row r="55" spans="1:36" ht="23.5" customHeight="1" thickTop="1">
      <c r="A55" s="456" t="s">
        <v>18</v>
      </c>
      <c r="B55" s="457"/>
      <c r="G55" s="461" t="s">
        <v>18</v>
      </c>
      <c r="H55" s="462"/>
      <c r="I55" s="462"/>
      <c r="J55" s="462"/>
      <c r="K55" s="462"/>
      <c r="L55" s="462"/>
      <c r="M55" s="462"/>
      <c r="N55" s="462"/>
      <c r="O55" s="462"/>
      <c r="P55" s="462"/>
      <c r="Q55" s="462"/>
      <c r="R55" s="462"/>
      <c r="S55" s="462"/>
      <c r="T55" s="462"/>
      <c r="U55" s="462"/>
      <c r="V55" s="463"/>
      <c r="X55" s="497" t="str">
        <f>G55</f>
        <v>6th week</v>
      </c>
      <c r="Y55" s="497"/>
      <c r="Z55" s="497"/>
      <c r="AA55" s="497"/>
      <c r="AB55" s="497"/>
      <c r="AC55" s="497"/>
    </row>
    <row r="56" spans="1:36" ht="23.5" customHeight="1">
      <c r="A56" s="52" t="s">
        <v>10</v>
      </c>
      <c r="B56" s="36" t="s">
        <v>11</v>
      </c>
      <c r="C56" s="2" t="s">
        <v>32</v>
      </c>
      <c r="D56" s="2" t="s">
        <v>33</v>
      </c>
      <c r="E56" s="2" t="s">
        <v>34</v>
      </c>
      <c r="F56" s="2" t="s">
        <v>35</v>
      </c>
      <c r="G56" s="101" t="s">
        <v>10</v>
      </c>
      <c r="H56" s="102" t="s">
        <v>11</v>
      </c>
      <c r="I56" s="102" t="s">
        <v>1</v>
      </c>
      <c r="J56" s="102" t="s">
        <v>30</v>
      </c>
      <c r="K56" s="102" t="s">
        <v>31</v>
      </c>
      <c r="L56" s="102" t="s">
        <v>28</v>
      </c>
      <c r="M56" s="102" t="s">
        <v>29</v>
      </c>
      <c r="N56" s="102" t="s">
        <v>388</v>
      </c>
      <c r="O56" s="102" t="s">
        <v>384</v>
      </c>
      <c r="P56" s="102" t="s">
        <v>71</v>
      </c>
      <c r="Q56" s="103" t="s">
        <v>48</v>
      </c>
      <c r="R56" s="103" t="s">
        <v>385</v>
      </c>
      <c r="S56" s="103" t="s">
        <v>386</v>
      </c>
      <c r="T56" s="103" t="s">
        <v>387</v>
      </c>
      <c r="U56" s="103" t="s">
        <v>40</v>
      </c>
      <c r="V56" s="104" t="s">
        <v>73</v>
      </c>
      <c r="X56" s="252" t="s">
        <v>114</v>
      </c>
      <c r="Y56" s="253" t="s">
        <v>115</v>
      </c>
      <c r="Z56" s="48" t="s">
        <v>116</v>
      </c>
      <c r="AA56" s="48" t="s">
        <v>117</v>
      </c>
      <c r="AB56" s="48" t="s">
        <v>118</v>
      </c>
      <c r="AC56" s="254" t="s">
        <v>127</v>
      </c>
      <c r="AE56" s="1" t="s">
        <v>122</v>
      </c>
      <c r="AG56" s="35" t="s">
        <v>125</v>
      </c>
    </row>
    <row r="57" spans="1:36" ht="23.5" customHeight="1">
      <c r="A57" s="53" t="s">
        <v>3</v>
      </c>
      <c r="B57" s="49"/>
      <c r="C57" s="41"/>
      <c r="D57" s="41"/>
      <c r="E57" s="41"/>
      <c r="F57" s="41"/>
      <c r="G57" s="105" t="s">
        <v>3</v>
      </c>
      <c r="H57" s="118">
        <f>B57</f>
        <v>0</v>
      </c>
      <c r="I57" s="73"/>
      <c r="J57" s="106"/>
      <c r="K57" s="106" t="e">
        <f>J57/I57</f>
        <v>#DIV/0!</v>
      </c>
      <c r="L57" s="106"/>
      <c r="M57" s="107" t="e">
        <f>L57/I57</f>
        <v>#DIV/0!</v>
      </c>
      <c r="N57" s="107"/>
      <c r="O57" s="107"/>
      <c r="P57" s="108">
        <f>J57+L57+N57</f>
        <v>0</v>
      </c>
      <c r="Q57" s="109" t="e">
        <f>P57/I57</f>
        <v>#DIV/0!</v>
      </c>
      <c r="R57" s="109"/>
      <c r="S57" s="109"/>
      <c r="T57" s="109"/>
      <c r="U57" s="166"/>
      <c r="V57" s="110" t="e">
        <f>P57/U57</f>
        <v>#DIV/0!</v>
      </c>
      <c r="X57" s="247"/>
      <c r="Y57" s="247"/>
      <c r="Z57" s="255"/>
      <c r="AA57" s="255"/>
      <c r="AB57" s="255"/>
      <c r="AC57" s="271">
        <f>SUM(Z57:AB57)/3</f>
        <v>0</v>
      </c>
      <c r="AE57" s="270" t="s">
        <v>123</v>
      </c>
      <c r="AF57" s="2"/>
      <c r="AG57" s="269">
        <v>5</v>
      </c>
    </row>
    <row r="58" spans="1:36" ht="23.5" customHeight="1">
      <c r="A58" s="54" t="s">
        <v>4</v>
      </c>
      <c r="B58" s="49"/>
      <c r="C58" s="41"/>
      <c r="D58" s="41"/>
      <c r="E58" s="41"/>
      <c r="F58" s="41"/>
      <c r="G58" s="101" t="s">
        <v>4</v>
      </c>
      <c r="H58" s="118">
        <f t="shared" ref="H58:H63" si="35">B58</f>
        <v>0</v>
      </c>
      <c r="I58" s="73"/>
      <c r="J58" s="106"/>
      <c r="K58" s="106" t="e">
        <f t="shared" ref="K58:K62" si="36">J58/I58</f>
        <v>#DIV/0!</v>
      </c>
      <c r="L58" s="106"/>
      <c r="M58" s="107" t="e">
        <f t="shared" ref="M58:M62" si="37">L58/I58</f>
        <v>#DIV/0!</v>
      </c>
      <c r="N58" s="107"/>
      <c r="O58" s="107"/>
      <c r="P58" s="108">
        <f t="shared" ref="P58:P62" si="38">J58+L58+N58</f>
        <v>0</v>
      </c>
      <c r="Q58" s="109" t="e">
        <f t="shared" ref="Q58:Q63" si="39">P58/I58</f>
        <v>#DIV/0!</v>
      </c>
      <c r="R58" s="109"/>
      <c r="S58" s="109"/>
      <c r="T58" s="109"/>
      <c r="U58" s="166"/>
      <c r="V58" s="110" t="e">
        <f t="shared" ref="V58:V64" si="40">P58/U58</f>
        <v>#DIV/0!</v>
      </c>
      <c r="X58" s="247"/>
      <c r="Y58" s="247"/>
      <c r="Z58" s="255"/>
      <c r="AA58" s="255"/>
      <c r="AB58" s="255"/>
      <c r="AC58" s="271">
        <f t="shared" ref="AC58:AC63" si="41">SUM(Z58:AB58)/3</f>
        <v>0</v>
      </c>
      <c r="AE58" s="34" t="s">
        <v>124</v>
      </c>
      <c r="AG58" s="1">
        <v>4</v>
      </c>
    </row>
    <row r="59" spans="1:36" ht="23.5" customHeight="1">
      <c r="A59" s="54" t="s">
        <v>5</v>
      </c>
      <c r="B59" s="49"/>
      <c r="C59" s="41"/>
      <c r="D59" s="41"/>
      <c r="E59" s="41"/>
      <c r="F59" s="41"/>
      <c r="G59" s="101" t="s">
        <v>5</v>
      </c>
      <c r="H59" s="118">
        <f t="shared" si="35"/>
        <v>0</v>
      </c>
      <c r="I59" s="73"/>
      <c r="J59" s="106"/>
      <c r="K59" s="106" t="e">
        <f t="shared" si="36"/>
        <v>#DIV/0!</v>
      </c>
      <c r="L59" s="106"/>
      <c r="M59" s="107" t="e">
        <f t="shared" si="37"/>
        <v>#DIV/0!</v>
      </c>
      <c r="N59" s="107"/>
      <c r="O59" s="107"/>
      <c r="P59" s="108">
        <f t="shared" si="38"/>
        <v>0</v>
      </c>
      <c r="Q59" s="109" t="e">
        <f t="shared" si="39"/>
        <v>#DIV/0!</v>
      </c>
      <c r="R59" s="109"/>
      <c r="S59" s="109"/>
      <c r="T59" s="109"/>
      <c r="U59" s="166"/>
      <c r="V59" s="110" t="e">
        <f t="shared" si="40"/>
        <v>#DIV/0!</v>
      </c>
      <c r="X59" s="247"/>
      <c r="Y59" s="247"/>
      <c r="Z59" s="255"/>
      <c r="AA59" s="255"/>
      <c r="AB59" s="255"/>
      <c r="AC59" s="271">
        <f t="shared" si="41"/>
        <v>0</v>
      </c>
      <c r="AE59" s="34" t="s">
        <v>128</v>
      </c>
      <c r="AG59" s="1">
        <v>3</v>
      </c>
    </row>
    <row r="60" spans="1:36" ht="23.5" customHeight="1">
      <c r="A60" s="54" t="s">
        <v>6</v>
      </c>
      <c r="B60" s="49"/>
      <c r="C60" s="41"/>
      <c r="D60" s="41"/>
      <c r="E60" s="41"/>
      <c r="F60" s="41"/>
      <c r="G60" s="101" t="s">
        <v>6</v>
      </c>
      <c r="H60" s="118">
        <f t="shared" si="35"/>
        <v>0</v>
      </c>
      <c r="I60" s="73"/>
      <c r="J60" s="106"/>
      <c r="K60" s="106" t="e">
        <f t="shared" si="36"/>
        <v>#DIV/0!</v>
      </c>
      <c r="L60" s="106"/>
      <c r="M60" s="107" t="e">
        <f t="shared" si="37"/>
        <v>#DIV/0!</v>
      </c>
      <c r="N60" s="107"/>
      <c r="O60" s="107"/>
      <c r="P60" s="108">
        <f t="shared" si="38"/>
        <v>0</v>
      </c>
      <c r="Q60" s="109" t="e">
        <f t="shared" si="39"/>
        <v>#DIV/0!</v>
      </c>
      <c r="R60" s="109"/>
      <c r="S60" s="109"/>
      <c r="T60" s="109"/>
      <c r="U60" s="166"/>
      <c r="V60" s="110" t="e">
        <f t="shared" si="40"/>
        <v>#DIV/0!</v>
      </c>
      <c r="X60" s="247"/>
      <c r="Y60" s="247"/>
      <c r="Z60" s="255"/>
      <c r="AA60" s="255"/>
      <c r="AB60" s="255"/>
      <c r="AC60" s="271">
        <f t="shared" si="41"/>
        <v>0</v>
      </c>
      <c r="AE60" s="34" t="s">
        <v>120</v>
      </c>
      <c r="AG60" s="1">
        <v>2</v>
      </c>
    </row>
    <row r="61" spans="1:36" ht="23.5" customHeight="1">
      <c r="A61" s="54" t="s">
        <v>7</v>
      </c>
      <c r="B61" s="49"/>
      <c r="C61" s="41"/>
      <c r="D61" s="41"/>
      <c r="E61" s="41"/>
      <c r="F61" s="41"/>
      <c r="G61" s="101" t="s">
        <v>7</v>
      </c>
      <c r="H61" s="118">
        <f t="shared" si="35"/>
        <v>0</v>
      </c>
      <c r="I61" s="73"/>
      <c r="J61" s="106"/>
      <c r="K61" s="106" t="e">
        <f t="shared" si="36"/>
        <v>#DIV/0!</v>
      </c>
      <c r="L61" s="106"/>
      <c r="M61" s="107" t="e">
        <f t="shared" si="37"/>
        <v>#DIV/0!</v>
      </c>
      <c r="N61" s="107"/>
      <c r="O61" s="107"/>
      <c r="P61" s="108">
        <f t="shared" si="38"/>
        <v>0</v>
      </c>
      <c r="Q61" s="109" t="e">
        <f t="shared" si="39"/>
        <v>#DIV/0!</v>
      </c>
      <c r="R61" s="109"/>
      <c r="S61" s="109"/>
      <c r="T61" s="109"/>
      <c r="U61" s="166"/>
      <c r="V61" s="110" t="e">
        <f t="shared" si="40"/>
        <v>#DIV/0!</v>
      </c>
      <c r="X61" s="247"/>
      <c r="Y61" s="247"/>
      <c r="Z61" s="255"/>
      <c r="AA61" s="255"/>
      <c r="AB61" s="255"/>
      <c r="AC61" s="271">
        <f t="shared" si="41"/>
        <v>0</v>
      </c>
      <c r="AE61" s="34" t="s">
        <v>121</v>
      </c>
      <c r="AG61" s="1">
        <v>1</v>
      </c>
    </row>
    <row r="62" spans="1:36" ht="23.5" customHeight="1">
      <c r="A62" s="54" t="s">
        <v>8</v>
      </c>
      <c r="B62" s="49"/>
      <c r="C62" s="41"/>
      <c r="D62" s="41"/>
      <c r="E62" s="41"/>
      <c r="F62" s="41"/>
      <c r="G62" s="101" t="s">
        <v>8</v>
      </c>
      <c r="H62" s="118">
        <f t="shared" si="35"/>
        <v>0</v>
      </c>
      <c r="I62" s="73"/>
      <c r="J62" s="106"/>
      <c r="K62" s="106" t="e">
        <f t="shared" si="36"/>
        <v>#DIV/0!</v>
      </c>
      <c r="L62" s="106">
        <v>0</v>
      </c>
      <c r="M62" s="107" t="e">
        <f t="shared" si="37"/>
        <v>#DIV/0!</v>
      </c>
      <c r="N62" s="107"/>
      <c r="O62" s="107"/>
      <c r="P62" s="108">
        <f t="shared" si="38"/>
        <v>0</v>
      </c>
      <c r="Q62" s="109" t="e">
        <f t="shared" si="39"/>
        <v>#DIV/0!</v>
      </c>
      <c r="R62" s="109"/>
      <c r="S62" s="109"/>
      <c r="T62" s="109"/>
      <c r="U62" s="166"/>
      <c r="V62" s="110" t="e">
        <f t="shared" si="40"/>
        <v>#DIV/0!</v>
      </c>
      <c r="X62" s="247"/>
      <c r="Y62" s="247"/>
      <c r="Z62" s="255"/>
      <c r="AA62" s="255"/>
      <c r="AB62" s="255"/>
      <c r="AC62" s="271">
        <f t="shared" si="41"/>
        <v>0</v>
      </c>
      <c r="AE62" s="34" t="s">
        <v>126</v>
      </c>
      <c r="AG62" s="1">
        <v>0</v>
      </c>
    </row>
    <row r="63" spans="1:36" ht="23.5" customHeight="1" thickBot="1">
      <c r="A63" s="55" t="s">
        <v>9</v>
      </c>
      <c r="B63" s="49"/>
      <c r="C63" s="41"/>
      <c r="D63" s="41"/>
      <c r="E63" s="41"/>
      <c r="F63" s="41"/>
      <c r="G63" s="111" t="s">
        <v>9</v>
      </c>
      <c r="H63" s="118">
        <f t="shared" si="35"/>
        <v>0</v>
      </c>
      <c r="I63" s="73"/>
      <c r="J63" s="106"/>
      <c r="K63" s="106" t="e">
        <f>J63/I63</f>
        <v>#DIV/0!</v>
      </c>
      <c r="L63" s="106">
        <v>0</v>
      </c>
      <c r="M63" s="107" t="e">
        <f>L63/I63</f>
        <v>#DIV/0!</v>
      </c>
      <c r="N63" s="107">
        <v>0</v>
      </c>
      <c r="O63" s="107"/>
      <c r="P63" s="108">
        <f>J63+L63+N63</f>
        <v>0</v>
      </c>
      <c r="Q63" s="109" t="e">
        <f t="shared" si="39"/>
        <v>#DIV/0!</v>
      </c>
      <c r="R63" s="109"/>
      <c r="S63" s="109"/>
      <c r="T63" s="109"/>
      <c r="U63" s="166"/>
      <c r="V63" s="110" t="e">
        <f t="shared" si="40"/>
        <v>#DIV/0!</v>
      </c>
      <c r="X63" s="248"/>
      <c r="Y63" s="248"/>
      <c r="Z63" s="256"/>
      <c r="AA63" s="256"/>
      <c r="AB63" s="256"/>
      <c r="AC63" s="272">
        <f t="shared" si="41"/>
        <v>0</v>
      </c>
      <c r="AE63" s="1" t="s">
        <v>129</v>
      </c>
    </row>
    <row r="64" spans="1:36" ht="23.5" customHeight="1" thickTop="1" thickBot="1">
      <c r="A64" s="525" t="s">
        <v>13</v>
      </c>
      <c r="B64" s="526"/>
      <c r="C64" s="34" t="s">
        <v>36</v>
      </c>
      <c r="D64" s="43" t="e">
        <f>#REF!/F64</f>
        <v>#REF!</v>
      </c>
      <c r="E64" s="44" t="s">
        <v>37</v>
      </c>
      <c r="F64" s="34" t="e">
        <f>#REF!</f>
        <v>#REF!</v>
      </c>
      <c r="G64" s="464" t="s">
        <v>13</v>
      </c>
      <c r="H64" s="465"/>
      <c r="I64" s="119">
        <f>SUM(I57:I63)</f>
        <v>0</v>
      </c>
      <c r="J64" s="119">
        <f>SUM(J57:J63)</f>
        <v>0</v>
      </c>
      <c r="K64" s="119" t="e">
        <f>J64/I64</f>
        <v>#DIV/0!</v>
      </c>
      <c r="L64" s="119">
        <f>SUM(L57:L63)</f>
        <v>0</v>
      </c>
      <c r="M64" s="120" t="e">
        <f>L64/I64</f>
        <v>#DIV/0!</v>
      </c>
      <c r="N64" s="73">
        <f>SUM(N57:N63)</f>
        <v>0</v>
      </c>
      <c r="O64" s="73"/>
      <c r="P64" s="119">
        <f>J64+L64</f>
        <v>0</v>
      </c>
      <c r="Q64" s="121" t="e">
        <f>P64/I64</f>
        <v>#DIV/0!</v>
      </c>
      <c r="R64" s="121"/>
      <c r="S64" s="121"/>
      <c r="T64" s="121"/>
      <c r="U64" s="169">
        <f>SUM(U57:U63)</f>
        <v>0</v>
      </c>
      <c r="V64" s="122" t="e">
        <f t="shared" si="40"/>
        <v>#DIV/0!</v>
      </c>
      <c r="W64" s="259"/>
      <c r="X64" s="267" t="e">
        <f>SUM(X57:X63)/W64</f>
        <v>#DIV/0!</v>
      </c>
      <c r="Y64" s="266" t="e">
        <f>SUM(Y57:Y63)/W64</f>
        <v>#DIV/0!</v>
      </c>
      <c r="Z64" s="266" t="e">
        <f>SUM(Z57:Z63)/W64</f>
        <v>#DIV/0!</v>
      </c>
      <c r="AA64" s="266" t="e">
        <f>SUM(AA57:AA63)/W64</f>
        <v>#DIV/0!</v>
      </c>
      <c r="AB64" s="266" t="e">
        <f>SUM(AB57:AB63)/W64</f>
        <v>#DIV/0!</v>
      </c>
      <c r="AC64" s="268" t="e">
        <f>SUM(Z64:AB64)/3</f>
        <v>#DIV/0!</v>
      </c>
      <c r="AD64" s="300"/>
      <c r="AE64" s="532" t="e">
        <f>P64/W64</f>
        <v>#DIV/0!</v>
      </c>
      <c r="AF64" s="533"/>
      <c r="AG64" s="533"/>
      <c r="AH64" s="533"/>
      <c r="AI64" s="534"/>
    </row>
    <row r="65" spans="1:30" ht="33.5" customHeight="1" thickTop="1">
      <c r="A65" s="477" t="s">
        <v>2</v>
      </c>
      <c r="B65" s="478"/>
      <c r="G65" s="483" t="s">
        <v>2</v>
      </c>
      <c r="H65" s="484"/>
      <c r="I65" s="484"/>
      <c r="J65" s="484"/>
      <c r="K65" s="484"/>
      <c r="L65" s="484"/>
      <c r="M65" s="484"/>
      <c r="N65" s="484"/>
      <c r="O65" s="484"/>
      <c r="P65" s="484"/>
      <c r="Q65" s="484"/>
      <c r="R65" s="484"/>
      <c r="S65" s="484"/>
      <c r="T65" s="484"/>
      <c r="U65" s="484"/>
      <c r="V65" s="485"/>
      <c r="X65" s="497" t="str">
        <f>G65</f>
        <v>TOTAL</v>
      </c>
      <c r="Y65" s="497"/>
      <c r="Z65" s="497"/>
      <c r="AA65" s="497"/>
      <c r="AB65" s="497"/>
      <c r="AC65" s="497"/>
    </row>
    <row r="66" spans="1:30" s="37" customFormat="1" ht="23" customHeight="1">
      <c r="A66" s="78" t="s">
        <v>10</v>
      </c>
      <c r="B66" s="79" t="s">
        <v>19</v>
      </c>
      <c r="G66" s="112" t="s">
        <v>10</v>
      </c>
      <c r="H66" s="113" t="s">
        <v>19</v>
      </c>
      <c r="I66" s="102" t="s">
        <v>1</v>
      </c>
      <c r="J66" s="102" t="s">
        <v>30</v>
      </c>
      <c r="K66" s="102" t="s">
        <v>31</v>
      </c>
      <c r="L66" s="102" t="s">
        <v>28</v>
      </c>
      <c r="M66" s="102" t="s">
        <v>29</v>
      </c>
      <c r="N66" s="102" t="s">
        <v>388</v>
      </c>
      <c r="O66" s="102" t="s">
        <v>384</v>
      </c>
      <c r="P66" s="102" t="s">
        <v>71</v>
      </c>
      <c r="Q66" s="103" t="s">
        <v>48</v>
      </c>
      <c r="R66" s="103" t="s">
        <v>385</v>
      </c>
      <c r="S66" s="103" t="s">
        <v>386</v>
      </c>
      <c r="T66" s="103" t="s">
        <v>387</v>
      </c>
      <c r="U66" s="103" t="s">
        <v>40</v>
      </c>
      <c r="V66" s="104" t="s">
        <v>73</v>
      </c>
      <c r="X66" s="252" t="s">
        <v>114</v>
      </c>
      <c r="Y66" s="253" t="s">
        <v>115</v>
      </c>
      <c r="Z66" s="48" t="s">
        <v>116</v>
      </c>
      <c r="AA66" s="48" t="s">
        <v>117</v>
      </c>
      <c r="AB66" s="48" t="s">
        <v>118</v>
      </c>
      <c r="AC66" s="254" t="s">
        <v>127</v>
      </c>
      <c r="AD66" s="301"/>
    </row>
    <row r="67" spans="1:30" ht="23" customHeight="1">
      <c r="A67" s="53" t="s">
        <v>3</v>
      </c>
      <c r="B67" s="42"/>
      <c r="C67" s="41"/>
      <c r="D67" s="41"/>
      <c r="E67" s="41"/>
      <c r="F67" s="41"/>
      <c r="G67" s="105" t="s">
        <v>3</v>
      </c>
      <c r="H67" s="115"/>
      <c r="I67" s="107">
        <f t="shared" ref="I67:J70" si="42">I7+I17+I27+I37+I47+I57</f>
        <v>994</v>
      </c>
      <c r="J67" s="107">
        <f t="shared" si="42"/>
        <v>2529000</v>
      </c>
      <c r="K67" s="106">
        <f t="shared" ref="K67:K74" si="43">J67/I67</f>
        <v>2544.2655935613684</v>
      </c>
      <c r="L67" s="107">
        <f>L7+L17+L27+L37+L47+L57</f>
        <v>1439650</v>
      </c>
      <c r="M67" s="107">
        <f>L67/I67</f>
        <v>1448.3400402414486</v>
      </c>
      <c r="N67" s="107">
        <f>N7+N17+N27+N37+N47+N57</f>
        <v>18700</v>
      </c>
      <c r="O67" s="107"/>
      <c r="P67" s="73">
        <f t="shared" ref="P67:Q70" si="44">P7+P17+P27+P37+P47+P57</f>
        <v>3987350</v>
      </c>
      <c r="Q67" s="107" t="e">
        <f t="shared" si="44"/>
        <v>#DIV/0!</v>
      </c>
      <c r="R67" s="107"/>
      <c r="S67" s="107"/>
      <c r="T67" s="107"/>
      <c r="U67" s="170">
        <f>U7+U17+U27+U37+U47+U57</f>
        <v>442.25</v>
      </c>
      <c r="V67" s="133">
        <f>P67/U67</f>
        <v>9016.0542679479931</v>
      </c>
      <c r="X67" s="249">
        <f>X7+X17+X27+X37+X47+X57</f>
        <v>55.3</v>
      </c>
      <c r="Y67" s="249">
        <f>Y7+Y17+Y27+Y37+Y47+Y57</f>
        <v>91</v>
      </c>
      <c r="Z67" s="274">
        <f>Z7+Z17+Z37+Z47+Z27+Z57</f>
        <v>11</v>
      </c>
      <c r="AA67" s="274">
        <f t="shared" ref="AA67:AB67" si="45">AA7+AA17+AA37+AA47+AA27+AA57</f>
        <v>12</v>
      </c>
      <c r="AB67" s="274">
        <f t="shared" si="45"/>
        <v>16</v>
      </c>
      <c r="AC67" s="275">
        <f>SUM(Z67:AB67)/3</f>
        <v>13</v>
      </c>
    </row>
    <row r="68" spans="1:30" ht="23" customHeight="1">
      <c r="A68" s="54" t="s">
        <v>4</v>
      </c>
      <c r="B68" s="42"/>
      <c r="C68" s="41"/>
      <c r="D68" s="41"/>
      <c r="E68" s="41"/>
      <c r="F68" s="41"/>
      <c r="G68" s="101" t="s">
        <v>4</v>
      </c>
      <c r="H68" s="115"/>
      <c r="I68" s="107">
        <f t="shared" si="42"/>
        <v>504</v>
      </c>
      <c r="J68" s="107">
        <f t="shared" si="42"/>
        <v>1185500</v>
      </c>
      <c r="K68" s="106">
        <f t="shared" si="43"/>
        <v>2352.1825396825398</v>
      </c>
      <c r="L68" s="107">
        <f>L8+L18+L28+L38+L48+L58</f>
        <v>739750</v>
      </c>
      <c r="M68" s="107">
        <f t="shared" ref="M68:M73" si="46">L68/I68</f>
        <v>1467.7579365079366</v>
      </c>
      <c r="N68" s="107">
        <f>N8+N18+N28+N38+N48+N58</f>
        <v>12100</v>
      </c>
      <c r="O68" s="107"/>
      <c r="P68" s="73">
        <f t="shared" si="44"/>
        <v>1937350</v>
      </c>
      <c r="Q68" s="107" t="e">
        <f t="shared" si="44"/>
        <v>#DIV/0!</v>
      </c>
      <c r="R68" s="107"/>
      <c r="S68" s="107"/>
      <c r="T68" s="107"/>
      <c r="U68" s="170">
        <f>U8+U18+U28+U38+U48+U58</f>
        <v>336.5</v>
      </c>
      <c r="V68" s="133">
        <f t="shared" ref="V68:V73" si="47">P68/U68</f>
        <v>5757.3551263001482</v>
      </c>
      <c r="X68" s="249">
        <f t="shared" ref="X68:Y72" si="48">X8+X18+X28+X38+X48+X58</f>
        <v>56.9</v>
      </c>
      <c r="Y68" s="249">
        <f t="shared" si="48"/>
        <v>91.6</v>
      </c>
      <c r="Z68" s="274">
        <f t="shared" ref="Z68:AB73" si="49">Z8+Z18+Z38+Z48+Z28+Z58</f>
        <v>16</v>
      </c>
      <c r="AA68" s="274">
        <f t="shared" si="49"/>
        <v>15</v>
      </c>
      <c r="AB68" s="274">
        <f t="shared" si="49"/>
        <v>16</v>
      </c>
      <c r="AC68" s="275">
        <f t="shared" ref="AC68:AC73" si="50">SUM(Z68:AB68)/3</f>
        <v>15.666666666666666</v>
      </c>
    </row>
    <row r="69" spans="1:30" ht="23" customHeight="1">
      <c r="A69" s="54" t="s">
        <v>5</v>
      </c>
      <c r="B69" s="42"/>
      <c r="C69" s="41"/>
      <c r="D69" s="41"/>
      <c r="E69" s="41"/>
      <c r="F69" s="41"/>
      <c r="G69" s="101" t="s">
        <v>5</v>
      </c>
      <c r="H69" s="115"/>
      <c r="I69" s="107">
        <f t="shared" si="42"/>
        <v>573</v>
      </c>
      <c r="J69" s="107">
        <f t="shared" si="42"/>
        <v>1460150</v>
      </c>
      <c r="K69" s="106">
        <f t="shared" si="43"/>
        <v>2548.2547993019198</v>
      </c>
      <c r="L69" s="107">
        <f>L9+L19+L29+L39+L49+L59</f>
        <v>903950</v>
      </c>
      <c r="M69" s="107">
        <f t="shared" si="46"/>
        <v>1577.5741710296684</v>
      </c>
      <c r="N69" s="107">
        <f>N9+N19+N29+N39+N49+N59</f>
        <v>12100</v>
      </c>
      <c r="O69" s="107"/>
      <c r="P69" s="73">
        <f t="shared" si="44"/>
        <v>2376200</v>
      </c>
      <c r="Q69" s="107" t="e">
        <f t="shared" si="44"/>
        <v>#DIV/0!</v>
      </c>
      <c r="R69" s="107"/>
      <c r="S69" s="107"/>
      <c r="T69" s="107"/>
      <c r="U69" s="170">
        <f>U9+U19+U29+U39+U49+U59</f>
        <v>349</v>
      </c>
      <c r="V69" s="133">
        <f t="shared" si="47"/>
        <v>6808.5959885386819</v>
      </c>
      <c r="X69" s="249">
        <f t="shared" si="48"/>
        <v>59.499999999999993</v>
      </c>
      <c r="Y69" s="249">
        <f t="shared" si="48"/>
        <v>99.2</v>
      </c>
      <c r="Z69" s="274">
        <f t="shared" si="49"/>
        <v>12</v>
      </c>
      <c r="AA69" s="274">
        <f t="shared" si="49"/>
        <v>12</v>
      </c>
      <c r="AB69" s="274">
        <f t="shared" si="49"/>
        <v>14</v>
      </c>
      <c r="AC69" s="275">
        <f t="shared" si="50"/>
        <v>12.666666666666666</v>
      </c>
    </row>
    <row r="70" spans="1:30" ht="23" customHeight="1">
      <c r="A70" s="54" t="s">
        <v>6</v>
      </c>
      <c r="B70" s="42"/>
      <c r="C70" s="41"/>
      <c r="D70" s="41"/>
      <c r="E70" s="41"/>
      <c r="F70" s="41"/>
      <c r="G70" s="101" t="s">
        <v>6</v>
      </c>
      <c r="H70" s="115"/>
      <c r="I70" s="107">
        <f t="shared" si="42"/>
        <v>623</v>
      </c>
      <c r="J70" s="107">
        <f t="shared" si="42"/>
        <v>1445650</v>
      </c>
      <c r="K70" s="106">
        <f t="shared" si="43"/>
        <v>2320.4654895666131</v>
      </c>
      <c r="L70" s="107">
        <f>L10+L20+L30+L40+L50+L60</f>
        <v>882200</v>
      </c>
      <c r="M70" s="107">
        <f t="shared" si="46"/>
        <v>1416.051364365971</v>
      </c>
      <c r="N70" s="107">
        <f>N10+N20+N30+N40+N50+N60</f>
        <v>4400</v>
      </c>
      <c r="O70" s="107"/>
      <c r="P70" s="73">
        <f t="shared" si="44"/>
        <v>2332250</v>
      </c>
      <c r="Q70" s="107" t="e">
        <f t="shared" si="44"/>
        <v>#DIV/0!</v>
      </c>
      <c r="R70" s="107"/>
      <c r="S70" s="107"/>
      <c r="T70" s="107"/>
      <c r="U70" s="170">
        <f>U10+U20+U30+U40+U50+U60</f>
        <v>361.75</v>
      </c>
      <c r="V70" s="133">
        <f t="shared" si="47"/>
        <v>6447.1319972356596</v>
      </c>
      <c r="X70" s="249">
        <f t="shared" si="48"/>
        <v>67</v>
      </c>
      <c r="Y70" s="249">
        <f t="shared" si="48"/>
        <v>101.2</v>
      </c>
      <c r="Z70" s="274">
        <f t="shared" si="49"/>
        <v>8</v>
      </c>
      <c r="AA70" s="274">
        <f t="shared" si="49"/>
        <v>13</v>
      </c>
      <c r="AB70" s="274">
        <f t="shared" si="49"/>
        <v>14</v>
      </c>
      <c r="AC70" s="275">
        <f t="shared" si="50"/>
        <v>11.666666666666666</v>
      </c>
    </row>
    <row r="71" spans="1:30" ht="23" customHeight="1">
      <c r="A71" s="54" t="s">
        <v>7</v>
      </c>
      <c r="B71" s="42"/>
      <c r="C71" s="41"/>
      <c r="D71" s="41"/>
      <c r="E71" s="41"/>
      <c r="F71" s="41"/>
      <c r="G71" s="101" t="s">
        <v>7</v>
      </c>
      <c r="H71" s="115"/>
      <c r="I71" s="107">
        <f>I21+I11+I31+I41+I51+I61</f>
        <v>792</v>
      </c>
      <c r="J71" s="107">
        <f>J21+J11+J31+J41+J51+J61</f>
        <v>1966750</v>
      </c>
      <c r="K71" s="106">
        <f t="shared" si="43"/>
        <v>2483.2702020202019</v>
      </c>
      <c r="L71" s="107">
        <f>L21+L11+L31+L41+L51+L61</f>
        <v>1216200</v>
      </c>
      <c r="M71" s="107">
        <f t="shared" si="46"/>
        <v>1535.6060606060605</v>
      </c>
      <c r="N71" s="107">
        <f>N21+N11+N31+N41+N51+N61</f>
        <v>5500</v>
      </c>
      <c r="O71" s="107"/>
      <c r="P71" s="73">
        <f>P21+P11+P31+P41+P51+P61</f>
        <v>3188450</v>
      </c>
      <c r="Q71" s="107" t="e">
        <f>Q21+Q11+Q31+Q41+Q51+Q61</f>
        <v>#DIV/0!</v>
      </c>
      <c r="R71" s="107"/>
      <c r="S71" s="107"/>
      <c r="T71" s="107"/>
      <c r="U71" s="170">
        <f>U21+U11+U31+U41+U51+U61</f>
        <v>467.75</v>
      </c>
      <c r="V71" s="133">
        <f t="shared" si="47"/>
        <v>6816.5686798503475</v>
      </c>
      <c r="X71" s="249">
        <f t="shared" si="48"/>
        <v>78.3</v>
      </c>
      <c r="Y71" s="249">
        <f t="shared" si="48"/>
        <v>130.1</v>
      </c>
      <c r="Z71" s="274">
        <f t="shared" si="49"/>
        <v>19</v>
      </c>
      <c r="AA71" s="274">
        <f t="shared" si="49"/>
        <v>21</v>
      </c>
      <c r="AB71" s="274">
        <f t="shared" si="49"/>
        <v>17</v>
      </c>
      <c r="AC71" s="275">
        <f t="shared" si="50"/>
        <v>19</v>
      </c>
    </row>
    <row r="72" spans="1:30" ht="23" customHeight="1">
      <c r="A72" s="54" t="s">
        <v>8</v>
      </c>
      <c r="B72" s="42"/>
      <c r="C72" s="41"/>
      <c r="D72" s="41"/>
      <c r="E72" s="41"/>
      <c r="F72" s="41"/>
      <c r="G72" s="101" t="s">
        <v>8</v>
      </c>
      <c r="H72" s="115"/>
      <c r="I72" s="107">
        <f>I12+I22+I32+I42+I52+I62</f>
        <v>627</v>
      </c>
      <c r="J72" s="107">
        <f>J12+J22+J32+J42+J52+J62</f>
        <v>1604900</v>
      </c>
      <c r="K72" s="106">
        <f t="shared" si="43"/>
        <v>2559.6491228070176</v>
      </c>
      <c r="L72" s="107">
        <f>L12+L22+L32+L42+L52+L62</f>
        <v>924900</v>
      </c>
      <c r="M72" s="107">
        <f t="shared" si="46"/>
        <v>1475.1196172248804</v>
      </c>
      <c r="N72" s="107">
        <f>N12+N22+N32+N42+N52+N62</f>
        <v>35750</v>
      </c>
      <c r="O72" s="107"/>
      <c r="P72" s="73">
        <f t="shared" ref="P72:U73" si="51">P12+P22+P32+P42+P52+P62</f>
        <v>2565550</v>
      </c>
      <c r="Q72" s="107" t="e">
        <f t="shared" si="51"/>
        <v>#DIV/0!</v>
      </c>
      <c r="R72" s="107"/>
      <c r="S72" s="107"/>
      <c r="T72" s="107"/>
      <c r="U72" s="170">
        <f t="shared" si="51"/>
        <v>475</v>
      </c>
      <c r="V72" s="133">
        <f t="shared" si="47"/>
        <v>5401.1578947368425</v>
      </c>
      <c r="X72" s="249">
        <f t="shared" si="48"/>
        <v>88.2</v>
      </c>
      <c r="Y72" s="249">
        <f t="shared" si="48"/>
        <v>120.1</v>
      </c>
      <c r="Z72" s="274">
        <f t="shared" si="49"/>
        <v>16</v>
      </c>
      <c r="AA72" s="274">
        <f t="shared" si="49"/>
        <v>14</v>
      </c>
      <c r="AB72" s="274">
        <f t="shared" si="49"/>
        <v>11</v>
      </c>
      <c r="AC72" s="275">
        <f t="shared" si="50"/>
        <v>13.666666666666666</v>
      </c>
    </row>
    <row r="73" spans="1:30" ht="23" customHeight="1" thickBot="1">
      <c r="A73" s="55" t="s">
        <v>9</v>
      </c>
      <c r="B73" s="42"/>
      <c r="C73" s="41"/>
      <c r="D73" s="41"/>
      <c r="E73" s="41"/>
      <c r="F73" s="41"/>
      <c r="G73" s="111" t="s">
        <v>9</v>
      </c>
      <c r="H73" s="115"/>
      <c r="I73" s="107">
        <f>I13+I23+I33+I43+I53+I63</f>
        <v>1196</v>
      </c>
      <c r="J73" s="107">
        <f>J13+J23+J33+J43+J53+J63</f>
        <v>2821050</v>
      </c>
      <c r="K73" s="106">
        <f t="shared" si="43"/>
        <v>2358.7374581939798</v>
      </c>
      <c r="L73" s="107">
        <f>L13+L23+L33+L43+L53+L63</f>
        <v>1725050</v>
      </c>
      <c r="M73" s="107">
        <f t="shared" si="46"/>
        <v>1442.3494983277592</v>
      </c>
      <c r="N73" s="107">
        <f>N13+N23+N33+N43+N53+N63</f>
        <v>21450</v>
      </c>
      <c r="O73" s="107"/>
      <c r="P73" s="73">
        <f t="shared" si="51"/>
        <v>4567550</v>
      </c>
      <c r="Q73" s="107" t="e">
        <f t="shared" si="51"/>
        <v>#DIV/0!</v>
      </c>
      <c r="R73" s="107"/>
      <c r="S73" s="107"/>
      <c r="T73" s="107"/>
      <c r="U73" s="170">
        <f t="shared" si="51"/>
        <v>437</v>
      </c>
      <c r="V73" s="133">
        <f t="shared" si="47"/>
        <v>10452.059496567506</v>
      </c>
      <c r="W73" s="1">
        <f>W14+W24+W34+W44+W54+W64</f>
        <v>30</v>
      </c>
      <c r="X73" s="250">
        <f>X13+X23+X33+X43+X53+X63</f>
        <v>62.599999999999994</v>
      </c>
      <c r="Y73" s="250">
        <f>Y13+Y23+Y33+Y43+Y53+Y63</f>
        <v>89.6</v>
      </c>
      <c r="Z73" s="274">
        <f t="shared" si="49"/>
        <v>15</v>
      </c>
      <c r="AA73" s="274">
        <f t="shared" si="49"/>
        <v>15</v>
      </c>
      <c r="AB73" s="274">
        <f t="shared" si="49"/>
        <v>16</v>
      </c>
      <c r="AC73" s="276">
        <f t="shared" si="50"/>
        <v>15.333333333333334</v>
      </c>
    </row>
    <row r="74" spans="1:30" s="34" customFormat="1" ht="47" customHeight="1" thickTop="1" thickBot="1">
      <c r="A74" s="56" t="s">
        <v>2</v>
      </c>
      <c r="B74" s="57">
        <f>SUM(B67:B73)</f>
        <v>0</v>
      </c>
      <c r="C74" s="46" t="s">
        <v>36</v>
      </c>
      <c r="D74" s="72" t="e">
        <f>#REF!/F74</f>
        <v>#REF!</v>
      </c>
      <c r="E74" s="45" t="s">
        <v>37</v>
      </c>
      <c r="F74" s="34" t="e">
        <f>#REF!</f>
        <v>#REF!</v>
      </c>
      <c r="G74" s="116" t="s">
        <v>2</v>
      </c>
      <c r="H74" s="117">
        <f>SUM(H67:H73)</f>
        <v>0</v>
      </c>
      <c r="I74" s="58">
        <f>SUM(I67:I73)</f>
        <v>5309</v>
      </c>
      <c r="J74" s="58">
        <f>SUM(J67:J73)</f>
        <v>13013000</v>
      </c>
      <c r="K74" s="58">
        <f t="shared" si="43"/>
        <v>2451.1207383688079</v>
      </c>
      <c r="L74" s="58">
        <f>SUM(L67:L73)</f>
        <v>7831700</v>
      </c>
      <c r="M74" s="58">
        <f>L74/I74</f>
        <v>1475.1742324354868</v>
      </c>
      <c r="N74" s="58">
        <f>SUM(N67:N73)</f>
        <v>110000</v>
      </c>
      <c r="O74" s="58"/>
      <c r="P74" s="58">
        <f>SUM(P67:P73)</f>
        <v>20954700</v>
      </c>
      <c r="Q74" s="58">
        <f>P74/I74</f>
        <v>3947.0145036730082</v>
      </c>
      <c r="R74" s="58"/>
      <c r="S74" s="58"/>
      <c r="T74" s="58"/>
      <c r="U74" s="171">
        <f>SUM(U67:U73)</f>
        <v>2869.25</v>
      </c>
      <c r="V74" s="71">
        <f>P74/U74</f>
        <v>7303.1976997473212</v>
      </c>
      <c r="X74" s="291">
        <f>SUM(X67:X73)/W73</f>
        <v>15.593333333333332</v>
      </c>
      <c r="Y74" s="292">
        <f>SUM(Y67:Y73)/W73</f>
        <v>24.093333333333337</v>
      </c>
      <c r="Z74" s="305">
        <f>SUM(Z67:Z73)/W73</f>
        <v>3.2333333333333334</v>
      </c>
      <c r="AA74" s="305">
        <f>SUM(AA67:AA73)/W73</f>
        <v>3.4</v>
      </c>
      <c r="AB74" s="305">
        <f>SUM(AB67:AB73)/W73</f>
        <v>3.4666666666666668</v>
      </c>
      <c r="AC74" s="306">
        <f>SUM(Z74:AB74)/3</f>
        <v>3.3666666666666667</v>
      </c>
      <c r="AD74" s="302"/>
    </row>
    <row r="75" spans="1:30" s="30" customFormat="1" ht="20.25" hidden="1" customHeight="1" thickTop="1" thickBot="1">
      <c r="A75" s="27" t="s">
        <v>24</v>
      </c>
      <c r="B75" s="37"/>
      <c r="G75" s="27" t="s">
        <v>24</v>
      </c>
      <c r="H75" s="37"/>
      <c r="I75" s="27"/>
      <c r="J75" s="28"/>
      <c r="K75" s="28"/>
      <c r="L75" s="28"/>
      <c r="M75" s="28"/>
      <c r="N75" s="28"/>
      <c r="O75" s="28"/>
      <c r="P75" s="28"/>
      <c r="Q75" s="28"/>
      <c r="R75" s="28"/>
      <c r="S75" s="28"/>
      <c r="T75" s="28"/>
      <c r="U75" s="172"/>
      <c r="V75" s="29"/>
      <c r="AD75" s="303"/>
    </row>
    <row r="76" spans="1:30" ht="30.5" hidden="1" customHeight="1" thickTop="1">
      <c r="A76" s="38"/>
      <c r="B76" s="39"/>
      <c r="G76" s="38"/>
      <c r="H76" s="39"/>
      <c r="I76" s="26"/>
      <c r="J76" s="26"/>
      <c r="K76" s="26"/>
      <c r="L76" s="26"/>
      <c r="M76" s="26"/>
      <c r="N76" s="26"/>
      <c r="O76" s="26"/>
      <c r="P76" s="26"/>
      <c r="Q76" s="26"/>
      <c r="R76" s="26"/>
      <c r="S76" s="26"/>
      <c r="T76" s="26"/>
      <c r="U76" s="173"/>
    </row>
    <row r="77" spans="1:30" ht="32.25" hidden="1" customHeight="1" thickTop="1">
      <c r="A77" s="479" t="s">
        <v>0</v>
      </c>
      <c r="B77" s="480"/>
      <c r="G77" s="479" t="s">
        <v>0</v>
      </c>
      <c r="H77" s="480"/>
      <c r="I77" s="97" t="s">
        <v>25</v>
      </c>
      <c r="J77" s="486"/>
      <c r="K77" s="486"/>
      <c r="L77" s="486"/>
      <c r="M77" s="486"/>
      <c r="N77" s="486"/>
      <c r="O77" s="486"/>
      <c r="P77" s="487"/>
      <c r="Q77" s="62"/>
      <c r="R77" s="62"/>
      <c r="S77" s="62"/>
      <c r="T77" s="62"/>
      <c r="U77" s="174"/>
      <c r="V77" s="8"/>
    </row>
    <row r="78" spans="1:30" ht="32.25" hidden="1" customHeight="1" thickTop="1">
      <c r="A78" s="479"/>
      <c r="B78" s="480"/>
      <c r="G78" s="479"/>
      <c r="H78" s="480"/>
      <c r="I78" s="488" t="s">
        <v>0</v>
      </c>
      <c r="J78" s="489"/>
      <c r="K78" s="489"/>
      <c r="L78" s="489"/>
      <c r="M78" s="489"/>
      <c r="N78" s="489"/>
      <c r="O78" s="489"/>
      <c r="P78" s="490"/>
      <c r="Q78" s="63"/>
      <c r="R78" s="63"/>
      <c r="S78" s="63"/>
      <c r="T78" s="63"/>
      <c r="U78" s="175"/>
    </row>
    <row r="79" spans="1:30" ht="32.25" hidden="1" customHeight="1" thickTop="1">
      <c r="A79" s="479"/>
      <c r="B79" s="480"/>
      <c r="G79" s="479"/>
      <c r="H79" s="480"/>
      <c r="I79" s="3" t="s">
        <v>1</v>
      </c>
      <c r="J79" s="6"/>
      <c r="K79" s="6"/>
      <c r="L79" s="6" t="s">
        <v>20</v>
      </c>
      <c r="M79" s="40"/>
      <c r="N79" s="40"/>
      <c r="O79" s="40"/>
      <c r="P79" s="7" t="s">
        <v>21</v>
      </c>
      <c r="Q79" s="64"/>
      <c r="R79" s="64"/>
      <c r="S79" s="64"/>
      <c r="T79" s="64"/>
      <c r="U79" s="176"/>
      <c r="V79" s="31"/>
    </row>
    <row r="80" spans="1:30" ht="32.25" hidden="1" customHeight="1" thickTop="1">
      <c r="A80" s="479"/>
      <c r="B80" s="480"/>
      <c r="G80" s="479"/>
      <c r="H80" s="480"/>
      <c r="I80" s="20"/>
      <c r="J80" s="4"/>
      <c r="K80" s="4"/>
      <c r="L80" s="12" t="e">
        <f>#REF!*I80</f>
        <v>#REF!</v>
      </c>
      <c r="M80" s="14"/>
      <c r="N80" s="14"/>
      <c r="O80" s="14"/>
      <c r="P80" s="13" t="e">
        <f>#REF!*I80</f>
        <v>#REF!</v>
      </c>
      <c r="Q80" s="65"/>
      <c r="R80" s="65"/>
      <c r="S80" s="65"/>
      <c r="T80" s="65"/>
      <c r="U80" s="177"/>
      <c r="V80" s="32"/>
    </row>
    <row r="81" spans="1:30" ht="21" hidden="1" customHeight="1" thickTop="1">
      <c r="A81" s="479"/>
      <c r="B81" s="480"/>
      <c r="G81" s="479"/>
      <c r="H81" s="480"/>
      <c r="J81" s="9"/>
      <c r="K81" s="9"/>
    </row>
    <row r="82" spans="1:30" ht="32.25" hidden="1" customHeight="1" thickTop="1">
      <c r="A82" s="479"/>
      <c r="B82" s="480"/>
      <c r="G82" s="479"/>
      <c r="H82" s="480"/>
      <c r="I82" s="1" t="s">
        <v>22</v>
      </c>
      <c r="J82" s="10"/>
      <c r="K82" s="10"/>
    </row>
    <row r="83" spans="1:30" ht="32.25" hidden="1" customHeight="1" thickTop="1">
      <c r="A83" s="479"/>
      <c r="B83" s="480"/>
      <c r="G83" s="479"/>
      <c r="H83" s="480"/>
      <c r="I83" s="15" t="s">
        <v>1</v>
      </c>
      <c r="J83" s="15"/>
      <c r="K83" s="15"/>
      <c r="L83" s="15" t="s">
        <v>20</v>
      </c>
      <c r="M83" s="15"/>
      <c r="N83" s="15"/>
      <c r="O83" s="15"/>
      <c r="P83" s="15" t="s">
        <v>21</v>
      </c>
      <c r="Q83" s="50"/>
      <c r="R83" s="50"/>
      <c r="S83" s="50"/>
      <c r="T83" s="50"/>
      <c r="U83" s="178"/>
    </row>
    <row r="84" spans="1:30" s="5" customFormat="1" ht="32.25" hidden="1" customHeight="1" thickTop="1">
      <c r="A84" s="479"/>
      <c r="B84" s="480"/>
      <c r="G84" s="479"/>
      <c r="H84" s="480"/>
      <c r="I84" s="21">
        <f t="shared" ref="I84" si="52">I74-I80</f>
        <v>5309</v>
      </c>
      <c r="J84" s="22"/>
      <c r="K84" s="22"/>
      <c r="L84" s="21" t="e">
        <f t="shared" ref="L84" si="53">L74-L80</f>
        <v>#REF!</v>
      </c>
      <c r="M84" s="21"/>
      <c r="N84" s="21"/>
      <c r="O84" s="21"/>
      <c r="P84" s="21" t="e">
        <f t="shared" ref="P84" si="54">P74-P80</f>
        <v>#REF!</v>
      </c>
      <c r="Q84" s="66"/>
      <c r="R84" s="66"/>
      <c r="S84" s="66"/>
      <c r="T84" s="66"/>
      <c r="U84" s="179"/>
      <c r="V84" s="1"/>
      <c r="AD84" s="304"/>
    </row>
    <row r="85" spans="1:30" s="5" customFormat="1" ht="32.25" hidden="1" customHeight="1" thickTop="1">
      <c r="A85" s="479"/>
      <c r="B85" s="480"/>
      <c r="G85" s="479"/>
      <c r="H85" s="480"/>
      <c r="I85" s="23" t="e">
        <f>I74/I80</f>
        <v>#DIV/0!</v>
      </c>
      <c r="J85" s="23"/>
      <c r="K85" s="23"/>
      <c r="L85" s="23" t="e">
        <f t="shared" ref="L85" si="55">L74/L80</f>
        <v>#REF!</v>
      </c>
      <c r="M85" s="23"/>
      <c r="N85" s="23"/>
      <c r="O85" s="23"/>
      <c r="P85" s="23" t="e">
        <f t="shared" ref="P85" si="56">P74/P80</f>
        <v>#REF!</v>
      </c>
      <c r="Q85" s="67"/>
      <c r="R85" s="67"/>
      <c r="S85" s="67"/>
      <c r="T85" s="67"/>
      <c r="U85" s="180"/>
      <c r="V85" s="1"/>
      <c r="AD85" s="304"/>
    </row>
    <row r="86" spans="1:30" s="5" customFormat="1" ht="32.25" hidden="1" customHeight="1" thickTop="1">
      <c r="A86" s="479"/>
      <c r="B86" s="480"/>
      <c r="G86" s="479"/>
      <c r="H86" s="480"/>
      <c r="I86" s="1" t="s">
        <v>26</v>
      </c>
      <c r="J86" s="1"/>
      <c r="K86" s="1"/>
      <c r="L86" s="1"/>
      <c r="M86" s="1"/>
      <c r="N86" s="1"/>
      <c r="O86" s="1"/>
      <c r="P86" s="1"/>
      <c r="Q86" s="1"/>
      <c r="R86" s="1"/>
      <c r="S86" s="1"/>
      <c r="T86" s="1"/>
      <c r="U86" s="165"/>
      <c r="V86" s="1"/>
      <c r="AD86" s="304"/>
    </row>
    <row r="87" spans="1:30" s="5" customFormat="1" ht="32.25" hidden="1" customHeight="1" thickTop="1">
      <c r="A87" s="479"/>
      <c r="B87" s="480"/>
      <c r="G87" s="479"/>
      <c r="H87" s="480"/>
      <c r="I87" s="15" t="s">
        <v>1</v>
      </c>
      <c r="J87" s="15"/>
      <c r="K87" s="15"/>
      <c r="L87" s="15" t="s">
        <v>20</v>
      </c>
      <c r="M87" s="15"/>
      <c r="N87" s="15"/>
      <c r="O87" s="15"/>
      <c r="P87" s="15" t="s">
        <v>21</v>
      </c>
      <c r="Q87" s="50"/>
      <c r="R87" s="50"/>
      <c r="S87" s="50"/>
      <c r="T87" s="50"/>
      <c r="U87" s="178"/>
      <c r="V87" s="1"/>
      <c r="AD87" s="304"/>
    </row>
    <row r="88" spans="1:30" s="5" customFormat="1" ht="32.25" hidden="1" customHeight="1" thickTop="1">
      <c r="A88" s="479"/>
      <c r="B88" s="480"/>
      <c r="G88" s="479"/>
      <c r="H88" s="480"/>
      <c r="I88" s="16"/>
      <c r="J88" s="18"/>
      <c r="K88" s="18"/>
      <c r="L88" s="17"/>
      <c r="M88" s="17"/>
      <c r="N88" s="17"/>
      <c r="O88" s="17"/>
      <c r="P88" s="17"/>
      <c r="Q88" s="68"/>
      <c r="R88" s="68"/>
      <c r="S88" s="68"/>
      <c r="T88" s="68"/>
      <c r="U88" s="181"/>
      <c r="V88" s="1"/>
      <c r="AD88" s="304"/>
    </row>
    <row r="89" spans="1:30" s="5" customFormat="1" ht="32.25" hidden="1" customHeight="1" thickTop="1">
      <c r="A89" s="479"/>
      <c r="B89" s="480"/>
      <c r="G89" s="479"/>
      <c r="H89" s="480"/>
      <c r="I89" s="1" t="s">
        <v>23</v>
      </c>
      <c r="J89" s="1"/>
      <c r="K89" s="1"/>
      <c r="L89" s="1"/>
      <c r="M89" s="1"/>
      <c r="N89" s="1"/>
      <c r="O89" s="1"/>
      <c r="P89" s="1"/>
      <c r="Q89" s="1"/>
      <c r="R89" s="1"/>
      <c r="S89" s="1"/>
      <c r="T89" s="1"/>
      <c r="U89" s="165"/>
      <c r="V89" s="1"/>
      <c r="AD89" s="304"/>
    </row>
    <row r="90" spans="1:30" s="5" customFormat="1" ht="32.25" hidden="1" customHeight="1" thickTop="1">
      <c r="A90" s="479"/>
      <c r="B90" s="480"/>
      <c r="G90" s="479"/>
      <c r="H90" s="480"/>
      <c r="I90" s="15" t="s">
        <v>1</v>
      </c>
      <c r="J90" s="15"/>
      <c r="K90" s="15"/>
      <c r="L90" s="15" t="s">
        <v>20</v>
      </c>
      <c r="M90" s="15"/>
      <c r="N90" s="15"/>
      <c r="O90" s="15"/>
      <c r="P90" s="15" t="s">
        <v>21</v>
      </c>
      <c r="Q90" s="50"/>
      <c r="R90" s="50"/>
      <c r="S90" s="50"/>
      <c r="T90" s="50"/>
      <c r="U90" s="178"/>
      <c r="V90" s="1"/>
      <c r="AD90" s="304"/>
    </row>
    <row r="91" spans="1:30" s="5" customFormat="1" ht="30" hidden="1" customHeight="1" thickTop="1">
      <c r="A91" s="479"/>
      <c r="B91" s="480"/>
      <c r="G91" s="479"/>
      <c r="H91" s="480"/>
      <c r="I91" s="16">
        <f>I74-I88</f>
        <v>5309</v>
      </c>
      <c r="J91" s="16"/>
      <c r="K91" s="16"/>
      <c r="L91" s="16">
        <f t="shared" ref="L91" si="57">L74-L88</f>
        <v>7831700</v>
      </c>
      <c r="M91" s="16"/>
      <c r="N91" s="16"/>
      <c r="O91" s="16"/>
      <c r="P91" s="16">
        <f t="shared" ref="P91" si="58">P74-P88</f>
        <v>20954700</v>
      </c>
      <c r="Q91" s="69"/>
      <c r="R91" s="69"/>
      <c r="S91" s="69"/>
      <c r="T91" s="69"/>
      <c r="U91" s="182"/>
      <c r="V91" s="1"/>
      <c r="AD91" s="304"/>
    </row>
    <row r="92" spans="1:30" s="5" customFormat="1" ht="32" hidden="1" customHeight="1" thickTop="1">
      <c r="A92" s="479"/>
      <c r="B92" s="480"/>
      <c r="G92" s="479"/>
      <c r="H92" s="480"/>
      <c r="I92" s="47" t="e">
        <f>I74/I88</f>
        <v>#DIV/0!</v>
      </c>
      <c r="J92" s="19"/>
      <c r="K92" s="19"/>
      <c r="L92" s="19" t="e">
        <f t="shared" ref="L92" si="59">L74/L88</f>
        <v>#DIV/0!</v>
      </c>
      <c r="M92" s="19"/>
      <c r="N92" s="19"/>
      <c r="O92" s="19"/>
      <c r="P92" s="19" t="e">
        <f t="shared" ref="P92" si="60">P74/P88</f>
        <v>#DIV/0!</v>
      </c>
      <c r="Q92" s="51"/>
      <c r="R92" s="51"/>
      <c r="S92" s="51"/>
      <c r="T92" s="51"/>
      <c r="U92" s="183"/>
      <c r="V92" s="11"/>
      <c r="AD92" s="304"/>
    </row>
    <row r="93" spans="1:30" s="5" customFormat="1" ht="39" customHeight="1" thickTop="1">
      <c r="A93" s="527" t="s">
        <v>39</v>
      </c>
      <c r="B93" s="527"/>
      <c r="G93" s="59"/>
      <c r="H93" s="59"/>
      <c r="I93" s="59"/>
      <c r="J93" s="476"/>
      <c r="K93" s="476"/>
      <c r="L93" s="1"/>
      <c r="M93" s="1"/>
      <c r="N93" s="130" t="s">
        <v>81</v>
      </c>
      <c r="O93" s="130"/>
      <c r="P93" s="123">
        <f>P74/1.1</f>
        <v>19049727.27272727</v>
      </c>
      <c r="Q93" s="129" t="s">
        <v>80</v>
      </c>
      <c r="R93" s="129"/>
      <c r="S93" s="129"/>
      <c r="T93" s="129"/>
      <c r="U93" s="207" t="e">
        <f>P93/#REF!</f>
        <v>#REF!</v>
      </c>
      <c r="V93" s="541" t="e">
        <f>P93-#REF!</f>
        <v>#REF!</v>
      </c>
      <c r="W93" s="529"/>
      <c r="X93" s="529"/>
      <c r="Y93" s="529"/>
      <c r="Z93" s="529"/>
      <c r="AD93" s="304"/>
    </row>
    <row r="94" spans="1:30" s="5" customFormat="1" ht="21" customHeight="1" thickBot="1">
      <c r="A94" s="527"/>
      <c r="B94" s="527"/>
      <c r="G94" s="1"/>
      <c r="H94" s="1"/>
      <c r="I94" s="1"/>
      <c r="J94" s="35"/>
      <c r="K94" s="35"/>
      <c r="L94" s="1"/>
      <c r="M94" s="1"/>
      <c r="N94" s="1"/>
      <c r="O94" s="1"/>
      <c r="P94" s="1"/>
      <c r="Q94" s="1"/>
      <c r="R94" s="1"/>
      <c r="S94" s="1"/>
      <c r="T94" s="1"/>
      <c r="U94" s="165"/>
      <c r="V94" s="1"/>
      <c r="AD94" s="304"/>
    </row>
    <row r="95" spans="1:30" ht="66" customHeight="1" thickTop="1" thickBot="1">
      <c r="A95" s="527"/>
      <c r="B95" s="527"/>
      <c r="J95" s="51"/>
      <c r="K95" s="51"/>
      <c r="L95" s="530" t="s">
        <v>44</v>
      </c>
      <c r="M95" s="531"/>
      <c r="N95" s="531"/>
      <c r="O95" s="531"/>
      <c r="P95" s="531"/>
      <c r="Q95" s="61"/>
      <c r="R95" s="61"/>
      <c r="S95" s="61"/>
      <c r="T95" s="61"/>
      <c r="U95" s="184"/>
      <c r="V95" s="60" t="e">
        <f>V74+#REF!</f>
        <v>#REF!</v>
      </c>
    </row>
    <row r="96" spans="1:30" ht="19" thickTop="1"/>
    <row r="97" spans="1:30" ht="32" customHeight="1"/>
    <row r="98" spans="1:30" s="24" customFormat="1" ht="34.25" customHeight="1">
      <c r="A98" s="33" t="s">
        <v>53</v>
      </c>
      <c r="B98" s="34"/>
      <c r="U98" s="165"/>
      <c r="AD98" s="25"/>
    </row>
    <row r="99" spans="1:30" s="80" customFormat="1" ht="32" customHeight="1">
      <c r="A99" s="528" t="s">
        <v>54</v>
      </c>
      <c r="B99" s="528"/>
      <c r="U99" s="185"/>
      <c r="AD99" s="130"/>
    </row>
    <row r="100" spans="1:30" ht="73" customHeight="1">
      <c r="A100" s="460" t="s">
        <v>55</v>
      </c>
      <c r="B100" s="460"/>
    </row>
    <row r="101" spans="1:30" ht="73" customHeight="1">
      <c r="A101" s="460" t="s">
        <v>56</v>
      </c>
      <c r="B101" s="460"/>
    </row>
    <row r="102" spans="1:30" ht="73" customHeight="1">
      <c r="A102" s="460" t="s">
        <v>57</v>
      </c>
      <c r="B102" s="460"/>
    </row>
    <row r="103" spans="1:30" ht="73" customHeight="1">
      <c r="A103" s="460" t="s">
        <v>58</v>
      </c>
      <c r="B103" s="460"/>
    </row>
    <row r="104" spans="1:30" ht="73" customHeight="1">
      <c r="A104" s="460" t="s">
        <v>59</v>
      </c>
      <c r="B104" s="460"/>
    </row>
    <row r="105" spans="1:30" ht="73" customHeight="1">
      <c r="A105" s="460" t="s">
        <v>49</v>
      </c>
      <c r="B105" s="460"/>
    </row>
    <row r="106" spans="1:30" ht="73" customHeight="1">
      <c r="A106" s="460" t="s">
        <v>50</v>
      </c>
      <c r="B106" s="460"/>
    </row>
    <row r="107" spans="1:30" ht="73" customHeight="1">
      <c r="A107" s="460"/>
      <c r="B107" s="460"/>
    </row>
    <row r="108" spans="1:30" ht="73" customHeight="1">
      <c r="A108" s="529"/>
      <c r="B108" s="529"/>
    </row>
    <row r="109" spans="1:30" ht="32" customHeight="1"/>
    <row r="110" spans="1:30" ht="32" customHeight="1"/>
    <row r="111" spans="1:30" ht="32" customHeight="1"/>
    <row r="112" spans="1:30" ht="32" customHeight="1"/>
    <row r="113" ht="32" customHeight="1"/>
  </sheetData>
  <mergeCells count="66">
    <mergeCell ref="R3:U3"/>
    <mergeCell ref="R4:U4"/>
    <mergeCell ref="A108:B108"/>
    <mergeCell ref="A107:B107"/>
    <mergeCell ref="A106:B106"/>
    <mergeCell ref="AE14:AI14"/>
    <mergeCell ref="AE24:AI24"/>
    <mergeCell ref="AE34:AI34"/>
    <mergeCell ref="AE44:AI44"/>
    <mergeCell ref="AE54:AI54"/>
    <mergeCell ref="AE64:AI64"/>
    <mergeCell ref="X35:AC35"/>
    <mergeCell ref="X45:AC45"/>
    <mergeCell ref="X55:AC55"/>
    <mergeCell ref="A103:B103"/>
    <mergeCell ref="A101:B101"/>
    <mergeCell ref="A102:B102"/>
    <mergeCell ref="A105:B105"/>
    <mergeCell ref="A104:B104"/>
    <mergeCell ref="A93:B95"/>
    <mergeCell ref="A55:B55"/>
    <mergeCell ref="A64:B64"/>
    <mergeCell ref="A77:B92"/>
    <mergeCell ref="A100:B100"/>
    <mergeCell ref="A99:B99"/>
    <mergeCell ref="L95:P95"/>
    <mergeCell ref="M4:N4"/>
    <mergeCell ref="A2:B2"/>
    <mergeCell ref="A3:B3"/>
    <mergeCell ref="A4:B4"/>
    <mergeCell ref="A15:B15"/>
    <mergeCell ref="A24:B24"/>
    <mergeCell ref="A5:B5"/>
    <mergeCell ref="A14:B14"/>
    <mergeCell ref="A35:B35"/>
    <mergeCell ref="A44:B44"/>
    <mergeCell ref="A25:B25"/>
    <mergeCell ref="A34:B34"/>
    <mergeCell ref="A45:B45"/>
    <mergeCell ref="A54:B54"/>
    <mergeCell ref="A65:B65"/>
    <mergeCell ref="G77:H92"/>
    <mergeCell ref="J77:P77"/>
    <mergeCell ref="I78:P78"/>
    <mergeCell ref="J93:K93"/>
    <mergeCell ref="X4:AC4"/>
    <mergeCell ref="X5:AC5"/>
    <mergeCell ref="X15:AC15"/>
    <mergeCell ref="X25:AC25"/>
    <mergeCell ref="X65:AC65"/>
    <mergeCell ref="V93:Z93"/>
    <mergeCell ref="G3:Q3"/>
    <mergeCell ref="G4:H4"/>
    <mergeCell ref="G5:V5"/>
    <mergeCell ref="G14:H14"/>
    <mergeCell ref="G15:V15"/>
    <mergeCell ref="G24:H24"/>
    <mergeCell ref="G25:V25"/>
    <mergeCell ref="G34:H34"/>
    <mergeCell ref="G35:V35"/>
    <mergeCell ref="G44:H44"/>
    <mergeCell ref="G45:V45"/>
    <mergeCell ref="G54:H54"/>
    <mergeCell ref="G55:V55"/>
    <mergeCell ref="G64:H64"/>
    <mergeCell ref="G65:V65"/>
  </mergeCells>
  <phoneticPr fontId="1"/>
  <pageMargins left="0.7" right="0.7" top="0.75" bottom="0.75" header="0.3" footer="0.3"/>
  <pageSetup paperSize="8" scale="18"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DE0C0-877B-1845-A067-CE1A2431245F}">
  <sheetPr>
    <tabColor rgb="FFFFC000"/>
  </sheetPr>
  <dimension ref="A1:Z54"/>
  <sheetViews>
    <sheetView topLeftCell="A12" workbookViewId="0"/>
  </sheetViews>
  <sheetFormatPr baseColWidth="10" defaultRowHeight="19"/>
  <cols>
    <col min="1" max="1" width="17.33203125" style="319" customWidth="1"/>
    <col min="2" max="7" width="11.5" style="319" bestFit="1" customWidth="1"/>
    <col min="8" max="9" width="12.5" style="319" bestFit="1" customWidth="1"/>
    <col min="10" max="10" width="11.5" style="319" bestFit="1" customWidth="1"/>
    <col min="11" max="11" width="11.5" style="319" customWidth="1"/>
    <col min="12" max="12" width="14.6640625" style="319" bestFit="1" customWidth="1"/>
    <col min="13" max="16384" width="10.83203125" style="319"/>
  </cols>
  <sheetData>
    <row r="1" spans="1:26" ht="45" customHeight="1">
      <c r="A1" s="333" t="s">
        <v>302</v>
      </c>
    </row>
    <row r="2" spans="1:26" s="322" customFormat="1">
      <c r="A2" s="498" t="s">
        <v>141</v>
      </c>
      <c r="B2" s="517" t="s">
        <v>0</v>
      </c>
      <c r="C2" s="517"/>
      <c r="D2" s="517"/>
      <c r="E2" s="518" t="s">
        <v>199</v>
      </c>
      <c r="F2" s="518"/>
      <c r="G2" s="514" t="s">
        <v>200</v>
      </c>
      <c r="H2" s="515"/>
      <c r="I2" s="515"/>
      <c r="J2" s="515"/>
      <c r="K2" s="516"/>
      <c r="L2" s="498" t="s">
        <v>151</v>
      </c>
    </row>
    <row r="3" spans="1:26" s="322" customFormat="1">
      <c r="A3" s="498"/>
      <c r="B3" s="329" t="s">
        <v>142</v>
      </c>
      <c r="C3" s="329" t="s">
        <v>143</v>
      </c>
      <c r="D3" s="329" t="s">
        <v>144</v>
      </c>
      <c r="E3" s="323" t="s">
        <v>145</v>
      </c>
      <c r="F3" s="323" t="s">
        <v>146</v>
      </c>
      <c r="G3" s="331" t="s">
        <v>147</v>
      </c>
      <c r="H3" s="331" t="s">
        <v>148</v>
      </c>
      <c r="I3" s="331" t="s">
        <v>149</v>
      </c>
      <c r="J3" s="331" t="s">
        <v>150</v>
      </c>
      <c r="K3" s="331" t="s">
        <v>204</v>
      </c>
      <c r="L3" s="498"/>
    </row>
    <row r="4" spans="1:26">
      <c r="A4" s="324" t="s">
        <v>272</v>
      </c>
      <c r="B4" s="330">
        <v>60500</v>
      </c>
      <c r="C4" s="330">
        <v>68450</v>
      </c>
      <c r="D4" s="330">
        <v>33000</v>
      </c>
      <c r="E4" s="325">
        <v>20200</v>
      </c>
      <c r="F4" s="325">
        <v>12000</v>
      </c>
      <c r="G4" s="332">
        <v>64600</v>
      </c>
      <c r="H4" s="332">
        <v>125650</v>
      </c>
      <c r="I4" s="332">
        <v>48200</v>
      </c>
      <c r="J4" s="332">
        <v>600</v>
      </c>
      <c r="K4" s="332">
        <v>0</v>
      </c>
      <c r="L4" s="325">
        <v>433200</v>
      </c>
      <c r="N4" s="316"/>
      <c r="O4" s="316"/>
      <c r="P4" s="317"/>
      <c r="Q4" s="317"/>
      <c r="R4" s="317"/>
      <c r="S4" s="317"/>
      <c r="T4" s="317"/>
      <c r="U4" s="317"/>
      <c r="V4" s="317"/>
      <c r="W4" s="317"/>
      <c r="X4" s="317"/>
      <c r="Y4" s="317"/>
      <c r="Z4" s="317"/>
    </row>
    <row r="5" spans="1:26">
      <c r="A5" s="324" t="s">
        <v>273</v>
      </c>
      <c r="B5" s="330">
        <v>81300</v>
      </c>
      <c r="C5" s="330">
        <v>29350</v>
      </c>
      <c r="D5" s="330">
        <v>23600</v>
      </c>
      <c r="E5" s="325">
        <v>5700</v>
      </c>
      <c r="F5" s="325">
        <v>34250</v>
      </c>
      <c r="G5" s="332">
        <v>47700</v>
      </c>
      <c r="H5" s="332">
        <v>96800</v>
      </c>
      <c r="I5" s="332">
        <v>74350</v>
      </c>
      <c r="J5" s="332">
        <v>0</v>
      </c>
      <c r="K5" s="332">
        <v>0</v>
      </c>
      <c r="L5" s="325">
        <v>393050</v>
      </c>
      <c r="N5" s="316"/>
      <c r="O5" s="316"/>
      <c r="P5" s="317"/>
      <c r="Q5" s="317"/>
      <c r="R5" s="317"/>
      <c r="S5" s="317"/>
      <c r="T5" s="317"/>
      <c r="U5" s="317"/>
      <c r="V5" s="317"/>
      <c r="W5" s="317"/>
      <c r="X5" s="317"/>
      <c r="Y5" s="317"/>
      <c r="Z5" s="317"/>
    </row>
    <row r="6" spans="1:26">
      <c r="A6" s="324" t="s">
        <v>274</v>
      </c>
      <c r="B6" s="330">
        <v>71500</v>
      </c>
      <c r="C6" s="330">
        <v>12350</v>
      </c>
      <c r="D6" s="330">
        <v>28700</v>
      </c>
      <c r="E6" s="325">
        <v>41450</v>
      </c>
      <c r="F6" s="325">
        <v>32900</v>
      </c>
      <c r="G6" s="332">
        <v>90350</v>
      </c>
      <c r="H6" s="332">
        <v>62400</v>
      </c>
      <c r="I6" s="332">
        <v>2800</v>
      </c>
      <c r="J6" s="332">
        <v>0</v>
      </c>
      <c r="K6" s="332">
        <v>0</v>
      </c>
      <c r="L6" s="325">
        <v>342450</v>
      </c>
      <c r="N6" s="316"/>
      <c r="O6" s="316"/>
      <c r="P6" s="317"/>
      <c r="Q6" s="317"/>
      <c r="R6" s="317"/>
      <c r="S6" s="317"/>
      <c r="T6" s="317"/>
      <c r="U6" s="317"/>
      <c r="V6" s="317"/>
      <c r="W6" s="317"/>
      <c r="X6" s="317"/>
      <c r="Y6" s="317"/>
      <c r="Z6" s="317"/>
    </row>
    <row r="7" spans="1:26">
      <c r="A7" s="324" t="s">
        <v>275</v>
      </c>
      <c r="B7" s="330">
        <v>56250</v>
      </c>
      <c r="C7" s="330">
        <v>50150</v>
      </c>
      <c r="D7" s="330">
        <v>4350</v>
      </c>
      <c r="E7" s="325">
        <v>2800</v>
      </c>
      <c r="F7" s="325">
        <v>11000</v>
      </c>
      <c r="G7" s="332">
        <v>38500</v>
      </c>
      <c r="H7" s="332">
        <v>26700</v>
      </c>
      <c r="I7" s="332">
        <v>44950</v>
      </c>
      <c r="J7" s="332">
        <v>0</v>
      </c>
      <c r="K7" s="332">
        <v>0</v>
      </c>
      <c r="L7" s="325">
        <v>234700</v>
      </c>
      <c r="N7" s="316"/>
      <c r="O7" s="316"/>
      <c r="P7" s="317"/>
      <c r="Q7" s="317"/>
      <c r="R7" s="317"/>
      <c r="S7" s="317"/>
      <c r="T7" s="317"/>
      <c r="U7" s="317"/>
      <c r="V7" s="317"/>
      <c r="W7" s="317"/>
      <c r="X7" s="317"/>
      <c r="Y7" s="317"/>
      <c r="Z7" s="317"/>
    </row>
    <row r="8" spans="1:26">
      <c r="A8" s="324" t="s">
        <v>276</v>
      </c>
      <c r="B8" s="330">
        <v>32650</v>
      </c>
      <c r="C8" s="330">
        <v>28600</v>
      </c>
      <c r="D8" s="330">
        <v>5500</v>
      </c>
      <c r="E8" s="325">
        <v>12700</v>
      </c>
      <c r="F8" s="325">
        <v>0</v>
      </c>
      <c r="G8" s="332">
        <v>8200</v>
      </c>
      <c r="H8" s="332">
        <v>11000</v>
      </c>
      <c r="I8" s="332">
        <v>6800</v>
      </c>
      <c r="J8" s="332">
        <v>0</v>
      </c>
      <c r="K8" s="332">
        <v>0</v>
      </c>
      <c r="L8" s="325">
        <v>105450</v>
      </c>
      <c r="N8" s="316"/>
      <c r="O8" s="316"/>
      <c r="P8" s="317"/>
      <c r="Q8" s="317"/>
      <c r="R8" s="317"/>
      <c r="S8" s="317"/>
      <c r="T8" s="317"/>
      <c r="U8" s="317"/>
      <c r="V8" s="317"/>
      <c r="W8" s="317"/>
      <c r="X8" s="317"/>
      <c r="Y8" s="317"/>
      <c r="Z8" s="317"/>
    </row>
    <row r="9" spans="1:26">
      <c r="A9" s="324" t="s">
        <v>277</v>
      </c>
      <c r="B9" s="330">
        <v>22850</v>
      </c>
      <c r="C9" s="330">
        <v>39800</v>
      </c>
      <c r="D9" s="330">
        <v>13300</v>
      </c>
      <c r="E9" s="325">
        <v>23300</v>
      </c>
      <c r="F9" s="325">
        <v>21500</v>
      </c>
      <c r="G9" s="332">
        <v>2800</v>
      </c>
      <c r="H9" s="332">
        <v>104650</v>
      </c>
      <c r="I9" s="332">
        <v>20450</v>
      </c>
      <c r="J9" s="332">
        <v>5700</v>
      </c>
      <c r="K9" s="332">
        <v>0</v>
      </c>
      <c r="L9" s="325">
        <v>254350</v>
      </c>
      <c r="N9" s="316"/>
      <c r="O9" s="316"/>
      <c r="P9" s="317"/>
      <c r="Q9" s="317"/>
      <c r="R9" s="317"/>
      <c r="S9" s="317"/>
      <c r="T9" s="317"/>
      <c r="U9" s="317"/>
      <c r="V9" s="317"/>
      <c r="W9" s="317"/>
      <c r="X9" s="317"/>
      <c r="Y9" s="317"/>
      <c r="Z9" s="317"/>
    </row>
    <row r="10" spans="1:26">
      <c r="A10" s="324" t="s">
        <v>278</v>
      </c>
      <c r="B10" s="330">
        <v>39050</v>
      </c>
      <c r="C10" s="330">
        <v>11000</v>
      </c>
      <c r="D10" s="330">
        <v>10500</v>
      </c>
      <c r="E10" s="325">
        <v>17700</v>
      </c>
      <c r="F10" s="325">
        <v>21400</v>
      </c>
      <c r="G10" s="332">
        <v>24400</v>
      </c>
      <c r="H10" s="332">
        <v>56700</v>
      </c>
      <c r="I10" s="332">
        <v>0</v>
      </c>
      <c r="J10" s="332">
        <v>0</v>
      </c>
      <c r="K10" s="332">
        <v>0</v>
      </c>
      <c r="L10" s="325">
        <v>180750</v>
      </c>
      <c r="N10" s="316"/>
      <c r="O10" s="316"/>
      <c r="P10" s="317"/>
      <c r="Q10" s="317"/>
      <c r="R10" s="317"/>
      <c r="S10" s="317"/>
      <c r="T10" s="317"/>
      <c r="U10" s="317"/>
      <c r="V10" s="317"/>
      <c r="W10" s="317"/>
      <c r="X10" s="317"/>
      <c r="Y10" s="317"/>
      <c r="Z10" s="317"/>
    </row>
    <row r="11" spans="1:26">
      <c r="A11" s="324" t="s">
        <v>279</v>
      </c>
      <c r="B11" s="330">
        <v>76400</v>
      </c>
      <c r="C11" s="330">
        <v>70600</v>
      </c>
      <c r="D11" s="330">
        <v>43450</v>
      </c>
      <c r="E11" s="325">
        <v>35850</v>
      </c>
      <c r="F11" s="325">
        <v>20500</v>
      </c>
      <c r="G11" s="332">
        <v>74550</v>
      </c>
      <c r="H11" s="332">
        <v>124000</v>
      </c>
      <c r="I11" s="332">
        <v>51300</v>
      </c>
      <c r="J11" s="332">
        <v>11400</v>
      </c>
      <c r="K11" s="332">
        <v>0</v>
      </c>
      <c r="L11" s="325">
        <v>508050</v>
      </c>
      <c r="N11" s="316"/>
      <c r="O11" s="316"/>
      <c r="P11" s="317"/>
      <c r="Q11" s="317"/>
      <c r="R11" s="317"/>
      <c r="S11" s="317"/>
      <c r="T11" s="317"/>
      <c r="U11" s="317"/>
      <c r="V11" s="317"/>
      <c r="W11" s="317"/>
      <c r="X11" s="317"/>
      <c r="Y11" s="317"/>
      <c r="Z11" s="317"/>
    </row>
    <row r="12" spans="1:26">
      <c r="A12" s="324" t="s">
        <v>280</v>
      </c>
      <c r="B12" s="330">
        <v>6050</v>
      </c>
      <c r="C12" s="330">
        <v>0</v>
      </c>
      <c r="D12" s="330">
        <v>4400</v>
      </c>
      <c r="E12" s="325">
        <v>2450</v>
      </c>
      <c r="F12" s="325">
        <v>13700</v>
      </c>
      <c r="G12" s="332">
        <v>53650</v>
      </c>
      <c r="H12" s="332">
        <v>52850</v>
      </c>
      <c r="I12" s="332">
        <v>27500</v>
      </c>
      <c r="J12" s="332">
        <v>0</v>
      </c>
      <c r="K12" s="332">
        <v>0</v>
      </c>
      <c r="L12" s="325">
        <v>160600</v>
      </c>
      <c r="N12" s="316"/>
      <c r="O12" s="316"/>
      <c r="P12" s="317"/>
      <c r="Q12" s="317"/>
      <c r="R12" s="317"/>
      <c r="S12" s="317"/>
      <c r="T12" s="317"/>
      <c r="U12" s="317"/>
      <c r="V12" s="317"/>
      <c r="W12" s="317"/>
      <c r="X12" s="317"/>
      <c r="Y12" s="317"/>
      <c r="Z12" s="317"/>
    </row>
    <row r="13" spans="1:26">
      <c r="A13" s="324" t="s">
        <v>281</v>
      </c>
      <c r="B13" s="330">
        <v>145700</v>
      </c>
      <c r="C13" s="330">
        <v>164600</v>
      </c>
      <c r="D13" s="330">
        <v>96000</v>
      </c>
      <c r="E13" s="325">
        <v>27750</v>
      </c>
      <c r="F13" s="325">
        <v>86000</v>
      </c>
      <c r="G13" s="332">
        <v>82950</v>
      </c>
      <c r="H13" s="332">
        <v>99100</v>
      </c>
      <c r="I13" s="332">
        <v>67400</v>
      </c>
      <c r="J13" s="332">
        <v>5250</v>
      </c>
      <c r="K13" s="332">
        <v>1200</v>
      </c>
      <c r="L13" s="325">
        <v>775950</v>
      </c>
      <c r="N13" s="316"/>
      <c r="O13" s="316"/>
      <c r="P13" s="317"/>
      <c r="Q13" s="317"/>
      <c r="R13" s="317"/>
      <c r="S13" s="317"/>
      <c r="T13" s="317"/>
      <c r="U13" s="317"/>
      <c r="V13" s="317"/>
      <c r="W13" s="317"/>
      <c r="X13" s="317"/>
      <c r="Y13" s="317"/>
      <c r="Z13" s="317"/>
    </row>
    <row r="14" spans="1:26">
      <c r="A14" s="324" t="s">
        <v>282</v>
      </c>
      <c r="B14" s="330">
        <v>288600</v>
      </c>
      <c r="C14" s="330">
        <v>163300</v>
      </c>
      <c r="D14" s="330">
        <v>153000</v>
      </c>
      <c r="E14" s="325">
        <v>149900</v>
      </c>
      <c r="F14" s="325">
        <v>152250</v>
      </c>
      <c r="G14" s="332">
        <v>130300</v>
      </c>
      <c r="H14" s="332">
        <v>183250</v>
      </c>
      <c r="I14" s="332">
        <v>107050</v>
      </c>
      <c r="J14" s="332">
        <v>41600</v>
      </c>
      <c r="K14" s="332">
        <v>0</v>
      </c>
      <c r="L14" s="325">
        <v>1369250</v>
      </c>
      <c r="N14" s="316"/>
      <c r="O14" s="316"/>
      <c r="P14" s="317"/>
      <c r="Q14" s="317"/>
      <c r="R14" s="317"/>
      <c r="S14" s="317"/>
      <c r="T14" s="317"/>
      <c r="U14" s="317"/>
      <c r="V14" s="317"/>
      <c r="W14" s="317"/>
      <c r="X14" s="317"/>
      <c r="Y14" s="317"/>
      <c r="Z14" s="317"/>
    </row>
    <row r="15" spans="1:26">
      <c r="A15" s="324" t="s">
        <v>283</v>
      </c>
      <c r="B15" s="330">
        <v>179650</v>
      </c>
      <c r="C15" s="330">
        <v>51350</v>
      </c>
      <c r="D15" s="330">
        <v>64800</v>
      </c>
      <c r="E15" s="325">
        <v>24150</v>
      </c>
      <c r="F15" s="325">
        <v>38500</v>
      </c>
      <c r="G15" s="332">
        <v>84250</v>
      </c>
      <c r="H15" s="332">
        <v>58500</v>
      </c>
      <c r="I15" s="332">
        <v>31450</v>
      </c>
      <c r="J15" s="332">
        <v>2050</v>
      </c>
      <c r="K15" s="332">
        <v>0</v>
      </c>
      <c r="L15" s="325">
        <v>534700</v>
      </c>
      <c r="N15" s="316"/>
      <c r="O15" s="316"/>
      <c r="P15" s="317"/>
      <c r="Q15" s="317"/>
      <c r="R15" s="317"/>
      <c r="S15" s="317"/>
      <c r="T15" s="317"/>
      <c r="U15" s="317"/>
      <c r="V15" s="317"/>
      <c r="W15" s="317"/>
      <c r="X15" s="317"/>
      <c r="Y15" s="317"/>
      <c r="Z15" s="317"/>
    </row>
    <row r="16" spans="1:26">
      <c r="A16" s="324" t="s">
        <v>284</v>
      </c>
      <c r="B16" s="330">
        <v>41250</v>
      </c>
      <c r="C16" s="330">
        <v>10200</v>
      </c>
      <c r="D16" s="330">
        <v>38100</v>
      </c>
      <c r="E16" s="325">
        <v>87700</v>
      </c>
      <c r="F16" s="325">
        <v>13250</v>
      </c>
      <c r="G16" s="332">
        <v>9800</v>
      </c>
      <c r="H16" s="332">
        <v>78600</v>
      </c>
      <c r="I16" s="332">
        <v>27950</v>
      </c>
      <c r="J16" s="332">
        <v>0</v>
      </c>
      <c r="K16" s="332">
        <v>0</v>
      </c>
      <c r="L16" s="325">
        <v>306850</v>
      </c>
      <c r="N16" s="316"/>
      <c r="O16" s="316"/>
      <c r="P16" s="317"/>
      <c r="Q16" s="317"/>
      <c r="R16" s="317"/>
      <c r="S16" s="317"/>
      <c r="T16" s="317"/>
      <c r="U16" s="317"/>
      <c r="V16" s="317"/>
      <c r="W16" s="317"/>
      <c r="X16" s="317"/>
      <c r="Y16" s="317"/>
      <c r="Z16" s="317"/>
    </row>
    <row r="17" spans="1:26">
      <c r="A17" s="324" t="s">
        <v>285</v>
      </c>
      <c r="B17" s="330">
        <v>46700</v>
      </c>
      <c r="C17" s="330">
        <v>32100</v>
      </c>
      <c r="D17" s="330">
        <v>15100</v>
      </c>
      <c r="E17" s="325">
        <v>37950</v>
      </c>
      <c r="F17" s="325">
        <v>50250</v>
      </c>
      <c r="G17" s="332">
        <v>84650</v>
      </c>
      <c r="H17" s="332">
        <v>117250</v>
      </c>
      <c r="I17" s="332">
        <v>28850</v>
      </c>
      <c r="J17" s="332">
        <v>0</v>
      </c>
      <c r="K17" s="332">
        <v>2100</v>
      </c>
      <c r="L17" s="325">
        <v>414950</v>
      </c>
      <c r="N17" s="316"/>
      <c r="O17" s="316"/>
      <c r="P17" s="317"/>
      <c r="Q17" s="317"/>
      <c r="R17" s="317"/>
      <c r="S17" s="317"/>
      <c r="T17" s="317"/>
      <c r="U17" s="317"/>
      <c r="V17" s="317"/>
      <c r="W17" s="317"/>
      <c r="X17" s="317"/>
      <c r="Y17" s="317"/>
      <c r="Z17" s="317"/>
    </row>
    <row r="18" spans="1:26">
      <c r="A18" s="324" t="s">
        <v>286</v>
      </c>
      <c r="B18" s="330">
        <v>122350</v>
      </c>
      <c r="C18" s="330">
        <v>114650</v>
      </c>
      <c r="D18" s="330">
        <v>20100</v>
      </c>
      <c r="E18" s="325">
        <v>18600</v>
      </c>
      <c r="F18" s="325">
        <v>14650</v>
      </c>
      <c r="G18" s="332">
        <v>65550</v>
      </c>
      <c r="H18" s="332">
        <v>50400</v>
      </c>
      <c r="I18" s="332">
        <v>30950</v>
      </c>
      <c r="J18" s="332">
        <v>926100</v>
      </c>
      <c r="K18" s="332">
        <v>0</v>
      </c>
      <c r="L18" s="325">
        <v>1363350</v>
      </c>
      <c r="N18" s="316"/>
      <c r="O18" s="316"/>
      <c r="P18" s="317"/>
      <c r="Q18" s="317"/>
      <c r="R18" s="317"/>
      <c r="S18" s="317"/>
      <c r="T18" s="317"/>
      <c r="U18" s="317"/>
      <c r="V18" s="317"/>
      <c r="W18" s="317"/>
      <c r="X18" s="317"/>
      <c r="Y18" s="317"/>
      <c r="Z18" s="317"/>
    </row>
    <row r="19" spans="1:26">
      <c r="A19" s="324" t="s">
        <v>287</v>
      </c>
      <c r="B19" s="330">
        <v>36600</v>
      </c>
      <c r="C19" s="330">
        <v>30250</v>
      </c>
      <c r="D19" s="330">
        <v>65300</v>
      </c>
      <c r="E19" s="325">
        <v>30900</v>
      </c>
      <c r="F19" s="325">
        <v>111300</v>
      </c>
      <c r="G19" s="332">
        <v>103250</v>
      </c>
      <c r="H19" s="332">
        <v>300750</v>
      </c>
      <c r="I19" s="332">
        <v>150300</v>
      </c>
      <c r="J19" s="332">
        <v>4500</v>
      </c>
      <c r="K19" s="332">
        <v>23550</v>
      </c>
      <c r="L19" s="325">
        <v>856700</v>
      </c>
      <c r="N19" s="316"/>
      <c r="O19" s="316"/>
      <c r="P19" s="317"/>
      <c r="Q19" s="317"/>
      <c r="R19" s="317"/>
      <c r="S19" s="317"/>
      <c r="T19" s="317"/>
      <c r="U19" s="317"/>
      <c r="V19" s="317"/>
      <c r="W19" s="317"/>
      <c r="X19" s="317"/>
      <c r="Y19" s="317"/>
      <c r="Z19" s="317"/>
    </row>
    <row r="20" spans="1:26">
      <c r="A20" s="324" t="s">
        <v>288</v>
      </c>
      <c r="B20" s="330">
        <v>290450</v>
      </c>
      <c r="C20" s="330">
        <v>168450</v>
      </c>
      <c r="D20" s="330">
        <v>178350</v>
      </c>
      <c r="E20" s="325">
        <v>225150</v>
      </c>
      <c r="F20" s="325">
        <v>187750</v>
      </c>
      <c r="G20" s="332">
        <v>202100</v>
      </c>
      <c r="H20" s="332">
        <v>342100</v>
      </c>
      <c r="I20" s="332">
        <v>119050</v>
      </c>
      <c r="J20" s="332">
        <v>33150</v>
      </c>
      <c r="K20" s="332">
        <v>24400</v>
      </c>
      <c r="L20" s="325">
        <v>1770950</v>
      </c>
      <c r="N20" s="316"/>
      <c r="O20" s="316"/>
      <c r="P20" s="317"/>
      <c r="Q20" s="317"/>
      <c r="R20" s="317"/>
      <c r="S20" s="317"/>
      <c r="T20" s="317"/>
      <c r="U20" s="317"/>
      <c r="V20" s="317"/>
      <c r="W20" s="317"/>
      <c r="X20" s="317"/>
      <c r="Y20" s="317"/>
      <c r="Z20" s="317"/>
    </row>
    <row r="21" spans="1:26">
      <c r="A21" s="324" t="s">
        <v>289</v>
      </c>
      <c r="B21" s="330">
        <v>142400</v>
      </c>
      <c r="C21" s="330">
        <v>172650</v>
      </c>
      <c r="D21" s="330">
        <v>38350</v>
      </c>
      <c r="E21" s="325">
        <v>70100</v>
      </c>
      <c r="F21" s="325">
        <v>39400</v>
      </c>
      <c r="G21" s="332">
        <v>23700</v>
      </c>
      <c r="H21" s="332">
        <v>87700</v>
      </c>
      <c r="I21" s="332">
        <v>9350</v>
      </c>
      <c r="J21" s="332">
        <v>6650</v>
      </c>
      <c r="K21" s="332">
        <v>0</v>
      </c>
      <c r="L21" s="325">
        <v>590300</v>
      </c>
      <c r="N21" s="316"/>
      <c r="O21" s="316"/>
      <c r="P21" s="317"/>
      <c r="Q21" s="317"/>
      <c r="R21" s="317"/>
      <c r="S21" s="317"/>
      <c r="T21" s="317"/>
      <c r="U21" s="317"/>
      <c r="V21" s="317"/>
      <c r="W21" s="317"/>
      <c r="X21" s="317"/>
      <c r="Y21" s="317"/>
      <c r="Z21" s="317"/>
    </row>
    <row r="22" spans="1:26">
      <c r="A22" s="324" t="s">
        <v>290</v>
      </c>
      <c r="B22" s="330">
        <v>126650</v>
      </c>
      <c r="C22" s="330">
        <v>55800</v>
      </c>
      <c r="D22" s="330">
        <v>59150</v>
      </c>
      <c r="E22" s="325">
        <v>26400</v>
      </c>
      <c r="F22" s="325">
        <v>48100</v>
      </c>
      <c r="G22" s="332">
        <v>64100</v>
      </c>
      <c r="H22" s="332">
        <v>137450</v>
      </c>
      <c r="I22" s="332">
        <v>38350</v>
      </c>
      <c r="J22" s="332">
        <v>4900</v>
      </c>
      <c r="K22" s="332">
        <v>0</v>
      </c>
      <c r="L22" s="325">
        <v>560900</v>
      </c>
      <c r="N22" s="316"/>
      <c r="O22" s="316"/>
      <c r="P22" s="317"/>
      <c r="Q22" s="317"/>
      <c r="R22" s="317"/>
      <c r="S22" s="317"/>
      <c r="T22" s="317"/>
      <c r="U22" s="317"/>
      <c r="V22" s="317"/>
      <c r="W22" s="317"/>
      <c r="X22" s="317"/>
      <c r="Y22" s="317"/>
      <c r="Z22" s="317"/>
    </row>
    <row r="23" spans="1:26">
      <c r="A23" s="324" t="s">
        <v>291</v>
      </c>
      <c r="B23" s="330">
        <v>142500</v>
      </c>
      <c r="C23" s="330">
        <v>45650</v>
      </c>
      <c r="D23" s="330">
        <v>50150</v>
      </c>
      <c r="E23" s="325">
        <v>45300</v>
      </c>
      <c r="F23" s="325">
        <v>63400</v>
      </c>
      <c r="G23" s="332">
        <v>115100</v>
      </c>
      <c r="H23" s="332">
        <v>206100</v>
      </c>
      <c r="I23" s="332">
        <v>42900</v>
      </c>
      <c r="J23" s="332">
        <v>1400</v>
      </c>
      <c r="K23" s="332">
        <v>0</v>
      </c>
      <c r="L23" s="325">
        <v>712500</v>
      </c>
      <c r="N23" s="316"/>
      <c r="O23" s="316"/>
      <c r="P23" s="317"/>
      <c r="Q23" s="317"/>
      <c r="R23" s="317"/>
      <c r="S23" s="317"/>
      <c r="T23" s="317"/>
      <c r="U23" s="317"/>
      <c r="V23" s="317"/>
      <c r="W23" s="317"/>
      <c r="X23" s="317"/>
      <c r="Y23" s="317"/>
      <c r="Z23" s="317"/>
    </row>
    <row r="24" spans="1:26">
      <c r="A24" s="324" t="s">
        <v>292</v>
      </c>
      <c r="B24" s="330">
        <v>98550</v>
      </c>
      <c r="C24" s="330">
        <v>28500</v>
      </c>
      <c r="D24" s="330">
        <v>46250</v>
      </c>
      <c r="E24" s="325">
        <v>54250</v>
      </c>
      <c r="F24" s="325">
        <v>56900</v>
      </c>
      <c r="G24" s="332">
        <v>201600</v>
      </c>
      <c r="H24" s="332">
        <v>261500</v>
      </c>
      <c r="I24" s="332">
        <v>89500</v>
      </c>
      <c r="J24" s="332">
        <v>2500</v>
      </c>
      <c r="K24" s="332">
        <v>0</v>
      </c>
      <c r="L24" s="325">
        <v>839550</v>
      </c>
      <c r="N24" s="316"/>
      <c r="O24" s="316"/>
      <c r="P24" s="317"/>
      <c r="Q24" s="317"/>
      <c r="R24" s="317"/>
      <c r="S24" s="317"/>
      <c r="T24" s="317"/>
      <c r="U24" s="317"/>
      <c r="V24" s="317"/>
      <c r="W24" s="317"/>
      <c r="X24" s="317"/>
      <c r="Y24" s="317"/>
      <c r="Z24" s="317"/>
    </row>
    <row r="25" spans="1:26">
      <c r="A25" s="324" t="s">
        <v>293</v>
      </c>
      <c r="B25" s="330">
        <v>47750</v>
      </c>
      <c r="C25" s="330">
        <v>85800</v>
      </c>
      <c r="D25" s="330">
        <v>47700</v>
      </c>
      <c r="E25" s="325">
        <v>78150</v>
      </c>
      <c r="F25" s="325">
        <v>30200</v>
      </c>
      <c r="G25" s="332">
        <v>52800</v>
      </c>
      <c r="H25" s="332">
        <v>177600</v>
      </c>
      <c r="I25" s="332">
        <v>14550</v>
      </c>
      <c r="J25" s="332">
        <v>0</v>
      </c>
      <c r="K25" s="332">
        <v>0</v>
      </c>
      <c r="L25" s="325">
        <v>534550</v>
      </c>
      <c r="N25" s="316"/>
      <c r="O25" s="316"/>
      <c r="P25" s="317"/>
      <c r="Q25" s="317"/>
      <c r="R25" s="317"/>
      <c r="S25" s="317"/>
      <c r="T25" s="317"/>
      <c r="U25" s="317"/>
      <c r="V25" s="317"/>
      <c r="W25" s="317"/>
      <c r="X25" s="317"/>
      <c r="Y25" s="317"/>
      <c r="Z25" s="317"/>
    </row>
    <row r="26" spans="1:26">
      <c r="A26" s="324" t="s">
        <v>294</v>
      </c>
      <c r="B26" s="330">
        <v>48700</v>
      </c>
      <c r="C26" s="330">
        <v>44150</v>
      </c>
      <c r="D26" s="330">
        <v>22850</v>
      </c>
      <c r="E26" s="325">
        <v>14200</v>
      </c>
      <c r="F26" s="325">
        <v>19100</v>
      </c>
      <c r="G26" s="332">
        <v>187250</v>
      </c>
      <c r="H26" s="332">
        <v>260300</v>
      </c>
      <c r="I26" s="332">
        <v>62000</v>
      </c>
      <c r="J26" s="332">
        <v>13450</v>
      </c>
      <c r="K26" s="332">
        <v>0</v>
      </c>
      <c r="L26" s="325">
        <v>672000</v>
      </c>
      <c r="N26" s="316"/>
      <c r="O26" s="316"/>
      <c r="P26" s="317"/>
      <c r="Q26" s="317"/>
      <c r="R26" s="317"/>
      <c r="S26" s="317"/>
      <c r="T26" s="317"/>
      <c r="U26" s="317"/>
      <c r="V26" s="317"/>
      <c r="W26" s="317"/>
      <c r="X26" s="317"/>
      <c r="Y26" s="317"/>
      <c r="Z26" s="317"/>
    </row>
    <row r="27" spans="1:26">
      <c r="A27" s="324" t="s">
        <v>295</v>
      </c>
      <c r="B27" s="330">
        <v>196300</v>
      </c>
      <c r="C27" s="330">
        <v>187000</v>
      </c>
      <c r="D27" s="330">
        <v>151150</v>
      </c>
      <c r="E27" s="325">
        <v>96500</v>
      </c>
      <c r="F27" s="325">
        <v>147650</v>
      </c>
      <c r="G27" s="332">
        <v>288800</v>
      </c>
      <c r="H27" s="332">
        <v>329750</v>
      </c>
      <c r="I27" s="332">
        <v>244350</v>
      </c>
      <c r="J27" s="332">
        <v>36700</v>
      </c>
      <c r="K27" s="332">
        <v>0</v>
      </c>
      <c r="L27" s="325">
        <v>1678200</v>
      </c>
      <c r="N27" s="316"/>
      <c r="O27" s="316"/>
      <c r="P27" s="317"/>
      <c r="Q27" s="317"/>
      <c r="R27" s="317"/>
      <c r="S27" s="317"/>
      <c r="T27" s="317"/>
      <c r="U27" s="317"/>
      <c r="V27" s="317"/>
      <c r="W27" s="317"/>
      <c r="X27" s="317"/>
      <c r="Y27" s="317"/>
      <c r="Z27" s="317"/>
    </row>
    <row r="28" spans="1:26">
      <c r="A28" s="324" t="s">
        <v>296</v>
      </c>
      <c r="B28" s="330">
        <v>300850</v>
      </c>
      <c r="C28" s="330">
        <v>309750</v>
      </c>
      <c r="D28" s="330">
        <v>205800</v>
      </c>
      <c r="E28" s="325">
        <v>160350</v>
      </c>
      <c r="F28" s="325">
        <v>206750</v>
      </c>
      <c r="G28" s="332">
        <v>222600</v>
      </c>
      <c r="H28" s="332">
        <v>203150</v>
      </c>
      <c r="I28" s="332">
        <v>174600</v>
      </c>
      <c r="J28" s="332">
        <v>9250</v>
      </c>
      <c r="K28" s="332">
        <v>0</v>
      </c>
      <c r="L28" s="325">
        <v>1793100</v>
      </c>
      <c r="N28" s="316"/>
      <c r="O28" s="316"/>
      <c r="P28" s="317"/>
      <c r="Q28" s="317"/>
      <c r="R28" s="317"/>
      <c r="S28" s="317"/>
      <c r="T28" s="317"/>
      <c r="U28" s="317"/>
      <c r="V28" s="317"/>
      <c r="W28" s="317"/>
      <c r="X28" s="317"/>
      <c r="Y28" s="317"/>
      <c r="Z28" s="317"/>
    </row>
    <row r="29" spans="1:26">
      <c r="A29" s="324" t="s">
        <v>297</v>
      </c>
      <c r="B29" s="330">
        <v>55200</v>
      </c>
      <c r="C29" s="330">
        <v>68700</v>
      </c>
      <c r="D29" s="330">
        <v>45850</v>
      </c>
      <c r="E29" s="325">
        <v>39350</v>
      </c>
      <c r="F29" s="325">
        <v>95400</v>
      </c>
      <c r="G29" s="332">
        <v>156150</v>
      </c>
      <c r="H29" s="332">
        <v>226600</v>
      </c>
      <c r="I29" s="332">
        <v>48350</v>
      </c>
      <c r="J29" s="332">
        <v>700</v>
      </c>
      <c r="K29" s="332">
        <v>0</v>
      </c>
      <c r="L29" s="325">
        <v>736300</v>
      </c>
      <c r="N29" s="316"/>
      <c r="O29" s="316"/>
      <c r="P29" s="317"/>
      <c r="Q29" s="317"/>
      <c r="R29" s="317"/>
      <c r="S29" s="317"/>
      <c r="T29" s="317"/>
      <c r="U29" s="317"/>
      <c r="V29" s="317"/>
      <c r="W29" s="317"/>
      <c r="X29" s="317"/>
      <c r="Y29" s="317"/>
      <c r="Z29" s="317"/>
    </row>
    <row r="30" spans="1:26">
      <c r="A30" s="324" t="s">
        <v>298</v>
      </c>
      <c r="B30" s="330">
        <v>168900</v>
      </c>
      <c r="C30" s="330">
        <v>208350</v>
      </c>
      <c r="D30" s="330">
        <v>50500</v>
      </c>
      <c r="E30" s="325">
        <v>37050</v>
      </c>
      <c r="F30" s="325">
        <v>114100</v>
      </c>
      <c r="G30" s="332">
        <v>151350</v>
      </c>
      <c r="H30" s="332">
        <v>236300</v>
      </c>
      <c r="I30" s="332">
        <v>122700</v>
      </c>
      <c r="J30" s="332">
        <v>13250</v>
      </c>
      <c r="K30" s="332">
        <v>0</v>
      </c>
      <c r="L30" s="325">
        <v>1102500</v>
      </c>
      <c r="N30" s="316"/>
      <c r="O30" s="316"/>
      <c r="P30" s="317"/>
      <c r="Q30" s="317"/>
      <c r="R30" s="317"/>
      <c r="S30" s="317"/>
      <c r="T30" s="317"/>
      <c r="U30" s="317"/>
      <c r="V30" s="317"/>
      <c r="W30" s="317"/>
      <c r="X30" s="317"/>
      <c r="Y30" s="317"/>
      <c r="Z30" s="317"/>
    </row>
    <row r="31" spans="1:26">
      <c r="A31" s="324" t="s">
        <v>299</v>
      </c>
      <c r="B31" s="330">
        <v>99650</v>
      </c>
      <c r="C31" s="330">
        <v>123500</v>
      </c>
      <c r="D31" s="330">
        <v>62650</v>
      </c>
      <c r="E31" s="325">
        <v>62650</v>
      </c>
      <c r="F31" s="325">
        <v>92700</v>
      </c>
      <c r="G31" s="332">
        <v>118700</v>
      </c>
      <c r="H31" s="332">
        <v>139950</v>
      </c>
      <c r="I31" s="332">
        <v>162500</v>
      </c>
      <c r="J31" s="332">
        <v>34700</v>
      </c>
      <c r="K31" s="332">
        <v>0</v>
      </c>
      <c r="L31" s="325">
        <v>897000</v>
      </c>
      <c r="N31" s="316"/>
      <c r="O31" s="316"/>
      <c r="P31" s="317"/>
      <c r="Q31" s="317"/>
      <c r="R31" s="317"/>
      <c r="S31" s="317"/>
      <c r="T31" s="317"/>
      <c r="U31" s="317"/>
      <c r="V31" s="317"/>
      <c r="W31" s="317"/>
      <c r="X31" s="317"/>
      <c r="Y31" s="317"/>
      <c r="Z31" s="317"/>
    </row>
    <row r="32" spans="1:26">
      <c r="A32" s="324" t="s">
        <v>300</v>
      </c>
      <c r="B32" s="330">
        <v>64500</v>
      </c>
      <c r="C32" s="330">
        <v>44550</v>
      </c>
      <c r="D32" s="330">
        <v>29600</v>
      </c>
      <c r="E32" s="325">
        <v>45450</v>
      </c>
      <c r="F32" s="325">
        <v>51900</v>
      </c>
      <c r="G32" s="332">
        <v>60000</v>
      </c>
      <c r="H32" s="332">
        <v>20700</v>
      </c>
      <c r="I32" s="332">
        <v>18150</v>
      </c>
      <c r="J32" s="332">
        <v>6050</v>
      </c>
      <c r="K32" s="332">
        <v>0</v>
      </c>
      <c r="L32" s="325">
        <v>340900</v>
      </c>
      <c r="N32" s="316"/>
      <c r="O32" s="316"/>
      <c r="P32" s="317"/>
      <c r="Q32" s="317"/>
      <c r="R32" s="317"/>
      <c r="S32" s="317"/>
      <c r="T32" s="317"/>
      <c r="U32" s="317"/>
      <c r="V32" s="317"/>
      <c r="W32" s="317"/>
      <c r="X32" s="317"/>
      <c r="Y32" s="317"/>
      <c r="Z32" s="317"/>
    </row>
    <row r="33" spans="1:26">
      <c r="A33" s="324" t="s">
        <v>301</v>
      </c>
      <c r="B33" s="330">
        <v>54700</v>
      </c>
      <c r="C33" s="330">
        <v>52700</v>
      </c>
      <c r="D33" s="330">
        <v>35650</v>
      </c>
      <c r="E33" s="325">
        <v>20300</v>
      </c>
      <c r="F33" s="325">
        <v>0</v>
      </c>
      <c r="G33" s="332">
        <v>163650</v>
      </c>
      <c r="H33" s="332">
        <v>89550</v>
      </c>
      <c r="I33" s="332">
        <v>36300</v>
      </c>
      <c r="J33" s="332">
        <v>1200</v>
      </c>
      <c r="K33" s="332">
        <v>0</v>
      </c>
      <c r="L33" s="325">
        <v>454050</v>
      </c>
      <c r="N33" s="316"/>
      <c r="O33" s="316"/>
      <c r="P33" s="317"/>
      <c r="Q33" s="317"/>
      <c r="R33" s="317"/>
      <c r="S33" s="317"/>
      <c r="T33" s="317"/>
      <c r="U33" s="317"/>
      <c r="V33" s="317"/>
      <c r="W33" s="317"/>
      <c r="X33" s="317"/>
      <c r="Y33" s="317"/>
      <c r="Z33" s="317"/>
    </row>
    <row r="34" spans="1:26">
      <c r="A34" s="324"/>
      <c r="B34" s="330"/>
      <c r="C34" s="330"/>
      <c r="D34" s="330"/>
      <c r="E34" s="325"/>
      <c r="F34" s="325"/>
      <c r="G34" s="332"/>
      <c r="H34" s="332"/>
      <c r="I34" s="332"/>
      <c r="J34" s="332"/>
      <c r="K34" s="332"/>
      <c r="L34" s="325"/>
      <c r="N34" s="316"/>
      <c r="O34" s="316"/>
      <c r="P34" s="317"/>
      <c r="Q34" s="317"/>
      <c r="R34" s="317"/>
      <c r="S34" s="317"/>
      <c r="T34" s="317"/>
      <c r="U34" s="317"/>
      <c r="V34" s="317"/>
      <c r="W34" s="317"/>
      <c r="X34" s="317"/>
      <c r="Y34" s="317"/>
      <c r="Z34" s="317"/>
    </row>
    <row r="35" spans="1:26">
      <c r="A35" s="509" t="s">
        <v>183</v>
      </c>
      <c r="B35" s="330">
        <f>SUM(B4:B34)</f>
        <v>3144500</v>
      </c>
      <c r="C35" s="330">
        <f t="shared" ref="C35:K35" si="0">SUM(C4:C34)</f>
        <v>2472300</v>
      </c>
      <c r="D35" s="330">
        <f t="shared" si="0"/>
        <v>1643200</v>
      </c>
      <c r="E35" s="325">
        <f t="shared" si="0"/>
        <v>1514300</v>
      </c>
      <c r="F35" s="325">
        <f t="shared" si="0"/>
        <v>1786800</v>
      </c>
      <c r="G35" s="332">
        <f t="shared" si="0"/>
        <v>2973400</v>
      </c>
      <c r="H35" s="332">
        <f t="shared" si="0"/>
        <v>4267350</v>
      </c>
      <c r="I35" s="332">
        <f t="shared" si="0"/>
        <v>1902950</v>
      </c>
      <c r="J35" s="332">
        <f t="shared" si="0"/>
        <v>1161100</v>
      </c>
      <c r="K35" s="332">
        <f t="shared" si="0"/>
        <v>51250</v>
      </c>
      <c r="L35" s="325">
        <f t="shared" ref="L35" si="1">SUM(B35:K35)</f>
        <v>20917150</v>
      </c>
    </row>
    <row r="36" spans="1:26" ht="25" customHeight="1">
      <c r="A36" s="509"/>
      <c r="B36" s="510">
        <f>B35+C35+D35</f>
        <v>7260000</v>
      </c>
      <c r="C36" s="511"/>
      <c r="D36" s="511"/>
      <c r="E36" s="512">
        <f>E35+F35</f>
        <v>3301100</v>
      </c>
      <c r="F36" s="513"/>
      <c r="G36" s="503">
        <f>G35+H35+I35+J35+K35</f>
        <v>10356050</v>
      </c>
      <c r="H36" s="504"/>
      <c r="I36" s="504"/>
      <c r="J36" s="504"/>
      <c r="K36" s="505"/>
      <c r="L36" s="327">
        <f>SUM(B36:J36)</f>
        <v>20917150</v>
      </c>
    </row>
    <row r="37" spans="1:26" ht="20">
      <c r="A37" s="326" t="s">
        <v>201</v>
      </c>
      <c r="B37" s="501">
        <f>B36/L36</f>
        <v>0.34708361320734421</v>
      </c>
      <c r="C37" s="501"/>
      <c r="D37" s="501"/>
      <c r="E37" s="502">
        <f>E36/L36</f>
        <v>0.15781786715685453</v>
      </c>
      <c r="F37" s="502"/>
      <c r="G37" s="506">
        <f>G36/L36</f>
        <v>0.49509851963580126</v>
      </c>
      <c r="H37" s="507"/>
      <c r="I37" s="507"/>
      <c r="J37" s="507"/>
      <c r="K37" s="508"/>
      <c r="L37" s="328">
        <f>SUM(B37:J37)</f>
        <v>1</v>
      </c>
    </row>
    <row r="38" spans="1:26" ht="20">
      <c r="A38" s="334"/>
      <c r="B38" s="499">
        <f>B37+E37</f>
        <v>0.50490148036419868</v>
      </c>
      <c r="C38" s="499"/>
      <c r="D38" s="499"/>
      <c r="E38" s="499"/>
      <c r="F38" s="499"/>
      <c r="G38" s="500"/>
      <c r="H38" s="500"/>
      <c r="I38" s="500"/>
      <c r="J38" s="500"/>
      <c r="K38" s="500"/>
      <c r="L38" s="335"/>
    </row>
    <row r="39" spans="1:26" ht="34" customHeight="1">
      <c r="A39" s="320" t="s">
        <v>303</v>
      </c>
      <c r="B39" s="321"/>
      <c r="C39" s="321"/>
      <c r="D39" s="321"/>
      <c r="E39" s="320"/>
      <c r="F39" s="320"/>
      <c r="G39" s="320"/>
      <c r="H39" s="320"/>
      <c r="I39" s="320"/>
      <c r="J39" s="320"/>
      <c r="K39" s="320"/>
      <c r="L39" s="320"/>
    </row>
    <row r="40" spans="1:26">
      <c r="A40" s="324" t="s">
        <v>184</v>
      </c>
      <c r="B40" s="325">
        <v>197025</v>
      </c>
      <c r="C40" s="325">
        <v>173963</v>
      </c>
      <c r="D40" s="325">
        <v>100375</v>
      </c>
      <c r="E40" s="325">
        <v>95788</v>
      </c>
      <c r="F40" s="325">
        <v>102350</v>
      </c>
      <c r="G40" s="325">
        <v>103775</v>
      </c>
      <c r="H40" s="325">
        <v>125200</v>
      </c>
      <c r="I40" s="325">
        <v>83988</v>
      </c>
      <c r="J40" s="325">
        <v>14375</v>
      </c>
      <c r="K40" s="325">
        <v>0</v>
      </c>
      <c r="L40" s="338">
        <v>996838</v>
      </c>
      <c r="N40" s="317"/>
      <c r="O40" s="317"/>
      <c r="P40" s="317"/>
      <c r="Q40" s="317"/>
      <c r="R40" s="317"/>
      <c r="S40" s="317"/>
      <c r="T40" s="317"/>
      <c r="U40" s="317"/>
      <c r="V40" s="317"/>
      <c r="W40" s="317"/>
      <c r="X40" s="317"/>
      <c r="Y40" s="317"/>
    </row>
    <row r="41" spans="1:26">
      <c r="A41" s="324" t="s">
        <v>185</v>
      </c>
      <c r="B41" s="325">
        <v>98538</v>
      </c>
      <c r="C41" s="325">
        <v>51113</v>
      </c>
      <c r="D41" s="325">
        <v>43825</v>
      </c>
      <c r="E41" s="325">
        <v>25650</v>
      </c>
      <c r="F41" s="325">
        <v>45500</v>
      </c>
      <c r="G41" s="325">
        <v>78175</v>
      </c>
      <c r="H41" s="325">
        <v>108388</v>
      </c>
      <c r="I41" s="325">
        <v>31238</v>
      </c>
      <c r="J41" s="325">
        <v>1913</v>
      </c>
      <c r="K41" s="325">
        <v>0</v>
      </c>
      <c r="L41" s="325">
        <v>484338</v>
      </c>
      <c r="N41" s="317"/>
      <c r="O41" s="317"/>
      <c r="P41" s="317"/>
      <c r="Q41" s="317"/>
      <c r="R41" s="317"/>
      <c r="S41" s="317"/>
      <c r="T41" s="317"/>
      <c r="U41" s="317"/>
      <c r="V41" s="317"/>
      <c r="W41" s="317"/>
      <c r="X41" s="317"/>
      <c r="Y41" s="317"/>
    </row>
    <row r="42" spans="1:26">
      <c r="A42" s="324" t="s">
        <v>186</v>
      </c>
      <c r="B42" s="325">
        <v>93875</v>
      </c>
      <c r="C42" s="325">
        <v>76000</v>
      </c>
      <c r="D42" s="325">
        <v>38013</v>
      </c>
      <c r="E42" s="325">
        <v>48338</v>
      </c>
      <c r="F42" s="325">
        <v>53063</v>
      </c>
      <c r="G42" s="325">
        <v>69763</v>
      </c>
      <c r="H42" s="325">
        <v>156413</v>
      </c>
      <c r="I42" s="325">
        <v>53500</v>
      </c>
      <c r="J42" s="325">
        <v>5088</v>
      </c>
      <c r="K42" s="325">
        <v>0</v>
      </c>
      <c r="L42" s="325">
        <v>594050</v>
      </c>
      <c r="N42" s="317"/>
      <c r="O42" s="317"/>
      <c r="P42" s="317"/>
      <c r="Q42" s="317"/>
      <c r="R42" s="317"/>
      <c r="S42" s="317"/>
      <c r="T42" s="317"/>
      <c r="U42" s="317"/>
      <c r="V42" s="317"/>
      <c r="W42" s="317"/>
      <c r="X42" s="317"/>
      <c r="Y42" s="317"/>
    </row>
    <row r="43" spans="1:26">
      <c r="A43" s="324" t="s">
        <v>187</v>
      </c>
      <c r="B43" s="325">
        <v>70988</v>
      </c>
      <c r="C43" s="325">
        <v>48775</v>
      </c>
      <c r="D43" s="325">
        <v>33625</v>
      </c>
      <c r="E43" s="325">
        <v>43138</v>
      </c>
      <c r="F43" s="325">
        <v>55313</v>
      </c>
      <c r="G43" s="325">
        <v>107338</v>
      </c>
      <c r="H43" s="325">
        <v>143850</v>
      </c>
      <c r="I43" s="325">
        <v>70213</v>
      </c>
      <c r="J43" s="325">
        <v>9300</v>
      </c>
      <c r="K43" s="325">
        <v>525</v>
      </c>
      <c r="L43" s="325">
        <v>583063</v>
      </c>
      <c r="N43" s="317"/>
      <c r="O43" s="317"/>
      <c r="P43" s="317"/>
      <c r="Q43" s="317"/>
      <c r="R43" s="317"/>
      <c r="S43" s="317"/>
      <c r="T43" s="317"/>
      <c r="U43" s="317"/>
      <c r="V43" s="317"/>
      <c r="W43" s="317"/>
      <c r="X43" s="317"/>
      <c r="Y43" s="317"/>
    </row>
    <row r="44" spans="1:26">
      <c r="A44" s="324" t="s">
        <v>188</v>
      </c>
      <c r="B44" s="325">
        <v>74300</v>
      </c>
      <c r="C44" s="325">
        <v>76810</v>
      </c>
      <c r="D44" s="325">
        <v>34770</v>
      </c>
      <c r="E44" s="325">
        <v>39650</v>
      </c>
      <c r="F44" s="325">
        <v>25850</v>
      </c>
      <c r="G44" s="325">
        <v>63500</v>
      </c>
      <c r="H44" s="325">
        <v>99670</v>
      </c>
      <c r="I44" s="325">
        <v>32630</v>
      </c>
      <c r="J44" s="325">
        <v>188830</v>
      </c>
      <c r="K44" s="325">
        <v>0</v>
      </c>
      <c r="L44" s="325">
        <v>636010</v>
      </c>
      <c r="N44" s="317"/>
      <c r="O44" s="317"/>
      <c r="P44" s="317"/>
      <c r="Q44" s="317"/>
      <c r="R44" s="317"/>
      <c r="S44" s="317"/>
      <c r="T44" s="317"/>
      <c r="U44" s="317"/>
      <c r="V44" s="317"/>
      <c r="W44" s="317"/>
      <c r="X44" s="317"/>
      <c r="Y44" s="317"/>
    </row>
    <row r="45" spans="1:26">
      <c r="A45" s="324" t="s">
        <v>189</v>
      </c>
      <c r="B45" s="325">
        <v>45470</v>
      </c>
      <c r="C45" s="325">
        <v>31290</v>
      </c>
      <c r="D45" s="325">
        <v>30360</v>
      </c>
      <c r="E45" s="325">
        <v>14710</v>
      </c>
      <c r="F45" s="325">
        <v>35670</v>
      </c>
      <c r="G45" s="325">
        <v>111100</v>
      </c>
      <c r="H45" s="325">
        <v>160050</v>
      </c>
      <c r="I45" s="325">
        <v>70090</v>
      </c>
      <c r="J45" s="325">
        <v>3830</v>
      </c>
      <c r="K45" s="325">
        <v>4710</v>
      </c>
      <c r="L45" s="325">
        <v>507280</v>
      </c>
      <c r="N45" s="317"/>
      <c r="O45" s="317"/>
      <c r="P45" s="317"/>
      <c r="Q45" s="317"/>
      <c r="R45" s="317"/>
      <c r="S45" s="317"/>
      <c r="T45" s="317"/>
      <c r="U45" s="317"/>
      <c r="V45" s="317"/>
      <c r="W45" s="317"/>
      <c r="X45" s="317"/>
      <c r="Y45" s="317"/>
    </row>
    <row r="46" spans="1:26">
      <c r="A46" s="324" t="s">
        <v>190</v>
      </c>
      <c r="B46" s="325">
        <v>175988</v>
      </c>
      <c r="C46" s="325">
        <v>133100</v>
      </c>
      <c r="D46" s="325">
        <v>113550</v>
      </c>
      <c r="E46" s="325">
        <v>97713</v>
      </c>
      <c r="F46" s="325">
        <v>113575</v>
      </c>
      <c r="G46" s="325">
        <v>166050</v>
      </c>
      <c r="H46" s="325">
        <v>208338</v>
      </c>
      <c r="I46" s="325">
        <v>108400</v>
      </c>
      <c r="J46" s="325">
        <v>18775</v>
      </c>
      <c r="K46" s="325">
        <v>6400</v>
      </c>
      <c r="L46" s="338">
        <v>1141888</v>
      </c>
      <c r="N46" s="317"/>
      <c r="O46" s="317"/>
      <c r="P46" s="317"/>
      <c r="Q46" s="317"/>
      <c r="R46" s="317"/>
      <c r="S46" s="317"/>
      <c r="T46" s="317"/>
      <c r="U46" s="317"/>
      <c r="V46" s="317"/>
      <c r="W46" s="317"/>
      <c r="X46" s="317"/>
      <c r="Y46" s="317"/>
    </row>
    <row r="47" spans="1:26" ht="39" customHeight="1">
      <c r="A47" s="320" t="s">
        <v>304</v>
      </c>
      <c r="B47" s="320"/>
      <c r="C47" s="320"/>
      <c r="D47" s="320"/>
      <c r="E47" s="320"/>
      <c r="F47" s="320"/>
      <c r="G47" s="320"/>
      <c r="H47" s="320"/>
      <c r="I47" s="320"/>
      <c r="J47" s="320"/>
      <c r="K47" s="320"/>
      <c r="L47" s="320"/>
      <c r="N47" s="318"/>
      <c r="O47" s="318"/>
      <c r="P47" s="318"/>
      <c r="Q47" s="318"/>
      <c r="R47" s="318"/>
      <c r="S47" s="318"/>
      <c r="T47" s="318"/>
      <c r="U47" s="318"/>
      <c r="V47" s="318"/>
      <c r="W47" s="318"/>
      <c r="X47" s="318"/>
      <c r="Y47" s="318"/>
    </row>
    <row r="48" spans="1:26">
      <c r="A48" s="324" t="s">
        <v>191</v>
      </c>
      <c r="B48" s="325">
        <v>788100</v>
      </c>
      <c r="C48" s="325">
        <v>695850</v>
      </c>
      <c r="D48" s="325">
        <v>401500</v>
      </c>
      <c r="E48" s="325">
        <v>383150</v>
      </c>
      <c r="F48" s="325">
        <v>409400</v>
      </c>
      <c r="G48" s="325">
        <v>415100</v>
      </c>
      <c r="H48" s="325">
        <v>500800</v>
      </c>
      <c r="I48" s="325">
        <v>335950</v>
      </c>
      <c r="J48" s="325">
        <v>57500</v>
      </c>
      <c r="K48" s="325">
        <v>0</v>
      </c>
      <c r="L48" s="325">
        <v>3987350</v>
      </c>
      <c r="N48" s="317"/>
      <c r="O48" s="317"/>
      <c r="P48" s="317"/>
      <c r="Q48" s="317"/>
      <c r="R48" s="317"/>
      <c r="S48" s="317"/>
      <c r="T48" s="317"/>
      <c r="U48" s="317"/>
      <c r="V48" s="317"/>
      <c r="W48" s="317"/>
      <c r="X48" s="317"/>
      <c r="Y48" s="317"/>
    </row>
    <row r="49" spans="1:25">
      <c r="A49" s="324" t="s">
        <v>192</v>
      </c>
      <c r="B49" s="325">
        <v>394150</v>
      </c>
      <c r="C49" s="325">
        <v>204450</v>
      </c>
      <c r="D49" s="325">
        <v>175300</v>
      </c>
      <c r="E49" s="325">
        <v>102600</v>
      </c>
      <c r="F49" s="325">
        <v>182000</v>
      </c>
      <c r="G49" s="325">
        <v>312700</v>
      </c>
      <c r="H49" s="325">
        <v>433550</v>
      </c>
      <c r="I49" s="325">
        <v>124950</v>
      </c>
      <c r="J49" s="325">
        <v>7650</v>
      </c>
      <c r="K49" s="325">
        <v>0</v>
      </c>
      <c r="L49" s="325">
        <v>1937350</v>
      </c>
      <c r="N49" s="317"/>
      <c r="O49" s="317"/>
      <c r="P49" s="317"/>
      <c r="Q49" s="317"/>
      <c r="R49" s="317"/>
      <c r="S49" s="317"/>
      <c r="T49" s="317"/>
      <c r="U49" s="317"/>
      <c r="V49" s="317"/>
      <c r="W49" s="317"/>
      <c r="X49" s="317"/>
      <c r="Y49" s="317"/>
    </row>
    <row r="50" spans="1:25">
      <c r="A50" s="324" t="s">
        <v>193</v>
      </c>
      <c r="B50" s="325">
        <v>375500</v>
      </c>
      <c r="C50" s="325">
        <v>304000</v>
      </c>
      <c r="D50" s="325">
        <v>152050</v>
      </c>
      <c r="E50" s="325">
        <v>193350</v>
      </c>
      <c r="F50" s="325">
        <v>212250</v>
      </c>
      <c r="G50" s="325">
        <v>279050</v>
      </c>
      <c r="H50" s="325">
        <v>625650</v>
      </c>
      <c r="I50" s="325">
        <v>214000</v>
      </c>
      <c r="J50" s="325">
        <v>20350</v>
      </c>
      <c r="K50" s="325">
        <v>0</v>
      </c>
      <c r="L50" s="325">
        <v>2376200</v>
      </c>
      <c r="N50" s="317"/>
      <c r="O50" s="317"/>
      <c r="P50" s="317"/>
      <c r="Q50" s="317"/>
      <c r="R50" s="317"/>
      <c r="S50" s="317"/>
      <c r="T50" s="317"/>
      <c r="U50" s="317"/>
      <c r="V50" s="317"/>
      <c r="W50" s="317"/>
      <c r="X50" s="317"/>
      <c r="Y50" s="317"/>
    </row>
    <row r="51" spans="1:25">
      <c r="A51" s="324" t="s">
        <v>194</v>
      </c>
      <c r="B51" s="325">
        <v>283950</v>
      </c>
      <c r="C51" s="325">
        <v>195100</v>
      </c>
      <c r="D51" s="325">
        <v>134500</v>
      </c>
      <c r="E51" s="325">
        <v>172550</v>
      </c>
      <c r="F51" s="325">
        <v>221250</v>
      </c>
      <c r="G51" s="325">
        <v>429350</v>
      </c>
      <c r="H51" s="325">
        <v>575400</v>
      </c>
      <c r="I51" s="325">
        <v>280850</v>
      </c>
      <c r="J51" s="325">
        <v>37200</v>
      </c>
      <c r="K51" s="325">
        <v>2100</v>
      </c>
      <c r="L51" s="325">
        <v>2332250</v>
      </c>
      <c r="N51" s="317"/>
      <c r="O51" s="317"/>
      <c r="P51" s="317"/>
      <c r="Q51" s="317"/>
      <c r="R51" s="317"/>
      <c r="S51" s="317"/>
      <c r="T51" s="317"/>
      <c r="U51" s="317"/>
      <c r="V51" s="317"/>
      <c r="W51" s="317"/>
      <c r="X51" s="317"/>
      <c r="Y51" s="317"/>
    </row>
    <row r="52" spans="1:25">
      <c r="A52" s="324" t="s">
        <v>195</v>
      </c>
      <c r="B52" s="325">
        <v>371500</v>
      </c>
      <c r="C52" s="325">
        <v>384050</v>
      </c>
      <c r="D52" s="325">
        <v>173850</v>
      </c>
      <c r="E52" s="325">
        <v>198250</v>
      </c>
      <c r="F52" s="325">
        <v>129250</v>
      </c>
      <c r="G52" s="325">
        <v>317500</v>
      </c>
      <c r="H52" s="325">
        <v>498350</v>
      </c>
      <c r="I52" s="325">
        <v>163150</v>
      </c>
      <c r="J52" s="325">
        <v>944150</v>
      </c>
      <c r="K52" s="325">
        <v>0</v>
      </c>
      <c r="L52" s="325">
        <v>3180050</v>
      </c>
      <c r="N52" s="317"/>
      <c r="O52" s="317"/>
      <c r="P52" s="317"/>
      <c r="Q52" s="317"/>
      <c r="R52" s="317"/>
      <c r="S52" s="317"/>
      <c r="T52" s="317"/>
      <c r="U52" s="317"/>
      <c r="V52" s="317"/>
      <c r="W52" s="317"/>
      <c r="X52" s="317"/>
      <c r="Y52" s="317"/>
    </row>
    <row r="53" spans="1:25">
      <c r="A53" s="324" t="s">
        <v>196</v>
      </c>
      <c r="B53" s="325">
        <v>227350</v>
      </c>
      <c r="C53" s="325">
        <v>156450</v>
      </c>
      <c r="D53" s="325">
        <v>151800</v>
      </c>
      <c r="E53" s="325">
        <v>73550</v>
      </c>
      <c r="F53" s="325">
        <v>178350</v>
      </c>
      <c r="G53" s="325">
        <v>555500</v>
      </c>
      <c r="H53" s="325">
        <v>800250</v>
      </c>
      <c r="I53" s="325">
        <v>350450</v>
      </c>
      <c r="J53" s="325">
        <v>19150</v>
      </c>
      <c r="K53" s="325">
        <v>23550</v>
      </c>
      <c r="L53" s="325">
        <v>2536400</v>
      </c>
      <c r="N53" s="317"/>
      <c r="O53" s="317"/>
      <c r="P53" s="317"/>
      <c r="Q53" s="317"/>
      <c r="R53" s="317"/>
      <c r="S53" s="317"/>
      <c r="T53" s="317"/>
      <c r="U53" s="317"/>
      <c r="V53" s="317"/>
      <c r="W53" s="317"/>
      <c r="X53" s="317"/>
      <c r="Y53" s="317"/>
    </row>
    <row r="54" spans="1:25">
      <c r="A54" s="324" t="s">
        <v>197</v>
      </c>
      <c r="B54" s="325">
        <v>703950</v>
      </c>
      <c r="C54" s="325">
        <v>532400</v>
      </c>
      <c r="D54" s="325">
        <v>454200</v>
      </c>
      <c r="E54" s="325">
        <v>390850</v>
      </c>
      <c r="F54" s="325">
        <v>454300</v>
      </c>
      <c r="G54" s="325">
        <v>664200</v>
      </c>
      <c r="H54" s="325">
        <v>833350</v>
      </c>
      <c r="I54" s="325">
        <v>433600</v>
      </c>
      <c r="J54" s="325">
        <v>75100</v>
      </c>
      <c r="K54" s="325">
        <v>25600</v>
      </c>
      <c r="L54" s="325">
        <v>4567550</v>
      </c>
      <c r="N54" s="317"/>
      <c r="O54" s="317"/>
      <c r="P54" s="317"/>
      <c r="Q54" s="317"/>
      <c r="R54" s="317"/>
      <c r="S54" s="317"/>
      <c r="T54" s="317"/>
      <c r="U54" s="317"/>
      <c r="V54" s="317"/>
      <c r="W54" s="317"/>
      <c r="X54" s="317"/>
      <c r="Y54" s="317"/>
    </row>
  </sheetData>
  <mergeCells count="14">
    <mergeCell ref="A35:A36"/>
    <mergeCell ref="B36:D36"/>
    <mergeCell ref="E36:F36"/>
    <mergeCell ref="G36:K36"/>
    <mergeCell ref="A2:A3"/>
    <mergeCell ref="B2:D2"/>
    <mergeCell ref="E2:F2"/>
    <mergeCell ref="G2:K2"/>
    <mergeCell ref="L2:L3"/>
    <mergeCell ref="B37:D37"/>
    <mergeCell ref="E37:F37"/>
    <mergeCell ref="G37:K37"/>
    <mergeCell ref="B38:F38"/>
    <mergeCell ref="G38:K38"/>
  </mergeCells>
  <phoneticPr fontId="1"/>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E72E3-8403-E74C-9122-9D9DA903824A}">
  <sheetPr>
    <tabColor rgb="FFFFC000"/>
    <pageSetUpPr fitToPage="1"/>
  </sheetPr>
  <dimension ref="A1:AJ113"/>
  <sheetViews>
    <sheetView tabSelected="1" zoomScale="50" workbookViewId="0">
      <selection activeCell="I66" sqref="I66:V66"/>
    </sheetView>
  </sheetViews>
  <sheetFormatPr baseColWidth="10" defaultColWidth="9" defaultRowHeight="16"/>
  <cols>
    <col min="1" max="1" width="8.1640625" style="1" customWidth="1"/>
    <col min="2" max="2" width="6.6640625" style="34" customWidth="1"/>
    <col min="3" max="3" width="7.5" style="1" hidden="1" customWidth="1"/>
    <col min="4" max="6" width="0.1640625" style="1" hidden="1" customWidth="1"/>
    <col min="7" max="7" width="15.5" style="1" customWidth="1"/>
    <col min="8" max="8" width="7.1640625" style="1" customWidth="1"/>
    <col min="9" max="15" width="16" style="1" customWidth="1"/>
    <col min="16" max="16" width="26.33203125" style="1" customWidth="1"/>
    <col min="17" max="20" width="16" style="1" customWidth="1"/>
    <col min="21" max="21" width="16" style="198" customWidth="1"/>
    <col min="22" max="22" width="16" style="1" customWidth="1"/>
    <col min="23" max="23" width="5.1640625" style="1" customWidth="1"/>
    <col min="24" max="24" width="12.1640625" style="1" bestFit="1" customWidth="1"/>
    <col min="25" max="25" width="10.33203125" style="1" bestFit="1" customWidth="1"/>
    <col min="26" max="29" width="10.33203125" style="1" customWidth="1"/>
    <col min="30" max="30" width="5.33203125" style="1" customWidth="1"/>
    <col min="31" max="31" width="9" style="1"/>
    <col min="32" max="32" width="19.5" style="1" customWidth="1"/>
    <col min="33" max="16384" width="9" style="1"/>
  </cols>
  <sheetData>
    <row r="1" spans="1:33" s="24" customFormat="1" ht="64" customHeight="1">
      <c r="A1" s="33" t="s">
        <v>383</v>
      </c>
      <c r="B1" s="34"/>
      <c r="U1" s="186"/>
    </row>
    <row r="2" spans="1:33" s="24" customFormat="1" ht="34.25" customHeight="1" thickBot="1">
      <c r="A2" s="519" t="s">
        <v>45</v>
      </c>
      <c r="B2" s="520"/>
      <c r="P2" s="128"/>
      <c r="U2" s="186"/>
    </row>
    <row r="3" spans="1:33" ht="53" customHeight="1" thickTop="1">
      <c r="A3" s="521" t="s">
        <v>375</v>
      </c>
      <c r="B3" s="522"/>
      <c r="G3" s="450" t="s">
        <v>79</v>
      </c>
      <c r="H3" s="451"/>
      <c r="I3" s="451"/>
      <c r="J3" s="451"/>
      <c r="K3" s="451"/>
      <c r="L3" s="451"/>
      <c r="M3" s="451"/>
      <c r="N3" s="451"/>
      <c r="O3" s="451"/>
      <c r="P3" s="451"/>
      <c r="Q3" s="451"/>
      <c r="R3" s="554" t="s">
        <v>51</v>
      </c>
      <c r="S3" s="555"/>
      <c r="T3" s="555"/>
      <c r="U3" s="556"/>
      <c r="V3" s="74" t="s">
        <v>27</v>
      </c>
    </row>
    <row r="4" spans="1:33" s="35" customFormat="1" ht="53" customHeight="1">
      <c r="A4" s="523" t="s">
        <v>41</v>
      </c>
      <c r="B4" s="524"/>
      <c r="G4" s="452" t="s">
        <v>70</v>
      </c>
      <c r="H4" s="453"/>
      <c r="I4" s="75" t="s">
        <v>42</v>
      </c>
      <c r="J4" s="76"/>
      <c r="K4" s="77" t="s">
        <v>43</v>
      </c>
      <c r="L4" s="98"/>
      <c r="M4" s="99" t="s">
        <v>27</v>
      </c>
      <c r="N4" s="99"/>
      <c r="O4" s="99"/>
      <c r="P4" s="98"/>
      <c r="Q4" s="99" t="s">
        <v>52</v>
      </c>
      <c r="R4" s="557"/>
      <c r="S4" s="558"/>
      <c r="T4" s="558"/>
      <c r="U4" s="559"/>
      <c r="V4" s="100"/>
      <c r="X4" s="494" t="s">
        <v>365</v>
      </c>
      <c r="Y4" s="495"/>
      <c r="Z4" s="495"/>
      <c r="AA4" s="495"/>
      <c r="AB4" s="495"/>
      <c r="AC4" s="496"/>
    </row>
    <row r="5" spans="1:33" ht="23.5" customHeight="1">
      <c r="A5" s="456" t="s">
        <v>12</v>
      </c>
      <c r="B5" s="457"/>
      <c r="G5" s="456" t="s">
        <v>12</v>
      </c>
      <c r="H5" s="457"/>
      <c r="I5" s="457"/>
      <c r="J5" s="457"/>
      <c r="K5" s="457"/>
      <c r="L5" s="457"/>
      <c r="M5" s="457"/>
      <c r="N5" s="457"/>
      <c r="O5" s="457"/>
      <c r="P5" s="457"/>
      <c r="Q5" s="457"/>
      <c r="R5" s="457"/>
      <c r="S5" s="457"/>
      <c r="T5" s="457"/>
      <c r="U5" s="457"/>
      <c r="V5" s="458"/>
      <c r="X5" s="497" t="str">
        <f>G5</f>
        <v>1st week</v>
      </c>
      <c r="Y5" s="497"/>
      <c r="Z5" s="497"/>
      <c r="AA5" s="497"/>
      <c r="AB5" s="497"/>
      <c r="AC5" s="497"/>
      <c r="AG5" s="35"/>
    </row>
    <row r="6" spans="1:33" s="2" customFormat="1" ht="23.5" customHeight="1">
      <c r="A6" s="52" t="s">
        <v>10</v>
      </c>
      <c r="B6" s="36" t="s">
        <v>11</v>
      </c>
      <c r="C6" s="2" t="s">
        <v>32</v>
      </c>
      <c r="D6" s="2" t="s">
        <v>33</v>
      </c>
      <c r="E6" s="2" t="s">
        <v>34</v>
      </c>
      <c r="F6" s="2" t="s">
        <v>35</v>
      </c>
      <c r="G6" s="101" t="s">
        <v>10</v>
      </c>
      <c r="H6" s="102" t="s">
        <v>11</v>
      </c>
      <c r="I6" s="102" t="s">
        <v>1</v>
      </c>
      <c r="J6" s="102" t="s">
        <v>30</v>
      </c>
      <c r="K6" s="102" t="s">
        <v>31</v>
      </c>
      <c r="L6" s="102" t="s">
        <v>28</v>
      </c>
      <c r="M6" s="102" t="s">
        <v>29</v>
      </c>
      <c r="N6" s="102" t="s">
        <v>388</v>
      </c>
      <c r="O6" s="102" t="s">
        <v>384</v>
      </c>
      <c r="P6" s="102" t="s">
        <v>71</v>
      </c>
      <c r="Q6" s="103" t="s">
        <v>48</v>
      </c>
      <c r="R6" s="103" t="s">
        <v>385</v>
      </c>
      <c r="S6" s="103" t="s">
        <v>386</v>
      </c>
      <c r="T6" s="103" t="s">
        <v>387</v>
      </c>
      <c r="U6" s="103" t="s">
        <v>40</v>
      </c>
      <c r="V6" s="104" t="s">
        <v>73</v>
      </c>
      <c r="X6" s="252" t="s">
        <v>114</v>
      </c>
      <c r="Y6" s="253" t="s">
        <v>115</v>
      </c>
      <c r="Z6" s="48" t="s">
        <v>116</v>
      </c>
      <c r="AA6" s="48" t="s">
        <v>117</v>
      </c>
      <c r="AB6" s="48" t="s">
        <v>118</v>
      </c>
      <c r="AC6" s="254" t="s">
        <v>127</v>
      </c>
      <c r="AE6" s="1" t="s">
        <v>122</v>
      </c>
      <c r="AF6" s="1"/>
      <c r="AG6" s="35" t="s">
        <v>125</v>
      </c>
    </row>
    <row r="7" spans="1:33" ht="23.5" customHeight="1">
      <c r="A7" s="53" t="s">
        <v>3</v>
      </c>
      <c r="B7" s="49"/>
      <c r="C7" s="41"/>
      <c r="D7" s="41"/>
      <c r="E7" s="41"/>
      <c r="F7" s="41"/>
      <c r="G7" s="105" t="s">
        <v>3</v>
      </c>
      <c r="H7" s="118">
        <f>B7</f>
        <v>0</v>
      </c>
      <c r="I7" s="73"/>
      <c r="J7" s="106">
        <v>0</v>
      </c>
      <c r="K7" s="106" t="e">
        <f>J7/I7</f>
        <v>#DIV/0!</v>
      </c>
      <c r="L7" s="106">
        <v>0</v>
      </c>
      <c r="M7" s="107" t="e">
        <f>L7/I7</f>
        <v>#DIV/0!</v>
      </c>
      <c r="N7" s="107"/>
      <c r="O7" s="107"/>
      <c r="P7" s="108">
        <f>J7+L7+N7</f>
        <v>0</v>
      </c>
      <c r="Q7" s="109" t="e">
        <f>P7/I7</f>
        <v>#DIV/0!</v>
      </c>
      <c r="R7" s="109"/>
      <c r="S7" s="109"/>
      <c r="T7" s="109"/>
      <c r="U7" s="187"/>
      <c r="V7" s="110" t="e">
        <f>P7/U7</f>
        <v>#DIV/0!</v>
      </c>
      <c r="X7" s="242"/>
      <c r="Y7" s="242"/>
      <c r="Z7" s="48"/>
      <c r="AA7" s="48"/>
      <c r="AB7" s="48"/>
      <c r="AC7" s="271">
        <f t="shared" ref="AC7:AC14" si="0">SUM(Z7:AB7)/3</f>
        <v>0</v>
      </c>
      <c r="AE7" s="270" t="s">
        <v>123</v>
      </c>
      <c r="AF7" s="2"/>
      <c r="AG7" s="269">
        <v>5</v>
      </c>
    </row>
    <row r="8" spans="1:33" ht="23.5" customHeight="1">
      <c r="A8" s="54" t="s">
        <v>4</v>
      </c>
      <c r="B8" s="49">
        <v>1</v>
      </c>
      <c r="C8" s="41"/>
      <c r="D8" s="41"/>
      <c r="E8" s="41"/>
      <c r="F8" s="41"/>
      <c r="G8" s="101" t="s">
        <v>4</v>
      </c>
      <c r="H8" s="118">
        <f t="shared" ref="H8:H13" si="1">B8</f>
        <v>1</v>
      </c>
      <c r="I8" s="73"/>
      <c r="J8" s="106">
        <v>0</v>
      </c>
      <c r="K8" s="106" t="e">
        <f t="shared" ref="K8:K12" si="2">J8/I8</f>
        <v>#DIV/0!</v>
      </c>
      <c r="L8" s="106">
        <v>0</v>
      </c>
      <c r="M8" s="107" t="e">
        <f t="shared" ref="M8:M12" si="3">L8/I8</f>
        <v>#DIV/0!</v>
      </c>
      <c r="N8" s="107"/>
      <c r="O8" s="107"/>
      <c r="P8" s="108">
        <f t="shared" ref="P8:P12" si="4">J8+L8+N8</f>
        <v>0</v>
      </c>
      <c r="Q8" s="109" t="e">
        <f t="shared" ref="Q8:Q13" si="5">P8/I8</f>
        <v>#DIV/0!</v>
      </c>
      <c r="R8" s="109"/>
      <c r="S8" s="109"/>
      <c r="T8" s="109"/>
      <c r="U8" s="187"/>
      <c r="V8" s="110" t="e">
        <f t="shared" ref="V8:V14" si="6">P8/U8</f>
        <v>#DIV/0!</v>
      </c>
      <c r="X8" s="242"/>
      <c r="Y8" s="242"/>
      <c r="Z8" s="48"/>
      <c r="AA8" s="48"/>
      <c r="AB8" s="48"/>
      <c r="AC8" s="271">
        <f t="shared" si="0"/>
        <v>0</v>
      </c>
      <c r="AE8" s="34" t="s">
        <v>124</v>
      </c>
      <c r="AG8" s="1">
        <v>4</v>
      </c>
    </row>
    <row r="9" spans="1:33" ht="23.5" customHeight="1">
      <c r="A9" s="54" t="s">
        <v>5</v>
      </c>
      <c r="B9" s="49">
        <v>2</v>
      </c>
      <c r="C9" s="41"/>
      <c r="D9" s="41"/>
      <c r="E9" s="41"/>
      <c r="F9" s="41"/>
      <c r="G9" s="101" t="s">
        <v>5</v>
      </c>
      <c r="H9" s="118">
        <f t="shared" si="1"/>
        <v>2</v>
      </c>
      <c r="I9" s="73"/>
      <c r="J9" s="106">
        <v>0</v>
      </c>
      <c r="K9" s="106" t="e">
        <f t="shared" si="2"/>
        <v>#DIV/0!</v>
      </c>
      <c r="L9" s="106">
        <v>0</v>
      </c>
      <c r="M9" s="107" t="e">
        <f t="shared" si="3"/>
        <v>#DIV/0!</v>
      </c>
      <c r="N9" s="107"/>
      <c r="O9" s="107"/>
      <c r="P9" s="108">
        <f t="shared" si="4"/>
        <v>0</v>
      </c>
      <c r="Q9" s="109" t="e">
        <f t="shared" si="5"/>
        <v>#DIV/0!</v>
      </c>
      <c r="R9" s="109"/>
      <c r="S9" s="109"/>
      <c r="T9" s="109"/>
      <c r="U9" s="187"/>
      <c r="V9" s="110" t="e">
        <f t="shared" si="6"/>
        <v>#DIV/0!</v>
      </c>
      <c r="X9" s="242"/>
      <c r="Y9" s="242"/>
      <c r="Z9" s="48"/>
      <c r="AA9" s="48"/>
      <c r="AB9" s="48"/>
      <c r="AC9" s="271">
        <f t="shared" si="0"/>
        <v>0</v>
      </c>
      <c r="AE9" s="34" t="s">
        <v>128</v>
      </c>
      <c r="AG9" s="1">
        <v>3</v>
      </c>
    </row>
    <row r="10" spans="1:33" ht="23.5" customHeight="1">
      <c r="A10" s="54" t="s">
        <v>6</v>
      </c>
      <c r="B10" s="49">
        <v>3</v>
      </c>
      <c r="C10" s="41"/>
      <c r="D10" s="41"/>
      <c r="E10" s="41"/>
      <c r="F10" s="41"/>
      <c r="G10" s="101" t="s">
        <v>6</v>
      </c>
      <c r="H10" s="118">
        <f t="shared" si="1"/>
        <v>3</v>
      </c>
      <c r="I10" s="73"/>
      <c r="J10" s="106">
        <v>0</v>
      </c>
      <c r="K10" s="106" t="e">
        <f t="shared" si="2"/>
        <v>#DIV/0!</v>
      </c>
      <c r="L10" s="106">
        <v>0</v>
      </c>
      <c r="M10" s="107" t="e">
        <f t="shared" si="3"/>
        <v>#DIV/0!</v>
      </c>
      <c r="N10" s="107"/>
      <c r="O10" s="107"/>
      <c r="P10" s="108">
        <f t="shared" si="4"/>
        <v>0</v>
      </c>
      <c r="Q10" s="109" t="e">
        <f t="shared" si="5"/>
        <v>#DIV/0!</v>
      </c>
      <c r="R10" s="109"/>
      <c r="S10" s="109"/>
      <c r="T10" s="109"/>
      <c r="U10" s="187"/>
      <c r="V10" s="110" t="e">
        <f t="shared" si="6"/>
        <v>#DIV/0!</v>
      </c>
      <c r="X10" s="242"/>
      <c r="Y10" s="242"/>
      <c r="Z10" s="48"/>
      <c r="AA10" s="48"/>
      <c r="AB10" s="48"/>
      <c r="AC10" s="271">
        <f t="shared" si="0"/>
        <v>0</v>
      </c>
      <c r="AE10" s="34" t="s">
        <v>120</v>
      </c>
      <c r="AG10" s="1">
        <v>2</v>
      </c>
    </row>
    <row r="11" spans="1:33" ht="23.5" customHeight="1">
      <c r="A11" s="54" t="s">
        <v>7</v>
      </c>
      <c r="B11" s="49">
        <v>4</v>
      </c>
      <c r="C11" s="41"/>
      <c r="D11" s="41"/>
      <c r="E11" s="41"/>
      <c r="F11" s="41"/>
      <c r="G11" s="101" t="s">
        <v>7</v>
      </c>
      <c r="H11" s="118">
        <f t="shared" si="1"/>
        <v>4</v>
      </c>
      <c r="I11" s="73"/>
      <c r="J11" s="106">
        <v>0</v>
      </c>
      <c r="K11" s="106" t="e">
        <f t="shared" si="2"/>
        <v>#DIV/0!</v>
      </c>
      <c r="L11" s="106">
        <v>0</v>
      </c>
      <c r="M11" s="107" t="e">
        <f t="shared" si="3"/>
        <v>#DIV/0!</v>
      </c>
      <c r="N11" s="107"/>
      <c r="O11" s="107"/>
      <c r="P11" s="108">
        <f t="shared" si="4"/>
        <v>0</v>
      </c>
      <c r="Q11" s="109" t="e">
        <f t="shared" si="5"/>
        <v>#DIV/0!</v>
      </c>
      <c r="R11" s="109"/>
      <c r="S11" s="109"/>
      <c r="T11" s="109"/>
      <c r="U11" s="187"/>
      <c r="V11" s="110" t="e">
        <f t="shared" si="6"/>
        <v>#DIV/0!</v>
      </c>
      <c r="X11" s="242"/>
      <c r="Y11" s="242"/>
      <c r="Z11" s="48"/>
      <c r="AA11" s="48"/>
      <c r="AB11" s="48"/>
      <c r="AC11" s="271">
        <f t="shared" si="0"/>
        <v>0</v>
      </c>
      <c r="AE11" s="34" t="s">
        <v>121</v>
      </c>
      <c r="AG11" s="1">
        <v>1</v>
      </c>
    </row>
    <row r="12" spans="1:33" ht="23.5" customHeight="1">
      <c r="A12" s="54" t="s">
        <v>8</v>
      </c>
      <c r="B12" s="49">
        <v>5</v>
      </c>
      <c r="C12" s="41"/>
      <c r="D12" s="41"/>
      <c r="E12" s="41"/>
      <c r="F12" s="41"/>
      <c r="G12" s="101" t="s">
        <v>8</v>
      </c>
      <c r="H12" s="118">
        <f t="shared" si="1"/>
        <v>5</v>
      </c>
      <c r="I12" s="73"/>
      <c r="J12" s="106">
        <v>0</v>
      </c>
      <c r="K12" s="106" t="e">
        <f t="shared" si="2"/>
        <v>#DIV/0!</v>
      </c>
      <c r="L12" s="106">
        <v>0</v>
      </c>
      <c r="M12" s="107" t="e">
        <f t="shared" si="3"/>
        <v>#DIV/0!</v>
      </c>
      <c r="N12" s="107"/>
      <c r="O12" s="107"/>
      <c r="P12" s="108">
        <f t="shared" si="4"/>
        <v>0</v>
      </c>
      <c r="Q12" s="109" t="e">
        <f t="shared" si="5"/>
        <v>#DIV/0!</v>
      </c>
      <c r="R12" s="109"/>
      <c r="S12" s="109"/>
      <c r="T12" s="109"/>
      <c r="U12" s="187"/>
      <c r="V12" s="110" t="e">
        <f t="shared" si="6"/>
        <v>#DIV/0!</v>
      </c>
      <c r="X12" s="243"/>
      <c r="Y12" s="242"/>
      <c r="Z12" s="48"/>
      <c r="AA12" s="48"/>
      <c r="AB12" s="48"/>
      <c r="AC12" s="271">
        <f t="shared" si="0"/>
        <v>0</v>
      </c>
      <c r="AE12" s="34" t="s">
        <v>126</v>
      </c>
      <c r="AG12" s="1">
        <v>0</v>
      </c>
    </row>
    <row r="13" spans="1:33" ht="23.5" customHeight="1" thickBot="1">
      <c r="A13" s="55" t="s">
        <v>9</v>
      </c>
      <c r="B13" s="49">
        <v>6</v>
      </c>
      <c r="C13" s="41"/>
      <c r="D13" s="41"/>
      <c r="E13" s="41"/>
      <c r="F13" s="41"/>
      <c r="G13" s="111" t="s">
        <v>9</v>
      </c>
      <c r="H13" s="118">
        <f t="shared" si="1"/>
        <v>6</v>
      </c>
      <c r="I13" s="73"/>
      <c r="J13" s="106">
        <v>0</v>
      </c>
      <c r="K13" s="106" t="e">
        <f>J13/I13</f>
        <v>#DIV/0!</v>
      </c>
      <c r="L13" s="106">
        <v>0</v>
      </c>
      <c r="M13" s="107" t="e">
        <f>L13/I13</f>
        <v>#DIV/0!</v>
      </c>
      <c r="N13" s="107">
        <v>0</v>
      </c>
      <c r="O13" s="107"/>
      <c r="P13" s="108">
        <f>J13+L13+N13</f>
        <v>0</v>
      </c>
      <c r="Q13" s="109" t="e">
        <f t="shared" si="5"/>
        <v>#DIV/0!</v>
      </c>
      <c r="R13" s="109"/>
      <c r="S13" s="109"/>
      <c r="T13" s="109"/>
      <c r="U13" s="187"/>
      <c r="V13" s="110" t="e">
        <f t="shared" si="6"/>
        <v>#DIV/0!</v>
      </c>
      <c r="X13" s="244"/>
      <c r="Y13" s="245"/>
      <c r="Z13" s="273"/>
      <c r="AA13" s="255"/>
      <c r="AB13" s="255"/>
      <c r="AC13" s="272">
        <f t="shared" si="0"/>
        <v>0</v>
      </c>
      <c r="AE13" s="1" t="s">
        <v>129</v>
      </c>
    </row>
    <row r="14" spans="1:33" ht="23.5" customHeight="1" thickTop="1" thickBot="1">
      <c r="A14" s="525" t="s">
        <v>13</v>
      </c>
      <c r="B14" s="526"/>
      <c r="C14" s="34" t="s">
        <v>36</v>
      </c>
      <c r="D14" s="43" t="e">
        <f>#REF!/F14</f>
        <v>#REF!</v>
      </c>
      <c r="E14" s="44" t="s">
        <v>37</v>
      </c>
      <c r="F14" s="34" t="e">
        <f>#REF!</f>
        <v>#REF!</v>
      </c>
      <c r="G14" s="464" t="s">
        <v>13</v>
      </c>
      <c r="H14" s="465"/>
      <c r="I14" s="106">
        <f>SUM(I7:I13)</f>
        <v>0</v>
      </c>
      <c r="J14" s="106">
        <f>SUM(J7:J13)</f>
        <v>0</v>
      </c>
      <c r="K14" s="106" t="e">
        <f>J14/I14</f>
        <v>#DIV/0!</v>
      </c>
      <c r="L14" s="106">
        <f>SUM(L7:L13)</f>
        <v>0</v>
      </c>
      <c r="M14" s="107" t="e">
        <f>L14/I14</f>
        <v>#DIV/0!</v>
      </c>
      <c r="N14" s="107" t="e">
        <f>M14/J14</f>
        <v>#DIV/0!</v>
      </c>
      <c r="O14" s="107"/>
      <c r="P14" s="108">
        <f>J14+L14</f>
        <v>0</v>
      </c>
      <c r="Q14" s="109" t="e">
        <f>P14/I14</f>
        <v>#DIV/0!</v>
      </c>
      <c r="R14" s="109"/>
      <c r="S14" s="109"/>
      <c r="T14" s="109"/>
      <c r="U14" s="188"/>
      <c r="V14" s="110" t="e">
        <f t="shared" si="6"/>
        <v>#DIV/0!</v>
      </c>
      <c r="W14" s="259"/>
      <c r="X14" s="264" t="e">
        <f>SUM(X7:X13)/W14</f>
        <v>#DIV/0!</v>
      </c>
      <c r="Y14" s="265" t="e">
        <f>SUM(Y7:Y13)/W14</f>
        <v>#DIV/0!</v>
      </c>
      <c r="Z14" s="266" t="e">
        <f>SUM(Z7:Z13)/W14</f>
        <v>#DIV/0!</v>
      </c>
      <c r="AA14" s="266" t="e">
        <f>SUM(AA7:AA13)/W14</f>
        <v>#DIV/0!</v>
      </c>
      <c r="AB14" s="266" t="e">
        <f>SUM(AB7:AB13)/W14</f>
        <v>#DIV/0!</v>
      </c>
      <c r="AC14" s="268" t="e">
        <f t="shared" si="0"/>
        <v>#DIV/0!</v>
      </c>
      <c r="AD14" s="259"/>
      <c r="AE14" s="259"/>
      <c r="AF14" s="259"/>
      <c r="AG14" s="259"/>
    </row>
    <row r="15" spans="1:33" ht="23.5" customHeight="1" thickTop="1">
      <c r="A15" s="456" t="s">
        <v>14</v>
      </c>
      <c r="B15" s="457"/>
      <c r="G15" s="461" t="s">
        <v>14</v>
      </c>
      <c r="H15" s="462"/>
      <c r="I15" s="462"/>
      <c r="J15" s="462"/>
      <c r="K15" s="462"/>
      <c r="L15" s="462"/>
      <c r="M15" s="462"/>
      <c r="N15" s="462"/>
      <c r="O15" s="462"/>
      <c r="P15" s="462"/>
      <c r="Q15" s="462"/>
      <c r="R15" s="462"/>
      <c r="S15" s="462"/>
      <c r="T15" s="462"/>
      <c r="U15" s="462"/>
      <c r="V15" s="463"/>
      <c r="X15" s="497" t="str">
        <f>G15</f>
        <v>2nd week</v>
      </c>
      <c r="Y15" s="497"/>
      <c r="Z15" s="497"/>
      <c r="AA15" s="497"/>
      <c r="AB15" s="497"/>
      <c r="AC15" s="497"/>
    </row>
    <row r="16" spans="1:33" ht="23.5" customHeight="1">
      <c r="A16" s="52" t="s">
        <v>10</v>
      </c>
      <c r="B16" s="36" t="s">
        <v>11</v>
      </c>
      <c r="C16" s="2" t="s">
        <v>32</v>
      </c>
      <c r="D16" s="2" t="s">
        <v>33</v>
      </c>
      <c r="E16" s="2" t="s">
        <v>34</v>
      </c>
      <c r="F16" s="2" t="s">
        <v>35</v>
      </c>
      <c r="G16" s="101" t="s">
        <v>10</v>
      </c>
      <c r="H16" s="102" t="s">
        <v>11</v>
      </c>
      <c r="I16" s="102" t="s">
        <v>1</v>
      </c>
      <c r="J16" s="102" t="s">
        <v>30</v>
      </c>
      <c r="K16" s="102" t="s">
        <v>31</v>
      </c>
      <c r="L16" s="102" t="s">
        <v>28</v>
      </c>
      <c r="M16" s="102" t="s">
        <v>29</v>
      </c>
      <c r="N16" s="102" t="s">
        <v>388</v>
      </c>
      <c r="O16" s="102" t="s">
        <v>384</v>
      </c>
      <c r="P16" s="102" t="s">
        <v>71</v>
      </c>
      <c r="Q16" s="103" t="s">
        <v>48</v>
      </c>
      <c r="R16" s="103" t="s">
        <v>385</v>
      </c>
      <c r="S16" s="103" t="s">
        <v>386</v>
      </c>
      <c r="T16" s="103" t="s">
        <v>387</v>
      </c>
      <c r="U16" s="103" t="s">
        <v>40</v>
      </c>
      <c r="V16" s="104" t="s">
        <v>73</v>
      </c>
      <c r="X16" s="252" t="s">
        <v>114</v>
      </c>
      <c r="Y16" s="253" t="s">
        <v>115</v>
      </c>
      <c r="Z16" s="48" t="s">
        <v>116</v>
      </c>
      <c r="AA16" s="48" t="s">
        <v>117</v>
      </c>
      <c r="AB16" s="48" t="s">
        <v>118</v>
      </c>
      <c r="AC16" s="254" t="s">
        <v>127</v>
      </c>
      <c r="AE16" s="1" t="s">
        <v>122</v>
      </c>
      <c r="AG16" s="35" t="s">
        <v>125</v>
      </c>
    </row>
    <row r="17" spans="1:33" ht="23.5" customHeight="1">
      <c r="A17" s="53" t="s">
        <v>3</v>
      </c>
      <c r="B17" s="49">
        <v>7</v>
      </c>
      <c r="C17" s="41"/>
      <c r="D17" s="41"/>
      <c r="E17" s="41"/>
      <c r="F17" s="41"/>
      <c r="G17" s="105" t="s">
        <v>3</v>
      </c>
      <c r="H17" s="118">
        <f>B17</f>
        <v>7</v>
      </c>
      <c r="I17" s="73"/>
      <c r="J17" s="106">
        <v>0</v>
      </c>
      <c r="K17" s="106" t="e">
        <f>J17/I17</f>
        <v>#DIV/0!</v>
      </c>
      <c r="L17" s="106">
        <v>0</v>
      </c>
      <c r="M17" s="107" t="e">
        <f>L17/I17</f>
        <v>#DIV/0!</v>
      </c>
      <c r="N17" s="107"/>
      <c r="O17" s="107"/>
      <c r="P17" s="108">
        <f>J17+L17+N17</f>
        <v>0</v>
      </c>
      <c r="Q17" s="109" t="e">
        <f>P17/I17</f>
        <v>#DIV/0!</v>
      </c>
      <c r="R17" s="109"/>
      <c r="S17" s="109"/>
      <c r="T17" s="109"/>
      <c r="U17" s="187"/>
      <c r="V17" s="110" t="e">
        <f>P17/U17</f>
        <v>#DIV/0!</v>
      </c>
      <c r="X17" s="247"/>
      <c r="Y17" s="247"/>
      <c r="Z17" s="255"/>
      <c r="AA17" s="255"/>
      <c r="AB17" s="255"/>
      <c r="AC17" s="271">
        <f>SUM(Z17:AB17)/3</f>
        <v>0</v>
      </c>
      <c r="AE17" s="270" t="s">
        <v>123</v>
      </c>
      <c r="AF17" s="2"/>
      <c r="AG17" s="269">
        <v>5</v>
      </c>
    </row>
    <row r="18" spans="1:33" ht="23.5" customHeight="1">
      <c r="A18" s="54" t="s">
        <v>4</v>
      </c>
      <c r="B18" s="49">
        <v>8</v>
      </c>
      <c r="C18" s="41"/>
      <c r="D18" s="41"/>
      <c r="E18" s="41"/>
      <c r="F18" s="41"/>
      <c r="G18" s="101" t="s">
        <v>4</v>
      </c>
      <c r="H18" s="118">
        <f t="shared" ref="H18:H23" si="7">B18</f>
        <v>8</v>
      </c>
      <c r="I18" s="73"/>
      <c r="J18" s="106">
        <v>0</v>
      </c>
      <c r="K18" s="106" t="e">
        <f t="shared" ref="K18:K22" si="8">J18/I18</f>
        <v>#DIV/0!</v>
      </c>
      <c r="L18" s="106">
        <v>0</v>
      </c>
      <c r="M18" s="107" t="e">
        <f t="shared" ref="M18:M22" si="9">L18/I18</f>
        <v>#DIV/0!</v>
      </c>
      <c r="N18" s="107"/>
      <c r="O18" s="107"/>
      <c r="P18" s="108">
        <f t="shared" ref="P18:P22" si="10">J18+L18+N18</f>
        <v>0</v>
      </c>
      <c r="Q18" s="109" t="e">
        <f t="shared" ref="Q18:Q22" si="11">P18/I18</f>
        <v>#DIV/0!</v>
      </c>
      <c r="R18" s="109"/>
      <c r="S18" s="109"/>
      <c r="T18" s="109"/>
      <c r="U18" s="187"/>
      <c r="V18" s="110" t="e">
        <f t="shared" ref="V18:V22" si="12">P18/U18</f>
        <v>#DIV/0!</v>
      </c>
      <c r="X18" s="247"/>
      <c r="Y18" s="247"/>
      <c r="Z18" s="255"/>
      <c r="AA18" s="255"/>
      <c r="AB18" s="255"/>
      <c r="AC18" s="271">
        <f t="shared" ref="AC18:AC23" si="13">SUM(Z18:AB18)/3</f>
        <v>0</v>
      </c>
      <c r="AE18" s="34" t="s">
        <v>124</v>
      </c>
      <c r="AG18" s="1">
        <v>4</v>
      </c>
    </row>
    <row r="19" spans="1:33" ht="23.5" customHeight="1">
      <c r="A19" s="54" t="s">
        <v>5</v>
      </c>
      <c r="B19" s="49">
        <v>9</v>
      </c>
      <c r="C19" s="41"/>
      <c r="D19" s="41"/>
      <c r="E19" s="41"/>
      <c r="F19" s="41"/>
      <c r="G19" s="101" t="s">
        <v>5</v>
      </c>
      <c r="H19" s="118">
        <f t="shared" si="7"/>
        <v>9</v>
      </c>
      <c r="I19" s="73"/>
      <c r="J19" s="106">
        <v>0</v>
      </c>
      <c r="K19" s="106" t="e">
        <f t="shared" si="8"/>
        <v>#DIV/0!</v>
      </c>
      <c r="L19" s="106">
        <v>0</v>
      </c>
      <c r="M19" s="107" t="e">
        <f t="shared" si="9"/>
        <v>#DIV/0!</v>
      </c>
      <c r="N19" s="107"/>
      <c r="O19" s="107"/>
      <c r="P19" s="108">
        <f t="shared" si="10"/>
        <v>0</v>
      </c>
      <c r="Q19" s="109" t="e">
        <f t="shared" si="11"/>
        <v>#DIV/0!</v>
      </c>
      <c r="R19" s="109"/>
      <c r="S19" s="109"/>
      <c r="T19" s="109"/>
      <c r="U19" s="187"/>
      <c r="V19" s="110" t="e">
        <f t="shared" si="12"/>
        <v>#DIV/0!</v>
      </c>
      <c r="X19" s="247"/>
      <c r="Y19" s="247"/>
      <c r="Z19" s="255"/>
      <c r="AA19" s="255"/>
      <c r="AB19" s="255"/>
      <c r="AC19" s="271">
        <f t="shared" si="13"/>
        <v>0</v>
      </c>
      <c r="AE19" s="34" t="s">
        <v>128</v>
      </c>
      <c r="AG19" s="1">
        <v>3</v>
      </c>
    </row>
    <row r="20" spans="1:33" ht="23.5" customHeight="1">
      <c r="A20" s="54" t="s">
        <v>6</v>
      </c>
      <c r="B20" s="49">
        <v>10</v>
      </c>
      <c r="C20" s="41"/>
      <c r="D20" s="41"/>
      <c r="E20" s="41"/>
      <c r="F20" s="41"/>
      <c r="G20" s="101" t="s">
        <v>6</v>
      </c>
      <c r="H20" s="118">
        <f t="shared" si="7"/>
        <v>10</v>
      </c>
      <c r="I20" s="73"/>
      <c r="J20" s="106">
        <v>0</v>
      </c>
      <c r="K20" s="106" t="e">
        <f t="shared" si="8"/>
        <v>#DIV/0!</v>
      </c>
      <c r="L20" s="106">
        <v>0</v>
      </c>
      <c r="M20" s="107" t="e">
        <f t="shared" si="9"/>
        <v>#DIV/0!</v>
      </c>
      <c r="N20" s="107"/>
      <c r="O20" s="107"/>
      <c r="P20" s="108">
        <f t="shared" si="10"/>
        <v>0</v>
      </c>
      <c r="Q20" s="109" t="e">
        <f t="shared" si="11"/>
        <v>#DIV/0!</v>
      </c>
      <c r="R20" s="109"/>
      <c r="S20" s="109"/>
      <c r="T20" s="109"/>
      <c r="U20" s="187"/>
      <c r="V20" s="110" t="e">
        <f t="shared" si="12"/>
        <v>#DIV/0!</v>
      </c>
      <c r="X20" s="247"/>
      <c r="Y20" s="247"/>
      <c r="Z20" s="255"/>
      <c r="AA20" s="255"/>
      <c r="AB20" s="255"/>
      <c r="AC20" s="271">
        <f t="shared" si="13"/>
        <v>0</v>
      </c>
      <c r="AE20" s="34" t="s">
        <v>120</v>
      </c>
      <c r="AG20" s="1">
        <v>2</v>
      </c>
    </row>
    <row r="21" spans="1:33" ht="23.5" customHeight="1">
      <c r="A21" s="54" t="s">
        <v>7</v>
      </c>
      <c r="B21" s="49">
        <v>11</v>
      </c>
      <c r="C21" s="41"/>
      <c r="D21" s="41"/>
      <c r="E21" s="41"/>
      <c r="F21" s="41"/>
      <c r="G21" s="101" t="s">
        <v>7</v>
      </c>
      <c r="H21" s="118">
        <f t="shared" si="7"/>
        <v>11</v>
      </c>
      <c r="I21" s="73"/>
      <c r="J21" s="106">
        <v>0</v>
      </c>
      <c r="K21" s="106" t="e">
        <f t="shared" si="8"/>
        <v>#DIV/0!</v>
      </c>
      <c r="L21" s="106">
        <v>0</v>
      </c>
      <c r="M21" s="107" t="e">
        <f t="shared" si="9"/>
        <v>#DIV/0!</v>
      </c>
      <c r="N21" s="107"/>
      <c r="O21" s="107"/>
      <c r="P21" s="108">
        <f t="shared" si="10"/>
        <v>0</v>
      </c>
      <c r="Q21" s="109" t="e">
        <f t="shared" si="11"/>
        <v>#DIV/0!</v>
      </c>
      <c r="R21" s="109"/>
      <c r="S21" s="109"/>
      <c r="T21" s="109"/>
      <c r="U21" s="187"/>
      <c r="V21" s="110" t="e">
        <f t="shared" si="12"/>
        <v>#DIV/0!</v>
      </c>
      <c r="X21" s="247"/>
      <c r="Y21" s="247"/>
      <c r="Z21" s="255"/>
      <c r="AA21" s="255"/>
      <c r="AB21" s="255"/>
      <c r="AC21" s="271">
        <f t="shared" si="13"/>
        <v>0</v>
      </c>
      <c r="AE21" s="34" t="s">
        <v>121</v>
      </c>
      <c r="AG21" s="1">
        <v>1</v>
      </c>
    </row>
    <row r="22" spans="1:33" ht="23.5" customHeight="1">
      <c r="A22" s="54" t="s">
        <v>8</v>
      </c>
      <c r="B22" s="49">
        <v>12</v>
      </c>
      <c r="C22" s="41"/>
      <c r="D22" s="41"/>
      <c r="E22" s="41"/>
      <c r="F22" s="41"/>
      <c r="G22" s="101" t="s">
        <v>8</v>
      </c>
      <c r="H22" s="118">
        <f t="shared" si="7"/>
        <v>12</v>
      </c>
      <c r="I22" s="73"/>
      <c r="J22" s="106">
        <v>0</v>
      </c>
      <c r="K22" s="106" t="e">
        <f t="shared" si="8"/>
        <v>#DIV/0!</v>
      </c>
      <c r="L22" s="106">
        <v>0</v>
      </c>
      <c r="M22" s="107" t="e">
        <f t="shared" si="9"/>
        <v>#DIV/0!</v>
      </c>
      <c r="N22" s="107"/>
      <c r="O22" s="107"/>
      <c r="P22" s="108">
        <f t="shared" si="10"/>
        <v>0</v>
      </c>
      <c r="Q22" s="109" t="e">
        <f t="shared" si="11"/>
        <v>#DIV/0!</v>
      </c>
      <c r="R22" s="109"/>
      <c r="S22" s="109"/>
      <c r="T22" s="109"/>
      <c r="U22" s="187"/>
      <c r="V22" s="110" t="e">
        <f t="shared" si="12"/>
        <v>#DIV/0!</v>
      </c>
      <c r="X22" s="247"/>
      <c r="Y22" s="247"/>
      <c r="Z22" s="255"/>
      <c r="AA22" s="255"/>
      <c r="AB22" s="255"/>
      <c r="AC22" s="271">
        <f t="shared" si="13"/>
        <v>0</v>
      </c>
      <c r="AE22" s="34" t="s">
        <v>126</v>
      </c>
      <c r="AG22" s="1">
        <v>0</v>
      </c>
    </row>
    <row r="23" spans="1:33" ht="23.5" customHeight="1" thickBot="1">
      <c r="A23" s="55" t="s">
        <v>9</v>
      </c>
      <c r="B23" s="49">
        <v>13</v>
      </c>
      <c r="C23" s="41"/>
      <c r="D23" s="41"/>
      <c r="E23" s="41"/>
      <c r="F23" s="41"/>
      <c r="G23" s="111" t="s">
        <v>9</v>
      </c>
      <c r="H23" s="118">
        <f t="shared" si="7"/>
        <v>13</v>
      </c>
      <c r="I23" s="73"/>
      <c r="J23" s="106">
        <v>0</v>
      </c>
      <c r="K23" s="106" t="e">
        <f>J23/I23</f>
        <v>#DIV/0!</v>
      </c>
      <c r="L23" s="106">
        <v>0</v>
      </c>
      <c r="M23" s="107" t="e">
        <f>L23/I23</f>
        <v>#DIV/0!</v>
      </c>
      <c r="N23" s="107">
        <v>0</v>
      </c>
      <c r="O23" s="107"/>
      <c r="P23" s="108">
        <f>J23+L23+N23</f>
        <v>0</v>
      </c>
      <c r="Q23" s="109" t="e">
        <f t="shared" ref="Q23" si="14">P23/I23</f>
        <v>#DIV/0!</v>
      </c>
      <c r="R23" s="109"/>
      <c r="S23" s="109"/>
      <c r="T23" s="109"/>
      <c r="U23" s="187"/>
      <c r="V23" s="110" t="e">
        <f t="shared" ref="V23:V24" si="15">P23/U23</f>
        <v>#DIV/0!</v>
      </c>
      <c r="X23" s="248"/>
      <c r="Y23" s="248"/>
      <c r="Z23" s="256"/>
      <c r="AA23" s="255"/>
      <c r="AB23" s="255"/>
      <c r="AC23" s="272">
        <f t="shared" si="13"/>
        <v>0</v>
      </c>
      <c r="AE23" s="1" t="s">
        <v>129</v>
      </c>
    </row>
    <row r="24" spans="1:33" ht="23.5" customHeight="1" thickTop="1" thickBot="1">
      <c r="A24" s="525" t="s">
        <v>13</v>
      </c>
      <c r="B24" s="526"/>
      <c r="C24" s="34" t="s">
        <v>36</v>
      </c>
      <c r="D24" s="43" t="e">
        <f>#REF!/F24</f>
        <v>#REF!</v>
      </c>
      <c r="E24" s="44" t="s">
        <v>37</v>
      </c>
      <c r="F24" s="34" t="e">
        <f>#REF!</f>
        <v>#REF!</v>
      </c>
      <c r="G24" s="464" t="s">
        <v>13</v>
      </c>
      <c r="H24" s="465"/>
      <c r="I24" s="106">
        <f>SUM(I17:I23)</f>
        <v>0</v>
      </c>
      <c r="J24" s="106">
        <f>SUM(J17:J23)</f>
        <v>0</v>
      </c>
      <c r="K24" s="106" t="e">
        <f>J24/I24</f>
        <v>#DIV/0!</v>
      </c>
      <c r="L24" s="106">
        <f>SUM(L17:L23)</f>
        <v>0</v>
      </c>
      <c r="M24" s="107" t="e">
        <f>L24/I24</f>
        <v>#DIV/0!</v>
      </c>
      <c r="N24" s="107" t="e">
        <f>M24/J24</f>
        <v>#DIV/0!</v>
      </c>
      <c r="O24" s="107"/>
      <c r="P24" s="108">
        <f>J24+L24</f>
        <v>0</v>
      </c>
      <c r="Q24" s="109" t="e">
        <f>P24/I24</f>
        <v>#DIV/0!</v>
      </c>
      <c r="R24" s="109"/>
      <c r="S24" s="109"/>
      <c r="T24" s="109"/>
      <c r="U24" s="188"/>
      <c r="V24" s="110" t="e">
        <f t="shared" si="15"/>
        <v>#DIV/0!</v>
      </c>
      <c r="W24" s="259"/>
      <c r="X24" s="264" t="e">
        <f>SUM(X17:X23)/W24</f>
        <v>#DIV/0!</v>
      </c>
      <c r="Y24" s="266" t="e">
        <f>SUM(Y17:Y23)/W24</f>
        <v>#DIV/0!</v>
      </c>
      <c r="Z24" s="266" t="e">
        <f>SUM(Z17:Z23)/W24</f>
        <v>#DIV/0!</v>
      </c>
      <c r="AA24" s="266" t="e">
        <f>SUM(AA17:AA23)/W24</f>
        <v>#DIV/0!</v>
      </c>
      <c r="AB24" s="266" t="e">
        <f>SUM(AB17:AB23)/W24</f>
        <v>#DIV/0!</v>
      </c>
      <c r="AC24" s="268" t="e">
        <f>SUM(Z24:AB24)/3</f>
        <v>#DIV/0!</v>
      </c>
      <c r="AD24" s="259"/>
      <c r="AE24" s="259"/>
      <c r="AF24" s="259"/>
      <c r="AG24" s="259"/>
    </row>
    <row r="25" spans="1:33" ht="23.5" customHeight="1" thickTop="1">
      <c r="A25" s="456" t="s">
        <v>15</v>
      </c>
      <c r="B25" s="457"/>
      <c r="G25" s="461" t="s">
        <v>15</v>
      </c>
      <c r="H25" s="462"/>
      <c r="I25" s="462"/>
      <c r="J25" s="462"/>
      <c r="K25" s="462"/>
      <c r="L25" s="462"/>
      <c r="M25" s="462"/>
      <c r="N25" s="462"/>
      <c r="O25" s="462"/>
      <c r="P25" s="462"/>
      <c r="Q25" s="462"/>
      <c r="R25" s="462"/>
      <c r="S25" s="462"/>
      <c r="T25" s="462"/>
      <c r="U25" s="462"/>
      <c r="V25" s="463"/>
      <c r="X25" s="497" t="str">
        <f>G25</f>
        <v>3rd week</v>
      </c>
      <c r="Y25" s="497"/>
      <c r="Z25" s="497"/>
      <c r="AA25" s="497"/>
      <c r="AB25" s="497"/>
      <c r="AC25" s="497"/>
    </row>
    <row r="26" spans="1:33" ht="23.5" customHeight="1">
      <c r="A26" s="52" t="s">
        <v>10</v>
      </c>
      <c r="B26" s="36" t="s">
        <v>11</v>
      </c>
      <c r="C26" s="2" t="s">
        <v>32</v>
      </c>
      <c r="D26" s="2" t="s">
        <v>33</v>
      </c>
      <c r="E26" s="2" t="s">
        <v>34</v>
      </c>
      <c r="F26" s="2" t="s">
        <v>35</v>
      </c>
      <c r="G26" s="101" t="s">
        <v>10</v>
      </c>
      <c r="H26" s="102" t="s">
        <v>11</v>
      </c>
      <c r="I26" s="102" t="s">
        <v>1</v>
      </c>
      <c r="J26" s="102" t="s">
        <v>30</v>
      </c>
      <c r="K26" s="102" t="s">
        <v>31</v>
      </c>
      <c r="L26" s="102" t="s">
        <v>28</v>
      </c>
      <c r="M26" s="102" t="s">
        <v>29</v>
      </c>
      <c r="N26" s="102" t="s">
        <v>388</v>
      </c>
      <c r="O26" s="102" t="s">
        <v>384</v>
      </c>
      <c r="P26" s="102" t="s">
        <v>71</v>
      </c>
      <c r="Q26" s="103" t="s">
        <v>48</v>
      </c>
      <c r="R26" s="103" t="s">
        <v>385</v>
      </c>
      <c r="S26" s="103" t="s">
        <v>386</v>
      </c>
      <c r="T26" s="103" t="s">
        <v>387</v>
      </c>
      <c r="U26" s="103" t="s">
        <v>40</v>
      </c>
      <c r="V26" s="104" t="s">
        <v>73</v>
      </c>
      <c r="X26" s="252" t="s">
        <v>114</v>
      </c>
      <c r="Y26" s="253" t="s">
        <v>115</v>
      </c>
      <c r="Z26" s="48" t="s">
        <v>116</v>
      </c>
      <c r="AA26" s="48" t="s">
        <v>117</v>
      </c>
      <c r="AB26" s="48" t="s">
        <v>118</v>
      </c>
      <c r="AC26" s="254" t="s">
        <v>127</v>
      </c>
      <c r="AE26" s="1" t="s">
        <v>122</v>
      </c>
      <c r="AG26" s="35" t="s">
        <v>125</v>
      </c>
    </row>
    <row r="27" spans="1:33" ht="23.5" customHeight="1">
      <c r="A27" s="53" t="s">
        <v>3</v>
      </c>
      <c r="B27" s="49">
        <v>14</v>
      </c>
      <c r="C27" s="41"/>
      <c r="D27" s="41"/>
      <c r="E27" s="41"/>
      <c r="F27" s="41"/>
      <c r="G27" s="105" t="s">
        <v>3</v>
      </c>
      <c r="H27" s="118">
        <f>B27</f>
        <v>14</v>
      </c>
      <c r="I27" s="73"/>
      <c r="J27" s="106">
        <v>0</v>
      </c>
      <c r="K27" s="106" t="e">
        <f>J27/I27</f>
        <v>#DIV/0!</v>
      </c>
      <c r="L27" s="106">
        <v>0</v>
      </c>
      <c r="M27" s="107" t="e">
        <f>L27/I27</f>
        <v>#DIV/0!</v>
      </c>
      <c r="N27" s="107"/>
      <c r="O27" s="107"/>
      <c r="P27" s="108">
        <f>J27+L27+N27</f>
        <v>0</v>
      </c>
      <c r="Q27" s="109" t="e">
        <f>P27/I27</f>
        <v>#DIV/0!</v>
      </c>
      <c r="R27" s="109"/>
      <c r="S27" s="109"/>
      <c r="T27" s="109"/>
      <c r="U27" s="187"/>
      <c r="V27" s="110" t="e">
        <f>P27/U27</f>
        <v>#DIV/0!</v>
      </c>
      <c r="X27" s="247"/>
      <c r="Y27" s="247"/>
      <c r="Z27" s="255"/>
      <c r="AA27" s="255"/>
      <c r="AB27" s="255"/>
      <c r="AC27" s="271">
        <f>SUM(Z27:AB27)/3</f>
        <v>0</v>
      </c>
      <c r="AE27" s="270" t="s">
        <v>123</v>
      </c>
      <c r="AF27" s="2"/>
      <c r="AG27" s="269">
        <v>5</v>
      </c>
    </row>
    <row r="28" spans="1:33" ht="23.5" customHeight="1">
      <c r="A28" s="54" t="s">
        <v>4</v>
      </c>
      <c r="B28" s="49">
        <v>15</v>
      </c>
      <c r="C28" s="41"/>
      <c r="D28" s="41"/>
      <c r="E28" s="41"/>
      <c r="F28" s="41"/>
      <c r="G28" s="101" t="s">
        <v>4</v>
      </c>
      <c r="H28" s="118">
        <f t="shared" ref="H28:H33" si="16">B28</f>
        <v>15</v>
      </c>
      <c r="I28" s="73"/>
      <c r="J28" s="106">
        <v>0</v>
      </c>
      <c r="K28" s="106" t="e">
        <f t="shared" ref="K28:K32" si="17">J28/I28</f>
        <v>#DIV/0!</v>
      </c>
      <c r="L28" s="106">
        <v>0</v>
      </c>
      <c r="M28" s="107" t="e">
        <f t="shared" ref="M28:M32" si="18">L28/I28</f>
        <v>#DIV/0!</v>
      </c>
      <c r="N28" s="107"/>
      <c r="O28" s="107"/>
      <c r="P28" s="108">
        <f t="shared" ref="P28:P32" si="19">J28+L28+N28</f>
        <v>0</v>
      </c>
      <c r="Q28" s="109" t="e">
        <f t="shared" ref="Q28:Q33" si="20">P28/I28</f>
        <v>#DIV/0!</v>
      </c>
      <c r="R28" s="109"/>
      <c r="S28" s="109"/>
      <c r="T28" s="109"/>
      <c r="U28" s="187"/>
      <c r="V28" s="110" t="e">
        <f t="shared" ref="V28:V33" si="21">P28/U28</f>
        <v>#DIV/0!</v>
      </c>
      <c r="X28" s="247"/>
      <c r="Y28" s="247"/>
      <c r="Z28" s="255"/>
      <c r="AA28" s="255"/>
      <c r="AB28" s="255"/>
      <c r="AC28" s="271">
        <f t="shared" ref="AC28:AC33" si="22">SUM(Z28:AB28)/3</f>
        <v>0</v>
      </c>
      <c r="AE28" s="34" t="s">
        <v>124</v>
      </c>
      <c r="AG28" s="1">
        <v>4</v>
      </c>
    </row>
    <row r="29" spans="1:33" ht="23.5" customHeight="1">
      <c r="A29" s="54" t="s">
        <v>5</v>
      </c>
      <c r="B29" s="49">
        <v>16</v>
      </c>
      <c r="C29" s="41"/>
      <c r="D29" s="41"/>
      <c r="E29" s="41"/>
      <c r="F29" s="41"/>
      <c r="G29" s="101" t="s">
        <v>5</v>
      </c>
      <c r="H29" s="118">
        <f t="shared" si="16"/>
        <v>16</v>
      </c>
      <c r="I29" s="73"/>
      <c r="J29" s="106">
        <v>0</v>
      </c>
      <c r="K29" s="106" t="e">
        <f t="shared" si="17"/>
        <v>#DIV/0!</v>
      </c>
      <c r="L29" s="106">
        <v>0</v>
      </c>
      <c r="M29" s="107" t="e">
        <f t="shared" si="18"/>
        <v>#DIV/0!</v>
      </c>
      <c r="N29" s="107"/>
      <c r="O29" s="107"/>
      <c r="P29" s="108">
        <f t="shared" si="19"/>
        <v>0</v>
      </c>
      <c r="Q29" s="109" t="e">
        <f t="shared" si="20"/>
        <v>#DIV/0!</v>
      </c>
      <c r="R29" s="109"/>
      <c r="S29" s="109"/>
      <c r="T29" s="109"/>
      <c r="U29" s="187"/>
      <c r="V29" s="110" t="e">
        <f t="shared" si="21"/>
        <v>#DIV/0!</v>
      </c>
      <c r="X29" s="247"/>
      <c r="Y29" s="247"/>
      <c r="Z29" s="255"/>
      <c r="AA29" s="255"/>
      <c r="AB29" s="255"/>
      <c r="AC29" s="271">
        <f t="shared" si="22"/>
        <v>0</v>
      </c>
      <c r="AE29" s="34" t="s">
        <v>128</v>
      </c>
      <c r="AG29" s="1">
        <v>3</v>
      </c>
    </row>
    <row r="30" spans="1:33" ht="23.5" customHeight="1">
      <c r="A30" s="54" t="s">
        <v>6</v>
      </c>
      <c r="B30" s="49">
        <v>17</v>
      </c>
      <c r="C30" s="41"/>
      <c r="D30" s="41"/>
      <c r="E30" s="41"/>
      <c r="F30" s="41"/>
      <c r="G30" s="101" t="s">
        <v>6</v>
      </c>
      <c r="H30" s="118">
        <f t="shared" si="16"/>
        <v>17</v>
      </c>
      <c r="I30" s="73"/>
      <c r="J30" s="106">
        <v>0</v>
      </c>
      <c r="K30" s="106" t="e">
        <f t="shared" si="17"/>
        <v>#DIV/0!</v>
      </c>
      <c r="L30" s="106">
        <v>0</v>
      </c>
      <c r="M30" s="107" t="e">
        <f t="shared" si="18"/>
        <v>#DIV/0!</v>
      </c>
      <c r="N30" s="107"/>
      <c r="O30" s="107"/>
      <c r="P30" s="108">
        <f t="shared" si="19"/>
        <v>0</v>
      </c>
      <c r="Q30" s="109" t="e">
        <f t="shared" si="20"/>
        <v>#DIV/0!</v>
      </c>
      <c r="R30" s="109"/>
      <c r="S30" s="109"/>
      <c r="T30" s="109"/>
      <c r="U30" s="187"/>
      <c r="V30" s="110" t="e">
        <f t="shared" si="21"/>
        <v>#DIV/0!</v>
      </c>
      <c r="X30" s="247"/>
      <c r="Y30" s="247"/>
      <c r="Z30" s="255"/>
      <c r="AA30" s="255"/>
      <c r="AB30" s="255"/>
      <c r="AC30" s="271">
        <f t="shared" si="22"/>
        <v>0</v>
      </c>
      <c r="AE30" s="34" t="s">
        <v>120</v>
      </c>
      <c r="AG30" s="1">
        <v>2</v>
      </c>
    </row>
    <row r="31" spans="1:33" ht="23.5" customHeight="1">
      <c r="A31" s="54" t="s">
        <v>7</v>
      </c>
      <c r="B31" s="49">
        <v>18</v>
      </c>
      <c r="C31" s="41"/>
      <c r="D31" s="41"/>
      <c r="E31" s="41"/>
      <c r="F31" s="41"/>
      <c r="G31" s="101" t="s">
        <v>7</v>
      </c>
      <c r="H31" s="118">
        <f t="shared" si="16"/>
        <v>18</v>
      </c>
      <c r="I31" s="73"/>
      <c r="J31" s="106">
        <v>0</v>
      </c>
      <c r="K31" s="106" t="e">
        <f t="shared" si="17"/>
        <v>#DIV/0!</v>
      </c>
      <c r="L31" s="106">
        <v>0</v>
      </c>
      <c r="M31" s="107" t="e">
        <f t="shared" si="18"/>
        <v>#DIV/0!</v>
      </c>
      <c r="N31" s="107"/>
      <c r="O31" s="107"/>
      <c r="P31" s="108">
        <f t="shared" si="19"/>
        <v>0</v>
      </c>
      <c r="Q31" s="109" t="e">
        <f t="shared" si="20"/>
        <v>#DIV/0!</v>
      </c>
      <c r="R31" s="109"/>
      <c r="S31" s="109"/>
      <c r="T31" s="109"/>
      <c r="U31" s="187"/>
      <c r="V31" s="110" t="e">
        <f t="shared" si="21"/>
        <v>#DIV/0!</v>
      </c>
      <c r="X31" s="247"/>
      <c r="Y31" s="247"/>
      <c r="Z31" s="255"/>
      <c r="AA31" s="255"/>
      <c r="AB31" s="255"/>
      <c r="AC31" s="271">
        <f t="shared" si="22"/>
        <v>0</v>
      </c>
      <c r="AE31" s="34" t="s">
        <v>121</v>
      </c>
      <c r="AG31" s="1">
        <v>1</v>
      </c>
    </row>
    <row r="32" spans="1:33" ht="23.5" customHeight="1">
      <c r="A32" s="54" t="s">
        <v>8</v>
      </c>
      <c r="B32" s="49">
        <v>19</v>
      </c>
      <c r="C32" s="41"/>
      <c r="D32" s="41"/>
      <c r="E32" s="41"/>
      <c r="F32" s="41"/>
      <c r="G32" s="101" t="s">
        <v>8</v>
      </c>
      <c r="H32" s="118">
        <f t="shared" si="16"/>
        <v>19</v>
      </c>
      <c r="I32" s="73"/>
      <c r="J32" s="106">
        <v>0</v>
      </c>
      <c r="K32" s="106" t="e">
        <f t="shared" si="17"/>
        <v>#DIV/0!</v>
      </c>
      <c r="L32" s="106">
        <v>0</v>
      </c>
      <c r="M32" s="107" t="e">
        <f t="shared" si="18"/>
        <v>#DIV/0!</v>
      </c>
      <c r="N32" s="107"/>
      <c r="O32" s="107"/>
      <c r="P32" s="108">
        <f t="shared" si="19"/>
        <v>0</v>
      </c>
      <c r="Q32" s="109" t="e">
        <f t="shared" si="20"/>
        <v>#DIV/0!</v>
      </c>
      <c r="R32" s="109"/>
      <c r="S32" s="109"/>
      <c r="T32" s="109"/>
      <c r="U32" s="187"/>
      <c r="V32" s="110" t="e">
        <f t="shared" si="21"/>
        <v>#DIV/0!</v>
      </c>
      <c r="X32" s="247"/>
      <c r="Y32" s="247"/>
      <c r="Z32" s="255"/>
      <c r="AA32" s="255"/>
      <c r="AB32" s="255"/>
      <c r="AC32" s="271">
        <f t="shared" si="22"/>
        <v>0</v>
      </c>
      <c r="AE32" s="34" t="s">
        <v>126</v>
      </c>
      <c r="AG32" s="1">
        <v>0</v>
      </c>
    </row>
    <row r="33" spans="1:36" ht="23.5" customHeight="1" thickBot="1">
      <c r="A33" s="55" t="s">
        <v>9</v>
      </c>
      <c r="B33" s="49">
        <v>20</v>
      </c>
      <c r="C33" s="41"/>
      <c r="D33" s="41"/>
      <c r="E33" s="41"/>
      <c r="F33" s="41"/>
      <c r="G33" s="111" t="s">
        <v>9</v>
      </c>
      <c r="H33" s="118">
        <f t="shared" si="16"/>
        <v>20</v>
      </c>
      <c r="I33" s="73"/>
      <c r="J33" s="106">
        <v>0</v>
      </c>
      <c r="K33" s="106" t="e">
        <f>J33/I33</f>
        <v>#DIV/0!</v>
      </c>
      <c r="L33" s="106">
        <v>0</v>
      </c>
      <c r="M33" s="107" t="e">
        <f>L33/I33</f>
        <v>#DIV/0!</v>
      </c>
      <c r="N33" s="107">
        <v>0</v>
      </c>
      <c r="O33" s="107"/>
      <c r="P33" s="108">
        <f>J33+L33+N33</f>
        <v>0</v>
      </c>
      <c r="Q33" s="109" t="e">
        <f t="shared" si="20"/>
        <v>#DIV/0!</v>
      </c>
      <c r="R33" s="109"/>
      <c r="S33" s="109"/>
      <c r="T33" s="109"/>
      <c r="U33" s="187"/>
      <c r="V33" s="110" t="e">
        <f t="shared" si="21"/>
        <v>#DIV/0!</v>
      </c>
      <c r="X33" s="248"/>
      <c r="Y33" s="248"/>
      <c r="Z33" s="256"/>
      <c r="AA33" s="255"/>
      <c r="AB33" s="256"/>
      <c r="AC33" s="272">
        <f t="shared" si="22"/>
        <v>0</v>
      </c>
      <c r="AE33" s="1" t="s">
        <v>129</v>
      </c>
    </row>
    <row r="34" spans="1:36" ht="23.5" customHeight="1" thickTop="1" thickBot="1">
      <c r="A34" s="525" t="s">
        <v>13</v>
      </c>
      <c r="B34" s="526"/>
      <c r="C34" s="34" t="s">
        <v>36</v>
      </c>
      <c r="D34" s="43" t="e">
        <f>#REF!/F34</f>
        <v>#REF!</v>
      </c>
      <c r="E34" s="44" t="s">
        <v>37</v>
      </c>
      <c r="F34" s="34" t="e">
        <f>#REF!</f>
        <v>#REF!</v>
      </c>
      <c r="G34" s="464" t="s">
        <v>13</v>
      </c>
      <c r="H34" s="465"/>
      <c r="I34" s="106">
        <f>SUM(I27:I33)</f>
        <v>0</v>
      </c>
      <c r="J34" s="106">
        <f>SUM(J27:J33)</f>
        <v>0</v>
      </c>
      <c r="K34" s="106" t="e">
        <f>J34/I34</f>
        <v>#DIV/0!</v>
      </c>
      <c r="L34" s="106">
        <f>SUM(L27:L33)</f>
        <v>0</v>
      </c>
      <c r="M34" s="107" t="e">
        <f>L34/I34</f>
        <v>#DIV/0!</v>
      </c>
      <c r="N34" s="107" t="e">
        <f>M34/J34</f>
        <v>#DIV/0!</v>
      </c>
      <c r="O34" s="107"/>
      <c r="P34" s="108">
        <f>J34+L34</f>
        <v>0</v>
      </c>
      <c r="Q34" s="109" t="e">
        <f>P34/I34</f>
        <v>#DIV/0!</v>
      </c>
      <c r="R34" s="109"/>
      <c r="S34" s="109"/>
      <c r="T34" s="109"/>
      <c r="U34" s="188"/>
      <c r="V34" s="110" t="e">
        <f t="shared" ref="V34" si="23">P34/U34</f>
        <v>#DIV/0!</v>
      </c>
      <c r="W34" s="259"/>
      <c r="X34" s="264" t="e">
        <f>SUM(X27:X33)/W34</f>
        <v>#DIV/0!</v>
      </c>
      <c r="Y34" s="266" t="e">
        <f>SUM(Y27:Y33)/W34</f>
        <v>#DIV/0!</v>
      </c>
      <c r="Z34" s="266" t="e">
        <f>SUM(Z27:Z33)/W34</f>
        <v>#DIV/0!</v>
      </c>
      <c r="AA34" s="266" t="e">
        <f>SUM(AA27:AA33)/W34</f>
        <v>#DIV/0!</v>
      </c>
      <c r="AB34" s="266" t="e">
        <f>SUM(AB27:AB33)/W34</f>
        <v>#DIV/0!</v>
      </c>
      <c r="AC34" s="268" t="e">
        <f>SUM(Z34:AB34)/3</f>
        <v>#DIV/0!</v>
      </c>
      <c r="AD34" s="259"/>
      <c r="AE34" s="259"/>
      <c r="AF34" s="259"/>
      <c r="AG34" s="259"/>
    </row>
    <row r="35" spans="1:36" ht="23.5" customHeight="1" thickTop="1">
      <c r="A35" s="456" t="s">
        <v>16</v>
      </c>
      <c r="B35" s="457"/>
      <c r="G35" s="461" t="s">
        <v>16</v>
      </c>
      <c r="H35" s="462"/>
      <c r="I35" s="462"/>
      <c r="J35" s="462"/>
      <c r="K35" s="462"/>
      <c r="L35" s="462"/>
      <c r="M35" s="462"/>
      <c r="N35" s="462"/>
      <c r="O35" s="462"/>
      <c r="P35" s="462"/>
      <c r="Q35" s="462"/>
      <c r="R35" s="462"/>
      <c r="S35" s="462"/>
      <c r="T35" s="462"/>
      <c r="U35" s="462"/>
      <c r="V35" s="463"/>
      <c r="X35" s="497" t="str">
        <f>G35</f>
        <v>4th week</v>
      </c>
      <c r="Y35" s="497"/>
      <c r="Z35" s="497"/>
      <c r="AA35" s="497"/>
      <c r="AB35" s="497"/>
      <c r="AC35" s="497"/>
    </row>
    <row r="36" spans="1:36" ht="23.5" customHeight="1">
      <c r="A36" s="52" t="s">
        <v>10</v>
      </c>
      <c r="B36" s="36" t="s">
        <v>11</v>
      </c>
      <c r="C36" s="2" t="s">
        <v>32</v>
      </c>
      <c r="D36" s="2" t="s">
        <v>33</v>
      </c>
      <c r="E36" s="2" t="s">
        <v>34</v>
      </c>
      <c r="F36" s="2" t="s">
        <v>35</v>
      </c>
      <c r="G36" s="101" t="s">
        <v>10</v>
      </c>
      <c r="H36" s="102" t="s">
        <v>11</v>
      </c>
      <c r="I36" s="102" t="s">
        <v>1</v>
      </c>
      <c r="J36" s="102" t="s">
        <v>30</v>
      </c>
      <c r="K36" s="102" t="s">
        <v>31</v>
      </c>
      <c r="L36" s="102" t="s">
        <v>28</v>
      </c>
      <c r="M36" s="102" t="s">
        <v>29</v>
      </c>
      <c r="N36" s="102" t="s">
        <v>388</v>
      </c>
      <c r="O36" s="102" t="s">
        <v>384</v>
      </c>
      <c r="P36" s="102" t="s">
        <v>71</v>
      </c>
      <c r="Q36" s="103" t="s">
        <v>48</v>
      </c>
      <c r="R36" s="103" t="s">
        <v>385</v>
      </c>
      <c r="S36" s="103" t="s">
        <v>386</v>
      </c>
      <c r="T36" s="103" t="s">
        <v>387</v>
      </c>
      <c r="U36" s="103" t="s">
        <v>40</v>
      </c>
      <c r="V36" s="104" t="s">
        <v>73</v>
      </c>
      <c r="X36" s="252" t="s">
        <v>114</v>
      </c>
      <c r="Y36" s="253" t="s">
        <v>115</v>
      </c>
      <c r="Z36" s="48" t="s">
        <v>116</v>
      </c>
      <c r="AA36" s="48" t="s">
        <v>117</v>
      </c>
      <c r="AB36" s="48" t="s">
        <v>118</v>
      </c>
      <c r="AC36" s="254" t="s">
        <v>127</v>
      </c>
      <c r="AE36" s="1" t="s">
        <v>122</v>
      </c>
      <c r="AG36" s="35" t="s">
        <v>125</v>
      </c>
    </row>
    <row r="37" spans="1:36" ht="23.5" customHeight="1">
      <c r="A37" s="53" t="s">
        <v>3</v>
      </c>
      <c r="B37" s="49">
        <v>21</v>
      </c>
      <c r="C37" s="41"/>
      <c r="D37" s="41"/>
      <c r="E37" s="41"/>
      <c r="F37" s="41"/>
      <c r="G37" s="105" t="s">
        <v>3</v>
      </c>
      <c r="H37" s="118">
        <f>B37</f>
        <v>21</v>
      </c>
      <c r="I37" s="73"/>
      <c r="J37" s="106">
        <v>0</v>
      </c>
      <c r="K37" s="106" t="e">
        <f>J37/I37</f>
        <v>#DIV/0!</v>
      </c>
      <c r="L37" s="106">
        <v>0</v>
      </c>
      <c r="M37" s="107" t="e">
        <f>L37/I37</f>
        <v>#DIV/0!</v>
      </c>
      <c r="N37" s="107"/>
      <c r="O37" s="107"/>
      <c r="P37" s="108">
        <f>J37+L37+N37</f>
        <v>0</v>
      </c>
      <c r="Q37" s="109" t="e">
        <f>P37/I37</f>
        <v>#DIV/0!</v>
      </c>
      <c r="R37" s="109"/>
      <c r="S37" s="109"/>
      <c r="T37" s="109"/>
      <c r="U37" s="187"/>
      <c r="V37" s="110" t="e">
        <f>P37/U37</f>
        <v>#DIV/0!</v>
      </c>
      <c r="X37" s="247"/>
      <c r="Y37" s="247"/>
      <c r="Z37" s="255"/>
      <c r="AA37" s="255"/>
      <c r="AB37" s="255"/>
      <c r="AC37" s="271">
        <f>SUM(Z37:AB37)/3</f>
        <v>0</v>
      </c>
      <c r="AE37" s="270" t="s">
        <v>123</v>
      </c>
      <c r="AF37" s="2"/>
      <c r="AG37" s="269">
        <v>5</v>
      </c>
    </row>
    <row r="38" spans="1:36" ht="23.5" customHeight="1">
      <c r="A38" s="54" t="s">
        <v>4</v>
      </c>
      <c r="B38" s="49">
        <v>22</v>
      </c>
      <c r="C38" s="41"/>
      <c r="D38" s="41"/>
      <c r="E38" s="41"/>
      <c r="F38" s="41"/>
      <c r="G38" s="101" t="s">
        <v>4</v>
      </c>
      <c r="H38" s="118">
        <f t="shared" ref="H38:H43" si="24">B38</f>
        <v>22</v>
      </c>
      <c r="I38" s="73"/>
      <c r="J38" s="106">
        <v>0</v>
      </c>
      <c r="K38" s="106" t="e">
        <f t="shared" ref="K38:K42" si="25">J38/I38</f>
        <v>#DIV/0!</v>
      </c>
      <c r="L38" s="106">
        <v>0</v>
      </c>
      <c r="M38" s="107" t="e">
        <f t="shared" ref="M38:M42" si="26">L38/I38</f>
        <v>#DIV/0!</v>
      </c>
      <c r="N38" s="107"/>
      <c r="O38" s="107"/>
      <c r="P38" s="108">
        <f t="shared" ref="P38:P42" si="27">J38+L38+N38</f>
        <v>0</v>
      </c>
      <c r="Q38" s="109" t="e">
        <f t="shared" ref="Q38:Q43" si="28">P38/I38</f>
        <v>#DIV/0!</v>
      </c>
      <c r="R38" s="109"/>
      <c r="S38" s="109"/>
      <c r="T38" s="109"/>
      <c r="U38" s="187"/>
      <c r="V38" s="110" t="e">
        <f t="shared" ref="V38:V43" si="29">P38/U38</f>
        <v>#DIV/0!</v>
      </c>
      <c r="X38" s="247"/>
      <c r="Y38" s="247"/>
      <c r="Z38" s="255"/>
      <c r="AA38" s="255"/>
      <c r="AB38" s="255"/>
      <c r="AC38" s="271">
        <f t="shared" ref="AC38:AC43" si="30">SUM(Z38:AB38)/3</f>
        <v>0</v>
      </c>
      <c r="AE38" s="34" t="s">
        <v>124</v>
      </c>
      <c r="AG38" s="1">
        <v>4</v>
      </c>
    </row>
    <row r="39" spans="1:36" ht="23.5" customHeight="1">
      <c r="A39" s="54" t="s">
        <v>5</v>
      </c>
      <c r="B39" s="49">
        <v>23</v>
      </c>
      <c r="C39" s="41"/>
      <c r="D39" s="41"/>
      <c r="E39" s="41"/>
      <c r="F39" s="41"/>
      <c r="G39" s="101" t="s">
        <v>5</v>
      </c>
      <c r="H39" s="118">
        <f t="shared" si="24"/>
        <v>23</v>
      </c>
      <c r="I39" s="73"/>
      <c r="J39" s="106">
        <v>0</v>
      </c>
      <c r="K39" s="106" t="e">
        <f t="shared" si="25"/>
        <v>#DIV/0!</v>
      </c>
      <c r="L39" s="106">
        <v>0</v>
      </c>
      <c r="M39" s="107" t="e">
        <f t="shared" si="26"/>
        <v>#DIV/0!</v>
      </c>
      <c r="N39" s="107"/>
      <c r="O39" s="107"/>
      <c r="P39" s="108">
        <f t="shared" si="27"/>
        <v>0</v>
      </c>
      <c r="Q39" s="109" t="e">
        <f t="shared" si="28"/>
        <v>#DIV/0!</v>
      </c>
      <c r="R39" s="109"/>
      <c r="S39" s="109"/>
      <c r="T39" s="109"/>
      <c r="U39" s="187"/>
      <c r="V39" s="110" t="e">
        <f t="shared" si="29"/>
        <v>#DIV/0!</v>
      </c>
      <c r="X39" s="247"/>
      <c r="Y39" s="247"/>
      <c r="Z39" s="255"/>
      <c r="AA39" s="255"/>
      <c r="AB39" s="255"/>
      <c r="AC39" s="271">
        <f t="shared" si="30"/>
        <v>0</v>
      </c>
      <c r="AE39" s="34" t="s">
        <v>128</v>
      </c>
      <c r="AG39" s="1">
        <v>3</v>
      </c>
    </row>
    <row r="40" spans="1:36" ht="23.5" customHeight="1">
      <c r="A40" s="54" t="s">
        <v>6</v>
      </c>
      <c r="B40" s="49">
        <v>24</v>
      </c>
      <c r="C40" s="41"/>
      <c r="D40" s="41"/>
      <c r="E40" s="41"/>
      <c r="F40" s="41"/>
      <c r="G40" s="101" t="s">
        <v>6</v>
      </c>
      <c r="H40" s="118">
        <f t="shared" si="24"/>
        <v>24</v>
      </c>
      <c r="I40" s="73"/>
      <c r="J40" s="106">
        <v>0</v>
      </c>
      <c r="K40" s="106" t="e">
        <f t="shared" si="25"/>
        <v>#DIV/0!</v>
      </c>
      <c r="L40" s="106">
        <v>0</v>
      </c>
      <c r="M40" s="107" t="e">
        <f t="shared" si="26"/>
        <v>#DIV/0!</v>
      </c>
      <c r="N40" s="107"/>
      <c r="O40" s="107"/>
      <c r="P40" s="108">
        <f t="shared" si="27"/>
        <v>0</v>
      </c>
      <c r="Q40" s="109" t="e">
        <f t="shared" si="28"/>
        <v>#DIV/0!</v>
      </c>
      <c r="R40" s="109"/>
      <c r="S40" s="109"/>
      <c r="T40" s="109"/>
      <c r="U40" s="187"/>
      <c r="V40" s="110" t="e">
        <f t="shared" si="29"/>
        <v>#DIV/0!</v>
      </c>
      <c r="X40" s="247"/>
      <c r="Y40" s="247"/>
      <c r="Z40" s="255"/>
      <c r="AA40" s="255"/>
      <c r="AB40" s="255"/>
      <c r="AC40" s="271">
        <f t="shared" si="30"/>
        <v>0</v>
      </c>
      <c r="AE40" s="34" t="s">
        <v>120</v>
      </c>
      <c r="AG40" s="1">
        <v>2</v>
      </c>
    </row>
    <row r="41" spans="1:36" ht="23.5" customHeight="1">
      <c r="A41" s="54" t="s">
        <v>7</v>
      </c>
      <c r="B41" s="49">
        <v>25</v>
      </c>
      <c r="C41" s="41"/>
      <c r="D41" s="41"/>
      <c r="E41" s="41"/>
      <c r="F41" s="41"/>
      <c r="G41" s="101" t="s">
        <v>7</v>
      </c>
      <c r="H41" s="118">
        <f t="shared" si="24"/>
        <v>25</v>
      </c>
      <c r="I41" s="73"/>
      <c r="J41" s="106">
        <v>0</v>
      </c>
      <c r="K41" s="106" t="e">
        <f t="shared" si="25"/>
        <v>#DIV/0!</v>
      </c>
      <c r="L41" s="106">
        <v>0</v>
      </c>
      <c r="M41" s="107" t="e">
        <f t="shared" si="26"/>
        <v>#DIV/0!</v>
      </c>
      <c r="N41" s="107"/>
      <c r="O41" s="107"/>
      <c r="P41" s="108">
        <f t="shared" si="27"/>
        <v>0</v>
      </c>
      <c r="Q41" s="109" t="e">
        <f t="shared" si="28"/>
        <v>#DIV/0!</v>
      </c>
      <c r="R41" s="109"/>
      <c r="S41" s="109"/>
      <c r="T41" s="109"/>
      <c r="U41" s="187"/>
      <c r="V41" s="110" t="e">
        <f t="shared" si="29"/>
        <v>#DIV/0!</v>
      </c>
      <c r="X41" s="247"/>
      <c r="Y41" s="247"/>
      <c r="Z41" s="255"/>
      <c r="AA41" s="255"/>
      <c r="AB41" s="255"/>
      <c r="AC41" s="271">
        <f t="shared" si="30"/>
        <v>0</v>
      </c>
      <c r="AE41" s="34" t="s">
        <v>121</v>
      </c>
      <c r="AG41" s="1">
        <v>1</v>
      </c>
    </row>
    <row r="42" spans="1:36" ht="23.5" customHeight="1">
      <c r="A42" s="54" t="s">
        <v>8</v>
      </c>
      <c r="B42" s="49">
        <v>26</v>
      </c>
      <c r="C42" s="41"/>
      <c r="D42" s="41"/>
      <c r="E42" s="41"/>
      <c r="F42" s="41"/>
      <c r="G42" s="101" t="s">
        <v>8</v>
      </c>
      <c r="H42" s="118">
        <f t="shared" si="24"/>
        <v>26</v>
      </c>
      <c r="I42" s="73"/>
      <c r="J42" s="106">
        <v>0</v>
      </c>
      <c r="K42" s="106" t="e">
        <f t="shared" si="25"/>
        <v>#DIV/0!</v>
      </c>
      <c r="L42" s="106">
        <v>0</v>
      </c>
      <c r="M42" s="107" t="e">
        <f t="shared" si="26"/>
        <v>#DIV/0!</v>
      </c>
      <c r="N42" s="107"/>
      <c r="O42" s="107"/>
      <c r="P42" s="108">
        <f t="shared" si="27"/>
        <v>0</v>
      </c>
      <c r="Q42" s="109" t="e">
        <f t="shared" si="28"/>
        <v>#DIV/0!</v>
      </c>
      <c r="R42" s="109"/>
      <c r="S42" s="109"/>
      <c r="T42" s="109"/>
      <c r="U42" s="187"/>
      <c r="V42" s="110" t="e">
        <f t="shared" si="29"/>
        <v>#DIV/0!</v>
      </c>
      <c r="X42" s="247"/>
      <c r="Y42" s="247"/>
      <c r="Z42" s="255"/>
      <c r="AA42" s="255"/>
      <c r="AB42" s="255"/>
      <c r="AC42" s="271">
        <f t="shared" si="30"/>
        <v>0</v>
      </c>
      <c r="AE42" s="34" t="s">
        <v>126</v>
      </c>
      <c r="AG42" s="1">
        <v>0</v>
      </c>
    </row>
    <row r="43" spans="1:36" ht="23.5" customHeight="1" thickBot="1">
      <c r="A43" s="55" t="s">
        <v>9</v>
      </c>
      <c r="B43" s="49">
        <v>27</v>
      </c>
      <c r="C43" s="41"/>
      <c r="D43" s="41"/>
      <c r="E43" s="41"/>
      <c r="F43" s="41"/>
      <c r="G43" s="111" t="s">
        <v>9</v>
      </c>
      <c r="H43" s="118">
        <f t="shared" si="24"/>
        <v>27</v>
      </c>
      <c r="I43" s="73">
        <v>247</v>
      </c>
      <c r="J43" s="106">
        <v>554550</v>
      </c>
      <c r="K43" s="106">
        <f>J43/I43</f>
        <v>2245.1417004048585</v>
      </c>
      <c r="L43" s="106">
        <v>329450</v>
      </c>
      <c r="M43" s="107">
        <f>L43/I43</f>
        <v>1333.8056680161944</v>
      </c>
      <c r="N43" s="107">
        <v>0</v>
      </c>
      <c r="O43" s="107"/>
      <c r="P43" s="108">
        <f>J43+L43+N43</f>
        <v>884000</v>
      </c>
      <c r="Q43" s="109">
        <f t="shared" si="28"/>
        <v>3578.9473684210525</v>
      </c>
      <c r="R43" s="109"/>
      <c r="S43" s="109"/>
      <c r="T43" s="109"/>
      <c r="U43" s="187">
        <v>118.75</v>
      </c>
      <c r="V43" s="110">
        <f t="shared" si="29"/>
        <v>7444.2105263157891</v>
      </c>
      <c r="X43" s="248">
        <v>15.4</v>
      </c>
      <c r="Y43" s="248">
        <v>25.8</v>
      </c>
      <c r="Z43" s="256">
        <v>5</v>
      </c>
      <c r="AA43" s="255">
        <v>5</v>
      </c>
      <c r="AB43" s="255">
        <v>4</v>
      </c>
      <c r="AC43" s="272">
        <f t="shared" si="30"/>
        <v>4.666666666666667</v>
      </c>
      <c r="AE43" s="1" t="s">
        <v>129</v>
      </c>
    </row>
    <row r="44" spans="1:36" ht="35" customHeight="1" thickTop="1" thickBot="1">
      <c r="A44" s="525" t="s">
        <v>13</v>
      </c>
      <c r="B44" s="526"/>
      <c r="C44" s="34" t="s">
        <v>36</v>
      </c>
      <c r="D44" s="43" t="e">
        <f>#REF!/F44</f>
        <v>#REF!</v>
      </c>
      <c r="E44" s="44" t="s">
        <v>37</v>
      </c>
      <c r="F44" s="34" t="e">
        <f>#REF!</f>
        <v>#REF!</v>
      </c>
      <c r="G44" s="464" t="s">
        <v>13</v>
      </c>
      <c r="H44" s="465"/>
      <c r="I44" s="119">
        <f>SUM(I37:I43)</f>
        <v>247</v>
      </c>
      <c r="J44" s="119">
        <f>SUM(J37:J43)</f>
        <v>554550</v>
      </c>
      <c r="K44" s="119">
        <f>J44/I44</f>
        <v>2245.1417004048585</v>
      </c>
      <c r="L44" s="119">
        <f>SUM(L37:L43)</f>
        <v>329450</v>
      </c>
      <c r="M44" s="120">
        <f>L44/I44</f>
        <v>1333.8056680161944</v>
      </c>
      <c r="N44" s="120">
        <f>M44/J44</f>
        <v>2.4052036209831294E-3</v>
      </c>
      <c r="O44" s="120"/>
      <c r="P44" s="119">
        <f>J44+L44</f>
        <v>884000</v>
      </c>
      <c r="Q44" s="121">
        <f>P44/I44</f>
        <v>3578.9473684210525</v>
      </c>
      <c r="R44" s="121"/>
      <c r="S44" s="121"/>
      <c r="T44" s="121"/>
      <c r="U44" s="189">
        <f>SUM(U37:U43)</f>
        <v>118.75</v>
      </c>
      <c r="V44" s="122">
        <f t="shared" ref="V44" si="31">P44/U44</f>
        <v>7444.2105263157891</v>
      </c>
      <c r="W44" s="259">
        <v>1</v>
      </c>
      <c r="X44" s="289">
        <f>SUM(X37:X43)/W44</f>
        <v>15.4</v>
      </c>
      <c r="Y44" s="290">
        <f>SUM(Y37:Y43)/W44</f>
        <v>25.8</v>
      </c>
      <c r="Z44" s="305">
        <f>SUM(Z37:Z43)/W44</f>
        <v>5</v>
      </c>
      <c r="AA44" s="305">
        <f>SUM(AA37:AA43)/W44</f>
        <v>5</v>
      </c>
      <c r="AB44" s="305">
        <f>SUM(AB37:AB43)/W44</f>
        <v>4</v>
      </c>
      <c r="AC44" s="306">
        <f>SUM(Z44:AB44)/3</f>
        <v>4.666666666666667</v>
      </c>
      <c r="AD44" s="259" t="s">
        <v>130</v>
      </c>
      <c r="AE44" s="532">
        <f>P44/W44</f>
        <v>884000</v>
      </c>
      <c r="AF44" s="533"/>
      <c r="AG44" s="533"/>
      <c r="AH44" s="533"/>
      <c r="AI44" s="534"/>
      <c r="AJ44" s="282" t="s">
        <v>140</v>
      </c>
    </row>
    <row r="45" spans="1:36" ht="23.5" customHeight="1" thickTop="1">
      <c r="A45" s="456" t="s">
        <v>17</v>
      </c>
      <c r="B45" s="457"/>
      <c r="G45" s="461" t="s">
        <v>17</v>
      </c>
      <c r="H45" s="462"/>
      <c r="I45" s="462"/>
      <c r="J45" s="462"/>
      <c r="K45" s="462"/>
      <c r="L45" s="462"/>
      <c r="M45" s="462"/>
      <c r="N45" s="462"/>
      <c r="O45" s="462"/>
      <c r="P45" s="462"/>
      <c r="Q45" s="462"/>
      <c r="R45" s="462"/>
      <c r="S45" s="462"/>
      <c r="T45" s="462"/>
      <c r="U45" s="462"/>
      <c r="V45" s="463"/>
      <c r="X45" s="497" t="str">
        <f>G45</f>
        <v>5th week</v>
      </c>
      <c r="Y45" s="497"/>
      <c r="Z45" s="497"/>
      <c r="AA45" s="497"/>
      <c r="AB45" s="497"/>
      <c r="AC45" s="497"/>
    </row>
    <row r="46" spans="1:36" ht="23.5" customHeight="1">
      <c r="A46" s="52" t="s">
        <v>10</v>
      </c>
      <c r="B46" s="36" t="s">
        <v>11</v>
      </c>
      <c r="C46" s="2" t="s">
        <v>32</v>
      </c>
      <c r="D46" s="2" t="s">
        <v>33</v>
      </c>
      <c r="E46" s="2" t="s">
        <v>34</v>
      </c>
      <c r="F46" s="2" t="s">
        <v>35</v>
      </c>
      <c r="G46" s="101" t="s">
        <v>10</v>
      </c>
      <c r="H46" s="102" t="s">
        <v>11</v>
      </c>
      <c r="I46" s="102" t="s">
        <v>1</v>
      </c>
      <c r="J46" s="102" t="s">
        <v>30</v>
      </c>
      <c r="K46" s="102" t="s">
        <v>31</v>
      </c>
      <c r="L46" s="102" t="s">
        <v>28</v>
      </c>
      <c r="M46" s="102" t="s">
        <v>29</v>
      </c>
      <c r="N46" s="102" t="s">
        <v>388</v>
      </c>
      <c r="O46" s="102" t="s">
        <v>384</v>
      </c>
      <c r="P46" s="102" t="s">
        <v>71</v>
      </c>
      <c r="Q46" s="103" t="s">
        <v>48</v>
      </c>
      <c r="R46" s="103" t="s">
        <v>385</v>
      </c>
      <c r="S46" s="103" t="s">
        <v>386</v>
      </c>
      <c r="T46" s="103" t="s">
        <v>387</v>
      </c>
      <c r="U46" s="103" t="s">
        <v>40</v>
      </c>
      <c r="V46" s="104" t="s">
        <v>73</v>
      </c>
      <c r="X46" s="252" t="s">
        <v>114</v>
      </c>
      <c r="Y46" s="253" t="s">
        <v>115</v>
      </c>
      <c r="Z46" s="48" t="s">
        <v>116</v>
      </c>
      <c r="AA46" s="48" t="s">
        <v>117</v>
      </c>
      <c r="AB46" s="48" t="s">
        <v>118</v>
      </c>
      <c r="AC46" s="254" t="s">
        <v>127</v>
      </c>
      <c r="AE46" s="1" t="s">
        <v>122</v>
      </c>
      <c r="AG46" s="35" t="s">
        <v>125</v>
      </c>
    </row>
    <row r="47" spans="1:36" ht="23.5" customHeight="1">
      <c r="A47" s="53" t="s">
        <v>3</v>
      </c>
      <c r="B47" s="49">
        <v>28</v>
      </c>
      <c r="C47" s="41"/>
      <c r="D47" s="41"/>
      <c r="E47" s="41"/>
      <c r="F47" s="41"/>
      <c r="G47" s="105" t="s">
        <v>3</v>
      </c>
      <c r="H47" s="118">
        <f>B47</f>
        <v>28</v>
      </c>
      <c r="I47" s="73">
        <v>130</v>
      </c>
      <c r="J47" s="106">
        <v>385200</v>
      </c>
      <c r="K47" s="106">
        <f>J47/I47</f>
        <v>2963.0769230769229</v>
      </c>
      <c r="L47" s="106">
        <v>191000</v>
      </c>
      <c r="M47" s="107">
        <f>L47/I47</f>
        <v>1469.2307692307693</v>
      </c>
      <c r="N47" s="107"/>
      <c r="O47" s="107"/>
      <c r="P47" s="108">
        <f>J47+L47+N47</f>
        <v>576200</v>
      </c>
      <c r="Q47" s="109">
        <f>P47/I47</f>
        <v>4432.3076923076924</v>
      </c>
      <c r="R47" s="109"/>
      <c r="S47" s="109"/>
      <c r="T47" s="109"/>
      <c r="U47" s="187">
        <v>100.5</v>
      </c>
      <c r="V47" s="110">
        <f>P47/U47</f>
        <v>5733.333333333333</v>
      </c>
      <c r="X47" s="247">
        <v>15.8</v>
      </c>
      <c r="Y47" s="247">
        <v>23</v>
      </c>
      <c r="Z47" s="255">
        <v>1</v>
      </c>
      <c r="AA47" s="255">
        <v>1</v>
      </c>
      <c r="AB47" s="255">
        <v>1</v>
      </c>
      <c r="AC47" s="271">
        <f>SUM(Z47:AB47)/3</f>
        <v>1</v>
      </c>
      <c r="AE47" s="270" t="s">
        <v>123</v>
      </c>
      <c r="AF47" s="2"/>
      <c r="AG47" s="269">
        <v>5</v>
      </c>
    </row>
    <row r="48" spans="1:36" ht="23.5" customHeight="1">
      <c r="A48" s="54" t="s">
        <v>4</v>
      </c>
      <c r="B48" s="49">
        <v>29</v>
      </c>
      <c r="C48" s="41"/>
      <c r="D48" s="41"/>
      <c r="E48" s="41"/>
      <c r="F48" s="41"/>
      <c r="G48" s="101" t="s">
        <v>4</v>
      </c>
      <c r="H48" s="118">
        <f t="shared" ref="H48:H53" si="32">B48</f>
        <v>29</v>
      </c>
      <c r="I48" s="73">
        <v>40</v>
      </c>
      <c r="J48" s="106">
        <v>132100</v>
      </c>
      <c r="K48" s="106">
        <f t="shared" ref="K48:K52" si="33">J48/I48</f>
        <v>3302.5</v>
      </c>
      <c r="L48" s="106">
        <v>65700</v>
      </c>
      <c r="M48" s="107">
        <f t="shared" ref="M48:M52" si="34">L48/I48</f>
        <v>1642.5</v>
      </c>
      <c r="N48" s="107"/>
      <c r="O48" s="107"/>
      <c r="P48" s="108">
        <f t="shared" ref="P48:P52" si="35">J48+L48+N48</f>
        <v>197800</v>
      </c>
      <c r="Q48" s="109">
        <f t="shared" ref="Q48:Q53" si="36">P48/I48</f>
        <v>4945</v>
      </c>
      <c r="R48" s="109"/>
      <c r="S48" s="109"/>
      <c r="T48" s="109"/>
      <c r="U48" s="187">
        <v>70.5</v>
      </c>
      <c r="V48" s="110">
        <f t="shared" ref="V48:V53" si="37">P48/U48</f>
        <v>2805.6737588652481</v>
      </c>
      <c r="X48" s="247">
        <v>14</v>
      </c>
      <c r="Y48" s="247">
        <v>16.399999999999999</v>
      </c>
      <c r="Z48" s="255">
        <v>2</v>
      </c>
      <c r="AA48" s="255">
        <v>2</v>
      </c>
      <c r="AB48" s="255">
        <v>2</v>
      </c>
      <c r="AC48" s="271">
        <f t="shared" ref="AC48:AC53" si="38">SUM(Z48:AB48)/3</f>
        <v>2</v>
      </c>
      <c r="AE48" s="34" t="s">
        <v>124</v>
      </c>
      <c r="AG48" s="1">
        <v>4</v>
      </c>
    </row>
    <row r="49" spans="1:36" ht="23.5" customHeight="1">
      <c r="A49" s="54" t="s">
        <v>5</v>
      </c>
      <c r="B49" s="49">
        <v>30</v>
      </c>
      <c r="C49" s="41"/>
      <c r="D49" s="41"/>
      <c r="E49" s="41"/>
      <c r="F49" s="41"/>
      <c r="G49" s="101" t="s">
        <v>5</v>
      </c>
      <c r="H49" s="118">
        <f t="shared" si="32"/>
        <v>30</v>
      </c>
      <c r="I49" s="73">
        <v>19</v>
      </c>
      <c r="J49" s="106">
        <v>47200</v>
      </c>
      <c r="K49" s="106">
        <f t="shared" si="33"/>
        <v>2484.2105263157896</v>
      </c>
      <c r="L49" s="106">
        <v>27700</v>
      </c>
      <c r="M49" s="107">
        <f t="shared" si="34"/>
        <v>1457.8947368421052</v>
      </c>
      <c r="N49" s="107"/>
      <c r="O49" s="107"/>
      <c r="P49" s="108">
        <f t="shared" si="35"/>
        <v>74900</v>
      </c>
      <c r="Q49" s="109">
        <f t="shared" si="36"/>
        <v>3942.1052631578946</v>
      </c>
      <c r="R49" s="109"/>
      <c r="S49" s="109"/>
      <c r="T49" s="109"/>
      <c r="U49" s="187">
        <v>69.75</v>
      </c>
      <c r="V49" s="110">
        <f t="shared" si="37"/>
        <v>1073.8351254480287</v>
      </c>
      <c r="X49" s="247">
        <v>10.199999999999999</v>
      </c>
      <c r="Y49" s="247">
        <v>15.1</v>
      </c>
      <c r="Z49" s="255">
        <v>2</v>
      </c>
      <c r="AA49" s="255">
        <v>1</v>
      </c>
      <c r="AB49" s="255">
        <v>1</v>
      </c>
      <c r="AC49" s="271">
        <f t="shared" si="38"/>
        <v>1.3333333333333333</v>
      </c>
      <c r="AE49" s="34" t="s">
        <v>128</v>
      </c>
      <c r="AG49" s="1">
        <v>3</v>
      </c>
    </row>
    <row r="50" spans="1:36" ht="23.5" customHeight="1">
      <c r="A50" s="54" t="s">
        <v>6</v>
      </c>
      <c r="B50" s="49">
        <v>31</v>
      </c>
      <c r="C50" s="41"/>
      <c r="D50" s="41"/>
      <c r="E50" s="41"/>
      <c r="F50" s="41"/>
      <c r="G50" s="101" t="s">
        <v>6</v>
      </c>
      <c r="H50" s="118">
        <f t="shared" si="32"/>
        <v>31</v>
      </c>
      <c r="I50" s="73">
        <v>70</v>
      </c>
      <c r="J50" s="106">
        <v>154250</v>
      </c>
      <c r="K50" s="106">
        <f t="shared" si="33"/>
        <v>2203.5714285714284</v>
      </c>
      <c r="L50" s="106">
        <v>87600</v>
      </c>
      <c r="M50" s="107">
        <f t="shared" si="34"/>
        <v>1251.4285714285713</v>
      </c>
      <c r="N50" s="107"/>
      <c r="O50" s="107"/>
      <c r="P50" s="108">
        <f t="shared" si="35"/>
        <v>241850</v>
      </c>
      <c r="Q50" s="109">
        <f t="shared" si="36"/>
        <v>3455</v>
      </c>
      <c r="R50" s="109"/>
      <c r="S50" s="109"/>
      <c r="T50" s="109"/>
      <c r="U50" s="187">
        <v>73</v>
      </c>
      <c r="V50" s="110">
        <f t="shared" si="37"/>
        <v>3313.0136986301368</v>
      </c>
      <c r="X50" s="247">
        <v>8</v>
      </c>
      <c r="Y50" s="247">
        <v>19.600000000000001</v>
      </c>
      <c r="Z50" s="255">
        <v>4</v>
      </c>
      <c r="AA50" s="255">
        <v>4</v>
      </c>
      <c r="AB50" s="255">
        <v>4</v>
      </c>
      <c r="AC50" s="271">
        <f t="shared" si="38"/>
        <v>4</v>
      </c>
      <c r="AE50" s="34" t="s">
        <v>120</v>
      </c>
      <c r="AG50" s="1">
        <v>2</v>
      </c>
    </row>
    <row r="51" spans="1:36" ht="23.5" customHeight="1">
      <c r="A51" s="54" t="s">
        <v>7</v>
      </c>
      <c r="B51" s="49"/>
      <c r="C51" s="41"/>
      <c r="D51" s="41"/>
      <c r="E51" s="41"/>
      <c r="F51" s="41"/>
      <c r="G51" s="101" t="s">
        <v>7</v>
      </c>
      <c r="H51" s="118">
        <f t="shared" si="32"/>
        <v>0</v>
      </c>
      <c r="I51" s="73"/>
      <c r="J51" s="106">
        <v>0</v>
      </c>
      <c r="K51" s="106" t="e">
        <f t="shared" si="33"/>
        <v>#DIV/0!</v>
      </c>
      <c r="L51" s="106">
        <v>0</v>
      </c>
      <c r="M51" s="107" t="e">
        <f t="shared" si="34"/>
        <v>#DIV/0!</v>
      </c>
      <c r="N51" s="107"/>
      <c r="O51" s="107"/>
      <c r="P51" s="108">
        <f t="shared" si="35"/>
        <v>0</v>
      </c>
      <c r="Q51" s="109" t="e">
        <f t="shared" si="36"/>
        <v>#DIV/0!</v>
      </c>
      <c r="R51" s="109"/>
      <c r="S51" s="109"/>
      <c r="T51" s="109"/>
      <c r="U51" s="187"/>
      <c r="V51" s="110" t="e">
        <f t="shared" si="37"/>
        <v>#DIV/0!</v>
      </c>
      <c r="X51" s="247"/>
      <c r="Y51" s="247"/>
      <c r="Z51" s="255"/>
      <c r="AA51" s="255"/>
      <c r="AB51" s="255"/>
      <c r="AC51" s="271">
        <f t="shared" si="38"/>
        <v>0</v>
      </c>
      <c r="AE51" s="34" t="s">
        <v>121</v>
      </c>
      <c r="AG51" s="1">
        <v>1</v>
      </c>
    </row>
    <row r="52" spans="1:36" ht="23.5" customHeight="1">
      <c r="A52" s="54" t="s">
        <v>8</v>
      </c>
      <c r="B52" s="49"/>
      <c r="C52" s="41"/>
      <c r="D52" s="41"/>
      <c r="E52" s="41"/>
      <c r="F52" s="41"/>
      <c r="G52" s="101" t="s">
        <v>8</v>
      </c>
      <c r="H52" s="118">
        <f t="shared" si="32"/>
        <v>0</v>
      </c>
      <c r="I52" s="73"/>
      <c r="J52" s="106">
        <v>0</v>
      </c>
      <c r="K52" s="106" t="e">
        <f t="shared" si="33"/>
        <v>#DIV/0!</v>
      </c>
      <c r="L52" s="106">
        <v>0</v>
      </c>
      <c r="M52" s="107" t="e">
        <f t="shared" si="34"/>
        <v>#DIV/0!</v>
      </c>
      <c r="N52" s="107"/>
      <c r="O52" s="107"/>
      <c r="P52" s="108">
        <f t="shared" si="35"/>
        <v>0</v>
      </c>
      <c r="Q52" s="109" t="e">
        <f t="shared" si="36"/>
        <v>#DIV/0!</v>
      </c>
      <c r="R52" s="109"/>
      <c r="S52" s="109"/>
      <c r="T52" s="109"/>
      <c r="U52" s="187"/>
      <c r="V52" s="110" t="e">
        <f t="shared" si="37"/>
        <v>#DIV/0!</v>
      </c>
      <c r="X52" s="247"/>
      <c r="Y52" s="247"/>
      <c r="Z52" s="255"/>
      <c r="AA52" s="255"/>
      <c r="AB52" s="255"/>
      <c r="AC52" s="271">
        <f t="shared" si="38"/>
        <v>0</v>
      </c>
      <c r="AE52" s="34" t="s">
        <v>126</v>
      </c>
      <c r="AG52" s="1">
        <v>0</v>
      </c>
    </row>
    <row r="53" spans="1:36" ht="23.5" customHeight="1" thickBot="1">
      <c r="A53" s="55" t="s">
        <v>9</v>
      </c>
      <c r="B53" s="49"/>
      <c r="C53" s="41"/>
      <c r="D53" s="41"/>
      <c r="E53" s="41"/>
      <c r="F53" s="41"/>
      <c r="G53" s="111" t="s">
        <v>9</v>
      </c>
      <c r="H53" s="118">
        <f t="shared" si="32"/>
        <v>0</v>
      </c>
      <c r="I53" s="73"/>
      <c r="J53" s="106">
        <v>0</v>
      </c>
      <c r="K53" s="106" t="e">
        <f>J53/I53</f>
        <v>#DIV/0!</v>
      </c>
      <c r="L53" s="106">
        <v>0</v>
      </c>
      <c r="M53" s="107" t="e">
        <f>L53/I53</f>
        <v>#DIV/0!</v>
      </c>
      <c r="N53" s="107">
        <v>0</v>
      </c>
      <c r="O53" s="107"/>
      <c r="P53" s="108">
        <f>J53+L53+N53</f>
        <v>0</v>
      </c>
      <c r="Q53" s="109" t="e">
        <f t="shared" si="36"/>
        <v>#DIV/0!</v>
      </c>
      <c r="R53" s="109"/>
      <c r="S53" s="109"/>
      <c r="T53" s="109"/>
      <c r="U53" s="187"/>
      <c r="V53" s="110" t="e">
        <f t="shared" si="37"/>
        <v>#DIV/0!</v>
      </c>
      <c r="X53" s="248"/>
      <c r="Y53" s="248"/>
      <c r="Z53" s="256"/>
      <c r="AA53" s="255"/>
      <c r="AB53" s="255"/>
      <c r="AC53" s="272">
        <f t="shared" si="38"/>
        <v>0</v>
      </c>
      <c r="AE53" s="1" t="s">
        <v>129</v>
      </c>
    </row>
    <row r="54" spans="1:36" ht="37" customHeight="1" thickTop="1" thickBot="1">
      <c r="A54" s="525" t="s">
        <v>13</v>
      </c>
      <c r="B54" s="526"/>
      <c r="C54" s="34" t="s">
        <v>36</v>
      </c>
      <c r="D54" s="43" t="e">
        <f>#REF!/F54</f>
        <v>#REF!</v>
      </c>
      <c r="E54" s="44" t="s">
        <v>37</v>
      </c>
      <c r="F54" s="34" t="e">
        <f>#REF!</f>
        <v>#REF!</v>
      </c>
      <c r="G54" s="464" t="s">
        <v>13</v>
      </c>
      <c r="H54" s="465"/>
      <c r="I54" s="119">
        <f>SUM(I47:I53)</f>
        <v>259</v>
      </c>
      <c r="J54" s="119">
        <f>SUM(J47:J53)</f>
        <v>718750</v>
      </c>
      <c r="K54" s="119">
        <f>J54/I54</f>
        <v>2775.0965250965251</v>
      </c>
      <c r="L54" s="119">
        <f>SUM(L47:L53)</f>
        <v>372000</v>
      </c>
      <c r="M54" s="120">
        <f>L54/I54</f>
        <v>1436.2934362934363</v>
      </c>
      <c r="N54" s="120">
        <f>M54/J54</f>
        <v>1.9983213026691289E-3</v>
      </c>
      <c r="O54" s="120"/>
      <c r="P54" s="119">
        <f>J54+L54</f>
        <v>1090750</v>
      </c>
      <c r="Q54" s="121">
        <f>P54/I54</f>
        <v>4211.3899613899612</v>
      </c>
      <c r="R54" s="121"/>
      <c r="S54" s="121"/>
      <c r="T54" s="121"/>
      <c r="U54" s="189">
        <f>SUM(U47:U53)</f>
        <v>313.75</v>
      </c>
      <c r="V54" s="122">
        <f t="shared" ref="V54" si="39">P54/U54</f>
        <v>3476.4940239043826</v>
      </c>
      <c r="W54" s="259">
        <v>4</v>
      </c>
      <c r="X54" s="289">
        <f>SUM(X47:X53)/W54</f>
        <v>12</v>
      </c>
      <c r="Y54" s="290">
        <f>SUM(Y47:Y53)/W54</f>
        <v>18.524999999999999</v>
      </c>
      <c r="Z54" s="305">
        <f>SUM(Z47:Z53)/W54</f>
        <v>2.25</v>
      </c>
      <c r="AA54" s="305">
        <f>SUM(AA47:AA53)/W54</f>
        <v>2</v>
      </c>
      <c r="AB54" s="305">
        <f>SUM(AB47:AB53)/W54</f>
        <v>2</v>
      </c>
      <c r="AC54" s="306">
        <f>SUM(Z54:AB54)/3</f>
        <v>2.0833333333333335</v>
      </c>
      <c r="AD54" s="259" t="s">
        <v>131</v>
      </c>
      <c r="AE54" s="532">
        <f>P54/W54</f>
        <v>272687.5</v>
      </c>
      <c r="AF54" s="533"/>
      <c r="AG54" s="533"/>
      <c r="AH54" s="533"/>
      <c r="AI54" s="534"/>
      <c r="AJ54" s="282" t="s">
        <v>140</v>
      </c>
    </row>
    <row r="55" spans="1:36" ht="23.5" customHeight="1" thickTop="1">
      <c r="A55" s="456" t="s">
        <v>18</v>
      </c>
      <c r="B55" s="457"/>
      <c r="G55" s="461" t="s">
        <v>18</v>
      </c>
      <c r="H55" s="462"/>
      <c r="I55" s="462"/>
      <c r="J55" s="462"/>
      <c r="K55" s="462"/>
      <c r="L55" s="462"/>
      <c r="M55" s="462"/>
      <c r="N55" s="462"/>
      <c r="O55" s="462"/>
      <c r="P55" s="462"/>
      <c r="Q55" s="462"/>
      <c r="R55" s="462"/>
      <c r="S55" s="462"/>
      <c r="T55" s="462"/>
      <c r="U55" s="462"/>
      <c r="V55" s="463"/>
      <c r="X55" s="497" t="str">
        <f>G55</f>
        <v>6th week</v>
      </c>
      <c r="Y55" s="497"/>
      <c r="Z55" s="497"/>
      <c r="AA55" s="497"/>
      <c r="AB55" s="497"/>
      <c r="AC55" s="497"/>
    </row>
    <row r="56" spans="1:36" ht="23.5" customHeight="1">
      <c r="A56" s="52" t="s">
        <v>10</v>
      </c>
      <c r="B56" s="36" t="s">
        <v>11</v>
      </c>
      <c r="C56" s="2" t="s">
        <v>32</v>
      </c>
      <c r="D56" s="2" t="s">
        <v>33</v>
      </c>
      <c r="E56" s="2" t="s">
        <v>34</v>
      </c>
      <c r="F56" s="2" t="s">
        <v>35</v>
      </c>
      <c r="G56" s="101" t="s">
        <v>10</v>
      </c>
      <c r="H56" s="102" t="s">
        <v>11</v>
      </c>
      <c r="I56" s="102" t="s">
        <v>1</v>
      </c>
      <c r="J56" s="102" t="s">
        <v>30</v>
      </c>
      <c r="K56" s="102" t="s">
        <v>31</v>
      </c>
      <c r="L56" s="102" t="s">
        <v>28</v>
      </c>
      <c r="M56" s="102" t="s">
        <v>29</v>
      </c>
      <c r="N56" s="102" t="s">
        <v>388</v>
      </c>
      <c r="O56" s="102" t="s">
        <v>384</v>
      </c>
      <c r="P56" s="102" t="s">
        <v>71</v>
      </c>
      <c r="Q56" s="103" t="s">
        <v>48</v>
      </c>
      <c r="R56" s="103" t="s">
        <v>385</v>
      </c>
      <c r="S56" s="103" t="s">
        <v>386</v>
      </c>
      <c r="T56" s="103" t="s">
        <v>387</v>
      </c>
      <c r="U56" s="103" t="s">
        <v>40</v>
      </c>
      <c r="V56" s="104" t="s">
        <v>73</v>
      </c>
      <c r="X56" s="252" t="s">
        <v>114</v>
      </c>
      <c r="Y56" s="253" t="s">
        <v>115</v>
      </c>
      <c r="Z56" s="48" t="s">
        <v>116</v>
      </c>
      <c r="AA56" s="48" t="s">
        <v>117</v>
      </c>
      <c r="AB56" s="48" t="s">
        <v>118</v>
      </c>
      <c r="AC56" s="254" t="s">
        <v>127</v>
      </c>
      <c r="AE56" s="1" t="s">
        <v>122</v>
      </c>
      <c r="AG56" s="35" t="s">
        <v>125</v>
      </c>
    </row>
    <row r="57" spans="1:36" ht="23.5" customHeight="1">
      <c r="A57" s="53" t="s">
        <v>3</v>
      </c>
      <c r="B57" s="49"/>
      <c r="C57" s="41"/>
      <c r="D57" s="41"/>
      <c r="E57" s="41"/>
      <c r="F57" s="41"/>
      <c r="G57" s="105" t="s">
        <v>3</v>
      </c>
      <c r="H57" s="118">
        <f>B57</f>
        <v>0</v>
      </c>
      <c r="I57" s="73"/>
      <c r="J57" s="106">
        <v>0</v>
      </c>
      <c r="K57" s="106" t="e">
        <f>#REF!</f>
        <v>#REF!</v>
      </c>
      <c r="L57" s="106">
        <v>0</v>
      </c>
      <c r="M57" s="107" t="e">
        <f>#REF!</f>
        <v>#REF!</v>
      </c>
      <c r="N57" s="107"/>
      <c r="O57" s="107"/>
      <c r="P57" s="108">
        <f>J57+L57+N57</f>
        <v>0</v>
      </c>
      <c r="Q57" s="109" t="e">
        <f>P57/I57</f>
        <v>#DIV/0!</v>
      </c>
      <c r="R57" s="109"/>
      <c r="S57" s="109"/>
      <c r="T57" s="109"/>
      <c r="U57" s="187"/>
      <c r="V57" s="110" t="e">
        <f>P57/U57</f>
        <v>#DIV/0!</v>
      </c>
      <c r="X57" s="247"/>
      <c r="Y57" s="247"/>
      <c r="Z57" s="255"/>
      <c r="AA57" s="255"/>
      <c r="AB57" s="255"/>
      <c r="AC57" s="271">
        <f>SUM(Z57:AB57)/3</f>
        <v>0</v>
      </c>
      <c r="AE57" s="270" t="s">
        <v>123</v>
      </c>
      <c r="AF57" s="2"/>
      <c r="AG57" s="269">
        <v>5</v>
      </c>
    </row>
    <row r="58" spans="1:36" ht="23.5" customHeight="1">
      <c r="A58" s="54" t="s">
        <v>4</v>
      </c>
      <c r="B58" s="49"/>
      <c r="C58" s="41"/>
      <c r="D58" s="41"/>
      <c r="E58" s="41"/>
      <c r="F58" s="41"/>
      <c r="G58" s="101" t="s">
        <v>4</v>
      </c>
      <c r="H58" s="118">
        <f t="shared" ref="H58:H63" si="40">B58</f>
        <v>0</v>
      </c>
      <c r="I58" s="73"/>
      <c r="J58" s="106">
        <v>0</v>
      </c>
      <c r="K58" s="106" t="e">
        <f>#REF!</f>
        <v>#REF!</v>
      </c>
      <c r="L58" s="106">
        <v>0</v>
      </c>
      <c r="M58" s="107" t="e">
        <f>#REF!</f>
        <v>#REF!</v>
      </c>
      <c r="N58" s="107"/>
      <c r="O58" s="107"/>
      <c r="P58" s="108">
        <f t="shared" ref="P58:P62" si="41">J58+L58+N58</f>
        <v>0</v>
      </c>
      <c r="Q58" s="109" t="e">
        <f t="shared" ref="Q58:Q63" si="42">P58/I58</f>
        <v>#DIV/0!</v>
      </c>
      <c r="R58" s="109"/>
      <c r="S58" s="109"/>
      <c r="T58" s="109"/>
      <c r="U58" s="187"/>
      <c r="V58" s="110" t="e">
        <f t="shared" ref="V58:V64" si="43">P58/U58</f>
        <v>#DIV/0!</v>
      </c>
      <c r="X58" s="247"/>
      <c r="Y58" s="247"/>
      <c r="Z58" s="255"/>
      <c r="AA58" s="255"/>
      <c r="AB58" s="255"/>
      <c r="AC58" s="271">
        <f t="shared" ref="AC58:AC63" si="44">SUM(Z58:AB58)/3</f>
        <v>0</v>
      </c>
      <c r="AE58" s="34" t="s">
        <v>124</v>
      </c>
      <c r="AG58" s="1">
        <v>4</v>
      </c>
    </row>
    <row r="59" spans="1:36" ht="23.5" customHeight="1">
      <c r="A59" s="54" t="s">
        <v>5</v>
      </c>
      <c r="B59" s="49"/>
      <c r="C59" s="41"/>
      <c r="D59" s="41"/>
      <c r="E59" s="41"/>
      <c r="F59" s="41"/>
      <c r="G59" s="101" t="s">
        <v>5</v>
      </c>
      <c r="H59" s="118">
        <f t="shared" si="40"/>
        <v>0</v>
      </c>
      <c r="I59" s="73"/>
      <c r="J59" s="106">
        <v>0</v>
      </c>
      <c r="K59" s="106" t="e">
        <f>#REF!</f>
        <v>#REF!</v>
      </c>
      <c r="L59" s="106">
        <v>0</v>
      </c>
      <c r="M59" s="107" t="e">
        <f>#REF!</f>
        <v>#REF!</v>
      </c>
      <c r="N59" s="107"/>
      <c r="O59" s="107"/>
      <c r="P59" s="108">
        <f t="shared" si="41"/>
        <v>0</v>
      </c>
      <c r="Q59" s="109" t="e">
        <f t="shared" si="42"/>
        <v>#DIV/0!</v>
      </c>
      <c r="R59" s="109"/>
      <c r="S59" s="109"/>
      <c r="T59" s="109"/>
      <c r="U59" s="187"/>
      <c r="V59" s="110" t="e">
        <f t="shared" si="43"/>
        <v>#DIV/0!</v>
      </c>
      <c r="X59" s="247"/>
      <c r="Y59" s="247"/>
      <c r="Z59" s="255"/>
      <c r="AA59" s="255"/>
      <c r="AB59" s="255"/>
      <c r="AC59" s="271">
        <f t="shared" si="44"/>
        <v>0</v>
      </c>
      <c r="AE59" s="34" t="s">
        <v>128</v>
      </c>
      <c r="AG59" s="1">
        <v>3</v>
      </c>
    </row>
    <row r="60" spans="1:36" ht="23.5" customHeight="1">
      <c r="A60" s="54" t="s">
        <v>6</v>
      </c>
      <c r="B60" s="49"/>
      <c r="C60" s="41"/>
      <c r="D60" s="41"/>
      <c r="E60" s="41"/>
      <c r="F60" s="41"/>
      <c r="G60" s="101" t="s">
        <v>6</v>
      </c>
      <c r="H60" s="118">
        <f t="shared" si="40"/>
        <v>0</v>
      </c>
      <c r="I60" s="73"/>
      <c r="J60" s="106">
        <v>0</v>
      </c>
      <c r="K60" s="106" t="e">
        <f>#REF!</f>
        <v>#REF!</v>
      </c>
      <c r="L60" s="106">
        <v>0</v>
      </c>
      <c r="M60" s="107" t="e">
        <f>#REF!</f>
        <v>#REF!</v>
      </c>
      <c r="N60" s="107"/>
      <c r="O60" s="107"/>
      <c r="P60" s="108">
        <f t="shared" si="41"/>
        <v>0</v>
      </c>
      <c r="Q60" s="109" t="e">
        <f t="shared" si="42"/>
        <v>#DIV/0!</v>
      </c>
      <c r="R60" s="109"/>
      <c r="S60" s="109"/>
      <c r="T60" s="109"/>
      <c r="U60" s="187"/>
      <c r="V60" s="110" t="e">
        <f t="shared" si="43"/>
        <v>#DIV/0!</v>
      </c>
      <c r="X60" s="247"/>
      <c r="Y60" s="247"/>
      <c r="Z60" s="255"/>
      <c r="AA60" s="255"/>
      <c r="AB60" s="255"/>
      <c r="AC60" s="271">
        <f t="shared" si="44"/>
        <v>0</v>
      </c>
      <c r="AE60" s="34" t="s">
        <v>120</v>
      </c>
      <c r="AG60" s="1">
        <v>2</v>
      </c>
    </row>
    <row r="61" spans="1:36" ht="23.5" customHeight="1">
      <c r="A61" s="54" t="s">
        <v>7</v>
      </c>
      <c r="B61" s="49"/>
      <c r="C61" s="41"/>
      <c r="D61" s="41"/>
      <c r="E61" s="41"/>
      <c r="F61" s="41"/>
      <c r="G61" s="101" t="s">
        <v>7</v>
      </c>
      <c r="H61" s="118">
        <f t="shared" si="40"/>
        <v>0</v>
      </c>
      <c r="I61" s="73"/>
      <c r="J61" s="106">
        <v>0</v>
      </c>
      <c r="K61" s="106" t="e">
        <f>#REF!</f>
        <v>#REF!</v>
      </c>
      <c r="L61" s="106">
        <v>0</v>
      </c>
      <c r="M61" s="107" t="e">
        <f>#REF!</f>
        <v>#REF!</v>
      </c>
      <c r="N61" s="107"/>
      <c r="O61" s="107"/>
      <c r="P61" s="108">
        <f t="shared" si="41"/>
        <v>0</v>
      </c>
      <c r="Q61" s="109" t="e">
        <f t="shared" si="42"/>
        <v>#DIV/0!</v>
      </c>
      <c r="R61" s="109"/>
      <c r="S61" s="109"/>
      <c r="T61" s="109"/>
      <c r="U61" s="187"/>
      <c r="V61" s="110" t="e">
        <f t="shared" si="43"/>
        <v>#DIV/0!</v>
      </c>
      <c r="X61" s="247"/>
      <c r="Y61" s="247"/>
      <c r="Z61" s="255"/>
      <c r="AA61" s="255"/>
      <c r="AB61" s="255"/>
      <c r="AC61" s="271">
        <f t="shared" si="44"/>
        <v>0</v>
      </c>
      <c r="AE61" s="34" t="s">
        <v>121</v>
      </c>
      <c r="AG61" s="1">
        <v>1</v>
      </c>
    </row>
    <row r="62" spans="1:36" ht="23.5" customHeight="1">
      <c r="A62" s="54" t="s">
        <v>8</v>
      </c>
      <c r="B62" s="49"/>
      <c r="C62" s="41"/>
      <c r="D62" s="41"/>
      <c r="E62" s="41"/>
      <c r="F62" s="41"/>
      <c r="G62" s="101" t="s">
        <v>8</v>
      </c>
      <c r="H62" s="118">
        <f t="shared" si="40"/>
        <v>0</v>
      </c>
      <c r="I62" s="73"/>
      <c r="J62" s="106">
        <v>0</v>
      </c>
      <c r="K62" s="106" t="e">
        <f>#REF!</f>
        <v>#REF!</v>
      </c>
      <c r="L62" s="106">
        <v>0</v>
      </c>
      <c r="M62" s="107" t="e">
        <f>#REF!</f>
        <v>#REF!</v>
      </c>
      <c r="N62" s="107"/>
      <c r="O62" s="107"/>
      <c r="P62" s="108">
        <f t="shared" si="41"/>
        <v>0</v>
      </c>
      <c r="Q62" s="109" t="e">
        <f t="shared" si="42"/>
        <v>#DIV/0!</v>
      </c>
      <c r="R62" s="109"/>
      <c r="S62" s="109"/>
      <c r="T62" s="109"/>
      <c r="U62" s="187"/>
      <c r="V62" s="110" t="e">
        <f t="shared" si="43"/>
        <v>#DIV/0!</v>
      </c>
      <c r="X62" s="247"/>
      <c r="Y62" s="247"/>
      <c r="Z62" s="255"/>
      <c r="AA62" s="255"/>
      <c r="AB62" s="255"/>
      <c r="AC62" s="271">
        <f t="shared" si="44"/>
        <v>0</v>
      </c>
      <c r="AE62" s="34" t="s">
        <v>126</v>
      </c>
      <c r="AG62" s="1">
        <v>0</v>
      </c>
    </row>
    <row r="63" spans="1:36" ht="23.5" customHeight="1" thickBot="1">
      <c r="A63" s="55" t="s">
        <v>9</v>
      </c>
      <c r="B63" s="49"/>
      <c r="C63" s="41"/>
      <c r="D63" s="41"/>
      <c r="E63" s="41"/>
      <c r="F63" s="41"/>
      <c r="G63" s="111" t="s">
        <v>9</v>
      </c>
      <c r="H63" s="118">
        <f t="shared" si="40"/>
        <v>0</v>
      </c>
      <c r="I63" s="73"/>
      <c r="J63" s="106"/>
      <c r="K63" s="106" t="e">
        <f>J63/I63</f>
        <v>#DIV/0!</v>
      </c>
      <c r="L63" s="106"/>
      <c r="M63" s="107" t="e">
        <f>L63/I63</f>
        <v>#DIV/0!</v>
      </c>
      <c r="N63" s="107">
        <v>0</v>
      </c>
      <c r="O63" s="107"/>
      <c r="P63" s="108">
        <f>J63+L63+N63</f>
        <v>0</v>
      </c>
      <c r="Q63" s="109" t="e">
        <f t="shared" si="42"/>
        <v>#DIV/0!</v>
      </c>
      <c r="R63" s="109"/>
      <c r="S63" s="109"/>
      <c r="T63" s="109"/>
      <c r="U63" s="187"/>
      <c r="V63" s="110" t="e">
        <f t="shared" si="43"/>
        <v>#DIV/0!</v>
      </c>
      <c r="X63" s="248"/>
      <c r="Y63" s="248"/>
      <c r="Z63" s="256"/>
      <c r="AA63" s="256"/>
      <c r="AB63" s="256"/>
      <c r="AC63" s="272">
        <f t="shared" si="44"/>
        <v>0</v>
      </c>
      <c r="AE63" s="1" t="s">
        <v>129</v>
      </c>
    </row>
    <row r="64" spans="1:36" ht="35" customHeight="1" thickTop="1" thickBot="1">
      <c r="A64" s="525" t="s">
        <v>13</v>
      </c>
      <c r="B64" s="526"/>
      <c r="C64" s="34" t="s">
        <v>36</v>
      </c>
      <c r="D64" s="43" t="e">
        <f>#REF!/F64</f>
        <v>#REF!</v>
      </c>
      <c r="E64" s="44" t="s">
        <v>37</v>
      </c>
      <c r="F64" s="34" t="e">
        <f>#REF!</f>
        <v>#REF!</v>
      </c>
      <c r="G64" s="464" t="s">
        <v>13</v>
      </c>
      <c r="H64" s="465"/>
      <c r="I64" s="106">
        <f>SUM(I57:I63)</f>
        <v>0</v>
      </c>
      <c r="J64" s="106">
        <f>SUM(J57:J63)</f>
        <v>0</v>
      </c>
      <c r="K64" s="106" t="e">
        <f>J64/I64</f>
        <v>#DIV/0!</v>
      </c>
      <c r="L64" s="106">
        <f>SUM(L57:L63)</f>
        <v>0</v>
      </c>
      <c r="M64" s="107" t="e">
        <f>L64/I64</f>
        <v>#DIV/0!</v>
      </c>
      <c r="N64" s="107" t="e">
        <f>M64/J64</f>
        <v>#DIV/0!</v>
      </c>
      <c r="O64" s="107"/>
      <c r="P64" s="108">
        <f>J64+L64</f>
        <v>0</v>
      </c>
      <c r="Q64" s="109" t="e">
        <f>P64/I64</f>
        <v>#DIV/0!</v>
      </c>
      <c r="R64" s="109"/>
      <c r="S64" s="109"/>
      <c r="T64" s="109"/>
      <c r="U64" s="189">
        <f>SUM(U57:U63)</f>
        <v>0</v>
      </c>
      <c r="V64" s="110" t="e">
        <f t="shared" si="43"/>
        <v>#DIV/0!</v>
      </c>
      <c r="W64" s="259"/>
      <c r="X64" s="267" t="e">
        <f>SUM(X57:X63)/W64</f>
        <v>#DIV/0!</v>
      </c>
      <c r="Y64" s="266" t="e">
        <f>SUM(Y57:Y63)/W64</f>
        <v>#DIV/0!</v>
      </c>
      <c r="Z64" s="266" t="e">
        <f>SUM(Z57:Z63)/W64</f>
        <v>#DIV/0!</v>
      </c>
      <c r="AA64" s="266" t="e">
        <f>SUM(AA57:AA63)/W64</f>
        <v>#DIV/0!</v>
      </c>
      <c r="AB64" s="266" t="e">
        <f>SUM(AB57:AB63)/W64</f>
        <v>#DIV/0!</v>
      </c>
      <c r="AC64" s="268" t="e">
        <f>SUM(Z64:AB64)/3</f>
        <v>#DIV/0!</v>
      </c>
      <c r="AD64" s="259"/>
      <c r="AE64" s="532" t="e">
        <f>P64/W64</f>
        <v>#DIV/0!</v>
      </c>
      <c r="AF64" s="533"/>
      <c r="AG64" s="533"/>
      <c r="AH64" s="533"/>
      <c r="AI64" s="534"/>
      <c r="AJ64" s="282" t="s">
        <v>140</v>
      </c>
    </row>
    <row r="65" spans="1:29" ht="33.5" customHeight="1" thickTop="1">
      <c r="A65" s="477" t="s">
        <v>2</v>
      </c>
      <c r="B65" s="478"/>
      <c r="G65" s="483" t="s">
        <v>2</v>
      </c>
      <c r="H65" s="484"/>
      <c r="I65" s="484"/>
      <c r="J65" s="484"/>
      <c r="K65" s="484"/>
      <c r="L65" s="484"/>
      <c r="M65" s="484"/>
      <c r="N65" s="484"/>
      <c r="O65" s="484"/>
      <c r="P65" s="484"/>
      <c r="Q65" s="484"/>
      <c r="R65" s="484"/>
      <c r="S65" s="484"/>
      <c r="T65" s="484"/>
      <c r="U65" s="484"/>
      <c r="V65" s="485"/>
      <c r="X65" s="497" t="str">
        <f>G65</f>
        <v>TOTAL</v>
      </c>
      <c r="Y65" s="497"/>
      <c r="Z65" s="497"/>
      <c r="AA65" s="497"/>
      <c r="AB65" s="497"/>
      <c r="AC65" s="497"/>
    </row>
    <row r="66" spans="1:29" s="37" customFormat="1" ht="23" customHeight="1">
      <c r="A66" s="78" t="s">
        <v>10</v>
      </c>
      <c r="B66" s="79" t="s">
        <v>19</v>
      </c>
      <c r="G66" s="112" t="s">
        <v>10</v>
      </c>
      <c r="H66" s="113" t="s">
        <v>19</v>
      </c>
      <c r="I66" s="102" t="s">
        <v>1</v>
      </c>
      <c r="J66" s="102" t="s">
        <v>30</v>
      </c>
      <c r="K66" s="102" t="s">
        <v>31</v>
      </c>
      <c r="L66" s="102" t="s">
        <v>28</v>
      </c>
      <c r="M66" s="102" t="s">
        <v>29</v>
      </c>
      <c r="N66" s="102" t="s">
        <v>388</v>
      </c>
      <c r="O66" s="102" t="s">
        <v>384</v>
      </c>
      <c r="P66" s="102" t="s">
        <v>71</v>
      </c>
      <c r="Q66" s="103" t="s">
        <v>48</v>
      </c>
      <c r="R66" s="103" t="s">
        <v>385</v>
      </c>
      <c r="S66" s="103" t="s">
        <v>386</v>
      </c>
      <c r="T66" s="103" t="s">
        <v>387</v>
      </c>
      <c r="U66" s="103" t="s">
        <v>40</v>
      </c>
      <c r="V66" s="104" t="s">
        <v>73</v>
      </c>
      <c r="X66" s="252" t="s">
        <v>114</v>
      </c>
      <c r="Y66" s="253" t="s">
        <v>115</v>
      </c>
      <c r="Z66" s="48" t="s">
        <v>116</v>
      </c>
      <c r="AA66" s="48" t="s">
        <v>117</v>
      </c>
      <c r="AB66" s="48" t="s">
        <v>118</v>
      </c>
      <c r="AC66" s="254" t="s">
        <v>127</v>
      </c>
    </row>
    <row r="67" spans="1:29" ht="23" customHeight="1">
      <c r="A67" s="53" t="s">
        <v>3</v>
      </c>
      <c r="B67" s="42"/>
      <c r="C67" s="41"/>
      <c r="D67" s="41"/>
      <c r="E67" s="41"/>
      <c r="F67" s="41"/>
      <c r="G67" s="105" t="s">
        <v>3</v>
      </c>
      <c r="H67" s="115"/>
      <c r="I67" s="107">
        <f t="shared" ref="I67:J70" si="45">I7+I17+I27+I37+I47+I57</f>
        <v>130</v>
      </c>
      <c r="J67" s="107">
        <f t="shared" si="45"/>
        <v>385200</v>
      </c>
      <c r="K67" s="106">
        <f t="shared" ref="K67:K74" si="46">J67/I67</f>
        <v>2963.0769230769229</v>
      </c>
      <c r="L67" s="107">
        <f>L7+L17+L27+L37+L47+L57</f>
        <v>191000</v>
      </c>
      <c r="M67" s="107">
        <f>L67/I67</f>
        <v>1469.2307692307693</v>
      </c>
      <c r="N67" s="107"/>
      <c r="O67" s="107"/>
      <c r="P67" s="73">
        <f t="shared" ref="P67:Q67" si="47">P7+P17+P27+P37+P47+P57</f>
        <v>576200</v>
      </c>
      <c r="Q67" s="107" t="e">
        <f t="shared" si="47"/>
        <v>#DIV/0!</v>
      </c>
      <c r="R67" s="107"/>
      <c r="S67" s="107"/>
      <c r="T67" s="107"/>
      <c r="U67" s="190">
        <f>U7+U17+U27+U37+U47+U57</f>
        <v>100.5</v>
      </c>
      <c r="V67" s="133">
        <f>P67/U67</f>
        <v>5733.333333333333</v>
      </c>
      <c r="X67" s="249">
        <f>X7+X17+X27+X37+X47+X57</f>
        <v>15.8</v>
      </c>
      <c r="Y67" s="249">
        <f>Y7+Y17+Y27+Y37+Y47+Y57</f>
        <v>23</v>
      </c>
      <c r="Z67" s="274">
        <f>Z7+Z17+Z37+Z47+Z27+Z57</f>
        <v>1</v>
      </c>
      <c r="AA67" s="274">
        <f t="shared" ref="AA67:AB67" si="48">AA7+AA17+AA37+AA47+AA27+AA57</f>
        <v>1</v>
      </c>
      <c r="AB67" s="274">
        <f t="shared" si="48"/>
        <v>1</v>
      </c>
      <c r="AC67" s="275">
        <f>SUM(Z67:AB67)/3</f>
        <v>1</v>
      </c>
    </row>
    <row r="68" spans="1:29" ht="23" customHeight="1">
      <c r="A68" s="54" t="s">
        <v>4</v>
      </c>
      <c r="B68" s="42"/>
      <c r="C68" s="41"/>
      <c r="D68" s="41"/>
      <c r="E68" s="41"/>
      <c r="F68" s="41"/>
      <c r="G68" s="101" t="s">
        <v>4</v>
      </c>
      <c r="H68" s="115"/>
      <c r="I68" s="107">
        <f t="shared" si="45"/>
        <v>40</v>
      </c>
      <c r="J68" s="107">
        <f t="shared" si="45"/>
        <v>132100</v>
      </c>
      <c r="K68" s="106">
        <f t="shared" si="46"/>
        <v>3302.5</v>
      </c>
      <c r="L68" s="107">
        <f>L8+L18+L28+L38+L48+L58</f>
        <v>65700</v>
      </c>
      <c r="M68" s="107">
        <f t="shared" ref="M68:M73" si="49">L68/I68</f>
        <v>1642.5</v>
      </c>
      <c r="N68" s="107"/>
      <c r="O68" s="107"/>
      <c r="P68" s="73">
        <f t="shared" ref="P68:Q68" si="50">P8+P18+P28+P38+P48+P58</f>
        <v>197800</v>
      </c>
      <c r="Q68" s="107" t="e">
        <f t="shared" si="50"/>
        <v>#DIV/0!</v>
      </c>
      <c r="R68" s="107"/>
      <c r="S68" s="107"/>
      <c r="T68" s="107"/>
      <c r="U68" s="190">
        <f>U8+U18+U28+U38+U48+U58</f>
        <v>70.5</v>
      </c>
      <c r="V68" s="133">
        <f t="shared" ref="V68:V73" si="51">P68/U68</f>
        <v>2805.6737588652481</v>
      </c>
      <c r="X68" s="249">
        <f t="shared" ref="X68:Y72" si="52">X8+X18+X28+X38+X48+X58</f>
        <v>14</v>
      </c>
      <c r="Y68" s="249">
        <f t="shared" si="52"/>
        <v>16.399999999999999</v>
      </c>
      <c r="Z68" s="274">
        <f t="shared" ref="Z68:AB73" si="53">Z8+Z18+Z38+Z48+Z28+Z58</f>
        <v>2</v>
      </c>
      <c r="AA68" s="274">
        <f t="shared" si="53"/>
        <v>2</v>
      </c>
      <c r="AB68" s="274">
        <f t="shared" si="53"/>
        <v>2</v>
      </c>
      <c r="AC68" s="275">
        <f t="shared" ref="AC68:AC73" si="54">SUM(Z68:AB68)/3</f>
        <v>2</v>
      </c>
    </row>
    <row r="69" spans="1:29" ht="23" customHeight="1">
      <c r="A69" s="54" t="s">
        <v>5</v>
      </c>
      <c r="B69" s="42"/>
      <c r="C69" s="41"/>
      <c r="D69" s="41"/>
      <c r="E69" s="41"/>
      <c r="F69" s="41"/>
      <c r="G69" s="101" t="s">
        <v>5</v>
      </c>
      <c r="H69" s="115"/>
      <c r="I69" s="107">
        <f t="shared" si="45"/>
        <v>19</v>
      </c>
      <c r="J69" s="107">
        <f t="shared" si="45"/>
        <v>47200</v>
      </c>
      <c r="K69" s="106">
        <f t="shared" si="46"/>
        <v>2484.2105263157896</v>
      </c>
      <c r="L69" s="107">
        <f>L9+L19+L29+L39+L49+L59</f>
        <v>27700</v>
      </c>
      <c r="M69" s="107">
        <f t="shared" si="49"/>
        <v>1457.8947368421052</v>
      </c>
      <c r="N69" s="107"/>
      <c r="O69" s="107"/>
      <c r="P69" s="73">
        <f t="shared" ref="P69:Q69" si="55">P9+P19+P29+P39+P49+P59</f>
        <v>74900</v>
      </c>
      <c r="Q69" s="107" t="e">
        <f t="shared" si="55"/>
        <v>#DIV/0!</v>
      </c>
      <c r="R69" s="107"/>
      <c r="S69" s="107"/>
      <c r="T69" s="107"/>
      <c r="U69" s="190">
        <f>U9+U19+U29+U39+U49+U59</f>
        <v>69.75</v>
      </c>
      <c r="V69" s="133">
        <f t="shared" si="51"/>
        <v>1073.8351254480287</v>
      </c>
      <c r="X69" s="249">
        <f t="shared" si="52"/>
        <v>10.199999999999999</v>
      </c>
      <c r="Y69" s="249">
        <f t="shared" si="52"/>
        <v>15.1</v>
      </c>
      <c r="Z69" s="274">
        <f t="shared" si="53"/>
        <v>2</v>
      </c>
      <c r="AA69" s="274">
        <f t="shared" si="53"/>
        <v>1</v>
      </c>
      <c r="AB69" s="274">
        <f t="shared" si="53"/>
        <v>1</v>
      </c>
      <c r="AC69" s="275">
        <f t="shared" si="54"/>
        <v>1.3333333333333333</v>
      </c>
    </row>
    <row r="70" spans="1:29" ht="23" customHeight="1">
      <c r="A70" s="54" t="s">
        <v>6</v>
      </c>
      <c r="B70" s="42"/>
      <c r="C70" s="41"/>
      <c r="D70" s="41"/>
      <c r="E70" s="41"/>
      <c r="F70" s="41"/>
      <c r="G70" s="101" t="s">
        <v>6</v>
      </c>
      <c r="H70" s="115"/>
      <c r="I70" s="107">
        <f t="shared" si="45"/>
        <v>70</v>
      </c>
      <c r="J70" s="107">
        <f t="shared" si="45"/>
        <v>154250</v>
      </c>
      <c r="K70" s="106">
        <f t="shared" si="46"/>
        <v>2203.5714285714284</v>
      </c>
      <c r="L70" s="107">
        <f>L10+L20+L30+L40+L50+L60</f>
        <v>87600</v>
      </c>
      <c r="M70" s="107">
        <f t="shared" si="49"/>
        <v>1251.4285714285713</v>
      </c>
      <c r="N70" s="107"/>
      <c r="O70" s="107"/>
      <c r="P70" s="73">
        <f t="shared" ref="P70:Q70" si="56">P10+P20+P30+P40+P50+P60</f>
        <v>241850</v>
      </c>
      <c r="Q70" s="107" t="e">
        <f t="shared" si="56"/>
        <v>#DIV/0!</v>
      </c>
      <c r="R70" s="107"/>
      <c r="S70" s="107"/>
      <c r="T70" s="107"/>
      <c r="U70" s="190">
        <f>U10+U20+U30+U40+U50+U60</f>
        <v>73</v>
      </c>
      <c r="V70" s="133">
        <f t="shared" si="51"/>
        <v>3313.0136986301368</v>
      </c>
      <c r="X70" s="249">
        <f t="shared" si="52"/>
        <v>8</v>
      </c>
      <c r="Y70" s="249">
        <f t="shared" si="52"/>
        <v>19.600000000000001</v>
      </c>
      <c r="Z70" s="274">
        <f t="shared" si="53"/>
        <v>4</v>
      </c>
      <c r="AA70" s="274">
        <f t="shared" si="53"/>
        <v>4</v>
      </c>
      <c r="AB70" s="274">
        <f t="shared" si="53"/>
        <v>4</v>
      </c>
      <c r="AC70" s="275">
        <f t="shared" si="54"/>
        <v>4</v>
      </c>
    </row>
    <row r="71" spans="1:29" ht="23" customHeight="1">
      <c r="A71" s="54" t="s">
        <v>7</v>
      </c>
      <c r="B71" s="42"/>
      <c r="C71" s="41"/>
      <c r="D71" s="41"/>
      <c r="E71" s="41"/>
      <c r="F71" s="41"/>
      <c r="G71" s="101" t="s">
        <v>7</v>
      </c>
      <c r="H71" s="115"/>
      <c r="I71" s="107">
        <f>I21+I11+I31+I41+I51+I61</f>
        <v>0</v>
      </c>
      <c r="J71" s="107">
        <f>J21+J11+J31+J41+J51+J61</f>
        <v>0</v>
      </c>
      <c r="K71" s="106" t="e">
        <f t="shared" si="46"/>
        <v>#DIV/0!</v>
      </c>
      <c r="L71" s="107">
        <f>L21+L11+L31+L41+L51+L61</f>
        <v>0</v>
      </c>
      <c r="M71" s="107" t="e">
        <f t="shared" si="49"/>
        <v>#DIV/0!</v>
      </c>
      <c r="N71" s="107"/>
      <c r="O71" s="107"/>
      <c r="P71" s="73">
        <f>P21+P11+P31+P41+P51+P61</f>
        <v>0</v>
      </c>
      <c r="Q71" s="107" t="e">
        <f>Q21+Q11+Q31+Q41+Q51+Q61</f>
        <v>#DIV/0!</v>
      </c>
      <c r="R71" s="107"/>
      <c r="S71" s="107"/>
      <c r="T71" s="107"/>
      <c r="U71" s="190">
        <f>U21+U11+U31+U41+U51+U61</f>
        <v>0</v>
      </c>
      <c r="V71" s="133" t="e">
        <f t="shared" si="51"/>
        <v>#DIV/0!</v>
      </c>
      <c r="X71" s="249">
        <f t="shared" si="52"/>
        <v>0</v>
      </c>
      <c r="Y71" s="249">
        <f t="shared" si="52"/>
        <v>0</v>
      </c>
      <c r="Z71" s="274">
        <f t="shared" si="53"/>
        <v>0</v>
      </c>
      <c r="AA71" s="274">
        <f t="shared" si="53"/>
        <v>0</v>
      </c>
      <c r="AB71" s="274">
        <f t="shared" si="53"/>
        <v>0</v>
      </c>
      <c r="AC71" s="275">
        <f t="shared" si="54"/>
        <v>0</v>
      </c>
    </row>
    <row r="72" spans="1:29" ht="23" customHeight="1">
      <c r="A72" s="54" t="s">
        <v>8</v>
      </c>
      <c r="B72" s="42"/>
      <c r="C72" s="41"/>
      <c r="D72" s="41"/>
      <c r="E72" s="41"/>
      <c r="F72" s="41"/>
      <c r="G72" s="101" t="s">
        <v>8</v>
      </c>
      <c r="H72" s="115"/>
      <c r="I72" s="107">
        <f>I12+I22+I32+I42+I52+I62</f>
        <v>0</v>
      </c>
      <c r="J72" s="107">
        <f>J12+J22+J32+J42+J52+J62</f>
        <v>0</v>
      </c>
      <c r="K72" s="106" t="e">
        <f t="shared" si="46"/>
        <v>#DIV/0!</v>
      </c>
      <c r="L72" s="107">
        <f>L12+L22+L32+L42+L52+L62</f>
        <v>0</v>
      </c>
      <c r="M72" s="107" t="e">
        <f t="shared" si="49"/>
        <v>#DIV/0!</v>
      </c>
      <c r="N72" s="107"/>
      <c r="O72" s="107"/>
      <c r="P72" s="73">
        <f t="shared" ref="P72:U73" si="57">P12+P22+P32+P42+P52+P62</f>
        <v>0</v>
      </c>
      <c r="Q72" s="107" t="e">
        <f t="shared" si="57"/>
        <v>#DIV/0!</v>
      </c>
      <c r="R72" s="107"/>
      <c r="S72" s="107"/>
      <c r="T72" s="107"/>
      <c r="U72" s="190">
        <f t="shared" si="57"/>
        <v>0</v>
      </c>
      <c r="V72" s="133" t="e">
        <f t="shared" si="51"/>
        <v>#DIV/0!</v>
      </c>
      <c r="X72" s="249">
        <f t="shared" si="52"/>
        <v>0</v>
      </c>
      <c r="Y72" s="249">
        <f t="shared" si="52"/>
        <v>0</v>
      </c>
      <c r="Z72" s="274">
        <f t="shared" si="53"/>
        <v>0</v>
      </c>
      <c r="AA72" s="274">
        <f t="shared" si="53"/>
        <v>0</v>
      </c>
      <c r="AB72" s="274">
        <f t="shared" si="53"/>
        <v>0</v>
      </c>
      <c r="AC72" s="275">
        <f t="shared" si="54"/>
        <v>0</v>
      </c>
    </row>
    <row r="73" spans="1:29" ht="23" customHeight="1" thickBot="1">
      <c r="A73" s="55" t="s">
        <v>9</v>
      </c>
      <c r="B73" s="42"/>
      <c r="C73" s="41"/>
      <c r="D73" s="41"/>
      <c r="E73" s="41"/>
      <c r="F73" s="41"/>
      <c r="G73" s="111" t="s">
        <v>9</v>
      </c>
      <c r="H73" s="115"/>
      <c r="I73" s="107">
        <f>I13+I23+I33+I43+I53+I63</f>
        <v>247</v>
      </c>
      <c r="J73" s="107">
        <f>J13+J23+J33+J43+J53+J63</f>
        <v>554550</v>
      </c>
      <c r="K73" s="106">
        <f t="shared" si="46"/>
        <v>2245.1417004048585</v>
      </c>
      <c r="L73" s="107">
        <f>L13+L23+L33+L43+L53+L63</f>
        <v>329450</v>
      </c>
      <c r="M73" s="107">
        <f t="shared" si="49"/>
        <v>1333.8056680161944</v>
      </c>
      <c r="N73" s="107"/>
      <c r="O73" s="107"/>
      <c r="P73" s="73">
        <f t="shared" si="57"/>
        <v>884000</v>
      </c>
      <c r="Q73" s="107" t="e">
        <f t="shared" si="57"/>
        <v>#DIV/0!</v>
      </c>
      <c r="R73" s="107"/>
      <c r="S73" s="107"/>
      <c r="T73" s="107"/>
      <c r="U73" s="190">
        <f t="shared" si="57"/>
        <v>118.75</v>
      </c>
      <c r="V73" s="133">
        <f t="shared" si="51"/>
        <v>7444.2105263157891</v>
      </c>
      <c r="W73" s="1">
        <f>W14+W24+W34+W44+W54+W64</f>
        <v>5</v>
      </c>
      <c r="X73" s="250">
        <f>X13+X23+X33+X43+X53+X63</f>
        <v>15.4</v>
      </c>
      <c r="Y73" s="250">
        <f>Y13+Y23+Y33+Y43+Y53+Y63</f>
        <v>25.8</v>
      </c>
      <c r="Z73" s="274">
        <f t="shared" si="53"/>
        <v>5</v>
      </c>
      <c r="AA73" s="274">
        <f t="shared" si="53"/>
        <v>5</v>
      </c>
      <c r="AB73" s="274">
        <f t="shared" si="53"/>
        <v>4</v>
      </c>
      <c r="AC73" s="276">
        <f t="shared" si="54"/>
        <v>4.666666666666667</v>
      </c>
    </row>
    <row r="74" spans="1:29" s="34" customFormat="1" ht="47" customHeight="1" thickTop="1" thickBot="1">
      <c r="A74" s="56" t="s">
        <v>2</v>
      </c>
      <c r="B74" s="57">
        <f>SUM(B67:B73)</f>
        <v>0</v>
      </c>
      <c r="C74" s="46" t="s">
        <v>36</v>
      </c>
      <c r="D74" s="72" t="e">
        <f>#REF!/F74</f>
        <v>#REF!</v>
      </c>
      <c r="E74" s="45" t="s">
        <v>37</v>
      </c>
      <c r="F74" s="34" t="e">
        <f>#REF!</f>
        <v>#REF!</v>
      </c>
      <c r="G74" s="116" t="s">
        <v>2</v>
      </c>
      <c r="H74" s="117">
        <f>SUM(H67:H73)</f>
        <v>0</v>
      </c>
      <c r="I74" s="58">
        <f>SUM(I67:I73)</f>
        <v>506</v>
      </c>
      <c r="J74" s="58">
        <f>SUM(J67:J73)</f>
        <v>1273300</v>
      </c>
      <c r="K74" s="58">
        <f t="shared" si="46"/>
        <v>2516.403162055336</v>
      </c>
      <c r="L74" s="58">
        <f>SUM(L67:L73)</f>
        <v>701450</v>
      </c>
      <c r="M74" s="58">
        <f>L74/I74</f>
        <v>1386.2648221343873</v>
      </c>
      <c r="N74" s="58"/>
      <c r="O74" s="58"/>
      <c r="P74" s="58">
        <f>SUM(P67:P73)</f>
        <v>1974750</v>
      </c>
      <c r="Q74" s="58">
        <f>P74/I74</f>
        <v>3902.6679841897235</v>
      </c>
      <c r="R74" s="58"/>
      <c r="S74" s="58"/>
      <c r="T74" s="58"/>
      <c r="U74" s="191">
        <f>SUM(U67:U73)</f>
        <v>432.5</v>
      </c>
      <c r="V74" s="71">
        <f>P74/U74</f>
        <v>4565.8959537572255</v>
      </c>
      <c r="X74" s="246">
        <f>SUM(X67:X73)/W73</f>
        <v>12.68</v>
      </c>
      <c r="Y74" s="251">
        <f>SUM(Y67:Y73)/W73</f>
        <v>19.979999999999997</v>
      </c>
      <c r="Z74" s="390">
        <f>SUM(Z67:Z73)/W73</f>
        <v>2.8</v>
      </c>
      <c r="AA74" s="390">
        <f>SUM(AA67:AA73)/W73</f>
        <v>2.6</v>
      </c>
      <c r="AB74" s="390">
        <f>SUM(AB67:AB73)/W73</f>
        <v>2.4</v>
      </c>
      <c r="AC74" s="391">
        <f>SUM(Z74:AB74)/3</f>
        <v>2.6</v>
      </c>
    </row>
    <row r="75" spans="1:29" s="30" customFormat="1" ht="20.25" hidden="1" customHeight="1" thickTop="1" thickBot="1">
      <c r="A75" s="27" t="s">
        <v>24</v>
      </c>
      <c r="B75" s="37"/>
      <c r="G75" s="27" t="s">
        <v>24</v>
      </c>
      <c r="H75" s="37"/>
      <c r="I75" s="27"/>
      <c r="J75" s="28"/>
      <c r="K75" s="28"/>
      <c r="L75" s="28"/>
      <c r="M75" s="28"/>
      <c r="N75" s="28"/>
      <c r="O75" s="28"/>
      <c r="P75" s="28"/>
      <c r="Q75" s="28"/>
      <c r="R75" s="28"/>
      <c r="S75" s="28"/>
      <c r="T75" s="28"/>
      <c r="U75" s="192"/>
      <c r="V75" s="29"/>
    </row>
    <row r="76" spans="1:29" ht="30.5" hidden="1" customHeight="1" thickTop="1">
      <c r="A76" s="38"/>
      <c r="B76" s="39"/>
      <c r="G76" s="38"/>
      <c r="H76" s="39"/>
      <c r="I76" s="26"/>
      <c r="J76" s="26"/>
      <c r="K76" s="26"/>
      <c r="L76" s="26"/>
      <c r="M76" s="26"/>
      <c r="N76" s="26"/>
      <c r="O76" s="26"/>
      <c r="P76" s="26"/>
      <c r="Q76" s="26"/>
      <c r="R76" s="26"/>
      <c r="S76" s="26"/>
      <c r="T76" s="26"/>
      <c r="U76" s="193"/>
    </row>
    <row r="77" spans="1:29" ht="32.25" hidden="1" customHeight="1" thickTop="1">
      <c r="A77" s="479" t="s">
        <v>0</v>
      </c>
      <c r="B77" s="480"/>
      <c r="G77" s="479" t="s">
        <v>0</v>
      </c>
      <c r="H77" s="480"/>
      <c r="I77" s="97" t="s">
        <v>25</v>
      </c>
      <c r="J77" s="486"/>
      <c r="K77" s="486"/>
      <c r="L77" s="486"/>
      <c r="M77" s="486"/>
      <c r="N77" s="486"/>
      <c r="O77" s="486"/>
      <c r="P77" s="487"/>
      <c r="Q77" s="62"/>
      <c r="R77" s="62"/>
      <c r="S77" s="62"/>
      <c r="T77" s="62"/>
      <c r="U77" s="194"/>
      <c r="V77" s="8"/>
    </row>
    <row r="78" spans="1:29" ht="32.25" hidden="1" customHeight="1" thickTop="1">
      <c r="A78" s="479"/>
      <c r="B78" s="480"/>
      <c r="G78" s="479"/>
      <c r="H78" s="480"/>
      <c r="I78" s="488" t="s">
        <v>0</v>
      </c>
      <c r="J78" s="489"/>
      <c r="K78" s="489"/>
      <c r="L78" s="489"/>
      <c r="M78" s="489"/>
      <c r="N78" s="489"/>
      <c r="O78" s="489"/>
      <c r="P78" s="490"/>
      <c r="Q78" s="63"/>
      <c r="R78" s="63"/>
      <c r="S78" s="63"/>
      <c r="T78" s="63"/>
      <c r="U78" s="195"/>
    </row>
    <row r="79" spans="1:29" ht="32.25" hidden="1" customHeight="1" thickTop="1">
      <c r="A79" s="479"/>
      <c r="B79" s="480"/>
      <c r="G79" s="479"/>
      <c r="H79" s="480"/>
      <c r="I79" s="3" t="s">
        <v>1</v>
      </c>
      <c r="J79" s="6"/>
      <c r="K79" s="6"/>
      <c r="L79" s="6" t="s">
        <v>20</v>
      </c>
      <c r="M79" s="40"/>
      <c r="N79" s="40"/>
      <c r="O79" s="40"/>
      <c r="P79" s="7" t="s">
        <v>21</v>
      </c>
      <c r="Q79" s="64"/>
      <c r="R79" s="64"/>
      <c r="S79" s="64"/>
      <c r="T79" s="64"/>
      <c r="U79" s="196"/>
      <c r="V79" s="31"/>
    </row>
    <row r="80" spans="1:29" ht="32.25" hidden="1" customHeight="1" thickTop="1">
      <c r="A80" s="479"/>
      <c r="B80" s="480"/>
      <c r="G80" s="479"/>
      <c r="H80" s="480"/>
      <c r="I80" s="20"/>
      <c r="J80" s="4"/>
      <c r="K80" s="4"/>
      <c r="L80" s="12" t="e">
        <f>#REF!*I80</f>
        <v>#REF!</v>
      </c>
      <c r="M80" s="14"/>
      <c r="N80" s="14"/>
      <c r="O80" s="14"/>
      <c r="P80" s="13" t="e">
        <f>#REF!*I80</f>
        <v>#REF!</v>
      </c>
      <c r="Q80" s="65"/>
      <c r="R80" s="65"/>
      <c r="S80" s="65"/>
      <c r="T80" s="65"/>
      <c r="U80" s="197"/>
      <c r="V80" s="32"/>
    </row>
    <row r="81" spans="1:26" ht="21" hidden="1" customHeight="1" thickTop="1">
      <c r="A81" s="479"/>
      <c r="B81" s="480"/>
      <c r="G81" s="479"/>
      <c r="H81" s="480"/>
      <c r="J81" s="9"/>
      <c r="K81" s="9"/>
    </row>
    <row r="82" spans="1:26" ht="32.25" hidden="1" customHeight="1" thickTop="1">
      <c r="A82" s="479"/>
      <c r="B82" s="480"/>
      <c r="G82" s="479"/>
      <c r="H82" s="480"/>
      <c r="I82" s="1" t="s">
        <v>22</v>
      </c>
      <c r="J82" s="10"/>
      <c r="K82" s="10"/>
    </row>
    <row r="83" spans="1:26" ht="32.25" hidden="1" customHeight="1" thickTop="1">
      <c r="A83" s="479"/>
      <c r="B83" s="480"/>
      <c r="G83" s="479"/>
      <c r="H83" s="480"/>
      <c r="I83" s="15" t="s">
        <v>1</v>
      </c>
      <c r="J83" s="15"/>
      <c r="K83" s="15"/>
      <c r="L83" s="15" t="s">
        <v>20</v>
      </c>
      <c r="M83" s="15"/>
      <c r="N83" s="15"/>
      <c r="O83" s="15"/>
      <c r="P83" s="15" t="s">
        <v>21</v>
      </c>
      <c r="Q83" s="50"/>
      <c r="R83" s="50"/>
      <c r="S83" s="50"/>
      <c r="T83" s="50"/>
      <c r="U83" s="199"/>
    </row>
    <row r="84" spans="1:26" s="5" customFormat="1" ht="32.25" hidden="1" customHeight="1" thickTop="1">
      <c r="A84" s="479"/>
      <c r="B84" s="480"/>
      <c r="G84" s="479"/>
      <c r="H84" s="480"/>
      <c r="I84" s="21">
        <f t="shared" ref="I84" si="58">I74-I80</f>
        <v>506</v>
      </c>
      <c r="J84" s="22"/>
      <c r="K84" s="22"/>
      <c r="L84" s="21" t="e">
        <f t="shared" ref="L84" si="59">L74-L80</f>
        <v>#REF!</v>
      </c>
      <c r="M84" s="21"/>
      <c r="N84" s="21"/>
      <c r="O84" s="21"/>
      <c r="P84" s="21" t="e">
        <f t="shared" ref="P84" si="60">P74-P80</f>
        <v>#REF!</v>
      </c>
      <c r="Q84" s="66"/>
      <c r="R84" s="66"/>
      <c r="S84" s="66"/>
      <c r="T84" s="66"/>
      <c r="U84" s="200"/>
      <c r="V84" s="1"/>
    </row>
    <row r="85" spans="1:26" s="5" customFormat="1" ht="32.25" hidden="1" customHeight="1" thickTop="1">
      <c r="A85" s="479"/>
      <c r="B85" s="480"/>
      <c r="G85" s="479"/>
      <c r="H85" s="480"/>
      <c r="I85" s="23" t="e">
        <f>I74/I80</f>
        <v>#DIV/0!</v>
      </c>
      <c r="J85" s="23"/>
      <c r="K85" s="23"/>
      <c r="L85" s="23" t="e">
        <f t="shared" ref="L85" si="61">L74/L80</f>
        <v>#REF!</v>
      </c>
      <c r="M85" s="23"/>
      <c r="N85" s="23"/>
      <c r="O85" s="23"/>
      <c r="P85" s="23" t="e">
        <f t="shared" ref="P85" si="62">P74/P80</f>
        <v>#REF!</v>
      </c>
      <c r="Q85" s="67"/>
      <c r="R85" s="67"/>
      <c r="S85" s="67"/>
      <c r="T85" s="67"/>
      <c r="U85" s="201"/>
      <c r="V85" s="1"/>
    </row>
    <row r="86" spans="1:26" s="5" customFormat="1" ht="32.25" hidden="1" customHeight="1" thickTop="1">
      <c r="A86" s="479"/>
      <c r="B86" s="480"/>
      <c r="G86" s="479"/>
      <c r="H86" s="480"/>
      <c r="I86" s="1" t="s">
        <v>26</v>
      </c>
      <c r="J86" s="1"/>
      <c r="K86" s="1"/>
      <c r="L86" s="1"/>
      <c r="M86" s="1"/>
      <c r="N86" s="1"/>
      <c r="O86" s="1"/>
      <c r="P86" s="1"/>
      <c r="Q86" s="1"/>
      <c r="R86" s="1"/>
      <c r="S86" s="1"/>
      <c r="T86" s="1"/>
      <c r="U86" s="198"/>
      <c r="V86" s="1"/>
    </row>
    <row r="87" spans="1:26" s="5" customFormat="1" ht="32.25" hidden="1" customHeight="1" thickTop="1">
      <c r="A87" s="479"/>
      <c r="B87" s="480"/>
      <c r="G87" s="479"/>
      <c r="H87" s="480"/>
      <c r="I87" s="15" t="s">
        <v>1</v>
      </c>
      <c r="J87" s="15"/>
      <c r="K87" s="15"/>
      <c r="L87" s="15" t="s">
        <v>20</v>
      </c>
      <c r="M87" s="15"/>
      <c r="N87" s="15"/>
      <c r="O87" s="15"/>
      <c r="P87" s="15" t="s">
        <v>21</v>
      </c>
      <c r="Q87" s="50"/>
      <c r="R87" s="50"/>
      <c r="S87" s="50"/>
      <c r="T87" s="50"/>
      <c r="U87" s="199"/>
      <c r="V87" s="1"/>
    </row>
    <row r="88" spans="1:26" s="5" customFormat="1" ht="32.25" hidden="1" customHeight="1" thickTop="1">
      <c r="A88" s="479"/>
      <c r="B88" s="480"/>
      <c r="G88" s="479"/>
      <c r="H88" s="480"/>
      <c r="I88" s="16"/>
      <c r="J88" s="18"/>
      <c r="K88" s="18"/>
      <c r="L88" s="17"/>
      <c r="M88" s="17"/>
      <c r="N88" s="17"/>
      <c r="O88" s="17"/>
      <c r="P88" s="17"/>
      <c r="Q88" s="68"/>
      <c r="R88" s="68"/>
      <c r="S88" s="68"/>
      <c r="T88" s="68"/>
      <c r="U88" s="202"/>
      <c r="V88" s="1"/>
    </row>
    <row r="89" spans="1:26" s="5" customFormat="1" ht="32.25" hidden="1" customHeight="1" thickTop="1">
      <c r="A89" s="479"/>
      <c r="B89" s="480"/>
      <c r="G89" s="479"/>
      <c r="H89" s="480"/>
      <c r="I89" s="1" t="s">
        <v>23</v>
      </c>
      <c r="J89" s="1"/>
      <c r="K89" s="1"/>
      <c r="L89" s="1"/>
      <c r="M89" s="1"/>
      <c r="N89" s="1"/>
      <c r="O89" s="1"/>
      <c r="P89" s="1"/>
      <c r="Q89" s="1"/>
      <c r="R89" s="1"/>
      <c r="S89" s="1"/>
      <c r="T89" s="1"/>
      <c r="U89" s="198"/>
      <c r="V89" s="1"/>
    </row>
    <row r="90" spans="1:26" s="5" customFormat="1" ht="32.25" hidden="1" customHeight="1" thickTop="1">
      <c r="A90" s="479"/>
      <c r="B90" s="480"/>
      <c r="G90" s="479"/>
      <c r="H90" s="480"/>
      <c r="I90" s="15" t="s">
        <v>1</v>
      </c>
      <c r="J90" s="15"/>
      <c r="K90" s="15"/>
      <c r="L90" s="15" t="s">
        <v>20</v>
      </c>
      <c r="M90" s="15"/>
      <c r="N90" s="15"/>
      <c r="O90" s="15"/>
      <c r="P90" s="15" t="s">
        <v>21</v>
      </c>
      <c r="Q90" s="50"/>
      <c r="R90" s="50"/>
      <c r="S90" s="50"/>
      <c r="T90" s="50"/>
      <c r="U90" s="199"/>
      <c r="V90" s="1"/>
    </row>
    <row r="91" spans="1:26" s="5" customFormat="1" ht="30" hidden="1" customHeight="1" thickTop="1">
      <c r="A91" s="479"/>
      <c r="B91" s="480"/>
      <c r="G91" s="479"/>
      <c r="H91" s="480"/>
      <c r="I91" s="16">
        <f>I74-I88</f>
        <v>506</v>
      </c>
      <c r="J91" s="16"/>
      <c r="K91" s="16"/>
      <c r="L91" s="16">
        <f t="shared" ref="L91" si="63">L74-L88</f>
        <v>701450</v>
      </c>
      <c r="M91" s="16"/>
      <c r="N91" s="16"/>
      <c r="O91" s="16"/>
      <c r="P91" s="16">
        <f t="shared" ref="P91" si="64">P74-P88</f>
        <v>1974750</v>
      </c>
      <c r="Q91" s="69"/>
      <c r="R91" s="69"/>
      <c r="S91" s="69"/>
      <c r="T91" s="69"/>
      <c r="U91" s="203"/>
      <c r="V91" s="1"/>
    </row>
    <row r="92" spans="1:26" s="5" customFormat="1" ht="32" hidden="1" customHeight="1" thickTop="1">
      <c r="A92" s="479"/>
      <c r="B92" s="480"/>
      <c r="G92" s="479"/>
      <c r="H92" s="480"/>
      <c r="I92" s="47" t="e">
        <f>I74/I88</f>
        <v>#DIV/0!</v>
      </c>
      <c r="J92" s="19"/>
      <c r="K92" s="19"/>
      <c r="L92" s="19" t="e">
        <f t="shared" ref="L92" si="65">L74/L88</f>
        <v>#DIV/0!</v>
      </c>
      <c r="M92" s="19"/>
      <c r="N92" s="19"/>
      <c r="O92" s="19"/>
      <c r="P92" s="19" t="e">
        <f t="shared" ref="P92" si="66">P74/P88</f>
        <v>#DIV/0!</v>
      </c>
      <c r="Q92" s="51"/>
      <c r="R92" s="51"/>
      <c r="S92" s="51"/>
      <c r="T92" s="51"/>
      <c r="U92" s="204"/>
      <c r="V92" s="11"/>
    </row>
    <row r="93" spans="1:26" s="5" customFormat="1" ht="55" customHeight="1" thickTop="1">
      <c r="A93" s="527" t="s">
        <v>39</v>
      </c>
      <c r="B93" s="527"/>
      <c r="G93" s="59"/>
      <c r="H93" s="59"/>
      <c r="I93" s="59"/>
      <c r="J93" s="476"/>
      <c r="K93" s="476"/>
      <c r="L93" s="1"/>
      <c r="M93" s="1"/>
      <c r="N93" s="130" t="s">
        <v>81</v>
      </c>
      <c r="O93" s="130"/>
      <c r="P93" s="123">
        <f>P74/1.1</f>
        <v>1795227.2727272725</v>
      </c>
      <c r="Q93" s="129" t="s">
        <v>80</v>
      </c>
      <c r="R93" s="129"/>
      <c r="S93" s="129"/>
      <c r="T93" s="129"/>
      <c r="U93" s="207" t="e">
        <f>P93/#REF!</f>
        <v>#REF!</v>
      </c>
      <c r="V93" s="541" t="e">
        <f>P93-#REF!</f>
        <v>#REF!</v>
      </c>
      <c r="W93" s="529"/>
      <c r="X93" s="529"/>
      <c r="Y93" s="529"/>
      <c r="Z93" s="529"/>
    </row>
    <row r="94" spans="1:26" s="5" customFormat="1" ht="21" customHeight="1" thickBot="1">
      <c r="A94" s="527"/>
      <c r="B94" s="527"/>
      <c r="G94" s="1"/>
      <c r="H94" s="1"/>
      <c r="I94" s="1"/>
      <c r="J94" s="35"/>
      <c r="K94" s="35"/>
      <c r="L94" s="1"/>
      <c r="M94" s="1"/>
      <c r="N94" s="1"/>
      <c r="O94" s="1"/>
      <c r="P94" s="1"/>
      <c r="Q94" s="1"/>
      <c r="R94" s="1"/>
      <c r="S94" s="1"/>
      <c r="T94" s="1"/>
      <c r="U94" s="198"/>
      <c r="V94" s="1"/>
    </row>
    <row r="95" spans="1:26" ht="66" customHeight="1" thickTop="1" thickBot="1">
      <c r="A95" s="527"/>
      <c r="B95" s="527"/>
      <c r="J95" s="51"/>
      <c r="K95" s="51"/>
      <c r="L95" s="530" t="s">
        <v>44</v>
      </c>
      <c r="M95" s="531"/>
      <c r="N95" s="531"/>
      <c r="O95" s="531"/>
      <c r="P95" s="531"/>
      <c r="Q95" s="61"/>
      <c r="R95" s="61"/>
      <c r="S95" s="61"/>
      <c r="T95" s="61"/>
      <c r="U95" s="205"/>
      <c r="V95" s="60"/>
    </row>
    <row r="96" spans="1:26" ht="17" thickTop="1"/>
    <row r="97" spans="1:21" ht="32" customHeight="1"/>
    <row r="98" spans="1:21" s="24" customFormat="1" ht="34.25" customHeight="1">
      <c r="A98" s="33" t="s">
        <v>53</v>
      </c>
      <c r="B98" s="34"/>
      <c r="U98" s="186"/>
    </row>
    <row r="99" spans="1:21" s="80" customFormat="1" ht="32" customHeight="1">
      <c r="A99" s="528" t="s">
        <v>54</v>
      </c>
      <c r="B99" s="528"/>
      <c r="U99" s="206"/>
    </row>
    <row r="100" spans="1:21" ht="73" customHeight="1">
      <c r="A100" s="460" t="s">
        <v>55</v>
      </c>
      <c r="B100" s="460"/>
    </row>
    <row r="101" spans="1:21" ht="73" customHeight="1">
      <c r="A101" s="460" t="s">
        <v>56</v>
      </c>
      <c r="B101" s="460"/>
    </row>
    <row r="102" spans="1:21" ht="73" customHeight="1">
      <c r="A102" s="460" t="s">
        <v>57</v>
      </c>
      <c r="B102" s="460"/>
    </row>
    <row r="103" spans="1:21" ht="73" customHeight="1">
      <c r="A103" s="460" t="s">
        <v>58</v>
      </c>
      <c r="B103" s="460"/>
    </row>
    <row r="104" spans="1:21" ht="73" customHeight="1">
      <c r="A104" s="460" t="s">
        <v>59</v>
      </c>
      <c r="B104" s="460"/>
    </row>
    <row r="105" spans="1:21" ht="73" customHeight="1">
      <c r="A105" s="460" t="s">
        <v>49</v>
      </c>
      <c r="B105" s="460"/>
    </row>
    <row r="106" spans="1:21" ht="73" customHeight="1">
      <c r="A106" s="460" t="s">
        <v>50</v>
      </c>
      <c r="B106" s="460"/>
    </row>
    <row r="107" spans="1:21" ht="73" customHeight="1">
      <c r="A107" s="460"/>
      <c r="B107" s="460"/>
    </row>
    <row r="108" spans="1:21" ht="73" customHeight="1">
      <c r="A108" s="529"/>
      <c r="B108" s="529"/>
    </row>
    <row r="109" spans="1:21" ht="32" customHeight="1"/>
    <row r="110" spans="1:21" ht="32" customHeight="1"/>
    <row r="111" spans="1:21" ht="32" customHeight="1"/>
    <row r="112" spans="1:21" ht="32" customHeight="1"/>
    <row r="113" ht="32" customHeight="1"/>
  </sheetData>
  <mergeCells count="62">
    <mergeCell ref="AE64:AI64"/>
    <mergeCell ref="V93:Z93"/>
    <mergeCell ref="G54:H54"/>
    <mergeCell ref="G55:V55"/>
    <mergeCell ref="G64:H64"/>
    <mergeCell ref="G65:V65"/>
    <mergeCell ref="G77:H92"/>
    <mergeCell ref="J77:P77"/>
    <mergeCell ref="I78:P78"/>
    <mergeCell ref="X65:AC65"/>
    <mergeCell ref="A106:B106"/>
    <mergeCell ref="A107:B107"/>
    <mergeCell ref="A108:B108"/>
    <mergeCell ref="AE44:AI44"/>
    <mergeCell ref="X4:AC4"/>
    <mergeCell ref="X5:AC5"/>
    <mergeCell ref="X15:AC15"/>
    <mergeCell ref="X25:AC25"/>
    <mergeCell ref="X35:AC35"/>
    <mergeCell ref="X45:AC45"/>
    <mergeCell ref="X55:AC55"/>
    <mergeCell ref="G44:H44"/>
    <mergeCell ref="G45:V45"/>
    <mergeCell ref="J93:K93"/>
    <mergeCell ref="L95:P95"/>
    <mergeCell ref="AE54:AI54"/>
    <mergeCell ref="A101:B101"/>
    <mergeCell ref="A102:B102"/>
    <mergeCell ref="A103:B103"/>
    <mergeCell ref="A104:B104"/>
    <mergeCell ref="A105:B105"/>
    <mergeCell ref="A65:B65"/>
    <mergeCell ref="A77:B92"/>
    <mergeCell ref="A93:B95"/>
    <mergeCell ref="A99:B99"/>
    <mergeCell ref="A100:B100"/>
    <mergeCell ref="A54:B54"/>
    <mergeCell ref="A55:B55"/>
    <mergeCell ref="A44:B44"/>
    <mergeCell ref="A45:B45"/>
    <mergeCell ref="A64:B64"/>
    <mergeCell ref="G24:H24"/>
    <mergeCell ref="G25:V25"/>
    <mergeCell ref="G34:H34"/>
    <mergeCell ref="G35:V35"/>
    <mergeCell ref="A2:B2"/>
    <mergeCell ref="A3:B3"/>
    <mergeCell ref="A4:B4"/>
    <mergeCell ref="A14:B14"/>
    <mergeCell ref="A15:B15"/>
    <mergeCell ref="A5:B5"/>
    <mergeCell ref="A34:B34"/>
    <mergeCell ref="A35:B35"/>
    <mergeCell ref="A24:B24"/>
    <mergeCell ref="A25:B25"/>
    <mergeCell ref="R3:U3"/>
    <mergeCell ref="R4:U4"/>
    <mergeCell ref="G3:Q3"/>
    <mergeCell ref="G4:H4"/>
    <mergeCell ref="G5:V5"/>
    <mergeCell ref="G14:H14"/>
    <mergeCell ref="G15:V15"/>
  </mergeCells>
  <phoneticPr fontId="1"/>
  <pageMargins left="0.7" right="0.7" top="0.75" bottom="0.75" header="0.3" footer="0.3"/>
  <pageSetup paperSize="8" scale="1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F96D-1CB1-1041-BC0E-CE31BBF171C4}">
  <sheetPr>
    <tabColor rgb="FFFFC000"/>
  </sheetPr>
  <dimension ref="A1:Z54"/>
  <sheetViews>
    <sheetView topLeftCell="A22" workbookViewId="0"/>
  </sheetViews>
  <sheetFormatPr baseColWidth="10" defaultRowHeight="19"/>
  <cols>
    <col min="1" max="1" width="17.33203125" style="319" customWidth="1"/>
    <col min="2" max="7" width="11.5" style="319" bestFit="1" customWidth="1"/>
    <col min="8" max="9" width="12.5" style="319" bestFit="1" customWidth="1"/>
    <col min="10" max="10" width="11.5" style="319" bestFit="1" customWidth="1"/>
    <col min="11" max="11" width="11.5" style="319" customWidth="1"/>
    <col min="12" max="12" width="14.6640625" style="319" bestFit="1" customWidth="1"/>
    <col min="13" max="16384" width="10.83203125" style="319"/>
  </cols>
  <sheetData>
    <row r="1" spans="1:26" ht="45" customHeight="1">
      <c r="A1" s="333" t="s">
        <v>305</v>
      </c>
    </row>
    <row r="2" spans="1:26" s="322" customFormat="1">
      <c r="A2" s="498" t="s">
        <v>141</v>
      </c>
      <c r="B2" s="517" t="s">
        <v>0</v>
      </c>
      <c r="C2" s="517"/>
      <c r="D2" s="517"/>
      <c r="E2" s="518" t="s">
        <v>199</v>
      </c>
      <c r="F2" s="518"/>
      <c r="G2" s="514" t="s">
        <v>200</v>
      </c>
      <c r="H2" s="515"/>
      <c r="I2" s="515"/>
      <c r="J2" s="515"/>
      <c r="K2" s="516"/>
      <c r="L2" s="498" t="s">
        <v>151</v>
      </c>
    </row>
    <row r="3" spans="1:26" s="322" customFormat="1">
      <c r="A3" s="498"/>
      <c r="B3" s="329" t="s">
        <v>142</v>
      </c>
      <c r="C3" s="329" t="s">
        <v>143</v>
      </c>
      <c r="D3" s="329" t="s">
        <v>144</v>
      </c>
      <c r="E3" s="323" t="s">
        <v>145</v>
      </c>
      <c r="F3" s="323" t="s">
        <v>146</v>
      </c>
      <c r="G3" s="331" t="s">
        <v>147</v>
      </c>
      <c r="H3" s="331" t="s">
        <v>148</v>
      </c>
      <c r="I3" s="331" t="s">
        <v>149</v>
      </c>
      <c r="J3" s="331" t="s">
        <v>150</v>
      </c>
      <c r="K3" s="331" t="s">
        <v>204</v>
      </c>
      <c r="L3" s="498"/>
    </row>
    <row r="4" spans="1:26">
      <c r="A4" s="324" t="s">
        <v>308</v>
      </c>
      <c r="B4" s="330"/>
      <c r="C4" s="330"/>
      <c r="D4" s="330"/>
      <c r="E4" s="325"/>
      <c r="F4" s="325"/>
      <c r="G4" s="332"/>
      <c r="H4" s="332"/>
      <c r="I4" s="332"/>
      <c r="J4" s="332"/>
      <c r="K4" s="332"/>
      <c r="L4" s="325"/>
      <c r="N4" s="316"/>
      <c r="O4" s="316"/>
      <c r="P4" s="317"/>
      <c r="Q4" s="317"/>
      <c r="R4" s="317"/>
      <c r="S4" s="317"/>
      <c r="T4" s="317"/>
      <c r="U4" s="317"/>
      <c r="V4" s="317"/>
      <c r="W4" s="317"/>
      <c r="X4" s="317"/>
      <c r="Y4" s="317"/>
      <c r="Z4" s="317"/>
    </row>
    <row r="5" spans="1:26">
      <c r="A5" s="324" t="s">
        <v>309</v>
      </c>
      <c r="B5" s="330"/>
      <c r="C5" s="330"/>
      <c r="D5" s="330"/>
      <c r="E5" s="325"/>
      <c r="F5" s="325"/>
      <c r="G5" s="332"/>
      <c r="H5" s="332"/>
      <c r="I5" s="332"/>
      <c r="J5" s="332"/>
      <c r="K5" s="332"/>
      <c r="L5" s="325"/>
      <c r="N5" s="316"/>
      <c r="O5" s="316"/>
      <c r="P5" s="317"/>
      <c r="Q5" s="317"/>
      <c r="R5" s="317"/>
      <c r="S5" s="317"/>
      <c r="T5" s="317"/>
      <c r="U5" s="317"/>
      <c r="V5" s="317"/>
      <c r="W5" s="317"/>
      <c r="X5" s="317"/>
      <c r="Y5" s="317"/>
      <c r="Z5" s="317"/>
    </row>
    <row r="6" spans="1:26">
      <c r="A6" s="324" t="s">
        <v>310</v>
      </c>
      <c r="B6" s="330"/>
      <c r="C6" s="330"/>
      <c r="D6" s="330"/>
      <c r="E6" s="325"/>
      <c r="F6" s="325"/>
      <c r="G6" s="332"/>
      <c r="H6" s="332"/>
      <c r="I6" s="332"/>
      <c r="J6" s="332"/>
      <c r="K6" s="332"/>
      <c r="L6" s="325"/>
      <c r="N6" s="316"/>
      <c r="O6" s="316"/>
      <c r="P6" s="317"/>
      <c r="Q6" s="317"/>
      <c r="R6" s="317"/>
      <c r="S6" s="317"/>
      <c r="T6" s="317"/>
      <c r="U6" s="317"/>
      <c r="V6" s="317"/>
      <c r="W6" s="317"/>
      <c r="X6" s="317"/>
      <c r="Y6" s="317"/>
      <c r="Z6" s="317"/>
    </row>
    <row r="7" spans="1:26">
      <c r="A7" s="324" t="s">
        <v>311</v>
      </c>
      <c r="B7" s="330"/>
      <c r="C7" s="330"/>
      <c r="D7" s="330"/>
      <c r="E7" s="325"/>
      <c r="F7" s="325"/>
      <c r="G7" s="332"/>
      <c r="H7" s="332"/>
      <c r="I7" s="332"/>
      <c r="J7" s="332"/>
      <c r="K7" s="332"/>
      <c r="L7" s="325"/>
      <c r="N7" s="316"/>
      <c r="O7" s="316"/>
      <c r="P7" s="317"/>
      <c r="Q7" s="317"/>
      <c r="R7" s="317"/>
      <c r="S7" s="317"/>
      <c r="T7" s="317"/>
      <c r="U7" s="317"/>
      <c r="V7" s="317"/>
      <c r="W7" s="317"/>
      <c r="X7" s="317"/>
      <c r="Y7" s="317"/>
      <c r="Z7" s="317"/>
    </row>
    <row r="8" spans="1:26">
      <c r="A8" s="324" t="s">
        <v>312</v>
      </c>
      <c r="B8" s="330"/>
      <c r="C8" s="330"/>
      <c r="D8" s="330"/>
      <c r="E8" s="325"/>
      <c r="F8" s="325"/>
      <c r="G8" s="332"/>
      <c r="H8" s="332"/>
      <c r="I8" s="332"/>
      <c r="J8" s="332"/>
      <c r="K8" s="332"/>
      <c r="L8" s="325"/>
      <c r="N8" s="316"/>
      <c r="O8" s="316"/>
      <c r="P8" s="317"/>
      <c r="Q8" s="317"/>
      <c r="R8" s="317"/>
      <c r="S8" s="317"/>
      <c r="T8" s="317"/>
      <c r="U8" s="317"/>
      <c r="V8" s="317"/>
      <c r="W8" s="317"/>
      <c r="X8" s="317"/>
      <c r="Y8" s="317"/>
      <c r="Z8" s="317"/>
    </row>
    <row r="9" spans="1:26">
      <c r="A9" s="324" t="s">
        <v>313</v>
      </c>
      <c r="B9" s="330"/>
      <c r="C9" s="330"/>
      <c r="D9" s="330"/>
      <c r="E9" s="325"/>
      <c r="F9" s="325"/>
      <c r="G9" s="332"/>
      <c r="H9" s="332"/>
      <c r="I9" s="332"/>
      <c r="J9" s="332"/>
      <c r="K9" s="332"/>
      <c r="L9" s="325"/>
      <c r="N9" s="316"/>
      <c r="O9" s="316"/>
      <c r="P9" s="317"/>
      <c r="Q9" s="317"/>
      <c r="R9" s="317"/>
      <c r="S9" s="317"/>
      <c r="T9" s="317"/>
      <c r="U9" s="317"/>
      <c r="V9" s="317"/>
      <c r="W9" s="317"/>
      <c r="X9" s="317"/>
      <c r="Y9" s="317"/>
      <c r="Z9" s="317"/>
    </row>
    <row r="10" spans="1:26">
      <c r="A10" s="324" t="s">
        <v>314</v>
      </c>
      <c r="B10" s="330"/>
      <c r="C10" s="330"/>
      <c r="D10" s="330"/>
      <c r="E10" s="325"/>
      <c r="F10" s="325"/>
      <c r="G10" s="332"/>
      <c r="H10" s="332"/>
      <c r="I10" s="332"/>
      <c r="J10" s="332"/>
      <c r="K10" s="332"/>
      <c r="L10" s="325"/>
      <c r="N10" s="316"/>
      <c r="O10" s="316"/>
      <c r="P10" s="317"/>
      <c r="Q10" s="317"/>
      <c r="R10" s="317"/>
      <c r="S10" s="317"/>
      <c r="T10" s="317"/>
      <c r="U10" s="317"/>
      <c r="V10" s="317"/>
      <c r="W10" s="317"/>
      <c r="X10" s="317"/>
      <c r="Y10" s="317"/>
      <c r="Z10" s="317"/>
    </row>
    <row r="11" spans="1:26">
      <c r="A11" s="324" t="s">
        <v>315</v>
      </c>
      <c r="B11" s="330"/>
      <c r="C11" s="330"/>
      <c r="D11" s="330"/>
      <c r="E11" s="325"/>
      <c r="F11" s="325"/>
      <c r="G11" s="332"/>
      <c r="H11" s="332"/>
      <c r="I11" s="332"/>
      <c r="J11" s="332"/>
      <c r="K11" s="332"/>
      <c r="L11" s="325"/>
      <c r="N11" s="316"/>
      <c r="O11" s="316"/>
      <c r="P11" s="317"/>
      <c r="Q11" s="317"/>
      <c r="R11" s="317"/>
      <c r="S11" s="317"/>
      <c r="T11" s="317"/>
      <c r="U11" s="317"/>
      <c r="V11" s="317"/>
      <c r="W11" s="317"/>
      <c r="X11" s="317"/>
      <c r="Y11" s="317"/>
      <c r="Z11" s="317"/>
    </row>
    <row r="12" spans="1:26">
      <c r="A12" s="324" t="s">
        <v>316</v>
      </c>
      <c r="B12" s="330"/>
      <c r="C12" s="330"/>
      <c r="D12" s="330"/>
      <c r="E12" s="325"/>
      <c r="F12" s="325"/>
      <c r="G12" s="332"/>
      <c r="H12" s="332"/>
      <c r="I12" s="332"/>
      <c r="J12" s="332"/>
      <c r="K12" s="332"/>
      <c r="L12" s="325"/>
      <c r="N12" s="316"/>
      <c r="O12" s="316"/>
      <c r="P12" s="317"/>
      <c r="Q12" s="317"/>
      <c r="R12" s="317"/>
      <c r="S12" s="317"/>
      <c r="T12" s="317"/>
      <c r="U12" s="317"/>
      <c r="V12" s="317"/>
      <c r="W12" s="317"/>
      <c r="X12" s="317"/>
      <c r="Y12" s="317"/>
      <c r="Z12" s="317"/>
    </row>
    <row r="13" spans="1:26">
      <c r="A13" s="324" t="s">
        <v>317</v>
      </c>
      <c r="B13" s="330"/>
      <c r="C13" s="330"/>
      <c r="D13" s="330"/>
      <c r="E13" s="325"/>
      <c r="F13" s="325"/>
      <c r="G13" s="332"/>
      <c r="H13" s="332"/>
      <c r="I13" s="332"/>
      <c r="J13" s="332"/>
      <c r="K13" s="332"/>
      <c r="L13" s="325"/>
      <c r="N13" s="316"/>
      <c r="O13" s="316"/>
      <c r="P13" s="317"/>
      <c r="Q13" s="317"/>
      <c r="R13" s="317"/>
      <c r="S13" s="317"/>
      <c r="T13" s="317"/>
      <c r="U13" s="317"/>
      <c r="V13" s="317"/>
      <c r="W13" s="317"/>
      <c r="X13" s="317"/>
      <c r="Y13" s="317"/>
      <c r="Z13" s="317"/>
    </row>
    <row r="14" spans="1:26">
      <c r="A14" s="324" t="s">
        <v>318</v>
      </c>
      <c r="B14" s="330"/>
      <c r="C14" s="330"/>
      <c r="D14" s="330"/>
      <c r="E14" s="325"/>
      <c r="F14" s="325"/>
      <c r="G14" s="332"/>
      <c r="H14" s="332"/>
      <c r="I14" s="332"/>
      <c r="J14" s="332"/>
      <c r="K14" s="332"/>
      <c r="L14" s="325"/>
      <c r="N14" s="316"/>
      <c r="O14" s="316"/>
      <c r="P14" s="317"/>
      <c r="Q14" s="317"/>
      <c r="R14" s="317"/>
      <c r="S14" s="317"/>
      <c r="T14" s="317"/>
      <c r="U14" s="317"/>
      <c r="V14" s="317"/>
      <c r="W14" s="317"/>
      <c r="X14" s="317"/>
      <c r="Y14" s="317"/>
      <c r="Z14" s="317"/>
    </row>
    <row r="15" spans="1:26">
      <c r="A15" s="324" t="s">
        <v>319</v>
      </c>
      <c r="B15" s="330"/>
      <c r="C15" s="330"/>
      <c r="D15" s="330"/>
      <c r="E15" s="325"/>
      <c r="F15" s="325"/>
      <c r="G15" s="332"/>
      <c r="H15" s="332"/>
      <c r="I15" s="332"/>
      <c r="J15" s="332"/>
      <c r="K15" s="332"/>
      <c r="L15" s="325"/>
      <c r="N15" s="316"/>
      <c r="O15" s="316"/>
      <c r="P15" s="317"/>
      <c r="Q15" s="317"/>
      <c r="R15" s="317"/>
      <c r="S15" s="317"/>
      <c r="T15" s="317"/>
      <c r="U15" s="317"/>
      <c r="V15" s="317"/>
      <c r="W15" s="317"/>
      <c r="X15" s="317"/>
      <c r="Y15" s="317"/>
      <c r="Z15" s="317"/>
    </row>
    <row r="16" spans="1:26">
      <c r="A16" s="324" t="s">
        <v>320</v>
      </c>
      <c r="B16" s="330"/>
      <c r="C16" s="330"/>
      <c r="D16" s="330"/>
      <c r="E16" s="325"/>
      <c r="F16" s="325"/>
      <c r="G16" s="332"/>
      <c r="H16" s="332"/>
      <c r="I16" s="332"/>
      <c r="J16" s="332"/>
      <c r="K16" s="332"/>
      <c r="L16" s="325"/>
      <c r="N16" s="316"/>
      <c r="O16" s="316"/>
      <c r="P16" s="317"/>
      <c r="Q16" s="317"/>
      <c r="R16" s="317"/>
      <c r="S16" s="317"/>
      <c r="T16" s="317"/>
      <c r="U16" s="317"/>
      <c r="V16" s="317"/>
      <c r="W16" s="317"/>
      <c r="X16" s="317"/>
      <c r="Y16" s="317"/>
      <c r="Z16" s="317"/>
    </row>
    <row r="17" spans="1:26">
      <c r="A17" s="324" t="s">
        <v>321</v>
      </c>
      <c r="B17" s="330"/>
      <c r="C17" s="330"/>
      <c r="D17" s="330"/>
      <c r="E17" s="325"/>
      <c r="F17" s="325"/>
      <c r="G17" s="332"/>
      <c r="H17" s="332"/>
      <c r="I17" s="332"/>
      <c r="J17" s="332"/>
      <c r="K17" s="332"/>
      <c r="L17" s="325"/>
      <c r="N17" s="316"/>
      <c r="O17" s="316"/>
      <c r="P17" s="317"/>
      <c r="Q17" s="317"/>
      <c r="R17" s="317"/>
      <c r="S17" s="317"/>
      <c r="T17" s="317"/>
      <c r="U17" s="317"/>
      <c r="V17" s="317"/>
      <c r="W17" s="317"/>
      <c r="X17" s="317"/>
      <c r="Y17" s="317"/>
      <c r="Z17" s="317"/>
    </row>
    <row r="18" spans="1:26">
      <c r="A18" s="324" t="s">
        <v>322</v>
      </c>
      <c r="B18" s="330"/>
      <c r="C18" s="330"/>
      <c r="D18" s="330"/>
      <c r="E18" s="325"/>
      <c r="F18" s="325"/>
      <c r="G18" s="332"/>
      <c r="H18" s="332"/>
      <c r="I18" s="332"/>
      <c r="J18" s="332"/>
      <c r="K18" s="332"/>
      <c r="L18" s="325"/>
      <c r="N18" s="316"/>
      <c r="O18" s="316"/>
      <c r="P18" s="317"/>
      <c r="Q18" s="317"/>
      <c r="R18" s="317"/>
      <c r="S18" s="317"/>
      <c r="T18" s="317"/>
      <c r="U18" s="317"/>
      <c r="V18" s="317"/>
      <c r="W18" s="317"/>
      <c r="X18" s="317"/>
      <c r="Y18" s="317"/>
      <c r="Z18" s="317"/>
    </row>
    <row r="19" spans="1:26">
      <c r="A19" s="324" t="s">
        <v>323</v>
      </c>
      <c r="B19" s="330"/>
      <c r="C19" s="330"/>
      <c r="D19" s="330"/>
      <c r="E19" s="325"/>
      <c r="F19" s="325"/>
      <c r="G19" s="332"/>
      <c r="H19" s="332"/>
      <c r="I19" s="332"/>
      <c r="J19" s="332"/>
      <c r="K19" s="332"/>
      <c r="L19" s="325"/>
      <c r="N19" s="316"/>
      <c r="O19" s="316"/>
      <c r="P19" s="317"/>
      <c r="Q19" s="317"/>
      <c r="R19" s="317"/>
      <c r="S19" s="317"/>
      <c r="T19" s="317"/>
      <c r="U19" s="317"/>
      <c r="V19" s="317"/>
      <c r="W19" s="317"/>
      <c r="X19" s="317"/>
      <c r="Y19" s="317"/>
      <c r="Z19" s="317"/>
    </row>
    <row r="20" spans="1:26">
      <c r="A20" s="324" t="s">
        <v>324</v>
      </c>
      <c r="B20" s="330"/>
      <c r="C20" s="330"/>
      <c r="D20" s="330"/>
      <c r="E20" s="325"/>
      <c r="F20" s="325"/>
      <c r="G20" s="332"/>
      <c r="H20" s="332"/>
      <c r="I20" s="332"/>
      <c r="J20" s="332"/>
      <c r="K20" s="332"/>
      <c r="L20" s="325"/>
      <c r="N20" s="316"/>
      <c r="O20" s="316"/>
      <c r="P20" s="317"/>
      <c r="Q20" s="317"/>
      <c r="R20" s="317"/>
      <c r="S20" s="317"/>
      <c r="T20" s="317"/>
      <c r="U20" s="317"/>
      <c r="V20" s="317"/>
      <c r="W20" s="317"/>
      <c r="X20" s="317"/>
      <c r="Y20" s="317"/>
      <c r="Z20" s="317"/>
    </row>
    <row r="21" spans="1:26">
      <c r="A21" s="324" t="s">
        <v>325</v>
      </c>
      <c r="B21" s="330"/>
      <c r="C21" s="330"/>
      <c r="D21" s="330"/>
      <c r="E21" s="325"/>
      <c r="F21" s="325"/>
      <c r="G21" s="332"/>
      <c r="H21" s="332"/>
      <c r="I21" s="332"/>
      <c r="J21" s="332"/>
      <c r="K21" s="332"/>
      <c r="L21" s="325"/>
      <c r="N21" s="316"/>
      <c r="O21" s="316"/>
      <c r="P21" s="317"/>
      <c r="Q21" s="317"/>
      <c r="R21" s="317"/>
      <c r="S21" s="317"/>
      <c r="T21" s="317"/>
      <c r="U21" s="317"/>
      <c r="V21" s="317"/>
      <c r="W21" s="317"/>
      <c r="X21" s="317"/>
      <c r="Y21" s="317"/>
      <c r="Z21" s="317"/>
    </row>
    <row r="22" spans="1:26">
      <c r="A22" s="324" t="s">
        <v>326</v>
      </c>
      <c r="B22" s="330"/>
      <c r="C22" s="330"/>
      <c r="D22" s="330"/>
      <c r="E22" s="325"/>
      <c r="F22" s="325"/>
      <c r="G22" s="332"/>
      <c r="H22" s="332"/>
      <c r="I22" s="332"/>
      <c r="J22" s="332"/>
      <c r="K22" s="332"/>
      <c r="L22" s="325"/>
      <c r="N22" s="316"/>
      <c r="O22" s="316"/>
      <c r="P22" s="317"/>
      <c r="Q22" s="317"/>
      <c r="R22" s="317"/>
      <c r="S22" s="317"/>
      <c r="T22" s="317"/>
      <c r="U22" s="317"/>
      <c r="V22" s="317"/>
      <c r="W22" s="317"/>
      <c r="X22" s="317"/>
      <c r="Y22" s="317"/>
      <c r="Z22" s="317"/>
    </row>
    <row r="23" spans="1:26">
      <c r="A23" s="324" t="s">
        <v>327</v>
      </c>
      <c r="B23" s="330"/>
      <c r="C23" s="330"/>
      <c r="D23" s="330"/>
      <c r="E23" s="325"/>
      <c r="F23" s="325"/>
      <c r="G23" s="332"/>
      <c r="H23" s="332"/>
      <c r="I23" s="332"/>
      <c r="J23" s="332"/>
      <c r="K23" s="332"/>
      <c r="L23" s="325"/>
      <c r="N23" s="316"/>
      <c r="O23" s="316"/>
      <c r="P23" s="317"/>
      <c r="Q23" s="317"/>
      <c r="R23" s="317"/>
      <c r="S23" s="317"/>
      <c r="T23" s="317"/>
      <c r="U23" s="317"/>
      <c r="V23" s="317"/>
      <c r="W23" s="317"/>
      <c r="X23" s="317"/>
      <c r="Y23" s="317"/>
      <c r="Z23" s="317"/>
    </row>
    <row r="24" spans="1:26">
      <c r="A24" s="324" t="s">
        <v>328</v>
      </c>
      <c r="B24" s="330"/>
      <c r="C24" s="330"/>
      <c r="D24" s="330"/>
      <c r="E24" s="325"/>
      <c r="F24" s="325"/>
      <c r="G24" s="332"/>
      <c r="H24" s="332"/>
      <c r="I24" s="332"/>
      <c r="J24" s="332"/>
      <c r="K24" s="332"/>
      <c r="L24" s="325"/>
      <c r="N24" s="316"/>
      <c r="O24" s="316"/>
      <c r="P24" s="317"/>
      <c r="Q24" s="317"/>
      <c r="R24" s="317"/>
      <c r="S24" s="317"/>
      <c r="T24" s="317"/>
      <c r="U24" s="317"/>
      <c r="V24" s="317"/>
      <c r="W24" s="317"/>
      <c r="X24" s="317"/>
      <c r="Y24" s="317"/>
      <c r="Z24" s="317"/>
    </row>
    <row r="25" spans="1:26">
      <c r="A25" s="324" t="s">
        <v>329</v>
      </c>
      <c r="B25" s="330"/>
      <c r="C25" s="330"/>
      <c r="D25" s="330"/>
      <c r="E25" s="325"/>
      <c r="F25" s="325"/>
      <c r="G25" s="332"/>
      <c r="H25" s="332"/>
      <c r="I25" s="332"/>
      <c r="J25" s="332"/>
      <c r="K25" s="332"/>
      <c r="L25" s="325"/>
      <c r="N25" s="316"/>
      <c r="O25" s="316"/>
      <c r="P25" s="317"/>
      <c r="Q25" s="317"/>
      <c r="R25" s="317"/>
      <c r="S25" s="317"/>
      <c r="T25" s="317"/>
      <c r="U25" s="317"/>
      <c r="V25" s="317"/>
      <c r="W25" s="317"/>
      <c r="X25" s="317"/>
      <c r="Y25" s="317"/>
      <c r="Z25" s="317"/>
    </row>
    <row r="26" spans="1:26">
      <c r="A26" s="324" t="s">
        <v>330</v>
      </c>
      <c r="B26" s="330"/>
      <c r="C26" s="330"/>
      <c r="D26" s="330"/>
      <c r="E26" s="325"/>
      <c r="F26" s="325"/>
      <c r="G26" s="332"/>
      <c r="H26" s="332"/>
      <c r="I26" s="332"/>
      <c r="J26" s="332"/>
      <c r="K26" s="332"/>
      <c r="L26" s="325"/>
      <c r="N26" s="316"/>
      <c r="O26" s="316"/>
      <c r="P26" s="317"/>
      <c r="Q26" s="317"/>
      <c r="R26" s="317"/>
      <c r="S26" s="317"/>
      <c r="T26" s="317"/>
      <c r="U26" s="317"/>
      <c r="V26" s="317"/>
      <c r="W26" s="317"/>
      <c r="X26" s="317"/>
      <c r="Y26" s="317"/>
      <c r="Z26" s="317"/>
    </row>
    <row r="27" spans="1:26">
      <c r="A27" s="324" t="s">
        <v>331</v>
      </c>
      <c r="B27" s="330"/>
      <c r="C27" s="330"/>
      <c r="D27" s="330"/>
      <c r="E27" s="325"/>
      <c r="F27" s="325"/>
      <c r="G27" s="332"/>
      <c r="H27" s="332"/>
      <c r="I27" s="332"/>
      <c r="J27" s="332"/>
      <c r="K27" s="332"/>
      <c r="L27" s="325"/>
      <c r="N27" s="316"/>
      <c r="O27" s="316"/>
      <c r="P27" s="317"/>
      <c r="Q27" s="317"/>
      <c r="R27" s="317"/>
      <c r="S27" s="317"/>
      <c r="T27" s="317"/>
      <c r="U27" s="317"/>
      <c r="V27" s="317"/>
      <c r="W27" s="317"/>
      <c r="X27" s="317"/>
      <c r="Y27" s="317"/>
      <c r="Z27" s="317"/>
    </row>
    <row r="28" spans="1:26">
      <c r="A28" s="324" t="s">
        <v>332</v>
      </c>
      <c r="B28" s="330"/>
      <c r="C28" s="330"/>
      <c r="D28" s="330"/>
      <c r="E28" s="325"/>
      <c r="F28" s="325"/>
      <c r="G28" s="332"/>
      <c r="H28" s="332"/>
      <c r="I28" s="332"/>
      <c r="J28" s="332"/>
      <c r="K28" s="332"/>
      <c r="L28" s="325"/>
      <c r="N28" s="316"/>
      <c r="O28" s="316"/>
      <c r="P28" s="317"/>
      <c r="Q28" s="317"/>
      <c r="R28" s="317"/>
      <c r="S28" s="317"/>
      <c r="T28" s="317"/>
      <c r="U28" s="317"/>
      <c r="V28" s="317"/>
      <c r="W28" s="317"/>
      <c r="X28" s="317"/>
      <c r="Y28" s="317"/>
      <c r="Z28" s="317"/>
    </row>
    <row r="29" spans="1:26">
      <c r="A29" s="324" t="s">
        <v>333</v>
      </c>
      <c r="B29" s="330"/>
      <c r="C29" s="330"/>
      <c r="D29" s="330"/>
      <c r="E29" s="325"/>
      <c r="F29" s="325"/>
      <c r="G29" s="332"/>
      <c r="H29" s="332"/>
      <c r="I29" s="332"/>
      <c r="J29" s="332"/>
      <c r="K29" s="332"/>
      <c r="L29" s="325"/>
      <c r="N29" s="316"/>
      <c r="O29" s="316"/>
      <c r="P29" s="317"/>
      <c r="Q29" s="317"/>
      <c r="R29" s="317"/>
      <c r="S29" s="317"/>
      <c r="T29" s="317"/>
      <c r="U29" s="317"/>
      <c r="V29" s="317"/>
      <c r="W29" s="317"/>
      <c r="X29" s="317"/>
      <c r="Y29" s="317"/>
      <c r="Z29" s="317"/>
    </row>
    <row r="30" spans="1:26">
      <c r="A30" s="324" t="s">
        <v>334</v>
      </c>
      <c r="B30" s="330">
        <v>65600</v>
      </c>
      <c r="C30" s="330">
        <v>78450</v>
      </c>
      <c r="D30" s="330">
        <v>87000</v>
      </c>
      <c r="E30" s="325">
        <v>105350</v>
      </c>
      <c r="F30" s="325">
        <v>56850</v>
      </c>
      <c r="G30" s="332">
        <v>158500</v>
      </c>
      <c r="H30" s="332">
        <v>158250</v>
      </c>
      <c r="I30" s="332">
        <v>130350</v>
      </c>
      <c r="J30" s="332">
        <v>43650</v>
      </c>
      <c r="K30" s="332">
        <v>0</v>
      </c>
      <c r="L30" s="325">
        <v>884000</v>
      </c>
      <c r="N30" s="316"/>
      <c r="O30" s="317"/>
      <c r="P30" s="317"/>
      <c r="Q30" s="317"/>
      <c r="R30" s="317"/>
      <c r="S30" s="317"/>
      <c r="T30" s="317"/>
      <c r="U30" s="317"/>
      <c r="V30" s="317"/>
      <c r="W30" s="317"/>
      <c r="X30" s="317"/>
      <c r="Y30" s="317"/>
      <c r="Z30" s="317"/>
    </row>
    <row r="31" spans="1:26">
      <c r="A31" s="324" t="s">
        <v>335</v>
      </c>
      <c r="B31" s="330">
        <v>102550</v>
      </c>
      <c r="C31" s="330">
        <v>84050</v>
      </c>
      <c r="D31" s="330">
        <v>104400</v>
      </c>
      <c r="E31" s="325">
        <v>70350</v>
      </c>
      <c r="F31" s="325">
        <v>35700</v>
      </c>
      <c r="G31" s="332">
        <v>66400</v>
      </c>
      <c r="H31" s="332">
        <v>99850</v>
      </c>
      <c r="I31" s="332">
        <v>7400</v>
      </c>
      <c r="J31" s="332">
        <v>5500</v>
      </c>
      <c r="K31" s="332">
        <v>0</v>
      </c>
      <c r="L31" s="325">
        <v>576200</v>
      </c>
      <c r="N31" s="316"/>
      <c r="O31" s="317"/>
      <c r="P31" s="317"/>
      <c r="Q31" s="317"/>
      <c r="R31" s="317"/>
      <c r="S31" s="317"/>
      <c r="T31" s="317"/>
      <c r="U31" s="317"/>
      <c r="V31" s="317"/>
      <c r="W31" s="317"/>
      <c r="X31" s="317"/>
      <c r="Y31" s="317"/>
      <c r="Z31" s="317"/>
    </row>
    <row r="32" spans="1:26">
      <c r="A32" s="324" t="s">
        <v>336</v>
      </c>
      <c r="B32" s="330">
        <v>29100</v>
      </c>
      <c r="C32" s="330">
        <v>36350</v>
      </c>
      <c r="D32" s="330">
        <v>0</v>
      </c>
      <c r="E32" s="325">
        <v>0</v>
      </c>
      <c r="F32" s="325">
        <v>6850</v>
      </c>
      <c r="G32" s="332">
        <v>48800</v>
      </c>
      <c r="H32" s="332">
        <v>38500</v>
      </c>
      <c r="I32" s="332">
        <v>5200</v>
      </c>
      <c r="J32" s="332">
        <v>33000</v>
      </c>
      <c r="K32" s="332">
        <v>0</v>
      </c>
      <c r="L32" s="325">
        <v>197800</v>
      </c>
      <c r="N32" s="316"/>
      <c r="O32" s="317"/>
      <c r="P32" s="317"/>
      <c r="Q32" s="317"/>
      <c r="R32" s="317"/>
      <c r="S32" s="317"/>
      <c r="T32" s="317"/>
      <c r="U32" s="317"/>
      <c r="V32" s="317"/>
      <c r="W32" s="317"/>
      <c r="X32" s="317"/>
      <c r="Y32" s="317"/>
      <c r="Z32" s="317"/>
    </row>
    <row r="33" spans="1:26">
      <c r="A33" s="324" t="s">
        <v>337</v>
      </c>
      <c r="B33" s="330">
        <v>31400</v>
      </c>
      <c r="C33" s="330">
        <v>3400</v>
      </c>
      <c r="D33" s="330">
        <v>0</v>
      </c>
      <c r="E33" s="325">
        <v>5700</v>
      </c>
      <c r="F33" s="325">
        <v>12400</v>
      </c>
      <c r="G33" s="332">
        <v>11000</v>
      </c>
      <c r="H33" s="332">
        <v>11000</v>
      </c>
      <c r="I33" s="332">
        <v>0</v>
      </c>
      <c r="J33" s="332">
        <v>0</v>
      </c>
      <c r="K33" s="332">
        <v>0</v>
      </c>
      <c r="L33" s="325">
        <v>74900</v>
      </c>
      <c r="N33" s="316"/>
      <c r="O33" s="317"/>
      <c r="P33" s="317"/>
      <c r="Q33" s="317"/>
      <c r="R33" s="317"/>
      <c r="S33" s="317"/>
      <c r="T33" s="317"/>
      <c r="U33" s="317"/>
      <c r="V33" s="317"/>
      <c r="W33" s="317"/>
      <c r="X33" s="317"/>
      <c r="Y33" s="317"/>
      <c r="Z33" s="317"/>
    </row>
    <row r="34" spans="1:26">
      <c r="A34" s="324" t="s">
        <v>338</v>
      </c>
      <c r="B34" s="330">
        <v>78050</v>
      </c>
      <c r="C34" s="330">
        <v>20500</v>
      </c>
      <c r="D34" s="330">
        <v>2450</v>
      </c>
      <c r="E34" s="325">
        <v>21300</v>
      </c>
      <c r="F34" s="325">
        <v>17250</v>
      </c>
      <c r="G34" s="332">
        <v>45300</v>
      </c>
      <c r="H34" s="332">
        <v>11750</v>
      </c>
      <c r="I34" s="332">
        <v>16400</v>
      </c>
      <c r="J34" s="332">
        <v>28850</v>
      </c>
      <c r="K34" s="332"/>
      <c r="L34" s="325">
        <v>241850</v>
      </c>
      <c r="N34" s="316"/>
      <c r="O34" s="317"/>
      <c r="P34" s="317"/>
      <c r="Q34" s="317"/>
      <c r="R34" s="317"/>
      <c r="S34" s="317"/>
      <c r="T34" s="317"/>
      <c r="U34" s="317"/>
      <c r="V34" s="317"/>
      <c r="W34" s="317"/>
      <c r="X34" s="317"/>
      <c r="Y34" s="317"/>
      <c r="Z34" s="317"/>
    </row>
    <row r="35" spans="1:26">
      <c r="A35" s="509" t="s">
        <v>183</v>
      </c>
      <c r="B35" s="330">
        <v>306700</v>
      </c>
      <c r="C35" s="330">
        <v>222750</v>
      </c>
      <c r="D35" s="330">
        <v>193850</v>
      </c>
      <c r="E35" s="325">
        <v>202700</v>
      </c>
      <c r="F35" s="325">
        <v>129050</v>
      </c>
      <c r="G35" s="332">
        <v>330000</v>
      </c>
      <c r="H35" s="332">
        <v>319350</v>
      </c>
      <c r="I35" s="332">
        <v>159350</v>
      </c>
      <c r="J35" s="332">
        <v>111000</v>
      </c>
      <c r="K35" s="332">
        <f t="shared" ref="K35" si="0">SUM(K4:K34)</f>
        <v>0</v>
      </c>
      <c r="L35" s="325">
        <v>1974750</v>
      </c>
      <c r="N35" s="316"/>
      <c r="O35" s="317"/>
      <c r="P35" s="317"/>
      <c r="Q35" s="317"/>
      <c r="R35" s="317"/>
      <c r="S35" s="317"/>
      <c r="T35" s="317"/>
      <c r="U35" s="317"/>
      <c r="V35" s="317"/>
      <c r="W35" s="317"/>
      <c r="X35" s="317"/>
      <c r="Y35" s="317"/>
    </row>
    <row r="36" spans="1:26" ht="25" customHeight="1">
      <c r="A36" s="509"/>
      <c r="B36" s="510">
        <f>B35+C35+D35</f>
        <v>723300</v>
      </c>
      <c r="C36" s="511"/>
      <c r="D36" s="511"/>
      <c r="E36" s="512">
        <f>E35+F35</f>
        <v>331750</v>
      </c>
      <c r="F36" s="513"/>
      <c r="G36" s="503">
        <f>G35+H35+I35+J35+K35</f>
        <v>919700</v>
      </c>
      <c r="H36" s="504"/>
      <c r="I36" s="504"/>
      <c r="J36" s="504"/>
      <c r="K36" s="505"/>
      <c r="L36" s="327">
        <f>SUM(B36:J36)</f>
        <v>1974750</v>
      </c>
      <c r="N36" s="316"/>
    </row>
    <row r="37" spans="1:26" ht="20">
      <c r="A37" s="326" t="s">
        <v>201</v>
      </c>
      <c r="B37" s="501">
        <f>B36/L36</f>
        <v>0.3662742119255602</v>
      </c>
      <c r="C37" s="501"/>
      <c r="D37" s="501"/>
      <c r="E37" s="502">
        <f>E36/L36</f>
        <v>0.16799594885428534</v>
      </c>
      <c r="F37" s="502"/>
      <c r="G37" s="506">
        <f>G36/L36</f>
        <v>0.46572983922015443</v>
      </c>
      <c r="H37" s="507"/>
      <c r="I37" s="507"/>
      <c r="J37" s="507"/>
      <c r="K37" s="508"/>
      <c r="L37" s="328">
        <f>SUM(B37:J37)</f>
        <v>1</v>
      </c>
      <c r="N37" s="316"/>
    </row>
    <row r="38" spans="1:26" ht="20">
      <c r="A38" s="334"/>
      <c r="B38" s="499">
        <f>B37+E37</f>
        <v>0.53427016077984557</v>
      </c>
      <c r="C38" s="499"/>
      <c r="D38" s="499"/>
      <c r="E38" s="499"/>
      <c r="F38" s="499"/>
      <c r="G38" s="500"/>
      <c r="H38" s="500"/>
      <c r="I38" s="500"/>
      <c r="J38" s="500"/>
      <c r="K38" s="500"/>
      <c r="L38" s="335"/>
      <c r="N38" s="316"/>
    </row>
    <row r="39" spans="1:26" ht="34" customHeight="1">
      <c r="A39" s="320" t="s">
        <v>306</v>
      </c>
      <c r="B39" s="321"/>
      <c r="C39" s="321"/>
      <c r="D39" s="321"/>
      <c r="E39" s="320"/>
      <c r="F39" s="320"/>
      <c r="G39" s="320"/>
      <c r="H39" s="320"/>
      <c r="I39" s="320"/>
      <c r="J39" s="320"/>
      <c r="K39" s="320"/>
      <c r="L39" s="320"/>
      <c r="N39" s="316"/>
    </row>
    <row r="40" spans="1:26">
      <c r="A40" s="324" t="s">
        <v>184</v>
      </c>
      <c r="B40" s="330">
        <v>102550</v>
      </c>
      <c r="C40" s="330">
        <v>84050</v>
      </c>
      <c r="D40" s="330">
        <v>104400</v>
      </c>
      <c r="E40" s="325">
        <v>70350</v>
      </c>
      <c r="F40" s="325">
        <v>35700</v>
      </c>
      <c r="G40" s="332">
        <v>66400</v>
      </c>
      <c r="H40" s="332">
        <v>99850</v>
      </c>
      <c r="I40" s="332">
        <v>7400</v>
      </c>
      <c r="J40" s="332">
        <v>5500</v>
      </c>
      <c r="K40" s="332">
        <v>0</v>
      </c>
      <c r="L40" s="325">
        <v>576200</v>
      </c>
      <c r="N40" s="316"/>
      <c r="O40" s="317"/>
      <c r="P40" s="317"/>
      <c r="Q40" s="317"/>
      <c r="R40" s="317"/>
      <c r="S40" s="317"/>
      <c r="T40" s="317"/>
      <c r="U40" s="317"/>
      <c r="V40" s="317"/>
      <c r="W40" s="317"/>
      <c r="X40" s="317"/>
      <c r="Y40" s="317"/>
      <c r="Z40" s="317"/>
    </row>
    <row r="41" spans="1:26">
      <c r="A41" s="324" t="s">
        <v>185</v>
      </c>
      <c r="B41" s="325">
        <v>29100</v>
      </c>
      <c r="C41" s="325">
        <v>36350</v>
      </c>
      <c r="D41" s="325">
        <v>0</v>
      </c>
      <c r="E41" s="325">
        <v>0</v>
      </c>
      <c r="F41" s="325">
        <v>6850</v>
      </c>
      <c r="G41" s="325">
        <v>48800</v>
      </c>
      <c r="H41" s="325">
        <v>38500</v>
      </c>
      <c r="I41" s="325">
        <v>5200</v>
      </c>
      <c r="J41" s="325">
        <v>33000</v>
      </c>
      <c r="K41" s="325">
        <v>0</v>
      </c>
      <c r="L41" s="325">
        <v>197800</v>
      </c>
      <c r="N41" s="316"/>
      <c r="O41" s="317"/>
      <c r="P41" s="317"/>
      <c r="Q41" s="317"/>
      <c r="R41" s="317"/>
      <c r="S41" s="317"/>
      <c r="T41" s="317"/>
      <c r="U41" s="317"/>
      <c r="V41" s="317"/>
      <c r="W41" s="317"/>
      <c r="X41" s="317"/>
      <c r="Y41" s="317"/>
      <c r="Z41" s="317"/>
    </row>
    <row r="42" spans="1:26">
      <c r="A42" s="324" t="s">
        <v>186</v>
      </c>
      <c r="B42" s="325">
        <v>31400</v>
      </c>
      <c r="C42" s="325">
        <v>3400</v>
      </c>
      <c r="D42" s="325">
        <v>0</v>
      </c>
      <c r="E42" s="325">
        <v>5700</v>
      </c>
      <c r="F42" s="325">
        <v>12400</v>
      </c>
      <c r="G42" s="325">
        <v>11000</v>
      </c>
      <c r="H42" s="325">
        <v>11000</v>
      </c>
      <c r="I42" s="325">
        <v>0</v>
      </c>
      <c r="J42" s="325">
        <v>0</v>
      </c>
      <c r="K42" s="325">
        <v>0</v>
      </c>
      <c r="L42" s="325">
        <v>74900</v>
      </c>
      <c r="N42" s="316"/>
      <c r="O42" s="317"/>
      <c r="P42" s="317"/>
      <c r="Q42" s="317"/>
      <c r="R42" s="317"/>
      <c r="S42" s="317"/>
      <c r="T42" s="317"/>
      <c r="U42" s="317"/>
      <c r="V42" s="317"/>
      <c r="W42" s="317"/>
      <c r="X42" s="317"/>
      <c r="Y42" s="317"/>
      <c r="Z42" s="317"/>
    </row>
    <row r="43" spans="1:26">
      <c r="A43" s="324" t="s">
        <v>187</v>
      </c>
      <c r="B43" s="325">
        <v>78050</v>
      </c>
      <c r="C43" s="325">
        <v>20500</v>
      </c>
      <c r="D43" s="325">
        <v>2450</v>
      </c>
      <c r="E43" s="325">
        <v>21300</v>
      </c>
      <c r="F43" s="325">
        <v>17250</v>
      </c>
      <c r="G43" s="325">
        <v>45300</v>
      </c>
      <c r="H43" s="325">
        <v>11750</v>
      </c>
      <c r="I43" s="325">
        <v>16400</v>
      </c>
      <c r="J43" s="325">
        <v>28850</v>
      </c>
      <c r="K43" s="325"/>
      <c r="L43" s="325">
        <v>241850</v>
      </c>
      <c r="N43" s="316"/>
      <c r="O43" s="317"/>
      <c r="P43" s="317"/>
      <c r="Q43" s="317"/>
      <c r="R43" s="317"/>
      <c r="S43" s="317"/>
      <c r="T43" s="317"/>
      <c r="U43" s="317"/>
      <c r="V43" s="317"/>
      <c r="W43" s="317"/>
      <c r="X43" s="317"/>
      <c r="Y43" s="317"/>
      <c r="Z43" s="317"/>
    </row>
    <row r="44" spans="1:26">
      <c r="A44" s="324" t="s">
        <v>188</v>
      </c>
      <c r="B44" s="325">
        <v>0</v>
      </c>
      <c r="C44" s="325">
        <v>0</v>
      </c>
      <c r="D44" s="325">
        <v>0</v>
      </c>
      <c r="E44" s="325">
        <v>0</v>
      </c>
      <c r="F44" s="325">
        <v>0</v>
      </c>
      <c r="G44" s="325">
        <v>0</v>
      </c>
      <c r="H44" s="325">
        <v>0</v>
      </c>
      <c r="I44" s="325">
        <v>0</v>
      </c>
      <c r="J44" s="325">
        <v>0</v>
      </c>
      <c r="K44" s="325">
        <v>0</v>
      </c>
      <c r="L44" s="325">
        <v>0</v>
      </c>
      <c r="N44" s="316"/>
      <c r="O44" s="317"/>
      <c r="P44" s="317"/>
      <c r="Q44" s="317"/>
      <c r="R44" s="317"/>
      <c r="S44" s="317"/>
      <c r="T44" s="317"/>
      <c r="U44" s="317"/>
      <c r="V44" s="317"/>
      <c r="W44" s="317"/>
      <c r="X44" s="317"/>
      <c r="Y44" s="317"/>
      <c r="Z44" s="317"/>
    </row>
    <row r="45" spans="1:26">
      <c r="A45" s="324" t="s">
        <v>189</v>
      </c>
      <c r="B45" s="325">
        <v>0</v>
      </c>
      <c r="C45" s="325">
        <v>0</v>
      </c>
      <c r="D45" s="325">
        <v>0</v>
      </c>
      <c r="E45" s="325">
        <v>0</v>
      </c>
      <c r="F45" s="325">
        <v>0</v>
      </c>
      <c r="G45" s="325">
        <v>0</v>
      </c>
      <c r="H45" s="325">
        <v>0</v>
      </c>
      <c r="I45" s="325">
        <v>0</v>
      </c>
      <c r="J45" s="325">
        <v>0</v>
      </c>
      <c r="K45" s="325">
        <v>0</v>
      </c>
      <c r="L45" s="325">
        <v>0</v>
      </c>
      <c r="N45" s="316"/>
      <c r="O45" s="317"/>
      <c r="P45" s="317"/>
      <c r="Q45" s="317"/>
      <c r="R45" s="317"/>
      <c r="S45" s="317"/>
      <c r="T45" s="317"/>
      <c r="U45" s="317"/>
      <c r="V45" s="317"/>
      <c r="W45" s="317"/>
      <c r="X45" s="317"/>
      <c r="Y45" s="317"/>
      <c r="Z45" s="317"/>
    </row>
    <row r="46" spans="1:26">
      <c r="A46" s="324" t="s">
        <v>190</v>
      </c>
      <c r="B46" s="325">
        <v>65600</v>
      </c>
      <c r="C46" s="325">
        <v>78450</v>
      </c>
      <c r="D46" s="325">
        <v>87000</v>
      </c>
      <c r="E46" s="325">
        <v>105350</v>
      </c>
      <c r="F46" s="325">
        <v>56850</v>
      </c>
      <c r="G46" s="325">
        <v>158500</v>
      </c>
      <c r="H46" s="325">
        <v>158250</v>
      </c>
      <c r="I46" s="325">
        <v>130350</v>
      </c>
      <c r="J46" s="325">
        <v>43650</v>
      </c>
      <c r="K46" s="325">
        <v>0</v>
      </c>
      <c r="L46" s="338">
        <v>884000</v>
      </c>
      <c r="N46" s="316"/>
      <c r="O46" s="317"/>
      <c r="P46" s="317"/>
      <c r="Q46" s="317"/>
      <c r="R46" s="317"/>
      <c r="S46" s="317"/>
      <c r="T46" s="317"/>
      <c r="U46" s="317"/>
      <c r="V46" s="317"/>
      <c r="W46" s="317"/>
      <c r="X46" s="317"/>
      <c r="Y46" s="317"/>
      <c r="Z46" s="317"/>
    </row>
    <row r="47" spans="1:26" ht="39" customHeight="1">
      <c r="A47" s="320" t="s">
        <v>307</v>
      </c>
      <c r="B47" s="320"/>
      <c r="C47" s="320"/>
      <c r="D47" s="320"/>
      <c r="E47" s="320"/>
      <c r="F47" s="320"/>
      <c r="G47" s="320"/>
      <c r="H47" s="320"/>
      <c r="I47" s="320"/>
      <c r="J47" s="320"/>
      <c r="K47" s="320"/>
      <c r="L47" s="320"/>
      <c r="N47" s="316"/>
      <c r="O47" s="318"/>
      <c r="P47" s="318"/>
      <c r="Q47" s="318"/>
      <c r="R47" s="318"/>
      <c r="S47" s="318"/>
      <c r="T47" s="318"/>
      <c r="U47" s="318"/>
      <c r="V47" s="318"/>
      <c r="W47" s="318"/>
      <c r="X47" s="318"/>
      <c r="Y47" s="318"/>
      <c r="Z47" s="318"/>
    </row>
    <row r="48" spans="1:26">
      <c r="A48" s="324" t="s">
        <v>191</v>
      </c>
      <c r="B48" s="325">
        <v>102550</v>
      </c>
      <c r="C48" s="325">
        <v>84050</v>
      </c>
      <c r="D48" s="325">
        <v>104400</v>
      </c>
      <c r="E48" s="325">
        <v>70350</v>
      </c>
      <c r="F48" s="325">
        <v>35700</v>
      </c>
      <c r="G48" s="325">
        <v>66400</v>
      </c>
      <c r="H48" s="325">
        <v>99850</v>
      </c>
      <c r="I48" s="325">
        <v>7400</v>
      </c>
      <c r="J48" s="325">
        <v>5500</v>
      </c>
      <c r="K48" s="325">
        <v>0</v>
      </c>
      <c r="L48" s="325">
        <v>576200</v>
      </c>
      <c r="N48" s="316"/>
      <c r="O48" s="317"/>
      <c r="P48" s="317"/>
      <c r="Q48" s="317"/>
      <c r="R48" s="317"/>
      <c r="S48" s="317"/>
      <c r="T48" s="317"/>
      <c r="U48" s="317"/>
      <c r="V48" s="317"/>
      <c r="W48" s="317"/>
      <c r="X48" s="317"/>
      <c r="Y48" s="317"/>
      <c r="Z48" s="317"/>
    </row>
    <row r="49" spans="1:26">
      <c r="A49" s="324" t="s">
        <v>192</v>
      </c>
      <c r="B49" s="325">
        <v>29100</v>
      </c>
      <c r="C49" s="325">
        <v>36350</v>
      </c>
      <c r="D49" s="325">
        <v>0</v>
      </c>
      <c r="E49" s="325">
        <v>0</v>
      </c>
      <c r="F49" s="325">
        <v>6850</v>
      </c>
      <c r="G49" s="325">
        <v>48800</v>
      </c>
      <c r="H49" s="325">
        <v>38500</v>
      </c>
      <c r="I49" s="325">
        <v>5200</v>
      </c>
      <c r="J49" s="325">
        <v>33000</v>
      </c>
      <c r="K49" s="325">
        <v>0</v>
      </c>
      <c r="L49" s="325">
        <v>197800</v>
      </c>
      <c r="N49" s="316"/>
      <c r="O49" s="317"/>
      <c r="P49" s="317"/>
      <c r="Q49" s="317"/>
      <c r="R49" s="317"/>
      <c r="S49" s="317"/>
      <c r="T49" s="317"/>
      <c r="U49" s="317"/>
      <c r="V49" s="317"/>
      <c r="W49" s="317"/>
      <c r="X49" s="317"/>
      <c r="Y49" s="317"/>
      <c r="Z49" s="317"/>
    </row>
    <row r="50" spans="1:26">
      <c r="A50" s="324" t="s">
        <v>193</v>
      </c>
      <c r="B50" s="325">
        <v>31400</v>
      </c>
      <c r="C50" s="325">
        <v>3400</v>
      </c>
      <c r="D50" s="325">
        <v>0</v>
      </c>
      <c r="E50" s="325">
        <v>5700</v>
      </c>
      <c r="F50" s="325">
        <v>12400</v>
      </c>
      <c r="G50" s="325">
        <v>11000</v>
      </c>
      <c r="H50" s="325">
        <v>11000</v>
      </c>
      <c r="I50" s="325">
        <v>0</v>
      </c>
      <c r="J50" s="325">
        <v>0</v>
      </c>
      <c r="K50" s="325">
        <v>0</v>
      </c>
      <c r="L50" s="325">
        <v>74900</v>
      </c>
      <c r="N50" s="316"/>
      <c r="O50" s="317"/>
      <c r="P50" s="317"/>
      <c r="Q50" s="317"/>
      <c r="R50" s="317"/>
      <c r="S50" s="317"/>
      <c r="T50" s="317"/>
      <c r="U50" s="317"/>
      <c r="V50" s="317"/>
      <c r="W50" s="317"/>
      <c r="X50" s="317"/>
      <c r="Y50" s="317"/>
      <c r="Z50" s="317"/>
    </row>
    <row r="51" spans="1:26">
      <c r="A51" s="324" t="s">
        <v>194</v>
      </c>
      <c r="B51" s="325">
        <v>78050</v>
      </c>
      <c r="C51" s="325">
        <v>20500</v>
      </c>
      <c r="D51" s="325">
        <v>2450</v>
      </c>
      <c r="E51" s="325">
        <v>21300</v>
      </c>
      <c r="F51" s="325">
        <v>17250</v>
      </c>
      <c r="G51" s="325">
        <v>45300</v>
      </c>
      <c r="H51" s="325">
        <v>11750</v>
      </c>
      <c r="I51" s="325">
        <v>16400</v>
      </c>
      <c r="J51" s="325">
        <v>28850</v>
      </c>
      <c r="K51" s="325">
        <v>0</v>
      </c>
      <c r="L51" s="325">
        <v>241850</v>
      </c>
      <c r="N51" s="316"/>
      <c r="O51" s="317"/>
      <c r="P51" s="317"/>
      <c r="Q51" s="317"/>
      <c r="R51" s="317"/>
      <c r="S51" s="317"/>
      <c r="T51" s="317"/>
      <c r="U51" s="317"/>
      <c r="V51" s="317"/>
      <c r="W51" s="317"/>
      <c r="X51" s="317"/>
      <c r="Y51" s="317"/>
      <c r="Z51" s="317"/>
    </row>
    <row r="52" spans="1:26">
      <c r="A52" s="324" t="s">
        <v>195</v>
      </c>
      <c r="B52" s="325">
        <v>0</v>
      </c>
      <c r="C52" s="325">
        <v>0</v>
      </c>
      <c r="D52" s="325">
        <v>0</v>
      </c>
      <c r="E52" s="325">
        <v>0</v>
      </c>
      <c r="F52" s="325">
        <v>0</v>
      </c>
      <c r="G52" s="325">
        <v>0</v>
      </c>
      <c r="H52" s="325">
        <v>0</v>
      </c>
      <c r="I52" s="325">
        <v>0</v>
      </c>
      <c r="J52" s="325">
        <v>0</v>
      </c>
      <c r="K52" s="325">
        <v>0</v>
      </c>
      <c r="L52" s="325">
        <v>0</v>
      </c>
      <c r="N52" s="316"/>
      <c r="O52" s="317"/>
      <c r="P52" s="317"/>
      <c r="Q52" s="317"/>
      <c r="R52" s="317"/>
      <c r="S52" s="317"/>
      <c r="T52" s="317"/>
      <c r="U52" s="317"/>
      <c r="V52" s="317"/>
      <c r="W52" s="317"/>
      <c r="X52" s="317"/>
      <c r="Y52" s="317"/>
      <c r="Z52" s="317"/>
    </row>
    <row r="53" spans="1:26">
      <c r="A53" s="324" t="s">
        <v>196</v>
      </c>
      <c r="B53" s="325">
        <v>0</v>
      </c>
      <c r="C53" s="325">
        <v>0</v>
      </c>
      <c r="D53" s="325">
        <v>0</v>
      </c>
      <c r="E53" s="325">
        <v>0</v>
      </c>
      <c r="F53" s="325">
        <v>0</v>
      </c>
      <c r="G53" s="325">
        <v>0</v>
      </c>
      <c r="H53" s="325">
        <v>0</v>
      </c>
      <c r="I53" s="325">
        <v>0</v>
      </c>
      <c r="J53" s="325">
        <v>0</v>
      </c>
      <c r="K53" s="325">
        <v>0</v>
      </c>
      <c r="L53" s="325">
        <v>0</v>
      </c>
      <c r="N53" s="316"/>
      <c r="O53" s="317"/>
      <c r="P53" s="317"/>
      <c r="Q53" s="317"/>
      <c r="R53" s="317"/>
      <c r="S53" s="317"/>
      <c r="T53" s="317"/>
      <c r="U53" s="317"/>
      <c r="V53" s="317"/>
      <c r="W53" s="317"/>
      <c r="X53" s="317"/>
      <c r="Y53" s="317"/>
      <c r="Z53" s="317"/>
    </row>
    <row r="54" spans="1:26">
      <c r="A54" s="324" t="s">
        <v>197</v>
      </c>
      <c r="B54" s="325">
        <v>65600</v>
      </c>
      <c r="C54" s="325">
        <v>78450</v>
      </c>
      <c r="D54" s="325">
        <v>87000</v>
      </c>
      <c r="E54" s="325">
        <v>105350</v>
      </c>
      <c r="F54" s="325">
        <v>56850</v>
      </c>
      <c r="G54" s="325">
        <v>158500</v>
      </c>
      <c r="H54" s="325">
        <v>158250</v>
      </c>
      <c r="I54" s="325">
        <v>130350</v>
      </c>
      <c r="J54" s="325">
        <v>43650</v>
      </c>
      <c r="K54" s="325">
        <v>0</v>
      </c>
      <c r="L54" s="325">
        <v>884000</v>
      </c>
      <c r="N54" s="316"/>
      <c r="O54" s="317"/>
      <c r="P54" s="317"/>
      <c r="Q54" s="317"/>
      <c r="R54" s="317"/>
      <c r="S54" s="317"/>
      <c r="T54" s="317"/>
      <c r="U54" s="317"/>
      <c r="V54" s="317"/>
      <c r="W54" s="317"/>
      <c r="X54" s="317"/>
      <c r="Y54" s="317"/>
      <c r="Z54" s="317"/>
    </row>
  </sheetData>
  <mergeCells count="14">
    <mergeCell ref="A35:A36"/>
    <mergeCell ref="B36:D36"/>
    <mergeCell ref="E36:F36"/>
    <mergeCell ref="G36:K36"/>
    <mergeCell ref="A2:A3"/>
    <mergeCell ref="B2:D2"/>
    <mergeCell ref="E2:F2"/>
    <mergeCell ref="G2:K2"/>
    <mergeCell ref="L2:L3"/>
    <mergeCell ref="B37:D37"/>
    <mergeCell ref="E37:F37"/>
    <mergeCell ref="G37:K37"/>
    <mergeCell ref="B38:F38"/>
    <mergeCell ref="G38:K38"/>
  </mergeCells>
  <phoneticPr fontId="1"/>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12</vt:i4>
      </vt:variant>
      <vt:variant>
        <vt:lpstr>名前付き一覧</vt:lpstr>
      </vt:variant>
      <vt:variant>
        <vt:i4>1</vt:i4>
      </vt:variant>
    </vt:vector>
  </HeadingPairs>
  <TitlesOfParts>
    <vt:vector size="13" baseType="lpstr">
      <vt:lpstr>レビュー</vt:lpstr>
      <vt:lpstr>計画値・予測・実績進捗</vt:lpstr>
      <vt:lpstr>2023.9月実績</vt:lpstr>
      <vt:lpstr>9月時間帯別売上実績 </vt:lpstr>
      <vt:lpstr>2023.8月実績</vt:lpstr>
      <vt:lpstr>8月時間帯別売上実績</vt:lpstr>
      <vt:lpstr>2023.7月実績</vt:lpstr>
      <vt:lpstr>7月時間帯別売上実績</vt:lpstr>
      <vt:lpstr>2023.6月実績</vt:lpstr>
      <vt:lpstr>6月時間帯別売上実績</vt:lpstr>
      <vt:lpstr>2023.5月実績</vt:lpstr>
      <vt:lpstr>5月時間帯別売上実績</vt:lpstr>
      <vt:lpstr>レビュー!Print_Area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dc:creator>
  <cp:lastModifiedBy>SATOSHI IGA</cp:lastModifiedBy>
  <cp:lastPrinted>2023-09-12T03:58:40Z</cp:lastPrinted>
  <dcterms:created xsi:type="dcterms:W3CDTF">2015-06-05T18:19:34Z</dcterms:created>
  <dcterms:modified xsi:type="dcterms:W3CDTF">2026-02-19T10:30:16Z</dcterms:modified>
</cp:coreProperties>
</file>